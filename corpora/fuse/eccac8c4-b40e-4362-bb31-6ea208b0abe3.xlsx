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95" windowHeight="7935" tabRatio="585"/>
  </bookViews>
  <sheets>
    <sheet name="01" sheetId="2" r:id="rId1"/>
    <sheet name="03" sheetId="3" r:id="rId2"/>
    <sheet name="05" sheetId="4" r:id="rId3"/>
    <sheet name="07" sheetId="5" r:id="rId4"/>
    <sheet name="09" sheetId="6" r:id="rId5"/>
    <sheet name="11" sheetId="7" r:id="rId6"/>
    <sheet name="13" sheetId="17" r:id="rId7"/>
    <sheet name="15" sheetId="8" r:id="rId8"/>
    <sheet name="17" sheetId="9" r:id="rId9"/>
    <sheet name="19" sheetId="10" r:id="rId10"/>
    <sheet name="21" sheetId="11" r:id="rId11"/>
    <sheet name="23" sheetId="12" r:id="rId12"/>
    <sheet name="25" sheetId="13" r:id="rId13"/>
    <sheet name="27" sheetId="14" r:id="rId14"/>
    <sheet name="29" sheetId="15" r:id="rId15"/>
    <sheet name="31" sheetId="16" r:id="rId16"/>
    <sheet name="ME" sheetId="18" r:id="rId17"/>
    <sheet name="summary" sheetId="19" r:id="rId18"/>
  </sheets>
  <calcPr calcId="125725"/>
</workbook>
</file>

<file path=xl/calcChain.xml><?xml version="1.0" encoding="utf-8"?>
<calcChain xmlns="http://schemas.openxmlformats.org/spreadsheetml/2006/main">
  <c r="K19" i="19"/>
  <c r="K4"/>
  <c r="K5"/>
  <c r="K6"/>
  <c r="K7"/>
  <c r="K8"/>
  <c r="K9"/>
  <c r="K10"/>
  <c r="K11"/>
  <c r="K12"/>
  <c r="K13"/>
  <c r="K14"/>
  <c r="K15"/>
  <c r="K16"/>
  <c r="K17"/>
  <c r="K18"/>
  <c r="K3"/>
  <c r="J19"/>
  <c r="J3"/>
  <c r="G4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I9"/>
  <c r="J9"/>
  <c r="G10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H3"/>
  <c r="I3"/>
  <c r="G3"/>
  <c r="T49" i="16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15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14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13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12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11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10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9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8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17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7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6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5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4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T49" i="3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49" i="16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15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14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13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12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11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10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9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8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17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7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6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5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4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U49" i="3"/>
  <c r="U48"/>
  <c r="U47"/>
  <c r="U46"/>
  <c r="U45"/>
  <c r="U44"/>
  <c r="U43"/>
  <c r="U42"/>
  <c r="U41"/>
  <c r="U40"/>
  <c r="U39"/>
  <c r="U38"/>
  <c r="U37"/>
  <c r="U36"/>
  <c r="U33"/>
  <c r="U32"/>
  <c r="U31"/>
  <c r="U30"/>
  <c r="U29"/>
  <c r="U28"/>
  <c r="U27"/>
  <c r="U26"/>
  <c r="U25"/>
  <c r="U24"/>
  <c r="U23"/>
  <c r="U22"/>
  <c r="U21"/>
  <c r="U20"/>
  <c r="U17"/>
  <c r="U16"/>
  <c r="U15"/>
  <c r="U14"/>
  <c r="U13"/>
  <c r="U12"/>
  <c r="U11"/>
  <c r="U10"/>
  <c r="U9"/>
  <c r="U8"/>
  <c r="U7"/>
  <c r="U6"/>
  <c r="U5"/>
  <c r="U4"/>
  <c r="C37" i="2"/>
  <c r="U37" s="1"/>
  <c r="U37" i="18" s="1"/>
  <c r="D37" i="2"/>
  <c r="E37"/>
  <c r="F37"/>
  <c r="G37"/>
  <c r="H37"/>
  <c r="I37"/>
  <c r="J37"/>
  <c r="K37"/>
  <c r="L37"/>
  <c r="M37"/>
  <c r="N37"/>
  <c r="O37"/>
  <c r="P37"/>
  <c r="Q37"/>
  <c r="R37"/>
  <c r="S37"/>
  <c r="T37"/>
  <c r="C38"/>
  <c r="U38" s="1"/>
  <c r="U38" i="18" s="1"/>
  <c r="D38" i="2"/>
  <c r="E38"/>
  <c r="F38"/>
  <c r="G38"/>
  <c r="H38"/>
  <c r="I38"/>
  <c r="J38"/>
  <c r="K38"/>
  <c r="L38"/>
  <c r="M38"/>
  <c r="N38"/>
  <c r="O38"/>
  <c r="P38"/>
  <c r="Q38"/>
  <c r="R38"/>
  <c r="S38"/>
  <c r="T38"/>
  <c r="C39"/>
  <c r="U39" s="1"/>
  <c r="U39" i="18" s="1"/>
  <c r="D39" i="2"/>
  <c r="E39"/>
  <c r="F39"/>
  <c r="G39"/>
  <c r="H39"/>
  <c r="I39"/>
  <c r="J39"/>
  <c r="K39"/>
  <c r="L39"/>
  <c r="M39"/>
  <c r="N39"/>
  <c r="O39"/>
  <c r="P39"/>
  <c r="Q39"/>
  <c r="R39"/>
  <c r="S39"/>
  <c r="T39"/>
  <c r="C40"/>
  <c r="U40" s="1"/>
  <c r="U40" i="18" s="1"/>
  <c r="D40" i="2"/>
  <c r="E40"/>
  <c r="F40"/>
  <c r="G40"/>
  <c r="H40"/>
  <c r="I40"/>
  <c r="J40"/>
  <c r="K40"/>
  <c r="L40"/>
  <c r="M40"/>
  <c r="N40"/>
  <c r="O40"/>
  <c r="P40"/>
  <c r="Q40"/>
  <c r="R40"/>
  <c r="S40"/>
  <c r="T40"/>
  <c r="C41"/>
  <c r="U41" s="1"/>
  <c r="U41" i="18" s="1"/>
  <c r="D41" i="2"/>
  <c r="E41"/>
  <c r="F41"/>
  <c r="G41"/>
  <c r="H41"/>
  <c r="I41"/>
  <c r="J41"/>
  <c r="K41"/>
  <c r="L41"/>
  <c r="M41"/>
  <c r="N41"/>
  <c r="O41"/>
  <c r="P41"/>
  <c r="Q41"/>
  <c r="R41"/>
  <c r="S41"/>
  <c r="T41"/>
  <c r="C42"/>
  <c r="U42" s="1"/>
  <c r="U42" i="18" s="1"/>
  <c r="D42" i="2"/>
  <c r="E42"/>
  <c r="F42"/>
  <c r="G42"/>
  <c r="H42"/>
  <c r="I42"/>
  <c r="J42"/>
  <c r="K42"/>
  <c r="L42"/>
  <c r="M42"/>
  <c r="N42"/>
  <c r="O42"/>
  <c r="P42"/>
  <c r="Q42"/>
  <c r="R42"/>
  <c r="S42"/>
  <c r="T42"/>
  <c r="C43"/>
  <c r="U43" s="1"/>
  <c r="U43" i="18" s="1"/>
  <c r="D43" i="2"/>
  <c r="E43"/>
  <c r="F43"/>
  <c r="G43"/>
  <c r="H43"/>
  <c r="I43"/>
  <c r="J43"/>
  <c r="K43"/>
  <c r="L43"/>
  <c r="M43"/>
  <c r="N43"/>
  <c r="O43"/>
  <c r="P43"/>
  <c r="Q43"/>
  <c r="R43"/>
  <c r="S43"/>
  <c r="T43"/>
  <c r="C44"/>
  <c r="U44" s="1"/>
  <c r="U44" i="18" s="1"/>
  <c r="D44" i="2"/>
  <c r="E44"/>
  <c r="F44"/>
  <c r="G44"/>
  <c r="H44"/>
  <c r="I44"/>
  <c r="J44"/>
  <c r="K44"/>
  <c r="L44"/>
  <c r="M44"/>
  <c r="N44"/>
  <c r="O44"/>
  <c r="P44"/>
  <c r="Q44"/>
  <c r="R44"/>
  <c r="S44"/>
  <c r="T44"/>
  <c r="C45"/>
  <c r="U45" s="1"/>
  <c r="U45" i="18" s="1"/>
  <c r="D45" i="2"/>
  <c r="E45"/>
  <c r="F45"/>
  <c r="G45"/>
  <c r="H45"/>
  <c r="I45"/>
  <c r="J45"/>
  <c r="K45"/>
  <c r="L45"/>
  <c r="M45"/>
  <c r="N45"/>
  <c r="O45"/>
  <c r="P45"/>
  <c r="Q45"/>
  <c r="R45"/>
  <c r="S45"/>
  <c r="T45"/>
  <c r="C46"/>
  <c r="U46" s="1"/>
  <c r="U46" i="18" s="1"/>
  <c r="D46" i="2"/>
  <c r="E46"/>
  <c r="F46"/>
  <c r="G46"/>
  <c r="H46"/>
  <c r="I46"/>
  <c r="J46"/>
  <c r="K46"/>
  <c r="L46"/>
  <c r="M46"/>
  <c r="N46"/>
  <c r="O46"/>
  <c r="P46"/>
  <c r="Q46"/>
  <c r="R46"/>
  <c r="S46"/>
  <c r="T46"/>
  <c r="C47"/>
  <c r="U47" s="1"/>
  <c r="U47" i="18" s="1"/>
  <c r="D47" i="2"/>
  <c r="E47"/>
  <c r="F47"/>
  <c r="G47"/>
  <c r="H47"/>
  <c r="I47"/>
  <c r="J47"/>
  <c r="K47"/>
  <c r="L47"/>
  <c r="M47"/>
  <c r="N47"/>
  <c r="O47"/>
  <c r="P47"/>
  <c r="Q47"/>
  <c r="R47"/>
  <c r="S47"/>
  <c r="T47"/>
  <c r="C48"/>
  <c r="U48" s="1"/>
  <c r="U48" i="18" s="1"/>
  <c r="D48" i="2"/>
  <c r="E48"/>
  <c r="F48"/>
  <c r="G48"/>
  <c r="H48"/>
  <c r="I48"/>
  <c r="J48"/>
  <c r="K48"/>
  <c r="L48"/>
  <c r="M48"/>
  <c r="N48"/>
  <c r="O48"/>
  <c r="P48"/>
  <c r="Q48"/>
  <c r="R48"/>
  <c r="S48"/>
  <c r="T48"/>
  <c r="C49"/>
  <c r="U49" s="1"/>
  <c r="U49" i="18" s="1"/>
  <c r="D49" i="2"/>
  <c r="E49"/>
  <c r="F49"/>
  <c r="G49"/>
  <c r="H49"/>
  <c r="I49"/>
  <c r="J49"/>
  <c r="K49"/>
  <c r="L49"/>
  <c r="M49"/>
  <c r="N49"/>
  <c r="O49"/>
  <c r="P49"/>
  <c r="Q49"/>
  <c r="R49"/>
  <c r="S49"/>
  <c r="T49"/>
  <c r="D36"/>
  <c r="E36"/>
  <c r="F36"/>
  <c r="G36"/>
  <c r="H36"/>
  <c r="I36"/>
  <c r="J36"/>
  <c r="K36"/>
  <c r="L36"/>
  <c r="M36"/>
  <c r="N36"/>
  <c r="O36"/>
  <c r="P36"/>
  <c r="Q36"/>
  <c r="R36"/>
  <c r="S36"/>
  <c r="T36"/>
  <c r="C36"/>
  <c r="U36" s="1"/>
  <c r="U36" i="18" s="1"/>
  <c r="U21" i="2"/>
  <c r="U22"/>
  <c r="U23"/>
  <c r="U24"/>
  <c r="U25"/>
  <c r="U26"/>
  <c r="U27"/>
  <c r="U28"/>
  <c r="U29"/>
  <c r="U30"/>
  <c r="U31"/>
  <c r="U32"/>
  <c r="U33"/>
  <c r="U20"/>
  <c r="U5"/>
  <c r="U6"/>
  <c r="U7"/>
  <c r="U8"/>
  <c r="U9"/>
  <c r="U10"/>
  <c r="U11"/>
  <c r="U12"/>
  <c r="U13"/>
  <c r="U14"/>
  <c r="U15"/>
  <c r="U16"/>
  <c r="U17"/>
  <c r="U4"/>
  <c r="T49" i="18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C5"/>
  <c r="D5"/>
  <c r="E5"/>
  <c r="F5"/>
  <c r="G5"/>
  <c r="H5"/>
  <c r="I5"/>
  <c r="J5"/>
  <c r="K5"/>
  <c r="L5"/>
  <c r="M5"/>
  <c r="N5"/>
  <c r="O5"/>
  <c r="P5"/>
  <c r="Q5"/>
  <c r="R5"/>
  <c r="S5"/>
  <c r="T5"/>
  <c r="U5"/>
  <c r="C6"/>
  <c r="D6"/>
  <c r="E6"/>
  <c r="F6"/>
  <c r="G6"/>
  <c r="H6"/>
  <c r="I6"/>
  <c r="J6"/>
  <c r="K6"/>
  <c r="L6"/>
  <c r="M6"/>
  <c r="N6"/>
  <c r="O6"/>
  <c r="P6"/>
  <c r="Q6"/>
  <c r="R6"/>
  <c r="S6"/>
  <c r="T6"/>
  <c r="U6"/>
  <c r="C7"/>
  <c r="D7"/>
  <c r="E7"/>
  <c r="F7"/>
  <c r="G7"/>
  <c r="H7"/>
  <c r="I7"/>
  <c r="J7"/>
  <c r="K7"/>
  <c r="L7"/>
  <c r="M7"/>
  <c r="N7"/>
  <c r="O7"/>
  <c r="P7"/>
  <c r="Q7"/>
  <c r="R7"/>
  <c r="S7"/>
  <c r="T7"/>
  <c r="U7"/>
  <c r="C8"/>
  <c r="D8"/>
  <c r="E8"/>
  <c r="F8"/>
  <c r="G8"/>
  <c r="H8"/>
  <c r="I8"/>
  <c r="J8"/>
  <c r="K8"/>
  <c r="L8"/>
  <c r="M8"/>
  <c r="N8"/>
  <c r="O8"/>
  <c r="P8"/>
  <c r="Q8"/>
  <c r="R8"/>
  <c r="S8"/>
  <c r="T8"/>
  <c r="U8"/>
  <c r="C9"/>
  <c r="D9"/>
  <c r="E9"/>
  <c r="F9"/>
  <c r="G9"/>
  <c r="H9"/>
  <c r="I9"/>
  <c r="J9"/>
  <c r="K9"/>
  <c r="L9"/>
  <c r="M9"/>
  <c r="N9"/>
  <c r="O9"/>
  <c r="P9"/>
  <c r="Q9"/>
  <c r="R9"/>
  <c r="S9"/>
  <c r="T9"/>
  <c r="U9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D4"/>
  <c r="E4"/>
  <c r="F4"/>
  <c r="G4"/>
  <c r="H4"/>
  <c r="I4"/>
  <c r="J4"/>
  <c r="K4"/>
  <c r="L4"/>
  <c r="M4"/>
  <c r="N4"/>
  <c r="O4"/>
  <c r="P4"/>
  <c r="Q4"/>
  <c r="R4"/>
  <c r="S4"/>
  <c r="T4"/>
  <c r="U4"/>
  <c r="C4"/>
</calcChain>
</file>

<file path=xl/sharedStrings.xml><?xml version="1.0" encoding="utf-8"?>
<sst xmlns="http://schemas.openxmlformats.org/spreadsheetml/2006/main" count="433" uniqueCount="64">
  <si>
    <t>ANDROSCOGGIN</t>
  </si>
  <si>
    <t>AROOSTOOK</t>
  </si>
  <si>
    <t>CUMBERLAND</t>
  </si>
  <si>
    <t>FRANKLIN</t>
  </si>
  <si>
    <t>HANCOCK</t>
  </si>
  <si>
    <t>KENNEBEC</t>
  </si>
  <si>
    <t>KNOX</t>
  </si>
  <si>
    <t>LINCOLN</t>
  </si>
  <si>
    <t>OXFORD</t>
  </si>
  <si>
    <t>PENOBSCOT</t>
  </si>
  <si>
    <t>PISCATAQUIS</t>
  </si>
  <si>
    <t>SAGADAHOC</t>
  </si>
  <si>
    <t>SOMERSET</t>
  </si>
  <si>
    <t>WALDO</t>
  </si>
  <si>
    <t>WASHINGTON</t>
  </si>
  <si>
    <t>YORK</t>
  </si>
  <si>
    <t>Female</t>
  </si>
  <si>
    <t>Male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</si>
  <si>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</si>
  <si>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</si>
  <si>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</si>
  <si>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</si>
  <si>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</si>
  <si>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</si>
  <si>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</si>
  <si>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</si>
  <si>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</si>
  <si>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</si>
  <si>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</si>
  <si>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</si>
  <si>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</si>
  <si>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</si>
  <si>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</si>
  <si>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</si>
  <si>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Total</t>
  </si>
  <si>
    <t>5-9</t>
  </si>
  <si>
    <t>10-14</t>
  </si>
  <si>
    <t>Maine</t>
  </si>
  <si>
    <t>Age</t>
  </si>
  <si>
    <t>Androscoggin</t>
  </si>
  <si>
    <t>Aroostook</t>
  </si>
  <si>
    <t>Cumberland</t>
  </si>
  <si>
    <t>Franklin</t>
  </si>
  <si>
    <t>Hancock</t>
  </si>
  <si>
    <t>Kennebec</t>
  </si>
  <si>
    <t>Knox</t>
  </si>
  <si>
    <t>Lincoln</t>
  </si>
  <si>
    <t>Oxford</t>
  </si>
  <si>
    <t>Penobscot</t>
  </si>
  <si>
    <t>Piscataquis</t>
  </si>
  <si>
    <t>Sagadahoc</t>
  </si>
  <si>
    <t>Somerset</t>
  </si>
  <si>
    <t>Waldo</t>
  </si>
  <si>
    <t>Washington</t>
  </si>
  <si>
    <t>York</t>
  </si>
  <si>
    <t>Observed</t>
  </si>
  <si>
    <t>Projections</t>
  </si>
  <si>
    <t>Percent change from previous period</t>
  </si>
  <si>
    <t>2010-2015</t>
  </si>
  <si>
    <t>2015-2020</t>
  </si>
  <si>
    <t>2020-2025</t>
  </si>
  <si>
    <t>2025-2030</t>
  </si>
  <si>
    <t>Total Percent Change</t>
  </si>
  <si>
    <t>2010-2030</t>
  </si>
</sst>
</file>

<file path=xl/styles.xml><?xml version="1.0" encoding="utf-8"?>
<styleSheet xmlns="http://schemas.openxmlformats.org/spreadsheetml/2006/main">
  <numFmts count="1">
    <numFmt numFmtId="164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9" applyNumberFormat="0" applyAlignment="0" applyProtection="0"/>
    <xf numFmtId="0" fontId="5" fillId="28" borderId="20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21" applyNumberFormat="0" applyFill="0" applyAlignment="0" applyProtection="0"/>
    <xf numFmtId="0" fontId="9" fillId="0" borderId="22" applyNumberFormat="0" applyFill="0" applyAlignment="0" applyProtection="0"/>
    <xf numFmtId="0" fontId="10" fillId="0" borderId="23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9" applyNumberFormat="0" applyAlignment="0" applyProtection="0"/>
    <xf numFmtId="0" fontId="12" fillId="0" borderId="24" applyNumberFormat="0" applyFill="0" applyAlignment="0" applyProtection="0"/>
    <xf numFmtId="0" fontId="13" fillId="31" borderId="0" applyNumberFormat="0" applyBorder="0" applyAlignment="0" applyProtection="0"/>
    <xf numFmtId="0" fontId="1" fillId="32" borderId="25" applyNumberFormat="0" applyFont="0" applyAlignment="0" applyProtection="0"/>
    <xf numFmtId="0" fontId="14" fillId="27" borderId="26" applyNumberFormat="0" applyAlignment="0" applyProtection="0"/>
    <xf numFmtId="0" fontId="15" fillId="0" borderId="0" applyNumberFormat="0" applyFill="0" applyBorder="0" applyAlignment="0" applyProtection="0"/>
    <xf numFmtId="0" fontId="16" fillId="0" borderId="27" applyNumberFormat="0" applyFill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33" borderId="0" xfId="0" applyFill="1"/>
    <xf numFmtId="0" fontId="0" fillId="33" borderId="1" xfId="0" applyFill="1" applyBorder="1"/>
    <xf numFmtId="0" fontId="0" fillId="33" borderId="2" xfId="0" quotePrefix="1" applyFill="1" applyBorder="1"/>
    <xf numFmtId="0" fontId="0" fillId="33" borderId="3" xfId="0" applyFill="1" applyBorder="1"/>
    <xf numFmtId="0" fontId="0" fillId="33" borderId="4" xfId="0" applyFill="1" applyBorder="1"/>
    <xf numFmtId="0" fontId="0" fillId="33" borderId="5" xfId="0" applyFill="1" applyBorder="1"/>
    <xf numFmtId="0" fontId="0" fillId="33" borderId="6" xfId="0" applyFill="1" applyBorder="1"/>
    <xf numFmtId="0" fontId="0" fillId="33" borderId="7" xfId="0" applyFill="1" applyBorder="1"/>
    <xf numFmtId="0" fontId="0" fillId="33" borderId="8" xfId="0" applyFill="1" applyBorder="1"/>
    <xf numFmtId="0" fontId="0" fillId="33" borderId="9" xfId="0" applyFill="1" applyBorder="1"/>
    <xf numFmtId="0" fontId="0" fillId="33" borderId="10" xfId="0" applyFill="1" applyBorder="1"/>
    <xf numFmtId="0" fontId="0" fillId="33" borderId="11" xfId="0" applyFill="1" applyBorder="1"/>
    <xf numFmtId="0" fontId="0" fillId="33" borderId="0" xfId="0" quotePrefix="1" applyFill="1" applyBorder="1"/>
    <xf numFmtId="0" fontId="0" fillId="33" borderId="12" xfId="0" applyFill="1" applyBorder="1"/>
    <xf numFmtId="3" fontId="0" fillId="33" borderId="0" xfId="0" applyNumberFormat="1" applyFill="1" applyBorder="1"/>
    <xf numFmtId="3" fontId="0" fillId="33" borderId="12" xfId="0" applyNumberFormat="1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0" xfId="0" applyFill="1" applyBorder="1"/>
    <xf numFmtId="0" fontId="0" fillId="33" borderId="15" xfId="0" applyFill="1" applyBorder="1"/>
    <xf numFmtId="3" fontId="0" fillId="33" borderId="16" xfId="0" applyNumberFormat="1" applyFill="1" applyBorder="1"/>
    <xf numFmtId="3" fontId="0" fillId="33" borderId="17" xfId="0" applyNumberFormat="1" applyFill="1" applyBorder="1"/>
    <xf numFmtId="0" fontId="18" fillId="33" borderId="11" xfId="0" applyFont="1" applyFill="1" applyBorder="1"/>
    <xf numFmtId="0" fontId="18" fillId="33" borderId="18" xfId="0" applyFont="1" applyFill="1" applyBorder="1"/>
    <xf numFmtId="0" fontId="2" fillId="33" borderId="6" xfId="0" applyFont="1" applyFill="1" applyBorder="1"/>
    <xf numFmtId="0" fontId="16" fillId="0" borderId="0" xfId="0" applyFont="1"/>
    <xf numFmtId="0" fontId="16" fillId="0" borderId="6" xfId="0" applyFont="1" applyBorder="1"/>
    <xf numFmtId="0" fontId="16" fillId="0" borderId="11" xfId="0" applyFont="1" applyBorder="1"/>
    <xf numFmtId="3" fontId="0" fillId="0" borderId="0" xfId="0" applyNumberFormat="1" applyBorder="1"/>
    <xf numFmtId="164" fontId="0" fillId="0" borderId="0" xfId="42" applyNumberFormat="1" applyFont="1" applyBorder="1"/>
    <xf numFmtId="0" fontId="16" fillId="0" borderId="18" xfId="0" applyFont="1" applyBorder="1"/>
    <xf numFmtId="3" fontId="0" fillId="0" borderId="16" xfId="0" applyNumberFormat="1" applyBorder="1"/>
    <xf numFmtId="164" fontId="0" fillId="0" borderId="16" xfId="42" applyNumberFormat="1" applyFont="1" applyBorder="1"/>
    <xf numFmtId="0" fontId="16" fillId="0" borderId="28" xfId="0" applyFont="1" applyBorder="1"/>
    <xf numFmtId="0" fontId="16" fillId="0" borderId="29" xfId="0" applyFont="1" applyBorder="1"/>
    <xf numFmtId="164" fontId="0" fillId="0" borderId="3" xfId="42" applyNumberFormat="1" applyFont="1" applyBorder="1"/>
    <xf numFmtId="3" fontId="0" fillId="0" borderId="3" xfId="0" applyNumberFormat="1" applyBorder="1"/>
    <xf numFmtId="0" fontId="16" fillId="0" borderId="30" xfId="0" applyFont="1" applyBorder="1"/>
    <xf numFmtId="3" fontId="0" fillId="0" borderId="31" xfId="0" applyNumberFormat="1" applyBorder="1"/>
    <xf numFmtId="0" fontId="16" fillId="34" borderId="28" xfId="0" applyFont="1" applyFill="1" applyBorder="1"/>
    <xf numFmtId="3" fontId="0" fillId="34" borderId="0" xfId="0" applyNumberFormat="1" applyFill="1" applyBorder="1"/>
    <xf numFmtId="164" fontId="0" fillId="34" borderId="0" xfId="42" applyNumberFormat="1" applyFont="1" applyFill="1" applyBorder="1"/>
    <xf numFmtId="0" fontId="16" fillId="0" borderId="32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34" borderId="36" xfId="0" applyFont="1" applyFill="1" applyBorder="1" applyAlignment="1">
      <alignment horizontal="right"/>
    </xf>
    <xf numFmtId="164" fontId="0" fillId="34" borderId="12" xfId="42" applyNumberFormat="1" applyFont="1" applyFill="1" applyBorder="1"/>
    <xf numFmtId="3" fontId="0" fillId="0" borderId="37" xfId="0" applyNumberFormat="1" applyBorder="1"/>
    <xf numFmtId="3" fontId="0" fillId="34" borderId="16" xfId="0" applyNumberFormat="1" applyFill="1" applyBorder="1"/>
    <xf numFmtId="3" fontId="0" fillId="0" borderId="15" xfId="0" applyNumberFormat="1" applyBorder="1"/>
    <xf numFmtId="164" fontId="0" fillId="34" borderId="16" xfId="42" applyNumberFormat="1" applyFont="1" applyFill="1" applyBorder="1"/>
    <xf numFmtId="164" fontId="0" fillId="0" borderId="15" xfId="42" applyNumberFormat="1" applyFont="1" applyBorder="1"/>
    <xf numFmtId="164" fontId="0" fillId="34" borderId="17" xfId="42" applyNumberFormat="1" applyFont="1" applyFill="1" applyBorder="1"/>
    <xf numFmtId="0" fontId="16" fillId="0" borderId="7" xfId="0" applyFont="1" applyBorder="1" applyAlignment="1">
      <alignment horizontal="center"/>
    </xf>
    <xf numFmtId="0" fontId="16" fillId="0" borderId="33" xfId="0" applyFont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tabSelected="1" zoomScaleNormal="100" workbookViewId="0"/>
  </sheetViews>
  <sheetFormatPr defaultRowHeight="15"/>
  <cols>
    <col min="1" max="1" width="8.7109375" style="1" bestFit="1" customWidth="1"/>
    <col min="2" max="2" width="2.140625" style="1" customWidth="1"/>
    <col min="3" max="20" width="7" style="1" customWidth="1"/>
    <col min="21" max="21" width="8.7109375" style="1" bestFit="1" customWidth="1"/>
    <col min="22" max="16384" width="9.140625" style="1"/>
  </cols>
  <sheetData>
    <row r="1" spans="1:21">
      <c r="A1" s="25">
        <v>1</v>
      </c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3022</v>
      </c>
      <c r="D4" s="15">
        <v>3252</v>
      </c>
      <c r="E4" s="15">
        <v>3596</v>
      </c>
      <c r="F4" s="15">
        <v>3772</v>
      </c>
      <c r="G4" s="15">
        <v>3351</v>
      </c>
      <c r="H4" s="15">
        <v>3024</v>
      </c>
      <c r="I4" s="15">
        <v>3762</v>
      </c>
      <c r="J4" s="15">
        <v>4235</v>
      </c>
      <c r="K4" s="15">
        <v>4258</v>
      </c>
      <c r="L4" s="15">
        <v>3882</v>
      </c>
      <c r="M4" s="15">
        <v>3685</v>
      </c>
      <c r="N4" s="15">
        <v>2680</v>
      </c>
      <c r="O4" s="15">
        <v>2171</v>
      </c>
      <c r="P4" s="15">
        <v>2121</v>
      </c>
      <c r="Q4" s="15">
        <v>1920</v>
      </c>
      <c r="R4" s="15">
        <v>1848</v>
      </c>
      <c r="S4" s="15">
        <v>1519</v>
      </c>
      <c r="T4" s="15">
        <v>1609</v>
      </c>
      <c r="U4" s="16">
        <f>SUM(C4:T4)</f>
        <v>53707</v>
      </c>
    </row>
    <row r="5" spans="1:21">
      <c r="A5" s="12">
        <v>2002</v>
      </c>
      <c r="B5" s="4"/>
      <c r="C5" s="15">
        <v>3049</v>
      </c>
      <c r="D5" s="15">
        <v>3165</v>
      </c>
      <c r="E5" s="15">
        <v>3650</v>
      </c>
      <c r="F5" s="15">
        <v>3739</v>
      </c>
      <c r="G5" s="15">
        <v>3529</v>
      </c>
      <c r="H5" s="15">
        <v>3004</v>
      </c>
      <c r="I5" s="15">
        <v>3628</v>
      </c>
      <c r="J5" s="15">
        <v>4217</v>
      </c>
      <c r="K5" s="15">
        <v>4302</v>
      </c>
      <c r="L5" s="15">
        <v>3987</v>
      </c>
      <c r="M5" s="15">
        <v>3692</v>
      </c>
      <c r="N5" s="15">
        <v>2962</v>
      </c>
      <c r="O5" s="15">
        <v>2209</v>
      </c>
      <c r="P5" s="15">
        <v>2054</v>
      </c>
      <c r="Q5" s="15">
        <v>1943</v>
      </c>
      <c r="R5" s="15">
        <v>1812</v>
      </c>
      <c r="S5" s="15">
        <v>1510</v>
      </c>
      <c r="T5" s="15">
        <v>1567</v>
      </c>
      <c r="U5" s="16">
        <f t="shared" ref="U5:U17" si="0">SUM(C5:T5)</f>
        <v>54019</v>
      </c>
    </row>
    <row r="6" spans="1:21">
      <c r="A6" s="12">
        <v>2003</v>
      </c>
      <c r="B6" s="4"/>
      <c r="C6" s="15">
        <v>3119</v>
      </c>
      <c r="D6" s="15">
        <v>3115</v>
      </c>
      <c r="E6" s="15">
        <v>3630</v>
      </c>
      <c r="F6" s="15">
        <v>3821</v>
      </c>
      <c r="G6" s="15">
        <v>3512</v>
      </c>
      <c r="H6" s="15">
        <v>3083</v>
      </c>
      <c r="I6" s="15">
        <v>3557</v>
      </c>
      <c r="J6" s="15">
        <v>4204</v>
      </c>
      <c r="K6" s="15">
        <v>4298</v>
      </c>
      <c r="L6" s="15">
        <v>4049</v>
      </c>
      <c r="M6" s="15">
        <v>3764</v>
      </c>
      <c r="N6" s="15">
        <v>3070</v>
      </c>
      <c r="O6" s="15">
        <v>2325</v>
      </c>
      <c r="P6" s="15">
        <v>2082</v>
      </c>
      <c r="Q6" s="15">
        <v>1935</v>
      </c>
      <c r="R6" s="15">
        <v>1806</v>
      </c>
      <c r="S6" s="15">
        <v>1462</v>
      </c>
      <c r="T6" s="15">
        <v>1577</v>
      </c>
      <c r="U6" s="16">
        <f t="shared" si="0"/>
        <v>54409</v>
      </c>
    </row>
    <row r="7" spans="1:21">
      <c r="A7" s="12">
        <v>2004</v>
      </c>
      <c r="B7" s="4"/>
      <c r="C7" s="15">
        <v>3176</v>
      </c>
      <c r="D7" s="15">
        <v>3126</v>
      </c>
      <c r="E7" s="15">
        <v>3606</v>
      </c>
      <c r="F7" s="15">
        <v>3729</v>
      </c>
      <c r="G7" s="15">
        <v>3483</v>
      </c>
      <c r="H7" s="15">
        <v>3210</v>
      </c>
      <c r="I7" s="15">
        <v>3483</v>
      </c>
      <c r="J7" s="15">
        <v>4029</v>
      </c>
      <c r="K7" s="15">
        <v>4390</v>
      </c>
      <c r="L7" s="15">
        <v>4117</v>
      </c>
      <c r="M7" s="15">
        <v>3827</v>
      </c>
      <c r="N7" s="15">
        <v>3238</v>
      </c>
      <c r="O7" s="15">
        <v>2411</v>
      </c>
      <c r="P7" s="15">
        <v>2069</v>
      </c>
      <c r="Q7" s="15">
        <v>1949</v>
      </c>
      <c r="R7" s="15">
        <v>1779</v>
      </c>
      <c r="S7" s="15">
        <v>1451</v>
      </c>
      <c r="T7" s="15">
        <v>1534</v>
      </c>
      <c r="U7" s="16">
        <f t="shared" si="0"/>
        <v>54607</v>
      </c>
    </row>
    <row r="8" spans="1:21">
      <c r="A8" s="12">
        <v>2005</v>
      </c>
      <c r="B8" s="4"/>
      <c r="C8" s="15">
        <v>3241</v>
      </c>
      <c r="D8" s="15">
        <v>3183</v>
      </c>
      <c r="E8" s="15">
        <v>3435</v>
      </c>
      <c r="F8" s="15">
        <v>3742</v>
      </c>
      <c r="G8" s="15">
        <v>3574</v>
      </c>
      <c r="H8" s="15">
        <v>3324</v>
      </c>
      <c r="I8" s="15">
        <v>3397</v>
      </c>
      <c r="J8" s="15">
        <v>3889</v>
      </c>
      <c r="K8" s="15">
        <v>4444</v>
      </c>
      <c r="L8" s="15">
        <v>4150</v>
      </c>
      <c r="M8" s="15">
        <v>3916</v>
      </c>
      <c r="N8" s="15">
        <v>3398</v>
      </c>
      <c r="O8" s="15">
        <v>2521</v>
      </c>
      <c r="P8" s="15">
        <v>2021</v>
      </c>
      <c r="Q8" s="15">
        <v>1910</v>
      </c>
      <c r="R8" s="15">
        <v>1722</v>
      </c>
      <c r="S8" s="15">
        <v>1435</v>
      </c>
      <c r="T8" s="15">
        <v>1530</v>
      </c>
      <c r="U8" s="16">
        <f t="shared" si="0"/>
        <v>54832</v>
      </c>
    </row>
    <row r="9" spans="1:21">
      <c r="A9" s="12">
        <v>2006</v>
      </c>
      <c r="B9" s="4"/>
      <c r="C9" s="15">
        <v>3390</v>
      </c>
      <c r="D9" s="15">
        <v>3164</v>
      </c>
      <c r="E9" s="15">
        <v>3374</v>
      </c>
      <c r="F9" s="15">
        <v>3672</v>
      </c>
      <c r="G9" s="15">
        <v>3625</v>
      </c>
      <c r="H9" s="15">
        <v>3434</v>
      </c>
      <c r="I9" s="15">
        <v>3333</v>
      </c>
      <c r="J9" s="15">
        <v>3817</v>
      </c>
      <c r="K9" s="15">
        <v>4321</v>
      </c>
      <c r="L9" s="15">
        <v>4232</v>
      </c>
      <c r="M9" s="15">
        <v>3954</v>
      </c>
      <c r="N9" s="15">
        <v>3571</v>
      </c>
      <c r="O9" s="15">
        <v>2637</v>
      </c>
      <c r="P9" s="15">
        <v>2003</v>
      </c>
      <c r="Q9" s="15">
        <v>1901</v>
      </c>
      <c r="R9" s="15">
        <v>1741</v>
      </c>
      <c r="S9" s="15">
        <v>1424</v>
      </c>
      <c r="T9" s="15">
        <v>1511</v>
      </c>
      <c r="U9" s="16">
        <f t="shared" si="0"/>
        <v>55104</v>
      </c>
    </row>
    <row r="10" spans="1:21">
      <c r="A10" s="12">
        <v>2007</v>
      </c>
      <c r="B10" s="4"/>
      <c r="C10" s="15">
        <v>3445</v>
      </c>
      <c r="D10" s="15">
        <v>3147</v>
      </c>
      <c r="E10" s="15">
        <v>3292</v>
      </c>
      <c r="F10" s="15">
        <v>3639</v>
      </c>
      <c r="G10" s="15">
        <v>3522</v>
      </c>
      <c r="H10" s="15">
        <v>3496</v>
      </c>
      <c r="I10" s="15">
        <v>3252</v>
      </c>
      <c r="J10" s="15">
        <v>3684</v>
      </c>
      <c r="K10" s="15">
        <v>4295</v>
      </c>
      <c r="L10" s="15">
        <v>4218</v>
      </c>
      <c r="M10" s="15">
        <v>4021</v>
      </c>
      <c r="N10" s="15">
        <v>3578</v>
      </c>
      <c r="O10" s="15">
        <v>2884</v>
      </c>
      <c r="P10" s="15">
        <v>2027</v>
      </c>
      <c r="Q10" s="15">
        <v>1813</v>
      </c>
      <c r="R10" s="15">
        <v>1732</v>
      </c>
      <c r="S10" s="15">
        <v>1427</v>
      </c>
      <c r="T10" s="15">
        <v>1526</v>
      </c>
      <c r="U10" s="16">
        <f t="shared" si="0"/>
        <v>54998</v>
      </c>
    </row>
    <row r="11" spans="1:21">
      <c r="A11" s="12">
        <v>2008</v>
      </c>
      <c r="B11" s="4"/>
      <c r="C11" s="15">
        <v>3498</v>
      </c>
      <c r="D11" s="15">
        <v>3176</v>
      </c>
      <c r="E11" s="15">
        <v>3141</v>
      </c>
      <c r="F11" s="15">
        <v>3561</v>
      </c>
      <c r="G11" s="15">
        <v>3647</v>
      </c>
      <c r="H11" s="15">
        <v>3460</v>
      </c>
      <c r="I11" s="15">
        <v>3283</v>
      </c>
      <c r="J11" s="15">
        <v>3625</v>
      </c>
      <c r="K11" s="15">
        <v>4155</v>
      </c>
      <c r="L11" s="15">
        <v>4227</v>
      </c>
      <c r="M11" s="15">
        <v>4146</v>
      </c>
      <c r="N11" s="15">
        <v>3624</v>
      </c>
      <c r="O11" s="15">
        <v>2997</v>
      </c>
      <c r="P11" s="15">
        <v>2203</v>
      </c>
      <c r="Q11" s="15">
        <v>1825</v>
      </c>
      <c r="R11" s="15">
        <v>1700</v>
      </c>
      <c r="S11" s="15">
        <v>1433</v>
      </c>
      <c r="T11" s="15">
        <v>1530</v>
      </c>
      <c r="U11" s="16">
        <f t="shared" si="0"/>
        <v>55231</v>
      </c>
    </row>
    <row r="12" spans="1:21">
      <c r="A12" s="12">
        <v>2009</v>
      </c>
      <c r="B12" s="4"/>
      <c r="C12" s="15">
        <v>3425</v>
      </c>
      <c r="D12" s="15">
        <v>3204</v>
      </c>
      <c r="E12" s="15">
        <v>3150</v>
      </c>
      <c r="F12" s="15">
        <v>3534</v>
      </c>
      <c r="G12" s="15">
        <v>3541</v>
      </c>
      <c r="H12" s="15">
        <v>3373</v>
      </c>
      <c r="I12" s="15">
        <v>3307</v>
      </c>
      <c r="J12" s="15">
        <v>3517</v>
      </c>
      <c r="K12" s="15">
        <v>3954</v>
      </c>
      <c r="L12" s="15">
        <v>4339</v>
      </c>
      <c r="M12" s="15">
        <v>4175</v>
      </c>
      <c r="N12" s="15">
        <v>3660</v>
      </c>
      <c r="O12" s="15">
        <v>3147</v>
      </c>
      <c r="P12" s="15">
        <v>2288</v>
      </c>
      <c r="Q12" s="15">
        <v>1789</v>
      </c>
      <c r="R12" s="15">
        <v>1719</v>
      </c>
      <c r="S12" s="15">
        <v>1408</v>
      </c>
      <c r="T12" s="15">
        <v>1488</v>
      </c>
      <c r="U12" s="16">
        <f t="shared" si="0"/>
        <v>55018</v>
      </c>
    </row>
    <row r="13" spans="1:21">
      <c r="A13" s="12">
        <v>2010</v>
      </c>
      <c r="B13" s="4"/>
      <c r="C13" s="15">
        <v>3392</v>
      </c>
      <c r="D13" s="15">
        <v>3220</v>
      </c>
      <c r="E13" s="15">
        <v>3185</v>
      </c>
      <c r="F13" s="15">
        <v>3428</v>
      </c>
      <c r="G13" s="15">
        <v>3579</v>
      </c>
      <c r="H13" s="15">
        <v>3355</v>
      </c>
      <c r="I13" s="15">
        <v>3355</v>
      </c>
      <c r="J13" s="15">
        <v>3365</v>
      </c>
      <c r="K13" s="15">
        <v>3846</v>
      </c>
      <c r="L13" s="15">
        <v>4347</v>
      </c>
      <c r="M13" s="15">
        <v>4179</v>
      </c>
      <c r="N13" s="15">
        <v>3700</v>
      </c>
      <c r="O13" s="15">
        <v>3303</v>
      </c>
      <c r="P13" s="15">
        <v>2352</v>
      </c>
      <c r="Q13" s="15">
        <v>1776</v>
      </c>
      <c r="R13" s="15">
        <v>1698</v>
      </c>
      <c r="S13" s="15">
        <v>1362</v>
      </c>
      <c r="T13" s="15">
        <v>1525</v>
      </c>
      <c r="U13" s="16">
        <f t="shared" si="0"/>
        <v>54967</v>
      </c>
    </row>
    <row r="14" spans="1:21">
      <c r="A14" s="23">
        <v>2015</v>
      </c>
      <c r="B14" s="4"/>
      <c r="C14" s="15">
        <v>3339.7930410696831</v>
      </c>
      <c r="D14" s="15">
        <v>3545.9511499139667</v>
      </c>
      <c r="E14" s="15">
        <v>3315.8718515544565</v>
      </c>
      <c r="F14" s="15">
        <v>3277.7304288728551</v>
      </c>
      <c r="G14" s="15">
        <v>3528.8987878598464</v>
      </c>
      <c r="H14" s="15">
        <v>3448.5892703308969</v>
      </c>
      <c r="I14" s="15">
        <v>3421.6556480243594</v>
      </c>
      <c r="J14" s="15">
        <v>3381.3613836458539</v>
      </c>
      <c r="K14" s="15">
        <v>3370.8164965586661</v>
      </c>
      <c r="L14" s="15">
        <v>3847.7013088698959</v>
      </c>
      <c r="M14" s="15">
        <v>4333.3464469081846</v>
      </c>
      <c r="N14" s="15">
        <v>4102.0417654906169</v>
      </c>
      <c r="O14" s="15">
        <v>3577.7819859320493</v>
      </c>
      <c r="P14" s="15">
        <v>3056.5616388127632</v>
      </c>
      <c r="Q14" s="15">
        <v>2126.1240667344655</v>
      </c>
      <c r="R14" s="15">
        <v>1542.9808054599407</v>
      </c>
      <c r="S14" s="15">
        <v>1367.0640378290598</v>
      </c>
      <c r="T14" s="15">
        <v>1548.7438179101068</v>
      </c>
      <c r="U14" s="16">
        <f t="shared" si="0"/>
        <v>56133.013931777677</v>
      </c>
    </row>
    <row r="15" spans="1:21">
      <c r="A15" s="23">
        <v>2020</v>
      </c>
      <c r="B15" s="4"/>
      <c r="C15" s="15">
        <v>3337.3550642544928</v>
      </c>
      <c r="D15" s="15">
        <v>3506.2158711577458</v>
      </c>
      <c r="E15" s="15">
        <v>3642.0251434787929</v>
      </c>
      <c r="F15" s="15">
        <v>3406.5306084761405</v>
      </c>
      <c r="G15" s="15">
        <v>3393.2105482634906</v>
      </c>
      <c r="H15" s="15">
        <v>3386.368021483298</v>
      </c>
      <c r="I15" s="15">
        <v>3521.186799988187</v>
      </c>
      <c r="J15" s="15">
        <v>3455.5634668274174</v>
      </c>
      <c r="K15" s="15">
        <v>3399.6940004525395</v>
      </c>
      <c r="L15" s="15">
        <v>3393.7693279391315</v>
      </c>
      <c r="M15" s="15">
        <v>3851.9052877198965</v>
      </c>
      <c r="N15" s="15">
        <v>4238.6475909765632</v>
      </c>
      <c r="O15" s="15">
        <v>3956.8330728317242</v>
      </c>
      <c r="P15" s="15">
        <v>3311.4381121056358</v>
      </c>
      <c r="Q15" s="15">
        <v>2757.1622537692901</v>
      </c>
      <c r="R15" s="15">
        <v>1848.9513135307368</v>
      </c>
      <c r="S15" s="15">
        <v>1261.1691898695717</v>
      </c>
      <c r="T15" s="15">
        <v>1568.141274967142</v>
      </c>
      <c r="U15" s="16">
        <f t="shared" si="0"/>
        <v>57236.166948091799</v>
      </c>
    </row>
    <row r="16" spans="1:21">
      <c r="A16" s="23">
        <v>2025</v>
      </c>
      <c r="B16" s="4"/>
      <c r="C16" s="15">
        <v>3343.2148376791301</v>
      </c>
      <c r="D16" s="15">
        <v>3508.0603539857434</v>
      </c>
      <c r="E16" s="15">
        <v>3609.3683863522224</v>
      </c>
      <c r="F16" s="15">
        <v>3732.73981786891</v>
      </c>
      <c r="G16" s="15">
        <v>3510.7333019042248</v>
      </c>
      <c r="H16" s="15">
        <v>3276.2785474074817</v>
      </c>
      <c r="I16" s="15">
        <v>3451.20842416592</v>
      </c>
      <c r="J16" s="15">
        <v>3558.9611264110877</v>
      </c>
      <c r="K16" s="15">
        <v>3480.1979659265648</v>
      </c>
      <c r="L16" s="15">
        <v>3433.6676761191839</v>
      </c>
      <c r="M16" s="15">
        <v>3422.3685474321428</v>
      </c>
      <c r="N16" s="15">
        <v>3776.4760880143062</v>
      </c>
      <c r="O16" s="15">
        <v>4078.5457922597302</v>
      </c>
      <c r="P16" s="15">
        <v>3657.8033519089445</v>
      </c>
      <c r="Q16" s="15">
        <v>2987.7854288286248</v>
      </c>
      <c r="R16" s="15">
        <v>2393.2369545730153</v>
      </c>
      <c r="S16" s="15">
        <v>1517.7781510822529</v>
      </c>
      <c r="T16" s="15">
        <v>1530.8296481804546</v>
      </c>
      <c r="U16" s="16">
        <f t="shared" si="0"/>
        <v>58269.254400099941</v>
      </c>
    </row>
    <row r="17" spans="1:21">
      <c r="A17" s="23">
        <v>2030</v>
      </c>
      <c r="B17" s="4"/>
      <c r="C17" s="15">
        <v>3399.0169454423153</v>
      </c>
      <c r="D17" s="15">
        <v>3515.5969614699025</v>
      </c>
      <c r="E17" s="15">
        <v>3613.906286620545</v>
      </c>
      <c r="F17" s="15">
        <v>3707.2663207308333</v>
      </c>
      <c r="G17" s="15">
        <v>3822.0949167656036</v>
      </c>
      <c r="H17" s="15">
        <v>3377.7905813552352</v>
      </c>
      <c r="I17" s="15">
        <v>3355.2069067370776</v>
      </c>
      <c r="J17" s="15">
        <v>3486.2580249130706</v>
      </c>
      <c r="K17" s="15">
        <v>3586.9837906498524</v>
      </c>
      <c r="L17" s="15">
        <v>3520.2049256262267</v>
      </c>
      <c r="M17" s="15">
        <v>3475.1023545415469</v>
      </c>
      <c r="N17" s="15">
        <v>3368.5626316639614</v>
      </c>
      <c r="O17" s="15">
        <v>3640.0015592388186</v>
      </c>
      <c r="P17" s="15">
        <v>3765.6660072164977</v>
      </c>
      <c r="Q17" s="15">
        <v>3295.915464331767</v>
      </c>
      <c r="R17" s="15">
        <v>2594.0974264541564</v>
      </c>
      <c r="S17" s="15">
        <v>1949.8681415326243</v>
      </c>
      <c r="T17" s="15">
        <v>1686.425875910543</v>
      </c>
      <c r="U17" s="16">
        <f t="shared" si="0"/>
        <v>59159.965121200563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3123</v>
      </c>
      <c r="D20" s="15">
        <v>3384</v>
      </c>
      <c r="E20" s="15">
        <v>3859</v>
      </c>
      <c r="F20" s="15">
        <v>3785</v>
      </c>
      <c r="G20" s="15">
        <v>3266</v>
      </c>
      <c r="H20" s="15">
        <v>2965</v>
      </c>
      <c r="I20" s="15">
        <v>3511</v>
      </c>
      <c r="J20" s="15">
        <v>4341</v>
      </c>
      <c r="K20" s="15">
        <v>4323</v>
      </c>
      <c r="L20" s="15">
        <v>3850</v>
      </c>
      <c r="M20" s="15">
        <v>3622</v>
      </c>
      <c r="N20" s="15">
        <v>2580</v>
      </c>
      <c r="O20" s="15">
        <v>2082</v>
      </c>
      <c r="P20" s="15">
        <v>1803</v>
      </c>
      <c r="Q20" s="15">
        <v>1491</v>
      </c>
      <c r="R20" s="15">
        <v>1231</v>
      </c>
      <c r="S20" s="15">
        <v>776</v>
      </c>
      <c r="T20" s="15">
        <v>561</v>
      </c>
      <c r="U20" s="16">
        <f>SUM(C20:T20)</f>
        <v>50553</v>
      </c>
    </row>
    <row r="21" spans="1:21">
      <c r="A21" s="12">
        <v>2002</v>
      </c>
      <c r="B21" s="4"/>
      <c r="C21" s="15">
        <v>3228</v>
      </c>
      <c r="D21" s="15">
        <v>3307</v>
      </c>
      <c r="E21" s="15">
        <v>3871</v>
      </c>
      <c r="F21" s="15">
        <v>3775</v>
      </c>
      <c r="G21" s="15">
        <v>3382</v>
      </c>
      <c r="H21" s="15">
        <v>2922</v>
      </c>
      <c r="I21" s="15">
        <v>3455</v>
      </c>
      <c r="J21" s="15">
        <v>4235</v>
      </c>
      <c r="K21" s="15">
        <v>4399</v>
      </c>
      <c r="L21" s="15">
        <v>3981</v>
      </c>
      <c r="M21" s="15">
        <v>3604</v>
      </c>
      <c r="N21" s="15">
        <v>2855</v>
      </c>
      <c r="O21" s="15">
        <v>2149</v>
      </c>
      <c r="P21" s="15">
        <v>1823</v>
      </c>
      <c r="Q21" s="15">
        <v>1491</v>
      </c>
      <c r="R21" s="15">
        <v>1222</v>
      </c>
      <c r="S21" s="15">
        <v>795</v>
      </c>
      <c r="T21" s="15">
        <v>550</v>
      </c>
      <c r="U21" s="16">
        <f t="shared" ref="U21:U33" si="1">SUM(C21:T21)</f>
        <v>51044</v>
      </c>
    </row>
    <row r="22" spans="1:21">
      <c r="A22" s="12">
        <v>2003</v>
      </c>
      <c r="B22" s="4"/>
      <c r="C22" s="15">
        <v>3301</v>
      </c>
      <c r="D22" s="15">
        <v>3292</v>
      </c>
      <c r="E22" s="15">
        <v>3839</v>
      </c>
      <c r="F22" s="15">
        <v>3913</v>
      </c>
      <c r="G22" s="15">
        <v>3437</v>
      </c>
      <c r="H22" s="15">
        <v>2936</v>
      </c>
      <c r="I22" s="15">
        <v>3512</v>
      </c>
      <c r="J22" s="15">
        <v>4090</v>
      </c>
      <c r="K22" s="15">
        <v>4458</v>
      </c>
      <c r="L22" s="15">
        <v>4088</v>
      </c>
      <c r="M22" s="15">
        <v>3629</v>
      </c>
      <c r="N22" s="15">
        <v>3048</v>
      </c>
      <c r="O22" s="15">
        <v>2245</v>
      </c>
      <c r="P22" s="15">
        <v>1829</v>
      </c>
      <c r="Q22" s="15">
        <v>1499</v>
      </c>
      <c r="R22" s="15">
        <v>1226</v>
      </c>
      <c r="S22" s="15">
        <v>823</v>
      </c>
      <c r="T22" s="15">
        <v>566</v>
      </c>
      <c r="U22" s="16">
        <f t="shared" si="1"/>
        <v>51731</v>
      </c>
    </row>
    <row r="23" spans="1:21">
      <c r="A23" s="12">
        <v>2004</v>
      </c>
      <c r="B23" s="4"/>
      <c r="C23" s="15">
        <v>3365</v>
      </c>
      <c r="D23" s="15">
        <v>3254</v>
      </c>
      <c r="E23" s="15">
        <v>3855</v>
      </c>
      <c r="F23" s="15">
        <v>3979</v>
      </c>
      <c r="G23" s="15">
        <v>3440</v>
      </c>
      <c r="H23" s="15">
        <v>3015</v>
      </c>
      <c r="I23" s="15">
        <v>3436</v>
      </c>
      <c r="J23" s="15">
        <v>3978</v>
      </c>
      <c r="K23" s="15">
        <v>4412</v>
      </c>
      <c r="L23" s="15">
        <v>4262</v>
      </c>
      <c r="M23" s="15">
        <v>3736</v>
      </c>
      <c r="N23" s="15">
        <v>3210</v>
      </c>
      <c r="O23" s="15">
        <v>2287</v>
      </c>
      <c r="P23" s="15">
        <v>1876</v>
      </c>
      <c r="Q23" s="15">
        <v>1512</v>
      </c>
      <c r="R23" s="15">
        <v>1225</v>
      </c>
      <c r="S23" s="15">
        <v>830</v>
      </c>
      <c r="T23" s="15">
        <v>588</v>
      </c>
      <c r="U23" s="16">
        <f t="shared" si="1"/>
        <v>52260</v>
      </c>
    </row>
    <row r="24" spans="1:21">
      <c r="A24" s="12">
        <v>2005</v>
      </c>
      <c r="B24" s="4"/>
      <c r="C24" s="15">
        <v>3372</v>
      </c>
      <c r="D24" s="15">
        <v>3257</v>
      </c>
      <c r="E24" s="15">
        <v>3768</v>
      </c>
      <c r="F24" s="15">
        <v>4003</v>
      </c>
      <c r="G24" s="15">
        <v>3509</v>
      </c>
      <c r="H24" s="15">
        <v>3033</v>
      </c>
      <c r="I24" s="15">
        <v>3364</v>
      </c>
      <c r="J24" s="15">
        <v>3829</v>
      </c>
      <c r="K24" s="15">
        <v>4444</v>
      </c>
      <c r="L24" s="15">
        <v>4322</v>
      </c>
      <c r="M24" s="15">
        <v>3781</v>
      </c>
      <c r="N24" s="15">
        <v>3402</v>
      </c>
      <c r="O24" s="15">
        <v>2399</v>
      </c>
      <c r="P24" s="15">
        <v>1883</v>
      </c>
      <c r="Q24" s="15">
        <v>1551</v>
      </c>
      <c r="R24" s="15">
        <v>1162</v>
      </c>
      <c r="S24" s="15">
        <v>868</v>
      </c>
      <c r="T24" s="15">
        <v>573</v>
      </c>
      <c r="U24" s="16">
        <f t="shared" si="1"/>
        <v>52520</v>
      </c>
    </row>
    <row r="25" spans="1:21">
      <c r="A25" s="12">
        <v>2006</v>
      </c>
      <c r="B25" s="4"/>
      <c r="C25" s="15">
        <v>3450</v>
      </c>
      <c r="D25" s="15">
        <v>3332</v>
      </c>
      <c r="E25" s="15">
        <v>3671</v>
      </c>
      <c r="F25" s="15">
        <v>3979</v>
      </c>
      <c r="G25" s="15">
        <v>3495</v>
      </c>
      <c r="H25" s="15">
        <v>3167</v>
      </c>
      <c r="I25" s="15">
        <v>3198</v>
      </c>
      <c r="J25" s="15">
        <v>3781</v>
      </c>
      <c r="K25" s="15">
        <v>4409</v>
      </c>
      <c r="L25" s="15">
        <v>4350</v>
      </c>
      <c r="M25" s="15">
        <v>3868</v>
      </c>
      <c r="N25" s="15">
        <v>3548</v>
      </c>
      <c r="O25" s="15">
        <v>2438</v>
      </c>
      <c r="P25" s="15">
        <v>1906</v>
      </c>
      <c r="Q25" s="15">
        <v>1587</v>
      </c>
      <c r="R25" s="15">
        <v>1208</v>
      </c>
      <c r="S25" s="15">
        <v>840</v>
      </c>
      <c r="T25" s="15">
        <v>601</v>
      </c>
      <c r="U25" s="16">
        <f t="shared" si="1"/>
        <v>52828</v>
      </c>
    </row>
    <row r="26" spans="1:21">
      <c r="A26" s="12">
        <v>2007</v>
      </c>
      <c r="B26" s="4"/>
      <c r="C26" s="15">
        <v>3506</v>
      </c>
      <c r="D26" s="15">
        <v>3306</v>
      </c>
      <c r="E26" s="15">
        <v>3558</v>
      </c>
      <c r="F26" s="15">
        <v>3968</v>
      </c>
      <c r="G26" s="15">
        <v>3399</v>
      </c>
      <c r="H26" s="15">
        <v>3214</v>
      </c>
      <c r="I26" s="15">
        <v>3089</v>
      </c>
      <c r="J26" s="15">
        <v>3772</v>
      </c>
      <c r="K26" s="15">
        <v>4266</v>
      </c>
      <c r="L26" s="15">
        <v>4348</v>
      </c>
      <c r="M26" s="15">
        <v>3964</v>
      </c>
      <c r="N26" s="15">
        <v>3492</v>
      </c>
      <c r="O26" s="15">
        <v>2667</v>
      </c>
      <c r="P26" s="15">
        <v>1937</v>
      </c>
      <c r="Q26" s="15">
        <v>1601</v>
      </c>
      <c r="R26" s="15">
        <v>1213</v>
      </c>
      <c r="S26" s="15">
        <v>846</v>
      </c>
      <c r="T26" s="15">
        <v>595</v>
      </c>
      <c r="U26" s="16">
        <f t="shared" si="1"/>
        <v>52741</v>
      </c>
    </row>
    <row r="27" spans="1:21">
      <c r="A27" s="12">
        <v>2008</v>
      </c>
      <c r="B27" s="4"/>
      <c r="C27" s="15">
        <v>3541</v>
      </c>
      <c r="D27" s="15">
        <v>3381</v>
      </c>
      <c r="E27" s="15">
        <v>3457</v>
      </c>
      <c r="F27" s="15">
        <v>3964</v>
      </c>
      <c r="G27" s="15">
        <v>3457</v>
      </c>
      <c r="H27" s="15">
        <v>3187</v>
      </c>
      <c r="I27" s="15">
        <v>3134</v>
      </c>
      <c r="J27" s="15">
        <v>3703</v>
      </c>
      <c r="K27" s="15">
        <v>4097</v>
      </c>
      <c r="L27" s="15">
        <v>4385</v>
      </c>
      <c r="M27" s="15">
        <v>4046</v>
      </c>
      <c r="N27" s="15">
        <v>3518</v>
      </c>
      <c r="O27" s="15">
        <v>2882</v>
      </c>
      <c r="P27" s="15">
        <v>1978</v>
      </c>
      <c r="Q27" s="15">
        <v>1595</v>
      </c>
      <c r="R27" s="15">
        <v>1246</v>
      </c>
      <c r="S27" s="15">
        <v>856</v>
      </c>
      <c r="T27" s="15">
        <v>626</v>
      </c>
      <c r="U27" s="16">
        <f t="shared" si="1"/>
        <v>53053</v>
      </c>
    </row>
    <row r="28" spans="1:21">
      <c r="A28" s="12">
        <v>2009</v>
      </c>
      <c r="B28" s="4"/>
      <c r="C28" s="15">
        <v>3519</v>
      </c>
      <c r="D28" s="15">
        <v>3370</v>
      </c>
      <c r="E28" s="15">
        <v>3412</v>
      </c>
      <c r="F28" s="15">
        <v>3864</v>
      </c>
      <c r="G28" s="15">
        <v>3408</v>
      </c>
      <c r="H28" s="15">
        <v>3138</v>
      </c>
      <c r="I28" s="15">
        <v>3211</v>
      </c>
      <c r="J28" s="15">
        <v>3516</v>
      </c>
      <c r="K28" s="15">
        <v>3926</v>
      </c>
      <c r="L28" s="15">
        <v>4313</v>
      </c>
      <c r="M28" s="15">
        <v>4120</v>
      </c>
      <c r="N28" s="15">
        <v>3599</v>
      </c>
      <c r="O28" s="15">
        <v>3011</v>
      </c>
      <c r="P28" s="15">
        <v>2046</v>
      </c>
      <c r="Q28" s="15">
        <v>1609</v>
      </c>
      <c r="R28" s="15">
        <v>1245</v>
      </c>
      <c r="S28" s="15">
        <v>867</v>
      </c>
      <c r="T28" s="15">
        <v>638</v>
      </c>
      <c r="U28" s="16">
        <f t="shared" si="1"/>
        <v>52812</v>
      </c>
    </row>
    <row r="29" spans="1:21">
      <c r="A29" s="12">
        <v>2010</v>
      </c>
      <c r="B29" s="4"/>
      <c r="C29" s="15">
        <v>3476</v>
      </c>
      <c r="D29" s="15">
        <v>3346</v>
      </c>
      <c r="E29" s="15">
        <v>3421</v>
      </c>
      <c r="F29" s="15">
        <v>3820</v>
      </c>
      <c r="G29" s="15">
        <v>3388</v>
      </c>
      <c r="H29" s="15">
        <v>3115</v>
      </c>
      <c r="I29" s="15">
        <v>3181</v>
      </c>
      <c r="J29" s="15">
        <v>3371</v>
      </c>
      <c r="K29" s="15">
        <v>3789</v>
      </c>
      <c r="L29" s="15">
        <v>4304</v>
      </c>
      <c r="M29" s="15">
        <v>4147</v>
      </c>
      <c r="N29" s="15">
        <v>3660</v>
      </c>
      <c r="O29" s="15">
        <v>3188</v>
      </c>
      <c r="P29" s="15">
        <v>2128</v>
      </c>
      <c r="Q29" s="15">
        <v>1628</v>
      </c>
      <c r="R29" s="15">
        <v>1245</v>
      </c>
      <c r="S29" s="15">
        <v>846</v>
      </c>
      <c r="T29" s="15">
        <v>655</v>
      </c>
      <c r="U29" s="16">
        <f t="shared" si="1"/>
        <v>52708</v>
      </c>
    </row>
    <row r="30" spans="1:21">
      <c r="A30" s="23">
        <v>2015</v>
      </c>
      <c r="B30" s="4"/>
      <c r="C30" s="15">
        <v>3461.1577537296052</v>
      </c>
      <c r="D30" s="15">
        <v>3641.3084086762165</v>
      </c>
      <c r="E30" s="15">
        <v>3447.6608523471773</v>
      </c>
      <c r="F30" s="15">
        <v>3514.7041366409262</v>
      </c>
      <c r="G30" s="15">
        <v>3932.7022194187261</v>
      </c>
      <c r="H30" s="15">
        <v>3287.7343785857693</v>
      </c>
      <c r="I30" s="15">
        <v>3199.1233519785151</v>
      </c>
      <c r="J30" s="15">
        <v>3218.261765254656</v>
      </c>
      <c r="K30" s="15">
        <v>3382.1815268252153</v>
      </c>
      <c r="L30" s="15">
        <v>3779.4288535082846</v>
      </c>
      <c r="M30" s="15">
        <v>4256.9103572365857</v>
      </c>
      <c r="N30" s="15">
        <v>4015.8860617646346</v>
      </c>
      <c r="O30" s="15">
        <v>3459.630327951485</v>
      </c>
      <c r="P30" s="15">
        <v>2840.7130956999235</v>
      </c>
      <c r="Q30" s="15">
        <v>1832.7278961732688</v>
      </c>
      <c r="R30" s="15">
        <v>1330.4179751622401</v>
      </c>
      <c r="S30" s="15">
        <v>916.55413053716939</v>
      </c>
      <c r="T30" s="15">
        <v>759.93144527521463</v>
      </c>
      <c r="U30" s="16">
        <f t="shared" si="1"/>
        <v>54277.034536765612</v>
      </c>
    </row>
    <row r="31" spans="1:21">
      <c r="A31" s="23">
        <v>2020</v>
      </c>
      <c r="B31" s="4"/>
      <c r="C31" s="15">
        <v>3458.6311832943884</v>
      </c>
      <c r="D31" s="15">
        <v>3637.5669846311457</v>
      </c>
      <c r="E31" s="15">
        <v>3744.7350327018912</v>
      </c>
      <c r="F31" s="15">
        <v>3541.8063126280008</v>
      </c>
      <c r="G31" s="15">
        <v>3654.1822041930109</v>
      </c>
      <c r="H31" s="15">
        <v>3702.9378726835635</v>
      </c>
      <c r="I31" s="15">
        <v>3375.3852690786616</v>
      </c>
      <c r="J31" s="15">
        <v>3252.5278324333299</v>
      </c>
      <c r="K31" s="15">
        <v>3253.1759588516084</v>
      </c>
      <c r="L31" s="15">
        <v>3394.1551475079737</v>
      </c>
      <c r="M31" s="15">
        <v>3755.5184733923743</v>
      </c>
      <c r="N31" s="15">
        <v>4109.554282329781</v>
      </c>
      <c r="O31" s="15">
        <v>3787.5353011176067</v>
      </c>
      <c r="P31" s="15">
        <v>3083.6274130701377</v>
      </c>
      <c r="Q31" s="15">
        <v>2439.1029738266643</v>
      </c>
      <c r="R31" s="15">
        <v>1501.4067936215019</v>
      </c>
      <c r="S31" s="15">
        <v>990.55120890357045</v>
      </c>
      <c r="T31" s="15">
        <v>846.13178341332059</v>
      </c>
      <c r="U31" s="16">
        <f t="shared" si="1"/>
        <v>55528.532027678528</v>
      </c>
    </row>
    <row r="32" spans="1:21">
      <c r="A32" s="23">
        <v>2025</v>
      </c>
      <c r="B32" s="4"/>
      <c r="C32" s="15">
        <v>3464.7038949787284</v>
      </c>
      <c r="D32" s="15">
        <v>3639.414961804398</v>
      </c>
      <c r="E32" s="15">
        <v>3747.4707064748363</v>
      </c>
      <c r="F32" s="15">
        <v>3840.3404605960604</v>
      </c>
      <c r="G32" s="15">
        <v>3683.004268119334</v>
      </c>
      <c r="H32" s="15">
        <v>3478.2076368010244</v>
      </c>
      <c r="I32" s="15">
        <v>3727.837337304607</v>
      </c>
      <c r="J32" s="15">
        <v>3431.9962993094068</v>
      </c>
      <c r="K32" s="15">
        <v>3300.7057756196323</v>
      </c>
      <c r="L32" s="15">
        <v>3285.4107777875788</v>
      </c>
      <c r="M32" s="15">
        <v>3396.7367573832826</v>
      </c>
      <c r="N32" s="15">
        <v>3634.9609030782708</v>
      </c>
      <c r="O32" s="15">
        <v>3867.2803201097895</v>
      </c>
      <c r="P32" s="15">
        <v>3372.0612279679262</v>
      </c>
      <c r="Q32" s="15">
        <v>2648.7283760943228</v>
      </c>
      <c r="R32" s="15">
        <v>1992.3955504952403</v>
      </c>
      <c r="S32" s="15">
        <v>1131.4092581997359</v>
      </c>
      <c r="T32" s="15">
        <v>936.01465595418881</v>
      </c>
      <c r="U32" s="16">
        <f t="shared" si="1"/>
        <v>56578.679168078379</v>
      </c>
    </row>
    <row r="33" spans="1:21">
      <c r="A33" s="23">
        <v>2030</v>
      </c>
      <c r="B33" s="4"/>
      <c r="C33" s="15">
        <v>3522.5337950904868</v>
      </c>
      <c r="D33" s="15">
        <v>3647.1725976107659</v>
      </c>
      <c r="E33" s="15">
        <v>3752.0797776473983</v>
      </c>
      <c r="F33" s="15">
        <v>3849.6265089862823</v>
      </c>
      <c r="G33" s="15">
        <v>3975.2495108737435</v>
      </c>
      <c r="H33" s="15">
        <v>3509.6505662960781</v>
      </c>
      <c r="I33" s="15">
        <v>3531.1741847389549</v>
      </c>
      <c r="J33" s="15">
        <v>3754.1036803542684</v>
      </c>
      <c r="K33" s="15">
        <v>3483.4730176244016</v>
      </c>
      <c r="L33" s="15">
        <v>3344.4830805590545</v>
      </c>
      <c r="M33" s="15">
        <v>3311.9745830556817</v>
      </c>
      <c r="N33" s="15">
        <v>3300.5895893604966</v>
      </c>
      <c r="O33" s="15">
        <v>3427.4037383283544</v>
      </c>
      <c r="P33" s="15">
        <v>3439.1491209369351</v>
      </c>
      <c r="Q33" s="15">
        <v>2892.7479647989812</v>
      </c>
      <c r="R33" s="15">
        <v>2164.6344823367644</v>
      </c>
      <c r="S33" s="15">
        <v>1481.8650106103039</v>
      </c>
      <c r="T33" s="15">
        <v>1074.0613628855274</v>
      </c>
      <c r="U33" s="16">
        <f t="shared" si="1"/>
        <v>57461.972572094477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6145</v>
      </c>
      <c r="D36" s="15">
        <f t="shared" ref="D36:T36" si="2">D20+D4</f>
        <v>6636</v>
      </c>
      <c r="E36" s="15">
        <f t="shared" si="2"/>
        <v>7455</v>
      </c>
      <c r="F36" s="15">
        <f t="shared" si="2"/>
        <v>7557</v>
      </c>
      <c r="G36" s="15">
        <f t="shared" si="2"/>
        <v>6617</v>
      </c>
      <c r="H36" s="15">
        <f t="shared" si="2"/>
        <v>5989</v>
      </c>
      <c r="I36" s="15">
        <f t="shared" si="2"/>
        <v>7273</v>
      </c>
      <c r="J36" s="15">
        <f t="shared" si="2"/>
        <v>8576</v>
      </c>
      <c r="K36" s="15">
        <f t="shared" si="2"/>
        <v>8581</v>
      </c>
      <c r="L36" s="15">
        <f t="shared" si="2"/>
        <v>7732</v>
      </c>
      <c r="M36" s="15">
        <f t="shared" si="2"/>
        <v>7307</v>
      </c>
      <c r="N36" s="15">
        <f t="shared" si="2"/>
        <v>5260</v>
      </c>
      <c r="O36" s="15">
        <f t="shared" si="2"/>
        <v>4253</v>
      </c>
      <c r="P36" s="15">
        <f t="shared" si="2"/>
        <v>3924</v>
      </c>
      <c r="Q36" s="15">
        <f t="shared" si="2"/>
        <v>3411</v>
      </c>
      <c r="R36" s="15">
        <f t="shared" si="2"/>
        <v>3079</v>
      </c>
      <c r="S36" s="15">
        <f t="shared" si="2"/>
        <v>2295</v>
      </c>
      <c r="T36" s="15">
        <f t="shared" si="2"/>
        <v>2170</v>
      </c>
      <c r="U36" s="16">
        <f>SUM(C36:T36)</f>
        <v>104260</v>
      </c>
    </row>
    <row r="37" spans="1:21">
      <c r="A37" s="12">
        <v>2002</v>
      </c>
      <c r="B37" s="4"/>
      <c r="C37" s="15">
        <f t="shared" ref="C37:T37" si="3">C21+C5</f>
        <v>6277</v>
      </c>
      <c r="D37" s="15">
        <f t="shared" si="3"/>
        <v>6472</v>
      </c>
      <c r="E37" s="15">
        <f t="shared" si="3"/>
        <v>7521</v>
      </c>
      <c r="F37" s="15">
        <f t="shared" si="3"/>
        <v>7514</v>
      </c>
      <c r="G37" s="15">
        <f t="shared" si="3"/>
        <v>6911</v>
      </c>
      <c r="H37" s="15">
        <f t="shared" si="3"/>
        <v>5926</v>
      </c>
      <c r="I37" s="15">
        <f t="shared" si="3"/>
        <v>7083</v>
      </c>
      <c r="J37" s="15">
        <f t="shared" si="3"/>
        <v>8452</v>
      </c>
      <c r="K37" s="15">
        <f t="shared" si="3"/>
        <v>8701</v>
      </c>
      <c r="L37" s="15">
        <f t="shared" si="3"/>
        <v>7968</v>
      </c>
      <c r="M37" s="15">
        <f t="shared" si="3"/>
        <v>7296</v>
      </c>
      <c r="N37" s="15">
        <f t="shared" si="3"/>
        <v>5817</v>
      </c>
      <c r="O37" s="15">
        <f t="shared" si="3"/>
        <v>4358</v>
      </c>
      <c r="P37" s="15">
        <f t="shared" si="3"/>
        <v>3877</v>
      </c>
      <c r="Q37" s="15">
        <f t="shared" si="3"/>
        <v>3434</v>
      </c>
      <c r="R37" s="15">
        <f t="shared" si="3"/>
        <v>3034</v>
      </c>
      <c r="S37" s="15">
        <f t="shared" si="3"/>
        <v>2305</v>
      </c>
      <c r="T37" s="15">
        <f t="shared" si="3"/>
        <v>2117</v>
      </c>
      <c r="U37" s="16">
        <f t="shared" ref="U37:U49" si="4">SUM(C37:T37)</f>
        <v>105063</v>
      </c>
    </row>
    <row r="38" spans="1:21">
      <c r="A38" s="12">
        <v>2003</v>
      </c>
      <c r="B38" s="4"/>
      <c r="C38" s="15">
        <f t="shared" ref="C38:T38" si="5">C22+C6</f>
        <v>6420</v>
      </c>
      <c r="D38" s="15">
        <f t="shared" si="5"/>
        <v>6407</v>
      </c>
      <c r="E38" s="15">
        <f t="shared" si="5"/>
        <v>7469</v>
      </c>
      <c r="F38" s="15">
        <f t="shared" si="5"/>
        <v>7734</v>
      </c>
      <c r="G38" s="15">
        <f t="shared" si="5"/>
        <v>6949</v>
      </c>
      <c r="H38" s="15">
        <f t="shared" si="5"/>
        <v>6019</v>
      </c>
      <c r="I38" s="15">
        <f t="shared" si="5"/>
        <v>7069</v>
      </c>
      <c r="J38" s="15">
        <f t="shared" si="5"/>
        <v>8294</v>
      </c>
      <c r="K38" s="15">
        <f t="shared" si="5"/>
        <v>8756</v>
      </c>
      <c r="L38" s="15">
        <f t="shared" si="5"/>
        <v>8137</v>
      </c>
      <c r="M38" s="15">
        <f t="shared" si="5"/>
        <v>7393</v>
      </c>
      <c r="N38" s="15">
        <f t="shared" si="5"/>
        <v>6118</v>
      </c>
      <c r="O38" s="15">
        <f t="shared" si="5"/>
        <v>4570</v>
      </c>
      <c r="P38" s="15">
        <f t="shared" si="5"/>
        <v>3911</v>
      </c>
      <c r="Q38" s="15">
        <f t="shared" si="5"/>
        <v>3434</v>
      </c>
      <c r="R38" s="15">
        <f t="shared" si="5"/>
        <v>3032</v>
      </c>
      <c r="S38" s="15">
        <f t="shared" si="5"/>
        <v>2285</v>
      </c>
      <c r="T38" s="15">
        <f t="shared" si="5"/>
        <v>2143</v>
      </c>
      <c r="U38" s="16">
        <f t="shared" si="4"/>
        <v>106140</v>
      </c>
    </row>
    <row r="39" spans="1:21">
      <c r="A39" s="12">
        <v>2004</v>
      </c>
      <c r="B39" s="4"/>
      <c r="C39" s="15">
        <f t="shared" ref="C39:T39" si="6">C23+C7</f>
        <v>6541</v>
      </c>
      <c r="D39" s="15">
        <f t="shared" si="6"/>
        <v>6380</v>
      </c>
      <c r="E39" s="15">
        <f t="shared" si="6"/>
        <v>7461</v>
      </c>
      <c r="F39" s="15">
        <f t="shared" si="6"/>
        <v>7708</v>
      </c>
      <c r="G39" s="15">
        <f t="shared" si="6"/>
        <v>6923</v>
      </c>
      <c r="H39" s="15">
        <f t="shared" si="6"/>
        <v>6225</v>
      </c>
      <c r="I39" s="15">
        <f t="shared" si="6"/>
        <v>6919</v>
      </c>
      <c r="J39" s="15">
        <f t="shared" si="6"/>
        <v>8007</v>
      </c>
      <c r="K39" s="15">
        <f t="shared" si="6"/>
        <v>8802</v>
      </c>
      <c r="L39" s="15">
        <f t="shared" si="6"/>
        <v>8379</v>
      </c>
      <c r="M39" s="15">
        <f t="shared" si="6"/>
        <v>7563</v>
      </c>
      <c r="N39" s="15">
        <f t="shared" si="6"/>
        <v>6448</v>
      </c>
      <c r="O39" s="15">
        <f t="shared" si="6"/>
        <v>4698</v>
      </c>
      <c r="P39" s="15">
        <f t="shared" si="6"/>
        <v>3945</v>
      </c>
      <c r="Q39" s="15">
        <f t="shared" si="6"/>
        <v>3461</v>
      </c>
      <c r="R39" s="15">
        <f t="shared" si="6"/>
        <v>3004</v>
      </c>
      <c r="S39" s="15">
        <f t="shared" si="6"/>
        <v>2281</v>
      </c>
      <c r="T39" s="15">
        <f t="shared" si="6"/>
        <v>2122</v>
      </c>
      <c r="U39" s="16">
        <f t="shared" si="4"/>
        <v>106867</v>
      </c>
    </row>
    <row r="40" spans="1:21">
      <c r="A40" s="12">
        <v>2005</v>
      </c>
      <c r="B40" s="4"/>
      <c r="C40" s="15">
        <f t="shared" ref="C40:T40" si="7">C24+C8</f>
        <v>6613</v>
      </c>
      <c r="D40" s="15">
        <f t="shared" si="7"/>
        <v>6440</v>
      </c>
      <c r="E40" s="15">
        <f t="shared" si="7"/>
        <v>7203</v>
      </c>
      <c r="F40" s="15">
        <f t="shared" si="7"/>
        <v>7745</v>
      </c>
      <c r="G40" s="15">
        <f t="shared" si="7"/>
        <v>7083</v>
      </c>
      <c r="H40" s="15">
        <f t="shared" si="7"/>
        <v>6357</v>
      </c>
      <c r="I40" s="15">
        <f t="shared" si="7"/>
        <v>6761</v>
      </c>
      <c r="J40" s="15">
        <f t="shared" si="7"/>
        <v>7718</v>
      </c>
      <c r="K40" s="15">
        <f t="shared" si="7"/>
        <v>8888</v>
      </c>
      <c r="L40" s="15">
        <f t="shared" si="7"/>
        <v>8472</v>
      </c>
      <c r="M40" s="15">
        <f t="shared" si="7"/>
        <v>7697</v>
      </c>
      <c r="N40" s="15">
        <f t="shared" si="7"/>
        <v>6800</v>
      </c>
      <c r="O40" s="15">
        <f t="shared" si="7"/>
        <v>4920</v>
      </c>
      <c r="P40" s="15">
        <f t="shared" si="7"/>
        <v>3904</v>
      </c>
      <c r="Q40" s="15">
        <f t="shared" si="7"/>
        <v>3461</v>
      </c>
      <c r="R40" s="15">
        <f t="shared" si="7"/>
        <v>2884</v>
      </c>
      <c r="S40" s="15">
        <f t="shared" si="7"/>
        <v>2303</v>
      </c>
      <c r="T40" s="15">
        <f t="shared" si="7"/>
        <v>2103</v>
      </c>
      <c r="U40" s="16">
        <f t="shared" si="4"/>
        <v>107352</v>
      </c>
    </row>
    <row r="41" spans="1:21">
      <c r="A41" s="12">
        <v>2006</v>
      </c>
      <c r="B41" s="4"/>
      <c r="C41" s="15">
        <f t="shared" ref="C41:T41" si="8">C25+C9</f>
        <v>6840</v>
      </c>
      <c r="D41" s="15">
        <f t="shared" si="8"/>
        <v>6496</v>
      </c>
      <c r="E41" s="15">
        <f t="shared" si="8"/>
        <v>7045</v>
      </c>
      <c r="F41" s="15">
        <f t="shared" si="8"/>
        <v>7651</v>
      </c>
      <c r="G41" s="15">
        <f t="shared" si="8"/>
        <v>7120</v>
      </c>
      <c r="H41" s="15">
        <f t="shared" si="8"/>
        <v>6601</v>
      </c>
      <c r="I41" s="15">
        <f t="shared" si="8"/>
        <v>6531</v>
      </c>
      <c r="J41" s="15">
        <f t="shared" si="8"/>
        <v>7598</v>
      </c>
      <c r="K41" s="15">
        <f t="shared" si="8"/>
        <v>8730</v>
      </c>
      <c r="L41" s="15">
        <f t="shared" si="8"/>
        <v>8582</v>
      </c>
      <c r="M41" s="15">
        <f t="shared" si="8"/>
        <v>7822</v>
      </c>
      <c r="N41" s="15">
        <f t="shared" si="8"/>
        <v>7119</v>
      </c>
      <c r="O41" s="15">
        <f t="shared" si="8"/>
        <v>5075</v>
      </c>
      <c r="P41" s="15">
        <f t="shared" si="8"/>
        <v>3909</v>
      </c>
      <c r="Q41" s="15">
        <f t="shared" si="8"/>
        <v>3488</v>
      </c>
      <c r="R41" s="15">
        <f t="shared" si="8"/>
        <v>2949</v>
      </c>
      <c r="S41" s="15">
        <f t="shared" si="8"/>
        <v>2264</v>
      </c>
      <c r="T41" s="15">
        <f t="shared" si="8"/>
        <v>2112</v>
      </c>
      <c r="U41" s="16">
        <f t="shared" si="4"/>
        <v>107932</v>
      </c>
    </row>
    <row r="42" spans="1:21">
      <c r="A42" s="12">
        <v>2007</v>
      </c>
      <c r="B42" s="4"/>
      <c r="C42" s="15">
        <f t="shared" ref="C42:T42" si="9">C26+C10</f>
        <v>6951</v>
      </c>
      <c r="D42" s="15">
        <f t="shared" si="9"/>
        <v>6453</v>
      </c>
      <c r="E42" s="15">
        <f t="shared" si="9"/>
        <v>6850</v>
      </c>
      <c r="F42" s="15">
        <f t="shared" si="9"/>
        <v>7607</v>
      </c>
      <c r="G42" s="15">
        <f t="shared" si="9"/>
        <v>6921</v>
      </c>
      <c r="H42" s="15">
        <f t="shared" si="9"/>
        <v>6710</v>
      </c>
      <c r="I42" s="15">
        <f t="shared" si="9"/>
        <v>6341</v>
      </c>
      <c r="J42" s="15">
        <f t="shared" si="9"/>
        <v>7456</v>
      </c>
      <c r="K42" s="15">
        <f t="shared" si="9"/>
        <v>8561</v>
      </c>
      <c r="L42" s="15">
        <f t="shared" si="9"/>
        <v>8566</v>
      </c>
      <c r="M42" s="15">
        <f t="shared" si="9"/>
        <v>7985</v>
      </c>
      <c r="N42" s="15">
        <f t="shared" si="9"/>
        <v>7070</v>
      </c>
      <c r="O42" s="15">
        <f t="shared" si="9"/>
        <v>5551</v>
      </c>
      <c r="P42" s="15">
        <f t="shared" si="9"/>
        <v>3964</v>
      </c>
      <c r="Q42" s="15">
        <f t="shared" si="9"/>
        <v>3414</v>
      </c>
      <c r="R42" s="15">
        <f t="shared" si="9"/>
        <v>2945</v>
      </c>
      <c r="S42" s="15">
        <f t="shared" si="9"/>
        <v>2273</v>
      </c>
      <c r="T42" s="15">
        <f t="shared" si="9"/>
        <v>2121</v>
      </c>
      <c r="U42" s="16">
        <f t="shared" si="4"/>
        <v>107739</v>
      </c>
    </row>
    <row r="43" spans="1:21">
      <c r="A43" s="12">
        <v>2008</v>
      </c>
      <c r="B43" s="4"/>
      <c r="C43" s="15">
        <f t="shared" ref="C43:T43" si="10">C27+C11</f>
        <v>7039</v>
      </c>
      <c r="D43" s="15">
        <f t="shared" si="10"/>
        <v>6557</v>
      </c>
      <c r="E43" s="15">
        <f t="shared" si="10"/>
        <v>6598</v>
      </c>
      <c r="F43" s="15">
        <f t="shared" si="10"/>
        <v>7525</v>
      </c>
      <c r="G43" s="15">
        <f t="shared" si="10"/>
        <v>7104</v>
      </c>
      <c r="H43" s="15">
        <f t="shared" si="10"/>
        <v>6647</v>
      </c>
      <c r="I43" s="15">
        <f t="shared" si="10"/>
        <v>6417</v>
      </c>
      <c r="J43" s="15">
        <f t="shared" si="10"/>
        <v>7328</v>
      </c>
      <c r="K43" s="15">
        <f t="shared" si="10"/>
        <v>8252</v>
      </c>
      <c r="L43" s="15">
        <f t="shared" si="10"/>
        <v>8612</v>
      </c>
      <c r="M43" s="15">
        <f t="shared" si="10"/>
        <v>8192</v>
      </c>
      <c r="N43" s="15">
        <f t="shared" si="10"/>
        <v>7142</v>
      </c>
      <c r="O43" s="15">
        <f t="shared" si="10"/>
        <v>5879</v>
      </c>
      <c r="P43" s="15">
        <f t="shared" si="10"/>
        <v>4181</v>
      </c>
      <c r="Q43" s="15">
        <f t="shared" si="10"/>
        <v>3420</v>
      </c>
      <c r="R43" s="15">
        <f t="shared" si="10"/>
        <v>2946</v>
      </c>
      <c r="S43" s="15">
        <f t="shared" si="10"/>
        <v>2289</v>
      </c>
      <c r="T43" s="15">
        <f t="shared" si="10"/>
        <v>2156</v>
      </c>
      <c r="U43" s="16">
        <f t="shared" si="4"/>
        <v>108284</v>
      </c>
    </row>
    <row r="44" spans="1:21">
      <c r="A44" s="12">
        <v>2009</v>
      </c>
      <c r="B44" s="4"/>
      <c r="C44" s="15">
        <f t="shared" ref="C44:T44" si="11">C28+C12</f>
        <v>6944</v>
      </c>
      <c r="D44" s="15">
        <f t="shared" si="11"/>
        <v>6574</v>
      </c>
      <c r="E44" s="15">
        <f t="shared" si="11"/>
        <v>6562</v>
      </c>
      <c r="F44" s="15">
        <f t="shared" si="11"/>
        <v>7398</v>
      </c>
      <c r="G44" s="15">
        <f t="shared" si="11"/>
        <v>6949</v>
      </c>
      <c r="H44" s="15">
        <f t="shared" si="11"/>
        <v>6511</v>
      </c>
      <c r="I44" s="15">
        <f t="shared" si="11"/>
        <v>6518</v>
      </c>
      <c r="J44" s="15">
        <f t="shared" si="11"/>
        <v>7033</v>
      </c>
      <c r="K44" s="15">
        <f t="shared" si="11"/>
        <v>7880</v>
      </c>
      <c r="L44" s="15">
        <f t="shared" si="11"/>
        <v>8652</v>
      </c>
      <c r="M44" s="15">
        <f t="shared" si="11"/>
        <v>8295</v>
      </c>
      <c r="N44" s="15">
        <f t="shared" si="11"/>
        <v>7259</v>
      </c>
      <c r="O44" s="15">
        <f t="shared" si="11"/>
        <v>6158</v>
      </c>
      <c r="P44" s="15">
        <f t="shared" si="11"/>
        <v>4334</v>
      </c>
      <c r="Q44" s="15">
        <f t="shared" si="11"/>
        <v>3398</v>
      </c>
      <c r="R44" s="15">
        <f t="shared" si="11"/>
        <v>2964</v>
      </c>
      <c r="S44" s="15">
        <f t="shared" si="11"/>
        <v>2275</v>
      </c>
      <c r="T44" s="15">
        <f t="shared" si="11"/>
        <v>2126</v>
      </c>
      <c r="U44" s="16">
        <f t="shared" si="4"/>
        <v>107830</v>
      </c>
    </row>
    <row r="45" spans="1:21">
      <c r="A45" s="12">
        <v>2010</v>
      </c>
      <c r="B45" s="4"/>
      <c r="C45" s="15">
        <f t="shared" ref="C45:T45" si="12">C29+C13</f>
        <v>6868</v>
      </c>
      <c r="D45" s="15">
        <f t="shared" si="12"/>
        <v>6566</v>
      </c>
      <c r="E45" s="15">
        <f t="shared" si="12"/>
        <v>6606</v>
      </c>
      <c r="F45" s="15">
        <f t="shared" si="12"/>
        <v>7248</v>
      </c>
      <c r="G45" s="15">
        <f t="shared" si="12"/>
        <v>6967</v>
      </c>
      <c r="H45" s="15">
        <f t="shared" si="12"/>
        <v>6470</v>
      </c>
      <c r="I45" s="15">
        <f t="shared" si="12"/>
        <v>6536</v>
      </c>
      <c r="J45" s="15">
        <f t="shared" si="12"/>
        <v>6736</v>
      </c>
      <c r="K45" s="15">
        <f t="shared" si="12"/>
        <v>7635</v>
      </c>
      <c r="L45" s="15">
        <f t="shared" si="12"/>
        <v>8651</v>
      </c>
      <c r="M45" s="15">
        <f t="shared" si="12"/>
        <v>8326</v>
      </c>
      <c r="N45" s="15">
        <f t="shared" si="12"/>
        <v>7360</v>
      </c>
      <c r="O45" s="15">
        <f t="shared" si="12"/>
        <v>6491</v>
      </c>
      <c r="P45" s="15">
        <f t="shared" si="12"/>
        <v>4480</v>
      </c>
      <c r="Q45" s="15">
        <f t="shared" si="12"/>
        <v>3404</v>
      </c>
      <c r="R45" s="15">
        <f t="shared" si="12"/>
        <v>2943</v>
      </c>
      <c r="S45" s="15">
        <f t="shared" si="12"/>
        <v>2208</v>
      </c>
      <c r="T45" s="15">
        <f t="shared" si="12"/>
        <v>2180</v>
      </c>
      <c r="U45" s="16">
        <f t="shared" si="4"/>
        <v>107675</v>
      </c>
    </row>
    <row r="46" spans="1:21">
      <c r="A46" s="23">
        <v>2015</v>
      </c>
      <c r="B46" s="4"/>
      <c r="C46" s="15">
        <f t="shared" ref="C46:T46" si="13">C30+C14</f>
        <v>6800.9507947992879</v>
      </c>
      <c r="D46" s="15">
        <f t="shared" si="13"/>
        <v>7187.2595585901836</v>
      </c>
      <c r="E46" s="15">
        <f t="shared" si="13"/>
        <v>6763.5327039016338</v>
      </c>
      <c r="F46" s="15">
        <f t="shared" si="13"/>
        <v>6792.4345655137813</v>
      </c>
      <c r="G46" s="15">
        <f t="shared" si="13"/>
        <v>7461.6010072785721</v>
      </c>
      <c r="H46" s="15">
        <f t="shared" si="13"/>
        <v>6736.3236489166666</v>
      </c>
      <c r="I46" s="15">
        <f t="shared" si="13"/>
        <v>6620.7790000028745</v>
      </c>
      <c r="J46" s="15">
        <f t="shared" si="13"/>
        <v>6599.6231489005095</v>
      </c>
      <c r="K46" s="15">
        <f t="shared" si="13"/>
        <v>6752.9980233838814</v>
      </c>
      <c r="L46" s="15">
        <f t="shared" si="13"/>
        <v>7627.1301623781801</v>
      </c>
      <c r="M46" s="15">
        <f t="shared" si="13"/>
        <v>8590.2568041447703</v>
      </c>
      <c r="N46" s="15">
        <f t="shared" si="13"/>
        <v>8117.927827255251</v>
      </c>
      <c r="O46" s="15">
        <f t="shared" si="13"/>
        <v>7037.4123138835348</v>
      </c>
      <c r="P46" s="15">
        <f t="shared" si="13"/>
        <v>5897.2747345126863</v>
      </c>
      <c r="Q46" s="15">
        <f t="shared" si="13"/>
        <v>3958.8519629077346</v>
      </c>
      <c r="R46" s="15">
        <f t="shared" si="13"/>
        <v>2873.3987806221808</v>
      </c>
      <c r="S46" s="15">
        <f t="shared" si="13"/>
        <v>2283.6181683662289</v>
      </c>
      <c r="T46" s="15">
        <f t="shared" si="13"/>
        <v>2308.6752631853215</v>
      </c>
      <c r="U46" s="16">
        <f t="shared" si="4"/>
        <v>110410.04846854327</v>
      </c>
    </row>
    <row r="47" spans="1:21">
      <c r="A47" s="23">
        <v>2020</v>
      </c>
      <c r="B47" s="4"/>
      <c r="C47" s="15">
        <f t="shared" ref="C47:T47" si="14">C31+C15</f>
        <v>6795.9862475488808</v>
      </c>
      <c r="D47" s="15">
        <f t="shared" si="14"/>
        <v>7143.7828557888915</v>
      </c>
      <c r="E47" s="15">
        <f t="shared" si="14"/>
        <v>7386.7601761806836</v>
      </c>
      <c r="F47" s="15">
        <f t="shared" si="14"/>
        <v>6948.3369211041409</v>
      </c>
      <c r="G47" s="15">
        <f t="shared" si="14"/>
        <v>7047.3927524565015</v>
      </c>
      <c r="H47" s="15">
        <f t="shared" si="14"/>
        <v>7089.3058941668614</v>
      </c>
      <c r="I47" s="15">
        <f t="shared" si="14"/>
        <v>6896.5720690668486</v>
      </c>
      <c r="J47" s="15">
        <f t="shared" si="14"/>
        <v>6708.0912992607473</v>
      </c>
      <c r="K47" s="15">
        <f t="shared" si="14"/>
        <v>6652.8699593041474</v>
      </c>
      <c r="L47" s="15">
        <f t="shared" si="14"/>
        <v>6787.9244754471056</v>
      </c>
      <c r="M47" s="15">
        <f t="shared" si="14"/>
        <v>7607.4237611122708</v>
      </c>
      <c r="N47" s="15">
        <f t="shared" si="14"/>
        <v>8348.2018733063451</v>
      </c>
      <c r="O47" s="15">
        <f t="shared" si="14"/>
        <v>7744.3683739493308</v>
      </c>
      <c r="P47" s="15">
        <f t="shared" si="14"/>
        <v>6395.0655251757735</v>
      </c>
      <c r="Q47" s="15">
        <f t="shared" si="14"/>
        <v>5196.2652275959545</v>
      </c>
      <c r="R47" s="15">
        <f t="shared" si="14"/>
        <v>3350.3581071522385</v>
      </c>
      <c r="S47" s="15">
        <f t="shared" si="14"/>
        <v>2251.7203987731423</v>
      </c>
      <c r="T47" s="15">
        <f t="shared" si="14"/>
        <v>2414.2730583804623</v>
      </c>
      <c r="U47" s="16">
        <f t="shared" si="4"/>
        <v>112764.69897577033</v>
      </c>
    </row>
    <row r="48" spans="1:21">
      <c r="A48" s="23">
        <v>2025</v>
      </c>
      <c r="B48" s="4"/>
      <c r="C48" s="15">
        <f t="shared" ref="C48:T48" si="15">C32+C16</f>
        <v>6807.9187326578585</v>
      </c>
      <c r="D48" s="15">
        <f t="shared" si="15"/>
        <v>7147.4753157901414</v>
      </c>
      <c r="E48" s="15">
        <f t="shared" si="15"/>
        <v>7356.8390928270583</v>
      </c>
      <c r="F48" s="15">
        <f t="shared" si="15"/>
        <v>7573.0802784649704</v>
      </c>
      <c r="G48" s="15">
        <f t="shared" si="15"/>
        <v>7193.7375700235589</v>
      </c>
      <c r="H48" s="15">
        <f t="shared" si="15"/>
        <v>6754.4861842085065</v>
      </c>
      <c r="I48" s="15">
        <f t="shared" si="15"/>
        <v>7179.0457614705265</v>
      </c>
      <c r="J48" s="15">
        <f t="shared" si="15"/>
        <v>6990.9574257204949</v>
      </c>
      <c r="K48" s="15">
        <f t="shared" si="15"/>
        <v>6780.9037415461971</v>
      </c>
      <c r="L48" s="15">
        <f t="shared" si="15"/>
        <v>6719.0784539067627</v>
      </c>
      <c r="M48" s="15">
        <f t="shared" si="15"/>
        <v>6819.1053048154254</v>
      </c>
      <c r="N48" s="15">
        <f t="shared" si="15"/>
        <v>7411.436991092577</v>
      </c>
      <c r="O48" s="15">
        <f t="shared" si="15"/>
        <v>7945.8261123695193</v>
      </c>
      <c r="P48" s="15">
        <f t="shared" si="15"/>
        <v>7029.8645798768703</v>
      </c>
      <c r="Q48" s="15">
        <f t="shared" si="15"/>
        <v>5636.5138049229481</v>
      </c>
      <c r="R48" s="15">
        <f t="shared" si="15"/>
        <v>4385.6325050682553</v>
      </c>
      <c r="S48" s="15">
        <f t="shared" si="15"/>
        <v>2649.1874092819889</v>
      </c>
      <c r="T48" s="15">
        <f t="shared" si="15"/>
        <v>2466.8443041346436</v>
      </c>
      <c r="U48" s="16">
        <f t="shared" si="4"/>
        <v>114847.9335681783</v>
      </c>
    </row>
    <row r="49" spans="1:21" ht="15.75" thickBot="1">
      <c r="A49" s="24">
        <v>2030</v>
      </c>
      <c r="B49" s="20"/>
      <c r="C49" s="21">
        <f t="shared" ref="C49:T49" si="16">C33+C17</f>
        <v>6921.5507405328026</v>
      </c>
      <c r="D49" s="21">
        <f t="shared" si="16"/>
        <v>7162.7695590806688</v>
      </c>
      <c r="E49" s="21">
        <f t="shared" si="16"/>
        <v>7365.9860642679432</v>
      </c>
      <c r="F49" s="21">
        <f t="shared" si="16"/>
        <v>7556.8928297171151</v>
      </c>
      <c r="G49" s="21">
        <f t="shared" si="16"/>
        <v>7797.3444276393475</v>
      </c>
      <c r="H49" s="21">
        <f t="shared" si="16"/>
        <v>6887.4411476513133</v>
      </c>
      <c r="I49" s="21">
        <f t="shared" si="16"/>
        <v>6886.3810914760325</v>
      </c>
      <c r="J49" s="21">
        <f t="shared" si="16"/>
        <v>7240.3617052673389</v>
      </c>
      <c r="K49" s="21">
        <f t="shared" si="16"/>
        <v>7070.4568082742535</v>
      </c>
      <c r="L49" s="21">
        <f t="shared" si="16"/>
        <v>6864.6880061852808</v>
      </c>
      <c r="M49" s="21">
        <f t="shared" si="16"/>
        <v>6787.0769375972286</v>
      </c>
      <c r="N49" s="21">
        <f t="shared" si="16"/>
        <v>6669.1522210244584</v>
      </c>
      <c r="O49" s="21">
        <f t="shared" si="16"/>
        <v>7067.405297567173</v>
      </c>
      <c r="P49" s="21">
        <f t="shared" si="16"/>
        <v>7204.8151281534329</v>
      </c>
      <c r="Q49" s="21">
        <f t="shared" si="16"/>
        <v>6188.6634291307482</v>
      </c>
      <c r="R49" s="21">
        <f t="shared" si="16"/>
        <v>4758.7319087909209</v>
      </c>
      <c r="S49" s="21">
        <f t="shared" si="16"/>
        <v>3431.7331521429282</v>
      </c>
      <c r="T49" s="21">
        <f t="shared" si="16"/>
        <v>2760.4872387960704</v>
      </c>
      <c r="U49" s="22">
        <f t="shared" si="4"/>
        <v>116621.93769329505</v>
      </c>
    </row>
  </sheetData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view="pageBreakPreview" zoomScale="60" zoomScaleNormal="85" workbookViewId="0"/>
  </sheetViews>
  <sheetFormatPr defaultRowHeight="15"/>
  <cols>
    <col min="1" max="1" width="8.7109375" style="1" bestFit="1" customWidth="1"/>
    <col min="2" max="2" width="2.140625" style="1" customWidth="1"/>
    <col min="3" max="20" width="7" style="1" customWidth="1"/>
    <col min="21" max="21" width="8" style="1" bestFit="1" customWidth="1"/>
    <col min="22" max="16384" width="9.140625" style="1"/>
  </cols>
  <sheetData>
    <row r="1" spans="1:21">
      <c r="A1" s="25">
        <v>3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1795</v>
      </c>
      <c r="D4" s="15">
        <v>2146</v>
      </c>
      <c r="E4" s="15">
        <v>2412</v>
      </c>
      <c r="F4" s="15">
        <v>2487</v>
      </c>
      <c r="G4" s="15">
        <v>1859</v>
      </c>
      <c r="H4" s="15">
        <v>1801</v>
      </c>
      <c r="I4" s="15">
        <v>2120</v>
      </c>
      <c r="J4" s="15">
        <v>2683</v>
      </c>
      <c r="K4" s="15">
        <v>2867</v>
      </c>
      <c r="L4" s="15">
        <v>3060</v>
      </c>
      <c r="M4" s="15">
        <v>2708</v>
      </c>
      <c r="N4" s="15">
        <v>2220</v>
      </c>
      <c r="O4" s="15">
        <v>1984</v>
      </c>
      <c r="P4" s="15">
        <v>1751</v>
      </c>
      <c r="Q4" s="15">
        <v>1876</v>
      </c>
      <c r="R4" s="15">
        <v>1428</v>
      </c>
      <c r="S4" s="15">
        <v>1114</v>
      </c>
      <c r="T4" s="15">
        <v>1084</v>
      </c>
      <c r="U4" s="16">
        <f>SUM(C4:T4)</f>
        <v>37395</v>
      </c>
    </row>
    <row r="5" spans="1:21">
      <c r="A5" s="12">
        <v>2002</v>
      </c>
      <c r="B5" s="4"/>
      <c r="C5" s="15">
        <v>1751</v>
      </c>
      <c r="D5" s="15">
        <v>2071</v>
      </c>
      <c r="E5" s="15">
        <v>2419</v>
      </c>
      <c r="F5" s="15">
        <v>2472</v>
      </c>
      <c r="G5" s="15">
        <v>1928</v>
      </c>
      <c r="H5" s="15">
        <v>1694</v>
      </c>
      <c r="I5" s="15">
        <v>2102</v>
      </c>
      <c r="J5" s="15">
        <v>2553</v>
      </c>
      <c r="K5" s="15">
        <v>2826</v>
      </c>
      <c r="L5" s="15">
        <v>3091</v>
      </c>
      <c r="M5" s="15">
        <v>2750</v>
      </c>
      <c r="N5" s="15">
        <v>2334</v>
      </c>
      <c r="O5" s="15">
        <v>2033</v>
      </c>
      <c r="P5" s="15">
        <v>1744</v>
      </c>
      <c r="Q5" s="15">
        <v>1865</v>
      </c>
      <c r="R5" s="15">
        <v>1465</v>
      </c>
      <c r="S5" s="15">
        <v>1114</v>
      </c>
      <c r="T5" s="15">
        <v>1105</v>
      </c>
      <c r="U5" s="16">
        <f t="shared" ref="U5:U17" si="0">SUM(C5:T5)</f>
        <v>37317</v>
      </c>
    </row>
    <row r="6" spans="1:21">
      <c r="A6" s="12">
        <v>2003</v>
      </c>
      <c r="B6" s="4"/>
      <c r="C6" s="15">
        <v>1754</v>
      </c>
      <c r="D6" s="15">
        <v>2024</v>
      </c>
      <c r="E6" s="15">
        <v>2350</v>
      </c>
      <c r="F6" s="15">
        <v>2490</v>
      </c>
      <c r="G6" s="15">
        <v>1952</v>
      </c>
      <c r="H6" s="15">
        <v>1686</v>
      </c>
      <c r="I6" s="15">
        <v>2024</v>
      </c>
      <c r="J6" s="15">
        <v>2473</v>
      </c>
      <c r="K6" s="15">
        <v>2806</v>
      </c>
      <c r="L6" s="15">
        <v>3038</v>
      </c>
      <c r="M6" s="15">
        <v>2858</v>
      </c>
      <c r="N6" s="15">
        <v>2418</v>
      </c>
      <c r="O6" s="15">
        <v>2072</v>
      </c>
      <c r="P6" s="15">
        <v>1807</v>
      </c>
      <c r="Q6" s="15">
        <v>1732</v>
      </c>
      <c r="R6" s="15">
        <v>1490</v>
      </c>
      <c r="S6" s="15">
        <v>1098</v>
      </c>
      <c r="T6" s="15">
        <v>1117</v>
      </c>
      <c r="U6" s="16">
        <f t="shared" si="0"/>
        <v>37189</v>
      </c>
    </row>
    <row r="7" spans="1:21">
      <c r="A7" s="12">
        <v>2004</v>
      </c>
      <c r="B7" s="4"/>
      <c r="C7" s="15">
        <v>1733</v>
      </c>
      <c r="D7" s="15">
        <v>2012</v>
      </c>
      <c r="E7" s="15">
        <v>2355</v>
      </c>
      <c r="F7" s="15">
        <v>2456</v>
      </c>
      <c r="G7" s="15">
        <v>1931</v>
      </c>
      <c r="H7" s="15">
        <v>1676</v>
      </c>
      <c r="I7" s="15">
        <v>2030</v>
      </c>
      <c r="J7" s="15">
        <v>2328</v>
      </c>
      <c r="K7" s="15">
        <v>2856</v>
      </c>
      <c r="L7" s="15">
        <v>2944</v>
      </c>
      <c r="M7" s="15">
        <v>2973</v>
      </c>
      <c r="N7" s="15">
        <v>2542</v>
      </c>
      <c r="O7" s="15">
        <v>2037</v>
      </c>
      <c r="P7" s="15">
        <v>1892</v>
      </c>
      <c r="Q7" s="15">
        <v>1640</v>
      </c>
      <c r="R7" s="15">
        <v>1574</v>
      </c>
      <c r="S7" s="15">
        <v>1096</v>
      </c>
      <c r="T7" s="15">
        <v>1074</v>
      </c>
      <c r="U7" s="16">
        <f t="shared" si="0"/>
        <v>37149</v>
      </c>
    </row>
    <row r="8" spans="1:21">
      <c r="A8" s="12">
        <v>2005</v>
      </c>
      <c r="B8" s="4"/>
      <c r="C8" s="15">
        <v>1773</v>
      </c>
      <c r="D8" s="15">
        <v>1994</v>
      </c>
      <c r="E8" s="15">
        <v>2345</v>
      </c>
      <c r="F8" s="15">
        <v>2429</v>
      </c>
      <c r="G8" s="15">
        <v>1957</v>
      </c>
      <c r="H8" s="15">
        <v>1690</v>
      </c>
      <c r="I8" s="15">
        <v>1948</v>
      </c>
      <c r="J8" s="15">
        <v>2233</v>
      </c>
      <c r="K8" s="15">
        <v>2839</v>
      </c>
      <c r="L8" s="15">
        <v>2897</v>
      </c>
      <c r="M8" s="15">
        <v>2997</v>
      </c>
      <c r="N8" s="15">
        <v>2616</v>
      </c>
      <c r="O8" s="15">
        <v>2129</v>
      </c>
      <c r="P8" s="15">
        <v>1910</v>
      </c>
      <c r="Q8" s="15">
        <v>1589</v>
      </c>
      <c r="R8" s="15">
        <v>1642</v>
      </c>
      <c r="S8" s="15">
        <v>1063</v>
      </c>
      <c r="T8" s="15">
        <v>1078</v>
      </c>
      <c r="U8" s="16">
        <f t="shared" si="0"/>
        <v>37129</v>
      </c>
    </row>
    <row r="9" spans="1:21">
      <c r="A9" s="12">
        <v>2006</v>
      </c>
      <c r="B9" s="4"/>
      <c r="C9" s="15">
        <v>1702</v>
      </c>
      <c r="D9" s="15">
        <v>1956</v>
      </c>
      <c r="E9" s="15">
        <v>2271</v>
      </c>
      <c r="F9" s="15">
        <v>2423</v>
      </c>
      <c r="G9" s="15">
        <v>1924</v>
      </c>
      <c r="H9" s="15">
        <v>1651</v>
      </c>
      <c r="I9" s="15">
        <v>1893</v>
      </c>
      <c r="J9" s="15">
        <v>2211</v>
      </c>
      <c r="K9" s="15">
        <v>2761</v>
      </c>
      <c r="L9" s="15">
        <v>2871</v>
      </c>
      <c r="M9" s="15">
        <v>3026</v>
      </c>
      <c r="N9" s="15">
        <v>2738</v>
      </c>
      <c r="O9" s="15">
        <v>2216</v>
      </c>
      <c r="P9" s="15">
        <v>1904</v>
      </c>
      <c r="Q9" s="15">
        <v>1594</v>
      </c>
      <c r="R9" s="15">
        <v>1712</v>
      </c>
      <c r="S9" s="15">
        <v>1080</v>
      </c>
      <c r="T9" s="15">
        <v>1089</v>
      </c>
      <c r="U9" s="16">
        <f t="shared" si="0"/>
        <v>37022</v>
      </c>
    </row>
    <row r="10" spans="1:21">
      <c r="A10" s="12">
        <v>2007</v>
      </c>
      <c r="B10" s="4"/>
      <c r="C10" s="15">
        <v>1674</v>
      </c>
      <c r="D10" s="15">
        <v>1912</v>
      </c>
      <c r="E10" s="15">
        <v>2236</v>
      </c>
      <c r="F10" s="15">
        <v>2426</v>
      </c>
      <c r="G10" s="15">
        <v>1869</v>
      </c>
      <c r="H10" s="15">
        <v>1690</v>
      </c>
      <c r="I10" s="15">
        <v>1805</v>
      </c>
      <c r="J10" s="15">
        <v>2173</v>
      </c>
      <c r="K10" s="15">
        <v>2680</v>
      </c>
      <c r="L10" s="15">
        <v>2872</v>
      </c>
      <c r="M10" s="15">
        <v>3043</v>
      </c>
      <c r="N10" s="15">
        <v>2780</v>
      </c>
      <c r="O10" s="15">
        <v>2352</v>
      </c>
      <c r="P10" s="15">
        <v>1954</v>
      </c>
      <c r="Q10" s="15">
        <v>1563</v>
      </c>
      <c r="R10" s="15">
        <v>1700</v>
      </c>
      <c r="S10" s="15">
        <v>1106</v>
      </c>
      <c r="T10" s="15">
        <v>1115</v>
      </c>
      <c r="U10" s="16">
        <f t="shared" si="0"/>
        <v>36950</v>
      </c>
    </row>
    <row r="11" spans="1:21">
      <c r="A11" s="12">
        <v>2008</v>
      </c>
      <c r="B11" s="4"/>
      <c r="C11" s="15">
        <v>1662</v>
      </c>
      <c r="D11" s="15">
        <v>1868</v>
      </c>
      <c r="E11" s="15">
        <v>2183</v>
      </c>
      <c r="F11" s="15">
        <v>2396</v>
      </c>
      <c r="G11" s="15">
        <v>1858</v>
      </c>
      <c r="H11" s="15">
        <v>1666</v>
      </c>
      <c r="I11" s="15">
        <v>1777</v>
      </c>
      <c r="J11" s="15">
        <v>2138</v>
      </c>
      <c r="K11" s="15">
        <v>2582</v>
      </c>
      <c r="L11" s="15">
        <v>2851</v>
      </c>
      <c r="M11" s="15">
        <v>2998</v>
      </c>
      <c r="N11" s="15">
        <v>2880</v>
      </c>
      <c r="O11" s="15">
        <v>2408</v>
      </c>
      <c r="P11" s="15">
        <v>2014</v>
      </c>
      <c r="Q11" s="15">
        <v>1639</v>
      </c>
      <c r="R11" s="15">
        <v>1572</v>
      </c>
      <c r="S11" s="15">
        <v>1161</v>
      </c>
      <c r="T11" s="15">
        <v>1164</v>
      </c>
      <c r="U11" s="16">
        <f t="shared" si="0"/>
        <v>36817</v>
      </c>
    </row>
    <row r="12" spans="1:21">
      <c r="A12" s="12">
        <v>2009</v>
      </c>
      <c r="B12" s="4"/>
      <c r="C12" s="15">
        <v>1716</v>
      </c>
      <c r="D12" s="15">
        <v>1864</v>
      </c>
      <c r="E12" s="15">
        <v>2131</v>
      </c>
      <c r="F12" s="15">
        <v>2373</v>
      </c>
      <c r="G12" s="15">
        <v>1850</v>
      </c>
      <c r="H12" s="15">
        <v>1673</v>
      </c>
      <c r="I12" s="15">
        <v>1772</v>
      </c>
      <c r="J12" s="15">
        <v>2085</v>
      </c>
      <c r="K12" s="15">
        <v>2394</v>
      </c>
      <c r="L12" s="15">
        <v>2880</v>
      </c>
      <c r="M12" s="15">
        <v>2896</v>
      </c>
      <c r="N12" s="15">
        <v>2956</v>
      </c>
      <c r="O12" s="15">
        <v>2524</v>
      </c>
      <c r="P12" s="15">
        <v>2000</v>
      </c>
      <c r="Q12" s="15">
        <v>1690</v>
      </c>
      <c r="R12" s="15">
        <v>1504</v>
      </c>
      <c r="S12" s="15">
        <v>1215</v>
      </c>
      <c r="T12" s="15">
        <v>1177</v>
      </c>
      <c r="U12" s="16">
        <f t="shared" si="0"/>
        <v>36700</v>
      </c>
    </row>
    <row r="13" spans="1:21">
      <c r="A13" s="12">
        <v>2010</v>
      </c>
      <c r="B13" s="4"/>
      <c r="C13" s="15">
        <v>1676</v>
      </c>
      <c r="D13" s="15">
        <v>1820</v>
      </c>
      <c r="E13" s="15">
        <v>2081</v>
      </c>
      <c r="F13" s="15">
        <v>2298</v>
      </c>
      <c r="G13" s="15">
        <v>1825</v>
      </c>
      <c r="H13" s="15">
        <v>1687</v>
      </c>
      <c r="I13" s="15">
        <v>1765</v>
      </c>
      <c r="J13" s="15">
        <v>2012</v>
      </c>
      <c r="K13" s="15">
        <v>2312</v>
      </c>
      <c r="L13" s="15">
        <v>2797</v>
      </c>
      <c r="M13" s="15">
        <v>2907</v>
      </c>
      <c r="N13" s="15">
        <v>2986</v>
      </c>
      <c r="O13" s="15">
        <v>2563</v>
      </c>
      <c r="P13" s="15">
        <v>2070</v>
      </c>
      <c r="Q13" s="15">
        <v>1701</v>
      </c>
      <c r="R13" s="15">
        <v>1448</v>
      </c>
      <c r="S13" s="15">
        <v>1243</v>
      </c>
      <c r="T13" s="15">
        <v>1209</v>
      </c>
      <c r="U13" s="16">
        <f t="shared" si="0"/>
        <v>36400</v>
      </c>
    </row>
    <row r="14" spans="1:21">
      <c r="A14" s="23">
        <v>2015</v>
      </c>
      <c r="B14" s="4"/>
      <c r="C14" s="15">
        <v>1691.3932472913082</v>
      </c>
      <c r="D14" s="15">
        <v>1625.2150538452136</v>
      </c>
      <c r="E14" s="15">
        <v>1794.3173338231818</v>
      </c>
      <c r="F14" s="15">
        <v>2049.5108395293669</v>
      </c>
      <c r="G14" s="15">
        <v>2226.0787875397587</v>
      </c>
      <c r="H14" s="15">
        <v>1808.4018648319486</v>
      </c>
      <c r="I14" s="15">
        <v>1650.8297159545641</v>
      </c>
      <c r="J14" s="15">
        <v>1700.3883015124279</v>
      </c>
      <c r="K14" s="15">
        <v>1994.683675526855</v>
      </c>
      <c r="L14" s="15">
        <v>2254.1547549413044</v>
      </c>
      <c r="M14" s="15">
        <v>2803.3516729199873</v>
      </c>
      <c r="N14" s="15">
        <v>2867.2611143295785</v>
      </c>
      <c r="O14" s="15">
        <v>2893.4555119625529</v>
      </c>
      <c r="P14" s="15">
        <v>2446.9835504350244</v>
      </c>
      <c r="Q14" s="15">
        <v>1927.8562604612964</v>
      </c>
      <c r="R14" s="15">
        <v>1512.8310678031505</v>
      </c>
      <c r="S14" s="15">
        <v>1174.3307662140028</v>
      </c>
      <c r="T14" s="15">
        <v>1330.0203021540372</v>
      </c>
      <c r="U14" s="16">
        <f t="shared" si="0"/>
        <v>35751.063821075557</v>
      </c>
    </row>
    <row r="15" spans="1:21">
      <c r="A15" s="23">
        <v>2020</v>
      </c>
      <c r="B15" s="4"/>
      <c r="C15" s="15">
        <v>1759.2340212133154</v>
      </c>
      <c r="D15" s="15">
        <v>1641.3176843681101</v>
      </c>
      <c r="E15" s="15">
        <v>1610.0470282844335</v>
      </c>
      <c r="F15" s="15">
        <v>1777.0831645230835</v>
      </c>
      <c r="G15" s="15">
        <v>2031.7219592189638</v>
      </c>
      <c r="H15" s="15">
        <v>2165.7060739897888</v>
      </c>
      <c r="I15" s="15">
        <v>1764.3123234554039</v>
      </c>
      <c r="J15" s="15">
        <v>1593.4014614233258</v>
      </c>
      <c r="K15" s="15">
        <v>1698.1715260454689</v>
      </c>
      <c r="L15" s="15">
        <v>1956.3623607176351</v>
      </c>
      <c r="M15" s="15">
        <v>2271.1791895602382</v>
      </c>
      <c r="N15" s="15">
        <v>2762.4754308467514</v>
      </c>
      <c r="O15" s="15">
        <v>2781.1769092151098</v>
      </c>
      <c r="P15" s="15">
        <v>2761.2636009387834</v>
      </c>
      <c r="Q15" s="15">
        <v>2276.5377135416284</v>
      </c>
      <c r="R15" s="15">
        <v>1718.1832297126346</v>
      </c>
      <c r="S15" s="15">
        <v>1229.1875648552818</v>
      </c>
      <c r="T15" s="15">
        <v>1347.3009177131169</v>
      </c>
      <c r="U15" s="16">
        <f t="shared" si="0"/>
        <v>35144.662159623069</v>
      </c>
    </row>
    <row r="16" spans="1:21">
      <c r="A16" s="23">
        <v>2025</v>
      </c>
      <c r="B16" s="4"/>
      <c r="C16" s="15">
        <v>1757.7845488353528</v>
      </c>
      <c r="D16" s="15">
        <v>1706.5776659896064</v>
      </c>
      <c r="E16" s="15">
        <v>1627.3749365468511</v>
      </c>
      <c r="F16" s="15">
        <v>1603.3052363169531</v>
      </c>
      <c r="G16" s="15">
        <v>1812.1112308314086</v>
      </c>
      <c r="H16" s="15">
        <v>2001.3193975285537</v>
      </c>
      <c r="I16" s="15">
        <v>2087.5926026538677</v>
      </c>
      <c r="J16" s="15">
        <v>1701.7434829414544</v>
      </c>
      <c r="K16" s="15">
        <v>1597.6544903180722</v>
      </c>
      <c r="L16" s="15">
        <v>1682.2440669033076</v>
      </c>
      <c r="M16" s="15">
        <v>1982.2073015451601</v>
      </c>
      <c r="N16" s="15">
        <v>2248.4572849430911</v>
      </c>
      <c r="O16" s="15">
        <v>2677.6957878872167</v>
      </c>
      <c r="P16" s="15">
        <v>2658.155253327458</v>
      </c>
      <c r="Q16" s="15">
        <v>2568.1626330721961</v>
      </c>
      <c r="R16" s="15">
        <v>2027.5452662714922</v>
      </c>
      <c r="S16" s="15">
        <v>1398.6494738122908</v>
      </c>
      <c r="T16" s="15">
        <v>1391.2512720198338</v>
      </c>
      <c r="U16" s="16">
        <f t="shared" si="0"/>
        <v>34529.831931744171</v>
      </c>
    </row>
    <row r="17" spans="1:21">
      <c r="A17" s="23">
        <v>2030</v>
      </c>
      <c r="B17" s="4"/>
      <c r="C17" s="15">
        <v>1683.7084813686804</v>
      </c>
      <c r="D17" s="15">
        <v>1706.616733378889</v>
      </c>
      <c r="E17" s="15">
        <v>1691.5045099714164</v>
      </c>
      <c r="F17" s="15">
        <v>1622.1920881025897</v>
      </c>
      <c r="G17" s="15">
        <v>1679.0343614502508</v>
      </c>
      <c r="H17" s="15">
        <v>1811.4184101443188</v>
      </c>
      <c r="I17" s="15">
        <v>1945.002879763621</v>
      </c>
      <c r="J17" s="15">
        <v>2007.7977094188229</v>
      </c>
      <c r="K17" s="15">
        <v>1703.8863537930695</v>
      </c>
      <c r="L17" s="15">
        <v>1591.1732725161723</v>
      </c>
      <c r="M17" s="15">
        <v>1720.2187350973181</v>
      </c>
      <c r="N17" s="15">
        <v>1971.9787488960044</v>
      </c>
      <c r="O17" s="15">
        <v>2187.8323030944557</v>
      </c>
      <c r="P17" s="15">
        <v>2557.0002053882331</v>
      </c>
      <c r="Q17" s="15">
        <v>2475.4833184396975</v>
      </c>
      <c r="R17" s="15">
        <v>2286.923113912464</v>
      </c>
      <c r="S17" s="15">
        <v>1649.6349769085441</v>
      </c>
      <c r="T17" s="15">
        <v>1518.8535668535646</v>
      </c>
      <c r="U17" s="16">
        <f t="shared" si="0"/>
        <v>33810.259768498116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1814</v>
      </c>
      <c r="D20" s="15">
        <v>2095</v>
      </c>
      <c r="E20" s="15">
        <v>2561</v>
      </c>
      <c r="F20" s="15">
        <v>2884</v>
      </c>
      <c r="G20" s="15">
        <v>1931</v>
      </c>
      <c r="H20" s="15">
        <v>1575</v>
      </c>
      <c r="I20" s="15">
        <v>2062</v>
      </c>
      <c r="J20" s="15">
        <v>2632</v>
      </c>
      <c r="K20" s="15">
        <v>2899</v>
      </c>
      <c r="L20" s="15">
        <v>2923</v>
      </c>
      <c r="M20" s="15">
        <v>2843</v>
      </c>
      <c r="N20" s="15">
        <v>2229</v>
      </c>
      <c r="O20" s="15">
        <v>1765</v>
      </c>
      <c r="P20" s="15">
        <v>1662</v>
      </c>
      <c r="Q20" s="15">
        <v>1537</v>
      </c>
      <c r="R20" s="15">
        <v>1031</v>
      </c>
      <c r="S20" s="15">
        <v>655</v>
      </c>
      <c r="T20" s="15">
        <v>469</v>
      </c>
      <c r="U20" s="16">
        <f>SUM(C20:T20)</f>
        <v>35567</v>
      </c>
    </row>
    <row r="21" spans="1:21">
      <c r="A21" s="12">
        <v>2002</v>
      </c>
      <c r="B21" s="4"/>
      <c r="C21" s="15">
        <v>1849</v>
      </c>
      <c r="D21" s="15">
        <v>2051</v>
      </c>
      <c r="E21" s="15">
        <v>2481</v>
      </c>
      <c r="F21" s="15">
        <v>2919</v>
      </c>
      <c r="G21" s="15">
        <v>1991</v>
      </c>
      <c r="H21" s="15">
        <v>1530</v>
      </c>
      <c r="I21" s="15">
        <v>1997</v>
      </c>
      <c r="J21" s="15">
        <v>2539</v>
      </c>
      <c r="K21" s="15">
        <v>2870</v>
      </c>
      <c r="L21" s="15">
        <v>2926</v>
      </c>
      <c r="M21" s="15">
        <v>2816</v>
      </c>
      <c r="N21" s="15">
        <v>2402</v>
      </c>
      <c r="O21" s="15">
        <v>1853</v>
      </c>
      <c r="P21" s="15">
        <v>1634</v>
      </c>
      <c r="Q21" s="15">
        <v>1582</v>
      </c>
      <c r="R21" s="15">
        <v>1059</v>
      </c>
      <c r="S21" s="15">
        <v>649</v>
      </c>
      <c r="T21" s="15">
        <v>477</v>
      </c>
      <c r="U21" s="16">
        <f t="shared" ref="U21:U33" si="1">SUM(C21:T21)</f>
        <v>35625</v>
      </c>
    </row>
    <row r="22" spans="1:21">
      <c r="A22" s="12">
        <v>2003</v>
      </c>
      <c r="B22" s="4"/>
      <c r="C22" s="15">
        <v>1839</v>
      </c>
      <c r="D22" s="15">
        <v>2002</v>
      </c>
      <c r="E22" s="15">
        <v>2464</v>
      </c>
      <c r="F22" s="15">
        <v>2926</v>
      </c>
      <c r="G22" s="15">
        <v>2090</v>
      </c>
      <c r="H22" s="15">
        <v>1557</v>
      </c>
      <c r="I22" s="15">
        <v>1949</v>
      </c>
      <c r="J22" s="15">
        <v>2439</v>
      </c>
      <c r="K22" s="15">
        <v>2836</v>
      </c>
      <c r="L22" s="15">
        <v>2980</v>
      </c>
      <c r="M22" s="15">
        <v>2852</v>
      </c>
      <c r="N22" s="15">
        <v>2522</v>
      </c>
      <c r="O22" s="15">
        <v>1845</v>
      </c>
      <c r="P22" s="15">
        <v>1697</v>
      </c>
      <c r="Q22" s="15">
        <v>1513</v>
      </c>
      <c r="R22" s="15">
        <v>1099</v>
      </c>
      <c r="S22" s="15">
        <v>679</v>
      </c>
      <c r="T22" s="15">
        <v>466</v>
      </c>
      <c r="U22" s="16">
        <f t="shared" si="1"/>
        <v>35755</v>
      </c>
    </row>
    <row r="23" spans="1:21">
      <c r="A23" s="12">
        <v>2004</v>
      </c>
      <c r="B23" s="4"/>
      <c r="C23" s="15">
        <v>1867</v>
      </c>
      <c r="D23" s="15">
        <v>1967</v>
      </c>
      <c r="E23" s="15">
        <v>2453</v>
      </c>
      <c r="F23" s="15">
        <v>2854</v>
      </c>
      <c r="G23" s="15">
        <v>2120</v>
      </c>
      <c r="H23" s="15">
        <v>1550</v>
      </c>
      <c r="I23" s="15">
        <v>1897</v>
      </c>
      <c r="J23" s="15">
        <v>2346</v>
      </c>
      <c r="K23" s="15">
        <v>2791</v>
      </c>
      <c r="L23" s="15">
        <v>3016</v>
      </c>
      <c r="M23" s="15">
        <v>2932</v>
      </c>
      <c r="N23" s="15">
        <v>2591</v>
      </c>
      <c r="O23" s="15">
        <v>1960</v>
      </c>
      <c r="P23" s="15">
        <v>1737</v>
      </c>
      <c r="Q23" s="15">
        <v>1451</v>
      </c>
      <c r="R23" s="15">
        <v>1136</v>
      </c>
      <c r="S23" s="15">
        <v>685</v>
      </c>
      <c r="T23" s="15">
        <v>457</v>
      </c>
      <c r="U23" s="16">
        <f t="shared" si="1"/>
        <v>35810</v>
      </c>
    </row>
    <row r="24" spans="1:21">
      <c r="A24" s="12">
        <v>2005</v>
      </c>
      <c r="B24" s="4"/>
      <c r="C24" s="15">
        <v>1867</v>
      </c>
      <c r="D24" s="15">
        <v>1999</v>
      </c>
      <c r="E24" s="15">
        <v>2367</v>
      </c>
      <c r="F24" s="15">
        <v>2745</v>
      </c>
      <c r="G24" s="15">
        <v>2127</v>
      </c>
      <c r="H24" s="15">
        <v>1615</v>
      </c>
      <c r="I24" s="15">
        <v>1818</v>
      </c>
      <c r="J24" s="15">
        <v>2292</v>
      </c>
      <c r="K24" s="15">
        <v>2755</v>
      </c>
      <c r="L24" s="15">
        <v>2965</v>
      </c>
      <c r="M24" s="15">
        <v>2900</v>
      </c>
      <c r="N24" s="15">
        <v>2741</v>
      </c>
      <c r="O24" s="15">
        <v>2053</v>
      </c>
      <c r="P24" s="15">
        <v>1696</v>
      </c>
      <c r="Q24" s="15">
        <v>1486</v>
      </c>
      <c r="R24" s="15">
        <v>1163</v>
      </c>
      <c r="S24" s="15">
        <v>694</v>
      </c>
      <c r="T24" s="15">
        <v>469</v>
      </c>
      <c r="U24" s="16">
        <f t="shared" si="1"/>
        <v>35752</v>
      </c>
    </row>
    <row r="25" spans="1:21">
      <c r="A25" s="12">
        <v>2006</v>
      </c>
      <c r="B25" s="4"/>
      <c r="C25" s="15">
        <v>1920</v>
      </c>
      <c r="D25" s="15">
        <v>1966</v>
      </c>
      <c r="E25" s="15">
        <v>2292</v>
      </c>
      <c r="F25" s="15">
        <v>2685</v>
      </c>
      <c r="G25" s="15">
        <v>2129</v>
      </c>
      <c r="H25" s="15">
        <v>1608</v>
      </c>
      <c r="I25" s="15">
        <v>1739</v>
      </c>
      <c r="J25" s="15">
        <v>2225</v>
      </c>
      <c r="K25" s="15">
        <v>2732</v>
      </c>
      <c r="L25" s="15">
        <v>2966</v>
      </c>
      <c r="M25" s="15">
        <v>2947</v>
      </c>
      <c r="N25" s="15">
        <v>2803</v>
      </c>
      <c r="O25" s="15">
        <v>2193</v>
      </c>
      <c r="P25" s="15">
        <v>1722</v>
      </c>
      <c r="Q25" s="15">
        <v>1484</v>
      </c>
      <c r="R25" s="15">
        <v>1227</v>
      </c>
      <c r="S25" s="15">
        <v>691</v>
      </c>
      <c r="T25" s="15">
        <v>476</v>
      </c>
      <c r="U25" s="16">
        <f t="shared" si="1"/>
        <v>35805</v>
      </c>
    </row>
    <row r="26" spans="1:21">
      <c r="A26" s="12">
        <v>2007</v>
      </c>
      <c r="B26" s="4"/>
      <c r="C26" s="15">
        <v>1901</v>
      </c>
      <c r="D26" s="15">
        <v>1989</v>
      </c>
      <c r="E26" s="15">
        <v>2244</v>
      </c>
      <c r="F26" s="15">
        <v>2638</v>
      </c>
      <c r="G26" s="15">
        <v>2073</v>
      </c>
      <c r="H26" s="15">
        <v>1635</v>
      </c>
      <c r="I26" s="15">
        <v>1715</v>
      </c>
      <c r="J26" s="15">
        <v>2121</v>
      </c>
      <c r="K26" s="15">
        <v>2658</v>
      </c>
      <c r="L26" s="15">
        <v>2993</v>
      </c>
      <c r="M26" s="15">
        <v>2976</v>
      </c>
      <c r="N26" s="15">
        <v>2787</v>
      </c>
      <c r="O26" s="15">
        <v>2366</v>
      </c>
      <c r="P26" s="15">
        <v>1753</v>
      </c>
      <c r="Q26" s="15">
        <v>1458</v>
      </c>
      <c r="R26" s="15">
        <v>1282</v>
      </c>
      <c r="S26" s="15">
        <v>722</v>
      </c>
      <c r="T26" s="15">
        <v>450</v>
      </c>
      <c r="U26" s="16">
        <f t="shared" si="1"/>
        <v>35761</v>
      </c>
    </row>
    <row r="27" spans="1:21">
      <c r="A27" s="12">
        <v>2008</v>
      </c>
      <c r="B27" s="4"/>
      <c r="C27" s="15">
        <v>1903</v>
      </c>
      <c r="D27" s="15">
        <v>1973</v>
      </c>
      <c r="E27" s="15">
        <v>2178</v>
      </c>
      <c r="F27" s="15">
        <v>2594</v>
      </c>
      <c r="G27" s="15">
        <v>2054</v>
      </c>
      <c r="H27" s="15">
        <v>1632</v>
      </c>
      <c r="I27" s="15">
        <v>1718</v>
      </c>
      <c r="J27" s="15">
        <v>2085</v>
      </c>
      <c r="K27" s="15">
        <v>2546</v>
      </c>
      <c r="L27" s="15">
        <v>2933</v>
      </c>
      <c r="M27" s="15">
        <v>3003</v>
      </c>
      <c r="N27" s="15">
        <v>2822</v>
      </c>
      <c r="O27" s="15">
        <v>2482</v>
      </c>
      <c r="P27" s="15">
        <v>1786</v>
      </c>
      <c r="Q27" s="15">
        <v>1536</v>
      </c>
      <c r="R27" s="15">
        <v>1213</v>
      </c>
      <c r="S27" s="15">
        <v>786</v>
      </c>
      <c r="T27" s="15">
        <v>481</v>
      </c>
      <c r="U27" s="16">
        <f t="shared" si="1"/>
        <v>35725</v>
      </c>
    </row>
    <row r="28" spans="1:21">
      <c r="A28" s="12">
        <v>2009</v>
      </c>
      <c r="B28" s="4"/>
      <c r="C28" s="15">
        <v>1853</v>
      </c>
      <c r="D28" s="15">
        <v>1980</v>
      </c>
      <c r="E28" s="15">
        <v>2112</v>
      </c>
      <c r="F28" s="15">
        <v>2570</v>
      </c>
      <c r="G28" s="15">
        <v>2042</v>
      </c>
      <c r="H28" s="15">
        <v>1666</v>
      </c>
      <c r="I28" s="15">
        <v>1729</v>
      </c>
      <c r="J28" s="15">
        <v>1976</v>
      </c>
      <c r="K28" s="15">
        <v>2410</v>
      </c>
      <c r="L28" s="15">
        <v>2854</v>
      </c>
      <c r="M28" s="15">
        <v>3024</v>
      </c>
      <c r="N28" s="15">
        <v>2873</v>
      </c>
      <c r="O28" s="15">
        <v>2542</v>
      </c>
      <c r="P28" s="15">
        <v>1910</v>
      </c>
      <c r="Q28" s="15">
        <v>1540</v>
      </c>
      <c r="R28" s="15">
        <v>1157</v>
      </c>
      <c r="S28" s="15">
        <v>826</v>
      </c>
      <c r="T28" s="15">
        <v>494</v>
      </c>
      <c r="U28" s="16">
        <f t="shared" si="1"/>
        <v>35558</v>
      </c>
    </row>
    <row r="29" spans="1:21">
      <c r="A29" s="12">
        <v>2010</v>
      </c>
      <c r="B29" s="4"/>
      <c r="C29" s="15">
        <v>1797</v>
      </c>
      <c r="D29" s="15">
        <v>1936</v>
      </c>
      <c r="E29" s="15">
        <v>2103</v>
      </c>
      <c r="F29" s="15">
        <v>2470</v>
      </c>
      <c r="G29" s="15">
        <v>1989</v>
      </c>
      <c r="H29" s="15">
        <v>1699</v>
      </c>
      <c r="I29" s="15">
        <v>1760</v>
      </c>
      <c r="J29" s="15">
        <v>1864</v>
      </c>
      <c r="K29" s="15">
        <v>2364</v>
      </c>
      <c r="L29" s="15">
        <v>2796</v>
      </c>
      <c r="M29" s="15">
        <v>2996</v>
      </c>
      <c r="N29" s="15">
        <v>2854</v>
      </c>
      <c r="O29" s="15">
        <v>2664</v>
      </c>
      <c r="P29" s="15">
        <v>1979</v>
      </c>
      <c r="Q29" s="15">
        <v>1506</v>
      </c>
      <c r="R29" s="15">
        <v>1183</v>
      </c>
      <c r="S29" s="15">
        <v>847</v>
      </c>
      <c r="T29" s="15">
        <v>516</v>
      </c>
      <c r="U29" s="16">
        <f t="shared" si="1"/>
        <v>35323</v>
      </c>
    </row>
    <row r="30" spans="1:21">
      <c r="A30" s="23">
        <v>2015</v>
      </c>
      <c r="B30" s="4"/>
      <c r="C30" s="15">
        <v>1810.7501122939645</v>
      </c>
      <c r="D30" s="15">
        <v>1768.6870543655107</v>
      </c>
      <c r="E30" s="15">
        <v>1931.2999416148498</v>
      </c>
      <c r="F30" s="15">
        <v>2095.9036275102467</v>
      </c>
      <c r="G30" s="15">
        <v>2487.1923536539293</v>
      </c>
      <c r="H30" s="15">
        <v>2020.0878783744363</v>
      </c>
      <c r="I30" s="15">
        <v>1698.1048472063819</v>
      </c>
      <c r="J30" s="15">
        <v>1704.6676295988932</v>
      </c>
      <c r="K30" s="15">
        <v>1858.9223245414726</v>
      </c>
      <c r="L30" s="15">
        <v>2319.2171263592481</v>
      </c>
      <c r="M30" s="15">
        <v>2786.5927573059248</v>
      </c>
      <c r="N30" s="15">
        <v>2932.9127186580458</v>
      </c>
      <c r="O30" s="15">
        <v>2738.6712517394544</v>
      </c>
      <c r="P30" s="15">
        <v>2493.7049791378308</v>
      </c>
      <c r="Q30" s="15">
        <v>1783.3333089777348</v>
      </c>
      <c r="R30" s="15">
        <v>1242.1402482214187</v>
      </c>
      <c r="S30" s="15">
        <v>853.82142596965252</v>
      </c>
      <c r="T30" s="15">
        <v>605.86621189824666</v>
      </c>
      <c r="U30" s="16">
        <f t="shared" si="1"/>
        <v>35131.875797427238</v>
      </c>
    </row>
    <row r="31" spans="1:21">
      <c r="A31" s="23">
        <v>2020</v>
      </c>
      <c r="B31" s="4"/>
      <c r="C31" s="15">
        <v>1883.3782188529278</v>
      </c>
      <c r="D31" s="15">
        <v>1783.7030145184904</v>
      </c>
      <c r="E31" s="15">
        <v>1772.395967151597</v>
      </c>
      <c r="F31" s="15">
        <v>1932.8692255287185</v>
      </c>
      <c r="G31" s="15">
        <v>2177.9776121133</v>
      </c>
      <c r="H31" s="15">
        <v>2471.2550962069827</v>
      </c>
      <c r="I31" s="15">
        <v>1996.4759501752349</v>
      </c>
      <c r="J31" s="15">
        <v>1647.293148669301</v>
      </c>
      <c r="K31" s="15">
        <v>1710.9424254081855</v>
      </c>
      <c r="L31" s="15">
        <v>1844.6064788722667</v>
      </c>
      <c r="M31" s="15">
        <v>2323.9974458030169</v>
      </c>
      <c r="N31" s="15">
        <v>2728.5882522143852</v>
      </c>
      <c r="O31" s="15">
        <v>2813.6937262447746</v>
      </c>
      <c r="P31" s="15">
        <v>2570.7153175190342</v>
      </c>
      <c r="Q31" s="15">
        <v>2239.9492475145103</v>
      </c>
      <c r="R31" s="15">
        <v>1474.1820384123801</v>
      </c>
      <c r="S31" s="15">
        <v>899.46311954522196</v>
      </c>
      <c r="T31" s="15">
        <v>642.47297513093622</v>
      </c>
      <c r="U31" s="16">
        <f t="shared" si="1"/>
        <v>34913.95925988126</v>
      </c>
    </row>
    <row r="32" spans="1:21">
      <c r="A32" s="23">
        <v>2025</v>
      </c>
      <c r="B32" s="4"/>
      <c r="C32" s="15">
        <v>1881.8264612853925</v>
      </c>
      <c r="D32" s="15">
        <v>1854.5545060657785</v>
      </c>
      <c r="E32" s="15">
        <v>1789.1562130007044</v>
      </c>
      <c r="F32" s="15">
        <v>1782.7638174016811</v>
      </c>
      <c r="G32" s="15">
        <v>2049.3927028164067</v>
      </c>
      <c r="H32" s="15">
        <v>2199.6871558535604</v>
      </c>
      <c r="I32" s="15">
        <v>2407.4986251060982</v>
      </c>
      <c r="J32" s="15">
        <v>1931.6078459481835</v>
      </c>
      <c r="K32" s="15">
        <v>1658.8290138992425</v>
      </c>
      <c r="L32" s="15">
        <v>1712.2380036478019</v>
      </c>
      <c r="M32" s="15">
        <v>1868.2834896363879</v>
      </c>
      <c r="N32" s="15">
        <v>2286.564246549643</v>
      </c>
      <c r="O32" s="15">
        <v>2618.4276782050101</v>
      </c>
      <c r="P32" s="15">
        <v>2640.4982932058738</v>
      </c>
      <c r="Q32" s="15">
        <v>2314.7550539210729</v>
      </c>
      <c r="R32" s="15">
        <v>1847.3088869212597</v>
      </c>
      <c r="S32" s="15">
        <v>1070.065726469526</v>
      </c>
      <c r="T32" s="15">
        <v>681.8943311340638</v>
      </c>
      <c r="U32" s="16">
        <f t="shared" si="1"/>
        <v>34595.35205106769</v>
      </c>
    </row>
    <row r="33" spans="1:21">
      <c r="A33" s="23">
        <v>2030</v>
      </c>
      <c r="B33" s="4"/>
      <c r="C33" s="15">
        <v>1802.523054050924</v>
      </c>
      <c r="D33" s="15">
        <v>1854.7418693372001</v>
      </c>
      <c r="E33" s="15">
        <v>1859.5203908267704</v>
      </c>
      <c r="F33" s="15">
        <v>1801.614283439726</v>
      </c>
      <c r="G33" s="15">
        <v>1934.8848199005495</v>
      </c>
      <c r="H33" s="15">
        <v>2090.8471573204374</v>
      </c>
      <c r="I33" s="15">
        <v>2166.1161326687798</v>
      </c>
      <c r="J33" s="15">
        <v>2321.2987409777688</v>
      </c>
      <c r="K33" s="15">
        <v>1934.4901116331112</v>
      </c>
      <c r="L33" s="15">
        <v>1667.3558159622487</v>
      </c>
      <c r="M33" s="15">
        <v>1747.7960223673472</v>
      </c>
      <c r="N33" s="15">
        <v>1855.2966696536264</v>
      </c>
      <c r="O33" s="15">
        <v>2203.1102785844014</v>
      </c>
      <c r="P33" s="15">
        <v>2458.6477192538923</v>
      </c>
      <c r="Q33" s="15">
        <v>2377.4045174630423</v>
      </c>
      <c r="R33" s="15">
        <v>1912.8535244148425</v>
      </c>
      <c r="S33" s="15">
        <v>1338.0519793314891</v>
      </c>
      <c r="T33" s="15">
        <v>785.94955839083127</v>
      </c>
      <c r="U33" s="16">
        <f t="shared" si="1"/>
        <v>34112.502645576984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3609</v>
      </c>
      <c r="D36" s="15">
        <f t="shared" ref="D36:T36" si="2">D20+D4</f>
        <v>4241</v>
      </c>
      <c r="E36" s="15">
        <f t="shared" si="2"/>
        <v>4973</v>
      </c>
      <c r="F36" s="15">
        <f t="shared" si="2"/>
        <v>5371</v>
      </c>
      <c r="G36" s="15">
        <f t="shared" si="2"/>
        <v>3790</v>
      </c>
      <c r="H36" s="15">
        <f t="shared" si="2"/>
        <v>3376</v>
      </c>
      <c r="I36" s="15">
        <f t="shared" si="2"/>
        <v>4182</v>
      </c>
      <c r="J36" s="15">
        <f t="shared" si="2"/>
        <v>5315</v>
      </c>
      <c r="K36" s="15">
        <f t="shared" si="2"/>
        <v>5766</v>
      </c>
      <c r="L36" s="15">
        <f t="shared" si="2"/>
        <v>5983</v>
      </c>
      <c r="M36" s="15">
        <f t="shared" si="2"/>
        <v>5551</v>
      </c>
      <c r="N36" s="15">
        <f t="shared" si="2"/>
        <v>4449</v>
      </c>
      <c r="O36" s="15">
        <f t="shared" si="2"/>
        <v>3749</v>
      </c>
      <c r="P36" s="15">
        <f t="shared" si="2"/>
        <v>3413</v>
      </c>
      <c r="Q36" s="15">
        <f t="shared" si="2"/>
        <v>3413</v>
      </c>
      <c r="R36" s="15">
        <f t="shared" si="2"/>
        <v>2459</v>
      </c>
      <c r="S36" s="15">
        <f t="shared" si="2"/>
        <v>1769</v>
      </c>
      <c r="T36" s="15">
        <f t="shared" si="2"/>
        <v>1553</v>
      </c>
      <c r="U36" s="16">
        <f>SUM(C36:T36)</f>
        <v>72962</v>
      </c>
    </row>
    <row r="37" spans="1:21">
      <c r="A37" s="12">
        <v>2002</v>
      </c>
      <c r="B37" s="4"/>
      <c r="C37" s="15">
        <f t="shared" ref="C37:T49" si="3">C21+C5</f>
        <v>3600</v>
      </c>
      <c r="D37" s="15">
        <f t="shared" si="3"/>
        <v>4122</v>
      </c>
      <c r="E37" s="15">
        <f t="shared" si="3"/>
        <v>4900</v>
      </c>
      <c r="F37" s="15">
        <f t="shared" si="3"/>
        <v>5391</v>
      </c>
      <c r="G37" s="15">
        <f t="shared" si="3"/>
        <v>3919</v>
      </c>
      <c r="H37" s="15">
        <f t="shared" si="3"/>
        <v>3224</v>
      </c>
      <c r="I37" s="15">
        <f t="shared" si="3"/>
        <v>4099</v>
      </c>
      <c r="J37" s="15">
        <f t="shared" si="3"/>
        <v>5092</v>
      </c>
      <c r="K37" s="15">
        <f t="shared" si="3"/>
        <v>5696</v>
      </c>
      <c r="L37" s="15">
        <f t="shared" si="3"/>
        <v>6017</v>
      </c>
      <c r="M37" s="15">
        <f t="shared" si="3"/>
        <v>5566</v>
      </c>
      <c r="N37" s="15">
        <f t="shared" si="3"/>
        <v>4736</v>
      </c>
      <c r="O37" s="15">
        <f t="shared" si="3"/>
        <v>3886</v>
      </c>
      <c r="P37" s="15">
        <f t="shared" si="3"/>
        <v>3378</v>
      </c>
      <c r="Q37" s="15">
        <f t="shared" si="3"/>
        <v>3447</v>
      </c>
      <c r="R37" s="15">
        <f t="shared" si="3"/>
        <v>2524</v>
      </c>
      <c r="S37" s="15">
        <f t="shared" si="3"/>
        <v>1763</v>
      </c>
      <c r="T37" s="15">
        <f t="shared" si="3"/>
        <v>1582</v>
      </c>
      <c r="U37" s="16">
        <f t="shared" ref="U37:U49" si="4">SUM(C37:T37)</f>
        <v>72942</v>
      </c>
    </row>
    <row r="38" spans="1:21">
      <c r="A38" s="12">
        <v>2003</v>
      </c>
      <c r="B38" s="4"/>
      <c r="C38" s="15">
        <f t="shared" si="3"/>
        <v>3593</v>
      </c>
      <c r="D38" s="15">
        <f t="shared" si="3"/>
        <v>4026</v>
      </c>
      <c r="E38" s="15">
        <f t="shared" si="3"/>
        <v>4814</v>
      </c>
      <c r="F38" s="15">
        <f t="shared" si="3"/>
        <v>5416</v>
      </c>
      <c r="G38" s="15">
        <f t="shared" si="3"/>
        <v>4042</v>
      </c>
      <c r="H38" s="15">
        <f t="shared" si="3"/>
        <v>3243</v>
      </c>
      <c r="I38" s="15">
        <f t="shared" si="3"/>
        <v>3973</v>
      </c>
      <c r="J38" s="15">
        <f t="shared" si="3"/>
        <v>4912</v>
      </c>
      <c r="K38" s="15">
        <f t="shared" si="3"/>
        <v>5642</v>
      </c>
      <c r="L38" s="15">
        <f t="shared" si="3"/>
        <v>6018</v>
      </c>
      <c r="M38" s="15">
        <f t="shared" si="3"/>
        <v>5710</v>
      </c>
      <c r="N38" s="15">
        <f t="shared" si="3"/>
        <v>4940</v>
      </c>
      <c r="O38" s="15">
        <f t="shared" si="3"/>
        <v>3917</v>
      </c>
      <c r="P38" s="15">
        <f t="shared" si="3"/>
        <v>3504</v>
      </c>
      <c r="Q38" s="15">
        <f t="shared" si="3"/>
        <v>3245</v>
      </c>
      <c r="R38" s="15">
        <f t="shared" si="3"/>
        <v>2589</v>
      </c>
      <c r="S38" s="15">
        <f t="shared" si="3"/>
        <v>1777</v>
      </c>
      <c r="T38" s="15">
        <f t="shared" si="3"/>
        <v>1583</v>
      </c>
      <c r="U38" s="16">
        <f t="shared" si="4"/>
        <v>72944</v>
      </c>
    </row>
    <row r="39" spans="1:21">
      <c r="A39" s="12">
        <v>2004</v>
      </c>
      <c r="B39" s="4"/>
      <c r="C39" s="15">
        <f t="shared" si="3"/>
        <v>3600</v>
      </c>
      <c r="D39" s="15">
        <f t="shared" si="3"/>
        <v>3979</v>
      </c>
      <c r="E39" s="15">
        <f t="shared" si="3"/>
        <v>4808</v>
      </c>
      <c r="F39" s="15">
        <f t="shared" si="3"/>
        <v>5310</v>
      </c>
      <c r="G39" s="15">
        <f t="shared" si="3"/>
        <v>4051</v>
      </c>
      <c r="H39" s="15">
        <f t="shared" si="3"/>
        <v>3226</v>
      </c>
      <c r="I39" s="15">
        <f t="shared" si="3"/>
        <v>3927</v>
      </c>
      <c r="J39" s="15">
        <f t="shared" si="3"/>
        <v>4674</v>
      </c>
      <c r="K39" s="15">
        <f t="shared" si="3"/>
        <v>5647</v>
      </c>
      <c r="L39" s="15">
        <f t="shared" si="3"/>
        <v>5960</v>
      </c>
      <c r="M39" s="15">
        <f t="shared" si="3"/>
        <v>5905</v>
      </c>
      <c r="N39" s="15">
        <f t="shared" si="3"/>
        <v>5133</v>
      </c>
      <c r="O39" s="15">
        <f t="shared" si="3"/>
        <v>3997</v>
      </c>
      <c r="P39" s="15">
        <f t="shared" si="3"/>
        <v>3629</v>
      </c>
      <c r="Q39" s="15">
        <f t="shared" si="3"/>
        <v>3091</v>
      </c>
      <c r="R39" s="15">
        <f t="shared" si="3"/>
        <v>2710</v>
      </c>
      <c r="S39" s="15">
        <f t="shared" si="3"/>
        <v>1781</v>
      </c>
      <c r="T39" s="15">
        <f t="shared" si="3"/>
        <v>1531</v>
      </c>
      <c r="U39" s="16">
        <f t="shared" si="4"/>
        <v>72959</v>
      </c>
    </row>
    <row r="40" spans="1:21">
      <c r="A40" s="12">
        <v>2005</v>
      </c>
      <c r="B40" s="4"/>
      <c r="C40" s="15">
        <f t="shared" si="3"/>
        <v>3640</v>
      </c>
      <c r="D40" s="15">
        <f t="shared" si="3"/>
        <v>3993</v>
      </c>
      <c r="E40" s="15">
        <f t="shared" si="3"/>
        <v>4712</v>
      </c>
      <c r="F40" s="15">
        <f t="shared" si="3"/>
        <v>5174</v>
      </c>
      <c r="G40" s="15">
        <f t="shared" si="3"/>
        <v>4084</v>
      </c>
      <c r="H40" s="15">
        <f t="shared" si="3"/>
        <v>3305</v>
      </c>
      <c r="I40" s="15">
        <f t="shared" si="3"/>
        <v>3766</v>
      </c>
      <c r="J40" s="15">
        <f t="shared" si="3"/>
        <v>4525</v>
      </c>
      <c r="K40" s="15">
        <f t="shared" si="3"/>
        <v>5594</v>
      </c>
      <c r="L40" s="15">
        <f t="shared" si="3"/>
        <v>5862</v>
      </c>
      <c r="M40" s="15">
        <f t="shared" si="3"/>
        <v>5897</v>
      </c>
      <c r="N40" s="15">
        <f t="shared" si="3"/>
        <v>5357</v>
      </c>
      <c r="O40" s="15">
        <f t="shared" si="3"/>
        <v>4182</v>
      </c>
      <c r="P40" s="15">
        <f t="shared" si="3"/>
        <v>3606</v>
      </c>
      <c r="Q40" s="15">
        <f t="shared" si="3"/>
        <v>3075</v>
      </c>
      <c r="R40" s="15">
        <f t="shared" si="3"/>
        <v>2805</v>
      </c>
      <c r="S40" s="15">
        <f t="shared" si="3"/>
        <v>1757</v>
      </c>
      <c r="T40" s="15">
        <f t="shared" si="3"/>
        <v>1547</v>
      </c>
      <c r="U40" s="16">
        <f t="shared" si="4"/>
        <v>72881</v>
      </c>
    </row>
    <row r="41" spans="1:21">
      <c r="A41" s="12">
        <v>2006</v>
      </c>
      <c r="B41" s="4"/>
      <c r="C41" s="15">
        <f t="shared" si="3"/>
        <v>3622</v>
      </c>
      <c r="D41" s="15">
        <f t="shared" si="3"/>
        <v>3922</v>
      </c>
      <c r="E41" s="15">
        <f t="shared" si="3"/>
        <v>4563</v>
      </c>
      <c r="F41" s="15">
        <f t="shared" si="3"/>
        <v>5108</v>
      </c>
      <c r="G41" s="15">
        <f t="shared" si="3"/>
        <v>4053</v>
      </c>
      <c r="H41" s="15">
        <f t="shared" si="3"/>
        <v>3259</v>
      </c>
      <c r="I41" s="15">
        <f t="shared" si="3"/>
        <v>3632</v>
      </c>
      <c r="J41" s="15">
        <f t="shared" si="3"/>
        <v>4436</v>
      </c>
      <c r="K41" s="15">
        <f t="shared" si="3"/>
        <v>5493</v>
      </c>
      <c r="L41" s="15">
        <f t="shared" si="3"/>
        <v>5837</v>
      </c>
      <c r="M41" s="15">
        <f t="shared" si="3"/>
        <v>5973</v>
      </c>
      <c r="N41" s="15">
        <f t="shared" si="3"/>
        <v>5541</v>
      </c>
      <c r="O41" s="15">
        <f t="shared" si="3"/>
        <v>4409</v>
      </c>
      <c r="P41" s="15">
        <f t="shared" si="3"/>
        <v>3626</v>
      </c>
      <c r="Q41" s="15">
        <f t="shared" si="3"/>
        <v>3078</v>
      </c>
      <c r="R41" s="15">
        <f t="shared" si="3"/>
        <v>2939</v>
      </c>
      <c r="S41" s="15">
        <f t="shared" si="3"/>
        <v>1771</v>
      </c>
      <c r="T41" s="15">
        <f t="shared" si="3"/>
        <v>1565</v>
      </c>
      <c r="U41" s="16">
        <f t="shared" si="4"/>
        <v>72827</v>
      </c>
    </row>
    <row r="42" spans="1:21">
      <c r="A42" s="12">
        <v>2007</v>
      </c>
      <c r="B42" s="4"/>
      <c r="C42" s="15">
        <f t="shared" si="3"/>
        <v>3575</v>
      </c>
      <c r="D42" s="15">
        <f t="shared" si="3"/>
        <v>3901</v>
      </c>
      <c r="E42" s="15">
        <f t="shared" si="3"/>
        <v>4480</v>
      </c>
      <c r="F42" s="15">
        <f t="shared" si="3"/>
        <v>5064</v>
      </c>
      <c r="G42" s="15">
        <f t="shared" si="3"/>
        <v>3942</v>
      </c>
      <c r="H42" s="15">
        <f t="shared" si="3"/>
        <v>3325</v>
      </c>
      <c r="I42" s="15">
        <f t="shared" si="3"/>
        <v>3520</v>
      </c>
      <c r="J42" s="15">
        <f t="shared" si="3"/>
        <v>4294</v>
      </c>
      <c r="K42" s="15">
        <f t="shared" si="3"/>
        <v>5338</v>
      </c>
      <c r="L42" s="15">
        <f t="shared" si="3"/>
        <v>5865</v>
      </c>
      <c r="M42" s="15">
        <f t="shared" si="3"/>
        <v>6019</v>
      </c>
      <c r="N42" s="15">
        <f t="shared" si="3"/>
        <v>5567</v>
      </c>
      <c r="O42" s="15">
        <f t="shared" si="3"/>
        <v>4718</v>
      </c>
      <c r="P42" s="15">
        <f t="shared" si="3"/>
        <v>3707</v>
      </c>
      <c r="Q42" s="15">
        <f t="shared" si="3"/>
        <v>3021</v>
      </c>
      <c r="R42" s="15">
        <f t="shared" si="3"/>
        <v>2982</v>
      </c>
      <c r="S42" s="15">
        <f t="shared" si="3"/>
        <v>1828</v>
      </c>
      <c r="T42" s="15">
        <f t="shared" si="3"/>
        <v>1565</v>
      </c>
      <c r="U42" s="16">
        <f t="shared" si="4"/>
        <v>72711</v>
      </c>
    </row>
    <row r="43" spans="1:21">
      <c r="A43" s="12">
        <v>2008</v>
      </c>
      <c r="B43" s="4"/>
      <c r="C43" s="15">
        <f t="shared" si="3"/>
        <v>3565</v>
      </c>
      <c r="D43" s="15">
        <f t="shared" si="3"/>
        <v>3841</v>
      </c>
      <c r="E43" s="15">
        <f t="shared" si="3"/>
        <v>4361</v>
      </c>
      <c r="F43" s="15">
        <f t="shared" si="3"/>
        <v>4990</v>
      </c>
      <c r="G43" s="15">
        <f t="shared" si="3"/>
        <v>3912</v>
      </c>
      <c r="H43" s="15">
        <f t="shared" si="3"/>
        <v>3298</v>
      </c>
      <c r="I43" s="15">
        <f t="shared" si="3"/>
        <v>3495</v>
      </c>
      <c r="J43" s="15">
        <f t="shared" si="3"/>
        <v>4223</v>
      </c>
      <c r="K43" s="15">
        <f t="shared" si="3"/>
        <v>5128</v>
      </c>
      <c r="L43" s="15">
        <f t="shared" si="3"/>
        <v>5784</v>
      </c>
      <c r="M43" s="15">
        <f t="shared" si="3"/>
        <v>6001</v>
      </c>
      <c r="N43" s="15">
        <f t="shared" si="3"/>
        <v>5702</v>
      </c>
      <c r="O43" s="15">
        <f t="shared" si="3"/>
        <v>4890</v>
      </c>
      <c r="P43" s="15">
        <f t="shared" si="3"/>
        <v>3800</v>
      </c>
      <c r="Q43" s="15">
        <f t="shared" si="3"/>
        <v>3175</v>
      </c>
      <c r="R43" s="15">
        <f t="shared" si="3"/>
        <v>2785</v>
      </c>
      <c r="S43" s="15">
        <f t="shared" si="3"/>
        <v>1947</v>
      </c>
      <c r="T43" s="15">
        <f t="shared" si="3"/>
        <v>1645</v>
      </c>
      <c r="U43" s="16">
        <f t="shared" si="4"/>
        <v>72542</v>
      </c>
    </row>
    <row r="44" spans="1:21">
      <c r="A44" s="12">
        <v>2009</v>
      </c>
      <c r="B44" s="4"/>
      <c r="C44" s="15">
        <f t="shared" si="3"/>
        <v>3569</v>
      </c>
      <c r="D44" s="15">
        <f t="shared" si="3"/>
        <v>3844</v>
      </c>
      <c r="E44" s="15">
        <f t="shared" si="3"/>
        <v>4243</v>
      </c>
      <c r="F44" s="15">
        <f t="shared" si="3"/>
        <v>4943</v>
      </c>
      <c r="G44" s="15">
        <f t="shared" si="3"/>
        <v>3892</v>
      </c>
      <c r="H44" s="15">
        <f t="shared" si="3"/>
        <v>3339</v>
      </c>
      <c r="I44" s="15">
        <f t="shared" si="3"/>
        <v>3501</v>
      </c>
      <c r="J44" s="15">
        <f t="shared" si="3"/>
        <v>4061</v>
      </c>
      <c r="K44" s="15">
        <f t="shared" si="3"/>
        <v>4804</v>
      </c>
      <c r="L44" s="15">
        <f t="shared" si="3"/>
        <v>5734</v>
      </c>
      <c r="M44" s="15">
        <f t="shared" si="3"/>
        <v>5920</v>
      </c>
      <c r="N44" s="15">
        <f t="shared" si="3"/>
        <v>5829</v>
      </c>
      <c r="O44" s="15">
        <f t="shared" si="3"/>
        <v>5066</v>
      </c>
      <c r="P44" s="15">
        <f t="shared" si="3"/>
        <v>3910</v>
      </c>
      <c r="Q44" s="15">
        <f t="shared" si="3"/>
        <v>3230</v>
      </c>
      <c r="R44" s="15">
        <f t="shared" si="3"/>
        <v>2661</v>
      </c>
      <c r="S44" s="15">
        <f t="shared" si="3"/>
        <v>2041</v>
      </c>
      <c r="T44" s="15">
        <f t="shared" si="3"/>
        <v>1671</v>
      </c>
      <c r="U44" s="16">
        <f t="shared" si="4"/>
        <v>72258</v>
      </c>
    </row>
    <row r="45" spans="1:21">
      <c r="A45" s="12">
        <v>2010</v>
      </c>
      <c r="B45" s="4"/>
      <c r="C45" s="15">
        <f t="shared" si="3"/>
        <v>3473</v>
      </c>
      <c r="D45" s="15">
        <f t="shared" si="3"/>
        <v>3756</v>
      </c>
      <c r="E45" s="15">
        <f t="shared" si="3"/>
        <v>4184</v>
      </c>
      <c r="F45" s="15">
        <f t="shared" si="3"/>
        <v>4768</v>
      </c>
      <c r="G45" s="15">
        <f t="shared" si="3"/>
        <v>3814</v>
      </c>
      <c r="H45" s="15">
        <f t="shared" si="3"/>
        <v>3386</v>
      </c>
      <c r="I45" s="15">
        <f t="shared" si="3"/>
        <v>3525</v>
      </c>
      <c r="J45" s="15">
        <f t="shared" si="3"/>
        <v>3876</v>
      </c>
      <c r="K45" s="15">
        <f t="shared" si="3"/>
        <v>4676</v>
      </c>
      <c r="L45" s="15">
        <f t="shared" si="3"/>
        <v>5593</v>
      </c>
      <c r="M45" s="15">
        <f t="shared" si="3"/>
        <v>5903</v>
      </c>
      <c r="N45" s="15">
        <f t="shared" si="3"/>
        <v>5840</v>
      </c>
      <c r="O45" s="15">
        <f t="shared" si="3"/>
        <v>5227</v>
      </c>
      <c r="P45" s="15">
        <f t="shared" si="3"/>
        <v>4049</v>
      </c>
      <c r="Q45" s="15">
        <f t="shared" si="3"/>
        <v>3207</v>
      </c>
      <c r="R45" s="15">
        <f t="shared" si="3"/>
        <v>2631</v>
      </c>
      <c r="S45" s="15">
        <f t="shared" si="3"/>
        <v>2090</v>
      </c>
      <c r="T45" s="15">
        <f t="shared" si="3"/>
        <v>1725</v>
      </c>
      <c r="U45" s="16">
        <f t="shared" si="4"/>
        <v>71723</v>
      </c>
    </row>
    <row r="46" spans="1:21">
      <c r="A46" s="23">
        <v>2015</v>
      </c>
      <c r="B46" s="4"/>
      <c r="C46" s="15">
        <f t="shared" si="3"/>
        <v>3502.1433595852727</v>
      </c>
      <c r="D46" s="15">
        <f t="shared" si="3"/>
        <v>3393.9021082107242</v>
      </c>
      <c r="E46" s="15">
        <f t="shared" si="3"/>
        <v>3725.6172754380314</v>
      </c>
      <c r="F46" s="15">
        <f t="shared" si="3"/>
        <v>4145.4144670396136</v>
      </c>
      <c r="G46" s="15">
        <f t="shared" si="3"/>
        <v>4713.271141193688</v>
      </c>
      <c r="H46" s="15">
        <f t="shared" si="3"/>
        <v>3828.4897432063849</v>
      </c>
      <c r="I46" s="15">
        <f t="shared" si="3"/>
        <v>3348.9345631609458</v>
      </c>
      <c r="J46" s="15">
        <f t="shared" si="3"/>
        <v>3405.0559311113211</v>
      </c>
      <c r="K46" s="15">
        <f t="shared" si="3"/>
        <v>3853.6060000683274</v>
      </c>
      <c r="L46" s="15">
        <f t="shared" si="3"/>
        <v>4573.3718813005526</v>
      </c>
      <c r="M46" s="15">
        <f t="shared" si="3"/>
        <v>5589.9444302259126</v>
      </c>
      <c r="N46" s="15">
        <f t="shared" si="3"/>
        <v>5800.1738329876243</v>
      </c>
      <c r="O46" s="15">
        <f t="shared" si="3"/>
        <v>5632.1267637020073</v>
      </c>
      <c r="P46" s="15">
        <f t="shared" si="3"/>
        <v>4940.6885295728553</v>
      </c>
      <c r="Q46" s="15">
        <f t="shared" si="3"/>
        <v>3711.1895694390314</v>
      </c>
      <c r="R46" s="15">
        <f t="shared" si="3"/>
        <v>2754.9713160245692</v>
      </c>
      <c r="S46" s="15">
        <f t="shared" si="3"/>
        <v>2028.1521921836552</v>
      </c>
      <c r="T46" s="15">
        <f t="shared" si="3"/>
        <v>1935.8865140522839</v>
      </c>
      <c r="U46" s="16">
        <f t="shared" si="4"/>
        <v>70882.939618502802</v>
      </c>
    </row>
    <row r="47" spans="1:21">
      <c r="A47" s="23">
        <v>2020</v>
      </c>
      <c r="B47" s="4"/>
      <c r="C47" s="15">
        <f t="shared" si="3"/>
        <v>3642.6122400662434</v>
      </c>
      <c r="D47" s="15">
        <f t="shared" si="3"/>
        <v>3425.0206988866003</v>
      </c>
      <c r="E47" s="15">
        <f t="shared" si="3"/>
        <v>3382.4429954360303</v>
      </c>
      <c r="F47" s="15">
        <f t="shared" si="3"/>
        <v>3709.952390051802</v>
      </c>
      <c r="G47" s="15">
        <f t="shared" si="3"/>
        <v>4209.699571332264</v>
      </c>
      <c r="H47" s="15">
        <f t="shared" si="3"/>
        <v>4636.9611701967715</v>
      </c>
      <c r="I47" s="15">
        <f t="shared" si="3"/>
        <v>3760.7882736306387</v>
      </c>
      <c r="J47" s="15">
        <f t="shared" si="3"/>
        <v>3240.694610092627</v>
      </c>
      <c r="K47" s="15">
        <f t="shared" si="3"/>
        <v>3409.1139514536544</v>
      </c>
      <c r="L47" s="15">
        <f t="shared" si="3"/>
        <v>3800.968839589902</v>
      </c>
      <c r="M47" s="15">
        <f t="shared" si="3"/>
        <v>4595.1766353632556</v>
      </c>
      <c r="N47" s="15">
        <f t="shared" si="3"/>
        <v>5491.0636830611365</v>
      </c>
      <c r="O47" s="15">
        <f t="shared" si="3"/>
        <v>5594.8706354598844</v>
      </c>
      <c r="P47" s="15">
        <f t="shared" si="3"/>
        <v>5331.9789184578176</v>
      </c>
      <c r="Q47" s="15">
        <f t="shared" si="3"/>
        <v>4516.4869610561382</v>
      </c>
      <c r="R47" s="15">
        <f t="shared" si="3"/>
        <v>3192.3652681250146</v>
      </c>
      <c r="S47" s="15">
        <f t="shared" si="3"/>
        <v>2128.6506844005039</v>
      </c>
      <c r="T47" s="15">
        <f t="shared" si="3"/>
        <v>1989.7738928440531</v>
      </c>
      <c r="U47" s="16">
        <f t="shared" si="4"/>
        <v>70058.621419504329</v>
      </c>
    </row>
    <row r="48" spans="1:21">
      <c r="A48" s="23">
        <v>2025</v>
      </c>
      <c r="B48" s="4"/>
      <c r="C48" s="15">
        <f t="shared" si="3"/>
        <v>3639.611010120745</v>
      </c>
      <c r="D48" s="15">
        <f t="shared" si="3"/>
        <v>3561.1321720553851</v>
      </c>
      <c r="E48" s="15">
        <f t="shared" si="3"/>
        <v>3416.5311495475553</v>
      </c>
      <c r="F48" s="15">
        <f t="shared" si="3"/>
        <v>3386.0690537186342</v>
      </c>
      <c r="G48" s="15">
        <f t="shared" si="3"/>
        <v>3861.5039336478153</v>
      </c>
      <c r="H48" s="15">
        <f t="shared" si="3"/>
        <v>4201.0065533821144</v>
      </c>
      <c r="I48" s="15">
        <f t="shared" si="3"/>
        <v>4495.0912277599655</v>
      </c>
      <c r="J48" s="15">
        <f t="shared" si="3"/>
        <v>3633.3513288896379</v>
      </c>
      <c r="K48" s="15">
        <f t="shared" si="3"/>
        <v>3256.4835042173145</v>
      </c>
      <c r="L48" s="15">
        <f t="shared" si="3"/>
        <v>3394.4820705511092</v>
      </c>
      <c r="M48" s="15">
        <f t="shared" si="3"/>
        <v>3850.490791181548</v>
      </c>
      <c r="N48" s="15">
        <f t="shared" si="3"/>
        <v>4535.0215314927336</v>
      </c>
      <c r="O48" s="15">
        <f t="shared" si="3"/>
        <v>5296.1234660922273</v>
      </c>
      <c r="P48" s="15">
        <f t="shared" si="3"/>
        <v>5298.6535465333318</v>
      </c>
      <c r="Q48" s="15">
        <f t="shared" si="3"/>
        <v>4882.9176869932689</v>
      </c>
      <c r="R48" s="15">
        <f t="shared" si="3"/>
        <v>3874.8541531927522</v>
      </c>
      <c r="S48" s="15">
        <f t="shared" si="3"/>
        <v>2468.7152002818166</v>
      </c>
      <c r="T48" s="15">
        <f t="shared" si="3"/>
        <v>2073.1456031538974</v>
      </c>
      <c r="U48" s="16">
        <f t="shared" si="4"/>
        <v>69125.183982811854</v>
      </c>
    </row>
    <row r="49" spans="1:21" ht="15.75" thickBot="1">
      <c r="A49" s="24">
        <v>2030</v>
      </c>
      <c r="B49" s="20"/>
      <c r="C49" s="21">
        <f t="shared" si="3"/>
        <v>3486.2315354196044</v>
      </c>
      <c r="D49" s="21">
        <f t="shared" si="3"/>
        <v>3561.3586027160891</v>
      </c>
      <c r="E49" s="21">
        <f t="shared" si="3"/>
        <v>3551.0249007981865</v>
      </c>
      <c r="F49" s="21">
        <f t="shared" si="3"/>
        <v>3423.8063715423159</v>
      </c>
      <c r="G49" s="21">
        <f t="shared" si="3"/>
        <v>3613.9191813508005</v>
      </c>
      <c r="H49" s="21">
        <f t="shared" si="3"/>
        <v>3902.2655674647563</v>
      </c>
      <c r="I49" s="21">
        <f t="shared" si="3"/>
        <v>4111.1190124324003</v>
      </c>
      <c r="J49" s="21">
        <f t="shared" si="3"/>
        <v>4329.0964503965915</v>
      </c>
      <c r="K49" s="21">
        <f t="shared" si="3"/>
        <v>3638.3764654261804</v>
      </c>
      <c r="L49" s="21">
        <f t="shared" si="3"/>
        <v>3258.5290884784208</v>
      </c>
      <c r="M49" s="21">
        <f t="shared" si="3"/>
        <v>3468.0147574646653</v>
      </c>
      <c r="N49" s="21">
        <f t="shared" si="3"/>
        <v>3827.2754185496306</v>
      </c>
      <c r="O49" s="21">
        <f t="shared" si="3"/>
        <v>4390.9425816788571</v>
      </c>
      <c r="P49" s="21">
        <f t="shared" si="3"/>
        <v>5015.6479246421259</v>
      </c>
      <c r="Q49" s="21">
        <f t="shared" si="3"/>
        <v>4852.8878359027403</v>
      </c>
      <c r="R49" s="21">
        <f t="shared" si="3"/>
        <v>4199.7766383273065</v>
      </c>
      <c r="S49" s="21">
        <f t="shared" si="3"/>
        <v>2987.6869562400334</v>
      </c>
      <c r="T49" s="21">
        <f t="shared" si="3"/>
        <v>2304.8031252443961</v>
      </c>
      <c r="U49" s="22">
        <f t="shared" si="4"/>
        <v>67922.762414075085</v>
      </c>
    </row>
  </sheetData>
  <pageMargins left="0.7" right="0.7" top="0.75" bottom="0.75" header="0.3" footer="0.3"/>
  <pageSetup scale="6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5</v>
      </c>
      <c r="B1" s="8" t="s">
        <v>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7452</v>
      </c>
      <c r="D4" s="15">
        <v>8152</v>
      </c>
      <c r="E4" s="15">
        <v>9111</v>
      </c>
      <c r="F4" s="15">
        <v>8791</v>
      </c>
      <c r="G4" s="15">
        <v>7830</v>
      </c>
      <c r="H4" s="15">
        <v>8015</v>
      </c>
      <c r="I4" s="15">
        <v>10067</v>
      </c>
      <c r="J4" s="15">
        <v>11482</v>
      </c>
      <c r="K4" s="15">
        <v>12309</v>
      </c>
      <c r="L4" s="15">
        <v>11143</v>
      </c>
      <c r="M4" s="15">
        <v>9964</v>
      </c>
      <c r="N4" s="15">
        <v>7127</v>
      </c>
      <c r="O4" s="15">
        <v>5379</v>
      </c>
      <c r="P4" s="15">
        <v>4774</v>
      </c>
      <c r="Q4" s="15">
        <v>4852</v>
      </c>
      <c r="R4" s="15">
        <v>4535</v>
      </c>
      <c r="S4" s="15">
        <v>3564</v>
      </c>
      <c r="T4" s="15">
        <v>3673</v>
      </c>
      <c r="U4" s="16">
        <f>SUM(C4:T4)</f>
        <v>138220</v>
      </c>
    </row>
    <row r="5" spans="1:21">
      <c r="A5" s="12">
        <v>2002</v>
      </c>
      <c r="B5" s="4"/>
      <c r="C5" s="15">
        <v>7351</v>
      </c>
      <c r="D5" s="15">
        <v>8093</v>
      </c>
      <c r="E5" s="15">
        <v>9159</v>
      </c>
      <c r="F5" s="15">
        <v>8961</v>
      </c>
      <c r="G5" s="15">
        <v>8032</v>
      </c>
      <c r="H5" s="15">
        <v>7994</v>
      </c>
      <c r="I5" s="15">
        <v>9985</v>
      </c>
      <c r="J5" s="15">
        <v>11174</v>
      </c>
      <c r="K5" s="15">
        <v>12278</v>
      </c>
      <c r="L5" s="15">
        <v>11404</v>
      </c>
      <c r="M5" s="15">
        <v>10078</v>
      </c>
      <c r="N5" s="15">
        <v>7809</v>
      </c>
      <c r="O5" s="15">
        <v>5592</v>
      </c>
      <c r="P5" s="15">
        <v>4759</v>
      </c>
      <c r="Q5" s="15">
        <v>4745</v>
      </c>
      <c r="R5" s="15">
        <v>4568</v>
      </c>
      <c r="S5" s="15">
        <v>3700</v>
      </c>
      <c r="T5" s="15">
        <v>3674</v>
      </c>
      <c r="U5" s="16">
        <f t="shared" ref="U5:U17" si="0">SUM(C5:T5)</f>
        <v>139356</v>
      </c>
    </row>
    <row r="6" spans="1:21">
      <c r="A6" s="12">
        <v>2003</v>
      </c>
      <c r="B6" s="4"/>
      <c r="C6" s="15">
        <v>7468</v>
      </c>
      <c r="D6" s="15">
        <v>8073</v>
      </c>
      <c r="E6" s="15">
        <v>9060</v>
      </c>
      <c r="F6" s="15">
        <v>9152</v>
      </c>
      <c r="G6" s="15">
        <v>8283</v>
      </c>
      <c r="H6" s="15">
        <v>8068</v>
      </c>
      <c r="I6" s="15">
        <v>9659</v>
      </c>
      <c r="J6" s="15">
        <v>10976</v>
      </c>
      <c r="K6" s="15">
        <v>12270</v>
      </c>
      <c r="L6" s="15">
        <v>11692</v>
      </c>
      <c r="M6" s="15">
        <v>10381</v>
      </c>
      <c r="N6" s="15">
        <v>8126</v>
      </c>
      <c r="O6" s="15">
        <v>5966</v>
      </c>
      <c r="P6" s="15">
        <v>4864</v>
      </c>
      <c r="Q6" s="15">
        <v>4627</v>
      </c>
      <c r="R6" s="15">
        <v>4543</v>
      </c>
      <c r="S6" s="15">
        <v>3757</v>
      </c>
      <c r="T6" s="15">
        <v>3700</v>
      </c>
      <c r="U6" s="16">
        <f t="shared" si="0"/>
        <v>140665</v>
      </c>
    </row>
    <row r="7" spans="1:21">
      <c r="A7" s="12">
        <v>2004</v>
      </c>
      <c r="B7" s="4"/>
      <c r="C7" s="15">
        <v>7507</v>
      </c>
      <c r="D7" s="15">
        <v>8073</v>
      </c>
      <c r="E7" s="15">
        <v>8934</v>
      </c>
      <c r="F7" s="15">
        <v>9333</v>
      </c>
      <c r="G7" s="15">
        <v>8483</v>
      </c>
      <c r="H7" s="15">
        <v>8163</v>
      </c>
      <c r="I7" s="15">
        <v>9322</v>
      </c>
      <c r="J7" s="15">
        <v>10628</v>
      </c>
      <c r="K7" s="15">
        <v>12053</v>
      </c>
      <c r="L7" s="15">
        <v>11876</v>
      </c>
      <c r="M7" s="15">
        <v>10564</v>
      </c>
      <c r="N7" s="15">
        <v>8644</v>
      </c>
      <c r="O7" s="15">
        <v>6357</v>
      </c>
      <c r="P7" s="15">
        <v>4938</v>
      </c>
      <c r="Q7" s="15">
        <v>4552</v>
      </c>
      <c r="R7" s="15">
        <v>4502</v>
      </c>
      <c r="S7" s="15">
        <v>3865</v>
      </c>
      <c r="T7" s="15">
        <v>3826</v>
      </c>
      <c r="U7" s="16">
        <f t="shared" si="0"/>
        <v>141620</v>
      </c>
    </row>
    <row r="8" spans="1:21">
      <c r="A8" s="12">
        <v>2005</v>
      </c>
      <c r="B8" s="4"/>
      <c r="C8" s="15">
        <v>7480</v>
      </c>
      <c r="D8" s="15">
        <v>7967</v>
      </c>
      <c r="E8" s="15">
        <v>8862</v>
      </c>
      <c r="F8" s="15">
        <v>9408</v>
      </c>
      <c r="G8" s="15">
        <v>8698</v>
      </c>
      <c r="H8" s="15">
        <v>8231</v>
      </c>
      <c r="I8" s="15">
        <v>8782</v>
      </c>
      <c r="J8" s="15">
        <v>10545</v>
      </c>
      <c r="K8" s="15">
        <v>11775</v>
      </c>
      <c r="L8" s="15">
        <v>12038</v>
      </c>
      <c r="M8" s="15">
        <v>10770</v>
      </c>
      <c r="N8" s="15">
        <v>9126</v>
      </c>
      <c r="O8" s="15">
        <v>6635</v>
      </c>
      <c r="P8" s="15">
        <v>5037</v>
      </c>
      <c r="Q8" s="15">
        <v>4567</v>
      </c>
      <c r="R8" s="15">
        <v>4391</v>
      </c>
      <c r="S8" s="15">
        <v>3893</v>
      </c>
      <c r="T8" s="15">
        <v>3928</v>
      </c>
      <c r="U8" s="16">
        <f t="shared" si="0"/>
        <v>142133</v>
      </c>
    </row>
    <row r="9" spans="1:21">
      <c r="A9" s="12">
        <v>2006</v>
      </c>
      <c r="B9" s="4"/>
      <c r="C9" s="15">
        <v>7335</v>
      </c>
      <c r="D9" s="15">
        <v>7977</v>
      </c>
      <c r="E9" s="15">
        <v>8588</v>
      </c>
      <c r="F9" s="15">
        <v>9470</v>
      </c>
      <c r="G9" s="15">
        <v>8763</v>
      </c>
      <c r="H9" s="15">
        <v>8276</v>
      </c>
      <c r="I9" s="15">
        <v>8368</v>
      </c>
      <c r="J9" s="15">
        <v>10434</v>
      </c>
      <c r="K9" s="15">
        <v>11468</v>
      </c>
      <c r="L9" s="15">
        <v>12201</v>
      </c>
      <c r="M9" s="15">
        <v>11028</v>
      </c>
      <c r="N9" s="15">
        <v>9642</v>
      </c>
      <c r="O9" s="15">
        <v>6924</v>
      </c>
      <c r="P9" s="15">
        <v>5120</v>
      </c>
      <c r="Q9" s="15">
        <v>4485</v>
      </c>
      <c r="R9" s="15">
        <v>4381</v>
      </c>
      <c r="S9" s="15">
        <v>3776</v>
      </c>
      <c r="T9" s="15">
        <v>4086</v>
      </c>
      <c r="U9" s="16">
        <f t="shared" si="0"/>
        <v>142322</v>
      </c>
    </row>
    <row r="10" spans="1:21">
      <c r="A10" s="12">
        <v>2007</v>
      </c>
      <c r="B10" s="4"/>
      <c r="C10" s="15">
        <v>7297</v>
      </c>
      <c r="D10" s="15">
        <v>7915</v>
      </c>
      <c r="E10" s="15">
        <v>8553</v>
      </c>
      <c r="F10" s="15">
        <v>9402</v>
      </c>
      <c r="G10" s="15">
        <v>8727</v>
      </c>
      <c r="H10" s="15">
        <v>8587</v>
      </c>
      <c r="I10" s="15">
        <v>8154</v>
      </c>
      <c r="J10" s="15">
        <v>10311</v>
      </c>
      <c r="K10" s="15">
        <v>11114</v>
      </c>
      <c r="L10" s="15">
        <v>12175</v>
      </c>
      <c r="M10" s="15">
        <v>11267</v>
      </c>
      <c r="N10" s="15">
        <v>9853</v>
      </c>
      <c r="O10" s="15">
        <v>7543</v>
      </c>
      <c r="P10" s="15">
        <v>5338</v>
      </c>
      <c r="Q10" s="15">
        <v>4537</v>
      </c>
      <c r="R10" s="15">
        <v>4335</v>
      </c>
      <c r="S10" s="15">
        <v>3831</v>
      </c>
      <c r="T10" s="15">
        <v>4253</v>
      </c>
      <c r="U10" s="16">
        <f t="shared" si="0"/>
        <v>143192</v>
      </c>
    </row>
    <row r="11" spans="1:21">
      <c r="A11" s="12">
        <v>2008</v>
      </c>
      <c r="B11" s="4"/>
      <c r="C11" s="15">
        <v>7341</v>
      </c>
      <c r="D11" s="15">
        <v>7988</v>
      </c>
      <c r="E11" s="15">
        <v>8415</v>
      </c>
      <c r="F11" s="15">
        <v>9364</v>
      </c>
      <c r="G11" s="15">
        <v>8753</v>
      </c>
      <c r="H11" s="15">
        <v>8619</v>
      </c>
      <c r="I11" s="15">
        <v>8292</v>
      </c>
      <c r="J11" s="15">
        <v>9934</v>
      </c>
      <c r="K11" s="15">
        <v>10918</v>
      </c>
      <c r="L11" s="15">
        <v>12187</v>
      </c>
      <c r="M11" s="15">
        <v>11479</v>
      </c>
      <c r="N11" s="15">
        <v>10213</v>
      </c>
      <c r="O11" s="15">
        <v>7937</v>
      </c>
      <c r="P11" s="15">
        <v>5753</v>
      </c>
      <c r="Q11" s="15">
        <v>4638</v>
      </c>
      <c r="R11" s="15">
        <v>4209</v>
      </c>
      <c r="S11" s="15">
        <v>3853</v>
      </c>
      <c r="T11" s="15">
        <v>4396</v>
      </c>
      <c r="U11" s="16">
        <f t="shared" si="0"/>
        <v>144289</v>
      </c>
    </row>
    <row r="12" spans="1:21">
      <c r="A12" s="12">
        <v>2009</v>
      </c>
      <c r="B12" s="4"/>
      <c r="C12" s="15">
        <v>7236</v>
      </c>
      <c r="D12" s="15">
        <v>7952</v>
      </c>
      <c r="E12" s="15">
        <v>8470</v>
      </c>
      <c r="F12" s="15">
        <v>9206</v>
      </c>
      <c r="G12" s="15">
        <v>8846</v>
      </c>
      <c r="H12" s="15">
        <v>8767</v>
      </c>
      <c r="I12" s="15">
        <v>8294</v>
      </c>
      <c r="J12" s="15">
        <v>9683</v>
      </c>
      <c r="K12" s="15">
        <v>10619</v>
      </c>
      <c r="L12" s="15">
        <v>12027</v>
      </c>
      <c r="M12" s="15">
        <v>11676</v>
      </c>
      <c r="N12" s="15">
        <v>10581</v>
      </c>
      <c r="O12" s="15">
        <v>8454</v>
      </c>
      <c r="P12" s="15">
        <v>6165</v>
      </c>
      <c r="Q12" s="15">
        <v>4632</v>
      </c>
      <c r="R12" s="15">
        <v>4146</v>
      </c>
      <c r="S12" s="15">
        <v>3780</v>
      </c>
      <c r="T12" s="15">
        <v>4475</v>
      </c>
      <c r="U12" s="16">
        <f t="shared" si="0"/>
        <v>145009</v>
      </c>
    </row>
    <row r="13" spans="1:21">
      <c r="A13" s="12">
        <v>2010</v>
      </c>
      <c r="B13" s="4"/>
      <c r="C13" s="15">
        <v>7147</v>
      </c>
      <c r="D13" s="15">
        <v>7791</v>
      </c>
      <c r="E13" s="15">
        <v>8397</v>
      </c>
      <c r="F13" s="15">
        <v>9009</v>
      </c>
      <c r="G13" s="15">
        <v>8819</v>
      </c>
      <c r="H13" s="15">
        <v>8703</v>
      </c>
      <c r="I13" s="15">
        <v>8365</v>
      </c>
      <c r="J13" s="15">
        <v>9207</v>
      </c>
      <c r="K13" s="15">
        <v>10517</v>
      </c>
      <c r="L13" s="15">
        <v>11735</v>
      </c>
      <c r="M13" s="15">
        <v>11820</v>
      </c>
      <c r="N13" s="15">
        <v>10844</v>
      </c>
      <c r="O13" s="15">
        <v>8937</v>
      </c>
      <c r="P13" s="15">
        <v>6420</v>
      </c>
      <c r="Q13" s="15">
        <v>4714</v>
      </c>
      <c r="R13" s="15">
        <v>4140</v>
      </c>
      <c r="S13" s="15">
        <v>3722</v>
      </c>
      <c r="T13" s="15">
        <v>4551</v>
      </c>
      <c r="U13" s="16">
        <f t="shared" si="0"/>
        <v>144838</v>
      </c>
    </row>
    <row r="14" spans="1:21">
      <c r="A14" s="23">
        <v>2015</v>
      </c>
      <c r="B14" s="4"/>
      <c r="C14" s="15">
        <v>6986.5519830187186</v>
      </c>
      <c r="D14" s="15">
        <v>7162.5676354958205</v>
      </c>
      <c r="E14" s="15">
        <v>7765.1935895964561</v>
      </c>
      <c r="F14" s="15">
        <v>8360.609278799091</v>
      </c>
      <c r="G14" s="15">
        <v>8917.797067666721</v>
      </c>
      <c r="H14" s="15">
        <v>8755.422976351485</v>
      </c>
      <c r="I14" s="15">
        <v>8904.0851534757003</v>
      </c>
      <c r="J14" s="15">
        <v>8299.1805282678706</v>
      </c>
      <c r="K14" s="15">
        <v>9200.2001229948855</v>
      </c>
      <c r="L14" s="15">
        <v>10394.922977762084</v>
      </c>
      <c r="M14" s="15">
        <v>11559.287055644851</v>
      </c>
      <c r="N14" s="15">
        <v>11578.741040367993</v>
      </c>
      <c r="O14" s="15">
        <v>10712.145774315593</v>
      </c>
      <c r="P14" s="15">
        <v>8561.6349227642386</v>
      </c>
      <c r="Q14" s="15">
        <v>6007.2318946043533</v>
      </c>
      <c r="R14" s="15">
        <v>4166.8454323713086</v>
      </c>
      <c r="S14" s="15">
        <v>3354.8379023613988</v>
      </c>
      <c r="T14" s="15">
        <v>4716.9801733769427</v>
      </c>
      <c r="U14" s="16">
        <f t="shared" si="0"/>
        <v>145404.23550923553</v>
      </c>
    </row>
    <row r="15" spans="1:21">
      <c r="A15" s="23">
        <v>2020</v>
      </c>
      <c r="B15" s="4"/>
      <c r="C15" s="15">
        <v>6980.2274214208428</v>
      </c>
      <c r="D15" s="15">
        <v>7041.8862639354866</v>
      </c>
      <c r="E15" s="15">
        <v>7179.3632564983263</v>
      </c>
      <c r="F15" s="15">
        <v>7770.2900106517363</v>
      </c>
      <c r="G15" s="15">
        <v>8444.7416676852336</v>
      </c>
      <c r="H15" s="15">
        <v>8796.8707100360043</v>
      </c>
      <c r="I15" s="15">
        <v>8988.6369427244499</v>
      </c>
      <c r="J15" s="15">
        <v>8821.3813802570621</v>
      </c>
      <c r="K15" s="15">
        <v>8391.9594622660316</v>
      </c>
      <c r="L15" s="15">
        <v>9157.2857423520982</v>
      </c>
      <c r="M15" s="15">
        <v>10278.749386982716</v>
      </c>
      <c r="N15" s="15">
        <v>11304.773918835297</v>
      </c>
      <c r="O15" s="15">
        <v>11413.281326220411</v>
      </c>
      <c r="P15" s="15">
        <v>10242.97993098458</v>
      </c>
      <c r="Q15" s="15">
        <v>7958.5612186425351</v>
      </c>
      <c r="R15" s="15">
        <v>5311.9221649796345</v>
      </c>
      <c r="S15" s="15">
        <v>3397.5855368841862</v>
      </c>
      <c r="T15" s="15">
        <v>4585.596168480668</v>
      </c>
      <c r="U15" s="16">
        <f t="shared" si="0"/>
        <v>146066.0925098373</v>
      </c>
    </row>
    <row r="16" spans="1:21">
      <c r="A16" s="23">
        <v>2025</v>
      </c>
      <c r="B16" s="4"/>
      <c r="C16" s="15">
        <v>6926.9387419760178</v>
      </c>
      <c r="D16" s="15">
        <v>7056.4381885850107</v>
      </c>
      <c r="E16" s="15">
        <v>7075.9281249298374</v>
      </c>
      <c r="F16" s="15">
        <v>7226.9263743440897</v>
      </c>
      <c r="G16" s="15">
        <v>7998.9268895563509</v>
      </c>
      <c r="H16" s="15">
        <v>8529.6825314525504</v>
      </c>
      <c r="I16" s="15">
        <v>8989.6700484125031</v>
      </c>
      <c r="J16" s="15">
        <v>8918.3331211775658</v>
      </c>
      <c r="K16" s="15">
        <v>8911.6495575655226</v>
      </c>
      <c r="L16" s="15">
        <v>8426.0301251621622</v>
      </c>
      <c r="M16" s="15">
        <v>9118.8055907961316</v>
      </c>
      <c r="N16" s="15">
        <v>10081.827048564872</v>
      </c>
      <c r="O16" s="15">
        <v>11122.221345910835</v>
      </c>
      <c r="P16" s="15">
        <v>10901.138251380204</v>
      </c>
      <c r="Q16" s="15">
        <v>9497.3885088916522</v>
      </c>
      <c r="R16" s="15">
        <v>7003.8117931631932</v>
      </c>
      <c r="S16" s="15">
        <v>4333.8852572625619</v>
      </c>
      <c r="T16" s="15">
        <v>4572.280753657139</v>
      </c>
      <c r="U16" s="16">
        <f t="shared" si="0"/>
        <v>146691.8822527882</v>
      </c>
    </row>
    <row r="17" spans="1:21">
      <c r="A17" s="23">
        <v>2030</v>
      </c>
      <c r="B17" s="4"/>
      <c r="C17" s="15">
        <v>6823.2208180723655</v>
      </c>
      <c r="D17" s="15">
        <v>7029.7496510449055</v>
      </c>
      <c r="E17" s="15">
        <v>7099.8761899274195</v>
      </c>
      <c r="F17" s="15">
        <v>7141.6524925372105</v>
      </c>
      <c r="G17" s="15">
        <v>7604.4558068464266</v>
      </c>
      <c r="H17" s="15">
        <v>8255.0539904290763</v>
      </c>
      <c r="I17" s="15">
        <v>8869.5626432876325</v>
      </c>
      <c r="J17" s="15">
        <v>8905.2058792131629</v>
      </c>
      <c r="K17" s="15">
        <v>9019.9102570168543</v>
      </c>
      <c r="L17" s="15">
        <v>8942.1124316375099</v>
      </c>
      <c r="M17" s="15">
        <v>8462.7881743919406</v>
      </c>
      <c r="N17" s="15">
        <v>8990.8879768333281</v>
      </c>
      <c r="O17" s="15">
        <v>9955.8332667638078</v>
      </c>
      <c r="P17" s="15">
        <v>10612.926250286146</v>
      </c>
      <c r="Q17" s="15">
        <v>10092.668047171512</v>
      </c>
      <c r="R17" s="15">
        <v>8342.9384171705642</v>
      </c>
      <c r="S17" s="15">
        <v>5685.9517560179411</v>
      </c>
      <c r="T17" s="15">
        <v>5187.5263525187111</v>
      </c>
      <c r="U17" s="16">
        <f t="shared" si="0"/>
        <v>147022.32040116651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7896</v>
      </c>
      <c r="D20" s="15">
        <v>8902</v>
      </c>
      <c r="E20" s="15">
        <v>9728</v>
      </c>
      <c r="F20" s="15">
        <v>9406</v>
      </c>
      <c r="G20" s="15">
        <v>7958</v>
      </c>
      <c r="H20" s="15">
        <v>7847</v>
      </c>
      <c r="I20" s="15">
        <v>9808</v>
      </c>
      <c r="J20" s="15">
        <v>10996</v>
      </c>
      <c r="K20" s="15">
        <v>11443</v>
      </c>
      <c r="L20" s="15">
        <v>10561</v>
      </c>
      <c r="M20" s="15">
        <v>9779</v>
      </c>
      <c r="N20" s="15">
        <v>6667</v>
      </c>
      <c r="O20" s="15">
        <v>4935</v>
      </c>
      <c r="P20" s="15">
        <v>4195</v>
      </c>
      <c r="Q20" s="15">
        <v>3656</v>
      </c>
      <c r="R20" s="15">
        <v>3005</v>
      </c>
      <c r="S20" s="15">
        <v>2019</v>
      </c>
      <c r="T20" s="15">
        <v>1370</v>
      </c>
      <c r="U20" s="16">
        <f>SUM(C20:T20)</f>
        <v>130171</v>
      </c>
    </row>
    <row r="21" spans="1:21">
      <c r="A21" s="12">
        <v>2002</v>
      </c>
      <c r="B21" s="4"/>
      <c r="C21" s="15">
        <v>7741</v>
      </c>
      <c r="D21" s="15">
        <v>8738</v>
      </c>
      <c r="E21" s="15">
        <v>9823</v>
      </c>
      <c r="F21" s="15">
        <v>9505</v>
      </c>
      <c r="G21" s="15">
        <v>8182</v>
      </c>
      <c r="H21" s="15">
        <v>7822</v>
      </c>
      <c r="I21" s="15">
        <v>9677</v>
      </c>
      <c r="J21" s="15">
        <v>10755</v>
      </c>
      <c r="K21" s="15">
        <v>11494</v>
      </c>
      <c r="L21" s="15">
        <v>10807</v>
      </c>
      <c r="M21" s="15">
        <v>9730</v>
      </c>
      <c r="N21" s="15">
        <v>7437</v>
      </c>
      <c r="O21" s="15">
        <v>5142</v>
      </c>
      <c r="P21" s="15">
        <v>4168</v>
      </c>
      <c r="Q21" s="15">
        <v>3649</v>
      </c>
      <c r="R21" s="15">
        <v>3048</v>
      </c>
      <c r="S21" s="15">
        <v>2043</v>
      </c>
      <c r="T21" s="15">
        <v>1416</v>
      </c>
      <c r="U21" s="16">
        <f t="shared" ref="U21:U33" si="1">SUM(C21:T21)</f>
        <v>131177</v>
      </c>
    </row>
    <row r="22" spans="1:21">
      <c r="A22" s="12">
        <v>2003</v>
      </c>
      <c r="B22" s="4"/>
      <c r="C22" s="15">
        <v>7832</v>
      </c>
      <c r="D22" s="15">
        <v>8551</v>
      </c>
      <c r="E22" s="15">
        <v>9837</v>
      </c>
      <c r="F22" s="15">
        <v>9680</v>
      </c>
      <c r="G22" s="15">
        <v>8484</v>
      </c>
      <c r="H22" s="15">
        <v>7856</v>
      </c>
      <c r="I22" s="15">
        <v>9541</v>
      </c>
      <c r="J22" s="15">
        <v>10411</v>
      </c>
      <c r="K22" s="15">
        <v>11390</v>
      </c>
      <c r="L22" s="15">
        <v>11044</v>
      </c>
      <c r="M22" s="15">
        <v>9845</v>
      </c>
      <c r="N22" s="15">
        <v>7907</v>
      </c>
      <c r="O22" s="15">
        <v>5503</v>
      </c>
      <c r="P22" s="15">
        <v>4221</v>
      </c>
      <c r="Q22" s="15">
        <v>3625</v>
      </c>
      <c r="R22" s="15">
        <v>3079</v>
      </c>
      <c r="S22" s="15">
        <v>2104</v>
      </c>
      <c r="T22" s="15">
        <v>1466</v>
      </c>
      <c r="U22" s="16">
        <f t="shared" si="1"/>
        <v>132376</v>
      </c>
    </row>
    <row r="23" spans="1:21">
      <c r="A23" s="12">
        <v>2004</v>
      </c>
      <c r="B23" s="4"/>
      <c r="C23" s="15">
        <v>7909</v>
      </c>
      <c r="D23" s="15">
        <v>8440</v>
      </c>
      <c r="E23" s="15">
        <v>9535</v>
      </c>
      <c r="F23" s="15">
        <v>9955</v>
      </c>
      <c r="G23" s="15">
        <v>8726</v>
      </c>
      <c r="H23" s="15">
        <v>7851</v>
      </c>
      <c r="I23" s="15">
        <v>9196</v>
      </c>
      <c r="J23" s="15">
        <v>10132</v>
      </c>
      <c r="K23" s="15">
        <v>11424</v>
      </c>
      <c r="L23" s="15">
        <v>11064</v>
      </c>
      <c r="M23" s="15">
        <v>10125</v>
      </c>
      <c r="N23" s="15">
        <v>8355</v>
      </c>
      <c r="O23" s="15">
        <v>5783</v>
      </c>
      <c r="P23" s="15">
        <v>4362</v>
      </c>
      <c r="Q23" s="15">
        <v>3593</v>
      </c>
      <c r="R23" s="15">
        <v>3168</v>
      </c>
      <c r="S23" s="15">
        <v>2138</v>
      </c>
      <c r="T23" s="15">
        <v>1544</v>
      </c>
      <c r="U23" s="16">
        <f t="shared" si="1"/>
        <v>133300</v>
      </c>
    </row>
    <row r="24" spans="1:21">
      <c r="A24" s="12">
        <v>2005</v>
      </c>
      <c r="B24" s="4"/>
      <c r="C24" s="15">
        <v>7947</v>
      </c>
      <c r="D24" s="15">
        <v>8267</v>
      </c>
      <c r="E24" s="15">
        <v>9415</v>
      </c>
      <c r="F24" s="15">
        <v>9970</v>
      </c>
      <c r="G24" s="15">
        <v>9018</v>
      </c>
      <c r="H24" s="15">
        <v>8005</v>
      </c>
      <c r="I24" s="15">
        <v>8802</v>
      </c>
      <c r="J24" s="15">
        <v>10011</v>
      </c>
      <c r="K24" s="15">
        <v>11399</v>
      </c>
      <c r="L24" s="15">
        <v>11104</v>
      </c>
      <c r="M24" s="15">
        <v>10322</v>
      </c>
      <c r="N24" s="15">
        <v>8817</v>
      </c>
      <c r="O24" s="15">
        <v>6156</v>
      </c>
      <c r="P24" s="15">
        <v>4406</v>
      </c>
      <c r="Q24" s="15">
        <v>3583</v>
      </c>
      <c r="R24" s="15">
        <v>3147</v>
      </c>
      <c r="S24" s="15">
        <v>2162</v>
      </c>
      <c r="T24" s="15">
        <v>1611</v>
      </c>
      <c r="U24" s="16">
        <f t="shared" si="1"/>
        <v>134142</v>
      </c>
    </row>
    <row r="25" spans="1:21">
      <c r="A25" s="12">
        <v>2006</v>
      </c>
      <c r="B25" s="4"/>
      <c r="C25" s="15">
        <v>7882</v>
      </c>
      <c r="D25" s="15">
        <v>8283</v>
      </c>
      <c r="E25" s="15">
        <v>9246</v>
      </c>
      <c r="F25" s="15">
        <v>10060</v>
      </c>
      <c r="G25" s="15">
        <v>9001</v>
      </c>
      <c r="H25" s="15">
        <v>8283</v>
      </c>
      <c r="I25" s="15">
        <v>8272</v>
      </c>
      <c r="J25" s="15">
        <v>9934</v>
      </c>
      <c r="K25" s="15">
        <v>11205</v>
      </c>
      <c r="L25" s="15">
        <v>11262</v>
      </c>
      <c r="M25" s="15">
        <v>10433</v>
      </c>
      <c r="N25" s="15">
        <v>9359</v>
      </c>
      <c r="O25" s="15">
        <v>6401</v>
      </c>
      <c r="P25" s="15">
        <v>4502</v>
      </c>
      <c r="Q25" s="15">
        <v>3633</v>
      </c>
      <c r="R25" s="15">
        <v>3163</v>
      </c>
      <c r="S25" s="15">
        <v>2157</v>
      </c>
      <c r="T25" s="15">
        <v>1686</v>
      </c>
      <c r="U25" s="16">
        <f t="shared" si="1"/>
        <v>134762</v>
      </c>
    </row>
    <row r="26" spans="1:21">
      <c r="A26" s="12">
        <v>2007</v>
      </c>
      <c r="B26" s="4"/>
      <c r="C26" s="15">
        <v>7924</v>
      </c>
      <c r="D26" s="15">
        <v>8355</v>
      </c>
      <c r="E26" s="15">
        <v>9094</v>
      </c>
      <c r="F26" s="15">
        <v>9971</v>
      </c>
      <c r="G26" s="15">
        <v>8890</v>
      </c>
      <c r="H26" s="15">
        <v>8573</v>
      </c>
      <c r="I26" s="15">
        <v>8271</v>
      </c>
      <c r="J26" s="15">
        <v>9757</v>
      </c>
      <c r="K26" s="15">
        <v>10815</v>
      </c>
      <c r="L26" s="15">
        <v>11272</v>
      </c>
      <c r="M26" s="15">
        <v>10768</v>
      </c>
      <c r="N26" s="15">
        <v>9270</v>
      </c>
      <c r="O26" s="15">
        <v>7089</v>
      </c>
      <c r="P26" s="15">
        <v>4742</v>
      </c>
      <c r="Q26" s="15">
        <v>3695</v>
      </c>
      <c r="R26" s="15">
        <v>3107</v>
      </c>
      <c r="S26" s="15">
        <v>2261</v>
      </c>
      <c r="T26" s="15">
        <v>1735</v>
      </c>
      <c r="U26" s="16">
        <f t="shared" si="1"/>
        <v>135589</v>
      </c>
    </row>
    <row r="27" spans="1:21">
      <c r="A27" s="12">
        <v>2008</v>
      </c>
      <c r="B27" s="4"/>
      <c r="C27" s="15">
        <v>7805</v>
      </c>
      <c r="D27" s="15">
        <v>8437</v>
      </c>
      <c r="E27" s="15">
        <v>8957</v>
      </c>
      <c r="F27" s="15">
        <v>9874</v>
      </c>
      <c r="G27" s="15">
        <v>8893</v>
      </c>
      <c r="H27" s="15">
        <v>8794</v>
      </c>
      <c r="I27" s="15">
        <v>8279</v>
      </c>
      <c r="J27" s="15">
        <v>9561</v>
      </c>
      <c r="K27" s="15">
        <v>10470</v>
      </c>
      <c r="L27" s="15">
        <v>11322</v>
      </c>
      <c r="M27" s="15">
        <v>10980</v>
      </c>
      <c r="N27" s="15">
        <v>9431</v>
      </c>
      <c r="O27" s="15">
        <v>7574</v>
      </c>
      <c r="P27" s="15">
        <v>5059</v>
      </c>
      <c r="Q27" s="15">
        <v>3773</v>
      </c>
      <c r="R27" s="15">
        <v>3095</v>
      </c>
      <c r="S27" s="15">
        <v>2254</v>
      </c>
      <c r="T27" s="15">
        <v>1834</v>
      </c>
      <c r="U27" s="16">
        <f t="shared" si="1"/>
        <v>136392</v>
      </c>
    </row>
    <row r="28" spans="1:21">
      <c r="A28" s="12">
        <v>2009</v>
      </c>
      <c r="B28" s="4"/>
      <c r="C28" s="15">
        <v>7710</v>
      </c>
      <c r="D28" s="15">
        <v>8448</v>
      </c>
      <c r="E28" s="15">
        <v>8911</v>
      </c>
      <c r="F28" s="15">
        <v>9668</v>
      </c>
      <c r="G28" s="15">
        <v>8935</v>
      </c>
      <c r="H28" s="15">
        <v>8831</v>
      </c>
      <c r="I28" s="15">
        <v>8308</v>
      </c>
      <c r="J28" s="15">
        <v>9369</v>
      </c>
      <c r="K28" s="15">
        <v>10236</v>
      </c>
      <c r="L28" s="15">
        <v>11361</v>
      </c>
      <c r="M28" s="15">
        <v>11028</v>
      </c>
      <c r="N28" s="15">
        <v>9719</v>
      </c>
      <c r="O28" s="15">
        <v>8025</v>
      </c>
      <c r="P28" s="15">
        <v>5372</v>
      </c>
      <c r="Q28" s="15">
        <v>3868</v>
      </c>
      <c r="R28" s="15">
        <v>2993</v>
      </c>
      <c r="S28" s="15">
        <v>2309</v>
      </c>
      <c r="T28" s="15">
        <v>1869</v>
      </c>
      <c r="U28" s="16">
        <f t="shared" si="1"/>
        <v>136960</v>
      </c>
    </row>
    <row r="29" spans="1:21">
      <c r="A29" s="12">
        <v>2010</v>
      </c>
      <c r="B29" s="4"/>
      <c r="C29" s="15">
        <v>7542</v>
      </c>
      <c r="D29" s="15">
        <v>8362</v>
      </c>
      <c r="E29" s="15">
        <v>8722</v>
      </c>
      <c r="F29" s="15">
        <v>9486</v>
      </c>
      <c r="G29" s="15">
        <v>8733</v>
      </c>
      <c r="H29" s="15">
        <v>8825</v>
      </c>
      <c r="I29" s="15">
        <v>8342</v>
      </c>
      <c r="J29" s="15">
        <v>8857</v>
      </c>
      <c r="K29" s="15">
        <v>10071</v>
      </c>
      <c r="L29" s="15">
        <v>11316</v>
      </c>
      <c r="M29" s="15">
        <v>11016</v>
      </c>
      <c r="N29" s="15">
        <v>9918</v>
      </c>
      <c r="O29" s="15">
        <v>8531</v>
      </c>
      <c r="P29" s="15">
        <v>5700</v>
      </c>
      <c r="Q29" s="15">
        <v>3906</v>
      </c>
      <c r="R29" s="15">
        <v>3016</v>
      </c>
      <c r="S29" s="15">
        <v>2259</v>
      </c>
      <c r="T29" s="15">
        <v>1946</v>
      </c>
      <c r="U29" s="16">
        <f t="shared" si="1"/>
        <v>136548</v>
      </c>
    </row>
    <row r="30" spans="1:21">
      <c r="A30" s="23">
        <v>2015</v>
      </c>
      <c r="B30" s="4"/>
      <c r="C30" s="15">
        <v>7414.2524567761302</v>
      </c>
      <c r="D30" s="15">
        <v>7610.5767879554578</v>
      </c>
      <c r="E30" s="15">
        <v>8359.081536756079</v>
      </c>
      <c r="F30" s="15">
        <v>8699.6336314296459</v>
      </c>
      <c r="G30" s="15">
        <v>9454.3953602172369</v>
      </c>
      <c r="H30" s="15">
        <v>8761.4661050654158</v>
      </c>
      <c r="I30" s="15">
        <v>9143.453294302115</v>
      </c>
      <c r="J30" s="15">
        <v>8336.9600122611937</v>
      </c>
      <c r="K30" s="15">
        <v>8888.3438414302273</v>
      </c>
      <c r="L30" s="15">
        <v>9938.4618063457492</v>
      </c>
      <c r="M30" s="15">
        <v>11082.360193828003</v>
      </c>
      <c r="N30" s="15">
        <v>10672.16134649229</v>
      </c>
      <c r="O30" s="15">
        <v>9679.2612547414883</v>
      </c>
      <c r="P30" s="15">
        <v>8010.7104725259724</v>
      </c>
      <c r="Q30" s="15">
        <v>5198.0126788650023</v>
      </c>
      <c r="R30" s="15">
        <v>3273.2283900114944</v>
      </c>
      <c r="S30" s="15">
        <v>2230.613740891923</v>
      </c>
      <c r="T30" s="15">
        <v>2115.9329647716986</v>
      </c>
      <c r="U30" s="16">
        <f t="shared" si="1"/>
        <v>138868.90587466711</v>
      </c>
    </row>
    <row r="31" spans="1:21">
      <c r="A31" s="23">
        <v>2020</v>
      </c>
      <c r="B31" s="4"/>
      <c r="C31" s="15">
        <v>7407.54072021723</v>
      </c>
      <c r="D31" s="15">
        <v>7521.1714240184592</v>
      </c>
      <c r="E31" s="15">
        <v>7655.1578971296249</v>
      </c>
      <c r="F31" s="15">
        <v>8367.5914082992658</v>
      </c>
      <c r="G31" s="15">
        <v>8863.2368839265528</v>
      </c>
      <c r="H31" s="15">
        <v>9278.8227351795394</v>
      </c>
      <c r="I31" s="15">
        <v>9133.1679924633918</v>
      </c>
      <c r="J31" s="15">
        <v>9094.1122214269708</v>
      </c>
      <c r="K31" s="15">
        <v>8454.3548148216578</v>
      </c>
      <c r="L31" s="15">
        <v>8840.6232610990846</v>
      </c>
      <c r="M31" s="15">
        <v>9781.6491309975736</v>
      </c>
      <c r="N31" s="15">
        <v>10709.941688729081</v>
      </c>
      <c r="O31" s="15">
        <v>10386.475578574711</v>
      </c>
      <c r="P31" s="15">
        <v>9084.7696241851518</v>
      </c>
      <c r="Q31" s="15">
        <v>7227.4250144867119</v>
      </c>
      <c r="R31" s="15">
        <v>4351.8799977950675</v>
      </c>
      <c r="S31" s="15">
        <v>2437.2375229141962</v>
      </c>
      <c r="T31" s="15">
        <v>2188.4282994514324</v>
      </c>
      <c r="U31" s="16">
        <f t="shared" si="1"/>
        <v>140783.58621571568</v>
      </c>
    </row>
    <row r="32" spans="1:21">
      <c r="A32" s="23">
        <v>2025</v>
      </c>
      <c r="B32" s="4"/>
      <c r="C32" s="15">
        <v>7350.9898316741474</v>
      </c>
      <c r="D32" s="15">
        <v>7537.0605586740594</v>
      </c>
      <c r="E32" s="15">
        <v>7582.3917378632859</v>
      </c>
      <c r="F32" s="15">
        <v>7712.5483388432103</v>
      </c>
      <c r="G32" s="15">
        <v>8640.7065588207861</v>
      </c>
      <c r="H32" s="15">
        <v>8925.4772373852393</v>
      </c>
      <c r="I32" s="15">
        <v>9516.685073023702</v>
      </c>
      <c r="J32" s="15">
        <v>9106.5417855543874</v>
      </c>
      <c r="K32" s="15">
        <v>9191.8263347738011</v>
      </c>
      <c r="L32" s="15">
        <v>8473.0061586331522</v>
      </c>
      <c r="M32" s="15">
        <v>8770.2366316096941</v>
      </c>
      <c r="N32" s="15">
        <v>9488.6413613879577</v>
      </c>
      <c r="O32" s="15">
        <v>10392.80736362031</v>
      </c>
      <c r="P32" s="15">
        <v>9734.5323625404562</v>
      </c>
      <c r="Q32" s="15">
        <v>8192.4584933172446</v>
      </c>
      <c r="R32" s="15">
        <v>6001.4374530045361</v>
      </c>
      <c r="S32" s="15">
        <v>3238.3982840597769</v>
      </c>
      <c r="T32" s="15">
        <v>2362.2565164700572</v>
      </c>
      <c r="U32" s="16">
        <f t="shared" si="1"/>
        <v>142218.00208125578</v>
      </c>
    </row>
    <row r="33" spans="1:21">
      <c r="A33" s="23">
        <v>2030</v>
      </c>
      <c r="B33" s="4"/>
      <c r="C33" s="15">
        <v>7240.9225375377164</v>
      </c>
      <c r="D33" s="15">
        <v>7509.0512165363743</v>
      </c>
      <c r="E33" s="15">
        <v>7608.4243472307371</v>
      </c>
      <c r="F33" s="15">
        <v>7657.5583416363988</v>
      </c>
      <c r="G33" s="15">
        <v>8153.0279367544244</v>
      </c>
      <c r="H33" s="15">
        <v>8835.8951383872882</v>
      </c>
      <c r="I33" s="15">
        <v>9329.7091705420025</v>
      </c>
      <c r="J33" s="15">
        <v>9430.0744778355947</v>
      </c>
      <c r="K33" s="15">
        <v>9221.4872034249638</v>
      </c>
      <c r="L33" s="15">
        <v>9190.7554170560525</v>
      </c>
      <c r="M33" s="15">
        <v>8468.584589796159</v>
      </c>
      <c r="N33" s="15">
        <v>8557.9011928118962</v>
      </c>
      <c r="O33" s="15">
        <v>9252.3777159032816</v>
      </c>
      <c r="P33" s="15">
        <v>9725.6659149841835</v>
      </c>
      <c r="Q33" s="15">
        <v>8761.6161197049405</v>
      </c>
      <c r="R33" s="15">
        <v>6801.4597115350252</v>
      </c>
      <c r="S33" s="15">
        <v>4423.3872303027547</v>
      </c>
      <c r="T33" s="15">
        <v>2911.1184494216141</v>
      </c>
      <c r="U33" s="16">
        <f t="shared" si="1"/>
        <v>143079.0167114014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15348</v>
      </c>
      <c r="D36" s="15">
        <f t="shared" ref="D36:T36" si="2">D20+D4</f>
        <v>17054</v>
      </c>
      <c r="E36" s="15">
        <f t="shared" si="2"/>
        <v>18839</v>
      </c>
      <c r="F36" s="15">
        <f t="shared" si="2"/>
        <v>18197</v>
      </c>
      <c r="G36" s="15">
        <f t="shared" si="2"/>
        <v>15788</v>
      </c>
      <c r="H36" s="15">
        <f t="shared" si="2"/>
        <v>15862</v>
      </c>
      <c r="I36" s="15">
        <f t="shared" si="2"/>
        <v>19875</v>
      </c>
      <c r="J36" s="15">
        <f t="shared" si="2"/>
        <v>22478</v>
      </c>
      <c r="K36" s="15">
        <f t="shared" si="2"/>
        <v>23752</v>
      </c>
      <c r="L36" s="15">
        <f t="shared" si="2"/>
        <v>21704</v>
      </c>
      <c r="M36" s="15">
        <f t="shared" si="2"/>
        <v>19743</v>
      </c>
      <c r="N36" s="15">
        <f t="shared" si="2"/>
        <v>13794</v>
      </c>
      <c r="O36" s="15">
        <f t="shared" si="2"/>
        <v>10314</v>
      </c>
      <c r="P36" s="15">
        <f t="shared" si="2"/>
        <v>8969</v>
      </c>
      <c r="Q36" s="15">
        <f t="shared" si="2"/>
        <v>8508</v>
      </c>
      <c r="R36" s="15">
        <f t="shared" si="2"/>
        <v>7540</v>
      </c>
      <c r="S36" s="15">
        <f t="shared" si="2"/>
        <v>5583</v>
      </c>
      <c r="T36" s="15">
        <f t="shared" si="2"/>
        <v>5043</v>
      </c>
      <c r="U36" s="16">
        <f>SUM(C36:T36)</f>
        <v>268391</v>
      </c>
    </row>
    <row r="37" spans="1:21">
      <c r="A37" s="12">
        <v>2002</v>
      </c>
      <c r="B37" s="4"/>
      <c r="C37" s="15">
        <f t="shared" ref="C37:T49" si="3">C21+C5</f>
        <v>15092</v>
      </c>
      <c r="D37" s="15">
        <f t="shared" si="3"/>
        <v>16831</v>
      </c>
      <c r="E37" s="15">
        <f t="shared" si="3"/>
        <v>18982</v>
      </c>
      <c r="F37" s="15">
        <f t="shared" si="3"/>
        <v>18466</v>
      </c>
      <c r="G37" s="15">
        <f t="shared" si="3"/>
        <v>16214</v>
      </c>
      <c r="H37" s="15">
        <f t="shared" si="3"/>
        <v>15816</v>
      </c>
      <c r="I37" s="15">
        <f t="shared" si="3"/>
        <v>19662</v>
      </c>
      <c r="J37" s="15">
        <f t="shared" si="3"/>
        <v>21929</v>
      </c>
      <c r="K37" s="15">
        <f t="shared" si="3"/>
        <v>23772</v>
      </c>
      <c r="L37" s="15">
        <f t="shared" si="3"/>
        <v>22211</v>
      </c>
      <c r="M37" s="15">
        <f t="shared" si="3"/>
        <v>19808</v>
      </c>
      <c r="N37" s="15">
        <f t="shared" si="3"/>
        <v>15246</v>
      </c>
      <c r="O37" s="15">
        <f t="shared" si="3"/>
        <v>10734</v>
      </c>
      <c r="P37" s="15">
        <f t="shared" si="3"/>
        <v>8927</v>
      </c>
      <c r="Q37" s="15">
        <f t="shared" si="3"/>
        <v>8394</v>
      </c>
      <c r="R37" s="15">
        <f t="shared" si="3"/>
        <v>7616</v>
      </c>
      <c r="S37" s="15">
        <f t="shared" si="3"/>
        <v>5743</v>
      </c>
      <c r="T37" s="15">
        <f t="shared" si="3"/>
        <v>5090</v>
      </c>
      <c r="U37" s="16">
        <f t="shared" ref="U37:U49" si="4">SUM(C37:T37)</f>
        <v>270533</v>
      </c>
    </row>
    <row r="38" spans="1:21">
      <c r="A38" s="12">
        <v>2003</v>
      </c>
      <c r="B38" s="4"/>
      <c r="C38" s="15">
        <f t="shared" si="3"/>
        <v>15300</v>
      </c>
      <c r="D38" s="15">
        <f t="shared" si="3"/>
        <v>16624</v>
      </c>
      <c r="E38" s="15">
        <f t="shared" si="3"/>
        <v>18897</v>
      </c>
      <c r="F38" s="15">
        <f t="shared" si="3"/>
        <v>18832</v>
      </c>
      <c r="G38" s="15">
        <f t="shared" si="3"/>
        <v>16767</v>
      </c>
      <c r="H38" s="15">
        <f t="shared" si="3"/>
        <v>15924</v>
      </c>
      <c r="I38" s="15">
        <f t="shared" si="3"/>
        <v>19200</v>
      </c>
      <c r="J38" s="15">
        <f t="shared" si="3"/>
        <v>21387</v>
      </c>
      <c r="K38" s="15">
        <f t="shared" si="3"/>
        <v>23660</v>
      </c>
      <c r="L38" s="15">
        <f t="shared" si="3"/>
        <v>22736</v>
      </c>
      <c r="M38" s="15">
        <f t="shared" si="3"/>
        <v>20226</v>
      </c>
      <c r="N38" s="15">
        <f t="shared" si="3"/>
        <v>16033</v>
      </c>
      <c r="O38" s="15">
        <f t="shared" si="3"/>
        <v>11469</v>
      </c>
      <c r="P38" s="15">
        <f t="shared" si="3"/>
        <v>9085</v>
      </c>
      <c r="Q38" s="15">
        <f t="shared" si="3"/>
        <v>8252</v>
      </c>
      <c r="R38" s="15">
        <f t="shared" si="3"/>
        <v>7622</v>
      </c>
      <c r="S38" s="15">
        <f t="shared" si="3"/>
        <v>5861</v>
      </c>
      <c r="T38" s="15">
        <f t="shared" si="3"/>
        <v>5166</v>
      </c>
      <c r="U38" s="16">
        <f t="shared" si="4"/>
        <v>273041</v>
      </c>
    </row>
    <row r="39" spans="1:21">
      <c r="A39" s="12">
        <v>2004</v>
      </c>
      <c r="B39" s="4"/>
      <c r="C39" s="15">
        <f t="shared" si="3"/>
        <v>15416</v>
      </c>
      <c r="D39" s="15">
        <f t="shared" si="3"/>
        <v>16513</v>
      </c>
      <c r="E39" s="15">
        <f t="shared" si="3"/>
        <v>18469</v>
      </c>
      <c r="F39" s="15">
        <f t="shared" si="3"/>
        <v>19288</v>
      </c>
      <c r="G39" s="15">
        <f t="shared" si="3"/>
        <v>17209</v>
      </c>
      <c r="H39" s="15">
        <f t="shared" si="3"/>
        <v>16014</v>
      </c>
      <c r="I39" s="15">
        <f t="shared" si="3"/>
        <v>18518</v>
      </c>
      <c r="J39" s="15">
        <f t="shared" si="3"/>
        <v>20760</v>
      </c>
      <c r="K39" s="15">
        <f t="shared" si="3"/>
        <v>23477</v>
      </c>
      <c r="L39" s="15">
        <f t="shared" si="3"/>
        <v>22940</v>
      </c>
      <c r="M39" s="15">
        <f t="shared" si="3"/>
        <v>20689</v>
      </c>
      <c r="N39" s="15">
        <f t="shared" si="3"/>
        <v>16999</v>
      </c>
      <c r="O39" s="15">
        <f t="shared" si="3"/>
        <v>12140</v>
      </c>
      <c r="P39" s="15">
        <f t="shared" si="3"/>
        <v>9300</v>
      </c>
      <c r="Q39" s="15">
        <f t="shared" si="3"/>
        <v>8145</v>
      </c>
      <c r="R39" s="15">
        <f t="shared" si="3"/>
        <v>7670</v>
      </c>
      <c r="S39" s="15">
        <f t="shared" si="3"/>
        <v>6003</v>
      </c>
      <c r="T39" s="15">
        <f t="shared" si="3"/>
        <v>5370</v>
      </c>
      <c r="U39" s="16">
        <f t="shared" si="4"/>
        <v>274920</v>
      </c>
    </row>
    <row r="40" spans="1:21">
      <c r="A40" s="12">
        <v>2005</v>
      </c>
      <c r="B40" s="4"/>
      <c r="C40" s="15">
        <f t="shared" si="3"/>
        <v>15427</v>
      </c>
      <c r="D40" s="15">
        <f t="shared" si="3"/>
        <v>16234</v>
      </c>
      <c r="E40" s="15">
        <f t="shared" si="3"/>
        <v>18277</v>
      </c>
      <c r="F40" s="15">
        <f t="shared" si="3"/>
        <v>19378</v>
      </c>
      <c r="G40" s="15">
        <f t="shared" si="3"/>
        <v>17716</v>
      </c>
      <c r="H40" s="15">
        <f t="shared" si="3"/>
        <v>16236</v>
      </c>
      <c r="I40" s="15">
        <f t="shared" si="3"/>
        <v>17584</v>
      </c>
      <c r="J40" s="15">
        <f t="shared" si="3"/>
        <v>20556</v>
      </c>
      <c r="K40" s="15">
        <f t="shared" si="3"/>
        <v>23174</v>
      </c>
      <c r="L40" s="15">
        <f t="shared" si="3"/>
        <v>23142</v>
      </c>
      <c r="M40" s="15">
        <f t="shared" si="3"/>
        <v>21092</v>
      </c>
      <c r="N40" s="15">
        <f t="shared" si="3"/>
        <v>17943</v>
      </c>
      <c r="O40" s="15">
        <f t="shared" si="3"/>
        <v>12791</v>
      </c>
      <c r="P40" s="15">
        <f t="shared" si="3"/>
        <v>9443</v>
      </c>
      <c r="Q40" s="15">
        <f t="shared" si="3"/>
        <v>8150</v>
      </c>
      <c r="R40" s="15">
        <f t="shared" si="3"/>
        <v>7538</v>
      </c>
      <c r="S40" s="15">
        <f t="shared" si="3"/>
        <v>6055</v>
      </c>
      <c r="T40" s="15">
        <f t="shared" si="3"/>
        <v>5539</v>
      </c>
      <c r="U40" s="16">
        <f t="shared" si="4"/>
        <v>276275</v>
      </c>
    </row>
    <row r="41" spans="1:21">
      <c r="A41" s="12">
        <v>2006</v>
      </c>
      <c r="B41" s="4"/>
      <c r="C41" s="15">
        <f t="shared" si="3"/>
        <v>15217</v>
      </c>
      <c r="D41" s="15">
        <f t="shared" si="3"/>
        <v>16260</v>
      </c>
      <c r="E41" s="15">
        <f t="shared" si="3"/>
        <v>17834</v>
      </c>
      <c r="F41" s="15">
        <f t="shared" si="3"/>
        <v>19530</v>
      </c>
      <c r="G41" s="15">
        <f t="shared" si="3"/>
        <v>17764</v>
      </c>
      <c r="H41" s="15">
        <f t="shared" si="3"/>
        <v>16559</v>
      </c>
      <c r="I41" s="15">
        <f t="shared" si="3"/>
        <v>16640</v>
      </c>
      <c r="J41" s="15">
        <f t="shared" si="3"/>
        <v>20368</v>
      </c>
      <c r="K41" s="15">
        <f t="shared" si="3"/>
        <v>22673</v>
      </c>
      <c r="L41" s="15">
        <f t="shared" si="3"/>
        <v>23463</v>
      </c>
      <c r="M41" s="15">
        <f t="shared" si="3"/>
        <v>21461</v>
      </c>
      <c r="N41" s="15">
        <f t="shared" si="3"/>
        <v>19001</v>
      </c>
      <c r="O41" s="15">
        <f t="shared" si="3"/>
        <v>13325</v>
      </c>
      <c r="P41" s="15">
        <f t="shared" si="3"/>
        <v>9622</v>
      </c>
      <c r="Q41" s="15">
        <f t="shared" si="3"/>
        <v>8118</v>
      </c>
      <c r="R41" s="15">
        <f t="shared" si="3"/>
        <v>7544</v>
      </c>
      <c r="S41" s="15">
        <f t="shared" si="3"/>
        <v>5933</v>
      </c>
      <c r="T41" s="15">
        <f t="shared" si="3"/>
        <v>5772</v>
      </c>
      <c r="U41" s="16">
        <f t="shared" si="4"/>
        <v>277084</v>
      </c>
    </row>
    <row r="42" spans="1:21">
      <c r="A42" s="12">
        <v>2007</v>
      </c>
      <c r="B42" s="4"/>
      <c r="C42" s="15">
        <f t="shared" si="3"/>
        <v>15221</v>
      </c>
      <c r="D42" s="15">
        <f t="shared" si="3"/>
        <v>16270</v>
      </c>
      <c r="E42" s="15">
        <f t="shared" si="3"/>
        <v>17647</v>
      </c>
      <c r="F42" s="15">
        <f t="shared" si="3"/>
        <v>19373</v>
      </c>
      <c r="G42" s="15">
        <f t="shared" si="3"/>
        <v>17617</v>
      </c>
      <c r="H42" s="15">
        <f t="shared" si="3"/>
        <v>17160</v>
      </c>
      <c r="I42" s="15">
        <f t="shared" si="3"/>
        <v>16425</v>
      </c>
      <c r="J42" s="15">
        <f t="shared" si="3"/>
        <v>20068</v>
      </c>
      <c r="K42" s="15">
        <f t="shared" si="3"/>
        <v>21929</v>
      </c>
      <c r="L42" s="15">
        <f t="shared" si="3"/>
        <v>23447</v>
      </c>
      <c r="M42" s="15">
        <f t="shared" si="3"/>
        <v>22035</v>
      </c>
      <c r="N42" s="15">
        <f t="shared" si="3"/>
        <v>19123</v>
      </c>
      <c r="O42" s="15">
        <f t="shared" si="3"/>
        <v>14632</v>
      </c>
      <c r="P42" s="15">
        <f t="shared" si="3"/>
        <v>10080</v>
      </c>
      <c r="Q42" s="15">
        <f t="shared" si="3"/>
        <v>8232</v>
      </c>
      <c r="R42" s="15">
        <f t="shared" si="3"/>
        <v>7442</v>
      </c>
      <c r="S42" s="15">
        <f t="shared" si="3"/>
        <v>6092</v>
      </c>
      <c r="T42" s="15">
        <f t="shared" si="3"/>
        <v>5988</v>
      </c>
      <c r="U42" s="16">
        <f t="shared" si="4"/>
        <v>278781</v>
      </c>
    </row>
    <row r="43" spans="1:21">
      <c r="A43" s="12">
        <v>2008</v>
      </c>
      <c r="B43" s="4"/>
      <c r="C43" s="15">
        <f t="shared" si="3"/>
        <v>15146</v>
      </c>
      <c r="D43" s="15">
        <f t="shared" si="3"/>
        <v>16425</v>
      </c>
      <c r="E43" s="15">
        <f t="shared" si="3"/>
        <v>17372</v>
      </c>
      <c r="F43" s="15">
        <f t="shared" si="3"/>
        <v>19238</v>
      </c>
      <c r="G43" s="15">
        <f t="shared" si="3"/>
        <v>17646</v>
      </c>
      <c r="H43" s="15">
        <f t="shared" si="3"/>
        <v>17413</v>
      </c>
      <c r="I43" s="15">
        <f t="shared" si="3"/>
        <v>16571</v>
      </c>
      <c r="J43" s="15">
        <f t="shared" si="3"/>
        <v>19495</v>
      </c>
      <c r="K43" s="15">
        <f t="shared" si="3"/>
        <v>21388</v>
      </c>
      <c r="L43" s="15">
        <f t="shared" si="3"/>
        <v>23509</v>
      </c>
      <c r="M43" s="15">
        <f t="shared" si="3"/>
        <v>22459</v>
      </c>
      <c r="N43" s="15">
        <f t="shared" si="3"/>
        <v>19644</v>
      </c>
      <c r="O43" s="15">
        <f t="shared" si="3"/>
        <v>15511</v>
      </c>
      <c r="P43" s="15">
        <f t="shared" si="3"/>
        <v>10812</v>
      </c>
      <c r="Q43" s="15">
        <f t="shared" si="3"/>
        <v>8411</v>
      </c>
      <c r="R43" s="15">
        <f t="shared" si="3"/>
        <v>7304</v>
      </c>
      <c r="S43" s="15">
        <f t="shared" si="3"/>
        <v>6107</v>
      </c>
      <c r="T43" s="15">
        <f t="shared" si="3"/>
        <v>6230</v>
      </c>
      <c r="U43" s="16">
        <f t="shared" si="4"/>
        <v>280681</v>
      </c>
    </row>
    <row r="44" spans="1:21">
      <c r="A44" s="12">
        <v>2009</v>
      </c>
      <c r="B44" s="4"/>
      <c r="C44" s="15">
        <f t="shared" si="3"/>
        <v>14946</v>
      </c>
      <c r="D44" s="15">
        <f t="shared" si="3"/>
        <v>16400</v>
      </c>
      <c r="E44" s="15">
        <f t="shared" si="3"/>
        <v>17381</v>
      </c>
      <c r="F44" s="15">
        <f t="shared" si="3"/>
        <v>18874</v>
      </c>
      <c r="G44" s="15">
        <f t="shared" si="3"/>
        <v>17781</v>
      </c>
      <c r="H44" s="15">
        <f t="shared" si="3"/>
        <v>17598</v>
      </c>
      <c r="I44" s="15">
        <f t="shared" si="3"/>
        <v>16602</v>
      </c>
      <c r="J44" s="15">
        <f t="shared" si="3"/>
        <v>19052</v>
      </c>
      <c r="K44" s="15">
        <f t="shared" si="3"/>
        <v>20855</v>
      </c>
      <c r="L44" s="15">
        <f t="shared" si="3"/>
        <v>23388</v>
      </c>
      <c r="M44" s="15">
        <f t="shared" si="3"/>
        <v>22704</v>
      </c>
      <c r="N44" s="15">
        <f t="shared" si="3"/>
        <v>20300</v>
      </c>
      <c r="O44" s="15">
        <f t="shared" si="3"/>
        <v>16479</v>
      </c>
      <c r="P44" s="15">
        <f t="shared" si="3"/>
        <v>11537</v>
      </c>
      <c r="Q44" s="15">
        <f t="shared" si="3"/>
        <v>8500</v>
      </c>
      <c r="R44" s="15">
        <f t="shared" si="3"/>
        <v>7139</v>
      </c>
      <c r="S44" s="15">
        <f t="shared" si="3"/>
        <v>6089</v>
      </c>
      <c r="T44" s="15">
        <f t="shared" si="3"/>
        <v>6344</v>
      </c>
      <c r="U44" s="16">
        <f t="shared" si="4"/>
        <v>281969</v>
      </c>
    </row>
    <row r="45" spans="1:21">
      <c r="A45" s="12">
        <v>2010</v>
      </c>
      <c r="B45" s="4"/>
      <c r="C45" s="15">
        <f t="shared" si="3"/>
        <v>14689</v>
      </c>
      <c r="D45" s="15">
        <f t="shared" si="3"/>
        <v>16153</v>
      </c>
      <c r="E45" s="15">
        <f t="shared" si="3"/>
        <v>17119</v>
      </c>
      <c r="F45" s="15">
        <f t="shared" si="3"/>
        <v>18495</v>
      </c>
      <c r="G45" s="15">
        <f t="shared" si="3"/>
        <v>17552</v>
      </c>
      <c r="H45" s="15">
        <f t="shared" si="3"/>
        <v>17528</v>
      </c>
      <c r="I45" s="15">
        <f t="shared" si="3"/>
        <v>16707</v>
      </c>
      <c r="J45" s="15">
        <f t="shared" si="3"/>
        <v>18064</v>
      </c>
      <c r="K45" s="15">
        <f t="shared" si="3"/>
        <v>20588</v>
      </c>
      <c r="L45" s="15">
        <f t="shared" si="3"/>
        <v>23051</v>
      </c>
      <c r="M45" s="15">
        <f t="shared" si="3"/>
        <v>22836</v>
      </c>
      <c r="N45" s="15">
        <f t="shared" si="3"/>
        <v>20762</v>
      </c>
      <c r="O45" s="15">
        <f t="shared" si="3"/>
        <v>17468</v>
      </c>
      <c r="P45" s="15">
        <f t="shared" si="3"/>
        <v>12120</v>
      </c>
      <c r="Q45" s="15">
        <f t="shared" si="3"/>
        <v>8620</v>
      </c>
      <c r="R45" s="15">
        <f t="shared" si="3"/>
        <v>7156</v>
      </c>
      <c r="S45" s="15">
        <f t="shared" si="3"/>
        <v>5981</v>
      </c>
      <c r="T45" s="15">
        <f t="shared" si="3"/>
        <v>6497</v>
      </c>
      <c r="U45" s="16">
        <f t="shared" si="4"/>
        <v>281386</v>
      </c>
    </row>
    <row r="46" spans="1:21">
      <c r="A46" s="23">
        <v>2015</v>
      </c>
      <c r="B46" s="4"/>
      <c r="C46" s="15">
        <f t="shared" si="3"/>
        <v>14400.804439794849</v>
      </c>
      <c r="D46" s="15">
        <f t="shared" si="3"/>
        <v>14773.144423451278</v>
      </c>
      <c r="E46" s="15">
        <f t="shared" si="3"/>
        <v>16124.275126352535</v>
      </c>
      <c r="F46" s="15">
        <f t="shared" si="3"/>
        <v>17060.242910228735</v>
      </c>
      <c r="G46" s="15">
        <f t="shared" si="3"/>
        <v>18372.192427883958</v>
      </c>
      <c r="H46" s="15">
        <f t="shared" si="3"/>
        <v>17516.889081416899</v>
      </c>
      <c r="I46" s="15">
        <f t="shared" si="3"/>
        <v>18047.538447777813</v>
      </c>
      <c r="J46" s="15">
        <f t="shared" si="3"/>
        <v>16636.140540529064</v>
      </c>
      <c r="K46" s="15">
        <f t="shared" si="3"/>
        <v>18088.543964425113</v>
      </c>
      <c r="L46" s="15">
        <f t="shared" si="3"/>
        <v>20333.384784107831</v>
      </c>
      <c r="M46" s="15">
        <f t="shared" si="3"/>
        <v>22641.647249472851</v>
      </c>
      <c r="N46" s="15">
        <f t="shared" si="3"/>
        <v>22250.902386860282</v>
      </c>
      <c r="O46" s="15">
        <f t="shared" si="3"/>
        <v>20391.407029057082</v>
      </c>
      <c r="P46" s="15">
        <f t="shared" si="3"/>
        <v>16572.345395290213</v>
      </c>
      <c r="Q46" s="15">
        <f t="shared" si="3"/>
        <v>11205.244573469356</v>
      </c>
      <c r="R46" s="15">
        <f t="shared" si="3"/>
        <v>7440.073822382803</v>
      </c>
      <c r="S46" s="15">
        <f t="shared" si="3"/>
        <v>5585.4516432533219</v>
      </c>
      <c r="T46" s="15">
        <f t="shared" si="3"/>
        <v>6832.9131381486413</v>
      </c>
      <c r="U46" s="16">
        <f t="shared" si="4"/>
        <v>284273.14138390264</v>
      </c>
    </row>
    <row r="47" spans="1:21">
      <c r="A47" s="23">
        <v>2020</v>
      </c>
      <c r="B47" s="4"/>
      <c r="C47" s="15">
        <f t="shared" si="3"/>
        <v>14387.768141638073</v>
      </c>
      <c r="D47" s="15">
        <f t="shared" si="3"/>
        <v>14563.057687953946</v>
      </c>
      <c r="E47" s="15">
        <f t="shared" si="3"/>
        <v>14834.521153627951</v>
      </c>
      <c r="F47" s="15">
        <f t="shared" si="3"/>
        <v>16137.881418951001</v>
      </c>
      <c r="G47" s="15">
        <f t="shared" si="3"/>
        <v>17307.978551611784</v>
      </c>
      <c r="H47" s="15">
        <f t="shared" si="3"/>
        <v>18075.693445215544</v>
      </c>
      <c r="I47" s="15">
        <f t="shared" si="3"/>
        <v>18121.804935187844</v>
      </c>
      <c r="J47" s="15">
        <f t="shared" si="3"/>
        <v>17915.493601684033</v>
      </c>
      <c r="K47" s="15">
        <f t="shared" si="3"/>
        <v>16846.314277087688</v>
      </c>
      <c r="L47" s="15">
        <f t="shared" si="3"/>
        <v>17997.909003451183</v>
      </c>
      <c r="M47" s="15">
        <f t="shared" si="3"/>
        <v>20060.398517980291</v>
      </c>
      <c r="N47" s="15">
        <f t="shared" si="3"/>
        <v>22014.71560756438</v>
      </c>
      <c r="O47" s="15">
        <f t="shared" si="3"/>
        <v>21799.756904795122</v>
      </c>
      <c r="P47" s="15">
        <f t="shared" si="3"/>
        <v>19327.749555169732</v>
      </c>
      <c r="Q47" s="15">
        <f t="shared" si="3"/>
        <v>15185.986233129246</v>
      </c>
      <c r="R47" s="15">
        <f t="shared" si="3"/>
        <v>9663.8021627747021</v>
      </c>
      <c r="S47" s="15">
        <f t="shared" si="3"/>
        <v>5834.823059798382</v>
      </c>
      <c r="T47" s="15">
        <f t="shared" si="3"/>
        <v>6774.0244679321004</v>
      </c>
      <c r="U47" s="16">
        <f t="shared" si="4"/>
        <v>286849.67872555304</v>
      </c>
    </row>
    <row r="48" spans="1:21">
      <c r="A48" s="23">
        <v>2025</v>
      </c>
      <c r="B48" s="4"/>
      <c r="C48" s="15">
        <f t="shared" si="3"/>
        <v>14277.928573650166</v>
      </c>
      <c r="D48" s="15">
        <f t="shared" si="3"/>
        <v>14593.498747259069</v>
      </c>
      <c r="E48" s="15">
        <f t="shared" si="3"/>
        <v>14658.319862793123</v>
      </c>
      <c r="F48" s="15">
        <f t="shared" si="3"/>
        <v>14939.474713187301</v>
      </c>
      <c r="G48" s="15">
        <f t="shared" si="3"/>
        <v>16639.633448377135</v>
      </c>
      <c r="H48" s="15">
        <f t="shared" si="3"/>
        <v>17455.159768837788</v>
      </c>
      <c r="I48" s="15">
        <f t="shared" si="3"/>
        <v>18506.355121436205</v>
      </c>
      <c r="J48" s="15">
        <f t="shared" si="3"/>
        <v>18024.874906731951</v>
      </c>
      <c r="K48" s="15">
        <f t="shared" si="3"/>
        <v>18103.475892339324</v>
      </c>
      <c r="L48" s="15">
        <f t="shared" si="3"/>
        <v>16899.036283795314</v>
      </c>
      <c r="M48" s="15">
        <f t="shared" si="3"/>
        <v>17889.042222405827</v>
      </c>
      <c r="N48" s="15">
        <f t="shared" si="3"/>
        <v>19570.468409952831</v>
      </c>
      <c r="O48" s="15">
        <f t="shared" si="3"/>
        <v>21515.028709531143</v>
      </c>
      <c r="P48" s="15">
        <f t="shared" si="3"/>
        <v>20635.670613920658</v>
      </c>
      <c r="Q48" s="15">
        <f t="shared" si="3"/>
        <v>17689.847002208895</v>
      </c>
      <c r="R48" s="15">
        <f t="shared" si="3"/>
        <v>13005.249246167728</v>
      </c>
      <c r="S48" s="15">
        <f t="shared" si="3"/>
        <v>7572.2835413223384</v>
      </c>
      <c r="T48" s="15">
        <f t="shared" si="3"/>
        <v>6934.5372701271963</v>
      </c>
      <c r="U48" s="16">
        <f t="shared" si="4"/>
        <v>288909.88433404401</v>
      </c>
    </row>
    <row r="49" spans="1:21" ht="15.75" thickBot="1">
      <c r="A49" s="24">
        <v>2030</v>
      </c>
      <c r="B49" s="20"/>
      <c r="C49" s="21">
        <f t="shared" si="3"/>
        <v>14064.143355610082</v>
      </c>
      <c r="D49" s="21">
        <f t="shared" si="3"/>
        <v>14538.80086758128</v>
      </c>
      <c r="E49" s="21">
        <f t="shared" si="3"/>
        <v>14708.300537158157</v>
      </c>
      <c r="F49" s="21">
        <f t="shared" si="3"/>
        <v>14799.210834173609</v>
      </c>
      <c r="G49" s="21">
        <f t="shared" si="3"/>
        <v>15757.483743600851</v>
      </c>
      <c r="H49" s="21">
        <f t="shared" si="3"/>
        <v>17090.949128816363</v>
      </c>
      <c r="I49" s="21">
        <f t="shared" si="3"/>
        <v>18199.271813829633</v>
      </c>
      <c r="J49" s="21">
        <f t="shared" si="3"/>
        <v>18335.280357048759</v>
      </c>
      <c r="K49" s="21">
        <f t="shared" si="3"/>
        <v>18241.397460441818</v>
      </c>
      <c r="L49" s="21">
        <f t="shared" si="3"/>
        <v>18132.867848693561</v>
      </c>
      <c r="M49" s="21">
        <f t="shared" si="3"/>
        <v>16931.372764188098</v>
      </c>
      <c r="N49" s="21">
        <f t="shared" si="3"/>
        <v>17548.789169645224</v>
      </c>
      <c r="O49" s="21">
        <f t="shared" si="3"/>
        <v>19208.210982667089</v>
      </c>
      <c r="P49" s="21">
        <f t="shared" si="3"/>
        <v>20338.592165270329</v>
      </c>
      <c r="Q49" s="21">
        <f t="shared" si="3"/>
        <v>18854.284166876452</v>
      </c>
      <c r="R49" s="21">
        <f t="shared" si="3"/>
        <v>15144.39812870559</v>
      </c>
      <c r="S49" s="21">
        <f t="shared" si="3"/>
        <v>10109.338986320696</v>
      </c>
      <c r="T49" s="21">
        <f t="shared" si="3"/>
        <v>8098.6448019403251</v>
      </c>
      <c r="U49" s="22">
        <f t="shared" si="4"/>
        <v>290101.33711256791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7</v>
      </c>
      <c r="B1" s="8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719</v>
      </c>
      <c r="D4" s="15">
        <v>888</v>
      </c>
      <c r="E4" s="15">
        <v>1037</v>
      </c>
      <c r="F4" s="15">
        <v>1309</v>
      </c>
      <c r="G4" s="15">
        <v>1198</v>
      </c>
      <c r="H4" s="15">
        <v>712</v>
      </c>
      <c r="I4" s="15">
        <v>850</v>
      </c>
      <c r="J4" s="15">
        <v>1077</v>
      </c>
      <c r="K4" s="15">
        <v>1191</v>
      </c>
      <c r="L4" s="15">
        <v>1208</v>
      </c>
      <c r="M4" s="15">
        <v>1096</v>
      </c>
      <c r="N4" s="15">
        <v>849</v>
      </c>
      <c r="O4" s="15">
        <v>669</v>
      </c>
      <c r="P4" s="15">
        <v>645</v>
      </c>
      <c r="Q4" s="15">
        <v>577</v>
      </c>
      <c r="R4" s="15">
        <v>518</v>
      </c>
      <c r="S4" s="15">
        <v>354</v>
      </c>
      <c r="T4" s="15">
        <v>414</v>
      </c>
      <c r="U4" s="16">
        <f>SUM(C4:T4)</f>
        <v>15311</v>
      </c>
    </row>
    <row r="5" spans="1:21">
      <c r="A5" s="12">
        <v>2002</v>
      </c>
      <c r="B5" s="4"/>
      <c r="C5" s="15">
        <v>715</v>
      </c>
      <c r="D5" s="15">
        <v>856</v>
      </c>
      <c r="E5" s="15">
        <v>1020</v>
      </c>
      <c r="F5" s="15">
        <v>1372</v>
      </c>
      <c r="G5" s="15">
        <v>1237</v>
      </c>
      <c r="H5" s="15">
        <v>687</v>
      </c>
      <c r="I5" s="15">
        <v>855</v>
      </c>
      <c r="J5" s="15">
        <v>1055</v>
      </c>
      <c r="K5" s="15">
        <v>1218</v>
      </c>
      <c r="L5" s="15">
        <v>1189</v>
      </c>
      <c r="M5" s="15">
        <v>1128</v>
      </c>
      <c r="N5" s="15">
        <v>947</v>
      </c>
      <c r="O5" s="15">
        <v>687</v>
      </c>
      <c r="P5" s="15">
        <v>630</v>
      </c>
      <c r="Q5" s="15">
        <v>598</v>
      </c>
      <c r="R5" s="15">
        <v>521</v>
      </c>
      <c r="S5" s="15">
        <v>394</v>
      </c>
      <c r="T5" s="15">
        <v>400</v>
      </c>
      <c r="U5" s="16">
        <f t="shared" ref="U5:U17" si="0">SUM(C5:T5)</f>
        <v>15509</v>
      </c>
    </row>
    <row r="6" spans="1:21">
      <c r="A6" s="12">
        <v>2003</v>
      </c>
      <c r="B6" s="4"/>
      <c r="C6" s="15">
        <v>663</v>
      </c>
      <c r="D6" s="15">
        <v>815</v>
      </c>
      <c r="E6" s="15">
        <v>1020</v>
      </c>
      <c r="F6" s="15">
        <v>1376</v>
      </c>
      <c r="G6" s="15">
        <v>1182</v>
      </c>
      <c r="H6" s="15">
        <v>732</v>
      </c>
      <c r="I6" s="15">
        <v>784</v>
      </c>
      <c r="J6" s="15">
        <v>1066</v>
      </c>
      <c r="K6" s="15">
        <v>1169</v>
      </c>
      <c r="L6" s="15">
        <v>1215</v>
      </c>
      <c r="M6" s="15">
        <v>1178</v>
      </c>
      <c r="N6" s="15">
        <v>1007</v>
      </c>
      <c r="O6" s="15">
        <v>739</v>
      </c>
      <c r="P6" s="15">
        <v>592</v>
      </c>
      <c r="Q6" s="15">
        <v>601</v>
      </c>
      <c r="R6" s="15">
        <v>497</v>
      </c>
      <c r="S6" s="15">
        <v>375</v>
      </c>
      <c r="T6" s="15">
        <v>410</v>
      </c>
      <c r="U6" s="16">
        <f t="shared" si="0"/>
        <v>15421</v>
      </c>
    </row>
    <row r="7" spans="1:21">
      <c r="A7" s="12">
        <v>2004</v>
      </c>
      <c r="B7" s="4"/>
      <c r="C7" s="15">
        <v>652</v>
      </c>
      <c r="D7" s="15">
        <v>817</v>
      </c>
      <c r="E7" s="15">
        <v>978</v>
      </c>
      <c r="F7" s="15">
        <v>1378</v>
      </c>
      <c r="G7" s="15">
        <v>1195</v>
      </c>
      <c r="H7" s="15">
        <v>793</v>
      </c>
      <c r="I7" s="15">
        <v>763</v>
      </c>
      <c r="J7" s="15">
        <v>976</v>
      </c>
      <c r="K7" s="15">
        <v>1181</v>
      </c>
      <c r="L7" s="15">
        <v>1267</v>
      </c>
      <c r="M7" s="15">
        <v>1189</v>
      </c>
      <c r="N7" s="15">
        <v>1022</v>
      </c>
      <c r="O7" s="15">
        <v>833</v>
      </c>
      <c r="P7" s="15">
        <v>551</v>
      </c>
      <c r="Q7" s="15">
        <v>588</v>
      </c>
      <c r="R7" s="15">
        <v>471</v>
      </c>
      <c r="S7" s="15">
        <v>373</v>
      </c>
      <c r="T7" s="15">
        <v>421</v>
      </c>
      <c r="U7" s="16">
        <f t="shared" si="0"/>
        <v>15448</v>
      </c>
    </row>
    <row r="8" spans="1:21">
      <c r="A8" s="12">
        <v>2005</v>
      </c>
      <c r="B8" s="4"/>
      <c r="C8" s="15">
        <v>674</v>
      </c>
      <c r="D8" s="15">
        <v>785</v>
      </c>
      <c r="E8" s="15">
        <v>931</v>
      </c>
      <c r="F8" s="15">
        <v>1363</v>
      </c>
      <c r="G8" s="15">
        <v>1204</v>
      </c>
      <c r="H8" s="15">
        <v>819</v>
      </c>
      <c r="I8" s="15">
        <v>727</v>
      </c>
      <c r="J8" s="15">
        <v>936</v>
      </c>
      <c r="K8" s="15">
        <v>1171</v>
      </c>
      <c r="L8" s="15">
        <v>1281</v>
      </c>
      <c r="M8" s="15">
        <v>1223</v>
      </c>
      <c r="N8" s="15">
        <v>1055</v>
      </c>
      <c r="O8" s="15">
        <v>852</v>
      </c>
      <c r="P8" s="15">
        <v>594</v>
      </c>
      <c r="Q8" s="15">
        <v>608</v>
      </c>
      <c r="R8" s="15">
        <v>482</v>
      </c>
      <c r="S8" s="15">
        <v>369</v>
      </c>
      <c r="T8" s="15">
        <v>398</v>
      </c>
      <c r="U8" s="16">
        <f t="shared" si="0"/>
        <v>15472</v>
      </c>
    </row>
    <row r="9" spans="1:21">
      <c r="A9" s="12">
        <v>2006</v>
      </c>
      <c r="B9" s="4"/>
      <c r="C9" s="15">
        <v>701</v>
      </c>
      <c r="D9" s="15">
        <v>794</v>
      </c>
      <c r="E9" s="15">
        <v>934</v>
      </c>
      <c r="F9" s="15">
        <v>1351</v>
      </c>
      <c r="G9" s="15">
        <v>1206</v>
      </c>
      <c r="H9" s="15">
        <v>836</v>
      </c>
      <c r="I9" s="15">
        <v>696</v>
      </c>
      <c r="J9" s="15">
        <v>929</v>
      </c>
      <c r="K9" s="15">
        <v>1136</v>
      </c>
      <c r="L9" s="15">
        <v>1295</v>
      </c>
      <c r="M9" s="15">
        <v>1259</v>
      </c>
      <c r="N9" s="15">
        <v>1138</v>
      </c>
      <c r="O9" s="15">
        <v>837</v>
      </c>
      <c r="P9" s="15">
        <v>667</v>
      </c>
      <c r="Q9" s="15">
        <v>618</v>
      </c>
      <c r="R9" s="15">
        <v>441</v>
      </c>
      <c r="S9" s="15">
        <v>392</v>
      </c>
      <c r="T9" s="15">
        <v>396</v>
      </c>
      <c r="U9" s="16">
        <f t="shared" si="0"/>
        <v>15626</v>
      </c>
    </row>
    <row r="10" spans="1:21">
      <c r="A10" s="12">
        <v>2007</v>
      </c>
      <c r="B10" s="4"/>
      <c r="C10" s="15">
        <v>718</v>
      </c>
      <c r="D10" s="15">
        <v>782</v>
      </c>
      <c r="E10" s="15">
        <v>933</v>
      </c>
      <c r="F10" s="15">
        <v>1279</v>
      </c>
      <c r="G10" s="15">
        <v>1229</v>
      </c>
      <c r="H10" s="15">
        <v>809</v>
      </c>
      <c r="I10" s="15">
        <v>671</v>
      </c>
      <c r="J10" s="15">
        <v>911</v>
      </c>
      <c r="K10" s="15">
        <v>1093</v>
      </c>
      <c r="L10" s="15">
        <v>1294</v>
      </c>
      <c r="M10" s="15">
        <v>1273</v>
      </c>
      <c r="N10" s="15">
        <v>1152</v>
      </c>
      <c r="O10" s="15">
        <v>912</v>
      </c>
      <c r="P10" s="15">
        <v>694</v>
      </c>
      <c r="Q10" s="15">
        <v>611</v>
      </c>
      <c r="R10" s="15">
        <v>461</v>
      </c>
      <c r="S10" s="15">
        <v>394</v>
      </c>
      <c r="T10" s="15">
        <v>382</v>
      </c>
      <c r="U10" s="16">
        <f t="shared" si="0"/>
        <v>15598</v>
      </c>
    </row>
    <row r="11" spans="1:21">
      <c r="A11" s="12">
        <v>2008</v>
      </c>
      <c r="B11" s="4"/>
      <c r="C11" s="15">
        <v>722</v>
      </c>
      <c r="D11" s="15">
        <v>780</v>
      </c>
      <c r="E11" s="15">
        <v>877</v>
      </c>
      <c r="F11" s="15">
        <v>1329</v>
      </c>
      <c r="G11" s="15">
        <v>1212</v>
      </c>
      <c r="H11" s="15">
        <v>764</v>
      </c>
      <c r="I11" s="15">
        <v>734</v>
      </c>
      <c r="J11" s="15">
        <v>835</v>
      </c>
      <c r="K11" s="15">
        <v>1109</v>
      </c>
      <c r="L11" s="15">
        <v>1250</v>
      </c>
      <c r="M11" s="15">
        <v>1283</v>
      </c>
      <c r="N11" s="15">
        <v>1182</v>
      </c>
      <c r="O11" s="15">
        <v>966</v>
      </c>
      <c r="P11" s="15">
        <v>737</v>
      </c>
      <c r="Q11" s="15">
        <v>592</v>
      </c>
      <c r="R11" s="15">
        <v>476</v>
      </c>
      <c r="S11" s="15">
        <v>404</v>
      </c>
      <c r="T11" s="15">
        <v>395</v>
      </c>
      <c r="U11" s="16">
        <f t="shared" si="0"/>
        <v>15647</v>
      </c>
    </row>
    <row r="12" spans="1:21">
      <c r="A12" s="12">
        <v>2009</v>
      </c>
      <c r="B12" s="4"/>
      <c r="C12" s="15">
        <v>735</v>
      </c>
      <c r="D12" s="15">
        <v>758</v>
      </c>
      <c r="E12" s="15">
        <v>876</v>
      </c>
      <c r="F12" s="15">
        <v>1298</v>
      </c>
      <c r="G12" s="15">
        <v>1244</v>
      </c>
      <c r="H12" s="15">
        <v>760</v>
      </c>
      <c r="I12" s="15">
        <v>746</v>
      </c>
      <c r="J12" s="15">
        <v>824</v>
      </c>
      <c r="K12" s="15">
        <v>1017</v>
      </c>
      <c r="L12" s="15">
        <v>1235</v>
      </c>
      <c r="M12" s="15">
        <v>1336</v>
      </c>
      <c r="N12" s="15">
        <v>1199</v>
      </c>
      <c r="O12" s="15">
        <v>1000</v>
      </c>
      <c r="P12" s="15">
        <v>831</v>
      </c>
      <c r="Q12" s="15">
        <v>591</v>
      </c>
      <c r="R12" s="15">
        <v>481</v>
      </c>
      <c r="S12" s="15">
        <v>378</v>
      </c>
      <c r="T12" s="15">
        <v>409</v>
      </c>
      <c r="U12" s="16">
        <f t="shared" si="0"/>
        <v>15718</v>
      </c>
    </row>
    <row r="13" spans="1:21">
      <c r="A13" s="12">
        <v>2010</v>
      </c>
      <c r="B13" s="4"/>
      <c r="C13" s="15">
        <v>710</v>
      </c>
      <c r="D13" s="15">
        <v>762</v>
      </c>
      <c r="E13" s="15">
        <v>831</v>
      </c>
      <c r="F13" s="15">
        <v>1245</v>
      </c>
      <c r="G13" s="15">
        <v>1254</v>
      </c>
      <c r="H13" s="15">
        <v>761</v>
      </c>
      <c r="I13" s="15">
        <v>750</v>
      </c>
      <c r="J13" s="15">
        <v>790</v>
      </c>
      <c r="K13" s="15">
        <v>985</v>
      </c>
      <c r="L13" s="15">
        <v>1227</v>
      </c>
      <c r="M13" s="15">
        <v>1337</v>
      </c>
      <c r="N13" s="15">
        <v>1235</v>
      </c>
      <c r="O13" s="15">
        <v>1041</v>
      </c>
      <c r="P13" s="15">
        <v>851</v>
      </c>
      <c r="Q13" s="15">
        <v>625</v>
      </c>
      <c r="R13" s="15">
        <v>498</v>
      </c>
      <c r="S13" s="15">
        <v>375</v>
      </c>
      <c r="T13" s="15">
        <v>408</v>
      </c>
      <c r="U13" s="16">
        <f t="shared" si="0"/>
        <v>15685</v>
      </c>
    </row>
    <row r="14" spans="1:21">
      <c r="A14" s="23">
        <v>2015</v>
      </c>
      <c r="B14" s="4"/>
      <c r="C14" s="15">
        <v>723.38532686465248</v>
      </c>
      <c r="D14" s="15">
        <v>715.99100688679448</v>
      </c>
      <c r="E14" s="15">
        <v>765.18180390074258</v>
      </c>
      <c r="F14" s="15">
        <v>1161.6409944814779</v>
      </c>
      <c r="G14" s="15">
        <v>1266.6939594913076</v>
      </c>
      <c r="H14" s="15">
        <v>785.77147992179562</v>
      </c>
      <c r="I14" s="15">
        <v>743.98792260199332</v>
      </c>
      <c r="J14" s="15">
        <v>767.51476188000959</v>
      </c>
      <c r="K14" s="15">
        <v>799.5577613754607</v>
      </c>
      <c r="L14" s="15">
        <v>998.09931081479704</v>
      </c>
      <c r="M14" s="15">
        <v>1175.7240616442855</v>
      </c>
      <c r="N14" s="15">
        <v>1317.388366317032</v>
      </c>
      <c r="O14" s="15">
        <v>1216.3861009905279</v>
      </c>
      <c r="P14" s="15">
        <v>979.94054448963652</v>
      </c>
      <c r="Q14" s="15">
        <v>774.82809585762402</v>
      </c>
      <c r="R14" s="15">
        <v>530.28171019554236</v>
      </c>
      <c r="S14" s="15">
        <v>428.658474840216</v>
      </c>
      <c r="T14" s="15">
        <v>441.02270138882841</v>
      </c>
      <c r="U14" s="16">
        <f t="shared" si="0"/>
        <v>15592.054383942725</v>
      </c>
    </row>
    <row r="15" spans="1:21">
      <c r="A15" s="23">
        <v>2020</v>
      </c>
      <c r="B15" s="4"/>
      <c r="C15" s="15">
        <v>718.42015240604201</v>
      </c>
      <c r="D15" s="15">
        <v>730.76529988096604</v>
      </c>
      <c r="E15" s="15">
        <v>721.82597828385087</v>
      </c>
      <c r="F15" s="15">
        <v>1099.1213406784125</v>
      </c>
      <c r="G15" s="15">
        <v>1206.8370197078007</v>
      </c>
      <c r="H15" s="15">
        <v>791.23091611780637</v>
      </c>
      <c r="I15" s="15">
        <v>767.65507826457201</v>
      </c>
      <c r="J15" s="15">
        <v>763.72355693432428</v>
      </c>
      <c r="K15" s="15">
        <v>780.47664744970734</v>
      </c>
      <c r="L15" s="15">
        <v>818.62936980822474</v>
      </c>
      <c r="M15" s="15">
        <v>958.85705335888053</v>
      </c>
      <c r="N15" s="15">
        <v>1160.1943421608162</v>
      </c>
      <c r="O15" s="15">
        <v>1294.9433590856486</v>
      </c>
      <c r="P15" s="15">
        <v>1144.837875653443</v>
      </c>
      <c r="Q15" s="15">
        <v>891.81468621682461</v>
      </c>
      <c r="R15" s="15">
        <v>657.65585083111307</v>
      </c>
      <c r="S15" s="15">
        <v>463.33030963331373</v>
      </c>
      <c r="T15" s="15">
        <v>488.38305667262784</v>
      </c>
      <c r="U15" s="16">
        <f t="shared" si="0"/>
        <v>15458.701893144373</v>
      </c>
    </row>
    <row r="16" spans="1:21">
      <c r="A16" s="23">
        <v>2025</v>
      </c>
      <c r="B16" s="4"/>
      <c r="C16" s="15">
        <v>707.88714767238946</v>
      </c>
      <c r="D16" s="15">
        <v>728.61673219143267</v>
      </c>
      <c r="E16" s="15">
        <v>737.14612386148951</v>
      </c>
      <c r="F16" s="15">
        <v>1058.6313247208243</v>
      </c>
      <c r="G16" s="15">
        <v>1161.5978805378072</v>
      </c>
      <c r="H16" s="15">
        <v>756.4936545266537</v>
      </c>
      <c r="I16" s="15">
        <v>770.93845232008289</v>
      </c>
      <c r="J16" s="15">
        <v>787.76685702637405</v>
      </c>
      <c r="K16" s="15">
        <v>778.55154856961474</v>
      </c>
      <c r="L16" s="15">
        <v>803.37175817832838</v>
      </c>
      <c r="M16" s="15">
        <v>789.55434083041348</v>
      </c>
      <c r="N16" s="15">
        <v>951.68529104745926</v>
      </c>
      <c r="O16" s="15">
        <v>1142.7710377554176</v>
      </c>
      <c r="P16" s="15">
        <v>1218.5819383824755</v>
      </c>
      <c r="Q16" s="15">
        <v>1040.7169573988699</v>
      </c>
      <c r="R16" s="15">
        <v>756.83835318476167</v>
      </c>
      <c r="S16" s="15">
        <v>577.74523880800143</v>
      </c>
      <c r="T16" s="15">
        <v>537.34184921737733</v>
      </c>
      <c r="U16" s="16">
        <f t="shared" si="0"/>
        <v>15306.236486229775</v>
      </c>
    </row>
    <row r="17" spans="1:21">
      <c r="A17" s="23">
        <v>2030</v>
      </c>
      <c r="B17" s="4"/>
      <c r="C17" s="15">
        <v>695.54100989021754</v>
      </c>
      <c r="D17" s="15">
        <v>721.61616983535441</v>
      </c>
      <c r="E17" s="15">
        <v>735.90050935676663</v>
      </c>
      <c r="F17" s="15">
        <v>1074.6963322816907</v>
      </c>
      <c r="G17" s="15">
        <v>1137.1619599209573</v>
      </c>
      <c r="H17" s="15">
        <v>729.91085210290089</v>
      </c>
      <c r="I17" s="15">
        <v>745.02903569280556</v>
      </c>
      <c r="J17" s="15">
        <v>790.15373001075511</v>
      </c>
      <c r="K17" s="15">
        <v>802.91609948664143</v>
      </c>
      <c r="L17" s="15">
        <v>803.65489710739928</v>
      </c>
      <c r="M17" s="15">
        <v>776.395782481786</v>
      </c>
      <c r="N17" s="15">
        <v>790.5275692997127</v>
      </c>
      <c r="O17" s="15">
        <v>944.52148576987349</v>
      </c>
      <c r="P17" s="15">
        <v>1075.583267045165</v>
      </c>
      <c r="Q17" s="15">
        <v>1106.6518967014351</v>
      </c>
      <c r="R17" s="15">
        <v>882.83274308168279</v>
      </c>
      <c r="S17" s="15">
        <v>664.09836527262894</v>
      </c>
      <c r="T17" s="15">
        <v>640.21953389970372</v>
      </c>
      <c r="U17" s="16">
        <f t="shared" si="0"/>
        <v>15117.411239237477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790</v>
      </c>
      <c r="D20" s="15">
        <v>907</v>
      </c>
      <c r="E20" s="15">
        <v>1142</v>
      </c>
      <c r="F20" s="15">
        <v>1205</v>
      </c>
      <c r="G20" s="15">
        <v>950</v>
      </c>
      <c r="H20" s="15">
        <v>711</v>
      </c>
      <c r="I20" s="15">
        <v>757</v>
      </c>
      <c r="J20" s="15">
        <v>1055</v>
      </c>
      <c r="K20" s="15">
        <v>1228</v>
      </c>
      <c r="L20" s="15">
        <v>1103</v>
      </c>
      <c r="M20" s="15">
        <v>1073</v>
      </c>
      <c r="N20" s="15">
        <v>876</v>
      </c>
      <c r="O20" s="15">
        <v>705</v>
      </c>
      <c r="P20" s="15">
        <v>577</v>
      </c>
      <c r="Q20" s="15">
        <v>500</v>
      </c>
      <c r="R20" s="15">
        <v>381</v>
      </c>
      <c r="S20" s="15">
        <v>228</v>
      </c>
      <c r="T20" s="15">
        <v>132</v>
      </c>
      <c r="U20" s="16">
        <f>SUM(C20:T20)</f>
        <v>14320</v>
      </c>
    </row>
    <row r="21" spans="1:21">
      <c r="A21" s="12">
        <v>2002</v>
      </c>
      <c r="B21" s="4"/>
      <c r="C21" s="15">
        <v>819</v>
      </c>
      <c r="D21" s="15">
        <v>832</v>
      </c>
      <c r="E21" s="15">
        <v>1172</v>
      </c>
      <c r="F21" s="15">
        <v>1243</v>
      </c>
      <c r="G21" s="15">
        <v>988</v>
      </c>
      <c r="H21" s="15">
        <v>694</v>
      </c>
      <c r="I21" s="15">
        <v>777</v>
      </c>
      <c r="J21" s="15">
        <v>1011</v>
      </c>
      <c r="K21" s="15">
        <v>1188</v>
      </c>
      <c r="L21" s="15">
        <v>1144</v>
      </c>
      <c r="M21" s="15">
        <v>1075</v>
      </c>
      <c r="N21" s="15">
        <v>944</v>
      </c>
      <c r="O21" s="15">
        <v>742</v>
      </c>
      <c r="P21" s="15">
        <v>605</v>
      </c>
      <c r="Q21" s="15">
        <v>504</v>
      </c>
      <c r="R21" s="15">
        <v>396</v>
      </c>
      <c r="S21" s="15">
        <v>250</v>
      </c>
      <c r="T21" s="15">
        <v>126</v>
      </c>
      <c r="U21" s="16">
        <f t="shared" ref="U21:U33" si="1">SUM(C21:T21)</f>
        <v>14510</v>
      </c>
    </row>
    <row r="22" spans="1:21">
      <c r="A22" s="12">
        <v>2003</v>
      </c>
      <c r="B22" s="4"/>
      <c r="C22" s="15">
        <v>811</v>
      </c>
      <c r="D22" s="15">
        <v>823</v>
      </c>
      <c r="E22" s="15">
        <v>1146</v>
      </c>
      <c r="F22" s="15">
        <v>1271</v>
      </c>
      <c r="G22" s="15">
        <v>1011</v>
      </c>
      <c r="H22" s="15">
        <v>719</v>
      </c>
      <c r="I22" s="15">
        <v>736</v>
      </c>
      <c r="J22" s="15">
        <v>967</v>
      </c>
      <c r="K22" s="15">
        <v>1168</v>
      </c>
      <c r="L22" s="15">
        <v>1160</v>
      </c>
      <c r="M22" s="15">
        <v>1111</v>
      </c>
      <c r="N22" s="15">
        <v>983</v>
      </c>
      <c r="O22" s="15">
        <v>815</v>
      </c>
      <c r="P22" s="15">
        <v>583</v>
      </c>
      <c r="Q22" s="15">
        <v>515</v>
      </c>
      <c r="R22" s="15">
        <v>387</v>
      </c>
      <c r="S22" s="15">
        <v>267</v>
      </c>
      <c r="T22" s="15">
        <v>132</v>
      </c>
      <c r="U22" s="16">
        <f t="shared" si="1"/>
        <v>14605</v>
      </c>
    </row>
    <row r="23" spans="1:21">
      <c r="A23" s="12">
        <v>2004</v>
      </c>
      <c r="B23" s="4"/>
      <c r="C23" s="15">
        <v>770</v>
      </c>
      <c r="D23" s="15">
        <v>845</v>
      </c>
      <c r="E23" s="15">
        <v>1073</v>
      </c>
      <c r="F23" s="15">
        <v>1279</v>
      </c>
      <c r="G23" s="15">
        <v>1046</v>
      </c>
      <c r="H23" s="15">
        <v>767</v>
      </c>
      <c r="I23" s="15">
        <v>704</v>
      </c>
      <c r="J23" s="15">
        <v>923</v>
      </c>
      <c r="K23" s="15">
        <v>1130</v>
      </c>
      <c r="L23" s="15">
        <v>1195</v>
      </c>
      <c r="M23" s="15">
        <v>1181</v>
      </c>
      <c r="N23" s="15">
        <v>1004</v>
      </c>
      <c r="O23" s="15">
        <v>856</v>
      </c>
      <c r="P23" s="15">
        <v>589</v>
      </c>
      <c r="Q23" s="15">
        <v>504</v>
      </c>
      <c r="R23" s="15">
        <v>386</v>
      </c>
      <c r="S23" s="15">
        <v>255</v>
      </c>
      <c r="T23" s="15">
        <v>141</v>
      </c>
      <c r="U23" s="16">
        <f t="shared" si="1"/>
        <v>14648</v>
      </c>
    </row>
    <row r="24" spans="1:21">
      <c r="A24" s="12">
        <v>2005</v>
      </c>
      <c r="B24" s="4"/>
      <c r="C24" s="15">
        <v>774</v>
      </c>
      <c r="D24" s="15">
        <v>837</v>
      </c>
      <c r="E24" s="15">
        <v>1029</v>
      </c>
      <c r="F24" s="15">
        <v>1264</v>
      </c>
      <c r="G24" s="15">
        <v>1080</v>
      </c>
      <c r="H24" s="15">
        <v>752</v>
      </c>
      <c r="I24" s="15">
        <v>688</v>
      </c>
      <c r="J24" s="15">
        <v>897</v>
      </c>
      <c r="K24" s="15">
        <v>1089</v>
      </c>
      <c r="L24" s="15">
        <v>1264</v>
      </c>
      <c r="M24" s="15">
        <v>1177</v>
      </c>
      <c r="N24" s="15">
        <v>1048</v>
      </c>
      <c r="O24" s="15">
        <v>885</v>
      </c>
      <c r="P24" s="15">
        <v>634</v>
      </c>
      <c r="Q24" s="15">
        <v>537</v>
      </c>
      <c r="R24" s="15">
        <v>398</v>
      </c>
      <c r="S24" s="15">
        <v>246</v>
      </c>
      <c r="T24" s="15">
        <v>155</v>
      </c>
      <c r="U24" s="16">
        <f t="shared" si="1"/>
        <v>14754</v>
      </c>
    </row>
    <row r="25" spans="1:21">
      <c r="A25" s="12">
        <v>2006</v>
      </c>
      <c r="B25" s="4"/>
      <c r="C25" s="15">
        <v>809</v>
      </c>
      <c r="D25" s="15">
        <v>858</v>
      </c>
      <c r="E25" s="15">
        <v>984</v>
      </c>
      <c r="F25" s="15">
        <v>1259</v>
      </c>
      <c r="G25" s="15">
        <v>1078</v>
      </c>
      <c r="H25" s="15">
        <v>788</v>
      </c>
      <c r="I25" s="15">
        <v>692</v>
      </c>
      <c r="J25" s="15">
        <v>851</v>
      </c>
      <c r="K25" s="15">
        <v>1067</v>
      </c>
      <c r="L25" s="15">
        <v>1270</v>
      </c>
      <c r="M25" s="15">
        <v>1180</v>
      </c>
      <c r="N25" s="15">
        <v>1145</v>
      </c>
      <c r="O25" s="15">
        <v>898</v>
      </c>
      <c r="P25" s="15">
        <v>678</v>
      </c>
      <c r="Q25" s="15">
        <v>515</v>
      </c>
      <c r="R25" s="15">
        <v>404</v>
      </c>
      <c r="S25" s="15">
        <v>268</v>
      </c>
      <c r="T25" s="15">
        <v>158</v>
      </c>
      <c r="U25" s="16">
        <f t="shared" si="1"/>
        <v>14902</v>
      </c>
    </row>
    <row r="26" spans="1:21">
      <c r="A26" s="12">
        <v>2007</v>
      </c>
      <c r="B26" s="4"/>
      <c r="C26" s="15">
        <v>809</v>
      </c>
      <c r="D26" s="15">
        <v>885</v>
      </c>
      <c r="E26" s="15">
        <v>940</v>
      </c>
      <c r="F26" s="15">
        <v>1240</v>
      </c>
      <c r="G26" s="15">
        <v>1080</v>
      </c>
      <c r="H26" s="15">
        <v>774</v>
      </c>
      <c r="I26" s="15">
        <v>672</v>
      </c>
      <c r="J26" s="15">
        <v>874</v>
      </c>
      <c r="K26" s="15">
        <v>1000</v>
      </c>
      <c r="L26" s="15">
        <v>1260</v>
      </c>
      <c r="M26" s="15">
        <v>1234</v>
      </c>
      <c r="N26" s="15">
        <v>1126</v>
      </c>
      <c r="O26" s="15">
        <v>958</v>
      </c>
      <c r="P26" s="15">
        <v>740</v>
      </c>
      <c r="Q26" s="15">
        <v>555</v>
      </c>
      <c r="R26" s="15">
        <v>396</v>
      </c>
      <c r="S26" s="15">
        <v>288</v>
      </c>
      <c r="T26" s="15">
        <v>167</v>
      </c>
      <c r="U26" s="16">
        <f t="shared" si="1"/>
        <v>14998</v>
      </c>
    </row>
    <row r="27" spans="1:21">
      <c r="A27" s="12">
        <v>2008</v>
      </c>
      <c r="B27" s="4"/>
      <c r="C27" s="15">
        <v>813</v>
      </c>
      <c r="D27" s="15">
        <v>859</v>
      </c>
      <c r="E27" s="15">
        <v>938</v>
      </c>
      <c r="F27" s="15">
        <v>1208</v>
      </c>
      <c r="G27" s="15">
        <v>1081</v>
      </c>
      <c r="H27" s="15">
        <v>758</v>
      </c>
      <c r="I27" s="15">
        <v>678</v>
      </c>
      <c r="J27" s="15">
        <v>856</v>
      </c>
      <c r="K27" s="15">
        <v>957</v>
      </c>
      <c r="L27" s="15">
        <v>1265</v>
      </c>
      <c r="M27" s="15">
        <v>1233</v>
      </c>
      <c r="N27" s="15">
        <v>1171</v>
      </c>
      <c r="O27" s="15">
        <v>975</v>
      </c>
      <c r="P27" s="15">
        <v>786</v>
      </c>
      <c r="Q27" s="15">
        <v>546</v>
      </c>
      <c r="R27" s="15">
        <v>429</v>
      </c>
      <c r="S27" s="15">
        <v>280</v>
      </c>
      <c r="T27" s="15">
        <v>172</v>
      </c>
      <c r="U27" s="16">
        <f t="shared" si="1"/>
        <v>15005</v>
      </c>
    </row>
    <row r="28" spans="1:21">
      <c r="A28" s="12">
        <v>2009</v>
      </c>
      <c r="B28" s="4"/>
      <c r="C28" s="15">
        <v>818</v>
      </c>
      <c r="D28" s="15">
        <v>812</v>
      </c>
      <c r="E28" s="15">
        <v>960</v>
      </c>
      <c r="F28" s="15">
        <v>1151</v>
      </c>
      <c r="G28" s="15">
        <v>1114</v>
      </c>
      <c r="H28" s="15">
        <v>764</v>
      </c>
      <c r="I28" s="15">
        <v>679</v>
      </c>
      <c r="J28" s="15">
        <v>809</v>
      </c>
      <c r="K28" s="15">
        <v>905</v>
      </c>
      <c r="L28" s="15">
        <v>1238</v>
      </c>
      <c r="M28" s="15">
        <v>1257</v>
      </c>
      <c r="N28" s="15">
        <v>1221</v>
      </c>
      <c r="O28" s="15">
        <v>1020</v>
      </c>
      <c r="P28" s="15">
        <v>819</v>
      </c>
      <c r="Q28" s="15">
        <v>580</v>
      </c>
      <c r="R28" s="15">
        <v>435</v>
      </c>
      <c r="S28" s="15">
        <v>288</v>
      </c>
      <c r="T28" s="15">
        <v>191</v>
      </c>
      <c r="U28" s="16">
        <f t="shared" si="1"/>
        <v>15061</v>
      </c>
    </row>
    <row r="29" spans="1:21">
      <c r="A29" s="12">
        <v>2010</v>
      </c>
      <c r="B29" s="4"/>
      <c r="C29" s="15">
        <v>790</v>
      </c>
      <c r="D29" s="15">
        <v>803</v>
      </c>
      <c r="E29" s="15">
        <v>949</v>
      </c>
      <c r="F29" s="15">
        <v>1110</v>
      </c>
      <c r="G29" s="15">
        <v>1119</v>
      </c>
      <c r="H29" s="15">
        <v>748</v>
      </c>
      <c r="I29" s="15">
        <v>688</v>
      </c>
      <c r="J29" s="15">
        <v>782</v>
      </c>
      <c r="K29" s="15">
        <v>881</v>
      </c>
      <c r="L29" s="15">
        <v>1178</v>
      </c>
      <c r="M29" s="15">
        <v>1305</v>
      </c>
      <c r="N29" s="15">
        <v>1191</v>
      </c>
      <c r="O29" s="15">
        <v>1056</v>
      </c>
      <c r="P29" s="15">
        <v>846</v>
      </c>
      <c r="Q29" s="15">
        <v>616</v>
      </c>
      <c r="R29" s="15">
        <v>470</v>
      </c>
      <c r="S29" s="15">
        <v>299</v>
      </c>
      <c r="T29" s="15">
        <v>195</v>
      </c>
      <c r="U29" s="16">
        <f t="shared" si="1"/>
        <v>15026</v>
      </c>
    </row>
    <row r="30" spans="1:21">
      <c r="A30" s="23">
        <v>2015</v>
      </c>
      <c r="B30" s="4"/>
      <c r="C30" s="15">
        <v>820.19622596234626</v>
      </c>
      <c r="D30" s="15">
        <v>781.16329826895276</v>
      </c>
      <c r="E30" s="15">
        <v>801.17349641922783</v>
      </c>
      <c r="F30" s="15">
        <v>1114.2029265036701</v>
      </c>
      <c r="G30" s="15">
        <v>1096.2442185251161</v>
      </c>
      <c r="H30" s="15">
        <v>844.46401363948189</v>
      </c>
      <c r="I30" s="15">
        <v>711.78044411162614</v>
      </c>
      <c r="J30" s="15">
        <v>696.34662274883021</v>
      </c>
      <c r="K30" s="15">
        <v>782.53954169862175</v>
      </c>
      <c r="L30" s="15">
        <v>882.92315928678056</v>
      </c>
      <c r="M30" s="15">
        <v>1109.8373790381306</v>
      </c>
      <c r="N30" s="15">
        <v>1258.6930990689023</v>
      </c>
      <c r="O30" s="15">
        <v>1148.9757469840638</v>
      </c>
      <c r="P30" s="15">
        <v>974.23531134635175</v>
      </c>
      <c r="Q30" s="15">
        <v>751.03954662673675</v>
      </c>
      <c r="R30" s="15">
        <v>504.23710315221314</v>
      </c>
      <c r="S30" s="15">
        <v>373.56587355721103</v>
      </c>
      <c r="T30" s="15">
        <v>256.96500909305894</v>
      </c>
      <c r="U30" s="16">
        <f t="shared" si="1"/>
        <v>14908.583016031322</v>
      </c>
    </row>
    <row r="31" spans="1:21">
      <c r="A31" s="23">
        <v>2020</v>
      </c>
      <c r="B31" s="4"/>
      <c r="C31" s="15">
        <v>814.56656055311294</v>
      </c>
      <c r="D31" s="15">
        <v>810.78441969572793</v>
      </c>
      <c r="E31" s="15">
        <v>781.12106489599444</v>
      </c>
      <c r="F31" s="15">
        <v>972.10976829817423</v>
      </c>
      <c r="G31" s="15">
        <v>1109.9958272978392</v>
      </c>
      <c r="H31" s="15">
        <v>820.77021127835542</v>
      </c>
      <c r="I31" s="15">
        <v>796.662090138341</v>
      </c>
      <c r="J31" s="15">
        <v>720.77634071926389</v>
      </c>
      <c r="K31" s="15">
        <v>702.6839766444009</v>
      </c>
      <c r="L31" s="15">
        <v>789.30310169100915</v>
      </c>
      <c r="M31" s="15">
        <v>834.95455059587698</v>
      </c>
      <c r="N31" s="15">
        <v>1073.3128953091357</v>
      </c>
      <c r="O31" s="15">
        <v>1212.590949061419</v>
      </c>
      <c r="P31" s="15">
        <v>1060.1011978876802</v>
      </c>
      <c r="Q31" s="15">
        <v>864.50698288363014</v>
      </c>
      <c r="R31" s="15">
        <v>615.16164979884388</v>
      </c>
      <c r="S31" s="15">
        <v>407.34527120119873</v>
      </c>
      <c r="T31" s="15">
        <v>317.1971101686164</v>
      </c>
      <c r="U31" s="16">
        <f t="shared" si="1"/>
        <v>14703.94396811862</v>
      </c>
    </row>
    <row r="32" spans="1:21">
      <c r="A32" s="23">
        <v>2025</v>
      </c>
      <c r="B32" s="4"/>
      <c r="C32" s="15">
        <v>802.62392028968679</v>
      </c>
      <c r="D32" s="15">
        <v>807.74425478321393</v>
      </c>
      <c r="E32" s="15">
        <v>810.68851062378883</v>
      </c>
      <c r="F32" s="15">
        <v>954.00855539222721</v>
      </c>
      <c r="G32" s="15">
        <v>998.57810368829189</v>
      </c>
      <c r="H32" s="15">
        <v>844.09556932725309</v>
      </c>
      <c r="I32" s="15">
        <v>774.44357120195195</v>
      </c>
      <c r="J32" s="15">
        <v>802.95486786404035</v>
      </c>
      <c r="K32" s="15">
        <v>727.66299046145161</v>
      </c>
      <c r="L32" s="15">
        <v>715.54044880407889</v>
      </c>
      <c r="M32" s="15">
        <v>748.29894234781284</v>
      </c>
      <c r="N32" s="15">
        <v>814.39498557533091</v>
      </c>
      <c r="O32" s="15">
        <v>1037.8179128483112</v>
      </c>
      <c r="P32" s="15">
        <v>1118.6750536264221</v>
      </c>
      <c r="Q32" s="15">
        <v>941.33341996862021</v>
      </c>
      <c r="R32" s="15">
        <v>708.00913827830561</v>
      </c>
      <c r="S32" s="15">
        <v>501.80580736931233</v>
      </c>
      <c r="T32" s="15">
        <v>363.85081418456957</v>
      </c>
      <c r="U32" s="16">
        <f t="shared" si="1"/>
        <v>14472.526866634667</v>
      </c>
    </row>
    <row r="33" spans="1:21">
      <c r="A33" s="23">
        <v>2030</v>
      </c>
      <c r="B33" s="4"/>
      <c r="C33" s="15">
        <v>788.62549477829509</v>
      </c>
      <c r="D33" s="15">
        <v>799.14809443150318</v>
      </c>
      <c r="E33" s="15">
        <v>808.47483878248124</v>
      </c>
      <c r="F33" s="15">
        <v>983.70878689774327</v>
      </c>
      <c r="G33" s="15">
        <v>992.5173595028873</v>
      </c>
      <c r="H33" s="15">
        <v>764.97158707505412</v>
      </c>
      <c r="I33" s="15">
        <v>798.54512540915039</v>
      </c>
      <c r="J33" s="15">
        <v>780.74419272420039</v>
      </c>
      <c r="K33" s="15">
        <v>807.62263633009889</v>
      </c>
      <c r="L33" s="15">
        <v>741.38555682552669</v>
      </c>
      <c r="M33" s="15">
        <v>680.85370260952936</v>
      </c>
      <c r="N33" s="15">
        <v>734.0477795458105</v>
      </c>
      <c r="O33" s="15">
        <v>796.47104216699609</v>
      </c>
      <c r="P33" s="15">
        <v>957.75386461302492</v>
      </c>
      <c r="Q33" s="15">
        <v>992.69159339080795</v>
      </c>
      <c r="R33" s="15">
        <v>771.19003480623962</v>
      </c>
      <c r="S33" s="15">
        <v>577.14537244629923</v>
      </c>
      <c r="T33" s="15">
        <v>443.50322157188015</v>
      </c>
      <c r="U33" s="16">
        <f t="shared" si="1"/>
        <v>14219.400283907526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1509</v>
      </c>
      <c r="D36" s="15">
        <f t="shared" ref="D36:T36" si="2">D20+D4</f>
        <v>1795</v>
      </c>
      <c r="E36" s="15">
        <f t="shared" si="2"/>
        <v>2179</v>
      </c>
      <c r="F36" s="15">
        <f t="shared" si="2"/>
        <v>2514</v>
      </c>
      <c r="G36" s="15">
        <f t="shared" si="2"/>
        <v>2148</v>
      </c>
      <c r="H36" s="15">
        <f t="shared" si="2"/>
        <v>1423</v>
      </c>
      <c r="I36" s="15">
        <f t="shared" si="2"/>
        <v>1607</v>
      </c>
      <c r="J36" s="15">
        <f t="shared" si="2"/>
        <v>2132</v>
      </c>
      <c r="K36" s="15">
        <f t="shared" si="2"/>
        <v>2419</v>
      </c>
      <c r="L36" s="15">
        <f t="shared" si="2"/>
        <v>2311</v>
      </c>
      <c r="M36" s="15">
        <f t="shared" si="2"/>
        <v>2169</v>
      </c>
      <c r="N36" s="15">
        <f t="shared" si="2"/>
        <v>1725</v>
      </c>
      <c r="O36" s="15">
        <f t="shared" si="2"/>
        <v>1374</v>
      </c>
      <c r="P36" s="15">
        <f t="shared" si="2"/>
        <v>1222</v>
      </c>
      <c r="Q36" s="15">
        <f t="shared" si="2"/>
        <v>1077</v>
      </c>
      <c r="R36" s="15">
        <f t="shared" si="2"/>
        <v>899</v>
      </c>
      <c r="S36" s="15">
        <f t="shared" si="2"/>
        <v>582</v>
      </c>
      <c r="T36" s="15">
        <f t="shared" si="2"/>
        <v>546</v>
      </c>
      <c r="U36" s="16">
        <f>SUM(C36:T36)</f>
        <v>29631</v>
      </c>
    </row>
    <row r="37" spans="1:21">
      <c r="A37" s="12">
        <v>2002</v>
      </c>
      <c r="B37" s="4"/>
      <c r="C37" s="15">
        <f t="shared" ref="C37:T49" si="3">C21+C5</f>
        <v>1534</v>
      </c>
      <c r="D37" s="15">
        <f t="shared" si="3"/>
        <v>1688</v>
      </c>
      <c r="E37" s="15">
        <f t="shared" si="3"/>
        <v>2192</v>
      </c>
      <c r="F37" s="15">
        <f t="shared" si="3"/>
        <v>2615</v>
      </c>
      <c r="G37" s="15">
        <f t="shared" si="3"/>
        <v>2225</v>
      </c>
      <c r="H37" s="15">
        <f t="shared" si="3"/>
        <v>1381</v>
      </c>
      <c r="I37" s="15">
        <f t="shared" si="3"/>
        <v>1632</v>
      </c>
      <c r="J37" s="15">
        <f t="shared" si="3"/>
        <v>2066</v>
      </c>
      <c r="K37" s="15">
        <f t="shared" si="3"/>
        <v>2406</v>
      </c>
      <c r="L37" s="15">
        <f t="shared" si="3"/>
        <v>2333</v>
      </c>
      <c r="M37" s="15">
        <f t="shared" si="3"/>
        <v>2203</v>
      </c>
      <c r="N37" s="15">
        <f t="shared" si="3"/>
        <v>1891</v>
      </c>
      <c r="O37" s="15">
        <f t="shared" si="3"/>
        <v>1429</v>
      </c>
      <c r="P37" s="15">
        <f t="shared" si="3"/>
        <v>1235</v>
      </c>
      <c r="Q37" s="15">
        <f t="shared" si="3"/>
        <v>1102</v>
      </c>
      <c r="R37" s="15">
        <f t="shared" si="3"/>
        <v>917</v>
      </c>
      <c r="S37" s="15">
        <f t="shared" si="3"/>
        <v>644</v>
      </c>
      <c r="T37" s="15">
        <f t="shared" si="3"/>
        <v>526</v>
      </c>
      <c r="U37" s="16">
        <f t="shared" ref="U37:U49" si="4">SUM(C37:T37)</f>
        <v>30019</v>
      </c>
    </row>
    <row r="38" spans="1:21">
      <c r="A38" s="12">
        <v>2003</v>
      </c>
      <c r="B38" s="4"/>
      <c r="C38" s="15">
        <f t="shared" si="3"/>
        <v>1474</v>
      </c>
      <c r="D38" s="15">
        <f t="shared" si="3"/>
        <v>1638</v>
      </c>
      <c r="E38" s="15">
        <f t="shared" si="3"/>
        <v>2166</v>
      </c>
      <c r="F38" s="15">
        <f t="shared" si="3"/>
        <v>2647</v>
      </c>
      <c r="G38" s="15">
        <f t="shared" si="3"/>
        <v>2193</v>
      </c>
      <c r="H38" s="15">
        <f t="shared" si="3"/>
        <v>1451</v>
      </c>
      <c r="I38" s="15">
        <f t="shared" si="3"/>
        <v>1520</v>
      </c>
      <c r="J38" s="15">
        <f t="shared" si="3"/>
        <v>2033</v>
      </c>
      <c r="K38" s="15">
        <f t="shared" si="3"/>
        <v>2337</v>
      </c>
      <c r="L38" s="15">
        <f t="shared" si="3"/>
        <v>2375</v>
      </c>
      <c r="M38" s="15">
        <f t="shared" si="3"/>
        <v>2289</v>
      </c>
      <c r="N38" s="15">
        <f t="shared" si="3"/>
        <v>1990</v>
      </c>
      <c r="O38" s="15">
        <f t="shared" si="3"/>
        <v>1554</v>
      </c>
      <c r="P38" s="15">
        <f t="shared" si="3"/>
        <v>1175</v>
      </c>
      <c r="Q38" s="15">
        <f t="shared" si="3"/>
        <v>1116</v>
      </c>
      <c r="R38" s="15">
        <f t="shared" si="3"/>
        <v>884</v>
      </c>
      <c r="S38" s="15">
        <f t="shared" si="3"/>
        <v>642</v>
      </c>
      <c r="T38" s="15">
        <f t="shared" si="3"/>
        <v>542</v>
      </c>
      <c r="U38" s="16">
        <f t="shared" si="4"/>
        <v>30026</v>
      </c>
    </row>
    <row r="39" spans="1:21">
      <c r="A39" s="12">
        <v>2004</v>
      </c>
      <c r="B39" s="4"/>
      <c r="C39" s="15">
        <f t="shared" si="3"/>
        <v>1422</v>
      </c>
      <c r="D39" s="15">
        <f t="shared" si="3"/>
        <v>1662</v>
      </c>
      <c r="E39" s="15">
        <f t="shared" si="3"/>
        <v>2051</v>
      </c>
      <c r="F39" s="15">
        <f t="shared" si="3"/>
        <v>2657</v>
      </c>
      <c r="G39" s="15">
        <f t="shared" si="3"/>
        <v>2241</v>
      </c>
      <c r="H39" s="15">
        <f t="shared" si="3"/>
        <v>1560</v>
      </c>
      <c r="I39" s="15">
        <f t="shared" si="3"/>
        <v>1467</v>
      </c>
      <c r="J39" s="15">
        <f t="shared" si="3"/>
        <v>1899</v>
      </c>
      <c r="K39" s="15">
        <f t="shared" si="3"/>
        <v>2311</v>
      </c>
      <c r="L39" s="15">
        <f t="shared" si="3"/>
        <v>2462</v>
      </c>
      <c r="M39" s="15">
        <f t="shared" si="3"/>
        <v>2370</v>
      </c>
      <c r="N39" s="15">
        <f t="shared" si="3"/>
        <v>2026</v>
      </c>
      <c r="O39" s="15">
        <f t="shared" si="3"/>
        <v>1689</v>
      </c>
      <c r="P39" s="15">
        <f t="shared" si="3"/>
        <v>1140</v>
      </c>
      <c r="Q39" s="15">
        <f t="shared" si="3"/>
        <v>1092</v>
      </c>
      <c r="R39" s="15">
        <f t="shared" si="3"/>
        <v>857</v>
      </c>
      <c r="S39" s="15">
        <f t="shared" si="3"/>
        <v>628</v>
      </c>
      <c r="T39" s="15">
        <f t="shared" si="3"/>
        <v>562</v>
      </c>
      <c r="U39" s="16">
        <f t="shared" si="4"/>
        <v>30096</v>
      </c>
    </row>
    <row r="40" spans="1:21">
      <c r="A40" s="12">
        <v>2005</v>
      </c>
      <c r="B40" s="4"/>
      <c r="C40" s="15">
        <f t="shared" si="3"/>
        <v>1448</v>
      </c>
      <c r="D40" s="15">
        <f t="shared" si="3"/>
        <v>1622</v>
      </c>
      <c r="E40" s="15">
        <f t="shared" si="3"/>
        <v>1960</v>
      </c>
      <c r="F40" s="15">
        <f t="shared" si="3"/>
        <v>2627</v>
      </c>
      <c r="G40" s="15">
        <f t="shared" si="3"/>
        <v>2284</v>
      </c>
      <c r="H40" s="15">
        <f t="shared" si="3"/>
        <v>1571</v>
      </c>
      <c r="I40" s="15">
        <f t="shared" si="3"/>
        <v>1415</v>
      </c>
      <c r="J40" s="15">
        <f t="shared" si="3"/>
        <v>1833</v>
      </c>
      <c r="K40" s="15">
        <f t="shared" si="3"/>
        <v>2260</v>
      </c>
      <c r="L40" s="15">
        <f t="shared" si="3"/>
        <v>2545</v>
      </c>
      <c r="M40" s="15">
        <f t="shared" si="3"/>
        <v>2400</v>
      </c>
      <c r="N40" s="15">
        <f t="shared" si="3"/>
        <v>2103</v>
      </c>
      <c r="O40" s="15">
        <f t="shared" si="3"/>
        <v>1737</v>
      </c>
      <c r="P40" s="15">
        <f t="shared" si="3"/>
        <v>1228</v>
      </c>
      <c r="Q40" s="15">
        <f t="shared" si="3"/>
        <v>1145</v>
      </c>
      <c r="R40" s="15">
        <f t="shared" si="3"/>
        <v>880</v>
      </c>
      <c r="S40" s="15">
        <f t="shared" si="3"/>
        <v>615</v>
      </c>
      <c r="T40" s="15">
        <f t="shared" si="3"/>
        <v>553</v>
      </c>
      <c r="U40" s="16">
        <f t="shared" si="4"/>
        <v>30226</v>
      </c>
    </row>
    <row r="41" spans="1:21">
      <c r="A41" s="12">
        <v>2006</v>
      </c>
      <c r="B41" s="4"/>
      <c r="C41" s="15">
        <f t="shared" si="3"/>
        <v>1510</v>
      </c>
      <c r="D41" s="15">
        <f t="shared" si="3"/>
        <v>1652</v>
      </c>
      <c r="E41" s="15">
        <f t="shared" si="3"/>
        <v>1918</v>
      </c>
      <c r="F41" s="15">
        <f t="shared" si="3"/>
        <v>2610</v>
      </c>
      <c r="G41" s="15">
        <f t="shared" si="3"/>
        <v>2284</v>
      </c>
      <c r="H41" s="15">
        <f t="shared" si="3"/>
        <v>1624</v>
      </c>
      <c r="I41" s="15">
        <f t="shared" si="3"/>
        <v>1388</v>
      </c>
      <c r="J41" s="15">
        <f t="shared" si="3"/>
        <v>1780</v>
      </c>
      <c r="K41" s="15">
        <f t="shared" si="3"/>
        <v>2203</v>
      </c>
      <c r="L41" s="15">
        <f t="shared" si="3"/>
        <v>2565</v>
      </c>
      <c r="M41" s="15">
        <f t="shared" si="3"/>
        <v>2439</v>
      </c>
      <c r="N41" s="15">
        <f t="shared" si="3"/>
        <v>2283</v>
      </c>
      <c r="O41" s="15">
        <f t="shared" si="3"/>
        <v>1735</v>
      </c>
      <c r="P41" s="15">
        <f t="shared" si="3"/>
        <v>1345</v>
      </c>
      <c r="Q41" s="15">
        <f t="shared" si="3"/>
        <v>1133</v>
      </c>
      <c r="R41" s="15">
        <f t="shared" si="3"/>
        <v>845</v>
      </c>
      <c r="S41" s="15">
        <f t="shared" si="3"/>
        <v>660</v>
      </c>
      <c r="T41" s="15">
        <f t="shared" si="3"/>
        <v>554</v>
      </c>
      <c r="U41" s="16">
        <f t="shared" si="4"/>
        <v>30528</v>
      </c>
    </row>
    <row r="42" spans="1:21">
      <c r="A42" s="12">
        <v>2007</v>
      </c>
      <c r="B42" s="4"/>
      <c r="C42" s="15">
        <f t="shared" si="3"/>
        <v>1527</v>
      </c>
      <c r="D42" s="15">
        <f t="shared" si="3"/>
        <v>1667</v>
      </c>
      <c r="E42" s="15">
        <f t="shared" si="3"/>
        <v>1873</v>
      </c>
      <c r="F42" s="15">
        <f t="shared" si="3"/>
        <v>2519</v>
      </c>
      <c r="G42" s="15">
        <f t="shared" si="3"/>
        <v>2309</v>
      </c>
      <c r="H42" s="15">
        <f t="shared" si="3"/>
        <v>1583</v>
      </c>
      <c r="I42" s="15">
        <f t="shared" si="3"/>
        <v>1343</v>
      </c>
      <c r="J42" s="15">
        <f t="shared" si="3"/>
        <v>1785</v>
      </c>
      <c r="K42" s="15">
        <f t="shared" si="3"/>
        <v>2093</v>
      </c>
      <c r="L42" s="15">
        <f t="shared" si="3"/>
        <v>2554</v>
      </c>
      <c r="M42" s="15">
        <f t="shared" si="3"/>
        <v>2507</v>
      </c>
      <c r="N42" s="15">
        <f t="shared" si="3"/>
        <v>2278</v>
      </c>
      <c r="O42" s="15">
        <f t="shared" si="3"/>
        <v>1870</v>
      </c>
      <c r="P42" s="15">
        <f t="shared" si="3"/>
        <v>1434</v>
      </c>
      <c r="Q42" s="15">
        <f t="shared" si="3"/>
        <v>1166</v>
      </c>
      <c r="R42" s="15">
        <f t="shared" si="3"/>
        <v>857</v>
      </c>
      <c r="S42" s="15">
        <f t="shared" si="3"/>
        <v>682</v>
      </c>
      <c r="T42" s="15">
        <f t="shared" si="3"/>
        <v>549</v>
      </c>
      <c r="U42" s="16">
        <f t="shared" si="4"/>
        <v>30596</v>
      </c>
    </row>
    <row r="43" spans="1:21">
      <c r="A43" s="12">
        <v>2008</v>
      </c>
      <c r="B43" s="4"/>
      <c r="C43" s="15">
        <f t="shared" si="3"/>
        <v>1535</v>
      </c>
      <c r="D43" s="15">
        <f t="shared" si="3"/>
        <v>1639</v>
      </c>
      <c r="E43" s="15">
        <f t="shared" si="3"/>
        <v>1815</v>
      </c>
      <c r="F43" s="15">
        <f t="shared" si="3"/>
        <v>2537</v>
      </c>
      <c r="G43" s="15">
        <f t="shared" si="3"/>
        <v>2293</v>
      </c>
      <c r="H43" s="15">
        <f t="shared" si="3"/>
        <v>1522</v>
      </c>
      <c r="I43" s="15">
        <f t="shared" si="3"/>
        <v>1412</v>
      </c>
      <c r="J43" s="15">
        <f t="shared" si="3"/>
        <v>1691</v>
      </c>
      <c r="K43" s="15">
        <f t="shared" si="3"/>
        <v>2066</v>
      </c>
      <c r="L43" s="15">
        <f t="shared" si="3"/>
        <v>2515</v>
      </c>
      <c r="M43" s="15">
        <f t="shared" si="3"/>
        <v>2516</v>
      </c>
      <c r="N43" s="15">
        <f t="shared" si="3"/>
        <v>2353</v>
      </c>
      <c r="O43" s="15">
        <f t="shared" si="3"/>
        <v>1941</v>
      </c>
      <c r="P43" s="15">
        <f t="shared" si="3"/>
        <v>1523</v>
      </c>
      <c r="Q43" s="15">
        <f t="shared" si="3"/>
        <v>1138</v>
      </c>
      <c r="R43" s="15">
        <f t="shared" si="3"/>
        <v>905</v>
      </c>
      <c r="S43" s="15">
        <f t="shared" si="3"/>
        <v>684</v>
      </c>
      <c r="T43" s="15">
        <f t="shared" si="3"/>
        <v>567</v>
      </c>
      <c r="U43" s="16">
        <f t="shared" si="4"/>
        <v>30652</v>
      </c>
    </row>
    <row r="44" spans="1:21">
      <c r="A44" s="12">
        <v>2009</v>
      </c>
      <c r="B44" s="4"/>
      <c r="C44" s="15">
        <f t="shared" si="3"/>
        <v>1553</v>
      </c>
      <c r="D44" s="15">
        <f t="shared" si="3"/>
        <v>1570</v>
      </c>
      <c r="E44" s="15">
        <f t="shared" si="3"/>
        <v>1836</v>
      </c>
      <c r="F44" s="15">
        <f t="shared" si="3"/>
        <v>2449</v>
      </c>
      <c r="G44" s="15">
        <f t="shared" si="3"/>
        <v>2358</v>
      </c>
      <c r="H44" s="15">
        <f t="shared" si="3"/>
        <v>1524</v>
      </c>
      <c r="I44" s="15">
        <f t="shared" si="3"/>
        <v>1425</v>
      </c>
      <c r="J44" s="15">
        <f t="shared" si="3"/>
        <v>1633</v>
      </c>
      <c r="K44" s="15">
        <f t="shared" si="3"/>
        <v>1922</v>
      </c>
      <c r="L44" s="15">
        <f t="shared" si="3"/>
        <v>2473</v>
      </c>
      <c r="M44" s="15">
        <f t="shared" si="3"/>
        <v>2593</v>
      </c>
      <c r="N44" s="15">
        <f t="shared" si="3"/>
        <v>2420</v>
      </c>
      <c r="O44" s="15">
        <f t="shared" si="3"/>
        <v>2020</v>
      </c>
      <c r="P44" s="15">
        <f t="shared" si="3"/>
        <v>1650</v>
      </c>
      <c r="Q44" s="15">
        <f t="shared" si="3"/>
        <v>1171</v>
      </c>
      <c r="R44" s="15">
        <f t="shared" si="3"/>
        <v>916</v>
      </c>
      <c r="S44" s="15">
        <f t="shared" si="3"/>
        <v>666</v>
      </c>
      <c r="T44" s="15">
        <f t="shared" si="3"/>
        <v>600</v>
      </c>
      <c r="U44" s="16">
        <f t="shared" si="4"/>
        <v>30779</v>
      </c>
    </row>
    <row r="45" spans="1:21">
      <c r="A45" s="12">
        <v>2010</v>
      </c>
      <c r="B45" s="4"/>
      <c r="C45" s="15">
        <f t="shared" si="3"/>
        <v>1500</v>
      </c>
      <c r="D45" s="15">
        <f t="shared" si="3"/>
        <v>1565</v>
      </c>
      <c r="E45" s="15">
        <f t="shared" si="3"/>
        <v>1780</v>
      </c>
      <c r="F45" s="15">
        <f t="shared" si="3"/>
        <v>2355</v>
      </c>
      <c r="G45" s="15">
        <f t="shared" si="3"/>
        <v>2373</v>
      </c>
      <c r="H45" s="15">
        <f t="shared" si="3"/>
        <v>1509</v>
      </c>
      <c r="I45" s="15">
        <f t="shared" si="3"/>
        <v>1438</v>
      </c>
      <c r="J45" s="15">
        <f t="shared" si="3"/>
        <v>1572</v>
      </c>
      <c r="K45" s="15">
        <f t="shared" si="3"/>
        <v>1866</v>
      </c>
      <c r="L45" s="15">
        <f t="shared" si="3"/>
        <v>2405</v>
      </c>
      <c r="M45" s="15">
        <f t="shared" si="3"/>
        <v>2642</v>
      </c>
      <c r="N45" s="15">
        <f t="shared" si="3"/>
        <v>2426</v>
      </c>
      <c r="O45" s="15">
        <f t="shared" si="3"/>
        <v>2097</v>
      </c>
      <c r="P45" s="15">
        <f t="shared" si="3"/>
        <v>1697</v>
      </c>
      <c r="Q45" s="15">
        <f t="shared" si="3"/>
        <v>1241</v>
      </c>
      <c r="R45" s="15">
        <f t="shared" si="3"/>
        <v>968</v>
      </c>
      <c r="S45" s="15">
        <f t="shared" si="3"/>
        <v>674</v>
      </c>
      <c r="T45" s="15">
        <f t="shared" si="3"/>
        <v>603</v>
      </c>
      <c r="U45" s="16">
        <f t="shared" si="4"/>
        <v>30711</v>
      </c>
    </row>
    <row r="46" spans="1:21">
      <c r="A46" s="23">
        <v>2015</v>
      </c>
      <c r="B46" s="4"/>
      <c r="C46" s="15">
        <f t="shared" si="3"/>
        <v>1543.5815528269986</v>
      </c>
      <c r="D46" s="15">
        <f t="shared" si="3"/>
        <v>1497.1543051557474</v>
      </c>
      <c r="E46" s="15">
        <f t="shared" si="3"/>
        <v>1566.3553003199704</v>
      </c>
      <c r="F46" s="15">
        <f t="shared" si="3"/>
        <v>2275.8439209851481</v>
      </c>
      <c r="G46" s="15">
        <f t="shared" si="3"/>
        <v>2362.938178016424</v>
      </c>
      <c r="H46" s="15">
        <f t="shared" si="3"/>
        <v>1630.2354935612775</v>
      </c>
      <c r="I46" s="15">
        <f t="shared" si="3"/>
        <v>1455.7683667136193</v>
      </c>
      <c r="J46" s="15">
        <f t="shared" si="3"/>
        <v>1463.8613846288399</v>
      </c>
      <c r="K46" s="15">
        <f t="shared" si="3"/>
        <v>1582.0973030740824</v>
      </c>
      <c r="L46" s="15">
        <f t="shared" si="3"/>
        <v>1881.0224701015777</v>
      </c>
      <c r="M46" s="15">
        <f t="shared" si="3"/>
        <v>2285.5614406824161</v>
      </c>
      <c r="N46" s="15">
        <f t="shared" si="3"/>
        <v>2576.0814653859343</v>
      </c>
      <c r="O46" s="15">
        <f t="shared" si="3"/>
        <v>2365.3618479745919</v>
      </c>
      <c r="P46" s="15">
        <f t="shared" si="3"/>
        <v>1954.1758558359884</v>
      </c>
      <c r="Q46" s="15">
        <f t="shared" si="3"/>
        <v>1525.8676424843607</v>
      </c>
      <c r="R46" s="15">
        <f t="shared" si="3"/>
        <v>1034.5188133477554</v>
      </c>
      <c r="S46" s="15">
        <f t="shared" si="3"/>
        <v>802.22434839742709</v>
      </c>
      <c r="T46" s="15">
        <f t="shared" si="3"/>
        <v>697.98771048188735</v>
      </c>
      <c r="U46" s="16">
        <f t="shared" si="4"/>
        <v>30500.637399974046</v>
      </c>
    </row>
    <row r="47" spans="1:21">
      <c r="A47" s="23">
        <v>2020</v>
      </c>
      <c r="B47" s="4"/>
      <c r="C47" s="15">
        <f t="shared" si="3"/>
        <v>1532.9867129591548</v>
      </c>
      <c r="D47" s="15">
        <f t="shared" si="3"/>
        <v>1541.5497195766939</v>
      </c>
      <c r="E47" s="15">
        <f t="shared" si="3"/>
        <v>1502.9470431798454</v>
      </c>
      <c r="F47" s="15">
        <f t="shared" si="3"/>
        <v>2071.2311089765867</v>
      </c>
      <c r="G47" s="15">
        <f t="shared" si="3"/>
        <v>2316.8328470056399</v>
      </c>
      <c r="H47" s="15">
        <f t="shared" si="3"/>
        <v>1612.0011273961618</v>
      </c>
      <c r="I47" s="15">
        <f t="shared" si="3"/>
        <v>1564.317168402913</v>
      </c>
      <c r="J47" s="15">
        <f t="shared" si="3"/>
        <v>1484.4998976535881</v>
      </c>
      <c r="K47" s="15">
        <f t="shared" si="3"/>
        <v>1483.1606240941082</v>
      </c>
      <c r="L47" s="15">
        <f t="shared" si="3"/>
        <v>1607.932471499234</v>
      </c>
      <c r="M47" s="15">
        <f t="shared" si="3"/>
        <v>1793.8116039547576</v>
      </c>
      <c r="N47" s="15">
        <f t="shared" si="3"/>
        <v>2233.5072374699521</v>
      </c>
      <c r="O47" s="15">
        <f t="shared" si="3"/>
        <v>2507.5343081470673</v>
      </c>
      <c r="P47" s="15">
        <f t="shared" si="3"/>
        <v>2204.9390735411234</v>
      </c>
      <c r="Q47" s="15">
        <f t="shared" si="3"/>
        <v>1756.3216691004548</v>
      </c>
      <c r="R47" s="15">
        <f t="shared" si="3"/>
        <v>1272.8175006299571</v>
      </c>
      <c r="S47" s="15">
        <f t="shared" si="3"/>
        <v>870.6755808345124</v>
      </c>
      <c r="T47" s="15">
        <f t="shared" si="3"/>
        <v>805.58016684124425</v>
      </c>
      <c r="U47" s="16">
        <f t="shared" si="4"/>
        <v>30162.645861262994</v>
      </c>
    </row>
    <row r="48" spans="1:21">
      <c r="A48" s="23">
        <v>2025</v>
      </c>
      <c r="B48" s="4"/>
      <c r="C48" s="15">
        <f t="shared" si="3"/>
        <v>1510.5110679620761</v>
      </c>
      <c r="D48" s="15">
        <f t="shared" si="3"/>
        <v>1536.3609869746465</v>
      </c>
      <c r="E48" s="15">
        <f t="shared" si="3"/>
        <v>1547.8346344852785</v>
      </c>
      <c r="F48" s="15">
        <f t="shared" si="3"/>
        <v>2012.6398801130515</v>
      </c>
      <c r="G48" s="15">
        <f t="shared" si="3"/>
        <v>2160.175984226099</v>
      </c>
      <c r="H48" s="15">
        <f t="shared" si="3"/>
        <v>1600.5892238539068</v>
      </c>
      <c r="I48" s="15">
        <f t="shared" si="3"/>
        <v>1545.3820235220348</v>
      </c>
      <c r="J48" s="15">
        <f t="shared" si="3"/>
        <v>1590.7217248904144</v>
      </c>
      <c r="K48" s="15">
        <f t="shared" si="3"/>
        <v>1506.2145390310664</v>
      </c>
      <c r="L48" s="15">
        <f t="shared" si="3"/>
        <v>1518.9122069824073</v>
      </c>
      <c r="M48" s="15">
        <f t="shared" si="3"/>
        <v>1537.8532831782263</v>
      </c>
      <c r="N48" s="15">
        <f t="shared" si="3"/>
        <v>1766.0802766227903</v>
      </c>
      <c r="O48" s="15">
        <f t="shared" si="3"/>
        <v>2180.5889506037288</v>
      </c>
      <c r="P48" s="15">
        <f t="shared" si="3"/>
        <v>2337.2569920088977</v>
      </c>
      <c r="Q48" s="15">
        <f t="shared" si="3"/>
        <v>1982.05037736749</v>
      </c>
      <c r="R48" s="15">
        <f t="shared" si="3"/>
        <v>1464.8474914630674</v>
      </c>
      <c r="S48" s="15">
        <f t="shared" si="3"/>
        <v>1079.5510461773138</v>
      </c>
      <c r="T48" s="15">
        <f t="shared" si="3"/>
        <v>901.1926634019469</v>
      </c>
      <c r="U48" s="16">
        <f t="shared" si="4"/>
        <v>29778.763352864444</v>
      </c>
    </row>
    <row r="49" spans="1:21" ht="15.75" thickBot="1">
      <c r="A49" s="24">
        <v>2030</v>
      </c>
      <c r="B49" s="20"/>
      <c r="C49" s="21">
        <f t="shared" si="3"/>
        <v>1484.1665046685125</v>
      </c>
      <c r="D49" s="21">
        <f t="shared" si="3"/>
        <v>1520.7642642668575</v>
      </c>
      <c r="E49" s="21">
        <f t="shared" si="3"/>
        <v>1544.3753481392478</v>
      </c>
      <c r="F49" s="21">
        <f t="shared" si="3"/>
        <v>2058.4051191794342</v>
      </c>
      <c r="G49" s="21">
        <f t="shared" si="3"/>
        <v>2129.6793194238444</v>
      </c>
      <c r="H49" s="21">
        <f t="shared" si="3"/>
        <v>1494.8824391779549</v>
      </c>
      <c r="I49" s="21">
        <f t="shared" si="3"/>
        <v>1543.574161101956</v>
      </c>
      <c r="J49" s="21">
        <f t="shared" si="3"/>
        <v>1570.8979227349555</v>
      </c>
      <c r="K49" s="21">
        <f t="shared" si="3"/>
        <v>1610.5387358167404</v>
      </c>
      <c r="L49" s="21">
        <f t="shared" si="3"/>
        <v>1545.0404539329261</v>
      </c>
      <c r="M49" s="21">
        <f t="shared" si="3"/>
        <v>1457.2494850913154</v>
      </c>
      <c r="N49" s="21">
        <f t="shared" si="3"/>
        <v>1524.5753488455232</v>
      </c>
      <c r="O49" s="21">
        <f t="shared" si="3"/>
        <v>1740.9925279368695</v>
      </c>
      <c r="P49" s="21">
        <f t="shared" si="3"/>
        <v>2033.3371316581899</v>
      </c>
      <c r="Q49" s="21">
        <f t="shared" si="3"/>
        <v>2099.343490092243</v>
      </c>
      <c r="R49" s="21">
        <f t="shared" si="3"/>
        <v>1654.0227778879225</v>
      </c>
      <c r="S49" s="21">
        <f t="shared" si="3"/>
        <v>1241.2437377189281</v>
      </c>
      <c r="T49" s="21">
        <f t="shared" si="3"/>
        <v>1083.7227554715839</v>
      </c>
      <c r="U49" s="22">
        <f t="shared" si="4"/>
        <v>29336.811523145007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9</v>
      </c>
      <c r="B1" s="8" t="s">
        <v>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1168</v>
      </c>
      <c r="D4" s="15">
        <v>1441</v>
      </c>
      <c r="E4" s="15">
        <v>1688</v>
      </c>
      <c r="F4" s="15">
        <v>1726</v>
      </c>
      <c r="G4" s="15">
        <v>1214</v>
      </c>
      <c r="H4" s="15">
        <v>1193</v>
      </c>
      <c r="I4" s="15">
        <v>1655</v>
      </c>
      <c r="J4" s="15">
        <v>2011</v>
      </c>
      <c r="K4" s="15">
        <v>2282</v>
      </c>
      <c r="L4" s="15">
        <v>2251</v>
      </c>
      <c r="M4" s="15">
        <v>2228</v>
      </c>
      <c r="N4" s="15">
        <v>1697</v>
      </c>
      <c r="O4" s="15">
        <v>1296</v>
      </c>
      <c r="P4" s="15">
        <v>1163</v>
      </c>
      <c r="Q4" s="15">
        <v>1163</v>
      </c>
      <c r="R4" s="15">
        <v>948</v>
      </c>
      <c r="S4" s="15">
        <v>705</v>
      </c>
      <c r="T4" s="15">
        <v>785</v>
      </c>
      <c r="U4" s="16">
        <f>SUM(C4:T4)</f>
        <v>26614</v>
      </c>
    </row>
    <row r="5" spans="1:21">
      <c r="A5" s="12">
        <v>2002</v>
      </c>
      <c r="B5" s="4"/>
      <c r="C5" s="15">
        <v>1138</v>
      </c>
      <c r="D5" s="15">
        <v>1376</v>
      </c>
      <c r="E5" s="15">
        <v>1632</v>
      </c>
      <c r="F5" s="15">
        <v>1725</v>
      </c>
      <c r="G5" s="15">
        <v>1251</v>
      </c>
      <c r="H5" s="15">
        <v>1174</v>
      </c>
      <c r="I5" s="15">
        <v>1609</v>
      </c>
      <c r="J5" s="15">
        <v>1900</v>
      </c>
      <c r="K5" s="15">
        <v>2286</v>
      </c>
      <c r="L5" s="15">
        <v>2291</v>
      </c>
      <c r="M5" s="15">
        <v>2272</v>
      </c>
      <c r="N5" s="15">
        <v>1839</v>
      </c>
      <c r="O5" s="15">
        <v>1399</v>
      </c>
      <c r="P5" s="15">
        <v>1170</v>
      </c>
      <c r="Q5" s="15">
        <v>1168</v>
      </c>
      <c r="R5" s="15">
        <v>942</v>
      </c>
      <c r="S5" s="15">
        <v>716</v>
      </c>
      <c r="T5" s="15">
        <v>768</v>
      </c>
      <c r="U5" s="16">
        <f t="shared" ref="U5:U17" si="0">SUM(C5:T5)</f>
        <v>26656</v>
      </c>
    </row>
    <row r="6" spans="1:21">
      <c r="A6" s="12">
        <v>2003</v>
      </c>
      <c r="B6" s="4"/>
      <c r="C6" s="15">
        <v>1171</v>
      </c>
      <c r="D6" s="15">
        <v>1346</v>
      </c>
      <c r="E6" s="15">
        <v>1630</v>
      </c>
      <c r="F6" s="15">
        <v>1703</v>
      </c>
      <c r="G6" s="15">
        <v>1339</v>
      </c>
      <c r="H6" s="15">
        <v>1204</v>
      </c>
      <c r="I6" s="15">
        <v>1537</v>
      </c>
      <c r="J6" s="15">
        <v>1885</v>
      </c>
      <c r="K6" s="15">
        <v>2303</v>
      </c>
      <c r="L6" s="15">
        <v>2316</v>
      </c>
      <c r="M6" s="15">
        <v>2286</v>
      </c>
      <c r="N6" s="15">
        <v>1990</v>
      </c>
      <c r="O6" s="15">
        <v>1496</v>
      </c>
      <c r="P6" s="15">
        <v>1183</v>
      </c>
      <c r="Q6" s="15">
        <v>1146</v>
      </c>
      <c r="R6" s="15">
        <v>969</v>
      </c>
      <c r="S6" s="15">
        <v>737</v>
      </c>
      <c r="T6" s="15">
        <v>784</v>
      </c>
      <c r="U6" s="16">
        <f t="shared" si="0"/>
        <v>27025</v>
      </c>
    </row>
    <row r="7" spans="1:21">
      <c r="A7" s="12">
        <v>2004</v>
      </c>
      <c r="B7" s="4"/>
      <c r="C7" s="15">
        <v>1201</v>
      </c>
      <c r="D7" s="15">
        <v>1318</v>
      </c>
      <c r="E7" s="15">
        <v>1580</v>
      </c>
      <c r="F7" s="15">
        <v>1697</v>
      </c>
      <c r="G7" s="15">
        <v>1345</v>
      </c>
      <c r="H7" s="15">
        <v>1279</v>
      </c>
      <c r="I7" s="15">
        <v>1509</v>
      </c>
      <c r="J7" s="15">
        <v>1867</v>
      </c>
      <c r="K7" s="15">
        <v>2249</v>
      </c>
      <c r="L7" s="15">
        <v>2299</v>
      </c>
      <c r="M7" s="15">
        <v>2376</v>
      </c>
      <c r="N7" s="15">
        <v>2075</v>
      </c>
      <c r="O7" s="15">
        <v>1616</v>
      </c>
      <c r="P7" s="15">
        <v>1225</v>
      </c>
      <c r="Q7" s="15">
        <v>1135</v>
      </c>
      <c r="R7" s="15">
        <v>981</v>
      </c>
      <c r="S7" s="15">
        <v>723</v>
      </c>
      <c r="T7" s="15">
        <v>795</v>
      </c>
      <c r="U7" s="16">
        <f t="shared" si="0"/>
        <v>27270</v>
      </c>
    </row>
    <row r="8" spans="1:21">
      <c r="A8" s="12">
        <v>2005</v>
      </c>
      <c r="B8" s="4"/>
      <c r="C8" s="15">
        <v>1211</v>
      </c>
      <c r="D8" s="15">
        <v>1302</v>
      </c>
      <c r="E8" s="15">
        <v>1540</v>
      </c>
      <c r="F8" s="15">
        <v>1674</v>
      </c>
      <c r="G8" s="15">
        <v>1384</v>
      </c>
      <c r="H8" s="15">
        <v>1290</v>
      </c>
      <c r="I8" s="15">
        <v>1432</v>
      </c>
      <c r="J8" s="15">
        <v>1806</v>
      </c>
      <c r="K8" s="15">
        <v>2170</v>
      </c>
      <c r="L8" s="15">
        <v>2340</v>
      </c>
      <c r="M8" s="15">
        <v>2382</v>
      </c>
      <c r="N8" s="15">
        <v>2217</v>
      </c>
      <c r="O8" s="15">
        <v>1696</v>
      </c>
      <c r="P8" s="15">
        <v>1235</v>
      </c>
      <c r="Q8" s="15">
        <v>1134</v>
      </c>
      <c r="R8" s="15">
        <v>991</v>
      </c>
      <c r="S8" s="15">
        <v>713</v>
      </c>
      <c r="T8" s="15">
        <v>825</v>
      </c>
      <c r="U8" s="16">
        <f t="shared" si="0"/>
        <v>27342</v>
      </c>
    </row>
    <row r="9" spans="1:21">
      <c r="A9" s="12">
        <v>2006</v>
      </c>
      <c r="B9" s="4"/>
      <c r="C9" s="15">
        <v>1256</v>
      </c>
      <c r="D9" s="15">
        <v>1266</v>
      </c>
      <c r="E9" s="15">
        <v>1508</v>
      </c>
      <c r="F9" s="15">
        <v>1640</v>
      </c>
      <c r="G9" s="15">
        <v>1388</v>
      </c>
      <c r="H9" s="15">
        <v>1256</v>
      </c>
      <c r="I9" s="15">
        <v>1381</v>
      </c>
      <c r="J9" s="15">
        <v>1802</v>
      </c>
      <c r="K9" s="15">
        <v>2139</v>
      </c>
      <c r="L9" s="15">
        <v>2334</v>
      </c>
      <c r="M9" s="15">
        <v>2392</v>
      </c>
      <c r="N9" s="15">
        <v>2345</v>
      </c>
      <c r="O9" s="15">
        <v>1768</v>
      </c>
      <c r="P9" s="15">
        <v>1280</v>
      </c>
      <c r="Q9" s="15">
        <v>1163</v>
      </c>
      <c r="R9" s="15">
        <v>1002</v>
      </c>
      <c r="S9" s="15">
        <v>739</v>
      </c>
      <c r="T9" s="15">
        <v>836</v>
      </c>
      <c r="U9" s="16">
        <f t="shared" si="0"/>
        <v>27495</v>
      </c>
    </row>
    <row r="10" spans="1:21">
      <c r="A10" s="12">
        <v>2007</v>
      </c>
      <c r="B10" s="4"/>
      <c r="C10" s="15">
        <v>1294</v>
      </c>
      <c r="D10" s="15">
        <v>1250</v>
      </c>
      <c r="E10" s="15">
        <v>1484</v>
      </c>
      <c r="F10" s="15">
        <v>1596</v>
      </c>
      <c r="G10" s="15">
        <v>1404</v>
      </c>
      <c r="H10" s="15">
        <v>1280</v>
      </c>
      <c r="I10" s="15">
        <v>1327</v>
      </c>
      <c r="J10" s="15">
        <v>1765</v>
      </c>
      <c r="K10" s="15">
        <v>2019</v>
      </c>
      <c r="L10" s="15">
        <v>2352</v>
      </c>
      <c r="M10" s="15">
        <v>2448</v>
      </c>
      <c r="N10" s="15">
        <v>2384</v>
      </c>
      <c r="O10" s="15">
        <v>1924</v>
      </c>
      <c r="P10" s="15">
        <v>1360</v>
      </c>
      <c r="Q10" s="15">
        <v>1151</v>
      </c>
      <c r="R10" s="15">
        <v>1006</v>
      </c>
      <c r="S10" s="15">
        <v>760</v>
      </c>
      <c r="T10" s="15">
        <v>859</v>
      </c>
      <c r="U10" s="16">
        <f t="shared" si="0"/>
        <v>27663</v>
      </c>
    </row>
    <row r="11" spans="1:21">
      <c r="A11" s="12">
        <v>2008</v>
      </c>
      <c r="B11" s="4"/>
      <c r="C11" s="15">
        <v>1285</v>
      </c>
      <c r="D11" s="15">
        <v>1282</v>
      </c>
      <c r="E11" s="15">
        <v>1468</v>
      </c>
      <c r="F11" s="15">
        <v>1570</v>
      </c>
      <c r="G11" s="15">
        <v>1407</v>
      </c>
      <c r="H11" s="15">
        <v>1288</v>
      </c>
      <c r="I11" s="15">
        <v>1330</v>
      </c>
      <c r="J11" s="15">
        <v>1663</v>
      </c>
      <c r="K11" s="15">
        <v>1946</v>
      </c>
      <c r="L11" s="15">
        <v>2331</v>
      </c>
      <c r="M11" s="15">
        <v>2458</v>
      </c>
      <c r="N11" s="15">
        <v>2382</v>
      </c>
      <c r="O11" s="15">
        <v>2069</v>
      </c>
      <c r="P11" s="15">
        <v>1479</v>
      </c>
      <c r="Q11" s="15">
        <v>1149</v>
      </c>
      <c r="R11" s="15">
        <v>1008</v>
      </c>
      <c r="S11" s="15">
        <v>792</v>
      </c>
      <c r="T11" s="15">
        <v>864</v>
      </c>
      <c r="U11" s="16">
        <f t="shared" si="0"/>
        <v>27771</v>
      </c>
    </row>
    <row r="12" spans="1:21">
      <c r="A12" s="12">
        <v>2009</v>
      </c>
      <c r="B12" s="4"/>
      <c r="C12" s="15">
        <v>1253</v>
      </c>
      <c r="D12" s="15">
        <v>1304</v>
      </c>
      <c r="E12" s="15">
        <v>1395</v>
      </c>
      <c r="F12" s="15">
        <v>1551</v>
      </c>
      <c r="G12" s="15">
        <v>1434</v>
      </c>
      <c r="H12" s="15">
        <v>1278</v>
      </c>
      <c r="I12" s="15">
        <v>1353</v>
      </c>
      <c r="J12" s="15">
        <v>1607</v>
      </c>
      <c r="K12" s="15">
        <v>1899</v>
      </c>
      <c r="L12" s="15">
        <v>2285</v>
      </c>
      <c r="M12" s="15">
        <v>2437</v>
      </c>
      <c r="N12" s="15">
        <v>2445</v>
      </c>
      <c r="O12" s="15">
        <v>2177</v>
      </c>
      <c r="P12" s="15">
        <v>1597</v>
      </c>
      <c r="Q12" s="15">
        <v>1168</v>
      </c>
      <c r="R12" s="15">
        <v>979</v>
      </c>
      <c r="S12" s="15">
        <v>817</v>
      </c>
      <c r="T12" s="15">
        <v>836</v>
      </c>
      <c r="U12" s="16">
        <f t="shared" si="0"/>
        <v>27815</v>
      </c>
    </row>
    <row r="13" spans="1:21">
      <c r="A13" s="12">
        <v>2010</v>
      </c>
      <c r="B13" s="4"/>
      <c r="C13" s="15">
        <v>1304</v>
      </c>
      <c r="D13" s="15">
        <v>1291</v>
      </c>
      <c r="E13" s="15">
        <v>1357</v>
      </c>
      <c r="F13" s="15">
        <v>1478</v>
      </c>
      <c r="G13" s="15">
        <v>1381</v>
      </c>
      <c r="H13" s="15">
        <v>1307</v>
      </c>
      <c r="I13" s="15">
        <v>1358</v>
      </c>
      <c r="J13" s="15">
        <v>1547</v>
      </c>
      <c r="K13" s="15">
        <v>1796</v>
      </c>
      <c r="L13" s="15">
        <v>2225</v>
      </c>
      <c r="M13" s="15">
        <v>2433</v>
      </c>
      <c r="N13" s="15">
        <v>2459</v>
      </c>
      <c r="O13" s="15">
        <v>2291</v>
      </c>
      <c r="P13" s="15">
        <v>1672</v>
      </c>
      <c r="Q13" s="15">
        <v>1182</v>
      </c>
      <c r="R13" s="15">
        <v>971</v>
      </c>
      <c r="S13" s="15">
        <v>823</v>
      </c>
      <c r="T13" s="15">
        <v>872</v>
      </c>
      <c r="U13" s="16">
        <f t="shared" si="0"/>
        <v>27747</v>
      </c>
    </row>
    <row r="14" spans="1:21">
      <c r="A14" s="23">
        <v>2015</v>
      </c>
      <c r="B14" s="4"/>
      <c r="C14" s="15">
        <v>1161.7542084838383</v>
      </c>
      <c r="D14" s="15">
        <v>1247.6634660036555</v>
      </c>
      <c r="E14" s="15">
        <v>1317.1655983492997</v>
      </c>
      <c r="F14" s="15">
        <v>1382.669170004209</v>
      </c>
      <c r="G14" s="15">
        <v>1449.1002822169048</v>
      </c>
      <c r="H14" s="15">
        <v>1304.4819613079674</v>
      </c>
      <c r="I14" s="15">
        <v>1291.5143722621444</v>
      </c>
      <c r="J14" s="15">
        <v>1299.3881681451201</v>
      </c>
      <c r="K14" s="15">
        <v>1510.3618192761141</v>
      </c>
      <c r="L14" s="15">
        <v>1831.3037417605162</v>
      </c>
      <c r="M14" s="15">
        <v>2168.1779718091061</v>
      </c>
      <c r="N14" s="15">
        <v>2395.0929971751407</v>
      </c>
      <c r="O14" s="15">
        <v>2453.4970037840089</v>
      </c>
      <c r="P14" s="15">
        <v>2141.9979840386727</v>
      </c>
      <c r="Q14" s="15">
        <v>1557.5289645060243</v>
      </c>
      <c r="R14" s="15">
        <v>1042.7797597505266</v>
      </c>
      <c r="S14" s="15">
        <v>796.64178421824101</v>
      </c>
      <c r="T14" s="15">
        <v>945.90809504437925</v>
      </c>
      <c r="U14" s="16">
        <f t="shared" si="0"/>
        <v>27297.027348135871</v>
      </c>
    </row>
    <row r="15" spans="1:21">
      <c r="A15" s="23">
        <v>2020</v>
      </c>
      <c r="B15" s="4"/>
      <c r="C15" s="15">
        <v>1142.3602697004696</v>
      </c>
      <c r="D15" s="15">
        <v>1121.4467376075218</v>
      </c>
      <c r="E15" s="15">
        <v>1277.3926975547872</v>
      </c>
      <c r="F15" s="15">
        <v>1346.1429666190095</v>
      </c>
      <c r="G15" s="15">
        <v>1379.1191017493477</v>
      </c>
      <c r="H15" s="15">
        <v>1356.6625101376528</v>
      </c>
      <c r="I15" s="15">
        <v>1292.8293609294178</v>
      </c>
      <c r="J15" s="15">
        <v>1241.515576325467</v>
      </c>
      <c r="K15" s="15">
        <v>1285.182017535818</v>
      </c>
      <c r="L15" s="15">
        <v>1556.9215743618608</v>
      </c>
      <c r="M15" s="15">
        <v>1789.9505430743086</v>
      </c>
      <c r="N15" s="15">
        <v>2136.5326010952508</v>
      </c>
      <c r="O15" s="15">
        <v>2393.1176718520856</v>
      </c>
      <c r="P15" s="15">
        <v>2295.6964353428239</v>
      </c>
      <c r="Q15" s="15">
        <v>1992.7677400634884</v>
      </c>
      <c r="R15" s="15">
        <v>1373.5817071018016</v>
      </c>
      <c r="S15" s="15">
        <v>859.0797310510917</v>
      </c>
      <c r="T15" s="15">
        <v>966.99258066509856</v>
      </c>
      <c r="U15" s="16">
        <f t="shared" si="0"/>
        <v>26807.2918227673</v>
      </c>
    </row>
    <row r="16" spans="1:21">
      <c r="A16" s="23">
        <v>2025</v>
      </c>
      <c r="B16" s="4"/>
      <c r="C16" s="15">
        <v>1133.5694827886882</v>
      </c>
      <c r="D16" s="15">
        <v>1105.9010699819567</v>
      </c>
      <c r="E16" s="15">
        <v>1156.0590106578625</v>
      </c>
      <c r="F16" s="15">
        <v>1310.1903027695566</v>
      </c>
      <c r="G16" s="15">
        <v>1356.3055114414151</v>
      </c>
      <c r="H16" s="15">
        <v>1310.0803017273308</v>
      </c>
      <c r="I16" s="15">
        <v>1335.8480135948621</v>
      </c>
      <c r="J16" s="15">
        <v>1244.3433208629019</v>
      </c>
      <c r="K16" s="15">
        <v>1234.8477982093621</v>
      </c>
      <c r="L16" s="15">
        <v>1346.3192643025775</v>
      </c>
      <c r="M16" s="15">
        <v>1527.9803963507343</v>
      </c>
      <c r="N16" s="15">
        <v>1772.3913578719173</v>
      </c>
      <c r="O16" s="15">
        <v>2138.1403725538162</v>
      </c>
      <c r="P16" s="15">
        <v>2241.1538518941552</v>
      </c>
      <c r="Q16" s="15">
        <v>2136.5676413122924</v>
      </c>
      <c r="R16" s="15">
        <v>1754.2228077171849</v>
      </c>
      <c r="S16" s="15">
        <v>1130.9639935284392</v>
      </c>
      <c r="T16" s="15">
        <v>1020.5816315359308</v>
      </c>
      <c r="U16" s="16">
        <f t="shared" si="0"/>
        <v>26255.466129100983</v>
      </c>
    </row>
    <row r="17" spans="1:21">
      <c r="A17" s="23">
        <v>2030</v>
      </c>
      <c r="B17" s="4"/>
      <c r="C17" s="15">
        <v>1122.518296824763</v>
      </c>
      <c r="D17" s="15">
        <v>1100.0631337782156</v>
      </c>
      <c r="E17" s="15">
        <v>1142.6004185822833</v>
      </c>
      <c r="F17" s="15">
        <v>1193.9828176007447</v>
      </c>
      <c r="G17" s="15">
        <v>1335.6433912650252</v>
      </c>
      <c r="H17" s="15">
        <v>1299.3068228480809</v>
      </c>
      <c r="I17" s="15">
        <v>1303.8143474079627</v>
      </c>
      <c r="J17" s="15">
        <v>1282.5187728140895</v>
      </c>
      <c r="K17" s="15">
        <v>1239.6263501897142</v>
      </c>
      <c r="L17" s="15">
        <v>1302.5158639442707</v>
      </c>
      <c r="M17" s="15">
        <v>1329.0899780607767</v>
      </c>
      <c r="N17" s="15">
        <v>1522.7588166840931</v>
      </c>
      <c r="O17" s="15">
        <v>1786.3089827838855</v>
      </c>
      <c r="P17" s="15">
        <v>2004.3528582440795</v>
      </c>
      <c r="Q17" s="15">
        <v>2086.7049675707603</v>
      </c>
      <c r="R17" s="15">
        <v>1881.9439135762275</v>
      </c>
      <c r="S17" s="15">
        <v>1438.9398413611914</v>
      </c>
      <c r="T17" s="15">
        <v>1221.4535651697524</v>
      </c>
      <c r="U17" s="16">
        <f t="shared" si="0"/>
        <v>25594.143138705916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1319</v>
      </c>
      <c r="D20" s="15">
        <v>1478</v>
      </c>
      <c r="E20" s="15">
        <v>1972</v>
      </c>
      <c r="F20" s="15">
        <v>1926</v>
      </c>
      <c r="G20" s="15">
        <v>1381</v>
      </c>
      <c r="H20" s="15">
        <v>1254</v>
      </c>
      <c r="I20" s="15">
        <v>1517</v>
      </c>
      <c r="J20" s="15">
        <v>1880</v>
      </c>
      <c r="K20" s="15">
        <v>2122</v>
      </c>
      <c r="L20" s="15">
        <v>2122</v>
      </c>
      <c r="M20" s="15">
        <v>2174</v>
      </c>
      <c r="N20" s="15">
        <v>1600</v>
      </c>
      <c r="O20" s="15">
        <v>1172</v>
      </c>
      <c r="P20" s="15">
        <v>1093</v>
      </c>
      <c r="Q20" s="15">
        <v>981</v>
      </c>
      <c r="R20" s="15">
        <v>722</v>
      </c>
      <c r="S20" s="15">
        <v>483</v>
      </c>
      <c r="T20" s="15">
        <v>299</v>
      </c>
      <c r="U20" s="16">
        <f>SUM(C20:T20)</f>
        <v>25495</v>
      </c>
    </row>
    <row r="21" spans="1:21">
      <c r="A21" s="12">
        <v>2002</v>
      </c>
      <c r="B21" s="4"/>
      <c r="C21" s="15">
        <v>1283</v>
      </c>
      <c r="D21" s="15">
        <v>1418</v>
      </c>
      <c r="E21" s="15">
        <v>1957</v>
      </c>
      <c r="F21" s="15">
        <v>1954</v>
      </c>
      <c r="G21" s="15">
        <v>1482</v>
      </c>
      <c r="H21" s="15">
        <v>1180</v>
      </c>
      <c r="I21" s="15">
        <v>1500</v>
      </c>
      <c r="J21" s="15">
        <v>1772</v>
      </c>
      <c r="K21" s="15">
        <v>2092</v>
      </c>
      <c r="L21" s="15">
        <v>2187</v>
      </c>
      <c r="M21" s="15">
        <v>2140</v>
      </c>
      <c r="N21" s="15">
        <v>1834</v>
      </c>
      <c r="O21" s="15">
        <v>1238</v>
      </c>
      <c r="P21" s="15">
        <v>1111</v>
      </c>
      <c r="Q21" s="15">
        <v>995</v>
      </c>
      <c r="R21" s="15">
        <v>730</v>
      </c>
      <c r="S21" s="15">
        <v>489</v>
      </c>
      <c r="T21" s="15">
        <v>309</v>
      </c>
      <c r="U21" s="16">
        <f t="shared" ref="U21:U33" si="1">SUM(C21:T21)</f>
        <v>25671</v>
      </c>
    </row>
    <row r="22" spans="1:21">
      <c r="A22" s="12">
        <v>2003</v>
      </c>
      <c r="B22" s="4"/>
      <c r="C22" s="15">
        <v>1316</v>
      </c>
      <c r="D22" s="15">
        <v>1381</v>
      </c>
      <c r="E22" s="15">
        <v>1876</v>
      </c>
      <c r="F22" s="15">
        <v>2011</v>
      </c>
      <c r="G22" s="15">
        <v>1533</v>
      </c>
      <c r="H22" s="15">
        <v>1160</v>
      </c>
      <c r="I22" s="15">
        <v>1495</v>
      </c>
      <c r="J22" s="15">
        <v>1732</v>
      </c>
      <c r="K22" s="15">
        <v>2095</v>
      </c>
      <c r="L22" s="15">
        <v>2200</v>
      </c>
      <c r="M22" s="15">
        <v>2143</v>
      </c>
      <c r="N22" s="15">
        <v>1977</v>
      </c>
      <c r="O22" s="15">
        <v>1373</v>
      </c>
      <c r="P22" s="15">
        <v>1107</v>
      </c>
      <c r="Q22" s="15">
        <v>1008</v>
      </c>
      <c r="R22" s="15">
        <v>760</v>
      </c>
      <c r="S22" s="15">
        <v>521</v>
      </c>
      <c r="T22" s="15">
        <v>317</v>
      </c>
      <c r="U22" s="16">
        <f t="shared" si="1"/>
        <v>26005</v>
      </c>
    </row>
    <row r="23" spans="1:21">
      <c r="A23" s="12">
        <v>2004</v>
      </c>
      <c r="B23" s="4"/>
      <c r="C23" s="15">
        <v>1270</v>
      </c>
      <c r="D23" s="15">
        <v>1396</v>
      </c>
      <c r="E23" s="15">
        <v>1813</v>
      </c>
      <c r="F23" s="15">
        <v>2020</v>
      </c>
      <c r="G23" s="15">
        <v>1661</v>
      </c>
      <c r="H23" s="15">
        <v>1172</v>
      </c>
      <c r="I23" s="15">
        <v>1471</v>
      </c>
      <c r="J23" s="15">
        <v>1674</v>
      </c>
      <c r="K23" s="15">
        <v>2083</v>
      </c>
      <c r="L23" s="15">
        <v>2249</v>
      </c>
      <c r="M23" s="15">
        <v>2214</v>
      </c>
      <c r="N23" s="15">
        <v>2034</v>
      </c>
      <c r="O23" s="15">
        <v>1501</v>
      </c>
      <c r="P23" s="15">
        <v>1145</v>
      </c>
      <c r="Q23" s="15">
        <v>1010</v>
      </c>
      <c r="R23" s="15">
        <v>793</v>
      </c>
      <c r="S23" s="15">
        <v>480</v>
      </c>
      <c r="T23" s="15">
        <v>357</v>
      </c>
      <c r="U23" s="16">
        <f t="shared" si="1"/>
        <v>26343</v>
      </c>
    </row>
    <row r="24" spans="1:21">
      <c r="A24" s="12">
        <v>2005</v>
      </c>
      <c r="B24" s="4"/>
      <c r="C24" s="15">
        <v>1278</v>
      </c>
      <c r="D24" s="15">
        <v>1351</v>
      </c>
      <c r="E24" s="15">
        <v>1681</v>
      </c>
      <c r="F24" s="15">
        <v>2060</v>
      </c>
      <c r="G24" s="15">
        <v>1682</v>
      </c>
      <c r="H24" s="15">
        <v>1211</v>
      </c>
      <c r="I24" s="15">
        <v>1402</v>
      </c>
      <c r="J24" s="15">
        <v>1621</v>
      </c>
      <c r="K24" s="15">
        <v>2032</v>
      </c>
      <c r="L24" s="15">
        <v>2231</v>
      </c>
      <c r="M24" s="15">
        <v>2228</v>
      </c>
      <c r="N24" s="15">
        <v>2191</v>
      </c>
      <c r="O24" s="15">
        <v>1593</v>
      </c>
      <c r="P24" s="15">
        <v>1166</v>
      </c>
      <c r="Q24" s="15">
        <v>1000</v>
      </c>
      <c r="R24" s="15">
        <v>822</v>
      </c>
      <c r="S24" s="15">
        <v>461</v>
      </c>
      <c r="T24" s="15">
        <v>393</v>
      </c>
      <c r="U24" s="16">
        <f t="shared" si="1"/>
        <v>26403</v>
      </c>
    </row>
    <row r="25" spans="1:21">
      <c r="A25" s="12">
        <v>2006</v>
      </c>
      <c r="B25" s="4"/>
      <c r="C25" s="15">
        <v>1294</v>
      </c>
      <c r="D25" s="15">
        <v>1389</v>
      </c>
      <c r="E25" s="15">
        <v>1564</v>
      </c>
      <c r="F25" s="15">
        <v>2055</v>
      </c>
      <c r="G25" s="15">
        <v>1684</v>
      </c>
      <c r="H25" s="15">
        <v>1196</v>
      </c>
      <c r="I25" s="15">
        <v>1360</v>
      </c>
      <c r="J25" s="15">
        <v>1616</v>
      </c>
      <c r="K25" s="15">
        <v>1990</v>
      </c>
      <c r="L25" s="15">
        <v>2241</v>
      </c>
      <c r="M25" s="15">
        <v>2259</v>
      </c>
      <c r="N25" s="15">
        <v>2304</v>
      </c>
      <c r="O25" s="15">
        <v>1676</v>
      </c>
      <c r="P25" s="15">
        <v>1193</v>
      </c>
      <c r="Q25" s="15">
        <v>998</v>
      </c>
      <c r="R25" s="15">
        <v>831</v>
      </c>
      <c r="S25" s="15">
        <v>479</v>
      </c>
      <c r="T25" s="15">
        <v>385</v>
      </c>
      <c r="U25" s="16">
        <f t="shared" si="1"/>
        <v>26514</v>
      </c>
    </row>
    <row r="26" spans="1:21">
      <c r="A26" s="12">
        <v>2007</v>
      </c>
      <c r="B26" s="4"/>
      <c r="C26" s="15">
        <v>1328</v>
      </c>
      <c r="D26" s="15">
        <v>1386</v>
      </c>
      <c r="E26" s="15">
        <v>1487</v>
      </c>
      <c r="F26" s="15">
        <v>2025</v>
      </c>
      <c r="G26" s="15">
        <v>1670</v>
      </c>
      <c r="H26" s="15">
        <v>1236</v>
      </c>
      <c r="I26" s="15">
        <v>1301</v>
      </c>
      <c r="J26" s="15">
        <v>1593</v>
      </c>
      <c r="K26" s="15">
        <v>1875</v>
      </c>
      <c r="L26" s="15">
        <v>2222</v>
      </c>
      <c r="M26" s="15">
        <v>2302</v>
      </c>
      <c r="N26" s="15">
        <v>2274</v>
      </c>
      <c r="O26" s="15">
        <v>1903</v>
      </c>
      <c r="P26" s="15">
        <v>1270</v>
      </c>
      <c r="Q26" s="15">
        <v>1026</v>
      </c>
      <c r="R26" s="15">
        <v>824</v>
      </c>
      <c r="S26" s="15">
        <v>514</v>
      </c>
      <c r="T26" s="15">
        <v>401</v>
      </c>
      <c r="U26" s="16">
        <f t="shared" si="1"/>
        <v>26637</v>
      </c>
    </row>
    <row r="27" spans="1:21">
      <c r="A27" s="12">
        <v>2008</v>
      </c>
      <c r="B27" s="4"/>
      <c r="C27" s="15">
        <v>1301</v>
      </c>
      <c r="D27" s="15">
        <v>1382</v>
      </c>
      <c r="E27" s="15">
        <v>1450</v>
      </c>
      <c r="F27" s="15">
        <v>1938</v>
      </c>
      <c r="G27" s="15">
        <v>1635</v>
      </c>
      <c r="H27" s="15">
        <v>1264</v>
      </c>
      <c r="I27" s="15">
        <v>1282</v>
      </c>
      <c r="J27" s="15">
        <v>1567</v>
      </c>
      <c r="K27" s="15">
        <v>1793</v>
      </c>
      <c r="L27" s="15">
        <v>2179</v>
      </c>
      <c r="M27" s="15">
        <v>2320</v>
      </c>
      <c r="N27" s="15">
        <v>2261</v>
      </c>
      <c r="O27" s="15">
        <v>2038</v>
      </c>
      <c r="P27" s="15">
        <v>1401</v>
      </c>
      <c r="Q27" s="15">
        <v>1022</v>
      </c>
      <c r="R27" s="15">
        <v>818</v>
      </c>
      <c r="S27" s="15">
        <v>536</v>
      </c>
      <c r="T27" s="15">
        <v>413</v>
      </c>
      <c r="U27" s="16">
        <f t="shared" si="1"/>
        <v>26600</v>
      </c>
    </row>
    <row r="28" spans="1:21">
      <c r="A28" s="12">
        <v>2009</v>
      </c>
      <c r="B28" s="4"/>
      <c r="C28" s="15">
        <v>1308</v>
      </c>
      <c r="D28" s="15">
        <v>1374</v>
      </c>
      <c r="E28" s="15">
        <v>1426</v>
      </c>
      <c r="F28" s="15">
        <v>1881</v>
      </c>
      <c r="G28" s="15">
        <v>1650</v>
      </c>
      <c r="H28" s="15">
        <v>1290</v>
      </c>
      <c r="I28" s="15">
        <v>1294</v>
      </c>
      <c r="J28" s="15">
        <v>1507</v>
      </c>
      <c r="K28" s="15">
        <v>1711</v>
      </c>
      <c r="L28" s="15">
        <v>2175</v>
      </c>
      <c r="M28" s="15">
        <v>2342</v>
      </c>
      <c r="N28" s="15">
        <v>2337</v>
      </c>
      <c r="O28" s="15">
        <v>2058</v>
      </c>
      <c r="P28" s="15">
        <v>1518</v>
      </c>
      <c r="Q28" s="15">
        <v>1039</v>
      </c>
      <c r="R28" s="15">
        <v>826</v>
      </c>
      <c r="S28" s="15">
        <v>565</v>
      </c>
      <c r="T28" s="15">
        <v>383</v>
      </c>
      <c r="U28" s="16">
        <f t="shared" si="1"/>
        <v>26684</v>
      </c>
    </row>
    <row r="29" spans="1:21">
      <c r="A29" s="12">
        <v>2010</v>
      </c>
      <c r="B29" s="4"/>
      <c r="C29" s="15">
        <v>1283</v>
      </c>
      <c r="D29" s="15">
        <v>1354</v>
      </c>
      <c r="E29" s="15">
        <v>1423</v>
      </c>
      <c r="F29" s="15">
        <v>1790</v>
      </c>
      <c r="G29" s="15">
        <v>1602</v>
      </c>
      <c r="H29" s="15">
        <v>1344</v>
      </c>
      <c r="I29" s="15">
        <v>1291</v>
      </c>
      <c r="J29" s="15">
        <v>1452</v>
      </c>
      <c r="K29" s="15">
        <v>1654</v>
      </c>
      <c r="L29" s="15">
        <v>2093</v>
      </c>
      <c r="M29" s="15">
        <v>2313</v>
      </c>
      <c r="N29" s="15">
        <v>2345</v>
      </c>
      <c r="O29" s="15">
        <v>2184</v>
      </c>
      <c r="P29" s="15">
        <v>1601</v>
      </c>
      <c r="Q29" s="15">
        <v>1053</v>
      </c>
      <c r="R29" s="15">
        <v>828</v>
      </c>
      <c r="S29" s="15">
        <v>586</v>
      </c>
      <c r="T29" s="15">
        <v>417</v>
      </c>
      <c r="U29" s="16">
        <f t="shared" si="1"/>
        <v>26613</v>
      </c>
    </row>
    <row r="30" spans="1:21">
      <c r="A30" s="23">
        <v>2015</v>
      </c>
      <c r="B30" s="4"/>
      <c r="C30" s="15">
        <v>1232.7454026528992</v>
      </c>
      <c r="D30" s="15">
        <v>1192.2862454817655</v>
      </c>
      <c r="E30" s="15">
        <v>1370.8402653680007</v>
      </c>
      <c r="F30" s="15">
        <v>1438.8905448228211</v>
      </c>
      <c r="G30" s="15">
        <v>1700.3406460044037</v>
      </c>
      <c r="H30" s="15">
        <v>1451.9148638517945</v>
      </c>
      <c r="I30" s="15">
        <v>1279.90802668932</v>
      </c>
      <c r="J30" s="15">
        <v>1196.8099978077782</v>
      </c>
      <c r="K30" s="15">
        <v>1389.6205295678926</v>
      </c>
      <c r="L30" s="15">
        <v>1674.592011047378</v>
      </c>
      <c r="M30" s="15">
        <v>1997.0302060296829</v>
      </c>
      <c r="N30" s="15">
        <v>2233.4510695978634</v>
      </c>
      <c r="O30" s="15">
        <v>2300.3915284699051</v>
      </c>
      <c r="P30" s="15">
        <v>1958.0142864771176</v>
      </c>
      <c r="Q30" s="15">
        <v>1406.5994881573715</v>
      </c>
      <c r="R30" s="15">
        <v>881.96858483972665</v>
      </c>
      <c r="S30" s="15">
        <v>611.05901745704318</v>
      </c>
      <c r="T30" s="15">
        <v>492.30429428481045</v>
      </c>
      <c r="U30" s="16">
        <f t="shared" si="1"/>
        <v>25808.767008607578</v>
      </c>
    </row>
    <row r="31" spans="1:21">
      <c r="A31" s="23">
        <v>2020</v>
      </c>
      <c r="B31" s="4"/>
      <c r="C31" s="15">
        <v>1212.1663604596881</v>
      </c>
      <c r="D31" s="15">
        <v>1150.8186501121286</v>
      </c>
      <c r="E31" s="15">
        <v>1216.5238915148359</v>
      </c>
      <c r="F31" s="15">
        <v>1390.725313297454</v>
      </c>
      <c r="G31" s="15">
        <v>1414.5557887829168</v>
      </c>
      <c r="H31" s="15">
        <v>1525.4929203422344</v>
      </c>
      <c r="I31" s="15">
        <v>1374.408897102071</v>
      </c>
      <c r="J31" s="15">
        <v>1189.8110770851645</v>
      </c>
      <c r="K31" s="15">
        <v>1164.225760795912</v>
      </c>
      <c r="L31" s="15">
        <v>1425.0647579929853</v>
      </c>
      <c r="M31" s="15">
        <v>1604.3995171607096</v>
      </c>
      <c r="N31" s="15">
        <v>1933.0646788098522</v>
      </c>
      <c r="O31" s="15">
        <v>2196.8736607849023</v>
      </c>
      <c r="P31" s="15">
        <v>2065.2492452054212</v>
      </c>
      <c r="Q31" s="15">
        <v>1718.6154775898556</v>
      </c>
      <c r="R31" s="15">
        <v>1177.5689129431132</v>
      </c>
      <c r="S31" s="15">
        <v>655.28452420605561</v>
      </c>
      <c r="T31" s="15">
        <v>537.93014147762506</v>
      </c>
      <c r="U31" s="16">
        <f t="shared" si="1"/>
        <v>24952.77957566292</v>
      </c>
    </row>
    <row r="32" spans="1:21">
      <c r="A32" s="23">
        <v>2025</v>
      </c>
      <c r="B32" s="4"/>
      <c r="C32" s="15">
        <v>1202.838395841989</v>
      </c>
      <c r="D32" s="15">
        <v>1134.8665291663506</v>
      </c>
      <c r="E32" s="15">
        <v>1178.3871952573761</v>
      </c>
      <c r="F32" s="15">
        <v>1243.9459302133976</v>
      </c>
      <c r="G32" s="15">
        <v>1382.3727798415293</v>
      </c>
      <c r="H32" s="15">
        <v>1308.3840376760477</v>
      </c>
      <c r="I32" s="15">
        <v>1432.5454849521077</v>
      </c>
      <c r="J32" s="15">
        <v>1274.4548482212376</v>
      </c>
      <c r="K32" s="15">
        <v>1161.4090919105215</v>
      </c>
      <c r="L32" s="15">
        <v>1218.0391243780937</v>
      </c>
      <c r="M32" s="15">
        <v>1371.9945922860957</v>
      </c>
      <c r="N32" s="15">
        <v>1563.3892887427512</v>
      </c>
      <c r="O32" s="15">
        <v>1908.5426184968751</v>
      </c>
      <c r="P32" s="15">
        <v>1975.6133373576695</v>
      </c>
      <c r="Q32" s="15">
        <v>1814.0643458385875</v>
      </c>
      <c r="R32" s="15">
        <v>1436.8076675963332</v>
      </c>
      <c r="S32" s="15">
        <v>874.25424976026545</v>
      </c>
      <c r="T32" s="15">
        <v>585.86911325917094</v>
      </c>
      <c r="U32" s="16">
        <f t="shared" si="1"/>
        <v>24067.778630796405</v>
      </c>
    </row>
    <row r="33" spans="1:21">
      <c r="A33" s="23">
        <v>2030</v>
      </c>
      <c r="B33" s="4"/>
      <c r="C33" s="15">
        <v>1191.1119062012326</v>
      </c>
      <c r="D33" s="15">
        <v>1128.8752898302257</v>
      </c>
      <c r="E33" s="15">
        <v>1164.6720574692336</v>
      </c>
      <c r="F33" s="15">
        <v>1209.3138571740822</v>
      </c>
      <c r="G33" s="15">
        <v>1268.3027486830663</v>
      </c>
      <c r="H33" s="15">
        <v>1290.7580294749841</v>
      </c>
      <c r="I33" s="15">
        <v>1258.2759298504723</v>
      </c>
      <c r="J33" s="15">
        <v>1323.9745162055251</v>
      </c>
      <c r="K33" s="15">
        <v>1240.3373594457246</v>
      </c>
      <c r="L33" s="15">
        <v>1220.2061267752235</v>
      </c>
      <c r="M33" s="15">
        <v>1181.3774732400616</v>
      </c>
      <c r="N33" s="15">
        <v>1347.3743537141968</v>
      </c>
      <c r="O33" s="15">
        <v>1558.8164730420942</v>
      </c>
      <c r="P33" s="15">
        <v>1720.3052500478454</v>
      </c>
      <c r="Q33" s="15">
        <v>1736.8423431761087</v>
      </c>
      <c r="R33" s="15">
        <v>1518.4805935270699</v>
      </c>
      <c r="S33" s="15">
        <v>1063.4981203082034</v>
      </c>
      <c r="T33" s="15">
        <v>728.12264422521105</v>
      </c>
      <c r="U33" s="16">
        <f t="shared" si="1"/>
        <v>23150.645072390558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2487</v>
      </c>
      <c r="D36" s="15">
        <f t="shared" ref="D36:T36" si="2">D20+D4</f>
        <v>2919</v>
      </c>
      <c r="E36" s="15">
        <f t="shared" si="2"/>
        <v>3660</v>
      </c>
      <c r="F36" s="15">
        <f t="shared" si="2"/>
        <v>3652</v>
      </c>
      <c r="G36" s="15">
        <f t="shared" si="2"/>
        <v>2595</v>
      </c>
      <c r="H36" s="15">
        <f t="shared" si="2"/>
        <v>2447</v>
      </c>
      <c r="I36" s="15">
        <f t="shared" si="2"/>
        <v>3172</v>
      </c>
      <c r="J36" s="15">
        <f t="shared" si="2"/>
        <v>3891</v>
      </c>
      <c r="K36" s="15">
        <f t="shared" si="2"/>
        <v>4404</v>
      </c>
      <c r="L36" s="15">
        <f t="shared" si="2"/>
        <v>4373</v>
      </c>
      <c r="M36" s="15">
        <f t="shared" si="2"/>
        <v>4402</v>
      </c>
      <c r="N36" s="15">
        <f t="shared" si="2"/>
        <v>3297</v>
      </c>
      <c r="O36" s="15">
        <f t="shared" si="2"/>
        <v>2468</v>
      </c>
      <c r="P36" s="15">
        <f t="shared" si="2"/>
        <v>2256</v>
      </c>
      <c r="Q36" s="15">
        <f t="shared" si="2"/>
        <v>2144</v>
      </c>
      <c r="R36" s="15">
        <f t="shared" si="2"/>
        <v>1670</v>
      </c>
      <c r="S36" s="15">
        <f t="shared" si="2"/>
        <v>1188</v>
      </c>
      <c r="T36" s="15">
        <f t="shared" si="2"/>
        <v>1084</v>
      </c>
      <c r="U36" s="16">
        <f>SUM(C36:T36)</f>
        <v>52109</v>
      </c>
    </row>
    <row r="37" spans="1:21">
      <c r="A37" s="12">
        <v>2002</v>
      </c>
      <c r="B37" s="4"/>
      <c r="C37" s="15">
        <f t="shared" ref="C37:T49" si="3">C21+C5</f>
        <v>2421</v>
      </c>
      <c r="D37" s="15">
        <f t="shared" si="3"/>
        <v>2794</v>
      </c>
      <c r="E37" s="15">
        <f t="shared" si="3"/>
        <v>3589</v>
      </c>
      <c r="F37" s="15">
        <f t="shared" si="3"/>
        <v>3679</v>
      </c>
      <c r="G37" s="15">
        <f t="shared" si="3"/>
        <v>2733</v>
      </c>
      <c r="H37" s="15">
        <f t="shared" si="3"/>
        <v>2354</v>
      </c>
      <c r="I37" s="15">
        <f t="shared" si="3"/>
        <v>3109</v>
      </c>
      <c r="J37" s="15">
        <f t="shared" si="3"/>
        <v>3672</v>
      </c>
      <c r="K37" s="15">
        <f t="shared" si="3"/>
        <v>4378</v>
      </c>
      <c r="L37" s="15">
        <f t="shared" si="3"/>
        <v>4478</v>
      </c>
      <c r="M37" s="15">
        <f t="shared" si="3"/>
        <v>4412</v>
      </c>
      <c r="N37" s="15">
        <f t="shared" si="3"/>
        <v>3673</v>
      </c>
      <c r="O37" s="15">
        <f t="shared" si="3"/>
        <v>2637</v>
      </c>
      <c r="P37" s="15">
        <f t="shared" si="3"/>
        <v>2281</v>
      </c>
      <c r="Q37" s="15">
        <f t="shared" si="3"/>
        <v>2163</v>
      </c>
      <c r="R37" s="15">
        <f t="shared" si="3"/>
        <v>1672</v>
      </c>
      <c r="S37" s="15">
        <f t="shared" si="3"/>
        <v>1205</v>
      </c>
      <c r="T37" s="15">
        <f t="shared" si="3"/>
        <v>1077</v>
      </c>
      <c r="U37" s="16">
        <f t="shared" ref="U37:U49" si="4">SUM(C37:T37)</f>
        <v>52327</v>
      </c>
    </row>
    <row r="38" spans="1:21">
      <c r="A38" s="12">
        <v>2003</v>
      </c>
      <c r="B38" s="4"/>
      <c r="C38" s="15">
        <f t="shared" si="3"/>
        <v>2487</v>
      </c>
      <c r="D38" s="15">
        <f t="shared" si="3"/>
        <v>2727</v>
      </c>
      <c r="E38" s="15">
        <f t="shared" si="3"/>
        <v>3506</v>
      </c>
      <c r="F38" s="15">
        <f t="shared" si="3"/>
        <v>3714</v>
      </c>
      <c r="G38" s="15">
        <f t="shared" si="3"/>
        <v>2872</v>
      </c>
      <c r="H38" s="15">
        <f t="shared" si="3"/>
        <v>2364</v>
      </c>
      <c r="I38" s="15">
        <f t="shared" si="3"/>
        <v>3032</v>
      </c>
      <c r="J38" s="15">
        <f t="shared" si="3"/>
        <v>3617</v>
      </c>
      <c r="K38" s="15">
        <f t="shared" si="3"/>
        <v>4398</v>
      </c>
      <c r="L38" s="15">
        <f t="shared" si="3"/>
        <v>4516</v>
      </c>
      <c r="M38" s="15">
        <f t="shared" si="3"/>
        <v>4429</v>
      </c>
      <c r="N38" s="15">
        <f t="shared" si="3"/>
        <v>3967</v>
      </c>
      <c r="O38" s="15">
        <f t="shared" si="3"/>
        <v>2869</v>
      </c>
      <c r="P38" s="15">
        <f t="shared" si="3"/>
        <v>2290</v>
      </c>
      <c r="Q38" s="15">
        <f t="shared" si="3"/>
        <v>2154</v>
      </c>
      <c r="R38" s="15">
        <f t="shared" si="3"/>
        <v>1729</v>
      </c>
      <c r="S38" s="15">
        <f t="shared" si="3"/>
        <v>1258</v>
      </c>
      <c r="T38" s="15">
        <f t="shared" si="3"/>
        <v>1101</v>
      </c>
      <c r="U38" s="16">
        <f t="shared" si="4"/>
        <v>53030</v>
      </c>
    </row>
    <row r="39" spans="1:21">
      <c r="A39" s="12">
        <v>2004</v>
      </c>
      <c r="B39" s="4"/>
      <c r="C39" s="15">
        <f t="shared" si="3"/>
        <v>2471</v>
      </c>
      <c r="D39" s="15">
        <f t="shared" si="3"/>
        <v>2714</v>
      </c>
      <c r="E39" s="15">
        <f t="shared" si="3"/>
        <v>3393</v>
      </c>
      <c r="F39" s="15">
        <f t="shared" si="3"/>
        <v>3717</v>
      </c>
      <c r="G39" s="15">
        <f t="shared" si="3"/>
        <v>3006</v>
      </c>
      <c r="H39" s="15">
        <f t="shared" si="3"/>
        <v>2451</v>
      </c>
      <c r="I39" s="15">
        <f t="shared" si="3"/>
        <v>2980</v>
      </c>
      <c r="J39" s="15">
        <f t="shared" si="3"/>
        <v>3541</v>
      </c>
      <c r="K39" s="15">
        <f t="shared" si="3"/>
        <v>4332</v>
      </c>
      <c r="L39" s="15">
        <f t="shared" si="3"/>
        <v>4548</v>
      </c>
      <c r="M39" s="15">
        <f t="shared" si="3"/>
        <v>4590</v>
      </c>
      <c r="N39" s="15">
        <f t="shared" si="3"/>
        <v>4109</v>
      </c>
      <c r="O39" s="15">
        <f t="shared" si="3"/>
        <v>3117</v>
      </c>
      <c r="P39" s="15">
        <f t="shared" si="3"/>
        <v>2370</v>
      </c>
      <c r="Q39" s="15">
        <f t="shared" si="3"/>
        <v>2145</v>
      </c>
      <c r="R39" s="15">
        <f t="shared" si="3"/>
        <v>1774</v>
      </c>
      <c r="S39" s="15">
        <f t="shared" si="3"/>
        <v>1203</v>
      </c>
      <c r="T39" s="15">
        <f t="shared" si="3"/>
        <v>1152</v>
      </c>
      <c r="U39" s="16">
        <f t="shared" si="4"/>
        <v>53613</v>
      </c>
    </row>
    <row r="40" spans="1:21">
      <c r="A40" s="12">
        <v>2005</v>
      </c>
      <c r="B40" s="4"/>
      <c r="C40" s="15">
        <f t="shared" si="3"/>
        <v>2489</v>
      </c>
      <c r="D40" s="15">
        <f t="shared" si="3"/>
        <v>2653</v>
      </c>
      <c r="E40" s="15">
        <f t="shared" si="3"/>
        <v>3221</v>
      </c>
      <c r="F40" s="15">
        <f t="shared" si="3"/>
        <v>3734</v>
      </c>
      <c r="G40" s="15">
        <f t="shared" si="3"/>
        <v>3066</v>
      </c>
      <c r="H40" s="15">
        <f t="shared" si="3"/>
        <v>2501</v>
      </c>
      <c r="I40" s="15">
        <f t="shared" si="3"/>
        <v>2834</v>
      </c>
      <c r="J40" s="15">
        <f t="shared" si="3"/>
        <v>3427</v>
      </c>
      <c r="K40" s="15">
        <f t="shared" si="3"/>
        <v>4202</v>
      </c>
      <c r="L40" s="15">
        <f t="shared" si="3"/>
        <v>4571</v>
      </c>
      <c r="M40" s="15">
        <f t="shared" si="3"/>
        <v>4610</v>
      </c>
      <c r="N40" s="15">
        <f t="shared" si="3"/>
        <v>4408</v>
      </c>
      <c r="O40" s="15">
        <f t="shared" si="3"/>
        <v>3289</v>
      </c>
      <c r="P40" s="15">
        <f t="shared" si="3"/>
        <v>2401</v>
      </c>
      <c r="Q40" s="15">
        <f t="shared" si="3"/>
        <v>2134</v>
      </c>
      <c r="R40" s="15">
        <f t="shared" si="3"/>
        <v>1813</v>
      </c>
      <c r="S40" s="15">
        <f t="shared" si="3"/>
        <v>1174</v>
      </c>
      <c r="T40" s="15">
        <f t="shared" si="3"/>
        <v>1218</v>
      </c>
      <c r="U40" s="16">
        <f t="shared" si="4"/>
        <v>53745</v>
      </c>
    </row>
    <row r="41" spans="1:21">
      <c r="A41" s="12">
        <v>2006</v>
      </c>
      <c r="B41" s="4"/>
      <c r="C41" s="15">
        <f t="shared" si="3"/>
        <v>2550</v>
      </c>
      <c r="D41" s="15">
        <f t="shared" si="3"/>
        <v>2655</v>
      </c>
      <c r="E41" s="15">
        <f t="shared" si="3"/>
        <v>3072</v>
      </c>
      <c r="F41" s="15">
        <f t="shared" si="3"/>
        <v>3695</v>
      </c>
      <c r="G41" s="15">
        <f t="shared" si="3"/>
        <v>3072</v>
      </c>
      <c r="H41" s="15">
        <f t="shared" si="3"/>
        <v>2452</v>
      </c>
      <c r="I41" s="15">
        <f t="shared" si="3"/>
        <v>2741</v>
      </c>
      <c r="J41" s="15">
        <f t="shared" si="3"/>
        <v>3418</v>
      </c>
      <c r="K41" s="15">
        <f t="shared" si="3"/>
        <v>4129</v>
      </c>
      <c r="L41" s="15">
        <f t="shared" si="3"/>
        <v>4575</v>
      </c>
      <c r="M41" s="15">
        <f t="shared" si="3"/>
        <v>4651</v>
      </c>
      <c r="N41" s="15">
        <f t="shared" si="3"/>
        <v>4649</v>
      </c>
      <c r="O41" s="15">
        <f t="shared" si="3"/>
        <v>3444</v>
      </c>
      <c r="P41" s="15">
        <f t="shared" si="3"/>
        <v>2473</v>
      </c>
      <c r="Q41" s="15">
        <f t="shared" si="3"/>
        <v>2161</v>
      </c>
      <c r="R41" s="15">
        <f t="shared" si="3"/>
        <v>1833</v>
      </c>
      <c r="S41" s="15">
        <f t="shared" si="3"/>
        <v>1218</v>
      </c>
      <c r="T41" s="15">
        <f t="shared" si="3"/>
        <v>1221</v>
      </c>
      <c r="U41" s="16">
        <f t="shared" si="4"/>
        <v>54009</v>
      </c>
    </row>
    <row r="42" spans="1:21">
      <c r="A42" s="12">
        <v>2007</v>
      </c>
      <c r="B42" s="4"/>
      <c r="C42" s="15">
        <f t="shared" si="3"/>
        <v>2622</v>
      </c>
      <c r="D42" s="15">
        <f t="shared" si="3"/>
        <v>2636</v>
      </c>
      <c r="E42" s="15">
        <f t="shared" si="3"/>
        <v>2971</v>
      </c>
      <c r="F42" s="15">
        <f t="shared" si="3"/>
        <v>3621</v>
      </c>
      <c r="G42" s="15">
        <f t="shared" si="3"/>
        <v>3074</v>
      </c>
      <c r="H42" s="15">
        <f t="shared" si="3"/>
        <v>2516</v>
      </c>
      <c r="I42" s="15">
        <f t="shared" si="3"/>
        <v>2628</v>
      </c>
      <c r="J42" s="15">
        <f t="shared" si="3"/>
        <v>3358</v>
      </c>
      <c r="K42" s="15">
        <f t="shared" si="3"/>
        <v>3894</v>
      </c>
      <c r="L42" s="15">
        <f t="shared" si="3"/>
        <v>4574</v>
      </c>
      <c r="M42" s="15">
        <f t="shared" si="3"/>
        <v>4750</v>
      </c>
      <c r="N42" s="15">
        <f t="shared" si="3"/>
        <v>4658</v>
      </c>
      <c r="O42" s="15">
        <f t="shared" si="3"/>
        <v>3827</v>
      </c>
      <c r="P42" s="15">
        <f t="shared" si="3"/>
        <v>2630</v>
      </c>
      <c r="Q42" s="15">
        <f t="shared" si="3"/>
        <v>2177</v>
      </c>
      <c r="R42" s="15">
        <f t="shared" si="3"/>
        <v>1830</v>
      </c>
      <c r="S42" s="15">
        <f t="shared" si="3"/>
        <v>1274</v>
      </c>
      <c r="T42" s="15">
        <f t="shared" si="3"/>
        <v>1260</v>
      </c>
      <c r="U42" s="16">
        <f t="shared" si="4"/>
        <v>54300</v>
      </c>
    </row>
    <row r="43" spans="1:21">
      <c r="A43" s="12">
        <v>2008</v>
      </c>
      <c r="B43" s="4"/>
      <c r="C43" s="15">
        <f t="shared" si="3"/>
        <v>2586</v>
      </c>
      <c r="D43" s="15">
        <f t="shared" si="3"/>
        <v>2664</v>
      </c>
      <c r="E43" s="15">
        <f t="shared" si="3"/>
        <v>2918</v>
      </c>
      <c r="F43" s="15">
        <f t="shared" si="3"/>
        <v>3508</v>
      </c>
      <c r="G43" s="15">
        <f t="shared" si="3"/>
        <v>3042</v>
      </c>
      <c r="H43" s="15">
        <f t="shared" si="3"/>
        <v>2552</v>
      </c>
      <c r="I43" s="15">
        <f t="shared" si="3"/>
        <v>2612</v>
      </c>
      <c r="J43" s="15">
        <f t="shared" si="3"/>
        <v>3230</v>
      </c>
      <c r="K43" s="15">
        <f t="shared" si="3"/>
        <v>3739</v>
      </c>
      <c r="L43" s="15">
        <f t="shared" si="3"/>
        <v>4510</v>
      </c>
      <c r="M43" s="15">
        <f t="shared" si="3"/>
        <v>4778</v>
      </c>
      <c r="N43" s="15">
        <f t="shared" si="3"/>
        <v>4643</v>
      </c>
      <c r="O43" s="15">
        <f t="shared" si="3"/>
        <v>4107</v>
      </c>
      <c r="P43" s="15">
        <f t="shared" si="3"/>
        <v>2880</v>
      </c>
      <c r="Q43" s="15">
        <f t="shared" si="3"/>
        <v>2171</v>
      </c>
      <c r="R43" s="15">
        <f t="shared" si="3"/>
        <v>1826</v>
      </c>
      <c r="S43" s="15">
        <f t="shared" si="3"/>
        <v>1328</v>
      </c>
      <c r="T43" s="15">
        <f t="shared" si="3"/>
        <v>1277</v>
      </c>
      <c r="U43" s="16">
        <f t="shared" si="4"/>
        <v>54371</v>
      </c>
    </row>
    <row r="44" spans="1:21">
      <c r="A44" s="12">
        <v>2009</v>
      </c>
      <c r="B44" s="4"/>
      <c r="C44" s="15">
        <f t="shared" si="3"/>
        <v>2561</v>
      </c>
      <c r="D44" s="15">
        <f t="shared" si="3"/>
        <v>2678</v>
      </c>
      <c r="E44" s="15">
        <f t="shared" si="3"/>
        <v>2821</v>
      </c>
      <c r="F44" s="15">
        <f t="shared" si="3"/>
        <v>3432</v>
      </c>
      <c r="G44" s="15">
        <f t="shared" si="3"/>
        <v>3084</v>
      </c>
      <c r="H44" s="15">
        <f t="shared" si="3"/>
        <v>2568</v>
      </c>
      <c r="I44" s="15">
        <f t="shared" si="3"/>
        <v>2647</v>
      </c>
      <c r="J44" s="15">
        <f t="shared" si="3"/>
        <v>3114</v>
      </c>
      <c r="K44" s="15">
        <f t="shared" si="3"/>
        <v>3610</v>
      </c>
      <c r="L44" s="15">
        <f t="shared" si="3"/>
        <v>4460</v>
      </c>
      <c r="M44" s="15">
        <f t="shared" si="3"/>
        <v>4779</v>
      </c>
      <c r="N44" s="15">
        <f t="shared" si="3"/>
        <v>4782</v>
      </c>
      <c r="O44" s="15">
        <f t="shared" si="3"/>
        <v>4235</v>
      </c>
      <c r="P44" s="15">
        <f t="shared" si="3"/>
        <v>3115</v>
      </c>
      <c r="Q44" s="15">
        <f t="shared" si="3"/>
        <v>2207</v>
      </c>
      <c r="R44" s="15">
        <f t="shared" si="3"/>
        <v>1805</v>
      </c>
      <c r="S44" s="15">
        <f t="shared" si="3"/>
        <v>1382</v>
      </c>
      <c r="T44" s="15">
        <f t="shared" si="3"/>
        <v>1219</v>
      </c>
      <c r="U44" s="16">
        <f t="shared" si="4"/>
        <v>54499</v>
      </c>
    </row>
    <row r="45" spans="1:21">
      <c r="A45" s="12">
        <v>2010</v>
      </c>
      <c r="B45" s="4"/>
      <c r="C45" s="15">
        <f t="shared" si="3"/>
        <v>2587</v>
      </c>
      <c r="D45" s="15">
        <f t="shared" si="3"/>
        <v>2645</v>
      </c>
      <c r="E45" s="15">
        <f t="shared" si="3"/>
        <v>2780</v>
      </c>
      <c r="F45" s="15">
        <f t="shared" si="3"/>
        <v>3268</v>
      </c>
      <c r="G45" s="15">
        <f t="shared" si="3"/>
        <v>2983</v>
      </c>
      <c r="H45" s="15">
        <f t="shared" si="3"/>
        <v>2651</v>
      </c>
      <c r="I45" s="15">
        <f t="shared" si="3"/>
        <v>2649</v>
      </c>
      <c r="J45" s="15">
        <f t="shared" si="3"/>
        <v>2999</v>
      </c>
      <c r="K45" s="15">
        <f t="shared" si="3"/>
        <v>3450</v>
      </c>
      <c r="L45" s="15">
        <f t="shared" si="3"/>
        <v>4318</v>
      </c>
      <c r="M45" s="15">
        <f t="shared" si="3"/>
        <v>4746</v>
      </c>
      <c r="N45" s="15">
        <f t="shared" si="3"/>
        <v>4804</v>
      </c>
      <c r="O45" s="15">
        <f t="shared" si="3"/>
        <v>4475</v>
      </c>
      <c r="P45" s="15">
        <f t="shared" si="3"/>
        <v>3273</v>
      </c>
      <c r="Q45" s="15">
        <f t="shared" si="3"/>
        <v>2235</v>
      </c>
      <c r="R45" s="15">
        <f t="shared" si="3"/>
        <v>1799</v>
      </c>
      <c r="S45" s="15">
        <f t="shared" si="3"/>
        <v>1409</v>
      </c>
      <c r="T45" s="15">
        <f t="shared" si="3"/>
        <v>1289</v>
      </c>
      <c r="U45" s="16">
        <f t="shared" si="4"/>
        <v>54360</v>
      </c>
    </row>
    <row r="46" spans="1:21">
      <c r="A46" s="23">
        <v>2015</v>
      </c>
      <c r="B46" s="4"/>
      <c r="C46" s="15">
        <f t="shared" si="3"/>
        <v>2394.4996111367373</v>
      </c>
      <c r="D46" s="15">
        <f t="shared" si="3"/>
        <v>2439.9497114854212</v>
      </c>
      <c r="E46" s="15">
        <f t="shared" si="3"/>
        <v>2688.0058637173006</v>
      </c>
      <c r="F46" s="15">
        <f t="shared" si="3"/>
        <v>2821.5597148270299</v>
      </c>
      <c r="G46" s="15">
        <f t="shared" si="3"/>
        <v>3149.4409282213082</v>
      </c>
      <c r="H46" s="15">
        <f t="shared" si="3"/>
        <v>2756.3968251597616</v>
      </c>
      <c r="I46" s="15">
        <f t="shared" si="3"/>
        <v>2571.4223989514644</v>
      </c>
      <c r="J46" s="15">
        <f t="shared" si="3"/>
        <v>2496.1981659528983</v>
      </c>
      <c r="K46" s="15">
        <f t="shared" si="3"/>
        <v>2899.982348844007</v>
      </c>
      <c r="L46" s="15">
        <f t="shared" si="3"/>
        <v>3505.8957528078945</v>
      </c>
      <c r="M46" s="15">
        <f t="shared" si="3"/>
        <v>4165.2081778387892</v>
      </c>
      <c r="N46" s="15">
        <f t="shared" si="3"/>
        <v>4628.5440667730036</v>
      </c>
      <c r="O46" s="15">
        <f t="shared" si="3"/>
        <v>4753.8885322539136</v>
      </c>
      <c r="P46" s="15">
        <f t="shared" si="3"/>
        <v>4100.0122705157901</v>
      </c>
      <c r="Q46" s="15">
        <f t="shared" si="3"/>
        <v>2964.1284526633958</v>
      </c>
      <c r="R46" s="15">
        <f t="shared" si="3"/>
        <v>1924.7483445902533</v>
      </c>
      <c r="S46" s="15">
        <f t="shared" si="3"/>
        <v>1407.7008016752843</v>
      </c>
      <c r="T46" s="15">
        <f t="shared" si="3"/>
        <v>1438.2123893291896</v>
      </c>
      <c r="U46" s="16">
        <f t="shared" si="4"/>
        <v>53105.794356743441</v>
      </c>
    </row>
    <row r="47" spans="1:21">
      <c r="A47" s="23">
        <v>2020</v>
      </c>
      <c r="B47" s="4"/>
      <c r="C47" s="15">
        <f t="shared" si="3"/>
        <v>2354.5266301601578</v>
      </c>
      <c r="D47" s="15">
        <f t="shared" si="3"/>
        <v>2272.2653877196503</v>
      </c>
      <c r="E47" s="15">
        <f t="shared" si="3"/>
        <v>2493.9165890696231</v>
      </c>
      <c r="F47" s="15">
        <f t="shared" si="3"/>
        <v>2736.8682799164635</v>
      </c>
      <c r="G47" s="15">
        <f t="shared" si="3"/>
        <v>2793.6748905322647</v>
      </c>
      <c r="H47" s="15">
        <f t="shared" si="3"/>
        <v>2882.1554304798874</v>
      </c>
      <c r="I47" s="15">
        <f t="shared" si="3"/>
        <v>2667.2382580314888</v>
      </c>
      <c r="J47" s="15">
        <f t="shared" si="3"/>
        <v>2431.3266534106315</v>
      </c>
      <c r="K47" s="15">
        <f t="shared" si="3"/>
        <v>2449.4077783317298</v>
      </c>
      <c r="L47" s="15">
        <f t="shared" si="3"/>
        <v>2981.9863323548461</v>
      </c>
      <c r="M47" s="15">
        <f t="shared" si="3"/>
        <v>3394.3500602350182</v>
      </c>
      <c r="N47" s="15">
        <f t="shared" si="3"/>
        <v>4069.5972799051033</v>
      </c>
      <c r="O47" s="15">
        <f t="shared" si="3"/>
        <v>4589.9913326369879</v>
      </c>
      <c r="P47" s="15">
        <f t="shared" si="3"/>
        <v>4360.945680548245</v>
      </c>
      <c r="Q47" s="15">
        <f t="shared" si="3"/>
        <v>3711.3832176533442</v>
      </c>
      <c r="R47" s="15">
        <f t="shared" si="3"/>
        <v>2551.1506200449148</v>
      </c>
      <c r="S47" s="15">
        <f t="shared" si="3"/>
        <v>1514.3642552571473</v>
      </c>
      <c r="T47" s="15">
        <f t="shared" si="3"/>
        <v>1504.9227221427236</v>
      </c>
      <c r="U47" s="16">
        <f t="shared" si="4"/>
        <v>51760.071398430227</v>
      </c>
    </row>
    <row r="48" spans="1:21">
      <c r="A48" s="23">
        <v>2025</v>
      </c>
      <c r="B48" s="4"/>
      <c r="C48" s="15">
        <f t="shared" si="3"/>
        <v>2336.4078786306773</v>
      </c>
      <c r="D48" s="15">
        <f t="shared" si="3"/>
        <v>2240.7675991483075</v>
      </c>
      <c r="E48" s="15">
        <f t="shared" si="3"/>
        <v>2334.4462059152384</v>
      </c>
      <c r="F48" s="15">
        <f t="shared" si="3"/>
        <v>2554.1362329829544</v>
      </c>
      <c r="G48" s="15">
        <f t="shared" si="3"/>
        <v>2738.6782912829444</v>
      </c>
      <c r="H48" s="15">
        <f t="shared" si="3"/>
        <v>2618.4643394033783</v>
      </c>
      <c r="I48" s="15">
        <f t="shared" si="3"/>
        <v>2768.3934985469696</v>
      </c>
      <c r="J48" s="15">
        <f t="shared" si="3"/>
        <v>2518.7981690841398</v>
      </c>
      <c r="K48" s="15">
        <f t="shared" si="3"/>
        <v>2396.2568901198838</v>
      </c>
      <c r="L48" s="15">
        <f t="shared" si="3"/>
        <v>2564.3583886806709</v>
      </c>
      <c r="M48" s="15">
        <f t="shared" si="3"/>
        <v>2899.9749886368299</v>
      </c>
      <c r="N48" s="15">
        <f t="shared" si="3"/>
        <v>3335.7806466146685</v>
      </c>
      <c r="O48" s="15">
        <f t="shared" si="3"/>
        <v>4046.6829910506913</v>
      </c>
      <c r="P48" s="15">
        <f t="shared" si="3"/>
        <v>4216.7671892518247</v>
      </c>
      <c r="Q48" s="15">
        <f t="shared" si="3"/>
        <v>3950.6319871508799</v>
      </c>
      <c r="R48" s="15">
        <f t="shared" si="3"/>
        <v>3191.0304753135179</v>
      </c>
      <c r="S48" s="15">
        <f t="shared" si="3"/>
        <v>2005.2182432887048</v>
      </c>
      <c r="T48" s="15">
        <f t="shared" si="3"/>
        <v>1606.4507447951019</v>
      </c>
      <c r="U48" s="16">
        <f t="shared" si="4"/>
        <v>50323.244759897396</v>
      </c>
    </row>
    <row r="49" spans="1:21" ht="15.75" thickBot="1">
      <c r="A49" s="24">
        <v>2030</v>
      </c>
      <c r="B49" s="20"/>
      <c r="C49" s="21">
        <f t="shared" si="3"/>
        <v>2313.6302030259958</v>
      </c>
      <c r="D49" s="21">
        <f t="shared" si="3"/>
        <v>2228.9384236084416</v>
      </c>
      <c r="E49" s="21">
        <f t="shared" si="3"/>
        <v>2307.2724760515166</v>
      </c>
      <c r="F49" s="21">
        <f t="shared" si="3"/>
        <v>2403.2966747748269</v>
      </c>
      <c r="G49" s="21">
        <f t="shared" si="3"/>
        <v>2603.9461399480915</v>
      </c>
      <c r="H49" s="21">
        <f t="shared" si="3"/>
        <v>2590.0648523230648</v>
      </c>
      <c r="I49" s="21">
        <f t="shared" si="3"/>
        <v>2562.090277258435</v>
      </c>
      <c r="J49" s="21">
        <f t="shared" si="3"/>
        <v>2606.4932890196146</v>
      </c>
      <c r="K49" s="21">
        <f t="shared" si="3"/>
        <v>2479.963709635439</v>
      </c>
      <c r="L49" s="21">
        <f t="shared" si="3"/>
        <v>2522.721990719494</v>
      </c>
      <c r="M49" s="21">
        <f t="shared" si="3"/>
        <v>2510.4674513008385</v>
      </c>
      <c r="N49" s="21">
        <f t="shared" si="3"/>
        <v>2870.1331703982896</v>
      </c>
      <c r="O49" s="21">
        <f t="shared" si="3"/>
        <v>3345.1254558259798</v>
      </c>
      <c r="P49" s="21">
        <f t="shared" si="3"/>
        <v>3724.6581082919247</v>
      </c>
      <c r="Q49" s="21">
        <f t="shared" si="3"/>
        <v>3823.5473107468688</v>
      </c>
      <c r="R49" s="21">
        <f t="shared" si="3"/>
        <v>3400.4245071032974</v>
      </c>
      <c r="S49" s="21">
        <f t="shared" si="3"/>
        <v>2502.437961669395</v>
      </c>
      <c r="T49" s="21">
        <f t="shared" si="3"/>
        <v>1949.5762093949634</v>
      </c>
      <c r="U49" s="22">
        <f t="shared" si="4"/>
        <v>48744.788211096486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11</v>
      </c>
      <c r="B1" s="8" t="s">
        <v>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3247</v>
      </c>
      <c r="D4" s="15">
        <v>3565</v>
      </c>
      <c r="E4" s="15">
        <v>4184</v>
      </c>
      <c r="F4" s="15">
        <v>4379</v>
      </c>
      <c r="G4" s="15">
        <v>3339</v>
      </c>
      <c r="H4" s="15">
        <v>3096</v>
      </c>
      <c r="I4" s="15">
        <v>3906</v>
      </c>
      <c r="J4" s="15">
        <v>4734</v>
      </c>
      <c r="K4" s="15">
        <v>5288</v>
      </c>
      <c r="L4" s="15">
        <v>4953</v>
      </c>
      <c r="M4" s="15">
        <v>4460</v>
      </c>
      <c r="N4" s="15">
        <v>3290</v>
      </c>
      <c r="O4" s="15">
        <v>2610</v>
      </c>
      <c r="P4" s="15">
        <v>2379</v>
      </c>
      <c r="Q4" s="15">
        <v>2325</v>
      </c>
      <c r="R4" s="15">
        <v>2060</v>
      </c>
      <c r="S4" s="15">
        <v>1496</v>
      </c>
      <c r="T4" s="15">
        <v>1509</v>
      </c>
      <c r="U4" s="16">
        <f>SUM(C4:T4)</f>
        <v>60820</v>
      </c>
    </row>
    <row r="5" spans="1:21">
      <c r="A5" s="12">
        <v>2002</v>
      </c>
      <c r="B5" s="4"/>
      <c r="C5" s="15">
        <v>3243</v>
      </c>
      <c r="D5" s="15">
        <v>3472</v>
      </c>
      <c r="E5" s="15">
        <v>4187</v>
      </c>
      <c r="F5" s="15">
        <v>4327</v>
      </c>
      <c r="G5" s="15">
        <v>3484</v>
      </c>
      <c r="H5" s="15">
        <v>3050</v>
      </c>
      <c r="I5" s="15">
        <v>3784</v>
      </c>
      <c r="J5" s="15">
        <v>4556</v>
      </c>
      <c r="K5" s="15">
        <v>5299</v>
      </c>
      <c r="L5" s="15">
        <v>5068</v>
      </c>
      <c r="M5" s="15">
        <v>4498</v>
      </c>
      <c r="N5" s="15">
        <v>3546</v>
      </c>
      <c r="O5" s="15">
        <v>2694</v>
      </c>
      <c r="P5" s="15">
        <v>2390</v>
      </c>
      <c r="Q5" s="15">
        <v>2277</v>
      </c>
      <c r="R5" s="15">
        <v>2117</v>
      </c>
      <c r="S5" s="15">
        <v>1507</v>
      </c>
      <c r="T5" s="15">
        <v>1533</v>
      </c>
      <c r="U5" s="16">
        <f t="shared" ref="U5:U17" si="0">SUM(C5:T5)</f>
        <v>61032</v>
      </c>
    </row>
    <row r="6" spans="1:21">
      <c r="A6" s="12">
        <v>2003</v>
      </c>
      <c r="B6" s="4"/>
      <c r="C6" s="15">
        <v>3253</v>
      </c>
      <c r="D6" s="15">
        <v>3485</v>
      </c>
      <c r="E6" s="15">
        <v>4096</v>
      </c>
      <c r="F6" s="15">
        <v>4363</v>
      </c>
      <c r="G6" s="15">
        <v>3607</v>
      </c>
      <c r="H6" s="15">
        <v>3052</v>
      </c>
      <c r="I6" s="15">
        <v>3695</v>
      </c>
      <c r="J6" s="15">
        <v>4459</v>
      </c>
      <c r="K6" s="15">
        <v>5271</v>
      </c>
      <c r="L6" s="15">
        <v>5225</v>
      </c>
      <c r="M6" s="15">
        <v>4578</v>
      </c>
      <c r="N6" s="15">
        <v>3760</v>
      </c>
      <c r="O6" s="15">
        <v>2816</v>
      </c>
      <c r="P6" s="15">
        <v>2449</v>
      </c>
      <c r="Q6" s="15">
        <v>2180</v>
      </c>
      <c r="R6" s="15">
        <v>2170</v>
      </c>
      <c r="S6" s="15">
        <v>1508</v>
      </c>
      <c r="T6" s="15">
        <v>1520</v>
      </c>
      <c r="U6" s="16">
        <f t="shared" si="0"/>
        <v>61487</v>
      </c>
    </row>
    <row r="7" spans="1:21">
      <c r="A7" s="12">
        <v>2004</v>
      </c>
      <c r="B7" s="4"/>
      <c r="C7" s="15">
        <v>3269</v>
      </c>
      <c r="D7" s="15">
        <v>3540</v>
      </c>
      <c r="E7" s="15">
        <v>4040</v>
      </c>
      <c r="F7" s="15">
        <v>4291</v>
      </c>
      <c r="G7" s="15">
        <v>3680</v>
      </c>
      <c r="H7" s="15">
        <v>3135</v>
      </c>
      <c r="I7" s="15">
        <v>3556</v>
      </c>
      <c r="J7" s="15">
        <v>4400</v>
      </c>
      <c r="K7" s="15">
        <v>5244</v>
      </c>
      <c r="L7" s="15">
        <v>5252</v>
      </c>
      <c r="M7" s="15">
        <v>4722</v>
      </c>
      <c r="N7" s="15">
        <v>3946</v>
      </c>
      <c r="O7" s="15">
        <v>3008</v>
      </c>
      <c r="P7" s="15">
        <v>2464</v>
      </c>
      <c r="Q7" s="15">
        <v>2149</v>
      </c>
      <c r="R7" s="15">
        <v>2147</v>
      </c>
      <c r="S7" s="15">
        <v>1532</v>
      </c>
      <c r="T7" s="15">
        <v>1496</v>
      </c>
      <c r="U7" s="16">
        <f t="shared" si="0"/>
        <v>61871</v>
      </c>
    </row>
    <row r="8" spans="1:21">
      <c r="A8" s="12">
        <v>2005</v>
      </c>
      <c r="B8" s="4"/>
      <c r="C8" s="15">
        <v>3223</v>
      </c>
      <c r="D8" s="15">
        <v>3524</v>
      </c>
      <c r="E8" s="15">
        <v>3950</v>
      </c>
      <c r="F8" s="15">
        <v>4366</v>
      </c>
      <c r="G8" s="15">
        <v>3710</v>
      </c>
      <c r="H8" s="15">
        <v>3167</v>
      </c>
      <c r="I8" s="15">
        <v>3488</v>
      </c>
      <c r="J8" s="15">
        <v>4278</v>
      </c>
      <c r="K8" s="15">
        <v>5112</v>
      </c>
      <c r="L8" s="15">
        <v>5341</v>
      </c>
      <c r="M8" s="15">
        <v>4892</v>
      </c>
      <c r="N8" s="15">
        <v>4165</v>
      </c>
      <c r="O8" s="15">
        <v>3177</v>
      </c>
      <c r="P8" s="15">
        <v>2484</v>
      </c>
      <c r="Q8" s="15">
        <v>2136</v>
      </c>
      <c r="R8" s="15">
        <v>2076</v>
      </c>
      <c r="S8" s="15">
        <v>1611</v>
      </c>
      <c r="T8" s="15">
        <v>1520</v>
      </c>
      <c r="U8" s="16">
        <f t="shared" si="0"/>
        <v>62220</v>
      </c>
    </row>
    <row r="9" spans="1:21">
      <c r="A9" s="12">
        <v>2006</v>
      </c>
      <c r="B9" s="4"/>
      <c r="C9" s="15">
        <v>3172</v>
      </c>
      <c r="D9" s="15">
        <v>3590</v>
      </c>
      <c r="E9" s="15">
        <v>3776</v>
      </c>
      <c r="F9" s="15">
        <v>4309</v>
      </c>
      <c r="G9" s="15">
        <v>3764</v>
      </c>
      <c r="H9" s="15">
        <v>3178</v>
      </c>
      <c r="I9" s="15">
        <v>3489</v>
      </c>
      <c r="J9" s="15">
        <v>4204</v>
      </c>
      <c r="K9" s="15">
        <v>4912</v>
      </c>
      <c r="L9" s="15">
        <v>5392</v>
      </c>
      <c r="M9" s="15">
        <v>5033</v>
      </c>
      <c r="N9" s="15">
        <v>4451</v>
      </c>
      <c r="O9" s="15">
        <v>3253</v>
      </c>
      <c r="P9" s="15">
        <v>2571</v>
      </c>
      <c r="Q9" s="15">
        <v>2129</v>
      </c>
      <c r="R9" s="15">
        <v>2052</v>
      </c>
      <c r="S9" s="15">
        <v>1628</v>
      </c>
      <c r="T9" s="15">
        <v>1586</v>
      </c>
      <c r="U9" s="16">
        <f t="shared" si="0"/>
        <v>62489</v>
      </c>
    </row>
    <row r="10" spans="1:21">
      <c r="A10" s="12">
        <v>2007</v>
      </c>
      <c r="B10" s="4"/>
      <c r="C10" s="15">
        <v>3178</v>
      </c>
      <c r="D10" s="15">
        <v>3545</v>
      </c>
      <c r="E10" s="15">
        <v>3711</v>
      </c>
      <c r="F10" s="15">
        <v>4213</v>
      </c>
      <c r="G10" s="15">
        <v>3684</v>
      </c>
      <c r="H10" s="15">
        <v>3289</v>
      </c>
      <c r="I10" s="15">
        <v>3393</v>
      </c>
      <c r="J10" s="15">
        <v>4095</v>
      </c>
      <c r="K10" s="15">
        <v>4757</v>
      </c>
      <c r="L10" s="15">
        <v>5388</v>
      </c>
      <c r="M10" s="15">
        <v>5130</v>
      </c>
      <c r="N10" s="15">
        <v>4557</v>
      </c>
      <c r="O10" s="15">
        <v>3483</v>
      </c>
      <c r="P10" s="15">
        <v>2647</v>
      </c>
      <c r="Q10" s="15">
        <v>2164</v>
      </c>
      <c r="R10" s="15">
        <v>2013</v>
      </c>
      <c r="S10" s="15">
        <v>1664</v>
      </c>
      <c r="T10" s="15">
        <v>1612</v>
      </c>
      <c r="U10" s="16">
        <f t="shared" si="0"/>
        <v>62523</v>
      </c>
    </row>
    <row r="11" spans="1:21">
      <c r="A11" s="12">
        <v>2008</v>
      </c>
      <c r="B11" s="4"/>
      <c r="C11" s="15">
        <v>3151</v>
      </c>
      <c r="D11" s="15">
        <v>3512</v>
      </c>
      <c r="E11" s="15">
        <v>3641</v>
      </c>
      <c r="F11" s="15">
        <v>4148</v>
      </c>
      <c r="G11" s="15">
        <v>3693</v>
      </c>
      <c r="H11" s="15">
        <v>3376</v>
      </c>
      <c r="I11" s="15">
        <v>3345</v>
      </c>
      <c r="J11" s="15">
        <v>3957</v>
      </c>
      <c r="K11" s="15">
        <v>4593</v>
      </c>
      <c r="L11" s="15">
        <v>5336</v>
      </c>
      <c r="M11" s="15">
        <v>5293</v>
      </c>
      <c r="N11" s="15">
        <v>4644</v>
      </c>
      <c r="O11" s="15">
        <v>3700</v>
      </c>
      <c r="P11" s="15">
        <v>2746</v>
      </c>
      <c r="Q11" s="15">
        <v>2252</v>
      </c>
      <c r="R11" s="15">
        <v>1910</v>
      </c>
      <c r="S11" s="15">
        <v>1700</v>
      </c>
      <c r="T11" s="15">
        <v>1686</v>
      </c>
      <c r="U11" s="16">
        <f t="shared" si="0"/>
        <v>62683</v>
      </c>
    </row>
    <row r="12" spans="1:21">
      <c r="A12" s="12">
        <v>2009</v>
      </c>
      <c r="B12" s="4"/>
      <c r="C12" s="15">
        <v>3076</v>
      </c>
      <c r="D12" s="15">
        <v>3445</v>
      </c>
      <c r="E12" s="15">
        <v>3651</v>
      </c>
      <c r="F12" s="15">
        <v>4053</v>
      </c>
      <c r="G12" s="15">
        <v>3596</v>
      </c>
      <c r="H12" s="15">
        <v>3352</v>
      </c>
      <c r="I12" s="15">
        <v>3373</v>
      </c>
      <c r="J12" s="15">
        <v>3808</v>
      </c>
      <c r="K12" s="15">
        <v>4475</v>
      </c>
      <c r="L12" s="15">
        <v>5233</v>
      </c>
      <c r="M12" s="15">
        <v>5338</v>
      </c>
      <c r="N12" s="15">
        <v>4749</v>
      </c>
      <c r="O12" s="15">
        <v>3940</v>
      </c>
      <c r="P12" s="15">
        <v>2898</v>
      </c>
      <c r="Q12" s="15">
        <v>2237</v>
      </c>
      <c r="R12" s="15">
        <v>1900</v>
      </c>
      <c r="S12" s="15">
        <v>1714</v>
      </c>
      <c r="T12" s="15">
        <v>1729</v>
      </c>
      <c r="U12" s="16">
        <f t="shared" si="0"/>
        <v>62567</v>
      </c>
    </row>
    <row r="13" spans="1:21">
      <c r="A13" s="12">
        <v>2010</v>
      </c>
      <c r="B13" s="4"/>
      <c r="C13" s="15">
        <v>3062</v>
      </c>
      <c r="D13" s="15">
        <v>3381</v>
      </c>
      <c r="E13" s="15">
        <v>3564</v>
      </c>
      <c r="F13" s="15">
        <v>3928</v>
      </c>
      <c r="G13" s="15">
        <v>3611</v>
      </c>
      <c r="H13" s="15">
        <v>3419</v>
      </c>
      <c r="I13" s="15">
        <v>3361</v>
      </c>
      <c r="J13" s="15">
        <v>3732</v>
      </c>
      <c r="K13" s="15">
        <v>4357</v>
      </c>
      <c r="L13" s="15">
        <v>5118</v>
      </c>
      <c r="M13" s="15">
        <v>5380</v>
      </c>
      <c r="N13" s="15">
        <v>4869</v>
      </c>
      <c r="O13" s="15">
        <v>4156</v>
      </c>
      <c r="P13" s="15">
        <v>3021</v>
      </c>
      <c r="Q13" s="15">
        <v>2267</v>
      </c>
      <c r="R13" s="15">
        <v>1914</v>
      </c>
      <c r="S13" s="15">
        <v>1678</v>
      </c>
      <c r="T13" s="15">
        <v>1788</v>
      </c>
      <c r="U13" s="16">
        <f t="shared" si="0"/>
        <v>62606</v>
      </c>
    </row>
    <row r="14" spans="1:21">
      <c r="A14" s="23">
        <v>2015</v>
      </c>
      <c r="B14" s="4"/>
      <c r="C14" s="15">
        <v>3031.7591063164405</v>
      </c>
      <c r="D14" s="15">
        <v>3101.2343321350654</v>
      </c>
      <c r="E14" s="15">
        <v>3424.7985555781211</v>
      </c>
      <c r="F14" s="15">
        <v>3602.4624642897829</v>
      </c>
      <c r="G14" s="15">
        <v>3723.5821874105377</v>
      </c>
      <c r="H14" s="15">
        <v>3452.6852756498315</v>
      </c>
      <c r="I14" s="15">
        <v>3452.2327076969841</v>
      </c>
      <c r="J14" s="15">
        <v>3494.2343401675157</v>
      </c>
      <c r="K14" s="15">
        <v>3711.1184058704844</v>
      </c>
      <c r="L14" s="15">
        <v>4391.382955791908</v>
      </c>
      <c r="M14" s="15">
        <v>5063.1344977815033</v>
      </c>
      <c r="N14" s="15">
        <v>5263.7870832454173</v>
      </c>
      <c r="O14" s="15">
        <v>4700.2991629139196</v>
      </c>
      <c r="P14" s="15">
        <v>3974.5828268552295</v>
      </c>
      <c r="Q14" s="15">
        <v>2724.9743729621146</v>
      </c>
      <c r="R14" s="15">
        <v>1976.1085853879808</v>
      </c>
      <c r="S14" s="15">
        <v>1482.6116400152766</v>
      </c>
      <c r="T14" s="15">
        <v>1812.4470702201033</v>
      </c>
      <c r="U14" s="16">
        <f t="shared" si="0"/>
        <v>62383.435570288217</v>
      </c>
    </row>
    <row r="15" spans="1:21">
      <c r="A15" s="23">
        <v>2020</v>
      </c>
      <c r="B15" s="4"/>
      <c r="C15" s="15">
        <v>3021.009571090281</v>
      </c>
      <c r="D15" s="15">
        <v>3080.0528201802472</v>
      </c>
      <c r="E15" s="15">
        <v>3162.2660580225106</v>
      </c>
      <c r="F15" s="15">
        <v>3475.445572350065</v>
      </c>
      <c r="G15" s="15">
        <v>3453.0832084724152</v>
      </c>
      <c r="H15" s="15">
        <v>3541.025925255768</v>
      </c>
      <c r="I15" s="15">
        <v>3491.9930760183165</v>
      </c>
      <c r="J15" s="15">
        <v>3596.5491721694225</v>
      </c>
      <c r="K15" s="15">
        <v>3501.563580842429</v>
      </c>
      <c r="L15" s="15">
        <v>3773.0588532269335</v>
      </c>
      <c r="M15" s="15">
        <v>4365.7821124542625</v>
      </c>
      <c r="N15" s="15">
        <v>4951.8632966382102</v>
      </c>
      <c r="O15" s="15">
        <v>5072.6887926595991</v>
      </c>
      <c r="P15" s="15">
        <v>4493.1877614793693</v>
      </c>
      <c r="Q15" s="15">
        <v>3575.30828511151</v>
      </c>
      <c r="R15" s="15">
        <v>2379.2131321311404</v>
      </c>
      <c r="S15" s="15">
        <v>1535.5487678451575</v>
      </c>
      <c r="T15" s="15">
        <v>1714.169039773833</v>
      </c>
      <c r="U15" s="16">
        <f t="shared" si="0"/>
        <v>62183.809025721479</v>
      </c>
    </row>
    <row r="16" spans="1:21">
      <c r="A16" s="23">
        <v>2025</v>
      </c>
      <c r="B16" s="4"/>
      <c r="C16" s="15">
        <v>2970.8861523502474</v>
      </c>
      <c r="D16" s="15">
        <v>3076.0197320231482</v>
      </c>
      <c r="E16" s="15">
        <v>3147.8631561026618</v>
      </c>
      <c r="F16" s="15">
        <v>3231.1169733420147</v>
      </c>
      <c r="G16" s="15">
        <v>3353.106436728759</v>
      </c>
      <c r="H16" s="15">
        <v>3333.0012570177482</v>
      </c>
      <c r="I16" s="15">
        <v>3563.607324033062</v>
      </c>
      <c r="J16" s="15">
        <v>3643.5298836536122</v>
      </c>
      <c r="K16" s="15">
        <v>3607.9834414948887</v>
      </c>
      <c r="L16" s="15">
        <v>3586.5485072158981</v>
      </c>
      <c r="M16" s="15">
        <v>3781.4581773297227</v>
      </c>
      <c r="N16" s="15">
        <v>4283.5155652046096</v>
      </c>
      <c r="O16" s="15">
        <v>4770.6529271859145</v>
      </c>
      <c r="P16" s="15">
        <v>4842.301865131104</v>
      </c>
      <c r="Q16" s="15">
        <v>4040.8198147226603</v>
      </c>
      <c r="R16" s="15">
        <v>3111.3312208147595</v>
      </c>
      <c r="S16" s="15">
        <v>1851.7486174896944</v>
      </c>
      <c r="T16" s="15">
        <v>1705.9864849812948</v>
      </c>
      <c r="U16" s="16">
        <f t="shared" si="0"/>
        <v>61901.477536821796</v>
      </c>
    </row>
    <row r="17" spans="1:21">
      <c r="A17" s="23">
        <v>2030</v>
      </c>
      <c r="B17" s="4"/>
      <c r="C17" s="15">
        <v>2894.6080307661723</v>
      </c>
      <c r="D17" s="15">
        <v>3035.1914945987328</v>
      </c>
      <c r="E17" s="15">
        <v>3149.0520838823491</v>
      </c>
      <c r="F17" s="15">
        <v>3224.206586649052</v>
      </c>
      <c r="G17" s="15">
        <v>3151.9636074559303</v>
      </c>
      <c r="H17" s="15">
        <v>3264.536388655732</v>
      </c>
      <c r="I17" s="15">
        <v>3400.6014461154259</v>
      </c>
      <c r="J17" s="15">
        <v>3703.5076267500035</v>
      </c>
      <c r="K17" s="15">
        <v>3658.1542346728452</v>
      </c>
      <c r="L17" s="15">
        <v>3699.5231718649738</v>
      </c>
      <c r="M17" s="15">
        <v>3618.896924525443</v>
      </c>
      <c r="N17" s="15">
        <v>3729.3173027687335</v>
      </c>
      <c r="O17" s="15">
        <v>4140.4439695029942</v>
      </c>
      <c r="P17" s="15">
        <v>4553.1954336559775</v>
      </c>
      <c r="Q17" s="15">
        <v>4350.8330194915497</v>
      </c>
      <c r="R17" s="15">
        <v>3515.6112663827685</v>
      </c>
      <c r="S17" s="15">
        <v>2414.5722589676511</v>
      </c>
      <c r="T17" s="15">
        <v>1895.0564673545996</v>
      </c>
      <c r="U17" s="16">
        <f t="shared" si="0"/>
        <v>61399.271314060927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3218</v>
      </c>
      <c r="D20" s="15">
        <v>3839</v>
      </c>
      <c r="E20" s="15">
        <v>4444</v>
      </c>
      <c r="F20" s="15">
        <v>4545</v>
      </c>
      <c r="G20" s="15">
        <v>3304</v>
      </c>
      <c r="H20" s="15">
        <v>2893</v>
      </c>
      <c r="I20" s="15">
        <v>3713</v>
      </c>
      <c r="J20" s="15">
        <v>4416</v>
      </c>
      <c r="K20" s="15">
        <v>4957</v>
      </c>
      <c r="L20" s="15">
        <v>4687</v>
      </c>
      <c r="M20" s="15">
        <v>4443</v>
      </c>
      <c r="N20" s="15">
        <v>3352</v>
      </c>
      <c r="O20" s="15">
        <v>2414</v>
      </c>
      <c r="P20" s="15">
        <v>2170</v>
      </c>
      <c r="Q20" s="15">
        <v>1812</v>
      </c>
      <c r="R20" s="15">
        <v>1500</v>
      </c>
      <c r="S20" s="15">
        <v>895</v>
      </c>
      <c r="T20" s="15">
        <v>602</v>
      </c>
      <c r="U20" s="16">
        <f>SUM(C20:T20)</f>
        <v>57204</v>
      </c>
    </row>
    <row r="21" spans="1:21">
      <c r="A21" s="12">
        <v>2002</v>
      </c>
      <c r="B21" s="4"/>
      <c r="C21" s="15">
        <v>3211</v>
      </c>
      <c r="D21" s="15">
        <v>3726</v>
      </c>
      <c r="E21" s="15">
        <v>4401</v>
      </c>
      <c r="F21" s="15">
        <v>4598</v>
      </c>
      <c r="G21" s="15">
        <v>3452</v>
      </c>
      <c r="H21" s="15">
        <v>2808</v>
      </c>
      <c r="I21" s="15">
        <v>3662</v>
      </c>
      <c r="J21" s="15">
        <v>4295</v>
      </c>
      <c r="K21" s="15">
        <v>4869</v>
      </c>
      <c r="L21" s="15">
        <v>4863</v>
      </c>
      <c r="M21" s="15">
        <v>4456</v>
      </c>
      <c r="N21" s="15">
        <v>3633</v>
      </c>
      <c r="O21" s="15">
        <v>2559</v>
      </c>
      <c r="P21" s="15">
        <v>2165</v>
      </c>
      <c r="Q21" s="15">
        <v>1850</v>
      </c>
      <c r="R21" s="15">
        <v>1461</v>
      </c>
      <c r="S21" s="15">
        <v>932</v>
      </c>
      <c r="T21" s="15">
        <v>638</v>
      </c>
      <c r="U21" s="16">
        <f t="shared" ref="U21:U33" si="1">SUM(C21:T21)</f>
        <v>57579</v>
      </c>
    </row>
    <row r="22" spans="1:21">
      <c r="A22" s="12">
        <v>2003</v>
      </c>
      <c r="B22" s="4"/>
      <c r="C22" s="15">
        <v>3209</v>
      </c>
      <c r="D22" s="15">
        <v>3636</v>
      </c>
      <c r="E22" s="15">
        <v>4368</v>
      </c>
      <c r="F22" s="15">
        <v>4611</v>
      </c>
      <c r="G22" s="15">
        <v>3614</v>
      </c>
      <c r="H22" s="15">
        <v>2833</v>
      </c>
      <c r="I22" s="15">
        <v>3580</v>
      </c>
      <c r="J22" s="15">
        <v>4265</v>
      </c>
      <c r="K22" s="15">
        <v>4747</v>
      </c>
      <c r="L22" s="15">
        <v>5045</v>
      </c>
      <c r="M22" s="15">
        <v>4466</v>
      </c>
      <c r="N22" s="15">
        <v>3797</v>
      </c>
      <c r="O22" s="15">
        <v>2764</v>
      </c>
      <c r="P22" s="15">
        <v>2177</v>
      </c>
      <c r="Q22" s="15">
        <v>1832</v>
      </c>
      <c r="R22" s="15">
        <v>1462</v>
      </c>
      <c r="S22" s="15">
        <v>991</v>
      </c>
      <c r="T22" s="15">
        <v>654</v>
      </c>
      <c r="U22" s="16">
        <f t="shared" si="1"/>
        <v>58051</v>
      </c>
    </row>
    <row r="23" spans="1:21">
      <c r="A23" s="12">
        <v>2004</v>
      </c>
      <c r="B23" s="4"/>
      <c r="C23" s="15">
        <v>3284</v>
      </c>
      <c r="D23" s="15">
        <v>3629</v>
      </c>
      <c r="E23" s="15">
        <v>4386</v>
      </c>
      <c r="F23" s="15">
        <v>4547</v>
      </c>
      <c r="G23" s="15">
        <v>3648</v>
      </c>
      <c r="H23" s="15">
        <v>2919</v>
      </c>
      <c r="I23" s="15">
        <v>3470</v>
      </c>
      <c r="J23" s="15">
        <v>4155</v>
      </c>
      <c r="K23" s="15">
        <v>4706</v>
      </c>
      <c r="L23" s="15">
        <v>5062</v>
      </c>
      <c r="M23" s="15">
        <v>4546</v>
      </c>
      <c r="N23" s="15">
        <v>3973</v>
      </c>
      <c r="O23" s="15">
        <v>2958</v>
      </c>
      <c r="P23" s="15">
        <v>2207</v>
      </c>
      <c r="Q23" s="15">
        <v>1809</v>
      </c>
      <c r="R23" s="15">
        <v>1473</v>
      </c>
      <c r="S23" s="15">
        <v>1014</v>
      </c>
      <c r="T23" s="15">
        <v>646</v>
      </c>
      <c r="U23" s="16">
        <f t="shared" si="1"/>
        <v>58432</v>
      </c>
    </row>
    <row r="24" spans="1:21">
      <c r="A24" s="12">
        <v>2005</v>
      </c>
      <c r="B24" s="4"/>
      <c r="C24" s="15">
        <v>3281</v>
      </c>
      <c r="D24" s="15">
        <v>3595</v>
      </c>
      <c r="E24" s="15">
        <v>4242</v>
      </c>
      <c r="F24" s="15">
        <v>4568</v>
      </c>
      <c r="G24" s="15">
        <v>3697</v>
      </c>
      <c r="H24" s="15">
        <v>2913</v>
      </c>
      <c r="I24" s="15">
        <v>3379</v>
      </c>
      <c r="J24" s="15">
        <v>4190</v>
      </c>
      <c r="K24" s="15">
        <v>4602</v>
      </c>
      <c r="L24" s="15">
        <v>5073</v>
      </c>
      <c r="M24" s="15">
        <v>4654</v>
      </c>
      <c r="N24" s="15">
        <v>4241</v>
      </c>
      <c r="O24" s="15">
        <v>3087</v>
      </c>
      <c r="P24" s="15">
        <v>2235</v>
      </c>
      <c r="Q24" s="15">
        <v>1825</v>
      </c>
      <c r="R24" s="15">
        <v>1461</v>
      </c>
      <c r="S24" s="15">
        <v>1025</v>
      </c>
      <c r="T24" s="15">
        <v>669</v>
      </c>
      <c r="U24" s="16">
        <f t="shared" si="1"/>
        <v>58737</v>
      </c>
    </row>
    <row r="25" spans="1:21">
      <c r="A25" s="12">
        <v>2006</v>
      </c>
      <c r="B25" s="4"/>
      <c r="C25" s="15">
        <v>3270</v>
      </c>
      <c r="D25" s="15">
        <v>3540</v>
      </c>
      <c r="E25" s="15">
        <v>4152</v>
      </c>
      <c r="F25" s="15">
        <v>4517</v>
      </c>
      <c r="G25" s="15">
        <v>3708</v>
      </c>
      <c r="H25" s="15">
        <v>3003</v>
      </c>
      <c r="I25" s="15">
        <v>3233</v>
      </c>
      <c r="J25" s="15">
        <v>4105</v>
      </c>
      <c r="K25" s="15">
        <v>4556</v>
      </c>
      <c r="L25" s="15">
        <v>5118</v>
      </c>
      <c r="M25" s="15">
        <v>4768</v>
      </c>
      <c r="N25" s="15">
        <v>4451</v>
      </c>
      <c r="O25" s="15">
        <v>3233</v>
      </c>
      <c r="P25" s="15">
        <v>2219</v>
      </c>
      <c r="Q25" s="15">
        <v>1851</v>
      </c>
      <c r="R25" s="15">
        <v>1493</v>
      </c>
      <c r="S25" s="15">
        <v>1067</v>
      </c>
      <c r="T25" s="15">
        <v>735</v>
      </c>
      <c r="U25" s="16">
        <f t="shared" si="1"/>
        <v>59019</v>
      </c>
    </row>
    <row r="26" spans="1:21">
      <c r="A26" s="12">
        <v>2007</v>
      </c>
      <c r="B26" s="4"/>
      <c r="C26" s="15">
        <v>3264</v>
      </c>
      <c r="D26" s="15">
        <v>3591</v>
      </c>
      <c r="E26" s="15">
        <v>3935</v>
      </c>
      <c r="F26" s="15">
        <v>4487</v>
      </c>
      <c r="G26" s="15">
        <v>3723</v>
      </c>
      <c r="H26" s="15">
        <v>3090</v>
      </c>
      <c r="I26" s="15">
        <v>3137</v>
      </c>
      <c r="J26" s="15">
        <v>3981</v>
      </c>
      <c r="K26" s="15">
        <v>4470</v>
      </c>
      <c r="L26" s="15">
        <v>5027</v>
      </c>
      <c r="M26" s="15">
        <v>4923</v>
      </c>
      <c r="N26" s="15">
        <v>4495</v>
      </c>
      <c r="O26" s="15">
        <v>3524</v>
      </c>
      <c r="P26" s="15">
        <v>2332</v>
      </c>
      <c r="Q26" s="15">
        <v>1862</v>
      </c>
      <c r="R26" s="15">
        <v>1543</v>
      </c>
      <c r="S26" s="15">
        <v>1042</v>
      </c>
      <c r="T26" s="15">
        <v>792</v>
      </c>
      <c r="U26" s="16">
        <f t="shared" si="1"/>
        <v>59218</v>
      </c>
    </row>
    <row r="27" spans="1:21">
      <c r="A27" s="12">
        <v>2008</v>
      </c>
      <c r="B27" s="4"/>
      <c r="C27" s="15">
        <v>3334</v>
      </c>
      <c r="D27" s="15">
        <v>3529</v>
      </c>
      <c r="E27" s="15">
        <v>3834</v>
      </c>
      <c r="F27" s="15">
        <v>4385</v>
      </c>
      <c r="G27" s="15">
        <v>3701</v>
      </c>
      <c r="H27" s="15">
        <v>3178</v>
      </c>
      <c r="I27" s="15">
        <v>3159</v>
      </c>
      <c r="J27" s="15">
        <v>3813</v>
      </c>
      <c r="K27" s="15">
        <v>4400</v>
      </c>
      <c r="L27" s="15">
        <v>4983</v>
      </c>
      <c r="M27" s="15">
        <v>5084</v>
      </c>
      <c r="N27" s="15">
        <v>4509</v>
      </c>
      <c r="O27" s="15">
        <v>3699</v>
      </c>
      <c r="P27" s="15">
        <v>2547</v>
      </c>
      <c r="Q27" s="15">
        <v>1874</v>
      </c>
      <c r="R27" s="15">
        <v>1549</v>
      </c>
      <c r="S27" s="15">
        <v>1037</v>
      </c>
      <c r="T27" s="15">
        <v>849</v>
      </c>
      <c r="U27" s="16">
        <f t="shared" si="1"/>
        <v>59464</v>
      </c>
    </row>
    <row r="28" spans="1:21">
      <c r="A28" s="12">
        <v>2009</v>
      </c>
      <c r="B28" s="4"/>
      <c r="C28" s="15">
        <v>3272</v>
      </c>
      <c r="D28" s="15">
        <v>3506</v>
      </c>
      <c r="E28" s="15">
        <v>3789</v>
      </c>
      <c r="F28" s="15">
        <v>4319</v>
      </c>
      <c r="G28" s="15">
        <v>3647</v>
      </c>
      <c r="H28" s="15">
        <v>3144</v>
      </c>
      <c r="I28" s="15">
        <v>3261</v>
      </c>
      <c r="J28" s="15">
        <v>3720</v>
      </c>
      <c r="K28" s="15">
        <v>4195</v>
      </c>
      <c r="L28" s="15">
        <v>4941</v>
      </c>
      <c r="M28" s="15">
        <v>5085</v>
      </c>
      <c r="N28" s="15">
        <v>4591</v>
      </c>
      <c r="O28" s="15">
        <v>3914</v>
      </c>
      <c r="P28" s="15">
        <v>2715</v>
      </c>
      <c r="Q28" s="15">
        <v>1915</v>
      </c>
      <c r="R28" s="15">
        <v>1561</v>
      </c>
      <c r="S28" s="15">
        <v>1082</v>
      </c>
      <c r="T28" s="15">
        <v>860</v>
      </c>
      <c r="U28" s="16">
        <f t="shared" si="1"/>
        <v>59517</v>
      </c>
    </row>
    <row r="29" spans="1:21">
      <c r="A29" s="12">
        <v>2010</v>
      </c>
      <c r="B29" s="4"/>
      <c r="C29" s="15">
        <v>3249</v>
      </c>
      <c r="D29" s="15">
        <v>3443</v>
      </c>
      <c r="E29" s="15">
        <v>3725</v>
      </c>
      <c r="F29" s="15">
        <v>4136</v>
      </c>
      <c r="G29" s="15">
        <v>3597</v>
      </c>
      <c r="H29" s="15">
        <v>3248</v>
      </c>
      <c r="I29" s="15">
        <v>3307</v>
      </c>
      <c r="J29" s="15">
        <v>3532</v>
      </c>
      <c r="K29" s="15">
        <v>4155</v>
      </c>
      <c r="L29" s="15">
        <v>4822</v>
      </c>
      <c r="M29" s="15">
        <v>5141</v>
      </c>
      <c r="N29" s="15">
        <v>4686</v>
      </c>
      <c r="O29" s="15">
        <v>4133</v>
      </c>
      <c r="P29" s="15">
        <v>2809</v>
      </c>
      <c r="Q29" s="15">
        <v>1968</v>
      </c>
      <c r="R29" s="15">
        <v>1597</v>
      </c>
      <c r="S29" s="15">
        <v>1078</v>
      </c>
      <c r="T29" s="15">
        <v>899</v>
      </c>
      <c r="U29" s="16">
        <f t="shared" si="1"/>
        <v>59525</v>
      </c>
    </row>
    <row r="30" spans="1:21">
      <c r="A30" s="23">
        <v>2015</v>
      </c>
      <c r="B30" s="4"/>
      <c r="C30" s="15">
        <v>3099.161651944517</v>
      </c>
      <c r="D30" s="15">
        <v>3273.3381962753692</v>
      </c>
      <c r="E30" s="15">
        <v>3473.905730710047</v>
      </c>
      <c r="F30" s="15">
        <v>3749.3618036272428</v>
      </c>
      <c r="G30" s="15">
        <v>3884.9113289675074</v>
      </c>
      <c r="H30" s="15">
        <v>3384.7063940580911</v>
      </c>
      <c r="I30" s="15">
        <v>3247.469120716511</v>
      </c>
      <c r="J30" s="15">
        <v>3422.1447864205456</v>
      </c>
      <c r="K30" s="15">
        <v>3503.3384417519851</v>
      </c>
      <c r="L30" s="15">
        <v>4172.0153308531044</v>
      </c>
      <c r="M30" s="15">
        <v>4728.5392863247771</v>
      </c>
      <c r="N30" s="15">
        <v>4947.9771529828104</v>
      </c>
      <c r="O30" s="15">
        <v>4435.2730962656287</v>
      </c>
      <c r="P30" s="15">
        <v>3842.6119747024804</v>
      </c>
      <c r="Q30" s="15">
        <v>2421.1836951600549</v>
      </c>
      <c r="R30" s="15">
        <v>1633.9798671939486</v>
      </c>
      <c r="S30" s="15">
        <v>1121.7234697386496</v>
      </c>
      <c r="T30" s="15">
        <v>949.74751416282083</v>
      </c>
      <c r="U30" s="16">
        <f t="shared" si="1"/>
        <v>59291.388841856096</v>
      </c>
    </row>
    <row r="31" spans="1:21">
      <c r="A31" s="23">
        <v>2020</v>
      </c>
      <c r="B31" s="4"/>
      <c r="C31" s="15">
        <v>3088.1731313593118</v>
      </c>
      <c r="D31" s="15">
        <v>3139.1536835423572</v>
      </c>
      <c r="E31" s="15">
        <v>3317.8845559592269</v>
      </c>
      <c r="F31" s="15">
        <v>3514.6354598498442</v>
      </c>
      <c r="G31" s="15">
        <v>3560.6702190575888</v>
      </c>
      <c r="H31" s="15">
        <v>3617.2391258868779</v>
      </c>
      <c r="I31" s="15">
        <v>3377.328513481194</v>
      </c>
      <c r="J31" s="15">
        <v>3383.0847298971271</v>
      </c>
      <c r="K31" s="15">
        <v>3415.9058898028002</v>
      </c>
      <c r="L31" s="15">
        <v>3552.6741230456341</v>
      </c>
      <c r="M31" s="15">
        <v>4111.628585289508</v>
      </c>
      <c r="N31" s="15">
        <v>4553.3649537870415</v>
      </c>
      <c r="O31" s="15">
        <v>4678.3486215244375</v>
      </c>
      <c r="P31" s="15">
        <v>4127.7737247518444</v>
      </c>
      <c r="Q31" s="15">
        <v>3299.7117550897397</v>
      </c>
      <c r="R31" s="15">
        <v>2013.489276934843</v>
      </c>
      <c r="S31" s="15">
        <v>1153.2213413778679</v>
      </c>
      <c r="T31" s="15">
        <v>996.56806357354594</v>
      </c>
      <c r="U31" s="16">
        <f t="shared" si="1"/>
        <v>58900.855754210788</v>
      </c>
    </row>
    <row r="32" spans="1:21">
      <c r="A32" s="23">
        <v>2025</v>
      </c>
      <c r="B32" s="4"/>
      <c r="C32" s="15">
        <v>3036.9353608847946</v>
      </c>
      <c r="D32" s="15">
        <v>3134.7546778464521</v>
      </c>
      <c r="E32" s="15">
        <v>3194.5189171284701</v>
      </c>
      <c r="F32" s="15">
        <v>3372.8498559366594</v>
      </c>
      <c r="G32" s="15">
        <v>3366.065308909835</v>
      </c>
      <c r="H32" s="15">
        <v>3365.8509799413532</v>
      </c>
      <c r="I32" s="15">
        <v>3573.0080657204289</v>
      </c>
      <c r="J32" s="15">
        <v>3512.5525126727252</v>
      </c>
      <c r="K32" s="15">
        <v>3388.2867650521548</v>
      </c>
      <c r="L32" s="15">
        <v>3485.0829843591277</v>
      </c>
      <c r="M32" s="15">
        <v>3533.8690579052459</v>
      </c>
      <c r="N32" s="15">
        <v>3972.3221703892232</v>
      </c>
      <c r="O32" s="15">
        <v>4307.9802344040518</v>
      </c>
      <c r="P32" s="15">
        <v>4350.3671579264492</v>
      </c>
      <c r="Q32" s="15">
        <v>3547.354444588344</v>
      </c>
      <c r="R32" s="15">
        <v>2730.9890198845851</v>
      </c>
      <c r="S32" s="15">
        <v>1423.7743490945109</v>
      </c>
      <c r="T32" s="15">
        <v>1040.0268314992609</v>
      </c>
      <c r="U32" s="16">
        <f t="shared" si="1"/>
        <v>58336.588694143677</v>
      </c>
    </row>
    <row r="33" spans="1:21">
      <c r="A33" s="23">
        <v>2030</v>
      </c>
      <c r="B33" s="4"/>
      <c r="C33" s="15">
        <v>2958.9614120960509</v>
      </c>
      <c r="D33" s="15">
        <v>3092.7392513811974</v>
      </c>
      <c r="E33" s="15">
        <v>3195.2095104829018</v>
      </c>
      <c r="F33" s="15">
        <v>3260.838921545726</v>
      </c>
      <c r="G33" s="15">
        <v>3255.2733647497603</v>
      </c>
      <c r="H33" s="15">
        <v>3218.4630377277526</v>
      </c>
      <c r="I33" s="15">
        <v>3373.1887423037201</v>
      </c>
      <c r="J33" s="15">
        <v>3684.4258434051703</v>
      </c>
      <c r="K33" s="15">
        <v>3515.3782045599587</v>
      </c>
      <c r="L33" s="15">
        <v>3468.0958137679645</v>
      </c>
      <c r="M33" s="15">
        <v>3486.0398455196814</v>
      </c>
      <c r="N33" s="15">
        <v>3434.6161307572402</v>
      </c>
      <c r="O33" s="15">
        <v>3771.3512728291917</v>
      </c>
      <c r="P33" s="15">
        <v>4008.6525700517168</v>
      </c>
      <c r="Q33" s="15">
        <v>3736.7142289030148</v>
      </c>
      <c r="R33" s="15">
        <v>2939.3892556735632</v>
      </c>
      <c r="S33" s="15">
        <v>1922.0502275425777</v>
      </c>
      <c r="T33" s="15">
        <v>1209.3103148845087</v>
      </c>
      <c r="U33" s="16">
        <f t="shared" si="1"/>
        <v>57530.697948181703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6465</v>
      </c>
      <c r="D36" s="15">
        <f t="shared" ref="D36:T36" si="2">D20+D4</f>
        <v>7404</v>
      </c>
      <c r="E36" s="15">
        <f t="shared" si="2"/>
        <v>8628</v>
      </c>
      <c r="F36" s="15">
        <f t="shared" si="2"/>
        <v>8924</v>
      </c>
      <c r="G36" s="15">
        <f t="shared" si="2"/>
        <v>6643</v>
      </c>
      <c r="H36" s="15">
        <f t="shared" si="2"/>
        <v>5989</v>
      </c>
      <c r="I36" s="15">
        <f t="shared" si="2"/>
        <v>7619</v>
      </c>
      <c r="J36" s="15">
        <f t="shared" si="2"/>
        <v>9150</v>
      </c>
      <c r="K36" s="15">
        <f t="shared" si="2"/>
        <v>10245</v>
      </c>
      <c r="L36" s="15">
        <f t="shared" si="2"/>
        <v>9640</v>
      </c>
      <c r="M36" s="15">
        <f t="shared" si="2"/>
        <v>8903</v>
      </c>
      <c r="N36" s="15">
        <f t="shared" si="2"/>
        <v>6642</v>
      </c>
      <c r="O36" s="15">
        <f t="shared" si="2"/>
        <v>5024</v>
      </c>
      <c r="P36" s="15">
        <f t="shared" si="2"/>
        <v>4549</v>
      </c>
      <c r="Q36" s="15">
        <f t="shared" si="2"/>
        <v>4137</v>
      </c>
      <c r="R36" s="15">
        <f t="shared" si="2"/>
        <v>3560</v>
      </c>
      <c r="S36" s="15">
        <f t="shared" si="2"/>
        <v>2391</v>
      </c>
      <c r="T36" s="15">
        <f t="shared" si="2"/>
        <v>2111</v>
      </c>
      <c r="U36" s="16">
        <f>SUM(C36:T36)</f>
        <v>118024</v>
      </c>
    </row>
    <row r="37" spans="1:21">
      <c r="A37" s="12">
        <v>2002</v>
      </c>
      <c r="B37" s="4"/>
      <c r="C37" s="15">
        <f t="shared" ref="C37:T49" si="3">C21+C5</f>
        <v>6454</v>
      </c>
      <c r="D37" s="15">
        <f t="shared" si="3"/>
        <v>7198</v>
      </c>
      <c r="E37" s="15">
        <f t="shared" si="3"/>
        <v>8588</v>
      </c>
      <c r="F37" s="15">
        <f t="shared" si="3"/>
        <v>8925</v>
      </c>
      <c r="G37" s="15">
        <f t="shared" si="3"/>
        <v>6936</v>
      </c>
      <c r="H37" s="15">
        <f t="shared" si="3"/>
        <v>5858</v>
      </c>
      <c r="I37" s="15">
        <f t="shared" si="3"/>
        <v>7446</v>
      </c>
      <c r="J37" s="15">
        <f t="shared" si="3"/>
        <v>8851</v>
      </c>
      <c r="K37" s="15">
        <f t="shared" si="3"/>
        <v>10168</v>
      </c>
      <c r="L37" s="15">
        <f t="shared" si="3"/>
        <v>9931</v>
      </c>
      <c r="M37" s="15">
        <f t="shared" si="3"/>
        <v>8954</v>
      </c>
      <c r="N37" s="15">
        <f t="shared" si="3"/>
        <v>7179</v>
      </c>
      <c r="O37" s="15">
        <f t="shared" si="3"/>
        <v>5253</v>
      </c>
      <c r="P37" s="15">
        <f t="shared" si="3"/>
        <v>4555</v>
      </c>
      <c r="Q37" s="15">
        <f t="shared" si="3"/>
        <v>4127</v>
      </c>
      <c r="R37" s="15">
        <f t="shared" si="3"/>
        <v>3578</v>
      </c>
      <c r="S37" s="15">
        <f t="shared" si="3"/>
        <v>2439</v>
      </c>
      <c r="T37" s="15">
        <f t="shared" si="3"/>
        <v>2171</v>
      </c>
      <c r="U37" s="16">
        <f t="shared" ref="U37:U49" si="4">SUM(C37:T37)</f>
        <v>118611</v>
      </c>
    </row>
    <row r="38" spans="1:21">
      <c r="A38" s="12">
        <v>2003</v>
      </c>
      <c r="B38" s="4"/>
      <c r="C38" s="15">
        <f t="shared" si="3"/>
        <v>6462</v>
      </c>
      <c r="D38" s="15">
        <f t="shared" si="3"/>
        <v>7121</v>
      </c>
      <c r="E38" s="15">
        <f t="shared" si="3"/>
        <v>8464</v>
      </c>
      <c r="F38" s="15">
        <f t="shared" si="3"/>
        <v>8974</v>
      </c>
      <c r="G38" s="15">
        <f t="shared" si="3"/>
        <v>7221</v>
      </c>
      <c r="H38" s="15">
        <f t="shared" si="3"/>
        <v>5885</v>
      </c>
      <c r="I38" s="15">
        <f t="shared" si="3"/>
        <v>7275</v>
      </c>
      <c r="J38" s="15">
        <f t="shared" si="3"/>
        <v>8724</v>
      </c>
      <c r="K38" s="15">
        <f t="shared" si="3"/>
        <v>10018</v>
      </c>
      <c r="L38" s="15">
        <f t="shared" si="3"/>
        <v>10270</v>
      </c>
      <c r="M38" s="15">
        <f t="shared" si="3"/>
        <v>9044</v>
      </c>
      <c r="N38" s="15">
        <f t="shared" si="3"/>
        <v>7557</v>
      </c>
      <c r="O38" s="15">
        <f t="shared" si="3"/>
        <v>5580</v>
      </c>
      <c r="P38" s="15">
        <f t="shared" si="3"/>
        <v>4626</v>
      </c>
      <c r="Q38" s="15">
        <f t="shared" si="3"/>
        <v>4012</v>
      </c>
      <c r="R38" s="15">
        <f t="shared" si="3"/>
        <v>3632</v>
      </c>
      <c r="S38" s="15">
        <f t="shared" si="3"/>
        <v>2499</v>
      </c>
      <c r="T38" s="15">
        <f t="shared" si="3"/>
        <v>2174</v>
      </c>
      <c r="U38" s="16">
        <f t="shared" si="4"/>
        <v>119538</v>
      </c>
    </row>
    <row r="39" spans="1:21">
      <c r="A39" s="12">
        <v>2004</v>
      </c>
      <c r="B39" s="4"/>
      <c r="C39" s="15">
        <f t="shared" si="3"/>
        <v>6553</v>
      </c>
      <c r="D39" s="15">
        <f t="shared" si="3"/>
        <v>7169</v>
      </c>
      <c r="E39" s="15">
        <f t="shared" si="3"/>
        <v>8426</v>
      </c>
      <c r="F39" s="15">
        <f t="shared" si="3"/>
        <v>8838</v>
      </c>
      <c r="G39" s="15">
        <f t="shared" si="3"/>
        <v>7328</v>
      </c>
      <c r="H39" s="15">
        <f t="shared" si="3"/>
        <v>6054</v>
      </c>
      <c r="I39" s="15">
        <f t="shared" si="3"/>
        <v>7026</v>
      </c>
      <c r="J39" s="15">
        <f t="shared" si="3"/>
        <v>8555</v>
      </c>
      <c r="K39" s="15">
        <f t="shared" si="3"/>
        <v>9950</v>
      </c>
      <c r="L39" s="15">
        <f t="shared" si="3"/>
        <v>10314</v>
      </c>
      <c r="M39" s="15">
        <f t="shared" si="3"/>
        <v>9268</v>
      </c>
      <c r="N39" s="15">
        <f t="shared" si="3"/>
        <v>7919</v>
      </c>
      <c r="O39" s="15">
        <f t="shared" si="3"/>
        <v>5966</v>
      </c>
      <c r="P39" s="15">
        <f t="shared" si="3"/>
        <v>4671</v>
      </c>
      <c r="Q39" s="15">
        <f t="shared" si="3"/>
        <v>3958</v>
      </c>
      <c r="R39" s="15">
        <f t="shared" si="3"/>
        <v>3620</v>
      </c>
      <c r="S39" s="15">
        <f t="shared" si="3"/>
        <v>2546</v>
      </c>
      <c r="T39" s="15">
        <f t="shared" si="3"/>
        <v>2142</v>
      </c>
      <c r="U39" s="16">
        <f t="shared" si="4"/>
        <v>120303</v>
      </c>
    </row>
    <row r="40" spans="1:21">
      <c r="A40" s="12">
        <v>2005</v>
      </c>
      <c r="B40" s="4"/>
      <c r="C40" s="15">
        <f t="shared" si="3"/>
        <v>6504</v>
      </c>
      <c r="D40" s="15">
        <f t="shared" si="3"/>
        <v>7119</v>
      </c>
      <c r="E40" s="15">
        <f t="shared" si="3"/>
        <v>8192</v>
      </c>
      <c r="F40" s="15">
        <f t="shared" si="3"/>
        <v>8934</v>
      </c>
      <c r="G40" s="15">
        <f t="shared" si="3"/>
        <v>7407</v>
      </c>
      <c r="H40" s="15">
        <f t="shared" si="3"/>
        <v>6080</v>
      </c>
      <c r="I40" s="15">
        <f t="shared" si="3"/>
        <v>6867</v>
      </c>
      <c r="J40" s="15">
        <f t="shared" si="3"/>
        <v>8468</v>
      </c>
      <c r="K40" s="15">
        <f t="shared" si="3"/>
        <v>9714</v>
      </c>
      <c r="L40" s="15">
        <f t="shared" si="3"/>
        <v>10414</v>
      </c>
      <c r="M40" s="15">
        <f t="shared" si="3"/>
        <v>9546</v>
      </c>
      <c r="N40" s="15">
        <f t="shared" si="3"/>
        <v>8406</v>
      </c>
      <c r="O40" s="15">
        <f t="shared" si="3"/>
        <v>6264</v>
      </c>
      <c r="P40" s="15">
        <f t="shared" si="3"/>
        <v>4719</v>
      </c>
      <c r="Q40" s="15">
        <f t="shared" si="3"/>
        <v>3961</v>
      </c>
      <c r="R40" s="15">
        <f t="shared" si="3"/>
        <v>3537</v>
      </c>
      <c r="S40" s="15">
        <f t="shared" si="3"/>
        <v>2636</v>
      </c>
      <c r="T40" s="15">
        <f t="shared" si="3"/>
        <v>2189</v>
      </c>
      <c r="U40" s="16">
        <f t="shared" si="4"/>
        <v>120957</v>
      </c>
    </row>
    <row r="41" spans="1:21">
      <c r="A41" s="12">
        <v>2006</v>
      </c>
      <c r="B41" s="4"/>
      <c r="C41" s="15">
        <f t="shared" si="3"/>
        <v>6442</v>
      </c>
      <c r="D41" s="15">
        <f t="shared" si="3"/>
        <v>7130</v>
      </c>
      <c r="E41" s="15">
        <f t="shared" si="3"/>
        <v>7928</v>
      </c>
      <c r="F41" s="15">
        <f t="shared" si="3"/>
        <v>8826</v>
      </c>
      <c r="G41" s="15">
        <f t="shared" si="3"/>
        <v>7472</v>
      </c>
      <c r="H41" s="15">
        <f t="shared" si="3"/>
        <v>6181</v>
      </c>
      <c r="I41" s="15">
        <f t="shared" si="3"/>
        <v>6722</v>
      </c>
      <c r="J41" s="15">
        <f t="shared" si="3"/>
        <v>8309</v>
      </c>
      <c r="K41" s="15">
        <f t="shared" si="3"/>
        <v>9468</v>
      </c>
      <c r="L41" s="15">
        <f t="shared" si="3"/>
        <v>10510</v>
      </c>
      <c r="M41" s="15">
        <f t="shared" si="3"/>
        <v>9801</v>
      </c>
      <c r="N41" s="15">
        <f t="shared" si="3"/>
        <v>8902</v>
      </c>
      <c r="O41" s="15">
        <f t="shared" si="3"/>
        <v>6486</v>
      </c>
      <c r="P41" s="15">
        <f t="shared" si="3"/>
        <v>4790</v>
      </c>
      <c r="Q41" s="15">
        <f t="shared" si="3"/>
        <v>3980</v>
      </c>
      <c r="R41" s="15">
        <f t="shared" si="3"/>
        <v>3545</v>
      </c>
      <c r="S41" s="15">
        <f t="shared" si="3"/>
        <v>2695</v>
      </c>
      <c r="T41" s="15">
        <f t="shared" si="3"/>
        <v>2321</v>
      </c>
      <c r="U41" s="16">
        <f t="shared" si="4"/>
        <v>121508</v>
      </c>
    </row>
    <row r="42" spans="1:21">
      <c r="A42" s="12">
        <v>2007</v>
      </c>
      <c r="B42" s="4"/>
      <c r="C42" s="15">
        <f t="shared" si="3"/>
        <v>6442</v>
      </c>
      <c r="D42" s="15">
        <f t="shared" si="3"/>
        <v>7136</v>
      </c>
      <c r="E42" s="15">
        <f t="shared" si="3"/>
        <v>7646</v>
      </c>
      <c r="F42" s="15">
        <f t="shared" si="3"/>
        <v>8700</v>
      </c>
      <c r="G42" s="15">
        <f t="shared" si="3"/>
        <v>7407</v>
      </c>
      <c r="H42" s="15">
        <f t="shared" si="3"/>
        <v>6379</v>
      </c>
      <c r="I42" s="15">
        <f t="shared" si="3"/>
        <v>6530</v>
      </c>
      <c r="J42" s="15">
        <f t="shared" si="3"/>
        <v>8076</v>
      </c>
      <c r="K42" s="15">
        <f t="shared" si="3"/>
        <v>9227</v>
      </c>
      <c r="L42" s="15">
        <f t="shared" si="3"/>
        <v>10415</v>
      </c>
      <c r="M42" s="15">
        <f t="shared" si="3"/>
        <v>10053</v>
      </c>
      <c r="N42" s="15">
        <f t="shared" si="3"/>
        <v>9052</v>
      </c>
      <c r="O42" s="15">
        <f t="shared" si="3"/>
        <v>7007</v>
      </c>
      <c r="P42" s="15">
        <f t="shared" si="3"/>
        <v>4979</v>
      </c>
      <c r="Q42" s="15">
        <f t="shared" si="3"/>
        <v>4026</v>
      </c>
      <c r="R42" s="15">
        <f t="shared" si="3"/>
        <v>3556</v>
      </c>
      <c r="S42" s="15">
        <f t="shared" si="3"/>
        <v>2706</v>
      </c>
      <c r="T42" s="15">
        <f t="shared" si="3"/>
        <v>2404</v>
      </c>
      <c r="U42" s="16">
        <f t="shared" si="4"/>
        <v>121741</v>
      </c>
    </row>
    <row r="43" spans="1:21">
      <c r="A43" s="12">
        <v>2008</v>
      </c>
      <c r="B43" s="4"/>
      <c r="C43" s="15">
        <f t="shared" si="3"/>
        <v>6485</v>
      </c>
      <c r="D43" s="15">
        <f t="shared" si="3"/>
        <v>7041</v>
      </c>
      <c r="E43" s="15">
        <f t="shared" si="3"/>
        <v>7475</v>
      </c>
      <c r="F43" s="15">
        <f t="shared" si="3"/>
        <v>8533</v>
      </c>
      <c r="G43" s="15">
        <f t="shared" si="3"/>
        <v>7394</v>
      </c>
      <c r="H43" s="15">
        <f t="shared" si="3"/>
        <v>6554</v>
      </c>
      <c r="I43" s="15">
        <f t="shared" si="3"/>
        <v>6504</v>
      </c>
      <c r="J43" s="15">
        <f t="shared" si="3"/>
        <v>7770</v>
      </c>
      <c r="K43" s="15">
        <f t="shared" si="3"/>
        <v>8993</v>
      </c>
      <c r="L43" s="15">
        <f t="shared" si="3"/>
        <v>10319</v>
      </c>
      <c r="M43" s="15">
        <f t="shared" si="3"/>
        <v>10377</v>
      </c>
      <c r="N43" s="15">
        <f t="shared" si="3"/>
        <v>9153</v>
      </c>
      <c r="O43" s="15">
        <f t="shared" si="3"/>
        <v>7399</v>
      </c>
      <c r="P43" s="15">
        <f t="shared" si="3"/>
        <v>5293</v>
      </c>
      <c r="Q43" s="15">
        <f t="shared" si="3"/>
        <v>4126</v>
      </c>
      <c r="R43" s="15">
        <f t="shared" si="3"/>
        <v>3459</v>
      </c>
      <c r="S43" s="15">
        <f t="shared" si="3"/>
        <v>2737</v>
      </c>
      <c r="T43" s="15">
        <f t="shared" si="3"/>
        <v>2535</v>
      </c>
      <c r="U43" s="16">
        <f t="shared" si="4"/>
        <v>122147</v>
      </c>
    </row>
    <row r="44" spans="1:21">
      <c r="A44" s="12">
        <v>2009</v>
      </c>
      <c r="B44" s="4"/>
      <c r="C44" s="15">
        <f t="shared" si="3"/>
        <v>6348</v>
      </c>
      <c r="D44" s="15">
        <f t="shared" si="3"/>
        <v>6951</v>
      </c>
      <c r="E44" s="15">
        <f t="shared" si="3"/>
        <v>7440</v>
      </c>
      <c r="F44" s="15">
        <f t="shared" si="3"/>
        <v>8372</v>
      </c>
      <c r="G44" s="15">
        <f t="shared" si="3"/>
        <v>7243</v>
      </c>
      <c r="H44" s="15">
        <f t="shared" si="3"/>
        <v>6496</v>
      </c>
      <c r="I44" s="15">
        <f t="shared" si="3"/>
        <v>6634</v>
      </c>
      <c r="J44" s="15">
        <f t="shared" si="3"/>
        <v>7528</v>
      </c>
      <c r="K44" s="15">
        <f t="shared" si="3"/>
        <v>8670</v>
      </c>
      <c r="L44" s="15">
        <f t="shared" si="3"/>
        <v>10174</v>
      </c>
      <c r="M44" s="15">
        <f t="shared" si="3"/>
        <v>10423</v>
      </c>
      <c r="N44" s="15">
        <f t="shared" si="3"/>
        <v>9340</v>
      </c>
      <c r="O44" s="15">
        <f t="shared" si="3"/>
        <v>7854</v>
      </c>
      <c r="P44" s="15">
        <f t="shared" si="3"/>
        <v>5613</v>
      </c>
      <c r="Q44" s="15">
        <f t="shared" si="3"/>
        <v>4152</v>
      </c>
      <c r="R44" s="15">
        <f t="shared" si="3"/>
        <v>3461</v>
      </c>
      <c r="S44" s="15">
        <f t="shared" si="3"/>
        <v>2796</v>
      </c>
      <c r="T44" s="15">
        <f t="shared" si="3"/>
        <v>2589</v>
      </c>
      <c r="U44" s="16">
        <f t="shared" si="4"/>
        <v>122084</v>
      </c>
    </row>
    <row r="45" spans="1:21">
      <c r="A45" s="12">
        <v>2010</v>
      </c>
      <c r="B45" s="4"/>
      <c r="C45" s="15">
        <f t="shared" si="3"/>
        <v>6311</v>
      </c>
      <c r="D45" s="15">
        <f t="shared" si="3"/>
        <v>6824</v>
      </c>
      <c r="E45" s="15">
        <f t="shared" si="3"/>
        <v>7289</v>
      </c>
      <c r="F45" s="15">
        <f t="shared" si="3"/>
        <v>8064</v>
      </c>
      <c r="G45" s="15">
        <f t="shared" si="3"/>
        <v>7208</v>
      </c>
      <c r="H45" s="15">
        <f t="shared" si="3"/>
        <v>6667</v>
      </c>
      <c r="I45" s="15">
        <f t="shared" si="3"/>
        <v>6668</v>
      </c>
      <c r="J45" s="15">
        <f t="shared" si="3"/>
        <v>7264</v>
      </c>
      <c r="K45" s="15">
        <f t="shared" si="3"/>
        <v>8512</v>
      </c>
      <c r="L45" s="15">
        <f t="shared" si="3"/>
        <v>9940</v>
      </c>
      <c r="M45" s="15">
        <f t="shared" si="3"/>
        <v>10521</v>
      </c>
      <c r="N45" s="15">
        <f t="shared" si="3"/>
        <v>9555</v>
      </c>
      <c r="O45" s="15">
        <f t="shared" si="3"/>
        <v>8289</v>
      </c>
      <c r="P45" s="15">
        <f t="shared" si="3"/>
        <v>5830</v>
      </c>
      <c r="Q45" s="15">
        <f t="shared" si="3"/>
        <v>4235</v>
      </c>
      <c r="R45" s="15">
        <f t="shared" si="3"/>
        <v>3511</v>
      </c>
      <c r="S45" s="15">
        <f t="shared" si="3"/>
        <v>2756</v>
      </c>
      <c r="T45" s="15">
        <f t="shared" si="3"/>
        <v>2687</v>
      </c>
      <c r="U45" s="16">
        <f t="shared" si="4"/>
        <v>122131</v>
      </c>
    </row>
    <row r="46" spans="1:21">
      <c r="A46" s="23">
        <v>2015</v>
      </c>
      <c r="B46" s="4"/>
      <c r="C46" s="15">
        <f t="shared" si="3"/>
        <v>6130.9207582609579</v>
      </c>
      <c r="D46" s="15">
        <f t="shared" si="3"/>
        <v>6374.5725284104346</v>
      </c>
      <c r="E46" s="15">
        <f t="shared" si="3"/>
        <v>6898.7042862881681</v>
      </c>
      <c r="F46" s="15">
        <f t="shared" si="3"/>
        <v>7351.8242679170253</v>
      </c>
      <c r="G46" s="15">
        <f t="shared" si="3"/>
        <v>7608.4935163780447</v>
      </c>
      <c r="H46" s="15">
        <f t="shared" si="3"/>
        <v>6837.3916697079221</v>
      </c>
      <c r="I46" s="15">
        <f t="shared" si="3"/>
        <v>6699.7018284134956</v>
      </c>
      <c r="J46" s="15">
        <f t="shared" si="3"/>
        <v>6916.3791265880609</v>
      </c>
      <c r="K46" s="15">
        <f t="shared" si="3"/>
        <v>7214.4568476224695</v>
      </c>
      <c r="L46" s="15">
        <f t="shared" si="3"/>
        <v>8563.3982866450133</v>
      </c>
      <c r="M46" s="15">
        <f t="shared" si="3"/>
        <v>9791.6737841062804</v>
      </c>
      <c r="N46" s="15">
        <f t="shared" si="3"/>
        <v>10211.764236228228</v>
      </c>
      <c r="O46" s="15">
        <f t="shared" si="3"/>
        <v>9135.5722591795493</v>
      </c>
      <c r="P46" s="15">
        <f t="shared" si="3"/>
        <v>7817.19480155771</v>
      </c>
      <c r="Q46" s="15">
        <f t="shared" si="3"/>
        <v>5146.1580681221694</v>
      </c>
      <c r="R46" s="15">
        <f t="shared" si="3"/>
        <v>3610.0884525819292</v>
      </c>
      <c r="S46" s="15">
        <f t="shared" si="3"/>
        <v>2604.3351097539262</v>
      </c>
      <c r="T46" s="15">
        <f t="shared" si="3"/>
        <v>2762.1945843829244</v>
      </c>
      <c r="U46" s="16">
        <f t="shared" si="4"/>
        <v>121674.82441214431</v>
      </c>
    </row>
    <row r="47" spans="1:21">
      <c r="A47" s="23">
        <v>2020</v>
      </c>
      <c r="B47" s="4"/>
      <c r="C47" s="15">
        <f t="shared" si="3"/>
        <v>6109.1827024495924</v>
      </c>
      <c r="D47" s="15">
        <f t="shared" si="3"/>
        <v>6219.2065037226039</v>
      </c>
      <c r="E47" s="15">
        <f t="shared" si="3"/>
        <v>6480.1506139817375</v>
      </c>
      <c r="F47" s="15">
        <f t="shared" si="3"/>
        <v>6990.0810321999088</v>
      </c>
      <c r="G47" s="15">
        <f t="shared" si="3"/>
        <v>7013.753427530004</v>
      </c>
      <c r="H47" s="15">
        <f t="shared" si="3"/>
        <v>7158.2650511426455</v>
      </c>
      <c r="I47" s="15">
        <f t="shared" si="3"/>
        <v>6869.3215894995101</v>
      </c>
      <c r="J47" s="15">
        <f t="shared" si="3"/>
        <v>6979.6339020665491</v>
      </c>
      <c r="K47" s="15">
        <f t="shared" si="3"/>
        <v>6917.4694706452292</v>
      </c>
      <c r="L47" s="15">
        <f t="shared" si="3"/>
        <v>7325.7329762725676</v>
      </c>
      <c r="M47" s="15">
        <f t="shared" si="3"/>
        <v>8477.4106977437696</v>
      </c>
      <c r="N47" s="15">
        <f t="shared" si="3"/>
        <v>9505.2282504252507</v>
      </c>
      <c r="O47" s="15">
        <f t="shared" si="3"/>
        <v>9751.0374141840366</v>
      </c>
      <c r="P47" s="15">
        <f t="shared" si="3"/>
        <v>8620.9614862312137</v>
      </c>
      <c r="Q47" s="15">
        <f t="shared" si="3"/>
        <v>6875.0200402012497</v>
      </c>
      <c r="R47" s="15">
        <f t="shared" si="3"/>
        <v>4392.7024090659834</v>
      </c>
      <c r="S47" s="15">
        <f t="shared" si="3"/>
        <v>2688.7701092230254</v>
      </c>
      <c r="T47" s="15">
        <f t="shared" si="3"/>
        <v>2710.7371033473792</v>
      </c>
      <c r="U47" s="16">
        <f t="shared" si="4"/>
        <v>121084.66477993228</v>
      </c>
    </row>
    <row r="48" spans="1:21">
      <c r="A48" s="23">
        <v>2025</v>
      </c>
      <c r="B48" s="4"/>
      <c r="C48" s="15">
        <f t="shared" si="3"/>
        <v>6007.8215132350415</v>
      </c>
      <c r="D48" s="15">
        <f t="shared" si="3"/>
        <v>6210.7744098696003</v>
      </c>
      <c r="E48" s="15">
        <f t="shared" si="3"/>
        <v>6342.3820732311324</v>
      </c>
      <c r="F48" s="15">
        <f t="shared" si="3"/>
        <v>6603.9668292786737</v>
      </c>
      <c r="G48" s="15">
        <f t="shared" si="3"/>
        <v>6719.1717456385941</v>
      </c>
      <c r="H48" s="15">
        <f t="shared" si="3"/>
        <v>6698.852236959101</v>
      </c>
      <c r="I48" s="15">
        <f t="shared" si="3"/>
        <v>7136.6153897534914</v>
      </c>
      <c r="J48" s="15">
        <f t="shared" si="3"/>
        <v>7156.0823963263374</v>
      </c>
      <c r="K48" s="15">
        <f t="shared" si="3"/>
        <v>6996.2702065470439</v>
      </c>
      <c r="L48" s="15">
        <f t="shared" si="3"/>
        <v>7071.6314915750263</v>
      </c>
      <c r="M48" s="15">
        <f t="shared" si="3"/>
        <v>7315.3272352349686</v>
      </c>
      <c r="N48" s="15">
        <f t="shared" si="3"/>
        <v>8255.8377355938319</v>
      </c>
      <c r="O48" s="15">
        <f t="shared" si="3"/>
        <v>9078.6331615899653</v>
      </c>
      <c r="P48" s="15">
        <f t="shared" si="3"/>
        <v>9192.6690230575532</v>
      </c>
      <c r="Q48" s="15">
        <f t="shared" si="3"/>
        <v>7588.1742593110048</v>
      </c>
      <c r="R48" s="15">
        <f t="shared" si="3"/>
        <v>5842.3202406993441</v>
      </c>
      <c r="S48" s="15">
        <f t="shared" si="3"/>
        <v>3275.5229665842053</v>
      </c>
      <c r="T48" s="15">
        <f t="shared" si="3"/>
        <v>2746.0133164805557</v>
      </c>
      <c r="U48" s="16">
        <f t="shared" si="4"/>
        <v>120238.06623096547</v>
      </c>
    </row>
    <row r="49" spans="1:21" ht="15.75" thickBot="1">
      <c r="A49" s="24">
        <v>2030</v>
      </c>
      <c r="B49" s="20"/>
      <c r="C49" s="21">
        <f t="shared" si="3"/>
        <v>5853.5694428622228</v>
      </c>
      <c r="D49" s="21">
        <f t="shared" si="3"/>
        <v>6127.9307459799302</v>
      </c>
      <c r="E49" s="21">
        <f t="shared" si="3"/>
        <v>6344.2615943652509</v>
      </c>
      <c r="F49" s="21">
        <f t="shared" si="3"/>
        <v>6485.0455081947784</v>
      </c>
      <c r="G49" s="21">
        <f t="shared" si="3"/>
        <v>6407.2369722056901</v>
      </c>
      <c r="H49" s="21">
        <f t="shared" si="3"/>
        <v>6482.9994263834851</v>
      </c>
      <c r="I49" s="21">
        <f t="shared" si="3"/>
        <v>6773.790188419146</v>
      </c>
      <c r="J49" s="21">
        <f t="shared" si="3"/>
        <v>7387.9334701551743</v>
      </c>
      <c r="K49" s="21">
        <f t="shared" si="3"/>
        <v>7173.5324392328039</v>
      </c>
      <c r="L49" s="21">
        <f t="shared" si="3"/>
        <v>7167.6189856329383</v>
      </c>
      <c r="M49" s="21">
        <f t="shared" si="3"/>
        <v>7104.9367700451239</v>
      </c>
      <c r="N49" s="21">
        <f t="shared" si="3"/>
        <v>7163.9334335259737</v>
      </c>
      <c r="O49" s="21">
        <f t="shared" si="3"/>
        <v>7911.7952423321858</v>
      </c>
      <c r="P49" s="21">
        <f t="shared" si="3"/>
        <v>8561.8480037076952</v>
      </c>
      <c r="Q49" s="21">
        <f t="shared" si="3"/>
        <v>8087.547248394565</v>
      </c>
      <c r="R49" s="21">
        <f t="shared" si="3"/>
        <v>6455.0005220563316</v>
      </c>
      <c r="S49" s="21">
        <f t="shared" si="3"/>
        <v>4336.6224865102286</v>
      </c>
      <c r="T49" s="21">
        <f t="shared" si="3"/>
        <v>3104.366782239108</v>
      </c>
      <c r="U49" s="22">
        <f t="shared" si="4"/>
        <v>118929.96926224265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13</v>
      </c>
      <c r="B1" s="8" t="s">
        <v>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1043</v>
      </c>
      <c r="D4" s="15">
        <v>1069</v>
      </c>
      <c r="E4" s="15">
        <v>1434</v>
      </c>
      <c r="F4" s="15">
        <v>1180</v>
      </c>
      <c r="G4" s="15">
        <v>801</v>
      </c>
      <c r="H4" s="15">
        <v>1044</v>
      </c>
      <c r="I4" s="15">
        <v>1206</v>
      </c>
      <c r="J4" s="15">
        <v>1364</v>
      </c>
      <c r="K4" s="15">
        <v>1704</v>
      </c>
      <c r="L4" s="15">
        <v>1672</v>
      </c>
      <c r="M4" s="15">
        <v>1655</v>
      </c>
      <c r="N4" s="15">
        <v>1218</v>
      </c>
      <c r="O4" s="15">
        <v>1028</v>
      </c>
      <c r="P4" s="15">
        <v>920</v>
      </c>
      <c r="Q4" s="15">
        <v>864</v>
      </c>
      <c r="R4" s="15">
        <v>891</v>
      </c>
      <c r="S4" s="15">
        <v>653</v>
      </c>
      <c r="T4" s="15">
        <v>618</v>
      </c>
      <c r="U4" s="16">
        <f>SUM(C4:T4)</f>
        <v>20364</v>
      </c>
    </row>
    <row r="5" spans="1:21">
      <c r="A5" s="12">
        <v>2002</v>
      </c>
      <c r="B5" s="4"/>
      <c r="C5" s="15">
        <v>1019</v>
      </c>
      <c r="D5" s="15">
        <v>1066</v>
      </c>
      <c r="E5" s="15">
        <v>1357</v>
      </c>
      <c r="F5" s="15">
        <v>1253</v>
      </c>
      <c r="G5" s="15">
        <v>835</v>
      </c>
      <c r="H5" s="15">
        <v>1022</v>
      </c>
      <c r="I5" s="15">
        <v>1221</v>
      </c>
      <c r="J5" s="15">
        <v>1330</v>
      </c>
      <c r="K5" s="15">
        <v>1644</v>
      </c>
      <c r="L5" s="15">
        <v>1773</v>
      </c>
      <c r="M5" s="15">
        <v>1612</v>
      </c>
      <c r="N5" s="15">
        <v>1350</v>
      </c>
      <c r="O5" s="15">
        <v>1052</v>
      </c>
      <c r="P5" s="15">
        <v>919</v>
      </c>
      <c r="Q5" s="15">
        <v>830</v>
      </c>
      <c r="R5" s="15">
        <v>914</v>
      </c>
      <c r="S5" s="15">
        <v>650</v>
      </c>
      <c r="T5" s="15">
        <v>637</v>
      </c>
      <c r="U5" s="16">
        <f t="shared" ref="U5:U17" si="0">SUM(C5:T5)</f>
        <v>20484</v>
      </c>
    </row>
    <row r="6" spans="1:21">
      <c r="A6" s="12">
        <v>2003</v>
      </c>
      <c r="B6" s="4"/>
      <c r="C6" s="15">
        <v>967</v>
      </c>
      <c r="D6" s="15">
        <v>1123</v>
      </c>
      <c r="E6" s="15">
        <v>1271</v>
      </c>
      <c r="F6" s="15">
        <v>1275</v>
      </c>
      <c r="G6" s="15">
        <v>842</v>
      </c>
      <c r="H6" s="15">
        <v>1012</v>
      </c>
      <c r="I6" s="15">
        <v>1177</v>
      </c>
      <c r="J6" s="15">
        <v>1284</v>
      </c>
      <c r="K6" s="15">
        <v>1595</v>
      </c>
      <c r="L6" s="15">
        <v>1777</v>
      </c>
      <c r="M6" s="15">
        <v>1656</v>
      </c>
      <c r="N6" s="15">
        <v>1409</v>
      </c>
      <c r="O6" s="15">
        <v>1128</v>
      </c>
      <c r="P6" s="15">
        <v>952</v>
      </c>
      <c r="Q6" s="15">
        <v>802</v>
      </c>
      <c r="R6" s="15">
        <v>888</v>
      </c>
      <c r="S6" s="15">
        <v>692</v>
      </c>
      <c r="T6" s="15">
        <v>650</v>
      </c>
      <c r="U6" s="16">
        <f t="shared" si="0"/>
        <v>20500</v>
      </c>
    </row>
    <row r="7" spans="1:21">
      <c r="A7" s="12">
        <v>2004</v>
      </c>
      <c r="B7" s="4"/>
      <c r="C7" s="15">
        <v>919</v>
      </c>
      <c r="D7" s="15">
        <v>1131</v>
      </c>
      <c r="E7" s="15">
        <v>1259</v>
      </c>
      <c r="F7" s="15">
        <v>1265</v>
      </c>
      <c r="G7" s="15">
        <v>883</v>
      </c>
      <c r="H7" s="15">
        <v>955</v>
      </c>
      <c r="I7" s="15">
        <v>1166</v>
      </c>
      <c r="J7" s="15">
        <v>1239</v>
      </c>
      <c r="K7" s="15">
        <v>1540</v>
      </c>
      <c r="L7" s="15">
        <v>1773</v>
      </c>
      <c r="M7" s="15">
        <v>1686</v>
      </c>
      <c r="N7" s="15">
        <v>1538</v>
      </c>
      <c r="O7" s="15">
        <v>1153</v>
      </c>
      <c r="P7" s="15">
        <v>991</v>
      </c>
      <c r="Q7" s="15">
        <v>808</v>
      </c>
      <c r="R7" s="15">
        <v>841</v>
      </c>
      <c r="S7" s="15">
        <v>727</v>
      </c>
      <c r="T7" s="15">
        <v>669</v>
      </c>
      <c r="U7" s="16">
        <f t="shared" si="0"/>
        <v>20543</v>
      </c>
    </row>
    <row r="8" spans="1:21">
      <c r="A8" s="12">
        <v>2005</v>
      </c>
      <c r="B8" s="4"/>
      <c r="C8" s="15">
        <v>953</v>
      </c>
      <c r="D8" s="15">
        <v>1106</v>
      </c>
      <c r="E8" s="15">
        <v>1222</v>
      </c>
      <c r="F8" s="15">
        <v>1280</v>
      </c>
      <c r="G8" s="15">
        <v>895</v>
      </c>
      <c r="H8" s="15">
        <v>953</v>
      </c>
      <c r="I8" s="15">
        <v>1091</v>
      </c>
      <c r="J8" s="15">
        <v>1261</v>
      </c>
      <c r="K8" s="15">
        <v>1474</v>
      </c>
      <c r="L8" s="15">
        <v>1764</v>
      </c>
      <c r="M8" s="15">
        <v>1738</v>
      </c>
      <c r="N8" s="15">
        <v>1609</v>
      </c>
      <c r="O8" s="15">
        <v>1194</v>
      </c>
      <c r="P8" s="15">
        <v>1010</v>
      </c>
      <c r="Q8" s="15">
        <v>812</v>
      </c>
      <c r="R8" s="15">
        <v>798</v>
      </c>
      <c r="S8" s="15">
        <v>772</v>
      </c>
      <c r="T8" s="15">
        <v>666</v>
      </c>
      <c r="U8" s="16">
        <f t="shared" si="0"/>
        <v>20598</v>
      </c>
    </row>
    <row r="9" spans="1:21">
      <c r="A9" s="12">
        <v>2006</v>
      </c>
      <c r="B9" s="4"/>
      <c r="C9" s="15">
        <v>935</v>
      </c>
      <c r="D9" s="15">
        <v>1113</v>
      </c>
      <c r="E9" s="15">
        <v>1147</v>
      </c>
      <c r="F9" s="15">
        <v>1244</v>
      </c>
      <c r="G9" s="15">
        <v>882</v>
      </c>
      <c r="H9" s="15">
        <v>936</v>
      </c>
      <c r="I9" s="15">
        <v>1048</v>
      </c>
      <c r="J9" s="15">
        <v>1236</v>
      </c>
      <c r="K9" s="15">
        <v>1420</v>
      </c>
      <c r="L9" s="15">
        <v>1774</v>
      </c>
      <c r="M9" s="15">
        <v>1731</v>
      </c>
      <c r="N9" s="15">
        <v>1732</v>
      </c>
      <c r="O9" s="15">
        <v>1252</v>
      </c>
      <c r="P9" s="15">
        <v>1004</v>
      </c>
      <c r="Q9" s="15">
        <v>863</v>
      </c>
      <c r="R9" s="15">
        <v>735</v>
      </c>
      <c r="S9" s="15">
        <v>791</v>
      </c>
      <c r="T9" s="15">
        <v>672</v>
      </c>
      <c r="U9" s="16">
        <f t="shared" si="0"/>
        <v>20515</v>
      </c>
    </row>
    <row r="10" spans="1:21">
      <c r="A10" s="12">
        <v>2007</v>
      </c>
      <c r="B10" s="4"/>
      <c r="C10" s="15">
        <v>962</v>
      </c>
      <c r="D10" s="15">
        <v>1065</v>
      </c>
      <c r="E10" s="15">
        <v>1132</v>
      </c>
      <c r="F10" s="15">
        <v>1159</v>
      </c>
      <c r="G10" s="15">
        <v>902</v>
      </c>
      <c r="H10" s="15">
        <v>936</v>
      </c>
      <c r="I10" s="15">
        <v>1029</v>
      </c>
      <c r="J10" s="15">
        <v>1204</v>
      </c>
      <c r="K10" s="15">
        <v>1387</v>
      </c>
      <c r="L10" s="15">
        <v>1672</v>
      </c>
      <c r="M10" s="15">
        <v>1806</v>
      </c>
      <c r="N10" s="15">
        <v>1681</v>
      </c>
      <c r="O10" s="15">
        <v>1382</v>
      </c>
      <c r="P10" s="15">
        <v>1036</v>
      </c>
      <c r="Q10" s="15">
        <v>847</v>
      </c>
      <c r="R10" s="15">
        <v>734</v>
      </c>
      <c r="S10" s="15">
        <v>802</v>
      </c>
      <c r="T10" s="15">
        <v>710</v>
      </c>
      <c r="U10" s="16">
        <f t="shared" si="0"/>
        <v>20446</v>
      </c>
    </row>
    <row r="11" spans="1:21">
      <c r="A11" s="12">
        <v>2008</v>
      </c>
      <c r="B11" s="4"/>
      <c r="C11" s="15">
        <v>979</v>
      </c>
      <c r="D11" s="15">
        <v>1011</v>
      </c>
      <c r="E11" s="15">
        <v>1181</v>
      </c>
      <c r="F11" s="15">
        <v>1087</v>
      </c>
      <c r="G11" s="15">
        <v>875</v>
      </c>
      <c r="H11" s="15">
        <v>915</v>
      </c>
      <c r="I11" s="15">
        <v>989</v>
      </c>
      <c r="J11" s="15">
        <v>1212</v>
      </c>
      <c r="K11" s="15">
        <v>1319</v>
      </c>
      <c r="L11" s="15">
        <v>1630</v>
      </c>
      <c r="M11" s="15">
        <v>1814</v>
      </c>
      <c r="N11" s="15">
        <v>1705</v>
      </c>
      <c r="O11" s="15">
        <v>1404</v>
      </c>
      <c r="P11" s="15">
        <v>1133</v>
      </c>
      <c r="Q11" s="15">
        <v>897</v>
      </c>
      <c r="R11" s="15">
        <v>711</v>
      </c>
      <c r="S11" s="15">
        <v>761</v>
      </c>
      <c r="T11" s="15">
        <v>731</v>
      </c>
      <c r="U11" s="16">
        <f t="shared" si="0"/>
        <v>20354</v>
      </c>
    </row>
    <row r="12" spans="1:21">
      <c r="A12" s="12">
        <v>2009</v>
      </c>
      <c r="B12" s="4"/>
      <c r="C12" s="15">
        <v>949</v>
      </c>
      <c r="D12" s="15">
        <v>973</v>
      </c>
      <c r="E12" s="15">
        <v>1167</v>
      </c>
      <c r="F12" s="15">
        <v>1058</v>
      </c>
      <c r="G12" s="15">
        <v>838</v>
      </c>
      <c r="H12" s="15">
        <v>926</v>
      </c>
      <c r="I12" s="15">
        <v>962</v>
      </c>
      <c r="J12" s="15">
        <v>1163</v>
      </c>
      <c r="K12" s="15">
        <v>1266</v>
      </c>
      <c r="L12" s="15">
        <v>1576</v>
      </c>
      <c r="M12" s="15">
        <v>1779</v>
      </c>
      <c r="N12" s="15">
        <v>1736</v>
      </c>
      <c r="O12" s="15">
        <v>1521</v>
      </c>
      <c r="P12" s="15">
        <v>1127</v>
      </c>
      <c r="Q12" s="15">
        <v>935</v>
      </c>
      <c r="R12" s="15">
        <v>723</v>
      </c>
      <c r="S12" s="15">
        <v>720</v>
      </c>
      <c r="T12" s="15">
        <v>736</v>
      </c>
      <c r="U12" s="16">
        <f t="shared" si="0"/>
        <v>20155</v>
      </c>
    </row>
    <row r="13" spans="1:21">
      <c r="A13" s="12">
        <v>2010</v>
      </c>
      <c r="B13" s="4"/>
      <c r="C13" s="15">
        <v>911</v>
      </c>
      <c r="D13" s="15">
        <v>985</v>
      </c>
      <c r="E13" s="15">
        <v>1160</v>
      </c>
      <c r="F13" s="15">
        <v>1013</v>
      </c>
      <c r="G13" s="15">
        <v>830</v>
      </c>
      <c r="H13" s="15">
        <v>917</v>
      </c>
      <c r="I13" s="15">
        <v>966</v>
      </c>
      <c r="J13" s="15">
        <v>1111</v>
      </c>
      <c r="K13" s="15">
        <v>1270</v>
      </c>
      <c r="L13" s="15">
        <v>1502</v>
      </c>
      <c r="M13" s="15">
        <v>1760</v>
      </c>
      <c r="N13" s="15">
        <v>1779</v>
      </c>
      <c r="O13" s="15">
        <v>1589</v>
      </c>
      <c r="P13" s="15">
        <v>1180</v>
      </c>
      <c r="Q13" s="15">
        <v>934</v>
      </c>
      <c r="R13" s="15">
        <v>717</v>
      </c>
      <c r="S13" s="15">
        <v>676</v>
      </c>
      <c r="T13" s="15">
        <v>757</v>
      </c>
      <c r="U13" s="16">
        <f t="shared" si="0"/>
        <v>20057</v>
      </c>
    </row>
    <row r="14" spans="1:21">
      <c r="A14" s="23">
        <v>2015</v>
      </c>
      <c r="B14" s="4"/>
      <c r="C14" s="15">
        <v>941.8647413661273</v>
      </c>
      <c r="D14" s="15">
        <v>939.44445671956669</v>
      </c>
      <c r="E14" s="15">
        <v>1028.0265894257607</v>
      </c>
      <c r="F14" s="15">
        <v>1203.8733813977321</v>
      </c>
      <c r="G14" s="15">
        <v>999.40893351305431</v>
      </c>
      <c r="H14" s="15">
        <v>832.63385123911223</v>
      </c>
      <c r="I14" s="15">
        <v>918.75453850554368</v>
      </c>
      <c r="J14" s="15">
        <v>1052.7044835754068</v>
      </c>
      <c r="K14" s="15">
        <v>1130.8702993750821</v>
      </c>
      <c r="L14" s="15">
        <v>1311.3712638861559</v>
      </c>
      <c r="M14" s="15">
        <v>1470.032845614124</v>
      </c>
      <c r="N14" s="15">
        <v>1797.3995519503358</v>
      </c>
      <c r="O14" s="15">
        <v>1759.5163112923767</v>
      </c>
      <c r="P14" s="15">
        <v>1598.7527800173366</v>
      </c>
      <c r="Q14" s="15">
        <v>1117.4220664860134</v>
      </c>
      <c r="R14" s="15">
        <v>814.265110251686</v>
      </c>
      <c r="S14" s="15">
        <v>597.47454984407591</v>
      </c>
      <c r="T14" s="15">
        <v>834.91386630235911</v>
      </c>
      <c r="U14" s="16">
        <f t="shared" si="0"/>
        <v>20348.729620761849</v>
      </c>
    </row>
    <row r="15" spans="1:21">
      <c r="A15" s="23">
        <v>2020</v>
      </c>
      <c r="B15" s="4"/>
      <c r="C15" s="15">
        <v>982.08897294090946</v>
      </c>
      <c r="D15" s="15">
        <v>971.31832635793376</v>
      </c>
      <c r="E15" s="15">
        <v>987.03412597906367</v>
      </c>
      <c r="F15" s="15">
        <v>1078.6943946673282</v>
      </c>
      <c r="G15" s="15">
        <v>1175.6566964244962</v>
      </c>
      <c r="H15" s="15">
        <v>970.85635098841658</v>
      </c>
      <c r="I15" s="15">
        <v>854.35968620804431</v>
      </c>
      <c r="J15" s="15">
        <v>1015.1734458364681</v>
      </c>
      <c r="K15" s="15">
        <v>1079.7182904532563</v>
      </c>
      <c r="L15" s="15">
        <v>1179.0541026097201</v>
      </c>
      <c r="M15" s="15">
        <v>1288.3160043607547</v>
      </c>
      <c r="N15" s="15">
        <v>1510.118810676317</v>
      </c>
      <c r="O15" s="15">
        <v>1777.8296232851983</v>
      </c>
      <c r="P15" s="15">
        <v>1770.6713905420547</v>
      </c>
      <c r="Q15" s="15">
        <v>1503.5982778137022</v>
      </c>
      <c r="R15" s="15">
        <v>974.44945597301239</v>
      </c>
      <c r="S15" s="15">
        <v>680.70775187127254</v>
      </c>
      <c r="T15" s="15">
        <v>828.14030012770138</v>
      </c>
      <c r="U15" s="16">
        <f t="shared" si="0"/>
        <v>20627.78600711565</v>
      </c>
    </row>
    <row r="16" spans="1:21">
      <c r="A16" s="23">
        <v>2025</v>
      </c>
      <c r="B16" s="4"/>
      <c r="C16" s="15">
        <v>1021.9815708930601</v>
      </c>
      <c r="D16" s="15">
        <v>1012.1320106614861</v>
      </c>
      <c r="E16" s="15">
        <v>1020.6752904779216</v>
      </c>
      <c r="F16" s="15">
        <v>1042.6954467346682</v>
      </c>
      <c r="G16" s="15">
        <v>1068.8684199067618</v>
      </c>
      <c r="H16" s="15">
        <v>1126.6610999425407</v>
      </c>
      <c r="I16" s="15">
        <v>963.36140647328762</v>
      </c>
      <c r="J16" s="15">
        <v>958.58083887472992</v>
      </c>
      <c r="K16" s="15">
        <v>1046.775247662722</v>
      </c>
      <c r="L16" s="15">
        <v>1136.5887853593415</v>
      </c>
      <c r="M16" s="15">
        <v>1164.3598674010952</v>
      </c>
      <c r="N16" s="15">
        <v>1332.5559573283047</v>
      </c>
      <c r="O16" s="15">
        <v>1499.6117714545264</v>
      </c>
      <c r="P16" s="15">
        <v>1789.6175505379713</v>
      </c>
      <c r="Q16" s="15">
        <v>1665.6090769428931</v>
      </c>
      <c r="R16" s="15">
        <v>1310.3984102655265</v>
      </c>
      <c r="S16" s="15">
        <v>817.94803904657351</v>
      </c>
      <c r="T16" s="15">
        <v>883.22987542390081</v>
      </c>
      <c r="U16" s="16">
        <f t="shared" si="0"/>
        <v>20861.650665387308</v>
      </c>
    </row>
    <row r="17" spans="1:21">
      <c r="A17" s="23">
        <v>2030</v>
      </c>
      <c r="B17" s="4"/>
      <c r="C17" s="15">
        <v>1042.004135336997</v>
      </c>
      <c r="D17" s="15">
        <v>1052.6970240332614</v>
      </c>
      <c r="E17" s="15">
        <v>1062.5894543557986</v>
      </c>
      <c r="F17" s="15">
        <v>1078.5442310706062</v>
      </c>
      <c r="G17" s="15">
        <v>1042.3403620452211</v>
      </c>
      <c r="H17" s="15">
        <v>1044.1357226888108</v>
      </c>
      <c r="I17" s="15">
        <v>1101.2041826427885</v>
      </c>
      <c r="J17" s="15">
        <v>1058.3854017948049</v>
      </c>
      <c r="K17" s="15">
        <v>994.16719946221292</v>
      </c>
      <c r="L17" s="15">
        <v>1109.2805347838671</v>
      </c>
      <c r="M17" s="15">
        <v>1128.1033142105014</v>
      </c>
      <c r="N17" s="15">
        <v>1215.5364648477446</v>
      </c>
      <c r="O17" s="15">
        <v>1329.3151427438906</v>
      </c>
      <c r="P17" s="15">
        <v>1519.5888476545206</v>
      </c>
      <c r="Q17" s="15">
        <v>1683.8627236558575</v>
      </c>
      <c r="R17" s="15">
        <v>1451.6357772766332</v>
      </c>
      <c r="S17" s="15">
        <v>1091.0619456850015</v>
      </c>
      <c r="T17" s="15">
        <v>1008.9007223420364</v>
      </c>
      <c r="U17" s="16">
        <f t="shared" si="0"/>
        <v>21013.353186630557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1024</v>
      </c>
      <c r="D20" s="15">
        <v>1241</v>
      </c>
      <c r="E20" s="15">
        <v>1321</v>
      </c>
      <c r="F20" s="15">
        <v>1355</v>
      </c>
      <c r="G20" s="15">
        <v>885</v>
      </c>
      <c r="H20" s="15">
        <v>1065</v>
      </c>
      <c r="I20" s="15">
        <v>1262</v>
      </c>
      <c r="J20" s="15">
        <v>1471</v>
      </c>
      <c r="K20" s="15">
        <v>1623</v>
      </c>
      <c r="L20" s="15">
        <v>1702</v>
      </c>
      <c r="M20" s="15">
        <v>1600</v>
      </c>
      <c r="N20" s="15">
        <v>1169</v>
      </c>
      <c r="O20" s="15">
        <v>914</v>
      </c>
      <c r="P20" s="15">
        <v>830</v>
      </c>
      <c r="Q20" s="15">
        <v>725</v>
      </c>
      <c r="R20" s="15">
        <v>666</v>
      </c>
      <c r="S20" s="15">
        <v>378</v>
      </c>
      <c r="T20" s="15">
        <v>289</v>
      </c>
      <c r="U20" s="16">
        <f>SUM(C20:T20)</f>
        <v>19520</v>
      </c>
    </row>
    <row r="21" spans="1:21">
      <c r="A21" s="12">
        <v>2002</v>
      </c>
      <c r="B21" s="4"/>
      <c r="C21" s="15">
        <v>1035</v>
      </c>
      <c r="D21" s="15">
        <v>1205</v>
      </c>
      <c r="E21" s="15">
        <v>1305</v>
      </c>
      <c r="F21" s="15">
        <v>1368</v>
      </c>
      <c r="G21" s="15">
        <v>948</v>
      </c>
      <c r="H21" s="15">
        <v>1055</v>
      </c>
      <c r="I21" s="15">
        <v>1309</v>
      </c>
      <c r="J21" s="15">
        <v>1470</v>
      </c>
      <c r="K21" s="15">
        <v>1562</v>
      </c>
      <c r="L21" s="15">
        <v>1758</v>
      </c>
      <c r="M21" s="15">
        <v>1606</v>
      </c>
      <c r="N21" s="15">
        <v>1293</v>
      </c>
      <c r="O21" s="15">
        <v>926</v>
      </c>
      <c r="P21" s="15">
        <v>865</v>
      </c>
      <c r="Q21" s="15">
        <v>680</v>
      </c>
      <c r="R21" s="15">
        <v>682</v>
      </c>
      <c r="S21" s="15">
        <v>399</v>
      </c>
      <c r="T21" s="15">
        <v>308</v>
      </c>
      <c r="U21" s="16">
        <f t="shared" ref="U21:U33" si="1">SUM(C21:T21)</f>
        <v>19774</v>
      </c>
    </row>
    <row r="22" spans="1:21">
      <c r="A22" s="12">
        <v>2003</v>
      </c>
      <c r="B22" s="4"/>
      <c r="C22" s="15">
        <v>1070</v>
      </c>
      <c r="D22" s="15">
        <v>1135</v>
      </c>
      <c r="E22" s="15">
        <v>1328</v>
      </c>
      <c r="F22" s="15">
        <v>1339</v>
      </c>
      <c r="G22" s="15">
        <v>959</v>
      </c>
      <c r="H22" s="15">
        <v>1024</v>
      </c>
      <c r="I22" s="15">
        <v>1341</v>
      </c>
      <c r="J22" s="15">
        <v>1473</v>
      </c>
      <c r="K22" s="15">
        <v>1555</v>
      </c>
      <c r="L22" s="15">
        <v>1729</v>
      </c>
      <c r="M22" s="15">
        <v>1602</v>
      </c>
      <c r="N22" s="15">
        <v>1389</v>
      </c>
      <c r="O22" s="15">
        <v>1013</v>
      </c>
      <c r="P22" s="15">
        <v>867</v>
      </c>
      <c r="Q22" s="15">
        <v>684</v>
      </c>
      <c r="R22" s="15">
        <v>649</v>
      </c>
      <c r="S22" s="15">
        <v>418</v>
      </c>
      <c r="T22" s="15">
        <v>318</v>
      </c>
      <c r="U22" s="16">
        <f t="shared" si="1"/>
        <v>19893</v>
      </c>
    </row>
    <row r="23" spans="1:21">
      <c r="A23" s="12">
        <v>2004</v>
      </c>
      <c r="B23" s="4"/>
      <c r="C23" s="15">
        <v>1048</v>
      </c>
      <c r="D23" s="15">
        <v>1135</v>
      </c>
      <c r="E23" s="15">
        <v>1335</v>
      </c>
      <c r="F23" s="15">
        <v>1301</v>
      </c>
      <c r="G23" s="15">
        <v>987</v>
      </c>
      <c r="H23" s="15">
        <v>1003</v>
      </c>
      <c r="I23" s="15">
        <v>1326</v>
      </c>
      <c r="J23" s="15">
        <v>1417</v>
      </c>
      <c r="K23" s="15">
        <v>1527</v>
      </c>
      <c r="L23" s="15">
        <v>1706</v>
      </c>
      <c r="M23" s="15">
        <v>1666</v>
      </c>
      <c r="N23" s="15">
        <v>1487</v>
      </c>
      <c r="O23" s="15">
        <v>1076</v>
      </c>
      <c r="P23" s="15">
        <v>899</v>
      </c>
      <c r="Q23" s="15">
        <v>670</v>
      </c>
      <c r="R23" s="15">
        <v>642</v>
      </c>
      <c r="S23" s="15">
        <v>428</v>
      </c>
      <c r="T23" s="15">
        <v>318</v>
      </c>
      <c r="U23" s="16">
        <f t="shared" si="1"/>
        <v>19971</v>
      </c>
    </row>
    <row r="24" spans="1:21">
      <c r="A24" s="12">
        <v>2005</v>
      </c>
      <c r="B24" s="4"/>
      <c r="C24" s="15">
        <v>1064</v>
      </c>
      <c r="D24" s="15">
        <v>1146</v>
      </c>
      <c r="E24" s="15">
        <v>1277</v>
      </c>
      <c r="F24" s="15">
        <v>1273</v>
      </c>
      <c r="G24" s="15">
        <v>1042</v>
      </c>
      <c r="H24" s="15">
        <v>985</v>
      </c>
      <c r="I24" s="15">
        <v>1259</v>
      </c>
      <c r="J24" s="15">
        <v>1355</v>
      </c>
      <c r="K24" s="15">
        <v>1538</v>
      </c>
      <c r="L24" s="15">
        <v>1672</v>
      </c>
      <c r="M24" s="15">
        <v>1717</v>
      </c>
      <c r="N24" s="15">
        <v>1514</v>
      </c>
      <c r="O24" s="15">
        <v>1165</v>
      </c>
      <c r="P24" s="15">
        <v>864</v>
      </c>
      <c r="Q24" s="15">
        <v>705</v>
      </c>
      <c r="R24" s="15">
        <v>640</v>
      </c>
      <c r="S24" s="15">
        <v>430</v>
      </c>
      <c r="T24" s="15">
        <v>327</v>
      </c>
      <c r="U24" s="16">
        <f t="shared" si="1"/>
        <v>19973</v>
      </c>
    </row>
    <row r="25" spans="1:21">
      <c r="A25" s="12">
        <v>2006</v>
      </c>
      <c r="B25" s="4"/>
      <c r="C25" s="15">
        <v>1052</v>
      </c>
      <c r="D25" s="15">
        <v>1093</v>
      </c>
      <c r="E25" s="15">
        <v>1276</v>
      </c>
      <c r="F25" s="15">
        <v>1221</v>
      </c>
      <c r="G25" s="15">
        <v>1021</v>
      </c>
      <c r="H25" s="15">
        <v>969</v>
      </c>
      <c r="I25" s="15">
        <v>1212</v>
      </c>
      <c r="J25" s="15">
        <v>1314</v>
      </c>
      <c r="K25" s="15">
        <v>1518</v>
      </c>
      <c r="L25" s="15">
        <v>1658</v>
      </c>
      <c r="M25" s="15">
        <v>1715</v>
      </c>
      <c r="N25" s="15">
        <v>1585</v>
      </c>
      <c r="O25" s="15">
        <v>1218</v>
      </c>
      <c r="P25" s="15">
        <v>882</v>
      </c>
      <c r="Q25" s="15">
        <v>742</v>
      </c>
      <c r="R25" s="15">
        <v>610</v>
      </c>
      <c r="S25" s="15">
        <v>481</v>
      </c>
      <c r="T25" s="15">
        <v>335</v>
      </c>
      <c r="U25" s="16">
        <f t="shared" si="1"/>
        <v>19902</v>
      </c>
    </row>
    <row r="26" spans="1:21">
      <c r="A26" s="12">
        <v>2007</v>
      </c>
      <c r="B26" s="4"/>
      <c r="C26" s="15">
        <v>1064</v>
      </c>
      <c r="D26" s="15">
        <v>1061</v>
      </c>
      <c r="E26" s="15">
        <v>1233</v>
      </c>
      <c r="F26" s="15">
        <v>1183</v>
      </c>
      <c r="G26" s="15">
        <v>1015</v>
      </c>
      <c r="H26" s="15">
        <v>974</v>
      </c>
      <c r="I26" s="15">
        <v>1187</v>
      </c>
      <c r="J26" s="15">
        <v>1319</v>
      </c>
      <c r="K26" s="15">
        <v>1470</v>
      </c>
      <c r="L26" s="15">
        <v>1603</v>
      </c>
      <c r="M26" s="15">
        <v>1723</v>
      </c>
      <c r="N26" s="15">
        <v>1565</v>
      </c>
      <c r="O26" s="15">
        <v>1339</v>
      </c>
      <c r="P26" s="15">
        <v>910</v>
      </c>
      <c r="Q26" s="15">
        <v>769</v>
      </c>
      <c r="R26" s="15">
        <v>567</v>
      </c>
      <c r="S26" s="15">
        <v>511</v>
      </c>
      <c r="T26" s="15">
        <v>358</v>
      </c>
      <c r="U26" s="16">
        <f t="shared" si="1"/>
        <v>19851</v>
      </c>
    </row>
    <row r="27" spans="1:21">
      <c r="A27" s="12">
        <v>2008</v>
      </c>
      <c r="B27" s="4"/>
      <c r="C27" s="15">
        <v>1048</v>
      </c>
      <c r="D27" s="15">
        <v>1107</v>
      </c>
      <c r="E27" s="15">
        <v>1148</v>
      </c>
      <c r="F27" s="15">
        <v>1206</v>
      </c>
      <c r="G27" s="15">
        <v>997</v>
      </c>
      <c r="H27" s="15">
        <v>1003</v>
      </c>
      <c r="I27" s="15">
        <v>1120</v>
      </c>
      <c r="J27" s="15">
        <v>1320</v>
      </c>
      <c r="K27" s="15">
        <v>1424</v>
      </c>
      <c r="L27" s="15">
        <v>1609</v>
      </c>
      <c r="M27" s="15">
        <v>1687</v>
      </c>
      <c r="N27" s="15">
        <v>1567</v>
      </c>
      <c r="O27" s="15">
        <v>1425</v>
      </c>
      <c r="P27" s="15">
        <v>965</v>
      </c>
      <c r="Q27" s="15">
        <v>791</v>
      </c>
      <c r="R27" s="15">
        <v>572</v>
      </c>
      <c r="S27" s="15">
        <v>485</v>
      </c>
      <c r="T27" s="15">
        <v>397</v>
      </c>
      <c r="U27" s="16">
        <f t="shared" si="1"/>
        <v>19871</v>
      </c>
    </row>
    <row r="28" spans="1:21">
      <c r="A28" s="12">
        <v>2009</v>
      </c>
      <c r="B28" s="4"/>
      <c r="C28" s="15">
        <v>1006</v>
      </c>
      <c r="D28" s="15">
        <v>1108</v>
      </c>
      <c r="E28" s="15">
        <v>1131</v>
      </c>
      <c r="F28" s="15">
        <v>1169</v>
      </c>
      <c r="G28" s="15">
        <v>965</v>
      </c>
      <c r="H28" s="15">
        <v>1013</v>
      </c>
      <c r="I28" s="15">
        <v>1119</v>
      </c>
      <c r="J28" s="15">
        <v>1299</v>
      </c>
      <c r="K28" s="15">
        <v>1338</v>
      </c>
      <c r="L28" s="15">
        <v>1539</v>
      </c>
      <c r="M28" s="15">
        <v>1660</v>
      </c>
      <c r="N28" s="15">
        <v>1620</v>
      </c>
      <c r="O28" s="15">
        <v>1518</v>
      </c>
      <c r="P28" s="15">
        <v>1037</v>
      </c>
      <c r="Q28" s="15">
        <v>789</v>
      </c>
      <c r="R28" s="15">
        <v>556</v>
      </c>
      <c r="S28" s="15">
        <v>510</v>
      </c>
      <c r="T28" s="15">
        <v>392</v>
      </c>
      <c r="U28" s="16">
        <f t="shared" si="1"/>
        <v>19769</v>
      </c>
    </row>
    <row r="29" spans="1:21">
      <c r="A29" s="12">
        <v>2010</v>
      </c>
      <c r="B29" s="4"/>
      <c r="C29" s="15">
        <v>999</v>
      </c>
      <c r="D29" s="15">
        <v>1100</v>
      </c>
      <c r="E29" s="15">
        <v>1128</v>
      </c>
      <c r="F29" s="15">
        <v>1108</v>
      </c>
      <c r="G29" s="15">
        <v>927</v>
      </c>
      <c r="H29" s="15">
        <v>1042</v>
      </c>
      <c r="I29" s="15">
        <v>1105</v>
      </c>
      <c r="J29" s="15">
        <v>1240</v>
      </c>
      <c r="K29" s="15">
        <v>1295</v>
      </c>
      <c r="L29" s="15">
        <v>1510</v>
      </c>
      <c r="M29" s="15">
        <v>1623</v>
      </c>
      <c r="N29" s="15">
        <v>1642</v>
      </c>
      <c r="O29" s="15">
        <v>1555</v>
      </c>
      <c r="P29" s="15">
        <v>1130</v>
      </c>
      <c r="Q29" s="15">
        <v>766</v>
      </c>
      <c r="R29" s="15">
        <v>580</v>
      </c>
      <c r="S29" s="15">
        <v>497</v>
      </c>
      <c r="T29" s="15">
        <v>401</v>
      </c>
      <c r="U29" s="16">
        <f t="shared" si="1"/>
        <v>19648</v>
      </c>
    </row>
    <row r="30" spans="1:21">
      <c r="A30" s="23">
        <v>2015</v>
      </c>
      <c r="B30" s="4"/>
      <c r="C30" s="15">
        <v>1008.8730876811708</v>
      </c>
      <c r="D30" s="15">
        <v>1021.928170355631</v>
      </c>
      <c r="E30" s="15">
        <v>1140.5967942823354</v>
      </c>
      <c r="F30" s="15">
        <v>1168.1911077385728</v>
      </c>
      <c r="G30" s="15">
        <v>1080.9505107234463</v>
      </c>
      <c r="H30" s="15">
        <v>911.87719919945539</v>
      </c>
      <c r="I30" s="15">
        <v>1026.7566722217339</v>
      </c>
      <c r="J30" s="15">
        <v>1187.2403374440973</v>
      </c>
      <c r="K30" s="15">
        <v>1256.3560205797696</v>
      </c>
      <c r="L30" s="15">
        <v>1326.7331980120246</v>
      </c>
      <c r="M30" s="15">
        <v>1462.3249178520155</v>
      </c>
      <c r="N30" s="15">
        <v>1642.5774782196186</v>
      </c>
      <c r="O30" s="15">
        <v>1589.9810382227772</v>
      </c>
      <c r="P30" s="15">
        <v>1513.4074470455</v>
      </c>
      <c r="Q30" s="15">
        <v>1032.9354825425332</v>
      </c>
      <c r="R30" s="15">
        <v>630.43266841762977</v>
      </c>
      <c r="S30" s="15">
        <v>440.33005500036393</v>
      </c>
      <c r="T30" s="15">
        <v>489.43724351649774</v>
      </c>
      <c r="U30" s="16">
        <f t="shared" si="1"/>
        <v>19930.929429055173</v>
      </c>
    </row>
    <row r="31" spans="1:21">
      <c r="A31" s="23">
        <v>2020</v>
      </c>
      <c r="B31" s="4"/>
      <c r="C31" s="15">
        <v>1051.9590457026932</v>
      </c>
      <c r="D31" s="15">
        <v>1033.1162367610002</v>
      </c>
      <c r="E31" s="15">
        <v>1067.8374525102638</v>
      </c>
      <c r="F31" s="15">
        <v>1183.5412820220495</v>
      </c>
      <c r="G31" s="15">
        <v>1140.3828266026048</v>
      </c>
      <c r="H31" s="15">
        <v>1036.4993339958087</v>
      </c>
      <c r="I31" s="15">
        <v>924.16322810611814</v>
      </c>
      <c r="J31" s="15">
        <v>1119.9569517447028</v>
      </c>
      <c r="K31" s="15">
        <v>1210.7822165922541</v>
      </c>
      <c r="L31" s="15">
        <v>1292.329219856385</v>
      </c>
      <c r="M31" s="15">
        <v>1289.5657082917749</v>
      </c>
      <c r="N31" s="15">
        <v>1483.588319122417</v>
      </c>
      <c r="O31" s="15">
        <v>1591.6105403686329</v>
      </c>
      <c r="P31" s="15">
        <v>1556.6895210629691</v>
      </c>
      <c r="Q31" s="15">
        <v>1373.8034428108037</v>
      </c>
      <c r="R31" s="15">
        <v>849.99214603950111</v>
      </c>
      <c r="S31" s="15">
        <v>482.64560031931967</v>
      </c>
      <c r="T31" s="15">
        <v>502.20853737286069</v>
      </c>
      <c r="U31" s="16">
        <f t="shared" si="1"/>
        <v>20190.671609282163</v>
      </c>
    </row>
    <row r="32" spans="1:21">
      <c r="A32" s="23">
        <v>2025</v>
      </c>
      <c r="B32" s="4"/>
      <c r="C32" s="15">
        <v>1094.6897762460555</v>
      </c>
      <c r="D32" s="15">
        <v>1076.5670856499994</v>
      </c>
      <c r="E32" s="15">
        <v>1081.3326130167745</v>
      </c>
      <c r="F32" s="15">
        <v>1116.7887183296489</v>
      </c>
      <c r="G32" s="15">
        <v>1158.4954801268</v>
      </c>
      <c r="H32" s="15">
        <v>1094.3211924609486</v>
      </c>
      <c r="I32" s="15">
        <v>1021.7603284045915</v>
      </c>
      <c r="J32" s="15">
        <v>1027.065615042671</v>
      </c>
      <c r="K32" s="15">
        <v>1148.9876703948867</v>
      </c>
      <c r="L32" s="15">
        <v>1255.8994897629223</v>
      </c>
      <c r="M32" s="15">
        <v>1258.9409065003961</v>
      </c>
      <c r="N32" s="15">
        <v>1317.1730444598859</v>
      </c>
      <c r="O32" s="15">
        <v>1440.1243720053417</v>
      </c>
      <c r="P32" s="15">
        <v>1560.382012316531</v>
      </c>
      <c r="Q32" s="15">
        <v>1417.8909135541862</v>
      </c>
      <c r="R32" s="15">
        <v>1129.735750305184</v>
      </c>
      <c r="S32" s="15">
        <v>649.59459275227232</v>
      </c>
      <c r="T32" s="15">
        <v>540.78892036693105</v>
      </c>
      <c r="U32" s="16">
        <f t="shared" si="1"/>
        <v>20390.538481696029</v>
      </c>
    </row>
    <row r="33" spans="1:21">
      <c r="A33" s="23">
        <v>2030</v>
      </c>
      <c r="B33" s="4"/>
      <c r="C33" s="15">
        <v>1116.1368328420488</v>
      </c>
      <c r="D33" s="15">
        <v>1119.7473733765951</v>
      </c>
      <c r="E33" s="15">
        <v>1125.8205554218555</v>
      </c>
      <c r="F33" s="15">
        <v>1132.9154587424975</v>
      </c>
      <c r="G33" s="15">
        <v>1104.4828358528964</v>
      </c>
      <c r="H33" s="15">
        <v>1115.7376405902057</v>
      </c>
      <c r="I33" s="15">
        <v>1079.5406882671016</v>
      </c>
      <c r="J33" s="15">
        <v>1115.3543285229393</v>
      </c>
      <c r="K33" s="15">
        <v>1061.3236566953306</v>
      </c>
      <c r="L33" s="15">
        <v>1200.8356380473024</v>
      </c>
      <c r="M33" s="15">
        <v>1228.9785135217267</v>
      </c>
      <c r="N33" s="15">
        <v>1291.2149752499888</v>
      </c>
      <c r="O33" s="15">
        <v>1284.4887145172177</v>
      </c>
      <c r="P33" s="15">
        <v>1416.445358936274</v>
      </c>
      <c r="Q33" s="15">
        <v>1422.5351134046502</v>
      </c>
      <c r="R33" s="15">
        <v>1166.4111785322414</v>
      </c>
      <c r="S33" s="15">
        <v>855.06706177830495</v>
      </c>
      <c r="T33" s="15">
        <v>665.66056732541927</v>
      </c>
      <c r="U33" s="16">
        <f t="shared" si="1"/>
        <v>20502.696491624596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2067</v>
      </c>
      <c r="D36" s="15">
        <f t="shared" ref="D36:T36" si="2">D20+D4</f>
        <v>2310</v>
      </c>
      <c r="E36" s="15">
        <f t="shared" si="2"/>
        <v>2755</v>
      </c>
      <c r="F36" s="15">
        <f t="shared" si="2"/>
        <v>2535</v>
      </c>
      <c r="G36" s="15">
        <f t="shared" si="2"/>
        <v>1686</v>
      </c>
      <c r="H36" s="15">
        <f t="shared" si="2"/>
        <v>2109</v>
      </c>
      <c r="I36" s="15">
        <f t="shared" si="2"/>
        <v>2468</v>
      </c>
      <c r="J36" s="15">
        <f t="shared" si="2"/>
        <v>2835</v>
      </c>
      <c r="K36" s="15">
        <f t="shared" si="2"/>
        <v>3327</v>
      </c>
      <c r="L36" s="15">
        <f t="shared" si="2"/>
        <v>3374</v>
      </c>
      <c r="M36" s="15">
        <f t="shared" si="2"/>
        <v>3255</v>
      </c>
      <c r="N36" s="15">
        <f t="shared" si="2"/>
        <v>2387</v>
      </c>
      <c r="O36" s="15">
        <f t="shared" si="2"/>
        <v>1942</v>
      </c>
      <c r="P36" s="15">
        <f t="shared" si="2"/>
        <v>1750</v>
      </c>
      <c r="Q36" s="15">
        <f t="shared" si="2"/>
        <v>1589</v>
      </c>
      <c r="R36" s="15">
        <f t="shared" si="2"/>
        <v>1557</v>
      </c>
      <c r="S36" s="15">
        <f t="shared" si="2"/>
        <v>1031</v>
      </c>
      <c r="T36" s="15">
        <f t="shared" si="2"/>
        <v>907</v>
      </c>
      <c r="U36" s="16">
        <f>SUM(C36:T36)</f>
        <v>39884</v>
      </c>
    </row>
    <row r="37" spans="1:21">
      <c r="A37" s="12">
        <v>2002</v>
      </c>
      <c r="B37" s="4"/>
      <c r="C37" s="15">
        <f t="shared" ref="C37:T49" si="3">C21+C5</f>
        <v>2054</v>
      </c>
      <c r="D37" s="15">
        <f t="shared" si="3"/>
        <v>2271</v>
      </c>
      <c r="E37" s="15">
        <f t="shared" si="3"/>
        <v>2662</v>
      </c>
      <c r="F37" s="15">
        <f t="shared" si="3"/>
        <v>2621</v>
      </c>
      <c r="G37" s="15">
        <f t="shared" si="3"/>
        <v>1783</v>
      </c>
      <c r="H37" s="15">
        <f t="shared" si="3"/>
        <v>2077</v>
      </c>
      <c r="I37" s="15">
        <f t="shared" si="3"/>
        <v>2530</v>
      </c>
      <c r="J37" s="15">
        <f t="shared" si="3"/>
        <v>2800</v>
      </c>
      <c r="K37" s="15">
        <f t="shared" si="3"/>
        <v>3206</v>
      </c>
      <c r="L37" s="15">
        <f t="shared" si="3"/>
        <v>3531</v>
      </c>
      <c r="M37" s="15">
        <f t="shared" si="3"/>
        <v>3218</v>
      </c>
      <c r="N37" s="15">
        <f t="shared" si="3"/>
        <v>2643</v>
      </c>
      <c r="O37" s="15">
        <f t="shared" si="3"/>
        <v>1978</v>
      </c>
      <c r="P37" s="15">
        <f t="shared" si="3"/>
        <v>1784</v>
      </c>
      <c r="Q37" s="15">
        <f t="shared" si="3"/>
        <v>1510</v>
      </c>
      <c r="R37" s="15">
        <f t="shared" si="3"/>
        <v>1596</v>
      </c>
      <c r="S37" s="15">
        <f t="shared" si="3"/>
        <v>1049</v>
      </c>
      <c r="T37" s="15">
        <f t="shared" si="3"/>
        <v>945</v>
      </c>
      <c r="U37" s="16">
        <f t="shared" ref="U37:U49" si="4">SUM(C37:T37)</f>
        <v>40258</v>
      </c>
    </row>
    <row r="38" spans="1:21">
      <c r="A38" s="12">
        <v>2003</v>
      </c>
      <c r="B38" s="4"/>
      <c r="C38" s="15">
        <f t="shared" si="3"/>
        <v>2037</v>
      </c>
      <c r="D38" s="15">
        <f t="shared" si="3"/>
        <v>2258</v>
      </c>
      <c r="E38" s="15">
        <f t="shared" si="3"/>
        <v>2599</v>
      </c>
      <c r="F38" s="15">
        <f t="shared" si="3"/>
        <v>2614</v>
      </c>
      <c r="G38" s="15">
        <f t="shared" si="3"/>
        <v>1801</v>
      </c>
      <c r="H38" s="15">
        <f t="shared" si="3"/>
        <v>2036</v>
      </c>
      <c r="I38" s="15">
        <f t="shared" si="3"/>
        <v>2518</v>
      </c>
      <c r="J38" s="15">
        <f t="shared" si="3"/>
        <v>2757</v>
      </c>
      <c r="K38" s="15">
        <f t="shared" si="3"/>
        <v>3150</v>
      </c>
      <c r="L38" s="15">
        <f t="shared" si="3"/>
        <v>3506</v>
      </c>
      <c r="M38" s="15">
        <f t="shared" si="3"/>
        <v>3258</v>
      </c>
      <c r="N38" s="15">
        <f t="shared" si="3"/>
        <v>2798</v>
      </c>
      <c r="O38" s="15">
        <f t="shared" si="3"/>
        <v>2141</v>
      </c>
      <c r="P38" s="15">
        <f t="shared" si="3"/>
        <v>1819</v>
      </c>
      <c r="Q38" s="15">
        <f t="shared" si="3"/>
        <v>1486</v>
      </c>
      <c r="R38" s="15">
        <f t="shared" si="3"/>
        <v>1537</v>
      </c>
      <c r="S38" s="15">
        <f t="shared" si="3"/>
        <v>1110</v>
      </c>
      <c r="T38" s="15">
        <f t="shared" si="3"/>
        <v>968</v>
      </c>
      <c r="U38" s="16">
        <f t="shared" si="4"/>
        <v>40393</v>
      </c>
    </row>
    <row r="39" spans="1:21">
      <c r="A39" s="12">
        <v>2004</v>
      </c>
      <c r="B39" s="4"/>
      <c r="C39" s="15">
        <f t="shared" si="3"/>
        <v>1967</v>
      </c>
      <c r="D39" s="15">
        <f t="shared" si="3"/>
        <v>2266</v>
      </c>
      <c r="E39" s="15">
        <f t="shared" si="3"/>
        <v>2594</v>
      </c>
      <c r="F39" s="15">
        <f t="shared" si="3"/>
        <v>2566</v>
      </c>
      <c r="G39" s="15">
        <f t="shared" si="3"/>
        <v>1870</v>
      </c>
      <c r="H39" s="15">
        <f t="shared" si="3"/>
        <v>1958</v>
      </c>
      <c r="I39" s="15">
        <f t="shared" si="3"/>
        <v>2492</v>
      </c>
      <c r="J39" s="15">
        <f t="shared" si="3"/>
        <v>2656</v>
      </c>
      <c r="K39" s="15">
        <f t="shared" si="3"/>
        <v>3067</v>
      </c>
      <c r="L39" s="15">
        <f t="shared" si="3"/>
        <v>3479</v>
      </c>
      <c r="M39" s="15">
        <f t="shared" si="3"/>
        <v>3352</v>
      </c>
      <c r="N39" s="15">
        <f t="shared" si="3"/>
        <v>3025</v>
      </c>
      <c r="O39" s="15">
        <f t="shared" si="3"/>
        <v>2229</v>
      </c>
      <c r="P39" s="15">
        <f t="shared" si="3"/>
        <v>1890</v>
      </c>
      <c r="Q39" s="15">
        <f t="shared" si="3"/>
        <v>1478</v>
      </c>
      <c r="R39" s="15">
        <f t="shared" si="3"/>
        <v>1483</v>
      </c>
      <c r="S39" s="15">
        <f t="shared" si="3"/>
        <v>1155</v>
      </c>
      <c r="T39" s="15">
        <f t="shared" si="3"/>
        <v>987</v>
      </c>
      <c r="U39" s="16">
        <f t="shared" si="4"/>
        <v>40514</v>
      </c>
    </row>
    <row r="40" spans="1:21">
      <c r="A40" s="12">
        <v>2005</v>
      </c>
      <c r="B40" s="4"/>
      <c r="C40" s="15">
        <f t="shared" si="3"/>
        <v>2017</v>
      </c>
      <c r="D40" s="15">
        <f t="shared" si="3"/>
        <v>2252</v>
      </c>
      <c r="E40" s="15">
        <f t="shared" si="3"/>
        <v>2499</v>
      </c>
      <c r="F40" s="15">
        <f t="shared" si="3"/>
        <v>2553</v>
      </c>
      <c r="G40" s="15">
        <f t="shared" si="3"/>
        <v>1937</v>
      </c>
      <c r="H40" s="15">
        <f t="shared" si="3"/>
        <v>1938</v>
      </c>
      <c r="I40" s="15">
        <f t="shared" si="3"/>
        <v>2350</v>
      </c>
      <c r="J40" s="15">
        <f t="shared" si="3"/>
        <v>2616</v>
      </c>
      <c r="K40" s="15">
        <f t="shared" si="3"/>
        <v>3012</v>
      </c>
      <c r="L40" s="15">
        <f t="shared" si="3"/>
        <v>3436</v>
      </c>
      <c r="M40" s="15">
        <f t="shared" si="3"/>
        <v>3455</v>
      </c>
      <c r="N40" s="15">
        <f t="shared" si="3"/>
        <v>3123</v>
      </c>
      <c r="O40" s="15">
        <f t="shared" si="3"/>
        <v>2359</v>
      </c>
      <c r="P40" s="15">
        <f t="shared" si="3"/>
        <v>1874</v>
      </c>
      <c r="Q40" s="15">
        <f t="shared" si="3"/>
        <v>1517</v>
      </c>
      <c r="R40" s="15">
        <f t="shared" si="3"/>
        <v>1438</v>
      </c>
      <c r="S40" s="15">
        <f t="shared" si="3"/>
        <v>1202</v>
      </c>
      <c r="T40" s="15">
        <f t="shared" si="3"/>
        <v>993</v>
      </c>
      <c r="U40" s="16">
        <f t="shared" si="4"/>
        <v>40571</v>
      </c>
    </row>
    <row r="41" spans="1:21">
      <c r="A41" s="12">
        <v>2006</v>
      </c>
      <c r="B41" s="4"/>
      <c r="C41" s="15">
        <f t="shared" si="3"/>
        <v>1987</v>
      </c>
      <c r="D41" s="15">
        <f t="shared" si="3"/>
        <v>2206</v>
      </c>
      <c r="E41" s="15">
        <f t="shared" si="3"/>
        <v>2423</v>
      </c>
      <c r="F41" s="15">
        <f t="shared" si="3"/>
        <v>2465</v>
      </c>
      <c r="G41" s="15">
        <f t="shared" si="3"/>
        <v>1903</v>
      </c>
      <c r="H41" s="15">
        <f t="shared" si="3"/>
        <v>1905</v>
      </c>
      <c r="I41" s="15">
        <f t="shared" si="3"/>
        <v>2260</v>
      </c>
      <c r="J41" s="15">
        <f t="shared" si="3"/>
        <v>2550</v>
      </c>
      <c r="K41" s="15">
        <f t="shared" si="3"/>
        <v>2938</v>
      </c>
      <c r="L41" s="15">
        <f t="shared" si="3"/>
        <v>3432</v>
      </c>
      <c r="M41" s="15">
        <f t="shared" si="3"/>
        <v>3446</v>
      </c>
      <c r="N41" s="15">
        <f t="shared" si="3"/>
        <v>3317</v>
      </c>
      <c r="O41" s="15">
        <f t="shared" si="3"/>
        <v>2470</v>
      </c>
      <c r="P41" s="15">
        <f t="shared" si="3"/>
        <v>1886</v>
      </c>
      <c r="Q41" s="15">
        <f t="shared" si="3"/>
        <v>1605</v>
      </c>
      <c r="R41" s="15">
        <f t="shared" si="3"/>
        <v>1345</v>
      </c>
      <c r="S41" s="15">
        <f t="shared" si="3"/>
        <v>1272</v>
      </c>
      <c r="T41" s="15">
        <f t="shared" si="3"/>
        <v>1007</v>
      </c>
      <c r="U41" s="16">
        <f t="shared" si="4"/>
        <v>40417</v>
      </c>
    </row>
    <row r="42" spans="1:21">
      <c r="A42" s="12">
        <v>2007</v>
      </c>
      <c r="B42" s="4"/>
      <c r="C42" s="15">
        <f t="shared" si="3"/>
        <v>2026</v>
      </c>
      <c r="D42" s="15">
        <f t="shared" si="3"/>
        <v>2126</v>
      </c>
      <c r="E42" s="15">
        <f t="shared" si="3"/>
        <v>2365</v>
      </c>
      <c r="F42" s="15">
        <f t="shared" si="3"/>
        <v>2342</v>
      </c>
      <c r="G42" s="15">
        <f t="shared" si="3"/>
        <v>1917</v>
      </c>
      <c r="H42" s="15">
        <f t="shared" si="3"/>
        <v>1910</v>
      </c>
      <c r="I42" s="15">
        <f t="shared" si="3"/>
        <v>2216</v>
      </c>
      <c r="J42" s="15">
        <f t="shared" si="3"/>
        <v>2523</v>
      </c>
      <c r="K42" s="15">
        <f t="shared" si="3"/>
        <v>2857</v>
      </c>
      <c r="L42" s="15">
        <f t="shared" si="3"/>
        <v>3275</v>
      </c>
      <c r="M42" s="15">
        <f t="shared" si="3"/>
        <v>3529</v>
      </c>
      <c r="N42" s="15">
        <f t="shared" si="3"/>
        <v>3246</v>
      </c>
      <c r="O42" s="15">
        <f t="shared" si="3"/>
        <v>2721</v>
      </c>
      <c r="P42" s="15">
        <f t="shared" si="3"/>
        <v>1946</v>
      </c>
      <c r="Q42" s="15">
        <f t="shared" si="3"/>
        <v>1616</v>
      </c>
      <c r="R42" s="15">
        <f t="shared" si="3"/>
        <v>1301</v>
      </c>
      <c r="S42" s="15">
        <f t="shared" si="3"/>
        <v>1313</v>
      </c>
      <c r="T42" s="15">
        <f t="shared" si="3"/>
        <v>1068</v>
      </c>
      <c r="U42" s="16">
        <f t="shared" si="4"/>
        <v>40297</v>
      </c>
    </row>
    <row r="43" spans="1:21">
      <c r="A43" s="12">
        <v>2008</v>
      </c>
      <c r="B43" s="4"/>
      <c r="C43" s="15">
        <f t="shared" si="3"/>
        <v>2027</v>
      </c>
      <c r="D43" s="15">
        <f t="shared" si="3"/>
        <v>2118</v>
      </c>
      <c r="E43" s="15">
        <f t="shared" si="3"/>
        <v>2329</v>
      </c>
      <c r="F43" s="15">
        <f t="shared" si="3"/>
        <v>2293</v>
      </c>
      <c r="G43" s="15">
        <f t="shared" si="3"/>
        <v>1872</v>
      </c>
      <c r="H43" s="15">
        <f t="shared" si="3"/>
        <v>1918</v>
      </c>
      <c r="I43" s="15">
        <f t="shared" si="3"/>
        <v>2109</v>
      </c>
      <c r="J43" s="15">
        <f t="shared" si="3"/>
        <v>2532</v>
      </c>
      <c r="K43" s="15">
        <f t="shared" si="3"/>
        <v>2743</v>
      </c>
      <c r="L43" s="15">
        <f t="shared" si="3"/>
        <v>3239</v>
      </c>
      <c r="M43" s="15">
        <f t="shared" si="3"/>
        <v>3501</v>
      </c>
      <c r="N43" s="15">
        <f t="shared" si="3"/>
        <v>3272</v>
      </c>
      <c r="O43" s="15">
        <f t="shared" si="3"/>
        <v>2829</v>
      </c>
      <c r="P43" s="15">
        <f t="shared" si="3"/>
        <v>2098</v>
      </c>
      <c r="Q43" s="15">
        <f t="shared" si="3"/>
        <v>1688</v>
      </c>
      <c r="R43" s="15">
        <f t="shared" si="3"/>
        <v>1283</v>
      </c>
      <c r="S43" s="15">
        <f t="shared" si="3"/>
        <v>1246</v>
      </c>
      <c r="T43" s="15">
        <f t="shared" si="3"/>
        <v>1128</v>
      </c>
      <c r="U43" s="16">
        <f t="shared" si="4"/>
        <v>40225</v>
      </c>
    </row>
    <row r="44" spans="1:21">
      <c r="A44" s="12">
        <v>2009</v>
      </c>
      <c r="B44" s="4"/>
      <c r="C44" s="15">
        <f t="shared" si="3"/>
        <v>1955</v>
      </c>
      <c r="D44" s="15">
        <f t="shared" si="3"/>
        <v>2081</v>
      </c>
      <c r="E44" s="15">
        <f t="shared" si="3"/>
        <v>2298</v>
      </c>
      <c r="F44" s="15">
        <f t="shared" si="3"/>
        <v>2227</v>
      </c>
      <c r="G44" s="15">
        <f t="shared" si="3"/>
        <v>1803</v>
      </c>
      <c r="H44" s="15">
        <f t="shared" si="3"/>
        <v>1939</v>
      </c>
      <c r="I44" s="15">
        <f t="shared" si="3"/>
        <v>2081</v>
      </c>
      <c r="J44" s="15">
        <f t="shared" si="3"/>
        <v>2462</v>
      </c>
      <c r="K44" s="15">
        <f t="shared" si="3"/>
        <v>2604</v>
      </c>
      <c r="L44" s="15">
        <f t="shared" si="3"/>
        <v>3115</v>
      </c>
      <c r="M44" s="15">
        <f t="shared" si="3"/>
        <v>3439</v>
      </c>
      <c r="N44" s="15">
        <f t="shared" si="3"/>
        <v>3356</v>
      </c>
      <c r="O44" s="15">
        <f t="shared" si="3"/>
        <v>3039</v>
      </c>
      <c r="P44" s="15">
        <f t="shared" si="3"/>
        <v>2164</v>
      </c>
      <c r="Q44" s="15">
        <f t="shared" si="3"/>
        <v>1724</v>
      </c>
      <c r="R44" s="15">
        <f t="shared" si="3"/>
        <v>1279</v>
      </c>
      <c r="S44" s="15">
        <f t="shared" si="3"/>
        <v>1230</v>
      </c>
      <c r="T44" s="15">
        <f t="shared" si="3"/>
        <v>1128</v>
      </c>
      <c r="U44" s="16">
        <f t="shared" si="4"/>
        <v>39924</v>
      </c>
    </row>
    <row r="45" spans="1:21">
      <c r="A45" s="12">
        <v>2010</v>
      </c>
      <c r="B45" s="4"/>
      <c r="C45" s="15">
        <f t="shared" si="3"/>
        <v>1910</v>
      </c>
      <c r="D45" s="15">
        <f t="shared" si="3"/>
        <v>2085</v>
      </c>
      <c r="E45" s="15">
        <f t="shared" si="3"/>
        <v>2288</v>
      </c>
      <c r="F45" s="15">
        <f t="shared" si="3"/>
        <v>2121</v>
      </c>
      <c r="G45" s="15">
        <f t="shared" si="3"/>
        <v>1757</v>
      </c>
      <c r="H45" s="15">
        <f t="shared" si="3"/>
        <v>1959</v>
      </c>
      <c r="I45" s="15">
        <f t="shared" si="3"/>
        <v>2071</v>
      </c>
      <c r="J45" s="15">
        <f t="shared" si="3"/>
        <v>2351</v>
      </c>
      <c r="K45" s="15">
        <f t="shared" si="3"/>
        <v>2565</v>
      </c>
      <c r="L45" s="15">
        <f t="shared" si="3"/>
        <v>3012</v>
      </c>
      <c r="M45" s="15">
        <f t="shared" si="3"/>
        <v>3383</v>
      </c>
      <c r="N45" s="15">
        <f t="shared" si="3"/>
        <v>3421</v>
      </c>
      <c r="O45" s="15">
        <f t="shared" si="3"/>
        <v>3144</v>
      </c>
      <c r="P45" s="15">
        <f t="shared" si="3"/>
        <v>2310</v>
      </c>
      <c r="Q45" s="15">
        <f t="shared" si="3"/>
        <v>1700</v>
      </c>
      <c r="R45" s="15">
        <f t="shared" si="3"/>
        <v>1297</v>
      </c>
      <c r="S45" s="15">
        <f t="shared" si="3"/>
        <v>1173</v>
      </c>
      <c r="T45" s="15">
        <f t="shared" si="3"/>
        <v>1158</v>
      </c>
      <c r="U45" s="16">
        <f t="shared" si="4"/>
        <v>39705</v>
      </c>
    </row>
    <row r="46" spans="1:21">
      <c r="A46" s="23">
        <v>2015</v>
      </c>
      <c r="B46" s="4"/>
      <c r="C46" s="15">
        <f t="shared" si="3"/>
        <v>1950.737829047298</v>
      </c>
      <c r="D46" s="15">
        <f t="shared" si="3"/>
        <v>1961.3726270751977</v>
      </c>
      <c r="E46" s="15">
        <f t="shared" si="3"/>
        <v>2168.6233837080963</v>
      </c>
      <c r="F46" s="15">
        <f t="shared" si="3"/>
        <v>2372.0644891363049</v>
      </c>
      <c r="G46" s="15">
        <f t="shared" si="3"/>
        <v>2080.3594442365006</v>
      </c>
      <c r="H46" s="15">
        <f t="shared" si="3"/>
        <v>1744.5110504385675</v>
      </c>
      <c r="I46" s="15">
        <f t="shared" si="3"/>
        <v>1945.5112107272776</v>
      </c>
      <c r="J46" s="15">
        <f t="shared" si="3"/>
        <v>2239.9448210195042</v>
      </c>
      <c r="K46" s="15">
        <f t="shared" si="3"/>
        <v>2387.2263199548515</v>
      </c>
      <c r="L46" s="15">
        <f t="shared" si="3"/>
        <v>2638.1044618981805</v>
      </c>
      <c r="M46" s="15">
        <f t="shared" si="3"/>
        <v>2932.3577634661397</v>
      </c>
      <c r="N46" s="15">
        <f t="shared" si="3"/>
        <v>3439.9770301699546</v>
      </c>
      <c r="O46" s="15">
        <f t="shared" si="3"/>
        <v>3349.4973495151539</v>
      </c>
      <c r="P46" s="15">
        <f t="shared" si="3"/>
        <v>3112.1602270628364</v>
      </c>
      <c r="Q46" s="15">
        <f t="shared" si="3"/>
        <v>2150.3575490285466</v>
      </c>
      <c r="R46" s="15">
        <f t="shared" si="3"/>
        <v>1444.6977786693158</v>
      </c>
      <c r="S46" s="15">
        <f t="shared" si="3"/>
        <v>1037.8046048444398</v>
      </c>
      <c r="T46" s="15">
        <f t="shared" si="3"/>
        <v>1324.3511098188569</v>
      </c>
      <c r="U46" s="16">
        <f t="shared" si="4"/>
        <v>40279.659049817019</v>
      </c>
    </row>
    <row r="47" spans="1:21">
      <c r="A47" s="23">
        <v>2020</v>
      </c>
      <c r="B47" s="4"/>
      <c r="C47" s="15">
        <f t="shared" si="3"/>
        <v>2034.0480186436025</v>
      </c>
      <c r="D47" s="15">
        <f t="shared" si="3"/>
        <v>2004.434563118934</v>
      </c>
      <c r="E47" s="15">
        <f t="shared" si="3"/>
        <v>2054.8715784893275</v>
      </c>
      <c r="F47" s="15">
        <f t="shared" si="3"/>
        <v>2262.2356766893777</v>
      </c>
      <c r="G47" s="15">
        <f t="shared" si="3"/>
        <v>2316.039523027101</v>
      </c>
      <c r="H47" s="15">
        <f t="shared" si="3"/>
        <v>2007.3556849842253</v>
      </c>
      <c r="I47" s="15">
        <f t="shared" si="3"/>
        <v>1778.5229143141623</v>
      </c>
      <c r="J47" s="15">
        <f t="shared" si="3"/>
        <v>2135.1303975811707</v>
      </c>
      <c r="K47" s="15">
        <f t="shared" si="3"/>
        <v>2290.5005070455104</v>
      </c>
      <c r="L47" s="15">
        <f t="shared" si="3"/>
        <v>2471.3833224661048</v>
      </c>
      <c r="M47" s="15">
        <f t="shared" si="3"/>
        <v>2577.8817126525296</v>
      </c>
      <c r="N47" s="15">
        <f t="shared" si="3"/>
        <v>2993.7071297987341</v>
      </c>
      <c r="O47" s="15">
        <f t="shared" si="3"/>
        <v>3369.4401636538314</v>
      </c>
      <c r="P47" s="15">
        <f t="shared" si="3"/>
        <v>3327.3609116050238</v>
      </c>
      <c r="Q47" s="15">
        <f t="shared" si="3"/>
        <v>2877.4017206245062</v>
      </c>
      <c r="R47" s="15">
        <f t="shared" si="3"/>
        <v>1824.4416020125136</v>
      </c>
      <c r="S47" s="15">
        <f t="shared" si="3"/>
        <v>1163.3533521905922</v>
      </c>
      <c r="T47" s="15">
        <f t="shared" si="3"/>
        <v>1330.348837500562</v>
      </c>
      <c r="U47" s="16">
        <f t="shared" si="4"/>
        <v>40818.457616397805</v>
      </c>
    </row>
    <row r="48" spans="1:21">
      <c r="A48" s="23">
        <v>2025</v>
      </c>
      <c r="B48" s="4"/>
      <c r="C48" s="15">
        <f t="shared" si="3"/>
        <v>2116.6713471391158</v>
      </c>
      <c r="D48" s="15">
        <f t="shared" si="3"/>
        <v>2088.6990963114854</v>
      </c>
      <c r="E48" s="15">
        <f t="shared" si="3"/>
        <v>2102.0079034946962</v>
      </c>
      <c r="F48" s="15">
        <f t="shared" si="3"/>
        <v>2159.484165064317</v>
      </c>
      <c r="G48" s="15">
        <f t="shared" si="3"/>
        <v>2227.3639000335615</v>
      </c>
      <c r="H48" s="15">
        <f t="shared" si="3"/>
        <v>2220.9822924034893</v>
      </c>
      <c r="I48" s="15">
        <f t="shared" si="3"/>
        <v>1985.1217348778791</v>
      </c>
      <c r="J48" s="15">
        <f t="shared" si="3"/>
        <v>1985.6464539174008</v>
      </c>
      <c r="K48" s="15">
        <f t="shared" si="3"/>
        <v>2195.7629180576087</v>
      </c>
      <c r="L48" s="15">
        <f t="shared" si="3"/>
        <v>2392.488275122264</v>
      </c>
      <c r="M48" s="15">
        <f t="shared" si="3"/>
        <v>2423.3007739014911</v>
      </c>
      <c r="N48" s="15">
        <f t="shared" si="3"/>
        <v>2649.7290017881905</v>
      </c>
      <c r="O48" s="15">
        <f t="shared" si="3"/>
        <v>2939.7361434598679</v>
      </c>
      <c r="P48" s="15">
        <f t="shared" si="3"/>
        <v>3349.9995628545021</v>
      </c>
      <c r="Q48" s="15">
        <f t="shared" si="3"/>
        <v>3083.4999904970791</v>
      </c>
      <c r="R48" s="15">
        <f t="shared" si="3"/>
        <v>2440.1341605707103</v>
      </c>
      <c r="S48" s="15">
        <f t="shared" si="3"/>
        <v>1467.5426317988458</v>
      </c>
      <c r="T48" s="15">
        <f t="shared" si="3"/>
        <v>1424.018795790832</v>
      </c>
      <c r="U48" s="16">
        <f t="shared" si="4"/>
        <v>41252.189147083336</v>
      </c>
    </row>
    <row r="49" spans="1:21" ht="15.75" thickBot="1">
      <c r="A49" s="24">
        <v>2030</v>
      </c>
      <c r="B49" s="20"/>
      <c r="C49" s="21">
        <f t="shared" si="3"/>
        <v>2158.1409681790456</v>
      </c>
      <c r="D49" s="21">
        <f t="shared" si="3"/>
        <v>2172.4443974098567</v>
      </c>
      <c r="E49" s="21">
        <f t="shared" si="3"/>
        <v>2188.4100097776541</v>
      </c>
      <c r="F49" s="21">
        <f t="shared" si="3"/>
        <v>2211.459689813104</v>
      </c>
      <c r="G49" s="21">
        <f t="shared" si="3"/>
        <v>2146.8231978981175</v>
      </c>
      <c r="H49" s="21">
        <f t="shared" si="3"/>
        <v>2159.8733632790163</v>
      </c>
      <c r="I49" s="21">
        <f t="shared" si="3"/>
        <v>2180.7448709098899</v>
      </c>
      <c r="J49" s="21">
        <f t="shared" si="3"/>
        <v>2173.739730317744</v>
      </c>
      <c r="K49" s="21">
        <f t="shared" si="3"/>
        <v>2055.4908561575435</v>
      </c>
      <c r="L49" s="21">
        <f t="shared" si="3"/>
        <v>2310.1161728311695</v>
      </c>
      <c r="M49" s="21">
        <f t="shared" si="3"/>
        <v>2357.0818277322278</v>
      </c>
      <c r="N49" s="21">
        <f t="shared" si="3"/>
        <v>2506.7514400977334</v>
      </c>
      <c r="O49" s="21">
        <f t="shared" si="3"/>
        <v>2613.8038572611085</v>
      </c>
      <c r="P49" s="21">
        <f t="shared" si="3"/>
        <v>2936.0342065907944</v>
      </c>
      <c r="Q49" s="21">
        <f t="shared" si="3"/>
        <v>3106.3978370605078</v>
      </c>
      <c r="R49" s="21">
        <f t="shared" si="3"/>
        <v>2618.0469558088744</v>
      </c>
      <c r="S49" s="21">
        <f t="shared" si="3"/>
        <v>1946.1290074633066</v>
      </c>
      <c r="T49" s="21">
        <f t="shared" si="3"/>
        <v>1674.5612896674556</v>
      </c>
      <c r="U49" s="22">
        <f t="shared" si="4"/>
        <v>41516.049678255156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15</v>
      </c>
      <c r="B1" s="8" t="s">
        <v>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778</v>
      </c>
      <c r="D4" s="15">
        <v>955</v>
      </c>
      <c r="E4" s="15">
        <v>1204</v>
      </c>
      <c r="F4" s="15">
        <v>1056</v>
      </c>
      <c r="G4" s="15">
        <v>579</v>
      </c>
      <c r="H4" s="15">
        <v>731</v>
      </c>
      <c r="I4" s="15">
        <v>978</v>
      </c>
      <c r="J4" s="15">
        <v>1205</v>
      </c>
      <c r="K4" s="15">
        <v>1437</v>
      </c>
      <c r="L4" s="15">
        <v>1438</v>
      </c>
      <c r="M4" s="15">
        <v>1413</v>
      </c>
      <c r="N4" s="15">
        <v>1215</v>
      </c>
      <c r="O4" s="15">
        <v>922</v>
      </c>
      <c r="P4" s="15">
        <v>846</v>
      </c>
      <c r="Q4" s="15">
        <v>829</v>
      </c>
      <c r="R4" s="15">
        <v>714</v>
      </c>
      <c r="S4" s="15">
        <v>503</v>
      </c>
      <c r="T4" s="15">
        <v>620</v>
      </c>
      <c r="U4" s="16">
        <f>SUM(C4:T4)</f>
        <v>17423</v>
      </c>
    </row>
    <row r="5" spans="1:21">
      <c r="A5" s="12">
        <v>2002</v>
      </c>
      <c r="B5" s="4"/>
      <c r="C5" s="15">
        <v>777</v>
      </c>
      <c r="D5" s="15">
        <v>918</v>
      </c>
      <c r="E5" s="15">
        <v>1197</v>
      </c>
      <c r="F5" s="15">
        <v>1094</v>
      </c>
      <c r="G5" s="15">
        <v>618</v>
      </c>
      <c r="H5" s="15">
        <v>706</v>
      </c>
      <c r="I5" s="15">
        <v>974</v>
      </c>
      <c r="J5" s="15">
        <v>1140</v>
      </c>
      <c r="K5" s="15">
        <v>1451</v>
      </c>
      <c r="L5" s="15">
        <v>1432</v>
      </c>
      <c r="M5" s="15">
        <v>1443</v>
      </c>
      <c r="N5" s="15">
        <v>1304</v>
      </c>
      <c r="O5" s="15">
        <v>1005</v>
      </c>
      <c r="P5" s="15">
        <v>847</v>
      </c>
      <c r="Q5" s="15">
        <v>802</v>
      </c>
      <c r="R5" s="15">
        <v>733</v>
      </c>
      <c r="S5" s="15">
        <v>512</v>
      </c>
      <c r="T5" s="15">
        <v>642</v>
      </c>
      <c r="U5" s="16">
        <f t="shared" ref="U5:U17" si="0">SUM(C5:T5)</f>
        <v>17595</v>
      </c>
    </row>
    <row r="6" spans="1:21">
      <c r="A6" s="12">
        <v>2003</v>
      </c>
      <c r="B6" s="4"/>
      <c r="C6" s="15">
        <v>751</v>
      </c>
      <c r="D6" s="15">
        <v>907</v>
      </c>
      <c r="E6" s="15">
        <v>1144</v>
      </c>
      <c r="F6" s="15">
        <v>1106</v>
      </c>
      <c r="G6" s="15">
        <v>659</v>
      </c>
      <c r="H6" s="15">
        <v>676</v>
      </c>
      <c r="I6" s="15">
        <v>940</v>
      </c>
      <c r="J6" s="15">
        <v>1147</v>
      </c>
      <c r="K6" s="15">
        <v>1391</v>
      </c>
      <c r="L6" s="15">
        <v>1440</v>
      </c>
      <c r="M6" s="15">
        <v>1444</v>
      </c>
      <c r="N6" s="15">
        <v>1361</v>
      </c>
      <c r="O6" s="15">
        <v>1104</v>
      </c>
      <c r="P6" s="15">
        <v>848</v>
      </c>
      <c r="Q6" s="15">
        <v>813</v>
      </c>
      <c r="R6" s="15">
        <v>736</v>
      </c>
      <c r="S6" s="15">
        <v>532</v>
      </c>
      <c r="T6" s="15">
        <v>646</v>
      </c>
      <c r="U6" s="16">
        <f t="shared" si="0"/>
        <v>17645</v>
      </c>
    </row>
    <row r="7" spans="1:21">
      <c r="A7" s="12">
        <v>2004</v>
      </c>
      <c r="B7" s="4"/>
      <c r="C7" s="15">
        <v>733</v>
      </c>
      <c r="D7" s="15">
        <v>896</v>
      </c>
      <c r="E7" s="15">
        <v>1103</v>
      </c>
      <c r="F7" s="15">
        <v>1089</v>
      </c>
      <c r="G7" s="15">
        <v>698</v>
      </c>
      <c r="H7" s="15">
        <v>690</v>
      </c>
      <c r="I7" s="15">
        <v>955</v>
      </c>
      <c r="J7" s="15">
        <v>1073</v>
      </c>
      <c r="K7" s="15">
        <v>1377</v>
      </c>
      <c r="L7" s="15">
        <v>1496</v>
      </c>
      <c r="M7" s="15">
        <v>1488</v>
      </c>
      <c r="N7" s="15">
        <v>1365</v>
      </c>
      <c r="O7" s="15">
        <v>1219</v>
      </c>
      <c r="P7" s="15">
        <v>882</v>
      </c>
      <c r="Q7" s="15">
        <v>822</v>
      </c>
      <c r="R7" s="15">
        <v>734</v>
      </c>
      <c r="S7" s="15">
        <v>550</v>
      </c>
      <c r="T7" s="15">
        <v>643</v>
      </c>
      <c r="U7" s="16">
        <f t="shared" si="0"/>
        <v>17813</v>
      </c>
    </row>
    <row r="8" spans="1:21">
      <c r="A8" s="12">
        <v>2005</v>
      </c>
      <c r="B8" s="4"/>
      <c r="C8" s="15">
        <v>731</v>
      </c>
      <c r="D8" s="15">
        <v>883</v>
      </c>
      <c r="E8" s="15">
        <v>1045</v>
      </c>
      <c r="F8" s="15">
        <v>1074</v>
      </c>
      <c r="G8" s="15">
        <v>735</v>
      </c>
      <c r="H8" s="15">
        <v>692</v>
      </c>
      <c r="I8" s="15">
        <v>902</v>
      </c>
      <c r="J8" s="15">
        <v>1054</v>
      </c>
      <c r="K8" s="15">
        <v>1284</v>
      </c>
      <c r="L8" s="15">
        <v>1503</v>
      </c>
      <c r="M8" s="15">
        <v>1526</v>
      </c>
      <c r="N8" s="15">
        <v>1393</v>
      </c>
      <c r="O8" s="15">
        <v>1311</v>
      </c>
      <c r="P8" s="15">
        <v>891</v>
      </c>
      <c r="Q8" s="15">
        <v>810</v>
      </c>
      <c r="R8" s="15">
        <v>721</v>
      </c>
      <c r="S8" s="15">
        <v>552</v>
      </c>
      <c r="T8" s="15">
        <v>657</v>
      </c>
      <c r="U8" s="16">
        <f t="shared" si="0"/>
        <v>17764</v>
      </c>
    </row>
    <row r="9" spans="1:21">
      <c r="A9" s="12">
        <v>2006</v>
      </c>
      <c r="B9" s="4"/>
      <c r="C9" s="15">
        <v>763</v>
      </c>
      <c r="D9" s="15">
        <v>863</v>
      </c>
      <c r="E9" s="15">
        <v>1024</v>
      </c>
      <c r="F9" s="15">
        <v>1013</v>
      </c>
      <c r="G9" s="15">
        <v>751</v>
      </c>
      <c r="H9" s="15">
        <v>657</v>
      </c>
      <c r="I9" s="15">
        <v>917</v>
      </c>
      <c r="J9" s="15">
        <v>1072</v>
      </c>
      <c r="K9" s="15">
        <v>1264</v>
      </c>
      <c r="L9" s="15">
        <v>1474</v>
      </c>
      <c r="M9" s="15">
        <v>1523</v>
      </c>
      <c r="N9" s="15">
        <v>1446</v>
      </c>
      <c r="O9" s="15">
        <v>1340</v>
      </c>
      <c r="P9" s="15">
        <v>958</v>
      </c>
      <c r="Q9" s="15">
        <v>768</v>
      </c>
      <c r="R9" s="15">
        <v>740</v>
      </c>
      <c r="S9" s="15">
        <v>559</v>
      </c>
      <c r="T9" s="15">
        <v>681</v>
      </c>
      <c r="U9" s="16">
        <f t="shared" si="0"/>
        <v>17813</v>
      </c>
    </row>
    <row r="10" spans="1:21">
      <c r="A10" s="12">
        <v>2007</v>
      </c>
      <c r="B10" s="4"/>
      <c r="C10" s="15">
        <v>811</v>
      </c>
      <c r="D10" s="15">
        <v>826</v>
      </c>
      <c r="E10" s="15">
        <v>946</v>
      </c>
      <c r="F10" s="15">
        <v>992</v>
      </c>
      <c r="G10" s="15">
        <v>740</v>
      </c>
      <c r="H10" s="15">
        <v>693</v>
      </c>
      <c r="I10" s="15">
        <v>877</v>
      </c>
      <c r="J10" s="15">
        <v>1059</v>
      </c>
      <c r="K10" s="15">
        <v>1202</v>
      </c>
      <c r="L10" s="15">
        <v>1480</v>
      </c>
      <c r="M10" s="15">
        <v>1518</v>
      </c>
      <c r="N10" s="15">
        <v>1471</v>
      </c>
      <c r="O10" s="15">
        <v>1433</v>
      </c>
      <c r="P10" s="15">
        <v>1027</v>
      </c>
      <c r="Q10" s="15">
        <v>784</v>
      </c>
      <c r="R10" s="15">
        <v>688</v>
      </c>
      <c r="S10" s="15">
        <v>587</v>
      </c>
      <c r="T10" s="15">
        <v>665</v>
      </c>
      <c r="U10" s="16">
        <f t="shared" si="0"/>
        <v>17799</v>
      </c>
    </row>
    <row r="11" spans="1:21">
      <c r="A11" s="12">
        <v>2008</v>
      </c>
      <c r="B11" s="4"/>
      <c r="C11" s="15">
        <v>796</v>
      </c>
      <c r="D11" s="15">
        <v>774</v>
      </c>
      <c r="E11" s="15">
        <v>947</v>
      </c>
      <c r="F11" s="15">
        <v>946</v>
      </c>
      <c r="G11" s="15">
        <v>719</v>
      </c>
      <c r="H11" s="15">
        <v>710</v>
      </c>
      <c r="I11" s="15">
        <v>845</v>
      </c>
      <c r="J11" s="15">
        <v>1031</v>
      </c>
      <c r="K11" s="15">
        <v>1159</v>
      </c>
      <c r="L11" s="15">
        <v>1435</v>
      </c>
      <c r="M11" s="15">
        <v>1541</v>
      </c>
      <c r="N11" s="15">
        <v>1506</v>
      </c>
      <c r="O11" s="15">
        <v>1491</v>
      </c>
      <c r="P11" s="15">
        <v>1085</v>
      </c>
      <c r="Q11" s="15">
        <v>781</v>
      </c>
      <c r="R11" s="15">
        <v>710</v>
      </c>
      <c r="S11" s="15">
        <v>577</v>
      </c>
      <c r="T11" s="15">
        <v>691</v>
      </c>
      <c r="U11" s="16">
        <f t="shared" si="0"/>
        <v>17744</v>
      </c>
    </row>
    <row r="12" spans="1:21">
      <c r="A12" s="12">
        <v>2009</v>
      </c>
      <c r="B12" s="4"/>
      <c r="C12" s="15">
        <v>810</v>
      </c>
      <c r="D12" s="15">
        <v>764</v>
      </c>
      <c r="E12" s="15">
        <v>924</v>
      </c>
      <c r="F12" s="15">
        <v>913</v>
      </c>
      <c r="G12" s="15">
        <v>706</v>
      </c>
      <c r="H12" s="15">
        <v>736</v>
      </c>
      <c r="I12" s="15">
        <v>815</v>
      </c>
      <c r="J12" s="15">
        <v>1023</v>
      </c>
      <c r="K12" s="15">
        <v>1076</v>
      </c>
      <c r="L12" s="15">
        <v>1367</v>
      </c>
      <c r="M12" s="15">
        <v>1557</v>
      </c>
      <c r="N12" s="15">
        <v>1529</v>
      </c>
      <c r="O12" s="15">
        <v>1495</v>
      </c>
      <c r="P12" s="15">
        <v>1193</v>
      </c>
      <c r="Q12" s="15">
        <v>812</v>
      </c>
      <c r="R12" s="15">
        <v>712</v>
      </c>
      <c r="S12" s="15">
        <v>567</v>
      </c>
      <c r="T12" s="15">
        <v>673</v>
      </c>
      <c r="U12" s="16">
        <f t="shared" si="0"/>
        <v>17672</v>
      </c>
    </row>
    <row r="13" spans="1:21">
      <c r="A13" s="12">
        <v>2010</v>
      </c>
      <c r="B13" s="4"/>
      <c r="C13" s="15">
        <v>769</v>
      </c>
      <c r="D13" s="15">
        <v>753</v>
      </c>
      <c r="E13" s="15">
        <v>910</v>
      </c>
      <c r="F13" s="15">
        <v>847</v>
      </c>
      <c r="G13" s="15">
        <v>685</v>
      </c>
      <c r="H13" s="15">
        <v>738</v>
      </c>
      <c r="I13" s="15">
        <v>802</v>
      </c>
      <c r="J13" s="15">
        <v>953</v>
      </c>
      <c r="K13" s="15">
        <v>1067</v>
      </c>
      <c r="L13" s="15">
        <v>1299</v>
      </c>
      <c r="M13" s="15">
        <v>1552</v>
      </c>
      <c r="N13" s="15">
        <v>1553</v>
      </c>
      <c r="O13" s="15">
        <v>1538</v>
      </c>
      <c r="P13" s="15">
        <v>1275</v>
      </c>
      <c r="Q13" s="15">
        <v>829</v>
      </c>
      <c r="R13" s="15">
        <v>693</v>
      </c>
      <c r="S13" s="15">
        <v>571</v>
      </c>
      <c r="T13" s="15">
        <v>685</v>
      </c>
      <c r="U13" s="16">
        <f t="shared" si="0"/>
        <v>17519</v>
      </c>
    </row>
    <row r="14" spans="1:21">
      <c r="A14" s="23">
        <v>2015</v>
      </c>
      <c r="B14" s="4"/>
      <c r="C14" s="15">
        <v>662.54146535859184</v>
      </c>
      <c r="D14" s="15">
        <v>771.72977084063109</v>
      </c>
      <c r="E14" s="15">
        <v>733.68568372131688</v>
      </c>
      <c r="F14" s="15">
        <v>886.48704743242899</v>
      </c>
      <c r="G14" s="15">
        <v>697.93822258577234</v>
      </c>
      <c r="H14" s="15">
        <v>665.44676567324507</v>
      </c>
      <c r="I14" s="15">
        <v>687.86175086911203</v>
      </c>
      <c r="J14" s="15">
        <v>810.82904898929701</v>
      </c>
      <c r="K14" s="15">
        <v>886.32365770572665</v>
      </c>
      <c r="L14" s="15">
        <v>1040.5026783136893</v>
      </c>
      <c r="M14" s="15">
        <v>1261.2541060670387</v>
      </c>
      <c r="N14" s="15">
        <v>1474.7744760364326</v>
      </c>
      <c r="O14" s="15">
        <v>1529.3596393845637</v>
      </c>
      <c r="P14" s="15">
        <v>1529.6154176748607</v>
      </c>
      <c r="Q14" s="15">
        <v>1249.0583726930597</v>
      </c>
      <c r="R14" s="15">
        <v>756.45764395995798</v>
      </c>
      <c r="S14" s="15">
        <v>567.83989748564022</v>
      </c>
      <c r="T14" s="15">
        <v>704.04788495764137</v>
      </c>
      <c r="U14" s="16">
        <f t="shared" si="0"/>
        <v>16915.75352974901</v>
      </c>
    </row>
    <row r="15" spans="1:21">
      <c r="A15" s="23">
        <v>2020</v>
      </c>
      <c r="B15" s="4"/>
      <c r="C15" s="15">
        <v>627.93400400515884</v>
      </c>
      <c r="D15" s="15">
        <v>676.51682120850217</v>
      </c>
      <c r="E15" s="15">
        <v>753.03849311865224</v>
      </c>
      <c r="F15" s="15">
        <v>727.67492903878303</v>
      </c>
      <c r="G15" s="15">
        <v>731.32812984956297</v>
      </c>
      <c r="H15" s="15">
        <v>673.94891428626602</v>
      </c>
      <c r="I15" s="15">
        <v>630.23044555671493</v>
      </c>
      <c r="J15" s="15">
        <v>715.52487475470741</v>
      </c>
      <c r="K15" s="15">
        <v>759.73177895946549</v>
      </c>
      <c r="L15" s="15">
        <v>872.23684114988293</v>
      </c>
      <c r="M15" s="15">
        <v>1016.2578270213523</v>
      </c>
      <c r="N15" s="15">
        <v>1201.2562909319829</v>
      </c>
      <c r="O15" s="15">
        <v>1454.6580241391657</v>
      </c>
      <c r="P15" s="15">
        <v>1531.5310345170499</v>
      </c>
      <c r="Q15" s="15">
        <v>1492.6379415441763</v>
      </c>
      <c r="R15" s="15">
        <v>1130.6982404313699</v>
      </c>
      <c r="S15" s="15">
        <v>622.19810994374006</v>
      </c>
      <c r="T15" s="15">
        <v>713.05142882753444</v>
      </c>
      <c r="U15" s="16">
        <f t="shared" si="0"/>
        <v>16330.454129284066</v>
      </c>
    </row>
    <row r="16" spans="1:21">
      <c r="A16" s="23">
        <v>2025</v>
      </c>
      <c r="B16" s="4"/>
      <c r="C16" s="15">
        <v>607.79337921980834</v>
      </c>
      <c r="D16" s="15">
        <v>646.74765952450502</v>
      </c>
      <c r="E16" s="15">
        <v>668.34281628243866</v>
      </c>
      <c r="F16" s="15">
        <v>748.17414391352088</v>
      </c>
      <c r="G16" s="15">
        <v>611.21189310593661</v>
      </c>
      <c r="H16" s="15">
        <v>707.8264744599494</v>
      </c>
      <c r="I16" s="15">
        <v>635.54318449437721</v>
      </c>
      <c r="J16" s="15">
        <v>667.7513467406967</v>
      </c>
      <c r="K16" s="15">
        <v>674.81343217130086</v>
      </c>
      <c r="L16" s="15">
        <v>756.97721055733143</v>
      </c>
      <c r="M16" s="15">
        <v>858.31730866659223</v>
      </c>
      <c r="N16" s="15">
        <v>971.78151906782648</v>
      </c>
      <c r="O16" s="15">
        <v>1189.2169220864037</v>
      </c>
      <c r="P16" s="15">
        <v>1463.1301321752055</v>
      </c>
      <c r="Q16" s="15">
        <v>1505.1435956751427</v>
      </c>
      <c r="R16" s="15">
        <v>1347.9301679083103</v>
      </c>
      <c r="S16" s="15">
        <v>925.39861067078709</v>
      </c>
      <c r="T16" s="15">
        <v>754.40660965030008</v>
      </c>
      <c r="U16" s="16">
        <f t="shared" si="0"/>
        <v>15740.506406370432</v>
      </c>
    </row>
    <row r="17" spans="1:21">
      <c r="A17" s="23">
        <v>2030</v>
      </c>
      <c r="B17" s="4"/>
      <c r="C17" s="15">
        <v>588.73084080709816</v>
      </c>
      <c r="D17" s="15">
        <v>630.35326170752421</v>
      </c>
      <c r="E17" s="15">
        <v>642.84099853418479</v>
      </c>
      <c r="F17" s="15">
        <v>673.04327589962236</v>
      </c>
      <c r="G17" s="15">
        <v>629.57156431674525</v>
      </c>
      <c r="H17" s="15">
        <v>613.48778627207366</v>
      </c>
      <c r="I17" s="15">
        <v>668.56220320858733</v>
      </c>
      <c r="J17" s="15">
        <v>670.45646472604835</v>
      </c>
      <c r="K17" s="15">
        <v>632.36445710987766</v>
      </c>
      <c r="L17" s="15">
        <v>679.58869788808965</v>
      </c>
      <c r="M17" s="15">
        <v>752.32278272334759</v>
      </c>
      <c r="N17" s="15">
        <v>824.85384748807633</v>
      </c>
      <c r="O17" s="15">
        <v>968.05440055835493</v>
      </c>
      <c r="P17" s="15">
        <v>1207.9091049437918</v>
      </c>
      <c r="Q17" s="15">
        <v>1444.5343193642475</v>
      </c>
      <c r="R17" s="15">
        <v>1365.8610568351528</v>
      </c>
      <c r="S17" s="15">
        <v>1101.6175772815336</v>
      </c>
      <c r="T17" s="15">
        <v>964.3120937987851</v>
      </c>
      <c r="U17" s="16">
        <f t="shared" si="0"/>
        <v>15058.464733463141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831</v>
      </c>
      <c r="D20" s="15">
        <v>1064</v>
      </c>
      <c r="E20" s="15">
        <v>1266</v>
      </c>
      <c r="F20" s="15">
        <v>1158</v>
      </c>
      <c r="G20" s="15">
        <v>603</v>
      </c>
      <c r="H20" s="15">
        <v>708</v>
      </c>
      <c r="I20" s="15">
        <v>949</v>
      </c>
      <c r="J20" s="15">
        <v>1131</v>
      </c>
      <c r="K20" s="15">
        <v>1306</v>
      </c>
      <c r="L20" s="15">
        <v>1374</v>
      </c>
      <c r="M20" s="15">
        <v>1386</v>
      </c>
      <c r="N20" s="15">
        <v>1137</v>
      </c>
      <c r="O20" s="15">
        <v>907</v>
      </c>
      <c r="P20" s="15">
        <v>839</v>
      </c>
      <c r="Q20" s="15">
        <v>738</v>
      </c>
      <c r="R20" s="15">
        <v>553</v>
      </c>
      <c r="S20" s="15">
        <v>371</v>
      </c>
      <c r="T20" s="15">
        <v>224</v>
      </c>
      <c r="U20" s="16">
        <f>SUM(C20:T20)</f>
        <v>16545</v>
      </c>
    </row>
    <row r="21" spans="1:21">
      <c r="A21" s="12">
        <v>2002</v>
      </c>
      <c r="B21" s="4"/>
      <c r="C21" s="15">
        <v>845</v>
      </c>
      <c r="D21" s="15">
        <v>1028</v>
      </c>
      <c r="E21" s="15">
        <v>1213</v>
      </c>
      <c r="F21" s="15">
        <v>1178</v>
      </c>
      <c r="G21" s="15">
        <v>644</v>
      </c>
      <c r="H21" s="15">
        <v>675</v>
      </c>
      <c r="I21" s="15">
        <v>919</v>
      </c>
      <c r="J21" s="15">
        <v>1119</v>
      </c>
      <c r="K21" s="15">
        <v>1334</v>
      </c>
      <c r="L21" s="15">
        <v>1350</v>
      </c>
      <c r="M21" s="15">
        <v>1352</v>
      </c>
      <c r="N21" s="15">
        <v>1265</v>
      </c>
      <c r="O21" s="15">
        <v>931</v>
      </c>
      <c r="P21" s="15">
        <v>845</v>
      </c>
      <c r="Q21" s="15">
        <v>751</v>
      </c>
      <c r="R21" s="15">
        <v>553</v>
      </c>
      <c r="S21" s="15">
        <v>364</v>
      </c>
      <c r="T21" s="15">
        <v>245</v>
      </c>
      <c r="U21" s="16">
        <f t="shared" ref="U21:U33" si="1">SUM(C21:T21)</f>
        <v>16611</v>
      </c>
    </row>
    <row r="22" spans="1:21">
      <c r="A22" s="12">
        <v>2003</v>
      </c>
      <c r="B22" s="4"/>
      <c r="C22" s="15">
        <v>858</v>
      </c>
      <c r="D22" s="15">
        <v>1013</v>
      </c>
      <c r="E22" s="15">
        <v>1207</v>
      </c>
      <c r="F22" s="15">
        <v>1166</v>
      </c>
      <c r="G22" s="15">
        <v>714</v>
      </c>
      <c r="H22" s="15">
        <v>681</v>
      </c>
      <c r="I22" s="15">
        <v>924</v>
      </c>
      <c r="J22" s="15">
        <v>1040</v>
      </c>
      <c r="K22" s="15">
        <v>1367</v>
      </c>
      <c r="L22" s="15">
        <v>1366</v>
      </c>
      <c r="M22" s="15">
        <v>1320</v>
      </c>
      <c r="N22" s="15">
        <v>1341</v>
      </c>
      <c r="O22" s="15">
        <v>1025</v>
      </c>
      <c r="P22" s="15">
        <v>856</v>
      </c>
      <c r="Q22" s="15">
        <v>738</v>
      </c>
      <c r="R22" s="15">
        <v>580</v>
      </c>
      <c r="S22" s="15">
        <v>392</v>
      </c>
      <c r="T22" s="15">
        <v>262</v>
      </c>
      <c r="U22" s="16">
        <f t="shared" si="1"/>
        <v>16850</v>
      </c>
    </row>
    <row r="23" spans="1:21">
      <c r="A23" s="12">
        <v>2004</v>
      </c>
      <c r="B23" s="4"/>
      <c r="C23" s="15">
        <v>837</v>
      </c>
      <c r="D23" s="15">
        <v>1007</v>
      </c>
      <c r="E23" s="15">
        <v>1183</v>
      </c>
      <c r="F23" s="15">
        <v>1154</v>
      </c>
      <c r="G23" s="15">
        <v>785</v>
      </c>
      <c r="H23" s="15">
        <v>650</v>
      </c>
      <c r="I23" s="15">
        <v>920</v>
      </c>
      <c r="J23" s="15">
        <v>1001</v>
      </c>
      <c r="K23" s="15">
        <v>1352</v>
      </c>
      <c r="L23" s="15">
        <v>1369</v>
      </c>
      <c r="M23" s="15">
        <v>1338</v>
      </c>
      <c r="N23" s="15">
        <v>1418</v>
      </c>
      <c r="O23" s="15">
        <v>1124</v>
      </c>
      <c r="P23" s="15">
        <v>862</v>
      </c>
      <c r="Q23" s="15">
        <v>742</v>
      </c>
      <c r="R23" s="15">
        <v>586</v>
      </c>
      <c r="S23" s="15">
        <v>408</v>
      </c>
      <c r="T23" s="15">
        <v>278</v>
      </c>
      <c r="U23" s="16">
        <f t="shared" si="1"/>
        <v>17014</v>
      </c>
    </row>
    <row r="24" spans="1:21">
      <c r="A24" s="12">
        <v>2005</v>
      </c>
      <c r="B24" s="4"/>
      <c r="C24" s="15">
        <v>884</v>
      </c>
      <c r="D24" s="15">
        <v>980</v>
      </c>
      <c r="E24" s="15">
        <v>1162</v>
      </c>
      <c r="F24" s="15">
        <v>1143</v>
      </c>
      <c r="G24" s="15">
        <v>849</v>
      </c>
      <c r="H24" s="15">
        <v>676</v>
      </c>
      <c r="I24" s="15">
        <v>869</v>
      </c>
      <c r="J24" s="15">
        <v>1024</v>
      </c>
      <c r="K24" s="15">
        <v>1272</v>
      </c>
      <c r="L24" s="15">
        <v>1348</v>
      </c>
      <c r="M24" s="15">
        <v>1390</v>
      </c>
      <c r="N24" s="15">
        <v>1386</v>
      </c>
      <c r="O24" s="15">
        <v>1195</v>
      </c>
      <c r="P24" s="15">
        <v>886</v>
      </c>
      <c r="Q24" s="15">
        <v>750</v>
      </c>
      <c r="R24" s="15">
        <v>588</v>
      </c>
      <c r="S24" s="15">
        <v>405</v>
      </c>
      <c r="T24" s="15">
        <v>293</v>
      </c>
      <c r="U24" s="16">
        <f t="shared" si="1"/>
        <v>17100</v>
      </c>
    </row>
    <row r="25" spans="1:21">
      <c r="A25" s="12">
        <v>2006</v>
      </c>
      <c r="B25" s="4"/>
      <c r="C25" s="15">
        <v>881</v>
      </c>
      <c r="D25" s="15">
        <v>969</v>
      </c>
      <c r="E25" s="15">
        <v>1112</v>
      </c>
      <c r="F25" s="15">
        <v>1132</v>
      </c>
      <c r="G25" s="15">
        <v>804</v>
      </c>
      <c r="H25" s="15">
        <v>698</v>
      </c>
      <c r="I25" s="15">
        <v>815</v>
      </c>
      <c r="J25" s="15">
        <v>1045</v>
      </c>
      <c r="K25" s="15">
        <v>1229</v>
      </c>
      <c r="L25" s="15">
        <v>1350</v>
      </c>
      <c r="M25" s="15">
        <v>1399</v>
      </c>
      <c r="N25" s="15">
        <v>1442</v>
      </c>
      <c r="O25" s="15">
        <v>1228</v>
      </c>
      <c r="P25" s="15">
        <v>928</v>
      </c>
      <c r="Q25" s="15">
        <v>744</v>
      </c>
      <c r="R25" s="15">
        <v>604</v>
      </c>
      <c r="S25" s="15">
        <v>394</v>
      </c>
      <c r="T25" s="15">
        <v>317</v>
      </c>
      <c r="U25" s="16">
        <f t="shared" si="1"/>
        <v>17091</v>
      </c>
    </row>
    <row r="26" spans="1:21">
      <c r="A26" s="12">
        <v>2007</v>
      </c>
      <c r="B26" s="4"/>
      <c r="C26" s="15">
        <v>874</v>
      </c>
      <c r="D26" s="15">
        <v>938</v>
      </c>
      <c r="E26" s="15">
        <v>1085</v>
      </c>
      <c r="F26" s="15">
        <v>1133</v>
      </c>
      <c r="G26" s="15">
        <v>773</v>
      </c>
      <c r="H26" s="15">
        <v>705</v>
      </c>
      <c r="I26" s="15">
        <v>800</v>
      </c>
      <c r="J26" s="15">
        <v>1034</v>
      </c>
      <c r="K26" s="15">
        <v>1194</v>
      </c>
      <c r="L26" s="15">
        <v>1386</v>
      </c>
      <c r="M26" s="15">
        <v>1374</v>
      </c>
      <c r="N26" s="15">
        <v>1405</v>
      </c>
      <c r="O26" s="15">
        <v>1336</v>
      </c>
      <c r="P26" s="15">
        <v>950</v>
      </c>
      <c r="Q26" s="15">
        <v>750</v>
      </c>
      <c r="R26" s="15">
        <v>638</v>
      </c>
      <c r="S26" s="15">
        <v>412</v>
      </c>
      <c r="T26" s="15">
        <v>313</v>
      </c>
      <c r="U26" s="16">
        <f t="shared" si="1"/>
        <v>17100</v>
      </c>
    </row>
    <row r="27" spans="1:21">
      <c r="A27" s="12">
        <v>2008</v>
      </c>
      <c r="B27" s="4"/>
      <c r="C27" s="15">
        <v>870</v>
      </c>
      <c r="D27" s="15">
        <v>910</v>
      </c>
      <c r="E27" s="15">
        <v>1043</v>
      </c>
      <c r="F27" s="15">
        <v>1090</v>
      </c>
      <c r="G27" s="15">
        <v>769</v>
      </c>
      <c r="H27" s="15">
        <v>726</v>
      </c>
      <c r="I27" s="15">
        <v>783</v>
      </c>
      <c r="J27" s="15">
        <v>997</v>
      </c>
      <c r="K27" s="15">
        <v>1104</v>
      </c>
      <c r="L27" s="15">
        <v>1419</v>
      </c>
      <c r="M27" s="15">
        <v>1368</v>
      </c>
      <c r="N27" s="15">
        <v>1364</v>
      </c>
      <c r="O27" s="15">
        <v>1407</v>
      </c>
      <c r="P27" s="15">
        <v>1049</v>
      </c>
      <c r="Q27" s="15">
        <v>756</v>
      </c>
      <c r="R27" s="15">
        <v>619</v>
      </c>
      <c r="S27" s="15">
        <v>414</v>
      </c>
      <c r="T27" s="15">
        <v>336</v>
      </c>
      <c r="U27" s="16">
        <f t="shared" si="1"/>
        <v>17024</v>
      </c>
    </row>
    <row r="28" spans="1:21">
      <c r="A28" s="12">
        <v>2009</v>
      </c>
      <c r="B28" s="4"/>
      <c r="C28" s="15">
        <v>866</v>
      </c>
      <c r="D28" s="15">
        <v>910</v>
      </c>
      <c r="E28" s="15">
        <v>1014</v>
      </c>
      <c r="F28" s="15">
        <v>1093</v>
      </c>
      <c r="G28" s="15">
        <v>752</v>
      </c>
      <c r="H28" s="15">
        <v>732</v>
      </c>
      <c r="I28" s="15">
        <v>768</v>
      </c>
      <c r="J28" s="15">
        <v>981</v>
      </c>
      <c r="K28" s="15">
        <v>1034</v>
      </c>
      <c r="L28" s="15">
        <v>1370</v>
      </c>
      <c r="M28" s="15">
        <v>1379</v>
      </c>
      <c r="N28" s="15">
        <v>1365</v>
      </c>
      <c r="O28" s="15">
        <v>1423</v>
      </c>
      <c r="P28" s="15">
        <v>1119</v>
      </c>
      <c r="Q28" s="15">
        <v>760</v>
      </c>
      <c r="R28" s="15">
        <v>621</v>
      </c>
      <c r="S28" s="15">
        <v>435</v>
      </c>
      <c r="T28" s="15">
        <v>333</v>
      </c>
      <c r="U28" s="16">
        <f t="shared" si="1"/>
        <v>16955</v>
      </c>
    </row>
    <row r="29" spans="1:21">
      <c r="A29" s="12">
        <v>2010</v>
      </c>
      <c r="B29" s="4"/>
      <c r="C29" s="15">
        <v>824</v>
      </c>
      <c r="D29" s="15">
        <v>925</v>
      </c>
      <c r="E29" s="15">
        <v>994</v>
      </c>
      <c r="F29" s="15">
        <v>1032</v>
      </c>
      <c r="G29" s="15">
        <v>738</v>
      </c>
      <c r="H29" s="15">
        <v>749</v>
      </c>
      <c r="I29" s="15">
        <v>762</v>
      </c>
      <c r="J29" s="15">
        <v>938</v>
      </c>
      <c r="K29" s="15">
        <v>1030</v>
      </c>
      <c r="L29" s="15">
        <v>1290</v>
      </c>
      <c r="M29" s="15">
        <v>1349</v>
      </c>
      <c r="N29" s="15">
        <v>1409</v>
      </c>
      <c r="O29" s="15">
        <v>1437</v>
      </c>
      <c r="P29" s="15">
        <v>1174</v>
      </c>
      <c r="Q29" s="15">
        <v>771</v>
      </c>
      <c r="R29" s="15">
        <v>637</v>
      </c>
      <c r="S29" s="15">
        <v>444</v>
      </c>
      <c r="T29" s="15">
        <v>357</v>
      </c>
      <c r="U29" s="16">
        <f t="shared" si="1"/>
        <v>16860</v>
      </c>
    </row>
    <row r="30" spans="1:21">
      <c r="A30" s="23">
        <v>2015</v>
      </c>
      <c r="B30" s="4"/>
      <c r="C30" s="15">
        <v>728.50070816283926</v>
      </c>
      <c r="D30" s="15">
        <v>818.07407961989281</v>
      </c>
      <c r="E30" s="15">
        <v>901.06648579467947</v>
      </c>
      <c r="F30" s="15">
        <v>963.0981545030337</v>
      </c>
      <c r="G30" s="15">
        <v>872.49908066842465</v>
      </c>
      <c r="H30" s="15">
        <v>701.08318936974888</v>
      </c>
      <c r="I30" s="15">
        <v>690.7657569351926</v>
      </c>
      <c r="J30" s="15">
        <v>756.01446545205783</v>
      </c>
      <c r="K30" s="15">
        <v>865.72835373592068</v>
      </c>
      <c r="L30" s="15">
        <v>994.78307695216029</v>
      </c>
      <c r="M30" s="15">
        <v>1241.5449960741225</v>
      </c>
      <c r="N30" s="15">
        <v>1260.7772278075283</v>
      </c>
      <c r="O30" s="15">
        <v>1362.560262214482</v>
      </c>
      <c r="P30" s="15">
        <v>1386.8382133921421</v>
      </c>
      <c r="Q30" s="15">
        <v>1108.3931047385126</v>
      </c>
      <c r="R30" s="15">
        <v>675.33261246831955</v>
      </c>
      <c r="S30" s="15">
        <v>494.20357645098255</v>
      </c>
      <c r="T30" s="15">
        <v>405.49678129284257</v>
      </c>
      <c r="U30" s="16">
        <f t="shared" si="1"/>
        <v>16226.76012563288</v>
      </c>
    </row>
    <row r="31" spans="1:21">
      <c r="A31" s="23">
        <v>2020</v>
      </c>
      <c r="B31" s="4"/>
      <c r="C31" s="15">
        <v>690.44790479596065</v>
      </c>
      <c r="D31" s="15">
        <v>731.32268437717653</v>
      </c>
      <c r="E31" s="15">
        <v>803.28014114828534</v>
      </c>
      <c r="F31" s="15">
        <v>878.95269640755828</v>
      </c>
      <c r="G31" s="15">
        <v>818.90511239116756</v>
      </c>
      <c r="H31" s="15">
        <v>812.10281307698062</v>
      </c>
      <c r="I31" s="15">
        <v>652.30358656959083</v>
      </c>
      <c r="J31" s="15">
        <v>697.16591390865733</v>
      </c>
      <c r="K31" s="15">
        <v>703.31670989133193</v>
      </c>
      <c r="L31" s="15">
        <v>842.36886686446337</v>
      </c>
      <c r="M31" s="15">
        <v>963.15304068477963</v>
      </c>
      <c r="N31" s="15">
        <v>1160.7022646892224</v>
      </c>
      <c r="O31" s="15">
        <v>1222.8686178540336</v>
      </c>
      <c r="P31" s="15">
        <v>1327.0532556875582</v>
      </c>
      <c r="Q31" s="15">
        <v>1305.8628207208799</v>
      </c>
      <c r="R31" s="15">
        <v>966.41609001939059</v>
      </c>
      <c r="S31" s="15">
        <v>526.61130004902486</v>
      </c>
      <c r="T31" s="15">
        <v>454.35083247286138</v>
      </c>
      <c r="U31" s="16">
        <f t="shared" si="1"/>
        <v>15557.184651608924</v>
      </c>
    </row>
    <row r="32" spans="1:21">
      <c r="A32" s="23">
        <v>2025</v>
      </c>
      <c r="B32" s="4"/>
      <c r="C32" s="15">
        <v>668.30218232253242</v>
      </c>
      <c r="D32" s="15">
        <v>697.55408521772449</v>
      </c>
      <c r="E32" s="15">
        <v>723.91379268212552</v>
      </c>
      <c r="F32" s="15">
        <v>790.69965606307335</v>
      </c>
      <c r="G32" s="15">
        <v>752.40403304196275</v>
      </c>
      <c r="H32" s="15">
        <v>771.77215201480362</v>
      </c>
      <c r="I32" s="15">
        <v>743.28388179146236</v>
      </c>
      <c r="J32" s="15">
        <v>665.5631952640008</v>
      </c>
      <c r="K32" s="15">
        <v>651.22436143115112</v>
      </c>
      <c r="L32" s="15">
        <v>693.50286717960034</v>
      </c>
      <c r="M32" s="15">
        <v>820.68319265985974</v>
      </c>
      <c r="N32" s="15">
        <v>904.1501522067415</v>
      </c>
      <c r="O32" s="15">
        <v>1126.4485807744377</v>
      </c>
      <c r="P32" s="15">
        <v>1200.7939527107192</v>
      </c>
      <c r="Q32" s="15">
        <v>1261.9850434174152</v>
      </c>
      <c r="R32" s="15">
        <v>1136.7571908888128</v>
      </c>
      <c r="S32" s="15">
        <v>751.36637710414618</v>
      </c>
      <c r="T32" s="15">
        <v>496.47450208013913</v>
      </c>
      <c r="U32" s="16">
        <f t="shared" si="1"/>
        <v>14856.879198850707</v>
      </c>
    </row>
    <row r="33" spans="1:21">
      <c r="A33" s="23">
        <v>2030</v>
      </c>
      <c r="B33" s="4"/>
      <c r="C33" s="15">
        <v>647.34187499214579</v>
      </c>
      <c r="D33" s="15">
        <v>678.64067143902901</v>
      </c>
      <c r="E33" s="15">
        <v>693.67573043551192</v>
      </c>
      <c r="F33" s="15">
        <v>719.05059990880568</v>
      </c>
      <c r="G33" s="15">
        <v>682.88559596097389</v>
      </c>
      <c r="H33" s="15">
        <v>719.45452516208718</v>
      </c>
      <c r="I33" s="15">
        <v>713.52427490279831</v>
      </c>
      <c r="J33" s="15">
        <v>743.40447975265783</v>
      </c>
      <c r="K33" s="15">
        <v>623.31419132413396</v>
      </c>
      <c r="L33" s="15">
        <v>646.50895128188336</v>
      </c>
      <c r="M33" s="15">
        <v>683.04048514034776</v>
      </c>
      <c r="N33" s="15">
        <v>773.69360464973317</v>
      </c>
      <c r="O33" s="15">
        <v>883.28557815048805</v>
      </c>
      <c r="P33" s="15">
        <v>1108.1308409780906</v>
      </c>
      <c r="Q33" s="15">
        <v>1152.0367909598926</v>
      </c>
      <c r="R33" s="15">
        <v>1106.4760952643919</v>
      </c>
      <c r="S33" s="15">
        <v>883.01320108757386</v>
      </c>
      <c r="T33" s="15">
        <v>641.73450909473104</v>
      </c>
      <c r="U33" s="16">
        <f t="shared" si="1"/>
        <v>14099.212000485275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1609</v>
      </c>
      <c r="D36" s="15">
        <f t="shared" ref="D36:T36" si="2">D20+D4</f>
        <v>2019</v>
      </c>
      <c r="E36" s="15">
        <f t="shared" si="2"/>
        <v>2470</v>
      </c>
      <c r="F36" s="15">
        <f t="shared" si="2"/>
        <v>2214</v>
      </c>
      <c r="G36" s="15">
        <f t="shared" si="2"/>
        <v>1182</v>
      </c>
      <c r="H36" s="15">
        <f t="shared" si="2"/>
        <v>1439</v>
      </c>
      <c r="I36" s="15">
        <f t="shared" si="2"/>
        <v>1927</v>
      </c>
      <c r="J36" s="15">
        <f t="shared" si="2"/>
        <v>2336</v>
      </c>
      <c r="K36" s="15">
        <f t="shared" si="2"/>
        <v>2743</v>
      </c>
      <c r="L36" s="15">
        <f t="shared" si="2"/>
        <v>2812</v>
      </c>
      <c r="M36" s="15">
        <f t="shared" si="2"/>
        <v>2799</v>
      </c>
      <c r="N36" s="15">
        <f t="shared" si="2"/>
        <v>2352</v>
      </c>
      <c r="O36" s="15">
        <f t="shared" si="2"/>
        <v>1829</v>
      </c>
      <c r="P36" s="15">
        <f t="shared" si="2"/>
        <v>1685</v>
      </c>
      <c r="Q36" s="15">
        <f t="shared" si="2"/>
        <v>1567</v>
      </c>
      <c r="R36" s="15">
        <f t="shared" si="2"/>
        <v>1267</v>
      </c>
      <c r="S36" s="15">
        <f t="shared" si="2"/>
        <v>874</v>
      </c>
      <c r="T36" s="15">
        <f t="shared" si="2"/>
        <v>844</v>
      </c>
      <c r="U36" s="16">
        <f>SUM(C36:T36)</f>
        <v>33968</v>
      </c>
    </row>
    <row r="37" spans="1:21">
      <c r="A37" s="12">
        <v>2002</v>
      </c>
      <c r="B37" s="4"/>
      <c r="C37" s="15">
        <f t="shared" ref="C37:T49" si="3">C21+C5</f>
        <v>1622</v>
      </c>
      <c r="D37" s="15">
        <f t="shared" si="3"/>
        <v>1946</v>
      </c>
      <c r="E37" s="15">
        <f t="shared" si="3"/>
        <v>2410</v>
      </c>
      <c r="F37" s="15">
        <f t="shared" si="3"/>
        <v>2272</v>
      </c>
      <c r="G37" s="15">
        <f t="shared" si="3"/>
        <v>1262</v>
      </c>
      <c r="H37" s="15">
        <f t="shared" si="3"/>
        <v>1381</v>
      </c>
      <c r="I37" s="15">
        <f t="shared" si="3"/>
        <v>1893</v>
      </c>
      <c r="J37" s="15">
        <f t="shared" si="3"/>
        <v>2259</v>
      </c>
      <c r="K37" s="15">
        <f t="shared" si="3"/>
        <v>2785</v>
      </c>
      <c r="L37" s="15">
        <f t="shared" si="3"/>
        <v>2782</v>
      </c>
      <c r="M37" s="15">
        <f t="shared" si="3"/>
        <v>2795</v>
      </c>
      <c r="N37" s="15">
        <f t="shared" si="3"/>
        <v>2569</v>
      </c>
      <c r="O37" s="15">
        <f t="shared" si="3"/>
        <v>1936</v>
      </c>
      <c r="P37" s="15">
        <f t="shared" si="3"/>
        <v>1692</v>
      </c>
      <c r="Q37" s="15">
        <f t="shared" si="3"/>
        <v>1553</v>
      </c>
      <c r="R37" s="15">
        <f t="shared" si="3"/>
        <v>1286</v>
      </c>
      <c r="S37" s="15">
        <f t="shared" si="3"/>
        <v>876</v>
      </c>
      <c r="T37" s="15">
        <f t="shared" si="3"/>
        <v>887</v>
      </c>
      <c r="U37" s="16">
        <f t="shared" ref="U37:U49" si="4">SUM(C37:T37)</f>
        <v>34206</v>
      </c>
    </row>
    <row r="38" spans="1:21">
      <c r="A38" s="12">
        <v>2003</v>
      </c>
      <c r="B38" s="4"/>
      <c r="C38" s="15">
        <f t="shared" si="3"/>
        <v>1609</v>
      </c>
      <c r="D38" s="15">
        <f t="shared" si="3"/>
        <v>1920</v>
      </c>
      <c r="E38" s="15">
        <f t="shared" si="3"/>
        <v>2351</v>
      </c>
      <c r="F38" s="15">
        <f t="shared" si="3"/>
        <v>2272</v>
      </c>
      <c r="G38" s="15">
        <f t="shared" si="3"/>
        <v>1373</v>
      </c>
      <c r="H38" s="15">
        <f t="shared" si="3"/>
        <v>1357</v>
      </c>
      <c r="I38" s="15">
        <f t="shared" si="3"/>
        <v>1864</v>
      </c>
      <c r="J38" s="15">
        <f t="shared" si="3"/>
        <v>2187</v>
      </c>
      <c r="K38" s="15">
        <f t="shared" si="3"/>
        <v>2758</v>
      </c>
      <c r="L38" s="15">
        <f t="shared" si="3"/>
        <v>2806</v>
      </c>
      <c r="M38" s="15">
        <f t="shared" si="3"/>
        <v>2764</v>
      </c>
      <c r="N38" s="15">
        <f t="shared" si="3"/>
        <v>2702</v>
      </c>
      <c r="O38" s="15">
        <f t="shared" si="3"/>
        <v>2129</v>
      </c>
      <c r="P38" s="15">
        <f t="shared" si="3"/>
        <v>1704</v>
      </c>
      <c r="Q38" s="15">
        <f t="shared" si="3"/>
        <v>1551</v>
      </c>
      <c r="R38" s="15">
        <f t="shared" si="3"/>
        <v>1316</v>
      </c>
      <c r="S38" s="15">
        <f t="shared" si="3"/>
        <v>924</v>
      </c>
      <c r="T38" s="15">
        <f t="shared" si="3"/>
        <v>908</v>
      </c>
      <c r="U38" s="16">
        <f t="shared" si="4"/>
        <v>34495</v>
      </c>
    </row>
    <row r="39" spans="1:21">
      <c r="A39" s="12">
        <v>2004</v>
      </c>
      <c r="B39" s="4"/>
      <c r="C39" s="15">
        <f t="shared" si="3"/>
        <v>1570</v>
      </c>
      <c r="D39" s="15">
        <f t="shared" si="3"/>
        <v>1903</v>
      </c>
      <c r="E39" s="15">
        <f t="shared" si="3"/>
        <v>2286</v>
      </c>
      <c r="F39" s="15">
        <f t="shared" si="3"/>
        <v>2243</v>
      </c>
      <c r="G39" s="15">
        <f t="shared" si="3"/>
        <v>1483</v>
      </c>
      <c r="H39" s="15">
        <f t="shared" si="3"/>
        <v>1340</v>
      </c>
      <c r="I39" s="15">
        <f t="shared" si="3"/>
        <v>1875</v>
      </c>
      <c r="J39" s="15">
        <f t="shared" si="3"/>
        <v>2074</v>
      </c>
      <c r="K39" s="15">
        <f t="shared" si="3"/>
        <v>2729</v>
      </c>
      <c r="L39" s="15">
        <f t="shared" si="3"/>
        <v>2865</v>
      </c>
      <c r="M39" s="15">
        <f t="shared" si="3"/>
        <v>2826</v>
      </c>
      <c r="N39" s="15">
        <f t="shared" si="3"/>
        <v>2783</v>
      </c>
      <c r="O39" s="15">
        <f t="shared" si="3"/>
        <v>2343</v>
      </c>
      <c r="P39" s="15">
        <f t="shared" si="3"/>
        <v>1744</v>
      </c>
      <c r="Q39" s="15">
        <f t="shared" si="3"/>
        <v>1564</v>
      </c>
      <c r="R39" s="15">
        <f t="shared" si="3"/>
        <v>1320</v>
      </c>
      <c r="S39" s="15">
        <f t="shared" si="3"/>
        <v>958</v>
      </c>
      <c r="T39" s="15">
        <f t="shared" si="3"/>
        <v>921</v>
      </c>
      <c r="U39" s="16">
        <f t="shared" si="4"/>
        <v>34827</v>
      </c>
    </row>
    <row r="40" spans="1:21">
      <c r="A40" s="12">
        <v>2005</v>
      </c>
      <c r="B40" s="4"/>
      <c r="C40" s="15">
        <f t="shared" si="3"/>
        <v>1615</v>
      </c>
      <c r="D40" s="15">
        <f t="shared" si="3"/>
        <v>1863</v>
      </c>
      <c r="E40" s="15">
        <f t="shared" si="3"/>
        <v>2207</v>
      </c>
      <c r="F40" s="15">
        <f t="shared" si="3"/>
        <v>2217</v>
      </c>
      <c r="G40" s="15">
        <f t="shared" si="3"/>
        <v>1584</v>
      </c>
      <c r="H40" s="15">
        <f t="shared" si="3"/>
        <v>1368</v>
      </c>
      <c r="I40" s="15">
        <f t="shared" si="3"/>
        <v>1771</v>
      </c>
      <c r="J40" s="15">
        <f t="shared" si="3"/>
        <v>2078</v>
      </c>
      <c r="K40" s="15">
        <f t="shared" si="3"/>
        <v>2556</v>
      </c>
      <c r="L40" s="15">
        <f t="shared" si="3"/>
        <v>2851</v>
      </c>
      <c r="M40" s="15">
        <f t="shared" si="3"/>
        <v>2916</v>
      </c>
      <c r="N40" s="15">
        <f t="shared" si="3"/>
        <v>2779</v>
      </c>
      <c r="O40" s="15">
        <f t="shared" si="3"/>
        <v>2506</v>
      </c>
      <c r="P40" s="15">
        <f t="shared" si="3"/>
        <v>1777</v>
      </c>
      <c r="Q40" s="15">
        <f t="shared" si="3"/>
        <v>1560</v>
      </c>
      <c r="R40" s="15">
        <f t="shared" si="3"/>
        <v>1309</v>
      </c>
      <c r="S40" s="15">
        <f t="shared" si="3"/>
        <v>957</v>
      </c>
      <c r="T40" s="15">
        <f t="shared" si="3"/>
        <v>950</v>
      </c>
      <c r="U40" s="16">
        <f t="shared" si="4"/>
        <v>34864</v>
      </c>
    </row>
    <row r="41" spans="1:21">
      <c r="A41" s="12">
        <v>2006</v>
      </c>
      <c r="B41" s="4"/>
      <c r="C41" s="15">
        <f t="shared" si="3"/>
        <v>1644</v>
      </c>
      <c r="D41" s="15">
        <f t="shared" si="3"/>
        <v>1832</v>
      </c>
      <c r="E41" s="15">
        <f t="shared" si="3"/>
        <v>2136</v>
      </c>
      <c r="F41" s="15">
        <f t="shared" si="3"/>
        <v>2145</v>
      </c>
      <c r="G41" s="15">
        <f t="shared" si="3"/>
        <v>1555</v>
      </c>
      <c r="H41" s="15">
        <f t="shared" si="3"/>
        <v>1355</v>
      </c>
      <c r="I41" s="15">
        <f t="shared" si="3"/>
        <v>1732</v>
      </c>
      <c r="J41" s="15">
        <f t="shared" si="3"/>
        <v>2117</v>
      </c>
      <c r="K41" s="15">
        <f t="shared" si="3"/>
        <v>2493</v>
      </c>
      <c r="L41" s="15">
        <f t="shared" si="3"/>
        <v>2824</v>
      </c>
      <c r="M41" s="15">
        <f t="shared" si="3"/>
        <v>2922</v>
      </c>
      <c r="N41" s="15">
        <f t="shared" si="3"/>
        <v>2888</v>
      </c>
      <c r="O41" s="15">
        <f t="shared" si="3"/>
        <v>2568</v>
      </c>
      <c r="P41" s="15">
        <f t="shared" si="3"/>
        <v>1886</v>
      </c>
      <c r="Q41" s="15">
        <f t="shared" si="3"/>
        <v>1512</v>
      </c>
      <c r="R41" s="15">
        <f t="shared" si="3"/>
        <v>1344</v>
      </c>
      <c r="S41" s="15">
        <f t="shared" si="3"/>
        <v>953</v>
      </c>
      <c r="T41" s="15">
        <f t="shared" si="3"/>
        <v>998</v>
      </c>
      <c r="U41" s="16">
        <f t="shared" si="4"/>
        <v>34904</v>
      </c>
    </row>
    <row r="42" spans="1:21">
      <c r="A42" s="12">
        <v>2007</v>
      </c>
      <c r="B42" s="4"/>
      <c r="C42" s="15">
        <f t="shared" si="3"/>
        <v>1685</v>
      </c>
      <c r="D42" s="15">
        <f t="shared" si="3"/>
        <v>1764</v>
      </c>
      <c r="E42" s="15">
        <f t="shared" si="3"/>
        <v>2031</v>
      </c>
      <c r="F42" s="15">
        <f t="shared" si="3"/>
        <v>2125</v>
      </c>
      <c r="G42" s="15">
        <f t="shared" si="3"/>
        <v>1513</v>
      </c>
      <c r="H42" s="15">
        <f t="shared" si="3"/>
        <v>1398</v>
      </c>
      <c r="I42" s="15">
        <f t="shared" si="3"/>
        <v>1677</v>
      </c>
      <c r="J42" s="15">
        <f t="shared" si="3"/>
        <v>2093</v>
      </c>
      <c r="K42" s="15">
        <f t="shared" si="3"/>
        <v>2396</v>
      </c>
      <c r="L42" s="15">
        <f t="shared" si="3"/>
        <v>2866</v>
      </c>
      <c r="M42" s="15">
        <f t="shared" si="3"/>
        <v>2892</v>
      </c>
      <c r="N42" s="15">
        <f t="shared" si="3"/>
        <v>2876</v>
      </c>
      <c r="O42" s="15">
        <f t="shared" si="3"/>
        <v>2769</v>
      </c>
      <c r="P42" s="15">
        <f t="shared" si="3"/>
        <v>1977</v>
      </c>
      <c r="Q42" s="15">
        <f t="shared" si="3"/>
        <v>1534</v>
      </c>
      <c r="R42" s="15">
        <f t="shared" si="3"/>
        <v>1326</v>
      </c>
      <c r="S42" s="15">
        <f t="shared" si="3"/>
        <v>999</v>
      </c>
      <c r="T42" s="15">
        <f t="shared" si="3"/>
        <v>978</v>
      </c>
      <c r="U42" s="16">
        <f t="shared" si="4"/>
        <v>34899</v>
      </c>
    </row>
    <row r="43" spans="1:21">
      <c r="A43" s="12">
        <v>2008</v>
      </c>
      <c r="B43" s="4"/>
      <c r="C43" s="15">
        <f t="shared" si="3"/>
        <v>1666</v>
      </c>
      <c r="D43" s="15">
        <f t="shared" si="3"/>
        <v>1684</v>
      </c>
      <c r="E43" s="15">
        <f t="shared" si="3"/>
        <v>1990</v>
      </c>
      <c r="F43" s="15">
        <f t="shared" si="3"/>
        <v>2036</v>
      </c>
      <c r="G43" s="15">
        <f t="shared" si="3"/>
        <v>1488</v>
      </c>
      <c r="H43" s="15">
        <f t="shared" si="3"/>
        <v>1436</v>
      </c>
      <c r="I43" s="15">
        <f t="shared" si="3"/>
        <v>1628</v>
      </c>
      <c r="J43" s="15">
        <f t="shared" si="3"/>
        <v>2028</v>
      </c>
      <c r="K43" s="15">
        <f t="shared" si="3"/>
        <v>2263</v>
      </c>
      <c r="L43" s="15">
        <f t="shared" si="3"/>
        <v>2854</v>
      </c>
      <c r="M43" s="15">
        <f t="shared" si="3"/>
        <v>2909</v>
      </c>
      <c r="N43" s="15">
        <f t="shared" si="3"/>
        <v>2870</v>
      </c>
      <c r="O43" s="15">
        <f t="shared" si="3"/>
        <v>2898</v>
      </c>
      <c r="P43" s="15">
        <f t="shared" si="3"/>
        <v>2134</v>
      </c>
      <c r="Q43" s="15">
        <f t="shared" si="3"/>
        <v>1537</v>
      </c>
      <c r="R43" s="15">
        <f t="shared" si="3"/>
        <v>1329</v>
      </c>
      <c r="S43" s="15">
        <f t="shared" si="3"/>
        <v>991</v>
      </c>
      <c r="T43" s="15">
        <f t="shared" si="3"/>
        <v>1027</v>
      </c>
      <c r="U43" s="16">
        <f t="shared" si="4"/>
        <v>34768</v>
      </c>
    </row>
    <row r="44" spans="1:21">
      <c r="A44" s="12">
        <v>2009</v>
      </c>
      <c r="B44" s="4"/>
      <c r="C44" s="15">
        <f t="shared" si="3"/>
        <v>1676</v>
      </c>
      <c r="D44" s="15">
        <f t="shared" si="3"/>
        <v>1674</v>
      </c>
      <c r="E44" s="15">
        <f t="shared" si="3"/>
        <v>1938</v>
      </c>
      <c r="F44" s="15">
        <f t="shared" si="3"/>
        <v>2006</v>
      </c>
      <c r="G44" s="15">
        <f t="shared" si="3"/>
        <v>1458</v>
      </c>
      <c r="H44" s="15">
        <f t="shared" si="3"/>
        <v>1468</v>
      </c>
      <c r="I44" s="15">
        <f t="shared" si="3"/>
        <v>1583</v>
      </c>
      <c r="J44" s="15">
        <f t="shared" si="3"/>
        <v>2004</v>
      </c>
      <c r="K44" s="15">
        <f t="shared" si="3"/>
        <v>2110</v>
      </c>
      <c r="L44" s="15">
        <f t="shared" si="3"/>
        <v>2737</v>
      </c>
      <c r="M44" s="15">
        <f t="shared" si="3"/>
        <v>2936</v>
      </c>
      <c r="N44" s="15">
        <f t="shared" si="3"/>
        <v>2894</v>
      </c>
      <c r="O44" s="15">
        <f t="shared" si="3"/>
        <v>2918</v>
      </c>
      <c r="P44" s="15">
        <f t="shared" si="3"/>
        <v>2312</v>
      </c>
      <c r="Q44" s="15">
        <f t="shared" si="3"/>
        <v>1572</v>
      </c>
      <c r="R44" s="15">
        <f t="shared" si="3"/>
        <v>1333</v>
      </c>
      <c r="S44" s="15">
        <f t="shared" si="3"/>
        <v>1002</v>
      </c>
      <c r="T44" s="15">
        <f t="shared" si="3"/>
        <v>1006</v>
      </c>
      <c r="U44" s="16">
        <f t="shared" si="4"/>
        <v>34627</v>
      </c>
    </row>
    <row r="45" spans="1:21">
      <c r="A45" s="12">
        <v>2010</v>
      </c>
      <c r="B45" s="4"/>
      <c r="C45" s="15">
        <f t="shared" si="3"/>
        <v>1593</v>
      </c>
      <c r="D45" s="15">
        <f t="shared" si="3"/>
        <v>1678</v>
      </c>
      <c r="E45" s="15">
        <f t="shared" si="3"/>
        <v>1904</v>
      </c>
      <c r="F45" s="15">
        <f t="shared" si="3"/>
        <v>1879</v>
      </c>
      <c r="G45" s="15">
        <f t="shared" si="3"/>
        <v>1423</v>
      </c>
      <c r="H45" s="15">
        <f t="shared" si="3"/>
        <v>1487</v>
      </c>
      <c r="I45" s="15">
        <f t="shared" si="3"/>
        <v>1564</v>
      </c>
      <c r="J45" s="15">
        <f t="shared" si="3"/>
        <v>1891</v>
      </c>
      <c r="K45" s="15">
        <f t="shared" si="3"/>
        <v>2097</v>
      </c>
      <c r="L45" s="15">
        <f t="shared" si="3"/>
        <v>2589</v>
      </c>
      <c r="M45" s="15">
        <f t="shared" si="3"/>
        <v>2901</v>
      </c>
      <c r="N45" s="15">
        <f t="shared" si="3"/>
        <v>2962</v>
      </c>
      <c r="O45" s="15">
        <f t="shared" si="3"/>
        <v>2975</v>
      </c>
      <c r="P45" s="15">
        <f t="shared" si="3"/>
        <v>2449</v>
      </c>
      <c r="Q45" s="15">
        <f t="shared" si="3"/>
        <v>1600</v>
      </c>
      <c r="R45" s="15">
        <f t="shared" si="3"/>
        <v>1330</v>
      </c>
      <c r="S45" s="15">
        <f t="shared" si="3"/>
        <v>1015</v>
      </c>
      <c r="T45" s="15">
        <f t="shared" si="3"/>
        <v>1042</v>
      </c>
      <c r="U45" s="16">
        <f t="shared" si="4"/>
        <v>34379</v>
      </c>
    </row>
    <row r="46" spans="1:21">
      <c r="A46" s="23">
        <v>2015</v>
      </c>
      <c r="B46" s="4"/>
      <c r="C46" s="15">
        <f t="shared" si="3"/>
        <v>1391.0421735214311</v>
      </c>
      <c r="D46" s="15">
        <f t="shared" si="3"/>
        <v>1589.8038504605238</v>
      </c>
      <c r="E46" s="15">
        <f t="shared" si="3"/>
        <v>1634.7521695159962</v>
      </c>
      <c r="F46" s="15">
        <f t="shared" si="3"/>
        <v>1849.5852019354627</v>
      </c>
      <c r="G46" s="15">
        <f t="shared" si="3"/>
        <v>1570.4373032541971</v>
      </c>
      <c r="H46" s="15">
        <f t="shared" si="3"/>
        <v>1366.5299550429941</v>
      </c>
      <c r="I46" s="15">
        <f t="shared" si="3"/>
        <v>1378.6275078043045</v>
      </c>
      <c r="J46" s="15">
        <f t="shared" si="3"/>
        <v>1566.8435144413547</v>
      </c>
      <c r="K46" s="15">
        <f t="shared" si="3"/>
        <v>1752.0520114416472</v>
      </c>
      <c r="L46" s="15">
        <f t="shared" si="3"/>
        <v>2035.2857552658497</v>
      </c>
      <c r="M46" s="15">
        <f t="shared" si="3"/>
        <v>2502.7991021411613</v>
      </c>
      <c r="N46" s="15">
        <f t="shared" si="3"/>
        <v>2735.5517038439611</v>
      </c>
      <c r="O46" s="15">
        <f t="shared" si="3"/>
        <v>2891.9199015990457</v>
      </c>
      <c r="P46" s="15">
        <f t="shared" si="3"/>
        <v>2916.4536310670028</v>
      </c>
      <c r="Q46" s="15">
        <f t="shared" si="3"/>
        <v>2357.4514774315721</v>
      </c>
      <c r="R46" s="15">
        <f t="shared" si="3"/>
        <v>1431.7902564282776</v>
      </c>
      <c r="S46" s="15">
        <f t="shared" si="3"/>
        <v>1062.0434739366228</v>
      </c>
      <c r="T46" s="15">
        <f t="shared" si="3"/>
        <v>1109.5446662504839</v>
      </c>
      <c r="U46" s="16">
        <f t="shared" si="4"/>
        <v>33142.513655381881</v>
      </c>
    </row>
    <row r="47" spans="1:21">
      <c r="A47" s="23">
        <v>2020</v>
      </c>
      <c r="B47" s="4"/>
      <c r="C47" s="15">
        <f t="shared" si="3"/>
        <v>1318.3819088011196</v>
      </c>
      <c r="D47" s="15">
        <f t="shared" si="3"/>
        <v>1407.8395055856786</v>
      </c>
      <c r="E47" s="15">
        <f t="shared" si="3"/>
        <v>1556.3186342669376</v>
      </c>
      <c r="F47" s="15">
        <f t="shared" si="3"/>
        <v>1606.6276254463414</v>
      </c>
      <c r="G47" s="15">
        <f t="shared" si="3"/>
        <v>1550.2332422407305</v>
      </c>
      <c r="H47" s="15">
        <f t="shared" si="3"/>
        <v>1486.0517273632468</v>
      </c>
      <c r="I47" s="15">
        <f t="shared" si="3"/>
        <v>1282.5340321263056</v>
      </c>
      <c r="J47" s="15">
        <f t="shared" si="3"/>
        <v>1412.6907886633649</v>
      </c>
      <c r="K47" s="15">
        <f t="shared" si="3"/>
        <v>1463.0484888507974</v>
      </c>
      <c r="L47" s="15">
        <f t="shared" si="3"/>
        <v>1714.6057080143464</v>
      </c>
      <c r="M47" s="15">
        <f t="shared" si="3"/>
        <v>1979.410867706132</v>
      </c>
      <c r="N47" s="15">
        <f t="shared" si="3"/>
        <v>2361.9585556212051</v>
      </c>
      <c r="O47" s="15">
        <f t="shared" si="3"/>
        <v>2677.5266419931995</v>
      </c>
      <c r="P47" s="15">
        <f t="shared" si="3"/>
        <v>2858.5842902046079</v>
      </c>
      <c r="Q47" s="15">
        <f t="shared" si="3"/>
        <v>2798.5007622650564</v>
      </c>
      <c r="R47" s="15">
        <f t="shared" si="3"/>
        <v>2097.1143304507605</v>
      </c>
      <c r="S47" s="15">
        <f t="shared" si="3"/>
        <v>1148.8094099927648</v>
      </c>
      <c r="T47" s="15">
        <f t="shared" si="3"/>
        <v>1167.4022613003958</v>
      </c>
      <c r="U47" s="16">
        <f t="shared" si="4"/>
        <v>31887.638780892987</v>
      </c>
    </row>
    <row r="48" spans="1:21">
      <c r="A48" s="23">
        <v>2025</v>
      </c>
      <c r="B48" s="4"/>
      <c r="C48" s="15">
        <f t="shared" si="3"/>
        <v>1276.0955615423409</v>
      </c>
      <c r="D48" s="15">
        <f t="shared" si="3"/>
        <v>1344.3017447422294</v>
      </c>
      <c r="E48" s="15">
        <f t="shared" si="3"/>
        <v>1392.2566089645643</v>
      </c>
      <c r="F48" s="15">
        <f t="shared" si="3"/>
        <v>1538.8737999765942</v>
      </c>
      <c r="G48" s="15">
        <f t="shared" si="3"/>
        <v>1363.6159261478992</v>
      </c>
      <c r="H48" s="15">
        <f t="shared" si="3"/>
        <v>1479.598626474753</v>
      </c>
      <c r="I48" s="15">
        <f t="shared" si="3"/>
        <v>1378.8270662858395</v>
      </c>
      <c r="J48" s="15">
        <f t="shared" si="3"/>
        <v>1333.3145420046976</v>
      </c>
      <c r="K48" s="15">
        <f t="shared" si="3"/>
        <v>1326.037793602452</v>
      </c>
      <c r="L48" s="15">
        <f t="shared" si="3"/>
        <v>1450.4800777369319</v>
      </c>
      <c r="M48" s="15">
        <f t="shared" si="3"/>
        <v>1679.000501326452</v>
      </c>
      <c r="N48" s="15">
        <f t="shared" si="3"/>
        <v>1875.9316712745681</v>
      </c>
      <c r="O48" s="15">
        <f t="shared" si="3"/>
        <v>2315.6655028608411</v>
      </c>
      <c r="P48" s="15">
        <f t="shared" si="3"/>
        <v>2663.9240848859245</v>
      </c>
      <c r="Q48" s="15">
        <f t="shared" si="3"/>
        <v>2767.1286390925579</v>
      </c>
      <c r="R48" s="15">
        <f t="shared" si="3"/>
        <v>2484.6873587971231</v>
      </c>
      <c r="S48" s="15">
        <f t="shared" si="3"/>
        <v>1676.7649877749332</v>
      </c>
      <c r="T48" s="15">
        <f t="shared" si="3"/>
        <v>1250.8811117304392</v>
      </c>
      <c r="U48" s="16">
        <f t="shared" si="4"/>
        <v>30597.385605221145</v>
      </c>
    </row>
    <row r="49" spans="1:21" ht="15.75" thickBot="1">
      <c r="A49" s="24">
        <v>2030</v>
      </c>
      <c r="B49" s="20"/>
      <c r="C49" s="21">
        <f t="shared" si="3"/>
        <v>1236.072715799244</v>
      </c>
      <c r="D49" s="21">
        <f t="shared" si="3"/>
        <v>1308.9939331465532</v>
      </c>
      <c r="E49" s="21">
        <f t="shared" si="3"/>
        <v>1336.5167289696967</v>
      </c>
      <c r="F49" s="21">
        <f t="shared" si="3"/>
        <v>1392.093875808428</v>
      </c>
      <c r="G49" s="21">
        <f t="shared" si="3"/>
        <v>1312.4571602777191</v>
      </c>
      <c r="H49" s="21">
        <f t="shared" si="3"/>
        <v>1332.9423114341607</v>
      </c>
      <c r="I49" s="21">
        <f t="shared" si="3"/>
        <v>1382.0864781113855</v>
      </c>
      <c r="J49" s="21">
        <f t="shared" si="3"/>
        <v>1413.8609444787062</v>
      </c>
      <c r="K49" s="21">
        <f t="shared" si="3"/>
        <v>1255.6786484340116</v>
      </c>
      <c r="L49" s="21">
        <f t="shared" si="3"/>
        <v>1326.097649169973</v>
      </c>
      <c r="M49" s="21">
        <f t="shared" si="3"/>
        <v>1435.3632678636955</v>
      </c>
      <c r="N49" s="21">
        <f t="shared" si="3"/>
        <v>1598.5474521378096</v>
      </c>
      <c r="O49" s="21">
        <f t="shared" si="3"/>
        <v>1851.3399787088429</v>
      </c>
      <c r="P49" s="21">
        <f t="shared" si="3"/>
        <v>2316.0399459218825</v>
      </c>
      <c r="Q49" s="21">
        <f t="shared" si="3"/>
        <v>2596.5711103241401</v>
      </c>
      <c r="R49" s="21">
        <f t="shared" si="3"/>
        <v>2472.3371520995447</v>
      </c>
      <c r="S49" s="21">
        <f t="shared" si="3"/>
        <v>1984.6307783691075</v>
      </c>
      <c r="T49" s="21">
        <f t="shared" si="3"/>
        <v>1606.0466028935161</v>
      </c>
      <c r="U49" s="22">
        <f t="shared" si="4"/>
        <v>29157.676733948418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17</v>
      </c>
      <c r="B1" s="8" t="s">
        <v>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1417</v>
      </c>
      <c r="D4" s="15">
        <v>1731</v>
      </c>
      <c r="E4" s="15">
        <v>2055</v>
      </c>
      <c r="F4" s="15">
        <v>1920</v>
      </c>
      <c r="G4" s="15">
        <v>1196</v>
      </c>
      <c r="H4" s="15">
        <v>1274</v>
      </c>
      <c r="I4" s="15">
        <v>1697</v>
      </c>
      <c r="J4" s="15">
        <v>2132</v>
      </c>
      <c r="K4" s="15">
        <v>2528</v>
      </c>
      <c r="L4" s="15">
        <v>2278</v>
      </c>
      <c r="M4" s="15">
        <v>2005</v>
      </c>
      <c r="N4" s="15">
        <v>1541</v>
      </c>
      <c r="O4" s="15">
        <v>1373</v>
      </c>
      <c r="P4" s="15">
        <v>1297</v>
      </c>
      <c r="Q4" s="15">
        <v>1154</v>
      </c>
      <c r="R4" s="15">
        <v>1071</v>
      </c>
      <c r="S4" s="15">
        <v>718</v>
      </c>
      <c r="T4" s="15">
        <v>751</v>
      </c>
      <c r="U4" s="16">
        <f>SUM(C4:T4)</f>
        <v>28138</v>
      </c>
    </row>
    <row r="5" spans="1:21">
      <c r="A5" s="12">
        <v>2002</v>
      </c>
      <c r="B5" s="4"/>
      <c r="C5" s="15">
        <v>1378</v>
      </c>
      <c r="D5" s="15">
        <v>1646</v>
      </c>
      <c r="E5" s="15">
        <v>2095</v>
      </c>
      <c r="F5" s="15">
        <v>1977</v>
      </c>
      <c r="G5" s="15">
        <v>1219</v>
      </c>
      <c r="H5" s="15">
        <v>1265</v>
      </c>
      <c r="I5" s="15">
        <v>1649</v>
      </c>
      <c r="J5" s="15">
        <v>2071</v>
      </c>
      <c r="K5" s="15">
        <v>2516</v>
      </c>
      <c r="L5" s="15">
        <v>2433</v>
      </c>
      <c r="M5" s="15">
        <v>2027</v>
      </c>
      <c r="N5" s="15">
        <v>1636</v>
      </c>
      <c r="O5" s="15">
        <v>1424</v>
      </c>
      <c r="P5" s="15">
        <v>1286</v>
      </c>
      <c r="Q5" s="15">
        <v>1170</v>
      </c>
      <c r="R5" s="15">
        <v>1095</v>
      </c>
      <c r="S5" s="15">
        <v>741</v>
      </c>
      <c r="T5" s="15">
        <v>743</v>
      </c>
      <c r="U5" s="16">
        <f t="shared" ref="U5:U17" si="0">SUM(C5:T5)</f>
        <v>28371</v>
      </c>
    </row>
    <row r="6" spans="1:21">
      <c r="A6" s="12">
        <v>2003</v>
      </c>
      <c r="B6" s="4"/>
      <c r="C6" s="15">
        <v>1365</v>
      </c>
      <c r="D6" s="15">
        <v>1624</v>
      </c>
      <c r="E6" s="15">
        <v>2072</v>
      </c>
      <c r="F6" s="15">
        <v>1974</v>
      </c>
      <c r="G6" s="15">
        <v>1278</v>
      </c>
      <c r="H6" s="15">
        <v>1300</v>
      </c>
      <c r="I6" s="15">
        <v>1564</v>
      </c>
      <c r="J6" s="15">
        <v>1988</v>
      </c>
      <c r="K6" s="15">
        <v>2504</v>
      </c>
      <c r="L6" s="15">
        <v>2531</v>
      </c>
      <c r="M6" s="15">
        <v>2107</v>
      </c>
      <c r="N6" s="15">
        <v>1726</v>
      </c>
      <c r="O6" s="15">
        <v>1479</v>
      </c>
      <c r="P6" s="15">
        <v>1284</v>
      </c>
      <c r="Q6" s="15">
        <v>1162</v>
      </c>
      <c r="R6" s="15">
        <v>1078</v>
      </c>
      <c r="S6" s="15">
        <v>761</v>
      </c>
      <c r="T6" s="15">
        <v>738</v>
      </c>
      <c r="U6" s="16">
        <f t="shared" si="0"/>
        <v>28535</v>
      </c>
    </row>
    <row r="7" spans="1:21">
      <c r="A7" s="12">
        <v>2004</v>
      </c>
      <c r="B7" s="4"/>
      <c r="C7" s="15">
        <v>1385</v>
      </c>
      <c r="D7" s="15">
        <v>1644</v>
      </c>
      <c r="E7" s="15">
        <v>2026</v>
      </c>
      <c r="F7" s="15">
        <v>2004</v>
      </c>
      <c r="G7" s="15">
        <v>1364</v>
      </c>
      <c r="H7" s="15">
        <v>1321</v>
      </c>
      <c r="I7" s="15">
        <v>1546</v>
      </c>
      <c r="J7" s="15">
        <v>1907</v>
      </c>
      <c r="K7" s="15">
        <v>2521</v>
      </c>
      <c r="L7" s="15">
        <v>2543</v>
      </c>
      <c r="M7" s="15">
        <v>2237</v>
      </c>
      <c r="N7" s="15">
        <v>1795</v>
      </c>
      <c r="O7" s="15">
        <v>1555</v>
      </c>
      <c r="P7" s="15">
        <v>1316</v>
      </c>
      <c r="Q7" s="15">
        <v>1139</v>
      </c>
      <c r="R7" s="15">
        <v>1019</v>
      </c>
      <c r="S7" s="15">
        <v>765</v>
      </c>
      <c r="T7" s="15">
        <v>709</v>
      </c>
      <c r="U7" s="16">
        <f t="shared" si="0"/>
        <v>28796</v>
      </c>
    </row>
    <row r="8" spans="1:21">
      <c r="A8" s="12">
        <v>2005</v>
      </c>
      <c r="B8" s="4"/>
      <c r="C8" s="15">
        <v>1401</v>
      </c>
      <c r="D8" s="15">
        <v>1649</v>
      </c>
      <c r="E8" s="15">
        <v>1968</v>
      </c>
      <c r="F8" s="15">
        <v>1979</v>
      </c>
      <c r="G8" s="15">
        <v>1410</v>
      </c>
      <c r="H8" s="15">
        <v>1334</v>
      </c>
      <c r="I8" s="15">
        <v>1518</v>
      </c>
      <c r="J8" s="15">
        <v>1869</v>
      </c>
      <c r="K8" s="15">
        <v>2450</v>
      </c>
      <c r="L8" s="15">
        <v>2626</v>
      </c>
      <c r="M8" s="15">
        <v>2328</v>
      </c>
      <c r="N8" s="15">
        <v>1916</v>
      </c>
      <c r="O8" s="15">
        <v>1590</v>
      </c>
      <c r="P8" s="15">
        <v>1356</v>
      </c>
      <c r="Q8" s="15">
        <v>1133</v>
      </c>
      <c r="R8" s="15">
        <v>1043</v>
      </c>
      <c r="S8" s="15">
        <v>791</v>
      </c>
      <c r="T8" s="15">
        <v>717</v>
      </c>
      <c r="U8" s="16">
        <f t="shared" si="0"/>
        <v>29078</v>
      </c>
    </row>
    <row r="9" spans="1:21">
      <c r="A9" s="12">
        <v>2006</v>
      </c>
      <c r="B9" s="4"/>
      <c r="C9" s="15">
        <v>1436</v>
      </c>
      <c r="D9" s="15">
        <v>1599</v>
      </c>
      <c r="E9" s="15">
        <v>1920</v>
      </c>
      <c r="F9" s="15">
        <v>1994</v>
      </c>
      <c r="G9" s="15">
        <v>1391</v>
      </c>
      <c r="H9" s="15">
        <v>1372</v>
      </c>
      <c r="I9" s="15">
        <v>1455</v>
      </c>
      <c r="J9" s="15">
        <v>1910</v>
      </c>
      <c r="K9" s="15">
        <v>2323</v>
      </c>
      <c r="L9" s="15">
        <v>2606</v>
      </c>
      <c r="M9" s="15">
        <v>2426</v>
      </c>
      <c r="N9" s="15">
        <v>2093</v>
      </c>
      <c r="O9" s="15">
        <v>1599</v>
      </c>
      <c r="P9" s="15">
        <v>1345</v>
      </c>
      <c r="Q9" s="15">
        <v>1139</v>
      </c>
      <c r="R9" s="15">
        <v>1053</v>
      </c>
      <c r="S9" s="15">
        <v>781</v>
      </c>
      <c r="T9" s="15">
        <v>737</v>
      </c>
      <c r="U9" s="16">
        <f t="shared" si="0"/>
        <v>29179</v>
      </c>
    </row>
    <row r="10" spans="1:21">
      <c r="A10" s="12">
        <v>2007</v>
      </c>
      <c r="B10" s="4"/>
      <c r="C10" s="15">
        <v>1521</v>
      </c>
      <c r="D10" s="15">
        <v>1591</v>
      </c>
      <c r="E10" s="15">
        <v>1823</v>
      </c>
      <c r="F10" s="15">
        <v>1992</v>
      </c>
      <c r="G10" s="15">
        <v>1382</v>
      </c>
      <c r="H10" s="15">
        <v>1426</v>
      </c>
      <c r="I10" s="15">
        <v>1460</v>
      </c>
      <c r="J10" s="15">
        <v>1838</v>
      </c>
      <c r="K10" s="15">
        <v>2260</v>
      </c>
      <c r="L10" s="15">
        <v>2600</v>
      </c>
      <c r="M10" s="15">
        <v>2532</v>
      </c>
      <c r="N10" s="15">
        <v>2130</v>
      </c>
      <c r="O10" s="15">
        <v>1684</v>
      </c>
      <c r="P10" s="15">
        <v>1394</v>
      </c>
      <c r="Q10" s="15">
        <v>1131</v>
      </c>
      <c r="R10" s="15">
        <v>1062</v>
      </c>
      <c r="S10" s="15">
        <v>790</v>
      </c>
      <c r="T10" s="15">
        <v>742</v>
      </c>
      <c r="U10" s="16">
        <f t="shared" si="0"/>
        <v>29358</v>
      </c>
    </row>
    <row r="11" spans="1:21">
      <c r="A11" s="12">
        <v>2008</v>
      </c>
      <c r="B11" s="4"/>
      <c r="C11" s="15">
        <v>1511</v>
      </c>
      <c r="D11" s="15">
        <v>1556</v>
      </c>
      <c r="E11" s="15">
        <v>1795</v>
      </c>
      <c r="F11" s="15">
        <v>1965</v>
      </c>
      <c r="G11" s="15">
        <v>1372</v>
      </c>
      <c r="H11" s="15">
        <v>1463</v>
      </c>
      <c r="I11" s="15">
        <v>1447</v>
      </c>
      <c r="J11" s="15">
        <v>1780</v>
      </c>
      <c r="K11" s="15">
        <v>2148</v>
      </c>
      <c r="L11" s="15">
        <v>2563</v>
      </c>
      <c r="M11" s="15">
        <v>2622</v>
      </c>
      <c r="N11" s="15">
        <v>2160</v>
      </c>
      <c r="O11" s="15">
        <v>1781</v>
      </c>
      <c r="P11" s="15">
        <v>1403</v>
      </c>
      <c r="Q11" s="15">
        <v>1152</v>
      </c>
      <c r="R11" s="15">
        <v>1038</v>
      </c>
      <c r="S11" s="15">
        <v>789</v>
      </c>
      <c r="T11" s="15">
        <v>783</v>
      </c>
      <c r="U11" s="16">
        <f t="shared" si="0"/>
        <v>29328</v>
      </c>
    </row>
    <row r="12" spans="1:21">
      <c r="A12" s="12">
        <v>2009</v>
      </c>
      <c r="B12" s="4"/>
      <c r="C12" s="15">
        <v>1467</v>
      </c>
      <c r="D12" s="15">
        <v>1512</v>
      </c>
      <c r="E12" s="15">
        <v>1791</v>
      </c>
      <c r="F12" s="15">
        <v>1890</v>
      </c>
      <c r="G12" s="15">
        <v>1316</v>
      </c>
      <c r="H12" s="15">
        <v>1452</v>
      </c>
      <c r="I12" s="15">
        <v>1466</v>
      </c>
      <c r="J12" s="15">
        <v>1739</v>
      </c>
      <c r="K12" s="15">
        <v>2008</v>
      </c>
      <c r="L12" s="15">
        <v>2524</v>
      </c>
      <c r="M12" s="15">
        <v>2627</v>
      </c>
      <c r="N12" s="15">
        <v>2270</v>
      </c>
      <c r="O12" s="15">
        <v>1828</v>
      </c>
      <c r="P12" s="15">
        <v>1496</v>
      </c>
      <c r="Q12" s="15">
        <v>1191</v>
      </c>
      <c r="R12" s="15">
        <v>1016</v>
      </c>
      <c r="S12" s="15">
        <v>770</v>
      </c>
      <c r="T12" s="15">
        <v>827</v>
      </c>
      <c r="U12" s="16">
        <f t="shared" si="0"/>
        <v>29190</v>
      </c>
    </row>
    <row r="13" spans="1:21">
      <c r="A13" s="12">
        <v>2010</v>
      </c>
      <c r="B13" s="4"/>
      <c r="C13" s="15">
        <v>1404</v>
      </c>
      <c r="D13" s="15">
        <v>1511</v>
      </c>
      <c r="E13" s="15">
        <v>1760</v>
      </c>
      <c r="F13" s="15">
        <v>1838</v>
      </c>
      <c r="G13" s="15">
        <v>1300</v>
      </c>
      <c r="H13" s="15">
        <v>1459</v>
      </c>
      <c r="I13" s="15">
        <v>1490</v>
      </c>
      <c r="J13" s="15">
        <v>1638</v>
      </c>
      <c r="K13" s="15">
        <v>1971</v>
      </c>
      <c r="L13" s="15">
        <v>2451</v>
      </c>
      <c r="M13" s="15">
        <v>2660</v>
      </c>
      <c r="N13" s="15">
        <v>2304</v>
      </c>
      <c r="O13" s="15">
        <v>1929</v>
      </c>
      <c r="P13" s="15">
        <v>1530</v>
      </c>
      <c r="Q13" s="15">
        <v>1194</v>
      </c>
      <c r="R13" s="15">
        <v>1015</v>
      </c>
      <c r="S13" s="15">
        <v>790</v>
      </c>
      <c r="T13" s="15">
        <v>848</v>
      </c>
      <c r="U13" s="16">
        <f t="shared" si="0"/>
        <v>29092</v>
      </c>
    </row>
    <row r="14" spans="1:21">
      <c r="A14" s="23">
        <v>2015</v>
      </c>
      <c r="B14" s="4"/>
      <c r="C14" s="15">
        <v>1370.1792523897423</v>
      </c>
      <c r="D14" s="15">
        <v>1447.2971700934647</v>
      </c>
      <c r="E14" s="15">
        <v>1515.197754635507</v>
      </c>
      <c r="F14" s="15">
        <v>1760.0336406010122</v>
      </c>
      <c r="G14" s="15">
        <v>1682.4618173498861</v>
      </c>
      <c r="H14" s="15">
        <v>1244.4412967683734</v>
      </c>
      <c r="I14" s="15">
        <v>1608.1577073731116</v>
      </c>
      <c r="J14" s="15">
        <v>1573.3136207197979</v>
      </c>
      <c r="K14" s="15">
        <v>1670.2691701546532</v>
      </c>
      <c r="L14" s="15">
        <v>2009.3972223003564</v>
      </c>
      <c r="M14" s="15">
        <v>2435.4731019115793</v>
      </c>
      <c r="N14" s="15">
        <v>2641.8138666857358</v>
      </c>
      <c r="O14" s="15">
        <v>2226.7954692790686</v>
      </c>
      <c r="P14" s="15">
        <v>1845.2888857309365</v>
      </c>
      <c r="Q14" s="15">
        <v>1435.2245546982874</v>
      </c>
      <c r="R14" s="15">
        <v>1028.0642752694259</v>
      </c>
      <c r="S14" s="15">
        <v>792.22388618813852</v>
      </c>
      <c r="T14" s="15">
        <v>859.12816155138967</v>
      </c>
      <c r="U14" s="16">
        <f t="shared" si="0"/>
        <v>29144.760853700467</v>
      </c>
    </row>
    <row r="15" spans="1:21">
      <c r="A15" s="23">
        <v>2020</v>
      </c>
      <c r="B15" s="4"/>
      <c r="C15" s="15">
        <v>1405.1274219658842</v>
      </c>
      <c r="D15" s="15">
        <v>1421.8416157540903</v>
      </c>
      <c r="E15" s="15">
        <v>1455.6072953140388</v>
      </c>
      <c r="F15" s="15">
        <v>1524.9535398239882</v>
      </c>
      <c r="G15" s="15">
        <v>1617.3462244974664</v>
      </c>
      <c r="H15" s="15">
        <v>1548.4664841751019</v>
      </c>
      <c r="I15" s="15">
        <v>1418.0818483613605</v>
      </c>
      <c r="J15" s="15">
        <v>1693.3393499253455</v>
      </c>
      <c r="K15" s="15">
        <v>1613.5514993402141</v>
      </c>
      <c r="L15" s="15">
        <v>1729.4281143325761</v>
      </c>
      <c r="M15" s="15">
        <v>2009.442088311054</v>
      </c>
      <c r="N15" s="15">
        <v>2419.6399841757657</v>
      </c>
      <c r="O15" s="15">
        <v>2543.4915236089537</v>
      </c>
      <c r="P15" s="15">
        <v>2128.1548052578714</v>
      </c>
      <c r="Q15" s="15">
        <v>1727.6195785377215</v>
      </c>
      <c r="R15" s="15">
        <v>1237.2241176776849</v>
      </c>
      <c r="S15" s="15">
        <v>810.37573409062202</v>
      </c>
      <c r="T15" s="15">
        <v>868.21279245086953</v>
      </c>
      <c r="U15" s="16">
        <f t="shared" si="0"/>
        <v>29171.904017600609</v>
      </c>
    </row>
    <row r="16" spans="1:21">
      <c r="A16" s="23">
        <v>2025</v>
      </c>
      <c r="B16" s="4"/>
      <c r="C16" s="15">
        <v>1399.6314977346794</v>
      </c>
      <c r="D16" s="15">
        <v>1458.5204916877137</v>
      </c>
      <c r="E16" s="15">
        <v>1432.6968511882706</v>
      </c>
      <c r="F16" s="15">
        <v>1469.9289785009457</v>
      </c>
      <c r="G16" s="15">
        <v>1412.3245207441207</v>
      </c>
      <c r="H16" s="15">
        <v>1508.3862154576709</v>
      </c>
      <c r="I16" s="15">
        <v>1691.4062281955009</v>
      </c>
      <c r="J16" s="15">
        <v>1515.889962119242</v>
      </c>
      <c r="K16" s="15">
        <v>1734.3906354054648</v>
      </c>
      <c r="L16" s="15">
        <v>1688.4025878333789</v>
      </c>
      <c r="M16" s="15">
        <v>1742.9856338013683</v>
      </c>
      <c r="N16" s="15">
        <v>2007.2147490164673</v>
      </c>
      <c r="O16" s="15">
        <v>2330.5899545615825</v>
      </c>
      <c r="P16" s="15">
        <v>2424.3057599079862</v>
      </c>
      <c r="Q16" s="15">
        <v>1990.480944884207</v>
      </c>
      <c r="R16" s="15">
        <v>1487.766608738033</v>
      </c>
      <c r="S16" s="15">
        <v>979.68498094357642</v>
      </c>
      <c r="T16" s="15">
        <v>890.68302499488993</v>
      </c>
      <c r="U16" s="16">
        <f t="shared" si="0"/>
        <v>29165.289625715104</v>
      </c>
    </row>
    <row r="17" spans="1:21">
      <c r="A17" s="23">
        <v>2030</v>
      </c>
      <c r="B17" s="4"/>
      <c r="C17" s="15">
        <v>1368.0934641691651</v>
      </c>
      <c r="D17" s="15">
        <v>1458.3818743116187</v>
      </c>
      <c r="E17" s="15">
        <v>1469.8333357255426</v>
      </c>
      <c r="F17" s="15">
        <v>1449.9362033305124</v>
      </c>
      <c r="G17" s="15">
        <v>1366.9629711340392</v>
      </c>
      <c r="H17" s="15">
        <v>1352.2481215784264</v>
      </c>
      <c r="I17" s="15">
        <v>1671.8200210995203</v>
      </c>
      <c r="J17" s="15">
        <v>1774.1776527328152</v>
      </c>
      <c r="K17" s="15">
        <v>1564.0427163823315</v>
      </c>
      <c r="L17" s="15">
        <v>1810.6965400996587</v>
      </c>
      <c r="M17" s="15">
        <v>1710.448537953871</v>
      </c>
      <c r="N17" s="15">
        <v>1752.4155368899144</v>
      </c>
      <c r="O17" s="15">
        <v>1943.6583094051889</v>
      </c>
      <c r="P17" s="15">
        <v>2222.2605517733359</v>
      </c>
      <c r="Q17" s="15">
        <v>2260.7658976035173</v>
      </c>
      <c r="R17" s="15">
        <v>1713.2856051577967</v>
      </c>
      <c r="S17" s="15">
        <v>1174.2017205480442</v>
      </c>
      <c r="T17" s="15">
        <v>1010.079699927604</v>
      </c>
      <c r="U17" s="16">
        <f t="shared" si="0"/>
        <v>29073.308759822903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1411</v>
      </c>
      <c r="D20" s="15">
        <v>1708</v>
      </c>
      <c r="E20" s="15">
        <v>2199</v>
      </c>
      <c r="F20" s="15">
        <v>1988</v>
      </c>
      <c r="G20" s="15">
        <v>1219</v>
      </c>
      <c r="H20" s="15">
        <v>1204</v>
      </c>
      <c r="I20" s="15">
        <v>1574</v>
      </c>
      <c r="J20" s="15">
        <v>2117</v>
      </c>
      <c r="K20" s="15">
        <v>2363</v>
      </c>
      <c r="L20" s="15">
        <v>2319</v>
      </c>
      <c r="M20" s="15">
        <v>2178</v>
      </c>
      <c r="N20" s="15">
        <v>1591</v>
      </c>
      <c r="O20" s="15">
        <v>1221</v>
      </c>
      <c r="P20" s="15">
        <v>1223</v>
      </c>
      <c r="Q20" s="15">
        <v>1044</v>
      </c>
      <c r="R20" s="15">
        <v>835</v>
      </c>
      <c r="S20" s="15">
        <v>526</v>
      </c>
      <c r="T20" s="15">
        <v>299</v>
      </c>
      <c r="U20" s="16">
        <f>SUM(C20:T20)</f>
        <v>27019</v>
      </c>
    </row>
    <row r="21" spans="1:21">
      <c r="A21" s="12">
        <v>2002</v>
      </c>
      <c r="B21" s="4"/>
      <c r="C21" s="15">
        <v>1447</v>
      </c>
      <c r="D21" s="15">
        <v>1687</v>
      </c>
      <c r="E21" s="15">
        <v>2172</v>
      </c>
      <c r="F21" s="15">
        <v>2083</v>
      </c>
      <c r="G21" s="15">
        <v>1243</v>
      </c>
      <c r="H21" s="15">
        <v>1194</v>
      </c>
      <c r="I21" s="15">
        <v>1579</v>
      </c>
      <c r="J21" s="15">
        <v>2024</v>
      </c>
      <c r="K21" s="15">
        <v>2409</v>
      </c>
      <c r="L21" s="15">
        <v>2346</v>
      </c>
      <c r="M21" s="15">
        <v>2221</v>
      </c>
      <c r="N21" s="15">
        <v>1745</v>
      </c>
      <c r="O21" s="15">
        <v>1315</v>
      </c>
      <c r="P21" s="15">
        <v>1240</v>
      </c>
      <c r="Q21" s="15">
        <v>1039</v>
      </c>
      <c r="R21" s="15">
        <v>873</v>
      </c>
      <c r="S21" s="15">
        <v>525</v>
      </c>
      <c r="T21" s="15">
        <v>330</v>
      </c>
      <c r="U21" s="16">
        <f t="shared" ref="U21:U33" si="1">SUM(C21:T21)</f>
        <v>27472</v>
      </c>
    </row>
    <row r="22" spans="1:21">
      <c r="A22" s="12">
        <v>2003</v>
      </c>
      <c r="B22" s="4"/>
      <c r="C22" s="15">
        <v>1439</v>
      </c>
      <c r="D22" s="15">
        <v>1674</v>
      </c>
      <c r="E22" s="15">
        <v>2109</v>
      </c>
      <c r="F22" s="15">
        <v>2145</v>
      </c>
      <c r="G22" s="15">
        <v>1288</v>
      </c>
      <c r="H22" s="15">
        <v>1218</v>
      </c>
      <c r="I22" s="15">
        <v>1574</v>
      </c>
      <c r="J22" s="15">
        <v>1883</v>
      </c>
      <c r="K22" s="15">
        <v>2452</v>
      </c>
      <c r="L22" s="15">
        <v>2390</v>
      </c>
      <c r="M22" s="15">
        <v>2290</v>
      </c>
      <c r="N22" s="15">
        <v>1789</v>
      </c>
      <c r="O22" s="15">
        <v>1439</v>
      </c>
      <c r="P22" s="15">
        <v>1211</v>
      </c>
      <c r="Q22" s="15">
        <v>1040</v>
      </c>
      <c r="R22" s="15">
        <v>874</v>
      </c>
      <c r="S22" s="15">
        <v>513</v>
      </c>
      <c r="T22" s="15">
        <v>343</v>
      </c>
      <c r="U22" s="16">
        <f t="shared" si="1"/>
        <v>27671</v>
      </c>
    </row>
    <row r="23" spans="1:21">
      <c r="A23" s="12">
        <v>2004</v>
      </c>
      <c r="B23" s="4"/>
      <c r="C23" s="15">
        <v>1471</v>
      </c>
      <c r="D23" s="15">
        <v>1669</v>
      </c>
      <c r="E23" s="15">
        <v>2115</v>
      </c>
      <c r="F23" s="15">
        <v>2135</v>
      </c>
      <c r="G23" s="15">
        <v>1372</v>
      </c>
      <c r="H23" s="15">
        <v>1246</v>
      </c>
      <c r="I23" s="15">
        <v>1479</v>
      </c>
      <c r="J23" s="15">
        <v>1848</v>
      </c>
      <c r="K23" s="15">
        <v>2485</v>
      </c>
      <c r="L23" s="15">
        <v>2405</v>
      </c>
      <c r="M23" s="15">
        <v>2326</v>
      </c>
      <c r="N23" s="15">
        <v>1942</v>
      </c>
      <c r="O23" s="15">
        <v>1528</v>
      </c>
      <c r="P23" s="15">
        <v>1187</v>
      </c>
      <c r="Q23" s="15">
        <v>1032</v>
      </c>
      <c r="R23" s="15">
        <v>831</v>
      </c>
      <c r="S23" s="15">
        <v>544</v>
      </c>
      <c r="T23" s="15">
        <v>352</v>
      </c>
      <c r="U23" s="16">
        <f t="shared" si="1"/>
        <v>27967</v>
      </c>
    </row>
    <row r="24" spans="1:21">
      <c r="A24" s="12">
        <v>2005</v>
      </c>
      <c r="B24" s="4"/>
      <c r="C24" s="15">
        <v>1479</v>
      </c>
      <c r="D24" s="15">
        <v>1644</v>
      </c>
      <c r="E24" s="15">
        <v>1998</v>
      </c>
      <c r="F24" s="15">
        <v>2234</v>
      </c>
      <c r="G24" s="15">
        <v>1375</v>
      </c>
      <c r="H24" s="15">
        <v>1285</v>
      </c>
      <c r="I24" s="15">
        <v>1406</v>
      </c>
      <c r="J24" s="15">
        <v>1809</v>
      </c>
      <c r="K24" s="15">
        <v>2420</v>
      </c>
      <c r="L24" s="15">
        <v>2461</v>
      </c>
      <c r="M24" s="15">
        <v>2330</v>
      </c>
      <c r="N24" s="15">
        <v>2144</v>
      </c>
      <c r="O24" s="15">
        <v>1584</v>
      </c>
      <c r="P24" s="15">
        <v>1204</v>
      </c>
      <c r="Q24" s="15">
        <v>1049</v>
      </c>
      <c r="R24" s="15">
        <v>824</v>
      </c>
      <c r="S24" s="15">
        <v>550</v>
      </c>
      <c r="T24" s="15">
        <v>361</v>
      </c>
      <c r="U24" s="16">
        <f t="shared" si="1"/>
        <v>28157</v>
      </c>
    </row>
    <row r="25" spans="1:21">
      <c r="A25" s="12">
        <v>2006</v>
      </c>
      <c r="B25" s="4"/>
      <c r="C25" s="15">
        <v>1501</v>
      </c>
      <c r="D25" s="15">
        <v>1618</v>
      </c>
      <c r="E25" s="15">
        <v>1976</v>
      </c>
      <c r="F25" s="15">
        <v>2249</v>
      </c>
      <c r="G25" s="15">
        <v>1378</v>
      </c>
      <c r="H25" s="15">
        <v>1305</v>
      </c>
      <c r="I25" s="15">
        <v>1428</v>
      </c>
      <c r="J25" s="15">
        <v>1766</v>
      </c>
      <c r="K25" s="15">
        <v>2292</v>
      </c>
      <c r="L25" s="15">
        <v>2547</v>
      </c>
      <c r="M25" s="15">
        <v>2378</v>
      </c>
      <c r="N25" s="15">
        <v>2256</v>
      </c>
      <c r="O25" s="15">
        <v>1633</v>
      </c>
      <c r="P25" s="15">
        <v>1222</v>
      </c>
      <c r="Q25" s="15">
        <v>1071</v>
      </c>
      <c r="R25" s="15">
        <v>835</v>
      </c>
      <c r="S25" s="15">
        <v>550</v>
      </c>
      <c r="T25" s="15">
        <v>372</v>
      </c>
      <c r="U25" s="16">
        <f t="shared" si="1"/>
        <v>28377</v>
      </c>
    </row>
    <row r="26" spans="1:21">
      <c r="A26" s="12">
        <v>2007</v>
      </c>
      <c r="B26" s="4"/>
      <c r="C26" s="15">
        <v>1544</v>
      </c>
      <c r="D26" s="15">
        <v>1654</v>
      </c>
      <c r="E26" s="15">
        <v>1956</v>
      </c>
      <c r="F26" s="15">
        <v>2224</v>
      </c>
      <c r="G26" s="15">
        <v>1435</v>
      </c>
      <c r="H26" s="15">
        <v>1318</v>
      </c>
      <c r="I26" s="15">
        <v>1453</v>
      </c>
      <c r="J26" s="15">
        <v>1737</v>
      </c>
      <c r="K26" s="15">
        <v>2174</v>
      </c>
      <c r="L26" s="15">
        <v>2554</v>
      </c>
      <c r="M26" s="15">
        <v>2388</v>
      </c>
      <c r="N26" s="15">
        <v>2275</v>
      </c>
      <c r="O26" s="15">
        <v>1753</v>
      </c>
      <c r="P26" s="15">
        <v>1297</v>
      </c>
      <c r="Q26" s="15">
        <v>1086</v>
      </c>
      <c r="R26" s="15">
        <v>811</v>
      </c>
      <c r="S26" s="15">
        <v>562</v>
      </c>
      <c r="T26" s="15">
        <v>387</v>
      </c>
      <c r="U26" s="16">
        <f t="shared" si="1"/>
        <v>28608</v>
      </c>
    </row>
    <row r="27" spans="1:21">
      <c r="A27" s="12">
        <v>2008</v>
      </c>
      <c r="B27" s="4"/>
      <c r="C27" s="15">
        <v>1609</v>
      </c>
      <c r="D27" s="15">
        <v>1664</v>
      </c>
      <c r="E27" s="15">
        <v>1924</v>
      </c>
      <c r="F27" s="15">
        <v>2192</v>
      </c>
      <c r="G27" s="15">
        <v>1418</v>
      </c>
      <c r="H27" s="15">
        <v>1358</v>
      </c>
      <c r="I27" s="15">
        <v>1465</v>
      </c>
      <c r="J27" s="15">
        <v>1716</v>
      </c>
      <c r="K27" s="15">
        <v>2041</v>
      </c>
      <c r="L27" s="15">
        <v>2540</v>
      </c>
      <c r="M27" s="15">
        <v>2428</v>
      </c>
      <c r="N27" s="15">
        <v>2348</v>
      </c>
      <c r="O27" s="15">
        <v>1824</v>
      </c>
      <c r="P27" s="15">
        <v>1417</v>
      </c>
      <c r="Q27" s="15">
        <v>1070</v>
      </c>
      <c r="R27" s="15">
        <v>837</v>
      </c>
      <c r="S27" s="15">
        <v>567</v>
      </c>
      <c r="T27" s="15">
        <v>392</v>
      </c>
      <c r="U27" s="16">
        <f t="shared" si="1"/>
        <v>28810</v>
      </c>
    </row>
    <row r="28" spans="1:21">
      <c r="A28" s="12">
        <v>2009</v>
      </c>
      <c r="B28" s="4"/>
      <c r="C28" s="15">
        <v>1568</v>
      </c>
      <c r="D28" s="15">
        <v>1659</v>
      </c>
      <c r="E28" s="15">
        <v>1874</v>
      </c>
      <c r="F28" s="15">
        <v>2200</v>
      </c>
      <c r="G28" s="15">
        <v>1365</v>
      </c>
      <c r="H28" s="15">
        <v>1339</v>
      </c>
      <c r="I28" s="15">
        <v>1477</v>
      </c>
      <c r="J28" s="15">
        <v>1587</v>
      </c>
      <c r="K28" s="15">
        <v>1957</v>
      </c>
      <c r="L28" s="15">
        <v>2537</v>
      </c>
      <c r="M28" s="15">
        <v>2438</v>
      </c>
      <c r="N28" s="15">
        <v>2366</v>
      </c>
      <c r="O28" s="15">
        <v>1977</v>
      </c>
      <c r="P28" s="15">
        <v>1463</v>
      </c>
      <c r="Q28" s="15">
        <v>1071</v>
      </c>
      <c r="R28" s="15">
        <v>863</v>
      </c>
      <c r="S28" s="15">
        <v>575</v>
      </c>
      <c r="T28" s="15">
        <v>417</v>
      </c>
      <c r="U28" s="16">
        <f t="shared" si="1"/>
        <v>28733</v>
      </c>
    </row>
    <row r="29" spans="1:21">
      <c r="A29" s="12">
        <v>2010</v>
      </c>
      <c r="B29" s="4"/>
      <c r="C29" s="15">
        <v>1547</v>
      </c>
      <c r="D29" s="15">
        <v>1641</v>
      </c>
      <c r="E29" s="15">
        <v>1828</v>
      </c>
      <c r="F29" s="15">
        <v>2128</v>
      </c>
      <c r="G29" s="15">
        <v>1385</v>
      </c>
      <c r="H29" s="15">
        <v>1334</v>
      </c>
      <c r="I29" s="15">
        <v>1514</v>
      </c>
      <c r="J29" s="15">
        <v>1530</v>
      </c>
      <c r="K29" s="15">
        <v>1888</v>
      </c>
      <c r="L29" s="15">
        <v>2446</v>
      </c>
      <c r="M29" s="15">
        <v>2465</v>
      </c>
      <c r="N29" s="15">
        <v>2372</v>
      </c>
      <c r="O29" s="15">
        <v>2085</v>
      </c>
      <c r="P29" s="15">
        <v>1518</v>
      </c>
      <c r="Q29" s="15">
        <v>1081</v>
      </c>
      <c r="R29" s="15">
        <v>881</v>
      </c>
      <c r="S29" s="15">
        <v>564</v>
      </c>
      <c r="T29" s="15">
        <v>440</v>
      </c>
      <c r="U29" s="16">
        <f t="shared" si="1"/>
        <v>28647</v>
      </c>
    </row>
    <row r="30" spans="1:21">
      <c r="A30" s="23">
        <v>2015</v>
      </c>
      <c r="B30" s="4"/>
      <c r="C30" s="15">
        <v>1429.2797156480656</v>
      </c>
      <c r="D30" s="15">
        <v>1557.8303772637137</v>
      </c>
      <c r="E30" s="15">
        <v>1632.5959974590032</v>
      </c>
      <c r="F30" s="15">
        <v>1815.1884892945295</v>
      </c>
      <c r="G30" s="15">
        <v>1935.101223383343</v>
      </c>
      <c r="H30" s="15">
        <v>1276.669919127839</v>
      </c>
      <c r="I30" s="15">
        <v>1438.0850830417082</v>
      </c>
      <c r="J30" s="15">
        <v>1570.4596934500501</v>
      </c>
      <c r="K30" s="15">
        <v>1543.0786541365587</v>
      </c>
      <c r="L30" s="15">
        <v>1890.9577973981795</v>
      </c>
      <c r="M30" s="15">
        <v>2400.876622343098</v>
      </c>
      <c r="N30" s="15">
        <v>2403.3983641006262</v>
      </c>
      <c r="O30" s="15">
        <v>2232.3282974120116</v>
      </c>
      <c r="P30" s="15">
        <v>1930.3373772769223</v>
      </c>
      <c r="Q30" s="15">
        <v>1357.440867833518</v>
      </c>
      <c r="R30" s="15">
        <v>875.92518569395384</v>
      </c>
      <c r="S30" s="15">
        <v>613.72526049128214</v>
      </c>
      <c r="T30" s="15">
        <v>466.36445296377337</v>
      </c>
      <c r="U30" s="16">
        <f t="shared" si="1"/>
        <v>28369.643378318178</v>
      </c>
    </row>
    <row r="31" spans="1:21">
      <c r="A31" s="23">
        <v>2020</v>
      </c>
      <c r="B31" s="4"/>
      <c r="C31" s="15">
        <v>1465.7353179257159</v>
      </c>
      <c r="D31" s="15">
        <v>1454.8461671246801</v>
      </c>
      <c r="E31" s="15">
        <v>1553.9702225218866</v>
      </c>
      <c r="F31" s="15">
        <v>1628.1441064583348</v>
      </c>
      <c r="G31" s="15">
        <v>1661.23011803191</v>
      </c>
      <c r="H31" s="15">
        <v>1710.6724735446462</v>
      </c>
      <c r="I31" s="15">
        <v>1392.291260455042</v>
      </c>
      <c r="J31" s="15">
        <v>1504.3922731663213</v>
      </c>
      <c r="K31" s="15">
        <v>1587.8920030483052</v>
      </c>
      <c r="L31" s="15">
        <v>1573.8218259023643</v>
      </c>
      <c r="M31" s="15">
        <v>1871.0579704063232</v>
      </c>
      <c r="N31" s="15">
        <v>2338.4789263801031</v>
      </c>
      <c r="O31" s="15">
        <v>2262.1020694185208</v>
      </c>
      <c r="P31" s="15">
        <v>2068.6055652105738</v>
      </c>
      <c r="Q31" s="15">
        <v>1720.6439666992881</v>
      </c>
      <c r="R31" s="15">
        <v>1100.6330535957297</v>
      </c>
      <c r="S31" s="15">
        <v>618.57267683769646</v>
      </c>
      <c r="T31" s="15">
        <v>503.67157700516691</v>
      </c>
      <c r="U31" s="16">
        <f t="shared" si="1"/>
        <v>28016.761573732612</v>
      </c>
    </row>
    <row r="32" spans="1:21">
      <c r="A32" s="23">
        <v>2025</v>
      </c>
      <c r="B32" s="4"/>
      <c r="C32" s="15">
        <v>1460.0023359025979</v>
      </c>
      <c r="D32" s="15">
        <v>1492.293583393161</v>
      </c>
      <c r="E32" s="15">
        <v>1455.7328920451805</v>
      </c>
      <c r="F32" s="15">
        <v>1554.4740407829174</v>
      </c>
      <c r="G32" s="15">
        <v>1497.9516233722065</v>
      </c>
      <c r="H32" s="15">
        <v>1502.5470732135057</v>
      </c>
      <c r="I32" s="15">
        <v>1775.8475445788908</v>
      </c>
      <c r="J32" s="15">
        <v>1464.4328827494755</v>
      </c>
      <c r="K32" s="15">
        <v>1527.5640332831276</v>
      </c>
      <c r="L32" s="15">
        <v>1627.202675909972</v>
      </c>
      <c r="M32" s="15">
        <v>1571.7430846802019</v>
      </c>
      <c r="N32" s="15">
        <v>1835.1320086727351</v>
      </c>
      <c r="O32" s="15">
        <v>2198.9642243395742</v>
      </c>
      <c r="P32" s="15">
        <v>2096.5063533786474</v>
      </c>
      <c r="Q32" s="15">
        <v>1846.0760694777964</v>
      </c>
      <c r="R32" s="15">
        <v>1392.5732407105174</v>
      </c>
      <c r="S32" s="15">
        <v>779.80744559221318</v>
      </c>
      <c r="T32" s="15">
        <v>529.483972979697</v>
      </c>
      <c r="U32" s="16">
        <f t="shared" si="1"/>
        <v>27608.335085062423</v>
      </c>
    </row>
    <row r="33" spans="1:21">
      <c r="A33" s="23">
        <v>2030</v>
      </c>
      <c r="B33" s="4"/>
      <c r="C33" s="15">
        <v>1427.1039603302054</v>
      </c>
      <c r="D33" s="15">
        <v>1491.3307030048475</v>
      </c>
      <c r="E33" s="15">
        <v>1493.3469765351729</v>
      </c>
      <c r="F33" s="15">
        <v>1461.3618786063473</v>
      </c>
      <c r="G33" s="15">
        <v>1435.5030777585152</v>
      </c>
      <c r="H33" s="15">
        <v>1380.1823629362609</v>
      </c>
      <c r="I33" s="15">
        <v>1603.2564998044541</v>
      </c>
      <c r="J33" s="15">
        <v>1824.8017576172115</v>
      </c>
      <c r="K33" s="15">
        <v>1491.0702785061071</v>
      </c>
      <c r="L33" s="15">
        <v>1577.7639454797807</v>
      </c>
      <c r="M33" s="15">
        <v>1628.9218407599024</v>
      </c>
      <c r="N33" s="15">
        <v>1553.7541195892072</v>
      </c>
      <c r="O33" s="15">
        <v>1737.8047537349241</v>
      </c>
      <c r="P33" s="15">
        <v>2036.7892762805038</v>
      </c>
      <c r="Q33" s="15">
        <v>1871.5156869402585</v>
      </c>
      <c r="R33" s="15">
        <v>1495.290889032703</v>
      </c>
      <c r="S33" s="15">
        <v>979.76415871393738</v>
      </c>
      <c r="T33" s="15">
        <v>631.52762435238287</v>
      </c>
      <c r="U33" s="16">
        <f t="shared" si="1"/>
        <v>27121.089789982721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2828</v>
      </c>
      <c r="D36" s="15">
        <f t="shared" ref="D36:T36" si="2">D20+D4</f>
        <v>3439</v>
      </c>
      <c r="E36" s="15">
        <f t="shared" si="2"/>
        <v>4254</v>
      </c>
      <c r="F36" s="15">
        <f t="shared" si="2"/>
        <v>3908</v>
      </c>
      <c r="G36" s="15">
        <f t="shared" si="2"/>
        <v>2415</v>
      </c>
      <c r="H36" s="15">
        <f t="shared" si="2"/>
        <v>2478</v>
      </c>
      <c r="I36" s="15">
        <f t="shared" si="2"/>
        <v>3271</v>
      </c>
      <c r="J36" s="15">
        <f t="shared" si="2"/>
        <v>4249</v>
      </c>
      <c r="K36" s="15">
        <f t="shared" si="2"/>
        <v>4891</v>
      </c>
      <c r="L36" s="15">
        <f t="shared" si="2"/>
        <v>4597</v>
      </c>
      <c r="M36" s="15">
        <f t="shared" si="2"/>
        <v>4183</v>
      </c>
      <c r="N36" s="15">
        <f t="shared" si="2"/>
        <v>3132</v>
      </c>
      <c r="O36" s="15">
        <f t="shared" si="2"/>
        <v>2594</v>
      </c>
      <c r="P36" s="15">
        <f t="shared" si="2"/>
        <v>2520</v>
      </c>
      <c r="Q36" s="15">
        <f t="shared" si="2"/>
        <v>2198</v>
      </c>
      <c r="R36" s="15">
        <f t="shared" si="2"/>
        <v>1906</v>
      </c>
      <c r="S36" s="15">
        <f t="shared" si="2"/>
        <v>1244</v>
      </c>
      <c r="T36" s="15">
        <f t="shared" si="2"/>
        <v>1050</v>
      </c>
      <c r="U36" s="16">
        <f>SUM(C36:T36)</f>
        <v>55157</v>
      </c>
    </row>
    <row r="37" spans="1:21">
      <c r="A37" s="12">
        <v>2002</v>
      </c>
      <c r="B37" s="4"/>
      <c r="C37" s="15">
        <f t="shared" ref="C37:T49" si="3">C21+C5</f>
        <v>2825</v>
      </c>
      <c r="D37" s="15">
        <f t="shared" si="3"/>
        <v>3333</v>
      </c>
      <c r="E37" s="15">
        <f t="shared" si="3"/>
        <v>4267</v>
      </c>
      <c r="F37" s="15">
        <f t="shared" si="3"/>
        <v>4060</v>
      </c>
      <c r="G37" s="15">
        <f t="shared" si="3"/>
        <v>2462</v>
      </c>
      <c r="H37" s="15">
        <f t="shared" si="3"/>
        <v>2459</v>
      </c>
      <c r="I37" s="15">
        <f t="shared" si="3"/>
        <v>3228</v>
      </c>
      <c r="J37" s="15">
        <f t="shared" si="3"/>
        <v>4095</v>
      </c>
      <c r="K37" s="15">
        <f t="shared" si="3"/>
        <v>4925</v>
      </c>
      <c r="L37" s="15">
        <f t="shared" si="3"/>
        <v>4779</v>
      </c>
      <c r="M37" s="15">
        <f t="shared" si="3"/>
        <v>4248</v>
      </c>
      <c r="N37" s="15">
        <f t="shared" si="3"/>
        <v>3381</v>
      </c>
      <c r="O37" s="15">
        <f t="shared" si="3"/>
        <v>2739</v>
      </c>
      <c r="P37" s="15">
        <f t="shared" si="3"/>
        <v>2526</v>
      </c>
      <c r="Q37" s="15">
        <f t="shared" si="3"/>
        <v>2209</v>
      </c>
      <c r="R37" s="15">
        <f t="shared" si="3"/>
        <v>1968</v>
      </c>
      <c r="S37" s="15">
        <f t="shared" si="3"/>
        <v>1266</v>
      </c>
      <c r="T37" s="15">
        <f t="shared" si="3"/>
        <v>1073</v>
      </c>
      <c r="U37" s="16">
        <f t="shared" ref="U37:U49" si="4">SUM(C37:T37)</f>
        <v>55843</v>
      </c>
    </row>
    <row r="38" spans="1:21">
      <c r="A38" s="12">
        <v>2003</v>
      </c>
      <c r="B38" s="4"/>
      <c r="C38" s="15">
        <f t="shared" si="3"/>
        <v>2804</v>
      </c>
      <c r="D38" s="15">
        <f t="shared" si="3"/>
        <v>3298</v>
      </c>
      <c r="E38" s="15">
        <f t="shared" si="3"/>
        <v>4181</v>
      </c>
      <c r="F38" s="15">
        <f t="shared" si="3"/>
        <v>4119</v>
      </c>
      <c r="G38" s="15">
        <f t="shared" si="3"/>
        <v>2566</v>
      </c>
      <c r="H38" s="15">
        <f t="shared" si="3"/>
        <v>2518</v>
      </c>
      <c r="I38" s="15">
        <f t="shared" si="3"/>
        <v>3138</v>
      </c>
      <c r="J38" s="15">
        <f t="shared" si="3"/>
        <v>3871</v>
      </c>
      <c r="K38" s="15">
        <f t="shared" si="3"/>
        <v>4956</v>
      </c>
      <c r="L38" s="15">
        <f t="shared" si="3"/>
        <v>4921</v>
      </c>
      <c r="M38" s="15">
        <f t="shared" si="3"/>
        <v>4397</v>
      </c>
      <c r="N38" s="15">
        <f t="shared" si="3"/>
        <v>3515</v>
      </c>
      <c r="O38" s="15">
        <f t="shared" si="3"/>
        <v>2918</v>
      </c>
      <c r="P38" s="15">
        <f t="shared" si="3"/>
        <v>2495</v>
      </c>
      <c r="Q38" s="15">
        <f t="shared" si="3"/>
        <v>2202</v>
      </c>
      <c r="R38" s="15">
        <f t="shared" si="3"/>
        <v>1952</v>
      </c>
      <c r="S38" s="15">
        <f t="shared" si="3"/>
        <v>1274</v>
      </c>
      <c r="T38" s="15">
        <f t="shared" si="3"/>
        <v>1081</v>
      </c>
      <c r="U38" s="16">
        <f t="shared" si="4"/>
        <v>56206</v>
      </c>
    </row>
    <row r="39" spans="1:21">
      <c r="A39" s="12">
        <v>2004</v>
      </c>
      <c r="B39" s="4"/>
      <c r="C39" s="15">
        <f t="shared" si="3"/>
        <v>2856</v>
      </c>
      <c r="D39" s="15">
        <f t="shared" si="3"/>
        <v>3313</v>
      </c>
      <c r="E39" s="15">
        <f t="shared" si="3"/>
        <v>4141</v>
      </c>
      <c r="F39" s="15">
        <f t="shared" si="3"/>
        <v>4139</v>
      </c>
      <c r="G39" s="15">
        <f t="shared" si="3"/>
        <v>2736</v>
      </c>
      <c r="H39" s="15">
        <f t="shared" si="3"/>
        <v>2567</v>
      </c>
      <c r="I39" s="15">
        <f t="shared" si="3"/>
        <v>3025</v>
      </c>
      <c r="J39" s="15">
        <f t="shared" si="3"/>
        <v>3755</v>
      </c>
      <c r="K39" s="15">
        <f t="shared" si="3"/>
        <v>5006</v>
      </c>
      <c r="L39" s="15">
        <f t="shared" si="3"/>
        <v>4948</v>
      </c>
      <c r="M39" s="15">
        <f t="shared" si="3"/>
        <v>4563</v>
      </c>
      <c r="N39" s="15">
        <f t="shared" si="3"/>
        <v>3737</v>
      </c>
      <c r="O39" s="15">
        <f t="shared" si="3"/>
        <v>3083</v>
      </c>
      <c r="P39" s="15">
        <f t="shared" si="3"/>
        <v>2503</v>
      </c>
      <c r="Q39" s="15">
        <f t="shared" si="3"/>
        <v>2171</v>
      </c>
      <c r="R39" s="15">
        <f t="shared" si="3"/>
        <v>1850</v>
      </c>
      <c r="S39" s="15">
        <f t="shared" si="3"/>
        <v>1309</v>
      </c>
      <c r="T39" s="15">
        <f t="shared" si="3"/>
        <v>1061</v>
      </c>
      <c r="U39" s="16">
        <f t="shared" si="4"/>
        <v>56763</v>
      </c>
    </row>
    <row r="40" spans="1:21">
      <c r="A40" s="12">
        <v>2005</v>
      </c>
      <c r="B40" s="4"/>
      <c r="C40" s="15">
        <f t="shared" si="3"/>
        <v>2880</v>
      </c>
      <c r="D40" s="15">
        <f t="shared" si="3"/>
        <v>3293</v>
      </c>
      <c r="E40" s="15">
        <f t="shared" si="3"/>
        <v>3966</v>
      </c>
      <c r="F40" s="15">
        <f t="shared" si="3"/>
        <v>4213</v>
      </c>
      <c r="G40" s="15">
        <f t="shared" si="3"/>
        <v>2785</v>
      </c>
      <c r="H40" s="15">
        <f t="shared" si="3"/>
        <v>2619</v>
      </c>
      <c r="I40" s="15">
        <f t="shared" si="3"/>
        <v>2924</v>
      </c>
      <c r="J40" s="15">
        <f t="shared" si="3"/>
        <v>3678</v>
      </c>
      <c r="K40" s="15">
        <f t="shared" si="3"/>
        <v>4870</v>
      </c>
      <c r="L40" s="15">
        <f t="shared" si="3"/>
        <v>5087</v>
      </c>
      <c r="M40" s="15">
        <f t="shared" si="3"/>
        <v>4658</v>
      </c>
      <c r="N40" s="15">
        <f t="shared" si="3"/>
        <v>4060</v>
      </c>
      <c r="O40" s="15">
        <f t="shared" si="3"/>
        <v>3174</v>
      </c>
      <c r="P40" s="15">
        <f t="shared" si="3"/>
        <v>2560</v>
      </c>
      <c r="Q40" s="15">
        <f t="shared" si="3"/>
        <v>2182</v>
      </c>
      <c r="R40" s="15">
        <f t="shared" si="3"/>
        <v>1867</v>
      </c>
      <c r="S40" s="15">
        <f t="shared" si="3"/>
        <v>1341</v>
      </c>
      <c r="T40" s="15">
        <f t="shared" si="3"/>
        <v>1078</v>
      </c>
      <c r="U40" s="16">
        <f t="shared" si="4"/>
        <v>57235</v>
      </c>
    </row>
    <row r="41" spans="1:21">
      <c r="A41" s="12">
        <v>2006</v>
      </c>
      <c r="B41" s="4"/>
      <c r="C41" s="15">
        <f t="shared" si="3"/>
        <v>2937</v>
      </c>
      <c r="D41" s="15">
        <f t="shared" si="3"/>
        <v>3217</v>
      </c>
      <c r="E41" s="15">
        <f t="shared" si="3"/>
        <v>3896</v>
      </c>
      <c r="F41" s="15">
        <f t="shared" si="3"/>
        <v>4243</v>
      </c>
      <c r="G41" s="15">
        <f t="shared" si="3"/>
        <v>2769</v>
      </c>
      <c r="H41" s="15">
        <f t="shared" si="3"/>
        <v>2677</v>
      </c>
      <c r="I41" s="15">
        <f t="shared" si="3"/>
        <v>2883</v>
      </c>
      <c r="J41" s="15">
        <f t="shared" si="3"/>
        <v>3676</v>
      </c>
      <c r="K41" s="15">
        <f t="shared" si="3"/>
        <v>4615</v>
      </c>
      <c r="L41" s="15">
        <f t="shared" si="3"/>
        <v>5153</v>
      </c>
      <c r="M41" s="15">
        <f t="shared" si="3"/>
        <v>4804</v>
      </c>
      <c r="N41" s="15">
        <f t="shared" si="3"/>
        <v>4349</v>
      </c>
      <c r="O41" s="15">
        <f t="shared" si="3"/>
        <v>3232</v>
      </c>
      <c r="P41" s="15">
        <f t="shared" si="3"/>
        <v>2567</v>
      </c>
      <c r="Q41" s="15">
        <f t="shared" si="3"/>
        <v>2210</v>
      </c>
      <c r="R41" s="15">
        <f t="shared" si="3"/>
        <v>1888</v>
      </c>
      <c r="S41" s="15">
        <f t="shared" si="3"/>
        <v>1331</v>
      </c>
      <c r="T41" s="15">
        <f t="shared" si="3"/>
        <v>1109</v>
      </c>
      <c r="U41" s="16">
        <f t="shared" si="4"/>
        <v>57556</v>
      </c>
    </row>
    <row r="42" spans="1:21">
      <c r="A42" s="12">
        <v>2007</v>
      </c>
      <c r="B42" s="4"/>
      <c r="C42" s="15">
        <f t="shared" si="3"/>
        <v>3065</v>
      </c>
      <c r="D42" s="15">
        <f t="shared" si="3"/>
        <v>3245</v>
      </c>
      <c r="E42" s="15">
        <f t="shared" si="3"/>
        <v>3779</v>
      </c>
      <c r="F42" s="15">
        <f t="shared" si="3"/>
        <v>4216</v>
      </c>
      <c r="G42" s="15">
        <f t="shared" si="3"/>
        <v>2817</v>
      </c>
      <c r="H42" s="15">
        <f t="shared" si="3"/>
        <v>2744</v>
      </c>
      <c r="I42" s="15">
        <f t="shared" si="3"/>
        <v>2913</v>
      </c>
      <c r="J42" s="15">
        <f t="shared" si="3"/>
        <v>3575</v>
      </c>
      <c r="K42" s="15">
        <f t="shared" si="3"/>
        <v>4434</v>
      </c>
      <c r="L42" s="15">
        <f t="shared" si="3"/>
        <v>5154</v>
      </c>
      <c r="M42" s="15">
        <f t="shared" si="3"/>
        <v>4920</v>
      </c>
      <c r="N42" s="15">
        <f t="shared" si="3"/>
        <v>4405</v>
      </c>
      <c r="O42" s="15">
        <f t="shared" si="3"/>
        <v>3437</v>
      </c>
      <c r="P42" s="15">
        <f t="shared" si="3"/>
        <v>2691</v>
      </c>
      <c r="Q42" s="15">
        <f t="shared" si="3"/>
        <v>2217</v>
      </c>
      <c r="R42" s="15">
        <f t="shared" si="3"/>
        <v>1873</v>
      </c>
      <c r="S42" s="15">
        <f t="shared" si="3"/>
        <v>1352</v>
      </c>
      <c r="T42" s="15">
        <f t="shared" si="3"/>
        <v>1129</v>
      </c>
      <c r="U42" s="16">
        <f t="shared" si="4"/>
        <v>57966</v>
      </c>
    </row>
    <row r="43" spans="1:21">
      <c r="A43" s="12">
        <v>2008</v>
      </c>
      <c r="B43" s="4"/>
      <c r="C43" s="15">
        <f t="shared" si="3"/>
        <v>3120</v>
      </c>
      <c r="D43" s="15">
        <f t="shared" si="3"/>
        <v>3220</v>
      </c>
      <c r="E43" s="15">
        <f t="shared" si="3"/>
        <v>3719</v>
      </c>
      <c r="F43" s="15">
        <f t="shared" si="3"/>
        <v>4157</v>
      </c>
      <c r="G43" s="15">
        <f t="shared" si="3"/>
        <v>2790</v>
      </c>
      <c r="H43" s="15">
        <f t="shared" si="3"/>
        <v>2821</v>
      </c>
      <c r="I43" s="15">
        <f t="shared" si="3"/>
        <v>2912</v>
      </c>
      <c r="J43" s="15">
        <f t="shared" si="3"/>
        <v>3496</v>
      </c>
      <c r="K43" s="15">
        <f t="shared" si="3"/>
        <v>4189</v>
      </c>
      <c r="L43" s="15">
        <f t="shared" si="3"/>
        <v>5103</v>
      </c>
      <c r="M43" s="15">
        <f t="shared" si="3"/>
        <v>5050</v>
      </c>
      <c r="N43" s="15">
        <f t="shared" si="3"/>
        <v>4508</v>
      </c>
      <c r="O43" s="15">
        <f t="shared" si="3"/>
        <v>3605</v>
      </c>
      <c r="P43" s="15">
        <f t="shared" si="3"/>
        <v>2820</v>
      </c>
      <c r="Q43" s="15">
        <f t="shared" si="3"/>
        <v>2222</v>
      </c>
      <c r="R43" s="15">
        <f t="shared" si="3"/>
        <v>1875</v>
      </c>
      <c r="S43" s="15">
        <f t="shared" si="3"/>
        <v>1356</v>
      </c>
      <c r="T43" s="15">
        <f t="shared" si="3"/>
        <v>1175</v>
      </c>
      <c r="U43" s="16">
        <f t="shared" si="4"/>
        <v>58138</v>
      </c>
    </row>
    <row r="44" spans="1:21">
      <c r="A44" s="12">
        <v>2009</v>
      </c>
      <c r="B44" s="4"/>
      <c r="C44" s="15">
        <f t="shared" si="3"/>
        <v>3035</v>
      </c>
      <c r="D44" s="15">
        <f t="shared" si="3"/>
        <v>3171</v>
      </c>
      <c r="E44" s="15">
        <f t="shared" si="3"/>
        <v>3665</v>
      </c>
      <c r="F44" s="15">
        <f t="shared" si="3"/>
        <v>4090</v>
      </c>
      <c r="G44" s="15">
        <f t="shared" si="3"/>
        <v>2681</v>
      </c>
      <c r="H44" s="15">
        <f t="shared" si="3"/>
        <v>2791</v>
      </c>
      <c r="I44" s="15">
        <f t="shared" si="3"/>
        <v>2943</v>
      </c>
      <c r="J44" s="15">
        <f t="shared" si="3"/>
        <v>3326</v>
      </c>
      <c r="K44" s="15">
        <f t="shared" si="3"/>
        <v>3965</v>
      </c>
      <c r="L44" s="15">
        <f t="shared" si="3"/>
        <v>5061</v>
      </c>
      <c r="M44" s="15">
        <f t="shared" si="3"/>
        <v>5065</v>
      </c>
      <c r="N44" s="15">
        <f t="shared" si="3"/>
        <v>4636</v>
      </c>
      <c r="O44" s="15">
        <f t="shared" si="3"/>
        <v>3805</v>
      </c>
      <c r="P44" s="15">
        <f t="shared" si="3"/>
        <v>2959</v>
      </c>
      <c r="Q44" s="15">
        <f t="shared" si="3"/>
        <v>2262</v>
      </c>
      <c r="R44" s="15">
        <f t="shared" si="3"/>
        <v>1879</v>
      </c>
      <c r="S44" s="15">
        <f t="shared" si="3"/>
        <v>1345</v>
      </c>
      <c r="T44" s="15">
        <f t="shared" si="3"/>
        <v>1244</v>
      </c>
      <c r="U44" s="16">
        <f t="shared" si="4"/>
        <v>57923</v>
      </c>
    </row>
    <row r="45" spans="1:21">
      <c r="A45" s="12">
        <v>2010</v>
      </c>
      <c r="B45" s="4"/>
      <c r="C45" s="15">
        <f t="shared" si="3"/>
        <v>2951</v>
      </c>
      <c r="D45" s="15">
        <f t="shared" si="3"/>
        <v>3152</v>
      </c>
      <c r="E45" s="15">
        <f t="shared" si="3"/>
        <v>3588</v>
      </c>
      <c r="F45" s="15">
        <f t="shared" si="3"/>
        <v>3966</v>
      </c>
      <c r="G45" s="15">
        <f t="shared" si="3"/>
        <v>2685</v>
      </c>
      <c r="H45" s="15">
        <f t="shared" si="3"/>
        <v>2793</v>
      </c>
      <c r="I45" s="15">
        <f t="shared" si="3"/>
        <v>3004</v>
      </c>
      <c r="J45" s="15">
        <f t="shared" si="3"/>
        <v>3168</v>
      </c>
      <c r="K45" s="15">
        <f t="shared" si="3"/>
        <v>3859</v>
      </c>
      <c r="L45" s="15">
        <f t="shared" si="3"/>
        <v>4897</v>
      </c>
      <c r="M45" s="15">
        <f t="shared" si="3"/>
        <v>5125</v>
      </c>
      <c r="N45" s="15">
        <f t="shared" si="3"/>
        <v>4676</v>
      </c>
      <c r="O45" s="15">
        <f t="shared" si="3"/>
        <v>4014</v>
      </c>
      <c r="P45" s="15">
        <f t="shared" si="3"/>
        <v>3048</v>
      </c>
      <c r="Q45" s="15">
        <f t="shared" si="3"/>
        <v>2275</v>
      </c>
      <c r="R45" s="15">
        <f t="shared" si="3"/>
        <v>1896</v>
      </c>
      <c r="S45" s="15">
        <f t="shared" si="3"/>
        <v>1354</v>
      </c>
      <c r="T45" s="15">
        <f t="shared" si="3"/>
        <v>1288</v>
      </c>
      <c r="U45" s="16">
        <f t="shared" si="4"/>
        <v>57739</v>
      </c>
    </row>
    <row r="46" spans="1:21">
      <c r="A46" s="23">
        <v>2015</v>
      </c>
      <c r="B46" s="4"/>
      <c r="C46" s="15">
        <f t="shared" si="3"/>
        <v>2799.4589680378076</v>
      </c>
      <c r="D46" s="15">
        <f t="shared" si="3"/>
        <v>3005.1275473571786</v>
      </c>
      <c r="E46" s="15">
        <f t="shared" si="3"/>
        <v>3147.7937520945102</v>
      </c>
      <c r="F46" s="15">
        <f t="shared" si="3"/>
        <v>3575.2221298955419</v>
      </c>
      <c r="G46" s="15">
        <f t="shared" si="3"/>
        <v>3617.5630407332292</v>
      </c>
      <c r="H46" s="15">
        <f t="shared" si="3"/>
        <v>2521.1112158962123</v>
      </c>
      <c r="I46" s="15">
        <f t="shared" si="3"/>
        <v>3046.2427904148199</v>
      </c>
      <c r="J46" s="15">
        <f t="shared" si="3"/>
        <v>3143.7733141698482</v>
      </c>
      <c r="K46" s="15">
        <f t="shared" si="3"/>
        <v>3213.347824291212</v>
      </c>
      <c r="L46" s="15">
        <f t="shared" si="3"/>
        <v>3900.3550196985361</v>
      </c>
      <c r="M46" s="15">
        <f t="shared" si="3"/>
        <v>4836.3497242546773</v>
      </c>
      <c r="N46" s="15">
        <f t="shared" si="3"/>
        <v>5045.2122307863619</v>
      </c>
      <c r="O46" s="15">
        <f t="shared" si="3"/>
        <v>4459.1237666910802</v>
      </c>
      <c r="P46" s="15">
        <f t="shared" si="3"/>
        <v>3775.6262630078591</v>
      </c>
      <c r="Q46" s="15">
        <f t="shared" si="3"/>
        <v>2792.6654225318052</v>
      </c>
      <c r="R46" s="15">
        <f t="shared" si="3"/>
        <v>1903.9894609633798</v>
      </c>
      <c r="S46" s="15">
        <f t="shared" si="3"/>
        <v>1405.9491466794207</v>
      </c>
      <c r="T46" s="15">
        <f t="shared" si="3"/>
        <v>1325.492614515163</v>
      </c>
      <c r="U46" s="16">
        <f t="shared" si="4"/>
        <v>57514.404232018642</v>
      </c>
    </row>
    <row r="47" spans="1:21">
      <c r="A47" s="23">
        <v>2020</v>
      </c>
      <c r="B47" s="4"/>
      <c r="C47" s="15">
        <f t="shared" si="3"/>
        <v>2870.8627398916001</v>
      </c>
      <c r="D47" s="15">
        <f t="shared" si="3"/>
        <v>2876.6877828787701</v>
      </c>
      <c r="E47" s="15">
        <f t="shared" si="3"/>
        <v>3009.5775178359254</v>
      </c>
      <c r="F47" s="15">
        <f t="shared" si="3"/>
        <v>3153.0976462823228</v>
      </c>
      <c r="G47" s="15">
        <f t="shared" si="3"/>
        <v>3278.5763425293762</v>
      </c>
      <c r="H47" s="15">
        <f t="shared" si="3"/>
        <v>3259.1389577197479</v>
      </c>
      <c r="I47" s="15">
        <f t="shared" si="3"/>
        <v>2810.3731088164022</v>
      </c>
      <c r="J47" s="15">
        <f t="shared" si="3"/>
        <v>3197.7316230916667</v>
      </c>
      <c r="K47" s="15">
        <f t="shared" si="3"/>
        <v>3201.4435023885194</v>
      </c>
      <c r="L47" s="15">
        <f t="shared" si="3"/>
        <v>3303.2499402349404</v>
      </c>
      <c r="M47" s="15">
        <f t="shared" si="3"/>
        <v>3880.5000587173772</v>
      </c>
      <c r="N47" s="15">
        <f t="shared" si="3"/>
        <v>4758.1189105558688</v>
      </c>
      <c r="O47" s="15">
        <f t="shared" si="3"/>
        <v>4805.5935930274745</v>
      </c>
      <c r="P47" s="15">
        <f t="shared" si="3"/>
        <v>4196.7603704684452</v>
      </c>
      <c r="Q47" s="15">
        <f t="shared" si="3"/>
        <v>3448.2635452370096</v>
      </c>
      <c r="R47" s="15">
        <f t="shared" si="3"/>
        <v>2337.8571712734147</v>
      </c>
      <c r="S47" s="15">
        <f t="shared" si="3"/>
        <v>1428.9484109283185</v>
      </c>
      <c r="T47" s="15">
        <f t="shared" si="3"/>
        <v>1371.8843694560364</v>
      </c>
      <c r="U47" s="16">
        <f t="shared" si="4"/>
        <v>57188.665591333207</v>
      </c>
    </row>
    <row r="48" spans="1:21">
      <c r="A48" s="23">
        <v>2025</v>
      </c>
      <c r="B48" s="4"/>
      <c r="C48" s="15">
        <f t="shared" si="3"/>
        <v>2859.6338336372773</v>
      </c>
      <c r="D48" s="15">
        <f t="shared" si="3"/>
        <v>2950.8140750808748</v>
      </c>
      <c r="E48" s="15">
        <f t="shared" si="3"/>
        <v>2888.4297432334511</v>
      </c>
      <c r="F48" s="15">
        <f t="shared" si="3"/>
        <v>3024.4030192838632</v>
      </c>
      <c r="G48" s="15">
        <f t="shared" si="3"/>
        <v>2910.2761441163275</v>
      </c>
      <c r="H48" s="15">
        <f t="shared" si="3"/>
        <v>3010.9332886711763</v>
      </c>
      <c r="I48" s="15">
        <f t="shared" si="3"/>
        <v>3467.253772774392</v>
      </c>
      <c r="J48" s="15">
        <f t="shared" si="3"/>
        <v>2980.3228448687178</v>
      </c>
      <c r="K48" s="15">
        <f t="shared" si="3"/>
        <v>3261.9546686885924</v>
      </c>
      <c r="L48" s="15">
        <f t="shared" si="3"/>
        <v>3315.6052637433509</v>
      </c>
      <c r="M48" s="15">
        <f t="shared" si="3"/>
        <v>3314.7287184815705</v>
      </c>
      <c r="N48" s="15">
        <f t="shared" si="3"/>
        <v>3842.3467576892026</v>
      </c>
      <c r="O48" s="15">
        <f t="shared" si="3"/>
        <v>4529.5541789011568</v>
      </c>
      <c r="P48" s="15">
        <f t="shared" si="3"/>
        <v>4520.8121132866336</v>
      </c>
      <c r="Q48" s="15">
        <f t="shared" si="3"/>
        <v>3836.5570143620034</v>
      </c>
      <c r="R48" s="15">
        <f t="shared" si="3"/>
        <v>2880.3398494485505</v>
      </c>
      <c r="S48" s="15">
        <f t="shared" si="3"/>
        <v>1759.4924265357895</v>
      </c>
      <c r="T48" s="15">
        <f t="shared" si="3"/>
        <v>1420.166997974587</v>
      </c>
      <c r="U48" s="16">
        <f t="shared" si="4"/>
        <v>56773.62471077752</v>
      </c>
    </row>
    <row r="49" spans="1:21" ht="15.75" thickBot="1">
      <c r="A49" s="24">
        <v>2030</v>
      </c>
      <c r="B49" s="20"/>
      <c r="C49" s="21">
        <f t="shared" si="3"/>
        <v>2795.1974244993708</v>
      </c>
      <c r="D49" s="21">
        <f t="shared" si="3"/>
        <v>2949.7125773164662</v>
      </c>
      <c r="E49" s="21">
        <f t="shared" si="3"/>
        <v>2963.1803122607153</v>
      </c>
      <c r="F49" s="21">
        <f t="shared" si="3"/>
        <v>2911.2980819368595</v>
      </c>
      <c r="G49" s="21">
        <f t="shared" si="3"/>
        <v>2802.4660488925547</v>
      </c>
      <c r="H49" s="21">
        <f t="shared" si="3"/>
        <v>2732.4304845146871</v>
      </c>
      <c r="I49" s="21">
        <f t="shared" si="3"/>
        <v>3275.0765209039746</v>
      </c>
      <c r="J49" s="21">
        <f t="shared" si="3"/>
        <v>3598.9794103500267</v>
      </c>
      <c r="K49" s="21">
        <f t="shared" si="3"/>
        <v>3055.1129948884386</v>
      </c>
      <c r="L49" s="21">
        <f t="shared" si="3"/>
        <v>3388.4604855794396</v>
      </c>
      <c r="M49" s="21">
        <f t="shared" si="3"/>
        <v>3339.3703787137733</v>
      </c>
      <c r="N49" s="21">
        <f t="shared" si="3"/>
        <v>3306.1696564791218</v>
      </c>
      <c r="O49" s="21">
        <f t="shared" si="3"/>
        <v>3681.4630631401133</v>
      </c>
      <c r="P49" s="21">
        <f t="shared" si="3"/>
        <v>4259.0498280538395</v>
      </c>
      <c r="Q49" s="21">
        <f t="shared" si="3"/>
        <v>4132.2815845437763</v>
      </c>
      <c r="R49" s="21">
        <f t="shared" si="3"/>
        <v>3208.5764941904999</v>
      </c>
      <c r="S49" s="21">
        <f t="shared" si="3"/>
        <v>2153.9658792619816</v>
      </c>
      <c r="T49" s="21">
        <f t="shared" si="3"/>
        <v>1641.6073242799869</v>
      </c>
      <c r="U49" s="22">
        <f t="shared" si="4"/>
        <v>56194.398549805628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19</v>
      </c>
      <c r="B1" s="8" t="s">
        <v>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3751</v>
      </c>
      <c r="D4" s="15">
        <v>4195</v>
      </c>
      <c r="E4" s="15">
        <v>4983</v>
      </c>
      <c r="F4" s="15">
        <v>5693</v>
      </c>
      <c r="G4" s="15">
        <v>5693</v>
      </c>
      <c r="H4" s="15">
        <v>4343</v>
      </c>
      <c r="I4" s="15">
        <v>4778</v>
      </c>
      <c r="J4" s="15">
        <v>5729</v>
      </c>
      <c r="K4" s="15">
        <v>6243</v>
      </c>
      <c r="L4" s="15">
        <v>5864</v>
      </c>
      <c r="M4" s="15">
        <v>5370</v>
      </c>
      <c r="N4" s="15">
        <v>3796</v>
      </c>
      <c r="O4" s="15">
        <v>3108</v>
      </c>
      <c r="P4" s="15">
        <v>2914</v>
      </c>
      <c r="Q4" s="15">
        <v>2736</v>
      </c>
      <c r="R4" s="15">
        <v>2241</v>
      </c>
      <c r="S4" s="15">
        <v>1603</v>
      </c>
      <c r="T4" s="15">
        <v>1640</v>
      </c>
      <c r="U4" s="16">
        <f>SUM(C4:T4)</f>
        <v>74680</v>
      </c>
    </row>
    <row r="5" spans="1:21">
      <c r="A5" s="12">
        <v>2002</v>
      </c>
      <c r="B5" s="4"/>
      <c r="C5" s="15">
        <v>3910</v>
      </c>
      <c r="D5" s="15">
        <v>4064</v>
      </c>
      <c r="E5" s="15">
        <v>4906</v>
      </c>
      <c r="F5" s="15">
        <v>5701</v>
      </c>
      <c r="G5" s="15">
        <v>5923</v>
      </c>
      <c r="H5" s="15">
        <v>4328</v>
      </c>
      <c r="I5" s="15">
        <v>4607</v>
      </c>
      <c r="J5" s="15">
        <v>5648</v>
      </c>
      <c r="K5" s="15">
        <v>6182</v>
      </c>
      <c r="L5" s="15">
        <v>5999</v>
      </c>
      <c r="M5" s="15">
        <v>5385</v>
      </c>
      <c r="N5" s="15">
        <v>4121</v>
      </c>
      <c r="O5" s="15">
        <v>3272</v>
      </c>
      <c r="P5" s="15">
        <v>2800</v>
      </c>
      <c r="Q5" s="15">
        <v>2753</v>
      </c>
      <c r="R5" s="15">
        <v>2299</v>
      </c>
      <c r="S5" s="15">
        <v>1682</v>
      </c>
      <c r="T5" s="15">
        <v>1646</v>
      </c>
      <c r="U5" s="16">
        <f t="shared" ref="U5:U17" si="0">SUM(C5:T5)</f>
        <v>75226</v>
      </c>
    </row>
    <row r="6" spans="1:21">
      <c r="A6" s="12">
        <v>2003</v>
      </c>
      <c r="B6" s="4"/>
      <c r="C6" s="15">
        <v>3866</v>
      </c>
      <c r="D6" s="15">
        <v>4032</v>
      </c>
      <c r="E6" s="15">
        <v>4892</v>
      </c>
      <c r="F6" s="15">
        <v>5805</v>
      </c>
      <c r="G6" s="15">
        <v>5982</v>
      </c>
      <c r="H6" s="15">
        <v>4434</v>
      </c>
      <c r="I6" s="15">
        <v>4490</v>
      </c>
      <c r="J6" s="15">
        <v>5417</v>
      </c>
      <c r="K6" s="15">
        <v>6177</v>
      </c>
      <c r="L6" s="15">
        <v>6208</v>
      </c>
      <c r="M6" s="15">
        <v>5477</v>
      </c>
      <c r="N6" s="15">
        <v>4330</v>
      </c>
      <c r="O6" s="15">
        <v>3363</v>
      </c>
      <c r="P6" s="15">
        <v>2856</v>
      </c>
      <c r="Q6" s="15">
        <v>2757</v>
      </c>
      <c r="R6" s="15">
        <v>2308</v>
      </c>
      <c r="S6" s="15">
        <v>1692</v>
      </c>
      <c r="T6" s="15">
        <v>1672</v>
      </c>
      <c r="U6" s="16">
        <f t="shared" si="0"/>
        <v>75758</v>
      </c>
    </row>
    <row r="7" spans="1:21">
      <c r="A7" s="12">
        <v>2004</v>
      </c>
      <c r="B7" s="4"/>
      <c r="C7" s="15">
        <v>3897</v>
      </c>
      <c r="D7" s="15">
        <v>3944</v>
      </c>
      <c r="E7" s="15">
        <v>4691</v>
      </c>
      <c r="F7" s="15">
        <v>5830</v>
      </c>
      <c r="G7" s="15">
        <v>5930</v>
      </c>
      <c r="H7" s="15">
        <v>4569</v>
      </c>
      <c r="I7" s="15">
        <v>4424</v>
      </c>
      <c r="J7" s="15">
        <v>5153</v>
      </c>
      <c r="K7" s="15">
        <v>6179</v>
      </c>
      <c r="L7" s="15">
        <v>6165</v>
      </c>
      <c r="M7" s="15">
        <v>5585</v>
      </c>
      <c r="N7" s="15">
        <v>4564</v>
      </c>
      <c r="O7" s="15">
        <v>3521</v>
      </c>
      <c r="P7" s="15">
        <v>2878</v>
      </c>
      <c r="Q7" s="15">
        <v>2708</v>
      </c>
      <c r="R7" s="15">
        <v>2355</v>
      </c>
      <c r="S7" s="15">
        <v>1684</v>
      </c>
      <c r="T7" s="15">
        <v>1710</v>
      </c>
      <c r="U7" s="16">
        <f t="shared" si="0"/>
        <v>75787</v>
      </c>
    </row>
    <row r="8" spans="1:21">
      <c r="A8" s="12">
        <v>2005</v>
      </c>
      <c r="B8" s="4"/>
      <c r="C8" s="15">
        <v>3920</v>
      </c>
      <c r="D8" s="15">
        <v>3917</v>
      </c>
      <c r="E8" s="15">
        <v>4552</v>
      </c>
      <c r="F8" s="15">
        <v>5879</v>
      </c>
      <c r="G8" s="15">
        <v>6019</v>
      </c>
      <c r="H8" s="15">
        <v>4637</v>
      </c>
      <c r="I8" s="15">
        <v>4297</v>
      </c>
      <c r="J8" s="15">
        <v>4991</v>
      </c>
      <c r="K8" s="15">
        <v>6065</v>
      </c>
      <c r="L8" s="15">
        <v>6265</v>
      </c>
      <c r="M8" s="15">
        <v>5697</v>
      </c>
      <c r="N8" s="15">
        <v>4882</v>
      </c>
      <c r="O8" s="15">
        <v>3616</v>
      </c>
      <c r="P8" s="15">
        <v>2894</v>
      </c>
      <c r="Q8" s="15">
        <v>2690</v>
      </c>
      <c r="R8" s="15">
        <v>2355</v>
      </c>
      <c r="S8" s="15">
        <v>1754</v>
      </c>
      <c r="T8" s="15">
        <v>1733</v>
      </c>
      <c r="U8" s="16">
        <f t="shared" si="0"/>
        <v>76163</v>
      </c>
    </row>
    <row r="9" spans="1:21">
      <c r="A9" s="12">
        <v>2006</v>
      </c>
      <c r="B9" s="4"/>
      <c r="C9" s="15">
        <v>3902</v>
      </c>
      <c r="D9" s="15">
        <v>3984</v>
      </c>
      <c r="E9" s="15">
        <v>4385</v>
      </c>
      <c r="F9" s="15">
        <v>6035</v>
      </c>
      <c r="G9" s="15">
        <v>6141</v>
      </c>
      <c r="H9" s="15">
        <v>4696</v>
      </c>
      <c r="I9" s="15">
        <v>4193</v>
      </c>
      <c r="J9" s="15">
        <v>4968</v>
      </c>
      <c r="K9" s="15">
        <v>5887</v>
      </c>
      <c r="L9" s="15">
        <v>6275</v>
      </c>
      <c r="M9" s="15">
        <v>5832</v>
      </c>
      <c r="N9" s="15">
        <v>5260</v>
      </c>
      <c r="O9" s="15">
        <v>3690</v>
      </c>
      <c r="P9" s="15">
        <v>2954</v>
      </c>
      <c r="Q9" s="15">
        <v>2686</v>
      </c>
      <c r="R9" s="15">
        <v>2379</v>
      </c>
      <c r="S9" s="15">
        <v>1870</v>
      </c>
      <c r="T9" s="15">
        <v>1787</v>
      </c>
      <c r="U9" s="16">
        <f t="shared" si="0"/>
        <v>76924</v>
      </c>
    </row>
    <row r="10" spans="1:21">
      <c r="A10" s="12">
        <v>2007</v>
      </c>
      <c r="B10" s="4"/>
      <c r="C10" s="15">
        <v>3935</v>
      </c>
      <c r="D10" s="15">
        <v>4068</v>
      </c>
      <c r="E10" s="15">
        <v>4253</v>
      </c>
      <c r="F10" s="15">
        <v>5901</v>
      </c>
      <c r="G10" s="15">
        <v>6150</v>
      </c>
      <c r="H10" s="15">
        <v>4816</v>
      </c>
      <c r="I10" s="15">
        <v>4108</v>
      </c>
      <c r="J10" s="15">
        <v>4850</v>
      </c>
      <c r="K10" s="15">
        <v>5800</v>
      </c>
      <c r="L10" s="15">
        <v>6269</v>
      </c>
      <c r="M10" s="15">
        <v>6003</v>
      </c>
      <c r="N10" s="15">
        <v>5310</v>
      </c>
      <c r="O10" s="15">
        <v>4040</v>
      </c>
      <c r="P10" s="15">
        <v>3102</v>
      </c>
      <c r="Q10" s="15">
        <v>2627</v>
      </c>
      <c r="R10" s="15">
        <v>2409</v>
      </c>
      <c r="S10" s="15">
        <v>1923</v>
      </c>
      <c r="T10" s="15">
        <v>1769</v>
      </c>
      <c r="U10" s="16">
        <f t="shared" si="0"/>
        <v>77333</v>
      </c>
    </row>
    <row r="11" spans="1:21">
      <c r="A11" s="12">
        <v>2008</v>
      </c>
      <c r="B11" s="4"/>
      <c r="C11" s="15">
        <v>3924</v>
      </c>
      <c r="D11" s="15">
        <v>4044</v>
      </c>
      <c r="E11" s="15">
        <v>4197</v>
      </c>
      <c r="F11" s="15">
        <v>5963</v>
      </c>
      <c r="G11" s="15">
        <v>6322</v>
      </c>
      <c r="H11" s="15">
        <v>4807</v>
      </c>
      <c r="I11" s="15">
        <v>4045</v>
      </c>
      <c r="J11" s="15">
        <v>4769</v>
      </c>
      <c r="K11" s="15">
        <v>5521</v>
      </c>
      <c r="L11" s="15">
        <v>6253</v>
      </c>
      <c r="M11" s="15">
        <v>6174</v>
      </c>
      <c r="N11" s="15">
        <v>5362</v>
      </c>
      <c r="O11" s="15">
        <v>4267</v>
      </c>
      <c r="P11" s="15">
        <v>3198</v>
      </c>
      <c r="Q11" s="15">
        <v>2752</v>
      </c>
      <c r="R11" s="15">
        <v>2384</v>
      </c>
      <c r="S11" s="15">
        <v>1961</v>
      </c>
      <c r="T11" s="15">
        <v>1883</v>
      </c>
      <c r="U11" s="16">
        <f t="shared" si="0"/>
        <v>77826</v>
      </c>
    </row>
    <row r="12" spans="1:21">
      <c r="A12" s="12">
        <v>2009</v>
      </c>
      <c r="B12" s="4"/>
      <c r="C12" s="15">
        <v>3871</v>
      </c>
      <c r="D12" s="15">
        <v>4032</v>
      </c>
      <c r="E12" s="15">
        <v>4187</v>
      </c>
      <c r="F12" s="15">
        <v>5850</v>
      </c>
      <c r="G12" s="15">
        <v>6490</v>
      </c>
      <c r="H12" s="15">
        <v>4696</v>
      </c>
      <c r="I12" s="15">
        <v>4096</v>
      </c>
      <c r="J12" s="15">
        <v>4752</v>
      </c>
      <c r="K12" s="15">
        <v>5258</v>
      </c>
      <c r="L12" s="15">
        <v>6224</v>
      </c>
      <c r="M12" s="15">
        <v>6196</v>
      </c>
      <c r="N12" s="15">
        <v>5478</v>
      </c>
      <c r="O12" s="15">
        <v>4485</v>
      </c>
      <c r="P12" s="15">
        <v>3328</v>
      </c>
      <c r="Q12" s="15">
        <v>2747</v>
      </c>
      <c r="R12" s="15">
        <v>2369</v>
      </c>
      <c r="S12" s="15">
        <v>2021</v>
      </c>
      <c r="T12" s="15">
        <v>1932</v>
      </c>
      <c r="U12" s="16">
        <f t="shared" si="0"/>
        <v>78012</v>
      </c>
    </row>
    <row r="13" spans="1:21">
      <c r="A13" s="12">
        <v>2010</v>
      </c>
      <c r="B13" s="4"/>
      <c r="C13" s="15">
        <v>3833</v>
      </c>
      <c r="D13" s="15">
        <v>4026</v>
      </c>
      <c r="E13" s="15">
        <v>4095</v>
      </c>
      <c r="F13" s="15">
        <v>5754</v>
      </c>
      <c r="G13" s="15">
        <v>6645</v>
      </c>
      <c r="H13" s="15">
        <v>4650</v>
      </c>
      <c r="I13" s="15">
        <v>4141</v>
      </c>
      <c r="J13" s="15">
        <v>4527</v>
      </c>
      <c r="K13" s="15">
        <v>5084</v>
      </c>
      <c r="L13" s="15">
        <v>6054</v>
      </c>
      <c r="M13" s="15">
        <v>6289</v>
      </c>
      <c r="N13" s="15">
        <v>5610</v>
      </c>
      <c r="O13" s="15">
        <v>4745</v>
      </c>
      <c r="P13" s="15">
        <v>3404</v>
      </c>
      <c r="Q13" s="15">
        <v>2796</v>
      </c>
      <c r="R13" s="15">
        <v>2365</v>
      </c>
      <c r="S13" s="15">
        <v>2021</v>
      </c>
      <c r="T13" s="15">
        <v>1976</v>
      </c>
      <c r="U13" s="16">
        <f t="shared" si="0"/>
        <v>78015</v>
      </c>
    </row>
    <row r="14" spans="1:21">
      <c r="A14" s="23">
        <v>2015</v>
      </c>
      <c r="B14" s="4"/>
      <c r="C14" s="15">
        <v>3974.4788753246935</v>
      </c>
      <c r="D14" s="15">
        <v>3866.0231039846158</v>
      </c>
      <c r="E14" s="15">
        <v>4005.3844177092483</v>
      </c>
      <c r="F14" s="15">
        <v>5104.7799609574577</v>
      </c>
      <c r="G14" s="15">
        <v>5407.6755312677587</v>
      </c>
      <c r="H14" s="15">
        <v>4549.7510783734997</v>
      </c>
      <c r="I14" s="15">
        <v>4582.7366508063333</v>
      </c>
      <c r="J14" s="15">
        <v>4104.9965788875379</v>
      </c>
      <c r="K14" s="15">
        <v>4647.3493830875022</v>
      </c>
      <c r="L14" s="15">
        <v>5064.0209273859773</v>
      </c>
      <c r="M14" s="15">
        <v>5948.4490830497161</v>
      </c>
      <c r="N14" s="15">
        <v>6212.2314372960782</v>
      </c>
      <c r="O14" s="15">
        <v>5433.5504016523973</v>
      </c>
      <c r="P14" s="15">
        <v>4465.9339806631297</v>
      </c>
      <c r="Q14" s="15">
        <v>3142.0643931216387</v>
      </c>
      <c r="R14" s="15">
        <v>2420.7718837847224</v>
      </c>
      <c r="S14" s="15">
        <v>1864.8777300695911</v>
      </c>
      <c r="T14" s="15">
        <v>2204.1527996958985</v>
      </c>
      <c r="U14" s="16">
        <f t="shared" si="0"/>
        <v>76999.228217117809</v>
      </c>
    </row>
    <row r="15" spans="1:21">
      <c r="A15" s="23">
        <v>2020</v>
      </c>
      <c r="B15" s="4"/>
      <c r="C15" s="15">
        <v>3826.8624169304744</v>
      </c>
      <c r="D15" s="15">
        <v>4008.2589916455227</v>
      </c>
      <c r="E15" s="15">
        <v>3859.1189972584652</v>
      </c>
      <c r="F15" s="15">
        <v>5025.1883631269429</v>
      </c>
      <c r="G15" s="15">
        <v>5830.9884803360756</v>
      </c>
      <c r="H15" s="15">
        <v>4346.95660402659</v>
      </c>
      <c r="I15" s="15">
        <v>4501.3705844784899</v>
      </c>
      <c r="J15" s="15">
        <v>4526.2220776722088</v>
      </c>
      <c r="K15" s="15">
        <v>4262.9083258779347</v>
      </c>
      <c r="L15" s="15">
        <v>4650.1796916398253</v>
      </c>
      <c r="M15" s="15">
        <v>4995.0582221783898</v>
      </c>
      <c r="N15" s="15">
        <v>5871.6514456612022</v>
      </c>
      <c r="O15" s="15">
        <v>6005.0611171332539</v>
      </c>
      <c r="P15" s="15">
        <v>5110.3855154875255</v>
      </c>
      <c r="Q15" s="15">
        <v>4109.3140747853204</v>
      </c>
      <c r="R15" s="15">
        <v>2727.9630664094489</v>
      </c>
      <c r="S15" s="15">
        <v>1919.421900170815</v>
      </c>
      <c r="T15" s="15">
        <v>2225.7418780114194</v>
      </c>
      <c r="U15" s="16">
        <f t="shared" si="0"/>
        <v>77802.651752829901</v>
      </c>
    </row>
    <row r="16" spans="1:21">
      <c r="A16" s="23">
        <v>2025</v>
      </c>
      <c r="B16" s="4"/>
      <c r="C16" s="15">
        <v>3879.7924211187833</v>
      </c>
      <c r="D16" s="15">
        <v>3874.9838735737108</v>
      </c>
      <c r="E16" s="15">
        <v>4000.9795787918456</v>
      </c>
      <c r="F16" s="15">
        <v>4892.6705374178018</v>
      </c>
      <c r="G16" s="15">
        <v>5808.551871774861</v>
      </c>
      <c r="H16" s="15">
        <v>4791.8896330135049</v>
      </c>
      <c r="I16" s="15">
        <v>4310.0645663100431</v>
      </c>
      <c r="J16" s="15">
        <v>4458.8651419054431</v>
      </c>
      <c r="K16" s="15">
        <v>4684.1572883430081</v>
      </c>
      <c r="L16" s="15">
        <v>4297.0712366294474</v>
      </c>
      <c r="M16" s="15">
        <v>4601.9369602733714</v>
      </c>
      <c r="N16" s="15">
        <v>4957.8338605066338</v>
      </c>
      <c r="O16" s="15">
        <v>5673.8788136446228</v>
      </c>
      <c r="P16" s="15">
        <v>5637.3654579789736</v>
      </c>
      <c r="Q16" s="15">
        <v>4699.8490903230268</v>
      </c>
      <c r="R16" s="15">
        <v>3557.4505149929782</v>
      </c>
      <c r="S16" s="15">
        <v>2174.354701752025</v>
      </c>
      <c r="T16" s="15">
        <v>2280.8626295573367</v>
      </c>
      <c r="U16" s="16">
        <f t="shared" si="0"/>
        <v>78582.558177907413</v>
      </c>
    </row>
    <row r="17" spans="1:21">
      <c r="A17" s="23">
        <v>2030</v>
      </c>
      <c r="B17" s="4"/>
      <c r="C17" s="15">
        <v>3955.8926807939956</v>
      </c>
      <c r="D17" s="15">
        <v>3932.2876785087492</v>
      </c>
      <c r="E17" s="15">
        <v>3877.9844837328196</v>
      </c>
      <c r="F17" s="15">
        <v>5034.6897973703717</v>
      </c>
      <c r="G17" s="15">
        <v>5747.3885652947947</v>
      </c>
      <c r="H17" s="15">
        <v>4829.5396963833791</v>
      </c>
      <c r="I17" s="15">
        <v>4736.6125884308349</v>
      </c>
      <c r="J17" s="15">
        <v>4277.0283148620911</v>
      </c>
      <c r="K17" s="15">
        <v>4627.8547725079134</v>
      </c>
      <c r="L17" s="15">
        <v>4711.5323802213779</v>
      </c>
      <c r="M17" s="15">
        <v>4274.7199340510624</v>
      </c>
      <c r="N17" s="15">
        <v>4588.8449040913338</v>
      </c>
      <c r="O17" s="15">
        <v>4806.6303976552008</v>
      </c>
      <c r="P17" s="15">
        <v>5325.0790694186744</v>
      </c>
      <c r="Q17" s="15">
        <v>5176.8863545449121</v>
      </c>
      <c r="R17" s="15">
        <v>4066.9351246323668</v>
      </c>
      <c r="S17" s="15">
        <v>2821.2407263050382</v>
      </c>
      <c r="T17" s="15">
        <v>2481.0366660126715</v>
      </c>
      <c r="U17" s="16">
        <f t="shared" si="0"/>
        <v>79272.18413481758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4055</v>
      </c>
      <c r="D20" s="15">
        <v>4512</v>
      </c>
      <c r="E20" s="15">
        <v>5217</v>
      </c>
      <c r="F20" s="15">
        <v>5984</v>
      </c>
      <c r="G20" s="15">
        <v>5860</v>
      </c>
      <c r="H20" s="15">
        <v>4031</v>
      </c>
      <c r="I20" s="15">
        <v>4620</v>
      </c>
      <c r="J20" s="15">
        <v>5460</v>
      </c>
      <c r="K20" s="15">
        <v>6116</v>
      </c>
      <c r="L20" s="15">
        <v>5573</v>
      </c>
      <c r="M20" s="15">
        <v>5345</v>
      </c>
      <c r="N20" s="15">
        <v>3782</v>
      </c>
      <c r="O20" s="15">
        <v>2966</v>
      </c>
      <c r="P20" s="15">
        <v>2612</v>
      </c>
      <c r="Q20" s="15">
        <v>2202</v>
      </c>
      <c r="R20" s="15">
        <v>1600</v>
      </c>
      <c r="S20" s="15">
        <v>900</v>
      </c>
      <c r="T20" s="15">
        <v>595</v>
      </c>
      <c r="U20" s="16">
        <f>SUM(C20:T20)</f>
        <v>71430</v>
      </c>
    </row>
    <row r="21" spans="1:21">
      <c r="A21" s="12">
        <v>2002</v>
      </c>
      <c r="B21" s="4"/>
      <c r="C21" s="15">
        <v>4023</v>
      </c>
      <c r="D21" s="15">
        <v>4432</v>
      </c>
      <c r="E21" s="15">
        <v>5191</v>
      </c>
      <c r="F21" s="15">
        <v>6094</v>
      </c>
      <c r="G21" s="15">
        <v>5990</v>
      </c>
      <c r="H21" s="15">
        <v>4169</v>
      </c>
      <c r="I21" s="15">
        <v>4492</v>
      </c>
      <c r="J21" s="15">
        <v>5318</v>
      </c>
      <c r="K21" s="15">
        <v>6102</v>
      </c>
      <c r="L21" s="15">
        <v>5686</v>
      </c>
      <c r="M21" s="15">
        <v>5329</v>
      </c>
      <c r="N21" s="15">
        <v>4144</v>
      </c>
      <c r="O21" s="15">
        <v>2997</v>
      </c>
      <c r="P21" s="15">
        <v>2604</v>
      </c>
      <c r="Q21" s="15">
        <v>2267</v>
      </c>
      <c r="R21" s="15">
        <v>1660</v>
      </c>
      <c r="S21" s="15">
        <v>946</v>
      </c>
      <c r="T21" s="15">
        <v>628</v>
      </c>
      <c r="U21" s="16">
        <f t="shared" ref="U21:U33" si="1">SUM(C21:T21)</f>
        <v>72072</v>
      </c>
    </row>
    <row r="22" spans="1:21">
      <c r="A22" s="12">
        <v>2003</v>
      </c>
      <c r="B22" s="4"/>
      <c r="C22" s="15">
        <v>4057</v>
      </c>
      <c r="D22" s="15">
        <v>4351</v>
      </c>
      <c r="E22" s="15">
        <v>5122</v>
      </c>
      <c r="F22" s="15">
        <v>6243</v>
      </c>
      <c r="G22" s="15">
        <v>6343</v>
      </c>
      <c r="H22" s="15">
        <v>4284</v>
      </c>
      <c r="I22" s="15">
        <v>4422</v>
      </c>
      <c r="J22" s="15">
        <v>5123</v>
      </c>
      <c r="K22" s="15">
        <v>6072</v>
      </c>
      <c r="L22" s="15">
        <v>5902</v>
      </c>
      <c r="M22" s="15">
        <v>5332</v>
      </c>
      <c r="N22" s="15">
        <v>4361</v>
      </c>
      <c r="O22" s="15">
        <v>3110</v>
      </c>
      <c r="P22" s="15">
        <v>2643</v>
      </c>
      <c r="Q22" s="15">
        <v>2286</v>
      </c>
      <c r="R22" s="15">
        <v>1707</v>
      </c>
      <c r="S22" s="15">
        <v>989</v>
      </c>
      <c r="T22" s="15">
        <v>654</v>
      </c>
      <c r="U22" s="16">
        <f t="shared" si="1"/>
        <v>73001</v>
      </c>
    </row>
    <row r="23" spans="1:21">
      <c r="A23" s="12">
        <v>2004</v>
      </c>
      <c r="B23" s="4"/>
      <c r="C23" s="15">
        <v>4091</v>
      </c>
      <c r="D23" s="15">
        <v>4295</v>
      </c>
      <c r="E23" s="15">
        <v>4981</v>
      </c>
      <c r="F23" s="15">
        <v>6170</v>
      </c>
      <c r="G23" s="15">
        <v>6289</v>
      </c>
      <c r="H23" s="15">
        <v>4374</v>
      </c>
      <c r="I23" s="15">
        <v>4266</v>
      </c>
      <c r="J23" s="15">
        <v>4964</v>
      </c>
      <c r="K23" s="15">
        <v>5925</v>
      </c>
      <c r="L23" s="15">
        <v>5945</v>
      </c>
      <c r="M23" s="15">
        <v>5467</v>
      </c>
      <c r="N23" s="15">
        <v>4617</v>
      </c>
      <c r="O23" s="15">
        <v>3290</v>
      </c>
      <c r="P23" s="15">
        <v>2637</v>
      </c>
      <c r="Q23" s="15">
        <v>2237</v>
      </c>
      <c r="R23" s="15">
        <v>1737</v>
      </c>
      <c r="S23" s="15">
        <v>1053</v>
      </c>
      <c r="T23" s="15">
        <v>689</v>
      </c>
      <c r="U23" s="16">
        <f t="shared" si="1"/>
        <v>73027</v>
      </c>
    </row>
    <row r="24" spans="1:21">
      <c r="A24" s="12">
        <v>2005</v>
      </c>
      <c r="B24" s="4"/>
      <c r="C24" s="15">
        <v>4117</v>
      </c>
      <c r="D24" s="15">
        <v>4243</v>
      </c>
      <c r="E24" s="15">
        <v>4773</v>
      </c>
      <c r="F24" s="15">
        <v>6229</v>
      </c>
      <c r="G24" s="15">
        <v>6462</v>
      </c>
      <c r="H24" s="15">
        <v>4568</v>
      </c>
      <c r="I24" s="15">
        <v>4089</v>
      </c>
      <c r="J24" s="15">
        <v>4794</v>
      </c>
      <c r="K24" s="15">
        <v>5844</v>
      </c>
      <c r="L24" s="15">
        <v>6067</v>
      </c>
      <c r="M24" s="15">
        <v>5525</v>
      </c>
      <c r="N24" s="15">
        <v>4901</v>
      </c>
      <c r="O24" s="15">
        <v>3448</v>
      </c>
      <c r="P24" s="15">
        <v>2629</v>
      </c>
      <c r="Q24" s="15">
        <v>2226</v>
      </c>
      <c r="R24" s="15">
        <v>1835</v>
      </c>
      <c r="S24" s="15">
        <v>1112</v>
      </c>
      <c r="T24" s="15">
        <v>701</v>
      </c>
      <c r="U24" s="16">
        <f t="shared" si="1"/>
        <v>73563</v>
      </c>
    </row>
    <row r="25" spans="1:21">
      <c r="A25" s="12">
        <v>2006</v>
      </c>
      <c r="B25" s="4"/>
      <c r="C25" s="15">
        <v>4168</v>
      </c>
      <c r="D25" s="15">
        <v>4231</v>
      </c>
      <c r="E25" s="15">
        <v>4703</v>
      </c>
      <c r="F25" s="15">
        <v>6360</v>
      </c>
      <c r="G25" s="15">
        <v>6786</v>
      </c>
      <c r="H25" s="15">
        <v>4669</v>
      </c>
      <c r="I25" s="15">
        <v>3974</v>
      </c>
      <c r="J25" s="15">
        <v>4768</v>
      </c>
      <c r="K25" s="15">
        <v>5689</v>
      </c>
      <c r="L25" s="15">
        <v>6086</v>
      </c>
      <c r="M25" s="15">
        <v>5503</v>
      </c>
      <c r="N25" s="15">
        <v>5232</v>
      </c>
      <c r="O25" s="15">
        <v>3573</v>
      </c>
      <c r="P25" s="15">
        <v>2700</v>
      </c>
      <c r="Q25" s="15">
        <v>2337</v>
      </c>
      <c r="R25" s="15">
        <v>1795</v>
      </c>
      <c r="S25" s="15">
        <v>1162</v>
      </c>
      <c r="T25" s="15">
        <v>786</v>
      </c>
      <c r="U25" s="16">
        <f t="shared" si="1"/>
        <v>74522</v>
      </c>
    </row>
    <row r="26" spans="1:21">
      <c r="A26" s="12">
        <v>2007</v>
      </c>
      <c r="B26" s="4"/>
      <c r="C26" s="15">
        <v>4230</v>
      </c>
      <c r="D26" s="15">
        <v>4192</v>
      </c>
      <c r="E26" s="15">
        <v>4542</v>
      </c>
      <c r="F26" s="15">
        <v>6339</v>
      </c>
      <c r="G26" s="15">
        <v>6808</v>
      </c>
      <c r="H26" s="15">
        <v>4751</v>
      </c>
      <c r="I26" s="15">
        <v>3957</v>
      </c>
      <c r="J26" s="15">
        <v>4704</v>
      </c>
      <c r="K26" s="15">
        <v>5455</v>
      </c>
      <c r="L26" s="15">
        <v>6097</v>
      </c>
      <c r="M26" s="15">
        <v>5679</v>
      </c>
      <c r="N26" s="15">
        <v>5194</v>
      </c>
      <c r="O26" s="15">
        <v>3923</v>
      </c>
      <c r="P26" s="15">
        <v>2787</v>
      </c>
      <c r="Q26" s="15">
        <v>2337</v>
      </c>
      <c r="R26" s="15">
        <v>1865</v>
      </c>
      <c r="S26" s="15">
        <v>1233</v>
      </c>
      <c r="T26" s="15">
        <v>806</v>
      </c>
      <c r="U26" s="16">
        <f t="shared" si="1"/>
        <v>74899</v>
      </c>
    </row>
    <row r="27" spans="1:21">
      <c r="A27" s="12">
        <v>2008</v>
      </c>
      <c r="B27" s="4"/>
      <c r="C27" s="15">
        <v>4206</v>
      </c>
      <c r="D27" s="15">
        <v>4180</v>
      </c>
      <c r="E27" s="15">
        <v>4438</v>
      </c>
      <c r="F27" s="15">
        <v>6408</v>
      </c>
      <c r="G27" s="15">
        <v>7128</v>
      </c>
      <c r="H27" s="15">
        <v>4784</v>
      </c>
      <c r="I27" s="15">
        <v>3968</v>
      </c>
      <c r="J27" s="15">
        <v>4595</v>
      </c>
      <c r="K27" s="15">
        <v>5293</v>
      </c>
      <c r="L27" s="15">
        <v>5969</v>
      </c>
      <c r="M27" s="15">
        <v>5866</v>
      </c>
      <c r="N27" s="15">
        <v>5198</v>
      </c>
      <c r="O27" s="15">
        <v>4156</v>
      </c>
      <c r="P27" s="15">
        <v>2923</v>
      </c>
      <c r="Q27" s="15">
        <v>2352</v>
      </c>
      <c r="R27" s="15">
        <v>1937</v>
      </c>
      <c r="S27" s="15">
        <v>1282</v>
      </c>
      <c r="T27" s="15">
        <v>863</v>
      </c>
      <c r="U27" s="16">
        <f t="shared" si="1"/>
        <v>75546</v>
      </c>
    </row>
    <row r="28" spans="1:21">
      <c r="A28" s="12">
        <v>2009</v>
      </c>
      <c r="B28" s="4"/>
      <c r="C28" s="15">
        <v>4183</v>
      </c>
      <c r="D28" s="15">
        <v>4162</v>
      </c>
      <c r="E28" s="15">
        <v>4371</v>
      </c>
      <c r="F28" s="15">
        <v>6342</v>
      </c>
      <c r="G28" s="15">
        <v>7285</v>
      </c>
      <c r="H28" s="15">
        <v>4754</v>
      </c>
      <c r="I28" s="15">
        <v>4033</v>
      </c>
      <c r="J28" s="15">
        <v>4544</v>
      </c>
      <c r="K28" s="15">
        <v>5045</v>
      </c>
      <c r="L28" s="15">
        <v>5832</v>
      </c>
      <c r="M28" s="15">
        <v>5972</v>
      </c>
      <c r="N28" s="15">
        <v>5348</v>
      </c>
      <c r="O28" s="15">
        <v>4370</v>
      </c>
      <c r="P28" s="15">
        <v>3081</v>
      </c>
      <c r="Q28" s="15">
        <v>2338</v>
      </c>
      <c r="R28" s="15">
        <v>1895</v>
      </c>
      <c r="S28" s="15">
        <v>1281</v>
      </c>
      <c r="T28" s="15">
        <v>922</v>
      </c>
      <c r="U28" s="16">
        <f t="shared" si="1"/>
        <v>75758</v>
      </c>
    </row>
    <row r="29" spans="1:21">
      <c r="A29" s="12">
        <v>2010</v>
      </c>
      <c r="B29" s="4"/>
      <c r="C29" s="15">
        <v>4117</v>
      </c>
      <c r="D29" s="15">
        <v>4248</v>
      </c>
      <c r="E29" s="15">
        <v>4321</v>
      </c>
      <c r="F29" s="15">
        <v>6140</v>
      </c>
      <c r="G29" s="15">
        <v>7356</v>
      </c>
      <c r="H29" s="15">
        <v>4765</v>
      </c>
      <c r="I29" s="15">
        <v>4122</v>
      </c>
      <c r="J29" s="15">
        <v>4311</v>
      </c>
      <c r="K29" s="15">
        <v>4878</v>
      </c>
      <c r="L29" s="15">
        <v>5691</v>
      </c>
      <c r="M29" s="15">
        <v>6053</v>
      </c>
      <c r="N29" s="15">
        <v>5453</v>
      </c>
      <c r="O29" s="15">
        <v>4612</v>
      </c>
      <c r="P29" s="15">
        <v>3202</v>
      </c>
      <c r="Q29" s="15">
        <v>2349</v>
      </c>
      <c r="R29" s="15">
        <v>1902</v>
      </c>
      <c r="S29" s="15">
        <v>1339</v>
      </c>
      <c r="T29" s="15">
        <v>964</v>
      </c>
      <c r="U29" s="16">
        <f t="shared" si="1"/>
        <v>75823</v>
      </c>
    </row>
    <row r="30" spans="1:21">
      <c r="A30" s="23">
        <v>2015</v>
      </c>
      <c r="B30" s="4"/>
      <c r="C30" s="15">
        <v>4225.2913012480403</v>
      </c>
      <c r="D30" s="15">
        <v>4141.888554543948</v>
      </c>
      <c r="E30" s="15">
        <v>4223.0893105156383</v>
      </c>
      <c r="F30" s="15">
        <v>5637.6759032133095</v>
      </c>
      <c r="G30" s="15">
        <v>6761.6161730284693</v>
      </c>
      <c r="H30" s="15">
        <v>5674.5275951069489</v>
      </c>
      <c r="I30" s="15">
        <v>4667.8620463214329</v>
      </c>
      <c r="J30" s="15">
        <v>4068.9173495837099</v>
      </c>
      <c r="K30" s="15">
        <v>4432.8797336435982</v>
      </c>
      <c r="L30" s="15">
        <v>4831.6341212663756</v>
      </c>
      <c r="M30" s="15">
        <v>5526.0145490063369</v>
      </c>
      <c r="N30" s="15">
        <v>5868.6852447976671</v>
      </c>
      <c r="O30" s="15">
        <v>5154.1410872360302</v>
      </c>
      <c r="P30" s="15">
        <v>4200.7014215434883</v>
      </c>
      <c r="Q30" s="15">
        <v>2813.9048859326272</v>
      </c>
      <c r="R30" s="15">
        <v>1936.3458885763573</v>
      </c>
      <c r="S30" s="15">
        <v>1407.9142833596181</v>
      </c>
      <c r="T30" s="15">
        <v>1177.4597247238892</v>
      </c>
      <c r="U30" s="16">
        <f t="shared" si="1"/>
        <v>76750.549173647465</v>
      </c>
    </row>
    <row r="31" spans="1:21">
      <c r="A31" s="23">
        <v>2020</v>
      </c>
      <c r="B31" s="4"/>
      <c r="C31" s="15">
        <v>4068.3593971822079</v>
      </c>
      <c r="D31" s="15">
        <v>4252.9572898432543</v>
      </c>
      <c r="E31" s="15">
        <v>4129.0541600759843</v>
      </c>
      <c r="F31" s="15">
        <v>5550.7841534113759</v>
      </c>
      <c r="G31" s="15">
        <v>6372.9507036829036</v>
      </c>
      <c r="H31" s="15">
        <v>5123.4765082764634</v>
      </c>
      <c r="I31" s="15">
        <v>5491.1297211382143</v>
      </c>
      <c r="J31" s="15">
        <v>4580.344001198403</v>
      </c>
      <c r="K31" s="15">
        <v>4227.1658202686513</v>
      </c>
      <c r="L31" s="15">
        <v>4415.7704186462561</v>
      </c>
      <c r="M31" s="15">
        <v>4711.0447326242429</v>
      </c>
      <c r="N31" s="15">
        <v>5363.6230773424204</v>
      </c>
      <c r="O31" s="15">
        <v>5539.1081287640309</v>
      </c>
      <c r="P31" s="15">
        <v>4694.4363795304789</v>
      </c>
      <c r="Q31" s="15">
        <v>3677.5858880349815</v>
      </c>
      <c r="R31" s="15">
        <v>2324.7969783220751</v>
      </c>
      <c r="S31" s="15">
        <v>1446.2546130814887</v>
      </c>
      <c r="T31" s="15">
        <v>1309.7851434461013</v>
      </c>
      <c r="U31" s="16">
        <f t="shared" si="1"/>
        <v>77278.627114869538</v>
      </c>
    </row>
    <row r="32" spans="1:21">
      <c r="A32" s="23">
        <v>2025</v>
      </c>
      <c r="B32" s="4"/>
      <c r="C32" s="15">
        <v>4124.6295883915172</v>
      </c>
      <c r="D32" s="15">
        <v>4111.7085525075136</v>
      </c>
      <c r="E32" s="15">
        <v>4241.2709329369645</v>
      </c>
      <c r="F32" s="15">
        <v>5468.9839451743064</v>
      </c>
      <c r="G32" s="15">
        <v>6346.6615141076581</v>
      </c>
      <c r="H32" s="15">
        <v>4864.9757125330243</v>
      </c>
      <c r="I32" s="15">
        <v>4987.3827453415079</v>
      </c>
      <c r="J32" s="15">
        <v>5339.0921168234172</v>
      </c>
      <c r="K32" s="15">
        <v>4731.7108264996032</v>
      </c>
      <c r="L32" s="15">
        <v>4238.3802196284196</v>
      </c>
      <c r="M32" s="15">
        <v>4323.4186125878286</v>
      </c>
      <c r="N32" s="15">
        <v>4599.9947080848415</v>
      </c>
      <c r="O32" s="15">
        <v>5066.196624490296</v>
      </c>
      <c r="P32" s="15">
        <v>5038.2364326059442</v>
      </c>
      <c r="Q32" s="15">
        <v>4110.1776846681241</v>
      </c>
      <c r="R32" s="15">
        <v>3027.335814506856</v>
      </c>
      <c r="S32" s="15">
        <v>1744.9229537032138</v>
      </c>
      <c r="T32" s="15">
        <v>1402.7572640068151</v>
      </c>
      <c r="U32" s="16">
        <f t="shared" si="1"/>
        <v>77767.836248597843</v>
      </c>
    </row>
    <row r="33" spans="1:21">
      <c r="A33" s="23">
        <v>2030</v>
      </c>
      <c r="B33" s="4"/>
      <c r="C33" s="15">
        <v>4205.5322111792966</v>
      </c>
      <c r="D33" s="15">
        <v>4172.5238359726582</v>
      </c>
      <c r="E33" s="15">
        <v>4111.1083684060422</v>
      </c>
      <c r="F33" s="15">
        <v>5582.6579626730427</v>
      </c>
      <c r="G33" s="15">
        <v>6334.8604257869883</v>
      </c>
      <c r="H33" s="15">
        <v>4902.1975923484406</v>
      </c>
      <c r="I33" s="15">
        <v>4780.5432747670693</v>
      </c>
      <c r="J33" s="15">
        <v>4871.9475187894022</v>
      </c>
      <c r="K33" s="15">
        <v>5467.0618127056678</v>
      </c>
      <c r="L33" s="15">
        <v>4727.6408515370695</v>
      </c>
      <c r="M33" s="15">
        <v>4169.1144248723485</v>
      </c>
      <c r="N33" s="15">
        <v>4246.5313606875516</v>
      </c>
      <c r="O33" s="15">
        <v>4360.8148397275618</v>
      </c>
      <c r="P33" s="15">
        <v>4612.0949712680904</v>
      </c>
      <c r="Q33" s="15">
        <v>4406.4648802578376</v>
      </c>
      <c r="R33" s="15">
        <v>3384.1663981102774</v>
      </c>
      <c r="S33" s="15">
        <v>2256.810032336075</v>
      </c>
      <c r="T33" s="15">
        <v>1629.1477469497222</v>
      </c>
      <c r="U33" s="16">
        <f t="shared" si="1"/>
        <v>78221.218508375139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7806</v>
      </c>
      <c r="D36" s="15">
        <f t="shared" ref="D36:T36" si="2">D20+D4</f>
        <v>8707</v>
      </c>
      <c r="E36" s="15">
        <f t="shared" si="2"/>
        <v>10200</v>
      </c>
      <c r="F36" s="15">
        <f t="shared" si="2"/>
        <v>11677</v>
      </c>
      <c r="G36" s="15">
        <f t="shared" si="2"/>
        <v>11553</v>
      </c>
      <c r="H36" s="15">
        <f t="shared" si="2"/>
        <v>8374</v>
      </c>
      <c r="I36" s="15">
        <f t="shared" si="2"/>
        <v>9398</v>
      </c>
      <c r="J36" s="15">
        <f t="shared" si="2"/>
        <v>11189</v>
      </c>
      <c r="K36" s="15">
        <f t="shared" si="2"/>
        <v>12359</v>
      </c>
      <c r="L36" s="15">
        <f t="shared" si="2"/>
        <v>11437</v>
      </c>
      <c r="M36" s="15">
        <f t="shared" si="2"/>
        <v>10715</v>
      </c>
      <c r="N36" s="15">
        <f t="shared" si="2"/>
        <v>7578</v>
      </c>
      <c r="O36" s="15">
        <f t="shared" si="2"/>
        <v>6074</v>
      </c>
      <c r="P36" s="15">
        <f t="shared" si="2"/>
        <v>5526</v>
      </c>
      <c r="Q36" s="15">
        <f t="shared" si="2"/>
        <v>4938</v>
      </c>
      <c r="R36" s="15">
        <f t="shared" si="2"/>
        <v>3841</v>
      </c>
      <c r="S36" s="15">
        <f t="shared" si="2"/>
        <v>2503</v>
      </c>
      <c r="T36" s="15">
        <f t="shared" si="2"/>
        <v>2235</v>
      </c>
      <c r="U36" s="16">
        <f>SUM(C36:T36)</f>
        <v>146110</v>
      </c>
    </row>
    <row r="37" spans="1:21">
      <c r="A37" s="12">
        <v>2002</v>
      </c>
      <c r="B37" s="4"/>
      <c r="C37" s="15">
        <f t="shared" ref="C37:T49" si="3">C21+C5</f>
        <v>7933</v>
      </c>
      <c r="D37" s="15">
        <f t="shared" si="3"/>
        <v>8496</v>
      </c>
      <c r="E37" s="15">
        <f t="shared" si="3"/>
        <v>10097</v>
      </c>
      <c r="F37" s="15">
        <f t="shared" si="3"/>
        <v>11795</v>
      </c>
      <c r="G37" s="15">
        <f t="shared" si="3"/>
        <v>11913</v>
      </c>
      <c r="H37" s="15">
        <f t="shared" si="3"/>
        <v>8497</v>
      </c>
      <c r="I37" s="15">
        <f t="shared" si="3"/>
        <v>9099</v>
      </c>
      <c r="J37" s="15">
        <f t="shared" si="3"/>
        <v>10966</v>
      </c>
      <c r="K37" s="15">
        <f t="shared" si="3"/>
        <v>12284</v>
      </c>
      <c r="L37" s="15">
        <f t="shared" si="3"/>
        <v>11685</v>
      </c>
      <c r="M37" s="15">
        <f t="shared" si="3"/>
        <v>10714</v>
      </c>
      <c r="N37" s="15">
        <f t="shared" si="3"/>
        <v>8265</v>
      </c>
      <c r="O37" s="15">
        <f t="shared" si="3"/>
        <v>6269</v>
      </c>
      <c r="P37" s="15">
        <f t="shared" si="3"/>
        <v>5404</v>
      </c>
      <c r="Q37" s="15">
        <f t="shared" si="3"/>
        <v>5020</v>
      </c>
      <c r="R37" s="15">
        <f t="shared" si="3"/>
        <v>3959</v>
      </c>
      <c r="S37" s="15">
        <f t="shared" si="3"/>
        <v>2628</v>
      </c>
      <c r="T37" s="15">
        <f t="shared" si="3"/>
        <v>2274</v>
      </c>
      <c r="U37" s="16">
        <f t="shared" ref="U37:U49" si="4">SUM(C37:T37)</f>
        <v>147298</v>
      </c>
    </row>
    <row r="38" spans="1:21">
      <c r="A38" s="12">
        <v>2003</v>
      </c>
      <c r="B38" s="4"/>
      <c r="C38" s="15">
        <f t="shared" si="3"/>
        <v>7923</v>
      </c>
      <c r="D38" s="15">
        <f t="shared" si="3"/>
        <v>8383</v>
      </c>
      <c r="E38" s="15">
        <f t="shared" si="3"/>
        <v>10014</v>
      </c>
      <c r="F38" s="15">
        <f t="shared" si="3"/>
        <v>12048</v>
      </c>
      <c r="G38" s="15">
        <f t="shared" si="3"/>
        <v>12325</v>
      </c>
      <c r="H38" s="15">
        <f t="shared" si="3"/>
        <v>8718</v>
      </c>
      <c r="I38" s="15">
        <f t="shared" si="3"/>
        <v>8912</v>
      </c>
      <c r="J38" s="15">
        <f t="shared" si="3"/>
        <v>10540</v>
      </c>
      <c r="K38" s="15">
        <f t="shared" si="3"/>
        <v>12249</v>
      </c>
      <c r="L38" s="15">
        <f t="shared" si="3"/>
        <v>12110</v>
      </c>
      <c r="M38" s="15">
        <f t="shared" si="3"/>
        <v>10809</v>
      </c>
      <c r="N38" s="15">
        <f t="shared" si="3"/>
        <v>8691</v>
      </c>
      <c r="O38" s="15">
        <f t="shared" si="3"/>
        <v>6473</v>
      </c>
      <c r="P38" s="15">
        <f t="shared" si="3"/>
        <v>5499</v>
      </c>
      <c r="Q38" s="15">
        <f t="shared" si="3"/>
        <v>5043</v>
      </c>
      <c r="R38" s="15">
        <f t="shared" si="3"/>
        <v>4015</v>
      </c>
      <c r="S38" s="15">
        <f t="shared" si="3"/>
        <v>2681</v>
      </c>
      <c r="T38" s="15">
        <f t="shared" si="3"/>
        <v>2326</v>
      </c>
      <c r="U38" s="16">
        <f t="shared" si="4"/>
        <v>148759</v>
      </c>
    </row>
    <row r="39" spans="1:21">
      <c r="A39" s="12">
        <v>2004</v>
      </c>
      <c r="B39" s="4"/>
      <c r="C39" s="15">
        <f t="shared" si="3"/>
        <v>7988</v>
      </c>
      <c r="D39" s="15">
        <f t="shared" si="3"/>
        <v>8239</v>
      </c>
      <c r="E39" s="15">
        <f t="shared" si="3"/>
        <v>9672</v>
      </c>
      <c r="F39" s="15">
        <f t="shared" si="3"/>
        <v>12000</v>
      </c>
      <c r="G39" s="15">
        <f t="shared" si="3"/>
        <v>12219</v>
      </c>
      <c r="H39" s="15">
        <f t="shared" si="3"/>
        <v>8943</v>
      </c>
      <c r="I39" s="15">
        <f t="shared" si="3"/>
        <v>8690</v>
      </c>
      <c r="J39" s="15">
        <f t="shared" si="3"/>
        <v>10117</v>
      </c>
      <c r="K39" s="15">
        <f t="shared" si="3"/>
        <v>12104</v>
      </c>
      <c r="L39" s="15">
        <f t="shared" si="3"/>
        <v>12110</v>
      </c>
      <c r="M39" s="15">
        <f t="shared" si="3"/>
        <v>11052</v>
      </c>
      <c r="N39" s="15">
        <f t="shared" si="3"/>
        <v>9181</v>
      </c>
      <c r="O39" s="15">
        <f t="shared" si="3"/>
        <v>6811</v>
      </c>
      <c r="P39" s="15">
        <f t="shared" si="3"/>
        <v>5515</v>
      </c>
      <c r="Q39" s="15">
        <f t="shared" si="3"/>
        <v>4945</v>
      </c>
      <c r="R39" s="15">
        <f t="shared" si="3"/>
        <v>4092</v>
      </c>
      <c r="S39" s="15">
        <f t="shared" si="3"/>
        <v>2737</v>
      </c>
      <c r="T39" s="15">
        <f t="shared" si="3"/>
        <v>2399</v>
      </c>
      <c r="U39" s="16">
        <f t="shared" si="4"/>
        <v>148814</v>
      </c>
    </row>
    <row r="40" spans="1:21">
      <c r="A40" s="12">
        <v>2005</v>
      </c>
      <c r="B40" s="4"/>
      <c r="C40" s="15">
        <f t="shared" si="3"/>
        <v>8037</v>
      </c>
      <c r="D40" s="15">
        <f t="shared" si="3"/>
        <v>8160</v>
      </c>
      <c r="E40" s="15">
        <f t="shared" si="3"/>
        <v>9325</v>
      </c>
      <c r="F40" s="15">
        <f t="shared" si="3"/>
        <v>12108</v>
      </c>
      <c r="G40" s="15">
        <f t="shared" si="3"/>
        <v>12481</v>
      </c>
      <c r="H40" s="15">
        <f t="shared" si="3"/>
        <v>9205</v>
      </c>
      <c r="I40" s="15">
        <f t="shared" si="3"/>
        <v>8386</v>
      </c>
      <c r="J40" s="15">
        <f t="shared" si="3"/>
        <v>9785</v>
      </c>
      <c r="K40" s="15">
        <f t="shared" si="3"/>
        <v>11909</v>
      </c>
      <c r="L40" s="15">
        <f t="shared" si="3"/>
        <v>12332</v>
      </c>
      <c r="M40" s="15">
        <f t="shared" si="3"/>
        <v>11222</v>
      </c>
      <c r="N40" s="15">
        <f t="shared" si="3"/>
        <v>9783</v>
      </c>
      <c r="O40" s="15">
        <f t="shared" si="3"/>
        <v>7064</v>
      </c>
      <c r="P40" s="15">
        <f t="shared" si="3"/>
        <v>5523</v>
      </c>
      <c r="Q40" s="15">
        <f t="shared" si="3"/>
        <v>4916</v>
      </c>
      <c r="R40" s="15">
        <f t="shared" si="3"/>
        <v>4190</v>
      </c>
      <c r="S40" s="15">
        <f t="shared" si="3"/>
        <v>2866</v>
      </c>
      <c r="T40" s="15">
        <f t="shared" si="3"/>
        <v>2434</v>
      </c>
      <c r="U40" s="16">
        <f t="shared" si="4"/>
        <v>149726</v>
      </c>
    </row>
    <row r="41" spans="1:21">
      <c r="A41" s="12">
        <v>2006</v>
      </c>
      <c r="B41" s="4"/>
      <c r="C41" s="15">
        <f t="shared" si="3"/>
        <v>8070</v>
      </c>
      <c r="D41" s="15">
        <f t="shared" si="3"/>
        <v>8215</v>
      </c>
      <c r="E41" s="15">
        <f t="shared" si="3"/>
        <v>9088</v>
      </c>
      <c r="F41" s="15">
        <f t="shared" si="3"/>
        <v>12395</v>
      </c>
      <c r="G41" s="15">
        <f t="shared" si="3"/>
        <v>12927</v>
      </c>
      <c r="H41" s="15">
        <f t="shared" si="3"/>
        <v>9365</v>
      </c>
      <c r="I41" s="15">
        <f t="shared" si="3"/>
        <v>8167</v>
      </c>
      <c r="J41" s="15">
        <f t="shared" si="3"/>
        <v>9736</v>
      </c>
      <c r="K41" s="15">
        <f t="shared" si="3"/>
        <v>11576</v>
      </c>
      <c r="L41" s="15">
        <f t="shared" si="3"/>
        <v>12361</v>
      </c>
      <c r="M41" s="15">
        <f t="shared" si="3"/>
        <v>11335</v>
      </c>
      <c r="N41" s="15">
        <f t="shared" si="3"/>
        <v>10492</v>
      </c>
      <c r="O41" s="15">
        <f t="shared" si="3"/>
        <v>7263</v>
      </c>
      <c r="P41" s="15">
        <f t="shared" si="3"/>
        <v>5654</v>
      </c>
      <c r="Q41" s="15">
        <f t="shared" si="3"/>
        <v>5023</v>
      </c>
      <c r="R41" s="15">
        <f t="shared" si="3"/>
        <v>4174</v>
      </c>
      <c r="S41" s="15">
        <f t="shared" si="3"/>
        <v>3032</v>
      </c>
      <c r="T41" s="15">
        <f t="shared" si="3"/>
        <v>2573</v>
      </c>
      <c r="U41" s="16">
        <f t="shared" si="4"/>
        <v>151446</v>
      </c>
    </row>
    <row r="42" spans="1:21">
      <c r="A42" s="12">
        <v>2007</v>
      </c>
      <c r="B42" s="4"/>
      <c r="C42" s="15">
        <f t="shared" si="3"/>
        <v>8165</v>
      </c>
      <c r="D42" s="15">
        <f t="shared" si="3"/>
        <v>8260</v>
      </c>
      <c r="E42" s="15">
        <f t="shared" si="3"/>
        <v>8795</v>
      </c>
      <c r="F42" s="15">
        <f t="shared" si="3"/>
        <v>12240</v>
      </c>
      <c r="G42" s="15">
        <f t="shared" si="3"/>
        <v>12958</v>
      </c>
      <c r="H42" s="15">
        <f t="shared" si="3"/>
        <v>9567</v>
      </c>
      <c r="I42" s="15">
        <f t="shared" si="3"/>
        <v>8065</v>
      </c>
      <c r="J42" s="15">
        <f t="shared" si="3"/>
        <v>9554</v>
      </c>
      <c r="K42" s="15">
        <f t="shared" si="3"/>
        <v>11255</v>
      </c>
      <c r="L42" s="15">
        <f t="shared" si="3"/>
        <v>12366</v>
      </c>
      <c r="M42" s="15">
        <f t="shared" si="3"/>
        <v>11682</v>
      </c>
      <c r="N42" s="15">
        <f t="shared" si="3"/>
        <v>10504</v>
      </c>
      <c r="O42" s="15">
        <f t="shared" si="3"/>
        <v>7963</v>
      </c>
      <c r="P42" s="15">
        <f t="shared" si="3"/>
        <v>5889</v>
      </c>
      <c r="Q42" s="15">
        <f t="shared" si="3"/>
        <v>4964</v>
      </c>
      <c r="R42" s="15">
        <f t="shared" si="3"/>
        <v>4274</v>
      </c>
      <c r="S42" s="15">
        <f t="shared" si="3"/>
        <v>3156</v>
      </c>
      <c r="T42" s="15">
        <f t="shared" si="3"/>
        <v>2575</v>
      </c>
      <c r="U42" s="16">
        <f t="shared" si="4"/>
        <v>152232</v>
      </c>
    </row>
    <row r="43" spans="1:21">
      <c r="A43" s="12">
        <v>2008</v>
      </c>
      <c r="B43" s="4"/>
      <c r="C43" s="15">
        <f t="shared" si="3"/>
        <v>8130</v>
      </c>
      <c r="D43" s="15">
        <f t="shared" si="3"/>
        <v>8224</v>
      </c>
      <c r="E43" s="15">
        <f t="shared" si="3"/>
        <v>8635</v>
      </c>
      <c r="F43" s="15">
        <f t="shared" si="3"/>
        <v>12371</v>
      </c>
      <c r="G43" s="15">
        <f t="shared" si="3"/>
        <v>13450</v>
      </c>
      <c r="H43" s="15">
        <f t="shared" si="3"/>
        <v>9591</v>
      </c>
      <c r="I43" s="15">
        <f t="shared" si="3"/>
        <v>8013</v>
      </c>
      <c r="J43" s="15">
        <f t="shared" si="3"/>
        <v>9364</v>
      </c>
      <c r="K43" s="15">
        <f t="shared" si="3"/>
        <v>10814</v>
      </c>
      <c r="L43" s="15">
        <f t="shared" si="3"/>
        <v>12222</v>
      </c>
      <c r="M43" s="15">
        <f t="shared" si="3"/>
        <v>12040</v>
      </c>
      <c r="N43" s="15">
        <f t="shared" si="3"/>
        <v>10560</v>
      </c>
      <c r="O43" s="15">
        <f t="shared" si="3"/>
        <v>8423</v>
      </c>
      <c r="P43" s="15">
        <f t="shared" si="3"/>
        <v>6121</v>
      </c>
      <c r="Q43" s="15">
        <f t="shared" si="3"/>
        <v>5104</v>
      </c>
      <c r="R43" s="15">
        <f t="shared" si="3"/>
        <v>4321</v>
      </c>
      <c r="S43" s="15">
        <f t="shared" si="3"/>
        <v>3243</v>
      </c>
      <c r="T43" s="15">
        <f t="shared" si="3"/>
        <v>2746</v>
      </c>
      <c r="U43" s="16">
        <f t="shared" si="4"/>
        <v>153372</v>
      </c>
    </row>
    <row r="44" spans="1:21">
      <c r="A44" s="12">
        <v>2009</v>
      </c>
      <c r="B44" s="4"/>
      <c r="C44" s="15">
        <f t="shared" si="3"/>
        <v>8054</v>
      </c>
      <c r="D44" s="15">
        <f t="shared" si="3"/>
        <v>8194</v>
      </c>
      <c r="E44" s="15">
        <f t="shared" si="3"/>
        <v>8558</v>
      </c>
      <c r="F44" s="15">
        <f t="shared" si="3"/>
        <v>12192</v>
      </c>
      <c r="G44" s="15">
        <f t="shared" si="3"/>
        <v>13775</v>
      </c>
      <c r="H44" s="15">
        <f t="shared" si="3"/>
        <v>9450</v>
      </c>
      <c r="I44" s="15">
        <f t="shared" si="3"/>
        <v>8129</v>
      </c>
      <c r="J44" s="15">
        <f t="shared" si="3"/>
        <v>9296</v>
      </c>
      <c r="K44" s="15">
        <f t="shared" si="3"/>
        <v>10303</v>
      </c>
      <c r="L44" s="15">
        <f t="shared" si="3"/>
        <v>12056</v>
      </c>
      <c r="M44" s="15">
        <f t="shared" si="3"/>
        <v>12168</v>
      </c>
      <c r="N44" s="15">
        <f t="shared" si="3"/>
        <v>10826</v>
      </c>
      <c r="O44" s="15">
        <f t="shared" si="3"/>
        <v>8855</v>
      </c>
      <c r="P44" s="15">
        <f t="shared" si="3"/>
        <v>6409</v>
      </c>
      <c r="Q44" s="15">
        <f t="shared" si="3"/>
        <v>5085</v>
      </c>
      <c r="R44" s="15">
        <f t="shared" si="3"/>
        <v>4264</v>
      </c>
      <c r="S44" s="15">
        <f t="shared" si="3"/>
        <v>3302</v>
      </c>
      <c r="T44" s="15">
        <f t="shared" si="3"/>
        <v>2854</v>
      </c>
      <c r="U44" s="16">
        <f t="shared" si="4"/>
        <v>153770</v>
      </c>
    </row>
    <row r="45" spans="1:21">
      <c r="A45" s="12">
        <v>2010</v>
      </c>
      <c r="B45" s="4"/>
      <c r="C45" s="15">
        <f t="shared" si="3"/>
        <v>7950</v>
      </c>
      <c r="D45" s="15">
        <f t="shared" si="3"/>
        <v>8274</v>
      </c>
      <c r="E45" s="15">
        <f t="shared" si="3"/>
        <v>8416</v>
      </c>
      <c r="F45" s="15">
        <f t="shared" si="3"/>
        <v>11894</v>
      </c>
      <c r="G45" s="15">
        <f t="shared" si="3"/>
        <v>14001</v>
      </c>
      <c r="H45" s="15">
        <f t="shared" si="3"/>
        <v>9415</v>
      </c>
      <c r="I45" s="15">
        <f t="shared" si="3"/>
        <v>8263</v>
      </c>
      <c r="J45" s="15">
        <f t="shared" si="3"/>
        <v>8838</v>
      </c>
      <c r="K45" s="15">
        <f t="shared" si="3"/>
        <v>9962</v>
      </c>
      <c r="L45" s="15">
        <f t="shared" si="3"/>
        <v>11745</v>
      </c>
      <c r="M45" s="15">
        <f t="shared" si="3"/>
        <v>12342</v>
      </c>
      <c r="N45" s="15">
        <f t="shared" si="3"/>
        <v>11063</v>
      </c>
      <c r="O45" s="15">
        <f t="shared" si="3"/>
        <v>9357</v>
      </c>
      <c r="P45" s="15">
        <f t="shared" si="3"/>
        <v>6606</v>
      </c>
      <c r="Q45" s="15">
        <f t="shared" si="3"/>
        <v>5145</v>
      </c>
      <c r="R45" s="15">
        <f t="shared" si="3"/>
        <v>4267</v>
      </c>
      <c r="S45" s="15">
        <f t="shared" si="3"/>
        <v>3360</v>
      </c>
      <c r="T45" s="15">
        <f t="shared" si="3"/>
        <v>2940</v>
      </c>
      <c r="U45" s="16">
        <f t="shared" si="4"/>
        <v>153838</v>
      </c>
    </row>
    <row r="46" spans="1:21">
      <c r="A46" s="23">
        <v>2015</v>
      </c>
      <c r="B46" s="4"/>
      <c r="C46" s="15">
        <f t="shared" si="3"/>
        <v>8199.7701765727343</v>
      </c>
      <c r="D46" s="15">
        <f t="shared" si="3"/>
        <v>8007.9116585285637</v>
      </c>
      <c r="E46" s="15">
        <f t="shared" si="3"/>
        <v>8228.4737282248861</v>
      </c>
      <c r="F46" s="15">
        <f t="shared" si="3"/>
        <v>10742.455864170766</v>
      </c>
      <c r="G46" s="15">
        <f t="shared" si="3"/>
        <v>12169.291704296229</v>
      </c>
      <c r="H46" s="15">
        <f t="shared" si="3"/>
        <v>10224.278673480449</v>
      </c>
      <c r="I46" s="15">
        <f t="shared" si="3"/>
        <v>9250.5986971277671</v>
      </c>
      <c r="J46" s="15">
        <f t="shared" si="3"/>
        <v>8173.9139284712473</v>
      </c>
      <c r="K46" s="15">
        <f t="shared" si="3"/>
        <v>9080.2291167311014</v>
      </c>
      <c r="L46" s="15">
        <f t="shared" si="3"/>
        <v>9895.655048652352</v>
      </c>
      <c r="M46" s="15">
        <f t="shared" si="3"/>
        <v>11474.463632056053</v>
      </c>
      <c r="N46" s="15">
        <f t="shared" si="3"/>
        <v>12080.916682093746</v>
      </c>
      <c r="O46" s="15">
        <f t="shared" si="3"/>
        <v>10587.691488888428</v>
      </c>
      <c r="P46" s="15">
        <f t="shared" si="3"/>
        <v>8666.6354022066189</v>
      </c>
      <c r="Q46" s="15">
        <f t="shared" si="3"/>
        <v>5955.9692790542658</v>
      </c>
      <c r="R46" s="15">
        <f t="shared" si="3"/>
        <v>4357.1177723610799</v>
      </c>
      <c r="S46" s="15">
        <f t="shared" si="3"/>
        <v>3272.792013429209</v>
      </c>
      <c r="T46" s="15">
        <f t="shared" si="3"/>
        <v>3381.6125244197874</v>
      </c>
      <c r="U46" s="16">
        <f t="shared" si="4"/>
        <v>153749.77739076532</v>
      </c>
    </row>
    <row r="47" spans="1:21">
      <c r="A47" s="23">
        <v>2020</v>
      </c>
      <c r="B47" s="4"/>
      <c r="C47" s="15">
        <f t="shared" si="3"/>
        <v>7895.2218141126823</v>
      </c>
      <c r="D47" s="15">
        <f t="shared" si="3"/>
        <v>8261.2162814887779</v>
      </c>
      <c r="E47" s="15">
        <f t="shared" si="3"/>
        <v>7988.1731573344496</v>
      </c>
      <c r="F47" s="15">
        <f t="shared" si="3"/>
        <v>10575.972516538319</v>
      </c>
      <c r="G47" s="15">
        <f t="shared" si="3"/>
        <v>12203.939184018978</v>
      </c>
      <c r="H47" s="15">
        <f t="shared" si="3"/>
        <v>9470.4331123030533</v>
      </c>
      <c r="I47" s="15">
        <f t="shared" si="3"/>
        <v>9992.5003056167043</v>
      </c>
      <c r="J47" s="15">
        <f t="shared" si="3"/>
        <v>9106.5660788706118</v>
      </c>
      <c r="K47" s="15">
        <f t="shared" si="3"/>
        <v>8490.0741461465859</v>
      </c>
      <c r="L47" s="15">
        <f t="shared" si="3"/>
        <v>9065.9501102860813</v>
      </c>
      <c r="M47" s="15">
        <f t="shared" si="3"/>
        <v>9706.1029548026327</v>
      </c>
      <c r="N47" s="15">
        <f t="shared" si="3"/>
        <v>11235.274523003623</v>
      </c>
      <c r="O47" s="15">
        <f t="shared" si="3"/>
        <v>11544.169245897285</v>
      </c>
      <c r="P47" s="15">
        <f t="shared" si="3"/>
        <v>9804.8218950180053</v>
      </c>
      <c r="Q47" s="15">
        <f t="shared" si="3"/>
        <v>7786.8999628203019</v>
      </c>
      <c r="R47" s="15">
        <f t="shared" si="3"/>
        <v>5052.7600447315235</v>
      </c>
      <c r="S47" s="15">
        <f t="shared" si="3"/>
        <v>3365.6765132523037</v>
      </c>
      <c r="T47" s="15">
        <f t="shared" si="3"/>
        <v>3535.5270214575207</v>
      </c>
      <c r="U47" s="16">
        <f t="shared" si="4"/>
        <v>155081.27886769944</v>
      </c>
    </row>
    <row r="48" spans="1:21">
      <c r="A48" s="23">
        <v>2025</v>
      </c>
      <c r="B48" s="4"/>
      <c r="C48" s="15">
        <f t="shared" si="3"/>
        <v>8004.422009510301</v>
      </c>
      <c r="D48" s="15">
        <f t="shared" si="3"/>
        <v>7986.6924260812248</v>
      </c>
      <c r="E48" s="15">
        <f t="shared" si="3"/>
        <v>8242.2505117288092</v>
      </c>
      <c r="F48" s="15">
        <f t="shared" si="3"/>
        <v>10361.654482592108</v>
      </c>
      <c r="G48" s="15">
        <f t="shared" si="3"/>
        <v>12155.213385882518</v>
      </c>
      <c r="H48" s="15">
        <f t="shared" si="3"/>
        <v>9656.8653455465283</v>
      </c>
      <c r="I48" s="15">
        <f t="shared" si="3"/>
        <v>9297.447311651551</v>
      </c>
      <c r="J48" s="15">
        <f t="shared" si="3"/>
        <v>9797.9572587288603</v>
      </c>
      <c r="K48" s="15">
        <f t="shared" si="3"/>
        <v>9415.8681148426112</v>
      </c>
      <c r="L48" s="15">
        <f t="shared" si="3"/>
        <v>8535.4514562578661</v>
      </c>
      <c r="M48" s="15">
        <f t="shared" si="3"/>
        <v>8925.3555728612009</v>
      </c>
      <c r="N48" s="15">
        <f t="shared" si="3"/>
        <v>9557.8285685914743</v>
      </c>
      <c r="O48" s="15">
        <f t="shared" si="3"/>
        <v>10740.075438134918</v>
      </c>
      <c r="P48" s="15">
        <f t="shared" si="3"/>
        <v>10675.601890584918</v>
      </c>
      <c r="Q48" s="15">
        <f t="shared" si="3"/>
        <v>8810.0267749911509</v>
      </c>
      <c r="R48" s="15">
        <f t="shared" si="3"/>
        <v>6584.7863294998342</v>
      </c>
      <c r="S48" s="15">
        <f t="shared" si="3"/>
        <v>3919.2776554552388</v>
      </c>
      <c r="T48" s="15">
        <f t="shared" si="3"/>
        <v>3683.6198935641519</v>
      </c>
      <c r="U48" s="16">
        <f t="shared" si="4"/>
        <v>156350.39442650526</v>
      </c>
    </row>
    <row r="49" spans="1:21" ht="15.75" thickBot="1">
      <c r="A49" s="24">
        <v>2030</v>
      </c>
      <c r="B49" s="20"/>
      <c r="C49" s="21">
        <f t="shared" si="3"/>
        <v>8161.4248919732927</v>
      </c>
      <c r="D49" s="21">
        <f t="shared" si="3"/>
        <v>8104.8115144814074</v>
      </c>
      <c r="E49" s="21">
        <f t="shared" si="3"/>
        <v>7989.0928521388614</v>
      </c>
      <c r="F49" s="21">
        <f t="shared" si="3"/>
        <v>10617.347760043414</v>
      </c>
      <c r="G49" s="21">
        <f t="shared" si="3"/>
        <v>12082.248991081782</v>
      </c>
      <c r="H49" s="21">
        <f t="shared" si="3"/>
        <v>9731.7372887318197</v>
      </c>
      <c r="I49" s="21">
        <f t="shared" si="3"/>
        <v>9517.1558631979042</v>
      </c>
      <c r="J49" s="21">
        <f t="shared" si="3"/>
        <v>9148.9758336514933</v>
      </c>
      <c r="K49" s="21">
        <f t="shared" si="3"/>
        <v>10094.916585213581</v>
      </c>
      <c r="L49" s="21">
        <f t="shared" si="3"/>
        <v>9439.1732317584465</v>
      </c>
      <c r="M49" s="21">
        <f t="shared" si="3"/>
        <v>8443.83435892341</v>
      </c>
      <c r="N49" s="21">
        <f t="shared" si="3"/>
        <v>8835.3762647788863</v>
      </c>
      <c r="O49" s="21">
        <f t="shared" si="3"/>
        <v>9167.4452373827626</v>
      </c>
      <c r="P49" s="21">
        <f t="shared" si="3"/>
        <v>9937.1740406867648</v>
      </c>
      <c r="Q49" s="21">
        <f t="shared" si="3"/>
        <v>9583.3512348027507</v>
      </c>
      <c r="R49" s="21">
        <f t="shared" si="3"/>
        <v>7451.1015227426442</v>
      </c>
      <c r="S49" s="21">
        <f t="shared" si="3"/>
        <v>5078.0507586411131</v>
      </c>
      <c r="T49" s="21">
        <f t="shared" si="3"/>
        <v>4110.1844129623933</v>
      </c>
      <c r="U49" s="22">
        <f t="shared" si="4"/>
        <v>157493.40264319273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21</v>
      </c>
      <c r="B1" s="8" t="s">
        <v>10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396</v>
      </c>
      <c r="D4" s="15">
        <v>493</v>
      </c>
      <c r="E4" s="15">
        <v>648</v>
      </c>
      <c r="F4" s="15">
        <v>590</v>
      </c>
      <c r="G4" s="15">
        <v>302</v>
      </c>
      <c r="H4" s="15">
        <v>342</v>
      </c>
      <c r="I4" s="15">
        <v>477</v>
      </c>
      <c r="J4" s="15">
        <v>612</v>
      </c>
      <c r="K4" s="15">
        <v>761</v>
      </c>
      <c r="L4" s="15">
        <v>739</v>
      </c>
      <c r="M4" s="15">
        <v>701</v>
      </c>
      <c r="N4" s="15">
        <v>551</v>
      </c>
      <c r="O4" s="15">
        <v>437</v>
      </c>
      <c r="P4" s="15">
        <v>390</v>
      </c>
      <c r="Q4" s="15">
        <v>398</v>
      </c>
      <c r="R4" s="15">
        <v>363</v>
      </c>
      <c r="S4" s="15">
        <v>280</v>
      </c>
      <c r="T4" s="15">
        <v>294</v>
      </c>
      <c r="U4" s="16">
        <f>SUM(C4:T4)</f>
        <v>8774</v>
      </c>
    </row>
    <row r="5" spans="1:21">
      <c r="A5" s="12">
        <v>2002</v>
      </c>
      <c r="B5" s="4"/>
      <c r="C5" s="15">
        <v>374</v>
      </c>
      <c r="D5" s="15">
        <v>481</v>
      </c>
      <c r="E5" s="15">
        <v>614</v>
      </c>
      <c r="F5" s="15">
        <v>623</v>
      </c>
      <c r="G5" s="15">
        <v>307</v>
      </c>
      <c r="H5" s="15">
        <v>345</v>
      </c>
      <c r="I5" s="15">
        <v>445</v>
      </c>
      <c r="J5" s="15">
        <v>593</v>
      </c>
      <c r="K5" s="15">
        <v>751</v>
      </c>
      <c r="L5" s="15">
        <v>763</v>
      </c>
      <c r="M5" s="15">
        <v>686</v>
      </c>
      <c r="N5" s="15">
        <v>615</v>
      </c>
      <c r="O5" s="15">
        <v>442</v>
      </c>
      <c r="P5" s="15">
        <v>410</v>
      </c>
      <c r="Q5" s="15">
        <v>403</v>
      </c>
      <c r="R5" s="15">
        <v>375</v>
      </c>
      <c r="S5" s="15">
        <v>271</v>
      </c>
      <c r="T5" s="15">
        <v>291</v>
      </c>
      <c r="U5" s="16">
        <f t="shared" ref="U5:U17" si="0">SUM(C5:T5)</f>
        <v>8789</v>
      </c>
    </row>
    <row r="6" spans="1:21">
      <c r="A6" s="12">
        <v>2003</v>
      </c>
      <c r="B6" s="4"/>
      <c r="C6" s="15">
        <v>376</v>
      </c>
      <c r="D6" s="15">
        <v>483</v>
      </c>
      <c r="E6" s="15">
        <v>596</v>
      </c>
      <c r="F6" s="15">
        <v>622</v>
      </c>
      <c r="G6" s="15">
        <v>334</v>
      </c>
      <c r="H6" s="15">
        <v>337</v>
      </c>
      <c r="I6" s="15">
        <v>449</v>
      </c>
      <c r="J6" s="15">
        <v>550</v>
      </c>
      <c r="K6" s="15">
        <v>763</v>
      </c>
      <c r="L6" s="15">
        <v>768</v>
      </c>
      <c r="M6" s="15">
        <v>676</v>
      </c>
      <c r="N6" s="15">
        <v>678</v>
      </c>
      <c r="O6" s="15">
        <v>460</v>
      </c>
      <c r="P6" s="15">
        <v>436</v>
      </c>
      <c r="Q6" s="15">
        <v>414</v>
      </c>
      <c r="R6" s="15">
        <v>369</v>
      </c>
      <c r="S6" s="15">
        <v>272</v>
      </c>
      <c r="T6" s="15">
        <v>297</v>
      </c>
      <c r="U6" s="16">
        <f t="shared" si="0"/>
        <v>8880</v>
      </c>
    </row>
    <row r="7" spans="1:21">
      <c r="A7" s="12">
        <v>2004</v>
      </c>
      <c r="B7" s="4"/>
      <c r="C7" s="15">
        <v>392</v>
      </c>
      <c r="D7" s="15">
        <v>486</v>
      </c>
      <c r="E7" s="15">
        <v>565</v>
      </c>
      <c r="F7" s="15">
        <v>611</v>
      </c>
      <c r="G7" s="15">
        <v>350</v>
      </c>
      <c r="H7" s="15">
        <v>340</v>
      </c>
      <c r="I7" s="15">
        <v>417</v>
      </c>
      <c r="J7" s="15">
        <v>563</v>
      </c>
      <c r="K7" s="15">
        <v>729</v>
      </c>
      <c r="L7" s="15">
        <v>759</v>
      </c>
      <c r="M7" s="15">
        <v>728</v>
      </c>
      <c r="N7" s="15">
        <v>682</v>
      </c>
      <c r="O7" s="15">
        <v>479</v>
      </c>
      <c r="P7" s="15">
        <v>453</v>
      </c>
      <c r="Q7" s="15">
        <v>393</v>
      </c>
      <c r="R7" s="15">
        <v>357</v>
      </c>
      <c r="S7" s="15">
        <v>299</v>
      </c>
      <c r="T7" s="15">
        <v>279</v>
      </c>
      <c r="U7" s="16">
        <f t="shared" si="0"/>
        <v>8882</v>
      </c>
    </row>
    <row r="8" spans="1:21">
      <c r="A8" s="12">
        <v>2005</v>
      </c>
      <c r="B8" s="4"/>
      <c r="C8" s="15">
        <v>424</v>
      </c>
      <c r="D8" s="15">
        <v>446</v>
      </c>
      <c r="E8" s="15">
        <v>545</v>
      </c>
      <c r="F8" s="15">
        <v>598</v>
      </c>
      <c r="G8" s="15">
        <v>383</v>
      </c>
      <c r="H8" s="15">
        <v>329</v>
      </c>
      <c r="I8" s="15">
        <v>432</v>
      </c>
      <c r="J8" s="15">
        <v>567</v>
      </c>
      <c r="K8" s="15">
        <v>714</v>
      </c>
      <c r="L8" s="15">
        <v>754</v>
      </c>
      <c r="M8" s="15">
        <v>759</v>
      </c>
      <c r="N8" s="15">
        <v>677</v>
      </c>
      <c r="O8" s="15">
        <v>529</v>
      </c>
      <c r="P8" s="15">
        <v>432</v>
      </c>
      <c r="Q8" s="15">
        <v>406</v>
      </c>
      <c r="R8" s="15">
        <v>346</v>
      </c>
      <c r="S8" s="15">
        <v>318</v>
      </c>
      <c r="T8" s="15">
        <v>279</v>
      </c>
      <c r="U8" s="16">
        <f t="shared" si="0"/>
        <v>8938</v>
      </c>
    </row>
    <row r="9" spans="1:21">
      <c r="A9" s="12">
        <v>2006</v>
      </c>
      <c r="B9" s="4"/>
      <c r="C9" s="15">
        <v>428</v>
      </c>
      <c r="D9" s="15">
        <v>456</v>
      </c>
      <c r="E9" s="15">
        <v>532</v>
      </c>
      <c r="F9" s="15">
        <v>567</v>
      </c>
      <c r="G9" s="15">
        <v>387</v>
      </c>
      <c r="H9" s="15">
        <v>337</v>
      </c>
      <c r="I9" s="15">
        <v>400</v>
      </c>
      <c r="J9" s="15">
        <v>566</v>
      </c>
      <c r="K9" s="15">
        <v>660</v>
      </c>
      <c r="L9" s="15">
        <v>769</v>
      </c>
      <c r="M9" s="15">
        <v>771</v>
      </c>
      <c r="N9" s="15">
        <v>729</v>
      </c>
      <c r="O9" s="15">
        <v>580</v>
      </c>
      <c r="P9" s="15">
        <v>426</v>
      </c>
      <c r="Q9" s="15">
        <v>386</v>
      </c>
      <c r="R9" s="15">
        <v>366</v>
      </c>
      <c r="S9" s="15">
        <v>310</v>
      </c>
      <c r="T9" s="15">
        <v>281</v>
      </c>
      <c r="U9" s="16">
        <f t="shared" si="0"/>
        <v>8951</v>
      </c>
    </row>
    <row r="10" spans="1:21">
      <c r="A10" s="12">
        <v>2007</v>
      </c>
      <c r="B10" s="4"/>
      <c r="C10" s="15">
        <v>412</v>
      </c>
      <c r="D10" s="15">
        <v>437</v>
      </c>
      <c r="E10" s="15">
        <v>535</v>
      </c>
      <c r="F10" s="15">
        <v>544</v>
      </c>
      <c r="G10" s="15">
        <v>383</v>
      </c>
      <c r="H10" s="15">
        <v>350</v>
      </c>
      <c r="I10" s="15">
        <v>402</v>
      </c>
      <c r="J10" s="15">
        <v>543</v>
      </c>
      <c r="K10" s="15">
        <v>635</v>
      </c>
      <c r="L10" s="15">
        <v>757</v>
      </c>
      <c r="M10" s="15">
        <v>795</v>
      </c>
      <c r="N10" s="15">
        <v>726</v>
      </c>
      <c r="O10" s="15">
        <v>649</v>
      </c>
      <c r="P10" s="15">
        <v>447</v>
      </c>
      <c r="Q10" s="15">
        <v>401</v>
      </c>
      <c r="R10" s="15">
        <v>361</v>
      </c>
      <c r="S10" s="15">
        <v>297</v>
      </c>
      <c r="T10" s="15">
        <v>296</v>
      </c>
      <c r="U10" s="16">
        <f t="shared" si="0"/>
        <v>8970</v>
      </c>
    </row>
    <row r="11" spans="1:21">
      <c r="A11" s="12">
        <v>2008</v>
      </c>
      <c r="B11" s="4"/>
      <c r="C11" s="15">
        <v>433</v>
      </c>
      <c r="D11" s="15">
        <v>416</v>
      </c>
      <c r="E11" s="15">
        <v>533</v>
      </c>
      <c r="F11" s="15">
        <v>531</v>
      </c>
      <c r="G11" s="15">
        <v>343</v>
      </c>
      <c r="H11" s="15">
        <v>367</v>
      </c>
      <c r="I11" s="15">
        <v>406</v>
      </c>
      <c r="J11" s="15">
        <v>492</v>
      </c>
      <c r="K11" s="15">
        <v>604</v>
      </c>
      <c r="L11" s="15">
        <v>735</v>
      </c>
      <c r="M11" s="15">
        <v>805</v>
      </c>
      <c r="N11" s="15">
        <v>726</v>
      </c>
      <c r="O11" s="15">
        <v>703</v>
      </c>
      <c r="P11" s="15">
        <v>471</v>
      </c>
      <c r="Q11" s="15">
        <v>425</v>
      </c>
      <c r="R11" s="15">
        <v>344</v>
      </c>
      <c r="S11" s="15">
        <v>289</v>
      </c>
      <c r="T11" s="15">
        <v>266</v>
      </c>
      <c r="U11" s="16">
        <f t="shared" si="0"/>
        <v>8889</v>
      </c>
    </row>
    <row r="12" spans="1:21">
      <c r="A12" s="12">
        <v>2009</v>
      </c>
      <c r="B12" s="4"/>
      <c r="C12" s="15">
        <v>395</v>
      </c>
      <c r="D12" s="15">
        <v>446</v>
      </c>
      <c r="E12" s="15">
        <v>511</v>
      </c>
      <c r="F12" s="15">
        <v>491</v>
      </c>
      <c r="G12" s="15">
        <v>365</v>
      </c>
      <c r="H12" s="15">
        <v>341</v>
      </c>
      <c r="I12" s="15">
        <v>386</v>
      </c>
      <c r="J12" s="15">
        <v>475</v>
      </c>
      <c r="K12" s="15">
        <v>624</v>
      </c>
      <c r="L12" s="15">
        <v>693</v>
      </c>
      <c r="M12" s="15">
        <v>800</v>
      </c>
      <c r="N12" s="15">
        <v>763</v>
      </c>
      <c r="O12" s="15">
        <v>698</v>
      </c>
      <c r="P12" s="15">
        <v>502</v>
      </c>
      <c r="Q12" s="15">
        <v>440</v>
      </c>
      <c r="R12" s="15">
        <v>315</v>
      </c>
      <c r="S12" s="15">
        <v>275</v>
      </c>
      <c r="T12" s="15">
        <v>282</v>
      </c>
      <c r="U12" s="16">
        <f t="shared" si="0"/>
        <v>8802</v>
      </c>
    </row>
    <row r="13" spans="1:21">
      <c r="A13" s="12">
        <v>2010</v>
      </c>
      <c r="B13" s="4"/>
      <c r="C13" s="15">
        <v>370</v>
      </c>
      <c r="D13" s="15">
        <v>456</v>
      </c>
      <c r="E13" s="15">
        <v>481</v>
      </c>
      <c r="F13" s="15">
        <v>488</v>
      </c>
      <c r="G13" s="15">
        <v>364</v>
      </c>
      <c r="H13" s="15">
        <v>358</v>
      </c>
      <c r="I13" s="15">
        <v>377</v>
      </c>
      <c r="J13" s="15">
        <v>482</v>
      </c>
      <c r="K13" s="15">
        <v>619</v>
      </c>
      <c r="L13" s="15">
        <v>677</v>
      </c>
      <c r="M13" s="15">
        <v>810</v>
      </c>
      <c r="N13" s="15">
        <v>779</v>
      </c>
      <c r="O13" s="15">
        <v>714</v>
      </c>
      <c r="P13" s="15">
        <v>552</v>
      </c>
      <c r="Q13" s="15">
        <v>430</v>
      </c>
      <c r="R13" s="15">
        <v>317</v>
      </c>
      <c r="S13" s="15">
        <v>265</v>
      </c>
      <c r="T13" s="15">
        <v>307</v>
      </c>
      <c r="U13" s="16">
        <f t="shared" si="0"/>
        <v>8846</v>
      </c>
    </row>
    <row r="14" spans="1:21">
      <c r="A14" s="23">
        <v>2015</v>
      </c>
      <c r="B14" s="4"/>
      <c r="C14" s="15">
        <v>379.79189779967027</v>
      </c>
      <c r="D14" s="15">
        <v>382.22468884694314</v>
      </c>
      <c r="E14" s="15">
        <v>431.70183655964047</v>
      </c>
      <c r="F14" s="15">
        <v>453.72778211451049</v>
      </c>
      <c r="G14" s="15">
        <v>389.40380866004608</v>
      </c>
      <c r="H14" s="15">
        <v>322.25450808047862</v>
      </c>
      <c r="I14" s="15">
        <v>398.38156653107637</v>
      </c>
      <c r="J14" s="15">
        <v>422.60938254618947</v>
      </c>
      <c r="K14" s="15">
        <v>467.71408172703485</v>
      </c>
      <c r="L14" s="15">
        <v>596.3926019700466</v>
      </c>
      <c r="M14" s="15">
        <v>656.83883496744943</v>
      </c>
      <c r="N14" s="15">
        <v>765.94062971168069</v>
      </c>
      <c r="O14" s="15">
        <v>769.23363423650426</v>
      </c>
      <c r="P14" s="15">
        <v>738.05036775154031</v>
      </c>
      <c r="Q14" s="15">
        <v>488.39130013071144</v>
      </c>
      <c r="R14" s="15">
        <v>400.63618449630877</v>
      </c>
      <c r="S14" s="15">
        <v>245.42761349297871</v>
      </c>
      <c r="T14" s="15">
        <v>268.72931786563362</v>
      </c>
      <c r="U14" s="16">
        <f t="shared" si="0"/>
        <v>8577.4500374884428</v>
      </c>
    </row>
    <row r="15" spans="1:21">
      <c r="A15" s="23">
        <v>2020</v>
      </c>
      <c r="B15" s="4"/>
      <c r="C15" s="15">
        <v>370.68299756887188</v>
      </c>
      <c r="D15" s="15">
        <v>392.74352961817465</v>
      </c>
      <c r="E15" s="15">
        <v>365.94792295003919</v>
      </c>
      <c r="F15" s="15">
        <v>410.32340746515405</v>
      </c>
      <c r="G15" s="15">
        <v>364.26797017688739</v>
      </c>
      <c r="H15" s="15">
        <v>340.99986867617736</v>
      </c>
      <c r="I15" s="15">
        <v>366.29896538250057</v>
      </c>
      <c r="J15" s="15">
        <v>446.10947681660656</v>
      </c>
      <c r="K15" s="15">
        <v>415.43670358849016</v>
      </c>
      <c r="L15" s="15">
        <v>453.99643877454179</v>
      </c>
      <c r="M15" s="15">
        <v>579.79674810935353</v>
      </c>
      <c r="N15" s="15">
        <v>623.60334711735084</v>
      </c>
      <c r="O15" s="15">
        <v>756.88058622241238</v>
      </c>
      <c r="P15" s="15">
        <v>797.2960564231023</v>
      </c>
      <c r="Q15" s="15">
        <v>652.36875974346412</v>
      </c>
      <c r="R15" s="15">
        <v>459.08737543637216</v>
      </c>
      <c r="S15" s="15">
        <v>309.87596475977062</v>
      </c>
      <c r="T15" s="15">
        <v>244.02713540546821</v>
      </c>
      <c r="U15" s="16">
        <f t="shared" si="0"/>
        <v>8349.7432542347378</v>
      </c>
    </row>
    <row r="16" spans="1:21">
      <c r="A16" s="23">
        <v>2025</v>
      </c>
      <c r="B16" s="4"/>
      <c r="C16" s="15">
        <v>356.78646579789438</v>
      </c>
      <c r="D16" s="15">
        <v>385.89313541016838</v>
      </c>
      <c r="E16" s="15">
        <v>376.19274815529513</v>
      </c>
      <c r="F16" s="15">
        <v>352.32257117836116</v>
      </c>
      <c r="G16" s="15">
        <v>331.85444625482501</v>
      </c>
      <c r="H16" s="15">
        <v>324.16904840695616</v>
      </c>
      <c r="I16" s="15">
        <v>382.65657868231426</v>
      </c>
      <c r="J16" s="15">
        <v>416.00320278210597</v>
      </c>
      <c r="K16" s="15">
        <v>438.34639486056102</v>
      </c>
      <c r="L16" s="15">
        <v>405.72329252443359</v>
      </c>
      <c r="M16" s="15">
        <v>444.59169519590461</v>
      </c>
      <c r="N16" s="15">
        <v>552.35786461820135</v>
      </c>
      <c r="O16" s="15">
        <v>618.42159467131273</v>
      </c>
      <c r="P16" s="15">
        <v>786.71275650147982</v>
      </c>
      <c r="Q16" s="15">
        <v>704.85217723603569</v>
      </c>
      <c r="R16" s="15">
        <v>606.34103066092996</v>
      </c>
      <c r="S16" s="15">
        <v>356.22130171537333</v>
      </c>
      <c r="T16" s="15">
        <v>269.82459458070315</v>
      </c>
      <c r="U16" s="16">
        <f t="shared" si="0"/>
        <v>8109.2708992328562</v>
      </c>
    </row>
    <row r="17" spans="1:21">
      <c r="A17" s="23">
        <v>2030</v>
      </c>
      <c r="B17" s="4"/>
      <c r="C17" s="15">
        <v>337.8831936840291</v>
      </c>
      <c r="D17" s="15">
        <v>374.79875602833636</v>
      </c>
      <c r="E17" s="15">
        <v>370.62124095296792</v>
      </c>
      <c r="F17" s="15">
        <v>362.41648486427852</v>
      </c>
      <c r="G17" s="15">
        <v>288.43168914552177</v>
      </c>
      <c r="H17" s="15">
        <v>301.02695959652908</v>
      </c>
      <c r="I17" s="15">
        <v>370.74842028800845</v>
      </c>
      <c r="J17" s="15">
        <v>431.11203590727507</v>
      </c>
      <c r="K17" s="15">
        <v>411.57537482730811</v>
      </c>
      <c r="L17" s="15">
        <v>428.02138639928273</v>
      </c>
      <c r="M17" s="15">
        <v>399.66625344962057</v>
      </c>
      <c r="N17" s="15">
        <v>428.72009631690162</v>
      </c>
      <c r="O17" s="15">
        <v>549.43650062836855</v>
      </c>
      <c r="P17" s="15">
        <v>651.19835312083933</v>
      </c>
      <c r="Q17" s="15">
        <v>695.6168334676546</v>
      </c>
      <c r="R17" s="15">
        <v>656.56355642040955</v>
      </c>
      <c r="S17" s="15">
        <v>468.71071368854291</v>
      </c>
      <c r="T17" s="15">
        <v>307.17943038121922</v>
      </c>
      <c r="U17" s="16">
        <f t="shared" si="0"/>
        <v>7833.7272791670939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408</v>
      </c>
      <c r="D20" s="15">
        <v>482</v>
      </c>
      <c r="E20" s="15">
        <v>620</v>
      </c>
      <c r="F20" s="15">
        <v>695</v>
      </c>
      <c r="G20" s="15">
        <v>293</v>
      </c>
      <c r="H20" s="15">
        <v>347</v>
      </c>
      <c r="I20" s="15">
        <v>436</v>
      </c>
      <c r="J20" s="15">
        <v>576</v>
      </c>
      <c r="K20" s="15">
        <v>740</v>
      </c>
      <c r="L20" s="15">
        <v>711</v>
      </c>
      <c r="M20" s="15">
        <v>763</v>
      </c>
      <c r="N20" s="15">
        <v>570</v>
      </c>
      <c r="O20" s="15">
        <v>454</v>
      </c>
      <c r="P20" s="15">
        <v>403</v>
      </c>
      <c r="Q20" s="15">
        <v>375</v>
      </c>
      <c r="R20" s="15">
        <v>271</v>
      </c>
      <c r="S20" s="15">
        <v>163</v>
      </c>
      <c r="T20" s="15">
        <v>122</v>
      </c>
      <c r="U20" s="16">
        <f>SUM(C20:T20)</f>
        <v>8429</v>
      </c>
    </row>
    <row r="21" spans="1:21">
      <c r="A21" s="12">
        <v>2002</v>
      </c>
      <c r="B21" s="4"/>
      <c r="C21" s="15">
        <v>409</v>
      </c>
      <c r="D21" s="15">
        <v>447</v>
      </c>
      <c r="E21" s="15">
        <v>640</v>
      </c>
      <c r="F21" s="15">
        <v>680</v>
      </c>
      <c r="G21" s="15">
        <v>315</v>
      </c>
      <c r="H21" s="15">
        <v>333</v>
      </c>
      <c r="I21" s="15">
        <v>443</v>
      </c>
      <c r="J21" s="15">
        <v>531</v>
      </c>
      <c r="K21" s="15">
        <v>729</v>
      </c>
      <c r="L21" s="15">
        <v>719</v>
      </c>
      <c r="M21" s="15">
        <v>741</v>
      </c>
      <c r="N21" s="15">
        <v>657</v>
      </c>
      <c r="O21" s="15">
        <v>490</v>
      </c>
      <c r="P21" s="15">
        <v>396</v>
      </c>
      <c r="Q21" s="15">
        <v>375</v>
      </c>
      <c r="R21" s="15">
        <v>297</v>
      </c>
      <c r="S21" s="15">
        <v>155</v>
      </c>
      <c r="T21" s="15">
        <v>123</v>
      </c>
      <c r="U21" s="16">
        <f t="shared" ref="U21:U33" si="1">SUM(C21:T21)</f>
        <v>8480</v>
      </c>
    </row>
    <row r="22" spans="1:21">
      <c r="A22" s="12">
        <v>2003</v>
      </c>
      <c r="B22" s="4"/>
      <c r="C22" s="15">
        <v>396</v>
      </c>
      <c r="D22" s="15">
        <v>464</v>
      </c>
      <c r="E22" s="15">
        <v>603</v>
      </c>
      <c r="F22" s="15">
        <v>656</v>
      </c>
      <c r="G22" s="15">
        <v>345</v>
      </c>
      <c r="H22" s="15">
        <v>338</v>
      </c>
      <c r="I22" s="15">
        <v>425</v>
      </c>
      <c r="J22" s="15">
        <v>543</v>
      </c>
      <c r="K22" s="15">
        <v>705</v>
      </c>
      <c r="L22" s="15">
        <v>727</v>
      </c>
      <c r="M22" s="15">
        <v>752</v>
      </c>
      <c r="N22" s="15">
        <v>695</v>
      </c>
      <c r="O22" s="15">
        <v>557</v>
      </c>
      <c r="P22" s="15">
        <v>395</v>
      </c>
      <c r="Q22" s="15">
        <v>373</v>
      </c>
      <c r="R22" s="15">
        <v>294</v>
      </c>
      <c r="S22" s="15">
        <v>167</v>
      </c>
      <c r="T22" s="15">
        <v>118</v>
      </c>
      <c r="U22" s="16">
        <f t="shared" si="1"/>
        <v>8553</v>
      </c>
    </row>
    <row r="23" spans="1:21">
      <c r="A23" s="12">
        <v>2004</v>
      </c>
      <c r="B23" s="4"/>
      <c r="C23" s="15">
        <v>395</v>
      </c>
      <c r="D23" s="15">
        <v>464</v>
      </c>
      <c r="E23" s="15">
        <v>616</v>
      </c>
      <c r="F23" s="15">
        <v>616</v>
      </c>
      <c r="G23" s="15">
        <v>367</v>
      </c>
      <c r="H23" s="15">
        <v>316</v>
      </c>
      <c r="I23" s="15">
        <v>442</v>
      </c>
      <c r="J23" s="15">
        <v>500</v>
      </c>
      <c r="K23" s="15">
        <v>712</v>
      </c>
      <c r="L23" s="15">
        <v>726</v>
      </c>
      <c r="M23" s="15">
        <v>738</v>
      </c>
      <c r="N23" s="15">
        <v>709</v>
      </c>
      <c r="O23" s="15">
        <v>610</v>
      </c>
      <c r="P23" s="15">
        <v>413</v>
      </c>
      <c r="Q23" s="15">
        <v>386</v>
      </c>
      <c r="R23" s="15">
        <v>309</v>
      </c>
      <c r="S23" s="15">
        <v>163</v>
      </c>
      <c r="T23" s="15">
        <v>129</v>
      </c>
      <c r="U23" s="16">
        <f t="shared" si="1"/>
        <v>8611</v>
      </c>
    </row>
    <row r="24" spans="1:21">
      <c r="A24" s="12">
        <v>2005</v>
      </c>
      <c r="B24" s="4"/>
      <c r="C24" s="15">
        <v>387</v>
      </c>
      <c r="D24" s="15">
        <v>461</v>
      </c>
      <c r="E24" s="15">
        <v>616</v>
      </c>
      <c r="F24" s="15">
        <v>631</v>
      </c>
      <c r="G24" s="15">
        <v>377</v>
      </c>
      <c r="H24" s="15">
        <v>301</v>
      </c>
      <c r="I24" s="15">
        <v>452</v>
      </c>
      <c r="J24" s="15">
        <v>495</v>
      </c>
      <c r="K24" s="15">
        <v>673</v>
      </c>
      <c r="L24" s="15">
        <v>747</v>
      </c>
      <c r="M24" s="15">
        <v>706</v>
      </c>
      <c r="N24" s="15">
        <v>765</v>
      </c>
      <c r="O24" s="15">
        <v>650</v>
      </c>
      <c r="P24" s="15">
        <v>432</v>
      </c>
      <c r="Q24" s="15">
        <v>366</v>
      </c>
      <c r="R24" s="15">
        <v>307</v>
      </c>
      <c r="S24" s="15">
        <v>190</v>
      </c>
      <c r="T24" s="15">
        <v>120</v>
      </c>
      <c r="U24" s="16">
        <f t="shared" si="1"/>
        <v>8676</v>
      </c>
    </row>
    <row r="25" spans="1:21">
      <c r="A25" s="12">
        <v>2006</v>
      </c>
      <c r="B25" s="4"/>
      <c r="C25" s="15">
        <v>368</v>
      </c>
      <c r="D25" s="15">
        <v>471</v>
      </c>
      <c r="E25" s="15">
        <v>576</v>
      </c>
      <c r="F25" s="15">
        <v>626</v>
      </c>
      <c r="G25" s="15">
        <v>356</v>
      </c>
      <c r="H25" s="15">
        <v>310</v>
      </c>
      <c r="I25" s="15">
        <v>415</v>
      </c>
      <c r="J25" s="15">
        <v>497</v>
      </c>
      <c r="K25" s="15">
        <v>637</v>
      </c>
      <c r="L25" s="15">
        <v>764</v>
      </c>
      <c r="M25" s="15">
        <v>708</v>
      </c>
      <c r="N25" s="15">
        <v>811</v>
      </c>
      <c r="O25" s="15">
        <v>648</v>
      </c>
      <c r="P25" s="15">
        <v>451</v>
      </c>
      <c r="Q25" s="15">
        <v>368</v>
      </c>
      <c r="R25" s="15">
        <v>301</v>
      </c>
      <c r="S25" s="15">
        <v>210</v>
      </c>
      <c r="T25" s="15">
        <v>129</v>
      </c>
      <c r="U25" s="16">
        <f t="shared" si="1"/>
        <v>8646</v>
      </c>
    </row>
    <row r="26" spans="1:21">
      <c r="A26" s="12">
        <v>2007</v>
      </c>
      <c r="B26" s="4"/>
      <c r="C26" s="15">
        <v>382</v>
      </c>
      <c r="D26" s="15">
        <v>463</v>
      </c>
      <c r="E26" s="15">
        <v>553</v>
      </c>
      <c r="F26" s="15">
        <v>637</v>
      </c>
      <c r="G26" s="15">
        <v>348</v>
      </c>
      <c r="H26" s="15">
        <v>318</v>
      </c>
      <c r="I26" s="15">
        <v>387</v>
      </c>
      <c r="J26" s="15">
        <v>494</v>
      </c>
      <c r="K26" s="15">
        <v>601</v>
      </c>
      <c r="L26" s="15">
        <v>775</v>
      </c>
      <c r="M26" s="15">
        <v>726</v>
      </c>
      <c r="N26" s="15">
        <v>774</v>
      </c>
      <c r="O26" s="15">
        <v>739</v>
      </c>
      <c r="P26" s="15">
        <v>488</v>
      </c>
      <c r="Q26" s="15">
        <v>368</v>
      </c>
      <c r="R26" s="15">
        <v>303</v>
      </c>
      <c r="S26" s="15">
        <v>206</v>
      </c>
      <c r="T26" s="15">
        <v>128</v>
      </c>
      <c r="U26" s="16">
        <f t="shared" si="1"/>
        <v>8690</v>
      </c>
    </row>
    <row r="27" spans="1:21">
      <c r="A27" s="12">
        <v>2008</v>
      </c>
      <c r="B27" s="4"/>
      <c r="C27" s="15">
        <v>380</v>
      </c>
      <c r="D27" s="15">
        <v>456</v>
      </c>
      <c r="E27" s="15">
        <v>540</v>
      </c>
      <c r="F27" s="15">
        <v>615</v>
      </c>
      <c r="G27" s="15">
        <v>335</v>
      </c>
      <c r="H27" s="15">
        <v>304</v>
      </c>
      <c r="I27" s="15">
        <v>395</v>
      </c>
      <c r="J27" s="15">
        <v>485</v>
      </c>
      <c r="K27" s="15">
        <v>570</v>
      </c>
      <c r="L27" s="15">
        <v>742</v>
      </c>
      <c r="M27" s="15">
        <v>737</v>
      </c>
      <c r="N27" s="15">
        <v>776</v>
      </c>
      <c r="O27" s="15">
        <v>744</v>
      </c>
      <c r="P27" s="15">
        <v>551</v>
      </c>
      <c r="Q27" s="15">
        <v>356</v>
      </c>
      <c r="R27" s="15">
        <v>307</v>
      </c>
      <c r="S27" s="15">
        <v>219</v>
      </c>
      <c r="T27" s="15">
        <v>133</v>
      </c>
      <c r="U27" s="16">
        <f t="shared" si="1"/>
        <v>8645</v>
      </c>
    </row>
    <row r="28" spans="1:21">
      <c r="A28" s="12">
        <v>2009</v>
      </c>
      <c r="B28" s="4"/>
      <c r="C28" s="15">
        <v>390</v>
      </c>
      <c r="D28" s="15">
        <v>452</v>
      </c>
      <c r="E28" s="15">
        <v>527</v>
      </c>
      <c r="F28" s="15">
        <v>592</v>
      </c>
      <c r="G28" s="15">
        <v>298</v>
      </c>
      <c r="H28" s="15">
        <v>328</v>
      </c>
      <c r="I28" s="15">
        <v>372</v>
      </c>
      <c r="J28" s="15">
        <v>493</v>
      </c>
      <c r="K28" s="15">
        <v>539</v>
      </c>
      <c r="L28" s="15">
        <v>703</v>
      </c>
      <c r="M28" s="15">
        <v>768</v>
      </c>
      <c r="N28" s="15">
        <v>773</v>
      </c>
      <c r="O28" s="15">
        <v>748</v>
      </c>
      <c r="P28" s="15">
        <v>612</v>
      </c>
      <c r="Q28" s="15">
        <v>379</v>
      </c>
      <c r="R28" s="15">
        <v>303</v>
      </c>
      <c r="S28" s="15">
        <v>220</v>
      </c>
      <c r="T28" s="15">
        <v>134</v>
      </c>
      <c r="U28" s="16">
        <f t="shared" si="1"/>
        <v>8631</v>
      </c>
    </row>
    <row r="29" spans="1:21">
      <c r="A29" s="12">
        <v>2010</v>
      </c>
      <c r="B29" s="4"/>
      <c r="C29" s="15">
        <v>394</v>
      </c>
      <c r="D29" s="15">
        <v>442</v>
      </c>
      <c r="E29" s="15">
        <v>519</v>
      </c>
      <c r="F29" s="15">
        <v>573</v>
      </c>
      <c r="G29" s="15">
        <v>286</v>
      </c>
      <c r="H29" s="15">
        <v>351</v>
      </c>
      <c r="I29" s="15">
        <v>378</v>
      </c>
      <c r="J29" s="15">
        <v>489</v>
      </c>
      <c r="K29" s="15">
        <v>532</v>
      </c>
      <c r="L29" s="15">
        <v>685</v>
      </c>
      <c r="M29" s="15">
        <v>772</v>
      </c>
      <c r="N29" s="15">
        <v>774</v>
      </c>
      <c r="O29" s="15">
        <v>790</v>
      </c>
      <c r="P29" s="15">
        <v>633</v>
      </c>
      <c r="Q29" s="15">
        <v>421</v>
      </c>
      <c r="R29" s="15">
        <v>285</v>
      </c>
      <c r="S29" s="15">
        <v>214</v>
      </c>
      <c r="T29" s="15">
        <v>161</v>
      </c>
      <c r="U29" s="16">
        <f t="shared" si="1"/>
        <v>8699</v>
      </c>
    </row>
    <row r="30" spans="1:21">
      <c r="A30" s="23">
        <v>2015</v>
      </c>
      <c r="B30" s="4"/>
      <c r="C30" s="15">
        <v>373.95319145676797</v>
      </c>
      <c r="D30" s="15">
        <v>405.18196464145916</v>
      </c>
      <c r="E30" s="15">
        <v>421.6417818433776</v>
      </c>
      <c r="F30" s="15">
        <v>495.16083604834427</v>
      </c>
      <c r="G30" s="15">
        <v>485.43573940084218</v>
      </c>
      <c r="H30" s="15">
        <v>251.77663178505259</v>
      </c>
      <c r="I30" s="15">
        <v>379.01255021207362</v>
      </c>
      <c r="J30" s="15">
        <v>410.72320446935782</v>
      </c>
      <c r="K30" s="15">
        <v>476.83897147176316</v>
      </c>
      <c r="L30" s="15">
        <v>508.61321248457466</v>
      </c>
      <c r="M30" s="15">
        <v>655.75387452760515</v>
      </c>
      <c r="N30" s="15">
        <v>720.43504568718845</v>
      </c>
      <c r="O30" s="15">
        <v>742.90584331069658</v>
      </c>
      <c r="P30" s="15">
        <v>768.6980389057436</v>
      </c>
      <c r="Q30" s="15">
        <v>526.36728605445853</v>
      </c>
      <c r="R30" s="15">
        <v>360.32340126802211</v>
      </c>
      <c r="S30" s="15">
        <v>210.28659690690228</v>
      </c>
      <c r="T30" s="15">
        <v>185.86532891063894</v>
      </c>
      <c r="U30" s="16">
        <f t="shared" si="1"/>
        <v>8378.9734993848688</v>
      </c>
    </row>
    <row r="31" spans="1:21">
      <c r="A31" s="23">
        <v>2020</v>
      </c>
      <c r="B31" s="4"/>
      <c r="C31" s="15">
        <v>364.98432631850989</v>
      </c>
      <c r="D31" s="15">
        <v>387.93447101000561</v>
      </c>
      <c r="E31" s="15">
        <v>388.61552269072894</v>
      </c>
      <c r="F31" s="15">
        <v>406.29854320169858</v>
      </c>
      <c r="G31" s="15">
        <v>422.12668012938752</v>
      </c>
      <c r="H31" s="15">
        <v>402.98484345586218</v>
      </c>
      <c r="I31" s="15">
        <v>287.56057890542832</v>
      </c>
      <c r="J31" s="15">
        <v>413.62991743753349</v>
      </c>
      <c r="K31" s="15">
        <v>405.89553710011188</v>
      </c>
      <c r="L31" s="15">
        <v>457.28175238472863</v>
      </c>
      <c r="M31" s="15">
        <v>489.31961608469646</v>
      </c>
      <c r="N31" s="15">
        <v>613.54049842382619</v>
      </c>
      <c r="O31" s="15">
        <v>692.82728919523174</v>
      </c>
      <c r="P31" s="15">
        <v>732.13135280910308</v>
      </c>
      <c r="Q31" s="15">
        <v>638.99191161422573</v>
      </c>
      <c r="R31" s="15">
        <v>451.66746752978196</v>
      </c>
      <c r="S31" s="15">
        <v>265.69156683283961</v>
      </c>
      <c r="T31" s="15">
        <v>194.73461747142096</v>
      </c>
      <c r="U31" s="16">
        <f t="shared" si="1"/>
        <v>8016.2164925951201</v>
      </c>
    </row>
    <row r="32" spans="1:21">
      <c r="A32" s="23">
        <v>2025</v>
      </c>
      <c r="B32" s="4"/>
      <c r="C32" s="15">
        <v>351.301431985997</v>
      </c>
      <c r="D32" s="15">
        <v>380.73770217765042</v>
      </c>
      <c r="E32" s="15">
        <v>373.39165203301377</v>
      </c>
      <c r="F32" s="15">
        <v>376.7953455538709</v>
      </c>
      <c r="G32" s="15">
        <v>349.53143187247497</v>
      </c>
      <c r="H32" s="15">
        <v>356.69957306714065</v>
      </c>
      <c r="I32" s="15">
        <v>427.42164536489355</v>
      </c>
      <c r="J32" s="15">
        <v>325.96432328982797</v>
      </c>
      <c r="K32" s="15">
        <v>409.6746588393932</v>
      </c>
      <c r="L32" s="15">
        <v>391.74181690293881</v>
      </c>
      <c r="M32" s="15">
        <v>441.29811224274897</v>
      </c>
      <c r="N32" s="15">
        <v>461.72126005325816</v>
      </c>
      <c r="O32" s="15">
        <v>591.45401477990276</v>
      </c>
      <c r="P32" s="15">
        <v>687.9101429694573</v>
      </c>
      <c r="Q32" s="15">
        <v>609.07599745612367</v>
      </c>
      <c r="R32" s="15">
        <v>546.08416127478756</v>
      </c>
      <c r="S32" s="15">
        <v>333.4417866505413</v>
      </c>
      <c r="T32" s="15">
        <v>229.22628403353701</v>
      </c>
      <c r="U32" s="16">
        <f t="shared" si="1"/>
        <v>7643.4713405475568</v>
      </c>
    </row>
    <row r="33" spans="1:21">
      <c r="A33" s="23">
        <v>2030</v>
      </c>
      <c r="B33" s="4"/>
      <c r="C33" s="15">
        <v>332.68876811162363</v>
      </c>
      <c r="D33" s="15">
        <v>369.23288717157027</v>
      </c>
      <c r="E33" s="15">
        <v>367.29151221465054</v>
      </c>
      <c r="F33" s="15">
        <v>363.49983323105687</v>
      </c>
      <c r="G33" s="15">
        <v>325.95676026798765</v>
      </c>
      <c r="H33" s="15">
        <v>302.85852417038018</v>
      </c>
      <c r="I33" s="15">
        <v>387.2707498480753</v>
      </c>
      <c r="J33" s="15">
        <v>460.66206030226124</v>
      </c>
      <c r="K33" s="15">
        <v>328.77822477226209</v>
      </c>
      <c r="L33" s="15">
        <v>395.81269370482471</v>
      </c>
      <c r="M33" s="15">
        <v>380.44052771146136</v>
      </c>
      <c r="N33" s="15">
        <v>418.60781456002849</v>
      </c>
      <c r="O33" s="15">
        <v>448.51451385223328</v>
      </c>
      <c r="P33" s="15">
        <v>592.76593227437331</v>
      </c>
      <c r="Q33" s="15">
        <v>572.55809380293215</v>
      </c>
      <c r="R33" s="15">
        <v>526.15060695785974</v>
      </c>
      <c r="S33" s="15">
        <v>402.60275571936603</v>
      </c>
      <c r="T33" s="15">
        <v>281.90716579667418</v>
      </c>
      <c r="U33" s="16">
        <f t="shared" si="1"/>
        <v>7257.5994244696203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804</v>
      </c>
      <c r="D36" s="15">
        <f t="shared" ref="D36:T36" si="2">D20+D4</f>
        <v>975</v>
      </c>
      <c r="E36" s="15">
        <f t="shared" si="2"/>
        <v>1268</v>
      </c>
      <c r="F36" s="15">
        <f t="shared" si="2"/>
        <v>1285</v>
      </c>
      <c r="G36" s="15">
        <f t="shared" si="2"/>
        <v>595</v>
      </c>
      <c r="H36" s="15">
        <f t="shared" si="2"/>
        <v>689</v>
      </c>
      <c r="I36" s="15">
        <f t="shared" si="2"/>
        <v>913</v>
      </c>
      <c r="J36" s="15">
        <f t="shared" si="2"/>
        <v>1188</v>
      </c>
      <c r="K36" s="15">
        <f t="shared" si="2"/>
        <v>1501</v>
      </c>
      <c r="L36" s="15">
        <f t="shared" si="2"/>
        <v>1450</v>
      </c>
      <c r="M36" s="15">
        <f t="shared" si="2"/>
        <v>1464</v>
      </c>
      <c r="N36" s="15">
        <f t="shared" si="2"/>
        <v>1121</v>
      </c>
      <c r="O36" s="15">
        <f t="shared" si="2"/>
        <v>891</v>
      </c>
      <c r="P36" s="15">
        <f t="shared" si="2"/>
        <v>793</v>
      </c>
      <c r="Q36" s="15">
        <f t="shared" si="2"/>
        <v>773</v>
      </c>
      <c r="R36" s="15">
        <f t="shared" si="2"/>
        <v>634</v>
      </c>
      <c r="S36" s="15">
        <f t="shared" si="2"/>
        <v>443</v>
      </c>
      <c r="T36" s="15">
        <f t="shared" si="2"/>
        <v>416</v>
      </c>
      <c r="U36" s="16">
        <f>SUM(C36:T36)</f>
        <v>17203</v>
      </c>
    </row>
    <row r="37" spans="1:21">
      <c r="A37" s="12">
        <v>2002</v>
      </c>
      <c r="B37" s="4"/>
      <c r="C37" s="15">
        <f t="shared" ref="C37:T49" si="3">C21+C5</f>
        <v>783</v>
      </c>
      <c r="D37" s="15">
        <f t="shared" si="3"/>
        <v>928</v>
      </c>
      <c r="E37" s="15">
        <f t="shared" si="3"/>
        <v>1254</v>
      </c>
      <c r="F37" s="15">
        <f t="shared" si="3"/>
        <v>1303</v>
      </c>
      <c r="G37" s="15">
        <f t="shared" si="3"/>
        <v>622</v>
      </c>
      <c r="H37" s="15">
        <f t="shared" si="3"/>
        <v>678</v>
      </c>
      <c r="I37" s="15">
        <f t="shared" si="3"/>
        <v>888</v>
      </c>
      <c r="J37" s="15">
        <f t="shared" si="3"/>
        <v>1124</v>
      </c>
      <c r="K37" s="15">
        <f t="shared" si="3"/>
        <v>1480</v>
      </c>
      <c r="L37" s="15">
        <f t="shared" si="3"/>
        <v>1482</v>
      </c>
      <c r="M37" s="15">
        <f t="shared" si="3"/>
        <v>1427</v>
      </c>
      <c r="N37" s="15">
        <f t="shared" si="3"/>
        <v>1272</v>
      </c>
      <c r="O37" s="15">
        <f t="shared" si="3"/>
        <v>932</v>
      </c>
      <c r="P37" s="15">
        <f t="shared" si="3"/>
        <v>806</v>
      </c>
      <c r="Q37" s="15">
        <f t="shared" si="3"/>
        <v>778</v>
      </c>
      <c r="R37" s="15">
        <f t="shared" si="3"/>
        <v>672</v>
      </c>
      <c r="S37" s="15">
        <f t="shared" si="3"/>
        <v>426</v>
      </c>
      <c r="T37" s="15">
        <f t="shared" si="3"/>
        <v>414</v>
      </c>
      <c r="U37" s="16">
        <f t="shared" ref="U37:U49" si="4">SUM(C37:T37)</f>
        <v>17269</v>
      </c>
    </row>
    <row r="38" spans="1:21">
      <c r="A38" s="12">
        <v>2003</v>
      </c>
      <c r="B38" s="4"/>
      <c r="C38" s="15">
        <f t="shared" si="3"/>
        <v>772</v>
      </c>
      <c r="D38" s="15">
        <f t="shared" si="3"/>
        <v>947</v>
      </c>
      <c r="E38" s="15">
        <f t="shared" si="3"/>
        <v>1199</v>
      </c>
      <c r="F38" s="15">
        <f t="shared" si="3"/>
        <v>1278</v>
      </c>
      <c r="G38" s="15">
        <f t="shared" si="3"/>
        <v>679</v>
      </c>
      <c r="H38" s="15">
        <f t="shared" si="3"/>
        <v>675</v>
      </c>
      <c r="I38" s="15">
        <f t="shared" si="3"/>
        <v>874</v>
      </c>
      <c r="J38" s="15">
        <f t="shared" si="3"/>
        <v>1093</v>
      </c>
      <c r="K38" s="15">
        <f t="shared" si="3"/>
        <v>1468</v>
      </c>
      <c r="L38" s="15">
        <f t="shared" si="3"/>
        <v>1495</v>
      </c>
      <c r="M38" s="15">
        <f t="shared" si="3"/>
        <v>1428</v>
      </c>
      <c r="N38" s="15">
        <f t="shared" si="3"/>
        <v>1373</v>
      </c>
      <c r="O38" s="15">
        <f t="shared" si="3"/>
        <v>1017</v>
      </c>
      <c r="P38" s="15">
        <f t="shared" si="3"/>
        <v>831</v>
      </c>
      <c r="Q38" s="15">
        <f t="shared" si="3"/>
        <v>787</v>
      </c>
      <c r="R38" s="15">
        <f t="shared" si="3"/>
        <v>663</v>
      </c>
      <c r="S38" s="15">
        <f t="shared" si="3"/>
        <v>439</v>
      </c>
      <c r="T38" s="15">
        <f t="shared" si="3"/>
        <v>415</v>
      </c>
      <c r="U38" s="16">
        <f t="shared" si="4"/>
        <v>17433</v>
      </c>
    </row>
    <row r="39" spans="1:21">
      <c r="A39" s="12">
        <v>2004</v>
      </c>
      <c r="B39" s="4"/>
      <c r="C39" s="15">
        <f t="shared" si="3"/>
        <v>787</v>
      </c>
      <c r="D39" s="15">
        <f t="shared" si="3"/>
        <v>950</v>
      </c>
      <c r="E39" s="15">
        <f t="shared" si="3"/>
        <v>1181</v>
      </c>
      <c r="F39" s="15">
        <f t="shared" si="3"/>
        <v>1227</v>
      </c>
      <c r="G39" s="15">
        <f t="shared" si="3"/>
        <v>717</v>
      </c>
      <c r="H39" s="15">
        <f t="shared" si="3"/>
        <v>656</v>
      </c>
      <c r="I39" s="15">
        <f t="shared" si="3"/>
        <v>859</v>
      </c>
      <c r="J39" s="15">
        <f t="shared" si="3"/>
        <v>1063</v>
      </c>
      <c r="K39" s="15">
        <f t="shared" si="3"/>
        <v>1441</v>
      </c>
      <c r="L39" s="15">
        <f t="shared" si="3"/>
        <v>1485</v>
      </c>
      <c r="M39" s="15">
        <f t="shared" si="3"/>
        <v>1466</v>
      </c>
      <c r="N39" s="15">
        <f t="shared" si="3"/>
        <v>1391</v>
      </c>
      <c r="O39" s="15">
        <f t="shared" si="3"/>
        <v>1089</v>
      </c>
      <c r="P39" s="15">
        <f t="shared" si="3"/>
        <v>866</v>
      </c>
      <c r="Q39" s="15">
        <f t="shared" si="3"/>
        <v>779</v>
      </c>
      <c r="R39" s="15">
        <f t="shared" si="3"/>
        <v>666</v>
      </c>
      <c r="S39" s="15">
        <f t="shared" si="3"/>
        <v>462</v>
      </c>
      <c r="T39" s="15">
        <f t="shared" si="3"/>
        <v>408</v>
      </c>
      <c r="U39" s="16">
        <f t="shared" si="4"/>
        <v>17493</v>
      </c>
    </row>
    <row r="40" spans="1:21">
      <c r="A40" s="12">
        <v>2005</v>
      </c>
      <c r="B40" s="4"/>
      <c r="C40" s="15">
        <f t="shared" si="3"/>
        <v>811</v>
      </c>
      <c r="D40" s="15">
        <f t="shared" si="3"/>
        <v>907</v>
      </c>
      <c r="E40" s="15">
        <f t="shared" si="3"/>
        <v>1161</v>
      </c>
      <c r="F40" s="15">
        <f t="shared" si="3"/>
        <v>1229</v>
      </c>
      <c r="G40" s="15">
        <f t="shared" si="3"/>
        <v>760</v>
      </c>
      <c r="H40" s="15">
        <f t="shared" si="3"/>
        <v>630</v>
      </c>
      <c r="I40" s="15">
        <f t="shared" si="3"/>
        <v>884</v>
      </c>
      <c r="J40" s="15">
        <f t="shared" si="3"/>
        <v>1062</v>
      </c>
      <c r="K40" s="15">
        <f t="shared" si="3"/>
        <v>1387</v>
      </c>
      <c r="L40" s="15">
        <f t="shared" si="3"/>
        <v>1501</v>
      </c>
      <c r="M40" s="15">
        <f t="shared" si="3"/>
        <v>1465</v>
      </c>
      <c r="N40" s="15">
        <f t="shared" si="3"/>
        <v>1442</v>
      </c>
      <c r="O40" s="15">
        <f t="shared" si="3"/>
        <v>1179</v>
      </c>
      <c r="P40" s="15">
        <f t="shared" si="3"/>
        <v>864</v>
      </c>
      <c r="Q40" s="15">
        <f t="shared" si="3"/>
        <v>772</v>
      </c>
      <c r="R40" s="15">
        <f t="shared" si="3"/>
        <v>653</v>
      </c>
      <c r="S40" s="15">
        <f t="shared" si="3"/>
        <v>508</v>
      </c>
      <c r="T40" s="15">
        <f t="shared" si="3"/>
        <v>399</v>
      </c>
      <c r="U40" s="16">
        <f t="shared" si="4"/>
        <v>17614</v>
      </c>
    </row>
    <row r="41" spans="1:21">
      <c r="A41" s="12">
        <v>2006</v>
      </c>
      <c r="B41" s="4"/>
      <c r="C41" s="15">
        <f t="shared" si="3"/>
        <v>796</v>
      </c>
      <c r="D41" s="15">
        <f t="shared" si="3"/>
        <v>927</v>
      </c>
      <c r="E41" s="15">
        <f t="shared" si="3"/>
        <v>1108</v>
      </c>
      <c r="F41" s="15">
        <f t="shared" si="3"/>
        <v>1193</v>
      </c>
      <c r="G41" s="15">
        <f t="shared" si="3"/>
        <v>743</v>
      </c>
      <c r="H41" s="15">
        <f t="shared" si="3"/>
        <v>647</v>
      </c>
      <c r="I41" s="15">
        <f t="shared" si="3"/>
        <v>815</v>
      </c>
      <c r="J41" s="15">
        <f t="shared" si="3"/>
        <v>1063</v>
      </c>
      <c r="K41" s="15">
        <f t="shared" si="3"/>
        <v>1297</v>
      </c>
      <c r="L41" s="15">
        <f t="shared" si="3"/>
        <v>1533</v>
      </c>
      <c r="M41" s="15">
        <f t="shared" si="3"/>
        <v>1479</v>
      </c>
      <c r="N41" s="15">
        <f t="shared" si="3"/>
        <v>1540</v>
      </c>
      <c r="O41" s="15">
        <f t="shared" si="3"/>
        <v>1228</v>
      </c>
      <c r="P41" s="15">
        <f t="shared" si="3"/>
        <v>877</v>
      </c>
      <c r="Q41" s="15">
        <f t="shared" si="3"/>
        <v>754</v>
      </c>
      <c r="R41" s="15">
        <f t="shared" si="3"/>
        <v>667</v>
      </c>
      <c r="S41" s="15">
        <f t="shared" si="3"/>
        <v>520</v>
      </c>
      <c r="T41" s="15">
        <f t="shared" si="3"/>
        <v>410</v>
      </c>
      <c r="U41" s="16">
        <f t="shared" si="4"/>
        <v>17597</v>
      </c>
    </row>
    <row r="42" spans="1:21">
      <c r="A42" s="12">
        <v>2007</v>
      </c>
      <c r="B42" s="4"/>
      <c r="C42" s="15">
        <f t="shared" si="3"/>
        <v>794</v>
      </c>
      <c r="D42" s="15">
        <f t="shared" si="3"/>
        <v>900</v>
      </c>
      <c r="E42" s="15">
        <f t="shared" si="3"/>
        <v>1088</v>
      </c>
      <c r="F42" s="15">
        <f t="shared" si="3"/>
        <v>1181</v>
      </c>
      <c r="G42" s="15">
        <f t="shared" si="3"/>
        <v>731</v>
      </c>
      <c r="H42" s="15">
        <f t="shared" si="3"/>
        <v>668</v>
      </c>
      <c r="I42" s="15">
        <f t="shared" si="3"/>
        <v>789</v>
      </c>
      <c r="J42" s="15">
        <f t="shared" si="3"/>
        <v>1037</v>
      </c>
      <c r="K42" s="15">
        <f t="shared" si="3"/>
        <v>1236</v>
      </c>
      <c r="L42" s="15">
        <f t="shared" si="3"/>
        <v>1532</v>
      </c>
      <c r="M42" s="15">
        <f t="shared" si="3"/>
        <v>1521</v>
      </c>
      <c r="N42" s="15">
        <f t="shared" si="3"/>
        <v>1500</v>
      </c>
      <c r="O42" s="15">
        <f t="shared" si="3"/>
        <v>1388</v>
      </c>
      <c r="P42" s="15">
        <f t="shared" si="3"/>
        <v>935</v>
      </c>
      <c r="Q42" s="15">
        <f t="shared" si="3"/>
        <v>769</v>
      </c>
      <c r="R42" s="15">
        <f t="shared" si="3"/>
        <v>664</v>
      </c>
      <c r="S42" s="15">
        <f t="shared" si="3"/>
        <v>503</v>
      </c>
      <c r="T42" s="15">
        <f t="shared" si="3"/>
        <v>424</v>
      </c>
      <c r="U42" s="16">
        <f t="shared" si="4"/>
        <v>17660</v>
      </c>
    </row>
    <row r="43" spans="1:21">
      <c r="A43" s="12">
        <v>2008</v>
      </c>
      <c r="B43" s="4"/>
      <c r="C43" s="15">
        <f t="shared" si="3"/>
        <v>813</v>
      </c>
      <c r="D43" s="15">
        <f t="shared" si="3"/>
        <v>872</v>
      </c>
      <c r="E43" s="15">
        <f t="shared" si="3"/>
        <v>1073</v>
      </c>
      <c r="F43" s="15">
        <f t="shared" si="3"/>
        <v>1146</v>
      </c>
      <c r="G43" s="15">
        <f t="shared" si="3"/>
        <v>678</v>
      </c>
      <c r="H43" s="15">
        <f t="shared" si="3"/>
        <v>671</v>
      </c>
      <c r="I43" s="15">
        <f t="shared" si="3"/>
        <v>801</v>
      </c>
      <c r="J43" s="15">
        <f t="shared" si="3"/>
        <v>977</v>
      </c>
      <c r="K43" s="15">
        <f t="shared" si="3"/>
        <v>1174</v>
      </c>
      <c r="L43" s="15">
        <f t="shared" si="3"/>
        <v>1477</v>
      </c>
      <c r="M43" s="15">
        <f t="shared" si="3"/>
        <v>1542</v>
      </c>
      <c r="N43" s="15">
        <f t="shared" si="3"/>
        <v>1502</v>
      </c>
      <c r="O43" s="15">
        <f t="shared" si="3"/>
        <v>1447</v>
      </c>
      <c r="P43" s="15">
        <f t="shared" si="3"/>
        <v>1022</v>
      </c>
      <c r="Q43" s="15">
        <f t="shared" si="3"/>
        <v>781</v>
      </c>
      <c r="R43" s="15">
        <f t="shared" si="3"/>
        <v>651</v>
      </c>
      <c r="S43" s="15">
        <f t="shared" si="3"/>
        <v>508</v>
      </c>
      <c r="T43" s="15">
        <f t="shared" si="3"/>
        <v>399</v>
      </c>
      <c r="U43" s="16">
        <f t="shared" si="4"/>
        <v>17534</v>
      </c>
    </row>
    <row r="44" spans="1:21">
      <c r="A44" s="12">
        <v>2009</v>
      </c>
      <c r="B44" s="4"/>
      <c r="C44" s="15">
        <f t="shared" si="3"/>
        <v>785</v>
      </c>
      <c r="D44" s="15">
        <f t="shared" si="3"/>
        <v>898</v>
      </c>
      <c r="E44" s="15">
        <f t="shared" si="3"/>
        <v>1038</v>
      </c>
      <c r="F44" s="15">
        <f t="shared" si="3"/>
        <v>1083</v>
      </c>
      <c r="G44" s="15">
        <f t="shared" si="3"/>
        <v>663</v>
      </c>
      <c r="H44" s="15">
        <f t="shared" si="3"/>
        <v>669</v>
      </c>
      <c r="I44" s="15">
        <f t="shared" si="3"/>
        <v>758</v>
      </c>
      <c r="J44" s="15">
        <f t="shared" si="3"/>
        <v>968</v>
      </c>
      <c r="K44" s="15">
        <f t="shared" si="3"/>
        <v>1163</v>
      </c>
      <c r="L44" s="15">
        <f t="shared" si="3"/>
        <v>1396</v>
      </c>
      <c r="M44" s="15">
        <f t="shared" si="3"/>
        <v>1568</v>
      </c>
      <c r="N44" s="15">
        <f t="shared" si="3"/>
        <v>1536</v>
      </c>
      <c r="O44" s="15">
        <f t="shared" si="3"/>
        <v>1446</v>
      </c>
      <c r="P44" s="15">
        <f t="shared" si="3"/>
        <v>1114</v>
      </c>
      <c r="Q44" s="15">
        <f t="shared" si="3"/>
        <v>819</v>
      </c>
      <c r="R44" s="15">
        <f t="shared" si="3"/>
        <v>618</v>
      </c>
      <c r="S44" s="15">
        <f t="shared" si="3"/>
        <v>495</v>
      </c>
      <c r="T44" s="15">
        <f t="shared" si="3"/>
        <v>416</v>
      </c>
      <c r="U44" s="16">
        <f t="shared" si="4"/>
        <v>17433</v>
      </c>
    </row>
    <row r="45" spans="1:21">
      <c r="A45" s="12">
        <v>2010</v>
      </c>
      <c r="B45" s="4"/>
      <c r="C45" s="15">
        <f t="shared" si="3"/>
        <v>764</v>
      </c>
      <c r="D45" s="15">
        <f t="shared" si="3"/>
        <v>898</v>
      </c>
      <c r="E45" s="15">
        <f t="shared" si="3"/>
        <v>1000</v>
      </c>
      <c r="F45" s="15">
        <f t="shared" si="3"/>
        <v>1061</v>
      </c>
      <c r="G45" s="15">
        <f t="shared" si="3"/>
        <v>650</v>
      </c>
      <c r="H45" s="15">
        <f t="shared" si="3"/>
        <v>709</v>
      </c>
      <c r="I45" s="15">
        <f t="shared" si="3"/>
        <v>755</v>
      </c>
      <c r="J45" s="15">
        <f t="shared" si="3"/>
        <v>971</v>
      </c>
      <c r="K45" s="15">
        <f t="shared" si="3"/>
        <v>1151</v>
      </c>
      <c r="L45" s="15">
        <f t="shared" si="3"/>
        <v>1362</v>
      </c>
      <c r="M45" s="15">
        <f t="shared" si="3"/>
        <v>1582</v>
      </c>
      <c r="N45" s="15">
        <f t="shared" si="3"/>
        <v>1553</v>
      </c>
      <c r="O45" s="15">
        <f t="shared" si="3"/>
        <v>1504</v>
      </c>
      <c r="P45" s="15">
        <f t="shared" si="3"/>
        <v>1185</v>
      </c>
      <c r="Q45" s="15">
        <f t="shared" si="3"/>
        <v>851</v>
      </c>
      <c r="R45" s="15">
        <f t="shared" si="3"/>
        <v>602</v>
      </c>
      <c r="S45" s="15">
        <f t="shared" si="3"/>
        <v>479</v>
      </c>
      <c r="T45" s="15">
        <f t="shared" si="3"/>
        <v>468</v>
      </c>
      <c r="U45" s="16">
        <f t="shared" si="4"/>
        <v>17545</v>
      </c>
    </row>
    <row r="46" spans="1:21">
      <c r="A46" s="23">
        <v>2015</v>
      </c>
      <c r="B46" s="4"/>
      <c r="C46" s="15">
        <f t="shared" si="3"/>
        <v>753.74508925643818</v>
      </c>
      <c r="D46" s="15">
        <f t="shared" si="3"/>
        <v>787.4066534884023</v>
      </c>
      <c r="E46" s="15">
        <f t="shared" si="3"/>
        <v>853.34361840301813</v>
      </c>
      <c r="F46" s="15">
        <f t="shared" si="3"/>
        <v>948.88861816285475</v>
      </c>
      <c r="G46" s="15">
        <f t="shared" si="3"/>
        <v>874.83954806088832</v>
      </c>
      <c r="H46" s="15">
        <f t="shared" si="3"/>
        <v>574.03113986553126</v>
      </c>
      <c r="I46" s="15">
        <f t="shared" si="3"/>
        <v>777.39411674314999</v>
      </c>
      <c r="J46" s="15">
        <f t="shared" si="3"/>
        <v>833.33258701554723</v>
      </c>
      <c r="K46" s="15">
        <f t="shared" si="3"/>
        <v>944.55305319879801</v>
      </c>
      <c r="L46" s="15">
        <f t="shared" si="3"/>
        <v>1105.0058144546213</v>
      </c>
      <c r="M46" s="15">
        <f t="shared" si="3"/>
        <v>1312.5927094950546</v>
      </c>
      <c r="N46" s="15">
        <f t="shared" si="3"/>
        <v>1486.3756753988691</v>
      </c>
      <c r="O46" s="15">
        <f t="shared" si="3"/>
        <v>1512.1394775472008</v>
      </c>
      <c r="P46" s="15">
        <f t="shared" si="3"/>
        <v>1506.7484066572838</v>
      </c>
      <c r="Q46" s="15">
        <f t="shared" si="3"/>
        <v>1014.75858618517</v>
      </c>
      <c r="R46" s="15">
        <f t="shared" si="3"/>
        <v>760.95958576433088</v>
      </c>
      <c r="S46" s="15">
        <f t="shared" si="3"/>
        <v>455.71421039988098</v>
      </c>
      <c r="T46" s="15">
        <f t="shared" si="3"/>
        <v>454.59464677627255</v>
      </c>
      <c r="U46" s="16">
        <f t="shared" si="4"/>
        <v>16956.42353687331</v>
      </c>
    </row>
    <row r="47" spans="1:21">
      <c r="A47" s="23">
        <v>2020</v>
      </c>
      <c r="B47" s="4"/>
      <c r="C47" s="15">
        <f t="shared" si="3"/>
        <v>735.66732388738183</v>
      </c>
      <c r="D47" s="15">
        <f t="shared" si="3"/>
        <v>780.67800062818026</v>
      </c>
      <c r="E47" s="15">
        <f t="shared" si="3"/>
        <v>754.56344564076812</v>
      </c>
      <c r="F47" s="15">
        <f t="shared" si="3"/>
        <v>816.62195066685263</v>
      </c>
      <c r="G47" s="15">
        <f t="shared" si="3"/>
        <v>786.39465030627491</v>
      </c>
      <c r="H47" s="15">
        <f t="shared" si="3"/>
        <v>743.98471213203948</v>
      </c>
      <c r="I47" s="15">
        <f t="shared" si="3"/>
        <v>653.85954428792888</v>
      </c>
      <c r="J47" s="15">
        <f t="shared" si="3"/>
        <v>859.73939425414005</v>
      </c>
      <c r="K47" s="15">
        <f t="shared" si="3"/>
        <v>821.33224068860204</v>
      </c>
      <c r="L47" s="15">
        <f t="shared" si="3"/>
        <v>911.27819115927036</v>
      </c>
      <c r="M47" s="15">
        <f t="shared" si="3"/>
        <v>1069.11636419405</v>
      </c>
      <c r="N47" s="15">
        <f t="shared" si="3"/>
        <v>1237.1438455411771</v>
      </c>
      <c r="O47" s="15">
        <f t="shared" si="3"/>
        <v>1449.7078754176441</v>
      </c>
      <c r="P47" s="15">
        <f t="shared" si="3"/>
        <v>1529.4274092322053</v>
      </c>
      <c r="Q47" s="15">
        <f t="shared" si="3"/>
        <v>1291.3606713576899</v>
      </c>
      <c r="R47" s="15">
        <f t="shared" si="3"/>
        <v>910.75484296615411</v>
      </c>
      <c r="S47" s="15">
        <f t="shared" si="3"/>
        <v>575.56753159261029</v>
      </c>
      <c r="T47" s="15">
        <f t="shared" si="3"/>
        <v>438.7617528768892</v>
      </c>
      <c r="U47" s="16">
        <f t="shared" si="4"/>
        <v>16365.959746829858</v>
      </c>
    </row>
    <row r="48" spans="1:21">
      <c r="A48" s="23">
        <v>2025</v>
      </c>
      <c r="B48" s="4"/>
      <c r="C48" s="15">
        <f t="shared" si="3"/>
        <v>708.08789778389132</v>
      </c>
      <c r="D48" s="15">
        <f t="shared" si="3"/>
        <v>766.63083758781886</v>
      </c>
      <c r="E48" s="15">
        <f t="shared" si="3"/>
        <v>749.5844001883089</v>
      </c>
      <c r="F48" s="15">
        <f t="shared" si="3"/>
        <v>729.11791673223206</v>
      </c>
      <c r="G48" s="15">
        <f t="shared" si="3"/>
        <v>681.38587812729997</v>
      </c>
      <c r="H48" s="15">
        <f t="shared" si="3"/>
        <v>680.86862147409681</v>
      </c>
      <c r="I48" s="15">
        <f t="shared" si="3"/>
        <v>810.07822404720787</v>
      </c>
      <c r="J48" s="15">
        <f t="shared" si="3"/>
        <v>741.96752607193389</v>
      </c>
      <c r="K48" s="15">
        <f t="shared" si="3"/>
        <v>848.02105369995422</v>
      </c>
      <c r="L48" s="15">
        <f t="shared" si="3"/>
        <v>797.46510942737245</v>
      </c>
      <c r="M48" s="15">
        <f t="shared" si="3"/>
        <v>885.88980743865363</v>
      </c>
      <c r="N48" s="15">
        <f t="shared" si="3"/>
        <v>1014.0791246714596</v>
      </c>
      <c r="O48" s="15">
        <f t="shared" si="3"/>
        <v>1209.8756094512155</v>
      </c>
      <c r="P48" s="15">
        <f t="shared" si="3"/>
        <v>1474.6228994709372</v>
      </c>
      <c r="Q48" s="15">
        <f t="shared" si="3"/>
        <v>1313.9281746921592</v>
      </c>
      <c r="R48" s="15">
        <f t="shared" si="3"/>
        <v>1152.4251919357175</v>
      </c>
      <c r="S48" s="15">
        <f t="shared" si="3"/>
        <v>689.66308836591463</v>
      </c>
      <c r="T48" s="15">
        <f t="shared" si="3"/>
        <v>499.05087861424016</v>
      </c>
      <c r="U48" s="16">
        <f t="shared" si="4"/>
        <v>15752.742239780413</v>
      </c>
    </row>
    <row r="49" spans="1:21" ht="15.75" thickBot="1">
      <c r="A49" s="24">
        <v>2030</v>
      </c>
      <c r="B49" s="20"/>
      <c r="C49" s="21">
        <f t="shared" si="3"/>
        <v>670.57196179565267</v>
      </c>
      <c r="D49" s="21">
        <f t="shared" si="3"/>
        <v>744.03164319990663</v>
      </c>
      <c r="E49" s="21">
        <f t="shared" si="3"/>
        <v>737.91275316761846</v>
      </c>
      <c r="F49" s="21">
        <f t="shared" si="3"/>
        <v>725.91631809533533</v>
      </c>
      <c r="G49" s="21">
        <f t="shared" si="3"/>
        <v>614.38844941350942</v>
      </c>
      <c r="H49" s="21">
        <f t="shared" si="3"/>
        <v>603.88548376690926</v>
      </c>
      <c r="I49" s="21">
        <f t="shared" si="3"/>
        <v>758.01917013608374</v>
      </c>
      <c r="J49" s="21">
        <f t="shared" si="3"/>
        <v>891.77409620953631</v>
      </c>
      <c r="K49" s="21">
        <f t="shared" si="3"/>
        <v>740.3535995995702</v>
      </c>
      <c r="L49" s="21">
        <f t="shared" si="3"/>
        <v>823.83408010410744</v>
      </c>
      <c r="M49" s="21">
        <f t="shared" si="3"/>
        <v>780.10678116108193</v>
      </c>
      <c r="N49" s="21">
        <f t="shared" si="3"/>
        <v>847.3279108769301</v>
      </c>
      <c r="O49" s="21">
        <f t="shared" si="3"/>
        <v>997.95101448060177</v>
      </c>
      <c r="P49" s="21">
        <f t="shared" si="3"/>
        <v>1243.9642853952128</v>
      </c>
      <c r="Q49" s="21">
        <f t="shared" si="3"/>
        <v>1268.1749272705867</v>
      </c>
      <c r="R49" s="21">
        <f t="shared" si="3"/>
        <v>1182.7141633782694</v>
      </c>
      <c r="S49" s="21">
        <f t="shared" si="3"/>
        <v>871.313469407909</v>
      </c>
      <c r="T49" s="21">
        <f t="shared" si="3"/>
        <v>589.0865961778934</v>
      </c>
      <c r="U49" s="22">
        <f t="shared" si="4"/>
        <v>15091.326703636712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23</v>
      </c>
      <c r="B1" s="8" t="s">
        <v>11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965</v>
      </c>
      <c r="D4" s="15">
        <v>1204</v>
      </c>
      <c r="E4" s="15">
        <v>1299</v>
      </c>
      <c r="F4" s="15">
        <v>1194</v>
      </c>
      <c r="G4" s="15">
        <v>785</v>
      </c>
      <c r="H4" s="15">
        <v>983</v>
      </c>
      <c r="I4" s="15">
        <v>1257</v>
      </c>
      <c r="J4" s="15">
        <v>1444</v>
      </c>
      <c r="K4" s="15">
        <v>1588</v>
      </c>
      <c r="L4" s="15">
        <v>1571</v>
      </c>
      <c r="M4" s="15">
        <v>1344</v>
      </c>
      <c r="N4" s="15">
        <v>1033</v>
      </c>
      <c r="O4" s="15">
        <v>729</v>
      </c>
      <c r="P4" s="15">
        <v>640</v>
      </c>
      <c r="Q4" s="15">
        <v>568</v>
      </c>
      <c r="R4" s="15">
        <v>510</v>
      </c>
      <c r="S4" s="15">
        <v>426</v>
      </c>
      <c r="T4" s="15">
        <v>451</v>
      </c>
      <c r="U4" s="16">
        <f>SUM(C4:T4)</f>
        <v>17991</v>
      </c>
    </row>
    <row r="5" spans="1:21">
      <c r="A5" s="12">
        <v>2002</v>
      </c>
      <c r="B5" s="4"/>
      <c r="C5" s="15">
        <v>984</v>
      </c>
      <c r="D5" s="15">
        <v>1164</v>
      </c>
      <c r="E5" s="15">
        <v>1280</v>
      </c>
      <c r="F5" s="15">
        <v>1164</v>
      </c>
      <c r="G5" s="15">
        <v>855</v>
      </c>
      <c r="H5" s="15">
        <v>936</v>
      </c>
      <c r="I5" s="15">
        <v>1258</v>
      </c>
      <c r="J5" s="15">
        <v>1388</v>
      </c>
      <c r="K5" s="15">
        <v>1650</v>
      </c>
      <c r="L5" s="15">
        <v>1567</v>
      </c>
      <c r="M5" s="15">
        <v>1324</v>
      </c>
      <c r="N5" s="15">
        <v>1128</v>
      </c>
      <c r="O5" s="15">
        <v>791</v>
      </c>
      <c r="P5" s="15">
        <v>639</v>
      </c>
      <c r="Q5" s="15">
        <v>604</v>
      </c>
      <c r="R5" s="15">
        <v>494</v>
      </c>
      <c r="S5" s="15">
        <v>419</v>
      </c>
      <c r="T5" s="15">
        <v>456</v>
      </c>
      <c r="U5" s="16">
        <f t="shared" ref="U5:U17" si="0">SUM(C5:T5)</f>
        <v>18101</v>
      </c>
    </row>
    <row r="6" spans="1:21">
      <c r="A6" s="12">
        <v>2003</v>
      </c>
      <c r="B6" s="4"/>
      <c r="C6" s="15">
        <v>1029</v>
      </c>
      <c r="D6" s="15">
        <v>1132</v>
      </c>
      <c r="E6" s="15">
        <v>1322</v>
      </c>
      <c r="F6" s="15">
        <v>1137</v>
      </c>
      <c r="G6" s="15">
        <v>922</v>
      </c>
      <c r="H6" s="15">
        <v>949</v>
      </c>
      <c r="I6" s="15">
        <v>1264</v>
      </c>
      <c r="J6" s="15">
        <v>1345</v>
      </c>
      <c r="K6" s="15">
        <v>1627</v>
      </c>
      <c r="L6" s="15">
        <v>1551</v>
      </c>
      <c r="M6" s="15">
        <v>1417</v>
      </c>
      <c r="N6" s="15">
        <v>1167</v>
      </c>
      <c r="O6" s="15">
        <v>889</v>
      </c>
      <c r="P6" s="15">
        <v>684</v>
      </c>
      <c r="Q6" s="15">
        <v>597</v>
      </c>
      <c r="R6" s="15">
        <v>489</v>
      </c>
      <c r="S6" s="15">
        <v>441</v>
      </c>
      <c r="T6" s="15">
        <v>477</v>
      </c>
      <c r="U6" s="16">
        <f t="shared" si="0"/>
        <v>18439</v>
      </c>
    </row>
    <row r="7" spans="1:21">
      <c r="A7" s="12">
        <v>2004</v>
      </c>
      <c r="B7" s="4"/>
      <c r="C7" s="15">
        <v>1019</v>
      </c>
      <c r="D7" s="15">
        <v>1084</v>
      </c>
      <c r="E7" s="15">
        <v>1296</v>
      </c>
      <c r="F7" s="15">
        <v>1144</v>
      </c>
      <c r="G7" s="15">
        <v>934</v>
      </c>
      <c r="H7" s="15">
        <v>895</v>
      </c>
      <c r="I7" s="15">
        <v>1192</v>
      </c>
      <c r="J7" s="15">
        <v>1307</v>
      </c>
      <c r="K7" s="15">
        <v>1616</v>
      </c>
      <c r="L7" s="15">
        <v>1571</v>
      </c>
      <c r="M7" s="15">
        <v>1485</v>
      </c>
      <c r="N7" s="15">
        <v>1216</v>
      </c>
      <c r="O7" s="15">
        <v>958</v>
      </c>
      <c r="P7" s="15">
        <v>700</v>
      </c>
      <c r="Q7" s="15">
        <v>590</v>
      </c>
      <c r="R7" s="15">
        <v>537</v>
      </c>
      <c r="S7" s="15">
        <v>428</v>
      </c>
      <c r="T7" s="15">
        <v>490</v>
      </c>
      <c r="U7" s="16">
        <f t="shared" si="0"/>
        <v>18462</v>
      </c>
    </row>
    <row r="8" spans="1:21">
      <c r="A8" s="12">
        <v>2005</v>
      </c>
      <c r="B8" s="4"/>
      <c r="C8" s="15">
        <v>999</v>
      </c>
      <c r="D8" s="15">
        <v>1028</v>
      </c>
      <c r="E8" s="15">
        <v>1255</v>
      </c>
      <c r="F8" s="15">
        <v>1123</v>
      </c>
      <c r="G8" s="15">
        <v>927</v>
      </c>
      <c r="H8" s="15">
        <v>890</v>
      </c>
      <c r="I8" s="15">
        <v>1095</v>
      </c>
      <c r="J8" s="15">
        <v>1290</v>
      </c>
      <c r="K8" s="15">
        <v>1571</v>
      </c>
      <c r="L8" s="15">
        <v>1591</v>
      </c>
      <c r="M8" s="15">
        <v>1543</v>
      </c>
      <c r="N8" s="15">
        <v>1288</v>
      </c>
      <c r="O8" s="15">
        <v>1016</v>
      </c>
      <c r="P8" s="15">
        <v>723</v>
      </c>
      <c r="Q8" s="15">
        <v>608</v>
      </c>
      <c r="R8" s="15">
        <v>510</v>
      </c>
      <c r="S8" s="15">
        <v>399</v>
      </c>
      <c r="T8" s="15">
        <v>479</v>
      </c>
      <c r="U8" s="16">
        <f t="shared" si="0"/>
        <v>18335</v>
      </c>
    </row>
    <row r="9" spans="1:21">
      <c r="A9" s="12">
        <v>2006</v>
      </c>
      <c r="B9" s="4"/>
      <c r="C9" s="15">
        <v>1020</v>
      </c>
      <c r="D9" s="15">
        <v>986</v>
      </c>
      <c r="E9" s="15">
        <v>1209</v>
      </c>
      <c r="F9" s="15">
        <v>1092</v>
      </c>
      <c r="G9" s="15">
        <v>894</v>
      </c>
      <c r="H9" s="15">
        <v>937</v>
      </c>
      <c r="I9" s="15">
        <v>1031</v>
      </c>
      <c r="J9" s="15">
        <v>1312</v>
      </c>
      <c r="K9" s="15">
        <v>1467</v>
      </c>
      <c r="L9" s="15">
        <v>1625</v>
      </c>
      <c r="M9" s="15">
        <v>1574</v>
      </c>
      <c r="N9" s="15">
        <v>1381</v>
      </c>
      <c r="O9" s="15">
        <v>1032</v>
      </c>
      <c r="P9" s="15">
        <v>806</v>
      </c>
      <c r="Q9" s="15">
        <v>613</v>
      </c>
      <c r="R9" s="15">
        <v>536</v>
      </c>
      <c r="S9" s="15">
        <v>423</v>
      </c>
      <c r="T9" s="15">
        <v>510</v>
      </c>
      <c r="U9" s="16">
        <f t="shared" si="0"/>
        <v>18448</v>
      </c>
    </row>
    <row r="10" spans="1:21">
      <c r="A10" s="12">
        <v>2007</v>
      </c>
      <c r="B10" s="4"/>
      <c r="C10" s="15">
        <v>1030</v>
      </c>
      <c r="D10" s="15">
        <v>947</v>
      </c>
      <c r="E10" s="15">
        <v>1176</v>
      </c>
      <c r="F10" s="15">
        <v>1066</v>
      </c>
      <c r="G10" s="15">
        <v>890</v>
      </c>
      <c r="H10" s="15">
        <v>931</v>
      </c>
      <c r="I10" s="15">
        <v>957</v>
      </c>
      <c r="J10" s="15">
        <v>1342</v>
      </c>
      <c r="K10" s="15">
        <v>1388</v>
      </c>
      <c r="L10" s="15">
        <v>1637</v>
      </c>
      <c r="M10" s="15">
        <v>1576</v>
      </c>
      <c r="N10" s="15">
        <v>1397</v>
      </c>
      <c r="O10" s="15">
        <v>1131</v>
      </c>
      <c r="P10" s="15">
        <v>844</v>
      </c>
      <c r="Q10" s="15">
        <v>620</v>
      </c>
      <c r="R10" s="15">
        <v>542</v>
      </c>
      <c r="S10" s="15">
        <v>418</v>
      </c>
      <c r="T10" s="15">
        <v>509</v>
      </c>
      <c r="U10" s="16">
        <f t="shared" si="0"/>
        <v>18401</v>
      </c>
    </row>
    <row r="11" spans="1:21">
      <c r="A11" s="12">
        <v>2008</v>
      </c>
      <c r="B11" s="4"/>
      <c r="C11" s="15">
        <v>975</v>
      </c>
      <c r="D11" s="15">
        <v>996</v>
      </c>
      <c r="E11" s="15">
        <v>1123</v>
      </c>
      <c r="F11" s="15">
        <v>1070</v>
      </c>
      <c r="G11" s="15">
        <v>875</v>
      </c>
      <c r="H11" s="15">
        <v>941</v>
      </c>
      <c r="I11" s="15">
        <v>946</v>
      </c>
      <c r="J11" s="15">
        <v>1271</v>
      </c>
      <c r="K11" s="15">
        <v>1386</v>
      </c>
      <c r="L11" s="15">
        <v>1598</v>
      </c>
      <c r="M11" s="15">
        <v>1578</v>
      </c>
      <c r="N11" s="15">
        <v>1432</v>
      </c>
      <c r="O11" s="15">
        <v>1176</v>
      </c>
      <c r="P11" s="15">
        <v>916</v>
      </c>
      <c r="Q11" s="15">
        <v>647</v>
      </c>
      <c r="R11" s="15">
        <v>532</v>
      </c>
      <c r="S11" s="15">
        <v>410</v>
      </c>
      <c r="T11" s="15">
        <v>529</v>
      </c>
      <c r="U11" s="16">
        <f t="shared" si="0"/>
        <v>18401</v>
      </c>
    </row>
    <row r="12" spans="1:21">
      <c r="A12" s="12">
        <v>2009</v>
      </c>
      <c r="B12" s="4"/>
      <c r="C12" s="15">
        <v>926</v>
      </c>
      <c r="D12" s="15">
        <v>1035</v>
      </c>
      <c r="E12" s="15">
        <v>1083</v>
      </c>
      <c r="F12" s="15">
        <v>1054</v>
      </c>
      <c r="G12" s="15">
        <v>808</v>
      </c>
      <c r="H12" s="15">
        <v>939</v>
      </c>
      <c r="I12" s="15">
        <v>960</v>
      </c>
      <c r="J12" s="15">
        <v>1225</v>
      </c>
      <c r="K12" s="15">
        <v>1304</v>
      </c>
      <c r="L12" s="15">
        <v>1604</v>
      </c>
      <c r="M12" s="15">
        <v>1583</v>
      </c>
      <c r="N12" s="15">
        <v>1475</v>
      </c>
      <c r="O12" s="15">
        <v>1222</v>
      </c>
      <c r="P12" s="15">
        <v>985</v>
      </c>
      <c r="Q12" s="15">
        <v>664</v>
      </c>
      <c r="R12" s="15">
        <v>517</v>
      </c>
      <c r="S12" s="15">
        <v>449</v>
      </c>
      <c r="T12" s="15">
        <v>498</v>
      </c>
      <c r="U12" s="16">
        <f t="shared" si="0"/>
        <v>18331</v>
      </c>
    </row>
    <row r="13" spans="1:21">
      <c r="A13" s="12">
        <v>2010</v>
      </c>
      <c r="B13" s="4"/>
      <c r="C13" s="15">
        <v>916</v>
      </c>
      <c r="D13" s="15">
        <v>983</v>
      </c>
      <c r="E13" s="15">
        <v>1012</v>
      </c>
      <c r="F13" s="15">
        <v>1021</v>
      </c>
      <c r="G13" s="15">
        <v>798</v>
      </c>
      <c r="H13" s="15">
        <v>937</v>
      </c>
      <c r="I13" s="15">
        <v>942</v>
      </c>
      <c r="J13" s="15">
        <v>1143</v>
      </c>
      <c r="K13" s="15">
        <v>1258</v>
      </c>
      <c r="L13" s="15">
        <v>1578</v>
      </c>
      <c r="M13" s="15">
        <v>1604</v>
      </c>
      <c r="N13" s="15">
        <v>1499</v>
      </c>
      <c r="O13" s="15">
        <v>1258</v>
      </c>
      <c r="P13" s="15">
        <v>1021</v>
      </c>
      <c r="Q13" s="15">
        <v>711</v>
      </c>
      <c r="R13" s="15">
        <v>527</v>
      </c>
      <c r="S13" s="15">
        <v>412</v>
      </c>
      <c r="T13" s="15">
        <v>538</v>
      </c>
      <c r="U13" s="16">
        <f t="shared" si="0"/>
        <v>18158</v>
      </c>
    </row>
    <row r="14" spans="1:21">
      <c r="A14" s="23">
        <v>2015</v>
      </c>
      <c r="B14" s="4"/>
      <c r="C14" s="15">
        <v>872.37370038945562</v>
      </c>
      <c r="D14" s="15">
        <v>930.97701903305483</v>
      </c>
      <c r="E14" s="15">
        <v>980.43445836547926</v>
      </c>
      <c r="F14" s="15">
        <v>1007.8368465526261</v>
      </c>
      <c r="G14" s="15">
        <v>987.7301825692233</v>
      </c>
      <c r="H14" s="15">
        <v>698.98089219411031</v>
      </c>
      <c r="I14" s="15">
        <v>927.75034710696161</v>
      </c>
      <c r="J14" s="15">
        <v>993.60132837713979</v>
      </c>
      <c r="K14" s="15">
        <v>1147.984533343714</v>
      </c>
      <c r="L14" s="15">
        <v>1313.9867457754769</v>
      </c>
      <c r="M14" s="15">
        <v>1557.5844986522684</v>
      </c>
      <c r="N14" s="15">
        <v>1614.0242423065652</v>
      </c>
      <c r="O14" s="15">
        <v>1458.0393855396546</v>
      </c>
      <c r="P14" s="15">
        <v>1209.3774559476967</v>
      </c>
      <c r="Q14" s="15">
        <v>978.33906930412138</v>
      </c>
      <c r="R14" s="15">
        <v>620.17667311112621</v>
      </c>
      <c r="S14" s="15">
        <v>450.56554693802866</v>
      </c>
      <c r="T14" s="15">
        <v>545.0348397221718</v>
      </c>
      <c r="U14" s="16">
        <f t="shared" si="0"/>
        <v>18294.797765228876</v>
      </c>
    </row>
    <row r="15" spans="1:21">
      <c r="A15" s="23">
        <v>2020</v>
      </c>
      <c r="B15" s="4"/>
      <c r="C15" s="15">
        <v>851.21032931962043</v>
      </c>
      <c r="D15" s="15">
        <v>897.23112015535139</v>
      </c>
      <c r="E15" s="15">
        <v>934.51145804577993</v>
      </c>
      <c r="F15" s="15">
        <v>980.86536971101771</v>
      </c>
      <c r="G15" s="15">
        <v>981.77409116075512</v>
      </c>
      <c r="H15" s="15">
        <v>842.66227500870571</v>
      </c>
      <c r="I15" s="15">
        <v>739.15160310668546</v>
      </c>
      <c r="J15" s="15">
        <v>989.7687155020144</v>
      </c>
      <c r="K15" s="15">
        <v>1016.0104749676697</v>
      </c>
      <c r="L15" s="15">
        <v>1212.1196239039152</v>
      </c>
      <c r="M15" s="15">
        <v>1306.2446932903515</v>
      </c>
      <c r="N15" s="15">
        <v>1562.2433469731793</v>
      </c>
      <c r="O15" s="15">
        <v>1565.2178060984907</v>
      </c>
      <c r="P15" s="15">
        <v>1400.2624166822388</v>
      </c>
      <c r="Q15" s="15">
        <v>1156.4497478844376</v>
      </c>
      <c r="R15" s="15">
        <v>850.90896963790601</v>
      </c>
      <c r="S15" s="15">
        <v>531.87058416165985</v>
      </c>
      <c r="T15" s="15">
        <v>573.91665315439241</v>
      </c>
      <c r="U15" s="16">
        <f t="shared" si="0"/>
        <v>18392.41927876417</v>
      </c>
    </row>
    <row r="16" spans="1:21">
      <c r="A16" s="23">
        <v>2025</v>
      </c>
      <c r="B16" s="4"/>
      <c r="C16" s="15">
        <v>849.76842845146643</v>
      </c>
      <c r="D16" s="15">
        <v>882.40733770551606</v>
      </c>
      <c r="E16" s="15">
        <v>905.14059862000374</v>
      </c>
      <c r="F16" s="15">
        <v>941.00835037431739</v>
      </c>
      <c r="G16" s="15">
        <v>962.05927973057965</v>
      </c>
      <c r="H16" s="15">
        <v>843.56639021020555</v>
      </c>
      <c r="I16" s="15">
        <v>852.05691649776475</v>
      </c>
      <c r="J16" s="15">
        <v>831.38838758914835</v>
      </c>
      <c r="K16" s="15">
        <v>1016.9280161736668</v>
      </c>
      <c r="L16" s="15">
        <v>1095.7815158609371</v>
      </c>
      <c r="M16" s="15">
        <v>1211.7453190657632</v>
      </c>
      <c r="N16" s="15">
        <v>1324.7233364234924</v>
      </c>
      <c r="O16" s="15">
        <v>1512.1746652603576</v>
      </c>
      <c r="P16" s="15">
        <v>1501.2750548104163</v>
      </c>
      <c r="Q16" s="15">
        <v>1336.8034661735996</v>
      </c>
      <c r="R16" s="15">
        <v>1004.0795068190832</v>
      </c>
      <c r="S16" s="15">
        <v>725.7759784484274</v>
      </c>
      <c r="T16" s="15">
        <v>643.62044690286814</v>
      </c>
      <c r="U16" s="16">
        <f t="shared" si="0"/>
        <v>18440.30299511761</v>
      </c>
    </row>
    <row r="17" spans="1:21">
      <c r="A17" s="23">
        <v>2030</v>
      </c>
      <c r="B17" s="4"/>
      <c r="C17" s="15">
        <v>852.1031542588272</v>
      </c>
      <c r="D17" s="15">
        <v>885.09004634034704</v>
      </c>
      <c r="E17" s="15">
        <v>893.13884578309194</v>
      </c>
      <c r="F17" s="15">
        <v>916.03908157587944</v>
      </c>
      <c r="G17" s="15">
        <v>931.76927831395631</v>
      </c>
      <c r="H17" s="15">
        <v>832.45877349801322</v>
      </c>
      <c r="I17" s="15">
        <v>863.53639168296081</v>
      </c>
      <c r="J17" s="15">
        <v>925.81162351416765</v>
      </c>
      <c r="K17" s="15">
        <v>872.27344889238475</v>
      </c>
      <c r="L17" s="15">
        <v>1102.9120417655035</v>
      </c>
      <c r="M17" s="15">
        <v>1107.1140264351959</v>
      </c>
      <c r="N17" s="15">
        <v>1239.4780803007441</v>
      </c>
      <c r="O17" s="15">
        <v>1291.3108788629509</v>
      </c>
      <c r="P17" s="15">
        <v>1449.3016994083268</v>
      </c>
      <c r="Q17" s="15">
        <v>1430.267396805714</v>
      </c>
      <c r="R17" s="15">
        <v>1159.0992595157347</v>
      </c>
      <c r="S17" s="15">
        <v>853.70714173116505</v>
      </c>
      <c r="T17" s="15">
        <v>806.09332196791365</v>
      </c>
      <c r="U17" s="16">
        <f t="shared" si="0"/>
        <v>18411.504490652875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1132</v>
      </c>
      <c r="D20" s="15">
        <v>1210</v>
      </c>
      <c r="E20" s="15">
        <v>1472</v>
      </c>
      <c r="F20" s="15">
        <v>1243</v>
      </c>
      <c r="G20" s="15">
        <v>799</v>
      </c>
      <c r="H20" s="15">
        <v>890</v>
      </c>
      <c r="I20" s="15">
        <v>1219</v>
      </c>
      <c r="J20" s="15">
        <v>1366</v>
      </c>
      <c r="K20" s="15">
        <v>1622</v>
      </c>
      <c r="L20" s="15">
        <v>1457</v>
      </c>
      <c r="M20" s="15">
        <v>1313</v>
      </c>
      <c r="N20" s="15">
        <v>986</v>
      </c>
      <c r="O20" s="15">
        <v>774</v>
      </c>
      <c r="P20" s="15">
        <v>606</v>
      </c>
      <c r="Q20" s="15">
        <v>467</v>
      </c>
      <c r="R20" s="15">
        <v>372</v>
      </c>
      <c r="S20" s="15">
        <v>229</v>
      </c>
      <c r="T20" s="15">
        <v>175</v>
      </c>
      <c r="U20" s="16">
        <f>SUM(C20:T20)</f>
        <v>17332</v>
      </c>
    </row>
    <row r="21" spans="1:21">
      <c r="A21" s="12">
        <v>2002</v>
      </c>
      <c r="B21" s="4"/>
      <c r="C21" s="15">
        <v>1091</v>
      </c>
      <c r="D21" s="15">
        <v>1214</v>
      </c>
      <c r="E21" s="15">
        <v>1461</v>
      </c>
      <c r="F21" s="15">
        <v>1279</v>
      </c>
      <c r="G21" s="15">
        <v>828</v>
      </c>
      <c r="H21" s="15">
        <v>890</v>
      </c>
      <c r="I21" s="15">
        <v>1223</v>
      </c>
      <c r="J21" s="15">
        <v>1297</v>
      </c>
      <c r="K21" s="15">
        <v>1630</v>
      </c>
      <c r="L21" s="15">
        <v>1500</v>
      </c>
      <c r="M21" s="15">
        <v>1269</v>
      </c>
      <c r="N21" s="15">
        <v>1099</v>
      </c>
      <c r="O21" s="15">
        <v>763</v>
      </c>
      <c r="P21" s="15">
        <v>650</v>
      </c>
      <c r="Q21" s="15">
        <v>464</v>
      </c>
      <c r="R21" s="15">
        <v>366</v>
      </c>
      <c r="S21" s="15">
        <v>250</v>
      </c>
      <c r="T21" s="15">
        <v>170</v>
      </c>
      <c r="U21" s="16">
        <f t="shared" ref="U21:U33" si="1">SUM(C21:T21)</f>
        <v>17444</v>
      </c>
    </row>
    <row r="22" spans="1:21">
      <c r="A22" s="12">
        <v>2003</v>
      </c>
      <c r="B22" s="4"/>
      <c r="C22" s="15">
        <v>1124</v>
      </c>
      <c r="D22" s="15">
        <v>1173</v>
      </c>
      <c r="E22" s="15">
        <v>1380</v>
      </c>
      <c r="F22" s="15">
        <v>1300</v>
      </c>
      <c r="G22" s="15">
        <v>892</v>
      </c>
      <c r="H22" s="15">
        <v>864</v>
      </c>
      <c r="I22" s="15">
        <v>1182</v>
      </c>
      <c r="J22" s="15">
        <v>1255</v>
      </c>
      <c r="K22" s="15">
        <v>1600</v>
      </c>
      <c r="L22" s="15">
        <v>1489</v>
      </c>
      <c r="M22" s="15">
        <v>1341</v>
      </c>
      <c r="N22" s="15">
        <v>1134</v>
      </c>
      <c r="O22" s="15">
        <v>835</v>
      </c>
      <c r="P22" s="15">
        <v>665</v>
      </c>
      <c r="Q22" s="15">
        <v>457</v>
      </c>
      <c r="R22" s="15">
        <v>382</v>
      </c>
      <c r="S22" s="15">
        <v>270</v>
      </c>
      <c r="T22" s="15">
        <v>184</v>
      </c>
      <c r="U22" s="16">
        <f t="shared" si="1"/>
        <v>17527</v>
      </c>
    </row>
    <row r="23" spans="1:21">
      <c r="A23" s="12">
        <v>2004</v>
      </c>
      <c r="B23" s="4"/>
      <c r="C23" s="15">
        <v>1123</v>
      </c>
      <c r="D23" s="15">
        <v>1149</v>
      </c>
      <c r="E23" s="15">
        <v>1322</v>
      </c>
      <c r="F23" s="15">
        <v>1339</v>
      </c>
      <c r="G23" s="15">
        <v>895</v>
      </c>
      <c r="H23" s="15">
        <v>879</v>
      </c>
      <c r="I23" s="15">
        <v>1074</v>
      </c>
      <c r="J23" s="15">
        <v>1284</v>
      </c>
      <c r="K23" s="15">
        <v>1542</v>
      </c>
      <c r="L23" s="15">
        <v>1507</v>
      </c>
      <c r="M23" s="15">
        <v>1377</v>
      </c>
      <c r="N23" s="15">
        <v>1207</v>
      </c>
      <c r="O23" s="15">
        <v>888</v>
      </c>
      <c r="P23" s="15">
        <v>698</v>
      </c>
      <c r="Q23" s="15">
        <v>489</v>
      </c>
      <c r="R23" s="15">
        <v>370</v>
      </c>
      <c r="S23" s="15">
        <v>292</v>
      </c>
      <c r="T23" s="15">
        <v>203</v>
      </c>
      <c r="U23" s="16">
        <f t="shared" si="1"/>
        <v>17638</v>
      </c>
    </row>
    <row r="24" spans="1:21">
      <c r="A24" s="12">
        <v>2005</v>
      </c>
      <c r="B24" s="4"/>
      <c r="C24" s="15">
        <v>1036</v>
      </c>
      <c r="D24" s="15">
        <v>1152</v>
      </c>
      <c r="E24" s="15">
        <v>1231</v>
      </c>
      <c r="F24" s="15">
        <v>1306</v>
      </c>
      <c r="G24" s="15">
        <v>927</v>
      </c>
      <c r="H24" s="15">
        <v>867</v>
      </c>
      <c r="I24" s="15">
        <v>986</v>
      </c>
      <c r="J24" s="15">
        <v>1261</v>
      </c>
      <c r="K24" s="15">
        <v>1469</v>
      </c>
      <c r="L24" s="15">
        <v>1549</v>
      </c>
      <c r="M24" s="15">
        <v>1395</v>
      </c>
      <c r="N24" s="15">
        <v>1247</v>
      </c>
      <c r="O24" s="15">
        <v>962</v>
      </c>
      <c r="P24" s="15">
        <v>691</v>
      </c>
      <c r="Q24" s="15">
        <v>547</v>
      </c>
      <c r="R24" s="15">
        <v>362</v>
      </c>
      <c r="S24" s="15">
        <v>308</v>
      </c>
      <c r="T24" s="15">
        <v>182</v>
      </c>
      <c r="U24" s="16">
        <f t="shared" si="1"/>
        <v>17478</v>
      </c>
    </row>
    <row r="25" spans="1:21">
      <c r="A25" s="12">
        <v>2006</v>
      </c>
      <c r="B25" s="4"/>
      <c r="C25" s="15">
        <v>998</v>
      </c>
      <c r="D25" s="15">
        <v>1160</v>
      </c>
      <c r="E25" s="15">
        <v>1166</v>
      </c>
      <c r="F25" s="15">
        <v>1242</v>
      </c>
      <c r="G25" s="15">
        <v>900</v>
      </c>
      <c r="H25" s="15">
        <v>895</v>
      </c>
      <c r="I25" s="15">
        <v>954</v>
      </c>
      <c r="J25" s="15">
        <v>1309</v>
      </c>
      <c r="K25" s="15">
        <v>1366</v>
      </c>
      <c r="L25" s="15">
        <v>1584</v>
      </c>
      <c r="M25" s="15">
        <v>1390</v>
      </c>
      <c r="N25" s="15">
        <v>1296</v>
      </c>
      <c r="O25" s="15">
        <v>961</v>
      </c>
      <c r="P25" s="15">
        <v>737</v>
      </c>
      <c r="Q25" s="15">
        <v>597</v>
      </c>
      <c r="R25" s="15">
        <v>392</v>
      </c>
      <c r="S25" s="15">
        <v>299</v>
      </c>
      <c r="T25" s="15">
        <v>201</v>
      </c>
      <c r="U25" s="16">
        <f t="shared" si="1"/>
        <v>17447</v>
      </c>
    </row>
    <row r="26" spans="1:21">
      <c r="A26" s="12">
        <v>2007</v>
      </c>
      <c r="B26" s="4"/>
      <c r="C26" s="15">
        <v>1039</v>
      </c>
      <c r="D26" s="15">
        <v>1096</v>
      </c>
      <c r="E26" s="15">
        <v>1144</v>
      </c>
      <c r="F26" s="15">
        <v>1216</v>
      </c>
      <c r="G26" s="15">
        <v>918</v>
      </c>
      <c r="H26" s="15">
        <v>918</v>
      </c>
      <c r="I26" s="15">
        <v>903</v>
      </c>
      <c r="J26" s="15">
        <v>1285</v>
      </c>
      <c r="K26" s="15">
        <v>1293</v>
      </c>
      <c r="L26" s="15">
        <v>1589</v>
      </c>
      <c r="M26" s="15">
        <v>1448</v>
      </c>
      <c r="N26" s="15">
        <v>1289</v>
      </c>
      <c r="O26" s="15">
        <v>1073</v>
      </c>
      <c r="P26" s="15">
        <v>751</v>
      </c>
      <c r="Q26" s="15">
        <v>645</v>
      </c>
      <c r="R26" s="15">
        <v>377</v>
      </c>
      <c r="S26" s="15">
        <v>298</v>
      </c>
      <c r="T26" s="15">
        <v>207</v>
      </c>
      <c r="U26" s="16">
        <f t="shared" si="1"/>
        <v>17489</v>
      </c>
    </row>
    <row r="27" spans="1:21">
      <c r="A27" s="12">
        <v>2008</v>
      </c>
      <c r="B27" s="4"/>
      <c r="C27" s="15">
        <v>1039</v>
      </c>
      <c r="D27" s="15">
        <v>1093</v>
      </c>
      <c r="E27" s="15">
        <v>1121</v>
      </c>
      <c r="F27" s="15">
        <v>1128</v>
      </c>
      <c r="G27" s="15">
        <v>919</v>
      </c>
      <c r="H27" s="15">
        <v>934</v>
      </c>
      <c r="I27" s="15">
        <v>898</v>
      </c>
      <c r="J27" s="15">
        <v>1205</v>
      </c>
      <c r="K27" s="15">
        <v>1267</v>
      </c>
      <c r="L27" s="15">
        <v>1565</v>
      </c>
      <c r="M27" s="15">
        <v>1453</v>
      </c>
      <c r="N27" s="15">
        <v>1320</v>
      </c>
      <c r="O27" s="15">
        <v>1126</v>
      </c>
      <c r="P27" s="15">
        <v>838</v>
      </c>
      <c r="Q27" s="15">
        <v>642</v>
      </c>
      <c r="R27" s="15">
        <v>376</v>
      </c>
      <c r="S27" s="15">
        <v>327</v>
      </c>
      <c r="T27" s="15">
        <v>208</v>
      </c>
      <c r="U27" s="16">
        <f t="shared" si="1"/>
        <v>17459</v>
      </c>
    </row>
    <row r="28" spans="1:21">
      <c r="A28" s="12">
        <v>2009</v>
      </c>
      <c r="B28" s="4"/>
      <c r="C28" s="15">
        <v>981</v>
      </c>
      <c r="D28" s="15">
        <v>1077</v>
      </c>
      <c r="E28" s="15">
        <v>1084</v>
      </c>
      <c r="F28" s="15">
        <v>1069</v>
      </c>
      <c r="G28" s="15">
        <v>892</v>
      </c>
      <c r="H28" s="15">
        <v>875</v>
      </c>
      <c r="I28" s="15">
        <v>889</v>
      </c>
      <c r="J28" s="15">
        <v>1134</v>
      </c>
      <c r="K28" s="15">
        <v>1268</v>
      </c>
      <c r="L28" s="15">
        <v>1489</v>
      </c>
      <c r="M28" s="15">
        <v>1443</v>
      </c>
      <c r="N28" s="15">
        <v>1337</v>
      </c>
      <c r="O28" s="15">
        <v>1174</v>
      </c>
      <c r="P28" s="15">
        <v>932</v>
      </c>
      <c r="Q28" s="15">
        <v>645</v>
      </c>
      <c r="R28" s="15">
        <v>417</v>
      </c>
      <c r="S28" s="15">
        <v>292</v>
      </c>
      <c r="T28" s="15">
        <v>238</v>
      </c>
      <c r="U28" s="16">
        <f t="shared" si="1"/>
        <v>17236</v>
      </c>
    </row>
    <row r="29" spans="1:21">
      <c r="A29" s="12">
        <v>2010</v>
      </c>
      <c r="B29" s="4"/>
      <c r="C29" s="15">
        <v>981</v>
      </c>
      <c r="D29" s="15">
        <v>1038</v>
      </c>
      <c r="E29" s="15">
        <v>1089</v>
      </c>
      <c r="F29" s="15">
        <v>1012</v>
      </c>
      <c r="G29" s="15">
        <v>800</v>
      </c>
      <c r="H29" s="15">
        <v>879</v>
      </c>
      <c r="I29" s="15">
        <v>863</v>
      </c>
      <c r="J29" s="15">
        <v>1043</v>
      </c>
      <c r="K29" s="15">
        <v>1230</v>
      </c>
      <c r="L29" s="15">
        <v>1435</v>
      </c>
      <c r="M29" s="15">
        <v>1492</v>
      </c>
      <c r="N29" s="15">
        <v>1356</v>
      </c>
      <c r="O29" s="15">
        <v>1199</v>
      </c>
      <c r="P29" s="15">
        <v>972</v>
      </c>
      <c r="Q29" s="15">
        <v>670</v>
      </c>
      <c r="R29" s="15">
        <v>460</v>
      </c>
      <c r="S29" s="15">
        <v>276</v>
      </c>
      <c r="T29" s="15">
        <v>252</v>
      </c>
      <c r="U29" s="16">
        <f t="shared" si="1"/>
        <v>17047</v>
      </c>
    </row>
    <row r="30" spans="1:21">
      <c r="A30" s="23">
        <v>2015</v>
      </c>
      <c r="B30" s="4"/>
      <c r="C30" s="15">
        <v>934.47420179867959</v>
      </c>
      <c r="D30" s="15">
        <v>958.28721010587208</v>
      </c>
      <c r="E30" s="15">
        <v>1012.2601274957243</v>
      </c>
      <c r="F30" s="15">
        <v>1061.014222049793</v>
      </c>
      <c r="G30" s="15">
        <v>939.24550675146463</v>
      </c>
      <c r="H30" s="15">
        <v>651.73160173632766</v>
      </c>
      <c r="I30" s="15">
        <v>819.24032412748534</v>
      </c>
      <c r="J30" s="15">
        <v>875.93522117672853</v>
      </c>
      <c r="K30" s="15">
        <v>1025.4055695686568</v>
      </c>
      <c r="L30" s="15">
        <v>1263.5795070727445</v>
      </c>
      <c r="M30" s="15">
        <v>1382.4845159914155</v>
      </c>
      <c r="N30" s="15">
        <v>1455.9243171273979</v>
      </c>
      <c r="O30" s="15">
        <v>1266.3413721548413</v>
      </c>
      <c r="P30" s="15">
        <v>1105.6360836246174</v>
      </c>
      <c r="Q30" s="15">
        <v>902.57530644918154</v>
      </c>
      <c r="R30" s="15">
        <v>545.21934492617561</v>
      </c>
      <c r="S30" s="15">
        <v>364.83061677488701</v>
      </c>
      <c r="T30" s="15">
        <v>297.71407921750813</v>
      </c>
      <c r="U30" s="16">
        <f t="shared" si="1"/>
        <v>16861.8991281495</v>
      </c>
    </row>
    <row r="31" spans="1:21">
      <c r="A31" s="23">
        <v>2020</v>
      </c>
      <c r="B31" s="4"/>
      <c r="C31" s="15">
        <v>911.8043020997037</v>
      </c>
      <c r="D31" s="15">
        <v>922.74839140350412</v>
      </c>
      <c r="E31" s="15">
        <v>941.43276579853011</v>
      </c>
      <c r="F31" s="15">
        <v>992.63304406851387</v>
      </c>
      <c r="G31" s="15">
        <v>985.80784335203134</v>
      </c>
      <c r="H31" s="15">
        <v>748.86308422618868</v>
      </c>
      <c r="I31" s="15">
        <v>652.55855455366191</v>
      </c>
      <c r="J31" s="15">
        <v>847.67505264834392</v>
      </c>
      <c r="K31" s="15">
        <v>881.18245799816793</v>
      </c>
      <c r="L31" s="15">
        <v>1074.8229100980445</v>
      </c>
      <c r="M31" s="15">
        <v>1223.3225242581002</v>
      </c>
      <c r="N31" s="15">
        <v>1350.3248328995235</v>
      </c>
      <c r="O31" s="15">
        <v>1355.7536329306067</v>
      </c>
      <c r="P31" s="15">
        <v>1169.4105145451263</v>
      </c>
      <c r="Q31" s="15">
        <v>1026.3293513129659</v>
      </c>
      <c r="R31" s="15">
        <v>733.32972524968943</v>
      </c>
      <c r="S31" s="15">
        <v>434.32227205010946</v>
      </c>
      <c r="T31" s="15">
        <v>366.20537208658834</v>
      </c>
      <c r="U31" s="16">
        <f t="shared" si="1"/>
        <v>16618.5266315794</v>
      </c>
    </row>
    <row r="32" spans="1:21">
      <c r="A32" s="23">
        <v>2025</v>
      </c>
      <c r="B32" s="4"/>
      <c r="C32" s="15">
        <v>910.25975856034711</v>
      </c>
      <c r="D32" s="15">
        <v>906.85782447552356</v>
      </c>
      <c r="E32" s="15">
        <v>910.77295068862827</v>
      </c>
      <c r="F32" s="15">
        <v>930.20250874475221</v>
      </c>
      <c r="G32" s="15">
        <v>931.55392440831508</v>
      </c>
      <c r="H32" s="15">
        <v>786.90108738269043</v>
      </c>
      <c r="I32" s="15">
        <v>721.16123047257622</v>
      </c>
      <c r="J32" s="15">
        <v>715.83571241260097</v>
      </c>
      <c r="K32" s="15">
        <v>859.60749398188682</v>
      </c>
      <c r="L32" s="15">
        <v>948.80100299807657</v>
      </c>
      <c r="M32" s="15">
        <v>1051.681243196359</v>
      </c>
      <c r="N32" s="15">
        <v>1204.3223606210547</v>
      </c>
      <c r="O32" s="15">
        <v>1258.4232468855387</v>
      </c>
      <c r="P32" s="15">
        <v>1250.4289431169698</v>
      </c>
      <c r="Q32" s="15">
        <v>1088.4896528281447</v>
      </c>
      <c r="R32" s="15">
        <v>833.83075221800743</v>
      </c>
      <c r="S32" s="15">
        <v>582.64657564172455</v>
      </c>
      <c r="T32" s="15">
        <v>439.82541223401756</v>
      </c>
      <c r="U32" s="16">
        <f t="shared" si="1"/>
        <v>16331.601680867208</v>
      </c>
    </row>
    <row r="33" spans="1:21">
      <c r="A33" s="23">
        <v>2030</v>
      </c>
      <c r="B33" s="4"/>
      <c r="C33" s="15">
        <v>912.76068337534116</v>
      </c>
      <c r="D33" s="15">
        <v>909.22328965235727</v>
      </c>
      <c r="E33" s="15">
        <v>897.87663033142428</v>
      </c>
      <c r="F33" s="15">
        <v>904.24428100581815</v>
      </c>
      <c r="G33" s="15">
        <v>883.04077531105088</v>
      </c>
      <c r="H33" s="15">
        <v>751.89291162039706</v>
      </c>
      <c r="I33" s="15">
        <v>759.31184105122747</v>
      </c>
      <c r="J33" s="15">
        <v>767.63477511944279</v>
      </c>
      <c r="K33" s="15">
        <v>742.72534089139924</v>
      </c>
      <c r="L33" s="15">
        <v>934.07508591235512</v>
      </c>
      <c r="M33" s="15">
        <v>941.08434315523527</v>
      </c>
      <c r="N33" s="15">
        <v>1052.6195342427022</v>
      </c>
      <c r="O33" s="15">
        <v>1128.2828493240443</v>
      </c>
      <c r="P33" s="15">
        <v>1161.2162136928914</v>
      </c>
      <c r="Q33" s="15">
        <v>1161.5711192535316</v>
      </c>
      <c r="R33" s="15">
        <v>886.95274514558025</v>
      </c>
      <c r="S33" s="15">
        <v>663.02804990436482</v>
      </c>
      <c r="T33" s="15">
        <v>565.76120345453307</v>
      </c>
      <c r="U33" s="16">
        <f t="shared" si="1"/>
        <v>16023.301672443695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2097</v>
      </c>
      <c r="D36" s="15">
        <f t="shared" ref="D36:T36" si="2">D20+D4</f>
        <v>2414</v>
      </c>
      <c r="E36" s="15">
        <f t="shared" si="2"/>
        <v>2771</v>
      </c>
      <c r="F36" s="15">
        <f t="shared" si="2"/>
        <v>2437</v>
      </c>
      <c r="G36" s="15">
        <f t="shared" si="2"/>
        <v>1584</v>
      </c>
      <c r="H36" s="15">
        <f t="shared" si="2"/>
        <v>1873</v>
      </c>
      <c r="I36" s="15">
        <f t="shared" si="2"/>
        <v>2476</v>
      </c>
      <c r="J36" s="15">
        <f t="shared" si="2"/>
        <v>2810</v>
      </c>
      <c r="K36" s="15">
        <f t="shared" si="2"/>
        <v>3210</v>
      </c>
      <c r="L36" s="15">
        <f t="shared" si="2"/>
        <v>3028</v>
      </c>
      <c r="M36" s="15">
        <f t="shared" si="2"/>
        <v>2657</v>
      </c>
      <c r="N36" s="15">
        <f t="shared" si="2"/>
        <v>2019</v>
      </c>
      <c r="O36" s="15">
        <f t="shared" si="2"/>
        <v>1503</v>
      </c>
      <c r="P36" s="15">
        <f t="shared" si="2"/>
        <v>1246</v>
      </c>
      <c r="Q36" s="15">
        <f t="shared" si="2"/>
        <v>1035</v>
      </c>
      <c r="R36" s="15">
        <f t="shared" si="2"/>
        <v>882</v>
      </c>
      <c r="S36" s="15">
        <f t="shared" si="2"/>
        <v>655</v>
      </c>
      <c r="T36" s="15">
        <f t="shared" si="2"/>
        <v>626</v>
      </c>
      <c r="U36" s="16">
        <f>SUM(C36:T36)</f>
        <v>35323</v>
      </c>
    </row>
    <row r="37" spans="1:21">
      <c r="A37" s="12">
        <v>2002</v>
      </c>
      <c r="B37" s="4"/>
      <c r="C37" s="15">
        <f t="shared" ref="C37:T49" si="3">C21+C5</f>
        <v>2075</v>
      </c>
      <c r="D37" s="15">
        <f t="shared" si="3"/>
        <v>2378</v>
      </c>
      <c r="E37" s="15">
        <f t="shared" si="3"/>
        <v>2741</v>
      </c>
      <c r="F37" s="15">
        <f t="shared" si="3"/>
        <v>2443</v>
      </c>
      <c r="G37" s="15">
        <f t="shared" si="3"/>
        <v>1683</v>
      </c>
      <c r="H37" s="15">
        <f t="shared" si="3"/>
        <v>1826</v>
      </c>
      <c r="I37" s="15">
        <f t="shared" si="3"/>
        <v>2481</v>
      </c>
      <c r="J37" s="15">
        <f t="shared" si="3"/>
        <v>2685</v>
      </c>
      <c r="K37" s="15">
        <f t="shared" si="3"/>
        <v>3280</v>
      </c>
      <c r="L37" s="15">
        <f t="shared" si="3"/>
        <v>3067</v>
      </c>
      <c r="M37" s="15">
        <f t="shared" si="3"/>
        <v>2593</v>
      </c>
      <c r="N37" s="15">
        <f t="shared" si="3"/>
        <v>2227</v>
      </c>
      <c r="O37" s="15">
        <f t="shared" si="3"/>
        <v>1554</v>
      </c>
      <c r="P37" s="15">
        <f t="shared" si="3"/>
        <v>1289</v>
      </c>
      <c r="Q37" s="15">
        <f t="shared" si="3"/>
        <v>1068</v>
      </c>
      <c r="R37" s="15">
        <f t="shared" si="3"/>
        <v>860</v>
      </c>
      <c r="S37" s="15">
        <f t="shared" si="3"/>
        <v>669</v>
      </c>
      <c r="T37" s="15">
        <f t="shared" si="3"/>
        <v>626</v>
      </c>
      <c r="U37" s="16">
        <f t="shared" ref="U37:U49" si="4">SUM(C37:T37)</f>
        <v>35545</v>
      </c>
    </row>
    <row r="38" spans="1:21">
      <c r="A38" s="12">
        <v>2003</v>
      </c>
      <c r="B38" s="4"/>
      <c r="C38" s="15">
        <f t="shared" si="3"/>
        <v>2153</v>
      </c>
      <c r="D38" s="15">
        <f t="shared" si="3"/>
        <v>2305</v>
      </c>
      <c r="E38" s="15">
        <f t="shared" si="3"/>
        <v>2702</v>
      </c>
      <c r="F38" s="15">
        <f t="shared" si="3"/>
        <v>2437</v>
      </c>
      <c r="G38" s="15">
        <f t="shared" si="3"/>
        <v>1814</v>
      </c>
      <c r="H38" s="15">
        <f t="shared" si="3"/>
        <v>1813</v>
      </c>
      <c r="I38" s="15">
        <f t="shared" si="3"/>
        <v>2446</v>
      </c>
      <c r="J38" s="15">
        <f t="shared" si="3"/>
        <v>2600</v>
      </c>
      <c r="K38" s="15">
        <f t="shared" si="3"/>
        <v>3227</v>
      </c>
      <c r="L38" s="15">
        <f t="shared" si="3"/>
        <v>3040</v>
      </c>
      <c r="M38" s="15">
        <f t="shared" si="3"/>
        <v>2758</v>
      </c>
      <c r="N38" s="15">
        <f t="shared" si="3"/>
        <v>2301</v>
      </c>
      <c r="O38" s="15">
        <f t="shared" si="3"/>
        <v>1724</v>
      </c>
      <c r="P38" s="15">
        <f t="shared" si="3"/>
        <v>1349</v>
      </c>
      <c r="Q38" s="15">
        <f t="shared" si="3"/>
        <v>1054</v>
      </c>
      <c r="R38" s="15">
        <f t="shared" si="3"/>
        <v>871</v>
      </c>
      <c r="S38" s="15">
        <f t="shared" si="3"/>
        <v>711</v>
      </c>
      <c r="T38" s="15">
        <f t="shared" si="3"/>
        <v>661</v>
      </c>
      <c r="U38" s="16">
        <f t="shared" si="4"/>
        <v>35966</v>
      </c>
    </row>
    <row r="39" spans="1:21">
      <c r="A39" s="12">
        <v>2004</v>
      </c>
      <c r="B39" s="4"/>
      <c r="C39" s="15">
        <f t="shared" si="3"/>
        <v>2142</v>
      </c>
      <c r="D39" s="15">
        <f t="shared" si="3"/>
        <v>2233</v>
      </c>
      <c r="E39" s="15">
        <f t="shared" si="3"/>
        <v>2618</v>
      </c>
      <c r="F39" s="15">
        <f t="shared" si="3"/>
        <v>2483</v>
      </c>
      <c r="G39" s="15">
        <f t="shared" si="3"/>
        <v>1829</v>
      </c>
      <c r="H39" s="15">
        <f t="shared" si="3"/>
        <v>1774</v>
      </c>
      <c r="I39" s="15">
        <f t="shared" si="3"/>
        <v>2266</v>
      </c>
      <c r="J39" s="15">
        <f t="shared" si="3"/>
        <v>2591</v>
      </c>
      <c r="K39" s="15">
        <f t="shared" si="3"/>
        <v>3158</v>
      </c>
      <c r="L39" s="15">
        <f t="shared" si="3"/>
        <v>3078</v>
      </c>
      <c r="M39" s="15">
        <f t="shared" si="3"/>
        <v>2862</v>
      </c>
      <c r="N39" s="15">
        <f t="shared" si="3"/>
        <v>2423</v>
      </c>
      <c r="O39" s="15">
        <f t="shared" si="3"/>
        <v>1846</v>
      </c>
      <c r="P39" s="15">
        <f t="shared" si="3"/>
        <v>1398</v>
      </c>
      <c r="Q39" s="15">
        <f t="shared" si="3"/>
        <v>1079</v>
      </c>
      <c r="R39" s="15">
        <f t="shared" si="3"/>
        <v>907</v>
      </c>
      <c r="S39" s="15">
        <f t="shared" si="3"/>
        <v>720</v>
      </c>
      <c r="T39" s="15">
        <f t="shared" si="3"/>
        <v>693</v>
      </c>
      <c r="U39" s="16">
        <f t="shared" si="4"/>
        <v>36100</v>
      </c>
    </row>
    <row r="40" spans="1:21">
      <c r="A40" s="12">
        <v>2005</v>
      </c>
      <c r="B40" s="4"/>
      <c r="C40" s="15">
        <f t="shared" si="3"/>
        <v>2035</v>
      </c>
      <c r="D40" s="15">
        <f t="shared" si="3"/>
        <v>2180</v>
      </c>
      <c r="E40" s="15">
        <f t="shared" si="3"/>
        <v>2486</v>
      </c>
      <c r="F40" s="15">
        <f t="shared" si="3"/>
        <v>2429</v>
      </c>
      <c r="G40" s="15">
        <f t="shared" si="3"/>
        <v>1854</v>
      </c>
      <c r="H40" s="15">
        <f t="shared" si="3"/>
        <v>1757</v>
      </c>
      <c r="I40" s="15">
        <f t="shared" si="3"/>
        <v>2081</v>
      </c>
      <c r="J40" s="15">
        <f t="shared" si="3"/>
        <v>2551</v>
      </c>
      <c r="K40" s="15">
        <f t="shared" si="3"/>
        <v>3040</v>
      </c>
      <c r="L40" s="15">
        <f t="shared" si="3"/>
        <v>3140</v>
      </c>
      <c r="M40" s="15">
        <f t="shared" si="3"/>
        <v>2938</v>
      </c>
      <c r="N40" s="15">
        <f t="shared" si="3"/>
        <v>2535</v>
      </c>
      <c r="O40" s="15">
        <f t="shared" si="3"/>
        <v>1978</v>
      </c>
      <c r="P40" s="15">
        <f t="shared" si="3"/>
        <v>1414</v>
      </c>
      <c r="Q40" s="15">
        <f t="shared" si="3"/>
        <v>1155</v>
      </c>
      <c r="R40" s="15">
        <f t="shared" si="3"/>
        <v>872</v>
      </c>
      <c r="S40" s="15">
        <f t="shared" si="3"/>
        <v>707</v>
      </c>
      <c r="T40" s="15">
        <f t="shared" si="3"/>
        <v>661</v>
      </c>
      <c r="U40" s="16">
        <f t="shared" si="4"/>
        <v>35813</v>
      </c>
    </row>
    <row r="41" spans="1:21">
      <c r="A41" s="12">
        <v>2006</v>
      </c>
      <c r="B41" s="4"/>
      <c r="C41" s="15">
        <f t="shared" si="3"/>
        <v>2018</v>
      </c>
      <c r="D41" s="15">
        <f t="shared" si="3"/>
        <v>2146</v>
      </c>
      <c r="E41" s="15">
        <f t="shared" si="3"/>
        <v>2375</v>
      </c>
      <c r="F41" s="15">
        <f t="shared" si="3"/>
        <v>2334</v>
      </c>
      <c r="G41" s="15">
        <f t="shared" si="3"/>
        <v>1794</v>
      </c>
      <c r="H41" s="15">
        <f t="shared" si="3"/>
        <v>1832</v>
      </c>
      <c r="I41" s="15">
        <f t="shared" si="3"/>
        <v>1985</v>
      </c>
      <c r="J41" s="15">
        <f t="shared" si="3"/>
        <v>2621</v>
      </c>
      <c r="K41" s="15">
        <f t="shared" si="3"/>
        <v>2833</v>
      </c>
      <c r="L41" s="15">
        <f t="shared" si="3"/>
        <v>3209</v>
      </c>
      <c r="M41" s="15">
        <f t="shared" si="3"/>
        <v>2964</v>
      </c>
      <c r="N41" s="15">
        <f t="shared" si="3"/>
        <v>2677</v>
      </c>
      <c r="O41" s="15">
        <f t="shared" si="3"/>
        <v>1993</v>
      </c>
      <c r="P41" s="15">
        <f t="shared" si="3"/>
        <v>1543</v>
      </c>
      <c r="Q41" s="15">
        <f t="shared" si="3"/>
        <v>1210</v>
      </c>
      <c r="R41" s="15">
        <f t="shared" si="3"/>
        <v>928</v>
      </c>
      <c r="S41" s="15">
        <f t="shared" si="3"/>
        <v>722</v>
      </c>
      <c r="T41" s="15">
        <f t="shared" si="3"/>
        <v>711</v>
      </c>
      <c r="U41" s="16">
        <f t="shared" si="4"/>
        <v>35895</v>
      </c>
    </row>
    <row r="42" spans="1:21">
      <c r="A42" s="12">
        <v>2007</v>
      </c>
      <c r="B42" s="4"/>
      <c r="C42" s="15">
        <f t="shared" si="3"/>
        <v>2069</v>
      </c>
      <c r="D42" s="15">
        <f t="shared" si="3"/>
        <v>2043</v>
      </c>
      <c r="E42" s="15">
        <f t="shared" si="3"/>
        <v>2320</v>
      </c>
      <c r="F42" s="15">
        <f t="shared" si="3"/>
        <v>2282</v>
      </c>
      <c r="G42" s="15">
        <f t="shared" si="3"/>
        <v>1808</v>
      </c>
      <c r="H42" s="15">
        <f t="shared" si="3"/>
        <v>1849</v>
      </c>
      <c r="I42" s="15">
        <f t="shared" si="3"/>
        <v>1860</v>
      </c>
      <c r="J42" s="15">
        <f t="shared" si="3"/>
        <v>2627</v>
      </c>
      <c r="K42" s="15">
        <f t="shared" si="3"/>
        <v>2681</v>
      </c>
      <c r="L42" s="15">
        <f t="shared" si="3"/>
        <v>3226</v>
      </c>
      <c r="M42" s="15">
        <f t="shared" si="3"/>
        <v>3024</v>
      </c>
      <c r="N42" s="15">
        <f t="shared" si="3"/>
        <v>2686</v>
      </c>
      <c r="O42" s="15">
        <f t="shared" si="3"/>
        <v>2204</v>
      </c>
      <c r="P42" s="15">
        <f t="shared" si="3"/>
        <v>1595</v>
      </c>
      <c r="Q42" s="15">
        <f t="shared" si="3"/>
        <v>1265</v>
      </c>
      <c r="R42" s="15">
        <f t="shared" si="3"/>
        <v>919</v>
      </c>
      <c r="S42" s="15">
        <f t="shared" si="3"/>
        <v>716</v>
      </c>
      <c r="T42" s="15">
        <f t="shared" si="3"/>
        <v>716</v>
      </c>
      <c r="U42" s="16">
        <f t="shared" si="4"/>
        <v>35890</v>
      </c>
    </row>
    <row r="43" spans="1:21">
      <c r="A43" s="12">
        <v>2008</v>
      </c>
      <c r="B43" s="4"/>
      <c r="C43" s="15">
        <f t="shared" si="3"/>
        <v>2014</v>
      </c>
      <c r="D43" s="15">
        <f t="shared" si="3"/>
        <v>2089</v>
      </c>
      <c r="E43" s="15">
        <f t="shared" si="3"/>
        <v>2244</v>
      </c>
      <c r="F43" s="15">
        <f t="shared" si="3"/>
        <v>2198</v>
      </c>
      <c r="G43" s="15">
        <f t="shared" si="3"/>
        <v>1794</v>
      </c>
      <c r="H43" s="15">
        <f t="shared" si="3"/>
        <v>1875</v>
      </c>
      <c r="I43" s="15">
        <f t="shared" si="3"/>
        <v>1844</v>
      </c>
      <c r="J43" s="15">
        <f t="shared" si="3"/>
        <v>2476</v>
      </c>
      <c r="K43" s="15">
        <f t="shared" si="3"/>
        <v>2653</v>
      </c>
      <c r="L43" s="15">
        <f t="shared" si="3"/>
        <v>3163</v>
      </c>
      <c r="M43" s="15">
        <f t="shared" si="3"/>
        <v>3031</v>
      </c>
      <c r="N43" s="15">
        <f t="shared" si="3"/>
        <v>2752</v>
      </c>
      <c r="O43" s="15">
        <f t="shared" si="3"/>
        <v>2302</v>
      </c>
      <c r="P43" s="15">
        <f t="shared" si="3"/>
        <v>1754</v>
      </c>
      <c r="Q43" s="15">
        <f t="shared" si="3"/>
        <v>1289</v>
      </c>
      <c r="R43" s="15">
        <f t="shared" si="3"/>
        <v>908</v>
      </c>
      <c r="S43" s="15">
        <f t="shared" si="3"/>
        <v>737</v>
      </c>
      <c r="T43" s="15">
        <f t="shared" si="3"/>
        <v>737</v>
      </c>
      <c r="U43" s="16">
        <f t="shared" si="4"/>
        <v>35860</v>
      </c>
    </row>
    <row r="44" spans="1:21">
      <c r="A44" s="12">
        <v>2009</v>
      </c>
      <c r="B44" s="4"/>
      <c r="C44" s="15">
        <f t="shared" si="3"/>
        <v>1907</v>
      </c>
      <c r="D44" s="15">
        <f t="shared" si="3"/>
        <v>2112</v>
      </c>
      <c r="E44" s="15">
        <f t="shared" si="3"/>
        <v>2167</v>
      </c>
      <c r="F44" s="15">
        <f t="shared" si="3"/>
        <v>2123</v>
      </c>
      <c r="G44" s="15">
        <f t="shared" si="3"/>
        <v>1700</v>
      </c>
      <c r="H44" s="15">
        <f t="shared" si="3"/>
        <v>1814</v>
      </c>
      <c r="I44" s="15">
        <f t="shared" si="3"/>
        <v>1849</v>
      </c>
      <c r="J44" s="15">
        <f t="shared" si="3"/>
        <v>2359</v>
      </c>
      <c r="K44" s="15">
        <f t="shared" si="3"/>
        <v>2572</v>
      </c>
      <c r="L44" s="15">
        <f t="shared" si="3"/>
        <v>3093</v>
      </c>
      <c r="M44" s="15">
        <f t="shared" si="3"/>
        <v>3026</v>
      </c>
      <c r="N44" s="15">
        <f t="shared" si="3"/>
        <v>2812</v>
      </c>
      <c r="O44" s="15">
        <f t="shared" si="3"/>
        <v>2396</v>
      </c>
      <c r="P44" s="15">
        <f t="shared" si="3"/>
        <v>1917</v>
      </c>
      <c r="Q44" s="15">
        <f t="shared" si="3"/>
        <v>1309</v>
      </c>
      <c r="R44" s="15">
        <f t="shared" si="3"/>
        <v>934</v>
      </c>
      <c r="S44" s="15">
        <f t="shared" si="3"/>
        <v>741</v>
      </c>
      <c r="T44" s="15">
        <f t="shared" si="3"/>
        <v>736</v>
      </c>
      <c r="U44" s="16">
        <f t="shared" si="4"/>
        <v>35567</v>
      </c>
    </row>
    <row r="45" spans="1:21">
      <c r="A45" s="12">
        <v>2010</v>
      </c>
      <c r="B45" s="4"/>
      <c r="C45" s="15">
        <f t="shared" si="3"/>
        <v>1897</v>
      </c>
      <c r="D45" s="15">
        <f t="shared" si="3"/>
        <v>2021</v>
      </c>
      <c r="E45" s="15">
        <f t="shared" si="3"/>
        <v>2101</v>
      </c>
      <c r="F45" s="15">
        <f t="shared" si="3"/>
        <v>2033</v>
      </c>
      <c r="G45" s="15">
        <f t="shared" si="3"/>
        <v>1598</v>
      </c>
      <c r="H45" s="15">
        <f t="shared" si="3"/>
        <v>1816</v>
      </c>
      <c r="I45" s="15">
        <f t="shared" si="3"/>
        <v>1805</v>
      </c>
      <c r="J45" s="15">
        <f t="shared" si="3"/>
        <v>2186</v>
      </c>
      <c r="K45" s="15">
        <f t="shared" si="3"/>
        <v>2488</v>
      </c>
      <c r="L45" s="15">
        <f t="shared" si="3"/>
        <v>3013</v>
      </c>
      <c r="M45" s="15">
        <f t="shared" si="3"/>
        <v>3096</v>
      </c>
      <c r="N45" s="15">
        <f t="shared" si="3"/>
        <v>2855</v>
      </c>
      <c r="O45" s="15">
        <f t="shared" si="3"/>
        <v>2457</v>
      </c>
      <c r="P45" s="15">
        <f t="shared" si="3"/>
        <v>1993</v>
      </c>
      <c r="Q45" s="15">
        <f t="shared" si="3"/>
        <v>1381</v>
      </c>
      <c r="R45" s="15">
        <f t="shared" si="3"/>
        <v>987</v>
      </c>
      <c r="S45" s="15">
        <f t="shared" si="3"/>
        <v>688</v>
      </c>
      <c r="T45" s="15">
        <f t="shared" si="3"/>
        <v>790</v>
      </c>
      <c r="U45" s="16">
        <f t="shared" si="4"/>
        <v>35205</v>
      </c>
    </row>
    <row r="46" spans="1:21">
      <c r="A46" s="23">
        <v>2015</v>
      </c>
      <c r="B46" s="4"/>
      <c r="C46" s="15">
        <f t="shared" si="3"/>
        <v>1806.8479021881353</v>
      </c>
      <c r="D46" s="15">
        <f t="shared" si="3"/>
        <v>1889.264229138927</v>
      </c>
      <c r="E46" s="15">
        <f t="shared" si="3"/>
        <v>1992.6945858612034</v>
      </c>
      <c r="F46" s="15">
        <f t="shared" si="3"/>
        <v>2068.8510686024192</v>
      </c>
      <c r="G46" s="15">
        <f t="shared" si="3"/>
        <v>1926.9756893206879</v>
      </c>
      <c r="H46" s="15">
        <f t="shared" si="3"/>
        <v>1350.7124939304381</v>
      </c>
      <c r="I46" s="15">
        <f t="shared" si="3"/>
        <v>1746.9906712344468</v>
      </c>
      <c r="J46" s="15">
        <f t="shared" si="3"/>
        <v>1869.5365495538683</v>
      </c>
      <c r="K46" s="15">
        <f t="shared" si="3"/>
        <v>2173.3901029123708</v>
      </c>
      <c r="L46" s="15">
        <f t="shared" si="3"/>
        <v>2577.5662528482217</v>
      </c>
      <c r="M46" s="15">
        <f t="shared" si="3"/>
        <v>2940.0690146436837</v>
      </c>
      <c r="N46" s="15">
        <f t="shared" si="3"/>
        <v>3069.9485594339631</v>
      </c>
      <c r="O46" s="15">
        <f t="shared" si="3"/>
        <v>2724.380757694496</v>
      </c>
      <c r="P46" s="15">
        <f t="shared" si="3"/>
        <v>2315.0135395723141</v>
      </c>
      <c r="Q46" s="15">
        <f t="shared" si="3"/>
        <v>1880.9143757533029</v>
      </c>
      <c r="R46" s="15">
        <f t="shared" si="3"/>
        <v>1165.3960180373019</v>
      </c>
      <c r="S46" s="15">
        <f t="shared" si="3"/>
        <v>815.39616371291572</v>
      </c>
      <c r="T46" s="15">
        <f t="shared" si="3"/>
        <v>842.74891893967992</v>
      </c>
      <c r="U46" s="16">
        <f t="shared" si="4"/>
        <v>35156.696893378379</v>
      </c>
    </row>
    <row r="47" spans="1:21">
      <c r="A47" s="23">
        <v>2020</v>
      </c>
      <c r="B47" s="4"/>
      <c r="C47" s="15">
        <f t="shared" si="3"/>
        <v>1763.0146314193241</v>
      </c>
      <c r="D47" s="15">
        <f t="shared" si="3"/>
        <v>1819.9795115588554</v>
      </c>
      <c r="E47" s="15">
        <f t="shared" si="3"/>
        <v>1875.94422384431</v>
      </c>
      <c r="F47" s="15">
        <f t="shared" si="3"/>
        <v>1973.4984137795316</v>
      </c>
      <c r="G47" s="15">
        <f t="shared" si="3"/>
        <v>1967.5819345127866</v>
      </c>
      <c r="H47" s="15">
        <f t="shared" si="3"/>
        <v>1591.5253592348945</v>
      </c>
      <c r="I47" s="15">
        <f t="shared" si="3"/>
        <v>1391.7101576603472</v>
      </c>
      <c r="J47" s="15">
        <f t="shared" si="3"/>
        <v>1837.4437681503582</v>
      </c>
      <c r="K47" s="15">
        <f t="shared" si="3"/>
        <v>1897.1929329658376</v>
      </c>
      <c r="L47" s="15">
        <f t="shared" si="3"/>
        <v>2286.9425340019598</v>
      </c>
      <c r="M47" s="15">
        <f t="shared" si="3"/>
        <v>2529.5672175484515</v>
      </c>
      <c r="N47" s="15">
        <f t="shared" si="3"/>
        <v>2912.5681798727028</v>
      </c>
      <c r="O47" s="15">
        <f t="shared" si="3"/>
        <v>2920.9714390290974</v>
      </c>
      <c r="P47" s="15">
        <f t="shared" si="3"/>
        <v>2569.6729312273651</v>
      </c>
      <c r="Q47" s="15">
        <f t="shared" si="3"/>
        <v>2182.7790991974034</v>
      </c>
      <c r="R47" s="15">
        <f t="shared" si="3"/>
        <v>1584.2386948875956</v>
      </c>
      <c r="S47" s="15">
        <f t="shared" si="3"/>
        <v>966.19285621176937</v>
      </c>
      <c r="T47" s="15">
        <f t="shared" si="3"/>
        <v>940.12202524098075</v>
      </c>
      <c r="U47" s="16">
        <f t="shared" si="4"/>
        <v>35010.945910343573</v>
      </c>
    </row>
    <row r="48" spans="1:21">
      <c r="A48" s="23">
        <v>2025</v>
      </c>
      <c r="B48" s="4"/>
      <c r="C48" s="15">
        <f t="shared" si="3"/>
        <v>1760.0281870118135</v>
      </c>
      <c r="D48" s="15">
        <f t="shared" si="3"/>
        <v>1789.2651621810396</v>
      </c>
      <c r="E48" s="15">
        <f t="shared" si="3"/>
        <v>1815.9135493086319</v>
      </c>
      <c r="F48" s="15">
        <f t="shared" si="3"/>
        <v>1871.2108591190695</v>
      </c>
      <c r="G48" s="15">
        <f t="shared" si="3"/>
        <v>1893.6132041388946</v>
      </c>
      <c r="H48" s="15">
        <f t="shared" si="3"/>
        <v>1630.4674775928961</v>
      </c>
      <c r="I48" s="15">
        <f t="shared" si="3"/>
        <v>1573.218146970341</v>
      </c>
      <c r="J48" s="15">
        <f t="shared" si="3"/>
        <v>1547.2241000017493</v>
      </c>
      <c r="K48" s="15">
        <f t="shared" si="3"/>
        <v>1876.5355101555538</v>
      </c>
      <c r="L48" s="15">
        <f t="shared" si="3"/>
        <v>2044.5825188590138</v>
      </c>
      <c r="M48" s="15">
        <f t="shared" si="3"/>
        <v>2263.4265622621224</v>
      </c>
      <c r="N48" s="15">
        <f t="shared" si="3"/>
        <v>2529.0456970445471</v>
      </c>
      <c r="O48" s="15">
        <f t="shared" si="3"/>
        <v>2770.5979121458963</v>
      </c>
      <c r="P48" s="15">
        <f t="shared" si="3"/>
        <v>2751.7039979273859</v>
      </c>
      <c r="Q48" s="15">
        <f t="shared" si="3"/>
        <v>2425.2931190017443</v>
      </c>
      <c r="R48" s="15">
        <f t="shared" si="3"/>
        <v>1837.9102590370908</v>
      </c>
      <c r="S48" s="15">
        <f t="shared" si="3"/>
        <v>1308.4225540901521</v>
      </c>
      <c r="T48" s="15">
        <f t="shared" si="3"/>
        <v>1083.4458591368857</v>
      </c>
      <c r="U48" s="16">
        <f t="shared" si="4"/>
        <v>34771.904675984828</v>
      </c>
    </row>
    <row r="49" spans="1:21" ht="15.75" thickBot="1">
      <c r="A49" s="24">
        <v>2030</v>
      </c>
      <c r="B49" s="20"/>
      <c r="C49" s="21">
        <f t="shared" si="3"/>
        <v>1764.8638376341682</v>
      </c>
      <c r="D49" s="21">
        <f t="shared" si="3"/>
        <v>1794.3133359927042</v>
      </c>
      <c r="E49" s="21">
        <f t="shared" si="3"/>
        <v>1791.0154761145163</v>
      </c>
      <c r="F49" s="21">
        <f t="shared" si="3"/>
        <v>1820.2833625816975</v>
      </c>
      <c r="G49" s="21">
        <f t="shared" si="3"/>
        <v>1814.8100536250072</v>
      </c>
      <c r="H49" s="21">
        <f t="shared" si="3"/>
        <v>1584.3516851184104</v>
      </c>
      <c r="I49" s="21">
        <f t="shared" si="3"/>
        <v>1622.8482327341883</v>
      </c>
      <c r="J49" s="21">
        <f t="shared" si="3"/>
        <v>1693.4463986336104</v>
      </c>
      <c r="K49" s="21">
        <f t="shared" si="3"/>
        <v>1614.9987897837841</v>
      </c>
      <c r="L49" s="21">
        <f t="shared" si="3"/>
        <v>2036.9871276778586</v>
      </c>
      <c r="M49" s="21">
        <f t="shared" si="3"/>
        <v>2048.198369590431</v>
      </c>
      <c r="N49" s="21">
        <f t="shared" si="3"/>
        <v>2292.0976145434461</v>
      </c>
      <c r="O49" s="21">
        <f t="shared" si="3"/>
        <v>2419.5937281869951</v>
      </c>
      <c r="P49" s="21">
        <f t="shared" si="3"/>
        <v>2610.5179131012183</v>
      </c>
      <c r="Q49" s="21">
        <f t="shared" si="3"/>
        <v>2591.8385160592456</v>
      </c>
      <c r="R49" s="21">
        <f t="shared" si="3"/>
        <v>2046.0520046613151</v>
      </c>
      <c r="S49" s="21">
        <f t="shared" si="3"/>
        <v>1516.7351916355299</v>
      </c>
      <c r="T49" s="21">
        <f t="shared" si="3"/>
        <v>1371.8545254224468</v>
      </c>
      <c r="U49" s="22">
        <f t="shared" si="4"/>
        <v>34434.806163096575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25</v>
      </c>
      <c r="B1" s="8" t="s">
        <v>12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1358</v>
      </c>
      <c r="D4" s="15">
        <v>1620</v>
      </c>
      <c r="E4" s="15">
        <v>1890</v>
      </c>
      <c r="F4" s="15">
        <v>1786</v>
      </c>
      <c r="G4" s="15">
        <v>1216</v>
      </c>
      <c r="H4" s="15">
        <v>1280</v>
      </c>
      <c r="I4" s="15">
        <v>1720</v>
      </c>
      <c r="J4" s="15">
        <v>2002</v>
      </c>
      <c r="K4" s="15">
        <v>2183</v>
      </c>
      <c r="L4" s="15">
        <v>2074</v>
      </c>
      <c r="M4" s="15">
        <v>1888</v>
      </c>
      <c r="N4" s="15">
        <v>1480</v>
      </c>
      <c r="O4" s="15">
        <v>1230</v>
      </c>
      <c r="P4" s="15">
        <v>1094</v>
      </c>
      <c r="Q4" s="15">
        <v>1021</v>
      </c>
      <c r="R4" s="15">
        <v>856</v>
      </c>
      <c r="S4" s="15">
        <v>613</v>
      </c>
      <c r="T4" s="15">
        <v>610</v>
      </c>
      <c r="U4" s="16">
        <f>SUM(C4:T4)</f>
        <v>25921</v>
      </c>
    </row>
    <row r="5" spans="1:21">
      <c r="A5" s="12">
        <v>2002</v>
      </c>
      <c r="B5" s="4"/>
      <c r="C5" s="15">
        <v>1370</v>
      </c>
      <c r="D5" s="15">
        <v>1578</v>
      </c>
      <c r="E5" s="15">
        <v>1867</v>
      </c>
      <c r="F5" s="15">
        <v>1787</v>
      </c>
      <c r="G5" s="15">
        <v>1200</v>
      </c>
      <c r="H5" s="15">
        <v>1263</v>
      </c>
      <c r="I5" s="15">
        <v>1682</v>
      </c>
      <c r="J5" s="15">
        <v>2055</v>
      </c>
      <c r="K5" s="15">
        <v>2074</v>
      </c>
      <c r="L5" s="15">
        <v>2138</v>
      </c>
      <c r="M5" s="15">
        <v>1908</v>
      </c>
      <c r="N5" s="15">
        <v>1565</v>
      </c>
      <c r="O5" s="15">
        <v>1293</v>
      </c>
      <c r="P5" s="15">
        <v>1049</v>
      </c>
      <c r="Q5" s="15">
        <v>1047</v>
      </c>
      <c r="R5" s="15">
        <v>825</v>
      </c>
      <c r="S5" s="15">
        <v>633</v>
      </c>
      <c r="T5" s="15">
        <v>606</v>
      </c>
      <c r="U5" s="16">
        <f t="shared" ref="U5:U17" si="0">SUM(C5:T5)</f>
        <v>25940</v>
      </c>
    </row>
    <row r="6" spans="1:21">
      <c r="A6" s="12">
        <v>2003</v>
      </c>
      <c r="B6" s="4"/>
      <c r="C6" s="15">
        <v>1417</v>
      </c>
      <c r="D6" s="15">
        <v>1537</v>
      </c>
      <c r="E6" s="15">
        <v>1840</v>
      </c>
      <c r="F6" s="15">
        <v>1762</v>
      </c>
      <c r="G6" s="15">
        <v>1213</v>
      </c>
      <c r="H6" s="15">
        <v>1243</v>
      </c>
      <c r="I6" s="15">
        <v>1613</v>
      </c>
      <c r="J6" s="15">
        <v>1978</v>
      </c>
      <c r="K6" s="15">
        <v>2090</v>
      </c>
      <c r="L6" s="15">
        <v>2247</v>
      </c>
      <c r="M6" s="15">
        <v>1897</v>
      </c>
      <c r="N6" s="15">
        <v>1661</v>
      </c>
      <c r="O6" s="15">
        <v>1391</v>
      </c>
      <c r="P6" s="15">
        <v>1058</v>
      </c>
      <c r="Q6" s="15">
        <v>1012</v>
      </c>
      <c r="R6" s="15">
        <v>896</v>
      </c>
      <c r="S6" s="15">
        <v>662</v>
      </c>
      <c r="T6" s="15">
        <v>583</v>
      </c>
      <c r="U6" s="16">
        <f t="shared" si="0"/>
        <v>26100</v>
      </c>
    </row>
    <row r="7" spans="1:21">
      <c r="A7" s="12">
        <v>2004</v>
      </c>
      <c r="B7" s="4"/>
      <c r="C7" s="15">
        <v>1385</v>
      </c>
      <c r="D7" s="15">
        <v>1549</v>
      </c>
      <c r="E7" s="15">
        <v>1807</v>
      </c>
      <c r="F7" s="15">
        <v>1739</v>
      </c>
      <c r="G7" s="15">
        <v>1202</v>
      </c>
      <c r="H7" s="15">
        <v>1260</v>
      </c>
      <c r="I7" s="15">
        <v>1505</v>
      </c>
      <c r="J7" s="15">
        <v>1980</v>
      </c>
      <c r="K7" s="15">
        <v>2025</v>
      </c>
      <c r="L7" s="15">
        <v>2245</v>
      </c>
      <c r="M7" s="15">
        <v>1976</v>
      </c>
      <c r="N7" s="15">
        <v>1740</v>
      </c>
      <c r="O7" s="15">
        <v>1426</v>
      </c>
      <c r="P7" s="15">
        <v>1112</v>
      </c>
      <c r="Q7" s="15">
        <v>984</v>
      </c>
      <c r="R7" s="15">
        <v>911</v>
      </c>
      <c r="S7" s="15">
        <v>644</v>
      </c>
      <c r="T7" s="15">
        <v>601</v>
      </c>
      <c r="U7" s="16">
        <f t="shared" si="0"/>
        <v>26091</v>
      </c>
    </row>
    <row r="8" spans="1:21">
      <c r="A8" s="12">
        <v>2005</v>
      </c>
      <c r="B8" s="4"/>
      <c r="C8" s="15">
        <v>1396</v>
      </c>
      <c r="D8" s="15">
        <v>1490</v>
      </c>
      <c r="E8" s="15">
        <v>1713</v>
      </c>
      <c r="F8" s="15">
        <v>1723</v>
      </c>
      <c r="G8" s="15">
        <v>1272</v>
      </c>
      <c r="H8" s="15">
        <v>1256</v>
      </c>
      <c r="I8" s="15">
        <v>1472</v>
      </c>
      <c r="J8" s="15">
        <v>1925</v>
      </c>
      <c r="K8" s="15">
        <v>2069</v>
      </c>
      <c r="L8" s="15">
        <v>2209</v>
      </c>
      <c r="M8" s="15">
        <v>1998</v>
      </c>
      <c r="N8" s="15">
        <v>1844</v>
      </c>
      <c r="O8" s="15">
        <v>1434</v>
      </c>
      <c r="P8" s="15">
        <v>1156</v>
      </c>
      <c r="Q8" s="15">
        <v>962</v>
      </c>
      <c r="R8" s="15">
        <v>920</v>
      </c>
      <c r="S8" s="15">
        <v>654</v>
      </c>
      <c r="T8" s="15">
        <v>635</v>
      </c>
      <c r="U8" s="16">
        <f t="shared" si="0"/>
        <v>26128</v>
      </c>
    </row>
    <row r="9" spans="1:21">
      <c r="A9" s="12">
        <v>2006</v>
      </c>
      <c r="B9" s="4"/>
      <c r="C9" s="15">
        <v>1380</v>
      </c>
      <c r="D9" s="15">
        <v>1475</v>
      </c>
      <c r="E9" s="15">
        <v>1716</v>
      </c>
      <c r="F9" s="15">
        <v>1716</v>
      </c>
      <c r="G9" s="15">
        <v>1282</v>
      </c>
      <c r="H9" s="15">
        <v>1347</v>
      </c>
      <c r="I9" s="15">
        <v>1394</v>
      </c>
      <c r="J9" s="15">
        <v>1898</v>
      </c>
      <c r="K9" s="15">
        <v>2075</v>
      </c>
      <c r="L9" s="15">
        <v>2255</v>
      </c>
      <c r="M9" s="15">
        <v>2076</v>
      </c>
      <c r="N9" s="15">
        <v>1987</v>
      </c>
      <c r="O9" s="15">
        <v>1458</v>
      </c>
      <c r="P9" s="15">
        <v>1178</v>
      </c>
      <c r="Q9" s="15">
        <v>983</v>
      </c>
      <c r="R9" s="15">
        <v>900</v>
      </c>
      <c r="S9" s="15">
        <v>652</v>
      </c>
      <c r="T9" s="15">
        <v>666</v>
      </c>
      <c r="U9" s="16">
        <f t="shared" si="0"/>
        <v>26438</v>
      </c>
    </row>
    <row r="10" spans="1:21">
      <c r="A10" s="12">
        <v>2007</v>
      </c>
      <c r="B10" s="4"/>
      <c r="C10" s="15">
        <v>1343</v>
      </c>
      <c r="D10" s="15">
        <v>1572</v>
      </c>
      <c r="E10" s="15">
        <v>1683</v>
      </c>
      <c r="F10" s="15">
        <v>1706</v>
      </c>
      <c r="G10" s="15">
        <v>1258</v>
      </c>
      <c r="H10" s="15">
        <v>1342</v>
      </c>
      <c r="I10" s="15">
        <v>1401</v>
      </c>
      <c r="J10" s="15">
        <v>1844</v>
      </c>
      <c r="K10" s="15">
        <v>2065</v>
      </c>
      <c r="L10" s="15">
        <v>2198</v>
      </c>
      <c r="M10" s="15">
        <v>2147</v>
      </c>
      <c r="N10" s="15">
        <v>1985</v>
      </c>
      <c r="O10" s="15">
        <v>1587</v>
      </c>
      <c r="P10" s="15">
        <v>1260</v>
      </c>
      <c r="Q10" s="15">
        <v>929</v>
      </c>
      <c r="R10" s="15">
        <v>924</v>
      </c>
      <c r="S10" s="15">
        <v>665</v>
      </c>
      <c r="T10" s="15">
        <v>679</v>
      </c>
      <c r="U10" s="16">
        <f t="shared" si="0"/>
        <v>26588</v>
      </c>
    </row>
    <row r="11" spans="1:21">
      <c r="A11" s="12">
        <v>2008</v>
      </c>
      <c r="B11" s="4"/>
      <c r="C11" s="15">
        <v>1323</v>
      </c>
      <c r="D11" s="15">
        <v>1555</v>
      </c>
      <c r="E11" s="15">
        <v>1642</v>
      </c>
      <c r="F11" s="15">
        <v>1663</v>
      </c>
      <c r="G11" s="15">
        <v>1223</v>
      </c>
      <c r="H11" s="15">
        <v>1337</v>
      </c>
      <c r="I11" s="15">
        <v>1384</v>
      </c>
      <c r="J11" s="15">
        <v>1762</v>
      </c>
      <c r="K11" s="15">
        <v>1977</v>
      </c>
      <c r="L11" s="15">
        <v>2206</v>
      </c>
      <c r="M11" s="15">
        <v>2221</v>
      </c>
      <c r="N11" s="15">
        <v>1965</v>
      </c>
      <c r="O11" s="15">
        <v>1688</v>
      </c>
      <c r="P11" s="15">
        <v>1355</v>
      </c>
      <c r="Q11" s="15">
        <v>953</v>
      </c>
      <c r="R11" s="15">
        <v>851</v>
      </c>
      <c r="S11" s="15">
        <v>701</v>
      </c>
      <c r="T11" s="15">
        <v>661</v>
      </c>
      <c r="U11" s="16">
        <f t="shared" si="0"/>
        <v>26467</v>
      </c>
    </row>
    <row r="12" spans="1:21">
      <c r="A12" s="12">
        <v>2009</v>
      </c>
      <c r="B12" s="4"/>
      <c r="C12" s="15">
        <v>1280</v>
      </c>
      <c r="D12" s="15">
        <v>1525</v>
      </c>
      <c r="E12" s="15">
        <v>1619</v>
      </c>
      <c r="F12" s="15">
        <v>1598</v>
      </c>
      <c r="G12" s="15">
        <v>1205</v>
      </c>
      <c r="H12" s="15">
        <v>1278</v>
      </c>
      <c r="I12" s="15">
        <v>1445</v>
      </c>
      <c r="J12" s="15">
        <v>1628</v>
      </c>
      <c r="K12" s="15">
        <v>1967</v>
      </c>
      <c r="L12" s="15">
        <v>2127</v>
      </c>
      <c r="M12" s="15">
        <v>2229</v>
      </c>
      <c r="N12" s="15">
        <v>2020</v>
      </c>
      <c r="O12" s="15">
        <v>1764</v>
      </c>
      <c r="P12" s="15">
        <v>1361</v>
      </c>
      <c r="Q12" s="15">
        <v>1042</v>
      </c>
      <c r="R12" s="15">
        <v>813</v>
      </c>
      <c r="S12" s="15">
        <v>709</v>
      </c>
      <c r="T12" s="15">
        <v>643</v>
      </c>
      <c r="U12" s="16">
        <f t="shared" si="0"/>
        <v>26253</v>
      </c>
    </row>
    <row r="13" spans="1:21">
      <c r="A13" s="12">
        <v>2010</v>
      </c>
      <c r="B13" s="4"/>
      <c r="C13" s="15">
        <v>1292</v>
      </c>
      <c r="D13" s="15">
        <v>1511</v>
      </c>
      <c r="E13" s="15">
        <v>1585</v>
      </c>
      <c r="F13" s="15">
        <v>1564</v>
      </c>
      <c r="G13" s="15">
        <v>1221</v>
      </c>
      <c r="H13" s="15">
        <v>1320</v>
      </c>
      <c r="I13" s="15">
        <v>1435</v>
      </c>
      <c r="J13" s="15">
        <v>1599</v>
      </c>
      <c r="K13" s="15">
        <v>1893</v>
      </c>
      <c r="L13" s="15">
        <v>2121</v>
      </c>
      <c r="M13" s="15">
        <v>2228</v>
      </c>
      <c r="N13" s="15">
        <v>2065</v>
      </c>
      <c r="O13" s="15">
        <v>1840</v>
      </c>
      <c r="P13" s="15">
        <v>1407</v>
      </c>
      <c r="Q13" s="15">
        <v>1055</v>
      </c>
      <c r="R13" s="15">
        <v>825</v>
      </c>
      <c r="S13" s="15">
        <v>715</v>
      </c>
      <c r="T13" s="15">
        <v>661</v>
      </c>
      <c r="U13" s="16">
        <f t="shared" si="0"/>
        <v>26337</v>
      </c>
    </row>
    <row r="14" spans="1:21">
      <c r="A14" s="23">
        <v>2015</v>
      </c>
      <c r="B14" s="4"/>
      <c r="C14" s="15">
        <v>1225.9547596410212</v>
      </c>
      <c r="D14" s="15">
        <v>1308.2122274441813</v>
      </c>
      <c r="E14" s="15">
        <v>1513.4543480394716</v>
      </c>
      <c r="F14" s="15">
        <v>1586.8635877956067</v>
      </c>
      <c r="G14" s="15">
        <v>1416.7378677337022</v>
      </c>
      <c r="H14" s="15">
        <v>1127.940655818262</v>
      </c>
      <c r="I14" s="15">
        <v>1353.0965085894982</v>
      </c>
      <c r="J14" s="15">
        <v>1398.3376991652185</v>
      </c>
      <c r="K14" s="15">
        <v>1607.1313531831793</v>
      </c>
      <c r="L14" s="15">
        <v>1858.2749306729183</v>
      </c>
      <c r="M14" s="15">
        <v>2021.3496229653203</v>
      </c>
      <c r="N14" s="15">
        <v>2150.5407130786693</v>
      </c>
      <c r="O14" s="15">
        <v>2020.3599915330115</v>
      </c>
      <c r="P14" s="15">
        <v>1760.4915456815941</v>
      </c>
      <c r="Q14" s="15">
        <v>1285.6544798901646</v>
      </c>
      <c r="R14" s="15">
        <v>934.23202432134485</v>
      </c>
      <c r="S14" s="15">
        <v>634.63067502510523</v>
      </c>
      <c r="T14" s="15">
        <v>709.79838673576546</v>
      </c>
      <c r="U14" s="16">
        <f t="shared" si="0"/>
        <v>25913.061377314032</v>
      </c>
    </row>
    <row r="15" spans="1:21">
      <c r="A15" s="23">
        <v>2020</v>
      </c>
      <c r="B15" s="4"/>
      <c r="C15" s="15">
        <v>1225.2157738493238</v>
      </c>
      <c r="D15" s="15">
        <v>1250.3957878381207</v>
      </c>
      <c r="E15" s="15">
        <v>1324.5611228785901</v>
      </c>
      <c r="F15" s="15">
        <v>1522.7579305586528</v>
      </c>
      <c r="G15" s="15">
        <v>1440.8955063740875</v>
      </c>
      <c r="H15" s="15">
        <v>1281.9883082222259</v>
      </c>
      <c r="I15" s="15">
        <v>1186.2912292626775</v>
      </c>
      <c r="J15" s="15">
        <v>1331.0638791315091</v>
      </c>
      <c r="K15" s="15">
        <v>1420.6454900369702</v>
      </c>
      <c r="L15" s="15">
        <v>1586.8964288166192</v>
      </c>
      <c r="M15" s="15">
        <v>1773.8444913921835</v>
      </c>
      <c r="N15" s="15">
        <v>1952.1581798699369</v>
      </c>
      <c r="O15" s="15">
        <v>2102.4339585324965</v>
      </c>
      <c r="P15" s="15">
        <v>1933.4278046927582</v>
      </c>
      <c r="Q15" s="15">
        <v>1605.0810324000249</v>
      </c>
      <c r="R15" s="15">
        <v>1143.1193470781259</v>
      </c>
      <c r="S15" s="15">
        <v>719.71147778321779</v>
      </c>
      <c r="T15" s="15">
        <v>687.26790062635041</v>
      </c>
      <c r="U15" s="16">
        <f t="shared" si="0"/>
        <v>25487.755649343864</v>
      </c>
    </row>
    <row r="16" spans="1:21">
      <c r="A16" s="23">
        <v>2025</v>
      </c>
      <c r="B16" s="4"/>
      <c r="C16" s="15">
        <v>1226.7426703538183</v>
      </c>
      <c r="D16" s="15">
        <v>1252.7594980873846</v>
      </c>
      <c r="E16" s="15">
        <v>1272.6045234066141</v>
      </c>
      <c r="F16" s="15">
        <v>1348.3220526358223</v>
      </c>
      <c r="G16" s="15">
        <v>1388.8250063204666</v>
      </c>
      <c r="H16" s="15">
        <v>1310.6749568406997</v>
      </c>
      <c r="I16" s="15">
        <v>1319.9741418116935</v>
      </c>
      <c r="J16" s="15">
        <v>1185.7026011461194</v>
      </c>
      <c r="K16" s="15">
        <v>1359.9688637930556</v>
      </c>
      <c r="L16" s="15">
        <v>1413.3246335452386</v>
      </c>
      <c r="M16" s="15">
        <v>1519.7587867647762</v>
      </c>
      <c r="N16" s="15">
        <v>1718.4049717022638</v>
      </c>
      <c r="O16" s="15">
        <v>1909.7040588770449</v>
      </c>
      <c r="P16" s="15">
        <v>2011.1557496357268</v>
      </c>
      <c r="Q16" s="15">
        <v>1763.2679228057377</v>
      </c>
      <c r="R16" s="15">
        <v>1417.3625586871274</v>
      </c>
      <c r="S16" s="15">
        <v>881.76127879693149</v>
      </c>
      <c r="T16" s="15">
        <v>727.81043454963924</v>
      </c>
      <c r="U16" s="16">
        <f t="shared" si="0"/>
        <v>25028.124709760163</v>
      </c>
    </row>
    <row r="17" spans="1:21">
      <c r="A17" s="23">
        <v>2030</v>
      </c>
      <c r="B17" s="4"/>
      <c r="C17" s="15">
        <v>1197.8867670284985</v>
      </c>
      <c r="D17" s="15">
        <v>1257.4181345790284</v>
      </c>
      <c r="E17" s="15">
        <v>1277.3331102805639</v>
      </c>
      <c r="F17" s="15">
        <v>1302.6910582863804</v>
      </c>
      <c r="G17" s="15">
        <v>1242.2423111306537</v>
      </c>
      <c r="H17" s="15">
        <v>1275.6672896200341</v>
      </c>
      <c r="I17" s="15">
        <v>1356.7822750021485</v>
      </c>
      <c r="J17" s="15">
        <v>1302.6010006516342</v>
      </c>
      <c r="K17" s="15">
        <v>1222.8078704975535</v>
      </c>
      <c r="L17" s="15">
        <v>1358.2760837119149</v>
      </c>
      <c r="M17" s="15">
        <v>1359.1357610158141</v>
      </c>
      <c r="N17" s="15">
        <v>1481.2513900712463</v>
      </c>
      <c r="O17" s="15">
        <v>1686.2147831496522</v>
      </c>
      <c r="P17" s="15">
        <v>1827.5991281335168</v>
      </c>
      <c r="Q17" s="15">
        <v>1833.337933068598</v>
      </c>
      <c r="R17" s="15">
        <v>1558.9037275965557</v>
      </c>
      <c r="S17" s="15">
        <v>1091.292832319996</v>
      </c>
      <c r="T17" s="15">
        <v>841.87263009386584</v>
      </c>
      <c r="U17" s="16">
        <f t="shared" si="0"/>
        <v>24473.314086237649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1486</v>
      </c>
      <c r="D20" s="15">
        <v>1620</v>
      </c>
      <c r="E20" s="15">
        <v>1931</v>
      </c>
      <c r="F20" s="15">
        <v>1951</v>
      </c>
      <c r="G20" s="15">
        <v>1162</v>
      </c>
      <c r="H20" s="15">
        <v>1227</v>
      </c>
      <c r="I20" s="15">
        <v>1655</v>
      </c>
      <c r="J20" s="15">
        <v>1920</v>
      </c>
      <c r="K20" s="15">
        <v>2132</v>
      </c>
      <c r="L20" s="15">
        <v>2073</v>
      </c>
      <c r="M20" s="15">
        <v>1913</v>
      </c>
      <c r="N20" s="15">
        <v>1569</v>
      </c>
      <c r="O20" s="15">
        <v>1173</v>
      </c>
      <c r="P20" s="15">
        <v>1043</v>
      </c>
      <c r="Q20" s="15">
        <v>824</v>
      </c>
      <c r="R20" s="15">
        <v>638</v>
      </c>
      <c r="S20" s="15">
        <v>394</v>
      </c>
      <c r="T20" s="15">
        <v>239</v>
      </c>
      <c r="U20" s="16">
        <f>SUM(C20:T20)</f>
        <v>24950</v>
      </c>
    </row>
    <row r="21" spans="1:21">
      <c r="A21" s="12">
        <v>2002</v>
      </c>
      <c r="B21" s="4"/>
      <c r="C21" s="15">
        <v>1436</v>
      </c>
      <c r="D21" s="15">
        <v>1617</v>
      </c>
      <c r="E21" s="15">
        <v>1983</v>
      </c>
      <c r="F21" s="15">
        <v>1916</v>
      </c>
      <c r="G21" s="15">
        <v>1230</v>
      </c>
      <c r="H21" s="15">
        <v>1166</v>
      </c>
      <c r="I21" s="15">
        <v>1596</v>
      </c>
      <c r="J21" s="15">
        <v>1868</v>
      </c>
      <c r="K21" s="15">
        <v>2167</v>
      </c>
      <c r="L21" s="15">
        <v>2088</v>
      </c>
      <c r="M21" s="15">
        <v>1940</v>
      </c>
      <c r="N21" s="15">
        <v>1623</v>
      </c>
      <c r="O21" s="15">
        <v>1303</v>
      </c>
      <c r="P21" s="15">
        <v>996</v>
      </c>
      <c r="Q21" s="15">
        <v>834</v>
      </c>
      <c r="R21" s="15">
        <v>665</v>
      </c>
      <c r="S21" s="15">
        <v>397</v>
      </c>
      <c r="T21" s="15">
        <v>252</v>
      </c>
      <c r="U21" s="16">
        <f t="shared" ref="U21:U33" si="1">SUM(C21:T21)</f>
        <v>25077</v>
      </c>
    </row>
    <row r="22" spans="1:21">
      <c r="A22" s="12">
        <v>2003</v>
      </c>
      <c r="B22" s="4"/>
      <c r="C22" s="15">
        <v>1397</v>
      </c>
      <c r="D22" s="15">
        <v>1608</v>
      </c>
      <c r="E22" s="15">
        <v>1940</v>
      </c>
      <c r="F22" s="15">
        <v>1900</v>
      </c>
      <c r="G22" s="15">
        <v>1285</v>
      </c>
      <c r="H22" s="15">
        <v>1164</v>
      </c>
      <c r="I22" s="15">
        <v>1533</v>
      </c>
      <c r="J22" s="15">
        <v>1882</v>
      </c>
      <c r="K22" s="15">
        <v>2125</v>
      </c>
      <c r="L22" s="15">
        <v>2102</v>
      </c>
      <c r="M22" s="15">
        <v>2036</v>
      </c>
      <c r="N22" s="15">
        <v>1640</v>
      </c>
      <c r="O22" s="15">
        <v>1398</v>
      </c>
      <c r="P22" s="15">
        <v>1034</v>
      </c>
      <c r="Q22" s="15">
        <v>875</v>
      </c>
      <c r="R22" s="15">
        <v>676</v>
      </c>
      <c r="S22" s="15">
        <v>394</v>
      </c>
      <c r="T22" s="15">
        <v>247</v>
      </c>
      <c r="U22" s="16">
        <f t="shared" si="1"/>
        <v>25236</v>
      </c>
    </row>
    <row r="23" spans="1:21">
      <c r="A23" s="12">
        <v>2004</v>
      </c>
      <c r="B23" s="4"/>
      <c r="C23" s="15">
        <v>1355</v>
      </c>
      <c r="D23" s="15">
        <v>1577</v>
      </c>
      <c r="E23" s="15">
        <v>1846</v>
      </c>
      <c r="F23" s="15">
        <v>1897</v>
      </c>
      <c r="G23" s="15">
        <v>1330</v>
      </c>
      <c r="H23" s="15">
        <v>1129</v>
      </c>
      <c r="I23" s="15">
        <v>1461</v>
      </c>
      <c r="J23" s="15">
        <v>1830</v>
      </c>
      <c r="K23" s="15">
        <v>2106</v>
      </c>
      <c r="L23" s="15">
        <v>2180</v>
      </c>
      <c r="M23" s="15">
        <v>2027</v>
      </c>
      <c r="N23" s="15">
        <v>1763</v>
      </c>
      <c r="O23" s="15">
        <v>1457</v>
      </c>
      <c r="P23" s="15">
        <v>1063</v>
      </c>
      <c r="Q23" s="15">
        <v>896</v>
      </c>
      <c r="R23" s="15">
        <v>623</v>
      </c>
      <c r="S23" s="15">
        <v>438</v>
      </c>
      <c r="T23" s="15">
        <v>259</v>
      </c>
      <c r="U23" s="16">
        <f t="shared" si="1"/>
        <v>25237</v>
      </c>
    </row>
    <row r="24" spans="1:21">
      <c r="A24" s="12">
        <v>2005</v>
      </c>
      <c r="B24" s="4"/>
      <c r="C24" s="15">
        <v>1396</v>
      </c>
      <c r="D24" s="15">
        <v>1582</v>
      </c>
      <c r="E24" s="15">
        <v>1793</v>
      </c>
      <c r="F24" s="15">
        <v>1920</v>
      </c>
      <c r="G24" s="15">
        <v>1324</v>
      </c>
      <c r="H24" s="15">
        <v>1161</v>
      </c>
      <c r="I24" s="15">
        <v>1446</v>
      </c>
      <c r="J24" s="15">
        <v>1807</v>
      </c>
      <c r="K24" s="15">
        <v>2108</v>
      </c>
      <c r="L24" s="15">
        <v>2186</v>
      </c>
      <c r="M24" s="15">
        <v>2042</v>
      </c>
      <c r="N24" s="15">
        <v>1857</v>
      </c>
      <c r="O24" s="15">
        <v>1513</v>
      </c>
      <c r="P24" s="15">
        <v>1071</v>
      </c>
      <c r="Q24" s="15">
        <v>926</v>
      </c>
      <c r="R24" s="15">
        <v>638</v>
      </c>
      <c r="S24" s="15">
        <v>430</v>
      </c>
      <c r="T24" s="15">
        <v>272</v>
      </c>
      <c r="U24" s="16">
        <f t="shared" si="1"/>
        <v>25472</v>
      </c>
    </row>
    <row r="25" spans="1:21">
      <c r="A25" s="12">
        <v>2006</v>
      </c>
      <c r="B25" s="4"/>
      <c r="C25" s="15">
        <v>1393</v>
      </c>
      <c r="D25" s="15">
        <v>1553</v>
      </c>
      <c r="E25" s="15">
        <v>1813</v>
      </c>
      <c r="F25" s="15">
        <v>1927</v>
      </c>
      <c r="G25" s="15">
        <v>1339</v>
      </c>
      <c r="H25" s="15">
        <v>1218</v>
      </c>
      <c r="I25" s="15">
        <v>1395</v>
      </c>
      <c r="J25" s="15">
        <v>1808</v>
      </c>
      <c r="K25" s="15">
        <v>2100</v>
      </c>
      <c r="L25" s="15">
        <v>2164</v>
      </c>
      <c r="M25" s="15">
        <v>2100</v>
      </c>
      <c r="N25" s="15">
        <v>1962</v>
      </c>
      <c r="O25" s="15">
        <v>1566</v>
      </c>
      <c r="P25" s="15">
        <v>1106</v>
      </c>
      <c r="Q25" s="15">
        <v>936</v>
      </c>
      <c r="R25" s="15">
        <v>663</v>
      </c>
      <c r="S25" s="15">
        <v>426</v>
      </c>
      <c r="T25" s="15">
        <v>288</v>
      </c>
      <c r="U25" s="16">
        <f t="shared" si="1"/>
        <v>25757</v>
      </c>
    </row>
    <row r="26" spans="1:21">
      <c r="A26" s="12">
        <v>2007</v>
      </c>
      <c r="B26" s="4"/>
      <c r="C26" s="15">
        <v>1422</v>
      </c>
      <c r="D26" s="15">
        <v>1506</v>
      </c>
      <c r="E26" s="15">
        <v>1790</v>
      </c>
      <c r="F26" s="15">
        <v>1859</v>
      </c>
      <c r="G26" s="15">
        <v>1319</v>
      </c>
      <c r="H26" s="15">
        <v>1240</v>
      </c>
      <c r="I26" s="15">
        <v>1360</v>
      </c>
      <c r="J26" s="15">
        <v>1831</v>
      </c>
      <c r="K26" s="15">
        <v>2011</v>
      </c>
      <c r="L26" s="15">
        <v>2202</v>
      </c>
      <c r="M26" s="15">
        <v>2131</v>
      </c>
      <c r="N26" s="15">
        <v>1982</v>
      </c>
      <c r="O26" s="15">
        <v>1684</v>
      </c>
      <c r="P26" s="15">
        <v>1205</v>
      </c>
      <c r="Q26" s="15">
        <v>905</v>
      </c>
      <c r="R26" s="15">
        <v>677</v>
      </c>
      <c r="S26" s="15">
        <v>444</v>
      </c>
      <c r="T26" s="15">
        <v>303</v>
      </c>
      <c r="U26" s="16">
        <f t="shared" si="1"/>
        <v>25871</v>
      </c>
    </row>
    <row r="27" spans="1:21">
      <c r="A27" s="12">
        <v>2008</v>
      </c>
      <c r="B27" s="4"/>
      <c r="C27" s="15">
        <v>1449</v>
      </c>
      <c r="D27" s="15">
        <v>1480</v>
      </c>
      <c r="E27" s="15">
        <v>1751</v>
      </c>
      <c r="F27" s="15">
        <v>1859</v>
      </c>
      <c r="G27" s="15">
        <v>1211</v>
      </c>
      <c r="H27" s="15">
        <v>1294</v>
      </c>
      <c r="I27" s="15">
        <v>1335</v>
      </c>
      <c r="J27" s="15">
        <v>1755</v>
      </c>
      <c r="K27" s="15">
        <v>1978</v>
      </c>
      <c r="L27" s="15">
        <v>2145</v>
      </c>
      <c r="M27" s="15">
        <v>2143</v>
      </c>
      <c r="N27" s="15">
        <v>2015</v>
      </c>
      <c r="O27" s="15">
        <v>1729</v>
      </c>
      <c r="P27" s="15">
        <v>1280</v>
      </c>
      <c r="Q27" s="15">
        <v>962</v>
      </c>
      <c r="R27" s="15">
        <v>707</v>
      </c>
      <c r="S27" s="15">
        <v>441</v>
      </c>
      <c r="T27" s="15">
        <v>315</v>
      </c>
      <c r="U27" s="16">
        <f t="shared" si="1"/>
        <v>25849</v>
      </c>
    </row>
    <row r="28" spans="1:21">
      <c r="A28" s="12">
        <v>2009</v>
      </c>
      <c r="B28" s="4"/>
      <c r="C28" s="15">
        <v>1440</v>
      </c>
      <c r="D28" s="15">
        <v>1427</v>
      </c>
      <c r="E28" s="15">
        <v>1739</v>
      </c>
      <c r="F28" s="15">
        <v>1776</v>
      </c>
      <c r="G28" s="15">
        <v>1245</v>
      </c>
      <c r="H28" s="15">
        <v>1326</v>
      </c>
      <c r="I28" s="15">
        <v>1326</v>
      </c>
      <c r="J28" s="15">
        <v>1661</v>
      </c>
      <c r="K28" s="15">
        <v>1927</v>
      </c>
      <c r="L28" s="15">
        <v>2126</v>
      </c>
      <c r="M28" s="15">
        <v>2225</v>
      </c>
      <c r="N28" s="15">
        <v>1996</v>
      </c>
      <c r="O28" s="15">
        <v>1817</v>
      </c>
      <c r="P28" s="15">
        <v>1330</v>
      </c>
      <c r="Q28" s="15">
        <v>980</v>
      </c>
      <c r="R28" s="15">
        <v>743</v>
      </c>
      <c r="S28" s="15">
        <v>419</v>
      </c>
      <c r="T28" s="15">
        <v>348</v>
      </c>
      <c r="U28" s="16">
        <f t="shared" si="1"/>
        <v>25851</v>
      </c>
    </row>
    <row r="29" spans="1:21">
      <c r="A29" s="12">
        <v>2010</v>
      </c>
      <c r="B29" s="4"/>
      <c r="C29" s="15">
        <v>1421</v>
      </c>
      <c r="D29" s="15">
        <v>1461</v>
      </c>
      <c r="E29" s="15">
        <v>1738</v>
      </c>
      <c r="F29" s="15">
        <v>1752</v>
      </c>
      <c r="G29" s="15">
        <v>1220</v>
      </c>
      <c r="H29" s="15">
        <v>1291</v>
      </c>
      <c r="I29" s="15">
        <v>1350</v>
      </c>
      <c r="J29" s="15">
        <v>1621</v>
      </c>
      <c r="K29" s="15">
        <v>1891</v>
      </c>
      <c r="L29" s="15">
        <v>2076</v>
      </c>
      <c r="M29" s="15">
        <v>2229</v>
      </c>
      <c r="N29" s="15">
        <v>2042</v>
      </c>
      <c r="O29" s="15">
        <v>1885</v>
      </c>
      <c r="P29" s="15">
        <v>1396</v>
      </c>
      <c r="Q29" s="15">
        <v>973</v>
      </c>
      <c r="R29" s="15">
        <v>750</v>
      </c>
      <c r="S29" s="15">
        <v>449</v>
      </c>
      <c r="T29" s="15">
        <v>351</v>
      </c>
      <c r="U29" s="16">
        <f t="shared" si="1"/>
        <v>25896</v>
      </c>
    </row>
    <row r="30" spans="1:21">
      <c r="A30" s="23">
        <v>2015</v>
      </c>
      <c r="B30" s="4"/>
      <c r="C30" s="15">
        <v>1287.8036289824729</v>
      </c>
      <c r="D30" s="15">
        <v>1451.8842890326334</v>
      </c>
      <c r="E30" s="15">
        <v>1477.1373004824482</v>
      </c>
      <c r="F30" s="15">
        <v>1751.0437807445899</v>
      </c>
      <c r="G30" s="15">
        <v>1629.609436956564</v>
      </c>
      <c r="H30" s="15">
        <v>1158.295577908722</v>
      </c>
      <c r="I30" s="15">
        <v>1343.7028359783487</v>
      </c>
      <c r="J30" s="15">
        <v>1335.0391412671522</v>
      </c>
      <c r="K30" s="15">
        <v>1635.0149578953851</v>
      </c>
      <c r="L30" s="15">
        <v>1853.6732973885601</v>
      </c>
      <c r="M30" s="15">
        <v>1974.4459749094681</v>
      </c>
      <c r="N30" s="15">
        <v>2149.221732650763</v>
      </c>
      <c r="O30" s="15">
        <v>1982.0017927715874</v>
      </c>
      <c r="P30" s="15">
        <v>1751.2910168015846</v>
      </c>
      <c r="Q30" s="15">
        <v>1221.5660313017463</v>
      </c>
      <c r="R30" s="15">
        <v>819.97427543584024</v>
      </c>
      <c r="S30" s="15">
        <v>521.48369416946082</v>
      </c>
      <c r="T30" s="15">
        <v>386.08492326019984</v>
      </c>
      <c r="U30" s="16">
        <f t="shared" si="1"/>
        <v>25729.27368793753</v>
      </c>
    </row>
    <row r="31" spans="1:21">
      <c r="A31" s="23">
        <v>2020</v>
      </c>
      <c r="B31" s="4"/>
      <c r="C31" s="15">
        <v>1287.0273616880804</v>
      </c>
      <c r="D31" s="15">
        <v>1329.8325247511091</v>
      </c>
      <c r="E31" s="15">
        <v>1472.2511621267724</v>
      </c>
      <c r="F31" s="15">
        <v>1505.2916620553519</v>
      </c>
      <c r="G31" s="15">
        <v>1633.0843609347583</v>
      </c>
      <c r="H31" s="15">
        <v>1492.0197285793849</v>
      </c>
      <c r="I31" s="15">
        <v>1228.9632516608167</v>
      </c>
      <c r="J31" s="15">
        <v>1334.9716556162582</v>
      </c>
      <c r="K31" s="15">
        <v>1366.9146585828769</v>
      </c>
      <c r="L31" s="15">
        <v>1611.8710723664633</v>
      </c>
      <c r="M31" s="15">
        <v>1765.5730580022275</v>
      </c>
      <c r="N31" s="15">
        <v>1906.9002217346267</v>
      </c>
      <c r="O31" s="15">
        <v>2084.0179420294903</v>
      </c>
      <c r="P31" s="15">
        <v>1843.3514877933526</v>
      </c>
      <c r="Q31" s="15">
        <v>1528.6342080837142</v>
      </c>
      <c r="R31" s="15">
        <v>1032.7569795761165</v>
      </c>
      <c r="S31" s="15">
        <v>572.00513251549603</v>
      </c>
      <c r="T31" s="15">
        <v>438.5376694716067</v>
      </c>
      <c r="U31" s="16">
        <f t="shared" si="1"/>
        <v>25434.004137568503</v>
      </c>
    </row>
    <row r="32" spans="1:21">
      <c r="A32" s="23">
        <v>2025</v>
      </c>
      <c r="B32" s="4"/>
      <c r="C32" s="15">
        <v>1288.6312894383545</v>
      </c>
      <c r="D32" s="15">
        <v>1332.2455303610654</v>
      </c>
      <c r="E32" s="15">
        <v>1358.6687848927422</v>
      </c>
      <c r="F32" s="15">
        <v>1505.1360600088842</v>
      </c>
      <c r="G32" s="15">
        <v>1417.5885798878264</v>
      </c>
      <c r="H32" s="15">
        <v>1503.9374388190056</v>
      </c>
      <c r="I32" s="15">
        <v>1523.6642226886174</v>
      </c>
      <c r="J32" s="15">
        <v>1235.5221567388487</v>
      </c>
      <c r="K32" s="15">
        <v>1370.6552690776473</v>
      </c>
      <c r="L32" s="15">
        <v>1361.5698899066765</v>
      </c>
      <c r="M32" s="15">
        <v>1540.1799499247563</v>
      </c>
      <c r="N32" s="15">
        <v>1709.914572248671</v>
      </c>
      <c r="O32" s="15">
        <v>1852.2373349537625</v>
      </c>
      <c r="P32" s="15">
        <v>1937.1993905431573</v>
      </c>
      <c r="Q32" s="15">
        <v>1611.3697397835995</v>
      </c>
      <c r="R32" s="15">
        <v>1281.9969999199525</v>
      </c>
      <c r="S32" s="15">
        <v>721.36556926725746</v>
      </c>
      <c r="T32" s="15">
        <v>489.06166538461366</v>
      </c>
      <c r="U32" s="16">
        <f t="shared" si="1"/>
        <v>25040.944443845445</v>
      </c>
    </row>
    <row r="33" spans="1:21">
      <c r="A33" s="23">
        <v>2030</v>
      </c>
      <c r="B33" s="4"/>
      <c r="C33" s="15">
        <v>1258.3196186954669</v>
      </c>
      <c r="D33" s="15">
        <v>1337.10120129907</v>
      </c>
      <c r="E33" s="15">
        <v>1363.5165168020683</v>
      </c>
      <c r="F33" s="15">
        <v>1400.1307772865316</v>
      </c>
      <c r="G33" s="15">
        <v>1421.3040950565985</v>
      </c>
      <c r="H33" s="15">
        <v>1333.1250404048262</v>
      </c>
      <c r="I33" s="15">
        <v>1545.4700960360913</v>
      </c>
      <c r="J33" s="15">
        <v>1496.1554754168847</v>
      </c>
      <c r="K33" s="15">
        <v>1277.4130362863175</v>
      </c>
      <c r="L33" s="15">
        <v>1367.9299532943919</v>
      </c>
      <c r="M33" s="15">
        <v>1308.4629179059343</v>
      </c>
      <c r="N33" s="15">
        <v>1500.5467751862623</v>
      </c>
      <c r="O33" s="15">
        <v>1665.5975453060923</v>
      </c>
      <c r="P33" s="15">
        <v>1723.6738090990145</v>
      </c>
      <c r="Q33" s="15">
        <v>1692.3839687873699</v>
      </c>
      <c r="R33" s="15">
        <v>1358.8625203772494</v>
      </c>
      <c r="S33" s="15">
        <v>893.34514846101933</v>
      </c>
      <c r="T33" s="15">
        <v>591.48415502115154</v>
      </c>
      <c r="U33" s="16">
        <f t="shared" si="1"/>
        <v>24534.822650722341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2844</v>
      </c>
      <c r="D36" s="15">
        <f t="shared" ref="D36:T36" si="2">D20+D4</f>
        <v>3240</v>
      </c>
      <c r="E36" s="15">
        <f t="shared" si="2"/>
        <v>3821</v>
      </c>
      <c r="F36" s="15">
        <f t="shared" si="2"/>
        <v>3737</v>
      </c>
      <c r="G36" s="15">
        <f t="shared" si="2"/>
        <v>2378</v>
      </c>
      <c r="H36" s="15">
        <f t="shared" si="2"/>
        <v>2507</v>
      </c>
      <c r="I36" s="15">
        <f t="shared" si="2"/>
        <v>3375</v>
      </c>
      <c r="J36" s="15">
        <f t="shared" si="2"/>
        <v>3922</v>
      </c>
      <c r="K36" s="15">
        <f t="shared" si="2"/>
        <v>4315</v>
      </c>
      <c r="L36" s="15">
        <f t="shared" si="2"/>
        <v>4147</v>
      </c>
      <c r="M36" s="15">
        <f t="shared" si="2"/>
        <v>3801</v>
      </c>
      <c r="N36" s="15">
        <f t="shared" si="2"/>
        <v>3049</v>
      </c>
      <c r="O36" s="15">
        <f t="shared" si="2"/>
        <v>2403</v>
      </c>
      <c r="P36" s="15">
        <f t="shared" si="2"/>
        <v>2137</v>
      </c>
      <c r="Q36" s="15">
        <f t="shared" si="2"/>
        <v>1845</v>
      </c>
      <c r="R36" s="15">
        <f t="shared" si="2"/>
        <v>1494</v>
      </c>
      <c r="S36" s="15">
        <f t="shared" si="2"/>
        <v>1007</v>
      </c>
      <c r="T36" s="15">
        <f t="shared" si="2"/>
        <v>849</v>
      </c>
      <c r="U36" s="16">
        <f>SUM(C36:T36)</f>
        <v>50871</v>
      </c>
    </row>
    <row r="37" spans="1:21">
      <c r="A37" s="12">
        <v>2002</v>
      </c>
      <c r="B37" s="4"/>
      <c r="C37" s="15">
        <f t="shared" ref="C37:T49" si="3">C21+C5</f>
        <v>2806</v>
      </c>
      <c r="D37" s="15">
        <f t="shared" si="3"/>
        <v>3195</v>
      </c>
      <c r="E37" s="15">
        <f t="shared" si="3"/>
        <v>3850</v>
      </c>
      <c r="F37" s="15">
        <f t="shared" si="3"/>
        <v>3703</v>
      </c>
      <c r="G37" s="15">
        <f t="shared" si="3"/>
        <v>2430</v>
      </c>
      <c r="H37" s="15">
        <f t="shared" si="3"/>
        <v>2429</v>
      </c>
      <c r="I37" s="15">
        <f t="shared" si="3"/>
        <v>3278</v>
      </c>
      <c r="J37" s="15">
        <f t="shared" si="3"/>
        <v>3923</v>
      </c>
      <c r="K37" s="15">
        <f t="shared" si="3"/>
        <v>4241</v>
      </c>
      <c r="L37" s="15">
        <f t="shared" si="3"/>
        <v>4226</v>
      </c>
      <c r="M37" s="15">
        <f t="shared" si="3"/>
        <v>3848</v>
      </c>
      <c r="N37" s="15">
        <f t="shared" si="3"/>
        <v>3188</v>
      </c>
      <c r="O37" s="15">
        <f t="shared" si="3"/>
        <v>2596</v>
      </c>
      <c r="P37" s="15">
        <f t="shared" si="3"/>
        <v>2045</v>
      </c>
      <c r="Q37" s="15">
        <f t="shared" si="3"/>
        <v>1881</v>
      </c>
      <c r="R37" s="15">
        <f t="shared" si="3"/>
        <v>1490</v>
      </c>
      <c r="S37" s="15">
        <f t="shared" si="3"/>
        <v>1030</v>
      </c>
      <c r="T37" s="15">
        <f t="shared" si="3"/>
        <v>858</v>
      </c>
      <c r="U37" s="16">
        <f t="shared" ref="U37:U49" si="4">SUM(C37:T37)</f>
        <v>51017</v>
      </c>
    </row>
    <row r="38" spans="1:21">
      <c r="A38" s="12">
        <v>2003</v>
      </c>
      <c r="B38" s="4"/>
      <c r="C38" s="15">
        <f t="shared" si="3"/>
        <v>2814</v>
      </c>
      <c r="D38" s="15">
        <f t="shared" si="3"/>
        <v>3145</v>
      </c>
      <c r="E38" s="15">
        <f t="shared" si="3"/>
        <v>3780</v>
      </c>
      <c r="F38" s="15">
        <f t="shared" si="3"/>
        <v>3662</v>
      </c>
      <c r="G38" s="15">
        <f t="shared" si="3"/>
        <v>2498</v>
      </c>
      <c r="H38" s="15">
        <f t="shared" si="3"/>
        <v>2407</v>
      </c>
      <c r="I38" s="15">
        <f t="shared" si="3"/>
        <v>3146</v>
      </c>
      <c r="J38" s="15">
        <f t="shared" si="3"/>
        <v>3860</v>
      </c>
      <c r="K38" s="15">
        <f t="shared" si="3"/>
        <v>4215</v>
      </c>
      <c r="L38" s="15">
        <f t="shared" si="3"/>
        <v>4349</v>
      </c>
      <c r="M38" s="15">
        <f t="shared" si="3"/>
        <v>3933</v>
      </c>
      <c r="N38" s="15">
        <f t="shared" si="3"/>
        <v>3301</v>
      </c>
      <c r="O38" s="15">
        <f t="shared" si="3"/>
        <v>2789</v>
      </c>
      <c r="P38" s="15">
        <f t="shared" si="3"/>
        <v>2092</v>
      </c>
      <c r="Q38" s="15">
        <f t="shared" si="3"/>
        <v>1887</v>
      </c>
      <c r="R38" s="15">
        <f t="shared" si="3"/>
        <v>1572</v>
      </c>
      <c r="S38" s="15">
        <f t="shared" si="3"/>
        <v>1056</v>
      </c>
      <c r="T38" s="15">
        <f t="shared" si="3"/>
        <v>830</v>
      </c>
      <c r="U38" s="16">
        <f t="shared" si="4"/>
        <v>51336</v>
      </c>
    </row>
    <row r="39" spans="1:21">
      <c r="A39" s="12">
        <v>2004</v>
      </c>
      <c r="B39" s="4"/>
      <c r="C39" s="15">
        <f t="shared" si="3"/>
        <v>2740</v>
      </c>
      <c r="D39" s="15">
        <f t="shared" si="3"/>
        <v>3126</v>
      </c>
      <c r="E39" s="15">
        <f t="shared" si="3"/>
        <v>3653</v>
      </c>
      <c r="F39" s="15">
        <f t="shared" si="3"/>
        <v>3636</v>
      </c>
      <c r="G39" s="15">
        <f t="shared" si="3"/>
        <v>2532</v>
      </c>
      <c r="H39" s="15">
        <f t="shared" si="3"/>
        <v>2389</v>
      </c>
      <c r="I39" s="15">
        <f t="shared" si="3"/>
        <v>2966</v>
      </c>
      <c r="J39" s="15">
        <f t="shared" si="3"/>
        <v>3810</v>
      </c>
      <c r="K39" s="15">
        <f t="shared" si="3"/>
        <v>4131</v>
      </c>
      <c r="L39" s="15">
        <f t="shared" si="3"/>
        <v>4425</v>
      </c>
      <c r="M39" s="15">
        <f t="shared" si="3"/>
        <v>4003</v>
      </c>
      <c r="N39" s="15">
        <f t="shared" si="3"/>
        <v>3503</v>
      </c>
      <c r="O39" s="15">
        <f t="shared" si="3"/>
        <v>2883</v>
      </c>
      <c r="P39" s="15">
        <f t="shared" si="3"/>
        <v>2175</v>
      </c>
      <c r="Q39" s="15">
        <f t="shared" si="3"/>
        <v>1880</v>
      </c>
      <c r="R39" s="15">
        <f t="shared" si="3"/>
        <v>1534</v>
      </c>
      <c r="S39" s="15">
        <f t="shared" si="3"/>
        <v>1082</v>
      </c>
      <c r="T39" s="15">
        <f t="shared" si="3"/>
        <v>860</v>
      </c>
      <c r="U39" s="16">
        <f t="shared" si="4"/>
        <v>51328</v>
      </c>
    </row>
    <row r="40" spans="1:21">
      <c r="A40" s="12">
        <v>2005</v>
      </c>
      <c r="B40" s="4"/>
      <c r="C40" s="15">
        <f t="shared" si="3"/>
        <v>2792</v>
      </c>
      <c r="D40" s="15">
        <f t="shared" si="3"/>
        <v>3072</v>
      </c>
      <c r="E40" s="15">
        <f t="shared" si="3"/>
        <v>3506</v>
      </c>
      <c r="F40" s="15">
        <f t="shared" si="3"/>
        <v>3643</v>
      </c>
      <c r="G40" s="15">
        <f t="shared" si="3"/>
        <v>2596</v>
      </c>
      <c r="H40" s="15">
        <f t="shared" si="3"/>
        <v>2417</v>
      </c>
      <c r="I40" s="15">
        <f t="shared" si="3"/>
        <v>2918</v>
      </c>
      <c r="J40" s="15">
        <f t="shared" si="3"/>
        <v>3732</v>
      </c>
      <c r="K40" s="15">
        <f t="shared" si="3"/>
        <v>4177</v>
      </c>
      <c r="L40" s="15">
        <f t="shared" si="3"/>
        <v>4395</v>
      </c>
      <c r="M40" s="15">
        <f t="shared" si="3"/>
        <v>4040</v>
      </c>
      <c r="N40" s="15">
        <f t="shared" si="3"/>
        <v>3701</v>
      </c>
      <c r="O40" s="15">
        <f t="shared" si="3"/>
        <v>2947</v>
      </c>
      <c r="P40" s="15">
        <f t="shared" si="3"/>
        <v>2227</v>
      </c>
      <c r="Q40" s="15">
        <f t="shared" si="3"/>
        <v>1888</v>
      </c>
      <c r="R40" s="15">
        <f t="shared" si="3"/>
        <v>1558</v>
      </c>
      <c r="S40" s="15">
        <f t="shared" si="3"/>
        <v>1084</v>
      </c>
      <c r="T40" s="15">
        <f t="shared" si="3"/>
        <v>907</v>
      </c>
      <c r="U40" s="16">
        <f t="shared" si="4"/>
        <v>51600</v>
      </c>
    </row>
    <row r="41" spans="1:21">
      <c r="A41" s="12">
        <v>2006</v>
      </c>
      <c r="B41" s="4"/>
      <c r="C41" s="15">
        <f t="shared" si="3"/>
        <v>2773</v>
      </c>
      <c r="D41" s="15">
        <f t="shared" si="3"/>
        <v>3028</v>
      </c>
      <c r="E41" s="15">
        <f t="shared" si="3"/>
        <v>3529</v>
      </c>
      <c r="F41" s="15">
        <f t="shared" si="3"/>
        <v>3643</v>
      </c>
      <c r="G41" s="15">
        <f t="shared" si="3"/>
        <v>2621</v>
      </c>
      <c r="H41" s="15">
        <f t="shared" si="3"/>
        <v>2565</v>
      </c>
      <c r="I41" s="15">
        <f t="shared" si="3"/>
        <v>2789</v>
      </c>
      <c r="J41" s="15">
        <f t="shared" si="3"/>
        <v>3706</v>
      </c>
      <c r="K41" s="15">
        <f t="shared" si="3"/>
        <v>4175</v>
      </c>
      <c r="L41" s="15">
        <f t="shared" si="3"/>
        <v>4419</v>
      </c>
      <c r="M41" s="15">
        <f t="shared" si="3"/>
        <v>4176</v>
      </c>
      <c r="N41" s="15">
        <f t="shared" si="3"/>
        <v>3949</v>
      </c>
      <c r="O41" s="15">
        <f t="shared" si="3"/>
        <v>3024</v>
      </c>
      <c r="P41" s="15">
        <f t="shared" si="3"/>
        <v>2284</v>
      </c>
      <c r="Q41" s="15">
        <f t="shared" si="3"/>
        <v>1919</v>
      </c>
      <c r="R41" s="15">
        <f t="shared" si="3"/>
        <v>1563</v>
      </c>
      <c r="S41" s="15">
        <f t="shared" si="3"/>
        <v>1078</v>
      </c>
      <c r="T41" s="15">
        <f t="shared" si="3"/>
        <v>954</v>
      </c>
      <c r="U41" s="16">
        <f t="shared" si="4"/>
        <v>52195</v>
      </c>
    </row>
    <row r="42" spans="1:21">
      <c r="A42" s="12">
        <v>2007</v>
      </c>
      <c r="B42" s="4"/>
      <c r="C42" s="15">
        <f t="shared" si="3"/>
        <v>2765</v>
      </c>
      <c r="D42" s="15">
        <f t="shared" si="3"/>
        <v>3078</v>
      </c>
      <c r="E42" s="15">
        <f t="shared" si="3"/>
        <v>3473</v>
      </c>
      <c r="F42" s="15">
        <f t="shared" si="3"/>
        <v>3565</v>
      </c>
      <c r="G42" s="15">
        <f t="shared" si="3"/>
        <v>2577</v>
      </c>
      <c r="H42" s="15">
        <f t="shared" si="3"/>
        <v>2582</v>
      </c>
      <c r="I42" s="15">
        <f t="shared" si="3"/>
        <v>2761</v>
      </c>
      <c r="J42" s="15">
        <f t="shared" si="3"/>
        <v>3675</v>
      </c>
      <c r="K42" s="15">
        <f t="shared" si="3"/>
        <v>4076</v>
      </c>
      <c r="L42" s="15">
        <f t="shared" si="3"/>
        <v>4400</v>
      </c>
      <c r="M42" s="15">
        <f t="shared" si="3"/>
        <v>4278</v>
      </c>
      <c r="N42" s="15">
        <f t="shared" si="3"/>
        <v>3967</v>
      </c>
      <c r="O42" s="15">
        <f t="shared" si="3"/>
        <v>3271</v>
      </c>
      <c r="P42" s="15">
        <f t="shared" si="3"/>
        <v>2465</v>
      </c>
      <c r="Q42" s="15">
        <f t="shared" si="3"/>
        <v>1834</v>
      </c>
      <c r="R42" s="15">
        <f t="shared" si="3"/>
        <v>1601</v>
      </c>
      <c r="S42" s="15">
        <f t="shared" si="3"/>
        <v>1109</v>
      </c>
      <c r="T42" s="15">
        <f t="shared" si="3"/>
        <v>982</v>
      </c>
      <c r="U42" s="16">
        <f t="shared" si="4"/>
        <v>52459</v>
      </c>
    </row>
    <row r="43" spans="1:21">
      <c r="A43" s="12">
        <v>2008</v>
      </c>
      <c r="B43" s="4"/>
      <c r="C43" s="15">
        <f t="shared" si="3"/>
        <v>2772</v>
      </c>
      <c r="D43" s="15">
        <f t="shared" si="3"/>
        <v>3035</v>
      </c>
      <c r="E43" s="15">
        <f t="shared" si="3"/>
        <v>3393</v>
      </c>
      <c r="F43" s="15">
        <f t="shared" si="3"/>
        <v>3522</v>
      </c>
      <c r="G43" s="15">
        <f t="shared" si="3"/>
        <v>2434</v>
      </c>
      <c r="H43" s="15">
        <f t="shared" si="3"/>
        <v>2631</v>
      </c>
      <c r="I43" s="15">
        <f t="shared" si="3"/>
        <v>2719</v>
      </c>
      <c r="J43" s="15">
        <f t="shared" si="3"/>
        <v>3517</v>
      </c>
      <c r="K43" s="15">
        <f t="shared" si="3"/>
        <v>3955</v>
      </c>
      <c r="L43" s="15">
        <f t="shared" si="3"/>
        <v>4351</v>
      </c>
      <c r="M43" s="15">
        <f t="shared" si="3"/>
        <v>4364</v>
      </c>
      <c r="N43" s="15">
        <f t="shared" si="3"/>
        <v>3980</v>
      </c>
      <c r="O43" s="15">
        <f t="shared" si="3"/>
        <v>3417</v>
      </c>
      <c r="P43" s="15">
        <f t="shared" si="3"/>
        <v>2635</v>
      </c>
      <c r="Q43" s="15">
        <f t="shared" si="3"/>
        <v>1915</v>
      </c>
      <c r="R43" s="15">
        <f t="shared" si="3"/>
        <v>1558</v>
      </c>
      <c r="S43" s="15">
        <f t="shared" si="3"/>
        <v>1142</v>
      </c>
      <c r="T43" s="15">
        <f t="shared" si="3"/>
        <v>976</v>
      </c>
      <c r="U43" s="16">
        <f t="shared" si="4"/>
        <v>52316</v>
      </c>
    </row>
    <row r="44" spans="1:21">
      <c r="A44" s="12">
        <v>2009</v>
      </c>
      <c r="B44" s="4"/>
      <c r="C44" s="15">
        <f t="shared" si="3"/>
        <v>2720</v>
      </c>
      <c r="D44" s="15">
        <f t="shared" si="3"/>
        <v>2952</v>
      </c>
      <c r="E44" s="15">
        <f t="shared" si="3"/>
        <v>3358</v>
      </c>
      <c r="F44" s="15">
        <f t="shared" si="3"/>
        <v>3374</v>
      </c>
      <c r="G44" s="15">
        <f t="shared" si="3"/>
        <v>2450</v>
      </c>
      <c r="H44" s="15">
        <f t="shared" si="3"/>
        <v>2604</v>
      </c>
      <c r="I44" s="15">
        <f t="shared" si="3"/>
        <v>2771</v>
      </c>
      <c r="J44" s="15">
        <f t="shared" si="3"/>
        <v>3289</v>
      </c>
      <c r="K44" s="15">
        <f t="shared" si="3"/>
        <v>3894</v>
      </c>
      <c r="L44" s="15">
        <f t="shared" si="3"/>
        <v>4253</v>
      </c>
      <c r="M44" s="15">
        <f t="shared" si="3"/>
        <v>4454</v>
      </c>
      <c r="N44" s="15">
        <f t="shared" si="3"/>
        <v>4016</v>
      </c>
      <c r="O44" s="15">
        <f t="shared" si="3"/>
        <v>3581</v>
      </c>
      <c r="P44" s="15">
        <f t="shared" si="3"/>
        <v>2691</v>
      </c>
      <c r="Q44" s="15">
        <f t="shared" si="3"/>
        <v>2022</v>
      </c>
      <c r="R44" s="15">
        <f t="shared" si="3"/>
        <v>1556</v>
      </c>
      <c r="S44" s="15">
        <f t="shared" si="3"/>
        <v>1128</v>
      </c>
      <c r="T44" s="15">
        <f t="shared" si="3"/>
        <v>991</v>
      </c>
      <c r="U44" s="16">
        <f t="shared" si="4"/>
        <v>52104</v>
      </c>
    </row>
    <row r="45" spans="1:21">
      <c r="A45" s="12">
        <v>2010</v>
      </c>
      <c r="B45" s="4"/>
      <c r="C45" s="15">
        <f t="shared" si="3"/>
        <v>2713</v>
      </c>
      <c r="D45" s="15">
        <f t="shared" si="3"/>
        <v>2972</v>
      </c>
      <c r="E45" s="15">
        <f t="shared" si="3"/>
        <v>3323</v>
      </c>
      <c r="F45" s="15">
        <f t="shared" si="3"/>
        <v>3316</v>
      </c>
      <c r="G45" s="15">
        <f t="shared" si="3"/>
        <v>2441</v>
      </c>
      <c r="H45" s="15">
        <f t="shared" si="3"/>
        <v>2611</v>
      </c>
      <c r="I45" s="15">
        <f t="shared" si="3"/>
        <v>2785</v>
      </c>
      <c r="J45" s="15">
        <f t="shared" si="3"/>
        <v>3220</v>
      </c>
      <c r="K45" s="15">
        <f t="shared" si="3"/>
        <v>3784</v>
      </c>
      <c r="L45" s="15">
        <f t="shared" si="3"/>
        <v>4197</v>
      </c>
      <c r="M45" s="15">
        <f t="shared" si="3"/>
        <v>4457</v>
      </c>
      <c r="N45" s="15">
        <f t="shared" si="3"/>
        <v>4107</v>
      </c>
      <c r="O45" s="15">
        <f t="shared" si="3"/>
        <v>3725</v>
      </c>
      <c r="P45" s="15">
        <f t="shared" si="3"/>
        <v>2803</v>
      </c>
      <c r="Q45" s="15">
        <f t="shared" si="3"/>
        <v>2028</v>
      </c>
      <c r="R45" s="15">
        <f t="shared" si="3"/>
        <v>1575</v>
      </c>
      <c r="S45" s="15">
        <f t="shared" si="3"/>
        <v>1164</v>
      </c>
      <c r="T45" s="15">
        <f t="shared" si="3"/>
        <v>1012</v>
      </c>
      <c r="U45" s="16">
        <f t="shared" si="4"/>
        <v>52233</v>
      </c>
    </row>
    <row r="46" spans="1:21">
      <c r="A46" s="23">
        <v>2015</v>
      </c>
      <c r="B46" s="4"/>
      <c r="C46" s="15">
        <f t="shared" si="3"/>
        <v>2513.7583886234943</v>
      </c>
      <c r="D46" s="15">
        <f t="shared" si="3"/>
        <v>2760.0965164768149</v>
      </c>
      <c r="E46" s="15">
        <f t="shared" si="3"/>
        <v>2990.5916485219195</v>
      </c>
      <c r="F46" s="15">
        <f t="shared" si="3"/>
        <v>3337.9073685401963</v>
      </c>
      <c r="G46" s="15">
        <f t="shared" si="3"/>
        <v>3046.3473046902664</v>
      </c>
      <c r="H46" s="15">
        <f t="shared" si="3"/>
        <v>2286.2362337269842</v>
      </c>
      <c r="I46" s="15">
        <f t="shared" si="3"/>
        <v>2696.7993445678467</v>
      </c>
      <c r="J46" s="15">
        <f t="shared" si="3"/>
        <v>2733.376840432371</v>
      </c>
      <c r="K46" s="15">
        <f t="shared" si="3"/>
        <v>3242.1463110785644</v>
      </c>
      <c r="L46" s="15">
        <f t="shared" si="3"/>
        <v>3711.9482280614784</v>
      </c>
      <c r="M46" s="15">
        <f t="shared" si="3"/>
        <v>3995.7955978747887</v>
      </c>
      <c r="N46" s="15">
        <f t="shared" si="3"/>
        <v>4299.7624457294323</v>
      </c>
      <c r="O46" s="15">
        <f t="shared" si="3"/>
        <v>4002.3617843045986</v>
      </c>
      <c r="P46" s="15">
        <f t="shared" si="3"/>
        <v>3511.7825624831785</v>
      </c>
      <c r="Q46" s="15">
        <f t="shared" si="3"/>
        <v>2507.2205111919111</v>
      </c>
      <c r="R46" s="15">
        <f t="shared" si="3"/>
        <v>1754.2062997571852</v>
      </c>
      <c r="S46" s="15">
        <f t="shared" si="3"/>
        <v>1156.1143691945661</v>
      </c>
      <c r="T46" s="15">
        <f t="shared" si="3"/>
        <v>1095.8833099959652</v>
      </c>
      <c r="U46" s="16">
        <f t="shared" si="4"/>
        <v>51642.335065251566</v>
      </c>
    </row>
    <row r="47" spans="1:21">
      <c r="A47" s="23">
        <v>2020</v>
      </c>
      <c r="B47" s="4"/>
      <c r="C47" s="15">
        <f t="shared" si="3"/>
        <v>2512.2431355374042</v>
      </c>
      <c r="D47" s="15">
        <f t="shared" si="3"/>
        <v>2580.22831258923</v>
      </c>
      <c r="E47" s="15">
        <f t="shared" si="3"/>
        <v>2796.8122850053624</v>
      </c>
      <c r="F47" s="15">
        <f t="shared" si="3"/>
        <v>3028.0495926140047</v>
      </c>
      <c r="G47" s="15">
        <f t="shared" si="3"/>
        <v>3073.9798673088458</v>
      </c>
      <c r="H47" s="15">
        <f t="shared" si="3"/>
        <v>2774.0080368016106</v>
      </c>
      <c r="I47" s="15">
        <f t="shared" si="3"/>
        <v>2415.2544809234942</v>
      </c>
      <c r="J47" s="15">
        <f t="shared" si="3"/>
        <v>2666.0355347477671</v>
      </c>
      <c r="K47" s="15">
        <f t="shared" si="3"/>
        <v>2787.560148619847</v>
      </c>
      <c r="L47" s="15">
        <f t="shared" si="3"/>
        <v>3198.7675011830825</v>
      </c>
      <c r="M47" s="15">
        <f t="shared" si="3"/>
        <v>3539.4175493944113</v>
      </c>
      <c r="N47" s="15">
        <f t="shared" si="3"/>
        <v>3859.0584016045636</v>
      </c>
      <c r="O47" s="15">
        <f t="shared" si="3"/>
        <v>4186.4519005619868</v>
      </c>
      <c r="P47" s="15">
        <f t="shared" si="3"/>
        <v>3776.7792924861105</v>
      </c>
      <c r="Q47" s="15">
        <f t="shared" si="3"/>
        <v>3133.7152404837389</v>
      </c>
      <c r="R47" s="15">
        <f t="shared" si="3"/>
        <v>2175.8763266542423</v>
      </c>
      <c r="S47" s="15">
        <f t="shared" si="3"/>
        <v>1291.7166102987139</v>
      </c>
      <c r="T47" s="15">
        <f t="shared" si="3"/>
        <v>1125.8055700979571</v>
      </c>
      <c r="U47" s="16">
        <f t="shared" si="4"/>
        <v>50921.759786912386</v>
      </c>
    </row>
    <row r="48" spans="1:21">
      <c r="A48" s="23">
        <v>2025</v>
      </c>
      <c r="B48" s="4"/>
      <c r="C48" s="15">
        <f t="shared" si="3"/>
        <v>2515.3739597921731</v>
      </c>
      <c r="D48" s="15">
        <f t="shared" si="3"/>
        <v>2585.00502844845</v>
      </c>
      <c r="E48" s="15">
        <f t="shared" si="3"/>
        <v>2631.2733082993564</v>
      </c>
      <c r="F48" s="15">
        <f t="shared" si="3"/>
        <v>2853.4581126447065</v>
      </c>
      <c r="G48" s="15">
        <f t="shared" si="3"/>
        <v>2806.4135862082931</v>
      </c>
      <c r="H48" s="15">
        <f t="shared" si="3"/>
        <v>2814.6123956597053</v>
      </c>
      <c r="I48" s="15">
        <f t="shared" si="3"/>
        <v>2843.6383645003107</v>
      </c>
      <c r="J48" s="15">
        <f t="shared" si="3"/>
        <v>2421.2247578849683</v>
      </c>
      <c r="K48" s="15">
        <f t="shared" si="3"/>
        <v>2730.6241328707029</v>
      </c>
      <c r="L48" s="15">
        <f t="shared" si="3"/>
        <v>2774.8945234519151</v>
      </c>
      <c r="M48" s="15">
        <f t="shared" si="3"/>
        <v>3059.9387366895326</v>
      </c>
      <c r="N48" s="15">
        <f t="shared" si="3"/>
        <v>3428.3195439509345</v>
      </c>
      <c r="O48" s="15">
        <f t="shared" si="3"/>
        <v>3761.9413938308071</v>
      </c>
      <c r="P48" s="15">
        <f t="shared" si="3"/>
        <v>3948.3551401788841</v>
      </c>
      <c r="Q48" s="15">
        <f t="shared" si="3"/>
        <v>3374.6376625893372</v>
      </c>
      <c r="R48" s="15">
        <f t="shared" si="3"/>
        <v>2699.3595586070796</v>
      </c>
      <c r="S48" s="15">
        <f t="shared" si="3"/>
        <v>1603.1268480641888</v>
      </c>
      <c r="T48" s="15">
        <f t="shared" si="3"/>
        <v>1216.8720999342529</v>
      </c>
      <c r="U48" s="16">
        <f t="shared" si="4"/>
        <v>50069.069153605604</v>
      </c>
    </row>
    <row r="49" spans="1:21" ht="15.75" thickBot="1">
      <c r="A49" s="24">
        <v>2030</v>
      </c>
      <c r="B49" s="20"/>
      <c r="C49" s="21">
        <f t="shared" si="3"/>
        <v>2456.2063857239655</v>
      </c>
      <c r="D49" s="21">
        <f t="shared" si="3"/>
        <v>2594.5193358780984</v>
      </c>
      <c r="E49" s="21">
        <f t="shared" si="3"/>
        <v>2640.8496270826322</v>
      </c>
      <c r="F49" s="21">
        <f t="shared" si="3"/>
        <v>2702.8218355729123</v>
      </c>
      <c r="G49" s="21">
        <f t="shared" si="3"/>
        <v>2663.5464061872522</v>
      </c>
      <c r="H49" s="21">
        <f t="shared" si="3"/>
        <v>2608.7923300248603</v>
      </c>
      <c r="I49" s="21">
        <f t="shared" si="3"/>
        <v>2902.2523710382397</v>
      </c>
      <c r="J49" s="21">
        <f t="shared" si="3"/>
        <v>2798.7564760685191</v>
      </c>
      <c r="K49" s="21">
        <f t="shared" si="3"/>
        <v>2500.2209067838712</v>
      </c>
      <c r="L49" s="21">
        <f t="shared" si="3"/>
        <v>2726.2060370063068</v>
      </c>
      <c r="M49" s="21">
        <f t="shared" si="3"/>
        <v>2667.5986789217486</v>
      </c>
      <c r="N49" s="21">
        <f t="shared" si="3"/>
        <v>2981.7981652575086</v>
      </c>
      <c r="O49" s="21">
        <f t="shared" si="3"/>
        <v>3351.8123284557446</v>
      </c>
      <c r="P49" s="21">
        <f t="shared" si="3"/>
        <v>3551.2729372325311</v>
      </c>
      <c r="Q49" s="21">
        <f t="shared" si="3"/>
        <v>3525.7219018559681</v>
      </c>
      <c r="R49" s="21">
        <f t="shared" si="3"/>
        <v>2917.7662479738051</v>
      </c>
      <c r="S49" s="21">
        <f t="shared" si="3"/>
        <v>1984.6379807810154</v>
      </c>
      <c r="T49" s="21">
        <f t="shared" si="3"/>
        <v>1433.3567851150174</v>
      </c>
      <c r="U49" s="22">
        <f t="shared" si="4"/>
        <v>49008.136736960005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27</v>
      </c>
      <c r="B1" s="8" t="s">
        <v>13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983</v>
      </c>
      <c r="D4" s="15">
        <v>1151</v>
      </c>
      <c r="E4" s="15">
        <v>1361</v>
      </c>
      <c r="F4" s="15">
        <v>1269</v>
      </c>
      <c r="G4" s="15">
        <v>901</v>
      </c>
      <c r="H4" s="15">
        <v>1041</v>
      </c>
      <c r="I4" s="15">
        <v>1192</v>
      </c>
      <c r="J4" s="15">
        <v>1409</v>
      </c>
      <c r="K4" s="15">
        <v>1607</v>
      </c>
      <c r="L4" s="15">
        <v>1596</v>
      </c>
      <c r="M4" s="15">
        <v>1626</v>
      </c>
      <c r="N4" s="15">
        <v>1060</v>
      </c>
      <c r="O4" s="15">
        <v>859</v>
      </c>
      <c r="P4" s="15">
        <v>790</v>
      </c>
      <c r="Q4" s="15">
        <v>710</v>
      </c>
      <c r="R4" s="15">
        <v>602</v>
      </c>
      <c r="S4" s="15">
        <v>374</v>
      </c>
      <c r="T4" s="15">
        <v>365</v>
      </c>
      <c r="U4" s="16">
        <f>SUM(C4:T4)</f>
        <v>18896</v>
      </c>
    </row>
    <row r="5" spans="1:21">
      <c r="A5" s="12">
        <v>2002</v>
      </c>
      <c r="B5" s="4"/>
      <c r="C5" s="15">
        <v>946</v>
      </c>
      <c r="D5" s="15">
        <v>1186</v>
      </c>
      <c r="E5" s="15">
        <v>1351</v>
      </c>
      <c r="F5" s="15">
        <v>1303</v>
      </c>
      <c r="G5" s="15">
        <v>920</v>
      </c>
      <c r="H5" s="15">
        <v>1024</v>
      </c>
      <c r="I5" s="15">
        <v>1239</v>
      </c>
      <c r="J5" s="15">
        <v>1358</v>
      </c>
      <c r="K5" s="15">
        <v>1606</v>
      </c>
      <c r="L5" s="15">
        <v>1632</v>
      </c>
      <c r="M5" s="15">
        <v>1626</v>
      </c>
      <c r="N5" s="15">
        <v>1196</v>
      </c>
      <c r="O5" s="15">
        <v>886</v>
      </c>
      <c r="P5" s="15">
        <v>826</v>
      </c>
      <c r="Q5" s="15">
        <v>693</v>
      </c>
      <c r="R5" s="15">
        <v>607</v>
      </c>
      <c r="S5" s="15">
        <v>386</v>
      </c>
      <c r="T5" s="15">
        <v>359</v>
      </c>
      <c r="U5" s="16">
        <f t="shared" ref="U5:U17" si="0">SUM(C5:T5)</f>
        <v>19144</v>
      </c>
    </row>
    <row r="6" spans="1:21">
      <c r="A6" s="12">
        <v>2003</v>
      </c>
      <c r="B6" s="4"/>
      <c r="C6" s="15">
        <v>961</v>
      </c>
      <c r="D6" s="15">
        <v>1104</v>
      </c>
      <c r="E6" s="15">
        <v>1386</v>
      </c>
      <c r="F6" s="15">
        <v>1264</v>
      </c>
      <c r="G6" s="15">
        <v>946</v>
      </c>
      <c r="H6" s="15">
        <v>1013</v>
      </c>
      <c r="I6" s="15">
        <v>1231</v>
      </c>
      <c r="J6" s="15">
        <v>1327</v>
      </c>
      <c r="K6" s="15">
        <v>1587</v>
      </c>
      <c r="L6" s="15">
        <v>1669</v>
      </c>
      <c r="M6" s="15">
        <v>1629</v>
      </c>
      <c r="N6" s="15">
        <v>1321</v>
      </c>
      <c r="O6" s="15">
        <v>966</v>
      </c>
      <c r="P6" s="15">
        <v>816</v>
      </c>
      <c r="Q6" s="15">
        <v>687</v>
      </c>
      <c r="R6" s="15">
        <v>609</v>
      </c>
      <c r="S6" s="15">
        <v>408</v>
      </c>
      <c r="T6" s="15">
        <v>366</v>
      </c>
      <c r="U6" s="16">
        <f t="shared" si="0"/>
        <v>19290</v>
      </c>
    </row>
    <row r="7" spans="1:21">
      <c r="A7" s="12">
        <v>2004</v>
      </c>
      <c r="B7" s="4"/>
      <c r="C7" s="15">
        <v>956</v>
      </c>
      <c r="D7" s="15">
        <v>1073</v>
      </c>
      <c r="E7" s="15">
        <v>1328</v>
      </c>
      <c r="F7" s="15">
        <v>1280</v>
      </c>
      <c r="G7" s="15">
        <v>965</v>
      </c>
      <c r="H7" s="15">
        <v>1056</v>
      </c>
      <c r="I7" s="15">
        <v>1194</v>
      </c>
      <c r="J7" s="15">
        <v>1262</v>
      </c>
      <c r="K7" s="15">
        <v>1597</v>
      </c>
      <c r="L7" s="15">
        <v>1662</v>
      </c>
      <c r="M7" s="15">
        <v>1654</v>
      </c>
      <c r="N7" s="15">
        <v>1408</v>
      </c>
      <c r="O7" s="15">
        <v>1044</v>
      </c>
      <c r="P7" s="15">
        <v>890</v>
      </c>
      <c r="Q7" s="15">
        <v>670</v>
      </c>
      <c r="R7" s="15">
        <v>607</v>
      </c>
      <c r="S7" s="15">
        <v>407</v>
      </c>
      <c r="T7" s="15">
        <v>394</v>
      </c>
      <c r="U7" s="16">
        <f t="shared" si="0"/>
        <v>19447</v>
      </c>
    </row>
    <row r="8" spans="1:21">
      <c r="A8" s="12">
        <v>2005</v>
      </c>
      <c r="B8" s="4"/>
      <c r="C8" s="15">
        <v>965</v>
      </c>
      <c r="D8" s="15">
        <v>1054</v>
      </c>
      <c r="E8" s="15">
        <v>1291</v>
      </c>
      <c r="F8" s="15">
        <v>1288</v>
      </c>
      <c r="G8" s="15">
        <v>993</v>
      </c>
      <c r="H8" s="15">
        <v>1020</v>
      </c>
      <c r="I8" s="15">
        <v>1141</v>
      </c>
      <c r="J8" s="15">
        <v>1233</v>
      </c>
      <c r="K8" s="15">
        <v>1553</v>
      </c>
      <c r="L8" s="15">
        <v>1686</v>
      </c>
      <c r="M8" s="15">
        <v>1670</v>
      </c>
      <c r="N8" s="15">
        <v>1545</v>
      </c>
      <c r="O8" s="15">
        <v>1079</v>
      </c>
      <c r="P8" s="15">
        <v>892</v>
      </c>
      <c r="Q8" s="15">
        <v>708</v>
      </c>
      <c r="R8" s="15">
        <v>579</v>
      </c>
      <c r="S8" s="15">
        <v>433</v>
      </c>
      <c r="T8" s="15">
        <v>401</v>
      </c>
      <c r="U8" s="16">
        <f t="shared" si="0"/>
        <v>19531</v>
      </c>
    </row>
    <row r="9" spans="1:21">
      <c r="A9" s="12">
        <v>2006</v>
      </c>
      <c r="B9" s="4"/>
      <c r="C9" s="15">
        <v>1006</v>
      </c>
      <c r="D9" s="15">
        <v>1054</v>
      </c>
      <c r="E9" s="15">
        <v>1216</v>
      </c>
      <c r="F9" s="15">
        <v>1341</v>
      </c>
      <c r="G9" s="15">
        <v>982</v>
      </c>
      <c r="H9" s="15">
        <v>1040</v>
      </c>
      <c r="I9" s="15">
        <v>1103</v>
      </c>
      <c r="J9" s="15">
        <v>1240</v>
      </c>
      <c r="K9" s="15">
        <v>1454</v>
      </c>
      <c r="L9" s="15">
        <v>1677</v>
      </c>
      <c r="M9" s="15">
        <v>1697</v>
      </c>
      <c r="N9" s="15">
        <v>1657</v>
      </c>
      <c r="O9" s="15">
        <v>1140</v>
      </c>
      <c r="P9" s="15">
        <v>874</v>
      </c>
      <c r="Q9" s="15">
        <v>746</v>
      </c>
      <c r="R9" s="15">
        <v>612</v>
      </c>
      <c r="S9" s="15">
        <v>472</v>
      </c>
      <c r="T9" s="15">
        <v>436</v>
      </c>
      <c r="U9" s="16">
        <f t="shared" si="0"/>
        <v>19747</v>
      </c>
    </row>
    <row r="10" spans="1:21">
      <c r="A10" s="12">
        <v>2007</v>
      </c>
      <c r="B10" s="4"/>
      <c r="C10" s="15">
        <v>1015</v>
      </c>
      <c r="D10" s="15">
        <v>1019</v>
      </c>
      <c r="E10" s="15">
        <v>1226</v>
      </c>
      <c r="F10" s="15">
        <v>1303</v>
      </c>
      <c r="G10" s="15">
        <v>996</v>
      </c>
      <c r="H10" s="15">
        <v>1000</v>
      </c>
      <c r="I10" s="15">
        <v>1083</v>
      </c>
      <c r="J10" s="15">
        <v>1217</v>
      </c>
      <c r="K10" s="15">
        <v>1387</v>
      </c>
      <c r="L10" s="15">
        <v>1630</v>
      </c>
      <c r="M10" s="15">
        <v>1744</v>
      </c>
      <c r="N10" s="15">
        <v>1668</v>
      </c>
      <c r="O10" s="15">
        <v>1287</v>
      </c>
      <c r="P10" s="15">
        <v>894</v>
      </c>
      <c r="Q10" s="15">
        <v>741</v>
      </c>
      <c r="R10" s="15">
        <v>593</v>
      </c>
      <c r="S10" s="15">
        <v>467</v>
      </c>
      <c r="T10" s="15">
        <v>486</v>
      </c>
      <c r="U10" s="16">
        <f t="shared" si="0"/>
        <v>19756</v>
      </c>
    </row>
    <row r="11" spans="1:21">
      <c r="A11" s="12">
        <v>2008</v>
      </c>
      <c r="B11" s="4"/>
      <c r="C11" s="15">
        <v>1031</v>
      </c>
      <c r="D11" s="15">
        <v>1021</v>
      </c>
      <c r="E11" s="15">
        <v>1132</v>
      </c>
      <c r="F11" s="15">
        <v>1302</v>
      </c>
      <c r="G11" s="15">
        <v>958</v>
      </c>
      <c r="H11" s="15">
        <v>987</v>
      </c>
      <c r="I11" s="15">
        <v>1047</v>
      </c>
      <c r="J11" s="15">
        <v>1212</v>
      </c>
      <c r="K11" s="15">
        <v>1337</v>
      </c>
      <c r="L11" s="15">
        <v>1616</v>
      </c>
      <c r="M11" s="15">
        <v>1750</v>
      </c>
      <c r="N11" s="15">
        <v>1671</v>
      </c>
      <c r="O11" s="15">
        <v>1396</v>
      </c>
      <c r="P11" s="15">
        <v>964</v>
      </c>
      <c r="Q11" s="15">
        <v>739</v>
      </c>
      <c r="R11" s="15">
        <v>612</v>
      </c>
      <c r="S11" s="15">
        <v>461</v>
      </c>
      <c r="T11" s="15">
        <v>511</v>
      </c>
      <c r="U11" s="16">
        <f t="shared" si="0"/>
        <v>19747</v>
      </c>
    </row>
    <row r="12" spans="1:21">
      <c r="A12" s="12">
        <v>2009</v>
      </c>
      <c r="B12" s="4"/>
      <c r="C12" s="15">
        <v>1040</v>
      </c>
      <c r="D12" s="15">
        <v>1030</v>
      </c>
      <c r="E12" s="15">
        <v>1113</v>
      </c>
      <c r="F12" s="15">
        <v>1251</v>
      </c>
      <c r="G12" s="15">
        <v>939</v>
      </c>
      <c r="H12" s="15">
        <v>973</v>
      </c>
      <c r="I12" s="15">
        <v>1092</v>
      </c>
      <c r="J12" s="15">
        <v>1182</v>
      </c>
      <c r="K12" s="15">
        <v>1271</v>
      </c>
      <c r="L12" s="15">
        <v>1601</v>
      </c>
      <c r="M12" s="15">
        <v>1726</v>
      </c>
      <c r="N12" s="15">
        <v>1683</v>
      </c>
      <c r="O12" s="15">
        <v>1487</v>
      </c>
      <c r="P12" s="15">
        <v>1014</v>
      </c>
      <c r="Q12" s="15">
        <v>774</v>
      </c>
      <c r="R12" s="15">
        <v>599</v>
      </c>
      <c r="S12" s="15">
        <v>462</v>
      </c>
      <c r="T12" s="15">
        <v>512</v>
      </c>
      <c r="U12" s="16">
        <f t="shared" si="0"/>
        <v>19749</v>
      </c>
    </row>
    <row r="13" spans="1:21">
      <c r="A13" s="12">
        <v>2010</v>
      </c>
      <c r="B13" s="4"/>
      <c r="C13" s="15">
        <v>1023</v>
      </c>
      <c r="D13" s="15">
        <v>1046</v>
      </c>
      <c r="E13" s="15">
        <v>1105</v>
      </c>
      <c r="F13" s="15">
        <v>1219</v>
      </c>
      <c r="G13" s="15">
        <v>948</v>
      </c>
      <c r="H13" s="15">
        <v>976</v>
      </c>
      <c r="I13" s="15">
        <v>1095</v>
      </c>
      <c r="J13" s="15">
        <v>1137</v>
      </c>
      <c r="K13" s="15">
        <v>1233</v>
      </c>
      <c r="L13" s="15">
        <v>1552</v>
      </c>
      <c r="M13" s="15">
        <v>1741</v>
      </c>
      <c r="N13" s="15">
        <v>1684</v>
      </c>
      <c r="O13" s="15">
        <v>1614</v>
      </c>
      <c r="P13" s="15">
        <v>1071</v>
      </c>
      <c r="Q13" s="15">
        <v>759</v>
      </c>
      <c r="R13" s="15">
        <v>611</v>
      </c>
      <c r="S13" s="15">
        <v>455</v>
      </c>
      <c r="T13" s="15">
        <v>522</v>
      </c>
      <c r="U13" s="16">
        <f t="shared" si="0"/>
        <v>19791</v>
      </c>
    </row>
    <row r="14" spans="1:21">
      <c r="A14" s="23">
        <v>2015</v>
      </c>
      <c r="B14" s="4"/>
      <c r="C14" s="15">
        <v>960.99088356981429</v>
      </c>
      <c r="D14" s="15">
        <v>1038.2612731220793</v>
      </c>
      <c r="E14" s="15">
        <v>1028.7000274684581</v>
      </c>
      <c r="F14" s="15">
        <v>1084.5512969179026</v>
      </c>
      <c r="G14" s="15">
        <v>1188.188093493643</v>
      </c>
      <c r="H14" s="15">
        <v>899.13925420350029</v>
      </c>
      <c r="I14" s="15">
        <v>1038.0471507803086</v>
      </c>
      <c r="J14" s="15">
        <v>1073.7652460139143</v>
      </c>
      <c r="K14" s="15">
        <v>1117.714513087971</v>
      </c>
      <c r="L14" s="15">
        <v>1225.8428270756469</v>
      </c>
      <c r="M14" s="15">
        <v>1552.0916343588751</v>
      </c>
      <c r="N14" s="15">
        <v>1778.9706109192555</v>
      </c>
      <c r="O14" s="15">
        <v>1650.1821063900943</v>
      </c>
      <c r="P14" s="15">
        <v>1584.110832521988</v>
      </c>
      <c r="Q14" s="15">
        <v>985.22211980378438</v>
      </c>
      <c r="R14" s="15">
        <v>655.63189239107749</v>
      </c>
      <c r="S14" s="15">
        <v>479.1174302462835</v>
      </c>
      <c r="T14" s="15">
        <v>554.27363238399244</v>
      </c>
      <c r="U14" s="16">
        <f t="shared" si="0"/>
        <v>19894.800824748585</v>
      </c>
    </row>
    <row r="15" spans="1:21">
      <c r="A15" s="23">
        <v>2020</v>
      </c>
      <c r="B15" s="4"/>
      <c r="C15" s="15">
        <v>968.02201988485604</v>
      </c>
      <c r="D15" s="15">
        <v>984.61656446797269</v>
      </c>
      <c r="E15" s="15">
        <v>1023.5374864965219</v>
      </c>
      <c r="F15" s="15">
        <v>1014.9223428698092</v>
      </c>
      <c r="G15" s="15">
        <v>1072.2200710515008</v>
      </c>
      <c r="H15" s="15">
        <v>1087.7469866279014</v>
      </c>
      <c r="I15" s="15">
        <v>978.75754974845484</v>
      </c>
      <c r="J15" s="15">
        <v>1031.3128198075838</v>
      </c>
      <c r="K15" s="15">
        <v>1060.8315133462859</v>
      </c>
      <c r="L15" s="15">
        <v>1120.0374301065067</v>
      </c>
      <c r="M15" s="15">
        <v>1233.0957303759649</v>
      </c>
      <c r="N15" s="15">
        <v>1589.3014485888134</v>
      </c>
      <c r="O15" s="15">
        <v>1741.8787169774132</v>
      </c>
      <c r="P15" s="15">
        <v>1625.5118855768949</v>
      </c>
      <c r="Q15" s="15">
        <v>1445.6937003731655</v>
      </c>
      <c r="R15" s="15">
        <v>850.9671566588014</v>
      </c>
      <c r="S15" s="15">
        <v>516.72271197160535</v>
      </c>
      <c r="T15" s="15">
        <v>586.02289663299371</v>
      </c>
      <c r="U15" s="16">
        <f t="shared" si="0"/>
        <v>19931.199031563039</v>
      </c>
    </row>
    <row r="16" spans="1:21">
      <c r="A16" s="23">
        <v>2025</v>
      </c>
      <c r="B16" s="4"/>
      <c r="C16" s="15">
        <v>963.65930549144002</v>
      </c>
      <c r="D16" s="15">
        <v>993.90299424354305</v>
      </c>
      <c r="E16" s="15">
        <v>974.76300491391339</v>
      </c>
      <c r="F16" s="15">
        <v>1012.4995173189139</v>
      </c>
      <c r="G16" s="15">
        <v>1013.3053409693313</v>
      </c>
      <c r="H16" s="15">
        <v>1004.1981200191129</v>
      </c>
      <c r="I16" s="15">
        <v>1133.07225228947</v>
      </c>
      <c r="J16" s="15">
        <v>984.12425853173181</v>
      </c>
      <c r="K16" s="15">
        <v>1022.5495791046158</v>
      </c>
      <c r="L16" s="15">
        <v>1073.0157654504631</v>
      </c>
      <c r="M16" s="15">
        <v>1131.0323801528723</v>
      </c>
      <c r="N16" s="15">
        <v>1279.0459949931751</v>
      </c>
      <c r="O16" s="15">
        <v>1557.2925370192427</v>
      </c>
      <c r="P16" s="15">
        <v>1712.8453013724893</v>
      </c>
      <c r="Q16" s="15">
        <v>1486.7482672456983</v>
      </c>
      <c r="R16" s="15">
        <v>1245.1521844946947</v>
      </c>
      <c r="S16" s="15">
        <v>670.63388692651154</v>
      </c>
      <c r="T16" s="15">
        <v>628.06808973367356</v>
      </c>
      <c r="U16" s="16">
        <f t="shared" si="0"/>
        <v>19885.908780270896</v>
      </c>
    </row>
    <row r="17" spans="1:21">
      <c r="A17" s="23">
        <v>2030</v>
      </c>
      <c r="B17" s="4"/>
      <c r="C17" s="15">
        <v>952.79364861544798</v>
      </c>
      <c r="D17" s="15">
        <v>992.87976153334603</v>
      </c>
      <c r="E17" s="15">
        <v>984.91692929256624</v>
      </c>
      <c r="F17" s="15">
        <v>968.66933235667807</v>
      </c>
      <c r="G17" s="15">
        <v>1015.9479847189479</v>
      </c>
      <c r="H17" s="15">
        <v>963.78246435592871</v>
      </c>
      <c r="I17" s="15">
        <v>1076.5116523554505</v>
      </c>
      <c r="J17" s="15">
        <v>1114.0202892511106</v>
      </c>
      <c r="K17" s="15">
        <v>978.94925415056639</v>
      </c>
      <c r="L17" s="15">
        <v>1041.2269817562599</v>
      </c>
      <c r="M17" s="15">
        <v>1088.4105040179513</v>
      </c>
      <c r="N17" s="15">
        <v>1183.1294806372903</v>
      </c>
      <c r="O17" s="15">
        <v>1258.374406599984</v>
      </c>
      <c r="P17" s="15">
        <v>1534.2762116410318</v>
      </c>
      <c r="Q17" s="15">
        <v>1565.1472832937964</v>
      </c>
      <c r="R17" s="15">
        <v>1281.5869002370944</v>
      </c>
      <c r="S17" s="15">
        <v>971.93060173129197</v>
      </c>
      <c r="T17" s="15">
        <v>747.79259523656128</v>
      </c>
      <c r="U17" s="16">
        <f t="shared" si="0"/>
        <v>19720.346281781302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1087</v>
      </c>
      <c r="D20" s="15">
        <v>1261</v>
      </c>
      <c r="E20" s="15">
        <v>1435</v>
      </c>
      <c r="F20" s="15">
        <v>1264</v>
      </c>
      <c r="G20" s="15">
        <v>936</v>
      </c>
      <c r="H20" s="15">
        <v>928</v>
      </c>
      <c r="I20" s="15">
        <v>1133</v>
      </c>
      <c r="J20" s="15">
        <v>1272</v>
      </c>
      <c r="K20" s="15">
        <v>1442</v>
      </c>
      <c r="L20" s="15">
        <v>1549</v>
      </c>
      <c r="M20" s="15">
        <v>1627</v>
      </c>
      <c r="N20" s="15">
        <v>1133</v>
      </c>
      <c r="O20" s="15">
        <v>850</v>
      </c>
      <c r="P20" s="15">
        <v>760</v>
      </c>
      <c r="Q20" s="15">
        <v>582</v>
      </c>
      <c r="R20" s="15">
        <v>437</v>
      </c>
      <c r="S20" s="15">
        <v>251</v>
      </c>
      <c r="T20" s="15">
        <v>196</v>
      </c>
      <c r="U20" s="16">
        <f>SUM(C20:T20)</f>
        <v>18143</v>
      </c>
    </row>
    <row r="21" spans="1:21">
      <c r="A21" s="12">
        <v>2002</v>
      </c>
      <c r="B21" s="4"/>
      <c r="C21" s="15">
        <v>1115</v>
      </c>
      <c r="D21" s="15">
        <v>1208</v>
      </c>
      <c r="E21" s="15">
        <v>1404</v>
      </c>
      <c r="F21" s="15">
        <v>1287</v>
      </c>
      <c r="G21" s="15">
        <v>988</v>
      </c>
      <c r="H21" s="15">
        <v>945</v>
      </c>
      <c r="I21" s="15">
        <v>1147</v>
      </c>
      <c r="J21" s="15">
        <v>1282</v>
      </c>
      <c r="K21" s="15">
        <v>1434</v>
      </c>
      <c r="L21" s="15">
        <v>1597</v>
      </c>
      <c r="M21" s="15">
        <v>1582</v>
      </c>
      <c r="N21" s="15">
        <v>1263</v>
      </c>
      <c r="O21" s="15">
        <v>880</v>
      </c>
      <c r="P21" s="15">
        <v>805</v>
      </c>
      <c r="Q21" s="15">
        <v>588</v>
      </c>
      <c r="R21" s="15">
        <v>434</v>
      </c>
      <c r="S21" s="15">
        <v>304</v>
      </c>
      <c r="T21" s="15">
        <v>177</v>
      </c>
      <c r="U21" s="16">
        <f t="shared" ref="U21:U33" si="1">SUM(C21:T21)</f>
        <v>18440</v>
      </c>
    </row>
    <row r="22" spans="1:21">
      <c r="A22" s="12">
        <v>2003</v>
      </c>
      <c r="B22" s="4"/>
      <c r="C22" s="15">
        <v>1119</v>
      </c>
      <c r="D22" s="15">
        <v>1215</v>
      </c>
      <c r="E22" s="15">
        <v>1396</v>
      </c>
      <c r="F22" s="15">
        <v>1322</v>
      </c>
      <c r="G22" s="15">
        <v>1037</v>
      </c>
      <c r="H22" s="15">
        <v>947</v>
      </c>
      <c r="I22" s="15">
        <v>1114</v>
      </c>
      <c r="J22" s="15">
        <v>1250</v>
      </c>
      <c r="K22" s="15">
        <v>1441</v>
      </c>
      <c r="L22" s="15">
        <v>1557</v>
      </c>
      <c r="M22" s="15">
        <v>1583</v>
      </c>
      <c r="N22" s="15">
        <v>1377</v>
      </c>
      <c r="O22" s="15">
        <v>933</v>
      </c>
      <c r="P22" s="15">
        <v>838</v>
      </c>
      <c r="Q22" s="15">
        <v>580</v>
      </c>
      <c r="R22" s="15">
        <v>474</v>
      </c>
      <c r="S22" s="15">
        <v>292</v>
      </c>
      <c r="T22" s="15">
        <v>187</v>
      </c>
      <c r="U22" s="16">
        <f t="shared" si="1"/>
        <v>18662</v>
      </c>
    </row>
    <row r="23" spans="1:21">
      <c r="A23" s="12">
        <v>2004</v>
      </c>
      <c r="B23" s="4"/>
      <c r="C23" s="15">
        <v>1078</v>
      </c>
      <c r="D23" s="15">
        <v>1174</v>
      </c>
      <c r="E23" s="15">
        <v>1369</v>
      </c>
      <c r="F23" s="15">
        <v>1353</v>
      </c>
      <c r="G23" s="15">
        <v>1047</v>
      </c>
      <c r="H23" s="15">
        <v>959</v>
      </c>
      <c r="I23" s="15">
        <v>1119</v>
      </c>
      <c r="J23" s="15">
        <v>1216</v>
      </c>
      <c r="K23" s="15">
        <v>1454</v>
      </c>
      <c r="L23" s="15">
        <v>1513</v>
      </c>
      <c r="M23" s="15">
        <v>1619</v>
      </c>
      <c r="N23" s="15">
        <v>1462</v>
      </c>
      <c r="O23" s="15">
        <v>1008</v>
      </c>
      <c r="P23" s="15">
        <v>800</v>
      </c>
      <c r="Q23" s="15">
        <v>625</v>
      </c>
      <c r="R23" s="15">
        <v>480</v>
      </c>
      <c r="S23" s="15">
        <v>299</v>
      </c>
      <c r="T23" s="15">
        <v>187</v>
      </c>
      <c r="U23" s="16">
        <f t="shared" si="1"/>
        <v>18762</v>
      </c>
    </row>
    <row r="24" spans="1:21">
      <c r="A24" s="12">
        <v>2005</v>
      </c>
      <c r="B24" s="4"/>
      <c r="C24" s="15">
        <v>1055</v>
      </c>
      <c r="D24" s="15">
        <v>1231</v>
      </c>
      <c r="E24" s="15">
        <v>1338</v>
      </c>
      <c r="F24" s="15">
        <v>1377</v>
      </c>
      <c r="G24" s="15">
        <v>1044</v>
      </c>
      <c r="H24" s="15">
        <v>983</v>
      </c>
      <c r="I24" s="15">
        <v>1057</v>
      </c>
      <c r="J24" s="15">
        <v>1210</v>
      </c>
      <c r="K24" s="15">
        <v>1383</v>
      </c>
      <c r="L24" s="15">
        <v>1501</v>
      </c>
      <c r="M24" s="15">
        <v>1608</v>
      </c>
      <c r="N24" s="15">
        <v>1539</v>
      </c>
      <c r="O24" s="15">
        <v>1108</v>
      </c>
      <c r="P24" s="15">
        <v>844</v>
      </c>
      <c r="Q24" s="15">
        <v>635</v>
      </c>
      <c r="R24" s="15">
        <v>453</v>
      </c>
      <c r="S24" s="15">
        <v>324</v>
      </c>
      <c r="T24" s="15">
        <v>189</v>
      </c>
      <c r="U24" s="16">
        <f t="shared" si="1"/>
        <v>18879</v>
      </c>
    </row>
    <row r="25" spans="1:21">
      <c r="A25" s="12">
        <v>2006</v>
      </c>
      <c r="B25" s="4"/>
      <c r="C25" s="15">
        <v>1061</v>
      </c>
      <c r="D25" s="15">
        <v>1181</v>
      </c>
      <c r="E25" s="15">
        <v>1339</v>
      </c>
      <c r="F25" s="15">
        <v>1374</v>
      </c>
      <c r="G25" s="15">
        <v>1044</v>
      </c>
      <c r="H25" s="15">
        <v>974</v>
      </c>
      <c r="I25" s="15">
        <v>1040</v>
      </c>
      <c r="J25" s="15">
        <v>1240</v>
      </c>
      <c r="K25" s="15">
        <v>1353</v>
      </c>
      <c r="L25" s="15">
        <v>1489</v>
      </c>
      <c r="M25" s="15">
        <v>1578</v>
      </c>
      <c r="N25" s="15">
        <v>1648</v>
      </c>
      <c r="O25" s="15">
        <v>1182</v>
      </c>
      <c r="P25" s="15">
        <v>847</v>
      </c>
      <c r="Q25" s="15">
        <v>675</v>
      </c>
      <c r="R25" s="15">
        <v>459</v>
      </c>
      <c r="S25" s="15">
        <v>327</v>
      </c>
      <c r="T25" s="15">
        <v>205</v>
      </c>
      <c r="U25" s="16">
        <f t="shared" si="1"/>
        <v>19016</v>
      </c>
    </row>
    <row r="26" spans="1:21">
      <c r="A26" s="12">
        <v>2007</v>
      </c>
      <c r="B26" s="4"/>
      <c r="C26" s="15">
        <v>1049</v>
      </c>
      <c r="D26" s="15">
        <v>1172</v>
      </c>
      <c r="E26" s="15">
        <v>1299</v>
      </c>
      <c r="F26" s="15">
        <v>1342</v>
      </c>
      <c r="G26" s="15">
        <v>1034</v>
      </c>
      <c r="H26" s="15">
        <v>961</v>
      </c>
      <c r="I26" s="15">
        <v>1038</v>
      </c>
      <c r="J26" s="15">
        <v>1206</v>
      </c>
      <c r="K26" s="15">
        <v>1332</v>
      </c>
      <c r="L26" s="15">
        <v>1438</v>
      </c>
      <c r="M26" s="15">
        <v>1627</v>
      </c>
      <c r="N26" s="15">
        <v>1622</v>
      </c>
      <c r="O26" s="15">
        <v>1297</v>
      </c>
      <c r="P26" s="15">
        <v>880</v>
      </c>
      <c r="Q26" s="15">
        <v>691</v>
      </c>
      <c r="R26" s="15">
        <v>477</v>
      </c>
      <c r="S26" s="15">
        <v>315</v>
      </c>
      <c r="T26" s="15">
        <v>215</v>
      </c>
      <c r="U26" s="16">
        <f t="shared" si="1"/>
        <v>18995</v>
      </c>
    </row>
    <row r="27" spans="1:21">
      <c r="A27" s="12">
        <v>2008</v>
      </c>
      <c r="B27" s="4"/>
      <c r="C27" s="15">
        <v>1033</v>
      </c>
      <c r="D27" s="15">
        <v>1170</v>
      </c>
      <c r="E27" s="15">
        <v>1233</v>
      </c>
      <c r="F27" s="15">
        <v>1304</v>
      </c>
      <c r="G27" s="15">
        <v>1043</v>
      </c>
      <c r="H27" s="15">
        <v>951</v>
      </c>
      <c r="I27" s="15">
        <v>989</v>
      </c>
      <c r="J27" s="15">
        <v>1182</v>
      </c>
      <c r="K27" s="15">
        <v>1296</v>
      </c>
      <c r="L27" s="15">
        <v>1447</v>
      </c>
      <c r="M27" s="15">
        <v>1617</v>
      </c>
      <c r="N27" s="15">
        <v>1590</v>
      </c>
      <c r="O27" s="15">
        <v>1381</v>
      </c>
      <c r="P27" s="15">
        <v>916</v>
      </c>
      <c r="Q27" s="15">
        <v>737</v>
      </c>
      <c r="R27" s="15">
        <v>476</v>
      </c>
      <c r="S27" s="15">
        <v>347</v>
      </c>
      <c r="T27" s="15">
        <v>221</v>
      </c>
      <c r="U27" s="16">
        <f t="shared" si="1"/>
        <v>18933</v>
      </c>
    </row>
    <row r="28" spans="1:21">
      <c r="A28" s="12">
        <v>2009</v>
      </c>
      <c r="B28" s="4"/>
      <c r="C28" s="15">
        <v>1061</v>
      </c>
      <c r="D28" s="15">
        <v>1145</v>
      </c>
      <c r="E28" s="15">
        <v>1225</v>
      </c>
      <c r="F28" s="15">
        <v>1304</v>
      </c>
      <c r="G28" s="15">
        <v>1017</v>
      </c>
      <c r="H28" s="15">
        <v>948</v>
      </c>
      <c r="I28" s="15">
        <v>992</v>
      </c>
      <c r="J28" s="15">
        <v>1175</v>
      </c>
      <c r="K28" s="15">
        <v>1282</v>
      </c>
      <c r="L28" s="15">
        <v>1420</v>
      </c>
      <c r="M28" s="15">
        <v>1543</v>
      </c>
      <c r="N28" s="15">
        <v>1627</v>
      </c>
      <c r="O28" s="15">
        <v>1427</v>
      </c>
      <c r="P28" s="15">
        <v>1014</v>
      </c>
      <c r="Q28" s="15">
        <v>697</v>
      </c>
      <c r="R28" s="15">
        <v>505</v>
      </c>
      <c r="S28" s="15">
        <v>348</v>
      </c>
      <c r="T28" s="15">
        <v>227</v>
      </c>
      <c r="U28" s="16">
        <f t="shared" si="1"/>
        <v>18957</v>
      </c>
    </row>
    <row r="29" spans="1:21">
      <c r="A29" s="12">
        <v>2010</v>
      </c>
      <c r="B29" s="4"/>
      <c r="C29" s="15">
        <v>1041</v>
      </c>
      <c r="D29" s="15">
        <v>1132</v>
      </c>
      <c r="E29" s="15">
        <v>1235</v>
      </c>
      <c r="F29" s="15">
        <v>1264</v>
      </c>
      <c r="G29" s="15">
        <v>1024</v>
      </c>
      <c r="H29" s="15">
        <v>924</v>
      </c>
      <c r="I29" s="15">
        <v>1055</v>
      </c>
      <c r="J29" s="15">
        <v>1121</v>
      </c>
      <c r="K29" s="15">
        <v>1252</v>
      </c>
      <c r="L29" s="15">
        <v>1379</v>
      </c>
      <c r="M29" s="15">
        <v>1539</v>
      </c>
      <c r="N29" s="15">
        <v>1633</v>
      </c>
      <c r="O29" s="15">
        <v>1517</v>
      </c>
      <c r="P29" s="15">
        <v>1072</v>
      </c>
      <c r="Q29" s="15">
        <v>711</v>
      </c>
      <c r="R29" s="15">
        <v>514</v>
      </c>
      <c r="S29" s="15">
        <v>343</v>
      </c>
      <c r="T29" s="15">
        <v>254</v>
      </c>
      <c r="U29" s="16">
        <f t="shared" si="1"/>
        <v>19010</v>
      </c>
    </row>
    <row r="30" spans="1:21">
      <c r="A30" s="23">
        <v>2015</v>
      </c>
      <c r="B30" s="4"/>
      <c r="C30" s="15">
        <v>1043.4474497364738</v>
      </c>
      <c r="D30" s="15">
        <v>1034.2568034666215</v>
      </c>
      <c r="E30" s="15">
        <v>1103.141092330291</v>
      </c>
      <c r="F30" s="15">
        <v>1202.2183358685456</v>
      </c>
      <c r="G30" s="15">
        <v>1206.578875156031</v>
      </c>
      <c r="H30" s="15">
        <v>935.86000576173865</v>
      </c>
      <c r="I30" s="15">
        <v>943.89767267348475</v>
      </c>
      <c r="J30" s="15">
        <v>1001.1779369154657</v>
      </c>
      <c r="K30" s="15">
        <v>1088.6295191676202</v>
      </c>
      <c r="L30" s="15">
        <v>1218.9380912684674</v>
      </c>
      <c r="M30" s="15">
        <v>1352.3820708227784</v>
      </c>
      <c r="N30" s="15">
        <v>1548.4026423427642</v>
      </c>
      <c r="O30" s="15">
        <v>1579.4447644731081</v>
      </c>
      <c r="P30" s="15">
        <v>1444.3439884405368</v>
      </c>
      <c r="Q30" s="15">
        <v>937.51878469067606</v>
      </c>
      <c r="R30" s="15">
        <v>576.62347555454414</v>
      </c>
      <c r="S30" s="15">
        <v>377.06800246680035</v>
      </c>
      <c r="T30" s="15">
        <v>274.39176050596171</v>
      </c>
      <c r="U30" s="16">
        <f t="shared" si="1"/>
        <v>18868.321271641911</v>
      </c>
    </row>
    <row r="31" spans="1:21">
      <c r="A31" s="23">
        <v>2020</v>
      </c>
      <c r="B31" s="4"/>
      <c r="C31" s="15">
        <v>1051.0818835090672</v>
      </c>
      <c r="D31" s="15">
        <v>1039.3782108960036</v>
      </c>
      <c r="E31" s="15">
        <v>1012.9657936715644</v>
      </c>
      <c r="F31" s="15">
        <v>1079.8141014736805</v>
      </c>
      <c r="G31" s="15">
        <v>1155.6318366598996</v>
      </c>
      <c r="H31" s="15">
        <v>1077.9112894092102</v>
      </c>
      <c r="I31" s="15">
        <v>958.06456366390103</v>
      </c>
      <c r="J31" s="15">
        <v>913.16006975138941</v>
      </c>
      <c r="K31" s="15">
        <v>978.67851142538041</v>
      </c>
      <c r="L31" s="15">
        <v>1070.1047299187703</v>
      </c>
      <c r="M31" s="15">
        <v>1198.5341408128274</v>
      </c>
      <c r="N31" s="15">
        <v>1365.5697113878646</v>
      </c>
      <c r="O31" s="15">
        <v>1499.4288063914976</v>
      </c>
      <c r="P31" s="15">
        <v>1508.0652134179793</v>
      </c>
      <c r="Q31" s="15">
        <v>1257.0139311351836</v>
      </c>
      <c r="R31" s="15">
        <v>760.2256453157778</v>
      </c>
      <c r="S31" s="15">
        <v>424.75691765497754</v>
      </c>
      <c r="T31" s="15">
        <v>300.003589614357</v>
      </c>
      <c r="U31" s="16">
        <f t="shared" si="1"/>
        <v>18650.388946109331</v>
      </c>
    </row>
    <row r="32" spans="1:21">
      <c r="A32" s="23">
        <v>2025</v>
      </c>
      <c r="B32" s="4"/>
      <c r="C32" s="15">
        <v>1046.3448321118383</v>
      </c>
      <c r="D32" s="15">
        <v>1048.7414764824337</v>
      </c>
      <c r="E32" s="15">
        <v>1019.209687968365</v>
      </c>
      <c r="F32" s="15">
        <v>996.98803752130368</v>
      </c>
      <c r="G32" s="15">
        <v>1049.1869577352199</v>
      </c>
      <c r="H32" s="15">
        <v>1044.5605681506761</v>
      </c>
      <c r="I32" s="15">
        <v>1069.6321396121643</v>
      </c>
      <c r="J32" s="15">
        <v>928.04216264238948</v>
      </c>
      <c r="K32" s="15">
        <v>897.46015135194625</v>
      </c>
      <c r="L32" s="15">
        <v>974.09862392274852</v>
      </c>
      <c r="M32" s="15">
        <v>1057.305503848097</v>
      </c>
      <c r="N32" s="15">
        <v>1217.4356323654802</v>
      </c>
      <c r="O32" s="15">
        <v>1323.9857758325381</v>
      </c>
      <c r="P32" s="15">
        <v>1436.1197930242606</v>
      </c>
      <c r="Q32" s="15">
        <v>1314.930435658983</v>
      </c>
      <c r="R32" s="15">
        <v>1017.4252444325847</v>
      </c>
      <c r="S32" s="15">
        <v>559.93738144415681</v>
      </c>
      <c r="T32" s="15">
        <v>336.32303465420165</v>
      </c>
      <c r="U32" s="16">
        <f t="shared" si="1"/>
        <v>18337.727438759379</v>
      </c>
    </row>
    <row r="33" spans="1:21">
      <c r="A33" s="23">
        <v>2030</v>
      </c>
      <c r="B33" s="4"/>
      <c r="C33" s="15">
        <v>1034.5468617556066</v>
      </c>
      <c r="D33" s="15">
        <v>1046.9438988926363</v>
      </c>
      <c r="E33" s="15">
        <v>1029.211291354989</v>
      </c>
      <c r="F33" s="15">
        <v>1004.4968068707544</v>
      </c>
      <c r="G33" s="15">
        <v>978.87156565875318</v>
      </c>
      <c r="H33" s="15">
        <v>965.34209611962092</v>
      </c>
      <c r="I33" s="15">
        <v>1053.4578614333325</v>
      </c>
      <c r="J33" s="15">
        <v>1018.6616096804706</v>
      </c>
      <c r="K33" s="15">
        <v>912.4547923350068</v>
      </c>
      <c r="L33" s="15">
        <v>902.32152661708312</v>
      </c>
      <c r="M33" s="15">
        <v>968.39297644965643</v>
      </c>
      <c r="N33" s="15">
        <v>1085.646358837216</v>
      </c>
      <c r="O33" s="15">
        <v>1182.6507867811238</v>
      </c>
      <c r="P33" s="15">
        <v>1272.1184016389063</v>
      </c>
      <c r="Q33" s="15">
        <v>1254.7728649189764</v>
      </c>
      <c r="R33" s="15">
        <v>1065.1497354506173</v>
      </c>
      <c r="S33" s="15">
        <v>744.375570237234</v>
      </c>
      <c r="T33" s="15">
        <v>421.99635026915564</v>
      </c>
      <c r="U33" s="16">
        <f t="shared" si="1"/>
        <v>17941.411355301138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2070</v>
      </c>
      <c r="D36" s="15">
        <f t="shared" ref="D36:T36" si="2">D20+D4</f>
        <v>2412</v>
      </c>
      <c r="E36" s="15">
        <f t="shared" si="2"/>
        <v>2796</v>
      </c>
      <c r="F36" s="15">
        <f t="shared" si="2"/>
        <v>2533</v>
      </c>
      <c r="G36" s="15">
        <f t="shared" si="2"/>
        <v>1837</v>
      </c>
      <c r="H36" s="15">
        <f t="shared" si="2"/>
        <v>1969</v>
      </c>
      <c r="I36" s="15">
        <f t="shared" si="2"/>
        <v>2325</v>
      </c>
      <c r="J36" s="15">
        <f t="shared" si="2"/>
        <v>2681</v>
      </c>
      <c r="K36" s="15">
        <f t="shared" si="2"/>
        <v>3049</v>
      </c>
      <c r="L36" s="15">
        <f t="shared" si="2"/>
        <v>3145</v>
      </c>
      <c r="M36" s="15">
        <f t="shared" si="2"/>
        <v>3253</v>
      </c>
      <c r="N36" s="15">
        <f t="shared" si="2"/>
        <v>2193</v>
      </c>
      <c r="O36" s="15">
        <f t="shared" si="2"/>
        <v>1709</v>
      </c>
      <c r="P36" s="15">
        <f t="shared" si="2"/>
        <v>1550</v>
      </c>
      <c r="Q36" s="15">
        <f t="shared" si="2"/>
        <v>1292</v>
      </c>
      <c r="R36" s="15">
        <f t="shared" si="2"/>
        <v>1039</v>
      </c>
      <c r="S36" s="15">
        <f t="shared" si="2"/>
        <v>625</v>
      </c>
      <c r="T36" s="15">
        <f t="shared" si="2"/>
        <v>561</v>
      </c>
      <c r="U36" s="16">
        <f>SUM(C36:T36)</f>
        <v>37039</v>
      </c>
    </row>
    <row r="37" spans="1:21">
      <c r="A37" s="12">
        <v>2002</v>
      </c>
      <c r="B37" s="4"/>
      <c r="C37" s="15">
        <f t="shared" ref="C37:T49" si="3">C21+C5</f>
        <v>2061</v>
      </c>
      <c r="D37" s="15">
        <f t="shared" si="3"/>
        <v>2394</v>
      </c>
      <c r="E37" s="15">
        <f t="shared" si="3"/>
        <v>2755</v>
      </c>
      <c r="F37" s="15">
        <f t="shared" si="3"/>
        <v>2590</v>
      </c>
      <c r="G37" s="15">
        <f t="shared" si="3"/>
        <v>1908</v>
      </c>
      <c r="H37" s="15">
        <f t="shared" si="3"/>
        <v>1969</v>
      </c>
      <c r="I37" s="15">
        <f t="shared" si="3"/>
        <v>2386</v>
      </c>
      <c r="J37" s="15">
        <f t="shared" si="3"/>
        <v>2640</v>
      </c>
      <c r="K37" s="15">
        <f t="shared" si="3"/>
        <v>3040</v>
      </c>
      <c r="L37" s="15">
        <f t="shared" si="3"/>
        <v>3229</v>
      </c>
      <c r="M37" s="15">
        <f t="shared" si="3"/>
        <v>3208</v>
      </c>
      <c r="N37" s="15">
        <f t="shared" si="3"/>
        <v>2459</v>
      </c>
      <c r="O37" s="15">
        <f t="shared" si="3"/>
        <v>1766</v>
      </c>
      <c r="P37" s="15">
        <f t="shared" si="3"/>
        <v>1631</v>
      </c>
      <c r="Q37" s="15">
        <f t="shared" si="3"/>
        <v>1281</v>
      </c>
      <c r="R37" s="15">
        <f t="shared" si="3"/>
        <v>1041</v>
      </c>
      <c r="S37" s="15">
        <f t="shared" si="3"/>
        <v>690</v>
      </c>
      <c r="T37" s="15">
        <f t="shared" si="3"/>
        <v>536</v>
      </c>
      <c r="U37" s="16">
        <f t="shared" ref="U37:U49" si="4">SUM(C37:T37)</f>
        <v>37584</v>
      </c>
    </row>
    <row r="38" spans="1:21">
      <c r="A38" s="12">
        <v>2003</v>
      </c>
      <c r="B38" s="4"/>
      <c r="C38" s="15">
        <f t="shared" si="3"/>
        <v>2080</v>
      </c>
      <c r="D38" s="15">
        <f t="shared" si="3"/>
        <v>2319</v>
      </c>
      <c r="E38" s="15">
        <f t="shared" si="3"/>
        <v>2782</v>
      </c>
      <c r="F38" s="15">
        <f t="shared" si="3"/>
        <v>2586</v>
      </c>
      <c r="G38" s="15">
        <f t="shared" si="3"/>
        <v>1983</v>
      </c>
      <c r="H38" s="15">
        <f t="shared" si="3"/>
        <v>1960</v>
      </c>
      <c r="I38" s="15">
        <f t="shared" si="3"/>
        <v>2345</v>
      </c>
      <c r="J38" s="15">
        <f t="shared" si="3"/>
        <v>2577</v>
      </c>
      <c r="K38" s="15">
        <f t="shared" si="3"/>
        <v>3028</v>
      </c>
      <c r="L38" s="15">
        <f t="shared" si="3"/>
        <v>3226</v>
      </c>
      <c r="M38" s="15">
        <f t="shared" si="3"/>
        <v>3212</v>
      </c>
      <c r="N38" s="15">
        <f t="shared" si="3"/>
        <v>2698</v>
      </c>
      <c r="O38" s="15">
        <f t="shared" si="3"/>
        <v>1899</v>
      </c>
      <c r="P38" s="15">
        <f t="shared" si="3"/>
        <v>1654</v>
      </c>
      <c r="Q38" s="15">
        <f t="shared" si="3"/>
        <v>1267</v>
      </c>
      <c r="R38" s="15">
        <f t="shared" si="3"/>
        <v>1083</v>
      </c>
      <c r="S38" s="15">
        <f t="shared" si="3"/>
        <v>700</v>
      </c>
      <c r="T38" s="15">
        <f t="shared" si="3"/>
        <v>553</v>
      </c>
      <c r="U38" s="16">
        <f t="shared" si="4"/>
        <v>37952</v>
      </c>
    </row>
    <row r="39" spans="1:21">
      <c r="A39" s="12">
        <v>2004</v>
      </c>
      <c r="B39" s="4"/>
      <c r="C39" s="15">
        <f t="shared" si="3"/>
        <v>2034</v>
      </c>
      <c r="D39" s="15">
        <f t="shared" si="3"/>
        <v>2247</v>
      </c>
      <c r="E39" s="15">
        <f t="shared" si="3"/>
        <v>2697</v>
      </c>
      <c r="F39" s="15">
        <f t="shared" si="3"/>
        <v>2633</v>
      </c>
      <c r="G39" s="15">
        <f t="shared" si="3"/>
        <v>2012</v>
      </c>
      <c r="H39" s="15">
        <f t="shared" si="3"/>
        <v>2015</v>
      </c>
      <c r="I39" s="15">
        <f t="shared" si="3"/>
        <v>2313</v>
      </c>
      <c r="J39" s="15">
        <f t="shared" si="3"/>
        <v>2478</v>
      </c>
      <c r="K39" s="15">
        <f t="shared" si="3"/>
        <v>3051</v>
      </c>
      <c r="L39" s="15">
        <f t="shared" si="3"/>
        <v>3175</v>
      </c>
      <c r="M39" s="15">
        <f t="shared" si="3"/>
        <v>3273</v>
      </c>
      <c r="N39" s="15">
        <f t="shared" si="3"/>
        <v>2870</v>
      </c>
      <c r="O39" s="15">
        <f t="shared" si="3"/>
        <v>2052</v>
      </c>
      <c r="P39" s="15">
        <f t="shared" si="3"/>
        <v>1690</v>
      </c>
      <c r="Q39" s="15">
        <f t="shared" si="3"/>
        <v>1295</v>
      </c>
      <c r="R39" s="15">
        <f t="shared" si="3"/>
        <v>1087</v>
      </c>
      <c r="S39" s="15">
        <f t="shared" si="3"/>
        <v>706</v>
      </c>
      <c r="T39" s="15">
        <f t="shared" si="3"/>
        <v>581</v>
      </c>
      <c r="U39" s="16">
        <f t="shared" si="4"/>
        <v>38209</v>
      </c>
    </row>
    <row r="40" spans="1:21">
      <c r="A40" s="12">
        <v>2005</v>
      </c>
      <c r="B40" s="4"/>
      <c r="C40" s="15">
        <f t="shared" si="3"/>
        <v>2020</v>
      </c>
      <c r="D40" s="15">
        <f t="shared" si="3"/>
        <v>2285</v>
      </c>
      <c r="E40" s="15">
        <f t="shared" si="3"/>
        <v>2629</v>
      </c>
      <c r="F40" s="15">
        <f t="shared" si="3"/>
        <v>2665</v>
      </c>
      <c r="G40" s="15">
        <f t="shared" si="3"/>
        <v>2037</v>
      </c>
      <c r="H40" s="15">
        <f t="shared" si="3"/>
        <v>2003</v>
      </c>
      <c r="I40" s="15">
        <f t="shared" si="3"/>
        <v>2198</v>
      </c>
      <c r="J40" s="15">
        <f t="shared" si="3"/>
        <v>2443</v>
      </c>
      <c r="K40" s="15">
        <f t="shared" si="3"/>
        <v>2936</v>
      </c>
      <c r="L40" s="15">
        <f t="shared" si="3"/>
        <v>3187</v>
      </c>
      <c r="M40" s="15">
        <f t="shared" si="3"/>
        <v>3278</v>
      </c>
      <c r="N40" s="15">
        <f t="shared" si="3"/>
        <v>3084</v>
      </c>
      <c r="O40" s="15">
        <f t="shared" si="3"/>
        <v>2187</v>
      </c>
      <c r="P40" s="15">
        <f t="shared" si="3"/>
        <v>1736</v>
      </c>
      <c r="Q40" s="15">
        <f t="shared" si="3"/>
        <v>1343</v>
      </c>
      <c r="R40" s="15">
        <f t="shared" si="3"/>
        <v>1032</v>
      </c>
      <c r="S40" s="15">
        <f t="shared" si="3"/>
        <v>757</v>
      </c>
      <c r="T40" s="15">
        <f t="shared" si="3"/>
        <v>590</v>
      </c>
      <c r="U40" s="16">
        <f t="shared" si="4"/>
        <v>38410</v>
      </c>
    </row>
    <row r="41" spans="1:21">
      <c r="A41" s="12">
        <v>2006</v>
      </c>
      <c r="B41" s="4"/>
      <c r="C41" s="15">
        <f t="shared" si="3"/>
        <v>2067</v>
      </c>
      <c r="D41" s="15">
        <f t="shared" si="3"/>
        <v>2235</v>
      </c>
      <c r="E41" s="15">
        <f t="shared" si="3"/>
        <v>2555</v>
      </c>
      <c r="F41" s="15">
        <f t="shared" si="3"/>
        <v>2715</v>
      </c>
      <c r="G41" s="15">
        <f t="shared" si="3"/>
        <v>2026</v>
      </c>
      <c r="H41" s="15">
        <f t="shared" si="3"/>
        <v>2014</v>
      </c>
      <c r="I41" s="15">
        <f t="shared" si="3"/>
        <v>2143</v>
      </c>
      <c r="J41" s="15">
        <f t="shared" si="3"/>
        <v>2480</v>
      </c>
      <c r="K41" s="15">
        <f t="shared" si="3"/>
        <v>2807</v>
      </c>
      <c r="L41" s="15">
        <f t="shared" si="3"/>
        <v>3166</v>
      </c>
      <c r="M41" s="15">
        <f t="shared" si="3"/>
        <v>3275</v>
      </c>
      <c r="N41" s="15">
        <f t="shared" si="3"/>
        <v>3305</v>
      </c>
      <c r="O41" s="15">
        <f t="shared" si="3"/>
        <v>2322</v>
      </c>
      <c r="P41" s="15">
        <f t="shared" si="3"/>
        <v>1721</v>
      </c>
      <c r="Q41" s="15">
        <f t="shared" si="3"/>
        <v>1421</v>
      </c>
      <c r="R41" s="15">
        <f t="shared" si="3"/>
        <v>1071</v>
      </c>
      <c r="S41" s="15">
        <f t="shared" si="3"/>
        <v>799</v>
      </c>
      <c r="T41" s="15">
        <f t="shared" si="3"/>
        <v>641</v>
      </c>
      <c r="U41" s="16">
        <f t="shared" si="4"/>
        <v>38763</v>
      </c>
    </row>
    <row r="42" spans="1:21">
      <c r="A42" s="12">
        <v>2007</v>
      </c>
      <c r="B42" s="4"/>
      <c r="C42" s="15">
        <f t="shared" si="3"/>
        <v>2064</v>
      </c>
      <c r="D42" s="15">
        <f t="shared" si="3"/>
        <v>2191</v>
      </c>
      <c r="E42" s="15">
        <f t="shared" si="3"/>
        <v>2525</v>
      </c>
      <c r="F42" s="15">
        <f t="shared" si="3"/>
        <v>2645</v>
      </c>
      <c r="G42" s="15">
        <f t="shared" si="3"/>
        <v>2030</v>
      </c>
      <c r="H42" s="15">
        <f t="shared" si="3"/>
        <v>1961</v>
      </c>
      <c r="I42" s="15">
        <f t="shared" si="3"/>
        <v>2121</v>
      </c>
      <c r="J42" s="15">
        <f t="shared" si="3"/>
        <v>2423</v>
      </c>
      <c r="K42" s="15">
        <f t="shared" si="3"/>
        <v>2719</v>
      </c>
      <c r="L42" s="15">
        <f t="shared" si="3"/>
        <v>3068</v>
      </c>
      <c r="M42" s="15">
        <f t="shared" si="3"/>
        <v>3371</v>
      </c>
      <c r="N42" s="15">
        <f t="shared" si="3"/>
        <v>3290</v>
      </c>
      <c r="O42" s="15">
        <f t="shared" si="3"/>
        <v>2584</v>
      </c>
      <c r="P42" s="15">
        <f t="shared" si="3"/>
        <v>1774</v>
      </c>
      <c r="Q42" s="15">
        <f t="shared" si="3"/>
        <v>1432</v>
      </c>
      <c r="R42" s="15">
        <f t="shared" si="3"/>
        <v>1070</v>
      </c>
      <c r="S42" s="15">
        <f t="shared" si="3"/>
        <v>782</v>
      </c>
      <c r="T42" s="15">
        <f t="shared" si="3"/>
        <v>701</v>
      </c>
      <c r="U42" s="16">
        <f t="shared" si="4"/>
        <v>38751</v>
      </c>
    </row>
    <row r="43" spans="1:21">
      <c r="A43" s="12">
        <v>2008</v>
      </c>
      <c r="B43" s="4"/>
      <c r="C43" s="15">
        <f t="shared" si="3"/>
        <v>2064</v>
      </c>
      <c r="D43" s="15">
        <f t="shared" si="3"/>
        <v>2191</v>
      </c>
      <c r="E43" s="15">
        <f t="shared" si="3"/>
        <v>2365</v>
      </c>
      <c r="F43" s="15">
        <f t="shared" si="3"/>
        <v>2606</v>
      </c>
      <c r="G43" s="15">
        <f t="shared" si="3"/>
        <v>2001</v>
      </c>
      <c r="H43" s="15">
        <f t="shared" si="3"/>
        <v>1938</v>
      </c>
      <c r="I43" s="15">
        <f t="shared" si="3"/>
        <v>2036</v>
      </c>
      <c r="J43" s="15">
        <f t="shared" si="3"/>
        <v>2394</v>
      </c>
      <c r="K43" s="15">
        <f t="shared" si="3"/>
        <v>2633</v>
      </c>
      <c r="L43" s="15">
        <f t="shared" si="3"/>
        <v>3063</v>
      </c>
      <c r="M43" s="15">
        <f t="shared" si="3"/>
        <v>3367</v>
      </c>
      <c r="N43" s="15">
        <f t="shared" si="3"/>
        <v>3261</v>
      </c>
      <c r="O43" s="15">
        <f t="shared" si="3"/>
        <v>2777</v>
      </c>
      <c r="P43" s="15">
        <f t="shared" si="3"/>
        <v>1880</v>
      </c>
      <c r="Q43" s="15">
        <f t="shared" si="3"/>
        <v>1476</v>
      </c>
      <c r="R43" s="15">
        <f t="shared" si="3"/>
        <v>1088</v>
      </c>
      <c r="S43" s="15">
        <f t="shared" si="3"/>
        <v>808</v>
      </c>
      <c r="T43" s="15">
        <f t="shared" si="3"/>
        <v>732</v>
      </c>
      <c r="U43" s="16">
        <f t="shared" si="4"/>
        <v>38680</v>
      </c>
    </row>
    <row r="44" spans="1:21">
      <c r="A44" s="12">
        <v>2009</v>
      </c>
      <c r="B44" s="4"/>
      <c r="C44" s="15">
        <f t="shared" si="3"/>
        <v>2101</v>
      </c>
      <c r="D44" s="15">
        <f t="shared" si="3"/>
        <v>2175</v>
      </c>
      <c r="E44" s="15">
        <f t="shared" si="3"/>
        <v>2338</v>
      </c>
      <c r="F44" s="15">
        <f t="shared" si="3"/>
        <v>2555</v>
      </c>
      <c r="G44" s="15">
        <f t="shared" si="3"/>
        <v>1956</v>
      </c>
      <c r="H44" s="15">
        <f t="shared" si="3"/>
        <v>1921</v>
      </c>
      <c r="I44" s="15">
        <f t="shared" si="3"/>
        <v>2084</v>
      </c>
      <c r="J44" s="15">
        <f t="shared" si="3"/>
        <v>2357</v>
      </c>
      <c r="K44" s="15">
        <f t="shared" si="3"/>
        <v>2553</v>
      </c>
      <c r="L44" s="15">
        <f t="shared" si="3"/>
        <v>3021</v>
      </c>
      <c r="M44" s="15">
        <f t="shared" si="3"/>
        <v>3269</v>
      </c>
      <c r="N44" s="15">
        <f t="shared" si="3"/>
        <v>3310</v>
      </c>
      <c r="O44" s="15">
        <f t="shared" si="3"/>
        <v>2914</v>
      </c>
      <c r="P44" s="15">
        <f t="shared" si="3"/>
        <v>2028</v>
      </c>
      <c r="Q44" s="15">
        <f t="shared" si="3"/>
        <v>1471</v>
      </c>
      <c r="R44" s="15">
        <f t="shared" si="3"/>
        <v>1104</v>
      </c>
      <c r="S44" s="15">
        <f t="shared" si="3"/>
        <v>810</v>
      </c>
      <c r="T44" s="15">
        <f t="shared" si="3"/>
        <v>739</v>
      </c>
      <c r="U44" s="16">
        <f t="shared" si="4"/>
        <v>38706</v>
      </c>
    </row>
    <row r="45" spans="1:21">
      <c r="A45" s="12">
        <v>2010</v>
      </c>
      <c r="B45" s="4"/>
      <c r="C45" s="15">
        <f t="shared" si="3"/>
        <v>2064</v>
      </c>
      <c r="D45" s="15">
        <f t="shared" si="3"/>
        <v>2178</v>
      </c>
      <c r="E45" s="15">
        <f t="shared" si="3"/>
        <v>2340</v>
      </c>
      <c r="F45" s="15">
        <f t="shared" si="3"/>
        <v>2483</v>
      </c>
      <c r="G45" s="15">
        <f t="shared" si="3"/>
        <v>1972</v>
      </c>
      <c r="H45" s="15">
        <f t="shared" si="3"/>
        <v>1900</v>
      </c>
      <c r="I45" s="15">
        <f t="shared" si="3"/>
        <v>2150</v>
      </c>
      <c r="J45" s="15">
        <f t="shared" si="3"/>
        <v>2258</v>
      </c>
      <c r="K45" s="15">
        <f t="shared" si="3"/>
        <v>2485</v>
      </c>
      <c r="L45" s="15">
        <f t="shared" si="3"/>
        <v>2931</v>
      </c>
      <c r="M45" s="15">
        <f t="shared" si="3"/>
        <v>3280</v>
      </c>
      <c r="N45" s="15">
        <f t="shared" si="3"/>
        <v>3317</v>
      </c>
      <c r="O45" s="15">
        <f t="shared" si="3"/>
        <v>3131</v>
      </c>
      <c r="P45" s="15">
        <f t="shared" si="3"/>
        <v>2143</v>
      </c>
      <c r="Q45" s="15">
        <f t="shared" si="3"/>
        <v>1470</v>
      </c>
      <c r="R45" s="15">
        <f t="shared" si="3"/>
        <v>1125</v>
      </c>
      <c r="S45" s="15">
        <f t="shared" si="3"/>
        <v>798</v>
      </c>
      <c r="T45" s="15">
        <f t="shared" si="3"/>
        <v>776</v>
      </c>
      <c r="U45" s="16">
        <f t="shared" si="4"/>
        <v>38801</v>
      </c>
    </row>
    <row r="46" spans="1:21">
      <c r="A46" s="23">
        <v>2015</v>
      </c>
      <c r="B46" s="4"/>
      <c r="C46" s="15">
        <f t="shared" si="3"/>
        <v>2004.4383333062881</v>
      </c>
      <c r="D46" s="15">
        <f t="shared" si="3"/>
        <v>2072.5180765887008</v>
      </c>
      <c r="E46" s="15">
        <f t="shared" si="3"/>
        <v>2131.8411197987489</v>
      </c>
      <c r="F46" s="15">
        <f t="shared" si="3"/>
        <v>2286.7696327864483</v>
      </c>
      <c r="G46" s="15">
        <f t="shared" si="3"/>
        <v>2394.7669686496738</v>
      </c>
      <c r="H46" s="15">
        <f t="shared" si="3"/>
        <v>1834.9992599652389</v>
      </c>
      <c r="I46" s="15">
        <f t="shared" si="3"/>
        <v>1981.9448234537933</v>
      </c>
      <c r="J46" s="15">
        <f t="shared" si="3"/>
        <v>2074.9431829293799</v>
      </c>
      <c r="K46" s="15">
        <f t="shared" si="3"/>
        <v>2206.3440322555912</v>
      </c>
      <c r="L46" s="15">
        <f t="shared" si="3"/>
        <v>2444.7809183441141</v>
      </c>
      <c r="M46" s="15">
        <f t="shared" si="3"/>
        <v>2904.4737051816537</v>
      </c>
      <c r="N46" s="15">
        <f t="shared" si="3"/>
        <v>3327.3732532620197</v>
      </c>
      <c r="O46" s="15">
        <f t="shared" si="3"/>
        <v>3229.6268708632024</v>
      </c>
      <c r="P46" s="15">
        <f t="shared" si="3"/>
        <v>3028.4548209625245</v>
      </c>
      <c r="Q46" s="15">
        <f t="shared" si="3"/>
        <v>1922.7409044944604</v>
      </c>
      <c r="R46" s="15">
        <f t="shared" si="3"/>
        <v>1232.2553679456216</v>
      </c>
      <c r="S46" s="15">
        <f t="shared" si="3"/>
        <v>856.18543271308386</v>
      </c>
      <c r="T46" s="15">
        <f t="shared" si="3"/>
        <v>828.66539288995409</v>
      </c>
      <c r="U46" s="16">
        <f t="shared" si="4"/>
        <v>38763.1220963905</v>
      </c>
    </row>
    <row r="47" spans="1:21">
      <c r="A47" s="23">
        <v>2020</v>
      </c>
      <c r="B47" s="4"/>
      <c r="C47" s="15">
        <f t="shared" si="3"/>
        <v>2019.1039033939232</v>
      </c>
      <c r="D47" s="15">
        <f t="shared" si="3"/>
        <v>2023.9947753639763</v>
      </c>
      <c r="E47" s="15">
        <f t="shared" si="3"/>
        <v>2036.5032801680863</v>
      </c>
      <c r="F47" s="15">
        <f t="shared" si="3"/>
        <v>2094.7364443434899</v>
      </c>
      <c r="G47" s="15">
        <f t="shared" si="3"/>
        <v>2227.8519077114006</v>
      </c>
      <c r="H47" s="15">
        <f t="shared" si="3"/>
        <v>2165.6582760371116</v>
      </c>
      <c r="I47" s="15">
        <f t="shared" si="3"/>
        <v>1936.822113412356</v>
      </c>
      <c r="J47" s="15">
        <f t="shared" si="3"/>
        <v>1944.4728895589733</v>
      </c>
      <c r="K47" s="15">
        <f t="shared" si="3"/>
        <v>2039.5100247716664</v>
      </c>
      <c r="L47" s="15">
        <f t="shared" si="3"/>
        <v>2190.142160025277</v>
      </c>
      <c r="M47" s="15">
        <f t="shared" si="3"/>
        <v>2431.6298711887921</v>
      </c>
      <c r="N47" s="15">
        <f t="shared" si="3"/>
        <v>2954.871159976678</v>
      </c>
      <c r="O47" s="15">
        <f t="shared" si="3"/>
        <v>3241.3075233689106</v>
      </c>
      <c r="P47" s="15">
        <f t="shared" si="3"/>
        <v>3133.5770989948742</v>
      </c>
      <c r="Q47" s="15">
        <f t="shared" si="3"/>
        <v>2702.7076315083491</v>
      </c>
      <c r="R47" s="15">
        <f t="shared" si="3"/>
        <v>1611.1928019745792</v>
      </c>
      <c r="S47" s="15">
        <f t="shared" si="3"/>
        <v>941.47962962658289</v>
      </c>
      <c r="T47" s="15">
        <f t="shared" si="3"/>
        <v>886.0264862473507</v>
      </c>
      <c r="U47" s="16">
        <f t="shared" si="4"/>
        <v>38581.587977672381</v>
      </c>
    </row>
    <row r="48" spans="1:21">
      <c r="A48" s="23">
        <v>2025</v>
      </c>
      <c r="B48" s="4"/>
      <c r="C48" s="15">
        <f t="shared" si="3"/>
        <v>2010.0041376032782</v>
      </c>
      <c r="D48" s="15">
        <f t="shared" si="3"/>
        <v>2042.6444707259766</v>
      </c>
      <c r="E48" s="15">
        <f t="shared" si="3"/>
        <v>1993.9726928822784</v>
      </c>
      <c r="F48" s="15">
        <f t="shared" si="3"/>
        <v>2009.4875548402176</v>
      </c>
      <c r="G48" s="15">
        <f t="shared" si="3"/>
        <v>2062.4922987045511</v>
      </c>
      <c r="H48" s="15">
        <f t="shared" si="3"/>
        <v>2048.7586881697889</v>
      </c>
      <c r="I48" s="15">
        <f t="shared" si="3"/>
        <v>2202.7043919016342</v>
      </c>
      <c r="J48" s="15">
        <f t="shared" si="3"/>
        <v>1912.1664211741213</v>
      </c>
      <c r="K48" s="15">
        <f t="shared" si="3"/>
        <v>1920.009730456562</v>
      </c>
      <c r="L48" s="15">
        <f t="shared" si="3"/>
        <v>2047.1143893732115</v>
      </c>
      <c r="M48" s="15">
        <f t="shared" si="3"/>
        <v>2188.3378840009691</v>
      </c>
      <c r="N48" s="15">
        <f t="shared" si="3"/>
        <v>2496.4816273586553</v>
      </c>
      <c r="O48" s="15">
        <f t="shared" si="3"/>
        <v>2881.2783128517808</v>
      </c>
      <c r="P48" s="15">
        <f t="shared" si="3"/>
        <v>3148.9650943967499</v>
      </c>
      <c r="Q48" s="15">
        <f t="shared" si="3"/>
        <v>2801.6787029046814</v>
      </c>
      <c r="R48" s="15">
        <f t="shared" si="3"/>
        <v>2262.5774289272795</v>
      </c>
      <c r="S48" s="15">
        <f t="shared" si="3"/>
        <v>1230.5712683706683</v>
      </c>
      <c r="T48" s="15">
        <f t="shared" si="3"/>
        <v>964.39112438787515</v>
      </c>
      <c r="U48" s="16">
        <f t="shared" si="4"/>
        <v>38223.636219030275</v>
      </c>
    </row>
    <row r="49" spans="1:21" ht="15.75" thickBot="1">
      <c r="A49" s="24">
        <v>2030</v>
      </c>
      <c r="B49" s="20"/>
      <c r="C49" s="21">
        <f t="shared" si="3"/>
        <v>1987.3405103710547</v>
      </c>
      <c r="D49" s="21">
        <f t="shared" si="3"/>
        <v>2039.8236604259823</v>
      </c>
      <c r="E49" s="21">
        <f t="shared" si="3"/>
        <v>2014.1282206475553</v>
      </c>
      <c r="F49" s="21">
        <f t="shared" si="3"/>
        <v>1973.1661392274325</v>
      </c>
      <c r="G49" s="21">
        <f t="shared" si="3"/>
        <v>1994.819550377701</v>
      </c>
      <c r="H49" s="21">
        <f t="shared" si="3"/>
        <v>1929.1245604755495</v>
      </c>
      <c r="I49" s="21">
        <f t="shared" si="3"/>
        <v>2129.9695137887829</v>
      </c>
      <c r="J49" s="21">
        <f t="shared" si="3"/>
        <v>2132.6818989315811</v>
      </c>
      <c r="K49" s="21">
        <f t="shared" si="3"/>
        <v>1891.4040464855732</v>
      </c>
      <c r="L49" s="21">
        <f t="shared" si="3"/>
        <v>1943.5485083733429</v>
      </c>
      <c r="M49" s="21">
        <f t="shared" si="3"/>
        <v>2056.8034804676076</v>
      </c>
      <c r="N49" s="21">
        <f t="shared" si="3"/>
        <v>2268.775839474506</v>
      </c>
      <c r="O49" s="21">
        <f t="shared" si="3"/>
        <v>2441.0251933811078</v>
      </c>
      <c r="P49" s="21">
        <f t="shared" si="3"/>
        <v>2806.3946132799383</v>
      </c>
      <c r="Q49" s="21">
        <f t="shared" si="3"/>
        <v>2819.9201482127728</v>
      </c>
      <c r="R49" s="21">
        <f t="shared" si="3"/>
        <v>2346.7366356877119</v>
      </c>
      <c r="S49" s="21">
        <f t="shared" si="3"/>
        <v>1716.3061719685261</v>
      </c>
      <c r="T49" s="21">
        <f t="shared" si="3"/>
        <v>1169.788945505717</v>
      </c>
      <c r="U49" s="22">
        <f t="shared" si="4"/>
        <v>37661.757637082446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29</v>
      </c>
      <c r="B1" s="8" t="s">
        <v>14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842</v>
      </c>
      <c r="D4" s="15">
        <v>1028</v>
      </c>
      <c r="E4" s="15">
        <v>1125</v>
      </c>
      <c r="F4" s="15">
        <v>1211</v>
      </c>
      <c r="G4" s="15">
        <v>850</v>
      </c>
      <c r="H4" s="15">
        <v>838</v>
      </c>
      <c r="I4" s="15">
        <v>984</v>
      </c>
      <c r="J4" s="15">
        <v>1167</v>
      </c>
      <c r="K4" s="15">
        <v>1345</v>
      </c>
      <c r="L4" s="15">
        <v>1291</v>
      </c>
      <c r="M4" s="15">
        <v>1191</v>
      </c>
      <c r="N4" s="15">
        <v>989</v>
      </c>
      <c r="O4" s="15">
        <v>900</v>
      </c>
      <c r="P4" s="15">
        <v>837</v>
      </c>
      <c r="Q4" s="15">
        <v>817</v>
      </c>
      <c r="R4" s="15">
        <v>670</v>
      </c>
      <c r="S4" s="15">
        <v>534</v>
      </c>
      <c r="T4" s="15">
        <v>498</v>
      </c>
      <c r="U4" s="16">
        <f>SUM(C4:T4)</f>
        <v>17117</v>
      </c>
    </row>
    <row r="5" spans="1:21">
      <c r="A5" s="12">
        <v>2002</v>
      </c>
      <c r="B5" s="4"/>
      <c r="C5" s="15">
        <v>845</v>
      </c>
      <c r="D5" s="15">
        <v>973</v>
      </c>
      <c r="E5" s="15">
        <v>1130</v>
      </c>
      <c r="F5" s="15">
        <v>1146</v>
      </c>
      <c r="G5" s="15">
        <v>855</v>
      </c>
      <c r="H5" s="15">
        <v>822</v>
      </c>
      <c r="I5" s="15">
        <v>957</v>
      </c>
      <c r="J5" s="15">
        <v>1129</v>
      </c>
      <c r="K5" s="15">
        <v>1351</v>
      </c>
      <c r="L5" s="15">
        <v>1300</v>
      </c>
      <c r="M5" s="15">
        <v>1188</v>
      </c>
      <c r="N5" s="15">
        <v>1060</v>
      </c>
      <c r="O5" s="15">
        <v>919</v>
      </c>
      <c r="P5" s="15">
        <v>841</v>
      </c>
      <c r="Q5" s="15">
        <v>807</v>
      </c>
      <c r="R5" s="15">
        <v>663</v>
      </c>
      <c r="S5" s="15">
        <v>530</v>
      </c>
      <c r="T5" s="15">
        <v>510</v>
      </c>
      <c r="U5" s="16">
        <f t="shared" ref="U5:U17" si="0">SUM(C5:T5)</f>
        <v>17026</v>
      </c>
    </row>
    <row r="6" spans="1:21">
      <c r="A6" s="12">
        <v>2003</v>
      </c>
      <c r="B6" s="4"/>
      <c r="C6" s="15">
        <v>877</v>
      </c>
      <c r="D6" s="15">
        <v>910</v>
      </c>
      <c r="E6" s="15">
        <v>1100</v>
      </c>
      <c r="F6" s="15">
        <v>1114</v>
      </c>
      <c r="G6" s="15">
        <v>877</v>
      </c>
      <c r="H6" s="15">
        <v>822</v>
      </c>
      <c r="I6" s="15">
        <v>913</v>
      </c>
      <c r="J6" s="15">
        <v>1088</v>
      </c>
      <c r="K6" s="15">
        <v>1312</v>
      </c>
      <c r="L6" s="15">
        <v>1328</v>
      </c>
      <c r="M6" s="15">
        <v>1268</v>
      </c>
      <c r="N6" s="15">
        <v>1093</v>
      </c>
      <c r="O6" s="15">
        <v>952</v>
      </c>
      <c r="P6" s="15">
        <v>859</v>
      </c>
      <c r="Q6" s="15">
        <v>807</v>
      </c>
      <c r="R6" s="15">
        <v>652</v>
      </c>
      <c r="S6" s="15">
        <v>534</v>
      </c>
      <c r="T6" s="15">
        <v>515</v>
      </c>
      <c r="U6" s="16">
        <f t="shared" si="0"/>
        <v>17021</v>
      </c>
    </row>
    <row r="7" spans="1:21">
      <c r="A7" s="12">
        <v>2004</v>
      </c>
      <c r="B7" s="4"/>
      <c r="C7" s="15">
        <v>890</v>
      </c>
      <c r="D7" s="15">
        <v>880</v>
      </c>
      <c r="E7" s="15">
        <v>1078</v>
      </c>
      <c r="F7" s="15">
        <v>1107</v>
      </c>
      <c r="G7" s="15">
        <v>911</v>
      </c>
      <c r="H7" s="15">
        <v>799</v>
      </c>
      <c r="I7" s="15">
        <v>891</v>
      </c>
      <c r="J7" s="15">
        <v>1039</v>
      </c>
      <c r="K7" s="15">
        <v>1284</v>
      </c>
      <c r="L7" s="15">
        <v>1317</v>
      </c>
      <c r="M7" s="15">
        <v>1301</v>
      </c>
      <c r="N7" s="15">
        <v>1159</v>
      </c>
      <c r="O7" s="15">
        <v>1004</v>
      </c>
      <c r="P7" s="15">
        <v>853</v>
      </c>
      <c r="Q7" s="15">
        <v>796</v>
      </c>
      <c r="R7" s="15">
        <v>678</v>
      </c>
      <c r="S7" s="15">
        <v>542</v>
      </c>
      <c r="T7" s="15">
        <v>511</v>
      </c>
      <c r="U7" s="16">
        <f t="shared" si="0"/>
        <v>17040</v>
      </c>
    </row>
    <row r="8" spans="1:21">
      <c r="A8" s="12">
        <v>2005</v>
      </c>
      <c r="B8" s="4"/>
      <c r="C8" s="15">
        <v>898</v>
      </c>
      <c r="D8" s="15">
        <v>813</v>
      </c>
      <c r="E8" s="15">
        <v>1063</v>
      </c>
      <c r="F8" s="15">
        <v>1078</v>
      </c>
      <c r="G8" s="15">
        <v>879</v>
      </c>
      <c r="H8" s="15">
        <v>811</v>
      </c>
      <c r="I8" s="15">
        <v>849</v>
      </c>
      <c r="J8" s="15">
        <v>1023</v>
      </c>
      <c r="K8" s="15">
        <v>1242</v>
      </c>
      <c r="L8" s="15">
        <v>1340</v>
      </c>
      <c r="M8" s="15">
        <v>1305</v>
      </c>
      <c r="N8" s="15">
        <v>1255</v>
      </c>
      <c r="O8" s="15">
        <v>1008</v>
      </c>
      <c r="P8" s="15">
        <v>875</v>
      </c>
      <c r="Q8" s="15">
        <v>792</v>
      </c>
      <c r="R8" s="15">
        <v>688</v>
      </c>
      <c r="S8" s="15">
        <v>515</v>
      </c>
      <c r="T8" s="15">
        <v>506</v>
      </c>
      <c r="U8" s="16">
        <f t="shared" si="0"/>
        <v>16940</v>
      </c>
    </row>
    <row r="9" spans="1:21">
      <c r="A9" s="12">
        <v>2006</v>
      </c>
      <c r="B9" s="4"/>
      <c r="C9" s="15">
        <v>846</v>
      </c>
      <c r="D9" s="15">
        <v>851</v>
      </c>
      <c r="E9" s="15">
        <v>1055</v>
      </c>
      <c r="F9" s="15">
        <v>1023</v>
      </c>
      <c r="G9" s="15">
        <v>878</v>
      </c>
      <c r="H9" s="15">
        <v>812</v>
      </c>
      <c r="I9" s="15">
        <v>867</v>
      </c>
      <c r="J9" s="15">
        <v>969</v>
      </c>
      <c r="K9" s="15">
        <v>1210</v>
      </c>
      <c r="L9" s="15">
        <v>1336</v>
      </c>
      <c r="M9" s="15">
        <v>1317</v>
      </c>
      <c r="N9" s="15">
        <v>1309</v>
      </c>
      <c r="O9" s="15">
        <v>1055</v>
      </c>
      <c r="P9" s="15">
        <v>872</v>
      </c>
      <c r="Q9" s="15">
        <v>806</v>
      </c>
      <c r="R9" s="15">
        <v>712</v>
      </c>
      <c r="S9" s="15">
        <v>490</v>
      </c>
      <c r="T9" s="15">
        <v>518</v>
      </c>
      <c r="U9" s="16">
        <f t="shared" si="0"/>
        <v>16926</v>
      </c>
    </row>
    <row r="10" spans="1:21">
      <c r="A10" s="12">
        <v>2007</v>
      </c>
      <c r="B10" s="4"/>
      <c r="C10" s="15">
        <v>843</v>
      </c>
      <c r="D10" s="15">
        <v>856</v>
      </c>
      <c r="E10" s="15">
        <v>1017</v>
      </c>
      <c r="F10" s="15">
        <v>1055</v>
      </c>
      <c r="G10" s="15">
        <v>871</v>
      </c>
      <c r="H10" s="15">
        <v>778</v>
      </c>
      <c r="I10" s="15">
        <v>854</v>
      </c>
      <c r="J10" s="15">
        <v>949</v>
      </c>
      <c r="K10" s="15">
        <v>1186</v>
      </c>
      <c r="L10" s="15">
        <v>1327</v>
      </c>
      <c r="M10" s="15">
        <v>1358</v>
      </c>
      <c r="N10" s="15">
        <v>1291</v>
      </c>
      <c r="O10" s="15">
        <v>1153</v>
      </c>
      <c r="P10" s="15">
        <v>904</v>
      </c>
      <c r="Q10" s="15">
        <v>817</v>
      </c>
      <c r="R10" s="15">
        <v>712</v>
      </c>
      <c r="S10" s="15">
        <v>494</v>
      </c>
      <c r="T10" s="15">
        <v>538</v>
      </c>
      <c r="U10" s="16">
        <f t="shared" si="0"/>
        <v>17003</v>
      </c>
    </row>
    <row r="11" spans="1:21">
      <c r="A11" s="12">
        <v>2008</v>
      </c>
      <c r="B11" s="4"/>
      <c r="C11" s="15">
        <v>842</v>
      </c>
      <c r="D11" s="15">
        <v>859</v>
      </c>
      <c r="E11" s="15">
        <v>985</v>
      </c>
      <c r="F11" s="15">
        <v>1014</v>
      </c>
      <c r="G11" s="15">
        <v>827</v>
      </c>
      <c r="H11" s="15">
        <v>806</v>
      </c>
      <c r="I11" s="15">
        <v>840</v>
      </c>
      <c r="J11" s="15">
        <v>910</v>
      </c>
      <c r="K11" s="15">
        <v>1147</v>
      </c>
      <c r="L11" s="15">
        <v>1260</v>
      </c>
      <c r="M11" s="15">
        <v>1394</v>
      </c>
      <c r="N11" s="15">
        <v>1347</v>
      </c>
      <c r="O11" s="15">
        <v>1186</v>
      </c>
      <c r="P11" s="15">
        <v>940</v>
      </c>
      <c r="Q11" s="15">
        <v>809</v>
      </c>
      <c r="R11" s="15">
        <v>704</v>
      </c>
      <c r="S11" s="15">
        <v>496</v>
      </c>
      <c r="T11" s="15">
        <v>532</v>
      </c>
      <c r="U11" s="16">
        <f t="shared" si="0"/>
        <v>16898</v>
      </c>
    </row>
    <row r="12" spans="1:21">
      <c r="A12" s="12">
        <v>2009</v>
      </c>
      <c r="B12" s="4"/>
      <c r="C12" s="15">
        <v>824</v>
      </c>
      <c r="D12" s="15">
        <v>868</v>
      </c>
      <c r="E12" s="15">
        <v>925</v>
      </c>
      <c r="F12" s="15">
        <v>994</v>
      </c>
      <c r="G12" s="15">
        <v>810</v>
      </c>
      <c r="H12" s="15">
        <v>809</v>
      </c>
      <c r="I12" s="15">
        <v>817</v>
      </c>
      <c r="J12" s="15">
        <v>895</v>
      </c>
      <c r="K12" s="15">
        <v>1089</v>
      </c>
      <c r="L12" s="15">
        <v>1217</v>
      </c>
      <c r="M12" s="15">
        <v>1365</v>
      </c>
      <c r="N12" s="15">
        <v>1334</v>
      </c>
      <c r="O12" s="15">
        <v>1256</v>
      </c>
      <c r="P12" s="15">
        <v>980</v>
      </c>
      <c r="Q12" s="15">
        <v>802</v>
      </c>
      <c r="R12" s="15">
        <v>681</v>
      </c>
      <c r="S12" s="15">
        <v>504</v>
      </c>
      <c r="T12" s="15">
        <v>542</v>
      </c>
      <c r="U12" s="16">
        <f t="shared" si="0"/>
        <v>16712</v>
      </c>
    </row>
    <row r="13" spans="1:21">
      <c r="A13" s="12">
        <v>2010</v>
      </c>
      <c r="B13" s="4"/>
      <c r="C13" s="15">
        <v>808</v>
      </c>
      <c r="D13" s="15">
        <v>891</v>
      </c>
      <c r="E13" s="15">
        <v>880</v>
      </c>
      <c r="F13" s="15">
        <v>978</v>
      </c>
      <c r="G13" s="15">
        <v>782</v>
      </c>
      <c r="H13" s="15">
        <v>804</v>
      </c>
      <c r="I13" s="15">
        <v>817</v>
      </c>
      <c r="J13" s="15">
        <v>832</v>
      </c>
      <c r="K13" s="15">
        <v>1074</v>
      </c>
      <c r="L13" s="15">
        <v>1175</v>
      </c>
      <c r="M13" s="15">
        <v>1387</v>
      </c>
      <c r="N13" s="15">
        <v>1347</v>
      </c>
      <c r="O13" s="15">
        <v>1332</v>
      </c>
      <c r="P13" s="15">
        <v>998</v>
      </c>
      <c r="Q13" s="15">
        <v>814</v>
      </c>
      <c r="R13" s="15">
        <v>678</v>
      </c>
      <c r="S13" s="15">
        <v>502</v>
      </c>
      <c r="T13" s="15">
        <v>541</v>
      </c>
      <c r="U13" s="16">
        <f t="shared" si="0"/>
        <v>16640</v>
      </c>
    </row>
    <row r="14" spans="1:21">
      <c r="A14" s="23">
        <v>2015</v>
      </c>
      <c r="B14" s="4"/>
      <c r="C14" s="15">
        <v>785.04206616008753</v>
      </c>
      <c r="D14" s="15">
        <v>823.17728163097115</v>
      </c>
      <c r="E14" s="15">
        <v>896.64620550392078</v>
      </c>
      <c r="F14" s="15">
        <v>885.0329999438701</v>
      </c>
      <c r="G14" s="15">
        <v>925.74390112931496</v>
      </c>
      <c r="H14" s="15">
        <v>746.35717504945274</v>
      </c>
      <c r="I14" s="15">
        <v>828.60624337995796</v>
      </c>
      <c r="J14" s="15">
        <v>796.66613638116792</v>
      </c>
      <c r="K14" s="15">
        <v>791.09891322007957</v>
      </c>
      <c r="L14" s="15">
        <v>1038.1579837450972</v>
      </c>
      <c r="M14" s="15">
        <v>1159.4230902710833</v>
      </c>
      <c r="N14" s="15">
        <v>1383.6358930916542</v>
      </c>
      <c r="O14" s="15">
        <v>1303.8720044504089</v>
      </c>
      <c r="P14" s="15">
        <v>1303.480367272012</v>
      </c>
      <c r="Q14" s="15">
        <v>941.15416006786938</v>
      </c>
      <c r="R14" s="15">
        <v>732.60835860552083</v>
      </c>
      <c r="S14" s="15">
        <v>531.6671518126758</v>
      </c>
      <c r="T14" s="15">
        <v>535.64676423288529</v>
      </c>
      <c r="U14" s="16">
        <f t="shared" si="0"/>
        <v>16408.016695948027</v>
      </c>
    </row>
    <row r="15" spans="1:21">
      <c r="A15" s="23">
        <v>2020</v>
      </c>
      <c r="B15" s="4"/>
      <c r="C15" s="15">
        <v>792.45571940654168</v>
      </c>
      <c r="D15" s="15">
        <v>803.31474510957241</v>
      </c>
      <c r="E15" s="15">
        <v>831.73463544321078</v>
      </c>
      <c r="F15" s="15">
        <v>902.41374995357955</v>
      </c>
      <c r="G15" s="15">
        <v>852.95613449697032</v>
      </c>
      <c r="H15" s="15">
        <v>859.6169264741319</v>
      </c>
      <c r="I15" s="15">
        <v>778.09064009365852</v>
      </c>
      <c r="J15" s="15">
        <v>810.02871851772295</v>
      </c>
      <c r="K15" s="15">
        <v>760.3837547377035</v>
      </c>
      <c r="L15" s="15">
        <v>773.21476458486723</v>
      </c>
      <c r="M15" s="15">
        <v>1027.2667669207783</v>
      </c>
      <c r="N15" s="15">
        <v>1160.0853402041823</v>
      </c>
      <c r="O15" s="15">
        <v>1338.7689902795453</v>
      </c>
      <c r="P15" s="15">
        <v>1281.919954281321</v>
      </c>
      <c r="Q15" s="15">
        <v>1223.4788346673804</v>
      </c>
      <c r="R15" s="15">
        <v>849.80781904282082</v>
      </c>
      <c r="S15" s="15">
        <v>576.3818523185447</v>
      </c>
      <c r="T15" s="15">
        <v>550.81391231747477</v>
      </c>
      <c r="U15" s="16">
        <f t="shared" si="0"/>
        <v>16172.733258850007</v>
      </c>
    </row>
    <row r="16" spans="1:21">
      <c r="A16" s="23">
        <v>2025</v>
      </c>
      <c r="B16" s="4"/>
      <c r="C16" s="15">
        <v>796.60045189053221</v>
      </c>
      <c r="D16" s="15">
        <v>811.97094169951322</v>
      </c>
      <c r="E16" s="15">
        <v>813.37048071858862</v>
      </c>
      <c r="F16" s="15">
        <v>840.56018202241489</v>
      </c>
      <c r="G16" s="15">
        <v>872.18997693315669</v>
      </c>
      <c r="H16" s="15">
        <v>808.34917661883014</v>
      </c>
      <c r="I16" s="15">
        <v>879.96842803984907</v>
      </c>
      <c r="J16" s="15">
        <v>766.21436867149282</v>
      </c>
      <c r="K16" s="15">
        <v>773.93838735803729</v>
      </c>
      <c r="L16" s="15">
        <v>746.84750195426625</v>
      </c>
      <c r="M16" s="15">
        <v>773.79054613195183</v>
      </c>
      <c r="N16" s="15">
        <v>1031.1140909613923</v>
      </c>
      <c r="O16" s="15">
        <v>1125.9224279372472</v>
      </c>
      <c r="P16" s="15">
        <v>1315.6437653233079</v>
      </c>
      <c r="Q16" s="15">
        <v>1208.0458167564643</v>
      </c>
      <c r="R16" s="15">
        <v>1100.2734896758698</v>
      </c>
      <c r="S16" s="15">
        <v>670.92061421809547</v>
      </c>
      <c r="T16" s="15">
        <v>585.26793497635708</v>
      </c>
      <c r="U16" s="16">
        <f t="shared" si="0"/>
        <v>15920.988581887366</v>
      </c>
    </row>
    <row r="17" spans="1:21">
      <c r="A17" s="23">
        <v>2030</v>
      </c>
      <c r="B17" s="4"/>
      <c r="C17" s="15">
        <v>792.10525471417293</v>
      </c>
      <c r="D17" s="15">
        <v>817.62010578172249</v>
      </c>
      <c r="E17" s="15">
        <v>822.67645930470644</v>
      </c>
      <c r="F17" s="15">
        <v>823.79816694959197</v>
      </c>
      <c r="G17" s="15">
        <v>824.98224580507076</v>
      </c>
      <c r="H17" s="15">
        <v>829.23084938281318</v>
      </c>
      <c r="I17" s="15">
        <v>838.84571001731308</v>
      </c>
      <c r="J17" s="15">
        <v>856.81312303560139</v>
      </c>
      <c r="K17" s="15">
        <v>734.21765315335506</v>
      </c>
      <c r="L17" s="15">
        <v>761.19600140781779</v>
      </c>
      <c r="M17" s="15">
        <v>751.08581596251247</v>
      </c>
      <c r="N17" s="15">
        <v>786.35913989242295</v>
      </c>
      <c r="O17" s="15">
        <v>1003.967058289167</v>
      </c>
      <c r="P17" s="15">
        <v>1111.1716593614883</v>
      </c>
      <c r="Q17" s="15">
        <v>1239.4912113499968</v>
      </c>
      <c r="R17" s="15">
        <v>1090.3634481244812</v>
      </c>
      <c r="S17" s="15">
        <v>865.23094135132237</v>
      </c>
      <c r="T17" s="15">
        <v>658.58338460062828</v>
      </c>
      <c r="U17" s="16">
        <f t="shared" si="0"/>
        <v>15607.738228484182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843</v>
      </c>
      <c r="D20" s="15">
        <v>1079</v>
      </c>
      <c r="E20" s="15">
        <v>1116</v>
      </c>
      <c r="F20" s="15">
        <v>1140</v>
      </c>
      <c r="G20" s="15">
        <v>958</v>
      </c>
      <c r="H20" s="15">
        <v>786</v>
      </c>
      <c r="I20" s="15">
        <v>1038</v>
      </c>
      <c r="J20" s="15">
        <v>1126</v>
      </c>
      <c r="K20" s="15">
        <v>1247</v>
      </c>
      <c r="L20" s="15">
        <v>1387</v>
      </c>
      <c r="M20" s="15">
        <v>1301</v>
      </c>
      <c r="N20" s="15">
        <v>1024</v>
      </c>
      <c r="O20" s="15">
        <v>823</v>
      </c>
      <c r="P20" s="15">
        <v>779</v>
      </c>
      <c r="Q20" s="15">
        <v>673</v>
      </c>
      <c r="R20" s="15">
        <v>511</v>
      </c>
      <c r="S20" s="15">
        <v>319</v>
      </c>
      <c r="T20" s="15">
        <v>232</v>
      </c>
      <c r="U20" s="16">
        <f>SUM(C20:T20)</f>
        <v>16382</v>
      </c>
    </row>
    <row r="21" spans="1:21">
      <c r="A21" s="12">
        <v>2002</v>
      </c>
      <c r="B21" s="4"/>
      <c r="C21" s="15">
        <v>826</v>
      </c>
      <c r="D21" s="15">
        <v>998</v>
      </c>
      <c r="E21" s="15">
        <v>1130</v>
      </c>
      <c r="F21" s="15">
        <v>1148</v>
      </c>
      <c r="G21" s="15">
        <v>888</v>
      </c>
      <c r="H21" s="15">
        <v>779</v>
      </c>
      <c r="I21" s="15">
        <v>1004</v>
      </c>
      <c r="J21" s="15">
        <v>1078</v>
      </c>
      <c r="K21" s="15">
        <v>1280</v>
      </c>
      <c r="L21" s="15">
        <v>1406</v>
      </c>
      <c r="M21" s="15">
        <v>1286</v>
      </c>
      <c r="N21" s="15">
        <v>1095</v>
      </c>
      <c r="O21" s="15">
        <v>862</v>
      </c>
      <c r="P21" s="15">
        <v>813</v>
      </c>
      <c r="Q21" s="15">
        <v>652</v>
      </c>
      <c r="R21" s="15">
        <v>523</v>
      </c>
      <c r="S21" s="15">
        <v>316</v>
      </c>
      <c r="T21" s="15">
        <v>235</v>
      </c>
      <c r="U21" s="16">
        <f t="shared" ref="U21:U33" si="1">SUM(C21:T21)</f>
        <v>16319</v>
      </c>
    </row>
    <row r="22" spans="1:21">
      <c r="A22" s="12">
        <v>2003</v>
      </c>
      <c r="B22" s="4"/>
      <c r="C22" s="15">
        <v>846</v>
      </c>
      <c r="D22" s="15">
        <v>942</v>
      </c>
      <c r="E22" s="15">
        <v>1169</v>
      </c>
      <c r="F22" s="15">
        <v>1149</v>
      </c>
      <c r="G22" s="15">
        <v>901</v>
      </c>
      <c r="H22" s="15">
        <v>746</v>
      </c>
      <c r="I22" s="15">
        <v>1001</v>
      </c>
      <c r="J22" s="15">
        <v>1024</v>
      </c>
      <c r="K22" s="15">
        <v>1252</v>
      </c>
      <c r="L22" s="15">
        <v>1371</v>
      </c>
      <c r="M22" s="15">
        <v>1344</v>
      </c>
      <c r="N22" s="15">
        <v>1148</v>
      </c>
      <c r="O22" s="15">
        <v>917</v>
      </c>
      <c r="P22" s="15">
        <v>846</v>
      </c>
      <c r="Q22" s="15">
        <v>637</v>
      </c>
      <c r="R22" s="15">
        <v>522</v>
      </c>
      <c r="S22" s="15">
        <v>336</v>
      </c>
      <c r="T22" s="15">
        <v>231</v>
      </c>
      <c r="U22" s="16">
        <f t="shared" si="1"/>
        <v>16382</v>
      </c>
    </row>
    <row r="23" spans="1:21">
      <c r="A23" s="12">
        <v>2004</v>
      </c>
      <c r="B23" s="4"/>
      <c r="C23" s="15">
        <v>833</v>
      </c>
      <c r="D23" s="15">
        <v>912</v>
      </c>
      <c r="E23" s="15">
        <v>1189</v>
      </c>
      <c r="F23" s="15">
        <v>1117</v>
      </c>
      <c r="G23" s="15">
        <v>927</v>
      </c>
      <c r="H23" s="15">
        <v>757</v>
      </c>
      <c r="I23" s="15">
        <v>946</v>
      </c>
      <c r="J23" s="15">
        <v>1025</v>
      </c>
      <c r="K23" s="15">
        <v>1223</v>
      </c>
      <c r="L23" s="15">
        <v>1374</v>
      </c>
      <c r="M23" s="15">
        <v>1300</v>
      </c>
      <c r="N23" s="15">
        <v>1250</v>
      </c>
      <c r="O23" s="15">
        <v>963</v>
      </c>
      <c r="P23" s="15">
        <v>857</v>
      </c>
      <c r="Q23" s="15">
        <v>668</v>
      </c>
      <c r="R23" s="15">
        <v>509</v>
      </c>
      <c r="S23" s="15">
        <v>342</v>
      </c>
      <c r="T23" s="15">
        <v>242</v>
      </c>
      <c r="U23" s="16">
        <f t="shared" si="1"/>
        <v>16434</v>
      </c>
    </row>
    <row r="24" spans="1:21">
      <c r="A24" s="12">
        <v>2005</v>
      </c>
      <c r="B24" s="4"/>
      <c r="C24" s="15">
        <v>870</v>
      </c>
      <c r="D24" s="15">
        <v>868</v>
      </c>
      <c r="E24" s="15">
        <v>1137</v>
      </c>
      <c r="F24" s="15">
        <v>1117</v>
      </c>
      <c r="G24" s="15">
        <v>896</v>
      </c>
      <c r="H24" s="15">
        <v>780</v>
      </c>
      <c r="I24" s="15">
        <v>853</v>
      </c>
      <c r="J24" s="15">
        <v>1020</v>
      </c>
      <c r="K24" s="15">
        <v>1169</v>
      </c>
      <c r="L24" s="15">
        <v>1355</v>
      </c>
      <c r="M24" s="15">
        <v>1339</v>
      </c>
      <c r="N24" s="15">
        <v>1320</v>
      </c>
      <c r="O24" s="15">
        <v>1000</v>
      </c>
      <c r="P24" s="15">
        <v>802</v>
      </c>
      <c r="Q24" s="15">
        <v>727</v>
      </c>
      <c r="R24" s="15">
        <v>540</v>
      </c>
      <c r="S24" s="15">
        <v>360</v>
      </c>
      <c r="T24" s="15">
        <v>226</v>
      </c>
      <c r="U24" s="16">
        <f t="shared" si="1"/>
        <v>16379</v>
      </c>
    </row>
    <row r="25" spans="1:21">
      <c r="A25" s="12">
        <v>2006</v>
      </c>
      <c r="B25" s="4"/>
      <c r="C25" s="15">
        <v>889</v>
      </c>
      <c r="D25" s="15">
        <v>860</v>
      </c>
      <c r="E25" s="15">
        <v>1119</v>
      </c>
      <c r="F25" s="15">
        <v>1109</v>
      </c>
      <c r="G25" s="15">
        <v>869</v>
      </c>
      <c r="H25" s="15">
        <v>798</v>
      </c>
      <c r="I25" s="15">
        <v>857</v>
      </c>
      <c r="J25" s="15">
        <v>1007</v>
      </c>
      <c r="K25" s="15">
        <v>1144</v>
      </c>
      <c r="L25" s="15">
        <v>1292</v>
      </c>
      <c r="M25" s="15">
        <v>1391</v>
      </c>
      <c r="N25" s="15">
        <v>1353</v>
      </c>
      <c r="O25" s="15">
        <v>1023</v>
      </c>
      <c r="P25" s="15">
        <v>853</v>
      </c>
      <c r="Q25" s="15">
        <v>709</v>
      </c>
      <c r="R25" s="15">
        <v>551</v>
      </c>
      <c r="S25" s="15">
        <v>354</v>
      </c>
      <c r="T25" s="15">
        <v>219</v>
      </c>
      <c r="U25" s="16">
        <f t="shared" si="1"/>
        <v>16397</v>
      </c>
    </row>
    <row r="26" spans="1:21">
      <c r="A26" s="12">
        <v>2007</v>
      </c>
      <c r="B26" s="4"/>
      <c r="C26" s="15">
        <v>899</v>
      </c>
      <c r="D26" s="15">
        <v>860</v>
      </c>
      <c r="E26" s="15">
        <v>1058</v>
      </c>
      <c r="F26" s="15">
        <v>1115</v>
      </c>
      <c r="G26" s="15">
        <v>887</v>
      </c>
      <c r="H26" s="15">
        <v>753</v>
      </c>
      <c r="I26" s="15">
        <v>841</v>
      </c>
      <c r="J26" s="15">
        <v>986</v>
      </c>
      <c r="K26" s="15">
        <v>1099</v>
      </c>
      <c r="L26" s="15">
        <v>1306</v>
      </c>
      <c r="M26" s="15">
        <v>1421</v>
      </c>
      <c r="N26" s="15">
        <v>1340</v>
      </c>
      <c r="O26" s="15">
        <v>1130</v>
      </c>
      <c r="P26" s="15">
        <v>865</v>
      </c>
      <c r="Q26" s="15">
        <v>726</v>
      </c>
      <c r="R26" s="15">
        <v>540</v>
      </c>
      <c r="S26" s="15">
        <v>360</v>
      </c>
      <c r="T26" s="15">
        <v>235</v>
      </c>
      <c r="U26" s="16">
        <f t="shared" si="1"/>
        <v>16421</v>
      </c>
    </row>
    <row r="27" spans="1:21">
      <c r="A27" s="12">
        <v>2008</v>
      </c>
      <c r="B27" s="4"/>
      <c r="C27" s="15">
        <v>916</v>
      </c>
      <c r="D27" s="15">
        <v>868</v>
      </c>
      <c r="E27" s="15">
        <v>988</v>
      </c>
      <c r="F27" s="15">
        <v>1138</v>
      </c>
      <c r="G27" s="15">
        <v>838</v>
      </c>
      <c r="H27" s="15">
        <v>781</v>
      </c>
      <c r="I27" s="15">
        <v>786</v>
      </c>
      <c r="J27" s="15">
        <v>1026</v>
      </c>
      <c r="K27" s="15">
        <v>1013</v>
      </c>
      <c r="L27" s="15">
        <v>1297</v>
      </c>
      <c r="M27" s="15">
        <v>1368</v>
      </c>
      <c r="N27" s="15">
        <v>1390</v>
      </c>
      <c r="O27" s="15">
        <v>1180</v>
      </c>
      <c r="P27" s="15">
        <v>915</v>
      </c>
      <c r="Q27" s="15">
        <v>750</v>
      </c>
      <c r="R27" s="15">
        <v>536</v>
      </c>
      <c r="S27" s="15">
        <v>353</v>
      </c>
      <c r="T27" s="15">
        <v>248</v>
      </c>
      <c r="U27" s="16">
        <f t="shared" si="1"/>
        <v>16391</v>
      </c>
    </row>
    <row r="28" spans="1:21">
      <c r="A28" s="12">
        <v>2009</v>
      </c>
      <c r="B28" s="4"/>
      <c r="C28" s="15">
        <v>872</v>
      </c>
      <c r="D28" s="15">
        <v>869</v>
      </c>
      <c r="E28" s="15">
        <v>930</v>
      </c>
      <c r="F28" s="15">
        <v>1144</v>
      </c>
      <c r="G28" s="15">
        <v>813</v>
      </c>
      <c r="H28" s="15">
        <v>775</v>
      </c>
      <c r="I28" s="15">
        <v>796</v>
      </c>
      <c r="J28" s="15">
        <v>934</v>
      </c>
      <c r="K28" s="15">
        <v>1005</v>
      </c>
      <c r="L28" s="15">
        <v>1267</v>
      </c>
      <c r="M28" s="15">
        <v>1374</v>
      </c>
      <c r="N28" s="15">
        <v>1311</v>
      </c>
      <c r="O28" s="15">
        <v>1270</v>
      </c>
      <c r="P28" s="15">
        <v>943</v>
      </c>
      <c r="Q28" s="15">
        <v>767</v>
      </c>
      <c r="R28" s="15">
        <v>531</v>
      </c>
      <c r="S28" s="15">
        <v>344</v>
      </c>
      <c r="T28" s="15">
        <v>268</v>
      </c>
      <c r="U28" s="16">
        <f t="shared" si="1"/>
        <v>16213</v>
      </c>
    </row>
    <row r="29" spans="1:21">
      <c r="A29" s="12">
        <v>2010</v>
      </c>
      <c r="B29" s="4"/>
      <c r="C29" s="15">
        <v>857</v>
      </c>
      <c r="D29" s="15">
        <v>862</v>
      </c>
      <c r="E29" s="15">
        <v>927</v>
      </c>
      <c r="F29" s="15">
        <v>1095</v>
      </c>
      <c r="G29" s="15">
        <v>796</v>
      </c>
      <c r="H29" s="15">
        <v>765</v>
      </c>
      <c r="I29" s="15">
        <v>831</v>
      </c>
      <c r="J29" s="15">
        <v>877</v>
      </c>
      <c r="K29" s="15">
        <v>999</v>
      </c>
      <c r="L29" s="15">
        <v>1227</v>
      </c>
      <c r="M29" s="15">
        <v>1366</v>
      </c>
      <c r="N29" s="15">
        <v>1324</v>
      </c>
      <c r="O29" s="15">
        <v>1326</v>
      </c>
      <c r="P29" s="15">
        <v>996</v>
      </c>
      <c r="Q29" s="15">
        <v>729</v>
      </c>
      <c r="R29" s="15">
        <v>573</v>
      </c>
      <c r="S29" s="15">
        <v>352</v>
      </c>
      <c r="T29" s="15">
        <v>256</v>
      </c>
      <c r="U29" s="16">
        <f t="shared" si="1"/>
        <v>16158</v>
      </c>
    </row>
    <row r="30" spans="1:21">
      <c r="A30" s="23">
        <v>2015</v>
      </c>
      <c r="B30" s="4"/>
      <c r="C30" s="15">
        <v>799.11834011851852</v>
      </c>
      <c r="D30" s="15">
        <v>887.59720839182569</v>
      </c>
      <c r="E30" s="15">
        <v>875.5551928189866</v>
      </c>
      <c r="F30" s="15">
        <v>936.42694974385461</v>
      </c>
      <c r="G30" s="15">
        <v>1063.2701928566394</v>
      </c>
      <c r="H30" s="15">
        <v>788.01262109834136</v>
      </c>
      <c r="I30" s="15">
        <v>808.44755332001102</v>
      </c>
      <c r="J30" s="15">
        <v>823.96335297613882</v>
      </c>
      <c r="K30" s="15">
        <v>840.22983899780945</v>
      </c>
      <c r="L30" s="15">
        <v>972.0957310920511</v>
      </c>
      <c r="M30" s="15">
        <v>1212.3597826569721</v>
      </c>
      <c r="N30" s="15">
        <v>1352.2895965880607</v>
      </c>
      <c r="O30" s="15">
        <v>1259.6032087607541</v>
      </c>
      <c r="P30" s="15">
        <v>1265.6401060001326</v>
      </c>
      <c r="Q30" s="15">
        <v>908.63646625929641</v>
      </c>
      <c r="R30" s="15">
        <v>600.72687656227117</v>
      </c>
      <c r="S30" s="15">
        <v>393.42552302431403</v>
      </c>
      <c r="T30" s="15">
        <v>276.5697064729402</v>
      </c>
      <c r="U30" s="16">
        <f t="shared" si="1"/>
        <v>16063.968247738918</v>
      </c>
    </row>
    <row r="31" spans="1:21">
      <c r="A31" s="23">
        <v>2020</v>
      </c>
      <c r="B31" s="4"/>
      <c r="C31" s="15">
        <v>806.66492460347354</v>
      </c>
      <c r="D31" s="15">
        <v>834.20577456372052</v>
      </c>
      <c r="E31" s="15">
        <v>902.09688839875128</v>
      </c>
      <c r="F31" s="15">
        <v>887.51914769600819</v>
      </c>
      <c r="G31" s="15">
        <v>931.66345112371971</v>
      </c>
      <c r="H31" s="15">
        <v>1004.177965839591</v>
      </c>
      <c r="I31" s="15">
        <v>832.10447311357302</v>
      </c>
      <c r="J31" s="15">
        <v>806.69453638883056</v>
      </c>
      <c r="K31" s="15">
        <v>793.37852763890464</v>
      </c>
      <c r="L31" s="15">
        <v>824.12880328863298</v>
      </c>
      <c r="M31" s="15">
        <v>967.25875253767504</v>
      </c>
      <c r="N31" s="15">
        <v>1202.4501835641804</v>
      </c>
      <c r="O31" s="15">
        <v>1286.3159555362736</v>
      </c>
      <c r="P31" s="15">
        <v>1210.8859039079334</v>
      </c>
      <c r="Q31" s="15">
        <v>1149.3122361453895</v>
      </c>
      <c r="R31" s="15">
        <v>750.12631234104413</v>
      </c>
      <c r="S31" s="15">
        <v>415.48796742485774</v>
      </c>
      <c r="T31" s="15">
        <v>305.33810671816576</v>
      </c>
      <c r="U31" s="16">
        <f t="shared" si="1"/>
        <v>15909.809910830721</v>
      </c>
    </row>
    <row r="32" spans="1:21">
      <c r="A32" s="23">
        <v>2025</v>
      </c>
      <c r="B32" s="4"/>
      <c r="C32" s="15">
        <v>810.883974620809</v>
      </c>
      <c r="D32" s="15">
        <v>843.30330523595251</v>
      </c>
      <c r="E32" s="15">
        <v>850.95483786323018</v>
      </c>
      <c r="F32" s="15">
        <v>915.02796892478796</v>
      </c>
      <c r="G32" s="15">
        <v>894.03638220563312</v>
      </c>
      <c r="H32" s="15">
        <v>903.91222455682555</v>
      </c>
      <c r="I32" s="15">
        <v>1027.5531117887895</v>
      </c>
      <c r="J32" s="15">
        <v>829.95696534957005</v>
      </c>
      <c r="K32" s="15">
        <v>778.70232345401405</v>
      </c>
      <c r="L32" s="15">
        <v>783.14759898864486</v>
      </c>
      <c r="M32" s="15">
        <v>826.68770207409943</v>
      </c>
      <c r="N32" s="15">
        <v>966.90708903431801</v>
      </c>
      <c r="O32" s="15">
        <v>1146.1039076551119</v>
      </c>
      <c r="P32" s="15">
        <v>1236.5097594829165</v>
      </c>
      <c r="Q32" s="15">
        <v>1106.5793342840655</v>
      </c>
      <c r="R32" s="15">
        <v>944.7781677917153</v>
      </c>
      <c r="S32" s="15">
        <v>520.16996287098596</v>
      </c>
      <c r="T32" s="15">
        <v>330.39542132508336</v>
      </c>
      <c r="U32" s="16">
        <f t="shared" si="1"/>
        <v>15715.610037506554</v>
      </c>
    </row>
    <row r="33" spans="1:21">
      <c r="A33" s="23">
        <v>2030</v>
      </c>
      <c r="B33" s="4"/>
      <c r="C33" s="15">
        <v>806.30817586947796</v>
      </c>
      <c r="D33" s="15">
        <v>849.31671439286799</v>
      </c>
      <c r="E33" s="15">
        <v>860.84112303138988</v>
      </c>
      <c r="F33" s="15">
        <v>866.37602426434773</v>
      </c>
      <c r="G33" s="15">
        <v>923.98058231849257</v>
      </c>
      <c r="H33" s="15">
        <v>879.04132424684258</v>
      </c>
      <c r="I33" s="15">
        <v>941.99414838439691</v>
      </c>
      <c r="J33" s="15">
        <v>1005.1206719565382</v>
      </c>
      <c r="K33" s="15">
        <v>801.07063018970712</v>
      </c>
      <c r="L33" s="15">
        <v>771.12343547421415</v>
      </c>
      <c r="M33" s="15">
        <v>790.59506561930164</v>
      </c>
      <c r="N33" s="15">
        <v>833.7793303340344</v>
      </c>
      <c r="O33" s="15">
        <v>928.97467669352864</v>
      </c>
      <c r="P33" s="15">
        <v>1104.9561393595066</v>
      </c>
      <c r="Q33" s="15">
        <v>1130.154094585452</v>
      </c>
      <c r="R33" s="15">
        <v>915.501744455888</v>
      </c>
      <c r="S33" s="15">
        <v>652.08395527005325</v>
      </c>
      <c r="T33" s="15">
        <v>396.12335180722391</v>
      </c>
      <c r="U33" s="16">
        <f t="shared" si="1"/>
        <v>15457.341188253265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1685</v>
      </c>
      <c r="D36" s="15">
        <f t="shared" ref="D36:T36" si="2">D20+D4</f>
        <v>2107</v>
      </c>
      <c r="E36" s="15">
        <f t="shared" si="2"/>
        <v>2241</v>
      </c>
      <c r="F36" s="15">
        <f t="shared" si="2"/>
        <v>2351</v>
      </c>
      <c r="G36" s="15">
        <f t="shared" si="2"/>
        <v>1808</v>
      </c>
      <c r="H36" s="15">
        <f t="shared" si="2"/>
        <v>1624</v>
      </c>
      <c r="I36" s="15">
        <f t="shared" si="2"/>
        <v>2022</v>
      </c>
      <c r="J36" s="15">
        <f t="shared" si="2"/>
        <v>2293</v>
      </c>
      <c r="K36" s="15">
        <f t="shared" si="2"/>
        <v>2592</v>
      </c>
      <c r="L36" s="15">
        <f t="shared" si="2"/>
        <v>2678</v>
      </c>
      <c r="M36" s="15">
        <f t="shared" si="2"/>
        <v>2492</v>
      </c>
      <c r="N36" s="15">
        <f t="shared" si="2"/>
        <v>2013</v>
      </c>
      <c r="O36" s="15">
        <f t="shared" si="2"/>
        <v>1723</v>
      </c>
      <c r="P36" s="15">
        <f t="shared" si="2"/>
        <v>1616</v>
      </c>
      <c r="Q36" s="15">
        <f t="shared" si="2"/>
        <v>1490</v>
      </c>
      <c r="R36" s="15">
        <f t="shared" si="2"/>
        <v>1181</v>
      </c>
      <c r="S36" s="15">
        <f t="shared" si="2"/>
        <v>853</v>
      </c>
      <c r="T36" s="15">
        <f t="shared" si="2"/>
        <v>730</v>
      </c>
      <c r="U36" s="16">
        <f>SUM(C36:T36)</f>
        <v>33499</v>
      </c>
    </row>
    <row r="37" spans="1:21">
      <c r="A37" s="12">
        <v>2002</v>
      </c>
      <c r="B37" s="4"/>
      <c r="C37" s="15">
        <f t="shared" ref="C37:T49" si="3">C21+C5</f>
        <v>1671</v>
      </c>
      <c r="D37" s="15">
        <f t="shared" si="3"/>
        <v>1971</v>
      </c>
      <c r="E37" s="15">
        <f t="shared" si="3"/>
        <v>2260</v>
      </c>
      <c r="F37" s="15">
        <f t="shared" si="3"/>
        <v>2294</v>
      </c>
      <c r="G37" s="15">
        <f t="shared" si="3"/>
        <v>1743</v>
      </c>
      <c r="H37" s="15">
        <f t="shared" si="3"/>
        <v>1601</v>
      </c>
      <c r="I37" s="15">
        <f t="shared" si="3"/>
        <v>1961</v>
      </c>
      <c r="J37" s="15">
        <f t="shared" si="3"/>
        <v>2207</v>
      </c>
      <c r="K37" s="15">
        <f t="shared" si="3"/>
        <v>2631</v>
      </c>
      <c r="L37" s="15">
        <f t="shared" si="3"/>
        <v>2706</v>
      </c>
      <c r="M37" s="15">
        <f t="shared" si="3"/>
        <v>2474</v>
      </c>
      <c r="N37" s="15">
        <f t="shared" si="3"/>
        <v>2155</v>
      </c>
      <c r="O37" s="15">
        <f t="shared" si="3"/>
        <v>1781</v>
      </c>
      <c r="P37" s="15">
        <f t="shared" si="3"/>
        <v>1654</v>
      </c>
      <c r="Q37" s="15">
        <f t="shared" si="3"/>
        <v>1459</v>
      </c>
      <c r="R37" s="15">
        <f t="shared" si="3"/>
        <v>1186</v>
      </c>
      <c r="S37" s="15">
        <f t="shared" si="3"/>
        <v>846</v>
      </c>
      <c r="T37" s="15">
        <f t="shared" si="3"/>
        <v>745</v>
      </c>
      <c r="U37" s="16">
        <f t="shared" ref="U37:U49" si="4">SUM(C37:T37)</f>
        <v>33345</v>
      </c>
    </row>
    <row r="38" spans="1:21">
      <c r="A38" s="12">
        <v>2003</v>
      </c>
      <c r="B38" s="4"/>
      <c r="C38" s="15">
        <f t="shared" si="3"/>
        <v>1723</v>
      </c>
      <c r="D38" s="15">
        <f t="shared" si="3"/>
        <v>1852</v>
      </c>
      <c r="E38" s="15">
        <f t="shared" si="3"/>
        <v>2269</v>
      </c>
      <c r="F38" s="15">
        <f t="shared" si="3"/>
        <v>2263</v>
      </c>
      <c r="G38" s="15">
        <f t="shared" si="3"/>
        <v>1778</v>
      </c>
      <c r="H38" s="15">
        <f t="shared" si="3"/>
        <v>1568</v>
      </c>
      <c r="I38" s="15">
        <f t="shared" si="3"/>
        <v>1914</v>
      </c>
      <c r="J38" s="15">
        <f t="shared" si="3"/>
        <v>2112</v>
      </c>
      <c r="K38" s="15">
        <f t="shared" si="3"/>
        <v>2564</v>
      </c>
      <c r="L38" s="15">
        <f t="shared" si="3"/>
        <v>2699</v>
      </c>
      <c r="M38" s="15">
        <f t="shared" si="3"/>
        <v>2612</v>
      </c>
      <c r="N38" s="15">
        <f t="shared" si="3"/>
        <v>2241</v>
      </c>
      <c r="O38" s="15">
        <f t="shared" si="3"/>
        <v>1869</v>
      </c>
      <c r="P38" s="15">
        <f t="shared" si="3"/>
        <v>1705</v>
      </c>
      <c r="Q38" s="15">
        <f t="shared" si="3"/>
        <v>1444</v>
      </c>
      <c r="R38" s="15">
        <f t="shared" si="3"/>
        <v>1174</v>
      </c>
      <c r="S38" s="15">
        <f t="shared" si="3"/>
        <v>870</v>
      </c>
      <c r="T38" s="15">
        <f t="shared" si="3"/>
        <v>746</v>
      </c>
      <c r="U38" s="16">
        <f t="shared" si="4"/>
        <v>33403</v>
      </c>
    </row>
    <row r="39" spans="1:21">
      <c r="A39" s="12">
        <v>2004</v>
      </c>
      <c r="B39" s="4"/>
      <c r="C39" s="15">
        <f t="shared" si="3"/>
        <v>1723</v>
      </c>
      <c r="D39" s="15">
        <f t="shared" si="3"/>
        <v>1792</v>
      </c>
      <c r="E39" s="15">
        <f t="shared" si="3"/>
        <v>2267</v>
      </c>
      <c r="F39" s="15">
        <f t="shared" si="3"/>
        <v>2224</v>
      </c>
      <c r="G39" s="15">
        <f t="shared" si="3"/>
        <v>1838</v>
      </c>
      <c r="H39" s="15">
        <f t="shared" si="3"/>
        <v>1556</v>
      </c>
      <c r="I39" s="15">
        <f t="shared" si="3"/>
        <v>1837</v>
      </c>
      <c r="J39" s="15">
        <f t="shared" si="3"/>
        <v>2064</v>
      </c>
      <c r="K39" s="15">
        <f t="shared" si="3"/>
        <v>2507</v>
      </c>
      <c r="L39" s="15">
        <f t="shared" si="3"/>
        <v>2691</v>
      </c>
      <c r="M39" s="15">
        <f t="shared" si="3"/>
        <v>2601</v>
      </c>
      <c r="N39" s="15">
        <f t="shared" si="3"/>
        <v>2409</v>
      </c>
      <c r="O39" s="15">
        <f t="shared" si="3"/>
        <v>1967</v>
      </c>
      <c r="P39" s="15">
        <f t="shared" si="3"/>
        <v>1710</v>
      </c>
      <c r="Q39" s="15">
        <f t="shared" si="3"/>
        <v>1464</v>
      </c>
      <c r="R39" s="15">
        <f t="shared" si="3"/>
        <v>1187</v>
      </c>
      <c r="S39" s="15">
        <f t="shared" si="3"/>
        <v>884</v>
      </c>
      <c r="T39" s="15">
        <f t="shared" si="3"/>
        <v>753</v>
      </c>
      <c r="U39" s="16">
        <f t="shared" si="4"/>
        <v>33474</v>
      </c>
    </row>
    <row r="40" spans="1:21">
      <c r="A40" s="12">
        <v>2005</v>
      </c>
      <c r="B40" s="4"/>
      <c r="C40" s="15">
        <f t="shared" si="3"/>
        <v>1768</v>
      </c>
      <c r="D40" s="15">
        <f t="shared" si="3"/>
        <v>1681</v>
      </c>
      <c r="E40" s="15">
        <f t="shared" si="3"/>
        <v>2200</v>
      </c>
      <c r="F40" s="15">
        <f t="shared" si="3"/>
        <v>2195</v>
      </c>
      <c r="G40" s="15">
        <f t="shared" si="3"/>
        <v>1775</v>
      </c>
      <c r="H40" s="15">
        <f t="shared" si="3"/>
        <v>1591</v>
      </c>
      <c r="I40" s="15">
        <f t="shared" si="3"/>
        <v>1702</v>
      </c>
      <c r="J40" s="15">
        <f t="shared" si="3"/>
        <v>2043</v>
      </c>
      <c r="K40" s="15">
        <f t="shared" si="3"/>
        <v>2411</v>
      </c>
      <c r="L40" s="15">
        <f t="shared" si="3"/>
        <v>2695</v>
      </c>
      <c r="M40" s="15">
        <f t="shared" si="3"/>
        <v>2644</v>
      </c>
      <c r="N40" s="15">
        <f t="shared" si="3"/>
        <v>2575</v>
      </c>
      <c r="O40" s="15">
        <f t="shared" si="3"/>
        <v>2008</v>
      </c>
      <c r="P40" s="15">
        <f t="shared" si="3"/>
        <v>1677</v>
      </c>
      <c r="Q40" s="15">
        <f t="shared" si="3"/>
        <v>1519</v>
      </c>
      <c r="R40" s="15">
        <f t="shared" si="3"/>
        <v>1228</v>
      </c>
      <c r="S40" s="15">
        <f t="shared" si="3"/>
        <v>875</v>
      </c>
      <c r="T40" s="15">
        <f t="shared" si="3"/>
        <v>732</v>
      </c>
      <c r="U40" s="16">
        <f t="shared" si="4"/>
        <v>33319</v>
      </c>
    </row>
    <row r="41" spans="1:21">
      <c r="A41" s="12">
        <v>2006</v>
      </c>
      <c r="B41" s="4"/>
      <c r="C41" s="15">
        <f t="shared" si="3"/>
        <v>1735</v>
      </c>
      <c r="D41" s="15">
        <f t="shared" si="3"/>
        <v>1711</v>
      </c>
      <c r="E41" s="15">
        <f t="shared" si="3"/>
        <v>2174</v>
      </c>
      <c r="F41" s="15">
        <f t="shared" si="3"/>
        <v>2132</v>
      </c>
      <c r="G41" s="15">
        <f t="shared" si="3"/>
        <v>1747</v>
      </c>
      <c r="H41" s="15">
        <f t="shared" si="3"/>
        <v>1610</v>
      </c>
      <c r="I41" s="15">
        <f t="shared" si="3"/>
        <v>1724</v>
      </c>
      <c r="J41" s="15">
        <f t="shared" si="3"/>
        <v>1976</v>
      </c>
      <c r="K41" s="15">
        <f t="shared" si="3"/>
        <v>2354</v>
      </c>
      <c r="L41" s="15">
        <f t="shared" si="3"/>
        <v>2628</v>
      </c>
      <c r="M41" s="15">
        <f t="shared" si="3"/>
        <v>2708</v>
      </c>
      <c r="N41" s="15">
        <f t="shared" si="3"/>
        <v>2662</v>
      </c>
      <c r="O41" s="15">
        <f t="shared" si="3"/>
        <v>2078</v>
      </c>
      <c r="P41" s="15">
        <f t="shared" si="3"/>
        <v>1725</v>
      </c>
      <c r="Q41" s="15">
        <f t="shared" si="3"/>
        <v>1515</v>
      </c>
      <c r="R41" s="15">
        <f t="shared" si="3"/>
        <v>1263</v>
      </c>
      <c r="S41" s="15">
        <f t="shared" si="3"/>
        <v>844</v>
      </c>
      <c r="T41" s="15">
        <f t="shared" si="3"/>
        <v>737</v>
      </c>
      <c r="U41" s="16">
        <f t="shared" si="4"/>
        <v>33323</v>
      </c>
    </row>
    <row r="42" spans="1:21">
      <c r="A42" s="12">
        <v>2007</v>
      </c>
      <c r="B42" s="4"/>
      <c r="C42" s="15">
        <f t="shared" si="3"/>
        <v>1742</v>
      </c>
      <c r="D42" s="15">
        <f t="shared" si="3"/>
        <v>1716</v>
      </c>
      <c r="E42" s="15">
        <f t="shared" si="3"/>
        <v>2075</v>
      </c>
      <c r="F42" s="15">
        <f t="shared" si="3"/>
        <v>2170</v>
      </c>
      <c r="G42" s="15">
        <f t="shared" si="3"/>
        <v>1758</v>
      </c>
      <c r="H42" s="15">
        <f t="shared" si="3"/>
        <v>1531</v>
      </c>
      <c r="I42" s="15">
        <f t="shared" si="3"/>
        <v>1695</v>
      </c>
      <c r="J42" s="15">
        <f t="shared" si="3"/>
        <v>1935</v>
      </c>
      <c r="K42" s="15">
        <f t="shared" si="3"/>
        <v>2285</v>
      </c>
      <c r="L42" s="15">
        <f t="shared" si="3"/>
        <v>2633</v>
      </c>
      <c r="M42" s="15">
        <f t="shared" si="3"/>
        <v>2779</v>
      </c>
      <c r="N42" s="15">
        <f t="shared" si="3"/>
        <v>2631</v>
      </c>
      <c r="O42" s="15">
        <f t="shared" si="3"/>
        <v>2283</v>
      </c>
      <c r="P42" s="15">
        <f t="shared" si="3"/>
        <v>1769</v>
      </c>
      <c r="Q42" s="15">
        <f t="shared" si="3"/>
        <v>1543</v>
      </c>
      <c r="R42" s="15">
        <f t="shared" si="3"/>
        <v>1252</v>
      </c>
      <c r="S42" s="15">
        <f t="shared" si="3"/>
        <v>854</v>
      </c>
      <c r="T42" s="15">
        <f t="shared" si="3"/>
        <v>773</v>
      </c>
      <c r="U42" s="16">
        <f t="shared" si="4"/>
        <v>33424</v>
      </c>
    </row>
    <row r="43" spans="1:21">
      <c r="A43" s="12">
        <v>2008</v>
      </c>
      <c r="B43" s="4"/>
      <c r="C43" s="15">
        <f t="shared" si="3"/>
        <v>1758</v>
      </c>
      <c r="D43" s="15">
        <f t="shared" si="3"/>
        <v>1727</v>
      </c>
      <c r="E43" s="15">
        <f t="shared" si="3"/>
        <v>1973</v>
      </c>
      <c r="F43" s="15">
        <f t="shared" si="3"/>
        <v>2152</v>
      </c>
      <c r="G43" s="15">
        <f t="shared" si="3"/>
        <v>1665</v>
      </c>
      <c r="H43" s="15">
        <f t="shared" si="3"/>
        <v>1587</v>
      </c>
      <c r="I43" s="15">
        <f t="shared" si="3"/>
        <v>1626</v>
      </c>
      <c r="J43" s="15">
        <f t="shared" si="3"/>
        <v>1936</v>
      </c>
      <c r="K43" s="15">
        <f t="shared" si="3"/>
        <v>2160</v>
      </c>
      <c r="L43" s="15">
        <f t="shared" si="3"/>
        <v>2557</v>
      </c>
      <c r="M43" s="15">
        <f t="shared" si="3"/>
        <v>2762</v>
      </c>
      <c r="N43" s="15">
        <f t="shared" si="3"/>
        <v>2737</v>
      </c>
      <c r="O43" s="15">
        <f t="shared" si="3"/>
        <v>2366</v>
      </c>
      <c r="P43" s="15">
        <f t="shared" si="3"/>
        <v>1855</v>
      </c>
      <c r="Q43" s="15">
        <f t="shared" si="3"/>
        <v>1559</v>
      </c>
      <c r="R43" s="15">
        <f t="shared" si="3"/>
        <v>1240</v>
      </c>
      <c r="S43" s="15">
        <f t="shared" si="3"/>
        <v>849</v>
      </c>
      <c r="T43" s="15">
        <f t="shared" si="3"/>
        <v>780</v>
      </c>
      <c r="U43" s="16">
        <f t="shared" si="4"/>
        <v>33289</v>
      </c>
    </row>
    <row r="44" spans="1:21">
      <c r="A44" s="12">
        <v>2009</v>
      </c>
      <c r="B44" s="4"/>
      <c r="C44" s="15">
        <f t="shared" si="3"/>
        <v>1696</v>
      </c>
      <c r="D44" s="15">
        <f t="shared" si="3"/>
        <v>1737</v>
      </c>
      <c r="E44" s="15">
        <f t="shared" si="3"/>
        <v>1855</v>
      </c>
      <c r="F44" s="15">
        <f t="shared" si="3"/>
        <v>2138</v>
      </c>
      <c r="G44" s="15">
        <f t="shared" si="3"/>
        <v>1623</v>
      </c>
      <c r="H44" s="15">
        <f t="shared" si="3"/>
        <v>1584</v>
      </c>
      <c r="I44" s="15">
        <f t="shared" si="3"/>
        <v>1613</v>
      </c>
      <c r="J44" s="15">
        <f t="shared" si="3"/>
        <v>1829</v>
      </c>
      <c r="K44" s="15">
        <f t="shared" si="3"/>
        <v>2094</v>
      </c>
      <c r="L44" s="15">
        <f t="shared" si="3"/>
        <v>2484</v>
      </c>
      <c r="M44" s="15">
        <f t="shared" si="3"/>
        <v>2739</v>
      </c>
      <c r="N44" s="15">
        <f t="shared" si="3"/>
        <v>2645</v>
      </c>
      <c r="O44" s="15">
        <f t="shared" si="3"/>
        <v>2526</v>
      </c>
      <c r="P44" s="15">
        <f t="shared" si="3"/>
        <v>1923</v>
      </c>
      <c r="Q44" s="15">
        <f t="shared" si="3"/>
        <v>1569</v>
      </c>
      <c r="R44" s="15">
        <f t="shared" si="3"/>
        <v>1212</v>
      </c>
      <c r="S44" s="15">
        <f t="shared" si="3"/>
        <v>848</v>
      </c>
      <c r="T44" s="15">
        <f t="shared" si="3"/>
        <v>810</v>
      </c>
      <c r="U44" s="16">
        <f t="shared" si="4"/>
        <v>32925</v>
      </c>
    </row>
    <row r="45" spans="1:21">
      <c r="A45" s="12">
        <v>2010</v>
      </c>
      <c r="B45" s="4"/>
      <c r="C45" s="15">
        <f t="shared" si="3"/>
        <v>1665</v>
      </c>
      <c r="D45" s="15">
        <f t="shared" si="3"/>
        <v>1753</v>
      </c>
      <c r="E45" s="15">
        <f t="shared" si="3"/>
        <v>1807</v>
      </c>
      <c r="F45" s="15">
        <f t="shared" si="3"/>
        <v>2073</v>
      </c>
      <c r="G45" s="15">
        <f t="shared" si="3"/>
        <v>1578</v>
      </c>
      <c r="H45" s="15">
        <f t="shared" si="3"/>
        <v>1569</v>
      </c>
      <c r="I45" s="15">
        <f t="shared" si="3"/>
        <v>1648</v>
      </c>
      <c r="J45" s="15">
        <f t="shared" si="3"/>
        <v>1709</v>
      </c>
      <c r="K45" s="15">
        <f t="shared" si="3"/>
        <v>2073</v>
      </c>
      <c r="L45" s="15">
        <f t="shared" si="3"/>
        <v>2402</v>
      </c>
      <c r="M45" s="15">
        <f t="shared" si="3"/>
        <v>2753</v>
      </c>
      <c r="N45" s="15">
        <f t="shared" si="3"/>
        <v>2671</v>
      </c>
      <c r="O45" s="15">
        <f t="shared" si="3"/>
        <v>2658</v>
      </c>
      <c r="P45" s="15">
        <f t="shared" si="3"/>
        <v>1994</v>
      </c>
      <c r="Q45" s="15">
        <f t="shared" si="3"/>
        <v>1543</v>
      </c>
      <c r="R45" s="15">
        <f t="shared" si="3"/>
        <v>1251</v>
      </c>
      <c r="S45" s="15">
        <f t="shared" si="3"/>
        <v>854</v>
      </c>
      <c r="T45" s="15">
        <f t="shared" si="3"/>
        <v>797</v>
      </c>
      <c r="U45" s="16">
        <f t="shared" si="4"/>
        <v>32798</v>
      </c>
    </row>
    <row r="46" spans="1:21">
      <c r="A46" s="23">
        <v>2015</v>
      </c>
      <c r="B46" s="4"/>
      <c r="C46" s="15">
        <f t="shared" si="3"/>
        <v>1584.1604062786059</v>
      </c>
      <c r="D46" s="15">
        <f t="shared" si="3"/>
        <v>1710.7744900227967</v>
      </c>
      <c r="E46" s="15">
        <f t="shared" si="3"/>
        <v>1772.2013983229074</v>
      </c>
      <c r="F46" s="15">
        <f t="shared" si="3"/>
        <v>1821.4599496877247</v>
      </c>
      <c r="G46" s="15">
        <f t="shared" si="3"/>
        <v>1989.0140939859543</v>
      </c>
      <c r="H46" s="15">
        <f t="shared" si="3"/>
        <v>1534.3697961477942</v>
      </c>
      <c r="I46" s="15">
        <f t="shared" si="3"/>
        <v>1637.0537966999691</v>
      </c>
      <c r="J46" s="15">
        <f t="shared" si="3"/>
        <v>1620.6294893573067</v>
      </c>
      <c r="K46" s="15">
        <f t="shared" si="3"/>
        <v>1631.3287522178889</v>
      </c>
      <c r="L46" s="15">
        <f t="shared" si="3"/>
        <v>2010.2537148371484</v>
      </c>
      <c r="M46" s="15">
        <f t="shared" si="3"/>
        <v>2371.7828729280554</v>
      </c>
      <c r="N46" s="15">
        <f t="shared" si="3"/>
        <v>2735.9254896797147</v>
      </c>
      <c r="O46" s="15">
        <f t="shared" si="3"/>
        <v>2563.475213211163</v>
      </c>
      <c r="P46" s="15">
        <f t="shared" si="3"/>
        <v>2569.1204732721444</v>
      </c>
      <c r="Q46" s="15">
        <f t="shared" si="3"/>
        <v>1849.7906263271657</v>
      </c>
      <c r="R46" s="15">
        <f t="shared" si="3"/>
        <v>1333.335235167792</v>
      </c>
      <c r="S46" s="15">
        <f t="shared" si="3"/>
        <v>925.09267483698977</v>
      </c>
      <c r="T46" s="15">
        <f t="shared" si="3"/>
        <v>812.21647070582549</v>
      </c>
      <c r="U46" s="16">
        <f t="shared" si="4"/>
        <v>32471.984943686948</v>
      </c>
    </row>
    <row r="47" spans="1:21">
      <c r="A47" s="23">
        <v>2020</v>
      </c>
      <c r="B47" s="4"/>
      <c r="C47" s="15">
        <f t="shared" si="3"/>
        <v>1599.1206440100152</v>
      </c>
      <c r="D47" s="15">
        <f t="shared" si="3"/>
        <v>1637.5205196732929</v>
      </c>
      <c r="E47" s="15">
        <f t="shared" si="3"/>
        <v>1733.8315238419621</v>
      </c>
      <c r="F47" s="15">
        <f t="shared" si="3"/>
        <v>1789.9328976495876</v>
      </c>
      <c r="G47" s="15">
        <f t="shared" si="3"/>
        <v>1784.61958562069</v>
      </c>
      <c r="H47" s="15">
        <f t="shared" si="3"/>
        <v>1863.7948923137228</v>
      </c>
      <c r="I47" s="15">
        <f t="shared" si="3"/>
        <v>1610.1951132072315</v>
      </c>
      <c r="J47" s="15">
        <f t="shared" si="3"/>
        <v>1616.7232549065534</v>
      </c>
      <c r="K47" s="15">
        <f t="shared" si="3"/>
        <v>1553.7622823766083</v>
      </c>
      <c r="L47" s="15">
        <f t="shared" si="3"/>
        <v>1597.3435678735002</v>
      </c>
      <c r="M47" s="15">
        <f t="shared" si="3"/>
        <v>1994.5255194584533</v>
      </c>
      <c r="N47" s="15">
        <f t="shared" si="3"/>
        <v>2362.5355237683625</v>
      </c>
      <c r="O47" s="15">
        <f t="shared" si="3"/>
        <v>2625.0849458158191</v>
      </c>
      <c r="P47" s="15">
        <f t="shared" si="3"/>
        <v>2492.8058581892546</v>
      </c>
      <c r="Q47" s="15">
        <f t="shared" si="3"/>
        <v>2372.7910708127702</v>
      </c>
      <c r="R47" s="15">
        <f t="shared" si="3"/>
        <v>1599.934131383865</v>
      </c>
      <c r="S47" s="15">
        <f t="shared" si="3"/>
        <v>991.86981974340245</v>
      </c>
      <c r="T47" s="15">
        <f t="shared" si="3"/>
        <v>856.15201903564048</v>
      </c>
      <c r="U47" s="16">
        <f t="shared" si="4"/>
        <v>32082.543169680735</v>
      </c>
    </row>
    <row r="48" spans="1:21">
      <c r="A48" s="23">
        <v>2025</v>
      </c>
      <c r="B48" s="4"/>
      <c r="C48" s="15">
        <f t="shared" si="3"/>
        <v>1607.4844265113411</v>
      </c>
      <c r="D48" s="15">
        <f t="shared" si="3"/>
        <v>1655.2742469354657</v>
      </c>
      <c r="E48" s="15">
        <f t="shared" si="3"/>
        <v>1664.3253185818189</v>
      </c>
      <c r="F48" s="15">
        <f t="shared" si="3"/>
        <v>1755.5881509472028</v>
      </c>
      <c r="G48" s="15">
        <f t="shared" si="3"/>
        <v>1766.2263591387898</v>
      </c>
      <c r="H48" s="15">
        <f t="shared" si="3"/>
        <v>1712.2614011756557</v>
      </c>
      <c r="I48" s="15">
        <f t="shared" si="3"/>
        <v>1907.5215398286387</v>
      </c>
      <c r="J48" s="15">
        <f t="shared" si="3"/>
        <v>1596.1713340210629</v>
      </c>
      <c r="K48" s="15">
        <f t="shared" si="3"/>
        <v>1552.6407108120513</v>
      </c>
      <c r="L48" s="15">
        <f t="shared" si="3"/>
        <v>1529.995100942911</v>
      </c>
      <c r="M48" s="15">
        <f t="shared" si="3"/>
        <v>1600.4782482060514</v>
      </c>
      <c r="N48" s="15">
        <f t="shared" si="3"/>
        <v>1998.0211799957103</v>
      </c>
      <c r="O48" s="15">
        <f t="shared" si="3"/>
        <v>2272.0263355923589</v>
      </c>
      <c r="P48" s="15">
        <f t="shared" si="3"/>
        <v>2552.1535248062246</v>
      </c>
      <c r="Q48" s="15">
        <f t="shared" si="3"/>
        <v>2314.62515104053</v>
      </c>
      <c r="R48" s="15">
        <f t="shared" si="3"/>
        <v>2045.0516574675851</v>
      </c>
      <c r="S48" s="15">
        <f t="shared" si="3"/>
        <v>1191.0905770890813</v>
      </c>
      <c r="T48" s="15">
        <f t="shared" si="3"/>
        <v>915.66335630144044</v>
      </c>
      <c r="U48" s="16">
        <f t="shared" si="4"/>
        <v>31636.598619393921</v>
      </c>
    </row>
    <row r="49" spans="1:21" ht="15.75" thickBot="1">
      <c r="A49" s="24">
        <v>2030</v>
      </c>
      <c r="B49" s="20"/>
      <c r="C49" s="21">
        <f t="shared" si="3"/>
        <v>1598.413430583651</v>
      </c>
      <c r="D49" s="21">
        <f t="shared" si="3"/>
        <v>1666.9368201745906</v>
      </c>
      <c r="E49" s="21">
        <f t="shared" si="3"/>
        <v>1683.5175823360964</v>
      </c>
      <c r="F49" s="21">
        <f t="shared" si="3"/>
        <v>1690.1741912139396</v>
      </c>
      <c r="G49" s="21">
        <f t="shared" si="3"/>
        <v>1748.9628281235632</v>
      </c>
      <c r="H49" s="21">
        <f t="shared" si="3"/>
        <v>1708.2721736296558</v>
      </c>
      <c r="I49" s="21">
        <f t="shared" si="3"/>
        <v>1780.83985840171</v>
      </c>
      <c r="J49" s="21">
        <f t="shared" si="3"/>
        <v>1861.9337949921396</v>
      </c>
      <c r="K49" s="21">
        <f t="shared" si="3"/>
        <v>1535.2882833430622</v>
      </c>
      <c r="L49" s="21">
        <f t="shared" si="3"/>
        <v>1532.3194368820318</v>
      </c>
      <c r="M49" s="21">
        <f t="shared" si="3"/>
        <v>1541.680881581814</v>
      </c>
      <c r="N49" s="21">
        <f t="shared" si="3"/>
        <v>1620.1384702264572</v>
      </c>
      <c r="O49" s="21">
        <f t="shared" si="3"/>
        <v>1932.9417349826956</v>
      </c>
      <c r="P49" s="21">
        <f t="shared" si="3"/>
        <v>2216.1277987209951</v>
      </c>
      <c r="Q49" s="21">
        <f t="shared" si="3"/>
        <v>2369.645305935449</v>
      </c>
      <c r="R49" s="21">
        <f t="shared" si="3"/>
        <v>2005.8651925803692</v>
      </c>
      <c r="S49" s="21">
        <f t="shared" si="3"/>
        <v>1517.3148966213757</v>
      </c>
      <c r="T49" s="21">
        <f t="shared" si="3"/>
        <v>1054.7067364078521</v>
      </c>
      <c r="U49" s="22">
        <f t="shared" si="4"/>
        <v>31065.079416737448</v>
      </c>
    </row>
  </sheetData>
  <pageMargins left="0.7" right="0.7" top="0.75" bottom="0.75" header="0.3" footer="0.3"/>
  <pageSetup scale="85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zoomScale="85" zoomScaleNormal="85" workbookViewId="0"/>
  </sheetViews>
  <sheetFormatPr defaultRowHeight="15"/>
  <cols>
    <col min="1" max="1" width="8" style="1" bestFit="1" customWidth="1"/>
    <col min="2" max="2" width="2.140625" style="1" customWidth="1"/>
    <col min="3" max="20" width="7" style="1" customWidth="1"/>
    <col min="21" max="21" width="7.7109375" style="1" bestFit="1" customWidth="1"/>
    <col min="22" max="16384" width="9.140625" style="1"/>
  </cols>
  <sheetData>
    <row r="1" spans="1:21">
      <c r="A1" s="25">
        <v>31</v>
      </c>
      <c r="B1" s="8" t="s">
        <v>15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 t="s">
        <v>38</v>
      </c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v>5408</v>
      </c>
      <c r="D4" s="15">
        <v>6475</v>
      </c>
      <c r="E4" s="15">
        <v>7002</v>
      </c>
      <c r="F4" s="15">
        <v>6318</v>
      </c>
      <c r="G4" s="15">
        <v>4592</v>
      </c>
      <c r="H4" s="15">
        <v>5107</v>
      </c>
      <c r="I4" s="15">
        <v>6586</v>
      </c>
      <c r="J4" s="15">
        <v>8238</v>
      </c>
      <c r="K4" s="15">
        <v>8735</v>
      </c>
      <c r="L4" s="15">
        <v>8118</v>
      </c>
      <c r="M4" s="15">
        <v>7312</v>
      </c>
      <c r="N4" s="15">
        <v>5240</v>
      </c>
      <c r="O4" s="15">
        <v>4261</v>
      </c>
      <c r="P4" s="15">
        <v>3743</v>
      </c>
      <c r="Q4" s="15">
        <v>3621</v>
      </c>
      <c r="R4" s="15">
        <v>3058</v>
      </c>
      <c r="S4" s="15">
        <v>2253</v>
      </c>
      <c r="T4" s="15">
        <v>2219</v>
      </c>
      <c r="U4" s="16">
        <f>SUM(C4:T4)</f>
        <v>98286</v>
      </c>
    </row>
    <row r="5" spans="1:21">
      <c r="A5" s="12">
        <v>2002</v>
      </c>
      <c r="B5" s="4"/>
      <c r="C5" s="15">
        <v>5405</v>
      </c>
      <c r="D5" s="15">
        <v>6305</v>
      </c>
      <c r="E5" s="15">
        <v>7124</v>
      </c>
      <c r="F5" s="15">
        <v>6469</v>
      </c>
      <c r="G5" s="15">
        <v>4704</v>
      </c>
      <c r="H5" s="15">
        <v>5088</v>
      </c>
      <c r="I5" s="15">
        <v>6488</v>
      </c>
      <c r="J5" s="15">
        <v>8099</v>
      </c>
      <c r="K5" s="15">
        <v>8857</v>
      </c>
      <c r="L5" s="15">
        <v>8254</v>
      </c>
      <c r="M5" s="15">
        <v>7536</v>
      </c>
      <c r="N5" s="15">
        <v>5804</v>
      </c>
      <c r="O5" s="15">
        <v>4404</v>
      </c>
      <c r="P5" s="15">
        <v>3800</v>
      </c>
      <c r="Q5" s="15">
        <v>3644</v>
      </c>
      <c r="R5" s="15">
        <v>3068</v>
      </c>
      <c r="S5" s="15">
        <v>2325</v>
      </c>
      <c r="T5" s="15">
        <v>2287</v>
      </c>
      <c r="U5" s="16">
        <f t="shared" ref="U5:U17" si="0">SUM(C5:T5)</f>
        <v>99661</v>
      </c>
    </row>
    <row r="6" spans="1:21">
      <c r="A6" s="12">
        <v>2003</v>
      </c>
      <c r="B6" s="4"/>
      <c r="C6" s="15">
        <v>5306</v>
      </c>
      <c r="D6" s="15">
        <v>6020</v>
      </c>
      <c r="E6" s="15">
        <v>7191</v>
      </c>
      <c r="F6" s="15">
        <v>6524</v>
      </c>
      <c r="G6" s="15">
        <v>4850</v>
      </c>
      <c r="H6" s="15">
        <v>5056</v>
      </c>
      <c r="I6" s="15">
        <v>6354</v>
      </c>
      <c r="J6" s="15">
        <v>7727</v>
      </c>
      <c r="K6" s="15">
        <v>8949</v>
      </c>
      <c r="L6" s="15">
        <v>8476</v>
      </c>
      <c r="M6" s="15">
        <v>7665</v>
      </c>
      <c r="N6" s="15">
        <v>6127</v>
      </c>
      <c r="O6" s="15">
        <v>4780</v>
      </c>
      <c r="P6" s="15">
        <v>3908</v>
      </c>
      <c r="Q6" s="15">
        <v>3598</v>
      </c>
      <c r="R6" s="15">
        <v>3133</v>
      </c>
      <c r="S6" s="15">
        <v>2327</v>
      </c>
      <c r="T6" s="15">
        <v>2325</v>
      </c>
      <c r="U6" s="16">
        <f t="shared" si="0"/>
        <v>100316</v>
      </c>
    </row>
    <row r="7" spans="1:21">
      <c r="A7" s="12">
        <v>2004</v>
      </c>
      <c r="B7" s="4"/>
      <c r="C7" s="15">
        <v>5319</v>
      </c>
      <c r="D7" s="15">
        <v>6026</v>
      </c>
      <c r="E7" s="15">
        <v>7071</v>
      </c>
      <c r="F7" s="15">
        <v>6595</v>
      </c>
      <c r="G7" s="15">
        <v>4939</v>
      </c>
      <c r="H7" s="15">
        <v>5163</v>
      </c>
      <c r="I7" s="15">
        <v>6141</v>
      </c>
      <c r="J7" s="15">
        <v>7414</v>
      </c>
      <c r="K7" s="15">
        <v>8856</v>
      </c>
      <c r="L7" s="15">
        <v>8601</v>
      </c>
      <c r="M7" s="15">
        <v>7885</v>
      </c>
      <c r="N7" s="15">
        <v>6563</v>
      </c>
      <c r="O7" s="15">
        <v>5038</v>
      </c>
      <c r="P7" s="15">
        <v>3967</v>
      </c>
      <c r="Q7" s="15">
        <v>3539</v>
      </c>
      <c r="R7" s="15">
        <v>3160</v>
      </c>
      <c r="S7" s="15">
        <v>2398</v>
      </c>
      <c r="T7" s="15">
        <v>2361</v>
      </c>
      <c r="U7" s="16">
        <f t="shared" si="0"/>
        <v>101036</v>
      </c>
    </row>
    <row r="8" spans="1:21">
      <c r="A8" s="12">
        <v>2005</v>
      </c>
      <c r="B8" s="4"/>
      <c r="C8" s="15">
        <v>5256</v>
      </c>
      <c r="D8" s="15">
        <v>5902</v>
      </c>
      <c r="E8" s="15">
        <v>6950</v>
      </c>
      <c r="F8" s="15">
        <v>6647</v>
      </c>
      <c r="G8" s="15">
        <v>5170</v>
      </c>
      <c r="H8" s="15">
        <v>5157</v>
      </c>
      <c r="I8" s="15">
        <v>5865</v>
      </c>
      <c r="J8" s="15">
        <v>7252</v>
      </c>
      <c r="K8" s="15">
        <v>8728</v>
      </c>
      <c r="L8" s="15">
        <v>8751</v>
      </c>
      <c r="M8" s="15">
        <v>8074</v>
      </c>
      <c r="N8" s="15">
        <v>6972</v>
      </c>
      <c r="O8" s="15">
        <v>5171</v>
      </c>
      <c r="P8" s="15">
        <v>4071</v>
      </c>
      <c r="Q8" s="15">
        <v>3470</v>
      </c>
      <c r="R8" s="15">
        <v>3129</v>
      </c>
      <c r="S8" s="15">
        <v>2542</v>
      </c>
      <c r="T8" s="15">
        <v>2394</v>
      </c>
      <c r="U8" s="16">
        <f t="shared" si="0"/>
        <v>101501</v>
      </c>
    </row>
    <row r="9" spans="1:21">
      <c r="A9" s="12">
        <v>2006</v>
      </c>
      <c r="B9" s="4"/>
      <c r="C9" s="15">
        <v>5062</v>
      </c>
      <c r="D9" s="15">
        <v>5824</v>
      </c>
      <c r="E9" s="15">
        <v>6792</v>
      </c>
      <c r="F9" s="15">
        <v>6624</v>
      </c>
      <c r="G9" s="15">
        <v>5230</v>
      </c>
      <c r="H9" s="15">
        <v>5063</v>
      </c>
      <c r="I9" s="15">
        <v>5610</v>
      </c>
      <c r="J9" s="15">
        <v>7040</v>
      </c>
      <c r="K9" s="15">
        <v>8412</v>
      </c>
      <c r="L9" s="15">
        <v>8751</v>
      </c>
      <c r="M9" s="15">
        <v>8197</v>
      </c>
      <c r="N9" s="15">
        <v>7472</v>
      </c>
      <c r="O9" s="15">
        <v>5267</v>
      </c>
      <c r="P9" s="15">
        <v>4179</v>
      </c>
      <c r="Q9" s="15">
        <v>3426</v>
      </c>
      <c r="R9" s="15">
        <v>3201</v>
      </c>
      <c r="S9" s="15">
        <v>2515</v>
      </c>
      <c r="T9" s="15">
        <v>2493</v>
      </c>
      <c r="U9" s="16">
        <f t="shared" si="0"/>
        <v>101158</v>
      </c>
    </row>
    <row r="10" spans="1:21">
      <c r="A10" s="12">
        <v>2007</v>
      </c>
      <c r="B10" s="4"/>
      <c r="C10" s="15">
        <v>5086</v>
      </c>
      <c r="D10" s="15">
        <v>5761</v>
      </c>
      <c r="E10" s="15">
        <v>6518</v>
      </c>
      <c r="F10" s="15">
        <v>6725</v>
      </c>
      <c r="G10" s="15">
        <v>5136</v>
      </c>
      <c r="H10" s="15">
        <v>5157</v>
      </c>
      <c r="I10" s="15">
        <v>5454</v>
      </c>
      <c r="J10" s="15">
        <v>6871</v>
      </c>
      <c r="K10" s="15">
        <v>8046</v>
      </c>
      <c r="L10" s="15">
        <v>8781</v>
      </c>
      <c r="M10" s="15">
        <v>8308</v>
      </c>
      <c r="N10" s="15">
        <v>7607</v>
      </c>
      <c r="O10" s="15">
        <v>5703</v>
      </c>
      <c r="P10" s="15">
        <v>4301</v>
      </c>
      <c r="Q10" s="15">
        <v>3448</v>
      </c>
      <c r="R10" s="15">
        <v>3260</v>
      </c>
      <c r="S10" s="15">
        <v>2483</v>
      </c>
      <c r="T10" s="15">
        <v>2574</v>
      </c>
      <c r="U10" s="16">
        <f t="shared" si="0"/>
        <v>101219</v>
      </c>
    </row>
    <row r="11" spans="1:21">
      <c r="A11" s="12">
        <v>2008</v>
      </c>
      <c r="B11" s="4"/>
      <c r="C11" s="15">
        <v>5052</v>
      </c>
      <c r="D11" s="15">
        <v>5714</v>
      </c>
      <c r="E11" s="15">
        <v>6213</v>
      </c>
      <c r="F11" s="15">
        <v>6775</v>
      </c>
      <c r="G11" s="15">
        <v>5132</v>
      </c>
      <c r="H11" s="15">
        <v>5237</v>
      </c>
      <c r="I11" s="15">
        <v>5283</v>
      </c>
      <c r="J11" s="15">
        <v>6716</v>
      </c>
      <c r="K11" s="15">
        <v>7678</v>
      </c>
      <c r="L11" s="15">
        <v>8808</v>
      </c>
      <c r="M11" s="15">
        <v>8516</v>
      </c>
      <c r="N11" s="15">
        <v>7735</v>
      </c>
      <c r="O11" s="15">
        <v>5977</v>
      </c>
      <c r="P11" s="15">
        <v>4583</v>
      </c>
      <c r="Q11" s="15">
        <v>3530</v>
      </c>
      <c r="R11" s="15">
        <v>3223</v>
      </c>
      <c r="S11" s="15">
        <v>2614</v>
      </c>
      <c r="T11" s="15">
        <v>2535</v>
      </c>
      <c r="U11" s="16">
        <f t="shared" si="0"/>
        <v>101321</v>
      </c>
    </row>
    <row r="12" spans="1:21">
      <c r="A12" s="12">
        <v>2009</v>
      </c>
      <c r="B12" s="4"/>
      <c r="C12" s="15">
        <v>5030</v>
      </c>
      <c r="D12" s="15">
        <v>5533</v>
      </c>
      <c r="E12" s="15">
        <v>6118</v>
      </c>
      <c r="F12" s="15">
        <v>6561</v>
      </c>
      <c r="G12" s="15">
        <v>5183</v>
      </c>
      <c r="H12" s="15">
        <v>5080</v>
      </c>
      <c r="I12" s="15">
        <v>5380</v>
      </c>
      <c r="J12" s="15">
        <v>6464</v>
      </c>
      <c r="K12" s="15">
        <v>7276</v>
      </c>
      <c r="L12" s="15">
        <v>8651</v>
      </c>
      <c r="M12" s="15">
        <v>8612</v>
      </c>
      <c r="N12" s="15">
        <v>7893</v>
      </c>
      <c r="O12" s="15">
        <v>6353</v>
      </c>
      <c r="P12" s="15">
        <v>4816</v>
      </c>
      <c r="Q12" s="15">
        <v>3612</v>
      </c>
      <c r="R12" s="15">
        <v>3150</v>
      </c>
      <c r="S12" s="15">
        <v>2652</v>
      </c>
      <c r="T12" s="15">
        <v>2627</v>
      </c>
      <c r="U12" s="16">
        <f t="shared" si="0"/>
        <v>100991</v>
      </c>
    </row>
    <row r="13" spans="1:21">
      <c r="A13" s="12">
        <v>2010</v>
      </c>
      <c r="B13" s="4"/>
      <c r="C13" s="15">
        <v>4989</v>
      </c>
      <c r="D13" s="15">
        <v>5462</v>
      </c>
      <c r="E13" s="15">
        <v>6016</v>
      </c>
      <c r="F13" s="15">
        <v>6396</v>
      </c>
      <c r="G13" s="15">
        <v>5141</v>
      </c>
      <c r="H13" s="15">
        <v>5164</v>
      </c>
      <c r="I13" s="15">
        <v>5392</v>
      </c>
      <c r="J13" s="15">
        <v>6107</v>
      </c>
      <c r="K13" s="15">
        <v>7109</v>
      </c>
      <c r="L13" s="15">
        <v>8509</v>
      </c>
      <c r="M13" s="15">
        <v>8703</v>
      </c>
      <c r="N13" s="15">
        <v>8086</v>
      </c>
      <c r="O13" s="15">
        <v>6770</v>
      </c>
      <c r="P13" s="15">
        <v>4954</v>
      </c>
      <c r="Q13" s="15">
        <v>3752</v>
      </c>
      <c r="R13" s="15">
        <v>3098</v>
      </c>
      <c r="S13" s="15">
        <v>2656</v>
      </c>
      <c r="T13" s="15">
        <v>2756</v>
      </c>
      <c r="U13" s="16">
        <f t="shared" si="0"/>
        <v>101060</v>
      </c>
    </row>
    <row r="14" spans="1:21">
      <c r="A14" s="23">
        <v>2015</v>
      </c>
      <c r="B14" s="4"/>
      <c r="C14" s="15">
        <v>4796.0546304657464</v>
      </c>
      <c r="D14" s="15">
        <v>5145.9836112161138</v>
      </c>
      <c r="E14" s="15">
        <v>5517.0149858762152</v>
      </c>
      <c r="F14" s="15">
        <v>6067.3548170565346</v>
      </c>
      <c r="G14" s="15">
        <v>6101.0596495937298</v>
      </c>
      <c r="H14" s="15">
        <v>5278.8322967365466</v>
      </c>
      <c r="I14" s="15">
        <v>5167.9310489870659</v>
      </c>
      <c r="J14" s="15">
        <v>5410.952831175855</v>
      </c>
      <c r="K14" s="15">
        <v>6071.2566247847262</v>
      </c>
      <c r="L14" s="15">
        <v>7027.6578112477673</v>
      </c>
      <c r="M14" s="15">
        <v>8457.1446602753422</v>
      </c>
      <c r="N14" s="15">
        <v>8513.5827462870438</v>
      </c>
      <c r="O14" s="15">
        <v>7894.3919364334424</v>
      </c>
      <c r="P14" s="15">
        <v>6545.3042203764762</v>
      </c>
      <c r="Q14" s="15">
        <v>4724.8276376251724</v>
      </c>
      <c r="R14" s="15">
        <v>3389.4817101292988</v>
      </c>
      <c r="S14" s="15">
        <v>2545.0642064641106</v>
      </c>
      <c r="T14" s="15">
        <v>3047.8627588387649</v>
      </c>
      <c r="U14" s="16">
        <f t="shared" si="0"/>
        <v>101701.75818356995</v>
      </c>
    </row>
    <row r="15" spans="1:21">
      <c r="A15" s="23">
        <v>2020</v>
      </c>
      <c r="B15" s="4"/>
      <c r="C15" s="15">
        <v>4899.5805320736563</v>
      </c>
      <c r="D15" s="15">
        <v>4985.4873134197796</v>
      </c>
      <c r="E15" s="15">
        <v>5222.265223250477</v>
      </c>
      <c r="F15" s="15">
        <v>5595.1739569184938</v>
      </c>
      <c r="G15" s="15">
        <v>5852.8530749196016</v>
      </c>
      <c r="H15" s="15">
        <v>6065.0686351176537</v>
      </c>
      <c r="I15" s="15">
        <v>5284.6389450934294</v>
      </c>
      <c r="J15" s="15">
        <v>5226.9747727732465</v>
      </c>
      <c r="K15" s="15">
        <v>5447.9188330697352</v>
      </c>
      <c r="L15" s="15">
        <v>6049.9071706608229</v>
      </c>
      <c r="M15" s="15">
        <v>7020.4728570390644</v>
      </c>
      <c r="N15" s="15">
        <v>8262.0540935503377</v>
      </c>
      <c r="O15" s="15">
        <v>8302.5389792226688</v>
      </c>
      <c r="P15" s="15">
        <v>7618.9417903760695</v>
      </c>
      <c r="Q15" s="15">
        <v>6202.9595504444123</v>
      </c>
      <c r="R15" s="15">
        <v>4272.1415741842575</v>
      </c>
      <c r="S15" s="15">
        <v>2791.8353875256753</v>
      </c>
      <c r="T15" s="15">
        <v>3127.3331839596831</v>
      </c>
      <c r="U15" s="16">
        <f t="shared" si="0"/>
        <v>102228.14587359907</v>
      </c>
    </row>
    <row r="16" spans="1:21">
      <c r="A16" s="23">
        <v>2025</v>
      </c>
      <c r="B16" s="4"/>
      <c r="C16" s="15">
        <v>4985.5341143052483</v>
      </c>
      <c r="D16" s="15">
        <v>5096.5819689245836</v>
      </c>
      <c r="E16" s="15">
        <v>5075.7519401395593</v>
      </c>
      <c r="F16" s="15">
        <v>5322.7924197674056</v>
      </c>
      <c r="G16" s="15">
        <v>5470.1391825147721</v>
      </c>
      <c r="H16" s="15">
        <v>5916.9094151709032</v>
      </c>
      <c r="I16" s="15">
        <v>5962.3781165442042</v>
      </c>
      <c r="J16" s="15">
        <v>5346.7228310834025</v>
      </c>
      <c r="K16" s="15">
        <v>5294.0203005749645</v>
      </c>
      <c r="L16" s="15">
        <v>5481.5381790460087</v>
      </c>
      <c r="M16" s="15">
        <v>6082.9314937457975</v>
      </c>
      <c r="N16" s="15">
        <v>6891.6066979439538</v>
      </c>
      <c r="O16" s="15">
        <v>8047.7920935782295</v>
      </c>
      <c r="P16" s="15">
        <v>8002.9482223472623</v>
      </c>
      <c r="Q16" s="15">
        <v>7208.7115015572608</v>
      </c>
      <c r="R16" s="15">
        <v>5578.5924816994057</v>
      </c>
      <c r="S16" s="15">
        <v>3521.4952205417535</v>
      </c>
      <c r="T16" s="15">
        <v>3330.8832402200733</v>
      </c>
      <c r="U16" s="16">
        <f t="shared" si="0"/>
        <v>102617.32941970479</v>
      </c>
    </row>
    <row r="17" spans="1:21">
      <c r="A17" s="23">
        <v>2030</v>
      </c>
      <c r="B17" s="4"/>
      <c r="C17" s="15">
        <v>4971.8948470086361</v>
      </c>
      <c r="D17" s="15">
        <v>5192.3161774135306</v>
      </c>
      <c r="E17" s="15">
        <v>5190.6053568315247</v>
      </c>
      <c r="F17" s="15">
        <v>5191.3415830231434</v>
      </c>
      <c r="G17" s="15">
        <v>5265.6530828680916</v>
      </c>
      <c r="H17" s="15">
        <v>5639.6282822846051</v>
      </c>
      <c r="I17" s="15">
        <v>5872.3889530724573</v>
      </c>
      <c r="J17" s="15">
        <v>5960.7788499915778</v>
      </c>
      <c r="K17" s="15">
        <v>5417.1724913875396</v>
      </c>
      <c r="L17" s="15">
        <v>5350.696430918978</v>
      </c>
      <c r="M17" s="15">
        <v>5553.8661625003624</v>
      </c>
      <c r="N17" s="15">
        <v>6007.3579547985237</v>
      </c>
      <c r="O17" s="15">
        <v>6744.211745521663</v>
      </c>
      <c r="P17" s="15">
        <v>7747.4801378494149</v>
      </c>
      <c r="Q17" s="15">
        <v>7563.6583636487721</v>
      </c>
      <c r="R17" s="15">
        <v>6474.6408934037709</v>
      </c>
      <c r="S17" s="15">
        <v>4582.5890365308787</v>
      </c>
      <c r="T17" s="15">
        <v>3902.1664017293879</v>
      </c>
      <c r="U17" s="16">
        <f t="shared" si="0"/>
        <v>102628.44675078287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v>5638</v>
      </c>
      <c r="D20" s="15">
        <v>6559</v>
      </c>
      <c r="E20" s="15">
        <v>7408</v>
      </c>
      <c r="F20" s="15">
        <v>6533</v>
      </c>
      <c r="G20" s="15">
        <v>4466</v>
      </c>
      <c r="H20" s="15">
        <v>4842</v>
      </c>
      <c r="I20" s="15">
        <v>6281</v>
      </c>
      <c r="J20" s="15">
        <v>7577</v>
      </c>
      <c r="K20" s="15">
        <v>8495</v>
      </c>
      <c r="L20" s="15">
        <v>7864</v>
      </c>
      <c r="M20" s="15">
        <v>7189</v>
      </c>
      <c r="N20" s="15">
        <v>5179</v>
      </c>
      <c r="O20" s="15">
        <v>4021</v>
      </c>
      <c r="P20" s="15">
        <v>3323</v>
      </c>
      <c r="Q20" s="15">
        <v>2963</v>
      </c>
      <c r="R20" s="15">
        <v>2344</v>
      </c>
      <c r="S20" s="15">
        <v>1388</v>
      </c>
      <c r="T20" s="15">
        <v>905</v>
      </c>
      <c r="U20" s="16">
        <f>SUM(C20:T20)</f>
        <v>92975</v>
      </c>
    </row>
    <row r="21" spans="1:21">
      <c r="A21" s="12">
        <v>2002</v>
      </c>
      <c r="B21" s="4"/>
      <c r="C21" s="15">
        <v>5649</v>
      </c>
      <c r="D21" s="15">
        <v>6470</v>
      </c>
      <c r="E21" s="15">
        <v>7422</v>
      </c>
      <c r="F21" s="15">
        <v>6720</v>
      </c>
      <c r="G21" s="15">
        <v>4662</v>
      </c>
      <c r="H21" s="15">
        <v>4896</v>
      </c>
      <c r="I21" s="15">
        <v>6267</v>
      </c>
      <c r="J21" s="15">
        <v>7404</v>
      </c>
      <c r="K21" s="15">
        <v>8525</v>
      </c>
      <c r="L21" s="15">
        <v>8182</v>
      </c>
      <c r="M21" s="15">
        <v>7196</v>
      </c>
      <c r="N21" s="15">
        <v>5749</v>
      </c>
      <c r="O21" s="15">
        <v>4162</v>
      </c>
      <c r="P21" s="15">
        <v>3410</v>
      </c>
      <c r="Q21" s="15">
        <v>2982</v>
      </c>
      <c r="R21" s="15">
        <v>2326</v>
      </c>
      <c r="S21" s="15">
        <v>1436</v>
      </c>
      <c r="T21" s="15">
        <v>981</v>
      </c>
      <c r="U21" s="16">
        <f t="shared" ref="U21:U33" si="1">SUM(C21:T21)</f>
        <v>94439</v>
      </c>
    </row>
    <row r="22" spans="1:21">
      <c r="A22" s="12">
        <v>2003</v>
      </c>
      <c r="B22" s="4"/>
      <c r="C22" s="15">
        <v>5661</v>
      </c>
      <c r="D22" s="15">
        <v>6379</v>
      </c>
      <c r="E22" s="15">
        <v>7356</v>
      </c>
      <c r="F22" s="15">
        <v>6799</v>
      </c>
      <c r="G22" s="15">
        <v>4957</v>
      </c>
      <c r="H22" s="15">
        <v>4891</v>
      </c>
      <c r="I22" s="15">
        <v>6156</v>
      </c>
      <c r="J22" s="15">
        <v>7273</v>
      </c>
      <c r="K22" s="15">
        <v>8435</v>
      </c>
      <c r="L22" s="15">
        <v>8433</v>
      </c>
      <c r="M22" s="15">
        <v>7363</v>
      </c>
      <c r="N22" s="15">
        <v>6076</v>
      </c>
      <c r="O22" s="15">
        <v>4435</v>
      </c>
      <c r="P22" s="15">
        <v>3534</v>
      </c>
      <c r="Q22" s="15">
        <v>2936</v>
      </c>
      <c r="R22" s="15">
        <v>2315</v>
      </c>
      <c r="S22" s="15">
        <v>1521</v>
      </c>
      <c r="T22" s="15">
        <v>1015</v>
      </c>
      <c r="U22" s="16">
        <f t="shared" si="1"/>
        <v>95535</v>
      </c>
    </row>
    <row r="23" spans="1:21">
      <c r="A23" s="12">
        <v>2004</v>
      </c>
      <c r="B23" s="4"/>
      <c r="C23" s="15">
        <v>5674</v>
      </c>
      <c r="D23" s="15">
        <v>6293</v>
      </c>
      <c r="E23" s="15">
        <v>7331</v>
      </c>
      <c r="F23" s="15">
        <v>6841</v>
      </c>
      <c r="G23" s="15">
        <v>5089</v>
      </c>
      <c r="H23" s="15">
        <v>4804</v>
      </c>
      <c r="I23" s="15">
        <v>6159</v>
      </c>
      <c r="J23" s="15">
        <v>6990</v>
      </c>
      <c r="K23" s="15">
        <v>8464</v>
      </c>
      <c r="L23" s="15">
        <v>8468</v>
      </c>
      <c r="M23" s="15">
        <v>7646</v>
      </c>
      <c r="N23" s="15">
        <v>6379</v>
      </c>
      <c r="O23" s="15">
        <v>4705</v>
      </c>
      <c r="P23" s="15">
        <v>3652</v>
      </c>
      <c r="Q23" s="15">
        <v>2908</v>
      </c>
      <c r="R23" s="15">
        <v>2356</v>
      </c>
      <c r="S23" s="15">
        <v>1590</v>
      </c>
      <c r="T23" s="15">
        <v>1023</v>
      </c>
      <c r="U23" s="16">
        <f t="shared" si="1"/>
        <v>96372</v>
      </c>
    </row>
    <row r="24" spans="1:21">
      <c r="A24" s="12">
        <v>2005</v>
      </c>
      <c r="B24" s="4"/>
      <c r="C24" s="15">
        <v>5675</v>
      </c>
      <c r="D24" s="15">
        <v>6235</v>
      </c>
      <c r="E24" s="15">
        <v>7080</v>
      </c>
      <c r="F24" s="15">
        <v>6900</v>
      </c>
      <c r="G24" s="15">
        <v>5192</v>
      </c>
      <c r="H24" s="15">
        <v>4846</v>
      </c>
      <c r="I24" s="15">
        <v>5815</v>
      </c>
      <c r="J24" s="15">
        <v>6898</v>
      </c>
      <c r="K24" s="15">
        <v>8333</v>
      </c>
      <c r="L24" s="15">
        <v>8515</v>
      </c>
      <c r="M24" s="15">
        <v>7752</v>
      </c>
      <c r="N24" s="15">
        <v>6824</v>
      </c>
      <c r="O24" s="15">
        <v>4924</v>
      </c>
      <c r="P24" s="15">
        <v>3694</v>
      </c>
      <c r="Q24" s="15">
        <v>2892</v>
      </c>
      <c r="R24" s="15">
        <v>2371</v>
      </c>
      <c r="S24" s="15">
        <v>1646</v>
      </c>
      <c r="T24" s="15">
        <v>1106</v>
      </c>
      <c r="U24" s="16">
        <f t="shared" si="1"/>
        <v>96698</v>
      </c>
    </row>
    <row r="25" spans="1:21">
      <c r="A25" s="12">
        <v>2006</v>
      </c>
      <c r="B25" s="4"/>
      <c r="C25" s="15">
        <v>5553</v>
      </c>
      <c r="D25" s="15">
        <v>6077</v>
      </c>
      <c r="E25" s="15">
        <v>6930</v>
      </c>
      <c r="F25" s="15">
        <v>6868</v>
      </c>
      <c r="G25" s="15">
        <v>5312</v>
      </c>
      <c r="H25" s="15">
        <v>4829</v>
      </c>
      <c r="I25" s="15">
        <v>5467</v>
      </c>
      <c r="J25" s="15">
        <v>6868</v>
      </c>
      <c r="K25" s="15">
        <v>7987</v>
      </c>
      <c r="L25" s="15">
        <v>8589</v>
      </c>
      <c r="M25" s="15">
        <v>7841</v>
      </c>
      <c r="N25" s="15">
        <v>7164</v>
      </c>
      <c r="O25" s="15">
        <v>5069</v>
      </c>
      <c r="P25" s="15">
        <v>3780</v>
      </c>
      <c r="Q25" s="15">
        <v>2927</v>
      </c>
      <c r="R25" s="15">
        <v>2354</v>
      </c>
      <c r="S25" s="15">
        <v>1736</v>
      </c>
      <c r="T25" s="15">
        <v>1126</v>
      </c>
      <c r="U25" s="16">
        <f t="shared" si="1"/>
        <v>96477</v>
      </c>
    </row>
    <row r="26" spans="1:21">
      <c r="A26" s="12">
        <v>2007</v>
      </c>
      <c r="B26" s="4"/>
      <c r="C26" s="15">
        <v>5467</v>
      </c>
      <c r="D26" s="15">
        <v>5999</v>
      </c>
      <c r="E26" s="15">
        <v>6718</v>
      </c>
      <c r="F26" s="15">
        <v>6800</v>
      </c>
      <c r="G26" s="15">
        <v>5355</v>
      </c>
      <c r="H26" s="15">
        <v>4973</v>
      </c>
      <c r="I26" s="15">
        <v>5277</v>
      </c>
      <c r="J26" s="15">
        <v>6676</v>
      </c>
      <c r="K26" s="15">
        <v>7720</v>
      </c>
      <c r="L26" s="15">
        <v>8596</v>
      </c>
      <c r="M26" s="15">
        <v>8010</v>
      </c>
      <c r="N26" s="15">
        <v>7027</v>
      </c>
      <c r="O26" s="15">
        <v>5628</v>
      </c>
      <c r="P26" s="15">
        <v>3797</v>
      </c>
      <c r="Q26" s="15">
        <v>2998</v>
      </c>
      <c r="R26" s="15">
        <v>2404</v>
      </c>
      <c r="S26" s="15">
        <v>1729</v>
      </c>
      <c r="T26" s="15">
        <v>1201</v>
      </c>
      <c r="U26" s="16">
        <f t="shared" si="1"/>
        <v>96375</v>
      </c>
    </row>
    <row r="27" spans="1:21">
      <c r="A27" s="12">
        <v>2008</v>
      </c>
      <c r="B27" s="4"/>
      <c r="C27" s="15">
        <v>5435</v>
      </c>
      <c r="D27" s="15">
        <v>5918</v>
      </c>
      <c r="E27" s="15">
        <v>6483</v>
      </c>
      <c r="F27" s="15">
        <v>6740</v>
      </c>
      <c r="G27" s="15">
        <v>5306</v>
      </c>
      <c r="H27" s="15">
        <v>5067</v>
      </c>
      <c r="I27" s="15">
        <v>5202</v>
      </c>
      <c r="J27" s="15">
        <v>6525</v>
      </c>
      <c r="K27" s="15">
        <v>7484</v>
      </c>
      <c r="L27" s="15">
        <v>8431</v>
      </c>
      <c r="M27" s="15">
        <v>8192</v>
      </c>
      <c r="N27" s="15">
        <v>7147</v>
      </c>
      <c r="O27" s="15">
        <v>5926</v>
      </c>
      <c r="P27" s="15">
        <v>4007</v>
      </c>
      <c r="Q27" s="15">
        <v>3042</v>
      </c>
      <c r="R27" s="15">
        <v>2414</v>
      </c>
      <c r="S27" s="15">
        <v>1740</v>
      </c>
      <c r="T27" s="15">
        <v>1270</v>
      </c>
      <c r="U27" s="16">
        <f t="shared" si="1"/>
        <v>96329</v>
      </c>
    </row>
    <row r="28" spans="1:21">
      <c r="A28" s="12">
        <v>2009</v>
      </c>
      <c r="B28" s="4"/>
      <c r="C28" s="15">
        <v>5310</v>
      </c>
      <c r="D28" s="15">
        <v>5881</v>
      </c>
      <c r="E28" s="15">
        <v>6329</v>
      </c>
      <c r="F28" s="15">
        <v>6672</v>
      </c>
      <c r="G28" s="15">
        <v>5372</v>
      </c>
      <c r="H28" s="15">
        <v>5077</v>
      </c>
      <c r="I28" s="15">
        <v>5231</v>
      </c>
      <c r="J28" s="15">
        <v>6242</v>
      </c>
      <c r="K28" s="15">
        <v>7075</v>
      </c>
      <c r="L28" s="15">
        <v>8438</v>
      </c>
      <c r="M28" s="15">
        <v>8198</v>
      </c>
      <c r="N28" s="15">
        <v>7346</v>
      </c>
      <c r="O28" s="15">
        <v>6132</v>
      </c>
      <c r="P28" s="15">
        <v>4285</v>
      </c>
      <c r="Q28" s="15">
        <v>3149</v>
      </c>
      <c r="R28" s="15">
        <v>2386</v>
      </c>
      <c r="S28" s="15">
        <v>1763</v>
      </c>
      <c r="T28" s="15">
        <v>1315</v>
      </c>
      <c r="U28" s="16">
        <f t="shared" si="1"/>
        <v>96201</v>
      </c>
    </row>
    <row r="29" spans="1:21">
      <c r="A29" s="12">
        <v>2010</v>
      </c>
      <c r="B29" s="4"/>
      <c r="C29" s="15">
        <v>5284</v>
      </c>
      <c r="D29" s="15">
        <v>5836</v>
      </c>
      <c r="E29" s="15">
        <v>6253</v>
      </c>
      <c r="F29" s="15">
        <v>6432</v>
      </c>
      <c r="G29" s="15">
        <v>5362</v>
      </c>
      <c r="H29" s="15">
        <v>5094</v>
      </c>
      <c r="I29" s="15">
        <v>5270</v>
      </c>
      <c r="J29" s="15">
        <v>5891</v>
      </c>
      <c r="K29" s="15">
        <v>6918</v>
      </c>
      <c r="L29" s="15">
        <v>8245</v>
      </c>
      <c r="M29" s="15">
        <v>8284</v>
      </c>
      <c r="N29" s="15">
        <v>7411</v>
      </c>
      <c r="O29" s="15">
        <v>6515</v>
      </c>
      <c r="P29" s="15">
        <v>4486</v>
      </c>
      <c r="Q29" s="15">
        <v>3224</v>
      </c>
      <c r="R29" s="15">
        <v>2416</v>
      </c>
      <c r="S29" s="15">
        <v>1787</v>
      </c>
      <c r="T29" s="15">
        <v>1382</v>
      </c>
      <c r="U29" s="16">
        <f t="shared" si="1"/>
        <v>96090</v>
      </c>
    </row>
    <row r="30" spans="1:21">
      <c r="A30" s="23">
        <v>2015</v>
      </c>
      <c r="B30" s="4"/>
      <c r="C30" s="15">
        <v>5095.9255382090105</v>
      </c>
      <c r="D30" s="15">
        <v>5474.2714549874599</v>
      </c>
      <c r="E30" s="15">
        <v>5907.9225465015088</v>
      </c>
      <c r="F30" s="15">
        <v>6315.8925921155196</v>
      </c>
      <c r="G30" s="15">
        <v>6168.6299869731829</v>
      </c>
      <c r="H30" s="15">
        <v>5539.5463939675283</v>
      </c>
      <c r="I30" s="15">
        <v>5142.1083510333738</v>
      </c>
      <c r="J30" s="15">
        <v>5319.8156727721198</v>
      </c>
      <c r="K30" s="15">
        <v>5866.358187625895</v>
      </c>
      <c r="L30" s="15">
        <v>6832.1947745236548</v>
      </c>
      <c r="M30" s="15">
        <v>8168.2316663123647</v>
      </c>
      <c r="N30" s="15">
        <v>8026.581480591135</v>
      </c>
      <c r="O30" s="15">
        <v>7132.9331417407411</v>
      </c>
      <c r="P30" s="15">
        <v>6189.5879777181262</v>
      </c>
      <c r="Q30" s="15">
        <v>4174.2277303139153</v>
      </c>
      <c r="R30" s="15">
        <v>2783.0201821226956</v>
      </c>
      <c r="S30" s="15">
        <v>1821.9582201977814</v>
      </c>
      <c r="T30" s="15">
        <v>1638.0741225791849</v>
      </c>
      <c r="U30" s="16">
        <f t="shared" si="1"/>
        <v>97597.280020285179</v>
      </c>
    </row>
    <row r="31" spans="1:21">
      <c r="A31" s="23">
        <v>2020</v>
      </c>
      <c r="B31" s="4"/>
      <c r="C31" s="15">
        <v>5205.9243448361631</v>
      </c>
      <c r="D31" s="15">
        <v>5317.5891841439452</v>
      </c>
      <c r="E31" s="15">
        <v>5567.9484454799722</v>
      </c>
      <c r="F31" s="15">
        <v>5992.1894380184385</v>
      </c>
      <c r="G31" s="15">
        <v>6103.1447481420128</v>
      </c>
      <c r="H31" s="15">
        <v>6197.6796903770955</v>
      </c>
      <c r="I31" s="15">
        <v>5549.9469782530368</v>
      </c>
      <c r="J31" s="15">
        <v>5223.7224754833442</v>
      </c>
      <c r="K31" s="15">
        <v>5365.0978100677557</v>
      </c>
      <c r="L31" s="15">
        <v>5847.2253452712584</v>
      </c>
      <c r="M31" s="15">
        <v>6805.8514807902666</v>
      </c>
      <c r="N31" s="15">
        <v>7902.4742521768212</v>
      </c>
      <c r="O31" s="15">
        <v>7709.6913871643565</v>
      </c>
      <c r="P31" s="15">
        <v>6782.2066894294057</v>
      </c>
      <c r="Q31" s="15">
        <v>5705.8108554374139</v>
      </c>
      <c r="R31" s="15">
        <v>3604.4710016455742</v>
      </c>
      <c r="S31" s="15">
        <v>2103.8157991619923</v>
      </c>
      <c r="T31" s="15">
        <v>1774.7990357519211</v>
      </c>
      <c r="U31" s="16">
        <f t="shared" si="1"/>
        <v>98759.588961630798</v>
      </c>
    </row>
    <row r="32" spans="1:21">
      <c r="A32" s="23">
        <v>2025</v>
      </c>
      <c r="B32" s="4"/>
      <c r="C32" s="15">
        <v>5297.2521316407883</v>
      </c>
      <c r="D32" s="15">
        <v>5435.883274645249</v>
      </c>
      <c r="E32" s="15">
        <v>5424.786614380745</v>
      </c>
      <c r="F32" s="15">
        <v>5675.6748644256104</v>
      </c>
      <c r="G32" s="15">
        <v>5848.3235811301556</v>
      </c>
      <c r="H32" s="15">
        <v>6200.8812747061802</v>
      </c>
      <c r="I32" s="15">
        <v>6111.5499365042579</v>
      </c>
      <c r="J32" s="15">
        <v>5610.4515374907232</v>
      </c>
      <c r="K32" s="15">
        <v>5293.6193923713945</v>
      </c>
      <c r="L32" s="15">
        <v>5398.8870929799659</v>
      </c>
      <c r="M32" s="15">
        <v>5868.4010696104488</v>
      </c>
      <c r="N32" s="15">
        <v>6618.9123820969198</v>
      </c>
      <c r="O32" s="15">
        <v>7580.1999159599472</v>
      </c>
      <c r="P32" s="15">
        <v>7313.6666859693414</v>
      </c>
      <c r="Q32" s="15">
        <v>6258.3337509961257</v>
      </c>
      <c r="R32" s="15">
        <v>4886.2739117542333</v>
      </c>
      <c r="S32" s="15">
        <v>2726.3555181897641</v>
      </c>
      <c r="T32" s="15">
        <v>2003.9213774680507</v>
      </c>
      <c r="U32" s="16">
        <f t="shared" si="1"/>
        <v>99553.374312319909</v>
      </c>
    </row>
    <row r="33" spans="1:21">
      <c r="A33" s="23">
        <v>2030</v>
      </c>
      <c r="B33" s="4"/>
      <c r="C33" s="15">
        <v>5282.7600760045261</v>
      </c>
      <c r="D33" s="15">
        <v>5537.7093012391642</v>
      </c>
      <c r="E33" s="15">
        <v>5547.1965364262069</v>
      </c>
      <c r="F33" s="15">
        <v>5547.3467628156886</v>
      </c>
      <c r="G33" s="15">
        <v>5604.6866898071057</v>
      </c>
      <c r="H33" s="15">
        <v>6029.4717525842061</v>
      </c>
      <c r="I33" s="15">
        <v>6154.0195120235094</v>
      </c>
      <c r="J33" s="15">
        <v>6113.7311278249581</v>
      </c>
      <c r="K33" s="15">
        <v>5665.3170306853726</v>
      </c>
      <c r="L33" s="15">
        <v>5346.2652272497835</v>
      </c>
      <c r="M33" s="15">
        <v>5459.6828688398382</v>
      </c>
      <c r="N33" s="15">
        <v>5747.371882343381</v>
      </c>
      <c r="O33" s="15">
        <v>6381.8009733411454</v>
      </c>
      <c r="P33" s="15">
        <v>7180.2002923353566</v>
      </c>
      <c r="Q33" s="15">
        <v>6734.1396319746837</v>
      </c>
      <c r="R33" s="15">
        <v>5365.5882210415512</v>
      </c>
      <c r="S33" s="15">
        <v>3674.0707248015528</v>
      </c>
      <c r="T33" s="15">
        <v>2470.8347577006243</v>
      </c>
      <c r="U33" s="16">
        <f t="shared" si="1"/>
        <v>99842.19336903865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C20+C4</f>
        <v>11046</v>
      </c>
      <c r="D36" s="15">
        <f t="shared" ref="D36:T36" si="2">D20+D4</f>
        <v>13034</v>
      </c>
      <c r="E36" s="15">
        <f t="shared" si="2"/>
        <v>14410</v>
      </c>
      <c r="F36" s="15">
        <f t="shared" si="2"/>
        <v>12851</v>
      </c>
      <c r="G36" s="15">
        <f t="shared" si="2"/>
        <v>9058</v>
      </c>
      <c r="H36" s="15">
        <f t="shared" si="2"/>
        <v>9949</v>
      </c>
      <c r="I36" s="15">
        <f t="shared" si="2"/>
        <v>12867</v>
      </c>
      <c r="J36" s="15">
        <f t="shared" si="2"/>
        <v>15815</v>
      </c>
      <c r="K36" s="15">
        <f t="shared" si="2"/>
        <v>17230</v>
      </c>
      <c r="L36" s="15">
        <f t="shared" si="2"/>
        <v>15982</v>
      </c>
      <c r="M36" s="15">
        <f t="shared" si="2"/>
        <v>14501</v>
      </c>
      <c r="N36" s="15">
        <f t="shared" si="2"/>
        <v>10419</v>
      </c>
      <c r="O36" s="15">
        <f t="shared" si="2"/>
        <v>8282</v>
      </c>
      <c r="P36" s="15">
        <f t="shared" si="2"/>
        <v>7066</v>
      </c>
      <c r="Q36" s="15">
        <f t="shared" si="2"/>
        <v>6584</v>
      </c>
      <c r="R36" s="15">
        <f t="shared" si="2"/>
        <v>5402</v>
      </c>
      <c r="S36" s="15">
        <f t="shared" si="2"/>
        <v>3641</v>
      </c>
      <c r="T36" s="15">
        <f t="shared" si="2"/>
        <v>3124</v>
      </c>
      <c r="U36" s="16">
        <f>SUM(C36:T36)</f>
        <v>191261</v>
      </c>
    </row>
    <row r="37" spans="1:21">
      <c r="A37" s="12">
        <v>2002</v>
      </c>
      <c r="B37" s="4"/>
      <c r="C37" s="15">
        <f t="shared" ref="C37:T49" si="3">C21+C5</f>
        <v>11054</v>
      </c>
      <c r="D37" s="15">
        <f t="shared" si="3"/>
        <v>12775</v>
      </c>
      <c r="E37" s="15">
        <f t="shared" si="3"/>
        <v>14546</v>
      </c>
      <c r="F37" s="15">
        <f t="shared" si="3"/>
        <v>13189</v>
      </c>
      <c r="G37" s="15">
        <f t="shared" si="3"/>
        <v>9366</v>
      </c>
      <c r="H37" s="15">
        <f t="shared" si="3"/>
        <v>9984</v>
      </c>
      <c r="I37" s="15">
        <f t="shared" si="3"/>
        <v>12755</v>
      </c>
      <c r="J37" s="15">
        <f t="shared" si="3"/>
        <v>15503</v>
      </c>
      <c r="K37" s="15">
        <f t="shared" si="3"/>
        <v>17382</v>
      </c>
      <c r="L37" s="15">
        <f t="shared" si="3"/>
        <v>16436</v>
      </c>
      <c r="M37" s="15">
        <f t="shared" si="3"/>
        <v>14732</v>
      </c>
      <c r="N37" s="15">
        <f t="shared" si="3"/>
        <v>11553</v>
      </c>
      <c r="O37" s="15">
        <f t="shared" si="3"/>
        <v>8566</v>
      </c>
      <c r="P37" s="15">
        <f t="shared" si="3"/>
        <v>7210</v>
      </c>
      <c r="Q37" s="15">
        <f t="shared" si="3"/>
        <v>6626</v>
      </c>
      <c r="R37" s="15">
        <f t="shared" si="3"/>
        <v>5394</v>
      </c>
      <c r="S37" s="15">
        <f t="shared" si="3"/>
        <v>3761</v>
      </c>
      <c r="T37" s="15">
        <f t="shared" si="3"/>
        <v>3268</v>
      </c>
      <c r="U37" s="16">
        <f t="shared" ref="U37:U49" si="4">SUM(C37:T37)</f>
        <v>194100</v>
      </c>
    </row>
    <row r="38" spans="1:21">
      <c r="A38" s="12">
        <v>2003</v>
      </c>
      <c r="B38" s="4"/>
      <c r="C38" s="15">
        <f t="shared" si="3"/>
        <v>10967</v>
      </c>
      <c r="D38" s="15">
        <f t="shared" si="3"/>
        <v>12399</v>
      </c>
      <c r="E38" s="15">
        <f t="shared" si="3"/>
        <v>14547</v>
      </c>
      <c r="F38" s="15">
        <f t="shared" si="3"/>
        <v>13323</v>
      </c>
      <c r="G38" s="15">
        <f t="shared" si="3"/>
        <v>9807</v>
      </c>
      <c r="H38" s="15">
        <f t="shared" si="3"/>
        <v>9947</v>
      </c>
      <c r="I38" s="15">
        <f t="shared" si="3"/>
        <v>12510</v>
      </c>
      <c r="J38" s="15">
        <f t="shared" si="3"/>
        <v>15000</v>
      </c>
      <c r="K38" s="15">
        <f t="shared" si="3"/>
        <v>17384</v>
      </c>
      <c r="L38" s="15">
        <f t="shared" si="3"/>
        <v>16909</v>
      </c>
      <c r="M38" s="15">
        <f t="shared" si="3"/>
        <v>15028</v>
      </c>
      <c r="N38" s="15">
        <f t="shared" si="3"/>
        <v>12203</v>
      </c>
      <c r="O38" s="15">
        <f t="shared" si="3"/>
        <v>9215</v>
      </c>
      <c r="P38" s="15">
        <f t="shared" si="3"/>
        <v>7442</v>
      </c>
      <c r="Q38" s="15">
        <f t="shared" si="3"/>
        <v>6534</v>
      </c>
      <c r="R38" s="15">
        <f t="shared" si="3"/>
        <v>5448</v>
      </c>
      <c r="S38" s="15">
        <f t="shared" si="3"/>
        <v>3848</v>
      </c>
      <c r="T38" s="15">
        <f t="shared" si="3"/>
        <v>3340</v>
      </c>
      <c r="U38" s="16">
        <f t="shared" si="4"/>
        <v>195851</v>
      </c>
    </row>
    <row r="39" spans="1:21">
      <c r="A39" s="12">
        <v>2004</v>
      </c>
      <c r="B39" s="4"/>
      <c r="C39" s="15">
        <f t="shared" si="3"/>
        <v>10993</v>
      </c>
      <c r="D39" s="15">
        <f t="shared" si="3"/>
        <v>12319</v>
      </c>
      <c r="E39" s="15">
        <f t="shared" si="3"/>
        <v>14402</v>
      </c>
      <c r="F39" s="15">
        <f t="shared" si="3"/>
        <v>13436</v>
      </c>
      <c r="G39" s="15">
        <f t="shared" si="3"/>
        <v>10028</v>
      </c>
      <c r="H39" s="15">
        <f t="shared" si="3"/>
        <v>9967</v>
      </c>
      <c r="I39" s="15">
        <f t="shared" si="3"/>
        <v>12300</v>
      </c>
      <c r="J39" s="15">
        <f t="shared" si="3"/>
        <v>14404</v>
      </c>
      <c r="K39" s="15">
        <f t="shared" si="3"/>
        <v>17320</v>
      </c>
      <c r="L39" s="15">
        <f t="shared" si="3"/>
        <v>17069</v>
      </c>
      <c r="M39" s="15">
        <f t="shared" si="3"/>
        <v>15531</v>
      </c>
      <c r="N39" s="15">
        <f t="shared" si="3"/>
        <v>12942</v>
      </c>
      <c r="O39" s="15">
        <f t="shared" si="3"/>
        <v>9743</v>
      </c>
      <c r="P39" s="15">
        <f t="shared" si="3"/>
        <v>7619</v>
      </c>
      <c r="Q39" s="15">
        <f t="shared" si="3"/>
        <v>6447</v>
      </c>
      <c r="R39" s="15">
        <f t="shared" si="3"/>
        <v>5516</v>
      </c>
      <c r="S39" s="15">
        <f t="shared" si="3"/>
        <v>3988</v>
      </c>
      <c r="T39" s="15">
        <f t="shared" si="3"/>
        <v>3384</v>
      </c>
      <c r="U39" s="16">
        <f t="shared" si="4"/>
        <v>197408</v>
      </c>
    </row>
    <row r="40" spans="1:21">
      <c r="A40" s="12">
        <v>2005</v>
      </c>
      <c r="B40" s="4"/>
      <c r="C40" s="15">
        <f t="shared" si="3"/>
        <v>10931</v>
      </c>
      <c r="D40" s="15">
        <f t="shared" si="3"/>
        <v>12137</v>
      </c>
      <c r="E40" s="15">
        <f t="shared" si="3"/>
        <v>14030</v>
      </c>
      <c r="F40" s="15">
        <f t="shared" si="3"/>
        <v>13547</v>
      </c>
      <c r="G40" s="15">
        <f t="shared" si="3"/>
        <v>10362</v>
      </c>
      <c r="H40" s="15">
        <f t="shared" si="3"/>
        <v>10003</v>
      </c>
      <c r="I40" s="15">
        <f t="shared" si="3"/>
        <v>11680</v>
      </c>
      <c r="J40" s="15">
        <f t="shared" si="3"/>
        <v>14150</v>
      </c>
      <c r="K40" s="15">
        <f t="shared" si="3"/>
        <v>17061</v>
      </c>
      <c r="L40" s="15">
        <f t="shared" si="3"/>
        <v>17266</v>
      </c>
      <c r="M40" s="15">
        <f t="shared" si="3"/>
        <v>15826</v>
      </c>
      <c r="N40" s="15">
        <f t="shared" si="3"/>
        <v>13796</v>
      </c>
      <c r="O40" s="15">
        <f t="shared" si="3"/>
        <v>10095</v>
      </c>
      <c r="P40" s="15">
        <f t="shared" si="3"/>
        <v>7765</v>
      </c>
      <c r="Q40" s="15">
        <f t="shared" si="3"/>
        <v>6362</v>
      </c>
      <c r="R40" s="15">
        <f t="shared" si="3"/>
        <v>5500</v>
      </c>
      <c r="S40" s="15">
        <f t="shared" si="3"/>
        <v>4188</v>
      </c>
      <c r="T40" s="15">
        <f t="shared" si="3"/>
        <v>3500</v>
      </c>
      <c r="U40" s="16">
        <f t="shared" si="4"/>
        <v>198199</v>
      </c>
    </row>
    <row r="41" spans="1:21">
      <c r="A41" s="12">
        <v>2006</v>
      </c>
      <c r="B41" s="4"/>
      <c r="C41" s="15">
        <f t="shared" si="3"/>
        <v>10615</v>
      </c>
      <c r="D41" s="15">
        <f t="shared" si="3"/>
        <v>11901</v>
      </c>
      <c r="E41" s="15">
        <f t="shared" si="3"/>
        <v>13722</v>
      </c>
      <c r="F41" s="15">
        <f t="shared" si="3"/>
        <v>13492</v>
      </c>
      <c r="G41" s="15">
        <f t="shared" si="3"/>
        <v>10542</v>
      </c>
      <c r="H41" s="15">
        <f t="shared" si="3"/>
        <v>9892</v>
      </c>
      <c r="I41" s="15">
        <f t="shared" si="3"/>
        <v>11077</v>
      </c>
      <c r="J41" s="15">
        <f t="shared" si="3"/>
        <v>13908</v>
      </c>
      <c r="K41" s="15">
        <f t="shared" si="3"/>
        <v>16399</v>
      </c>
      <c r="L41" s="15">
        <f t="shared" si="3"/>
        <v>17340</v>
      </c>
      <c r="M41" s="15">
        <f t="shared" si="3"/>
        <v>16038</v>
      </c>
      <c r="N41" s="15">
        <f t="shared" si="3"/>
        <v>14636</v>
      </c>
      <c r="O41" s="15">
        <f t="shared" si="3"/>
        <v>10336</v>
      </c>
      <c r="P41" s="15">
        <f t="shared" si="3"/>
        <v>7959</v>
      </c>
      <c r="Q41" s="15">
        <f t="shared" si="3"/>
        <v>6353</v>
      </c>
      <c r="R41" s="15">
        <f t="shared" si="3"/>
        <v>5555</v>
      </c>
      <c r="S41" s="15">
        <f t="shared" si="3"/>
        <v>4251</v>
      </c>
      <c r="T41" s="15">
        <f t="shared" si="3"/>
        <v>3619</v>
      </c>
      <c r="U41" s="16">
        <f t="shared" si="4"/>
        <v>197635</v>
      </c>
    </row>
    <row r="42" spans="1:21">
      <c r="A42" s="12">
        <v>2007</v>
      </c>
      <c r="B42" s="4"/>
      <c r="C42" s="15">
        <f t="shared" si="3"/>
        <v>10553</v>
      </c>
      <c r="D42" s="15">
        <f t="shared" si="3"/>
        <v>11760</v>
      </c>
      <c r="E42" s="15">
        <f t="shared" si="3"/>
        <v>13236</v>
      </c>
      <c r="F42" s="15">
        <f t="shared" si="3"/>
        <v>13525</v>
      </c>
      <c r="G42" s="15">
        <f t="shared" si="3"/>
        <v>10491</v>
      </c>
      <c r="H42" s="15">
        <f t="shared" si="3"/>
        <v>10130</v>
      </c>
      <c r="I42" s="15">
        <f t="shared" si="3"/>
        <v>10731</v>
      </c>
      <c r="J42" s="15">
        <f t="shared" si="3"/>
        <v>13547</v>
      </c>
      <c r="K42" s="15">
        <f t="shared" si="3"/>
        <v>15766</v>
      </c>
      <c r="L42" s="15">
        <f t="shared" si="3"/>
        <v>17377</v>
      </c>
      <c r="M42" s="15">
        <f t="shared" si="3"/>
        <v>16318</v>
      </c>
      <c r="N42" s="15">
        <f t="shared" si="3"/>
        <v>14634</v>
      </c>
      <c r="O42" s="15">
        <f t="shared" si="3"/>
        <v>11331</v>
      </c>
      <c r="P42" s="15">
        <f t="shared" si="3"/>
        <v>8098</v>
      </c>
      <c r="Q42" s="15">
        <f t="shared" si="3"/>
        <v>6446</v>
      </c>
      <c r="R42" s="15">
        <f t="shared" si="3"/>
        <v>5664</v>
      </c>
      <c r="S42" s="15">
        <f t="shared" si="3"/>
        <v>4212</v>
      </c>
      <c r="T42" s="15">
        <f t="shared" si="3"/>
        <v>3775</v>
      </c>
      <c r="U42" s="16">
        <f t="shared" si="4"/>
        <v>197594</v>
      </c>
    </row>
    <row r="43" spans="1:21">
      <c r="A43" s="12">
        <v>2008</v>
      </c>
      <c r="B43" s="4"/>
      <c r="C43" s="15">
        <f t="shared" si="3"/>
        <v>10487</v>
      </c>
      <c r="D43" s="15">
        <f t="shared" si="3"/>
        <v>11632</v>
      </c>
      <c r="E43" s="15">
        <f t="shared" si="3"/>
        <v>12696</v>
      </c>
      <c r="F43" s="15">
        <f t="shared" si="3"/>
        <v>13515</v>
      </c>
      <c r="G43" s="15">
        <f t="shared" si="3"/>
        <v>10438</v>
      </c>
      <c r="H43" s="15">
        <f t="shared" si="3"/>
        <v>10304</v>
      </c>
      <c r="I43" s="15">
        <f t="shared" si="3"/>
        <v>10485</v>
      </c>
      <c r="J43" s="15">
        <f t="shared" si="3"/>
        <v>13241</v>
      </c>
      <c r="K43" s="15">
        <f t="shared" si="3"/>
        <v>15162</v>
      </c>
      <c r="L43" s="15">
        <f t="shared" si="3"/>
        <v>17239</v>
      </c>
      <c r="M43" s="15">
        <f t="shared" si="3"/>
        <v>16708</v>
      </c>
      <c r="N43" s="15">
        <f t="shared" si="3"/>
        <v>14882</v>
      </c>
      <c r="O43" s="15">
        <f t="shared" si="3"/>
        <v>11903</v>
      </c>
      <c r="P43" s="15">
        <f t="shared" si="3"/>
        <v>8590</v>
      </c>
      <c r="Q43" s="15">
        <f t="shared" si="3"/>
        <v>6572</v>
      </c>
      <c r="R43" s="15">
        <f t="shared" si="3"/>
        <v>5637</v>
      </c>
      <c r="S43" s="15">
        <f t="shared" si="3"/>
        <v>4354</v>
      </c>
      <c r="T43" s="15">
        <f t="shared" si="3"/>
        <v>3805</v>
      </c>
      <c r="U43" s="16">
        <f t="shared" si="4"/>
        <v>197650</v>
      </c>
    </row>
    <row r="44" spans="1:21">
      <c r="A44" s="12">
        <v>2009</v>
      </c>
      <c r="B44" s="4"/>
      <c r="C44" s="15">
        <f t="shared" si="3"/>
        <v>10340</v>
      </c>
      <c r="D44" s="15">
        <f t="shared" si="3"/>
        <v>11414</v>
      </c>
      <c r="E44" s="15">
        <f t="shared" si="3"/>
        <v>12447</v>
      </c>
      <c r="F44" s="15">
        <f t="shared" si="3"/>
        <v>13233</v>
      </c>
      <c r="G44" s="15">
        <f t="shared" si="3"/>
        <v>10555</v>
      </c>
      <c r="H44" s="15">
        <f t="shared" si="3"/>
        <v>10157</v>
      </c>
      <c r="I44" s="15">
        <f t="shared" si="3"/>
        <v>10611</v>
      </c>
      <c r="J44" s="15">
        <f t="shared" si="3"/>
        <v>12706</v>
      </c>
      <c r="K44" s="15">
        <f t="shared" si="3"/>
        <v>14351</v>
      </c>
      <c r="L44" s="15">
        <f t="shared" si="3"/>
        <v>17089</v>
      </c>
      <c r="M44" s="15">
        <f t="shared" si="3"/>
        <v>16810</v>
      </c>
      <c r="N44" s="15">
        <f t="shared" si="3"/>
        <v>15239</v>
      </c>
      <c r="O44" s="15">
        <f t="shared" si="3"/>
        <v>12485</v>
      </c>
      <c r="P44" s="15">
        <f t="shared" si="3"/>
        <v>9101</v>
      </c>
      <c r="Q44" s="15">
        <f t="shared" si="3"/>
        <v>6761</v>
      </c>
      <c r="R44" s="15">
        <f t="shared" si="3"/>
        <v>5536</v>
      </c>
      <c r="S44" s="15">
        <f t="shared" si="3"/>
        <v>4415</v>
      </c>
      <c r="T44" s="15">
        <f t="shared" si="3"/>
        <v>3942</v>
      </c>
      <c r="U44" s="16">
        <f t="shared" si="4"/>
        <v>197192</v>
      </c>
    </row>
    <row r="45" spans="1:21">
      <c r="A45" s="12">
        <v>2010</v>
      </c>
      <c r="B45" s="4"/>
      <c r="C45" s="15">
        <f t="shared" si="3"/>
        <v>10273</v>
      </c>
      <c r="D45" s="15">
        <f t="shared" si="3"/>
        <v>11298</v>
      </c>
      <c r="E45" s="15">
        <f t="shared" si="3"/>
        <v>12269</v>
      </c>
      <c r="F45" s="15">
        <f t="shared" si="3"/>
        <v>12828</v>
      </c>
      <c r="G45" s="15">
        <f t="shared" si="3"/>
        <v>10503</v>
      </c>
      <c r="H45" s="15">
        <f t="shared" si="3"/>
        <v>10258</v>
      </c>
      <c r="I45" s="15">
        <f t="shared" si="3"/>
        <v>10662</v>
      </c>
      <c r="J45" s="15">
        <f t="shared" si="3"/>
        <v>11998</v>
      </c>
      <c r="K45" s="15">
        <f t="shared" si="3"/>
        <v>14027</v>
      </c>
      <c r="L45" s="15">
        <f t="shared" si="3"/>
        <v>16754</v>
      </c>
      <c r="M45" s="15">
        <f t="shared" si="3"/>
        <v>16987</v>
      </c>
      <c r="N45" s="15">
        <f t="shared" si="3"/>
        <v>15497</v>
      </c>
      <c r="O45" s="15">
        <f t="shared" si="3"/>
        <v>13285</v>
      </c>
      <c r="P45" s="15">
        <f t="shared" si="3"/>
        <v>9440</v>
      </c>
      <c r="Q45" s="15">
        <f t="shared" si="3"/>
        <v>6976</v>
      </c>
      <c r="R45" s="15">
        <f t="shared" si="3"/>
        <v>5514</v>
      </c>
      <c r="S45" s="15">
        <f t="shared" si="3"/>
        <v>4443</v>
      </c>
      <c r="T45" s="15">
        <f t="shared" si="3"/>
        <v>4138</v>
      </c>
      <c r="U45" s="16">
        <f t="shared" si="4"/>
        <v>197150</v>
      </c>
    </row>
    <row r="46" spans="1:21">
      <c r="A46" s="23">
        <v>2015</v>
      </c>
      <c r="B46" s="4"/>
      <c r="C46" s="15">
        <f t="shared" si="3"/>
        <v>9891.980168674756</v>
      </c>
      <c r="D46" s="15">
        <f t="shared" si="3"/>
        <v>10620.255066203574</v>
      </c>
      <c r="E46" s="15">
        <f t="shared" si="3"/>
        <v>11424.937532377724</v>
      </c>
      <c r="F46" s="15">
        <f t="shared" si="3"/>
        <v>12383.247409172054</v>
      </c>
      <c r="G46" s="15">
        <f t="shared" si="3"/>
        <v>12269.689636566913</v>
      </c>
      <c r="H46" s="15">
        <f t="shared" si="3"/>
        <v>10818.378690704074</v>
      </c>
      <c r="I46" s="15">
        <f t="shared" si="3"/>
        <v>10310.03940002044</v>
      </c>
      <c r="J46" s="15">
        <f t="shared" si="3"/>
        <v>10730.768503947975</v>
      </c>
      <c r="K46" s="15">
        <f t="shared" si="3"/>
        <v>11937.614812410622</v>
      </c>
      <c r="L46" s="15">
        <f t="shared" si="3"/>
        <v>13859.852585771423</v>
      </c>
      <c r="M46" s="15">
        <f t="shared" si="3"/>
        <v>16625.376326587706</v>
      </c>
      <c r="N46" s="15">
        <f t="shared" si="3"/>
        <v>16540.16422687818</v>
      </c>
      <c r="O46" s="15">
        <f t="shared" si="3"/>
        <v>15027.325078174184</v>
      </c>
      <c r="P46" s="15">
        <f t="shared" si="3"/>
        <v>12734.892198094603</v>
      </c>
      <c r="Q46" s="15">
        <f t="shared" si="3"/>
        <v>8899.0553679390869</v>
      </c>
      <c r="R46" s="15">
        <f t="shared" si="3"/>
        <v>6172.5018922519939</v>
      </c>
      <c r="S46" s="15">
        <f t="shared" si="3"/>
        <v>4367.0224266618916</v>
      </c>
      <c r="T46" s="15">
        <f t="shared" si="3"/>
        <v>4685.9368814179497</v>
      </c>
      <c r="U46" s="16">
        <f t="shared" si="4"/>
        <v>199299.03820385516</v>
      </c>
    </row>
    <row r="47" spans="1:21">
      <c r="A47" s="23">
        <v>2020</v>
      </c>
      <c r="B47" s="4"/>
      <c r="C47" s="15">
        <f t="shared" si="3"/>
        <v>10105.504876909819</v>
      </c>
      <c r="D47" s="15">
        <f t="shared" si="3"/>
        <v>10303.076497563725</v>
      </c>
      <c r="E47" s="15">
        <f t="shared" si="3"/>
        <v>10790.213668730448</v>
      </c>
      <c r="F47" s="15">
        <f t="shared" si="3"/>
        <v>11587.363394936932</v>
      </c>
      <c r="G47" s="15">
        <f t="shared" si="3"/>
        <v>11955.997823061614</v>
      </c>
      <c r="H47" s="15">
        <f t="shared" si="3"/>
        <v>12262.748325494749</v>
      </c>
      <c r="I47" s="15">
        <f t="shared" si="3"/>
        <v>10834.585923346465</v>
      </c>
      <c r="J47" s="15">
        <f t="shared" si="3"/>
        <v>10450.697248256591</v>
      </c>
      <c r="K47" s="15">
        <f t="shared" si="3"/>
        <v>10813.016643137491</v>
      </c>
      <c r="L47" s="15">
        <f t="shared" si="3"/>
        <v>11897.13251593208</v>
      </c>
      <c r="M47" s="15">
        <f t="shared" si="3"/>
        <v>13826.32433782933</v>
      </c>
      <c r="N47" s="15">
        <f t="shared" si="3"/>
        <v>16164.528345727158</v>
      </c>
      <c r="O47" s="15">
        <f t="shared" si="3"/>
        <v>16012.230366387026</v>
      </c>
      <c r="P47" s="15">
        <f t="shared" si="3"/>
        <v>14401.148479805475</v>
      </c>
      <c r="Q47" s="15">
        <f t="shared" si="3"/>
        <v>11908.770405881827</v>
      </c>
      <c r="R47" s="15">
        <f t="shared" si="3"/>
        <v>7876.6125758298313</v>
      </c>
      <c r="S47" s="15">
        <f t="shared" si="3"/>
        <v>4895.6511866876681</v>
      </c>
      <c r="T47" s="15">
        <f t="shared" si="3"/>
        <v>4902.1322197116042</v>
      </c>
      <c r="U47" s="16">
        <f t="shared" si="4"/>
        <v>200987.73483522987</v>
      </c>
    </row>
    <row r="48" spans="1:21">
      <c r="A48" s="23">
        <v>2025</v>
      </c>
      <c r="B48" s="4"/>
      <c r="C48" s="15">
        <f t="shared" si="3"/>
        <v>10282.786245946038</v>
      </c>
      <c r="D48" s="15">
        <f t="shared" si="3"/>
        <v>10532.465243569834</v>
      </c>
      <c r="E48" s="15">
        <f t="shared" si="3"/>
        <v>10500.538554520304</v>
      </c>
      <c r="F48" s="15">
        <f t="shared" si="3"/>
        <v>10998.467284193015</v>
      </c>
      <c r="G48" s="15">
        <f t="shared" si="3"/>
        <v>11318.462763644928</v>
      </c>
      <c r="H48" s="15">
        <f t="shared" si="3"/>
        <v>12117.790689877083</v>
      </c>
      <c r="I48" s="15">
        <f t="shared" si="3"/>
        <v>12073.928053048461</v>
      </c>
      <c r="J48" s="15">
        <f t="shared" si="3"/>
        <v>10957.174368574126</v>
      </c>
      <c r="K48" s="15">
        <f t="shared" si="3"/>
        <v>10587.639692946359</v>
      </c>
      <c r="L48" s="15">
        <f t="shared" si="3"/>
        <v>10880.425272025976</v>
      </c>
      <c r="M48" s="15">
        <f t="shared" si="3"/>
        <v>11951.332563356245</v>
      </c>
      <c r="N48" s="15">
        <f t="shared" si="3"/>
        <v>13510.519080040875</v>
      </c>
      <c r="O48" s="15">
        <f t="shared" si="3"/>
        <v>15627.992009538177</v>
      </c>
      <c r="P48" s="15">
        <f t="shared" si="3"/>
        <v>15316.614908316604</v>
      </c>
      <c r="Q48" s="15">
        <f t="shared" si="3"/>
        <v>13467.045252553387</v>
      </c>
      <c r="R48" s="15">
        <f t="shared" si="3"/>
        <v>10464.866393453638</v>
      </c>
      <c r="S48" s="15">
        <f t="shared" si="3"/>
        <v>6247.8507387315176</v>
      </c>
      <c r="T48" s="15">
        <f t="shared" si="3"/>
        <v>5334.8046176881235</v>
      </c>
      <c r="U48" s="16">
        <f t="shared" si="4"/>
        <v>202170.70373202467</v>
      </c>
    </row>
    <row r="49" spans="1:21" ht="15.75" thickBot="1">
      <c r="A49" s="24">
        <v>2030</v>
      </c>
      <c r="B49" s="20"/>
      <c r="C49" s="21">
        <f t="shared" si="3"/>
        <v>10254.654923013162</v>
      </c>
      <c r="D49" s="21">
        <f t="shared" si="3"/>
        <v>10730.025478652695</v>
      </c>
      <c r="E49" s="21">
        <f t="shared" si="3"/>
        <v>10737.801893257732</v>
      </c>
      <c r="F49" s="21">
        <f t="shared" si="3"/>
        <v>10738.688345838833</v>
      </c>
      <c r="G49" s="21">
        <f t="shared" si="3"/>
        <v>10870.339772675197</v>
      </c>
      <c r="H49" s="21">
        <f t="shared" si="3"/>
        <v>11669.10003486881</v>
      </c>
      <c r="I49" s="21">
        <f t="shared" si="3"/>
        <v>12026.408465095967</v>
      </c>
      <c r="J49" s="21">
        <f t="shared" si="3"/>
        <v>12074.509977816535</v>
      </c>
      <c r="K49" s="21">
        <f t="shared" si="3"/>
        <v>11082.489522072912</v>
      </c>
      <c r="L49" s="21">
        <f t="shared" si="3"/>
        <v>10696.961658168762</v>
      </c>
      <c r="M49" s="21">
        <f t="shared" si="3"/>
        <v>11013.549031340201</v>
      </c>
      <c r="N49" s="21">
        <f t="shared" si="3"/>
        <v>11754.729837141906</v>
      </c>
      <c r="O49" s="21">
        <f t="shared" si="3"/>
        <v>13126.012718862808</v>
      </c>
      <c r="P49" s="21">
        <f t="shared" si="3"/>
        <v>14927.680430184771</v>
      </c>
      <c r="Q49" s="21">
        <f t="shared" si="3"/>
        <v>14297.797995623456</v>
      </c>
      <c r="R49" s="21">
        <f t="shared" si="3"/>
        <v>11840.229114445323</v>
      </c>
      <c r="S49" s="21">
        <f t="shared" si="3"/>
        <v>8256.659761332432</v>
      </c>
      <c r="T49" s="21">
        <f t="shared" si="3"/>
        <v>6373.0011594300122</v>
      </c>
      <c r="U49" s="22">
        <f t="shared" si="4"/>
        <v>202470.6401198215</v>
      </c>
    </row>
  </sheetData>
  <pageMargins left="0.7" right="0.7" top="0.75" bottom="0.75" header="0.3" footer="0.3"/>
  <pageSetup scale="8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view="pageBreakPreview" zoomScale="60" zoomScaleNormal="85" workbookViewId="0"/>
  </sheetViews>
  <sheetFormatPr defaultRowHeight="15"/>
  <cols>
    <col min="1" max="1" width="8.7109375" style="1" bestFit="1" customWidth="1"/>
    <col min="2" max="2" width="2.140625" style="1" customWidth="1"/>
    <col min="3" max="20" width="7.85546875" style="1" customWidth="1"/>
    <col min="21" max="21" width="10.42578125" style="1" bestFit="1" customWidth="1"/>
    <col min="22" max="16384" width="9.140625" style="1"/>
  </cols>
  <sheetData>
    <row r="1" spans="1:21">
      <c r="A1" s="7"/>
      <c r="B1" s="8" t="s">
        <v>37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ht="15.75" thickBot="1">
      <c r="A2" s="10"/>
      <c r="B2" s="2"/>
      <c r="C2" s="3" t="s">
        <v>18</v>
      </c>
      <c r="D2" s="3" t="s">
        <v>35</v>
      </c>
      <c r="E2" s="3" t="s">
        <v>36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11" t="s">
        <v>34</v>
      </c>
    </row>
    <row r="3" spans="1:21" ht="15.75" thickTop="1">
      <c r="A3" s="12" t="s">
        <v>16</v>
      </c>
      <c r="B3" s="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</row>
    <row r="4" spans="1:21">
      <c r="A4" s="12">
        <v>2001</v>
      </c>
      <c r="B4" s="4"/>
      <c r="C4" s="15">
        <f>'01'!C4+'03'!C4+'05'!C4+'07'!C4+'09'!C4+'11'!C4+'13'!C4+'15'!C4+'17'!C4+'19'!C4+'21'!C4+'23'!C4+'25'!C4+'27'!C4+'29'!C4+'31'!C4</f>
        <v>34344</v>
      </c>
      <c r="D4" s="15">
        <f>'01'!D4+'03'!D4+'05'!D4+'07'!D4+'09'!D4+'11'!D4+'13'!D4+'15'!D4+'17'!D4+'19'!D4+'21'!D4+'23'!D4+'25'!D4+'27'!D4+'29'!D4+'31'!D4</f>
        <v>39365</v>
      </c>
      <c r="E4" s="15">
        <f>'01'!E4+'03'!E4+'05'!E4+'07'!E4+'09'!E4+'11'!E4+'13'!E4+'15'!E4+'17'!E4+'19'!E4+'21'!E4+'23'!E4+'25'!E4+'27'!E4+'29'!E4+'31'!E4</f>
        <v>45029</v>
      </c>
      <c r="F4" s="15">
        <f>'01'!F4+'03'!F4+'05'!F4+'07'!F4+'09'!F4+'11'!F4+'13'!F4+'15'!F4+'17'!F4+'19'!F4+'21'!F4+'23'!F4+'25'!F4+'27'!F4+'29'!F4+'31'!F4</f>
        <v>44681</v>
      </c>
      <c r="G4" s="15">
        <f>'01'!G4+'03'!G4+'05'!G4+'07'!G4+'09'!G4+'11'!G4+'13'!G4+'15'!G4+'17'!G4+'19'!G4+'21'!G4+'23'!G4+'25'!G4+'27'!G4+'29'!G4+'31'!G4</f>
        <v>35706</v>
      </c>
      <c r="H4" s="15">
        <f>'01'!H4+'03'!H4+'05'!H4+'07'!H4+'09'!H4+'11'!H4+'13'!H4+'15'!H4+'17'!H4+'19'!H4+'21'!H4+'23'!H4+'25'!H4+'27'!H4+'29'!H4+'31'!H4</f>
        <v>34824</v>
      </c>
      <c r="I4" s="15">
        <f>'01'!I4+'03'!I4+'05'!I4+'07'!I4+'09'!I4+'11'!I4+'13'!I4+'15'!I4+'17'!I4+'19'!I4+'21'!I4+'23'!I4+'25'!I4+'27'!I4+'29'!I4+'31'!I4</f>
        <v>43235</v>
      </c>
      <c r="J4" s="15">
        <f>'01'!J4+'03'!J4+'05'!J4+'07'!J4+'09'!J4+'11'!J4+'13'!J4+'15'!J4+'17'!J4+'19'!J4+'21'!J4+'23'!J4+'25'!J4+'27'!J4+'29'!J4+'31'!J4</f>
        <v>51524</v>
      </c>
      <c r="K4" s="15">
        <f>'01'!K4+'03'!K4+'05'!K4+'07'!K4+'09'!K4+'11'!K4+'13'!K4+'15'!K4+'17'!K4+'19'!K4+'21'!K4+'23'!K4+'25'!K4+'27'!K4+'29'!K4+'31'!K4</f>
        <v>56326</v>
      </c>
      <c r="L4" s="15">
        <f>'01'!L4+'03'!L4+'05'!L4+'07'!L4+'09'!L4+'11'!L4+'13'!L4+'15'!L4+'17'!L4+'19'!L4+'21'!L4+'23'!L4+'25'!L4+'27'!L4+'29'!L4+'31'!L4</f>
        <v>53138</v>
      </c>
      <c r="M4" s="15">
        <f>'01'!M4+'03'!M4+'05'!M4+'07'!M4+'09'!M4+'11'!M4+'13'!M4+'15'!M4+'17'!M4+'19'!M4+'21'!M4+'23'!M4+'25'!M4+'27'!M4+'29'!M4+'31'!M4</f>
        <v>48646</v>
      </c>
      <c r="N4" s="15">
        <f>'01'!N4+'03'!N4+'05'!N4+'07'!N4+'09'!N4+'11'!N4+'13'!N4+'15'!N4+'17'!N4+'19'!N4+'21'!N4+'23'!N4+'25'!N4+'27'!N4+'29'!N4+'31'!N4</f>
        <v>35986</v>
      </c>
      <c r="O4" s="15">
        <f>'01'!O4+'03'!O4+'05'!O4+'07'!O4+'09'!O4+'11'!O4+'13'!O4+'15'!O4+'17'!O4+'19'!O4+'21'!O4+'23'!O4+'25'!O4+'27'!O4+'29'!O4+'31'!O4</f>
        <v>28956</v>
      </c>
      <c r="P4" s="15">
        <f>'01'!P4+'03'!P4+'05'!P4+'07'!P4+'09'!P4+'11'!P4+'13'!P4+'15'!P4+'17'!P4+'19'!P4+'21'!P4+'23'!P4+'25'!P4+'27'!P4+'29'!P4+'31'!P4</f>
        <v>26304</v>
      </c>
      <c r="Q4" s="15">
        <f>'01'!Q4+'03'!Q4+'05'!Q4+'07'!Q4+'09'!Q4+'11'!Q4+'13'!Q4+'15'!Q4+'17'!Q4+'19'!Q4+'21'!Q4+'23'!Q4+'25'!Q4+'27'!Q4+'29'!Q4+'31'!Q4</f>
        <v>25431</v>
      </c>
      <c r="R4" s="15">
        <f>'01'!R4+'03'!R4+'05'!R4+'07'!R4+'09'!R4+'11'!R4+'13'!R4+'15'!R4+'17'!R4+'19'!R4+'21'!R4+'23'!R4+'25'!R4+'27'!R4+'29'!R4+'31'!R4</f>
        <v>22313</v>
      </c>
      <c r="S4" s="15">
        <f>'01'!S4+'03'!S4+'05'!S4+'07'!S4+'09'!S4+'11'!S4+'13'!S4+'15'!S4+'17'!S4+'19'!S4+'21'!S4+'23'!S4+'25'!S4+'27'!S4+'29'!S4+'31'!S4</f>
        <v>16709</v>
      </c>
      <c r="T4" s="15">
        <f>'01'!T4+'03'!T4+'05'!T4+'07'!T4+'09'!T4+'11'!T4+'13'!T4+'15'!T4+'17'!T4+'19'!T4+'21'!T4+'23'!T4+'25'!T4+'27'!T4+'29'!T4+'31'!T4</f>
        <v>17140</v>
      </c>
      <c r="U4" s="16">
        <f>'01'!U4+'03'!U4+'05'!U4+'07'!U4+'09'!U4+'11'!U4+'13'!U4+'15'!U4+'17'!U4+'19'!U4+'21'!U4+'23'!U4+'25'!U4+'27'!U4+'29'!U4+'31'!U4</f>
        <v>659657</v>
      </c>
    </row>
    <row r="5" spans="1:21">
      <c r="A5" s="12">
        <v>2002</v>
      </c>
      <c r="B5" s="4"/>
      <c r="C5" s="15">
        <f>'01'!C5+'03'!C5+'05'!C5+'07'!C5+'09'!C5+'11'!C5+'13'!C5+'15'!C5+'17'!C5+'19'!C5+'21'!C5+'23'!C5+'25'!C5+'27'!C5+'29'!C5+'31'!C5</f>
        <v>34255</v>
      </c>
      <c r="D5" s="15">
        <f>'01'!D5+'03'!D5+'05'!D5+'07'!D5+'09'!D5+'11'!D5+'13'!D5+'15'!D5+'17'!D5+'19'!D5+'21'!D5+'23'!D5+'25'!D5+'27'!D5+'29'!D5+'31'!D5</f>
        <v>38414</v>
      </c>
      <c r="E5" s="15">
        <f>'01'!E5+'03'!E5+'05'!E5+'07'!E5+'09'!E5+'11'!E5+'13'!E5+'15'!E5+'17'!E5+'19'!E5+'21'!E5+'23'!E5+'25'!E5+'27'!E5+'29'!E5+'31'!E5</f>
        <v>44988</v>
      </c>
      <c r="F5" s="15">
        <f>'01'!F5+'03'!F5+'05'!F5+'07'!F5+'09'!F5+'11'!F5+'13'!F5+'15'!F5+'17'!F5+'19'!F5+'21'!F5+'23'!F5+'25'!F5+'27'!F5+'29'!F5+'31'!F5</f>
        <v>45113</v>
      </c>
      <c r="G5" s="15">
        <f>'01'!G5+'03'!G5+'05'!G5+'07'!G5+'09'!G5+'11'!G5+'13'!G5+'15'!G5+'17'!G5+'19'!G5+'21'!G5+'23'!G5+'25'!G5+'27'!G5+'29'!G5+'31'!G5</f>
        <v>36897</v>
      </c>
      <c r="H5" s="15">
        <f>'01'!H5+'03'!H5+'05'!H5+'07'!H5+'09'!H5+'11'!H5+'13'!H5+'15'!H5+'17'!H5+'19'!H5+'21'!H5+'23'!H5+'25'!H5+'27'!H5+'29'!H5+'31'!H5</f>
        <v>34402</v>
      </c>
      <c r="I5" s="15">
        <f>'01'!I5+'03'!I5+'05'!I5+'07'!I5+'09'!I5+'11'!I5+'13'!I5+'15'!I5+'17'!I5+'19'!I5+'21'!I5+'23'!I5+'25'!I5+'27'!I5+'29'!I5+'31'!I5</f>
        <v>42483</v>
      </c>
      <c r="J5" s="15">
        <f>'01'!J5+'03'!J5+'05'!J5+'07'!J5+'09'!J5+'11'!J5+'13'!J5+'15'!J5+'17'!J5+'19'!J5+'21'!J5+'23'!J5+'25'!J5+'27'!J5+'29'!J5+'31'!J5</f>
        <v>50266</v>
      </c>
      <c r="K5" s="15">
        <f>'01'!K5+'03'!K5+'05'!K5+'07'!K5+'09'!K5+'11'!K5+'13'!K5+'15'!K5+'17'!K5+'19'!K5+'21'!K5+'23'!K5+'25'!K5+'27'!K5+'29'!K5+'31'!K5</f>
        <v>56291</v>
      </c>
      <c r="L5" s="15">
        <f>'01'!L5+'03'!L5+'05'!L5+'07'!L5+'09'!L5+'11'!L5+'13'!L5+'15'!L5+'17'!L5+'19'!L5+'21'!L5+'23'!L5+'25'!L5+'27'!L5+'29'!L5+'31'!L5</f>
        <v>54321</v>
      </c>
      <c r="M5" s="15">
        <f>'01'!M5+'03'!M5+'05'!M5+'07'!M5+'09'!M5+'11'!M5+'13'!M5+'15'!M5+'17'!M5+'19'!M5+'21'!M5+'23'!M5+'25'!M5+'27'!M5+'29'!M5+'31'!M5</f>
        <v>49153</v>
      </c>
      <c r="N5" s="15">
        <f>'01'!N5+'03'!N5+'05'!N5+'07'!N5+'09'!N5+'11'!N5+'13'!N5+'15'!N5+'17'!N5+'19'!N5+'21'!N5+'23'!N5+'25'!N5+'27'!N5+'29'!N5+'31'!N5</f>
        <v>39216</v>
      </c>
      <c r="O5" s="15">
        <f>'01'!O5+'03'!O5+'05'!O5+'07'!O5+'09'!O5+'11'!O5+'13'!O5+'15'!O5+'17'!O5+'19'!O5+'21'!O5+'23'!O5+'25'!O5+'27'!O5+'29'!O5+'31'!O5</f>
        <v>30102</v>
      </c>
      <c r="P5" s="15">
        <f>'01'!P5+'03'!P5+'05'!P5+'07'!P5+'09'!P5+'11'!P5+'13'!P5+'15'!P5+'17'!P5+'19'!P5+'21'!P5+'23'!P5+'25'!P5+'27'!P5+'29'!P5+'31'!P5</f>
        <v>26164</v>
      </c>
      <c r="Q5" s="15">
        <f>'01'!Q5+'03'!Q5+'05'!Q5+'07'!Q5+'09'!Q5+'11'!Q5+'13'!Q5+'15'!Q5+'17'!Q5+'19'!Q5+'21'!Q5+'23'!Q5+'25'!Q5+'27'!Q5+'29'!Q5+'31'!Q5</f>
        <v>25349</v>
      </c>
      <c r="R5" s="15">
        <f>'01'!R5+'03'!R5+'05'!R5+'07'!R5+'09'!R5+'11'!R5+'13'!R5+'15'!R5+'17'!R5+'19'!R5+'21'!R5+'23'!R5+'25'!R5+'27'!R5+'29'!R5+'31'!R5</f>
        <v>22498</v>
      </c>
      <c r="S5" s="15">
        <f>'01'!S5+'03'!S5+'05'!S5+'07'!S5+'09'!S5+'11'!S5+'13'!S5+'15'!S5+'17'!S5+'19'!S5+'21'!S5+'23'!S5+'25'!S5+'27'!S5+'29'!S5+'31'!S5</f>
        <v>17090</v>
      </c>
      <c r="T5" s="15">
        <f>'01'!T5+'03'!T5+'05'!T5+'07'!T5+'09'!T5+'11'!T5+'13'!T5+'15'!T5+'17'!T5+'19'!T5+'21'!T5+'23'!T5+'25'!T5+'27'!T5+'29'!T5+'31'!T5</f>
        <v>17224</v>
      </c>
      <c r="U5" s="16">
        <f>'01'!U5+'03'!U5+'05'!U5+'07'!U5+'09'!U5+'11'!U5+'13'!U5+'15'!U5+'17'!U5+'19'!U5+'21'!U5+'23'!U5+'25'!U5+'27'!U5+'29'!U5+'31'!U5</f>
        <v>664226</v>
      </c>
    </row>
    <row r="6" spans="1:21">
      <c r="A6" s="12">
        <v>2003</v>
      </c>
      <c r="B6" s="4"/>
      <c r="C6" s="15">
        <f>'01'!C6+'03'!C6+'05'!C6+'07'!C6+'09'!C6+'11'!C6+'13'!C6+'15'!C6+'17'!C6+'19'!C6+'21'!C6+'23'!C6+'25'!C6+'27'!C6+'29'!C6+'31'!C6</f>
        <v>34343</v>
      </c>
      <c r="D6" s="15">
        <f>'01'!D6+'03'!D6+'05'!D6+'07'!D6+'09'!D6+'11'!D6+'13'!D6+'15'!D6+'17'!D6+'19'!D6+'21'!D6+'23'!D6+'25'!D6+'27'!D6+'29'!D6+'31'!D6</f>
        <v>37730</v>
      </c>
      <c r="E6" s="15">
        <f>'01'!E6+'03'!E6+'05'!E6+'07'!E6+'09'!E6+'11'!E6+'13'!E6+'15'!E6+'17'!E6+'19'!E6+'21'!E6+'23'!E6+'25'!E6+'27'!E6+'29'!E6+'31'!E6</f>
        <v>44600</v>
      </c>
      <c r="F6" s="15">
        <f>'01'!F6+'03'!F6+'05'!F6+'07'!F6+'09'!F6+'11'!F6+'13'!F6+'15'!F6+'17'!F6+'19'!F6+'21'!F6+'23'!F6+'25'!F6+'27'!F6+'29'!F6+'31'!F6</f>
        <v>45488</v>
      </c>
      <c r="G6" s="15">
        <f>'01'!G6+'03'!G6+'05'!G6+'07'!G6+'09'!G6+'11'!G6+'13'!G6+'15'!G6+'17'!G6+'19'!G6+'21'!G6+'23'!G6+'25'!G6+'27'!G6+'29'!G6+'31'!G6</f>
        <v>37778</v>
      </c>
      <c r="H6" s="15">
        <f>'01'!H6+'03'!H6+'05'!H6+'07'!H6+'09'!H6+'11'!H6+'13'!H6+'15'!H6+'17'!H6+'19'!H6+'21'!H6+'23'!H6+'25'!H6+'27'!H6+'29'!H6+'31'!H6</f>
        <v>34667</v>
      </c>
      <c r="I6" s="15">
        <f>'01'!I6+'03'!I6+'05'!I6+'07'!I6+'09'!I6+'11'!I6+'13'!I6+'15'!I6+'17'!I6+'19'!I6+'21'!I6+'23'!I6+'25'!I6+'27'!I6+'29'!I6+'31'!I6</f>
        <v>41251</v>
      </c>
      <c r="J6" s="15">
        <f>'01'!J6+'03'!J6+'05'!J6+'07'!J6+'09'!J6+'11'!J6+'13'!J6+'15'!J6+'17'!J6+'19'!J6+'21'!J6+'23'!J6+'25'!J6+'27'!J6+'29'!J6+'31'!J6</f>
        <v>48914</v>
      </c>
      <c r="K6" s="15">
        <f>'01'!K6+'03'!K6+'05'!K6+'07'!K6+'09'!K6+'11'!K6+'13'!K6+'15'!K6+'17'!K6+'19'!K6+'21'!K6+'23'!K6+'25'!K6+'27'!K6+'29'!K6+'31'!K6</f>
        <v>56112</v>
      </c>
      <c r="L6" s="15">
        <f>'01'!L6+'03'!L6+'05'!L6+'07'!L6+'09'!L6+'11'!L6+'13'!L6+'15'!L6+'17'!L6+'19'!L6+'21'!L6+'23'!L6+'25'!L6+'27'!L6+'29'!L6+'31'!L6</f>
        <v>55530</v>
      </c>
      <c r="M6" s="15">
        <f>'01'!M6+'03'!M6+'05'!M6+'07'!M6+'09'!M6+'11'!M6+'13'!M6+'15'!M6+'17'!M6+'19'!M6+'21'!M6+'23'!M6+'25'!M6+'27'!M6+'29'!M6+'31'!M6</f>
        <v>50281</v>
      </c>
      <c r="N6" s="15">
        <f>'01'!N6+'03'!N6+'05'!N6+'07'!N6+'09'!N6+'11'!N6+'13'!N6+'15'!N6+'17'!N6+'19'!N6+'21'!N6+'23'!N6+'25'!N6+'27'!N6+'29'!N6+'31'!N6</f>
        <v>41244</v>
      </c>
      <c r="O6" s="15">
        <f>'01'!O6+'03'!O6+'05'!O6+'07'!O6+'09'!O6+'11'!O6+'13'!O6+'15'!O6+'17'!O6+'19'!O6+'21'!O6+'23'!O6+'25'!O6+'27'!O6+'29'!O6+'31'!O6</f>
        <v>31926</v>
      </c>
      <c r="P6" s="15">
        <f>'01'!P6+'03'!P6+'05'!P6+'07'!P6+'09'!P6+'11'!P6+'13'!P6+'15'!P6+'17'!P6+'19'!P6+'21'!P6+'23'!P6+'25'!P6+'27'!P6+'29'!P6+'31'!P6</f>
        <v>26678</v>
      </c>
      <c r="Q6" s="15">
        <f>'01'!Q6+'03'!Q6+'05'!Q6+'07'!Q6+'09'!Q6+'11'!Q6+'13'!Q6+'15'!Q6+'17'!Q6+'19'!Q6+'21'!Q6+'23'!Q6+'25'!Q6+'27'!Q6+'29'!Q6+'31'!Q6</f>
        <v>24870</v>
      </c>
      <c r="R6" s="15">
        <f>'01'!R6+'03'!R6+'05'!R6+'07'!R6+'09'!R6+'11'!R6+'13'!R6+'15'!R6+'17'!R6+'19'!R6+'21'!R6+'23'!R6+'25'!R6+'27'!R6+'29'!R6+'31'!R6</f>
        <v>22633</v>
      </c>
      <c r="S6" s="15">
        <f>'01'!S6+'03'!S6+'05'!S6+'07'!S6+'09'!S6+'11'!S6+'13'!S6+'15'!S6+'17'!S6+'19'!S6+'21'!S6+'23'!S6+'25'!S6+'27'!S6+'29'!S6+'31'!S6</f>
        <v>17258</v>
      </c>
      <c r="T6" s="15">
        <f>'01'!T6+'03'!T6+'05'!T6+'07'!T6+'09'!T6+'11'!T6+'13'!T6+'15'!T6+'17'!T6+'19'!T6+'21'!T6+'23'!T6+'25'!T6+'27'!T6+'29'!T6+'31'!T6</f>
        <v>17377</v>
      </c>
      <c r="U6" s="16">
        <f>'01'!U6+'03'!U6+'05'!U6+'07'!U6+'09'!U6+'11'!U6+'13'!U6+'15'!U6+'17'!U6+'19'!U6+'21'!U6+'23'!U6+'25'!U6+'27'!U6+'29'!U6+'31'!U6</f>
        <v>668680</v>
      </c>
    </row>
    <row r="7" spans="1:21">
      <c r="A7" s="12">
        <v>2004</v>
      </c>
      <c r="B7" s="4"/>
      <c r="C7" s="15">
        <f>'01'!C7+'03'!C7+'05'!C7+'07'!C7+'09'!C7+'11'!C7+'13'!C7+'15'!C7+'17'!C7+'19'!C7+'21'!C7+'23'!C7+'25'!C7+'27'!C7+'29'!C7+'31'!C7</f>
        <v>34433</v>
      </c>
      <c r="D7" s="15">
        <f>'01'!D7+'03'!D7+'05'!D7+'07'!D7+'09'!D7+'11'!D7+'13'!D7+'15'!D7+'17'!D7+'19'!D7+'21'!D7+'23'!D7+'25'!D7+'27'!D7+'29'!D7+'31'!D7</f>
        <v>37599</v>
      </c>
      <c r="E7" s="15">
        <f>'01'!E7+'03'!E7+'05'!E7+'07'!E7+'09'!E7+'11'!E7+'13'!E7+'15'!E7+'17'!E7+'19'!E7+'21'!E7+'23'!E7+'25'!E7+'27'!E7+'29'!E7+'31'!E7</f>
        <v>43717</v>
      </c>
      <c r="F7" s="15">
        <f>'01'!F7+'03'!F7+'05'!F7+'07'!F7+'09'!F7+'11'!F7+'13'!F7+'15'!F7+'17'!F7+'19'!F7+'21'!F7+'23'!F7+'25'!F7+'27'!F7+'29'!F7+'31'!F7</f>
        <v>45548</v>
      </c>
      <c r="G7" s="15">
        <f>'01'!G7+'03'!G7+'05'!G7+'07'!G7+'09'!G7+'11'!G7+'13'!G7+'15'!G7+'17'!G7+'19'!G7+'21'!G7+'23'!G7+'25'!G7+'27'!G7+'29'!G7+'31'!G7</f>
        <v>38293</v>
      </c>
      <c r="H7" s="15">
        <f>'01'!H7+'03'!H7+'05'!H7+'07'!H7+'09'!H7+'11'!H7+'13'!H7+'15'!H7+'17'!H7+'19'!H7+'21'!H7+'23'!H7+'25'!H7+'27'!H7+'29'!H7+'31'!H7</f>
        <v>35304</v>
      </c>
      <c r="I7" s="15">
        <f>'01'!I7+'03'!I7+'05'!I7+'07'!I7+'09'!I7+'11'!I7+'13'!I7+'15'!I7+'17'!I7+'19'!I7+'21'!I7+'23'!I7+'25'!I7+'27'!I7+'29'!I7+'31'!I7</f>
        <v>40094</v>
      </c>
      <c r="J7" s="15">
        <f>'01'!J7+'03'!J7+'05'!J7+'07'!J7+'09'!J7+'11'!J7+'13'!J7+'15'!J7+'17'!J7+'19'!J7+'21'!J7+'23'!J7+'25'!J7+'27'!J7+'29'!J7+'31'!J7</f>
        <v>47165</v>
      </c>
      <c r="K7" s="15">
        <f>'01'!K7+'03'!K7+'05'!K7+'07'!K7+'09'!K7+'11'!K7+'13'!K7+'15'!K7+'17'!K7+'19'!K7+'21'!K7+'23'!K7+'25'!K7+'27'!K7+'29'!K7+'31'!K7</f>
        <v>55697</v>
      </c>
      <c r="L7" s="15">
        <f>'01'!L7+'03'!L7+'05'!L7+'07'!L7+'09'!L7+'11'!L7+'13'!L7+'15'!L7+'17'!L7+'19'!L7+'21'!L7+'23'!L7+'25'!L7+'27'!L7+'29'!L7+'31'!L7</f>
        <v>55887</v>
      </c>
      <c r="M7" s="15">
        <f>'01'!M7+'03'!M7+'05'!M7+'07'!M7+'09'!M7+'11'!M7+'13'!M7+'15'!M7+'17'!M7+'19'!M7+'21'!M7+'23'!M7+'25'!M7+'27'!M7+'29'!M7+'31'!M7</f>
        <v>51676</v>
      </c>
      <c r="N7" s="15">
        <f>'01'!N7+'03'!N7+'05'!N7+'07'!N7+'09'!N7+'11'!N7+'13'!N7+'15'!N7+'17'!N7+'19'!N7+'21'!N7+'23'!N7+'25'!N7+'27'!N7+'29'!N7+'31'!N7</f>
        <v>43497</v>
      </c>
      <c r="O7" s="15">
        <f>'01'!O7+'03'!O7+'05'!O7+'07'!O7+'09'!O7+'11'!O7+'13'!O7+'15'!O7+'17'!O7+'19'!O7+'21'!O7+'23'!O7+'25'!O7+'27'!O7+'29'!O7+'31'!O7</f>
        <v>33659</v>
      </c>
      <c r="P7" s="15">
        <f>'01'!P7+'03'!P7+'05'!P7+'07'!P7+'09'!P7+'11'!P7+'13'!P7+'15'!P7+'17'!P7+'19'!P7+'21'!P7+'23'!P7+'25'!P7+'27'!P7+'29'!P7+'31'!P7</f>
        <v>27181</v>
      </c>
      <c r="Q7" s="15">
        <f>'01'!Q7+'03'!Q7+'05'!Q7+'07'!Q7+'09'!Q7+'11'!Q7+'13'!Q7+'15'!Q7+'17'!Q7+'19'!Q7+'21'!Q7+'23'!Q7+'25'!Q7+'27'!Q7+'29'!Q7+'31'!Q7</f>
        <v>24462</v>
      </c>
      <c r="R7" s="15">
        <f>'01'!R7+'03'!R7+'05'!R7+'07'!R7+'09'!R7+'11'!R7+'13'!R7+'15'!R7+'17'!R7+'19'!R7+'21'!R7+'23'!R7+'25'!R7+'27'!R7+'29'!R7+'31'!R7</f>
        <v>22653</v>
      </c>
      <c r="S7" s="15">
        <f>'01'!S7+'03'!S7+'05'!S7+'07'!S7+'09'!S7+'11'!S7+'13'!S7+'15'!S7+'17'!S7+'19'!S7+'21'!S7+'23'!S7+'25'!S7+'27'!S7+'29'!S7+'31'!S7</f>
        <v>17484</v>
      </c>
      <c r="T7" s="15">
        <f>'01'!T7+'03'!T7+'05'!T7+'07'!T7+'09'!T7+'11'!T7+'13'!T7+'15'!T7+'17'!T7+'19'!T7+'21'!T7+'23'!T7+'25'!T7+'27'!T7+'29'!T7+'31'!T7</f>
        <v>17513</v>
      </c>
      <c r="U7" s="16">
        <f>'01'!U7+'03'!U7+'05'!U7+'07'!U7+'09'!U7+'11'!U7+'13'!U7+'15'!U7+'17'!U7+'19'!U7+'21'!U7+'23'!U7+'25'!U7+'27'!U7+'29'!U7+'31'!U7</f>
        <v>671862</v>
      </c>
    </row>
    <row r="8" spans="1:21">
      <c r="A8" s="12">
        <v>2005</v>
      </c>
      <c r="B8" s="4"/>
      <c r="C8" s="15">
        <f>'01'!C8+'03'!C8+'05'!C8+'07'!C8+'09'!C8+'11'!C8+'13'!C8+'15'!C8+'17'!C8+'19'!C8+'21'!C8+'23'!C8+'25'!C8+'27'!C8+'29'!C8+'31'!C8</f>
        <v>34545</v>
      </c>
      <c r="D8" s="15">
        <f>'01'!D8+'03'!D8+'05'!D8+'07'!D8+'09'!D8+'11'!D8+'13'!D8+'15'!D8+'17'!D8+'19'!D8+'21'!D8+'23'!D8+'25'!D8+'27'!D8+'29'!D8+'31'!D8</f>
        <v>37043</v>
      </c>
      <c r="E8" s="15">
        <f>'01'!E8+'03'!E8+'05'!E8+'07'!E8+'09'!E8+'11'!E8+'13'!E8+'15'!E8+'17'!E8+'19'!E8+'21'!E8+'23'!E8+'25'!E8+'27'!E8+'29'!E8+'31'!E8</f>
        <v>42667</v>
      </c>
      <c r="F8" s="15">
        <f>'01'!F8+'03'!F8+'05'!F8+'07'!F8+'09'!F8+'11'!F8+'13'!F8+'15'!F8+'17'!F8+'19'!F8+'21'!F8+'23'!F8+'25'!F8+'27'!F8+'29'!F8+'31'!F8</f>
        <v>45651</v>
      </c>
      <c r="G8" s="15">
        <f>'01'!G8+'03'!G8+'05'!G8+'07'!G8+'09'!G8+'11'!G8+'13'!G8+'15'!G8+'17'!G8+'19'!G8+'21'!G8+'23'!G8+'25'!G8+'27'!G8+'29'!G8+'31'!G8</f>
        <v>39210</v>
      </c>
      <c r="H8" s="15">
        <f>'01'!H8+'03'!H8+'05'!H8+'07'!H8+'09'!H8+'11'!H8+'13'!H8+'15'!H8+'17'!H8+'19'!H8+'21'!H8+'23'!H8+'25'!H8+'27'!H8+'29'!H8+'31'!H8</f>
        <v>35600</v>
      </c>
      <c r="I8" s="15">
        <f>'01'!I8+'03'!I8+'05'!I8+'07'!I8+'09'!I8+'11'!I8+'13'!I8+'15'!I8+'17'!I8+'19'!I8+'21'!I8+'23'!I8+'25'!I8+'27'!I8+'29'!I8+'31'!I8</f>
        <v>38436</v>
      </c>
      <c r="J8" s="15">
        <f>'01'!J8+'03'!J8+'05'!J8+'07'!J8+'09'!J8+'11'!J8+'13'!J8+'15'!J8+'17'!J8+'19'!J8+'21'!J8+'23'!J8+'25'!J8+'27'!J8+'29'!J8+'31'!J8</f>
        <v>46152</v>
      </c>
      <c r="K8" s="15">
        <f>'01'!K8+'03'!K8+'05'!K8+'07'!K8+'09'!K8+'11'!K8+'13'!K8+'15'!K8+'17'!K8+'19'!K8+'21'!K8+'23'!K8+'25'!K8+'27'!K8+'29'!K8+'31'!K8</f>
        <v>54661</v>
      </c>
      <c r="L8" s="15">
        <f>'01'!L8+'03'!L8+'05'!L8+'07'!L8+'09'!L8+'11'!L8+'13'!L8+'15'!L8+'17'!L8+'19'!L8+'21'!L8+'23'!L8+'25'!L8+'27'!L8+'29'!L8+'31'!L8</f>
        <v>56536</v>
      </c>
      <c r="M8" s="15">
        <f>'01'!M8+'03'!M8+'05'!M8+'07'!M8+'09'!M8+'11'!M8+'13'!M8+'15'!M8+'17'!M8+'19'!M8+'21'!M8+'23'!M8+'25'!M8+'27'!M8+'29'!M8+'31'!M8</f>
        <v>52818</v>
      </c>
      <c r="N8" s="15">
        <f>'01'!N8+'03'!N8+'05'!N8+'07'!N8+'09'!N8+'11'!N8+'13'!N8+'15'!N8+'17'!N8+'19'!N8+'21'!N8+'23'!N8+'25'!N8+'27'!N8+'29'!N8+'31'!N8</f>
        <v>45958</v>
      </c>
      <c r="O8" s="15">
        <f>'01'!O8+'03'!O8+'05'!O8+'07'!O8+'09'!O8+'11'!O8+'13'!O8+'15'!O8+'17'!O8+'19'!O8+'21'!O8+'23'!O8+'25'!O8+'27'!O8+'29'!O8+'31'!O8</f>
        <v>34958</v>
      </c>
      <c r="P8" s="15">
        <f>'01'!P8+'03'!P8+'05'!P8+'07'!P8+'09'!P8+'11'!P8+'13'!P8+'15'!P8+'17'!P8+'19'!P8+'21'!P8+'23'!P8+'25'!P8+'27'!P8+'29'!P8+'31'!P8</f>
        <v>27581</v>
      </c>
      <c r="Q8" s="15">
        <f>'01'!Q8+'03'!Q8+'05'!Q8+'07'!Q8+'09'!Q8+'11'!Q8+'13'!Q8+'15'!Q8+'17'!Q8+'19'!Q8+'21'!Q8+'23'!Q8+'25'!Q8+'27'!Q8+'29'!Q8+'31'!Q8</f>
        <v>24335</v>
      </c>
      <c r="R8" s="15">
        <f>'01'!R8+'03'!R8+'05'!R8+'07'!R8+'09'!R8+'11'!R8+'13'!R8+'15'!R8+'17'!R8+'19'!R8+'21'!R8+'23'!R8+'25'!R8+'27'!R8+'29'!R8+'31'!R8</f>
        <v>22393</v>
      </c>
      <c r="S8" s="15">
        <f>'01'!S8+'03'!S8+'05'!S8+'07'!S8+'09'!S8+'11'!S8+'13'!S8+'15'!S8+'17'!S8+'19'!S8+'21'!S8+'23'!S8+'25'!S8+'27'!S8+'29'!S8+'31'!S8</f>
        <v>17814</v>
      </c>
      <c r="T8" s="15">
        <f>'01'!T8+'03'!T8+'05'!T8+'07'!T8+'09'!T8+'11'!T8+'13'!T8+'15'!T8+'17'!T8+'19'!T8+'21'!T8+'23'!T8+'25'!T8+'27'!T8+'29'!T8+'31'!T8</f>
        <v>17746</v>
      </c>
      <c r="U8" s="16">
        <f>'01'!U8+'03'!U8+'05'!U8+'07'!U8+'09'!U8+'11'!U8+'13'!U8+'15'!U8+'17'!U8+'19'!U8+'21'!U8+'23'!U8+'25'!U8+'27'!U8+'29'!U8+'31'!U8</f>
        <v>674104</v>
      </c>
    </row>
    <row r="9" spans="1:21">
      <c r="A9" s="12">
        <v>2006</v>
      </c>
      <c r="B9" s="4"/>
      <c r="C9" s="15">
        <f>'01'!C9+'03'!C9+'05'!C9+'07'!C9+'09'!C9+'11'!C9+'13'!C9+'15'!C9+'17'!C9+'19'!C9+'21'!C9+'23'!C9+'25'!C9+'27'!C9+'29'!C9+'31'!C9</f>
        <v>34334</v>
      </c>
      <c r="D9" s="15">
        <f>'01'!D9+'03'!D9+'05'!D9+'07'!D9+'09'!D9+'11'!D9+'13'!D9+'15'!D9+'17'!D9+'19'!D9+'21'!D9+'23'!D9+'25'!D9+'27'!D9+'29'!D9+'31'!D9</f>
        <v>36952</v>
      </c>
      <c r="E9" s="15">
        <f>'01'!E9+'03'!E9+'05'!E9+'07'!E9+'09'!E9+'11'!E9+'13'!E9+'15'!E9+'17'!E9+'19'!E9+'21'!E9+'23'!E9+'25'!E9+'27'!E9+'29'!E9+'31'!E9</f>
        <v>41447</v>
      </c>
      <c r="F9" s="15">
        <f>'01'!F9+'03'!F9+'05'!F9+'07'!F9+'09'!F9+'11'!F9+'13'!F9+'15'!F9+'17'!F9+'19'!F9+'21'!F9+'23'!F9+'25'!F9+'27'!F9+'29'!F9+'31'!F9</f>
        <v>45514</v>
      </c>
      <c r="G9" s="15">
        <f>'01'!G9+'03'!G9+'05'!G9+'07'!G9+'09'!G9+'11'!G9+'13'!G9+'15'!G9+'17'!G9+'19'!G9+'21'!G9+'23'!G9+'25'!G9+'27'!G9+'29'!G9+'31'!G9</f>
        <v>39488</v>
      </c>
      <c r="H9" s="15">
        <f>'01'!H9+'03'!H9+'05'!H9+'07'!H9+'09'!H9+'11'!H9+'13'!H9+'15'!H9+'17'!H9+'19'!H9+'21'!H9+'23'!H9+'25'!H9+'27'!H9+'29'!H9+'31'!H9</f>
        <v>35828</v>
      </c>
      <c r="I9" s="15">
        <f>'01'!I9+'03'!I9+'05'!I9+'07'!I9+'09'!I9+'11'!I9+'13'!I9+'15'!I9+'17'!I9+'19'!I9+'21'!I9+'23'!I9+'25'!I9+'27'!I9+'29'!I9+'31'!I9</f>
        <v>37178</v>
      </c>
      <c r="J9" s="15">
        <f>'01'!J9+'03'!J9+'05'!J9+'07'!J9+'09'!J9+'11'!J9+'13'!J9+'15'!J9+'17'!J9+'19'!J9+'21'!J9+'23'!J9+'25'!J9+'27'!J9+'29'!J9+'31'!J9</f>
        <v>45608</v>
      </c>
      <c r="K9" s="15">
        <f>'01'!K9+'03'!K9+'05'!K9+'07'!K9+'09'!K9+'11'!K9+'13'!K9+'15'!K9+'17'!K9+'19'!K9+'21'!K9+'23'!K9+'25'!K9+'27'!K9+'29'!K9+'31'!K9</f>
        <v>52909</v>
      </c>
      <c r="L9" s="15">
        <f>'01'!L9+'03'!L9+'05'!L9+'07'!L9+'09'!L9+'11'!L9+'13'!L9+'15'!L9+'17'!L9+'19'!L9+'21'!L9+'23'!L9+'25'!L9+'27'!L9+'29'!L9+'31'!L9</f>
        <v>56867</v>
      </c>
      <c r="M9" s="15">
        <f>'01'!M9+'03'!M9+'05'!M9+'07'!M9+'09'!M9+'11'!M9+'13'!M9+'15'!M9+'17'!M9+'19'!M9+'21'!M9+'23'!M9+'25'!M9+'27'!M9+'29'!M9+'31'!M9</f>
        <v>53836</v>
      </c>
      <c r="N9" s="15">
        <f>'01'!N9+'03'!N9+'05'!N9+'07'!N9+'09'!N9+'11'!N9+'13'!N9+'15'!N9+'17'!N9+'19'!N9+'21'!N9+'23'!N9+'25'!N9+'27'!N9+'29'!N9+'31'!N9</f>
        <v>48951</v>
      </c>
      <c r="O9" s="15">
        <f>'01'!O9+'03'!O9+'05'!O9+'07'!O9+'09'!O9+'11'!O9+'13'!O9+'15'!O9+'17'!O9+'19'!O9+'21'!O9+'23'!O9+'25'!O9+'27'!O9+'29'!O9+'31'!O9</f>
        <v>36048</v>
      </c>
      <c r="P9" s="15">
        <f>'01'!P9+'03'!P9+'05'!P9+'07'!P9+'09'!P9+'11'!P9+'13'!P9+'15'!P9+'17'!P9+'19'!P9+'21'!P9+'23'!P9+'25'!P9+'27'!P9+'29'!P9+'31'!P9</f>
        <v>28141</v>
      </c>
      <c r="Q9" s="15">
        <f>'01'!Q9+'03'!Q9+'05'!Q9+'07'!Q9+'09'!Q9+'11'!Q9+'13'!Q9+'15'!Q9+'17'!Q9+'19'!Q9+'21'!Q9+'23'!Q9+'25'!Q9+'27'!Q9+'29'!Q9+'31'!Q9</f>
        <v>24306</v>
      </c>
      <c r="R9" s="15">
        <f>'01'!R9+'03'!R9+'05'!R9+'07'!R9+'09'!R9+'11'!R9+'13'!R9+'15'!R9+'17'!R9+'19'!R9+'21'!R9+'23'!R9+'25'!R9+'27'!R9+'29'!R9+'31'!R9</f>
        <v>22563</v>
      </c>
      <c r="S9" s="15">
        <f>'01'!S9+'03'!S9+'05'!S9+'07'!S9+'09'!S9+'11'!S9+'13'!S9+'15'!S9+'17'!S9+'19'!S9+'21'!S9+'23'!S9+'25'!S9+'27'!S9+'29'!S9+'31'!S9</f>
        <v>17902</v>
      </c>
      <c r="T9" s="15">
        <f>'01'!T9+'03'!T9+'05'!T9+'07'!T9+'09'!T9+'11'!T9+'13'!T9+'15'!T9+'17'!T9+'19'!T9+'21'!T9+'23'!T9+'25'!T9+'27'!T9+'29'!T9+'31'!T9</f>
        <v>18285</v>
      </c>
      <c r="U9" s="16">
        <f>'01'!U9+'03'!U9+'05'!U9+'07'!U9+'09'!U9+'11'!U9+'13'!U9+'15'!U9+'17'!U9+'19'!U9+'21'!U9+'23'!U9+'25'!U9+'27'!U9+'29'!U9+'31'!U9</f>
        <v>676157</v>
      </c>
    </row>
    <row r="10" spans="1:21">
      <c r="A10" s="12">
        <v>2007</v>
      </c>
      <c r="B10" s="4"/>
      <c r="C10" s="15">
        <f>'01'!C10+'03'!C10+'05'!C10+'07'!C10+'09'!C10+'11'!C10+'13'!C10+'15'!C10+'17'!C10+'19'!C10+'21'!C10+'23'!C10+'25'!C10+'27'!C10+'29'!C10+'31'!C10</f>
        <v>34564</v>
      </c>
      <c r="D10" s="15">
        <f>'01'!D10+'03'!D10+'05'!D10+'07'!D10+'09'!D10+'11'!D10+'13'!D10+'15'!D10+'17'!D10+'19'!D10+'21'!D10+'23'!D10+'25'!D10+'27'!D10+'29'!D10+'31'!D10</f>
        <v>36693</v>
      </c>
      <c r="E10" s="15">
        <f>'01'!E10+'03'!E10+'05'!E10+'07'!E10+'09'!E10+'11'!E10+'13'!E10+'15'!E10+'17'!E10+'19'!E10+'21'!E10+'23'!E10+'25'!E10+'27'!E10+'29'!E10+'31'!E10</f>
        <v>40518</v>
      </c>
      <c r="F10" s="15">
        <f>'01'!F10+'03'!F10+'05'!F10+'07'!F10+'09'!F10+'11'!F10+'13'!F10+'15'!F10+'17'!F10+'19'!F10+'21'!F10+'23'!F10+'25'!F10+'27'!F10+'29'!F10+'31'!F10</f>
        <v>44998</v>
      </c>
      <c r="G10" s="15">
        <f>'01'!G10+'03'!G10+'05'!G10+'07'!G10+'09'!G10+'11'!G10+'13'!G10+'15'!G10+'17'!G10+'19'!G10+'21'!G10+'23'!G10+'25'!G10+'27'!G10+'29'!G10+'31'!G10</f>
        <v>39143</v>
      </c>
      <c r="H10" s="15">
        <f>'01'!H10+'03'!H10+'05'!H10+'07'!H10+'09'!H10+'11'!H10+'13'!H10+'15'!H10+'17'!H10+'19'!H10+'21'!H10+'23'!H10+'25'!H10+'27'!H10+'29'!H10+'31'!H10</f>
        <v>36580</v>
      </c>
      <c r="I10" s="15">
        <f>'01'!I10+'03'!I10+'05'!I10+'07'!I10+'09'!I10+'11'!I10+'13'!I10+'15'!I10+'17'!I10+'19'!I10+'21'!I10+'23'!I10+'25'!I10+'27'!I10+'29'!I10+'31'!I10</f>
        <v>36227</v>
      </c>
      <c r="J10" s="15">
        <f>'01'!J10+'03'!J10+'05'!J10+'07'!J10+'09'!J10+'11'!J10+'13'!J10+'15'!J10+'17'!J10+'19'!J10+'21'!J10+'23'!J10+'25'!J10+'27'!J10+'29'!J10+'31'!J10</f>
        <v>44656</v>
      </c>
      <c r="K10" s="15">
        <f>'01'!K10+'03'!K10+'05'!K10+'07'!K10+'09'!K10+'11'!K10+'13'!K10+'15'!K10+'17'!K10+'19'!K10+'21'!K10+'23'!K10+'25'!K10+'27'!K10+'29'!K10+'31'!K10</f>
        <v>51314</v>
      </c>
      <c r="L10" s="15">
        <f>'01'!L10+'03'!L10+'05'!L10+'07'!L10+'09'!L10+'11'!L10+'13'!L10+'15'!L10+'17'!L10+'19'!L10+'21'!L10+'23'!L10+'25'!L10+'27'!L10+'29'!L10+'31'!L10</f>
        <v>56650</v>
      </c>
      <c r="M10" s="15">
        <f>'01'!M10+'03'!M10+'05'!M10+'07'!M10+'09'!M10+'11'!M10+'13'!M10+'15'!M10+'17'!M10+'19'!M10+'21'!M10+'23'!M10+'25'!M10+'27'!M10+'29'!M10+'31'!M10</f>
        <v>54969</v>
      </c>
      <c r="N10" s="15">
        <f>'01'!N10+'03'!N10+'05'!N10+'07'!N10+'09'!N10+'11'!N10+'13'!N10+'15'!N10+'17'!N10+'19'!N10+'21'!N10+'23'!N10+'25'!N10+'27'!N10+'29'!N10+'31'!N10</f>
        <v>49570</v>
      </c>
      <c r="O10" s="15">
        <f>'01'!O10+'03'!O10+'05'!O10+'07'!O10+'09'!O10+'11'!O10+'13'!O10+'15'!O10+'17'!O10+'19'!O10+'21'!O10+'23'!O10+'25'!O10+'27'!O10+'29'!O10+'31'!O10</f>
        <v>39147</v>
      </c>
      <c r="P10" s="15">
        <f>'01'!P10+'03'!P10+'05'!P10+'07'!P10+'09'!P10+'11'!P10+'13'!P10+'15'!P10+'17'!P10+'19'!P10+'21'!P10+'23'!P10+'25'!P10+'27'!P10+'29'!P10+'31'!P10</f>
        <v>29229</v>
      </c>
      <c r="Q10" s="15">
        <f>'01'!Q10+'03'!Q10+'05'!Q10+'07'!Q10+'09'!Q10+'11'!Q10+'13'!Q10+'15'!Q10+'17'!Q10+'19'!Q10+'21'!Q10+'23'!Q10+'25'!Q10+'27'!Q10+'29'!Q10+'31'!Q10</f>
        <v>24184</v>
      </c>
      <c r="R10" s="15">
        <f>'01'!R10+'03'!R10+'05'!R10+'07'!R10+'09'!R10+'11'!R10+'13'!R10+'15'!R10+'17'!R10+'19'!R10+'21'!R10+'23'!R10+'25'!R10+'27'!R10+'29'!R10+'31'!R10</f>
        <v>22532</v>
      </c>
      <c r="S10" s="15">
        <f>'01'!S10+'03'!S10+'05'!S10+'07'!S10+'09'!S10+'11'!S10+'13'!S10+'15'!S10+'17'!S10+'19'!S10+'21'!S10+'23'!S10+'25'!S10+'27'!S10+'29'!S10+'31'!S10</f>
        <v>18108</v>
      </c>
      <c r="T10" s="15">
        <f>'01'!T10+'03'!T10+'05'!T10+'07'!T10+'09'!T10+'11'!T10+'13'!T10+'15'!T10+'17'!T10+'19'!T10+'21'!T10+'23'!T10+'25'!T10+'27'!T10+'29'!T10+'31'!T10</f>
        <v>18715</v>
      </c>
      <c r="U10" s="16">
        <f>'01'!U10+'03'!U10+'05'!U10+'07'!U10+'09'!U10+'11'!U10+'13'!U10+'15'!U10+'17'!U10+'19'!U10+'21'!U10+'23'!U10+'25'!U10+'27'!U10+'29'!U10+'31'!U10</f>
        <v>677797</v>
      </c>
    </row>
    <row r="11" spans="1:21">
      <c r="A11" s="12">
        <v>2008</v>
      </c>
      <c r="B11" s="4"/>
      <c r="C11" s="15">
        <f>'01'!C11+'03'!C11+'05'!C11+'07'!C11+'09'!C11+'11'!C11+'13'!C11+'15'!C11+'17'!C11+'19'!C11+'21'!C11+'23'!C11+'25'!C11+'27'!C11+'29'!C11+'31'!C11</f>
        <v>34525</v>
      </c>
      <c r="D11" s="15">
        <f>'01'!D11+'03'!D11+'05'!D11+'07'!D11+'09'!D11+'11'!D11+'13'!D11+'15'!D11+'17'!D11+'19'!D11+'21'!D11+'23'!D11+'25'!D11+'27'!D11+'29'!D11+'31'!D11</f>
        <v>36552</v>
      </c>
      <c r="E11" s="15">
        <f>'01'!E11+'03'!E11+'05'!E11+'07'!E11+'09'!E11+'11'!E11+'13'!E11+'15'!E11+'17'!E11+'19'!E11+'21'!E11+'23'!E11+'25'!E11+'27'!E11+'29'!E11+'31'!E11</f>
        <v>39473</v>
      </c>
      <c r="F11" s="15">
        <f>'01'!F11+'03'!F11+'05'!F11+'07'!F11+'09'!F11+'11'!F11+'13'!F11+'15'!F11+'17'!F11+'19'!F11+'21'!F11+'23'!F11+'25'!F11+'27'!F11+'29'!F11+'31'!F11</f>
        <v>44684</v>
      </c>
      <c r="G11" s="15">
        <f>'01'!G11+'03'!G11+'05'!G11+'07'!G11+'09'!G11+'11'!G11+'13'!G11+'15'!G11+'17'!G11+'19'!G11+'21'!G11+'23'!G11+'25'!G11+'27'!G11+'29'!G11+'31'!G11</f>
        <v>39216</v>
      </c>
      <c r="H11" s="15">
        <f>'01'!H11+'03'!H11+'05'!H11+'07'!H11+'09'!H11+'11'!H11+'13'!H11+'15'!H11+'17'!H11+'19'!H11+'21'!H11+'23'!H11+'25'!H11+'27'!H11+'29'!H11+'31'!H11</f>
        <v>36743</v>
      </c>
      <c r="I11" s="15">
        <f>'01'!I11+'03'!I11+'05'!I11+'07'!I11+'09'!I11+'11'!I11+'13'!I11+'15'!I11+'17'!I11+'19'!I11+'21'!I11+'23'!I11+'25'!I11+'27'!I11+'29'!I11+'31'!I11</f>
        <v>35993</v>
      </c>
      <c r="J11" s="15">
        <f>'01'!J11+'03'!J11+'05'!J11+'07'!J11+'09'!J11+'11'!J11+'13'!J11+'15'!J11+'17'!J11+'19'!J11+'21'!J11+'23'!J11+'25'!J11+'27'!J11+'29'!J11+'31'!J11</f>
        <v>43307</v>
      </c>
      <c r="K11" s="15">
        <f>'01'!K11+'03'!K11+'05'!K11+'07'!K11+'09'!K11+'11'!K11+'13'!K11+'15'!K11+'17'!K11+'19'!K11+'21'!K11+'23'!K11+'25'!K11+'27'!K11+'29'!K11+'31'!K11</f>
        <v>49579</v>
      </c>
      <c r="L11" s="15">
        <f>'01'!L11+'03'!L11+'05'!L11+'07'!L11+'09'!L11+'11'!L11+'13'!L11+'15'!L11+'17'!L11+'19'!L11+'21'!L11+'23'!L11+'25'!L11+'27'!L11+'29'!L11+'31'!L11</f>
        <v>56286</v>
      </c>
      <c r="M11" s="15">
        <f>'01'!M11+'03'!M11+'05'!M11+'07'!M11+'09'!M11+'11'!M11+'13'!M11+'15'!M11+'17'!M11+'19'!M11+'21'!M11+'23'!M11+'25'!M11+'27'!M11+'29'!M11+'31'!M11</f>
        <v>56072</v>
      </c>
      <c r="N11" s="15">
        <f>'01'!N11+'03'!N11+'05'!N11+'07'!N11+'09'!N11+'11'!N11+'13'!N11+'15'!N11+'17'!N11+'19'!N11+'21'!N11+'23'!N11+'25'!N11+'27'!N11+'29'!N11+'31'!N11</f>
        <v>50534</v>
      </c>
      <c r="O11" s="15">
        <f>'01'!O11+'03'!O11+'05'!O11+'07'!O11+'09'!O11+'11'!O11+'13'!O11+'15'!O11+'17'!O11+'19'!O11+'21'!O11+'23'!O11+'25'!O11+'27'!O11+'29'!O11+'31'!O11</f>
        <v>41146</v>
      </c>
      <c r="P11" s="15">
        <f>'01'!P11+'03'!P11+'05'!P11+'07'!P11+'09'!P11+'11'!P11+'13'!P11+'15'!P11+'17'!P11+'19'!P11+'21'!P11+'23'!P11+'25'!P11+'27'!P11+'29'!P11+'31'!P11</f>
        <v>30980</v>
      </c>
      <c r="Q11" s="15">
        <f>'01'!Q11+'03'!Q11+'05'!Q11+'07'!Q11+'09'!Q11+'11'!Q11+'13'!Q11+'15'!Q11+'17'!Q11+'19'!Q11+'21'!Q11+'23'!Q11+'25'!Q11+'27'!Q11+'29'!Q11+'31'!Q11</f>
        <v>24780</v>
      </c>
      <c r="R11" s="15">
        <f>'01'!R11+'03'!R11+'05'!R11+'07'!R11+'09'!R11+'11'!R11+'13'!R11+'15'!R11+'17'!R11+'19'!R11+'21'!R11+'23'!R11+'25'!R11+'27'!R11+'29'!R11+'31'!R11</f>
        <v>21984</v>
      </c>
      <c r="S11" s="15">
        <f>'01'!S11+'03'!S11+'05'!S11+'07'!S11+'09'!S11+'11'!S11+'13'!S11+'15'!S11+'17'!S11+'19'!S11+'21'!S11+'23'!S11+'25'!S11+'27'!S11+'29'!S11+'31'!S11</f>
        <v>18402</v>
      </c>
      <c r="T11" s="15">
        <f>'01'!T11+'03'!T11+'05'!T11+'07'!T11+'09'!T11+'11'!T11+'13'!T11+'15'!T11+'17'!T11+'19'!T11+'21'!T11+'23'!T11+'25'!T11+'27'!T11+'29'!T11+'31'!T11</f>
        <v>19157</v>
      </c>
      <c r="U11" s="16">
        <f>'01'!U11+'03'!U11+'05'!U11+'07'!U11+'09'!U11+'11'!U11+'13'!U11+'15'!U11+'17'!U11+'19'!U11+'21'!U11+'23'!U11+'25'!U11+'27'!U11+'29'!U11+'31'!U11</f>
        <v>679413</v>
      </c>
    </row>
    <row r="12" spans="1:21">
      <c r="A12" s="12">
        <v>2009</v>
      </c>
      <c r="B12" s="4"/>
      <c r="C12" s="15">
        <f>'01'!C12+'03'!C12+'05'!C12+'07'!C12+'09'!C12+'11'!C12+'13'!C12+'15'!C12+'17'!C12+'19'!C12+'21'!C12+'23'!C12+'25'!C12+'27'!C12+'29'!C12+'31'!C12</f>
        <v>34033</v>
      </c>
      <c r="D12" s="15">
        <f>'01'!D12+'03'!D12+'05'!D12+'07'!D12+'09'!D12+'11'!D12+'13'!D12+'15'!D12+'17'!D12+'19'!D12+'21'!D12+'23'!D12+'25'!D12+'27'!D12+'29'!D12+'31'!D12</f>
        <v>36245</v>
      </c>
      <c r="E12" s="15">
        <f>'01'!E12+'03'!E12+'05'!E12+'07'!E12+'09'!E12+'11'!E12+'13'!E12+'15'!E12+'17'!E12+'19'!E12+'21'!E12+'23'!E12+'25'!E12+'27'!E12+'29'!E12+'31'!E12</f>
        <v>39111</v>
      </c>
      <c r="F12" s="15">
        <f>'01'!F12+'03'!F12+'05'!F12+'07'!F12+'09'!F12+'11'!F12+'13'!F12+'15'!F12+'17'!F12+'19'!F12+'21'!F12+'23'!F12+'25'!F12+'27'!F12+'29'!F12+'31'!F12</f>
        <v>43675</v>
      </c>
      <c r="G12" s="15">
        <f>'01'!G12+'03'!G12+'05'!G12+'07'!G12+'09'!G12+'11'!G12+'13'!G12+'15'!G12+'17'!G12+'19'!G12+'21'!G12+'23'!G12+'25'!G12+'27'!G12+'29'!G12+'31'!G12</f>
        <v>39171</v>
      </c>
      <c r="H12" s="15">
        <f>'01'!H12+'03'!H12+'05'!H12+'07'!H12+'09'!H12+'11'!H12+'13'!H12+'15'!H12+'17'!H12+'19'!H12+'21'!H12+'23'!H12+'25'!H12+'27'!H12+'29'!H12+'31'!H12</f>
        <v>36433</v>
      </c>
      <c r="I12" s="15">
        <f>'01'!I12+'03'!I12+'05'!I12+'07'!I12+'09'!I12+'11'!I12+'13'!I12+'15'!I12+'17'!I12+'19'!I12+'21'!I12+'23'!I12+'25'!I12+'27'!I12+'29'!I12+'31'!I12</f>
        <v>36264</v>
      </c>
      <c r="J12" s="15">
        <f>'01'!J12+'03'!J12+'05'!J12+'07'!J12+'09'!J12+'11'!J12+'13'!J12+'15'!J12+'17'!J12+'19'!J12+'21'!J12+'23'!J12+'25'!J12+'27'!J12+'29'!J12+'31'!J12</f>
        <v>42070</v>
      </c>
      <c r="K12" s="15">
        <f>'01'!K12+'03'!K12+'05'!K12+'07'!K12+'09'!K12+'11'!K12+'13'!K12+'15'!K12+'17'!K12+'19'!K12+'21'!K12+'23'!K12+'25'!K12+'27'!K12+'29'!K12+'31'!K12</f>
        <v>47497</v>
      </c>
      <c r="L12" s="15">
        <f>'01'!L12+'03'!L12+'05'!L12+'07'!L12+'09'!L12+'11'!L12+'13'!L12+'15'!L12+'17'!L12+'19'!L12+'21'!L12+'23'!L12+'25'!L12+'27'!L12+'29'!L12+'31'!L12</f>
        <v>55583</v>
      </c>
      <c r="M12" s="15">
        <f>'01'!M12+'03'!M12+'05'!M12+'07'!M12+'09'!M12+'11'!M12+'13'!M12+'15'!M12+'17'!M12+'19'!M12+'21'!M12+'23'!M12+'25'!M12+'27'!M12+'29'!M12+'31'!M12</f>
        <v>56332</v>
      </c>
      <c r="N12" s="15">
        <f>'01'!N12+'03'!N12+'05'!N12+'07'!N12+'09'!N12+'11'!N12+'13'!N12+'15'!N12+'17'!N12+'19'!N12+'21'!N12+'23'!N12+'25'!N12+'27'!N12+'29'!N12+'31'!N12</f>
        <v>51771</v>
      </c>
      <c r="O12" s="15">
        <f>'01'!O12+'03'!O12+'05'!O12+'07'!O12+'09'!O12+'11'!O12+'13'!O12+'15'!O12+'17'!O12+'19'!O12+'21'!O12+'23'!O12+'25'!O12+'27'!O12+'29'!O12+'31'!O12</f>
        <v>43351</v>
      </c>
      <c r="P12" s="15">
        <f>'01'!P12+'03'!P12+'05'!P12+'07'!P12+'09'!P12+'11'!P12+'13'!P12+'15'!P12+'17'!P12+'19'!P12+'21'!P12+'23'!P12+'25'!P12+'27'!P12+'29'!P12+'31'!P12</f>
        <v>32581</v>
      </c>
      <c r="Q12" s="15">
        <f>'01'!Q12+'03'!Q12+'05'!Q12+'07'!Q12+'09'!Q12+'11'!Q12+'13'!Q12+'15'!Q12+'17'!Q12+'19'!Q12+'21'!Q12+'23'!Q12+'25'!Q12+'27'!Q12+'29'!Q12+'31'!Q12</f>
        <v>25126</v>
      </c>
      <c r="R12" s="15">
        <f>'01'!R12+'03'!R12+'05'!R12+'07'!R12+'09'!R12+'11'!R12+'13'!R12+'15'!R12+'17'!R12+'19'!R12+'21'!R12+'23'!R12+'25'!R12+'27'!R12+'29'!R12+'31'!R12</f>
        <v>21624</v>
      </c>
      <c r="S12" s="15">
        <f>'01'!S12+'03'!S12+'05'!S12+'07'!S12+'09'!S12+'11'!S12+'13'!S12+'15'!S12+'17'!S12+'19'!S12+'21'!S12+'23'!S12+'25'!S12+'27'!S12+'29'!S12+'31'!S12</f>
        <v>18441</v>
      </c>
      <c r="T12" s="15">
        <f>'01'!T12+'03'!T12+'05'!T12+'07'!T12+'09'!T12+'11'!T12+'13'!T12+'15'!T12+'17'!T12+'19'!T12+'21'!T12+'23'!T12+'25'!T12+'27'!T12+'29'!T12+'31'!T12</f>
        <v>19386</v>
      </c>
      <c r="U12" s="16">
        <f>'01'!U12+'03'!U12+'05'!U12+'07'!U12+'09'!U12+'11'!U12+'13'!U12+'15'!U12+'17'!U12+'19'!U12+'21'!U12+'23'!U12+'25'!U12+'27'!U12+'29'!U12+'31'!U12</f>
        <v>678694</v>
      </c>
    </row>
    <row r="13" spans="1:21">
      <c r="A13" s="12">
        <v>2010</v>
      </c>
      <c r="B13" s="4"/>
      <c r="C13" s="15">
        <f>'01'!C13+'03'!C13+'05'!C13+'07'!C13+'09'!C13+'11'!C13+'13'!C13+'15'!C13+'17'!C13+'19'!C13+'21'!C13+'23'!C13+'25'!C13+'27'!C13+'29'!C13+'31'!C13</f>
        <v>33606</v>
      </c>
      <c r="D13" s="15">
        <f>'01'!D13+'03'!D13+'05'!D13+'07'!D13+'09'!D13+'11'!D13+'13'!D13+'15'!D13+'17'!D13+'19'!D13+'21'!D13+'23'!D13+'25'!D13+'27'!D13+'29'!D13+'31'!D13</f>
        <v>35889</v>
      </c>
      <c r="E13" s="15">
        <f>'01'!E13+'03'!E13+'05'!E13+'07'!E13+'09'!E13+'11'!E13+'13'!E13+'15'!E13+'17'!E13+'19'!E13+'21'!E13+'23'!E13+'25'!E13+'27'!E13+'29'!E13+'31'!E13</f>
        <v>38419</v>
      </c>
      <c r="F13" s="15">
        <f>'01'!F13+'03'!F13+'05'!F13+'07'!F13+'09'!F13+'11'!F13+'13'!F13+'15'!F13+'17'!F13+'19'!F13+'21'!F13+'23'!F13+'25'!F13+'27'!F13+'29'!F13+'31'!F13</f>
        <v>42504</v>
      </c>
      <c r="G13" s="15">
        <f>'01'!G13+'03'!G13+'05'!G13+'07'!G13+'09'!G13+'11'!G13+'13'!G13+'15'!G13+'17'!G13+'19'!G13+'21'!G13+'23'!G13+'25'!G13+'27'!G13+'29'!G13+'31'!G13</f>
        <v>39183</v>
      </c>
      <c r="H13" s="15">
        <f>'01'!H13+'03'!H13+'05'!H13+'07'!H13+'09'!H13+'11'!H13+'13'!H13+'15'!H13+'17'!H13+'19'!H13+'21'!H13+'23'!H13+'25'!H13+'27'!H13+'29'!H13+'31'!H13</f>
        <v>36555</v>
      </c>
      <c r="I13" s="15">
        <f>'01'!I13+'03'!I13+'05'!I13+'07'!I13+'09'!I13+'11'!I13+'13'!I13+'15'!I13+'17'!I13+'19'!I13+'21'!I13+'23'!I13+'25'!I13+'27'!I13+'29'!I13+'31'!I13</f>
        <v>36411</v>
      </c>
      <c r="J13" s="15">
        <f>'01'!J13+'03'!J13+'05'!J13+'07'!J13+'09'!J13+'11'!J13+'13'!J13+'15'!J13+'17'!J13+'19'!J13+'21'!J13+'23'!J13+'25'!J13+'27'!J13+'29'!J13+'31'!J13</f>
        <v>40182</v>
      </c>
      <c r="K13" s="15">
        <f>'01'!K13+'03'!K13+'05'!K13+'07'!K13+'09'!K13+'11'!K13+'13'!K13+'15'!K13+'17'!K13+'19'!K13+'21'!K13+'23'!K13+'25'!K13+'27'!K13+'29'!K13+'31'!K13</f>
        <v>46391</v>
      </c>
      <c r="L13" s="15">
        <f>'01'!L13+'03'!L13+'05'!L13+'07'!L13+'09'!L13+'11'!L13+'13'!L13+'15'!L13+'17'!L13+'19'!L13+'21'!L13+'23'!L13+'25'!L13+'27'!L13+'29'!L13+'31'!L13</f>
        <v>54367</v>
      </c>
      <c r="M13" s="15">
        <f>'01'!M13+'03'!M13+'05'!M13+'07'!M13+'09'!M13+'11'!M13+'13'!M13+'15'!M13+'17'!M13+'19'!M13+'21'!M13+'23'!M13+'25'!M13+'27'!M13+'29'!M13+'31'!M13</f>
        <v>56790</v>
      </c>
      <c r="N13" s="15">
        <f>'01'!N13+'03'!N13+'05'!N13+'07'!N13+'09'!N13+'11'!N13+'13'!N13+'15'!N13+'17'!N13+'19'!N13+'21'!N13+'23'!N13+'25'!N13+'27'!N13+'29'!N13+'31'!N13</f>
        <v>52799</v>
      </c>
      <c r="O13" s="15">
        <f>'01'!O13+'03'!O13+'05'!O13+'07'!O13+'09'!O13+'11'!O13+'13'!O13+'15'!O13+'17'!O13+'19'!O13+'21'!O13+'23'!O13+'25'!O13+'27'!O13+'29'!O13+'31'!O13</f>
        <v>45620</v>
      </c>
      <c r="P13" s="15">
        <f>'01'!P13+'03'!P13+'05'!P13+'07'!P13+'09'!P13+'11'!P13+'13'!P13+'15'!P13+'17'!P13+'19'!P13+'21'!P13+'23'!P13+'25'!P13+'27'!P13+'29'!P13+'31'!P13</f>
        <v>33778</v>
      </c>
      <c r="Q13" s="15">
        <f>'01'!Q13+'03'!Q13+'05'!Q13+'07'!Q13+'09'!Q13+'11'!Q13+'13'!Q13+'15'!Q13+'17'!Q13+'19'!Q13+'21'!Q13+'23'!Q13+'25'!Q13+'27'!Q13+'29'!Q13+'31'!Q13</f>
        <v>25539</v>
      </c>
      <c r="R13" s="15">
        <f>'01'!R13+'03'!R13+'05'!R13+'07'!R13+'09'!R13+'11'!R13+'13'!R13+'15'!R13+'17'!R13+'19'!R13+'21'!R13+'23'!R13+'25'!R13+'27'!R13+'29'!R13+'31'!R13</f>
        <v>21515</v>
      </c>
      <c r="S13" s="15">
        <f>'01'!S13+'03'!S13+'05'!S13+'07'!S13+'09'!S13+'11'!S13+'13'!S13+'15'!S13+'17'!S13+'19'!S13+'21'!S13+'23'!S13+'25'!S13+'27'!S13+'29'!S13+'31'!S13</f>
        <v>18266</v>
      </c>
      <c r="T13" s="15">
        <f>'01'!T13+'03'!T13+'05'!T13+'07'!T13+'09'!T13+'11'!T13+'13'!T13+'15'!T13+'17'!T13+'19'!T13+'21'!T13+'23'!T13+'25'!T13+'27'!T13+'29'!T13+'31'!T13</f>
        <v>19944</v>
      </c>
      <c r="U13" s="16">
        <f>'01'!U13+'03'!U13+'05'!U13+'07'!U13+'09'!U13+'11'!U13+'13'!U13+'15'!U13+'17'!U13+'19'!U13+'21'!U13+'23'!U13+'25'!U13+'27'!U13+'29'!U13+'31'!U13</f>
        <v>677758</v>
      </c>
    </row>
    <row r="14" spans="1:21">
      <c r="A14" s="23">
        <v>2015</v>
      </c>
      <c r="B14" s="4"/>
      <c r="C14" s="15">
        <f>'01'!C14+'03'!C14+'05'!C14+'07'!C14+'09'!C14+'11'!C14+'13'!C14+'15'!C14+'17'!C14+'19'!C14+'21'!C14+'23'!C14+'25'!C14+'27'!C14+'29'!C14+'31'!C14</f>
        <v>32903.90918550959</v>
      </c>
      <c r="D14" s="15">
        <f>'01'!D14+'03'!D14+'05'!D14+'07'!D14+'09'!D14+'11'!D14+'13'!D14+'15'!D14+'17'!D14+'19'!D14+'21'!D14+'23'!D14+'25'!D14+'27'!D14+'29'!D14+'31'!D14</f>
        <v>34051.953247212135</v>
      </c>
      <c r="E14" s="15">
        <f>'01'!E14+'03'!E14+'05'!E14+'07'!E14+'09'!E14+'11'!E14+'13'!E14+'15'!E14+'17'!E14+'19'!E14+'21'!E14+'23'!E14+'25'!E14+'27'!E14+'29'!E14+'31'!E14</f>
        <v>36032.77504010727</v>
      </c>
      <c r="F14" s="15">
        <f>'01'!F14+'03'!F14+'05'!F14+'07'!F14+'09'!F14+'11'!F14+'13'!F14+'15'!F14+'17'!F14+'19'!F14+'21'!F14+'23'!F14+'25'!F14+'27'!F14+'29'!F14+'31'!F14</f>
        <v>39875.164536746466</v>
      </c>
      <c r="G14" s="15">
        <f>'01'!G14+'03'!G14+'05'!G14+'07'!G14+'09'!G14+'11'!G14+'13'!G14+'15'!G14+'17'!G14+'19'!G14+'21'!G14+'23'!G14+'25'!G14+'27'!G14+'29'!G14+'31'!G14</f>
        <v>40908.499080081216</v>
      </c>
      <c r="H14" s="15">
        <f>'01'!H14+'03'!H14+'05'!H14+'07'!H14+'09'!H14+'11'!H14+'13'!H14+'15'!H14+'17'!H14+'19'!H14+'21'!H14+'23'!H14+'25'!H14+'27'!H14+'29'!H14+'31'!H14</f>
        <v>35921.130602530509</v>
      </c>
      <c r="I14" s="15">
        <f>'01'!I14+'03'!I14+'05'!I14+'07'!I14+'09'!I14+'11'!I14+'13'!I14+'15'!I14+'17'!I14+'19'!I14+'21'!I14+'23'!I14+'25'!I14+'27'!I14+'29'!I14+'31'!I14</f>
        <v>36975.629032944722</v>
      </c>
      <c r="J14" s="15">
        <f>'01'!J14+'03'!J14+'05'!J14+'07'!J14+'09'!J14+'11'!J14+'13'!J14+'15'!J14+'17'!J14+'19'!J14+'21'!J14+'23'!J14+'25'!J14+'27'!J14+'29'!J14+'31'!J14</f>
        <v>36579.843839450317</v>
      </c>
      <c r="K14" s="15">
        <f>'01'!K14+'03'!K14+'05'!K14+'07'!K14+'09'!K14+'11'!K14+'13'!K14+'15'!K14+'17'!K14+'19'!K14+'21'!K14+'23'!K14+'25'!K14+'27'!K14+'29'!K14+'31'!K14</f>
        <v>40124.450811272138</v>
      </c>
      <c r="L14" s="15">
        <f>'01'!L14+'03'!L14+'05'!L14+'07'!L14+'09'!L14+'11'!L14+'13'!L14+'15'!L14+'17'!L14+'19'!L14+'21'!L14+'23'!L14+'25'!L14+'27'!L14+'29'!L14+'31'!L14</f>
        <v>46203.170042313628</v>
      </c>
      <c r="M14" s="15">
        <f>'01'!M14+'03'!M14+'05'!M14+'07'!M14+'09'!M14+'11'!M14+'13'!M14+'15'!M14+'17'!M14+'19'!M14+'21'!M14+'23'!M14+'25'!M14+'27'!M14+'29'!M14+'31'!M14</f>
        <v>53622.66318484072</v>
      </c>
      <c r="N14" s="15">
        <f>'01'!N14+'03'!N14+'05'!N14+'07'!N14+'09'!N14+'11'!N14+'13'!N14+'15'!N14+'17'!N14+'19'!N14+'21'!N14+'23'!N14+'25'!N14+'27'!N14+'29'!N14+'31'!N14</f>
        <v>55857.226534289228</v>
      </c>
      <c r="O14" s="15">
        <f>'01'!O14+'03'!O14+'05'!O14+'07'!O14+'09'!O14+'11'!O14+'13'!O14+'15'!O14+'17'!O14+'19'!O14+'21'!O14+'23'!O14+'25'!O14+'27'!O14+'29'!O14+'31'!O14</f>
        <v>51598.866420090169</v>
      </c>
      <c r="P14" s="15">
        <f>'01'!P14+'03'!P14+'05'!P14+'07'!P14+'09'!P14+'11'!P14+'13'!P14+'15'!P14+'17'!P14+'19'!P14+'21'!P14+'23'!P14+'25'!P14+'27'!P14+'29'!P14+'31'!P14</f>
        <v>43742.107321033138</v>
      </c>
      <c r="Q14" s="15">
        <f>'01'!Q14+'03'!Q14+'05'!Q14+'07'!Q14+'09'!Q14+'11'!Q14+'13'!Q14+'15'!Q14+'17'!Q14+'19'!Q14+'21'!Q14+'23'!Q14+'25'!Q14+'27'!Q14+'29'!Q14+'31'!Q14</f>
        <v>31465.901808946699</v>
      </c>
      <c r="R14" s="15">
        <f>'01'!R14+'03'!R14+'05'!R14+'07'!R14+'09'!R14+'11'!R14+'13'!R14+'15'!R14+'17'!R14+'19'!R14+'21'!R14+'23'!R14+'25'!R14+'27'!R14+'29'!R14+'31'!R14</f>
        <v>22524.153117288915</v>
      </c>
      <c r="S14" s="15">
        <f>'01'!S14+'03'!S14+'05'!S14+'07'!S14+'09'!S14+'11'!S14+'13'!S14+'15'!S14+'17'!S14+'19'!S14+'21'!S14+'23'!S14+'25'!S14+'27'!S14+'29'!S14+'31'!S14</f>
        <v>17313.03329304482</v>
      </c>
      <c r="T14" s="15">
        <f>'01'!T14+'03'!T14+'05'!T14+'07'!T14+'09'!T14+'11'!T14+'13'!T14+'15'!T14+'17'!T14+'19'!T14+'21'!T14+'23'!T14+'25'!T14+'27'!T14+'29'!T14+'31'!T14</f>
        <v>21058.710572380896</v>
      </c>
      <c r="U14" s="16">
        <f>'01'!U14+'03'!U14+'05'!U14+'07'!U14+'09'!U14+'11'!U14+'13'!U14+'15'!U14+'17'!U14+'19'!U14+'21'!U14+'23'!U14+'25'!U14+'27'!U14+'29'!U14+'31'!U14</f>
        <v>676759.18767008267</v>
      </c>
    </row>
    <row r="15" spans="1:21">
      <c r="A15" s="23">
        <v>2020</v>
      </c>
      <c r="B15" s="4"/>
      <c r="C15" s="15">
        <f>'01'!C15+'03'!C15+'05'!C15+'07'!C15+'09'!C15+'11'!C15+'13'!C15+'15'!C15+'17'!C15+'19'!C15+'21'!C15+'23'!C15+'25'!C15+'27'!C15+'29'!C15+'31'!C15</f>
        <v>32907.786688030741</v>
      </c>
      <c r="D15" s="15">
        <f>'01'!D15+'03'!D15+'05'!D15+'07'!D15+'09'!D15+'11'!D15+'13'!D15+'15'!D15+'17'!D15+'19'!D15+'21'!D15+'23'!D15+'25'!D15+'27'!D15+'29'!D15+'31'!D15</f>
        <v>33513.40949270509</v>
      </c>
      <c r="E15" s="15">
        <f>'01'!E15+'03'!E15+'05'!E15+'07'!E15+'09'!E15+'11'!E15+'13'!E15+'15'!E15+'17'!E15+'19'!E15+'21'!E15+'23'!E15+'25'!E15+'27'!E15+'29'!E15+'31'!E15</f>
        <v>34350.276922857542</v>
      </c>
      <c r="F15" s="15">
        <f>'01'!F15+'03'!F15+'05'!F15+'07'!F15+'09'!F15+'11'!F15+'13'!F15+'15'!F15+'17'!F15+'19'!F15+'21'!F15+'23'!F15+'25'!F15+'27'!F15+'29'!F15+'31'!F15</f>
        <v>37657.581647432191</v>
      </c>
      <c r="G15" s="15">
        <f>'01'!G15+'03'!G15+'05'!G15+'07'!G15+'09'!G15+'11'!G15+'13'!G15+'15'!G15+'17'!G15+'19'!G15+'21'!G15+'23'!G15+'25'!G15+'27'!G15+'29'!G15+'31'!G15</f>
        <v>39828.999884384648</v>
      </c>
      <c r="H15" s="15">
        <f>'01'!H15+'03'!H15+'05'!H15+'07'!H15+'09'!H15+'11'!H15+'13'!H15+'15'!H15+'17'!H15+'19'!H15+'21'!H15+'23'!H15+'25'!H15+'27'!H15+'29'!H15+'31'!H15</f>
        <v>38056.175510623492</v>
      </c>
      <c r="I15" s="15">
        <f>'01'!I15+'03'!I15+'05'!I15+'07'!I15+'09'!I15+'11'!I15+'13'!I15+'15'!I15+'17'!I15+'19'!I15+'21'!I15+'23'!I15+'25'!I15+'27'!I15+'29'!I15+'31'!I15</f>
        <v>36563.885078672363</v>
      </c>
      <c r="J15" s="15">
        <f>'01'!J15+'03'!J15+'05'!J15+'07'!J15+'09'!J15+'11'!J15+'13'!J15+'15'!J15+'17'!J15+'19'!J15+'21'!J15+'23'!J15+'25'!J15+'27'!J15+'29'!J15+'31'!J15</f>
        <v>37257.652744674437</v>
      </c>
      <c r="K15" s="15">
        <f>'01'!K15+'03'!K15+'05'!K15+'07'!K15+'09'!K15+'11'!K15+'13'!K15+'15'!K15+'17'!K15+'19'!K15+'21'!K15+'23'!K15+'25'!K15+'27'!K15+'29'!K15+'31'!K15</f>
        <v>36894.183898969721</v>
      </c>
      <c r="L15" s="15">
        <f>'01'!L15+'03'!L15+'05'!L15+'07'!L15+'09'!L15+'11'!L15+'13'!L15+'15'!L15+'17'!L15+'19'!L15+'21'!L15+'23'!L15+'25'!L15+'27'!L15+'29'!L15+'31'!L15</f>
        <v>40283.097834985165</v>
      </c>
      <c r="M15" s="15">
        <f>'01'!M15+'03'!M15+'05'!M15+'07'!M15+'09'!M15+'11'!M15+'13'!M15+'15'!M15+'17'!M15+'19'!M15+'21'!M15+'23'!M15+'25'!M15+'27'!M15+'29'!M15+'31'!M15</f>
        <v>45766.219002149548</v>
      </c>
      <c r="N15" s="15">
        <f>'01'!N15+'03'!N15+'05'!N15+'07'!N15+'09'!N15+'11'!N15+'13'!N15+'15'!N15+'17'!N15+'19'!N15+'21'!N15+'23'!N15+'25'!N15+'27'!N15+'29'!N15+'31'!N15</f>
        <v>52706.599468301953</v>
      </c>
      <c r="O15" s="15">
        <f>'01'!O15+'03'!O15+'05'!O15+'07'!O15+'09'!O15+'11'!O15+'13'!O15+'15'!O15+'17'!O15+'19'!O15+'21'!O15+'23'!O15+'25'!O15+'27'!O15+'29'!O15+'31'!O15</f>
        <v>54500.800457364181</v>
      </c>
      <c r="P15" s="15">
        <f>'01'!P15+'03'!P15+'05'!P15+'07'!P15+'09'!P15+'11'!P15+'13'!P15+'15'!P15+'17'!P15+'19'!P15+'21'!P15+'23'!P15+'25'!P15+'27'!P15+'29'!P15+'31'!P15</f>
        <v>49447.506370341529</v>
      </c>
      <c r="Q15" s="15">
        <f>'01'!Q15+'03'!Q15+'05'!Q15+'07'!Q15+'09'!Q15+'11'!Q15+'13'!Q15+'15'!Q15+'17'!Q15+'19'!Q15+'21'!Q15+'23'!Q15+'25'!Q15+'27'!Q15+'29'!Q15+'31'!Q15</f>
        <v>40571.353395539089</v>
      </c>
      <c r="R15" s="15">
        <f>'01'!R15+'03'!R15+'05'!R15+'07'!R15+'09'!R15+'11'!R15+'13'!R15+'15'!R15+'17'!R15+'19'!R15+'21'!R15+'23'!R15+'25'!R15+'27'!R15+'29'!R15+'31'!R15</f>
        <v>27785.874520816855</v>
      </c>
      <c r="S15" s="15">
        <f>'01'!S15+'03'!S15+'05'!S15+'07'!S15+'09'!S15+'11'!S15+'13'!S15+'15'!S15+'17'!S15+'19'!S15+'21'!S15+'23'!S15+'25'!S15+'27'!S15+'29'!S15+'31'!S15</f>
        <v>18225.002574735525</v>
      </c>
      <c r="T15" s="15">
        <f>'01'!T15+'03'!T15+'05'!T15+'07'!T15+'09'!T15+'11'!T15+'13'!T15+'15'!T15+'17'!T15+'19'!T15+'21'!T15+'23'!T15+'25'!T15+'27'!T15+'29'!T15+'31'!T15</f>
        <v>21075.111119786368</v>
      </c>
      <c r="U15" s="16">
        <f>'01'!U15+'03'!U15+'05'!U15+'07'!U15+'09'!U15+'11'!U15+'13'!U15+'15'!U15+'17'!U15+'19'!U15+'21'!U15+'23'!U15+'25'!U15+'27'!U15+'29'!U15+'31'!U15</f>
        <v>677391.5166123705</v>
      </c>
    </row>
    <row r="16" spans="1:21">
      <c r="A16" s="23">
        <v>2025</v>
      </c>
      <c r="B16" s="4"/>
      <c r="C16" s="15">
        <f>'01'!C16+'03'!C16+'05'!C16+'07'!C16+'09'!C16+'11'!C16+'13'!C16+'15'!C16+'17'!C16+'19'!C16+'21'!C16+'23'!C16+'25'!C16+'27'!C16+'29'!C16+'31'!C16</f>
        <v>32928.571216558557</v>
      </c>
      <c r="D16" s="15">
        <f>'01'!D16+'03'!D16+'05'!D16+'07'!D16+'09'!D16+'11'!D16+'13'!D16+'15'!D16+'17'!D16+'19'!D16+'21'!D16+'23'!D16+'25'!D16+'27'!D16+'29'!D16+'31'!D16</f>
        <v>33597.513654275026</v>
      </c>
      <c r="E16" s="15">
        <f>'01'!E16+'03'!E16+'05'!E16+'07'!E16+'09'!E16+'11'!E16+'13'!E16+'15'!E16+'17'!E16+'19'!E16+'21'!E16+'23'!E16+'25'!E16+'27'!E16+'29'!E16+'31'!E16</f>
        <v>33894.257571145376</v>
      </c>
      <c r="F16" s="15">
        <f>'01'!F16+'03'!F16+'05'!F16+'07'!F16+'09'!F16+'11'!F16+'13'!F16+'15'!F16+'17'!F16+'19'!F16+'21'!F16+'23'!F16+'25'!F16+'27'!F16+'29'!F16+'31'!F16</f>
        <v>36133.884229226525</v>
      </c>
      <c r="G16" s="15">
        <f>'01'!G16+'03'!G16+'05'!G16+'07'!G16+'09'!G16+'11'!G16+'13'!G16+'15'!G16+'17'!G16+'19'!G16+'21'!G16+'23'!G16+'25'!G16+'27'!G16+'29'!G16+'31'!G16</f>
        <v>38132.111189254771</v>
      </c>
      <c r="H16" s="15">
        <f>'01'!H16+'03'!H16+'05'!H16+'07'!H16+'09'!H16+'11'!H16+'13'!H16+'15'!H16+'17'!H16+'19'!H16+'21'!H16+'23'!H16+'25'!H16+'27'!H16+'29'!H16+'31'!H16</f>
        <v>37549.486219800689</v>
      </c>
      <c r="I16" s="15">
        <f>'01'!I16+'03'!I16+'05'!I16+'07'!I16+'09'!I16+'11'!I16+'13'!I16+'15'!I16+'17'!I16+'19'!I16+'21'!I16+'23'!I16+'25'!I16+'27'!I16+'29'!I16+'31'!I16</f>
        <v>38329.346684518801</v>
      </c>
      <c r="J16" s="15">
        <f>'01'!J16+'03'!J16+'05'!J16+'07'!J16+'09'!J16+'11'!J16+'13'!J16+'15'!J16+'17'!J16+'19'!J16+'21'!J16+'23'!J16+'25'!J16+'27'!J16+'29'!J16+'31'!J16</f>
        <v>36985.920731517108</v>
      </c>
      <c r="K16" s="15">
        <f>'01'!K16+'03'!K16+'05'!K16+'07'!K16+'09'!K16+'11'!K16+'13'!K16+'15'!K16+'17'!K16+'19'!K16+'21'!K16+'23'!K16+'25'!K16+'27'!K16+'29'!K16+'31'!K16</f>
        <v>37656.772947531426</v>
      </c>
      <c r="L16" s="15">
        <f>'01'!L16+'03'!L16+'05'!L16+'07'!L16+'09'!L16+'11'!L16+'13'!L16+'15'!L16+'17'!L16+'19'!L16+'21'!L16+'23'!L16+'25'!L16+'27'!L16+'29'!L16+'31'!L16</f>
        <v>37373.452106642304</v>
      </c>
      <c r="M16" s="15">
        <f>'01'!M16+'03'!M16+'05'!M16+'07'!M16+'09'!M16+'11'!M16+'13'!M16+'15'!M16+'17'!M16+'19'!M16+'21'!M16+'23'!M16+'25'!M16+'27'!M16+'29'!M16+'31'!M16</f>
        <v>40153.824345483794</v>
      </c>
      <c r="N16" s="15">
        <f>'01'!N16+'03'!N16+'05'!N16+'07'!N16+'09'!N16+'11'!N16+'13'!N16+'15'!N16+'17'!N16+'19'!N16+'21'!N16+'23'!N16+'25'!N16+'27'!N16+'29'!N16+'31'!N16</f>
        <v>45180.991678207974</v>
      </c>
      <c r="O16" s="15">
        <f>'01'!O16+'03'!O16+'05'!O16+'07'!O16+'09'!O16+'11'!O16+'13'!O16+'15'!O16+'17'!O16+'19'!O16+'21'!O16+'23'!O16+'25'!O16+'27'!O16+'29'!O16+'31'!O16</f>
        <v>51394.632102643511</v>
      </c>
      <c r="P16" s="15">
        <f>'01'!P16+'03'!P16+'05'!P16+'07'!P16+'09'!P16+'11'!P16+'13'!P16+'15'!P16+'17'!P16+'19'!P16+'21'!P16+'23'!P16+'25'!P16+'27'!P16+'29'!P16+'31'!P16</f>
        <v>52164.13426261516</v>
      </c>
      <c r="Q16" s="15">
        <f>'01'!Q16+'03'!Q16+'05'!Q16+'07'!Q16+'09'!Q16+'11'!Q16+'13'!Q16+'15'!Q16+'17'!Q16+'19'!Q16+'21'!Q16+'23'!Q16+'25'!Q16+'27'!Q16+'29'!Q16+'31'!Q16</f>
        <v>45840.952843826366</v>
      </c>
      <c r="R16" s="15">
        <f>'01'!R16+'03'!R16+'05'!R16+'07'!R16+'09'!R16+'11'!R16+'13'!R16+'15'!R16+'17'!R16+'19'!R16+'21'!R16+'23'!R16+'25'!R16+'27'!R16+'29'!R16+'31'!R16</f>
        <v>35702.333349666362</v>
      </c>
      <c r="S16" s="15">
        <f>'01'!S16+'03'!S16+'05'!S16+'07'!S16+'09'!S16+'11'!S16+'13'!S16+'15'!S16+'17'!S16+'19'!S16+'21'!S16+'23'!S16+'25'!S16+'27'!S16+'29'!S16+'31'!S16</f>
        <v>22534.965345043296</v>
      </c>
      <c r="T16" s="15">
        <f>'01'!T16+'03'!T16+'05'!T16+'07'!T16+'09'!T16+'11'!T16+'13'!T16+'15'!T16+'17'!T16+'19'!T16+'21'!T16+'23'!T16+'25'!T16+'27'!T16+'29'!T16+'31'!T16</f>
        <v>21752.928520181769</v>
      </c>
      <c r="U16" s="16">
        <f>'01'!U16+'03'!U16+'05'!U16+'07'!U16+'09'!U16+'11'!U16+'13'!U16+'15'!U16+'17'!U16+'19'!U16+'21'!U16+'23'!U16+'25'!U16+'27'!U16+'29'!U16+'31'!U16</f>
        <v>677306.0789981389</v>
      </c>
    </row>
    <row r="17" spans="1:21">
      <c r="A17" s="23">
        <v>2030</v>
      </c>
      <c r="B17" s="4"/>
      <c r="C17" s="15">
        <f>'01'!C17+'03'!C17+'05'!C17+'07'!C17+'09'!C17+'11'!C17+'13'!C17+'15'!C17+'17'!C17+'19'!C17+'21'!C17+'23'!C17+'25'!C17+'27'!C17+'29'!C17+'31'!C17</f>
        <v>32678.001568781383</v>
      </c>
      <c r="D17" s="15">
        <f>'01'!D17+'03'!D17+'05'!D17+'07'!D17+'09'!D17+'11'!D17+'13'!D17+'15'!D17+'17'!D17+'19'!D17+'21'!D17+'23'!D17+'25'!D17+'27'!D17+'29'!D17+'31'!D17</f>
        <v>33702.676964343467</v>
      </c>
      <c r="E17" s="15">
        <f>'01'!E17+'03'!E17+'05'!E17+'07'!E17+'09'!E17+'11'!E17+'13'!E17+'15'!E17+'17'!E17+'19'!E17+'21'!E17+'23'!E17+'25'!E17+'27'!E17+'29'!E17+'31'!E17</f>
        <v>34025.380213134551</v>
      </c>
      <c r="F17" s="15">
        <f>'01'!F17+'03'!F17+'05'!F17+'07'!F17+'09'!F17+'11'!F17+'13'!F17+'15'!F17+'17'!F17+'19'!F17+'21'!F17+'23'!F17+'25'!F17+'27'!F17+'29'!F17+'31'!F17</f>
        <v>35765.165852629187</v>
      </c>
      <c r="G17" s="15">
        <f>'01'!G17+'03'!G17+'05'!G17+'07'!G17+'09'!G17+'11'!G17+'13'!G17+'15'!G17+'17'!G17+'19'!G17+'21'!G17+'23'!G17+'25'!G17+'27'!G17+'29'!G17+'31'!G17</f>
        <v>37085.644098477234</v>
      </c>
      <c r="H17" s="15">
        <f>'01'!H17+'03'!H17+'05'!H17+'07'!H17+'09'!H17+'11'!H17+'13'!H17+'15'!H17+'17'!H17+'19'!H17+'21'!H17+'23'!H17+'25'!H17+'27'!H17+'29'!H17+'31'!H17</f>
        <v>36419.222991195951</v>
      </c>
      <c r="I17" s="15">
        <f>'01'!I17+'03'!I17+'05'!I17+'07'!I17+'09'!I17+'11'!I17+'13'!I17+'15'!I17+'17'!I17+'19'!I17+'21'!I17+'23'!I17+'25'!I17+'27'!I17+'29'!I17+'31'!I17</f>
        <v>38176.229656804593</v>
      </c>
      <c r="J17" s="15">
        <f>'01'!J17+'03'!J17+'05'!J17+'07'!J17+'09'!J17+'11'!J17+'13'!J17+'15'!J17+'17'!J17+'19'!J17+'21'!J17+'23'!J17+'25'!J17+'27'!J17+'29'!J17+'31'!J17</f>
        <v>38546.62649958703</v>
      </c>
      <c r="K17" s="15">
        <f>'01'!K17+'03'!K17+'05'!K17+'07'!K17+'09'!K17+'11'!K17+'13'!K17+'15'!K17+'17'!K17+'19'!K17+'21'!K17+'23'!K17+'25'!K17+'27'!K17+'29'!K17+'31'!K17</f>
        <v>37466.902324180017</v>
      </c>
      <c r="L17" s="15">
        <f>'01'!L17+'03'!L17+'05'!L17+'07'!L17+'09'!L17+'11'!L17+'13'!L17+'15'!L17+'17'!L17+'19'!L17+'21'!L17+'23'!L17+'25'!L17+'27'!L17+'29'!L17+'31'!L17</f>
        <v>38212.611641649302</v>
      </c>
      <c r="M17" s="15">
        <f>'01'!M17+'03'!M17+'05'!M17+'07'!M17+'09'!M17+'11'!M17+'13'!M17+'15'!M17+'17'!M17+'19'!M17+'21'!M17+'23'!M17+'25'!M17+'27'!M17+'29'!M17+'31'!M17</f>
        <v>37507.365041419049</v>
      </c>
      <c r="N17" s="15">
        <f>'01'!N17+'03'!N17+'05'!N17+'07'!N17+'09'!N17+'11'!N17+'13'!N17+'15'!N17+'17'!N17+'19'!N17+'21'!N17+'23'!N17+'25'!N17+'27'!N17+'29'!N17+'31'!N17</f>
        <v>39881.979941480036</v>
      </c>
      <c r="O17" s="15">
        <f>'01'!O17+'03'!O17+'05'!O17+'07'!O17+'09'!O17+'11'!O17+'13'!O17+'15'!O17+'17'!O17+'19'!O17+'21'!O17+'23'!O17+'25'!O17+'27'!O17+'29'!O17+'31'!O17</f>
        <v>44236.115190568264</v>
      </c>
      <c r="P17" s="15">
        <f>'01'!P17+'03'!P17+'05'!P17+'07'!P17+'09'!P17+'11'!P17+'13'!P17+'15'!P17+'17'!P17+'19'!P17+'21'!P17+'23'!P17+'25'!P17+'27'!P17+'29'!P17+'31'!P17</f>
        <v>49164.588785141044</v>
      </c>
      <c r="Q17" s="15">
        <f>'01'!Q17+'03'!Q17+'05'!Q17+'07'!Q17+'09'!Q17+'11'!Q17+'13'!Q17+'15'!Q17+'17'!Q17+'19'!Q17+'21'!Q17+'23'!Q17+'25'!Q17+'27'!Q17+'29'!Q17+'31'!Q17</f>
        <v>48301.825030509783</v>
      </c>
      <c r="R17" s="15">
        <f>'01'!R17+'03'!R17+'05'!R17+'07'!R17+'09'!R17+'11'!R17+'13'!R17+'15'!R17+'17'!R17+'19'!R17+'21'!R17+'23'!R17+'25'!R17+'27'!R17+'29'!R17+'31'!R17</f>
        <v>40323.222229777857</v>
      </c>
      <c r="S17" s="15">
        <f>'01'!S17+'03'!S17+'05'!S17+'07'!S17+'09'!S17+'11'!S17+'13'!S17+'15'!S17+'17'!S17+'19'!S17+'21'!S17+'23'!S17+'25'!S17+'27'!S17+'29'!S17+'31'!S17</f>
        <v>28824.648577233391</v>
      </c>
      <c r="T17" s="15">
        <f>'01'!T17+'03'!T17+'05'!T17+'07'!T17+'09'!T17+'11'!T17+'13'!T17+'15'!T17+'17'!T17+'19'!T17+'21'!T17+'23'!T17+'25'!T17+'27'!T17+'29'!T17+'31'!T17</f>
        <v>24877.552307797552</v>
      </c>
      <c r="U17" s="16">
        <f>'01'!U17+'03'!U17+'05'!U17+'07'!U17+'09'!U17+'11'!U17+'13'!U17+'15'!U17+'17'!U17+'19'!U17+'21'!U17+'23'!U17+'25'!U17+'27'!U17+'29'!U17+'31'!U17</f>
        <v>675195.75891470967</v>
      </c>
    </row>
    <row r="18" spans="1:21" ht="15.75" thickBot="1">
      <c r="A18" s="17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ht="15.75" thickTop="1">
      <c r="A19" s="12" t="s">
        <v>17</v>
      </c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4"/>
    </row>
    <row r="20" spans="1:21">
      <c r="A20" s="12">
        <v>2001</v>
      </c>
      <c r="B20" s="4"/>
      <c r="C20" s="15">
        <f>'01'!C20+'03'!C20+'05'!C20+'07'!C20+'09'!C20+'11'!C20+'13'!C20+'15'!C20+'17'!C20+'19'!C20+'21'!C20+'23'!C20+'25'!C20+'27'!C20+'29'!C20+'31'!C20</f>
        <v>36075</v>
      </c>
      <c r="D20" s="15">
        <f>'01'!D20+'03'!D20+'05'!D20+'07'!D20+'09'!D20+'11'!D20+'13'!D20+'15'!D20+'17'!D20+'19'!D20+'21'!D20+'23'!D20+'25'!D20+'27'!D20+'29'!D20+'31'!D20</f>
        <v>41341</v>
      </c>
      <c r="E20" s="15">
        <f>'01'!E20+'03'!E20+'05'!E20+'07'!E20+'09'!E20+'11'!E20+'13'!E20+'15'!E20+'17'!E20+'19'!E20+'21'!E20+'23'!E20+'25'!E20+'27'!E20+'29'!E20+'31'!E20</f>
        <v>47691</v>
      </c>
      <c r="F20" s="15">
        <f>'01'!F20+'03'!F20+'05'!F20+'07'!F20+'09'!F20+'11'!F20+'13'!F20+'15'!F20+'17'!F20+'19'!F20+'21'!F20+'23'!F20+'25'!F20+'27'!F20+'29'!F20+'31'!F20</f>
        <v>47062</v>
      </c>
      <c r="G20" s="15">
        <f>'01'!G20+'03'!G20+'05'!G20+'07'!G20+'09'!G20+'11'!G20+'13'!G20+'15'!G20+'17'!G20+'19'!G20+'21'!G20+'23'!G20+'25'!G20+'27'!G20+'29'!G20+'31'!G20</f>
        <v>35971</v>
      </c>
      <c r="H20" s="15">
        <f>'01'!H20+'03'!H20+'05'!H20+'07'!H20+'09'!H20+'11'!H20+'13'!H20+'15'!H20+'17'!H20+'19'!H20+'21'!H20+'23'!H20+'25'!H20+'27'!H20+'29'!H20+'31'!H20</f>
        <v>33273</v>
      </c>
      <c r="I20" s="15">
        <f>'01'!I20+'03'!I20+'05'!I20+'07'!I20+'09'!I20+'11'!I20+'13'!I20+'15'!I20+'17'!I20+'19'!I20+'21'!I20+'23'!I20+'25'!I20+'27'!I20+'29'!I20+'31'!I20</f>
        <v>41535</v>
      </c>
      <c r="J20" s="15">
        <f>'01'!J20+'03'!J20+'05'!J20+'07'!J20+'09'!J20+'11'!J20+'13'!J20+'15'!J20+'17'!J20+'19'!J20+'21'!J20+'23'!J20+'25'!J20+'27'!J20+'29'!J20+'31'!J20</f>
        <v>49336</v>
      </c>
      <c r="K20" s="15">
        <f>'01'!K20+'03'!K20+'05'!K20+'07'!K20+'09'!K20+'11'!K20+'13'!K20+'15'!K20+'17'!K20+'19'!K20+'21'!K20+'23'!K20+'25'!K20+'27'!K20+'29'!K20+'31'!K20</f>
        <v>54058</v>
      </c>
      <c r="L20" s="15">
        <f>'01'!L20+'03'!L20+'05'!L20+'07'!L20+'09'!L20+'11'!L20+'13'!L20+'15'!L20+'17'!L20+'19'!L20+'21'!L20+'23'!L20+'25'!L20+'27'!L20+'29'!L20+'31'!L20</f>
        <v>51255</v>
      </c>
      <c r="M20" s="15">
        <f>'01'!M20+'03'!M20+'05'!M20+'07'!M20+'09'!M20+'11'!M20+'13'!M20+'15'!M20+'17'!M20+'19'!M20+'21'!M20+'23'!M20+'25'!M20+'27'!M20+'29'!M20+'31'!M20</f>
        <v>48549</v>
      </c>
      <c r="N20" s="15">
        <f>'01'!N20+'03'!N20+'05'!N20+'07'!N20+'09'!N20+'11'!N20+'13'!N20+'15'!N20+'17'!N20+'19'!N20+'21'!N20+'23'!N20+'25'!N20+'27'!N20+'29'!N20+'31'!N20</f>
        <v>35444</v>
      </c>
      <c r="O20" s="15">
        <f>'01'!O20+'03'!O20+'05'!O20+'07'!O20+'09'!O20+'11'!O20+'13'!O20+'15'!O20+'17'!O20+'19'!O20+'21'!O20+'23'!O20+'25'!O20+'27'!O20+'29'!O20+'31'!O20</f>
        <v>27176</v>
      </c>
      <c r="P20" s="15">
        <f>'01'!P20+'03'!P20+'05'!P20+'07'!P20+'09'!P20+'11'!P20+'13'!P20+'15'!P20+'17'!P20+'19'!P20+'21'!P20+'23'!P20+'25'!P20+'27'!P20+'29'!P20+'31'!P20</f>
        <v>23918</v>
      </c>
      <c r="Q20" s="15">
        <f>'01'!Q20+'03'!Q20+'05'!Q20+'07'!Q20+'09'!Q20+'11'!Q20+'13'!Q20+'15'!Q20+'17'!Q20+'19'!Q20+'21'!Q20+'23'!Q20+'25'!Q20+'27'!Q20+'29'!Q20+'31'!Q20</f>
        <v>20570</v>
      </c>
      <c r="R20" s="15">
        <f>'01'!R20+'03'!R20+'05'!R20+'07'!R20+'09'!R20+'11'!R20+'13'!R20+'15'!R20+'17'!R20+'19'!R20+'21'!R20+'23'!R20+'25'!R20+'27'!R20+'29'!R20+'31'!R20</f>
        <v>16097</v>
      </c>
      <c r="S20" s="15">
        <f>'01'!S20+'03'!S20+'05'!S20+'07'!S20+'09'!S20+'11'!S20+'13'!S20+'15'!S20+'17'!S20+'19'!S20+'21'!S20+'23'!S20+'25'!S20+'27'!S20+'29'!S20+'31'!S20</f>
        <v>9975</v>
      </c>
      <c r="T20" s="15">
        <f>'01'!T20+'03'!T20+'05'!T20+'07'!T20+'09'!T20+'11'!T20+'13'!T20+'15'!T20+'17'!T20+'19'!T20+'21'!T20+'23'!T20+'25'!T20+'27'!T20+'29'!T20+'31'!T20</f>
        <v>6709</v>
      </c>
      <c r="U20" s="16">
        <f>'01'!U20+'03'!U20+'05'!U20+'07'!U20+'09'!U20+'11'!U20+'13'!U20+'15'!U20+'17'!U20+'19'!U20+'21'!U20+'23'!U20+'25'!U20+'27'!U20+'29'!U20+'31'!U20</f>
        <v>626035</v>
      </c>
    </row>
    <row r="21" spans="1:21">
      <c r="A21" s="12">
        <v>2002</v>
      </c>
      <c r="B21" s="4"/>
      <c r="C21" s="15">
        <f>'01'!C21+'03'!C21+'05'!C21+'07'!C21+'09'!C21+'11'!C21+'13'!C21+'15'!C21+'17'!C21+'19'!C21+'21'!C21+'23'!C21+'25'!C21+'27'!C21+'29'!C21+'31'!C21</f>
        <v>36007</v>
      </c>
      <c r="D21" s="15">
        <f>'01'!D21+'03'!D21+'05'!D21+'07'!D21+'09'!D21+'11'!D21+'13'!D21+'15'!D21+'17'!D21+'19'!D21+'21'!D21+'23'!D21+'25'!D21+'27'!D21+'29'!D21+'31'!D21</f>
        <v>40378</v>
      </c>
      <c r="E21" s="15">
        <f>'01'!E21+'03'!E21+'05'!E21+'07'!E21+'09'!E21+'11'!E21+'13'!E21+'15'!E21+'17'!E21+'19'!E21+'21'!E21+'23'!E21+'25'!E21+'27'!E21+'29'!E21+'31'!E21</f>
        <v>47626</v>
      </c>
      <c r="F21" s="15">
        <f>'01'!F21+'03'!F21+'05'!F21+'07'!F21+'09'!F21+'11'!F21+'13'!F21+'15'!F21+'17'!F21+'19'!F21+'21'!F21+'23'!F21+'25'!F21+'27'!F21+'29'!F21+'31'!F21</f>
        <v>47747</v>
      </c>
      <c r="G21" s="15">
        <f>'01'!G21+'03'!G21+'05'!G21+'07'!G21+'09'!G21+'11'!G21+'13'!G21+'15'!G21+'17'!G21+'19'!G21+'21'!G21+'23'!G21+'25'!G21+'27'!G21+'29'!G21+'31'!G21</f>
        <v>37213</v>
      </c>
      <c r="H21" s="15">
        <f>'01'!H21+'03'!H21+'05'!H21+'07'!H21+'09'!H21+'11'!H21+'13'!H21+'15'!H21+'17'!H21+'19'!H21+'21'!H21+'23'!H21+'25'!H21+'27'!H21+'29'!H21+'31'!H21</f>
        <v>33058</v>
      </c>
      <c r="I21" s="15">
        <f>'01'!I21+'03'!I21+'05'!I21+'07'!I21+'09'!I21+'11'!I21+'13'!I21+'15'!I21+'17'!I21+'19'!I21+'21'!I21+'23'!I21+'25'!I21+'27'!I21+'29'!I21+'31'!I21</f>
        <v>41047</v>
      </c>
      <c r="J21" s="15">
        <f>'01'!J21+'03'!J21+'05'!J21+'07'!J21+'09'!J21+'11'!J21+'13'!J21+'15'!J21+'17'!J21+'19'!J21+'21'!J21+'23'!J21+'25'!J21+'27'!J21+'29'!J21+'31'!J21</f>
        <v>47998</v>
      </c>
      <c r="K21" s="15">
        <f>'01'!K21+'03'!K21+'05'!K21+'07'!K21+'09'!K21+'11'!K21+'13'!K21+'15'!K21+'17'!K21+'19'!K21+'21'!K21+'23'!K21+'25'!K21+'27'!K21+'29'!K21+'31'!K21</f>
        <v>54084</v>
      </c>
      <c r="L21" s="15">
        <f>'01'!L21+'03'!L21+'05'!L21+'07'!L21+'09'!L21+'11'!L21+'13'!L21+'15'!L21+'17'!L21+'19'!L21+'21'!L21+'23'!L21+'25'!L21+'27'!L21+'29'!L21+'31'!L21</f>
        <v>52540</v>
      </c>
      <c r="M21" s="15">
        <f>'01'!M21+'03'!M21+'05'!M21+'07'!M21+'09'!M21+'11'!M21+'13'!M21+'15'!M21+'17'!M21+'19'!M21+'21'!M21+'23'!M21+'25'!M21+'27'!M21+'29'!M21+'31'!M21</f>
        <v>48343</v>
      </c>
      <c r="N21" s="15">
        <f>'01'!N21+'03'!N21+'05'!N21+'07'!N21+'09'!N21+'11'!N21+'13'!N21+'15'!N21+'17'!N21+'19'!N21+'21'!N21+'23'!N21+'25'!N21+'27'!N21+'29'!N21+'31'!N21</f>
        <v>39038</v>
      </c>
      <c r="O21" s="15">
        <f>'01'!O21+'03'!O21+'05'!O21+'07'!O21+'09'!O21+'11'!O21+'13'!O21+'15'!O21+'17'!O21+'19'!O21+'21'!O21+'23'!O21+'25'!O21+'27'!O21+'29'!O21+'31'!O21</f>
        <v>28312</v>
      </c>
      <c r="P21" s="15">
        <f>'01'!P21+'03'!P21+'05'!P21+'07'!P21+'09'!P21+'11'!P21+'13'!P21+'15'!P21+'17'!P21+'19'!P21+'21'!P21+'23'!P21+'25'!P21+'27'!P21+'29'!P21+'31'!P21</f>
        <v>24130</v>
      </c>
      <c r="Q21" s="15">
        <f>'01'!Q21+'03'!Q21+'05'!Q21+'07'!Q21+'09'!Q21+'11'!Q21+'13'!Q21+'15'!Q21+'17'!Q21+'19'!Q21+'21'!Q21+'23'!Q21+'25'!Q21+'27'!Q21+'29'!Q21+'31'!Q21</f>
        <v>20703</v>
      </c>
      <c r="R21" s="15">
        <f>'01'!R21+'03'!R21+'05'!R21+'07'!R21+'09'!R21+'11'!R21+'13'!R21+'15'!R21+'17'!R21+'19'!R21+'21'!R21+'23'!R21+'25'!R21+'27'!R21+'29'!R21+'31'!R21</f>
        <v>16295</v>
      </c>
      <c r="S21" s="15">
        <f>'01'!S21+'03'!S21+'05'!S21+'07'!S21+'09'!S21+'11'!S21+'13'!S21+'15'!S21+'17'!S21+'19'!S21+'21'!S21+'23'!S21+'25'!S21+'27'!S21+'29'!S21+'31'!S21</f>
        <v>10250</v>
      </c>
      <c r="T21" s="15">
        <f>'01'!T21+'03'!T21+'05'!T21+'07'!T21+'09'!T21+'11'!T21+'13'!T21+'15'!T21+'17'!T21+'19'!T21+'21'!T21+'23'!T21+'25'!T21+'27'!T21+'29'!T21+'31'!T21</f>
        <v>6965</v>
      </c>
      <c r="U21" s="16">
        <f>'01'!U21+'03'!U21+'05'!U21+'07'!U21+'09'!U21+'11'!U21+'13'!U21+'15'!U21+'17'!U21+'19'!U21+'21'!U21+'23'!U21+'25'!U21+'27'!U21+'29'!U21+'31'!U21</f>
        <v>631734</v>
      </c>
    </row>
    <row r="22" spans="1:21">
      <c r="A22" s="12">
        <v>2003</v>
      </c>
      <c r="B22" s="4"/>
      <c r="C22" s="15">
        <f>'01'!C22+'03'!C22+'05'!C22+'07'!C22+'09'!C22+'11'!C22+'13'!C22+'15'!C22+'17'!C22+'19'!C22+'21'!C22+'23'!C22+'25'!C22+'27'!C22+'29'!C22+'31'!C22</f>
        <v>36275</v>
      </c>
      <c r="D22" s="15">
        <f>'01'!D22+'03'!D22+'05'!D22+'07'!D22+'09'!D22+'11'!D22+'13'!D22+'15'!D22+'17'!D22+'19'!D22+'21'!D22+'23'!D22+'25'!D22+'27'!D22+'29'!D22+'31'!D22</f>
        <v>39639</v>
      </c>
      <c r="E22" s="15">
        <f>'01'!E22+'03'!E22+'05'!E22+'07'!E22+'09'!E22+'11'!E22+'13'!E22+'15'!E22+'17'!E22+'19'!E22+'21'!E22+'23'!E22+'25'!E22+'27'!E22+'29'!E22+'31'!E22</f>
        <v>47140</v>
      </c>
      <c r="F22" s="15">
        <f>'01'!F22+'03'!F22+'05'!F22+'07'!F22+'09'!F22+'11'!F22+'13'!F22+'15'!F22+'17'!F22+'19'!F22+'21'!F22+'23'!F22+'25'!F22+'27'!F22+'29'!F22+'31'!F22</f>
        <v>48431</v>
      </c>
      <c r="G22" s="15">
        <f>'01'!G22+'03'!G22+'05'!G22+'07'!G22+'09'!G22+'11'!G22+'13'!G22+'15'!G22+'17'!G22+'19'!G22+'21'!G22+'23'!G22+'25'!G22+'27'!G22+'29'!G22+'31'!G22</f>
        <v>38890</v>
      </c>
      <c r="H22" s="15">
        <f>'01'!H22+'03'!H22+'05'!H22+'07'!H22+'09'!H22+'11'!H22+'13'!H22+'15'!H22+'17'!H22+'19'!H22+'21'!H22+'23'!H22+'25'!H22+'27'!H22+'29'!H22+'31'!H22</f>
        <v>33218</v>
      </c>
      <c r="I22" s="15">
        <f>'01'!I22+'03'!I22+'05'!I22+'07'!I22+'09'!I22+'11'!I22+'13'!I22+'15'!I22+'17'!I22+'19'!I22+'21'!I22+'23'!I22+'25'!I22+'27'!I22+'29'!I22+'31'!I22</f>
        <v>40485</v>
      </c>
      <c r="J22" s="15">
        <f>'01'!J22+'03'!J22+'05'!J22+'07'!J22+'09'!J22+'11'!J22+'13'!J22+'15'!J22+'17'!J22+'19'!J22+'21'!J22+'23'!J22+'25'!J22+'27'!J22+'29'!J22+'31'!J22</f>
        <v>46650</v>
      </c>
      <c r="K22" s="15">
        <f>'01'!K22+'03'!K22+'05'!K22+'07'!K22+'09'!K22+'11'!K22+'13'!K22+'15'!K22+'17'!K22+'19'!K22+'21'!K22+'23'!K22+'25'!K22+'27'!K22+'29'!K22+'31'!K22</f>
        <v>53698</v>
      </c>
      <c r="L22" s="15">
        <f>'01'!L22+'03'!L22+'05'!L22+'07'!L22+'09'!L22+'11'!L22+'13'!L22+'15'!L22+'17'!L22+'19'!L22+'21'!L22+'23'!L22+'25'!L22+'27'!L22+'29'!L22+'31'!L22</f>
        <v>53583</v>
      </c>
      <c r="M22" s="15">
        <f>'01'!M22+'03'!M22+'05'!M22+'07'!M22+'09'!M22+'11'!M22+'13'!M22+'15'!M22+'17'!M22+'19'!M22+'21'!M22+'23'!M22+'25'!M22+'27'!M22+'29'!M22+'31'!M22</f>
        <v>49009</v>
      </c>
      <c r="N22" s="15">
        <f>'01'!N22+'03'!N22+'05'!N22+'07'!N22+'09'!N22+'11'!N22+'13'!N22+'15'!N22+'17'!N22+'19'!N22+'21'!N22+'23'!N22+'25'!N22+'27'!N22+'29'!N22+'31'!N22</f>
        <v>41184</v>
      </c>
      <c r="O22" s="15">
        <f>'01'!O22+'03'!O22+'05'!O22+'07'!O22+'09'!O22+'11'!O22+'13'!O22+'15'!O22+'17'!O22+'19'!O22+'21'!O22+'23'!O22+'25'!O22+'27'!O22+'29'!O22+'31'!O22</f>
        <v>30207</v>
      </c>
      <c r="P22" s="15">
        <f>'01'!P22+'03'!P22+'05'!P22+'07'!P22+'09'!P22+'11'!P22+'13'!P22+'15'!P22+'17'!P22+'19'!P22+'21'!P22+'23'!P22+'25'!P22+'27'!P22+'29'!P22+'31'!P22</f>
        <v>24503</v>
      </c>
      <c r="Q22" s="15">
        <f>'01'!Q22+'03'!Q22+'05'!Q22+'07'!Q22+'09'!Q22+'11'!Q22+'13'!Q22+'15'!Q22+'17'!Q22+'19'!Q22+'21'!Q22+'23'!Q22+'25'!Q22+'27'!Q22+'29'!Q22+'31'!Q22</f>
        <v>20598</v>
      </c>
      <c r="R22" s="15">
        <f>'01'!R22+'03'!R22+'05'!R22+'07'!R22+'09'!R22+'11'!R22+'13'!R22+'15'!R22+'17'!R22+'19'!R22+'21'!R22+'23'!R22+'25'!R22+'27'!R22+'29'!R22+'31'!R22</f>
        <v>16486</v>
      </c>
      <c r="S22" s="15">
        <f>'01'!S22+'03'!S22+'05'!S22+'07'!S22+'09'!S22+'11'!S22+'13'!S22+'15'!S22+'17'!S22+'19'!S22+'21'!S22+'23'!S22+'25'!S22+'27'!S22+'29'!S22+'31'!S22</f>
        <v>10677</v>
      </c>
      <c r="T22" s="15">
        <f>'01'!T22+'03'!T22+'05'!T22+'07'!T22+'09'!T22+'11'!T22+'13'!T22+'15'!T22+'17'!T22+'19'!T22+'21'!T22+'23'!T22+'25'!T22+'27'!T22+'29'!T22+'31'!T22</f>
        <v>7160</v>
      </c>
      <c r="U22" s="16">
        <f>'01'!U22+'03'!U22+'05'!U22+'07'!U22+'09'!U22+'11'!U22+'13'!U22+'15'!U22+'17'!U22+'19'!U22+'21'!U22+'23'!U22+'25'!U22+'27'!U22+'29'!U22+'31'!U22</f>
        <v>637833</v>
      </c>
    </row>
    <row r="23" spans="1:21">
      <c r="A23" s="12">
        <v>2004</v>
      </c>
      <c r="B23" s="4"/>
      <c r="C23" s="15">
        <f>'01'!C23+'03'!C23+'05'!C23+'07'!C23+'09'!C23+'11'!C23+'13'!C23+'15'!C23+'17'!C23+'19'!C23+'21'!C23+'23'!C23+'25'!C23+'27'!C23+'29'!C23+'31'!C23</f>
        <v>36370</v>
      </c>
      <c r="D23" s="15">
        <f>'01'!D23+'03'!D23+'05'!D23+'07'!D23+'09'!D23+'11'!D23+'13'!D23+'15'!D23+'17'!D23+'19'!D23+'21'!D23+'23'!D23+'25'!D23+'27'!D23+'29'!D23+'31'!D23</f>
        <v>39206</v>
      </c>
      <c r="E23" s="15">
        <f>'01'!E23+'03'!E23+'05'!E23+'07'!E23+'09'!E23+'11'!E23+'13'!E23+'15'!E23+'17'!E23+'19'!E23+'21'!E23+'23'!E23+'25'!E23+'27'!E23+'29'!E23+'31'!E23</f>
        <v>46402</v>
      </c>
      <c r="F23" s="15">
        <f>'01'!F23+'03'!F23+'05'!F23+'07'!F23+'09'!F23+'11'!F23+'13'!F23+'15'!F23+'17'!F23+'19'!F23+'21'!F23+'23'!F23+'25'!F23+'27'!F23+'29'!F23+'31'!F23</f>
        <v>48557</v>
      </c>
      <c r="G23" s="15">
        <f>'01'!G23+'03'!G23+'05'!G23+'07'!G23+'09'!G23+'11'!G23+'13'!G23+'15'!G23+'17'!G23+'19'!G23+'21'!G23+'23'!G23+'25'!G23+'27'!G23+'29'!G23+'31'!G23</f>
        <v>39729</v>
      </c>
      <c r="H23" s="15">
        <f>'01'!H23+'03'!H23+'05'!H23+'07'!H23+'09'!H23+'11'!H23+'13'!H23+'15'!H23+'17'!H23+'19'!H23+'21'!H23+'23'!H23+'25'!H23+'27'!H23+'29'!H23+'31'!H23</f>
        <v>33391</v>
      </c>
      <c r="I23" s="15">
        <f>'01'!I23+'03'!I23+'05'!I23+'07'!I23+'09'!I23+'11'!I23+'13'!I23+'15'!I23+'17'!I23+'19'!I23+'21'!I23+'23'!I23+'25'!I23+'27'!I23+'29'!I23+'31'!I23</f>
        <v>39366</v>
      </c>
      <c r="J23" s="15">
        <f>'01'!J23+'03'!J23+'05'!J23+'07'!J23+'09'!J23+'11'!J23+'13'!J23+'15'!J23+'17'!J23+'19'!J23+'21'!J23+'23'!J23+'25'!J23+'27'!J23+'29'!J23+'31'!J23</f>
        <v>45283</v>
      </c>
      <c r="K23" s="15">
        <f>'01'!K23+'03'!K23+'05'!K23+'07'!K23+'09'!K23+'11'!K23+'13'!K23+'15'!K23+'17'!K23+'19'!K23+'21'!K23+'23'!K23+'25'!K23+'27'!K23+'29'!K23+'31'!K23</f>
        <v>53336</v>
      </c>
      <c r="L23" s="15">
        <f>'01'!L23+'03'!L23+'05'!L23+'07'!L23+'09'!L23+'11'!L23+'13'!L23+'15'!L23+'17'!L23+'19'!L23+'21'!L23+'23'!L23+'25'!L23+'27'!L23+'29'!L23+'31'!L23</f>
        <v>54041</v>
      </c>
      <c r="M23" s="15">
        <f>'01'!M23+'03'!M23+'05'!M23+'07'!M23+'09'!M23+'11'!M23+'13'!M23+'15'!M23+'17'!M23+'19'!M23+'21'!M23+'23'!M23+'25'!M23+'27'!M23+'29'!M23+'31'!M23</f>
        <v>50238</v>
      </c>
      <c r="N23" s="15">
        <f>'01'!N23+'03'!N23+'05'!N23+'07'!N23+'09'!N23+'11'!N23+'13'!N23+'15'!N23+'17'!N23+'19'!N23+'21'!N23+'23'!N23+'25'!N23+'27'!N23+'29'!N23+'31'!N23</f>
        <v>43401</v>
      </c>
      <c r="O23" s="15">
        <f>'01'!O23+'03'!O23+'05'!O23+'07'!O23+'09'!O23+'11'!O23+'13'!O23+'15'!O23+'17'!O23+'19'!O23+'21'!O23+'23'!O23+'25'!O23+'27'!O23+'29'!O23+'31'!O23</f>
        <v>31994</v>
      </c>
      <c r="P23" s="15">
        <f>'01'!P23+'03'!P23+'05'!P23+'07'!P23+'09'!P23+'11'!P23+'13'!P23+'15'!P23+'17'!P23+'19'!P23+'21'!P23+'23'!P23+'25'!P23+'27'!P23+'29'!P23+'31'!P23</f>
        <v>24984</v>
      </c>
      <c r="Q23" s="15">
        <f>'01'!Q23+'03'!Q23+'05'!Q23+'07'!Q23+'09'!Q23+'11'!Q23+'13'!Q23+'15'!Q23+'17'!Q23+'19'!Q23+'21'!Q23+'23'!Q23+'25'!Q23+'27'!Q23+'29'!Q23+'31'!Q23</f>
        <v>20532</v>
      </c>
      <c r="R23" s="15">
        <f>'01'!R23+'03'!R23+'05'!R23+'07'!R23+'09'!R23+'11'!R23+'13'!R23+'15'!R23+'17'!R23+'19'!R23+'21'!R23+'23'!R23+'25'!R23+'27'!R23+'29'!R23+'31'!R23</f>
        <v>16624</v>
      </c>
      <c r="S23" s="15">
        <f>'01'!S23+'03'!S23+'05'!S23+'07'!S23+'09'!S23+'11'!S23+'13'!S23+'15'!S23+'17'!S23+'19'!S23+'21'!S23+'23'!S23+'25'!S23+'27'!S23+'29'!S23+'31'!S23</f>
        <v>10959</v>
      </c>
      <c r="T23" s="15">
        <f>'01'!T23+'03'!T23+'05'!T23+'07'!T23+'09'!T23+'11'!T23+'13'!T23+'15'!T23+'17'!T23+'19'!T23+'21'!T23+'23'!T23+'25'!T23+'27'!T23+'29'!T23+'31'!T23</f>
        <v>7413</v>
      </c>
      <c r="U23" s="16">
        <f>'01'!U23+'03'!U23+'05'!U23+'07'!U23+'09'!U23+'11'!U23+'13'!U23+'15'!U23+'17'!U23+'19'!U23+'21'!U23+'23'!U23+'25'!U23+'27'!U23+'29'!U23+'31'!U23</f>
        <v>641826</v>
      </c>
    </row>
    <row r="24" spans="1:21">
      <c r="A24" s="12">
        <v>2005</v>
      </c>
      <c r="B24" s="4"/>
      <c r="C24" s="15">
        <f>'01'!C24+'03'!C24+'05'!C24+'07'!C24+'09'!C24+'11'!C24+'13'!C24+'15'!C24+'17'!C24+'19'!C24+'21'!C24+'23'!C24+'25'!C24+'27'!C24+'29'!C24+'31'!C24</f>
        <v>36482</v>
      </c>
      <c r="D24" s="15">
        <f>'01'!D24+'03'!D24+'05'!D24+'07'!D24+'09'!D24+'11'!D24+'13'!D24+'15'!D24+'17'!D24+'19'!D24+'21'!D24+'23'!D24+'25'!D24+'27'!D24+'29'!D24+'31'!D24</f>
        <v>38848</v>
      </c>
      <c r="E24" s="15">
        <f>'01'!E24+'03'!E24+'05'!E24+'07'!E24+'09'!E24+'11'!E24+'13'!E24+'15'!E24+'17'!E24+'19'!E24+'21'!E24+'23'!E24+'25'!E24+'27'!E24+'29'!E24+'31'!E24</f>
        <v>44907</v>
      </c>
      <c r="F24" s="15">
        <f>'01'!F24+'03'!F24+'05'!F24+'07'!F24+'09'!F24+'11'!F24+'13'!F24+'15'!F24+'17'!F24+'19'!F24+'21'!F24+'23'!F24+'25'!F24+'27'!F24+'29'!F24+'31'!F24</f>
        <v>48740</v>
      </c>
      <c r="G24" s="15">
        <f>'01'!G24+'03'!G24+'05'!G24+'07'!G24+'09'!G24+'11'!G24+'13'!G24+'15'!G24+'17'!G24+'19'!G24+'21'!G24+'23'!G24+'25'!G24+'27'!G24+'29'!G24+'31'!G24</f>
        <v>40601</v>
      </c>
      <c r="H24" s="15">
        <f>'01'!H24+'03'!H24+'05'!H24+'07'!H24+'09'!H24+'11'!H24+'13'!H24+'15'!H24+'17'!H24+'19'!H24+'21'!H24+'23'!H24+'25'!H24+'27'!H24+'29'!H24+'31'!H24</f>
        <v>33981</v>
      </c>
      <c r="I24" s="15">
        <f>'01'!I24+'03'!I24+'05'!I24+'07'!I24+'09'!I24+'11'!I24+'13'!I24+'15'!I24+'17'!I24+'19'!I24+'21'!I24+'23'!I24+'25'!I24+'27'!I24+'29'!I24+'31'!I24</f>
        <v>37685</v>
      </c>
      <c r="J24" s="15">
        <f>'01'!J24+'03'!J24+'05'!J24+'07'!J24+'09'!J24+'11'!J24+'13'!J24+'15'!J24+'17'!J24+'19'!J24+'21'!J24+'23'!J24+'25'!J24+'27'!J24+'29'!J24+'31'!J24</f>
        <v>44513</v>
      </c>
      <c r="K24" s="15">
        <f>'01'!K24+'03'!K24+'05'!K24+'07'!K24+'09'!K24+'11'!K24+'13'!K24+'15'!K24+'17'!K24+'19'!K24+'21'!K24+'23'!K24+'25'!K24+'27'!K24+'29'!K24+'31'!K24</f>
        <v>52530</v>
      </c>
      <c r="L24" s="15">
        <f>'01'!L24+'03'!L24+'05'!L24+'07'!L24+'09'!L24+'11'!L24+'13'!L24+'15'!L24+'17'!L24+'19'!L24+'21'!L24+'23'!L24+'25'!L24+'27'!L24+'29'!L24+'31'!L24</f>
        <v>54360</v>
      </c>
      <c r="M24" s="15">
        <f>'01'!M24+'03'!M24+'05'!M24+'07'!M24+'09'!M24+'11'!M24+'13'!M24+'15'!M24+'17'!M24+'19'!M24+'21'!M24+'23'!M24+'25'!M24+'27'!M24+'29'!M24+'31'!M24</f>
        <v>50866</v>
      </c>
      <c r="N24" s="15">
        <f>'01'!N24+'03'!N24+'05'!N24+'07'!N24+'09'!N24+'11'!N24+'13'!N24+'15'!N24+'17'!N24+'19'!N24+'21'!N24+'23'!N24+'25'!N24+'27'!N24+'29'!N24+'31'!N24</f>
        <v>45937</v>
      </c>
      <c r="O24" s="15">
        <f>'01'!O24+'03'!O24+'05'!O24+'07'!O24+'09'!O24+'11'!O24+'13'!O24+'15'!O24+'17'!O24+'19'!O24+'21'!O24+'23'!O24+'25'!O24+'27'!O24+'29'!O24+'31'!O24</f>
        <v>33722</v>
      </c>
      <c r="P24" s="15">
        <f>'01'!P24+'03'!P24+'05'!P24+'07'!P24+'09'!P24+'11'!P24+'13'!P24+'15'!P24+'17'!P24+'19'!P24+'21'!P24+'23'!P24+'25'!P24+'27'!P24+'29'!P24+'31'!P24</f>
        <v>25137</v>
      </c>
      <c r="Q24" s="15">
        <f>'01'!Q24+'03'!Q24+'05'!Q24+'07'!Q24+'09'!Q24+'11'!Q24+'13'!Q24+'15'!Q24+'17'!Q24+'19'!Q24+'21'!Q24+'23'!Q24+'25'!Q24+'27'!Q24+'29'!Q24+'31'!Q24</f>
        <v>20805</v>
      </c>
      <c r="R24" s="15">
        <f>'01'!R24+'03'!R24+'05'!R24+'07'!R24+'09'!R24+'11'!R24+'13'!R24+'15'!R24+'17'!R24+'19'!R24+'21'!R24+'23'!R24+'25'!R24+'27'!R24+'29'!R24+'31'!R24</f>
        <v>16711</v>
      </c>
      <c r="S24" s="15">
        <f>'01'!S24+'03'!S24+'05'!S24+'07'!S24+'09'!S24+'11'!S24+'13'!S24+'15'!S24+'17'!S24+'19'!S24+'21'!S24+'23'!S24+'25'!S24+'27'!S24+'29'!S24+'31'!S24</f>
        <v>11211</v>
      </c>
      <c r="T24" s="15">
        <f>'01'!T24+'03'!T24+'05'!T24+'07'!T24+'09'!T24+'11'!T24+'13'!T24+'15'!T24+'17'!T24+'19'!T24+'21'!T24+'23'!T24+'25'!T24+'27'!T24+'29'!T24+'31'!T24</f>
        <v>7647</v>
      </c>
      <c r="U24" s="16">
        <f>'01'!U24+'03'!U24+'05'!U24+'07'!U24+'09'!U24+'11'!U24+'13'!U24+'15'!U24+'17'!U24+'19'!U24+'21'!U24+'23'!U24+'25'!U24+'27'!U24+'29'!U24+'31'!U24</f>
        <v>644683</v>
      </c>
    </row>
    <row r="25" spans="1:21">
      <c r="A25" s="12">
        <v>2006</v>
      </c>
      <c r="B25" s="4"/>
      <c r="C25" s="15">
        <f>'01'!C25+'03'!C25+'05'!C25+'07'!C25+'09'!C25+'11'!C25+'13'!C25+'15'!C25+'17'!C25+'19'!C25+'21'!C25+'23'!C25+'25'!C25+'27'!C25+'29'!C25+'31'!C25</f>
        <v>36489</v>
      </c>
      <c r="D25" s="15">
        <f>'01'!D25+'03'!D25+'05'!D25+'07'!D25+'09'!D25+'11'!D25+'13'!D25+'15'!D25+'17'!D25+'19'!D25+'21'!D25+'23'!D25+'25'!D25+'27'!D25+'29'!D25+'31'!D25</f>
        <v>38581</v>
      </c>
      <c r="E25" s="15">
        <f>'01'!E25+'03'!E25+'05'!E25+'07'!E25+'09'!E25+'11'!E25+'13'!E25+'15'!E25+'17'!E25+'19'!E25+'21'!E25+'23'!E25+'25'!E25+'27'!E25+'29'!E25+'31'!E25</f>
        <v>43919</v>
      </c>
      <c r="F25" s="15">
        <f>'01'!F25+'03'!F25+'05'!F25+'07'!F25+'09'!F25+'11'!F25+'13'!F25+'15'!F25+'17'!F25+'19'!F25+'21'!F25+'23'!F25+'25'!F25+'27'!F25+'29'!F25+'31'!F25</f>
        <v>48663</v>
      </c>
      <c r="G25" s="15">
        <f>'01'!G25+'03'!G25+'05'!G25+'07'!G25+'09'!G25+'11'!G25+'13'!G25+'15'!G25+'17'!G25+'19'!G25+'21'!G25+'23'!G25+'25'!G25+'27'!G25+'29'!G25+'31'!G25</f>
        <v>40904</v>
      </c>
      <c r="H25" s="15">
        <f>'01'!H25+'03'!H25+'05'!H25+'07'!H25+'09'!H25+'11'!H25+'13'!H25+'15'!H25+'17'!H25+'19'!H25+'21'!H25+'23'!H25+'25'!H25+'27'!H25+'29'!H25+'31'!H25</f>
        <v>34710</v>
      </c>
      <c r="I25" s="15">
        <f>'01'!I25+'03'!I25+'05'!I25+'07'!I25+'09'!I25+'11'!I25+'13'!I25+'15'!I25+'17'!I25+'19'!I25+'21'!I25+'23'!I25+'25'!I25+'27'!I25+'29'!I25+'31'!I25</f>
        <v>36051</v>
      </c>
      <c r="J25" s="15">
        <f>'01'!J25+'03'!J25+'05'!J25+'07'!J25+'09'!J25+'11'!J25+'13'!J25+'15'!J25+'17'!J25+'19'!J25+'21'!J25+'23'!J25+'25'!J25+'27'!J25+'29'!J25+'31'!J25</f>
        <v>44134</v>
      </c>
      <c r="K25" s="15">
        <f>'01'!K25+'03'!K25+'05'!K25+'07'!K25+'09'!K25+'11'!K25+'13'!K25+'15'!K25+'17'!K25+'19'!K25+'21'!K25+'23'!K25+'25'!K25+'27'!K25+'29'!K25+'31'!K25</f>
        <v>51274</v>
      </c>
      <c r="L25" s="15">
        <f>'01'!L25+'03'!L25+'05'!L25+'07'!L25+'09'!L25+'11'!L25+'13'!L25+'15'!L25+'17'!L25+'19'!L25+'21'!L25+'23'!L25+'25'!L25+'27'!L25+'29'!L25+'31'!L25</f>
        <v>54730</v>
      </c>
      <c r="M25" s="15">
        <f>'01'!M25+'03'!M25+'05'!M25+'07'!M25+'09'!M25+'11'!M25+'13'!M25+'15'!M25+'17'!M25+'19'!M25+'21'!M25+'23'!M25+'25'!M25+'27'!M25+'29'!M25+'31'!M25</f>
        <v>51458</v>
      </c>
      <c r="N25" s="15">
        <f>'01'!N25+'03'!N25+'05'!N25+'07'!N25+'09'!N25+'11'!N25+'13'!N25+'15'!N25+'17'!N25+'19'!N25+'21'!N25+'23'!N25+'25'!N25+'27'!N25+'29'!N25+'31'!N25</f>
        <v>48359</v>
      </c>
      <c r="O25" s="15">
        <f>'01'!O25+'03'!O25+'05'!O25+'07'!O25+'09'!O25+'11'!O25+'13'!O25+'15'!O25+'17'!O25+'19'!O25+'21'!O25+'23'!O25+'25'!O25+'27'!O25+'29'!O25+'31'!O25</f>
        <v>34940</v>
      </c>
      <c r="P25" s="15">
        <f>'01'!P25+'03'!P25+'05'!P25+'07'!P25+'09'!P25+'11'!P25+'13'!P25+'15'!P25+'17'!P25+'19'!P25+'21'!P25+'23'!P25+'25'!P25+'27'!P25+'29'!P25+'31'!P25</f>
        <v>25726</v>
      </c>
      <c r="Q25" s="15">
        <f>'01'!Q25+'03'!Q25+'05'!Q25+'07'!Q25+'09'!Q25+'11'!Q25+'13'!Q25+'15'!Q25+'17'!Q25+'19'!Q25+'21'!Q25+'23'!Q25+'25'!Q25+'27'!Q25+'29'!Q25+'31'!Q25</f>
        <v>21174</v>
      </c>
      <c r="R25" s="15">
        <f>'01'!R25+'03'!R25+'05'!R25+'07'!R25+'09'!R25+'11'!R25+'13'!R25+'15'!R25+'17'!R25+'19'!R25+'21'!R25+'23'!R25+'25'!R25+'27'!R25+'29'!R25+'31'!R25</f>
        <v>16890</v>
      </c>
      <c r="S25" s="15">
        <f>'01'!S25+'03'!S25+'05'!S25+'07'!S25+'09'!S25+'11'!S25+'13'!S25+'15'!S25+'17'!S25+'19'!S25+'21'!S25+'23'!S25+'25'!S25+'27'!S25+'29'!S25+'31'!S25</f>
        <v>11441</v>
      </c>
      <c r="T25" s="15">
        <f>'01'!T25+'03'!T25+'05'!T25+'07'!T25+'09'!T25+'11'!T25+'13'!T25+'15'!T25+'17'!T25+'19'!T25+'21'!T25+'23'!T25+'25'!T25+'27'!T25+'29'!T25+'31'!T25</f>
        <v>8019</v>
      </c>
      <c r="U25" s="16">
        <f>'01'!U25+'03'!U25+'05'!U25+'07'!U25+'09'!U25+'11'!U25+'13'!U25+'15'!U25+'17'!U25+'19'!U25+'21'!U25+'23'!U25+'25'!U25+'27'!U25+'29'!U25+'31'!U25</f>
        <v>647462</v>
      </c>
    </row>
    <row r="26" spans="1:21">
      <c r="A26" s="12">
        <v>2007</v>
      </c>
      <c r="B26" s="4"/>
      <c r="C26" s="15">
        <f>'01'!C26+'03'!C26+'05'!C26+'07'!C26+'09'!C26+'11'!C26+'13'!C26+'15'!C26+'17'!C26+'19'!C26+'21'!C26+'23'!C26+'25'!C26+'27'!C26+'29'!C26+'31'!C26</f>
        <v>36702</v>
      </c>
      <c r="D26" s="15">
        <f>'01'!D26+'03'!D26+'05'!D26+'07'!D26+'09'!D26+'11'!D26+'13'!D26+'15'!D26+'17'!D26+'19'!D26+'21'!D26+'23'!D26+'25'!D26+'27'!D26+'29'!D26+'31'!D26</f>
        <v>38453</v>
      </c>
      <c r="E26" s="15">
        <f>'01'!E26+'03'!E26+'05'!E26+'07'!E26+'09'!E26+'11'!E26+'13'!E26+'15'!E26+'17'!E26+'19'!E26+'21'!E26+'23'!E26+'25'!E26+'27'!E26+'29'!E26+'31'!E26</f>
        <v>42636</v>
      </c>
      <c r="F26" s="15">
        <f>'01'!F26+'03'!F26+'05'!F26+'07'!F26+'09'!F26+'11'!F26+'13'!F26+'15'!F26+'17'!F26+'19'!F26+'21'!F26+'23'!F26+'25'!F26+'27'!F26+'29'!F26+'31'!F26</f>
        <v>48177</v>
      </c>
      <c r="G26" s="15">
        <f>'01'!G26+'03'!G26+'05'!G26+'07'!G26+'09'!G26+'11'!G26+'13'!G26+'15'!G26+'17'!G26+'19'!G26+'21'!G26+'23'!G26+'25'!G26+'27'!G26+'29'!G26+'31'!G26</f>
        <v>40727</v>
      </c>
      <c r="H26" s="15">
        <f>'01'!H26+'03'!H26+'05'!H26+'07'!H26+'09'!H26+'11'!H26+'13'!H26+'15'!H26+'17'!H26+'19'!H26+'21'!H26+'23'!H26+'25'!H26+'27'!H26+'29'!H26+'31'!H26</f>
        <v>35433</v>
      </c>
      <c r="I26" s="15">
        <f>'01'!I26+'03'!I26+'05'!I26+'07'!I26+'09'!I26+'11'!I26+'13'!I26+'15'!I26+'17'!I26+'19'!I26+'21'!I26+'23'!I26+'25'!I26+'27'!I26+'29'!I26+'31'!I26</f>
        <v>35388</v>
      </c>
      <c r="J26" s="15">
        <f>'01'!J26+'03'!J26+'05'!J26+'07'!J26+'09'!J26+'11'!J26+'13'!J26+'15'!J26+'17'!J26+'19'!J26+'21'!J26+'23'!J26+'25'!J26+'27'!J26+'29'!J26+'31'!J26</f>
        <v>43370</v>
      </c>
      <c r="K26" s="15">
        <f>'01'!K26+'03'!K26+'05'!K26+'07'!K26+'09'!K26+'11'!K26+'13'!K26+'15'!K26+'17'!K26+'19'!K26+'21'!K26+'23'!K26+'25'!K26+'27'!K26+'29'!K26+'31'!K26</f>
        <v>49433</v>
      </c>
      <c r="L26" s="15">
        <f>'01'!L26+'03'!L26+'05'!L26+'07'!L26+'09'!L26+'11'!L26+'13'!L26+'15'!L26+'17'!L26+'19'!L26+'21'!L26+'23'!L26+'25'!L26+'27'!L26+'29'!L26+'31'!L26</f>
        <v>54668</v>
      </c>
      <c r="M26" s="15">
        <f>'01'!M26+'03'!M26+'05'!M26+'07'!M26+'09'!M26+'11'!M26+'13'!M26+'15'!M26+'17'!M26+'19'!M26+'21'!M26+'23'!M26+'25'!M26+'27'!M26+'29'!M26+'31'!M26</f>
        <v>52694</v>
      </c>
      <c r="N26" s="15">
        <f>'01'!N26+'03'!N26+'05'!N26+'07'!N26+'09'!N26+'11'!N26+'13'!N26+'15'!N26+'17'!N26+'19'!N26+'21'!N26+'23'!N26+'25'!N26+'27'!N26+'29'!N26+'31'!N26</f>
        <v>47917</v>
      </c>
      <c r="O26" s="15">
        <f>'01'!O26+'03'!O26+'05'!O26+'07'!O26+'09'!O26+'11'!O26+'13'!O26+'15'!O26+'17'!O26+'19'!O26+'21'!O26+'23'!O26+'25'!O26+'27'!O26+'29'!O26+'31'!O26</f>
        <v>38409</v>
      </c>
      <c r="P26" s="15">
        <f>'01'!P26+'03'!P26+'05'!P26+'07'!P26+'09'!P26+'11'!P26+'13'!P26+'15'!P26+'17'!P26+'19'!P26+'21'!P26+'23'!P26+'25'!P26+'27'!P26+'29'!P26+'31'!P26</f>
        <v>26704</v>
      </c>
      <c r="Q26" s="15">
        <f>'01'!Q26+'03'!Q26+'05'!Q26+'07'!Q26+'09'!Q26+'11'!Q26+'13'!Q26+'15'!Q26+'17'!Q26+'19'!Q26+'21'!Q26+'23'!Q26+'25'!Q26+'27'!Q26+'29'!Q26+'31'!Q26</f>
        <v>21472</v>
      </c>
      <c r="R26" s="15">
        <f>'01'!R26+'03'!R26+'05'!R26+'07'!R26+'09'!R26+'11'!R26+'13'!R26+'15'!R26+'17'!R26+'19'!R26+'21'!R26+'23'!R26+'25'!R26+'27'!R26+'29'!R26+'31'!R26</f>
        <v>17024</v>
      </c>
      <c r="S26" s="15">
        <f>'01'!S26+'03'!S26+'05'!S26+'07'!S26+'09'!S26+'11'!S26+'13'!S26+'15'!S26+'17'!S26+'19'!S26+'21'!S26+'23'!S26+'25'!S26+'27'!S26+'29'!S26+'31'!S26</f>
        <v>11743</v>
      </c>
      <c r="T26" s="15">
        <f>'01'!T26+'03'!T26+'05'!T26+'07'!T26+'09'!T26+'11'!T26+'13'!T26+'15'!T26+'17'!T26+'19'!T26+'21'!T26+'23'!T26+'25'!T26+'27'!T26+'29'!T26+'31'!T26</f>
        <v>8293</v>
      </c>
      <c r="U26" s="16">
        <f>'01'!U26+'03'!U26+'05'!U26+'07'!U26+'09'!U26+'11'!U26+'13'!U26+'15'!U26+'17'!U26+'19'!U26+'21'!U26+'23'!U26+'25'!U26+'27'!U26+'29'!U26+'31'!U26</f>
        <v>649243</v>
      </c>
    </row>
    <row r="27" spans="1:21">
      <c r="A27" s="12">
        <v>2008</v>
      </c>
      <c r="B27" s="4"/>
      <c r="C27" s="15">
        <f>'01'!C27+'03'!C27+'05'!C27+'07'!C27+'09'!C27+'11'!C27+'13'!C27+'15'!C27+'17'!C27+'19'!C27+'21'!C27+'23'!C27+'25'!C27+'27'!C27+'29'!C27+'31'!C27</f>
        <v>36682</v>
      </c>
      <c r="D27" s="15">
        <f>'01'!D27+'03'!D27+'05'!D27+'07'!D27+'09'!D27+'11'!D27+'13'!D27+'15'!D27+'17'!D27+'19'!D27+'21'!D27+'23'!D27+'25'!D27+'27'!D27+'29'!D27+'31'!D27</f>
        <v>38407</v>
      </c>
      <c r="E27" s="15">
        <f>'01'!E27+'03'!E27+'05'!E27+'07'!E27+'09'!E27+'11'!E27+'13'!E27+'15'!E27+'17'!E27+'19'!E27+'21'!E27+'23'!E27+'25'!E27+'27'!E27+'29'!E27+'31'!E27</f>
        <v>41483</v>
      </c>
      <c r="F27" s="15">
        <f>'01'!F27+'03'!F27+'05'!F27+'07'!F27+'09'!F27+'11'!F27+'13'!F27+'15'!F27+'17'!F27+'19'!F27+'21'!F27+'23'!F27+'25'!F27+'27'!F27+'29'!F27+'31'!F27</f>
        <v>47643</v>
      </c>
      <c r="G27" s="15">
        <f>'01'!G27+'03'!G27+'05'!G27+'07'!G27+'09'!G27+'11'!G27+'13'!G27+'15'!G27+'17'!G27+'19'!G27+'21'!G27+'23'!G27+'25'!G27+'27'!G27+'29'!G27+'31'!G27</f>
        <v>40785</v>
      </c>
      <c r="H27" s="15">
        <f>'01'!H27+'03'!H27+'05'!H27+'07'!H27+'09'!H27+'11'!H27+'13'!H27+'15'!H27+'17'!H27+'19'!H27+'21'!H27+'23'!H27+'25'!H27+'27'!H27+'29'!H27+'31'!H27</f>
        <v>36015</v>
      </c>
      <c r="I27" s="15">
        <f>'01'!I27+'03'!I27+'05'!I27+'07'!I27+'09'!I27+'11'!I27+'13'!I27+'15'!I27+'17'!I27+'19'!I27+'21'!I27+'23'!I27+'25'!I27+'27'!I27+'29'!I27+'31'!I27</f>
        <v>35191</v>
      </c>
      <c r="J27" s="15">
        <f>'01'!J27+'03'!J27+'05'!J27+'07'!J27+'09'!J27+'11'!J27+'13'!J27+'15'!J27+'17'!J27+'19'!J27+'21'!J27+'23'!J27+'25'!J27+'27'!J27+'29'!J27+'31'!J27</f>
        <v>42391</v>
      </c>
      <c r="K27" s="15">
        <f>'01'!K27+'03'!K27+'05'!K27+'07'!K27+'09'!K27+'11'!K27+'13'!K27+'15'!K27+'17'!K27+'19'!K27+'21'!K27+'23'!K27+'25'!K27+'27'!K27+'29'!K27+'31'!K27</f>
        <v>47733</v>
      </c>
      <c r="L27" s="15">
        <f>'01'!L27+'03'!L27+'05'!L27+'07'!L27+'09'!L27+'11'!L27+'13'!L27+'15'!L27+'17'!L27+'19'!L27+'21'!L27+'23'!L27+'25'!L27+'27'!L27+'29'!L27+'31'!L27</f>
        <v>54231</v>
      </c>
      <c r="M27" s="15">
        <f>'01'!M27+'03'!M27+'05'!M27+'07'!M27+'09'!M27+'11'!M27+'13'!M27+'15'!M27+'17'!M27+'19'!M27+'21'!M27+'23'!M27+'25'!M27+'27'!M27+'29'!M27+'31'!M27</f>
        <v>53525</v>
      </c>
      <c r="N27" s="15">
        <f>'01'!N27+'03'!N27+'05'!N27+'07'!N27+'09'!N27+'11'!N27+'13'!N27+'15'!N27+'17'!N27+'19'!N27+'21'!N27+'23'!N27+'25'!N27+'27'!N27+'29'!N27+'31'!N27</f>
        <v>48427</v>
      </c>
      <c r="O27" s="15">
        <f>'01'!O27+'03'!O27+'05'!O27+'07'!O27+'09'!O27+'11'!O27+'13'!O27+'15'!O27+'17'!O27+'19'!O27+'21'!O27+'23'!O27+'25'!O27+'27'!O27+'29'!O27+'31'!O27</f>
        <v>40548</v>
      </c>
      <c r="P27" s="15">
        <f>'01'!P27+'03'!P27+'05'!P27+'07'!P27+'09'!P27+'11'!P27+'13'!P27+'15'!P27+'17'!P27+'19'!P27+'21'!P27+'23'!P27+'25'!P27+'27'!P27+'29'!P27+'31'!P27</f>
        <v>28418</v>
      </c>
      <c r="Q27" s="15">
        <f>'01'!Q27+'03'!Q27+'05'!Q27+'07'!Q27+'09'!Q27+'11'!Q27+'13'!Q27+'15'!Q27+'17'!Q27+'19'!Q27+'21'!Q27+'23'!Q27+'25'!Q27+'27'!Q27+'29'!Q27+'31'!Q27</f>
        <v>21804</v>
      </c>
      <c r="R27" s="15">
        <f>'01'!R27+'03'!R27+'05'!R27+'07'!R27+'09'!R27+'11'!R27+'13'!R27+'15'!R27+'17'!R27+'19'!R27+'21'!R27+'23'!R27+'25'!R27+'27'!R27+'29'!R27+'31'!R27</f>
        <v>17131</v>
      </c>
      <c r="S27" s="15">
        <f>'01'!S27+'03'!S27+'05'!S27+'07'!S27+'09'!S27+'11'!S27+'13'!S27+'15'!S27+'17'!S27+'19'!S27+'21'!S27+'23'!S27+'25'!S27+'27'!S27+'29'!S27+'31'!S27</f>
        <v>11924</v>
      </c>
      <c r="T27" s="15">
        <f>'01'!T27+'03'!T27+'05'!T27+'07'!T27+'09'!T27+'11'!T27+'13'!T27+'15'!T27+'17'!T27+'19'!T27+'21'!T27+'23'!T27+'25'!T27+'27'!T27+'29'!T27+'31'!T27</f>
        <v>8758</v>
      </c>
      <c r="U27" s="16">
        <f>'01'!U27+'03'!U27+'05'!U27+'07'!U27+'09'!U27+'11'!U27+'13'!U27+'15'!U27+'17'!U27+'19'!U27+'21'!U27+'23'!U27+'25'!U27+'27'!U27+'29'!U27+'31'!U27</f>
        <v>651096</v>
      </c>
    </row>
    <row r="28" spans="1:21">
      <c r="A28" s="12">
        <v>2009</v>
      </c>
      <c r="B28" s="4"/>
      <c r="C28" s="15">
        <f>'01'!C28+'03'!C28+'05'!C28+'07'!C28+'09'!C28+'11'!C28+'13'!C28+'15'!C28+'17'!C28+'19'!C28+'21'!C28+'23'!C28+'25'!C28+'27'!C28+'29'!C28+'31'!C28</f>
        <v>36157</v>
      </c>
      <c r="D28" s="15">
        <f>'01'!D28+'03'!D28+'05'!D28+'07'!D28+'09'!D28+'11'!D28+'13'!D28+'15'!D28+'17'!D28+'19'!D28+'21'!D28+'23'!D28+'25'!D28+'27'!D28+'29'!D28+'31'!D28</f>
        <v>38180</v>
      </c>
      <c r="E28" s="15">
        <f>'01'!E28+'03'!E28+'05'!E28+'07'!E28+'09'!E28+'11'!E28+'13'!E28+'15'!E28+'17'!E28+'19'!E28+'21'!E28+'23'!E28+'25'!E28+'27'!E28+'29'!E28+'31'!E28</f>
        <v>40834</v>
      </c>
      <c r="F28" s="15">
        <f>'01'!F28+'03'!F28+'05'!F28+'07'!F28+'09'!F28+'11'!F28+'13'!F28+'15'!F28+'17'!F28+'19'!F28+'21'!F28+'23'!F28+'25'!F28+'27'!F28+'29'!F28+'31'!F28</f>
        <v>46814</v>
      </c>
      <c r="G28" s="15">
        <f>'01'!G28+'03'!G28+'05'!G28+'07'!G28+'09'!G28+'11'!G28+'13'!G28+'15'!G28+'17'!G28+'19'!G28+'21'!G28+'23'!G28+'25'!G28+'27'!G28+'29'!G28+'31'!G28</f>
        <v>40800</v>
      </c>
      <c r="H28" s="15">
        <f>'01'!H28+'03'!H28+'05'!H28+'07'!H28+'09'!H28+'11'!H28+'13'!H28+'15'!H28+'17'!H28+'19'!H28+'21'!H28+'23'!H28+'25'!H28+'27'!H28+'29'!H28+'31'!H28</f>
        <v>36000</v>
      </c>
      <c r="I28" s="15">
        <f>'01'!I28+'03'!I28+'05'!I28+'07'!I28+'09'!I28+'11'!I28+'13'!I28+'15'!I28+'17'!I28+'19'!I28+'21'!I28+'23'!I28+'25'!I28+'27'!I28+'29'!I28+'31'!I28</f>
        <v>35485</v>
      </c>
      <c r="J28" s="15">
        <f>'01'!J28+'03'!J28+'05'!J28+'07'!J28+'09'!J28+'11'!J28+'13'!J28+'15'!J28+'17'!J28+'19'!J28+'21'!J28+'23'!J28+'25'!J28+'27'!J28+'29'!J28+'31'!J28</f>
        <v>40947</v>
      </c>
      <c r="K28" s="15">
        <f>'01'!K28+'03'!K28+'05'!K28+'07'!K28+'09'!K28+'11'!K28+'13'!K28+'15'!K28+'17'!K28+'19'!K28+'21'!K28+'23'!K28+'25'!K28+'27'!K28+'29'!K28+'31'!K28</f>
        <v>45853</v>
      </c>
      <c r="L28" s="15">
        <f>'01'!L28+'03'!L28+'05'!L28+'07'!L28+'09'!L28+'11'!L28+'13'!L28+'15'!L28+'17'!L28+'19'!L28+'21'!L28+'23'!L28+'25'!L28+'27'!L28+'29'!L28+'31'!L28</f>
        <v>53603</v>
      </c>
      <c r="M28" s="15">
        <f>'01'!M28+'03'!M28+'05'!M28+'07'!M28+'09'!M28+'11'!M28+'13'!M28+'15'!M28+'17'!M28+'19'!M28+'21'!M28+'23'!M28+'25'!M28+'27'!M28+'29'!M28+'31'!M28</f>
        <v>53856</v>
      </c>
      <c r="N28" s="15">
        <f>'01'!N28+'03'!N28+'05'!N28+'07'!N28+'09'!N28+'11'!N28+'13'!N28+'15'!N28+'17'!N28+'19'!N28+'21'!N28+'23'!N28+'25'!N28+'27'!N28+'29'!N28+'31'!N28</f>
        <v>49429</v>
      </c>
      <c r="O28" s="15">
        <f>'01'!O28+'03'!O28+'05'!O28+'07'!O28+'09'!O28+'11'!O28+'13'!O28+'15'!O28+'17'!O28+'19'!O28+'21'!O28+'23'!O28+'25'!O28+'27'!O28+'29'!O28+'31'!O28</f>
        <v>42426</v>
      </c>
      <c r="P28" s="15">
        <f>'01'!P28+'03'!P28+'05'!P28+'07'!P28+'09'!P28+'11'!P28+'13'!P28+'15'!P28+'17'!P28+'19'!P28+'21'!P28+'23'!P28+'25'!P28+'27'!P28+'29'!P28+'31'!P28</f>
        <v>30196</v>
      </c>
      <c r="Q28" s="15">
        <f>'01'!Q28+'03'!Q28+'05'!Q28+'07'!Q28+'09'!Q28+'11'!Q28+'13'!Q28+'15'!Q28+'17'!Q28+'19'!Q28+'21'!Q28+'23'!Q28+'25'!Q28+'27'!Q28+'29'!Q28+'31'!Q28</f>
        <v>22126</v>
      </c>
      <c r="R28" s="15">
        <f>'01'!R28+'03'!R28+'05'!R28+'07'!R28+'09'!R28+'11'!R28+'13'!R28+'15'!R28+'17'!R28+'19'!R28+'21'!R28+'23'!R28+'25'!R28+'27'!R28+'29'!R28+'31'!R28</f>
        <v>17037</v>
      </c>
      <c r="S28" s="15">
        <f>'01'!S28+'03'!S28+'05'!S28+'07'!S28+'09'!S28+'11'!S28+'13'!S28+'15'!S28+'17'!S28+'19'!S28+'21'!S28+'23'!S28+'25'!S28+'27'!S28+'29'!S28+'31'!S28</f>
        <v>12124</v>
      </c>
      <c r="T28" s="15">
        <f>'01'!T28+'03'!T28+'05'!T28+'07'!T28+'09'!T28+'11'!T28+'13'!T28+'15'!T28+'17'!T28+'19'!T28+'21'!T28+'23'!T28+'25'!T28+'27'!T28+'29'!T28+'31'!T28</f>
        <v>9029</v>
      </c>
      <c r="U28" s="16">
        <f>'01'!U28+'03'!U28+'05'!U28+'07'!U28+'09'!U28+'11'!U28+'13'!U28+'15'!U28+'17'!U28+'19'!U28+'21'!U28+'23'!U28+'25'!U28+'27'!U28+'29'!U28+'31'!U28</f>
        <v>650896</v>
      </c>
    </row>
    <row r="29" spans="1:21">
      <c r="A29" s="12">
        <v>2010</v>
      </c>
      <c r="B29" s="4"/>
      <c r="C29" s="15">
        <f>'01'!C29+'03'!C29+'05'!C29+'07'!C29+'09'!C29+'11'!C29+'13'!C29+'15'!C29+'17'!C29+'19'!C29+'21'!C29+'23'!C29+'25'!C29+'27'!C29+'29'!C29+'31'!C29</f>
        <v>35602</v>
      </c>
      <c r="D29" s="15">
        <f>'01'!D29+'03'!D29+'05'!D29+'07'!D29+'09'!D29+'11'!D29+'13'!D29+'15'!D29+'17'!D29+'19'!D29+'21'!D29+'23'!D29+'25'!D29+'27'!D29+'29'!D29+'31'!D29</f>
        <v>37929</v>
      </c>
      <c r="E29" s="15">
        <f>'01'!E29+'03'!E29+'05'!E29+'07'!E29+'09'!E29+'11'!E29+'13'!E29+'15'!E29+'17'!E29+'19'!E29+'21'!E29+'23'!E29+'25'!E29+'27'!E29+'29'!E29+'31'!E29</f>
        <v>40375</v>
      </c>
      <c r="F29" s="15">
        <f>'01'!F29+'03'!F29+'05'!F29+'07'!F29+'09'!F29+'11'!F29+'13'!F29+'15'!F29+'17'!F29+'19'!F29+'21'!F29+'23'!F29+'25'!F29+'27'!F29+'29'!F29+'31'!F29</f>
        <v>45348</v>
      </c>
      <c r="G29" s="15">
        <f>'01'!G29+'03'!G29+'05'!G29+'07'!G29+'09'!G29+'11'!G29+'13'!G29+'15'!G29+'17'!G29+'19'!G29+'21'!G29+'23'!G29+'25'!G29+'27'!G29+'29'!G29+'31'!G29</f>
        <v>40322</v>
      </c>
      <c r="H29" s="15">
        <f>'01'!H29+'03'!H29+'05'!H29+'07'!H29+'09'!H29+'11'!H29+'13'!H29+'15'!H29+'17'!H29+'19'!H29+'21'!H29+'23'!H29+'25'!H29+'27'!H29+'29'!H29+'31'!H29</f>
        <v>36173</v>
      </c>
      <c r="I29" s="15">
        <f>'01'!I29+'03'!I29+'05'!I29+'07'!I29+'09'!I29+'11'!I29+'13'!I29+'15'!I29+'17'!I29+'19'!I29+'21'!I29+'23'!I29+'25'!I29+'27'!I29+'29'!I29+'31'!I29</f>
        <v>35819</v>
      </c>
      <c r="J29" s="15">
        <f>'01'!J29+'03'!J29+'05'!J29+'07'!J29+'09'!J29+'11'!J29+'13'!J29+'15'!J29+'17'!J29+'19'!J29+'21'!J29+'23'!J29+'25'!J29+'27'!J29+'29'!J29+'31'!J29</f>
        <v>38919</v>
      </c>
      <c r="K29" s="15">
        <f>'01'!K29+'03'!K29+'05'!K29+'07'!K29+'09'!K29+'11'!K29+'13'!K29+'15'!K29+'17'!K29+'19'!K29+'21'!K29+'23'!K29+'25'!K29+'27'!K29+'29'!K29+'31'!K29</f>
        <v>44827</v>
      </c>
      <c r="L29" s="15">
        <f>'01'!L29+'03'!L29+'05'!L29+'07'!L29+'09'!L29+'11'!L29+'13'!L29+'15'!L29+'17'!L29+'19'!L29+'21'!L29+'23'!L29+'25'!L29+'27'!L29+'29'!L29+'31'!L29</f>
        <v>52493</v>
      </c>
      <c r="M29" s="15">
        <f>'01'!M29+'03'!M29+'05'!M29+'07'!M29+'09'!M29+'11'!M29+'13'!M29+'15'!M29+'17'!M29+'19'!M29+'21'!M29+'23'!M29+'25'!M29+'27'!M29+'29'!M29+'31'!M29</f>
        <v>54090</v>
      </c>
      <c r="N29" s="15">
        <f>'01'!N29+'03'!N29+'05'!N29+'07'!N29+'09'!N29+'11'!N29+'13'!N29+'15'!N29+'17'!N29+'19'!N29+'21'!N29+'23'!N29+'25'!N29+'27'!N29+'29'!N29+'31'!N29</f>
        <v>50070</v>
      </c>
      <c r="O29" s="15">
        <f>'01'!O29+'03'!O29+'05'!O29+'07'!O29+'09'!O29+'11'!O29+'13'!O29+'15'!O29+'17'!O29+'19'!O29+'21'!O29+'23'!O29+'25'!O29+'27'!O29+'29'!O29+'31'!O29</f>
        <v>44677</v>
      </c>
      <c r="P29" s="15">
        <f>'01'!P29+'03'!P29+'05'!P29+'07'!P29+'09'!P29+'11'!P29+'13'!P29+'15'!P29+'17'!P29+'19'!P29+'21'!P29+'23'!P29+'25'!P29+'27'!P29+'29'!P29+'31'!P29</f>
        <v>31642</v>
      </c>
      <c r="Q29" s="15">
        <f>'01'!Q29+'03'!Q29+'05'!Q29+'07'!Q29+'09'!Q29+'11'!Q29+'13'!Q29+'15'!Q29+'17'!Q29+'19'!Q29+'21'!Q29+'23'!Q29+'25'!Q29+'27'!Q29+'29'!Q29+'31'!Q29</f>
        <v>22372</v>
      </c>
      <c r="R29" s="15">
        <f>'01'!R29+'03'!R29+'05'!R29+'07'!R29+'09'!R29+'11'!R29+'13'!R29+'15'!R29+'17'!R29+'19'!R29+'21'!R29+'23'!R29+'25'!R29+'27'!R29+'29'!R29+'31'!R29</f>
        <v>17337</v>
      </c>
      <c r="S29" s="15">
        <f>'01'!S29+'03'!S29+'05'!S29+'07'!S29+'09'!S29+'11'!S29+'13'!S29+'15'!S29+'17'!S29+'19'!S29+'21'!S29+'23'!S29+'25'!S29+'27'!S29+'29'!S29+'31'!S29</f>
        <v>12180</v>
      </c>
      <c r="T29" s="15">
        <f>'01'!T29+'03'!T29+'05'!T29+'07'!T29+'09'!T29+'11'!T29+'13'!T29+'15'!T29+'17'!T29+'19'!T29+'21'!T29+'23'!T29+'25'!T29+'27'!T29+'29'!T29+'31'!T29</f>
        <v>9446</v>
      </c>
      <c r="U29" s="16">
        <f>'01'!U29+'03'!U29+'05'!U29+'07'!U29+'09'!U29+'11'!U29+'13'!U29+'15'!U29+'17'!U29+'19'!U29+'21'!U29+'23'!U29+'25'!U29+'27'!U29+'29'!U29+'31'!U29</f>
        <v>649621</v>
      </c>
    </row>
    <row r="30" spans="1:21">
      <c r="A30" s="23">
        <v>2015</v>
      </c>
      <c r="B30" s="4"/>
      <c r="C30" s="15">
        <f>'01'!C30+'03'!C30+'05'!C30+'07'!C30+'09'!C30+'11'!C30+'13'!C30+'15'!C30+'17'!C30+'19'!C30+'21'!C30+'23'!C30+'25'!C30+'27'!C30+'29'!C30+'31'!C30</f>
        <v>34764.930766401507</v>
      </c>
      <c r="D30" s="15">
        <f>'01'!D30+'03'!D30+'05'!D30+'07'!D30+'09'!D30+'11'!D30+'13'!D30+'15'!D30+'17'!D30+'19'!D30+'21'!D30+'23'!D30+'25'!D30+'27'!D30+'29'!D30+'31'!D30</f>
        <v>36018.560103432326</v>
      </c>
      <c r="E30" s="15">
        <f>'01'!E30+'03'!E30+'05'!E30+'07'!E30+'09'!E30+'11'!E30+'13'!E30+'15'!E30+'17'!E30+'19'!E30+'21'!E30+'23'!E30+'25'!E30+'27'!E30+'29'!E30+'31'!E30</f>
        <v>38078.968452739369</v>
      </c>
      <c r="F30" s="15">
        <f>'01'!F30+'03'!F30+'05'!F30+'07'!F30+'09'!F30+'11'!F30+'13'!F30+'15'!F30+'17'!F30+'19'!F30+'21'!F30+'23'!F30+'25'!F30+'27'!F30+'29'!F30+'31'!F30</f>
        <v>41958.607041854644</v>
      </c>
      <c r="G30" s="15">
        <f>'01'!G30+'03'!G30+'05'!G30+'07'!G30+'09'!G30+'11'!G30+'13'!G30+'15'!G30+'17'!G30+'19'!G30+'21'!G30+'23'!G30+'25'!G30+'27'!G30+'29'!G30+'31'!G30</f>
        <v>44698.722852685329</v>
      </c>
      <c r="H30" s="15">
        <f>'01'!H30+'03'!H30+'05'!H30+'07'!H30+'09'!H30+'11'!H30+'13'!H30+'15'!H30+'17'!H30+'19'!H30+'21'!H30+'23'!H30+'25'!H30+'27'!H30+'29'!H30+'31'!H30</f>
        <v>37639.754368636684</v>
      </c>
      <c r="I30" s="15">
        <f>'01'!I30+'03'!I30+'05'!I30+'07'!I30+'09'!I30+'11'!I30+'13'!I30+'15'!I30+'17'!I30+'19'!I30+'21'!I30+'23'!I30+'25'!I30+'27'!I30+'29'!I30+'31'!I30</f>
        <v>36539.717930869316</v>
      </c>
      <c r="J30" s="15">
        <f>'01'!J30+'03'!J30+'05'!J30+'07'!J30+'09'!J30+'11'!J30+'13'!J30+'15'!J30+'17'!J30+'19'!J30+'21'!J30+'23'!J30+'25'!J30+'27'!J30+'29'!J30+'31'!J30</f>
        <v>35924.47718959878</v>
      </c>
      <c r="K30" s="15">
        <f>'01'!K30+'03'!K30+'05'!K30+'07'!K30+'09'!K30+'11'!K30+'13'!K30+'15'!K30+'17'!K30+'19'!K30+'21'!K30+'23'!K30+'25'!K30+'27'!K30+'29'!K30+'31'!K30</f>
        <v>38835.466012638397</v>
      </c>
      <c r="L30" s="15">
        <f>'01'!L30+'03'!L30+'05'!L30+'07'!L30+'09'!L30+'11'!L30+'13'!L30+'15'!L30+'17'!L30+'19'!L30+'21'!L30+'23'!L30+'25'!L30+'27'!L30+'29'!L30+'31'!L30</f>
        <v>44459.841094859337</v>
      </c>
      <c r="M30" s="15">
        <f>'01'!M30+'03'!M30+'05'!M30+'07'!M30+'09'!M30+'11'!M30+'13'!M30+'15'!M30+'17'!M30+'19'!M30+'21'!M30+'23'!M30+'25'!M30+'27'!M30+'29'!M30+'31'!M30</f>
        <v>51337.689150259284</v>
      </c>
      <c r="N30" s="15">
        <f>'01'!N30+'03'!N30+'05'!N30+'07'!N30+'09'!N30+'11'!N30+'13'!N30+'15'!N30+'17'!N30+'19'!N30+'21'!N30+'23'!N30+'25'!N30+'27'!N30+'29'!N30+'31'!N30</f>
        <v>52489.374578477305</v>
      </c>
      <c r="O30" s="15">
        <f>'01'!O30+'03'!O30+'05'!O30+'07'!O30+'09'!O30+'11'!O30+'13'!O30+'15'!O30+'17'!O30+'19'!O30+'21'!O30+'23'!O30+'25'!O30+'27'!O30+'29'!O30+'31'!O30</f>
        <v>48064.444014449065</v>
      </c>
      <c r="P30" s="15">
        <f>'01'!P30+'03'!P30+'05'!P30+'07'!P30+'09'!P30+'11'!P30+'13'!P30+'15'!P30+'17'!P30+'19'!P30+'21'!P30+'23'!P30+'25'!P30+'27'!P30+'29'!P30+'31'!P30</f>
        <v>41676.471790638469</v>
      </c>
      <c r="Q30" s="15">
        <f>'01'!Q30+'03'!Q30+'05'!Q30+'07'!Q30+'09'!Q30+'11'!Q30+'13'!Q30+'15'!Q30+'17'!Q30+'19'!Q30+'21'!Q30+'23'!Q30+'25'!Q30+'27'!Q30+'29'!Q30+'31'!Q30</f>
        <v>28376.462560076634</v>
      </c>
      <c r="R30" s="15">
        <f>'01'!R30+'03'!R30+'05'!R30+'07'!R30+'09'!R30+'11'!R30+'13'!R30+'15'!R30+'17'!R30+'19'!R30+'21'!R30+'23'!R30+'25'!R30+'27'!R30+'29'!R30+'31'!R30</f>
        <v>18669.89607960685</v>
      </c>
      <c r="S30" s="15">
        <f>'01'!S30+'03'!S30+'05'!S30+'07'!S30+'09'!S30+'11'!S30+'13'!S30+'15'!S30+'17'!S30+'19'!S30+'21'!S30+'23'!S30+'25'!S30+'27'!S30+'29'!S30+'31'!S30</f>
        <v>12752.563486994042</v>
      </c>
      <c r="T30" s="15">
        <f>'01'!T30+'03'!T30+'05'!T30+'07'!T30+'09'!T30+'11'!T30+'13'!T30+'15'!T30+'17'!T30+'19'!T30+'21'!T30+'23'!T30+'25'!T30+'27'!T30+'29'!T30+'31'!T30</f>
        <v>10778.205562929286</v>
      </c>
      <c r="U30" s="16">
        <f>'01'!U30+'03'!U30+'05'!U30+'07'!U30+'09'!U30+'11'!U30+'13'!U30+'15'!U30+'17'!U30+'19'!U30+'21'!U30+'23'!U30+'25'!U30+'27'!U30+'29'!U30+'31'!U30</f>
        <v>653064.15303714655</v>
      </c>
    </row>
    <row r="31" spans="1:21">
      <c r="A31" s="23">
        <v>2020</v>
      </c>
      <c r="B31" s="4"/>
      <c r="C31" s="15">
        <f>'01'!C31+'03'!C31+'05'!C31+'07'!C31+'09'!C31+'11'!C31+'13'!C31+'15'!C31+'17'!C31+'19'!C31+'21'!C31+'23'!C31+'25'!C31+'27'!C31+'29'!C31+'31'!C31</f>
        <v>34768.444983398236</v>
      </c>
      <c r="D31" s="15">
        <f>'01'!D31+'03'!D31+'05'!D31+'07'!D31+'09'!D31+'11'!D31+'13'!D31+'15'!D31+'17'!D31+'19'!D31+'21'!D31+'23'!D31+'25'!D31+'27'!D31+'29'!D31+'31'!D31</f>
        <v>35347.129111392715</v>
      </c>
      <c r="E31" s="15">
        <f>'01'!E31+'03'!E31+'05'!E31+'07'!E31+'09'!E31+'11'!E31+'13'!E31+'15'!E31+'17'!E31+'19'!E31+'21'!E31+'23'!E31+'25'!E31+'27'!E31+'29'!E31+'31'!E31</f>
        <v>36327.270963775911</v>
      </c>
      <c r="F31" s="15">
        <f>'01'!F31+'03'!F31+'05'!F31+'07'!F31+'09'!F31+'11'!F31+'13'!F31+'15'!F31+'17'!F31+'19'!F31+'21'!F31+'23'!F31+'25'!F31+'27'!F31+'29'!F31+'31'!F31</f>
        <v>39824.905662714467</v>
      </c>
      <c r="G31" s="15">
        <f>'01'!G31+'03'!G31+'05'!G31+'07'!G31+'09'!G31+'11'!G31+'13'!G31+'15'!G31+'17'!G31+'19'!G31+'21'!G31+'23'!G31+'25'!G31+'27'!G31+'29'!G31+'31'!G31</f>
        <v>42005.546216421601</v>
      </c>
      <c r="H31" s="15">
        <f>'01'!H31+'03'!H31+'05'!H31+'07'!H31+'09'!H31+'11'!H31+'13'!H31+'15'!H31+'17'!H31+'19'!H31+'21'!H31+'23'!H31+'25'!H31+'27'!H31+'29'!H31+'31'!H31</f>
        <v>41022.905692358785</v>
      </c>
      <c r="I31" s="15">
        <f>'01'!I31+'03'!I31+'05'!I31+'07'!I31+'09'!I31+'11'!I31+'13'!I31+'15'!I31+'17'!I31+'19'!I31+'21'!I31+'23'!I31+'25'!I31+'27'!I31+'29'!I31+'31'!I31</f>
        <v>38022.514908858277</v>
      </c>
      <c r="J31" s="15">
        <f>'01'!J31+'03'!J31+'05'!J31+'07'!J31+'09'!J31+'11'!J31+'13'!J31+'15'!J31+'17'!J31+'19'!J31+'21'!J31+'23'!J31+'25'!J31+'27'!J31+'29'!J31+'31'!J31</f>
        <v>36729.318197574947</v>
      </c>
      <c r="K31" s="15">
        <f>'01'!K31+'03'!K31+'05'!K31+'07'!K31+'09'!K31+'11'!K31+'13'!K31+'15'!K31+'17'!K31+'19'!K31+'21'!K31+'23'!K31+'25'!K31+'27'!K31+'29'!K31+'31'!K31</f>
        <v>36221.593078938313</v>
      </c>
      <c r="L31" s="15">
        <f>'01'!L31+'03'!L31+'05'!L31+'07'!L31+'09'!L31+'11'!L31+'13'!L31+'15'!L31+'17'!L31+'19'!L31+'21'!L31+'23'!L31+'25'!L31+'27'!L31+'29'!L31+'31'!L31</f>
        <v>38856.151814806326</v>
      </c>
      <c r="M31" s="15">
        <f>'01'!M31+'03'!M31+'05'!M31+'07'!M31+'09'!M31+'11'!M31+'13'!M31+'15'!M31+'17'!M31+'19'!M31+'21'!M31+'23'!M31+'25'!M31+'27'!M31+'29'!M31+'31'!M31</f>
        <v>43696.828727731983</v>
      </c>
      <c r="N31" s="15">
        <f>'01'!N31+'03'!N31+'05'!N31+'07'!N31+'09'!N31+'11'!N31+'13'!N31+'15'!N31+'17'!N31+'19'!N31+'21'!N31+'23'!N31+'25'!N31+'27'!N31+'29'!N31+'31'!N31</f>
        <v>49795.479038900281</v>
      </c>
      <c r="O31" s="15">
        <f>'01'!O31+'03'!O31+'05'!O31+'07'!O31+'09'!O31+'11'!O31+'13'!O31+'15'!O31+'17'!O31+'19'!O31+'21'!O31+'23'!O31+'25'!O31+'27'!O31+'29'!O31+'31'!O31</f>
        <v>50319.242206960524</v>
      </c>
      <c r="P31" s="15">
        <f>'01'!P31+'03'!P31+'05'!P31+'07'!P31+'09'!P31+'11'!P31+'13'!P31+'15'!P31+'17'!P31+'19'!P31+'21'!P31+'23'!P31+'25'!P31+'27'!P31+'29'!P31+'31'!P31</f>
        <v>44885.072406013751</v>
      </c>
      <c r="Q31" s="15">
        <f>'01'!Q31+'03'!Q31+'05'!Q31+'07'!Q31+'09'!Q31+'11'!Q31+'13'!Q31+'15'!Q31+'17'!Q31+'19'!Q31+'21'!Q31+'23'!Q31+'25'!Q31+'27'!Q31+'29'!Q31+'31'!Q31</f>
        <v>37173.300063385956</v>
      </c>
      <c r="R31" s="15">
        <f>'01'!R31+'03'!R31+'05'!R31+'07'!R31+'09'!R31+'11'!R31+'13'!R31+'15'!R31+'17'!R31+'19'!R31+'21'!R31+'23'!R31+'25'!R31+'27'!R31+'29'!R31+'31'!R31</f>
        <v>23708.104069140431</v>
      </c>
      <c r="S31" s="15">
        <f>'01'!S31+'03'!S31+'05'!S31+'07'!S31+'09'!S31+'11'!S31+'13'!S31+'15'!S31+'17'!S31+'19'!S31+'21'!S31+'23'!S31+'25'!S31+'27'!S31+'29'!S31+'31'!S31</f>
        <v>13833.266834075912</v>
      </c>
      <c r="T31" s="15">
        <f>'01'!T31+'03'!T31+'05'!T31+'07'!T31+'09'!T31+'11'!T31+'13'!T31+'15'!T31+'17'!T31+'19'!T31+'21'!T31+'23'!T31+'25'!T31+'27'!T31+'29'!T31+'31'!T31</f>
        <v>11678.362854626524</v>
      </c>
      <c r="U31" s="16">
        <f>'01'!U31+'03'!U31+'05'!U31+'07'!U31+'09'!U31+'11'!U31+'13'!U31+'15'!U31+'17'!U31+'19'!U31+'21'!U31+'23'!U31+'25'!U31+'27'!U31+'29'!U31+'31'!U31</f>
        <v>654215.43683107488</v>
      </c>
    </row>
    <row r="32" spans="1:21">
      <c r="A32" s="23">
        <v>2025</v>
      </c>
      <c r="B32" s="4"/>
      <c r="C32" s="15">
        <f>'01'!C32+'03'!C32+'05'!C32+'07'!C32+'09'!C32+'11'!C32+'13'!C32+'15'!C32+'17'!C32+'19'!C32+'21'!C32+'23'!C32+'25'!C32+'27'!C32+'29'!C32+'31'!C32</f>
        <v>34792.215166175578</v>
      </c>
      <c r="D32" s="15">
        <f>'01'!D32+'03'!D32+'05'!D32+'07'!D32+'09'!D32+'11'!D32+'13'!D32+'15'!D32+'17'!D32+'19'!D32+'21'!D32+'23'!D32+'25'!D32+'27'!D32+'29'!D32+'31'!D32</f>
        <v>35434.287908486527</v>
      </c>
      <c r="E32" s="15">
        <f>'01'!E32+'03'!E32+'05'!E32+'07'!E32+'09'!E32+'11'!E32+'13'!E32+'15'!E32+'17'!E32+'19'!E32+'21'!E32+'23'!E32+'25'!E32+'27'!E32+'29'!E32+'31'!E32</f>
        <v>35742.648038856234</v>
      </c>
      <c r="F32" s="15">
        <f>'01'!F32+'03'!F32+'05'!F32+'07'!F32+'09'!F32+'11'!F32+'13'!F32+'15'!F32+'17'!F32+'19'!F32+'21'!F32+'23'!F32+'25'!F32+'27'!F32+'29'!F32+'31'!F32</f>
        <v>38237.228103912385</v>
      </c>
      <c r="G32" s="15">
        <f>'01'!G32+'03'!G32+'05'!G32+'07'!G32+'09'!G32+'11'!G32+'13'!G32+'15'!G32+'17'!G32+'19'!G32+'21'!G32+'23'!G32+'25'!G32+'27'!G32+'29'!G32+'31'!G32</f>
        <v>40365.853230084438</v>
      </c>
      <c r="H32" s="15">
        <f>'01'!H32+'03'!H32+'05'!H32+'07'!H32+'09'!H32+'11'!H32+'13'!H32+'15'!H32+'17'!H32+'19'!H32+'21'!H32+'23'!H32+'25'!H32+'27'!H32+'29'!H32+'31'!H32</f>
        <v>39152.210913889285</v>
      </c>
      <c r="I32" s="15">
        <f>'01'!I32+'03'!I32+'05'!I32+'07'!I32+'09'!I32+'11'!I32+'13'!I32+'15'!I32+'17'!I32+'19'!I32+'21'!I32+'23'!I32+'25'!I32+'27'!I32+'29'!I32+'31'!I32</f>
        <v>40841.274943856646</v>
      </c>
      <c r="J32" s="15">
        <f>'01'!J32+'03'!J32+'05'!J32+'07'!J32+'09'!J32+'11'!J32+'13'!J32+'15'!J32+'17'!J32+'19'!J32+'21'!J32+'23'!J32+'25'!J32+'27'!J32+'29'!J32+'31'!J32</f>
        <v>38202.0348273735</v>
      </c>
      <c r="K32" s="15">
        <f>'01'!K32+'03'!K32+'05'!K32+'07'!K32+'09'!K32+'11'!K32+'13'!K32+'15'!K32+'17'!K32+'19'!K32+'21'!K32+'23'!K32+'25'!K32+'27'!K32+'29'!K32+'31'!K32</f>
        <v>37097.926152401851</v>
      </c>
      <c r="L32" s="15">
        <f>'01'!L32+'03'!L32+'05'!L32+'07'!L32+'09'!L32+'11'!L32+'13'!L32+'15'!L32+'17'!L32+'19'!L32+'21'!L32+'23'!L32+'25'!L32+'27'!L32+'29'!L32+'31'!L32</f>
        <v>36562.548775789801</v>
      </c>
      <c r="M32" s="15">
        <f>'01'!M32+'03'!M32+'05'!M32+'07'!M32+'09'!M32+'11'!M32+'13'!M32+'15'!M32+'17'!M32+'19'!M32+'21'!M32+'23'!M32+'25'!M32+'27'!M32+'29'!M32+'31'!M32</f>
        <v>38449.758848493322</v>
      </c>
      <c r="N32" s="15">
        <f>'01'!N32+'03'!N32+'05'!N32+'07'!N32+'09'!N32+'11'!N32+'13'!N32+'15'!N32+'17'!N32+'19'!N32+'21'!N32+'23'!N32+'25'!N32+'27'!N32+'29'!N32+'31'!N32</f>
        <v>42595.93616556708</v>
      </c>
      <c r="O32" s="15">
        <f>'01'!O32+'03'!O32+'05'!O32+'07'!O32+'09'!O32+'11'!O32+'13'!O32+'15'!O32+'17'!O32+'19'!O32+'21'!O32+'23'!O32+'25'!O32+'27'!O32+'29'!O32+'31'!O32</f>
        <v>47716.994125360798</v>
      </c>
      <c r="P32" s="15">
        <f>'01'!P32+'03'!P32+'05'!P32+'07'!P32+'09'!P32+'11'!P32+'13'!P32+'15'!P32+'17'!P32+'19'!P32+'21'!P32+'23'!P32+'25'!P32+'27'!P32+'29'!P32+'31'!P32</f>
        <v>46949.500898742743</v>
      </c>
      <c r="Q32" s="15">
        <f>'01'!Q32+'03'!Q32+'05'!Q32+'07'!Q32+'09'!Q32+'11'!Q32+'13'!Q32+'15'!Q32+'17'!Q32+'19'!Q32+'21'!Q32+'23'!Q32+'25'!Q32+'27'!Q32+'29'!Q32+'31'!Q32</f>
        <v>40083.602755852757</v>
      </c>
      <c r="R32" s="15">
        <f>'01'!R32+'03'!R32+'05'!R32+'07'!R32+'09'!R32+'11'!R32+'13'!R32+'15'!R32+'17'!R32+'19'!R32+'21'!R32+'23'!R32+'25'!R32+'27'!R32+'29'!R32+'31'!R32</f>
        <v>30913.738949982908</v>
      </c>
      <c r="S32" s="15">
        <f>'01'!S32+'03'!S32+'05'!S32+'07'!S32+'09'!S32+'11'!S32+'13'!S32+'15'!S32+'17'!S32+'19'!S32+'21'!S32+'23'!S32+'25'!S32+'27'!S32+'29'!S32+'31'!S32</f>
        <v>17609.315838169401</v>
      </c>
      <c r="T32" s="15">
        <f>'01'!T32+'03'!T32+'05'!T32+'07'!T32+'09'!T32+'11'!T32+'13'!T32+'15'!T32+'17'!T32+'19'!T32+'21'!T32+'23'!T32+'25'!T32+'27'!T32+'29'!T32+'31'!T32</f>
        <v>12768.170117034397</v>
      </c>
      <c r="U32" s="16">
        <f>'01'!U32+'03'!U32+'05'!U32+'07'!U32+'09'!U32+'11'!U32+'13'!U32+'15'!U32+'17'!U32+'19'!U32+'21'!U32+'23'!U32+'25'!U32+'27'!U32+'29'!U32+'31'!U32</f>
        <v>653515.24576002965</v>
      </c>
    </row>
    <row r="33" spans="1:21">
      <c r="A33" s="23">
        <v>2030</v>
      </c>
      <c r="B33" s="4"/>
      <c r="C33" s="15">
        <f>'01'!C33+'03'!C33+'05'!C33+'07'!C33+'09'!C33+'11'!C33+'13'!C33+'15'!C33+'17'!C33+'19'!C33+'21'!C33+'23'!C33+'25'!C33+'27'!C33+'29'!C33+'31'!C33</f>
        <v>34528.177262910445</v>
      </c>
      <c r="D33" s="15">
        <f>'01'!D33+'03'!D33+'05'!D33+'07'!D33+'09'!D33+'11'!D33+'13'!D33+'15'!D33+'17'!D33+'19'!D33+'21'!D33+'23'!D33+'25'!D33+'27'!D33+'29'!D33+'31'!D33</f>
        <v>35543.498195568063</v>
      </c>
      <c r="E33" s="15">
        <f>'01'!E33+'03'!E33+'05'!E33+'07'!E33+'09'!E33+'11'!E33+'13'!E33+'15'!E33+'17'!E33+'19'!E33+'21'!E33+'23'!E33+'25'!E33+'27'!E33+'29'!E33+'31'!E33</f>
        <v>35878.266163398839</v>
      </c>
      <c r="F33" s="15">
        <f>'01'!F33+'03'!F33+'05'!F33+'07'!F33+'09'!F33+'11'!F33+'13'!F33+'15'!F33+'17'!F33+'19'!F33+'21'!F33+'23'!F33+'25'!F33+'27'!F33+'29'!F33+'31'!F33</f>
        <v>37744.741085084846</v>
      </c>
      <c r="G33" s="15">
        <f>'01'!G33+'03'!G33+'05'!G33+'07'!G33+'09'!G33+'11'!G33+'13'!G33+'15'!G33+'17'!G33+'19'!G33+'21'!G33+'23'!G33+'25'!G33+'27'!G33+'29'!G33+'31'!G33</f>
        <v>39274.828144243802</v>
      </c>
      <c r="H33" s="15">
        <f>'01'!H33+'03'!H33+'05'!H33+'07'!H33+'09'!H33+'11'!H33+'13'!H33+'15'!H33+'17'!H33+'19'!H33+'21'!H33+'23'!H33+'25'!H33+'27'!H33+'29'!H33+'31'!H33</f>
        <v>38089.889286464866</v>
      </c>
      <c r="I33" s="15">
        <f>'01'!I33+'03'!I33+'05'!I33+'07'!I33+'09'!I33+'11'!I33+'13'!I33+'15'!I33+'17'!I33+'19'!I33+'21'!I33+'23'!I33+'25'!I33+'27'!I33+'29'!I33+'31'!I33</f>
        <v>39475.398232031133</v>
      </c>
      <c r="J33" s="15">
        <f>'01'!J33+'03'!J33+'05'!J33+'07'!J33+'09'!J33+'11'!J33+'13'!J33+'15'!J33+'17'!J33+'19'!J33+'21'!J33+'23'!J33+'25'!J33+'27'!J33+'29'!J33+'31'!J33</f>
        <v>40712.095256485292</v>
      </c>
      <c r="K33" s="15">
        <f>'01'!K33+'03'!K33+'05'!K33+'07'!K33+'09'!K33+'11'!K33+'13'!K33+'15'!K33+'17'!K33+'19'!K33+'21'!K33+'23'!K33+'25'!K33+'27'!K33+'29'!K33+'31'!K33</f>
        <v>38573.317527409563</v>
      </c>
      <c r="L33" s="15">
        <f>'01'!L33+'03'!L33+'05'!L33+'07'!L33+'09'!L33+'11'!L33+'13'!L33+'15'!L33+'17'!L33+'19'!L33+'21'!L33+'23'!L33+'25'!L33+'27'!L33+'29'!L33+'31'!L33</f>
        <v>37502.559119544763</v>
      </c>
      <c r="M33" s="15">
        <f>'01'!M33+'03'!M33+'05'!M33+'07'!M33+'09'!M33+'11'!M33+'13'!M33+'15'!M33+'17'!M33+'19'!M33+'21'!M33+'23'!M33+'25'!M33+'27'!M33+'29'!M33+'31'!M33</f>
        <v>36435.340180564221</v>
      </c>
      <c r="N33" s="15">
        <f>'01'!N33+'03'!N33+'05'!N33+'07'!N33+'09'!N33+'11'!N33+'13'!N33+'15'!N33+'17'!N33+'19'!N33+'21'!N33+'23'!N33+'25'!N33+'27'!N33+'29'!N33+'31'!N33</f>
        <v>37733.591471523374</v>
      </c>
      <c r="O33" s="15">
        <f>'01'!O33+'03'!O33+'05'!O33+'07'!O33+'09'!O33+'11'!O33+'13'!O33+'15'!O33+'17'!O33+'19'!O33+'21'!O33+'23'!O33+'25'!O33+'27'!O33+'29'!O33+'31'!O33</f>
        <v>41011.745752282681</v>
      </c>
      <c r="P33" s="15">
        <f>'01'!P33+'03'!P33+'05'!P33+'07'!P33+'09'!P33+'11'!P33+'13'!P33+'15'!P33+'17'!P33+'19'!P33+'21'!P33+'23'!P33+'25'!P33+'27'!P33+'29'!P33+'31'!P33</f>
        <v>44518.565675750608</v>
      </c>
      <c r="Q33" s="15">
        <f>'01'!Q33+'03'!Q33+'05'!Q33+'07'!Q33+'09'!Q33+'11'!Q33+'13'!Q33+'15'!Q33+'17'!Q33+'19'!Q33+'21'!Q33+'23'!Q33+'25'!Q33+'27'!Q33+'29'!Q33+'31'!Q33</f>
        <v>41896.149012322479</v>
      </c>
      <c r="R33" s="15">
        <f>'01'!R33+'03'!R33+'05'!R33+'07'!R33+'09'!R33+'11'!R33+'13'!R33+'15'!R33+'17'!R33+'19'!R33+'21'!R33+'23'!R33+'25'!R33+'27'!R33+'29'!R33+'31'!R33</f>
        <v>33378.557736661867</v>
      </c>
      <c r="S33" s="15">
        <f>'01'!S33+'03'!S33+'05'!S33+'07'!S33+'09'!S33+'11'!S33+'13'!S33+'15'!S33+'17'!S33+'19'!S33+'21'!S33+'23'!S33+'25'!S33+'27'!S33+'29'!S33+'31'!S33</f>
        <v>22810.158598851107</v>
      </c>
      <c r="T33" s="15">
        <f>'01'!T33+'03'!T33+'05'!T33+'07'!T33+'09'!T33+'11'!T33+'13'!T33+'15'!T33+'17'!T33+'19'!T33+'21'!T33+'23'!T33+'25'!T33+'27'!T33+'29'!T33+'31'!T33</f>
        <v>15448.242983151189</v>
      </c>
      <c r="U33" s="16">
        <f>'01'!U33+'03'!U33+'05'!U33+'07'!U33+'09'!U33+'11'!U33+'13'!U33+'15'!U33+'17'!U33+'19'!U33+'21'!U33+'23'!U33+'25'!U33+'27'!U33+'29'!U33+'31'!U33</f>
        <v>650555.12168424902</v>
      </c>
    </row>
    <row r="34" spans="1:21" ht="15.75" thickBot="1">
      <c r="A34" s="17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ht="15.75" thickTop="1">
      <c r="A35" s="12" t="s">
        <v>34</v>
      </c>
      <c r="B35" s="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4"/>
    </row>
    <row r="36" spans="1:21">
      <c r="A36" s="12">
        <v>2001</v>
      </c>
      <c r="B36" s="4"/>
      <c r="C36" s="15">
        <f>'01'!C36+'03'!C36+'05'!C36+'07'!C36+'09'!C36+'11'!C36+'13'!C36+'15'!C36+'17'!C36+'19'!C36+'21'!C36+'23'!C36+'25'!C36+'27'!C36+'29'!C36+'31'!C36</f>
        <v>70419</v>
      </c>
      <c r="D36" s="15">
        <f>'01'!D36+'03'!D36+'05'!D36+'07'!D36+'09'!D36+'11'!D36+'13'!D36+'15'!D36+'17'!D36+'19'!D36+'21'!D36+'23'!D36+'25'!D36+'27'!D36+'29'!D36+'31'!D36</f>
        <v>80706</v>
      </c>
      <c r="E36" s="15">
        <f>'01'!E36+'03'!E36+'05'!E36+'07'!E36+'09'!E36+'11'!E36+'13'!E36+'15'!E36+'17'!E36+'19'!E36+'21'!E36+'23'!E36+'25'!E36+'27'!E36+'29'!E36+'31'!E36</f>
        <v>92720</v>
      </c>
      <c r="F36" s="15">
        <f>'01'!F36+'03'!F36+'05'!F36+'07'!F36+'09'!F36+'11'!F36+'13'!F36+'15'!F36+'17'!F36+'19'!F36+'21'!F36+'23'!F36+'25'!F36+'27'!F36+'29'!F36+'31'!F36</f>
        <v>91743</v>
      </c>
      <c r="G36" s="15">
        <f>'01'!G36+'03'!G36+'05'!G36+'07'!G36+'09'!G36+'11'!G36+'13'!G36+'15'!G36+'17'!G36+'19'!G36+'21'!G36+'23'!G36+'25'!G36+'27'!G36+'29'!G36+'31'!G36</f>
        <v>71677</v>
      </c>
      <c r="H36" s="15">
        <f>'01'!H36+'03'!H36+'05'!H36+'07'!H36+'09'!H36+'11'!H36+'13'!H36+'15'!H36+'17'!H36+'19'!H36+'21'!H36+'23'!H36+'25'!H36+'27'!H36+'29'!H36+'31'!H36</f>
        <v>68097</v>
      </c>
      <c r="I36" s="15">
        <f>'01'!I36+'03'!I36+'05'!I36+'07'!I36+'09'!I36+'11'!I36+'13'!I36+'15'!I36+'17'!I36+'19'!I36+'21'!I36+'23'!I36+'25'!I36+'27'!I36+'29'!I36+'31'!I36</f>
        <v>84770</v>
      </c>
      <c r="J36" s="15">
        <f>'01'!J36+'03'!J36+'05'!J36+'07'!J36+'09'!J36+'11'!J36+'13'!J36+'15'!J36+'17'!J36+'19'!J36+'21'!J36+'23'!J36+'25'!J36+'27'!J36+'29'!J36+'31'!J36</f>
        <v>100860</v>
      </c>
      <c r="K36" s="15">
        <f>'01'!K36+'03'!K36+'05'!K36+'07'!K36+'09'!K36+'11'!K36+'13'!K36+'15'!K36+'17'!K36+'19'!K36+'21'!K36+'23'!K36+'25'!K36+'27'!K36+'29'!K36+'31'!K36</f>
        <v>110384</v>
      </c>
      <c r="L36" s="15">
        <f>'01'!L36+'03'!L36+'05'!L36+'07'!L36+'09'!L36+'11'!L36+'13'!L36+'15'!L36+'17'!L36+'19'!L36+'21'!L36+'23'!L36+'25'!L36+'27'!L36+'29'!L36+'31'!L36</f>
        <v>104393</v>
      </c>
      <c r="M36" s="15">
        <f>'01'!M36+'03'!M36+'05'!M36+'07'!M36+'09'!M36+'11'!M36+'13'!M36+'15'!M36+'17'!M36+'19'!M36+'21'!M36+'23'!M36+'25'!M36+'27'!M36+'29'!M36+'31'!M36</f>
        <v>97195</v>
      </c>
      <c r="N36" s="15">
        <f>'01'!N36+'03'!N36+'05'!N36+'07'!N36+'09'!N36+'11'!N36+'13'!N36+'15'!N36+'17'!N36+'19'!N36+'21'!N36+'23'!N36+'25'!N36+'27'!N36+'29'!N36+'31'!N36</f>
        <v>71430</v>
      </c>
      <c r="O36" s="15">
        <f>'01'!O36+'03'!O36+'05'!O36+'07'!O36+'09'!O36+'11'!O36+'13'!O36+'15'!O36+'17'!O36+'19'!O36+'21'!O36+'23'!O36+'25'!O36+'27'!O36+'29'!O36+'31'!O36</f>
        <v>56132</v>
      </c>
      <c r="P36" s="15">
        <f>'01'!P36+'03'!P36+'05'!P36+'07'!P36+'09'!P36+'11'!P36+'13'!P36+'15'!P36+'17'!P36+'19'!P36+'21'!P36+'23'!P36+'25'!P36+'27'!P36+'29'!P36+'31'!P36</f>
        <v>50222</v>
      </c>
      <c r="Q36" s="15">
        <f>'01'!Q36+'03'!Q36+'05'!Q36+'07'!Q36+'09'!Q36+'11'!Q36+'13'!Q36+'15'!Q36+'17'!Q36+'19'!Q36+'21'!Q36+'23'!Q36+'25'!Q36+'27'!Q36+'29'!Q36+'31'!Q36</f>
        <v>46001</v>
      </c>
      <c r="R36" s="15">
        <f>'01'!R36+'03'!R36+'05'!R36+'07'!R36+'09'!R36+'11'!R36+'13'!R36+'15'!R36+'17'!R36+'19'!R36+'21'!R36+'23'!R36+'25'!R36+'27'!R36+'29'!R36+'31'!R36</f>
        <v>38410</v>
      </c>
      <c r="S36" s="15">
        <f>'01'!S36+'03'!S36+'05'!S36+'07'!S36+'09'!S36+'11'!S36+'13'!S36+'15'!S36+'17'!S36+'19'!S36+'21'!S36+'23'!S36+'25'!S36+'27'!S36+'29'!S36+'31'!S36</f>
        <v>26684</v>
      </c>
      <c r="T36" s="15">
        <f>'01'!T36+'03'!T36+'05'!T36+'07'!T36+'09'!T36+'11'!T36+'13'!T36+'15'!T36+'17'!T36+'19'!T36+'21'!T36+'23'!T36+'25'!T36+'27'!T36+'29'!T36+'31'!T36</f>
        <v>23849</v>
      </c>
      <c r="U36" s="16">
        <f>'01'!U36+'03'!U36+'05'!U36+'07'!U36+'09'!U36+'11'!U36+'13'!U36+'15'!U36+'17'!U36+'19'!U36+'21'!U36+'23'!U36+'25'!U36+'27'!U36+'29'!U36+'31'!U36</f>
        <v>1285692</v>
      </c>
    </row>
    <row r="37" spans="1:21">
      <c r="A37" s="12">
        <v>2002</v>
      </c>
      <c r="B37" s="4"/>
      <c r="C37" s="15">
        <f>'01'!C37+'03'!C37+'05'!C37+'07'!C37+'09'!C37+'11'!C37+'13'!C37+'15'!C37+'17'!C37+'19'!C37+'21'!C37+'23'!C37+'25'!C37+'27'!C37+'29'!C37+'31'!C37</f>
        <v>70262</v>
      </c>
      <c r="D37" s="15">
        <f>'01'!D37+'03'!D37+'05'!D37+'07'!D37+'09'!D37+'11'!D37+'13'!D37+'15'!D37+'17'!D37+'19'!D37+'21'!D37+'23'!D37+'25'!D37+'27'!D37+'29'!D37+'31'!D37</f>
        <v>78792</v>
      </c>
      <c r="E37" s="15">
        <f>'01'!E37+'03'!E37+'05'!E37+'07'!E37+'09'!E37+'11'!E37+'13'!E37+'15'!E37+'17'!E37+'19'!E37+'21'!E37+'23'!E37+'25'!E37+'27'!E37+'29'!E37+'31'!E37</f>
        <v>92614</v>
      </c>
      <c r="F37" s="15">
        <f>'01'!F37+'03'!F37+'05'!F37+'07'!F37+'09'!F37+'11'!F37+'13'!F37+'15'!F37+'17'!F37+'19'!F37+'21'!F37+'23'!F37+'25'!F37+'27'!F37+'29'!F37+'31'!F37</f>
        <v>92860</v>
      </c>
      <c r="G37" s="15">
        <f>'01'!G37+'03'!G37+'05'!G37+'07'!G37+'09'!G37+'11'!G37+'13'!G37+'15'!G37+'17'!G37+'19'!G37+'21'!G37+'23'!G37+'25'!G37+'27'!G37+'29'!G37+'31'!G37</f>
        <v>74110</v>
      </c>
      <c r="H37" s="15">
        <f>'01'!H37+'03'!H37+'05'!H37+'07'!H37+'09'!H37+'11'!H37+'13'!H37+'15'!H37+'17'!H37+'19'!H37+'21'!H37+'23'!H37+'25'!H37+'27'!H37+'29'!H37+'31'!H37</f>
        <v>67460</v>
      </c>
      <c r="I37" s="15">
        <f>'01'!I37+'03'!I37+'05'!I37+'07'!I37+'09'!I37+'11'!I37+'13'!I37+'15'!I37+'17'!I37+'19'!I37+'21'!I37+'23'!I37+'25'!I37+'27'!I37+'29'!I37+'31'!I37</f>
        <v>83530</v>
      </c>
      <c r="J37" s="15">
        <f>'01'!J37+'03'!J37+'05'!J37+'07'!J37+'09'!J37+'11'!J37+'13'!J37+'15'!J37+'17'!J37+'19'!J37+'21'!J37+'23'!J37+'25'!J37+'27'!J37+'29'!J37+'31'!J37</f>
        <v>98264</v>
      </c>
      <c r="K37" s="15">
        <f>'01'!K37+'03'!K37+'05'!K37+'07'!K37+'09'!K37+'11'!K37+'13'!K37+'15'!K37+'17'!K37+'19'!K37+'21'!K37+'23'!K37+'25'!K37+'27'!K37+'29'!K37+'31'!K37</f>
        <v>110375</v>
      </c>
      <c r="L37" s="15">
        <f>'01'!L37+'03'!L37+'05'!L37+'07'!L37+'09'!L37+'11'!L37+'13'!L37+'15'!L37+'17'!L37+'19'!L37+'21'!L37+'23'!L37+'25'!L37+'27'!L37+'29'!L37+'31'!L37</f>
        <v>106861</v>
      </c>
      <c r="M37" s="15">
        <f>'01'!M37+'03'!M37+'05'!M37+'07'!M37+'09'!M37+'11'!M37+'13'!M37+'15'!M37+'17'!M37+'19'!M37+'21'!M37+'23'!M37+'25'!M37+'27'!M37+'29'!M37+'31'!M37</f>
        <v>97496</v>
      </c>
      <c r="N37" s="15">
        <f>'01'!N37+'03'!N37+'05'!N37+'07'!N37+'09'!N37+'11'!N37+'13'!N37+'15'!N37+'17'!N37+'19'!N37+'21'!N37+'23'!N37+'25'!N37+'27'!N37+'29'!N37+'31'!N37</f>
        <v>78254</v>
      </c>
      <c r="O37" s="15">
        <f>'01'!O37+'03'!O37+'05'!O37+'07'!O37+'09'!O37+'11'!O37+'13'!O37+'15'!O37+'17'!O37+'19'!O37+'21'!O37+'23'!O37+'25'!O37+'27'!O37+'29'!O37+'31'!O37</f>
        <v>58414</v>
      </c>
      <c r="P37" s="15">
        <f>'01'!P37+'03'!P37+'05'!P37+'07'!P37+'09'!P37+'11'!P37+'13'!P37+'15'!P37+'17'!P37+'19'!P37+'21'!P37+'23'!P37+'25'!P37+'27'!P37+'29'!P37+'31'!P37</f>
        <v>50294</v>
      </c>
      <c r="Q37" s="15">
        <f>'01'!Q37+'03'!Q37+'05'!Q37+'07'!Q37+'09'!Q37+'11'!Q37+'13'!Q37+'15'!Q37+'17'!Q37+'19'!Q37+'21'!Q37+'23'!Q37+'25'!Q37+'27'!Q37+'29'!Q37+'31'!Q37</f>
        <v>46052</v>
      </c>
      <c r="R37" s="15">
        <f>'01'!R37+'03'!R37+'05'!R37+'07'!R37+'09'!R37+'11'!R37+'13'!R37+'15'!R37+'17'!R37+'19'!R37+'21'!R37+'23'!R37+'25'!R37+'27'!R37+'29'!R37+'31'!R37</f>
        <v>38793</v>
      </c>
      <c r="S37" s="15">
        <f>'01'!S37+'03'!S37+'05'!S37+'07'!S37+'09'!S37+'11'!S37+'13'!S37+'15'!S37+'17'!S37+'19'!S37+'21'!S37+'23'!S37+'25'!S37+'27'!S37+'29'!S37+'31'!S37</f>
        <v>27340</v>
      </c>
      <c r="T37" s="15">
        <f>'01'!T37+'03'!T37+'05'!T37+'07'!T37+'09'!T37+'11'!T37+'13'!T37+'15'!T37+'17'!T37+'19'!T37+'21'!T37+'23'!T37+'25'!T37+'27'!T37+'29'!T37+'31'!T37</f>
        <v>24189</v>
      </c>
      <c r="U37" s="16">
        <f>'01'!U37+'03'!U37+'05'!U37+'07'!U37+'09'!U37+'11'!U37+'13'!U37+'15'!U37+'17'!U37+'19'!U37+'21'!U37+'23'!U37+'25'!U37+'27'!U37+'29'!U37+'31'!U37</f>
        <v>1295960</v>
      </c>
    </row>
    <row r="38" spans="1:21">
      <c r="A38" s="12">
        <v>2003</v>
      </c>
      <c r="B38" s="4"/>
      <c r="C38" s="15">
        <f>'01'!C38+'03'!C38+'05'!C38+'07'!C38+'09'!C38+'11'!C38+'13'!C38+'15'!C38+'17'!C38+'19'!C38+'21'!C38+'23'!C38+'25'!C38+'27'!C38+'29'!C38+'31'!C38</f>
        <v>70618</v>
      </c>
      <c r="D38" s="15">
        <f>'01'!D38+'03'!D38+'05'!D38+'07'!D38+'09'!D38+'11'!D38+'13'!D38+'15'!D38+'17'!D38+'19'!D38+'21'!D38+'23'!D38+'25'!D38+'27'!D38+'29'!D38+'31'!D38</f>
        <v>77369</v>
      </c>
      <c r="E38" s="15">
        <f>'01'!E38+'03'!E38+'05'!E38+'07'!E38+'09'!E38+'11'!E38+'13'!E38+'15'!E38+'17'!E38+'19'!E38+'21'!E38+'23'!E38+'25'!E38+'27'!E38+'29'!E38+'31'!E38</f>
        <v>91740</v>
      </c>
      <c r="F38" s="15">
        <f>'01'!F38+'03'!F38+'05'!F38+'07'!F38+'09'!F38+'11'!F38+'13'!F38+'15'!F38+'17'!F38+'19'!F38+'21'!F38+'23'!F38+'25'!F38+'27'!F38+'29'!F38+'31'!F38</f>
        <v>93919</v>
      </c>
      <c r="G38" s="15">
        <f>'01'!G38+'03'!G38+'05'!G38+'07'!G38+'09'!G38+'11'!G38+'13'!G38+'15'!G38+'17'!G38+'19'!G38+'21'!G38+'23'!G38+'25'!G38+'27'!G38+'29'!G38+'31'!G38</f>
        <v>76668</v>
      </c>
      <c r="H38" s="15">
        <f>'01'!H38+'03'!H38+'05'!H38+'07'!H38+'09'!H38+'11'!H38+'13'!H38+'15'!H38+'17'!H38+'19'!H38+'21'!H38+'23'!H38+'25'!H38+'27'!H38+'29'!H38+'31'!H38</f>
        <v>67885</v>
      </c>
      <c r="I38" s="15">
        <f>'01'!I38+'03'!I38+'05'!I38+'07'!I38+'09'!I38+'11'!I38+'13'!I38+'15'!I38+'17'!I38+'19'!I38+'21'!I38+'23'!I38+'25'!I38+'27'!I38+'29'!I38+'31'!I38</f>
        <v>81736</v>
      </c>
      <c r="J38" s="15">
        <f>'01'!J38+'03'!J38+'05'!J38+'07'!J38+'09'!J38+'11'!J38+'13'!J38+'15'!J38+'17'!J38+'19'!J38+'21'!J38+'23'!J38+'25'!J38+'27'!J38+'29'!J38+'31'!J38</f>
        <v>95564</v>
      </c>
      <c r="K38" s="15">
        <f>'01'!K38+'03'!K38+'05'!K38+'07'!K38+'09'!K38+'11'!K38+'13'!K38+'15'!K38+'17'!K38+'19'!K38+'21'!K38+'23'!K38+'25'!K38+'27'!K38+'29'!K38+'31'!K38</f>
        <v>109810</v>
      </c>
      <c r="L38" s="15">
        <f>'01'!L38+'03'!L38+'05'!L38+'07'!L38+'09'!L38+'11'!L38+'13'!L38+'15'!L38+'17'!L38+'19'!L38+'21'!L38+'23'!L38+'25'!L38+'27'!L38+'29'!L38+'31'!L38</f>
        <v>109113</v>
      </c>
      <c r="M38" s="15">
        <f>'01'!M38+'03'!M38+'05'!M38+'07'!M38+'09'!M38+'11'!M38+'13'!M38+'15'!M38+'17'!M38+'19'!M38+'21'!M38+'23'!M38+'25'!M38+'27'!M38+'29'!M38+'31'!M38</f>
        <v>99290</v>
      </c>
      <c r="N38" s="15">
        <f>'01'!N38+'03'!N38+'05'!N38+'07'!N38+'09'!N38+'11'!N38+'13'!N38+'15'!N38+'17'!N38+'19'!N38+'21'!N38+'23'!N38+'25'!N38+'27'!N38+'29'!N38+'31'!N38</f>
        <v>82428</v>
      </c>
      <c r="O38" s="15">
        <f>'01'!O38+'03'!O38+'05'!O38+'07'!O38+'09'!O38+'11'!O38+'13'!O38+'15'!O38+'17'!O38+'19'!O38+'21'!O38+'23'!O38+'25'!O38+'27'!O38+'29'!O38+'31'!O38</f>
        <v>62133</v>
      </c>
      <c r="P38" s="15">
        <f>'01'!P38+'03'!P38+'05'!P38+'07'!P38+'09'!P38+'11'!P38+'13'!P38+'15'!P38+'17'!P38+'19'!P38+'21'!P38+'23'!P38+'25'!P38+'27'!P38+'29'!P38+'31'!P38</f>
        <v>51181</v>
      </c>
      <c r="Q38" s="15">
        <f>'01'!Q38+'03'!Q38+'05'!Q38+'07'!Q38+'09'!Q38+'11'!Q38+'13'!Q38+'15'!Q38+'17'!Q38+'19'!Q38+'21'!Q38+'23'!Q38+'25'!Q38+'27'!Q38+'29'!Q38+'31'!Q38</f>
        <v>45468</v>
      </c>
      <c r="R38" s="15">
        <f>'01'!R38+'03'!R38+'05'!R38+'07'!R38+'09'!R38+'11'!R38+'13'!R38+'15'!R38+'17'!R38+'19'!R38+'21'!R38+'23'!R38+'25'!R38+'27'!R38+'29'!R38+'31'!R38</f>
        <v>39119</v>
      </c>
      <c r="S38" s="15">
        <f>'01'!S38+'03'!S38+'05'!S38+'07'!S38+'09'!S38+'11'!S38+'13'!S38+'15'!S38+'17'!S38+'19'!S38+'21'!S38+'23'!S38+'25'!S38+'27'!S38+'29'!S38+'31'!S38</f>
        <v>27935</v>
      </c>
      <c r="T38" s="15">
        <f>'01'!T38+'03'!T38+'05'!T38+'07'!T38+'09'!T38+'11'!T38+'13'!T38+'15'!T38+'17'!T38+'19'!T38+'21'!T38+'23'!T38+'25'!T38+'27'!T38+'29'!T38+'31'!T38</f>
        <v>24537</v>
      </c>
      <c r="U38" s="16">
        <f>'01'!U38+'03'!U38+'05'!U38+'07'!U38+'09'!U38+'11'!U38+'13'!U38+'15'!U38+'17'!U38+'19'!U38+'21'!U38+'23'!U38+'25'!U38+'27'!U38+'29'!U38+'31'!U38</f>
        <v>1306513</v>
      </c>
    </row>
    <row r="39" spans="1:21">
      <c r="A39" s="12">
        <v>2004</v>
      </c>
      <c r="B39" s="4"/>
      <c r="C39" s="15">
        <f>'01'!C39+'03'!C39+'05'!C39+'07'!C39+'09'!C39+'11'!C39+'13'!C39+'15'!C39+'17'!C39+'19'!C39+'21'!C39+'23'!C39+'25'!C39+'27'!C39+'29'!C39+'31'!C39</f>
        <v>70803</v>
      </c>
      <c r="D39" s="15">
        <f>'01'!D39+'03'!D39+'05'!D39+'07'!D39+'09'!D39+'11'!D39+'13'!D39+'15'!D39+'17'!D39+'19'!D39+'21'!D39+'23'!D39+'25'!D39+'27'!D39+'29'!D39+'31'!D39</f>
        <v>76805</v>
      </c>
      <c r="E39" s="15">
        <f>'01'!E39+'03'!E39+'05'!E39+'07'!E39+'09'!E39+'11'!E39+'13'!E39+'15'!E39+'17'!E39+'19'!E39+'21'!E39+'23'!E39+'25'!E39+'27'!E39+'29'!E39+'31'!E39</f>
        <v>90119</v>
      </c>
      <c r="F39" s="15">
        <f>'01'!F39+'03'!F39+'05'!F39+'07'!F39+'09'!F39+'11'!F39+'13'!F39+'15'!F39+'17'!F39+'19'!F39+'21'!F39+'23'!F39+'25'!F39+'27'!F39+'29'!F39+'31'!F39</f>
        <v>94105</v>
      </c>
      <c r="G39" s="15">
        <f>'01'!G39+'03'!G39+'05'!G39+'07'!G39+'09'!G39+'11'!G39+'13'!G39+'15'!G39+'17'!G39+'19'!G39+'21'!G39+'23'!G39+'25'!G39+'27'!G39+'29'!G39+'31'!G39</f>
        <v>78022</v>
      </c>
      <c r="H39" s="15">
        <f>'01'!H39+'03'!H39+'05'!H39+'07'!H39+'09'!H39+'11'!H39+'13'!H39+'15'!H39+'17'!H39+'19'!H39+'21'!H39+'23'!H39+'25'!H39+'27'!H39+'29'!H39+'31'!H39</f>
        <v>68695</v>
      </c>
      <c r="I39" s="15">
        <f>'01'!I39+'03'!I39+'05'!I39+'07'!I39+'09'!I39+'11'!I39+'13'!I39+'15'!I39+'17'!I39+'19'!I39+'21'!I39+'23'!I39+'25'!I39+'27'!I39+'29'!I39+'31'!I39</f>
        <v>79460</v>
      </c>
      <c r="J39" s="15">
        <f>'01'!J39+'03'!J39+'05'!J39+'07'!J39+'09'!J39+'11'!J39+'13'!J39+'15'!J39+'17'!J39+'19'!J39+'21'!J39+'23'!J39+'25'!J39+'27'!J39+'29'!J39+'31'!J39</f>
        <v>92448</v>
      </c>
      <c r="K39" s="15">
        <f>'01'!K39+'03'!K39+'05'!K39+'07'!K39+'09'!K39+'11'!K39+'13'!K39+'15'!K39+'17'!K39+'19'!K39+'21'!K39+'23'!K39+'25'!K39+'27'!K39+'29'!K39+'31'!K39</f>
        <v>109033</v>
      </c>
      <c r="L39" s="15">
        <f>'01'!L39+'03'!L39+'05'!L39+'07'!L39+'09'!L39+'11'!L39+'13'!L39+'15'!L39+'17'!L39+'19'!L39+'21'!L39+'23'!L39+'25'!L39+'27'!L39+'29'!L39+'31'!L39</f>
        <v>109928</v>
      </c>
      <c r="M39" s="15">
        <f>'01'!M39+'03'!M39+'05'!M39+'07'!M39+'09'!M39+'11'!M39+'13'!M39+'15'!M39+'17'!M39+'19'!M39+'21'!M39+'23'!M39+'25'!M39+'27'!M39+'29'!M39+'31'!M39</f>
        <v>101914</v>
      </c>
      <c r="N39" s="15">
        <f>'01'!N39+'03'!N39+'05'!N39+'07'!N39+'09'!N39+'11'!N39+'13'!N39+'15'!N39+'17'!N39+'19'!N39+'21'!N39+'23'!N39+'25'!N39+'27'!N39+'29'!N39+'31'!N39</f>
        <v>86898</v>
      </c>
      <c r="O39" s="15">
        <f>'01'!O39+'03'!O39+'05'!O39+'07'!O39+'09'!O39+'11'!O39+'13'!O39+'15'!O39+'17'!O39+'19'!O39+'21'!O39+'23'!O39+'25'!O39+'27'!O39+'29'!O39+'31'!O39</f>
        <v>65653</v>
      </c>
      <c r="P39" s="15">
        <f>'01'!P39+'03'!P39+'05'!P39+'07'!P39+'09'!P39+'11'!P39+'13'!P39+'15'!P39+'17'!P39+'19'!P39+'21'!P39+'23'!P39+'25'!P39+'27'!P39+'29'!P39+'31'!P39</f>
        <v>52165</v>
      </c>
      <c r="Q39" s="15">
        <f>'01'!Q39+'03'!Q39+'05'!Q39+'07'!Q39+'09'!Q39+'11'!Q39+'13'!Q39+'15'!Q39+'17'!Q39+'19'!Q39+'21'!Q39+'23'!Q39+'25'!Q39+'27'!Q39+'29'!Q39+'31'!Q39</f>
        <v>44994</v>
      </c>
      <c r="R39" s="15">
        <f>'01'!R39+'03'!R39+'05'!R39+'07'!R39+'09'!R39+'11'!R39+'13'!R39+'15'!R39+'17'!R39+'19'!R39+'21'!R39+'23'!R39+'25'!R39+'27'!R39+'29'!R39+'31'!R39</f>
        <v>39277</v>
      </c>
      <c r="S39" s="15">
        <f>'01'!S39+'03'!S39+'05'!S39+'07'!S39+'09'!S39+'11'!S39+'13'!S39+'15'!S39+'17'!S39+'19'!S39+'21'!S39+'23'!S39+'25'!S39+'27'!S39+'29'!S39+'31'!S39</f>
        <v>28443</v>
      </c>
      <c r="T39" s="15">
        <f>'01'!T39+'03'!T39+'05'!T39+'07'!T39+'09'!T39+'11'!T39+'13'!T39+'15'!T39+'17'!T39+'19'!T39+'21'!T39+'23'!T39+'25'!T39+'27'!T39+'29'!T39+'31'!T39</f>
        <v>24926</v>
      </c>
      <c r="U39" s="16">
        <f>'01'!U39+'03'!U39+'05'!U39+'07'!U39+'09'!U39+'11'!U39+'13'!U39+'15'!U39+'17'!U39+'19'!U39+'21'!U39+'23'!U39+'25'!U39+'27'!U39+'29'!U39+'31'!U39</f>
        <v>1313688</v>
      </c>
    </row>
    <row r="40" spans="1:21">
      <c r="A40" s="12">
        <v>2005</v>
      </c>
      <c r="B40" s="4"/>
      <c r="C40" s="15">
        <f>'01'!C40+'03'!C40+'05'!C40+'07'!C40+'09'!C40+'11'!C40+'13'!C40+'15'!C40+'17'!C40+'19'!C40+'21'!C40+'23'!C40+'25'!C40+'27'!C40+'29'!C40+'31'!C40</f>
        <v>71027</v>
      </c>
      <c r="D40" s="15">
        <f>'01'!D40+'03'!D40+'05'!D40+'07'!D40+'09'!D40+'11'!D40+'13'!D40+'15'!D40+'17'!D40+'19'!D40+'21'!D40+'23'!D40+'25'!D40+'27'!D40+'29'!D40+'31'!D40</f>
        <v>75891</v>
      </c>
      <c r="E40" s="15">
        <f>'01'!E40+'03'!E40+'05'!E40+'07'!E40+'09'!E40+'11'!E40+'13'!E40+'15'!E40+'17'!E40+'19'!E40+'21'!E40+'23'!E40+'25'!E40+'27'!E40+'29'!E40+'31'!E40</f>
        <v>87574</v>
      </c>
      <c r="F40" s="15">
        <f>'01'!F40+'03'!F40+'05'!F40+'07'!F40+'09'!F40+'11'!F40+'13'!F40+'15'!F40+'17'!F40+'19'!F40+'21'!F40+'23'!F40+'25'!F40+'27'!F40+'29'!F40+'31'!F40</f>
        <v>94391</v>
      </c>
      <c r="G40" s="15">
        <f>'01'!G40+'03'!G40+'05'!G40+'07'!G40+'09'!G40+'11'!G40+'13'!G40+'15'!G40+'17'!G40+'19'!G40+'21'!G40+'23'!G40+'25'!G40+'27'!G40+'29'!G40+'31'!G40</f>
        <v>79811</v>
      </c>
      <c r="H40" s="15">
        <f>'01'!H40+'03'!H40+'05'!H40+'07'!H40+'09'!H40+'11'!H40+'13'!H40+'15'!H40+'17'!H40+'19'!H40+'21'!H40+'23'!H40+'25'!H40+'27'!H40+'29'!H40+'31'!H40</f>
        <v>69581</v>
      </c>
      <c r="I40" s="15">
        <f>'01'!I40+'03'!I40+'05'!I40+'07'!I40+'09'!I40+'11'!I40+'13'!I40+'15'!I40+'17'!I40+'19'!I40+'21'!I40+'23'!I40+'25'!I40+'27'!I40+'29'!I40+'31'!I40</f>
        <v>76121</v>
      </c>
      <c r="J40" s="15">
        <f>'01'!J40+'03'!J40+'05'!J40+'07'!J40+'09'!J40+'11'!J40+'13'!J40+'15'!J40+'17'!J40+'19'!J40+'21'!J40+'23'!J40+'25'!J40+'27'!J40+'29'!J40+'31'!J40</f>
        <v>90665</v>
      </c>
      <c r="K40" s="15">
        <f>'01'!K40+'03'!K40+'05'!K40+'07'!K40+'09'!K40+'11'!K40+'13'!K40+'15'!K40+'17'!K40+'19'!K40+'21'!K40+'23'!K40+'25'!K40+'27'!K40+'29'!K40+'31'!K40</f>
        <v>107191</v>
      </c>
      <c r="L40" s="15">
        <f>'01'!L40+'03'!L40+'05'!L40+'07'!L40+'09'!L40+'11'!L40+'13'!L40+'15'!L40+'17'!L40+'19'!L40+'21'!L40+'23'!L40+'25'!L40+'27'!L40+'29'!L40+'31'!L40</f>
        <v>110896</v>
      </c>
      <c r="M40" s="15">
        <f>'01'!M40+'03'!M40+'05'!M40+'07'!M40+'09'!M40+'11'!M40+'13'!M40+'15'!M40+'17'!M40+'19'!M40+'21'!M40+'23'!M40+'25'!M40+'27'!M40+'29'!M40+'31'!M40</f>
        <v>103684</v>
      </c>
      <c r="N40" s="15">
        <f>'01'!N40+'03'!N40+'05'!N40+'07'!N40+'09'!N40+'11'!N40+'13'!N40+'15'!N40+'17'!N40+'19'!N40+'21'!N40+'23'!N40+'25'!N40+'27'!N40+'29'!N40+'31'!N40</f>
        <v>91895</v>
      </c>
      <c r="O40" s="15">
        <f>'01'!O40+'03'!O40+'05'!O40+'07'!O40+'09'!O40+'11'!O40+'13'!O40+'15'!O40+'17'!O40+'19'!O40+'21'!O40+'23'!O40+'25'!O40+'27'!O40+'29'!O40+'31'!O40</f>
        <v>68680</v>
      </c>
      <c r="P40" s="15">
        <f>'01'!P40+'03'!P40+'05'!P40+'07'!P40+'09'!P40+'11'!P40+'13'!P40+'15'!P40+'17'!P40+'19'!P40+'21'!P40+'23'!P40+'25'!P40+'27'!P40+'29'!P40+'31'!P40</f>
        <v>52718</v>
      </c>
      <c r="Q40" s="15">
        <f>'01'!Q40+'03'!Q40+'05'!Q40+'07'!Q40+'09'!Q40+'11'!Q40+'13'!Q40+'15'!Q40+'17'!Q40+'19'!Q40+'21'!Q40+'23'!Q40+'25'!Q40+'27'!Q40+'29'!Q40+'31'!Q40</f>
        <v>45140</v>
      </c>
      <c r="R40" s="15">
        <f>'01'!R40+'03'!R40+'05'!R40+'07'!R40+'09'!R40+'11'!R40+'13'!R40+'15'!R40+'17'!R40+'19'!R40+'21'!R40+'23'!R40+'25'!R40+'27'!R40+'29'!R40+'31'!R40</f>
        <v>39104</v>
      </c>
      <c r="S40" s="15">
        <f>'01'!S40+'03'!S40+'05'!S40+'07'!S40+'09'!S40+'11'!S40+'13'!S40+'15'!S40+'17'!S40+'19'!S40+'21'!S40+'23'!S40+'25'!S40+'27'!S40+'29'!S40+'31'!S40</f>
        <v>29025</v>
      </c>
      <c r="T40" s="15">
        <f>'01'!T40+'03'!T40+'05'!T40+'07'!T40+'09'!T40+'11'!T40+'13'!T40+'15'!T40+'17'!T40+'19'!T40+'21'!T40+'23'!T40+'25'!T40+'27'!T40+'29'!T40+'31'!T40</f>
        <v>25393</v>
      </c>
      <c r="U40" s="16">
        <f>'01'!U40+'03'!U40+'05'!U40+'07'!U40+'09'!U40+'11'!U40+'13'!U40+'15'!U40+'17'!U40+'19'!U40+'21'!U40+'23'!U40+'25'!U40+'27'!U40+'29'!U40+'31'!U40</f>
        <v>1318787</v>
      </c>
    </row>
    <row r="41" spans="1:21">
      <c r="A41" s="12">
        <v>2006</v>
      </c>
      <c r="B41" s="4"/>
      <c r="C41" s="15">
        <f>'01'!C41+'03'!C41+'05'!C41+'07'!C41+'09'!C41+'11'!C41+'13'!C41+'15'!C41+'17'!C41+'19'!C41+'21'!C41+'23'!C41+'25'!C41+'27'!C41+'29'!C41+'31'!C41</f>
        <v>70823</v>
      </c>
      <c r="D41" s="15">
        <f>'01'!D41+'03'!D41+'05'!D41+'07'!D41+'09'!D41+'11'!D41+'13'!D41+'15'!D41+'17'!D41+'19'!D41+'21'!D41+'23'!D41+'25'!D41+'27'!D41+'29'!D41+'31'!D41</f>
        <v>75533</v>
      </c>
      <c r="E41" s="15">
        <f>'01'!E41+'03'!E41+'05'!E41+'07'!E41+'09'!E41+'11'!E41+'13'!E41+'15'!E41+'17'!E41+'19'!E41+'21'!E41+'23'!E41+'25'!E41+'27'!E41+'29'!E41+'31'!E41</f>
        <v>85366</v>
      </c>
      <c r="F41" s="15">
        <f>'01'!F41+'03'!F41+'05'!F41+'07'!F41+'09'!F41+'11'!F41+'13'!F41+'15'!F41+'17'!F41+'19'!F41+'21'!F41+'23'!F41+'25'!F41+'27'!F41+'29'!F41+'31'!F41</f>
        <v>94177</v>
      </c>
      <c r="G41" s="15">
        <f>'01'!G41+'03'!G41+'05'!G41+'07'!G41+'09'!G41+'11'!G41+'13'!G41+'15'!G41+'17'!G41+'19'!G41+'21'!G41+'23'!G41+'25'!G41+'27'!G41+'29'!G41+'31'!G41</f>
        <v>80392</v>
      </c>
      <c r="H41" s="15">
        <f>'01'!H41+'03'!H41+'05'!H41+'07'!H41+'09'!H41+'11'!H41+'13'!H41+'15'!H41+'17'!H41+'19'!H41+'21'!H41+'23'!H41+'25'!H41+'27'!H41+'29'!H41+'31'!H41</f>
        <v>70538</v>
      </c>
      <c r="I41" s="15">
        <f>'01'!I41+'03'!I41+'05'!I41+'07'!I41+'09'!I41+'11'!I41+'13'!I41+'15'!I41+'17'!I41+'19'!I41+'21'!I41+'23'!I41+'25'!I41+'27'!I41+'29'!I41+'31'!I41</f>
        <v>73229</v>
      </c>
      <c r="J41" s="15">
        <f>'01'!J41+'03'!J41+'05'!J41+'07'!J41+'09'!J41+'11'!J41+'13'!J41+'15'!J41+'17'!J41+'19'!J41+'21'!J41+'23'!J41+'25'!J41+'27'!J41+'29'!J41+'31'!J41</f>
        <v>89742</v>
      </c>
      <c r="K41" s="15">
        <f>'01'!K41+'03'!K41+'05'!K41+'07'!K41+'09'!K41+'11'!K41+'13'!K41+'15'!K41+'17'!K41+'19'!K41+'21'!K41+'23'!K41+'25'!K41+'27'!K41+'29'!K41+'31'!K41</f>
        <v>104183</v>
      </c>
      <c r="L41" s="15">
        <f>'01'!L41+'03'!L41+'05'!L41+'07'!L41+'09'!L41+'11'!L41+'13'!L41+'15'!L41+'17'!L41+'19'!L41+'21'!L41+'23'!L41+'25'!L41+'27'!L41+'29'!L41+'31'!L41</f>
        <v>111597</v>
      </c>
      <c r="M41" s="15">
        <f>'01'!M41+'03'!M41+'05'!M41+'07'!M41+'09'!M41+'11'!M41+'13'!M41+'15'!M41+'17'!M41+'19'!M41+'21'!M41+'23'!M41+'25'!M41+'27'!M41+'29'!M41+'31'!M41</f>
        <v>105294</v>
      </c>
      <c r="N41" s="15">
        <f>'01'!N41+'03'!N41+'05'!N41+'07'!N41+'09'!N41+'11'!N41+'13'!N41+'15'!N41+'17'!N41+'19'!N41+'21'!N41+'23'!N41+'25'!N41+'27'!N41+'29'!N41+'31'!N41</f>
        <v>97310</v>
      </c>
      <c r="O41" s="15">
        <f>'01'!O41+'03'!O41+'05'!O41+'07'!O41+'09'!O41+'11'!O41+'13'!O41+'15'!O41+'17'!O41+'19'!O41+'21'!O41+'23'!O41+'25'!O41+'27'!O41+'29'!O41+'31'!O41</f>
        <v>70988</v>
      </c>
      <c r="P41" s="15">
        <f>'01'!P41+'03'!P41+'05'!P41+'07'!P41+'09'!P41+'11'!P41+'13'!P41+'15'!P41+'17'!P41+'19'!P41+'21'!P41+'23'!P41+'25'!P41+'27'!P41+'29'!P41+'31'!P41</f>
        <v>53867</v>
      </c>
      <c r="Q41" s="15">
        <f>'01'!Q41+'03'!Q41+'05'!Q41+'07'!Q41+'09'!Q41+'11'!Q41+'13'!Q41+'15'!Q41+'17'!Q41+'19'!Q41+'21'!Q41+'23'!Q41+'25'!Q41+'27'!Q41+'29'!Q41+'31'!Q41</f>
        <v>45480</v>
      </c>
      <c r="R41" s="15">
        <f>'01'!R41+'03'!R41+'05'!R41+'07'!R41+'09'!R41+'11'!R41+'13'!R41+'15'!R41+'17'!R41+'19'!R41+'21'!R41+'23'!R41+'25'!R41+'27'!R41+'29'!R41+'31'!R41</f>
        <v>39453</v>
      </c>
      <c r="S41" s="15">
        <f>'01'!S41+'03'!S41+'05'!S41+'07'!S41+'09'!S41+'11'!S41+'13'!S41+'15'!S41+'17'!S41+'19'!S41+'21'!S41+'23'!S41+'25'!S41+'27'!S41+'29'!S41+'31'!S41</f>
        <v>29343</v>
      </c>
      <c r="T41" s="15">
        <f>'01'!T41+'03'!T41+'05'!T41+'07'!T41+'09'!T41+'11'!T41+'13'!T41+'15'!T41+'17'!T41+'19'!T41+'21'!T41+'23'!T41+'25'!T41+'27'!T41+'29'!T41+'31'!T41</f>
        <v>26304</v>
      </c>
      <c r="U41" s="16">
        <f>'01'!U41+'03'!U41+'05'!U41+'07'!U41+'09'!U41+'11'!U41+'13'!U41+'15'!U41+'17'!U41+'19'!U41+'21'!U41+'23'!U41+'25'!U41+'27'!U41+'29'!U41+'31'!U41</f>
        <v>1323619</v>
      </c>
    </row>
    <row r="42" spans="1:21">
      <c r="A42" s="12">
        <v>2007</v>
      </c>
      <c r="B42" s="4"/>
      <c r="C42" s="15">
        <f>'01'!C42+'03'!C42+'05'!C42+'07'!C42+'09'!C42+'11'!C42+'13'!C42+'15'!C42+'17'!C42+'19'!C42+'21'!C42+'23'!C42+'25'!C42+'27'!C42+'29'!C42+'31'!C42</f>
        <v>71266</v>
      </c>
      <c r="D42" s="15">
        <f>'01'!D42+'03'!D42+'05'!D42+'07'!D42+'09'!D42+'11'!D42+'13'!D42+'15'!D42+'17'!D42+'19'!D42+'21'!D42+'23'!D42+'25'!D42+'27'!D42+'29'!D42+'31'!D42</f>
        <v>75146</v>
      </c>
      <c r="E42" s="15">
        <f>'01'!E42+'03'!E42+'05'!E42+'07'!E42+'09'!E42+'11'!E42+'13'!E42+'15'!E42+'17'!E42+'19'!E42+'21'!E42+'23'!E42+'25'!E42+'27'!E42+'29'!E42+'31'!E42</f>
        <v>83154</v>
      </c>
      <c r="F42" s="15">
        <f>'01'!F42+'03'!F42+'05'!F42+'07'!F42+'09'!F42+'11'!F42+'13'!F42+'15'!F42+'17'!F42+'19'!F42+'21'!F42+'23'!F42+'25'!F42+'27'!F42+'29'!F42+'31'!F42</f>
        <v>93175</v>
      </c>
      <c r="G42" s="15">
        <f>'01'!G42+'03'!G42+'05'!G42+'07'!G42+'09'!G42+'11'!G42+'13'!G42+'15'!G42+'17'!G42+'19'!G42+'21'!G42+'23'!G42+'25'!G42+'27'!G42+'29'!G42+'31'!G42</f>
        <v>79870</v>
      </c>
      <c r="H42" s="15">
        <f>'01'!H42+'03'!H42+'05'!H42+'07'!H42+'09'!H42+'11'!H42+'13'!H42+'15'!H42+'17'!H42+'19'!H42+'21'!H42+'23'!H42+'25'!H42+'27'!H42+'29'!H42+'31'!H42</f>
        <v>72013</v>
      </c>
      <c r="I42" s="15">
        <f>'01'!I42+'03'!I42+'05'!I42+'07'!I42+'09'!I42+'11'!I42+'13'!I42+'15'!I42+'17'!I42+'19'!I42+'21'!I42+'23'!I42+'25'!I42+'27'!I42+'29'!I42+'31'!I42</f>
        <v>71615</v>
      </c>
      <c r="J42" s="15">
        <f>'01'!J42+'03'!J42+'05'!J42+'07'!J42+'09'!J42+'11'!J42+'13'!J42+'15'!J42+'17'!J42+'19'!J42+'21'!J42+'23'!J42+'25'!J42+'27'!J42+'29'!J42+'31'!J42</f>
        <v>88026</v>
      </c>
      <c r="K42" s="15">
        <f>'01'!K42+'03'!K42+'05'!K42+'07'!K42+'09'!K42+'11'!K42+'13'!K42+'15'!K42+'17'!K42+'19'!K42+'21'!K42+'23'!K42+'25'!K42+'27'!K42+'29'!K42+'31'!K42</f>
        <v>100747</v>
      </c>
      <c r="L42" s="15">
        <f>'01'!L42+'03'!L42+'05'!L42+'07'!L42+'09'!L42+'11'!L42+'13'!L42+'15'!L42+'17'!L42+'19'!L42+'21'!L42+'23'!L42+'25'!L42+'27'!L42+'29'!L42+'31'!L42</f>
        <v>111318</v>
      </c>
      <c r="M42" s="15">
        <f>'01'!M42+'03'!M42+'05'!M42+'07'!M42+'09'!M42+'11'!M42+'13'!M42+'15'!M42+'17'!M42+'19'!M42+'21'!M42+'23'!M42+'25'!M42+'27'!M42+'29'!M42+'31'!M42</f>
        <v>107663</v>
      </c>
      <c r="N42" s="15">
        <f>'01'!N42+'03'!N42+'05'!N42+'07'!N42+'09'!N42+'11'!N42+'13'!N42+'15'!N42+'17'!N42+'19'!N42+'21'!N42+'23'!N42+'25'!N42+'27'!N42+'29'!N42+'31'!N42</f>
        <v>97487</v>
      </c>
      <c r="O42" s="15">
        <f>'01'!O42+'03'!O42+'05'!O42+'07'!O42+'09'!O42+'11'!O42+'13'!O42+'15'!O42+'17'!O42+'19'!O42+'21'!O42+'23'!O42+'25'!O42+'27'!O42+'29'!O42+'31'!O42</f>
        <v>77556</v>
      </c>
      <c r="P42" s="15">
        <f>'01'!P42+'03'!P42+'05'!P42+'07'!P42+'09'!P42+'11'!P42+'13'!P42+'15'!P42+'17'!P42+'19'!P42+'21'!P42+'23'!P42+'25'!P42+'27'!P42+'29'!P42+'31'!P42</f>
        <v>55933</v>
      </c>
      <c r="Q42" s="15">
        <f>'01'!Q42+'03'!Q42+'05'!Q42+'07'!Q42+'09'!Q42+'11'!Q42+'13'!Q42+'15'!Q42+'17'!Q42+'19'!Q42+'21'!Q42+'23'!Q42+'25'!Q42+'27'!Q42+'29'!Q42+'31'!Q42</f>
        <v>45656</v>
      </c>
      <c r="R42" s="15">
        <f>'01'!R42+'03'!R42+'05'!R42+'07'!R42+'09'!R42+'11'!R42+'13'!R42+'15'!R42+'17'!R42+'19'!R42+'21'!R42+'23'!R42+'25'!R42+'27'!R42+'29'!R42+'31'!R42</f>
        <v>39556</v>
      </c>
      <c r="S42" s="15">
        <f>'01'!S42+'03'!S42+'05'!S42+'07'!S42+'09'!S42+'11'!S42+'13'!S42+'15'!S42+'17'!S42+'19'!S42+'21'!S42+'23'!S42+'25'!S42+'27'!S42+'29'!S42+'31'!S42</f>
        <v>29851</v>
      </c>
      <c r="T42" s="15">
        <f>'01'!T42+'03'!T42+'05'!T42+'07'!T42+'09'!T42+'11'!T42+'13'!T42+'15'!T42+'17'!T42+'19'!T42+'21'!T42+'23'!T42+'25'!T42+'27'!T42+'29'!T42+'31'!T42</f>
        <v>27008</v>
      </c>
      <c r="U42" s="16">
        <f>'01'!U42+'03'!U42+'05'!U42+'07'!U42+'09'!U42+'11'!U42+'13'!U42+'15'!U42+'17'!U42+'19'!U42+'21'!U42+'23'!U42+'25'!U42+'27'!U42+'29'!U42+'31'!U42</f>
        <v>1327040</v>
      </c>
    </row>
    <row r="43" spans="1:21">
      <c r="A43" s="12">
        <v>2008</v>
      </c>
      <c r="B43" s="4"/>
      <c r="C43" s="15">
        <f>'01'!C43+'03'!C43+'05'!C43+'07'!C43+'09'!C43+'11'!C43+'13'!C43+'15'!C43+'17'!C43+'19'!C43+'21'!C43+'23'!C43+'25'!C43+'27'!C43+'29'!C43+'31'!C43</f>
        <v>71207</v>
      </c>
      <c r="D43" s="15">
        <f>'01'!D43+'03'!D43+'05'!D43+'07'!D43+'09'!D43+'11'!D43+'13'!D43+'15'!D43+'17'!D43+'19'!D43+'21'!D43+'23'!D43+'25'!D43+'27'!D43+'29'!D43+'31'!D43</f>
        <v>74959</v>
      </c>
      <c r="E43" s="15">
        <f>'01'!E43+'03'!E43+'05'!E43+'07'!E43+'09'!E43+'11'!E43+'13'!E43+'15'!E43+'17'!E43+'19'!E43+'21'!E43+'23'!E43+'25'!E43+'27'!E43+'29'!E43+'31'!E43</f>
        <v>80956</v>
      </c>
      <c r="F43" s="15">
        <f>'01'!F43+'03'!F43+'05'!F43+'07'!F43+'09'!F43+'11'!F43+'13'!F43+'15'!F43+'17'!F43+'19'!F43+'21'!F43+'23'!F43+'25'!F43+'27'!F43+'29'!F43+'31'!F43</f>
        <v>92327</v>
      </c>
      <c r="G43" s="15">
        <f>'01'!G43+'03'!G43+'05'!G43+'07'!G43+'09'!G43+'11'!G43+'13'!G43+'15'!G43+'17'!G43+'19'!G43+'21'!G43+'23'!G43+'25'!G43+'27'!G43+'29'!G43+'31'!G43</f>
        <v>80001</v>
      </c>
      <c r="H43" s="15">
        <f>'01'!H43+'03'!H43+'05'!H43+'07'!H43+'09'!H43+'11'!H43+'13'!H43+'15'!H43+'17'!H43+'19'!H43+'21'!H43+'23'!H43+'25'!H43+'27'!H43+'29'!H43+'31'!H43</f>
        <v>72758</v>
      </c>
      <c r="I43" s="15">
        <f>'01'!I43+'03'!I43+'05'!I43+'07'!I43+'09'!I43+'11'!I43+'13'!I43+'15'!I43+'17'!I43+'19'!I43+'21'!I43+'23'!I43+'25'!I43+'27'!I43+'29'!I43+'31'!I43</f>
        <v>71184</v>
      </c>
      <c r="J43" s="15">
        <f>'01'!J43+'03'!J43+'05'!J43+'07'!J43+'09'!J43+'11'!J43+'13'!J43+'15'!J43+'17'!J43+'19'!J43+'21'!J43+'23'!J43+'25'!J43+'27'!J43+'29'!J43+'31'!J43</f>
        <v>85698</v>
      </c>
      <c r="K43" s="15">
        <f>'01'!K43+'03'!K43+'05'!K43+'07'!K43+'09'!K43+'11'!K43+'13'!K43+'15'!K43+'17'!K43+'19'!K43+'21'!K43+'23'!K43+'25'!K43+'27'!K43+'29'!K43+'31'!K43</f>
        <v>97312</v>
      </c>
      <c r="L43" s="15">
        <f>'01'!L43+'03'!L43+'05'!L43+'07'!L43+'09'!L43+'11'!L43+'13'!L43+'15'!L43+'17'!L43+'19'!L43+'21'!L43+'23'!L43+'25'!L43+'27'!L43+'29'!L43+'31'!L43</f>
        <v>110517</v>
      </c>
      <c r="M43" s="15">
        <f>'01'!M43+'03'!M43+'05'!M43+'07'!M43+'09'!M43+'11'!M43+'13'!M43+'15'!M43+'17'!M43+'19'!M43+'21'!M43+'23'!M43+'25'!M43+'27'!M43+'29'!M43+'31'!M43</f>
        <v>109597</v>
      </c>
      <c r="N43" s="15">
        <f>'01'!N43+'03'!N43+'05'!N43+'07'!N43+'09'!N43+'11'!N43+'13'!N43+'15'!N43+'17'!N43+'19'!N43+'21'!N43+'23'!N43+'25'!N43+'27'!N43+'29'!N43+'31'!N43</f>
        <v>98961</v>
      </c>
      <c r="O43" s="15">
        <f>'01'!O43+'03'!O43+'05'!O43+'07'!O43+'09'!O43+'11'!O43+'13'!O43+'15'!O43+'17'!O43+'19'!O43+'21'!O43+'23'!O43+'25'!O43+'27'!O43+'29'!O43+'31'!O43</f>
        <v>81694</v>
      </c>
      <c r="P43" s="15">
        <f>'01'!P43+'03'!P43+'05'!P43+'07'!P43+'09'!P43+'11'!P43+'13'!P43+'15'!P43+'17'!P43+'19'!P43+'21'!P43+'23'!P43+'25'!P43+'27'!P43+'29'!P43+'31'!P43</f>
        <v>59398</v>
      </c>
      <c r="Q43" s="15">
        <f>'01'!Q43+'03'!Q43+'05'!Q43+'07'!Q43+'09'!Q43+'11'!Q43+'13'!Q43+'15'!Q43+'17'!Q43+'19'!Q43+'21'!Q43+'23'!Q43+'25'!Q43+'27'!Q43+'29'!Q43+'31'!Q43</f>
        <v>46584</v>
      </c>
      <c r="R43" s="15">
        <f>'01'!R43+'03'!R43+'05'!R43+'07'!R43+'09'!R43+'11'!R43+'13'!R43+'15'!R43+'17'!R43+'19'!R43+'21'!R43+'23'!R43+'25'!R43+'27'!R43+'29'!R43+'31'!R43</f>
        <v>39115</v>
      </c>
      <c r="S43" s="15">
        <f>'01'!S43+'03'!S43+'05'!S43+'07'!S43+'09'!S43+'11'!S43+'13'!S43+'15'!S43+'17'!S43+'19'!S43+'21'!S43+'23'!S43+'25'!S43+'27'!S43+'29'!S43+'31'!S43</f>
        <v>30326</v>
      </c>
      <c r="T43" s="15">
        <f>'01'!T43+'03'!T43+'05'!T43+'07'!T43+'09'!T43+'11'!T43+'13'!T43+'15'!T43+'17'!T43+'19'!T43+'21'!T43+'23'!T43+'25'!T43+'27'!T43+'29'!T43+'31'!T43</f>
        <v>27915</v>
      </c>
      <c r="U43" s="16">
        <f>'01'!U43+'03'!U43+'05'!U43+'07'!U43+'09'!U43+'11'!U43+'13'!U43+'15'!U43+'17'!U43+'19'!U43+'21'!U43+'23'!U43+'25'!U43+'27'!U43+'29'!U43+'31'!U43</f>
        <v>1330509</v>
      </c>
    </row>
    <row r="44" spans="1:21">
      <c r="A44" s="12">
        <v>2009</v>
      </c>
      <c r="B44" s="4"/>
      <c r="C44" s="15">
        <f>'01'!C44+'03'!C44+'05'!C44+'07'!C44+'09'!C44+'11'!C44+'13'!C44+'15'!C44+'17'!C44+'19'!C44+'21'!C44+'23'!C44+'25'!C44+'27'!C44+'29'!C44+'31'!C44</f>
        <v>70190</v>
      </c>
      <c r="D44" s="15">
        <f>'01'!D44+'03'!D44+'05'!D44+'07'!D44+'09'!D44+'11'!D44+'13'!D44+'15'!D44+'17'!D44+'19'!D44+'21'!D44+'23'!D44+'25'!D44+'27'!D44+'29'!D44+'31'!D44</f>
        <v>74425</v>
      </c>
      <c r="E44" s="15">
        <f>'01'!E44+'03'!E44+'05'!E44+'07'!E44+'09'!E44+'11'!E44+'13'!E44+'15'!E44+'17'!E44+'19'!E44+'21'!E44+'23'!E44+'25'!E44+'27'!E44+'29'!E44+'31'!E44</f>
        <v>79945</v>
      </c>
      <c r="F44" s="15">
        <f>'01'!F44+'03'!F44+'05'!F44+'07'!F44+'09'!F44+'11'!F44+'13'!F44+'15'!F44+'17'!F44+'19'!F44+'21'!F44+'23'!F44+'25'!F44+'27'!F44+'29'!F44+'31'!F44</f>
        <v>90489</v>
      </c>
      <c r="G44" s="15">
        <f>'01'!G44+'03'!G44+'05'!G44+'07'!G44+'09'!G44+'11'!G44+'13'!G44+'15'!G44+'17'!G44+'19'!G44+'21'!G44+'23'!G44+'25'!G44+'27'!G44+'29'!G44+'31'!G44</f>
        <v>79971</v>
      </c>
      <c r="H44" s="15">
        <f>'01'!H44+'03'!H44+'05'!H44+'07'!H44+'09'!H44+'11'!H44+'13'!H44+'15'!H44+'17'!H44+'19'!H44+'21'!H44+'23'!H44+'25'!H44+'27'!H44+'29'!H44+'31'!H44</f>
        <v>72433</v>
      </c>
      <c r="I44" s="15">
        <f>'01'!I44+'03'!I44+'05'!I44+'07'!I44+'09'!I44+'11'!I44+'13'!I44+'15'!I44+'17'!I44+'19'!I44+'21'!I44+'23'!I44+'25'!I44+'27'!I44+'29'!I44+'31'!I44</f>
        <v>71749</v>
      </c>
      <c r="J44" s="15">
        <f>'01'!J44+'03'!J44+'05'!J44+'07'!J44+'09'!J44+'11'!J44+'13'!J44+'15'!J44+'17'!J44+'19'!J44+'21'!J44+'23'!J44+'25'!J44+'27'!J44+'29'!J44+'31'!J44</f>
        <v>83017</v>
      </c>
      <c r="K44" s="15">
        <f>'01'!K44+'03'!K44+'05'!K44+'07'!K44+'09'!K44+'11'!K44+'13'!K44+'15'!K44+'17'!K44+'19'!K44+'21'!K44+'23'!K44+'25'!K44+'27'!K44+'29'!K44+'31'!K44</f>
        <v>93350</v>
      </c>
      <c r="L44" s="15">
        <f>'01'!L44+'03'!L44+'05'!L44+'07'!L44+'09'!L44+'11'!L44+'13'!L44+'15'!L44+'17'!L44+'19'!L44+'21'!L44+'23'!L44+'25'!L44+'27'!L44+'29'!L44+'31'!L44</f>
        <v>109186</v>
      </c>
      <c r="M44" s="15">
        <f>'01'!M44+'03'!M44+'05'!M44+'07'!M44+'09'!M44+'11'!M44+'13'!M44+'15'!M44+'17'!M44+'19'!M44+'21'!M44+'23'!M44+'25'!M44+'27'!M44+'29'!M44+'31'!M44</f>
        <v>110188</v>
      </c>
      <c r="N44" s="15">
        <f>'01'!N44+'03'!N44+'05'!N44+'07'!N44+'09'!N44+'11'!N44+'13'!N44+'15'!N44+'17'!N44+'19'!N44+'21'!N44+'23'!N44+'25'!N44+'27'!N44+'29'!N44+'31'!N44</f>
        <v>101200</v>
      </c>
      <c r="O44" s="15">
        <f>'01'!O44+'03'!O44+'05'!O44+'07'!O44+'09'!O44+'11'!O44+'13'!O44+'15'!O44+'17'!O44+'19'!O44+'21'!O44+'23'!O44+'25'!O44+'27'!O44+'29'!O44+'31'!O44</f>
        <v>85777</v>
      </c>
      <c r="P44" s="15">
        <f>'01'!P44+'03'!P44+'05'!P44+'07'!P44+'09'!P44+'11'!P44+'13'!P44+'15'!P44+'17'!P44+'19'!P44+'21'!P44+'23'!P44+'25'!P44+'27'!P44+'29'!P44+'31'!P44</f>
        <v>62777</v>
      </c>
      <c r="Q44" s="15">
        <f>'01'!Q44+'03'!Q44+'05'!Q44+'07'!Q44+'09'!Q44+'11'!Q44+'13'!Q44+'15'!Q44+'17'!Q44+'19'!Q44+'21'!Q44+'23'!Q44+'25'!Q44+'27'!Q44+'29'!Q44+'31'!Q44</f>
        <v>47252</v>
      </c>
      <c r="R44" s="15">
        <f>'01'!R44+'03'!R44+'05'!R44+'07'!R44+'09'!R44+'11'!R44+'13'!R44+'15'!R44+'17'!R44+'19'!R44+'21'!R44+'23'!R44+'25'!R44+'27'!R44+'29'!R44+'31'!R44</f>
        <v>38661</v>
      </c>
      <c r="S44" s="15">
        <f>'01'!S44+'03'!S44+'05'!S44+'07'!S44+'09'!S44+'11'!S44+'13'!S44+'15'!S44+'17'!S44+'19'!S44+'21'!S44+'23'!S44+'25'!S44+'27'!S44+'29'!S44+'31'!S44</f>
        <v>30565</v>
      </c>
      <c r="T44" s="15">
        <f>'01'!T44+'03'!T44+'05'!T44+'07'!T44+'09'!T44+'11'!T44+'13'!T44+'15'!T44+'17'!T44+'19'!T44+'21'!T44+'23'!T44+'25'!T44+'27'!T44+'29'!T44+'31'!T44</f>
        <v>28415</v>
      </c>
      <c r="U44" s="16">
        <f>'01'!U44+'03'!U44+'05'!U44+'07'!U44+'09'!U44+'11'!U44+'13'!U44+'15'!U44+'17'!U44+'19'!U44+'21'!U44+'23'!U44+'25'!U44+'27'!U44+'29'!U44+'31'!U44</f>
        <v>1329590</v>
      </c>
    </row>
    <row r="45" spans="1:21">
      <c r="A45" s="12">
        <v>2010</v>
      </c>
      <c r="B45" s="4"/>
      <c r="C45" s="15">
        <f>'01'!C45+'03'!C45+'05'!C45+'07'!C45+'09'!C45+'11'!C45+'13'!C45+'15'!C45+'17'!C45+'19'!C45+'21'!C45+'23'!C45+'25'!C45+'27'!C45+'29'!C45+'31'!C45</f>
        <v>69208</v>
      </c>
      <c r="D45" s="15">
        <f>'01'!D45+'03'!D45+'05'!D45+'07'!D45+'09'!D45+'11'!D45+'13'!D45+'15'!D45+'17'!D45+'19'!D45+'21'!D45+'23'!D45+'25'!D45+'27'!D45+'29'!D45+'31'!D45</f>
        <v>73818</v>
      </c>
      <c r="E45" s="15">
        <f>'01'!E45+'03'!E45+'05'!E45+'07'!E45+'09'!E45+'11'!E45+'13'!E45+'15'!E45+'17'!E45+'19'!E45+'21'!E45+'23'!E45+'25'!E45+'27'!E45+'29'!E45+'31'!E45</f>
        <v>78794</v>
      </c>
      <c r="F45" s="15">
        <f>'01'!F45+'03'!F45+'05'!F45+'07'!F45+'09'!F45+'11'!F45+'13'!F45+'15'!F45+'17'!F45+'19'!F45+'21'!F45+'23'!F45+'25'!F45+'27'!F45+'29'!F45+'31'!F45</f>
        <v>87852</v>
      </c>
      <c r="G45" s="15">
        <f>'01'!G45+'03'!G45+'05'!G45+'07'!G45+'09'!G45+'11'!G45+'13'!G45+'15'!G45+'17'!G45+'19'!G45+'21'!G45+'23'!G45+'25'!G45+'27'!G45+'29'!G45+'31'!G45</f>
        <v>79505</v>
      </c>
      <c r="H45" s="15">
        <f>'01'!H45+'03'!H45+'05'!H45+'07'!H45+'09'!H45+'11'!H45+'13'!H45+'15'!H45+'17'!H45+'19'!H45+'21'!H45+'23'!H45+'25'!H45+'27'!H45+'29'!H45+'31'!H45</f>
        <v>72728</v>
      </c>
      <c r="I45" s="15">
        <f>'01'!I45+'03'!I45+'05'!I45+'07'!I45+'09'!I45+'11'!I45+'13'!I45+'15'!I45+'17'!I45+'19'!I45+'21'!I45+'23'!I45+'25'!I45+'27'!I45+'29'!I45+'31'!I45</f>
        <v>72230</v>
      </c>
      <c r="J45" s="15">
        <f>'01'!J45+'03'!J45+'05'!J45+'07'!J45+'09'!J45+'11'!J45+'13'!J45+'15'!J45+'17'!J45+'19'!J45+'21'!J45+'23'!J45+'25'!J45+'27'!J45+'29'!J45+'31'!J45</f>
        <v>79101</v>
      </c>
      <c r="K45" s="15">
        <f>'01'!K45+'03'!K45+'05'!K45+'07'!K45+'09'!K45+'11'!K45+'13'!K45+'15'!K45+'17'!K45+'19'!K45+'21'!K45+'23'!K45+'25'!K45+'27'!K45+'29'!K45+'31'!K45</f>
        <v>91218</v>
      </c>
      <c r="L45" s="15">
        <f>'01'!L45+'03'!L45+'05'!L45+'07'!L45+'09'!L45+'11'!L45+'13'!L45+'15'!L45+'17'!L45+'19'!L45+'21'!L45+'23'!L45+'25'!L45+'27'!L45+'29'!L45+'31'!L45</f>
        <v>106860</v>
      </c>
      <c r="M45" s="15">
        <f>'01'!M45+'03'!M45+'05'!M45+'07'!M45+'09'!M45+'11'!M45+'13'!M45+'15'!M45+'17'!M45+'19'!M45+'21'!M45+'23'!M45+'25'!M45+'27'!M45+'29'!M45+'31'!M45</f>
        <v>110880</v>
      </c>
      <c r="N45" s="15">
        <f>'01'!N45+'03'!N45+'05'!N45+'07'!N45+'09'!N45+'11'!N45+'13'!N45+'15'!N45+'17'!N45+'19'!N45+'21'!N45+'23'!N45+'25'!N45+'27'!N45+'29'!N45+'31'!N45</f>
        <v>102869</v>
      </c>
      <c r="O45" s="15">
        <f>'01'!O45+'03'!O45+'05'!O45+'07'!O45+'09'!O45+'11'!O45+'13'!O45+'15'!O45+'17'!O45+'19'!O45+'21'!O45+'23'!O45+'25'!O45+'27'!O45+'29'!O45+'31'!O45</f>
        <v>90297</v>
      </c>
      <c r="P45" s="15">
        <f>'01'!P45+'03'!P45+'05'!P45+'07'!P45+'09'!P45+'11'!P45+'13'!P45+'15'!P45+'17'!P45+'19'!P45+'21'!P45+'23'!P45+'25'!P45+'27'!P45+'29'!P45+'31'!P45</f>
        <v>65420</v>
      </c>
      <c r="Q45" s="15">
        <f>'01'!Q45+'03'!Q45+'05'!Q45+'07'!Q45+'09'!Q45+'11'!Q45+'13'!Q45+'15'!Q45+'17'!Q45+'19'!Q45+'21'!Q45+'23'!Q45+'25'!Q45+'27'!Q45+'29'!Q45+'31'!Q45</f>
        <v>47911</v>
      </c>
      <c r="R45" s="15">
        <f>'01'!R45+'03'!R45+'05'!R45+'07'!R45+'09'!R45+'11'!R45+'13'!R45+'15'!R45+'17'!R45+'19'!R45+'21'!R45+'23'!R45+'25'!R45+'27'!R45+'29'!R45+'31'!R45</f>
        <v>38852</v>
      </c>
      <c r="S45" s="15">
        <f>'01'!S45+'03'!S45+'05'!S45+'07'!S45+'09'!S45+'11'!S45+'13'!S45+'15'!S45+'17'!S45+'19'!S45+'21'!S45+'23'!S45+'25'!S45+'27'!S45+'29'!S45+'31'!S45</f>
        <v>30446</v>
      </c>
      <c r="T45" s="15">
        <f>'01'!T45+'03'!T45+'05'!T45+'07'!T45+'09'!T45+'11'!T45+'13'!T45+'15'!T45+'17'!T45+'19'!T45+'21'!T45+'23'!T45+'25'!T45+'27'!T45+'29'!T45+'31'!T45</f>
        <v>29390</v>
      </c>
      <c r="U45" s="16">
        <f>'01'!U45+'03'!U45+'05'!U45+'07'!U45+'09'!U45+'11'!U45+'13'!U45+'15'!U45+'17'!U45+'19'!U45+'21'!U45+'23'!U45+'25'!U45+'27'!U45+'29'!U45+'31'!U45</f>
        <v>1327379</v>
      </c>
    </row>
    <row r="46" spans="1:21">
      <c r="A46" s="23">
        <v>2015</v>
      </c>
      <c r="B46" s="4"/>
      <c r="C46" s="15">
        <f>'01'!C46+'03'!C46+'05'!C46+'07'!C46+'09'!C46+'11'!C46+'13'!C46+'15'!C46+'17'!C46+'19'!C46+'21'!C46+'23'!C46+'25'!C46+'27'!C46+'29'!C46+'31'!C46</f>
        <v>67668.839951911083</v>
      </c>
      <c r="D46" s="15">
        <f>'01'!D46+'03'!D46+'05'!D46+'07'!D46+'09'!D46+'11'!D46+'13'!D46+'15'!D46+'17'!D46+'19'!D46+'21'!D46+'23'!D46+'25'!D46+'27'!D46+'29'!D46+'31'!D46</f>
        <v>70070.513350644469</v>
      </c>
      <c r="E46" s="15">
        <f>'01'!E46+'03'!E46+'05'!E46+'07'!E46+'09'!E46+'11'!E46+'13'!E46+'15'!E46+'17'!E46+'19'!E46+'21'!E46+'23'!E46+'25'!E46+'27'!E46+'29'!E46+'31'!E46</f>
        <v>74111.743492846654</v>
      </c>
      <c r="F46" s="15">
        <f>'01'!F46+'03'!F46+'05'!F46+'07'!F46+'09'!F46+'11'!F46+'13'!F46+'15'!F46+'17'!F46+'19'!F46+'21'!F46+'23'!F46+'25'!F46+'27'!F46+'29'!F46+'31'!F46</f>
        <v>81833.77157860111</v>
      </c>
      <c r="G46" s="15">
        <f>'01'!G46+'03'!G46+'05'!G46+'07'!G46+'09'!G46+'11'!G46+'13'!G46+'15'!G46+'17'!G46+'19'!G46+'21'!G46+'23'!G46+'25'!G46+'27'!G46+'29'!G46+'31'!G46</f>
        <v>85607.221932766523</v>
      </c>
      <c r="H46" s="15">
        <f>'01'!H46+'03'!H46+'05'!H46+'07'!H46+'09'!H46+'11'!H46+'13'!H46+'15'!H46+'17'!H46+'19'!H46+'21'!H46+'23'!H46+'25'!H46+'27'!H46+'29'!H46+'31'!H46</f>
        <v>73560.884971167194</v>
      </c>
      <c r="I46" s="15">
        <f>'01'!I46+'03'!I46+'05'!I46+'07'!I46+'09'!I46+'11'!I46+'13'!I46+'15'!I46+'17'!I46+'19'!I46+'21'!I46+'23'!I46+'25'!I46+'27'!I46+'29'!I46+'31'!I46</f>
        <v>73515.346963814023</v>
      </c>
      <c r="J46" s="15">
        <f>'01'!J46+'03'!J46+'05'!J46+'07'!J46+'09'!J46+'11'!J46+'13'!J46+'15'!J46+'17'!J46+'19'!J46+'21'!J46+'23'!J46+'25'!J46+'27'!J46+'29'!J46+'31'!J46</f>
        <v>72504.321029049097</v>
      </c>
      <c r="K46" s="15">
        <f>'01'!K46+'03'!K46+'05'!K46+'07'!K46+'09'!K46+'11'!K46+'13'!K46+'15'!K46+'17'!K46+'19'!K46+'21'!K46+'23'!K46+'25'!K46+'27'!K46+'29'!K46+'31'!K46</f>
        <v>78959.916823910535</v>
      </c>
      <c r="L46" s="15">
        <f>'01'!L46+'03'!L46+'05'!L46+'07'!L46+'09'!L46+'11'!L46+'13'!L46+'15'!L46+'17'!L46+'19'!L46+'21'!L46+'23'!L46+'25'!L46+'27'!L46+'29'!L46+'31'!L46</f>
        <v>90663.011137172987</v>
      </c>
      <c r="M46" s="15">
        <f>'01'!M46+'03'!M46+'05'!M46+'07'!M46+'09'!M46+'11'!M46+'13'!M46+'15'!M46+'17'!M46+'19'!M46+'21'!M46+'23'!M46+'25'!M46+'27'!M46+'29'!M46+'31'!M46</f>
        <v>104960.3523351</v>
      </c>
      <c r="N46" s="15">
        <f>'01'!N46+'03'!N46+'05'!N46+'07'!N46+'09'!N46+'11'!N46+'13'!N46+'15'!N46+'17'!N46+'19'!N46+'21'!N46+'23'!N46+'25'!N46+'27'!N46+'29'!N46+'31'!N46</f>
        <v>108346.60111276654</v>
      </c>
      <c r="O46" s="15">
        <f>'01'!O46+'03'!O46+'05'!O46+'07'!O46+'09'!O46+'11'!O46+'13'!O46+'15'!O46+'17'!O46+'19'!O46+'21'!O46+'23'!O46+'25'!O46+'27'!O46+'29'!O46+'31'!O46</f>
        <v>99663.31043453922</v>
      </c>
      <c r="P46" s="15">
        <f>'01'!P46+'03'!P46+'05'!P46+'07'!P46+'09'!P46+'11'!P46+'13'!P46+'15'!P46+'17'!P46+'19'!P46+'21'!P46+'23'!P46+'25'!P46+'27'!P46+'29'!P46+'31'!P46</f>
        <v>85418.579111671585</v>
      </c>
      <c r="Q46" s="15">
        <f>'01'!Q46+'03'!Q46+'05'!Q46+'07'!Q46+'09'!Q46+'11'!Q46+'13'!Q46+'15'!Q46+'17'!Q46+'19'!Q46+'21'!Q46+'23'!Q46+'25'!Q46+'27'!Q46+'29'!Q46+'31'!Q46</f>
        <v>59842.364369023337</v>
      </c>
      <c r="R46" s="15">
        <f>'01'!R46+'03'!R46+'05'!R46+'07'!R46+'09'!R46+'11'!R46+'13'!R46+'15'!R46+'17'!R46+'19'!R46+'21'!R46+'23'!R46+'25'!R46+'27'!R46+'29'!R46+'31'!R46</f>
        <v>41194.049196895772</v>
      </c>
      <c r="S46" s="15">
        <f>'01'!S46+'03'!S46+'05'!S46+'07'!S46+'09'!S46+'11'!S46+'13'!S46+'15'!S46+'17'!S46+'19'!S46+'21'!S46+'23'!S46+'25'!S46+'27'!S46+'29'!S46+'31'!S46</f>
        <v>30065.596780038861</v>
      </c>
      <c r="T46" s="15">
        <f>'01'!T46+'03'!T46+'05'!T46+'07'!T46+'09'!T46+'11'!T46+'13'!T46+'15'!T46+'17'!T46+'19'!T46+'21'!T46+'23'!T46+'25'!T46+'27'!T46+'29'!T46+'31'!T46</f>
        <v>31836.916135310188</v>
      </c>
      <c r="U46" s="16">
        <f>'01'!U46+'03'!U46+'05'!U46+'07'!U46+'09'!U46+'11'!U46+'13'!U46+'15'!U46+'17'!U46+'19'!U46+'21'!U46+'23'!U46+'25'!U46+'27'!U46+'29'!U46+'31'!U46</f>
        <v>1329823.340707229</v>
      </c>
    </row>
    <row r="47" spans="1:21">
      <c r="A47" s="23">
        <v>2020</v>
      </c>
      <c r="B47" s="4"/>
      <c r="C47" s="15">
        <f>'01'!C47+'03'!C47+'05'!C47+'07'!C47+'09'!C47+'11'!C47+'13'!C47+'15'!C47+'17'!C47+'19'!C47+'21'!C47+'23'!C47+'25'!C47+'27'!C47+'29'!C47+'31'!C47</f>
        <v>67676.231671428977</v>
      </c>
      <c r="D47" s="15">
        <f>'01'!D47+'03'!D47+'05'!D47+'07'!D47+'09'!D47+'11'!D47+'13'!D47+'15'!D47+'17'!D47+'19'!D47+'21'!D47+'23'!D47+'25'!D47+'27'!D47+'29'!D47+'31'!D47</f>
        <v>68860.538604097805</v>
      </c>
      <c r="E47" s="15">
        <f>'01'!E47+'03'!E47+'05'!E47+'07'!E47+'09'!E47+'11'!E47+'13'!E47+'15'!E47+'17'!E47+'19'!E47+'21'!E47+'23'!E47+'25'!E47+'27'!E47+'29'!E47+'31'!E47</f>
        <v>70677.547886633445</v>
      </c>
      <c r="F47" s="15">
        <f>'01'!F47+'03'!F47+'05'!F47+'07'!F47+'09'!F47+'11'!F47+'13'!F47+'15'!F47+'17'!F47+'19'!F47+'21'!F47+'23'!F47+'25'!F47+'27'!F47+'29'!F47+'31'!F47</f>
        <v>77482.48731014668</v>
      </c>
      <c r="G47" s="15">
        <f>'01'!G47+'03'!G47+'05'!G47+'07'!G47+'09'!G47+'11'!G47+'13'!G47+'15'!G47+'17'!G47+'19'!G47+'21'!G47+'23'!G47+'25'!G47+'27'!G47+'29'!G47+'31'!G47</f>
        <v>81834.54610080627</v>
      </c>
      <c r="H47" s="15">
        <f>'01'!H47+'03'!H47+'05'!H47+'07'!H47+'09'!H47+'11'!H47+'13'!H47+'15'!H47+'17'!H47+'19'!H47+'21'!H47+'23'!H47+'25'!H47+'27'!H47+'29'!H47+'31'!H47</f>
        <v>79079.08120298227</v>
      </c>
      <c r="I47" s="15">
        <f>'01'!I47+'03'!I47+'05'!I47+'07'!I47+'09'!I47+'11'!I47+'13'!I47+'15'!I47+'17'!I47+'19'!I47+'21'!I47+'23'!I47+'25'!I47+'27'!I47+'29'!I47+'31'!I47</f>
        <v>74586.399987530633</v>
      </c>
      <c r="J47" s="15">
        <f>'01'!J47+'03'!J47+'05'!J47+'07'!J47+'09'!J47+'11'!J47+'13'!J47+'15'!J47+'17'!J47+'19'!J47+'21'!J47+'23'!J47+'25'!J47+'27'!J47+'29'!J47+'31'!J47</f>
        <v>73986.970942249347</v>
      </c>
      <c r="K47" s="15">
        <f>'01'!K47+'03'!K47+'05'!K47+'07'!K47+'09'!K47+'11'!K47+'13'!K47+'15'!K47+'17'!K47+'19'!K47+'21'!K47+'23'!K47+'25'!K47+'27'!K47+'29'!K47+'31'!K47</f>
        <v>73115.776977908026</v>
      </c>
      <c r="L47" s="15">
        <f>'01'!L47+'03'!L47+'05'!L47+'07'!L47+'09'!L47+'11'!L47+'13'!L47+'15'!L47+'17'!L47+'19'!L47+'21'!L47+'23'!L47+'25'!L47+'27'!L47+'29'!L47+'31'!L47</f>
        <v>79139.249649791469</v>
      </c>
      <c r="M47" s="15">
        <f>'01'!M47+'03'!M47+'05'!M47+'07'!M47+'09'!M47+'11'!M47+'13'!M47+'15'!M47+'17'!M47+'19'!M47+'21'!M47+'23'!M47+'25'!M47+'27'!M47+'29'!M47+'31'!M47</f>
        <v>89463.047729881524</v>
      </c>
      <c r="N47" s="15">
        <f>'01'!N47+'03'!N47+'05'!N47+'07'!N47+'09'!N47+'11'!N47+'13'!N47+'15'!N47+'17'!N47+'19'!N47+'21'!N47+'23'!N47+'25'!N47+'27'!N47+'29'!N47+'31'!N47</f>
        <v>102502.07850720226</v>
      </c>
      <c r="O47" s="15">
        <f>'01'!O47+'03'!O47+'05'!O47+'07'!O47+'09'!O47+'11'!O47+'13'!O47+'15'!O47+'17'!O47+'19'!O47+'21'!O47+'23'!O47+'25'!O47+'27'!O47+'29'!O47+'31'!O47</f>
        <v>104820.04266432469</v>
      </c>
      <c r="P47" s="15">
        <f>'01'!P47+'03'!P47+'05'!P47+'07'!P47+'09'!P47+'11'!P47+'13'!P47+'15'!P47+'17'!P47+'19'!P47+'21'!P47+'23'!P47+'25'!P47+'27'!P47+'29'!P47+'31'!P47</f>
        <v>94332.57877635528</v>
      </c>
      <c r="Q47" s="15">
        <f>'01'!Q47+'03'!Q47+'05'!Q47+'07'!Q47+'09'!Q47+'11'!Q47+'13'!Q47+'15'!Q47+'17'!Q47+'19'!Q47+'21'!Q47+'23'!Q47+'25'!Q47+'27'!Q47+'29'!Q47+'31'!Q47</f>
        <v>77744.653458925051</v>
      </c>
      <c r="R47" s="15">
        <f>'01'!R47+'03'!R47+'05'!R47+'07'!R47+'09'!R47+'11'!R47+'13'!R47+'15'!R47+'17'!R47+'19'!R47+'21'!R47+'23'!R47+'25'!R47+'27'!R47+'29'!R47+'31'!R47</f>
        <v>51493.978589957289</v>
      </c>
      <c r="S47" s="15">
        <f>'01'!S47+'03'!S47+'05'!S47+'07'!S47+'09'!S47+'11'!S47+'13'!S47+'15'!S47+'17'!S47+'19'!S47+'21'!S47+'23'!S47+'25'!S47+'27'!S47+'29'!S47+'31'!S47</f>
        <v>32058.269408811437</v>
      </c>
      <c r="T47" s="15">
        <f>'01'!T47+'03'!T47+'05'!T47+'07'!T47+'09'!T47+'11'!T47+'13'!T47+'15'!T47+'17'!T47+'19'!T47+'21'!T47+'23'!T47+'25'!T47+'27'!T47+'29'!T47+'31'!T47</f>
        <v>32753.473974412896</v>
      </c>
      <c r="U47" s="16">
        <f>'01'!U47+'03'!U47+'05'!U47+'07'!U47+'09'!U47+'11'!U47+'13'!U47+'15'!U47+'17'!U47+'19'!U47+'21'!U47+'23'!U47+'25'!U47+'27'!U47+'29'!U47+'31'!U47</f>
        <v>1331606.9534434453</v>
      </c>
    </row>
    <row r="48" spans="1:21">
      <c r="A48" s="23">
        <v>2025</v>
      </c>
      <c r="B48" s="4"/>
      <c r="C48" s="15">
        <f>'01'!C48+'03'!C48+'05'!C48+'07'!C48+'09'!C48+'11'!C48+'13'!C48+'15'!C48+'17'!C48+'19'!C48+'21'!C48+'23'!C48+'25'!C48+'27'!C48+'29'!C48+'31'!C48</f>
        <v>67720.786382734135</v>
      </c>
      <c r="D48" s="15">
        <f>'01'!D48+'03'!D48+'05'!D48+'07'!D48+'09'!D48+'11'!D48+'13'!D48+'15'!D48+'17'!D48+'19'!D48+'21'!D48+'23'!D48+'25'!D48+'27'!D48+'29'!D48+'31'!D48</f>
        <v>69031.801562761553</v>
      </c>
      <c r="E48" s="15">
        <f>'01'!E48+'03'!E48+'05'!E48+'07'!E48+'09'!E48+'11'!E48+'13'!E48+'15'!E48+'17'!E48+'19'!E48+'21'!E48+'23'!E48+'25'!E48+'27'!E48+'29'!E48+'31'!E48</f>
        <v>69636.905610001602</v>
      </c>
      <c r="F48" s="15">
        <f>'01'!F48+'03'!F48+'05'!F48+'07'!F48+'09'!F48+'11'!F48+'13'!F48+'15'!F48+'17'!F48+'19'!F48+'21'!F48+'23'!F48+'25'!F48+'27'!F48+'29'!F48+'31'!F48</f>
        <v>74371.11233313891</v>
      </c>
      <c r="G48" s="15">
        <f>'01'!G48+'03'!G48+'05'!G48+'07'!G48+'09'!G48+'11'!G48+'13'!G48+'15'!G48+'17'!G48+'19'!G48+'21'!G48+'23'!G48+'25'!G48+'27'!G48+'29'!G48+'31'!G48</f>
        <v>78497.964419339201</v>
      </c>
      <c r="H48" s="15">
        <f>'01'!H48+'03'!H48+'05'!H48+'07'!H48+'09'!H48+'11'!H48+'13'!H48+'15'!H48+'17'!H48+'19'!H48+'21'!H48+'23'!H48+'25'!H48+'27'!H48+'29'!H48+'31'!H48</f>
        <v>76701.697133689959</v>
      </c>
      <c r="I48" s="15">
        <f>'01'!I48+'03'!I48+'05'!I48+'07'!I48+'09'!I48+'11'!I48+'13'!I48+'15'!I48+'17'!I48+'19'!I48+'21'!I48+'23'!I48+'25'!I48+'27'!I48+'29'!I48+'31'!I48</f>
        <v>79170.621628375462</v>
      </c>
      <c r="J48" s="15">
        <f>'01'!J48+'03'!J48+'05'!J48+'07'!J48+'09'!J48+'11'!J48+'13'!J48+'15'!J48+'17'!J48+'19'!J48+'21'!J48+'23'!J48+'25'!J48+'27'!J48+'29'!J48+'31'!J48</f>
        <v>75187.955558890608</v>
      </c>
      <c r="K48" s="15">
        <f>'01'!K48+'03'!K48+'05'!K48+'07'!K48+'09'!K48+'11'!K48+'13'!K48+'15'!K48+'17'!K48+'19'!K48+'21'!K48+'23'!K48+'25'!K48+'27'!K48+'29'!K48+'31'!K48</f>
        <v>74754.699099933292</v>
      </c>
      <c r="L48" s="15">
        <f>'01'!L48+'03'!L48+'05'!L48+'07'!L48+'09'!L48+'11'!L48+'13'!L48+'15'!L48+'17'!L48+'19'!L48+'21'!L48+'23'!L48+'25'!L48+'27'!L48+'29'!L48+'31'!L48</f>
        <v>73936.000882432098</v>
      </c>
      <c r="M48" s="15">
        <f>'01'!M48+'03'!M48+'05'!M48+'07'!M48+'09'!M48+'11'!M48+'13'!M48+'15'!M48+'17'!M48+'19'!M48+'21'!M48+'23'!M48+'25'!M48+'27'!M48+'29'!M48+'31'!M48</f>
        <v>78603.583193977116</v>
      </c>
      <c r="N48" s="15">
        <f>'01'!N48+'03'!N48+'05'!N48+'07'!N48+'09'!N48+'11'!N48+'13'!N48+'15'!N48+'17'!N48+'19'!N48+'21'!N48+'23'!N48+'25'!N48+'27'!N48+'29'!N48+'31'!N48</f>
        <v>87776.927843775047</v>
      </c>
      <c r="O48" s="15">
        <f>'01'!O48+'03'!O48+'05'!O48+'07'!O48+'09'!O48+'11'!O48+'13'!O48+'15'!O48+'17'!O48+'19'!O48+'21'!O48+'23'!O48+'25'!O48+'27'!O48+'29'!O48+'31'!O48</f>
        <v>99111.626228004301</v>
      </c>
      <c r="P48" s="15">
        <f>'01'!P48+'03'!P48+'05'!P48+'07'!P48+'09'!P48+'11'!P48+'13'!P48+'15'!P48+'17'!P48+'19'!P48+'21'!P48+'23'!P48+'25'!P48+'27'!P48+'29'!P48+'31'!P48</f>
        <v>99113.635161357932</v>
      </c>
      <c r="Q48" s="15">
        <f>'01'!Q48+'03'!Q48+'05'!Q48+'07'!Q48+'09'!Q48+'11'!Q48+'13'!Q48+'15'!Q48+'17'!Q48+'19'!Q48+'21'!Q48+'23'!Q48+'25'!Q48+'27'!Q48+'29'!Q48+'31'!Q48</f>
        <v>85924.555599679123</v>
      </c>
      <c r="R48" s="15">
        <f>'01'!R48+'03'!R48+'05'!R48+'07'!R48+'09'!R48+'11'!R48+'13'!R48+'15'!R48+'17'!R48+'19'!R48+'21'!R48+'23'!R48+'25'!R48+'27'!R48+'29'!R48+'31'!R48</f>
        <v>66616.07229964927</v>
      </c>
      <c r="S48" s="15">
        <f>'01'!S48+'03'!S48+'05'!S48+'07'!S48+'09'!S48+'11'!S48+'13'!S48+'15'!S48+'17'!S48+'19'!S48+'21'!S48+'23'!S48+'25'!S48+'27'!S48+'29'!S48+'31'!S48</f>
        <v>40144.281183212697</v>
      </c>
      <c r="T48" s="15">
        <f>'01'!T48+'03'!T48+'05'!T48+'07'!T48+'09'!T48+'11'!T48+'13'!T48+'15'!T48+'17'!T48+'19'!T48+'21'!T48+'23'!T48+'25'!T48+'27'!T48+'29'!T48+'31'!T48</f>
        <v>34521.098637216164</v>
      </c>
      <c r="U48" s="16">
        <f>'01'!U48+'03'!U48+'05'!U48+'07'!U48+'09'!U48+'11'!U48+'13'!U48+'15'!U48+'17'!U48+'19'!U48+'21'!U48+'23'!U48+'25'!U48+'27'!U48+'29'!U48+'31'!U48</f>
        <v>1330821.3247581683</v>
      </c>
    </row>
    <row r="49" spans="1:21" ht="15.75" thickBot="1">
      <c r="A49" s="24">
        <v>2030</v>
      </c>
      <c r="B49" s="20"/>
      <c r="C49" s="21">
        <f>'01'!C49+'03'!C49+'05'!C49+'07'!C49+'09'!C49+'11'!C49+'13'!C49+'15'!C49+'17'!C49+'19'!C49+'21'!C49+'23'!C49+'25'!C49+'27'!C49+'29'!C49+'31'!C49</f>
        <v>67206.17883169181</v>
      </c>
      <c r="D49" s="21">
        <f>'01'!D49+'03'!D49+'05'!D49+'07'!D49+'09'!D49+'11'!D49+'13'!D49+'15'!D49+'17'!D49+'19'!D49+'21'!D49+'23'!D49+'25'!D49+'27'!D49+'29'!D49+'31'!D49</f>
        <v>69246.175159911509</v>
      </c>
      <c r="E49" s="21">
        <f>'01'!E49+'03'!E49+'05'!E49+'07'!E49+'09'!E49+'11'!E49+'13'!E49+'15'!E49+'17'!E49+'19'!E49+'21'!E49+'23'!E49+'25'!E49+'27'!E49+'29'!E49+'31'!E49</f>
        <v>69903.64637653339</v>
      </c>
      <c r="F49" s="21">
        <f>'01'!F49+'03'!F49+'05'!F49+'07'!F49+'09'!F49+'11'!F49+'13'!F49+'15'!F49+'17'!F49+'19'!F49+'21'!F49+'23'!F49+'25'!F49+'27'!F49+'29'!F49+'31'!F49</f>
        <v>73509.90693771404</v>
      </c>
      <c r="G49" s="21">
        <f>'01'!G49+'03'!G49+'05'!G49+'07'!G49+'09'!G49+'11'!G49+'13'!G49+'15'!G49+'17'!G49+'19'!G49+'21'!G49+'23'!G49+'25'!G49+'27'!G49+'29'!G49+'31'!G49</f>
        <v>76360.472242721036</v>
      </c>
      <c r="H49" s="21">
        <f>'01'!H49+'03'!H49+'05'!H49+'07'!H49+'09'!H49+'11'!H49+'13'!H49+'15'!H49+'17'!H49+'19'!H49+'21'!H49+'23'!H49+'25'!H49+'27'!H49+'29'!H49+'31'!H49</f>
        <v>74509.11227766081</v>
      </c>
      <c r="I49" s="21">
        <f>'01'!I49+'03'!I49+'05'!I49+'07'!I49+'09'!I49+'11'!I49+'13'!I49+'15'!I49+'17'!I49+'19'!I49+'21'!I49+'23'!I49+'25'!I49+'27'!I49+'29'!I49+'31'!I49</f>
        <v>77651.627888835734</v>
      </c>
      <c r="J49" s="21">
        <f>'01'!J49+'03'!J49+'05'!J49+'07'!J49+'09'!J49+'11'!J49+'13'!J49+'15'!J49+'17'!J49+'19'!J49+'21'!J49+'23'!J49+'25'!J49+'27'!J49+'29'!J49+'31'!J49</f>
        <v>79258.721756072322</v>
      </c>
      <c r="K49" s="21">
        <f>'01'!K49+'03'!K49+'05'!K49+'07'!K49+'09'!K49+'11'!K49+'13'!K49+'15'!K49+'17'!K49+'19'!K49+'21'!K49+'23'!K49+'25'!K49+'27'!K49+'29'!K49+'31'!K49</f>
        <v>76040.219851589587</v>
      </c>
      <c r="L49" s="21">
        <f>'01'!L49+'03'!L49+'05'!L49+'07'!L49+'09'!L49+'11'!L49+'13'!L49+'15'!L49+'17'!L49+'19'!L49+'21'!L49+'23'!L49+'25'!L49+'27'!L49+'29'!L49+'31'!L49</f>
        <v>75715.170761194051</v>
      </c>
      <c r="M49" s="21">
        <f>'01'!M49+'03'!M49+'05'!M49+'07'!M49+'09'!M49+'11'!M49+'13'!M49+'15'!M49+'17'!M49+'19'!M49+'21'!M49+'23'!M49+'25'!M49+'27'!M49+'29'!M49+'31'!M49</f>
        <v>73942.705221983255</v>
      </c>
      <c r="N49" s="21">
        <f>'01'!N49+'03'!N49+'05'!N49+'07'!N49+'09'!N49+'11'!N49+'13'!N49+'15'!N49+'17'!N49+'19'!N49+'21'!N49+'23'!N49+'25'!N49+'27'!N49+'29'!N49+'31'!N49</f>
        <v>77615.571413003403</v>
      </c>
      <c r="O49" s="21">
        <f>'01'!O49+'03'!O49+'05'!O49+'07'!O49+'09'!O49+'11'!O49+'13'!O49+'15'!O49+'17'!O49+'19'!O49+'21'!O49+'23'!O49+'25'!O49+'27'!O49+'29'!O49+'31'!O49</f>
        <v>85247.860942850952</v>
      </c>
      <c r="P49" s="21">
        <f>'01'!P49+'03'!P49+'05'!P49+'07'!P49+'09'!P49+'11'!P49+'13'!P49+'15'!P49+'17'!P49+'19'!P49+'21'!P49+'23'!P49+'25'!P49+'27'!P49+'29'!P49+'31'!P49</f>
        <v>93683.154460891616</v>
      </c>
      <c r="Q49" s="21">
        <f>'01'!Q49+'03'!Q49+'05'!Q49+'07'!Q49+'09'!Q49+'11'!Q49+'13'!Q49+'15'!Q49+'17'!Q49+'19'!Q49+'21'!Q49+'23'!Q49+'25'!Q49+'27'!Q49+'29'!Q49+'31'!Q49</f>
        <v>90197.974042832269</v>
      </c>
      <c r="R49" s="21">
        <f>'01'!R49+'03'!R49+'05'!R49+'07'!R49+'09'!R49+'11'!R49+'13'!R49+'15'!R49+'17'!R49+'19'!R49+'21'!R49+'23'!R49+'25'!R49+'27'!R49+'29'!R49+'31'!R49</f>
        <v>73701.779966439732</v>
      </c>
      <c r="S49" s="21">
        <f>'01'!S49+'03'!S49+'05'!S49+'07'!S49+'09'!S49+'11'!S49+'13'!S49+'15'!S49+'17'!S49+'19'!S49+'21'!S49+'23'!S49+'25'!S49+'27'!S49+'29'!S49+'31'!S49</f>
        <v>51634.807176084512</v>
      </c>
      <c r="T49" s="21">
        <f>'01'!T49+'03'!T49+'05'!T49+'07'!T49+'09'!T49+'11'!T49+'13'!T49+'15'!T49+'17'!T49+'19'!T49+'21'!T49+'23'!T49+'25'!T49+'27'!T49+'29'!T49+'31'!T49</f>
        <v>40325.79529094875</v>
      </c>
      <c r="U49" s="22">
        <f>'01'!U49+'03'!U49+'05'!U49+'07'!U49+'09'!U49+'11'!U49+'13'!U49+'15'!U49+'17'!U49+'19'!U49+'21'!U49+'23'!U49+'25'!U49+'27'!U49+'29'!U49+'31'!U49</f>
        <v>1325750.8805989586</v>
      </c>
    </row>
  </sheetData>
  <pageMargins left="0.7" right="0.7" top="0.75" bottom="0.75" header="0.3" footer="0.3"/>
  <pageSetup scale="6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9"/>
  <sheetViews>
    <sheetView zoomScaleNormal="100" workbookViewId="0">
      <selection activeCell="F24" sqref="F24"/>
    </sheetView>
  </sheetViews>
  <sheetFormatPr defaultRowHeight="15"/>
  <cols>
    <col min="1" max="1" width="13.140625" style="26" bestFit="1" customWidth="1"/>
    <col min="2" max="3" width="10.42578125" bestFit="1" customWidth="1"/>
    <col min="4" max="10" width="9.85546875" bestFit="1" customWidth="1"/>
    <col min="11" max="11" width="20.140625" bestFit="1" customWidth="1"/>
  </cols>
  <sheetData>
    <row r="1" spans="1:11" s="26" customFormat="1">
      <c r="A1" s="27"/>
      <c r="B1" s="43" t="s">
        <v>55</v>
      </c>
      <c r="C1" s="54" t="s">
        <v>56</v>
      </c>
      <c r="D1" s="54"/>
      <c r="E1" s="54"/>
      <c r="F1" s="55"/>
      <c r="G1" s="54" t="s">
        <v>57</v>
      </c>
      <c r="H1" s="54"/>
      <c r="I1" s="54"/>
      <c r="J1" s="55"/>
      <c r="K1" s="44" t="s">
        <v>62</v>
      </c>
    </row>
    <row r="2" spans="1:11" s="26" customFormat="1">
      <c r="A2" s="45"/>
      <c r="B2" s="38">
        <v>2010</v>
      </c>
      <c r="C2" s="40">
        <v>2015</v>
      </c>
      <c r="D2" s="34">
        <v>2020</v>
      </c>
      <c r="E2" s="40">
        <v>2025</v>
      </c>
      <c r="F2" s="35">
        <v>2030</v>
      </c>
      <c r="G2" s="40" t="s">
        <v>58</v>
      </c>
      <c r="H2" s="34" t="s">
        <v>59</v>
      </c>
      <c r="I2" s="40" t="s">
        <v>60</v>
      </c>
      <c r="J2" s="35" t="s">
        <v>61</v>
      </c>
      <c r="K2" s="46" t="s">
        <v>63</v>
      </c>
    </row>
    <row r="3" spans="1:11">
      <c r="A3" s="28" t="s">
        <v>39</v>
      </c>
      <c r="B3" s="39">
        <v>107675</v>
      </c>
      <c r="C3" s="41">
        <v>110410.04846854327</v>
      </c>
      <c r="D3" s="29">
        <v>112764.69897577033</v>
      </c>
      <c r="E3" s="41">
        <v>114847.9335681783</v>
      </c>
      <c r="F3" s="37">
        <v>116621.93769329505</v>
      </c>
      <c r="G3" s="42">
        <f>C3/B3-1</f>
        <v>2.5400960933766203E-2</v>
      </c>
      <c r="H3" s="30">
        <f t="shared" ref="H3:I3" si="0">D3/C3-1</f>
        <v>2.1326414940374905E-2</v>
      </c>
      <c r="I3" s="42">
        <f t="shared" si="0"/>
        <v>1.847417331247958E-2</v>
      </c>
      <c r="J3" s="36">
        <f>F3/E3-1</f>
        <v>1.5446548057076237E-2</v>
      </c>
      <c r="K3" s="47">
        <f>F3/B3-1</f>
        <v>8.3092061233295045E-2</v>
      </c>
    </row>
    <row r="4" spans="1:11">
      <c r="A4" s="28" t="s">
        <v>40</v>
      </c>
      <c r="B4" s="39">
        <v>71723</v>
      </c>
      <c r="C4" s="41">
        <v>70882.939618502802</v>
      </c>
      <c r="D4" s="29">
        <v>70058.621419504329</v>
      </c>
      <c r="E4" s="41">
        <v>69125.183982811854</v>
      </c>
      <c r="F4" s="37">
        <v>67922.762414075085</v>
      </c>
      <c r="G4" s="42">
        <f t="shared" ref="G4:G19" si="1">C4/B4-1</f>
        <v>-1.1712566143318059E-2</v>
      </c>
      <c r="H4" s="30">
        <f t="shared" ref="H4:H19" si="2">D4/C4-1</f>
        <v>-1.1629289127045417E-2</v>
      </c>
      <c r="I4" s="42">
        <f t="shared" ref="I4:I19" si="3">E4/D4-1</f>
        <v>-1.3323662638223266E-2</v>
      </c>
      <c r="J4" s="36">
        <f t="shared" ref="J4:J18" si="4">F4/E4-1</f>
        <v>-1.739484077229736E-2</v>
      </c>
      <c r="K4" s="47">
        <f t="shared" ref="K4:K18" si="5">F4/B4-1</f>
        <v>-5.2984922353009667E-2</v>
      </c>
    </row>
    <row r="5" spans="1:11">
      <c r="A5" s="28" t="s">
        <v>41</v>
      </c>
      <c r="B5" s="39">
        <v>281386</v>
      </c>
      <c r="C5" s="41">
        <v>284273.14138390264</v>
      </c>
      <c r="D5" s="29">
        <v>286849.67872555304</v>
      </c>
      <c r="E5" s="41">
        <v>288909.88433404401</v>
      </c>
      <c r="F5" s="37">
        <v>290101.33711256791</v>
      </c>
      <c r="G5" s="42">
        <f t="shared" si="1"/>
        <v>1.0260430099232387E-2</v>
      </c>
      <c r="H5" s="30">
        <f t="shared" si="2"/>
        <v>9.0635975284447667E-3</v>
      </c>
      <c r="I5" s="42">
        <f t="shared" si="3"/>
        <v>7.1821785460743914E-3</v>
      </c>
      <c r="J5" s="36">
        <f t="shared" si="4"/>
        <v>4.1239599028266571E-3</v>
      </c>
      <c r="K5" s="47">
        <f t="shared" si="5"/>
        <v>3.0972888176980851E-2</v>
      </c>
    </row>
    <row r="6" spans="1:11">
      <c r="A6" s="28" t="s">
        <v>42</v>
      </c>
      <c r="B6" s="39">
        <v>30711</v>
      </c>
      <c r="C6" s="41">
        <v>30500.637399974046</v>
      </c>
      <c r="D6" s="29">
        <v>30162.645861262994</v>
      </c>
      <c r="E6" s="41">
        <v>29778.763352864444</v>
      </c>
      <c r="F6" s="37">
        <v>29336.811523145007</v>
      </c>
      <c r="G6" s="42">
        <f t="shared" si="1"/>
        <v>-6.8497476482678454E-3</v>
      </c>
      <c r="H6" s="30">
        <f t="shared" si="2"/>
        <v>-1.1081458209504125E-2</v>
      </c>
      <c r="I6" s="42">
        <f t="shared" si="3"/>
        <v>-1.2727083365440373E-2</v>
      </c>
      <c r="J6" s="36">
        <f t="shared" si="4"/>
        <v>-1.4841174715098604E-2</v>
      </c>
      <c r="K6" s="47">
        <f t="shared" si="5"/>
        <v>-4.4745806937416366E-2</v>
      </c>
    </row>
    <row r="7" spans="1:11">
      <c r="A7" s="28" t="s">
        <v>43</v>
      </c>
      <c r="B7" s="39">
        <v>54360</v>
      </c>
      <c r="C7" s="41">
        <v>53105.794356743441</v>
      </c>
      <c r="D7" s="29">
        <v>51760.071398430227</v>
      </c>
      <c r="E7" s="41">
        <v>50323.244759897396</v>
      </c>
      <c r="F7" s="37">
        <v>48744.788211096486</v>
      </c>
      <c r="G7" s="42">
        <f t="shared" si="1"/>
        <v>-2.3072215659612927E-2</v>
      </c>
      <c r="H7" s="30">
        <f t="shared" si="2"/>
        <v>-2.5340416702425816E-2</v>
      </c>
      <c r="I7" s="42">
        <f t="shared" si="3"/>
        <v>-2.7759363534734405E-2</v>
      </c>
      <c r="J7" s="36">
        <f t="shared" si="4"/>
        <v>-3.1366350805319798E-2</v>
      </c>
      <c r="K7" s="47">
        <f t="shared" si="5"/>
        <v>-0.10329675844193364</v>
      </c>
    </row>
    <row r="8" spans="1:11">
      <c r="A8" s="28" t="s">
        <v>44</v>
      </c>
      <c r="B8" s="39">
        <v>122131</v>
      </c>
      <c r="C8" s="41">
        <v>121674.82441214431</v>
      </c>
      <c r="D8" s="29">
        <v>121084.66477993228</v>
      </c>
      <c r="E8" s="41">
        <v>120238.06623096547</v>
      </c>
      <c r="F8" s="37">
        <v>118929.96926224265</v>
      </c>
      <c r="G8" s="42">
        <f t="shared" si="1"/>
        <v>-3.7351334866306818E-3</v>
      </c>
      <c r="H8" s="30">
        <f t="shared" si="2"/>
        <v>-4.8503019015092574E-3</v>
      </c>
      <c r="I8" s="42">
        <f t="shared" si="3"/>
        <v>-6.9917900049975001E-3</v>
      </c>
      <c r="J8" s="36">
        <f t="shared" si="4"/>
        <v>-1.0879224938715293E-2</v>
      </c>
      <c r="K8" s="47">
        <f t="shared" si="5"/>
        <v>-2.6209813542485971E-2</v>
      </c>
    </row>
    <row r="9" spans="1:11">
      <c r="A9" s="28" t="s">
        <v>45</v>
      </c>
      <c r="B9" s="39">
        <v>39705</v>
      </c>
      <c r="C9" s="41">
        <v>40279.659049817019</v>
      </c>
      <c r="D9" s="29">
        <v>40818.457616397805</v>
      </c>
      <c r="E9" s="41">
        <v>41252.189147083336</v>
      </c>
      <c r="F9" s="37">
        <v>41516.049678255156</v>
      </c>
      <c r="G9" s="42">
        <f t="shared" si="1"/>
        <v>1.4473216215011186E-2</v>
      </c>
      <c r="H9" s="30">
        <f t="shared" si="2"/>
        <v>1.3376443080474143E-2</v>
      </c>
      <c r="I9" s="42">
        <f t="shared" si="3"/>
        <v>1.0625867708222492E-2</v>
      </c>
      <c r="J9" s="36">
        <f t="shared" si="4"/>
        <v>6.3962794854603988E-3</v>
      </c>
      <c r="K9" s="47">
        <f t="shared" si="5"/>
        <v>4.561263514054037E-2</v>
      </c>
    </row>
    <row r="10" spans="1:11">
      <c r="A10" s="28" t="s">
        <v>46</v>
      </c>
      <c r="B10" s="39">
        <v>34379</v>
      </c>
      <c r="C10" s="41">
        <v>33142.513655381881</v>
      </c>
      <c r="D10" s="29">
        <v>31887.638780892987</v>
      </c>
      <c r="E10" s="41">
        <v>30597.385605221145</v>
      </c>
      <c r="F10" s="37">
        <v>29157.676733948418</v>
      </c>
      <c r="G10" s="42">
        <f t="shared" si="1"/>
        <v>-3.5966326670878068E-2</v>
      </c>
      <c r="H10" s="30">
        <f t="shared" si="2"/>
        <v>-3.7862996377920233E-2</v>
      </c>
      <c r="I10" s="42">
        <f t="shared" si="3"/>
        <v>-4.0462487189391938E-2</v>
      </c>
      <c r="J10" s="36">
        <f t="shared" si="4"/>
        <v>-4.7053329648761077E-2</v>
      </c>
      <c r="K10" s="47">
        <f t="shared" si="5"/>
        <v>-0.1518753676968958</v>
      </c>
    </row>
    <row r="11" spans="1:11">
      <c r="A11" s="28" t="s">
        <v>47</v>
      </c>
      <c r="B11" s="39">
        <v>57739</v>
      </c>
      <c r="C11" s="41">
        <v>57514.404232018642</v>
      </c>
      <c r="D11" s="29">
        <v>57188.665591333207</v>
      </c>
      <c r="E11" s="41">
        <v>56773.62471077752</v>
      </c>
      <c r="F11" s="37">
        <v>56194.398549805628</v>
      </c>
      <c r="G11" s="42">
        <f t="shared" si="1"/>
        <v>-3.8898451303513992E-3</v>
      </c>
      <c r="H11" s="30">
        <f t="shared" si="2"/>
        <v>-5.6636010584648622E-3</v>
      </c>
      <c r="I11" s="42">
        <f t="shared" si="3"/>
        <v>-7.257397532608012E-3</v>
      </c>
      <c r="J11" s="36">
        <f t="shared" si="4"/>
        <v>-1.0202381192369714E-2</v>
      </c>
      <c r="K11" s="47">
        <f t="shared" si="5"/>
        <v>-2.6751440970476992E-2</v>
      </c>
    </row>
    <row r="12" spans="1:11">
      <c r="A12" s="28" t="s">
        <v>48</v>
      </c>
      <c r="B12" s="39">
        <v>153838</v>
      </c>
      <c r="C12" s="41">
        <v>153749.77739076532</v>
      </c>
      <c r="D12" s="29">
        <v>155081.27886769944</v>
      </c>
      <c r="E12" s="41">
        <v>156350.39442650526</v>
      </c>
      <c r="F12" s="37">
        <v>157493.40264319273</v>
      </c>
      <c r="G12" s="42">
        <f t="shared" si="1"/>
        <v>-5.7347735432522473E-4</v>
      </c>
      <c r="H12" s="30">
        <f t="shared" si="2"/>
        <v>8.66018474647956E-3</v>
      </c>
      <c r="I12" s="42">
        <f t="shared" si="3"/>
        <v>8.1835510260945821E-3</v>
      </c>
      <c r="J12" s="36">
        <f t="shared" si="4"/>
        <v>7.3105553771068976E-3</v>
      </c>
      <c r="K12" s="47">
        <f t="shared" si="5"/>
        <v>2.3761376533709022E-2</v>
      </c>
    </row>
    <row r="13" spans="1:11">
      <c r="A13" s="28" t="s">
        <v>49</v>
      </c>
      <c r="B13" s="39">
        <v>17545</v>
      </c>
      <c r="C13" s="41">
        <v>16956.42353687331</v>
      </c>
      <c r="D13" s="29">
        <v>16365.959746829858</v>
      </c>
      <c r="E13" s="41">
        <v>15752.742239780413</v>
      </c>
      <c r="F13" s="37">
        <v>15091.326703636712</v>
      </c>
      <c r="G13" s="42">
        <f t="shared" si="1"/>
        <v>-3.3546677864160213E-2</v>
      </c>
      <c r="H13" s="30">
        <f t="shared" si="2"/>
        <v>-3.4822425186504358E-2</v>
      </c>
      <c r="I13" s="42">
        <f t="shared" si="3"/>
        <v>-3.7469083178469087E-2</v>
      </c>
      <c r="J13" s="36">
        <f t="shared" si="4"/>
        <v>-4.1987326782598311E-2</v>
      </c>
      <c r="K13" s="47">
        <f t="shared" si="5"/>
        <v>-0.13985028762401186</v>
      </c>
    </row>
    <row r="14" spans="1:11">
      <c r="A14" s="28" t="s">
        <v>50</v>
      </c>
      <c r="B14" s="39">
        <v>35205</v>
      </c>
      <c r="C14" s="41">
        <v>35156.696893378379</v>
      </c>
      <c r="D14" s="29">
        <v>35010.945910343573</v>
      </c>
      <c r="E14" s="41">
        <v>34771.904675984828</v>
      </c>
      <c r="F14" s="37">
        <v>34434.806163096575</v>
      </c>
      <c r="G14" s="42">
        <f t="shared" si="1"/>
        <v>-1.3720524533907819E-3</v>
      </c>
      <c r="H14" s="30">
        <f t="shared" si="2"/>
        <v>-4.1457530403619103E-3</v>
      </c>
      <c r="I14" s="42">
        <f t="shared" si="3"/>
        <v>-6.8276142829983844E-3</v>
      </c>
      <c r="J14" s="36">
        <f t="shared" si="4"/>
        <v>-9.6945656566541638E-3</v>
      </c>
      <c r="K14" s="47">
        <f t="shared" si="5"/>
        <v>-2.1877399145105114E-2</v>
      </c>
    </row>
    <row r="15" spans="1:11">
      <c r="A15" s="28" t="s">
        <v>51</v>
      </c>
      <c r="B15" s="39">
        <v>52233</v>
      </c>
      <c r="C15" s="41">
        <v>51642.335065251566</v>
      </c>
      <c r="D15" s="29">
        <v>50921.759786912386</v>
      </c>
      <c r="E15" s="41">
        <v>50069.069153605604</v>
      </c>
      <c r="F15" s="37">
        <v>49008.136736960005</v>
      </c>
      <c r="G15" s="42">
        <f t="shared" si="1"/>
        <v>-1.1308271298765771E-2</v>
      </c>
      <c r="H15" s="30">
        <f t="shared" si="2"/>
        <v>-1.3953189324779958E-2</v>
      </c>
      <c r="I15" s="42">
        <f t="shared" si="3"/>
        <v>-1.6745113226152353E-2</v>
      </c>
      <c r="J15" s="36">
        <f t="shared" si="4"/>
        <v>-2.1189377685268962E-2</v>
      </c>
      <c r="K15" s="47">
        <f t="shared" si="5"/>
        <v>-6.1739958705033127E-2</v>
      </c>
    </row>
    <row r="16" spans="1:11">
      <c r="A16" s="28" t="s">
        <v>52</v>
      </c>
      <c r="B16" s="39">
        <v>38801</v>
      </c>
      <c r="C16" s="41">
        <v>38763.1220963905</v>
      </c>
      <c r="D16" s="29">
        <v>38581.587977672381</v>
      </c>
      <c r="E16" s="41">
        <v>38223.636219030275</v>
      </c>
      <c r="F16" s="37">
        <v>37661.757637082446</v>
      </c>
      <c r="G16" s="42">
        <f t="shared" si="1"/>
        <v>-9.7620946907295281E-4</v>
      </c>
      <c r="H16" s="30">
        <f t="shared" si="2"/>
        <v>-4.6831655682095796E-3</v>
      </c>
      <c r="I16" s="42">
        <f t="shared" si="3"/>
        <v>-9.2777870845870414E-3</v>
      </c>
      <c r="J16" s="36">
        <f t="shared" si="4"/>
        <v>-1.4699767932285002E-2</v>
      </c>
      <c r="K16" s="47">
        <f t="shared" si="5"/>
        <v>-2.9361159839116358E-2</v>
      </c>
    </row>
    <row r="17" spans="1:11">
      <c r="A17" s="28" t="s">
        <v>53</v>
      </c>
      <c r="B17" s="39">
        <v>32798</v>
      </c>
      <c r="C17" s="41">
        <v>32471.984943686948</v>
      </c>
      <c r="D17" s="29">
        <v>32082.543169680735</v>
      </c>
      <c r="E17" s="41">
        <v>31636.598619393921</v>
      </c>
      <c r="F17" s="37">
        <v>31065.079416737448</v>
      </c>
      <c r="G17" s="42">
        <f t="shared" si="1"/>
        <v>-9.9400895271983813E-3</v>
      </c>
      <c r="H17" s="30">
        <f t="shared" si="2"/>
        <v>-1.1993161941950436E-2</v>
      </c>
      <c r="I17" s="42">
        <f t="shared" si="3"/>
        <v>-1.3899912732237785E-2</v>
      </c>
      <c r="J17" s="36">
        <f t="shared" si="4"/>
        <v>-1.8065127971947037E-2</v>
      </c>
      <c r="K17" s="47">
        <f t="shared" si="5"/>
        <v>-5.2836166329122247E-2</v>
      </c>
    </row>
    <row r="18" spans="1:11">
      <c r="A18" s="28" t="s">
        <v>54</v>
      </c>
      <c r="B18" s="39">
        <v>197150</v>
      </c>
      <c r="C18" s="41">
        <v>199299.03820385516</v>
      </c>
      <c r="D18" s="29">
        <v>200987.73483522987</v>
      </c>
      <c r="E18" s="41">
        <v>202170.70373202467</v>
      </c>
      <c r="F18" s="37">
        <v>202470.6401198215</v>
      </c>
      <c r="G18" s="42">
        <f t="shared" si="1"/>
        <v>1.0900523478849511E-2</v>
      </c>
      <c r="H18" s="30">
        <f t="shared" si="2"/>
        <v>8.473180034353156E-3</v>
      </c>
      <c r="I18" s="42">
        <f t="shared" si="3"/>
        <v>5.8857765513133931E-3</v>
      </c>
      <c r="J18" s="36">
        <f t="shared" si="4"/>
        <v>1.4835798771042352E-3</v>
      </c>
      <c r="K18" s="47">
        <f t="shared" si="5"/>
        <v>2.6987776412992659E-2</v>
      </c>
    </row>
    <row r="19" spans="1:11" ht="15.75" thickBot="1">
      <c r="A19" s="31" t="s">
        <v>37</v>
      </c>
      <c r="B19" s="48">
        <v>1327379</v>
      </c>
      <c r="C19" s="49">
        <v>1329823.340707229</v>
      </c>
      <c r="D19" s="32">
        <v>1331606.9534434453</v>
      </c>
      <c r="E19" s="49">
        <v>1330821.3247581683</v>
      </c>
      <c r="F19" s="50">
        <v>1325750.8805989586</v>
      </c>
      <c r="G19" s="51">
        <f t="shared" si="1"/>
        <v>1.841479115783029E-3</v>
      </c>
      <c r="H19" s="33">
        <f t="shared" si="2"/>
        <v>1.3412403599921685E-3</v>
      </c>
      <c r="I19" s="51">
        <f t="shared" si="3"/>
        <v>-5.8998541817867345E-4</v>
      </c>
      <c r="J19" s="52">
        <f>F19/E19-1</f>
        <v>-3.8100112050211132E-3</v>
      </c>
      <c r="K19" s="53">
        <f>F19/B19-1</f>
        <v>-1.2265670927755767E-3</v>
      </c>
    </row>
  </sheetData>
  <mergeCells count="2">
    <mergeCell ref="C1:F1"/>
    <mergeCell ref="G1:J1"/>
  </mergeCells>
  <pageMargins left="0.7" right="0.7" top="0.75" bottom="0.75" header="0.3" footer="0.3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</vt:lpstr>
      <vt:lpstr>03</vt:lpstr>
      <vt:lpstr>05</vt:lpstr>
      <vt:lpstr>07</vt:lpstr>
      <vt:lpstr>09</vt:lpstr>
      <vt:lpstr>11</vt:lpstr>
      <vt:lpstr>13</vt:lpstr>
      <vt:lpstr>15</vt:lpstr>
      <vt:lpstr>17</vt:lpstr>
      <vt:lpstr>19</vt:lpstr>
      <vt:lpstr>21</vt:lpstr>
      <vt:lpstr>23</vt:lpstr>
      <vt:lpstr>25</vt:lpstr>
      <vt:lpstr>27</vt:lpstr>
      <vt:lpstr>29</vt:lpstr>
      <vt:lpstr>31</vt:lpstr>
      <vt:lpstr>ME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Rector, Amanda K.</cp:lastModifiedBy>
  <cp:lastPrinted>2010-03-01T21:15:51Z</cp:lastPrinted>
  <dcterms:created xsi:type="dcterms:W3CDTF">2010-02-03T21:37:20Z</dcterms:created>
  <dcterms:modified xsi:type="dcterms:W3CDTF">2013-02-05T12:52:00Z</dcterms:modified>
</cp:coreProperties>
</file>