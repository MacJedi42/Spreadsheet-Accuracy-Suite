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0" i="1" l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<sst xmlns="http://schemas.openxmlformats.org/spreadsheetml/2006/main" count="385" uniqueCount="64">
  <si>
    <r>
      <rPr>
        <b/>
        <sz val="12"/>
        <color indexed="8"/>
        <rFont val="Calibri"/>
        <family val="2"/>
      </rPr>
      <t>Table S2.</t>
    </r>
    <r>
      <rPr>
        <sz val="12"/>
        <color theme="1"/>
        <rFont val="Calibri"/>
        <family val="2"/>
        <scheme val="minor"/>
      </rPr>
      <t xml:space="preserve"> All putative rearrangements identified by unusual read pair organization (see Figure S1). </t>
    </r>
  </si>
  <si>
    <t>Chromosome</t>
  </si>
  <si>
    <r>
      <t>Start</t>
    </r>
    <r>
      <rPr>
        <b/>
        <vertAlign val="superscript"/>
        <sz val="11"/>
        <color indexed="8"/>
        <rFont val="Calibri"/>
      </rPr>
      <t>a</t>
    </r>
  </si>
  <si>
    <r>
      <t>End</t>
    </r>
    <r>
      <rPr>
        <b/>
        <vertAlign val="superscript"/>
        <sz val="11"/>
        <color indexed="8"/>
        <rFont val="Calibri"/>
      </rPr>
      <t>b</t>
    </r>
  </si>
  <si>
    <r>
      <t>Length</t>
    </r>
    <r>
      <rPr>
        <b/>
        <vertAlign val="superscript"/>
        <sz val="11"/>
        <color indexed="8"/>
        <rFont val="Calibri"/>
      </rPr>
      <t>c</t>
    </r>
  </si>
  <si>
    <t>Type</t>
  </si>
  <si>
    <t>Sal I</t>
  </si>
  <si>
    <t>Belem</t>
  </si>
  <si>
    <t>C08</t>
  </si>
  <si>
    <t>C127</t>
  </si>
  <si>
    <t>C15</t>
  </si>
  <si>
    <t>M08</t>
  </si>
  <si>
    <t>M15</t>
  </si>
  <si>
    <t>M19</t>
  </si>
  <si>
    <t>Brazil</t>
  </si>
  <si>
    <t>India VII</t>
  </si>
  <si>
    <t>Mauritania I</t>
  </si>
  <si>
    <t>North Korea</t>
  </si>
  <si>
    <r>
      <t>Mismapping</t>
    </r>
    <r>
      <rPr>
        <b/>
        <vertAlign val="superscript"/>
        <sz val="11"/>
        <color indexed="8"/>
        <rFont val="Calibri"/>
      </rPr>
      <t>d</t>
    </r>
  </si>
  <si>
    <t>Annotation</t>
  </si>
  <si>
    <t>vivax02</t>
  </si>
  <si>
    <t>Deletion</t>
  </si>
  <si>
    <t xml:space="preserve"> -</t>
  </si>
  <si>
    <t>no</t>
  </si>
  <si>
    <t>pseudogene</t>
  </si>
  <si>
    <t>yes</t>
  </si>
  <si>
    <t>Vir cluster</t>
  </si>
  <si>
    <t>vivax03</t>
  </si>
  <si>
    <t>Hypothetical proteins</t>
  </si>
  <si>
    <t>vivax04</t>
  </si>
  <si>
    <t>Pv-fam-b cluster</t>
  </si>
  <si>
    <t>SERA cluster</t>
  </si>
  <si>
    <t>vivax05</t>
  </si>
  <si>
    <t>no annotated gene</t>
  </si>
  <si>
    <t>RAD cluster</t>
  </si>
  <si>
    <t>RBP2</t>
  </si>
  <si>
    <t>vivax06</t>
  </si>
  <si>
    <t>Phist protein</t>
  </si>
  <si>
    <t>vivax07</t>
  </si>
  <si>
    <t>???</t>
  </si>
  <si>
    <t>vivax09</t>
  </si>
  <si>
    <t>vivax10</t>
  </si>
  <si>
    <t>MSP3 cluster</t>
  </si>
  <si>
    <t>vivax11</t>
  </si>
  <si>
    <t>vivax12</t>
  </si>
  <si>
    <t>MSP7 cluster</t>
  </si>
  <si>
    <t>vivax13</t>
  </si>
  <si>
    <t>Ribosomal RNAs</t>
  </si>
  <si>
    <t>vivax14</t>
  </si>
  <si>
    <t>RBP2L</t>
  </si>
  <si>
    <t>Duplication</t>
  </si>
  <si>
    <t>Vir genes</t>
  </si>
  <si>
    <t>Duffy binding receptor</t>
  </si>
  <si>
    <t>MSP3 Cluster</t>
  </si>
  <si>
    <t>MSP7 Cluster</t>
  </si>
  <si>
    <t>methionine aminopeptidase</t>
  </si>
  <si>
    <t>Inversion</t>
  </si>
  <si>
    <t>N/A</t>
  </si>
  <si>
    <t>Elongation factor alpha</t>
  </si>
  <si>
    <t>The table shows for each sample the number of read pairs in unusual configuration indicating putative DNA sequence rearrangements. Dashes (-) indicate that no read pairs supported a sequence rearrangement at this location.</t>
  </si>
  <si>
    <r>
      <rPr>
        <vertAlign val="superscript"/>
        <sz val="11"/>
        <rFont val="Calibri"/>
      </rPr>
      <t>a</t>
    </r>
    <r>
      <rPr>
        <sz val="11"/>
        <rFont val="Calibri"/>
        <family val="2"/>
      </rPr>
      <t xml:space="preserve"> Upstream chromosomal coordinate of the sequence rearrangement based on the Sal I reference sequence.</t>
    </r>
  </si>
  <si>
    <r>
      <rPr>
        <vertAlign val="superscript"/>
        <sz val="11"/>
        <rFont val="Calibri"/>
      </rPr>
      <t>b</t>
    </r>
    <r>
      <rPr>
        <sz val="11"/>
        <rFont val="Calibri"/>
        <family val="2"/>
      </rPr>
      <t xml:space="preserve"> Downstream chromosomal coordinate of the sequence rearrangement based on the Sal I reference sequence.</t>
    </r>
  </si>
  <si>
    <r>
      <rPr>
        <vertAlign val="superscript"/>
        <sz val="11"/>
        <rFont val="Calibri"/>
      </rPr>
      <t>c</t>
    </r>
    <r>
      <rPr>
        <sz val="11"/>
        <rFont val="Calibri"/>
        <family val="2"/>
      </rPr>
      <t xml:space="preserve"> Nucleotide length of the sequence rearrangment</t>
    </r>
  </si>
  <si>
    <r>
      <rPr>
        <vertAlign val="superscript"/>
        <sz val="12"/>
        <color indexed="8"/>
        <rFont val="Calibri"/>
      </rPr>
      <t>d</t>
    </r>
    <r>
      <rPr>
        <sz val="12"/>
        <color theme="1"/>
        <rFont val="Calibri"/>
        <family val="2"/>
        <scheme val="minor"/>
      </rPr>
      <t xml:space="preserve"> Indicates whether the unusual read pairs is likely caused by mismapping of one of the reads due to high DNA sequence homology in this region.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</si>
</sst>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perscript"/>
      <sz val="11"/>
      <color indexed="8"/>
      <name val="Calibri"/>
    </font>
    <font>
      <sz val="11"/>
      <name val="Calibri"/>
      <family val="2"/>
    </font>
    <font>
      <sz val="12"/>
      <name val="Calibri"/>
    </font>
    <font>
      <b/>
      <sz val="11"/>
      <color theme="1"/>
      <name val="Calibri"/>
      <family val="2"/>
      <scheme val="minor"/>
    </font>
    <font>
      <vertAlign val="superscript"/>
      <sz val="11"/>
      <name val="Calibri"/>
    </font>
    <font>
      <vertAlign val="superscript"/>
      <sz val="12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0" fontId="3" fillId="0" borderId="0" xfId="1" applyFont="1" applyAlignment="1">
      <alignment horizontal="center"/>
    </xf>
    <xf numFmtId="3" fontId="3" fillId="0" borderId="0" xfId="1" applyNumberFormat="1" applyFont="1" applyAlignment="1">
      <alignment horizontal="center"/>
    </xf>
    <xf numFmtId="0" fontId="3" fillId="0" borderId="0" xfId="1" applyFont="1" applyFill="1" applyAlignment="1">
      <alignment horizontal="center"/>
    </xf>
    <xf numFmtId="0" fontId="5" fillId="0" borderId="0" xfId="1" applyFont="1" applyAlignment="1">
      <alignment horizontal="center"/>
    </xf>
    <xf numFmtId="3" fontId="5" fillId="0" borderId="0" xfId="1" applyNumberFormat="1" applyFont="1"/>
    <xf numFmtId="3" fontId="5" fillId="0" borderId="0" xfId="1" applyNumberFormat="1" applyFont="1" applyAlignment="1">
      <alignment horizontal="center"/>
    </xf>
    <xf numFmtId="0" fontId="5" fillId="0" borderId="0" xfId="1" applyFont="1"/>
    <xf numFmtId="0" fontId="6" fillId="0" borderId="0" xfId="0" applyFont="1"/>
    <xf numFmtId="0" fontId="5" fillId="0" borderId="0" xfId="1" applyFont="1" applyFill="1" applyAlignment="1">
      <alignment horizontal="center"/>
    </xf>
    <xf numFmtId="0" fontId="5" fillId="0" borderId="0" xfId="0" applyFont="1"/>
    <xf numFmtId="3" fontId="6" fillId="0" borderId="0" xfId="0" applyNumberFormat="1" applyFont="1"/>
    <xf numFmtId="0" fontId="5" fillId="0" borderId="2" xfId="1" applyFont="1" applyBorder="1" applyAlignment="1">
      <alignment horizontal="center"/>
    </xf>
    <xf numFmtId="3" fontId="5" fillId="0" borderId="2" xfId="1" applyNumberFormat="1" applyFont="1" applyBorder="1"/>
    <xf numFmtId="3" fontId="5" fillId="0" borderId="2" xfId="1" applyNumberFormat="1" applyFont="1" applyBorder="1" applyAlignment="1">
      <alignment horizontal="center"/>
    </xf>
    <xf numFmtId="0" fontId="5" fillId="0" borderId="2" xfId="1" applyFont="1" applyBorder="1"/>
    <xf numFmtId="0" fontId="5" fillId="0" borderId="2" xfId="1" applyFont="1" applyFill="1" applyBorder="1" applyAlignment="1">
      <alignment horizontal="center"/>
    </xf>
    <xf numFmtId="0" fontId="6" fillId="0" borderId="2" xfId="0" applyFont="1" applyBorder="1"/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1" applyFont="1" applyFill="1" applyBorder="1"/>
    <xf numFmtId="3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abSelected="1" topLeftCell="C1" workbookViewId="0">
      <selection activeCell="S1" sqref="S1:S1048576"/>
    </sheetView>
  </sheetViews>
  <sheetFormatPr baseColWidth="10" defaultRowHeight="15" x14ac:dyDescent="0"/>
  <cols>
    <col min="19" max="19" width="24.5" customWidth="1"/>
  </cols>
  <sheetData>
    <row r="1" spans="1:19">
      <c r="A1" s="1" t="s">
        <v>0</v>
      </c>
      <c r="B1" s="2"/>
      <c r="C1" s="2"/>
      <c r="D1" s="3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"/>
    </row>
    <row r="2" spans="1:19" ht="16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6" t="s">
        <v>19</v>
      </c>
    </row>
    <row r="3" spans="1:19">
      <c r="A3" s="7" t="s">
        <v>20</v>
      </c>
      <c r="B3" s="8">
        <v>14100</v>
      </c>
      <c r="C3" s="8">
        <v>18100</v>
      </c>
      <c r="D3" s="9">
        <f>(C3-B3)</f>
        <v>4000</v>
      </c>
      <c r="E3" s="10" t="s">
        <v>21</v>
      </c>
      <c r="F3" s="7" t="s">
        <v>22</v>
      </c>
      <c r="G3" s="7" t="s">
        <v>22</v>
      </c>
      <c r="H3" s="7" t="s">
        <v>22</v>
      </c>
      <c r="I3" s="7" t="s">
        <v>22</v>
      </c>
      <c r="J3" s="7" t="s">
        <v>22</v>
      </c>
      <c r="K3" s="7" t="s">
        <v>22</v>
      </c>
      <c r="L3" s="7" t="s">
        <v>22</v>
      </c>
      <c r="M3" s="7" t="s">
        <v>22</v>
      </c>
      <c r="N3" s="7" t="s">
        <v>22</v>
      </c>
      <c r="O3" s="7" t="s">
        <v>22</v>
      </c>
      <c r="P3" s="7" t="s">
        <v>22</v>
      </c>
      <c r="Q3" s="7">
        <v>5</v>
      </c>
      <c r="R3" s="7" t="s">
        <v>23</v>
      </c>
      <c r="S3" s="11" t="s">
        <v>24</v>
      </c>
    </row>
    <row r="4" spans="1:19">
      <c r="A4" s="7" t="s">
        <v>20</v>
      </c>
      <c r="B4" s="8">
        <v>20700</v>
      </c>
      <c r="C4" s="8">
        <v>25600</v>
      </c>
      <c r="D4" s="9">
        <f t="shared" ref="D4:D40" si="0">(C4-B4)</f>
        <v>4900</v>
      </c>
      <c r="E4" s="10" t="s">
        <v>21</v>
      </c>
      <c r="F4" s="7" t="s">
        <v>22</v>
      </c>
      <c r="G4" s="7">
        <v>53</v>
      </c>
      <c r="H4" s="7">
        <v>8</v>
      </c>
      <c r="I4" s="7">
        <v>2</v>
      </c>
      <c r="J4" s="7">
        <v>1</v>
      </c>
      <c r="K4" s="7">
        <v>95</v>
      </c>
      <c r="L4" s="7">
        <v>7</v>
      </c>
      <c r="M4" s="7">
        <v>38</v>
      </c>
      <c r="N4" s="7">
        <v>24</v>
      </c>
      <c r="O4" s="7">
        <v>16</v>
      </c>
      <c r="P4" s="7">
        <v>24</v>
      </c>
      <c r="Q4" s="7">
        <v>4</v>
      </c>
      <c r="R4" s="7" t="s">
        <v>25</v>
      </c>
      <c r="S4" s="11" t="s">
        <v>26</v>
      </c>
    </row>
    <row r="5" spans="1:19">
      <c r="A5" s="7" t="s">
        <v>27</v>
      </c>
      <c r="B5" s="8">
        <v>850600</v>
      </c>
      <c r="C5" s="8">
        <v>856800</v>
      </c>
      <c r="D5" s="9">
        <f t="shared" si="0"/>
        <v>6200</v>
      </c>
      <c r="E5" s="10" t="s">
        <v>21</v>
      </c>
      <c r="F5" s="7" t="s">
        <v>22</v>
      </c>
      <c r="G5" s="7">
        <v>21</v>
      </c>
      <c r="H5" s="7">
        <v>80</v>
      </c>
      <c r="I5" s="7">
        <v>536</v>
      </c>
      <c r="J5" s="7">
        <v>38</v>
      </c>
      <c r="K5" s="7">
        <v>120</v>
      </c>
      <c r="L5" s="7">
        <v>70</v>
      </c>
      <c r="M5" s="7">
        <v>72</v>
      </c>
      <c r="N5" s="7">
        <v>104</v>
      </c>
      <c r="O5" s="7">
        <v>25</v>
      </c>
      <c r="P5" s="7">
        <v>241</v>
      </c>
      <c r="Q5" s="7">
        <v>242</v>
      </c>
      <c r="R5" s="7" t="s">
        <v>25</v>
      </c>
      <c r="S5" s="11" t="s">
        <v>28</v>
      </c>
    </row>
    <row r="6" spans="1:19">
      <c r="A6" s="7" t="s">
        <v>29</v>
      </c>
      <c r="B6" s="8">
        <v>69000</v>
      </c>
      <c r="C6" s="8">
        <v>79200</v>
      </c>
      <c r="D6" s="9">
        <f t="shared" si="0"/>
        <v>10200</v>
      </c>
      <c r="E6" s="10" t="s">
        <v>21</v>
      </c>
      <c r="F6" s="7" t="s">
        <v>22</v>
      </c>
      <c r="G6" s="7">
        <v>446</v>
      </c>
      <c r="H6" s="7">
        <v>284</v>
      </c>
      <c r="I6" s="7">
        <v>627</v>
      </c>
      <c r="J6" s="7">
        <v>107</v>
      </c>
      <c r="K6" s="7">
        <v>628</v>
      </c>
      <c r="L6" s="7">
        <v>238</v>
      </c>
      <c r="M6" s="7">
        <v>402</v>
      </c>
      <c r="N6" s="7">
        <v>350</v>
      </c>
      <c r="O6" s="7">
        <v>156</v>
      </c>
      <c r="P6" s="7">
        <v>670</v>
      </c>
      <c r="Q6" s="7">
        <v>493</v>
      </c>
      <c r="R6" s="7" t="s">
        <v>25</v>
      </c>
      <c r="S6" s="11" t="s">
        <v>30</v>
      </c>
    </row>
    <row r="7" spans="1:19">
      <c r="A7" s="7" t="s">
        <v>29</v>
      </c>
      <c r="B7" s="8">
        <v>558300</v>
      </c>
      <c r="C7" s="8">
        <v>599100</v>
      </c>
      <c r="D7" s="9">
        <f t="shared" si="0"/>
        <v>40800</v>
      </c>
      <c r="E7" s="10" t="s">
        <v>21</v>
      </c>
      <c r="F7" s="7" t="s">
        <v>22</v>
      </c>
      <c r="G7" s="7">
        <v>1022</v>
      </c>
      <c r="H7" s="7">
        <v>555</v>
      </c>
      <c r="I7" s="7">
        <v>848</v>
      </c>
      <c r="J7" s="7">
        <v>200</v>
      </c>
      <c r="K7" s="7">
        <v>913</v>
      </c>
      <c r="L7" s="7">
        <v>124</v>
      </c>
      <c r="M7" s="7">
        <v>495</v>
      </c>
      <c r="N7" s="7">
        <v>361</v>
      </c>
      <c r="O7" s="7">
        <v>113</v>
      </c>
      <c r="P7" s="7">
        <v>685</v>
      </c>
      <c r="Q7" s="7">
        <v>466</v>
      </c>
      <c r="R7" s="7" t="s">
        <v>25</v>
      </c>
      <c r="S7" s="11" t="s">
        <v>31</v>
      </c>
    </row>
    <row r="8" spans="1:19">
      <c r="A8" s="7" t="s">
        <v>32</v>
      </c>
      <c r="B8" s="8">
        <v>552500</v>
      </c>
      <c r="C8" s="8">
        <v>566100</v>
      </c>
      <c r="D8" s="9">
        <f t="shared" si="0"/>
        <v>13600</v>
      </c>
      <c r="E8" s="10" t="s">
        <v>21</v>
      </c>
      <c r="F8" s="7" t="s">
        <v>22</v>
      </c>
      <c r="G8" s="7">
        <v>58</v>
      </c>
      <c r="H8" s="7">
        <v>45</v>
      </c>
      <c r="I8" s="7">
        <v>176</v>
      </c>
      <c r="J8" s="7">
        <v>4</v>
      </c>
      <c r="K8" s="7">
        <v>44</v>
      </c>
      <c r="L8" s="7" t="s">
        <v>22</v>
      </c>
      <c r="M8" s="7" t="s">
        <v>22</v>
      </c>
      <c r="N8" s="7">
        <v>27</v>
      </c>
      <c r="O8" s="7" t="s">
        <v>22</v>
      </c>
      <c r="P8" s="7">
        <v>6</v>
      </c>
      <c r="Q8" s="7">
        <v>74</v>
      </c>
      <c r="R8" s="7" t="s">
        <v>25</v>
      </c>
      <c r="S8" s="11" t="s">
        <v>33</v>
      </c>
    </row>
    <row r="9" spans="1:19">
      <c r="A9" s="7" t="s">
        <v>32</v>
      </c>
      <c r="B9" s="8">
        <v>895200</v>
      </c>
      <c r="C9" s="8">
        <v>905300</v>
      </c>
      <c r="D9" s="9">
        <f t="shared" si="0"/>
        <v>10100</v>
      </c>
      <c r="E9" s="10" t="s">
        <v>21</v>
      </c>
      <c r="F9" s="7" t="s">
        <v>22</v>
      </c>
      <c r="G9" s="7">
        <v>185</v>
      </c>
      <c r="H9" s="7">
        <v>392</v>
      </c>
      <c r="I9" s="7">
        <v>1520</v>
      </c>
      <c r="J9" s="7">
        <v>128</v>
      </c>
      <c r="K9" s="7">
        <v>523</v>
      </c>
      <c r="L9" s="7">
        <v>234</v>
      </c>
      <c r="M9" s="7">
        <v>411</v>
      </c>
      <c r="N9" s="7">
        <v>38</v>
      </c>
      <c r="O9" s="7">
        <v>162</v>
      </c>
      <c r="P9" s="7">
        <v>250</v>
      </c>
      <c r="Q9" s="7">
        <v>306</v>
      </c>
      <c r="R9" s="7" t="s">
        <v>25</v>
      </c>
      <c r="S9" s="11" t="s">
        <v>34</v>
      </c>
    </row>
    <row r="10" spans="1:19">
      <c r="A10" s="7" t="s">
        <v>32</v>
      </c>
      <c r="B10" s="8">
        <v>1353500</v>
      </c>
      <c r="C10" s="8">
        <v>1361000</v>
      </c>
      <c r="D10" s="9">
        <f t="shared" si="0"/>
        <v>7500</v>
      </c>
      <c r="E10" s="10" t="s">
        <v>21</v>
      </c>
      <c r="F10" s="7" t="s">
        <v>22</v>
      </c>
      <c r="G10" s="7" t="s">
        <v>22</v>
      </c>
      <c r="H10" s="7">
        <v>13</v>
      </c>
      <c r="I10" s="7">
        <v>421</v>
      </c>
      <c r="J10" s="7" t="s">
        <v>22</v>
      </c>
      <c r="K10" s="7">
        <v>152</v>
      </c>
      <c r="L10" s="7">
        <v>41</v>
      </c>
      <c r="M10" s="7">
        <v>23</v>
      </c>
      <c r="N10" s="7">
        <v>8</v>
      </c>
      <c r="O10" s="7">
        <v>62</v>
      </c>
      <c r="P10" s="7">
        <v>82</v>
      </c>
      <c r="Q10" s="7">
        <v>120</v>
      </c>
      <c r="R10" s="7" t="s">
        <v>25</v>
      </c>
      <c r="S10" s="11" t="s">
        <v>35</v>
      </c>
    </row>
    <row r="11" spans="1:19">
      <c r="A11" s="7" t="s">
        <v>36</v>
      </c>
      <c r="B11" s="8">
        <v>71800</v>
      </c>
      <c r="C11" s="8">
        <v>74000</v>
      </c>
      <c r="D11" s="9">
        <f t="shared" si="0"/>
        <v>2200</v>
      </c>
      <c r="E11" s="10" t="s">
        <v>21</v>
      </c>
      <c r="F11" s="7" t="s">
        <v>22</v>
      </c>
      <c r="G11" s="7">
        <v>116</v>
      </c>
      <c r="H11" s="7" t="s">
        <v>22</v>
      </c>
      <c r="I11" s="7" t="s">
        <v>22</v>
      </c>
      <c r="J11" s="7">
        <v>4</v>
      </c>
      <c r="K11" s="7" t="s">
        <v>22</v>
      </c>
      <c r="L11" s="7" t="s">
        <v>22</v>
      </c>
      <c r="M11" s="7" t="s">
        <v>22</v>
      </c>
      <c r="N11" s="7" t="s">
        <v>22</v>
      </c>
      <c r="O11" s="7" t="s">
        <v>22</v>
      </c>
      <c r="P11" s="7" t="s">
        <v>22</v>
      </c>
      <c r="Q11" s="7" t="s">
        <v>22</v>
      </c>
      <c r="R11" s="7" t="s">
        <v>23</v>
      </c>
      <c r="S11" s="11" t="s">
        <v>37</v>
      </c>
    </row>
    <row r="12" spans="1:19">
      <c r="A12" s="7" t="s">
        <v>38</v>
      </c>
      <c r="B12" s="8">
        <v>1389900</v>
      </c>
      <c r="C12" s="8">
        <v>1390900</v>
      </c>
      <c r="D12" s="9">
        <f t="shared" si="0"/>
        <v>1000</v>
      </c>
      <c r="E12" s="10" t="s">
        <v>21</v>
      </c>
      <c r="F12" s="7" t="s">
        <v>22</v>
      </c>
      <c r="G12" s="7" t="s">
        <v>22</v>
      </c>
      <c r="H12" s="7" t="s">
        <v>22</v>
      </c>
      <c r="I12" s="7" t="s">
        <v>22</v>
      </c>
      <c r="J12" s="7" t="s">
        <v>22</v>
      </c>
      <c r="K12" s="7" t="s">
        <v>22</v>
      </c>
      <c r="L12" s="7">
        <v>2</v>
      </c>
      <c r="M12" s="7" t="s">
        <v>22</v>
      </c>
      <c r="N12" s="7" t="s">
        <v>22</v>
      </c>
      <c r="O12" s="7" t="s">
        <v>22</v>
      </c>
      <c r="P12" s="7" t="s">
        <v>22</v>
      </c>
      <c r="Q12" s="7" t="s">
        <v>22</v>
      </c>
      <c r="R12" s="7" t="s">
        <v>39</v>
      </c>
      <c r="S12" s="11" t="s">
        <v>33</v>
      </c>
    </row>
    <row r="13" spans="1:19">
      <c r="A13" s="7" t="s">
        <v>40</v>
      </c>
      <c r="B13" s="8">
        <v>1536000</v>
      </c>
      <c r="C13" s="8">
        <v>1537600</v>
      </c>
      <c r="D13" s="9">
        <f t="shared" si="0"/>
        <v>1600</v>
      </c>
      <c r="E13" s="10" t="s">
        <v>21</v>
      </c>
      <c r="F13" s="7" t="s">
        <v>22</v>
      </c>
      <c r="G13" s="7" t="s">
        <v>22</v>
      </c>
      <c r="H13" s="7" t="s">
        <v>22</v>
      </c>
      <c r="I13" s="7" t="s">
        <v>22</v>
      </c>
      <c r="J13" s="7" t="s">
        <v>22</v>
      </c>
      <c r="K13" s="7" t="s">
        <v>22</v>
      </c>
      <c r="L13" s="7" t="s">
        <v>22</v>
      </c>
      <c r="M13" s="7" t="s">
        <v>22</v>
      </c>
      <c r="N13" s="7" t="s">
        <v>22</v>
      </c>
      <c r="O13" s="7" t="s">
        <v>22</v>
      </c>
      <c r="P13" s="7" t="s">
        <v>22</v>
      </c>
      <c r="Q13" s="7">
        <v>82</v>
      </c>
      <c r="R13" s="7" t="s">
        <v>23</v>
      </c>
      <c r="S13" s="11" t="s">
        <v>33</v>
      </c>
    </row>
    <row r="14" spans="1:19">
      <c r="A14" s="7" t="s">
        <v>41</v>
      </c>
      <c r="B14" s="8">
        <v>1218000</v>
      </c>
      <c r="C14" s="8">
        <v>1264500</v>
      </c>
      <c r="D14" s="9">
        <f t="shared" si="0"/>
        <v>46500</v>
      </c>
      <c r="E14" s="10" t="s">
        <v>21</v>
      </c>
      <c r="F14" s="7" t="s">
        <v>22</v>
      </c>
      <c r="G14" s="7">
        <v>1115</v>
      </c>
      <c r="H14" s="7">
        <v>1877</v>
      </c>
      <c r="I14" s="7">
        <v>5011</v>
      </c>
      <c r="J14" s="7">
        <v>505</v>
      </c>
      <c r="K14" s="7">
        <v>2438</v>
      </c>
      <c r="L14" s="7">
        <v>803</v>
      </c>
      <c r="M14" s="7">
        <v>1531</v>
      </c>
      <c r="N14" s="7">
        <v>1205</v>
      </c>
      <c r="O14" s="7">
        <v>412</v>
      </c>
      <c r="P14" s="7">
        <v>1876</v>
      </c>
      <c r="Q14" s="7">
        <v>2037</v>
      </c>
      <c r="R14" s="7" t="s">
        <v>25</v>
      </c>
      <c r="S14" s="11" t="s">
        <v>42</v>
      </c>
    </row>
    <row r="15" spans="1:19">
      <c r="A15" s="7" t="s">
        <v>43</v>
      </c>
      <c r="B15" s="8">
        <v>1022300</v>
      </c>
      <c r="C15" s="8">
        <v>1028700</v>
      </c>
      <c r="D15" s="9">
        <f t="shared" si="0"/>
        <v>6400</v>
      </c>
      <c r="E15" s="10" t="s">
        <v>21</v>
      </c>
      <c r="F15" s="7" t="s">
        <v>22</v>
      </c>
      <c r="G15" s="7" t="s">
        <v>22</v>
      </c>
      <c r="H15" s="7" t="s">
        <v>22</v>
      </c>
      <c r="I15" s="7" t="s">
        <v>22</v>
      </c>
      <c r="J15" s="7" t="s">
        <v>22</v>
      </c>
      <c r="K15" s="7" t="s">
        <v>22</v>
      </c>
      <c r="L15" s="7" t="s">
        <v>22</v>
      </c>
      <c r="M15" s="7">
        <v>4</v>
      </c>
      <c r="N15" s="7" t="s">
        <v>22</v>
      </c>
      <c r="O15" s="7" t="s">
        <v>22</v>
      </c>
      <c r="P15" s="7" t="s">
        <v>22</v>
      </c>
      <c r="Q15" s="7" t="s">
        <v>22</v>
      </c>
      <c r="R15" s="7" t="s">
        <v>39</v>
      </c>
      <c r="S15" s="11" t="s">
        <v>28</v>
      </c>
    </row>
    <row r="16" spans="1:19">
      <c r="A16" s="7" t="s">
        <v>44</v>
      </c>
      <c r="B16" s="8">
        <v>762100</v>
      </c>
      <c r="C16" s="8">
        <v>778800</v>
      </c>
      <c r="D16" s="9">
        <f t="shared" si="0"/>
        <v>16700</v>
      </c>
      <c r="E16" s="10" t="s">
        <v>21</v>
      </c>
      <c r="F16" s="7" t="s">
        <v>22</v>
      </c>
      <c r="G16" s="7">
        <v>843</v>
      </c>
      <c r="H16" s="7">
        <v>200</v>
      </c>
      <c r="I16" s="7">
        <v>870</v>
      </c>
      <c r="J16" s="7">
        <v>99</v>
      </c>
      <c r="K16" s="7">
        <v>538</v>
      </c>
      <c r="L16" s="7">
        <v>160</v>
      </c>
      <c r="M16" s="7">
        <v>190</v>
      </c>
      <c r="N16" s="7">
        <v>253</v>
      </c>
      <c r="O16" s="7">
        <v>61</v>
      </c>
      <c r="P16" s="7">
        <v>353</v>
      </c>
      <c r="Q16" s="7">
        <v>250</v>
      </c>
      <c r="R16" s="7" t="s">
        <v>25</v>
      </c>
      <c r="S16" s="11" t="s">
        <v>45</v>
      </c>
    </row>
    <row r="17" spans="1:19">
      <c r="A17" s="7" t="s">
        <v>44</v>
      </c>
      <c r="B17" s="8">
        <v>2640400</v>
      </c>
      <c r="C17" s="8">
        <v>2641400</v>
      </c>
      <c r="D17" s="9">
        <f t="shared" si="0"/>
        <v>1000</v>
      </c>
      <c r="E17" s="10" t="s">
        <v>21</v>
      </c>
      <c r="F17" s="7" t="s">
        <v>22</v>
      </c>
      <c r="G17" s="7" t="s">
        <v>22</v>
      </c>
      <c r="H17" s="7" t="s">
        <v>22</v>
      </c>
      <c r="I17" s="7" t="s">
        <v>22</v>
      </c>
      <c r="J17" s="7" t="s">
        <v>22</v>
      </c>
      <c r="K17" s="7" t="s">
        <v>22</v>
      </c>
      <c r="L17" s="7" t="s">
        <v>22</v>
      </c>
      <c r="M17" s="7" t="s">
        <v>22</v>
      </c>
      <c r="N17" s="7" t="s">
        <v>22</v>
      </c>
      <c r="O17" s="7">
        <v>3</v>
      </c>
      <c r="P17" s="7" t="s">
        <v>22</v>
      </c>
      <c r="Q17" s="7" t="s">
        <v>22</v>
      </c>
      <c r="R17" s="7" t="s">
        <v>39</v>
      </c>
      <c r="S17" s="11" t="s">
        <v>28</v>
      </c>
    </row>
    <row r="18" spans="1:19">
      <c r="A18" s="7" t="s">
        <v>46</v>
      </c>
      <c r="B18" s="8">
        <v>1256100</v>
      </c>
      <c r="C18" s="8">
        <v>1257900</v>
      </c>
      <c r="D18" s="9">
        <f t="shared" si="0"/>
        <v>1800</v>
      </c>
      <c r="E18" s="10" t="s">
        <v>21</v>
      </c>
      <c r="F18" s="7" t="s">
        <v>22</v>
      </c>
      <c r="G18" s="7" t="s">
        <v>22</v>
      </c>
      <c r="H18" s="7" t="s">
        <v>22</v>
      </c>
      <c r="I18" s="7">
        <v>6</v>
      </c>
      <c r="J18" s="7" t="s">
        <v>22</v>
      </c>
      <c r="K18" s="7" t="s">
        <v>22</v>
      </c>
      <c r="L18" s="7" t="s">
        <v>22</v>
      </c>
      <c r="M18" s="7" t="s">
        <v>22</v>
      </c>
      <c r="N18" s="7" t="s">
        <v>22</v>
      </c>
      <c r="O18" s="7" t="s">
        <v>22</v>
      </c>
      <c r="P18" s="7" t="s">
        <v>22</v>
      </c>
      <c r="Q18" s="7" t="s">
        <v>22</v>
      </c>
      <c r="R18" s="7" t="s">
        <v>25</v>
      </c>
      <c r="S18" s="11" t="s">
        <v>47</v>
      </c>
    </row>
    <row r="19" spans="1:19">
      <c r="A19" s="7" t="s">
        <v>48</v>
      </c>
      <c r="B19" s="8">
        <v>16600</v>
      </c>
      <c r="C19" s="8">
        <v>20100</v>
      </c>
      <c r="D19" s="9">
        <f t="shared" si="0"/>
        <v>3500</v>
      </c>
      <c r="E19" s="10" t="s">
        <v>21</v>
      </c>
      <c r="F19" s="7" t="s">
        <v>22</v>
      </c>
      <c r="G19" s="7" t="s">
        <v>22</v>
      </c>
      <c r="H19" s="7">
        <v>9</v>
      </c>
      <c r="I19" s="7">
        <v>5</v>
      </c>
      <c r="J19" s="7">
        <v>5</v>
      </c>
      <c r="K19" s="7">
        <v>2</v>
      </c>
      <c r="L19" s="7">
        <v>6</v>
      </c>
      <c r="M19" s="7">
        <v>27</v>
      </c>
      <c r="N19" s="7">
        <v>15</v>
      </c>
      <c r="O19" s="7">
        <v>12</v>
      </c>
      <c r="P19" s="7">
        <v>22</v>
      </c>
      <c r="Q19" s="7">
        <v>16</v>
      </c>
      <c r="R19" s="7" t="s">
        <v>25</v>
      </c>
      <c r="S19" s="11" t="s">
        <v>28</v>
      </c>
    </row>
    <row r="20" spans="1:19">
      <c r="A20" s="7" t="s">
        <v>48</v>
      </c>
      <c r="B20" s="8">
        <v>780100</v>
      </c>
      <c r="C20" s="8">
        <v>781500</v>
      </c>
      <c r="D20" s="9">
        <f t="shared" si="0"/>
        <v>1400</v>
      </c>
      <c r="E20" s="10" t="s">
        <v>21</v>
      </c>
      <c r="F20" s="7" t="s">
        <v>22</v>
      </c>
      <c r="G20" s="7" t="s">
        <v>22</v>
      </c>
      <c r="H20" s="7" t="s">
        <v>22</v>
      </c>
      <c r="I20" s="7" t="s">
        <v>22</v>
      </c>
      <c r="J20" s="7" t="s">
        <v>22</v>
      </c>
      <c r="K20" s="7" t="s">
        <v>22</v>
      </c>
      <c r="L20" s="7" t="s">
        <v>22</v>
      </c>
      <c r="M20" s="7" t="s">
        <v>22</v>
      </c>
      <c r="N20" s="7" t="s">
        <v>22</v>
      </c>
      <c r="O20" s="7" t="s">
        <v>22</v>
      </c>
      <c r="P20" s="7" t="s">
        <v>22</v>
      </c>
      <c r="Q20" s="7">
        <v>20</v>
      </c>
      <c r="R20" s="7" t="s">
        <v>23</v>
      </c>
      <c r="S20" s="11" t="s">
        <v>33</v>
      </c>
    </row>
    <row r="21" spans="1:19">
      <c r="A21" s="7" t="s">
        <v>48</v>
      </c>
      <c r="B21" s="8">
        <v>3061600</v>
      </c>
      <c r="C21" s="8">
        <v>3069300</v>
      </c>
      <c r="D21" s="9">
        <f t="shared" si="0"/>
        <v>7700</v>
      </c>
      <c r="E21" s="10" t="s">
        <v>21</v>
      </c>
      <c r="F21" s="7" t="s">
        <v>22</v>
      </c>
      <c r="G21" s="7" t="s">
        <v>22</v>
      </c>
      <c r="H21" s="7">
        <v>7</v>
      </c>
      <c r="I21" s="7">
        <v>81</v>
      </c>
      <c r="J21" s="7" t="s">
        <v>22</v>
      </c>
      <c r="K21" s="7">
        <v>52</v>
      </c>
      <c r="L21" s="7" t="s">
        <v>22</v>
      </c>
      <c r="M21" s="7">
        <v>62</v>
      </c>
      <c r="N21" s="7">
        <v>15</v>
      </c>
      <c r="O21" s="7">
        <v>27</v>
      </c>
      <c r="P21" s="7">
        <v>18</v>
      </c>
      <c r="Q21" s="7" t="s">
        <v>22</v>
      </c>
      <c r="R21" s="7" t="s">
        <v>23</v>
      </c>
      <c r="S21" s="11" t="s">
        <v>49</v>
      </c>
    </row>
    <row r="22" spans="1:19">
      <c r="A22" s="7" t="s">
        <v>20</v>
      </c>
      <c r="B22" s="8">
        <v>20800</v>
      </c>
      <c r="C22" s="8">
        <v>25500</v>
      </c>
      <c r="D22" s="9">
        <f t="shared" si="0"/>
        <v>4700</v>
      </c>
      <c r="E22" s="10" t="s">
        <v>50</v>
      </c>
      <c r="F22" s="7" t="s">
        <v>22</v>
      </c>
      <c r="G22" s="7">
        <v>64</v>
      </c>
      <c r="H22" s="7">
        <v>7</v>
      </c>
      <c r="I22" s="7">
        <v>2</v>
      </c>
      <c r="J22" s="7">
        <v>4</v>
      </c>
      <c r="K22" s="7">
        <v>74</v>
      </c>
      <c r="L22" s="7" t="s">
        <v>22</v>
      </c>
      <c r="M22" s="7">
        <v>51</v>
      </c>
      <c r="N22" s="7">
        <v>29</v>
      </c>
      <c r="O22" s="7">
        <v>22</v>
      </c>
      <c r="P22" s="7">
        <v>60</v>
      </c>
      <c r="Q22" s="7">
        <v>12</v>
      </c>
      <c r="R22" s="12" t="s">
        <v>25</v>
      </c>
      <c r="S22" s="11" t="s">
        <v>51</v>
      </c>
    </row>
    <row r="23" spans="1:19">
      <c r="A23" s="7" t="s">
        <v>27</v>
      </c>
      <c r="B23" s="8">
        <v>850900</v>
      </c>
      <c r="C23" s="8">
        <v>856700</v>
      </c>
      <c r="D23" s="9">
        <f t="shared" si="0"/>
        <v>5800</v>
      </c>
      <c r="E23" s="10" t="s">
        <v>50</v>
      </c>
      <c r="F23" s="7" t="s">
        <v>22</v>
      </c>
      <c r="G23" s="7">
        <v>124</v>
      </c>
      <c r="H23" s="7">
        <v>142</v>
      </c>
      <c r="I23" s="7">
        <v>450</v>
      </c>
      <c r="J23" s="7">
        <v>22</v>
      </c>
      <c r="K23" s="7">
        <v>238</v>
      </c>
      <c r="L23" s="7">
        <v>69</v>
      </c>
      <c r="M23" s="7">
        <v>78</v>
      </c>
      <c r="N23" s="7">
        <v>128</v>
      </c>
      <c r="O23" s="7">
        <v>12</v>
      </c>
      <c r="P23" s="7">
        <v>179</v>
      </c>
      <c r="Q23" s="7">
        <v>190</v>
      </c>
      <c r="R23" s="12" t="s">
        <v>25</v>
      </c>
      <c r="S23" s="11" t="s">
        <v>28</v>
      </c>
    </row>
    <row r="24" spans="1:19">
      <c r="A24" s="7" t="s">
        <v>27</v>
      </c>
      <c r="B24" s="8">
        <v>1004100</v>
      </c>
      <c r="C24" s="8">
        <v>1006300</v>
      </c>
      <c r="D24" s="9">
        <f t="shared" si="0"/>
        <v>2200</v>
      </c>
      <c r="E24" s="10" t="s">
        <v>50</v>
      </c>
      <c r="F24" s="7" t="s">
        <v>22</v>
      </c>
      <c r="G24" s="7" t="s">
        <v>22</v>
      </c>
      <c r="H24" s="7" t="s">
        <v>22</v>
      </c>
      <c r="I24" s="7" t="s">
        <v>22</v>
      </c>
      <c r="J24" s="7" t="s">
        <v>22</v>
      </c>
      <c r="K24" s="7" t="s">
        <v>22</v>
      </c>
      <c r="L24" s="7" t="s">
        <v>22</v>
      </c>
      <c r="M24" s="7">
        <v>15</v>
      </c>
      <c r="N24" s="7">
        <v>24</v>
      </c>
      <c r="O24" s="7" t="s">
        <v>22</v>
      </c>
      <c r="P24" s="7" t="s">
        <v>22</v>
      </c>
      <c r="Q24" s="7" t="s">
        <v>22</v>
      </c>
      <c r="R24" s="12" t="s">
        <v>25</v>
      </c>
      <c r="S24" s="11" t="s">
        <v>51</v>
      </c>
    </row>
    <row r="25" spans="1:19">
      <c r="A25" s="7" t="s">
        <v>29</v>
      </c>
      <c r="B25" s="8">
        <v>69000</v>
      </c>
      <c r="C25" s="8">
        <v>78900</v>
      </c>
      <c r="D25" s="9">
        <f t="shared" si="0"/>
        <v>9900</v>
      </c>
      <c r="E25" s="10" t="s">
        <v>50</v>
      </c>
      <c r="F25" s="7" t="s">
        <v>22</v>
      </c>
      <c r="G25" s="7">
        <v>293</v>
      </c>
      <c r="H25" s="7">
        <v>280</v>
      </c>
      <c r="I25" s="7">
        <v>701</v>
      </c>
      <c r="J25" s="7">
        <v>91</v>
      </c>
      <c r="K25" s="7">
        <v>467</v>
      </c>
      <c r="L25" s="7">
        <v>180</v>
      </c>
      <c r="M25" s="7">
        <v>324</v>
      </c>
      <c r="N25" s="7">
        <v>293</v>
      </c>
      <c r="O25" s="7">
        <v>152</v>
      </c>
      <c r="P25" s="7">
        <v>651</v>
      </c>
      <c r="Q25" s="7">
        <v>448</v>
      </c>
      <c r="R25" s="12" t="s">
        <v>25</v>
      </c>
      <c r="S25" s="11" t="s">
        <v>30</v>
      </c>
    </row>
    <row r="26" spans="1:19">
      <c r="A26" s="7" t="s">
        <v>29</v>
      </c>
      <c r="B26" s="8">
        <v>554100</v>
      </c>
      <c r="C26" s="8">
        <v>599000</v>
      </c>
      <c r="D26" s="9">
        <f t="shared" si="0"/>
        <v>44900</v>
      </c>
      <c r="E26" s="10" t="s">
        <v>50</v>
      </c>
      <c r="F26" s="7" t="s">
        <v>22</v>
      </c>
      <c r="G26" s="7">
        <v>778</v>
      </c>
      <c r="H26" s="7">
        <v>504</v>
      </c>
      <c r="I26" s="7">
        <v>793</v>
      </c>
      <c r="J26" s="7">
        <v>185</v>
      </c>
      <c r="K26" s="7">
        <v>904</v>
      </c>
      <c r="L26" s="7">
        <v>104</v>
      </c>
      <c r="M26" s="7">
        <v>397</v>
      </c>
      <c r="N26" s="7">
        <v>302</v>
      </c>
      <c r="O26" s="7">
        <v>80</v>
      </c>
      <c r="P26" s="7">
        <v>562</v>
      </c>
      <c r="Q26" s="7">
        <v>248</v>
      </c>
      <c r="R26" s="12" t="s">
        <v>25</v>
      </c>
      <c r="S26" s="11" t="s">
        <v>31</v>
      </c>
    </row>
    <row r="27" spans="1:19">
      <c r="A27" s="7" t="s">
        <v>32</v>
      </c>
      <c r="B27" s="8">
        <v>552500</v>
      </c>
      <c r="C27" s="8">
        <v>555000</v>
      </c>
      <c r="D27" s="9">
        <f t="shared" si="0"/>
        <v>2500</v>
      </c>
      <c r="E27" s="10" t="s">
        <v>50</v>
      </c>
      <c r="F27" s="7" t="s">
        <v>22</v>
      </c>
      <c r="G27" s="7">
        <v>129</v>
      </c>
      <c r="H27" s="7">
        <v>33</v>
      </c>
      <c r="I27" s="7">
        <v>143</v>
      </c>
      <c r="J27" s="7">
        <v>10</v>
      </c>
      <c r="K27" s="7">
        <v>27</v>
      </c>
      <c r="L27" s="7" t="s">
        <v>22</v>
      </c>
      <c r="M27" s="7" t="s">
        <v>22</v>
      </c>
      <c r="N27" s="7">
        <v>10</v>
      </c>
      <c r="O27" s="7" t="s">
        <v>22</v>
      </c>
      <c r="P27" s="7">
        <v>4</v>
      </c>
      <c r="Q27" s="7">
        <v>68</v>
      </c>
      <c r="R27" s="12" t="s">
        <v>25</v>
      </c>
      <c r="S27" s="11" t="s">
        <v>33</v>
      </c>
    </row>
    <row r="28" spans="1:19">
      <c r="A28" s="7" t="s">
        <v>32</v>
      </c>
      <c r="B28" s="8">
        <v>895200</v>
      </c>
      <c r="C28" s="8">
        <v>905200</v>
      </c>
      <c r="D28" s="9">
        <f t="shared" si="0"/>
        <v>10000</v>
      </c>
      <c r="E28" s="10" t="s">
        <v>50</v>
      </c>
      <c r="F28" s="7" t="s">
        <v>22</v>
      </c>
      <c r="G28" s="7">
        <v>318</v>
      </c>
      <c r="H28" s="7">
        <v>302</v>
      </c>
      <c r="I28" s="7">
        <v>1040</v>
      </c>
      <c r="J28" s="7">
        <v>114</v>
      </c>
      <c r="K28" s="7">
        <v>239</v>
      </c>
      <c r="L28" s="7">
        <v>159</v>
      </c>
      <c r="M28" s="7">
        <v>314</v>
      </c>
      <c r="N28" s="7">
        <v>41</v>
      </c>
      <c r="O28" s="7">
        <v>94</v>
      </c>
      <c r="P28" s="7">
        <v>282</v>
      </c>
      <c r="Q28" s="7">
        <v>320</v>
      </c>
      <c r="R28" s="12" t="s">
        <v>25</v>
      </c>
      <c r="S28" s="11" t="s">
        <v>34</v>
      </c>
    </row>
    <row r="29" spans="1:19">
      <c r="A29" s="7" t="s">
        <v>32</v>
      </c>
      <c r="B29" s="8">
        <v>1353700</v>
      </c>
      <c r="C29" s="8">
        <v>1360800</v>
      </c>
      <c r="D29" s="9">
        <f t="shared" si="0"/>
        <v>7100</v>
      </c>
      <c r="E29" s="10" t="s">
        <v>50</v>
      </c>
      <c r="F29" s="7" t="s">
        <v>22</v>
      </c>
      <c r="G29" s="7" t="s">
        <v>22</v>
      </c>
      <c r="H29" s="7">
        <v>14</v>
      </c>
      <c r="I29" s="7">
        <v>411</v>
      </c>
      <c r="J29" s="7" t="s">
        <v>22</v>
      </c>
      <c r="K29" s="7">
        <v>95</v>
      </c>
      <c r="L29" s="7">
        <v>33</v>
      </c>
      <c r="M29" s="7">
        <v>28</v>
      </c>
      <c r="N29" s="7">
        <v>11</v>
      </c>
      <c r="O29" s="7">
        <v>26</v>
      </c>
      <c r="P29" s="7">
        <v>112</v>
      </c>
      <c r="Q29" s="7">
        <v>62</v>
      </c>
      <c r="R29" s="12" t="s">
        <v>25</v>
      </c>
      <c r="S29" s="11" t="s">
        <v>35</v>
      </c>
    </row>
    <row r="30" spans="1:19">
      <c r="A30" s="7" t="s">
        <v>36</v>
      </c>
      <c r="B30" s="8">
        <v>382600</v>
      </c>
      <c r="C30" s="8">
        <v>390700</v>
      </c>
      <c r="D30" s="9">
        <f t="shared" si="0"/>
        <v>8100</v>
      </c>
      <c r="E30" s="10" t="s">
        <v>50</v>
      </c>
      <c r="F30" s="7" t="s">
        <v>22</v>
      </c>
      <c r="G30" s="7" t="s">
        <v>22</v>
      </c>
      <c r="H30" s="7" t="s">
        <v>22</v>
      </c>
      <c r="I30" s="7" t="s">
        <v>22</v>
      </c>
      <c r="J30" s="7" t="s">
        <v>22</v>
      </c>
      <c r="K30" s="7" t="s">
        <v>22</v>
      </c>
      <c r="L30" s="7">
        <v>21</v>
      </c>
      <c r="M30" s="7">
        <v>2</v>
      </c>
      <c r="N30" s="7" t="s">
        <v>22</v>
      </c>
      <c r="O30" s="7" t="s">
        <v>22</v>
      </c>
      <c r="P30" s="7">
        <v>3</v>
      </c>
      <c r="Q30" s="7" t="s">
        <v>22</v>
      </c>
      <c r="R30" s="12" t="s">
        <v>23</v>
      </c>
      <c r="S30" s="13" t="s">
        <v>52</v>
      </c>
    </row>
    <row r="31" spans="1:19">
      <c r="A31" s="7" t="s">
        <v>41</v>
      </c>
      <c r="B31" s="8">
        <v>1218200</v>
      </c>
      <c r="C31" s="8">
        <v>1264200</v>
      </c>
      <c r="D31" s="9">
        <f t="shared" si="0"/>
        <v>46000</v>
      </c>
      <c r="E31" s="10" t="s">
        <v>50</v>
      </c>
      <c r="F31" s="7" t="s">
        <v>22</v>
      </c>
      <c r="G31" s="7">
        <v>1370</v>
      </c>
      <c r="H31" s="7">
        <v>1533</v>
      </c>
      <c r="I31" s="7">
        <v>4726</v>
      </c>
      <c r="J31" s="7">
        <v>486</v>
      </c>
      <c r="K31" s="7">
        <v>2805</v>
      </c>
      <c r="L31" s="7">
        <v>703</v>
      </c>
      <c r="M31" s="7">
        <v>1443</v>
      </c>
      <c r="N31" s="7">
        <v>1400</v>
      </c>
      <c r="O31" s="7">
        <v>341</v>
      </c>
      <c r="P31" s="7">
        <v>1723</v>
      </c>
      <c r="Q31" s="7">
        <v>2360</v>
      </c>
      <c r="R31" s="12" t="s">
        <v>25</v>
      </c>
      <c r="S31" s="14" t="s">
        <v>53</v>
      </c>
    </row>
    <row r="32" spans="1:19">
      <c r="A32" s="7" t="s">
        <v>44</v>
      </c>
      <c r="B32" s="8">
        <v>762200</v>
      </c>
      <c r="C32" s="8">
        <v>778600</v>
      </c>
      <c r="D32" s="9">
        <f t="shared" si="0"/>
        <v>16400</v>
      </c>
      <c r="E32" s="10" t="s">
        <v>50</v>
      </c>
      <c r="F32" s="7" t="s">
        <v>22</v>
      </c>
      <c r="G32" s="7">
        <v>1138</v>
      </c>
      <c r="H32" s="7">
        <v>251</v>
      </c>
      <c r="I32" s="7">
        <v>1036</v>
      </c>
      <c r="J32" s="7">
        <v>168</v>
      </c>
      <c r="K32" s="7">
        <v>641</v>
      </c>
      <c r="L32" s="7">
        <v>192</v>
      </c>
      <c r="M32" s="7">
        <v>232</v>
      </c>
      <c r="N32" s="7">
        <v>307</v>
      </c>
      <c r="O32" s="7">
        <v>46</v>
      </c>
      <c r="P32" s="7">
        <v>658</v>
      </c>
      <c r="Q32" s="7">
        <v>265</v>
      </c>
      <c r="R32" s="12" t="s">
        <v>25</v>
      </c>
      <c r="S32" s="14" t="s">
        <v>54</v>
      </c>
    </row>
    <row r="33" spans="1:19">
      <c r="A33" s="7" t="s">
        <v>46</v>
      </c>
      <c r="B33" s="8">
        <v>646700</v>
      </c>
      <c r="C33" s="8">
        <v>651700</v>
      </c>
      <c r="D33" s="9">
        <f t="shared" si="0"/>
        <v>5000</v>
      </c>
      <c r="E33" s="10" t="s">
        <v>50</v>
      </c>
      <c r="F33" s="7" t="s">
        <v>22</v>
      </c>
      <c r="G33" s="7" t="s">
        <v>22</v>
      </c>
      <c r="H33" s="7">
        <v>2</v>
      </c>
      <c r="I33" s="7" t="s">
        <v>22</v>
      </c>
      <c r="J33" s="7" t="s">
        <v>22</v>
      </c>
      <c r="K33" s="7" t="s">
        <v>22</v>
      </c>
      <c r="L33" s="7" t="s">
        <v>22</v>
      </c>
      <c r="M33" s="7" t="s">
        <v>22</v>
      </c>
      <c r="N33" s="7" t="s">
        <v>22</v>
      </c>
      <c r="O33" s="7" t="s">
        <v>22</v>
      </c>
      <c r="P33" s="7" t="s">
        <v>22</v>
      </c>
      <c r="Q33" s="7" t="s">
        <v>22</v>
      </c>
      <c r="R33" s="12" t="s">
        <v>25</v>
      </c>
      <c r="S33" s="11" t="s">
        <v>55</v>
      </c>
    </row>
    <row r="34" spans="1:19">
      <c r="A34" s="7" t="s">
        <v>27</v>
      </c>
      <c r="B34" s="8">
        <v>835900</v>
      </c>
      <c r="C34" s="8">
        <v>848400</v>
      </c>
      <c r="D34" s="9">
        <f t="shared" si="0"/>
        <v>12500</v>
      </c>
      <c r="E34" s="10" t="s">
        <v>56</v>
      </c>
      <c r="F34" s="7" t="s">
        <v>22</v>
      </c>
      <c r="G34" s="7">
        <v>491</v>
      </c>
      <c r="H34" s="7">
        <v>412</v>
      </c>
      <c r="I34" s="7">
        <v>1077</v>
      </c>
      <c r="J34" s="7">
        <v>90</v>
      </c>
      <c r="K34" s="7">
        <v>542</v>
      </c>
      <c r="L34" s="7">
        <v>76</v>
      </c>
      <c r="M34" s="7">
        <v>431</v>
      </c>
      <c r="N34" s="7">
        <v>92</v>
      </c>
      <c r="O34" s="7">
        <v>129</v>
      </c>
      <c r="P34" s="7">
        <v>505</v>
      </c>
      <c r="Q34" s="7">
        <v>28</v>
      </c>
      <c r="R34" s="12" t="s">
        <v>25</v>
      </c>
      <c r="S34" s="11" t="s">
        <v>28</v>
      </c>
    </row>
    <row r="35" spans="1:19">
      <c r="A35" s="7" t="s">
        <v>32</v>
      </c>
      <c r="B35" s="8">
        <v>651700</v>
      </c>
      <c r="C35" s="8">
        <v>718400</v>
      </c>
      <c r="D35" s="9">
        <f t="shared" si="0"/>
        <v>66700</v>
      </c>
      <c r="E35" s="10" t="s">
        <v>56</v>
      </c>
      <c r="F35" s="7" t="s">
        <v>22</v>
      </c>
      <c r="G35" s="7" t="s">
        <v>22</v>
      </c>
      <c r="H35" s="7" t="s">
        <v>22</v>
      </c>
      <c r="I35" s="7" t="s">
        <v>22</v>
      </c>
      <c r="J35" s="7" t="s">
        <v>22</v>
      </c>
      <c r="K35" s="7" t="s">
        <v>22</v>
      </c>
      <c r="L35" s="7" t="s">
        <v>22</v>
      </c>
      <c r="M35" s="7">
        <v>4</v>
      </c>
      <c r="N35" s="7" t="s">
        <v>22</v>
      </c>
      <c r="O35" s="7" t="s">
        <v>22</v>
      </c>
      <c r="P35" s="7" t="s">
        <v>22</v>
      </c>
      <c r="Q35" s="7" t="s">
        <v>22</v>
      </c>
      <c r="R35" s="12" t="s">
        <v>25</v>
      </c>
      <c r="S35" s="11" t="s">
        <v>57</v>
      </c>
    </row>
    <row r="36" spans="1:19">
      <c r="A36" s="7" t="s">
        <v>32</v>
      </c>
      <c r="B36" s="8">
        <v>826100</v>
      </c>
      <c r="C36" s="8">
        <v>903900</v>
      </c>
      <c r="D36" s="9">
        <f t="shared" si="0"/>
        <v>77800</v>
      </c>
      <c r="E36" s="10" t="s">
        <v>56</v>
      </c>
      <c r="F36" s="7" t="s">
        <v>22</v>
      </c>
      <c r="G36" s="7" t="s">
        <v>22</v>
      </c>
      <c r="H36" s="7" t="s">
        <v>22</v>
      </c>
      <c r="I36" s="7">
        <v>2</v>
      </c>
      <c r="J36" s="7" t="s">
        <v>22</v>
      </c>
      <c r="K36" s="7" t="s">
        <v>22</v>
      </c>
      <c r="L36" s="7" t="s">
        <v>22</v>
      </c>
      <c r="M36" s="7" t="s">
        <v>22</v>
      </c>
      <c r="N36" s="7" t="s">
        <v>22</v>
      </c>
      <c r="O36" s="7" t="s">
        <v>22</v>
      </c>
      <c r="P36" s="7" t="s">
        <v>22</v>
      </c>
      <c r="Q36" s="7" t="s">
        <v>22</v>
      </c>
      <c r="R36" s="12" t="s">
        <v>25</v>
      </c>
      <c r="S36" s="11" t="s">
        <v>57</v>
      </c>
    </row>
    <row r="37" spans="1:19">
      <c r="A37" s="7" t="s">
        <v>40</v>
      </c>
      <c r="B37" s="8">
        <v>1448600</v>
      </c>
      <c r="C37" s="8">
        <v>1451000</v>
      </c>
      <c r="D37" s="9">
        <f t="shared" si="0"/>
        <v>2400</v>
      </c>
      <c r="E37" s="10" t="s">
        <v>56</v>
      </c>
      <c r="F37" s="7" t="s">
        <v>22</v>
      </c>
      <c r="G37" s="7" t="s">
        <v>22</v>
      </c>
      <c r="H37" s="7" t="s">
        <v>22</v>
      </c>
      <c r="I37" s="7">
        <v>2</v>
      </c>
      <c r="J37" s="7" t="s">
        <v>22</v>
      </c>
      <c r="K37" s="7" t="s">
        <v>22</v>
      </c>
      <c r="L37" s="7" t="s">
        <v>22</v>
      </c>
      <c r="M37" s="7" t="s">
        <v>22</v>
      </c>
      <c r="N37" s="7" t="s">
        <v>22</v>
      </c>
      <c r="O37" s="7" t="s">
        <v>22</v>
      </c>
      <c r="P37" s="7" t="s">
        <v>22</v>
      </c>
      <c r="Q37" s="7" t="s">
        <v>22</v>
      </c>
      <c r="R37" s="12" t="s">
        <v>25</v>
      </c>
      <c r="S37" s="11"/>
    </row>
    <row r="38" spans="1:19">
      <c r="A38" s="7" t="s">
        <v>43</v>
      </c>
      <c r="B38" s="8">
        <v>589900</v>
      </c>
      <c r="C38" s="8">
        <v>594200</v>
      </c>
      <c r="D38" s="9">
        <f t="shared" si="0"/>
        <v>4300</v>
      </c>
      <c r="E38" s="10" t="s">
        <v>56</v>
      </c>
      <c r="F38" s="7" t="s">
        <v>22</v>
      </c>
      <c r="G38" s="7" t="s">
        <v>22</v>
      </c>
      <c r="H38" s="7">
        <v>2</v>
      </c>
      <c r="I38" s="7">
        <v>62</v>
      </c>
      <c r="J38" s="7">
        <v>4</v>
      </c>
      <c r="K38" s="7">
        <v>43</v>
      </c>
      <c r="L38" s="7" t="s">
        <v>22</v>
      </c>
      <c r="M38" s="7">
        <v>19</v>
      </c>
      <c r="N38" s="7">
        <v>28</v>
      </c>
      <c r="O38" s="7">
        <v>5</v>
      </c>
      <c r="P38" s="7" t="s">
        <v>22</v>
      </c>
      <c r="Q38" s="7" t="s">
        <v>22</v>
      </c>
      <c r="R38" s="12" t="s">
        <v>25</v>
      </c>
      <c r="S38" s="11" t="s">
        <v>58</v>
      </c>
    </row>
    <row r="39" spans="1:19">
      <c r="A39" s="7" t="s">
        <v>44</v>
      </c>
      <c r="B39" s="8">
        <v>1747100</v>
      </c>
      <c r="C39" s="8">
        <v>1761600</v>
      </c>
      <c r="D39" s="9">
        <f t="shared" si="0"/>
        <v>14500</v>
      </c>
      <c r="E39" s="10" t="s">
        <v>56</v>
      </c>
      <c r="F39" s="7" t="s">
        <v>22</v>
      </c>
      <c r="G39" s="7" t="s">
        <v>22</v>
      </c>
      <c r="H39" s="7" t="s">
        <v>22</v>
      </c>
      <c r="I39" s="7">
        <v>2</v>
      </c>
      <c r="J39" s="7" t="s">
        <v>22</v>
      </c>
      <c r="K39" s="7" t="s">
        <v>22</v>
      </c>
      <c r="L39" s="7" t="s">
        <v>22</v>
      </c>
      <c r="M39" s="7" t="s">
        <v>22</v>
      </c>
      <c r="N39" s="7" t="s">
        <v>22</v>
      </c>
      <c r="O39" s="7" t="s">
        <v>22</v>
      </c>
      <c r="P39" s="7" t="s">
        <v>22</v>
      </c>
      <c r="Q39" s="7" t="s">
        <v>22</v>
      </c>
      <c r="R39" s="12" t="s">
        <v>25</v>
      </c>
      <c r="S39" s="11"/>
    </row>
    <row r="40" spans="1:19">
      <c r="A40" s="15" t="s">
        <v>48</v>
      </c>
      <c r="B40" s="16">
        <v>2019300</v>
      </c>
      <c r="C40" s="16">
        <v>2033000</v>
      </c>
      <c r="D40" s="17">
        <f t="shared" si="0"/>
        <v>13700</v>
      </c>
      <c r="E40" s="18" t="s">
        <v>56</v>
      </c>
      <c r="F40" s="15" t="s">
        <v>22</v>
      </c>
      <c r="G40" s="15">
        <v>72</v>
      </c>
      <c r="H40" s="15" t="s">
        <v>22</v>
      </c>
      <c r="I40" s="15">
        <v>45</v>
      </c>
      <c r="J40" s="15" t="s">
        <v>22</v>
      </c>
      <c r="K40" s="15" t="s">
        <v>22</v>
      </c>
      <c r="L40" s="15">
        <v>8</v>
      </c>
      <c r="M40" s="15" t="s">
        <v>22</v>
      </c>
      <c r="N40" s="15" t="s">
        <v>22</v>
      </c>
      <c r="O40" s="15" t="s">
        <v>22</v>
      </c>
      <c r="P40" s="15">
        <v>3</v>
      </c>
      <c r="Q40" s="15">
        <v>1</v>
      </c>
      <c r="R40" s="19" t="s">
        <v>25</v>
      </c>
      <c r="S40" s="20" t="s">
        <v>28</v>
      </c>
    </row>
    <row r="41" spans="1:19">
      <c r="A41" s="21" t="s">
        <v>59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</row>
    <row r="42" spans="1:19" ht="16">
      <c r="A42" s="23" t="s">
        <v>60</v>
      </c>
      <c r="D42" s="24"/>
    </row>
    <row r="43" spans="1:19" ht="16">
      <c r="A43" s="23" t="s">
        <v>61</v>
      </c>
      <c r="D43" s="24"/>
    </row>
    <row r="44" spans="1:19" ht="16">
      <c r="A44" s="23" t="s">
        <v>62</v>
      </c>
      <c r="D44" s="24"/>
    </row>
    <row r="45" spans="1:19" ht="16">
      <c r="A45" t="s">
        <v>63</v>
      </c>
      <c r="D45" s="24"/>
    </row>
  </sheetData>
  <mergeCells count="1">
    <mergeCell ref="A41:R4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Case Western Reserve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Zimmerman</dc:creator>
  <cp:lastModifiedBy>Peter Zimmerman</cp:lastModifiedBy>
  <dcterms:created xsi:type="dcterms:W3CDTF">2013-07-02T18:39:14Z</dcterms:created>
  <dcterms:modified xsi:type="dcterms:W3CDTF">2013-07-02T18:40:16Z</dcterms:modified>
</cp:coreProperties>
</file>