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2.2" sheetId="1" r:id="rId1"/>
  </sheets>
  <externalReferences>
    <externalReference r:id="rId2"/>
  </externalReferences>
  <definedNames>
    <definedName name="_xlnm.Print_Area" localSheetId="0">'Table 2.2'!$A$3:$L$63</definedName>
  </definedNames>
  <calcPr calcId="145621"/>
</workbook>
</file>

<file path=xl/calcChain.xml><?xml version="1.0" encoding="utf-8"?>
<calcChain xmlns="http://schemas.openxmlformats.org/spreadsheetml/2006/main">
  <c r="I62" i="1" l="1"/>
  <c r="F54" i="1"/>
  <c r="E54" i="1"/>
  <c r="D54" i="1"/>
  <c r="C54" i="1"/>
  <c r="B54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5" i="1"/>
  <c r="E45" i="1"/>
  <c r="D45" i="1"/>
  <c r="C45" i="1"/>
  <c r="B45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6" i="1"/>
  <c r="E36" i="1"/>
  <c r="D36" i="1"/>
  <c r="C36" i="1"/>
  <c r="B36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27" i="1"/>
  <c r="E27" i="1"/>
  <c r="D27" i="1"/>
  <c r="C27" i="1"/>
  <c r="B27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<sst xmlns="http://schemas.openxmlformats.org/spreadsheetml/2006/main" count="36" uniqueCount="21">
  <si>
    <t>Monthly Statistical Bulletin</t>
  </si>
  <si>
    <t>2.2 Male total average weekly earnings</t>
  </si>
  <si>
    <t>Quarter</t>
  </si>
  <si>
    <t>2007–08</t>
  </si>
  <si>
    <t>2008–09</t>
  </si>
  <si>
    <t>2009–10</t>
  </si>
  <si>
    <t>2010–11</t>
  </si>
  <si>
    <t>2011–12</t>
  </si>
  <si>
    <t>MTAWE – $ per week</t>
  </si>
  <si>
    <t>September</t>
  </si>
  <si>
    <t>December</t>
  </si>
  <si>
    <t>March</t>
  </si>
  <si>
    <t>June</t>
  </si>
  <si>
    <t>Annual average</t>
  </si>
  <si>
    <t>MTAWE annual change – per cent</t>
  </si>
  <si>
    <t>Real MTAWE (a) – $ per week</t>
  </si>
  <si>
    <t>Real MTAWE annual change – per cent</t>
  </si>
  <si>
    <t>(a) Expressed in average 2010–11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</si>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</sst>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0"/>
    <numFmt numFmtId="165" formatCode="0.0"/>
    <numFmt numFmtId="166" formatCode="[$-C09]d\ mmmm\ yyyy;@"/>
  </numFmts>
  <fonts count="18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2" fontId="10" fillId="0" borderId="1" xfId="0" applyNumberFormat="1" applyFont="1" applyBorder="1"/>
    <xf numFmtId="0" fontId="6" fillId="0" borderId="0" xfId="0" applyFont="1" applyAlignment="1">
      <alignment horizontal="left"/>
    </xf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Font="1"/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applyFont="1"/>
    <xf numFmtId="0" fontId="1" fillId="0" borderId="0" xfId="1" quotePrefix="1" applyFont="1" applyAlignment="1" applyProtection="1"/>
    <xf numFmtId="0" fontId="1" fillId="0" borderId="0" xfId="1" applyFont="1" applyAlignment="1" applyProtection="1"/>
    <xf numFmtId="0" fontId="17" fillId="0" borderId="0" xfId="0" applyFont="1" applyAlignment="1">
      <alignment horizontal="left"/>
    </xf>
    <xf numFmtId="166" fontId="8" fillId="0" borderId="0" xfId="0" quotePrefix="1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4875637443582652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072683067763241"/>
          <c:w val="0.82587265302554236"/>
          <c:h val="0.75086632053268354"/>
        </c:manualLayout>
      </c:layout>
      <c:lineChart>
        <c:grouping val="standard"/>
        <c:varyColors val="0"/>
        <c:ser>
          <c:idx val="1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2.2'!$A$73:$A$93</c:f>
              <c:strCache>
                <c:ptCount val="21"/>
                <c:pt idx="0">
                  <c:v>Jun 07</c:v>
                </c:pt>
                <c:pt idx="1">
                  <c:v>Sep-07</c:v>
                </c:pt>
                <c:pt idx="2">
                  <c:v>Dec-07</c:v>
                </c:pt>
                <c:pt idx="3">
                  <c:v>Mar-08</c:v>
                </c:pt>
                <c:pt idx="4">
                  <c:v>Jun 08</c:v>
                </c:pt>
                <c:pt idx="5">
                  <c:v>Sep-08</c:v>
                </c:pt>
                <c:pt idx="6">
                  <c:v>Dec-08</c:v>
                </c:pt>
                <c:pt idx="7">
                  <c:v>Mar-09</c:v>
                </c:pt>
                <c:pt idx="8">
                  <c:v>Jun 09</c:v>
                </c:pt>
                <c:pt idx="9">
                  <c:v>Sep-09</c:v>
                </c:pt>
                <c:pt idx="10">
                  <c:v>Dec-09</c:v>
                </c:pt>
                <c:pt idx="11">
                  <c:v>Mar-10</c:v>
                </c:pt>
                <c:pt idx="12">
                  <c:v>Jun 10</c:v>
                </c:pt>
                <c:pt idx="13">
                  <c:v>Sep-10</c:v>
                </c:pt>
                <c:pt idx="14">
                  <c:v>Dec-10</c:v>
                </c:pt>
                <c:pt idx="15">
                  <c:v>Mar-11</c:v>
                </c:pt>
                <c:pt idx="16">
                  <c:v>Jun 11</c:v>
                </c:pt>
                <c:pt idx="17">
                  <c:v>Sep-11</c:v>
                </c:pt>
                <c:pt idx="18">
                  <c:v>Dec-11</c:v>
                </c:pt>
                <c:pt idx="19">
                  <c:v>Mar-12</c:v>
                </c:pt>
                <c:pt idx="20">
                  <c:v>Jun-12</c:v>
                </c:pt>
              </c:strCache>
            </c:strRef>
          </c:cat>
          <c:val>
            <c:numRef>
              <c:f>'[1]Data 2.2'!$B$73:$B$93</c:f>
              <c:numCache>
                <c:formatCode>0.00</c:formatCode>
                <c:ptCount val="21"/>
                <c:pt idx="0">
                  <c:v>1033</c:v>
                </c:pt>
                <c:pt idx="1">
                  <c:v>1050.5999999999999</c:v>
                </c:pt>
                <c:pt idx="2">
                  <c:v>1051.7</c:v>
                </c:pt>
                <c:pt idx="3">
                  <c:v>1067.8</c:v>
                </c:pt>
                <c:pt idx="4">
                  <c:v>1069.0999999999999</c:v>
                </c:pt>
                <c:pt idx="5">
                  <c:v>1090.9000000000001</c:v>
                </c:pt>
                <c:pt idx="6">
                  <c:v>1101.0999999999999</c:v>
                </c:pt>
                <c:pt idx="7">
                  <c:v>1112.2</c:v>
                </c:pt>
                <c:pt idx="8">
                  <c:v>1110.3</c:v>
                </c:pt>
                <c:pt idx="9">
                  <c:v>1141</c:v>
                </c:pt>
                <c:pt idx="10">
                  <c:v>1162.7</c:v>
                </c:pt>
                <c:pt idx="11">
                  <c:v>1178.7</c:v>
                </c:pt>
                <c:pt idx="12">
                  <c:v>1183.4000000000001</c:v>
                </c:pt>
                <c:pt idx="13">
                  <c:v>1183.4000000000001</c:v>
                </c:pt>
                <c:pt idx="14">
                  <c:v>1210.9000000000001</c:v>
                </c:pt>
                <c:pt idx="15">
                  <c:v>1224.0999999999999</c:v>
                </c:pt>
                <c:pt idx="16">
                  <c:v>1236.5</c:v>
                </c:pt>
                <c:pt idx="17">
                  <c:v>1244.9000000000001</c:v>
                </c:pt>
                <c:pt idx="18">
                  <c:v>1255</c:v>
                </c:pt>
                <c:pt idx="19">
                  <c:v>1284.9000000000001</c:v>
                </c:pt>
                <c:pt idx="20">
                  <c:v>1285.0999999999999</c:v>
                </c:pt>
              </c:numCache>
            </c:numRef>
          </c:val>
          <c:smooth val="0"/>
        </c:ser>
        <c:ser>
          <c:idx val="0"/>
          <c:order val="1"/>
          <c:tx>
            <c:v>Real MTAWE (average 2010–11 dollars)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2.2'!$A$73:$A$93</c:f>
              <c:strCache>
                <c:ptCount val="21"/>
                <c:pt idx="0">
                  <c:v>Jun 07</c:v>
                </c:pt>
                <c:pt idx="1">
                  <c:v>Sep-07</c:v>
                </c:pt>
                <c:pt idx="2">
                  <c:v>Dec-07</c:v>
                </c:pt>
                <c:pt idx="3">
                  <c:v>Mar-08</c:v>
                </c:pt>
                <c:pt idx="4">
                  <c:v>Jun 08</c:v>
                </c:pt>
                <c:pt idx="5">
                  <c:v>Sep-08</c:v>
                </c:pt>
                <c:pt idx="6">
                  <c:v>Dec-08</c:v>
                </c:pt>
                <c:pt idx="7">
                  <c:v>Mar-09</c:v>
                </c:pt>
                <c:pt idx="8">
                  <c:v>Jun 09</c:v>
                </c:pt>
                <c:pt idx="9">
                  <c:v>Sep-09</c:v>
                </c:pt>
                <c:pt idx="10">
                  <c:v>Dec-09</c:v>
                </c:pt>
                <c:pt idx="11">
                  <c:v>Mar-10</c:v>
                </c:pt>
                <c:pt idx="12">
                  <c:v>Jun 10</c:v>
                </c:pt>
                <c:pt idx="13">
                  <c:v>Sep-10</c:v>
                </c:pt>
                <c:pt idx="14">
                  <c:v>Dec-10</c:v>
                </c:pt>
                <c:pt idx="15">
                  <c:v>Mar-11</c:v>
                </c:pt>
                <c:pt idx="16">
                  <c:v>Jun 11</c:v>
                </c:pt>
                <c:pt idx="17">
                  <c:v>Sep-11</c:v>
                </c:pt>
                <c:pt idx="18">
                  <c:v>Dec-11</c:v>
                </c:pt>
                <c:pt idx="19">
                  <c:v>Mar-12</c:v>
                </c:pt>
                <c:pt idx="20">
                  <c:v>Jun-12</c:v>
                </c:pt>
              </c:strCache>
            </c:strRef>
          </c:cat>
          <c:val>
            <c:numRef>
              <c:f>'[1]Data 2.2'!$H$73:$H$93</c:f>
              <c:numCache>
                <c:formatCode>0.00</c:formatCode>
                <c:ptCount val="21"/>
                <c:pt idx="0">
                  <c:v>1151.5490476190475</c:v>
                </c:pt>
                <c:pt idx="1">
                  <c:v>1163.0459962168977</c:v>
                </c:pt>
                <c:pt idx="2">
                  <c:v>1153.3555746408495</c:v>
                </c:pt>
                <c:pt idx="3">
                  <c:v>1155.8507090012331</c:v>
                </c:pt>
                <c:pt idx="4">
                  <c:v>1140.384158566221</c:v>
                </c:pt>
                <c:pt idx="5">
                  <c:v>1150.358963963964</c:v>
                </c:pt>
                <c:pt idx="6">
                  <c:v>1164.6122439759035</c:v>
                </c:pt>
                <c:pt idx="7">
                  <c:v>1174.9369133574007</c:v>
                </c:pt>
                <c:pt idx="8">
                  <c:v>1167.3109131736526</c:v>
                </c:pt>
                <c:pt idx="9">
                  <c:v>1188.2032918149466</c:v>
                </c:pt>
                <c:pt idx="10">
                  <c:v>1204.3719911504425</c:v>
                </c:pt>
                <c:pt idx="11">
                  <c:v>1210.2353947368422</c:v>
                </c:pt>
                <c:pt idx="12">
                  <c:v>1207.2949157466589</c:v>
                </c:pt>
                <c:pt idx="13">
                  <c:v>1198.9351125216388</c:v>
                </c:pt>
                <c:pt idx="14">
                  <c:v>1221.8607327586208</c:v>
                </c:pt>
                <c:pt idx="15">
                  <c:v>1216.3064940577249</c:v>
                </c:pt>
                <c:pt idx="16">
                  <c:v>1217.6022854739201</c:v>
                </c:pt>
                <c:pt idx="17">
                  <c:v>1218.3573996655518</c:v>
                </c:pt>
                <c:pt idx="18">
                  <c:v>1228.2420568561872</c:v>
                </c:pt>
                <c:pt idx="19">
                  <c:v>1256.8039972144848</c:v>
                </c:pt>
                <c:pt idx="20">
                  <c:v>1250.7285615299334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351936"/>
        <c:axId val="117539968"/>
      </c:lineChart>
      <c:catAx>
        <c:axId val="11735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53996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17539968"/>
        <c:scaling>
          <c:orientation val="minMax"/>
          <c:max val="1300"/>
          <c:min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7351936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741140116106391"/>
          <c:y val="0.74869666026729065"/>
          <c:w val="0.5638475215412001"/>
          <c:h val="8.535173386012261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</xdr:row>
          <xdr:rowOff>66675</xdr:rowOff>
        </xdr:from>
        <xdr:to>
          <xdr:col>11</xdr:col>
          <xdr:colOff>47625</xdr:colOff>
          <xdr:row>60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>
        <row r="60">
          <cell r="I60">
            <v>41501</v>
          </cell>
        </row>
      </sheetData>
      <sheetData sheetId="1"/>
      <sheetData sheetId="2"/>
      <sheetData sheetId="3">
        <row r="73">
          <cell r="A73" t="str">
            <v>Jun 07</v>
          </cell>
          <cell r="B73">
            <v>1033</v>
          </cell>
          <cell r="H73">
            <v>1151.5490476190475</v>
          </cell>
        </row>
        <row r="74">
          <cell r="A74">
            <v>39326</v>
          </cell>
          <cell r="B74">
            <v>1050.5999999999999</v>
          </cell>
          <cell r="D74">
            <v>5.5137089484784463</v>
          </cell>
          <cell r="H74">
            <v>1163.0459962168977</v>
          </cell>
          <cell r="I74">
            <v>3.5843914456374026</v>
          </cell>
        </row>
        <row r="75">
          <cell r="A75">
            <v>39417</v>
          </cell>
          <cell r="B75">
            <v>1051.7</v>
          </cell>
          <cell r="D75">
            <v>4.3663788826039385</v>
          </cell>
          <cell r="H75">
            <v>1153.3555746408495</v>
          </cell>
          <cell r="I75">
            <v>1.3677196517483781</v>
          </cell>
        </row>
        <row r="76">
          <cell r="A76">
            <v>39508</v>
          </cell>
          <cell r="B76">
            <v>1067.8</v>
          </cell>
          <cell r="D76">
            <v>4.5632589110849997</v>
          </cell>
          <cell r="H76">
            <v>1155.8507090012331</v>
          </cell>
          <cell r="I76">
            <v>0.30852704417276833</v>
          </cell>
        </row>
        <row r="77">
          <cell r="A77" t="str">
            <v>Jun 08</v>
          </cell>
          <cell r="B77">
            <v>1069.0999999999999</v>
          </cell>
          <cell r="D77">
            <v>3.4946757018393004</v>
          </cell>
          <cell r="E77">
            <v>4.484505611001671</v>
          </cell>
          <cell r="G77">
            <v>1059.8</v>
          </cell>
          <cell r="H77">
            <v>1140.384158566221</v>
          </cell>
          <cell r="I77">
            <v>-0.96955393050006666</v>
          </cell>
          <cell r="J77">
            <v>1.0727710527646206</v>
          </cell>
          <cell r="M77">
            <v>1115.2319346814552</v>
          </cell>
        </row>
        <row r="78">
          <cell r="A78">
            <v>39692</v>
          </cell>
          <cell r="B78">
            <v>1090.9000000000001</v>
          </cell>
          <cell r="D78">
            <v>3.835903293356191</v>
          </cell>
          <cell r="H78">
            <v>1150.358963963964</v>
          </cell>
          <cell r="I78">
            <v>-1.0908452713135564</v>
          </cell>
        </row>
        <row r="79">
          <cell r="A79">
            <v>39783</v>
          </cell>
          <cell r="B79">
            <v>1101.0999999999999</v>
          </cell>
          <cell r="D79">
            <v>4.6971569839307614</v>
          </cell>
          <cell r="H79">
            <v>1164.6122439759035</v>
          </cell>
          <cell r="I79">
            <v>0.97599297064647761</v>
          </cell>
        </row>
        <row r="80">
          <cell r="A80">
            <v>39873</v>
          </cell>
          <cell r="B80">
            <v>1112.2</v>
          </cell>
          <cell r="D80">
            <v>4.1580820378348093</v>
          </cell>
          <cell r="H80">
            <v>1174.9369133574007</v>
          </cell>
          <cell r="I80">
            <v>1.651268992399535</v>
          </cell>
        </row>
        <row r="81">
          <cell r="A81" t="str">
            <v>Jun 09</v>
          </cell>
          <cell r="B81">
            <v>1110.3</v>
          </cell>
          <cell r="D81">
            <v>3.8537087269666204</v>
          </cell>
          <cell r="E81">
            <v>4.1362127605220955</v>
          </cell>
          <cell r="G81">
            <v>1103.5999999999999</v>
          </cell>
          <cell r="H81">
            <v>1167.3109131736526</v>
          </cell>
          <cell r="I81">
            <v>2.3612003380760749</v>
          </cell>
          <cell r="J81">
            <v>0.97440425745213277</v>
          </cell>
          <cell r="M81">
            <v>1142.4578048249555</v>
          </cell>
        </row>
        <row r="82">
          <cell r="A82">
            <v>40057</v>
          </cell>
          <cell r="B82">
            <v>1141</v>
          </cell>
          <cell r="D82">
            <v>4.5925382711522467</v>
          </cell>
          <cell r="H82">
            <v>1188.2032918149466</v>
          </cell>
          <cell r="I82">
            <v>3.2897842357464402</v>
          </cell>
        </row>
        <row r="83">
          <cell r="A83">
            <v>40148</v>
          </cell>
          <cell r="B83">
            <v>1162.7</v>
          </cell>
          <cell r="D83">
            <v>5.5944055944056048</v>
          </cell>
          <cell r="H83">
            <v>1204.3719911504425</v>
          </cell>
          <cell r="I83">
            <v>3.4139901396538663</v>
          </cell>
        </row>
        <row r="84">
          <cell r="A84">
            <v>40238</v>
          </cell>
          <cell r="B84">
            <v>1178.7</v>
          </cell>
          <cell r="D84">
            <v>5.9791404423664707</v>
          </cell>
          <cell r="H84">
            <v>1210.2353947368422</v>
          </cell>
          <cell r="I84">
            <v>3.0042873773175938</v>
          </cell>
        </row>
        <row r="85">
          <cell r="A85" t="str">
            <v>Jun 10</v>
          </cell>
          <cell r="B85">
            <v>1183.4000000000001</v>
          </cell>
          <cell r="D85">
            <v>6.5838061785103319</v>
          </cell>
          <cell r="E85">
            <v>5.6874726216086637</v>
          </cell>
          <cell r="G85">
            <v>1166.5</v>
          </cell>
          <cell r="H85">
            <v>1207.2949157466589</v>
          </cell>
          <cell r="I85">
            <v>3.4253087263871329</v>
          </cell>
          <cell r="J85">
            <v>3.2833426197762581</v>
          </cell>
          <cell r="M85">
            <v>1172.3517023949291</v>
          </cell>
        </row>
        <row r="86">
          <cell r="A86">
            <v>40422</v>
          </cell>
          <cell r="B86">
            <v>1183.4000000000001</v>
          </cell>
          <cell r="D86">
            <v>3.7160385626643366</v>
          </cell>
          <cell r="H86">
            <v>1198.9351125216388</v>
          </cell>
          <cell r="I86">
            <v>0.90319735525219436</v>
          </cell>
        </row>
        <row r="87">
          <cell r="A87">
            <v>40513</v>
          </cell>
          <cell r="B87">
            <v>1210.9000000000001</v>
          </cell>
          <cell r="D87">
            <v>4.1455233508213674</v>
          </cell>
          <cell r="H87">
            <v>1221.8607327586208</v>
          </cell>
          <cell r="I87">
            <v>1.4521046434725404</v>
          </cell>
        </row>
        <row r="88">
          <cell r="A88">
            <v>40603</v>
          </cell>
          <cell r="B88">
            <v>1224.0999999999999</v>
          </cell>
          <cell r="D88">
            <v>3.8517010265546769</v>
          </cell>
          <cell r="H88">
            <v>1216.3064940577249</v>
          </cell>
          <cell r="I88">
            <v>0.50164615473031748</v>
          </cell>
        </row>
        <row r="89">
          <cell r="A89" t="str">
            <v>Jun 11</v>
          </cell>
          <cell r="B89">
            <v>1236.5</v>
          </cell>
          <cell r="D89">
            <v>4.4870711509210626</v>
          </cell>
          <cell r="E89">
            <v>4.0500835227403602</v>
          </cell>
          <cell r="G89">
            <v>1213.7</v>
          </cell>
          <cell r="H89">
            <v>1217.6022854739201</v>
          </cell>
          <cell r="I89">
            <v>0.85375740366524511</v>
          </cell>
          <cell r="J89">
            <v>0.92767638928007434</v>
          </cell>
          <cell r="M89">
            <v>1213.7</v>
          </cell>
        </row>
        <row r="90">
          <cell r="A90">
            <v>40787</v>
          </cell>
          <cell r="B90">
            <v>1244.9000000000001</v>
          </cell>
          <cell r="D90">
            <v>5.1968903160385382</v>
          </cell>
          <cell r="H90">
            <v>1218.3573996655518</v>
          </cell>
          <cell r="I90">
            <v>1.6199614925834993</v>
          </cell>
        </row>
        <row r="91">
          <cell r="A91">
            <v>40878</v>
          </cell>
          <cell r="B91">
            <v>1255</v>
          </cell>
          <cell r="D91">
            <v>3.6419192336278661</v>
          </cell>
          <cell r="H91">
            <v>1228.2420568561872</v>
          </cell>
          <cell r="I91">
            <v>0.52226280184641816</v>
          </cell>
        </row>
        <row r="92">
          <cell r="A92">
            <v>40969</v>
          </cell>
          <cell r="B92">
            <v>1284.9000000000001</v>
          </cell>
          <cell r="D92">
            <v>4.9669144677722654</v>
          </cell>
          <cell r="H92">
            <v>1256.8039972144848</v>
          </cell>
          <cell r="I92">
            <v>3.3295475568543509</v>
          </cell>
        </row>
        <row r="93">
          <cell r="A93">
            <v>41061</v>
          </cell>
          <cell r="B93">
            <v>1285.0999999999999</v>
          </cell>
          <cell r="D93">
            <v>3.9304488475535804</v>
          </cell>
          <cell r="E93">
            <v>4.434043216248063</v>
          </cell>
          <cell r="G93">
            <v>1267.5</v>
          </cell>
          <cell r="H93">
            <v>1250.7285615299334</v>
          </cell>
          <cell r="I93">
            <v>2.7206154629645596</v>
          </cell>
          <cell r="J93">
            <v>2.048096828562207</v>
          </cell>
          <cell r="M93">
            <v>1226.6578437330247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9"/>
  <sheetViews>
    <sheetView tabSelected="1" zoomScaleNormal="100" workbookViewId="0"/>
  </sheetViews>
  <sheetFormatPr defaultRowHeight="12.75" x14ac:dyDescent="0.2"/>
  <cols>
    <col min="1" max="1" width="11.7109375" customWidth="1"/>
    <col min="6" max="6" width="9.5703125" customWidth="1"/>
    <col min="7" max="8" width="1.7109375" customWidth="1"/>
    <col min="9" max="9" width="12.7109375" bestFit="1" customWidth="1"/>
    <col min="10" max="10" width="5.5703125" customWidth="1"/>
    <col min="11" max="11" width="6.855468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5"/>
      <c r="H19" s="6"/>
    </row>
    <row r="20" spans="1:8" s="10" customFormat="1" ht="19.899999999999999" customHeight="1" x14ac:dyDescent="0.2">
      <c r="A20" s="9" t="s">
        <v>8</v>
      </c>
      <c r="G20" s="11"/>
      <c r="H20" s="12"/>
    </row>
    <row r="21" spans="1:8" s="10" customFormat="1" ht="3" customHeight="1" x14ac:dyDescent="0.2">
      <c r="A21" s="13"/>
      <c r="G21" s="11"/>
      <c r="H21" s="12"/>
    </row>
    <row r="22" spans="1:8" ht="11.1" customHeight="1" x14ac:dyDescent="0.2">
      <c r="A22" s="14" t="s">
        <v>9</v>
      </c>
      <c r="B22" s="15">
        <f>'[1]Data 2.2'!B74</f>
        <v>1050.5999999999999</v>
      </c>
      <c r="C22" s="15">
        <f>'[1]Data 2.2'!B78</f>
        <v>1090.9000000000001</v>
      </c>
      <c r="D22" s="15">
        <f>'[1]Data 2.2'!B82</f>
        <v>1141</v>
      </c>
      <c r="E22" s="15">
        <f>'[1]Data 2.2'!B86</f>
        <v>1183.4000000000001</v>
      </c>
      <c r="F22" s="15">
        <f>'[1]Data 2.2'!B90</f>
        <v>1244.9000000000001</v>
      </c>
      <c r="G22" s="5"/>
      <c r="H22" s="6"/>
    </row>
    <row r="23" spans="1:8" ht="11.1" customHeight="1" x14ac:dyDescent="0.2">
      <c r="A23" s="14" t="s">
        <v>10</v>
      </c>
      <c r="B23" s="15">
        <f>'[1]Data 2.2'!B75</f>
        <v>1051.7</v>
      </c>
      <c r="C23" s="15">
        <f>'[1]Data 2.2'!B79</f>
        <v>1101.0999999999999</v>
      </c>
      <c r="D23" s="15">
        <f>'[1]Data 2.2'!B83</f>
        <v>1162.7</v>
      </c>
      <c r="E23" s="15">
        <f>'[1]Data 2.2'!B87</f>
        <v>1210.9000000000001</v>
      </c>
      <c r="F23" s="15">
        <f>'[1]Data 2.2'!B91</f>
        <v>1255</v>
      </c>
      <c r="G23" s="5"/>
      <c r="H23" s="6"/>
    </row>
    <row r="24" spans="1:8" ht="11.1" customHeight="1" x14ac:dyDescent="0.2">
      <c r="A24" s="14" t="s">
        <v>11</v>
      </c>
      <c r="B24" s="15">
        <f>'[1]Data 2.2'!B76</f>
        <v>1067.8</v>
      </c>
      <c r="C24" s="15">
        <f>'[1]Data 2.2'!B80</f>
        <v>1112.2</v>
      </c>
      <c r="D24" s="15">
        <f>'[1]Data 2.2'!B84</f>
        <v>1178.7</v>
      </c>
      <c r="E24" s="15">
        <f>'[1]Data 2.2'!B88</f>
        <v>1224.0999999999999</v>
      </c>
      <c r="F24" s="15">
        <f>'[1]Data 2.2'!B92</f>
        <v>1284.9000000000001</v>
      </c>
      <c r="G24" s="5"/>
      <c r="H24" s="6"/>
    </row>
    <row r="25" spans="1:8" ht="11.1" customHeight="1" x14ac:dyDescent="0.2">
      <c r="A25" s="14" t="s">
        <v>12</v>
      </c>
      <c r="B25" s="15">
        <f>'[1]Data 2.2'!B77</f>
        <v>1069.0999999999999</v>
      </c>
      <c r="C25" s="15">
        <f>'[1]Data 2.2'!B81</f>
        <v>1110.3</v>
      </c>
      <c r="D25" s="15">
        <f>'[1]Data 2.2'!B85</f>
        <v>1183.4000000000001</v>
      </c>
      <c r="E25" s="15">
        <f>'[1]Data 2.2'!B89</f>
        <v>1236.5</v>
      </c>
      <c r="F25" s="15">
        <f>'[1]Data 2.2'!B93</f>
        <v>1285.0999999999999</v>
      </c>
      <c r="G25" s="5"/>
      <c r="H25" s="6"/>
    </row>
    <row r="26" spans="1:8" ht="11.1" customHeight="1" x14ac:dyDescent="0.2">
      <c r="A26" s="14"/>
      <c r="C26" s="15"/>
      <c r="G26" s="5"/>
      <c r="H26" s="6"/>
    </row>
    <row r="27" spans="1:8" ht="11.1" customHeight="1" x14ac:dyDescent="0.2">
      <c r="A27" s="14" t="s">
        <v>13</v>
      </c>
      <c r="B27" s="15">
        <f>'[1]Data 2.2'!G77</f>
        <v>1059.8</v>
      </c>
      <c r="C27" s="15">
        <f>'[1]Data 2.2'!G81</f>
        <v>1103.5999999999999</v>
      </c>
      <c r="D27" s="15">
        <f>'[1]Data 2.2'!G85</f>
        <v>1166.5</v>
      </c>
      <c r="E27" s="15">
        <f>'[1]Data 2.2'!G89</f>
        <v>1213.7</v>
      </c>
      <c r="F27" s="15">
        <f>'[1]Data 2.2'!G93</f>
        <v>1267.5</v>
      </c>
      <c r="G27" s="5"/>
      <c r="H27" s="6"/>
    </row>
    <row r="28" spans="1:8" ht="6" customHeight="1" x14ac:dyDescent="0.2">
      <c r="A28" s="16"/>
      <c r="B28" s="17"/>
      <c r="C28" s="17"/>
      <c r="D28" s="18"/>
      <c r="E28" s="18"/>
      <c r="F28" s="18"/>
      <c r="G28" s="5"/>
      <c r="H28" s="6"/>
    </row>
    <row r="29" spans="1:8" ht="20.100000000000001" customHeight="1" x14ac:dyDescent="0.2">
      <c r="A29" s="9" t="s">
        <v>14</v>
      </c>
      <c r="G29" s="5"/>
      <c r="H29" s="6"/>
    </row>
    <row r="30" spans="1:8" ht="3" customHeight="1" x14ac:dyDescent="0.2">
      <c r="A30" s="19"/>
      <c r="B30" s="20"/>
      <c r="C30" s="20"/>
      <c r="G30" s="5"/>
      <c r="H30" s="6"/>
    </row>
    <row r="31" spans="1:8" ht="11.1" customHeight="1" x14ac:dyDescent="0.2">
      <c r="A31" s="14" t="s">
        <v>9</v>
      </c>
      <c r="B31" s="21">
        <f>'[1]Data 2.2'!D74</f>
        <v>5.5137089484784463</v>
      </c>
      <c r="C31" s="21">
        <f>'[1]Data 2.2'!D78</f>
        <v>3.835903293356191</v>
      </c>
      <c r="D31" s="21">
        <f>'[1]Data 2.2'!D82</f>
        <v>4.5925382711522467</v>
      </c>
      <c r="E31" s="21">
        <f>'[1]Data 2.2'!D86</f>
        <v>3.7160385626643366</v>
      </c>
      <c r="F31" s="21">
        <f>'[1]Data 2.2'!D90</f>
        <v>5.1968903160385382</v>
      </c>
      <c r="G31" s="5"/>
      <c r="H31" s="6"/>
    </row>
    <row r="32" spans="1:8" ht="11.1" customHeight="1" x14ac:dyDescent="0.2">
      <c r="A32" s="14" t="s">
        <v>10</v>
      </c>
      <c r="B32" s="21">
        <f>'[1]Data 2.2'!D75</f>
        <v>4.3663788826039385</v>
      </c>
      <c r="C32" s="21">
        <f>'[1]Data 2.2'!D79</f>
        <v>4.6971569839307614</v>
      </c>
      <c r="D32" s="21">
        <f>'[1]Data 2.2'!D83</f>
        <v>5.5944055944056048</v>
      </c>
      <c r="E32" s="21">
        <f>'[1]Data 2.2'!D87</f>
        <v>4.1455233508213674</v>
      </c>
      <c r="F32" s="21">
        <f>'[1]Data 2.2'!D91</f>
        <v>3.6419192336278661</v>
      </c>
      <c r="G32" s="5"/>
      <c r="H32" s="6"/>
    </row>
    <row r="33" spans="1:8" ht="11.1" customHeight="1" x14ac:dyDescent="0.2">
      <c r="A33" s="14" t="s">
        <v>11</v>
      </c>
      <c r="B33" s="21">
        <f>'[1]Data 2.2'!D76</f>
        <v>4.5632589110849997</v>
      </c>
      <c r="C33" s="21">
        <f>'[1]Data 2.2'!D80</f>
        <v>4.1580820378348093</v>
      </c>
      <c r="D33" s="21">
        <f>'[1]Data 2.2'!D84</f>
        <v>5.9791404423664707</v>
      </c>
      <c r="E33" s="21">
        <f>'[1]Data 2.2'!D88</f>
        <v>3.8517010265546769</v>
      </c>
      <c r="F33" s="21">
        <f>'[1]Data 2.2'!D92</f>
        <v>4.9669144677722654</v>
      </c>
      <c r="G33" s="5"/>
      <c r="H33" s="6"/>
    </row>
    <row r="34" spans="1:8" ht="11.1" customHeight="1" x14ac:dyDescent="0.2">
      <c r="A34" s="14" t="s">
        <v>12</v>
      </c>
      <c r="B34" s="21">
        <f>'[1]Data 2.2'!D77</f>
        <v>3.4946757018393004</v>
      </c>
      <c r="C34" s="21">
        <f>'[1]Data 2.2'!D81</f>
        <v>3.8537087269666204</v>
      </c>
      <c r="D34" s="21">
        <f>'[1]Data 2.2'!D85</f>
        <v>6.5838061785103319</v>
      </c>
      <c r="E34" s="21">
        <f>'[1]Data 2.2'!D89</f>
        <v>4.4870711509210626</v>
      </c>
      <c r="F34" s="21">
        <f>'[1]Data 2.2'!D93</f>
        <v>3.9304488475535804</v>
      </c>
      <c r="G34" s="5"/>
      <c r="H34" s="6"/>
    </row>
    <row r="35" spans="1:8" ht="11.1" customHeight="1" x14ac:dyDescent="0.2">
      <c r="A35" s="14"/>
      <c r="G35" s="5"/>
      <c r="H35" s="6"/>
    </row>
    <row r="36" spans="1:8" ht="11.1" customHeight="1" x14ac:dyDescent="0.2">
      <c r="A36" s="14" t="s">
        <v>13</v>
      </c>
      <c r="B36" s="21">
        <f>'[1]Data 2.2'!E77</f>
        <v>4.484505611001671</v>
      </c>
      <c r="C36" s="21">
        <f>'[1]Data 2.2'!E81</f>
        <v>4.1362127605220955</v>
      </c>
      <c r="D36" s="21">
        <f>'[1]Data 2.2'!E85</f>
        <v>5.6874726216086637</v>
      </c>
      <c r="E36" s="21">
        <f>'[1]Data 2.2'!E89</f>
        <v>4.0500835227403602</v>
      </c>
      <c r="F36" s="21">
        <f>'[1]Data 2.2'!E93</f>
        <v>4.434043216248063</v>
      </c>
      <c r="G36" s="5"/>
      <c r="H36" s="6"/>
    </row>
    <row r="37" spans="1:8" ht="6" customHeight="1" x14ac:dyDescent="0.2">
      <c r="A37" s="16"/>
      <c r="B37" s="17"/>
      <c r="C37" s="4"/>
      <c r="D37" s="4"/>
      <c r="E37" s="4"/>
      <c r="F37" s="4"/>
      <c r="G37" s="5"/>
      <c r="H37" s="6"/>
    </row>
    <row r="38" spans="1:8" ht="19.899999999999999" customHeight="1" x14ac:dyDescent="0.2">
      <c r="A38" s="9" t="s">
        <v>15</v>
      </c>
      <c r="B38" s="11"/>
      <c r="E38" s="10"/>
      <c r="F38" s="10"/>
      <c r="G38" s="5"/>
      <c r="H38" s="6"/>
    </row>
    <row r="39" spans="1:8" ht="3" customHeight="1" x14ac:dyDescent="0.2">
      <c r="A39" s="13"/>
      <c r="B39" s="11"/>
      <c r="E39" s="10"/>
      <c r="F39" s="10"/>
      <c r="G39" s="5"/>
      <c r="H39" s="6"/>
    </row>
    <row r="40" spans="1:8" ht="11.1" customHeight="1" x14ac:dyDescent="0.2">
      <c r="A40" s="14" t="s">
        <v>9</v>
      </c>
      <c r="B40" s="15">
        <f>ROUND('[1]Data 2.2'!H74,1)</f>
        <v>1163</v>
      </c>
      <c r="C40" s="15">
        <f>ROUND('[1]Data 2.2'!H78,1)</f>
        <v>1150.4000000000001</v>
      </c>
      <c r="D40" s="15">
        <f>ROUND('[1]Data 2.2'!H82,1)</f>
        <v>1188.2</v>
      </c>
      <c r="E40" s="15">
        <f>ROUND('[1]Data 2.2'!H86,1)</f>
        <v>1198.9000000000001</v>
      </c>
      <c r="F40" s="15">
        <f>ROUND('[1]Data 2.2'!H90,1)</f>
        <v>1218.4000000000001</v>
      </c>
      <c r="G40" s="5"/>
      <c r="H40" s="6"/>
    </row>
    <row r="41" spans="1:8" ht="11.1" customHeight="1" x14ac:dyDescent="0.2">
      <c r="A41" s="14" t="s">
        <v>10</v>
      </c>
      <c r="B41" s="15">
        <f>ROUND('[1]Data 2.2'!H75,1)</f>
        <v>1153.4000000000001</v>
      </c>
      <c r="C41" s="15">
        <f>ROUND('[1]Data 2.2'!H79,1)</f>
        <v>1164.5999999999999</v>
      </c>
      <c r="D41" s="15">
        <f>ROUND('[1]Data 2.2'!H83,1)</f>
        <v>1204.4000000000001</v>
      </c>
      <c r="E41" s="15">
        <f>ROUND('[1]Data 2.2'!H87,1)</f>
        <v>1221.9000000000001</v>
      </c>
      <c r="F41" s="15">
        <f>ROUND('[1]Data 2.2'!H91,1)</f>
        <v>1228.2</v>
      </c>
      <c r="G41" s="5"/>
      <c r="H41" s="6"/>
    </row>
    <row r="42" spans="1:8" ht="11.1" customHeight="1" x14ac:dyDescent="0.2">
      <c r="A42" s="14" t="s">
        <v>11</v>
      </c>
      <c r="B42" s="15">
        <f>ROUND('[1]Data 2.2'!H76,1)</f>
        <v>1155.9000000000001</v>
      </c>
      <c r="C42" s="15">
        <f>ROUND('[1]Data 2.2'!H80,1)</f>
        <v>1174.9000000000001</v>
      </c>
      <c r="D42" s="15">
        <f>ROUND('[1]Data 2.2'!H84,1)</f>
        <v>1210.2</v>
      </c>
      <c r="E42" s="15">
        <f>ROUND('[1]Data 2.2'!H88,1)</f>
        <v>1216.3</v>
      </c>
      <c r="F42" s="15">
        <f>ROUND('[1]Data 2.2'!H92,1)</f>
        <v>1256.8</v>
      </c>
      <c r="G42" s="5"/>
      <c r="H42" s="6"/>
    </row>
    <row r="43" spans="1:8" ht="11.1" customHeight="1" x14ac:dyDescent="0.2">
      <c r="A43" s="14" t="s">
        <v>12</v>
      </c>
      <c r="B43" s="15">
        <f>ROUND('[1]Data 2.2'!H77,1)</f>
        <v>1140.4000000000001</v>
      </c>
      <c r="C43" s="15">
        <f>ROUND('[1]Data 2.2'!H81,1)</f>
        <v>1167.3</v>
      </c>
      <c r="D43" s="15">
        <f>ROUND('[1]Data 2.2'!H85,1)</f>
        <v>1207.3</v>
      </c>
      <c r="E43" s="15">
        <f>ROUND('[1]Data 2.2'!H89,1)</f>
        <v>1217.5999999999999</v>
      </c>
      <c r="F43" s="15">
        <f>ROUND('[1]Data 2.2'!H93,1)</f>
        <v>1250.7</v>
      </c>
      <c r="G43" s="5"/>
      <c r="H43" s="6"/>
    </row>
    <row r="44" spans="1:8" ht="11.1" customHeight="1" x14ac:dyDescent="0.2">
      <c r="A44" s="14"/>
      <c r="C44" s="15"/>
      <c r="G44" s="5"/>
      <c r="H44" s="6"/>
    </row>
    <row r="45" spans="1:8" ht="11.1" customHeight="1" x14ac:dyDescent="0.2">
      <c r="A45" s="14" t="s">
        <v>13</v>
      </c>
      <c r="B45" s="15">
        <f>ROUND('[1]Data 2.2'!M77,1)</f>
        <v>1115.2</v>
      </c>
      <c r="C45" s="15">
        <f>ROUND('[1]Data 2.2'!M81,1)</f>
        <v>1142.5</v>
      </c>
      <c r="D45" s="15">
        <f>'[1]Data 2.2'!M85</f>
        <v>1172.3517023949291</v>
      </c>
      <c r="E45" s="15">
        <f>ROUND('[1]Data 2.2'!M89,1)</f>
        <v>1213.7</v>
      </c>
      <c r="F45" s="15">
        <f>ROUND('[1]Data 2.2'!M93,1)</f>
        <v>1226.7</v>
      </c>
      <c r="G45" s="5"/>
      <c r="H45" s="6"/>
    </row>
    <row r="46" spans="1:8" ht="6" customHeight="1" x14ac:dyDescent="0.2">
      <c r="A46" s="16"/>
      <c r="B46" s="22"/>
      <c r="C46" s="4"/>
      <c r="D46" s="4"/>
      <c r="E46" s="4"/>
      <c r="F46" s="4"/>
      <c r="G46" s="5"/>
      <c r="H46" s="6"/>
    </row>
    <row r="47" spans="1:8" ht="20.100000000000001" customHeight="1" x14ac:dyDescent="0.2">
      <c r="A47" s="23" t="s">
        <v>16</v>
      </c>
      <c r="G47" s="5"/>
      <c r="H47" s="6"/>
    </row>
    <row r="48" spans="1:8" ht="3" customHeight="1" x14ac:dyDescent="0.2">
      <c r="G48" s="5"/>
      <c r="H48" s="6"/>
    </row>
    <row r="49" spans="1:9" ht="11.1" customHeight="1" x14ac:dyDescent="0.2">
      <c r="A49" s="14" t="s">
        <v>9</v>
      </c>
      <c r="B49" s="21">
        <f>'[1]Data 2.2'!I74</f>
        <v>3.5843914456374026</v>
      </c>
      <c r="C49" s="21">
        <f>'[1]Data 2.2'!I78</f>
        <v>-1.0908452713135564</v>
      </c>
      <c r="D49" s="21">
        <f>'[1]Data 2.2'!I82</f>
        <v>3.2897842357464402</v>
      </c>
      <c r="E49" s="21">
        <f>'[1]Data 2.2'!I86</f>
        <v>0.90319735525219436</v>
      </c>
      <c r="F49" s="21">
        <f>'[1]Data 2.2'!I90</f>
        <v>1.6199614925834993</v>
      </c>
      <c r="G49" s="5"/>
      <c r="H49" s="6"/>
    </row>
    <row r="50" spans="1:9" ht="11.1" customHeight="1" x14ac:dyDescent="0.2">
      <c r="A50" s="14" t="s">
        <v>10</v>
      </c>
      <c r="B50" s="21">
        <f>'[1]Data 2.2'!I75</f>
        <v>1.3677196517483781</v>
      </c>
      <c r="C50" s="21">
        <f>'[1]Data 2.2'!I79</f>
        <v>0.97599297064647761</v>
      </c>
      <c r="D50" s="21">
        <f>'[1]Data 2.2'!I83</f>
        <v>3.4139901396538663</v>
      </c>
      <c r="E50" s="21">
        <f>'[1]Data 2.2'!I87</f>
        <v>1.4521046434725404</v>
      </c>
      <c r="F50" s="21">
        <f>'[1]Data 2.2'!I91</f>
        <v>0.52226280184641816</v>
      </c>
      <c r="G50" s="5"/>
      <c r="H50" s="6"/>
    </row>
    <row r="51" spans="1:9" ht="11.1" customHeight="1" x14ac:dyDescent="0.2">
      <c r="A51" s="14" t="s">
        <v>11</v>
      </c>
      <c r="B51" s="21">
        <f>'[1]Data 2.2'!I76</f>
        <v>0.30852704417276833</v>
      </c>
      <c r="C51" s="21">
        <f>'[1]Data 2.2'!I80</f>
        <v>1.651268992399535</v>
      </c>
      <c r="D51" s="21">
        <f>'[1]Data 2.2'!I84</f>
        <v>3.0042873773175938</v>
      </c>
      <c r="E51" s="21">
        <f>'[1]Data 2.2'!I88</f>
        <v>0.50164615473031748</v>
      </c>
      <c r="F51" s="21">
        <f>'[1]Data 2.2'!I92</f>
        <v>3.3295475568543509</v>
      </c>
      <c r="G51" s="5"/>
      <c r="H51" s="6"/>
    </row>
    <row r="52" spans="1:9" ht="11.1" customHeight="1" x14ac:dyDescent="0.2">
      <c r="A52" s="14" t="s">
        <v>12</v>
      </c>
      <c r="B52" s="21">
        <f>'[1]Data 2.2'!I77</f>
        <v>-0.96955393050006666</v>
      </c>
      <c r="C52" s="21">
        <f>'[1]Data 2.2'!I81</f>
        <v>2.3612003380760749</v>
      </c>
      <c r="D52" s="21">
        <f>'[1]Data 2.2'!I85</f>
        <v>3.4253087263871329</v>
      </c>
      <c r="E52" s="21">
        <f>'[1]Data 2.2'!I89</f>
        <v>0.85375740366524511</v>
      </c>
      <c r="F52" s="21">
        <f>'[1]Data 2.2'!I93</f>
        <v>2.7206154629645596</v>
      </c>
      <c r="G52" s="5"/>
      <c r="H52" s="6"/>
    </row>
    <row r="53" spans="1:9" ht="11.1" customHeight="1" x14ac:dyDescent="0.2">
      <c r="A53" s="14"/>
      <c r="G53" s="5"/>
      <c r="H53" s="6"/>
    </row>
    <row r="54" spans="1:9" ht="11.1" customHeight="1" x14ac:dyDescent="0.2">
      <c r="A54" s="14" t="s">
        <v>13</v>
      </c>
      <c r="B54" s="21">
        <f>'[1]Data 2.2'!J77</f>
        <v>1.0727710527646206</v>
      </c>
      <c r="C54" s="21">
        <f>'[1]Data 2.2'!J81</f>
        <v>0.97440425745213277</v>
      </c>
      <c r="D54" s="21">
        <f>'[1]Data 2.2'!J85</f>
        <v>3.2833426197762581</v>
      </c>
      <c r="E54" s="21">
        <f>'[1]Data 2.2'!J89</f>
        <v>0.92767638928007434</v>
      </c>
      <c r="F54" s="21">
        <f>'[1]Data 2.2'!J93</f>
        <v>2.048096828562207</v>
      </c>
      <c r="G54" s="5"/>
      <c r="H54" s="6"/>
    </row>
    <row r="55" spans="1:9" ht="6" customHeight="1" x14ac:dyDescent="0.2">
      <c r="A55" s="16"/>
      <c r="B55" s="17"/>
      <c r="C55" s="17"/>
      <c r="D55" s="17"/>
      <c r="E55" s="17"/>
      <c r="F55" s="17"/>
      <c r="G55" s="5"/>
      <c r="H55" s="6"/>
    </row>
    <row r="56" spans="1:9" ht="7.9" customHeight="1" x14ac:dyDescent="0.2">
      <c r="A56" s="24"/>
      <c r="B56" s="24"/>
      <c r="C56" s="24"/>
      <c r="D56" s="24"/>
      <c r="E56" s="24"/>
      <c r="F56" s="24"/>
      <c r="G56" s="5"/>
      <c r="H56" s="6"/>
    </row>
    <row r="57" spans="1:9" ht="11.1" customHeight="1" x14ac:dyDescent="0.2">
      <c r="A57" s="25" t="s">
        <v>17</v>
      </c>
      <c r="B57" s="5"/>
      <c r="D57" s="5"/>
      <c r="E57" s="5"/>
      <c r="F57" s="5"/>
      <c r="G57" s="5"/>
      <c r="H57" s="6"/>
    </row>
    <row r="58" spans="1:9" ht="11.1" customHeight="1" x14ac:dyDescent="0.2">
      <c r="A58" s="26"/>
      <c r="B58" s="5"/>
      <c r="C58" s="5"/>
      <c r="D58" s="5"/>
      <c r="E58" s="5"/>
      <c r="F58" s="5"/>
      <c r="G58" s="5"/>
      <c r="H58" s="6"/>
    </row>
    <row r="59" spans="1:9" ht="11.1" customHeight="1" x14ac:dyDescent="0.2">
      <c r="A59" s="27" t="s">
        <v>18</v>
      </c>
      <c r="B59" s="28"/>
      <c r="C59" s="28"/>
      <c r="D59" s="28"/>
      <c r="E59" s="29"/>
      <c r="F59" s="5"/>
      <c r="G59" s="5"/>
      <c r="H59" s="6"/>
    </row>
    <row r="60" spans="1:9" ht="11.1" customHeight="1" x14ac:dyDescent="0.2">
      <c r="A60" s="27" t="s">
        <v>19</v>
      </c>
      <c r="B60" s="30"/>
      <c r="C60" s="31"/>
      <c r="D60" s="31"/>
      <c r="E60" s="29"/>
      <c r="F60" s="5"/>
      <c r="G60" s="5"/>
      <c r="H60" s="6"/>
    </row>
    <row r="61" spans="1:9" x14ac:dyDescent="0.2">
      <c r="C61" s="5"/>
      <c r="D61" s="5"/>
      <c r="E61" s="5"/>
      <c r="F61" s="5"/>
      <c r="G61" s="5"/>
      <c r="H61" s="6"/>
      <c r="I61" s="32" t="s">
        <v>20</v>
      </c>
    </row>
    <row r="62" spans="1:9" x14ac:dyDescent="0.2">
      <c r="A62" s="5"/>
      <c r="B62" s="5"/>
      <c r="C62" s="5"/>
      <c r="D62" s="5"/>
      <c r="E62" s="5"/>
      <c r="F62" s="5"/>
      <c r="G62" s="5"/>
      <c r="H62" s="6"/>
      <c r="I62" s="33">
        <f>'[1]Table 2.1'!I60</f>
        <v>41501</v>
      </c>
    </row>
    <row r="63" spans="1:9" x14ac:dyDescent="0.2">
      <c r="A63" s="5"/>
      <c r="B63" s="5"/>
      <c r="C63" s="5"/>
      <c r="D63" s="5"/>
      <c r="E63" s="5"/>
      <c r="F63" s="5"/>
      <c r="G63" s="5"/>
    </row>
    <row r="64" spans="1:9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B69" s="5"/>
      <c r="C69" s="5"/>
      <c r="D69" s="5"/>
      <c r="E69" s="5"/>
      <c r="F69" s="5"/>
      <c r="G69" s="5"/>
    </row>
  </sheetData>
  <hyperlinks>
    <hyperlink ref="A1" r:id="rId1"/>
    <hyperlink ref="A60:D60" r:id="rId2" display="               ABS, Consumer price index, Cat. no. 6401.0"/>
    <hyperlink ref="A59:D59" r:id="rId3" display="Sources: ABS, Average weekly earnings, Cat. no. 6302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76200</xdr:colOff>
                <xdr:row>3</xdr:row>
                <xdr:rowOff>66675</xdr:rowOff>
              </from>
              <to>
                <xdr:col>11</xdr:col>
                <xdr:colOff>47625</xdr:colOff>
                <xdr:row>60</xdr:row>
                <xdr:rowOff>57150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2013-03-04T04:31:18Z</dcterms:created>
  <dcterms:modified xsi:type="dcterms:W3CDTF">2013-03-04T04:31:29Z</dcterms:modified>
</cp:coreProperties>
</file>