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6" yWindow="36" windowWidth="18192" windowHeight="12048" firstSheet="1" activeTab="1"/>
  </bookViews>
  <sheets>
    <sheet name="Gifted Pivot" sheetId="7" r:id="rId1"/>
    <sheet name="Child_Count" sheetId="8" r:id="rId2"/>
  </sheets>
  <definedNames>
    <definedName name="_xlnm.Print_Area" localSheetId="1">Child_Count!$A$1:$H$418</definedName>
    <definedName name="_xlnm.Print_Titles" localSheetId="1">Child_Count!$1:$2</definedName>
  </definedNames>
  <calcPr calcId="144525"/>
  <pivotCaches>
    <pivotCache cacheId="0" r:id="rId3"/>
  </pivotCaches>
</workbook>
</file>

<file path=xl/calcChain.xml><?xml version="1.0" encoding="utf-8"?>
<calcChain xmlns="http://schemas.openxmlformats.org/spreadsheetml/2006/main">
  <c r="E417" i="8" l="1"/>
  <c r="F417" i="8"/>
  <c r="G417" i="8"/>
  <c r="H417" i="8"/>
  <c r="D417" i="8"/>
  <c r="E415" i="8"/>
  <c r="F415" i="8"/>
  <c r="G415" i="8"/>
  <c r="H415" i="8"/>
  <c r="D415" i="8"/>
  <c r="E397" i="8"/>
  <c r="F397" i="8"/>
  <c r="G397" i="8"/>
  <c r="H397" i="8"/>
  <c r="D397" i="8"/>
</calcChain>
</file>

<file path=xl/sharedStrings.xml><?xml version="1.0" encoding="utf-8"?>
<sst xmlns="http://schemas.openxmlformats.org/spreadsheetml/2006/main" count="741" uniqueCount="691">
  <si>
    <t>Coop</t>
  </si>
  <si>
    <t>(blank)</t>
  </si>
  <si>
    <t>Grand Total</t>
  </si>
  <si>
    <t>202 Total</t>
  </si>
  <si>
    <t>229 Total</t>
  </si>
  <si>
    <t>230 Total</t>
  </si>
  <si>
    <t>231 Total</t>
  </si>
  <si>
    <t>232 Total</t>
  </si>
  <si>
    <t>233 Total</t>
  </si>
  <si>
    <t>234 Total</t>
  </si>
  <si>
    <t>244 Total</t>
  </si>
  <si>
    <t>253 Total</t>
  </si>
  <si>
    <t>259 Total</t>
  </si>
  <si>
    <t>260 Total</t>
  </si>
  <si>
    <t>261 Total</t>
  </si>
  <si>
    <t>263 Total</t>
  </si>
  <si>
    <t>273 Total</t>
  </si>
  <si>
    <t>282 Total</t>
  </si>
  <si>
    <t>290 Total</t>
  </si>
  <si>
    <t>305 Total</t>
  </si>
  <si>
    <t>308 Total</t>
  </si>
  <si>
    <t>320 Total</t>
  </si>
  <si>
    <t>321 Total</t>
  </si>
  <si>
    <t>330 Total</t>
  </si>
  <si>
    <t>333 Total</t>
  </si>
  <si>
    <t>336 Total</t>
  </si>
  <si>
    <t>345 Total</t>
  </si>
  <si>
    <t>353 Total</t>
  </si>
  <si>
    <t>364 Total</t>
  </si>
  <si>
    <t>368 Total</t>
  </si>
  <si>
    <t>372 Total</t>
  </si>
  <si>
    <t>373 Total</t>
  </si>
  <si>
    <t>379 Total</t>
  </si>
  <si>
    <t>383 Total</t>
  </si>
  <si>
    <t>389 Total</t>
  </si>
  <si>
    <t>405 Total</t>
  </si>
  <si>
    <t>407 Total</t>
  </si>
  <si>
    <t>409 Total</t>
  </si>
  <si>
    <t>418 Total</t>
  </si>
  <si>
    <t>428 Total</t>
  </si>
  <si>
    <t>437 Total</t>
  </si>
  <si>
    <t>442 Total</t>
  </si>
  <si>
    <t>450 Total</t>
  </si>
  <si>
    <t>453 Total</t>
  </si>
  <si>
    <t>457 Total</t>
  </si>
  <si>
    <t>465 Total</t>
  </si>
  <si>
    <t>475 Total</t>
  </si>
  <si>
    <t>480 Total</t>
  </si>
  <si>
    <t>489 Total</t>
  </si>
  <si>
    <t>490 Total</t>
  </si>
  <si>
    <t>495 Total</t>
  </si>
  <si>
    <t>497 Total</t>
  </si>
  <si>
    <t>500 Total</t>
  </si>
  <si>
    <t>501 Total</t>
  </si>
  <si>
    <t>512 Total</t>
  </si>
  <si>
    <t>602 Total</t>
  </si>
  <si>
    <t>603 Total</t>
  </si>
  <si>
    <t>605 Total</t>
  </si>
  <si>
    <t>607 Total</t>
  </si>
  <si>
    <t>608 Total</t>
  </si>
  <si>
    <t>610 Total</t>
  </si>
  <si>
    <t>611 Total</t>
  </si>
  <si>
    <t>613 Total</t>
  </si>
  <si>
    <t>614 Total</t>
  </si>
  <si>
    <t>615 Total</t>
  </si>
  <si>
    <t>616 Total</t>
  </si>
  <si>
    <t>617 Total</t>
  </si>
  <si>
    <t>618 Total</t>
  </si>
  <si>
    <t>619 Total</t>
  </si>
  <si>
    <t>620 Total</t>
  </si>
  <si>
    <t>636 Total</t>
  </si>
  <si>
    <t>637 Total</t>
  </si>
  <si>
    <t>700 Total</t>
  </si>
  <si>
    <t>(blank) Total</t>
  </si>
  <si>
    <t>coop</t>
  </si>
  <si>
    <t>LEA</t>
  </si>
  <si>
    <t>Sum of Count</t>
  </si>
  <si>
    <t>Total</t>
  </si>
  <si>
    <t>Gifted</t>
  </si>
  <si>
    <t>Exceptional</t>
  </si>
  <si>
    <t>D0202</t>
  </si>
  <si>
    <t>D0229</t>
  </si>
  <si>
    <t>D0230</t>
  </si>
  <si>
    <t>D0231</t>
  </si>
  <si>
    <t>D0232</t>
  </si>
  <si>
    <t>D0233</t>
  </si>
  <si>
    <t>D0234</t>
  </si>
  <si>
    <t>D0243</t>
  </si>
  <si>
    <t>D0244</t>
  </si>
  <si>
    <t>D0245</t>
  </si>
  <si>
    <t>D0251</t>
  </si>
  <si>
    <t>D0252</t>
  </si>
  <si>
    <t>D0253</t>
  </si>
  <si>
    <t>D0284</t>
  </si>
  <si>
    <t>D0386</t>
  </si>
  <si>
    <t>D0390</t>
  </si>
  <si>
    <t>D0417</t>
  </si>
  <si>
    <t>D0259</t>
  </si>
  <si>
    <t>D0260</t>
  </si>
  <si>
    <t>D0261</t>
  </si>
  <si>
    <t>D0263</t>
  </si>
  <si>
    <t>D0107</t>
  </si>
  <si>
    <t>D0272</t>
  </si>
  <si>
    <t>D0273</t>
  </si>
  <si>
    <t>D0298</t>
  </si>
  <si>
    <t>D0299</t>
  </si>
  <si>
    <t>D0282</t>
  </si>
  <si>
    <t>D0283</t>
  </si>
  <si>
    <t>D0286</t>
  </si>
  <si>
    <t>D0290</t>
  </si>
  <si>
    <t>D0112</t>
  </si>
  <si>
    <t>D0239</t>
  </si>
  <si>
    <t>D0240</t>
  </si>
  <si>
    <t>D0305</t>
  </si>
  <si>
    <t>D0306</t>
  </si>
  <si>
    <t>D0307</t>
  </si>
  <si>
    <t>D0327</t>
  </si>
  <si>
    <t>D0393</t>
  </si>
  <si>
    <t>D0435</t>
  </si>
  <si>
    <t>D0473</t>
  </si>
  <si>
    <t>D0481</t>
  </si>
  <si>
    <t>D0487</t>
  </si>
  <si>
    <t>D0308</t>
  </si>
  <si>
    <t>D0320</t>
  </si>
  <si>
    <t>D0323</t>
  </si>
  <si>
    <t>D0329</t>
  </si>
  <si>
    <t>D0321</t>
  </si>
  <si>
    <t>D0330</t>
  </si>
  <si>
    <t>D0108</t>
  </si>
  <si>
    <t>D0109</t>
  </si>
  <si>
    <t>D0224</t>
  </si>
  <si>
    <t>D0333</t>
  </si>
  <si>
    <t>D0426</t>
  </si>
  <si>
    <t>D0113</t>
  </si>
  <si>
    <t>D0322</t>
  </si>
  <si>
    <t>D0335</t>
  </si>
  <si>
    <t>D0336</t>
  </si>
  <si>
    <t>D0337</t>
  </si>
  <si>
    <t>D0345</t>
  </si>
  <si>
    <t>D0353</t>
  </si>
  <si>
    <t>D0364</t>
  </si>
  <si>
    <t>D0498</t>
  </si>
  <si>
    <t>D0288</t>
  </si>
  <si>
    <t>D0344</t>
  </si>
  <si>
    <t>D0346</t>
  </si>
  <si>
    <t>D0362</t>
  </si>
  <si>
    <t>D0365</t>
  </si>
  <si>
    <t>D0367</t>
  </si>
  <si>
    <t>D0368</t>
  </si>
  <si>
    <t>D0416</t>
  </si>
  <si>
    <t>D0372</t>
  </si>
  <si>
    <t>D0373</t>
  </si>
  <si>
    <t>D0440</t>
  </si>
  <si>
    <t>D0460</t>
  </si>
  <si>
    <t>D0223</t>
  </si>
  <si>
    <t>D0334</t>
  </si>
  <si>
    <t>D0378</t>
  </si>
  <si>
    <t>D0379</t>
  </si>
  <si>
    <t>D0384</t>
  </si>
  <si>
    <t>D0383</t>
  </si>
  <si>
    <t>D0389</t>
  </si>
  <si>
    <t>D0376</t>
  </si>
  <si>
    <t>D0401</t>
  </si>
  <si>
    <t>D0405</t>
  </si>
  <si>
    <t>D0444</t>
  </si>
  <si>
    <t>D0407</t>
  </si>
  <si>
    <t>D0409</t>
  </si>
  <si>
    <t>D0400</t>
  </si>
  <si>
    <t>D0418</t>
  </si>
  <si>
    <t>D0419</t>
  </si>
  <si>
    <t>D0423</t>
  </si>
  <si>
    <t>D0448</t>
  </si>
  <si>
    <t>D0355</t>
  </si>
  <si>
    <t>D0403</t>
  </si>
  <si>
    <t>D0428</t>
  </si>
  <si>
    <t>D0431</t>
  </si>
  <si>
    <t>D0437</t>
  </si>
  <si>
    <t>D0380</t>
  </si>
  <si>
    <t>D0442</t>
  </si>
  <si>
    <t>D0451</t>
  </si>
  <si>
    <t>D0450</t>
  </si>
  <si>
    <t>D0207</t>
  </si>
  <si>
    <t>D0449</t>
  </si>
  <si>
    <t>D0453</t>
  </si>
  <si>
    <t>D0458</t>
  </si>
  <si>
    <t>D0464</t>
  </si>
  <si>
    <t>D0469</t>
  </si>
  <si>
    <t>D0457</t>
  </si>
  <si>
    <t>D0285</t>
  </si>
  <si>
    <t>D0462</t>
  </si>
  <si>
    <t>D0463</t>
  </si>
  <si>
    <t>D0465</t>
  </si>
  <si>
    <t>D0470</t>
  </si>
  <si>
    <t>D0471</t>
  </si>
  <si>
    <t>D0475</t>
  </si>
  <si>
    <t>D0480</t>
  </si>
  <si>
    <t>D0388</t>
  </si>
  <si>
    <t>D0395</t>
  </si>
  <si>
    <t>D0432</t>
  </si>
  <si>
    <t>D0489</t>
  </si>
  <si>
    <t>D0205</t>
  </si>
  <si>
    <t>D0206</t>
  </si>
  <si>
    <t>D0375</t>
  </si>
  <si>
    <t>D0385</t>
  </si>
  <si>
    <t>D0394</t>
  </si>
  <si>
    <t>D0396</t>
  </si>
  <si>
    <t>D0402</t>
  </si>
  <si>
    <t>D0490</t>
  </si>
  <si>
    <t>D0492</t>
  </si>
  <si>
    <t>D0228</t>
  </si>
  <si>
    <t>D0347</t>
  </si>
  <si>
    <t>D0495</t>
  </si>
  <si>
    <t>D0496</t>
  </si>
  <si>
    <t>D0502</t>
  </si>
  <si>
    <t>D0497</t>
  </si>
  <si>
    <t>D0203</t>
  </si>
  <si>
    <t>D0204</t>
  </si>
  <si>
    <t>D0500</t>
  </si>
  <si>
    <t>D0501</t>
  </si>
  <si>
    <t>D0512</t>
  </si>
  <si>
    <t>D0103</t>
  </si>
  <si>
    <t>D0105</t>
  </si>
  <si>
    <t>D0208</t>
  </si>
  <si>
    <t>D0241</t>
  </si>
  <si>
    <t>D0242</t>
  </si>
  <si>
    <t>D0274</t>
  </si>
  <si>
    <t>D0275</t>
  </si>
  <si>
    <t>D0281</t>
  </si>
  <si>
    <t>D0291</t>
  </si>
  <si>
    <t>D0292</t>
  </si>
  <si>
    <t>D0293</t>
  </si>
  <si>
    <t>D0294</t>
  </si>
  <si>
    <t>D0297</t>
  </si>
  <si>
    <t>D0314</t>
  </si>
  <si>
    <t>D0315</t>
  </si>
  <si>
    <t>D0316</t>
  </si>
  <si>
    <t>D0352</t>
  </si>
  <si>
    <t>D0412</t>
  </si>
  <si>
    <t>D0468</t>
  </si>
  <si>
    <t>D0101</t>
  </si>
  <si>
    <t>D0256</t>
  </si>
  <si>
    <t>D0257</t>
  </si>
  <si>
    <t>D0258</t>
  </si>
  <si>
    <t>D0366</t>
  </si>
  <si>
    <t>D0387</t>
  </si>
  <si>
    <t>D0413</t>
  </si>
  <si>
    <t>D0479</t>
  </si>
  <si>
    <t>D0254</t>
  </si>
  <si>
    <t>D0255</t>
  </si>
  <si>
    <t>D0300</t>
  </si>
  <si>
    <t>D0331</t>
  </si>
  <si>
    <t>D0332</t>
  </si>
  <si>
    <t>D0349</t>
  </si>
  <si>
    <t>D0350</t>
  </si>
  <si>
    <t>D0351</t>
  </si>
  <si>
    <t>D0361</t>
  </si>
  <si>
    <t>D0382</t>
  </si>
  <si>
    <t>D0422</t>
  </si>
  <si>
    <t>D0438</t>
  </si>
  <si>
    <t>D0474</t>
  </si>
  <si>
    <t>D0511</t>
  </si>
  <si>
    <t>D0436</t>
  </si>
  <si>
    <t>D0445</t>
  </si>
  <si>
    <t>D0446</t>
  </si>
  <si>
    <t>D0447</t>
  </si>
  <si>
    <t>D0461</t>
  </si>
  <si>
    <t>D0484</t>
  </si>
  <si>
    <t>D0503</t>
  </si>
  <si>
    <t>D0338</t>
  </si>
  <si>
    <t>D0339</t>
  </si>
  <si>
    <t>D0340</t>
  </si>
  <si>
    <t>D0341</t>
  </si>
  <si>
    <t>D0342</t>
  </si>
  <si>
    <t>D0343</t>
  </si>
  <si>
    <t>D0377</t>
  </si>
  <si>
    <t>D0309</t>
  </si>
  <si>
    <t>D0310</t>
  </si>
  <si>
    <t>D0311</t>
  </si>
  <si>
    <t>D0312</t>
  </si>
  <si>
    <t>D0313</t>
  </si>
  <si>
    <t>D0200</t>
  </si>
  <si>
    <t>D0209</t>
  </si>
  <si>
    <t>D0210</t>
  </si>
  <si>
    <t>D0214</t>
  </si>
  <si>
    <t>D0215</t>
  </si>
  <si>
    <t>D0216</t>
  </si>
  <si>
    <t>D0217</t>
  </si>
  <si>
    <t>D0218</t>
  </si>
  <si>
    <t>D0363</t>
  </si>
  <si>
    <t>D0371</t>
  </si>
  <si>
    <t>D0374</t>
  </si>
  <si>
    <t>D0452</t>
  </si>
  <si>
    <t>D0466</t>
  </si>
  <si>
    <t>D0467</t>
  </si>
  <si>
    <t>D0476</t>
  </si>
  <si>
    <t>D0494</t>
  </si>
  <si>
    <t>D0507</t>
  </si>
  <si>
    <t>D0102</t>
  </si>
  <si>
    <t>D0106</t>
  </si>
  <si>
    <t>D0219</t>
  </si>
  <si>
    <t>D0220</t>
  </si>
  <si>
    <t>D0225</t>
  </si>
  <si>
    <t>D0226</t>
  </si>
  <si>
    <t>D0227</t>
  </si>
  <si>
    <t>D0303</t>
  </si>
  <si>
    <t>D0381</t>
  </si>
  <si>
    <t>D0443</t>
  </si>
  <si>
    <t>D0459</t>
  </si>
  <si>
    <t>D0477</t>
  </si>
  <si>
    <t>D0482</t>
  </si>
  <si>
    <t>D0483</t>
  </si>
  <si>
    <t>D0289</t>
  </si>
  <si>
    <t>D0348</t>
  </si>
  <si>
    <t>D0491</t>
  </si>
  <si>
    <t>D0415</t>
  </si>
  <si>
    <t>D0430</t>
  </si>
  <si>
    <t>D0111</t>
  </si>
  <si>
    <t>D0114</t>
  </si>
  <si>
    <t>D0429</t>
  </si>
  <si>
    <t>D0397</t>
  </si>
  <si>
    <t>D0398</t>
  </si>
  <si>
    <t>D0408</t>
  </si>
  <si>
    <t>D0410</t>
  </si>
  <si>
    <t>D0411</t>
  </si>
  <si>
    <t>D0262</t>
  </si>
  <si>
    <t>D0264</t>
  </si>
  <si>
    <t>D0265</t>
  </si>
  <si>
    <t>D0266</t>
  </si>
  <si>
    <t>D0267</t>
  </si>
  <si>
    <t>D0268</t>
  </si>
  <si>
    <t>D0356</t>
  </si>
  <si>
    <t>D0369</t>
  </si>
  <si>
    <t>D0439</t>
  </si>
  <si>
    <t>D0357</t>
  </si>
  <si>
    <t>D0358</t>
  </si>
  <si>
    <t>D0359</t>
  </si>
  <si>
    <t>D0360</t>
  </si>
  <si>
    <t>D0509</t>
  </si>
  <si>
    <t>D0287</t>
  </si>
  <si>
    <t>D0420</t>
  </si>
  <si>
    <t>D0421</t>
  </si>
  <si>
    <t>D0434</t>
  </si>
  <si>
    <t>D0454</t>
  </si>
  <si>
    <t>D0456</t>
  </si>
  <si>
    <t>D0110</t>
  </si>
  <si>
    <t>D0211</t>
  </si>
  <si>
    <t>D0212</t>
  </si>
  <si>
    <t>D0237</t>
  </si>
  <si>
    <t>D0269</t>
  </si>
  <si>
    <t>D0270</t>
  </si>
  <si>
    <t>D0271</t>
  </si>
  <si>
    <t>D0325</t>
  </si>
  <si>
    <t>D0326</t>
  </si>
  <si>
    <t>D0392</t>
  </si>
  <si>
    <t>D0399</t>
  </si>
  <si>
    <t>D0235</t>
  </si>
  <si>
    <t>D0246</t>
  </si>
  <si>
    <t>D0247</t>
  </si>
  <si>
    <t>D0248</t>
  </si>
  <si>
    <t>D0249</t>
  </si>
  <si>
    <t>D0250</t>
  </si>
  <si>
    <t>D0404</t>
  </si>
  <si>
    <t>D0493</t>
  </si>
  <si>
    <t>D0499</t>
  </si>
  <si>
    <t>D0504</t>
  </si>
  <si>
    <t>D0505</t>
  </si>
  <si>
    <t>D0506</t>
  </si>
  <si>
    <t>D0508</t>
  </si>
  <si>
    <t>Coop Total</t>
  </si>
  <si>
    <t>Age 3 - 5</t>
  </si>
  <si>
    <t>Age 6 - 21</t>
  </si>
  <si>
    <t>District / Agency Name</t>
  </si>
  <si>
    <t>Pt. B</t>
  </si>
  <si>
    <t>All</t>
  </si>
  <si>
    <t>Disabled</t>
  </si>
  <si>
    <t>Turner</t>
  </si>
  <si>
    <t>Blue Valley</t>
  </si>
  <si>
    <t>Spring Hill</t>
  </si>
  <si>
    <t>Gardner-Edgerton-Antioch</t>
  </si>
  <si>
    <t>De Soto</t>
  </si>
  <si>
    <t>Olathe</t>
  </si>
  <si>
    <t>Ft Scott</t>
  </si>
  <si>
    <t>Lebo-Waverly</t>
  </si>
  <si>
    <t>Burlington</t>
  </si>
  <si>
    <t>Leroy-Gridley</t>
  </si>
  <si>
    <t>North Lyon County</t>
  </si>
  <si>
    <t>Southern Lyon County</t>
  </si>
  <si>
    <t>Emporia</t>
  </si>
  <si>
    <t>Chase County</t>
  </si>
  <si>
    <t>Madison-Virgil</t>
  </si>
  <si>
    <t>Hamilton</t>
  </si>
  <si>
    <t>Morris County</t>
  </si>
  <si>
    <t>Wichita</t>
  </si>
  <si>
    <t>Derby</t>
  </si>
  <si>
    <t>Haysville</t>
  </si>
  <si>
    <t>Mulvane</t>
  </si>
  <si>
    <t>Rock Hill</t>
  </si>
  <si>
    <t>Waconda</t>
  </si>
  <si>
    <t>Beloit</t>
  </si>
  <si>
    <t>Lincoln</t>
  </si>
  <si>
    <t>Sylvan Grove</t>
  </si>
  <si>
    <t>West Elk</t>
  </si>
  <si>
    <t>Elk Valley</t>
  </si>
  <si>
    <t>Chautauqua Co Community</t>
  </si>
  <si>
    <t>Ottawa</t>
  </si>
  <si>
    <t>North Ottawa County</t>
  </si>
  <si>
    <t>Twin Valley</t>
  </si>
  <si>
    <t>Salina</t>
  </si>
  <si>
    <t>Southeast of Saline</t>
  </si>
  <si>
    <t>Ell-Saline</t>
  </si>
  <si>
    <t>Ellsworth</t>
  </si>
  <si>
    <t>Lorraine</t>
  </si>
  <si>
    <t>Solomon</t>
  </si>
  <si>
    <t>Abilene</t>
  </si>
  <si>
    <t>Chapman</t>
  </si>
  <si>
    <t>Rural Vista</t>
  </si>
  <si>
    <t>Herington</t>
  </si>
  <si>
    <t>Hutchinson Public Schools</t>
  </si>
  <si>
    <t>Wamego</t>
  </si>
  <si>
    <t>Rock Creek</t>
  </si>
  <si>
    <t>Mill Creek Valley</t>
  </si>
  <si>
    <t>Kaw Valley</t>
  </si>
  <si>
    <t>Mission Valley</t>
  </si>
  <si>
    <t>Washington County</t>
  </si>
  <si>
    <t>Republic County</t>
  </si>
  <si>
    <t>Clifton-Clyde</t>
  </si>
  <si>
    <t>Concordia</t>
  </si>
  <si>
    <t>Pike Valley</t>
  </si>
  <si>
    <t>Onaga-Havensville-Wheaton</t>
  </si>
  <si>
    <t>North Jackson</t>
  </si>
  <si>
    <t>Holton</t>
  </si>
  <si>
    <t>Royal Valley</t>
  </si>
  <si>
    <t>Sabetha</t>
  </si>
  <si>
    <t>Prairie Band Potawatomi Headstart</t>
  </si>
  <si>
    <t>Seaman</t>
  </si>
  <si>
    <t>Wellington</t>
  </si>
  <si>
    <t>Marysville</t>
  </si>
  <si>
    <t>Valley Heights</t>
  </si>
  <si>
    <t>Central Heights</t>
  </si>
  <si>
    <t>Pleasanton</t>
  </si>
  <si>
    <t>Jayhawk</t>
  </si>
  <si>
    <t>Prairie View</t>
  </si>
  <si>
    <t>Garnett</t>
  </si>
  <si>
    <t>Osawatomie</t>
  </si>
  <si>
    <t>Paola</t>
  </si>
  <si>
    <t>Louisburg</t>
  </si>
  <si>
    <t>Silver Lake</t>
  </si>
  <si>
    <t>Newton</t>
  </si>
  <si>
    <t>Halstead</t>
  </si>
  <si>
    <t>Hesston</t>
  </si>
  <si>
    <t>Barnes</t>
  </si>
  <si>
    <t>Southern Cloud</t>
  </si>
  <si>
    <t>Riley County</t>
  </si>
  <si>
    <t>Clay Center</t>
  </si>
  <si>
    <t>Manhattan</t>
  </si>
  <si>
    <t>Eureka</t>
  </si>
  <si>
    <t>Sterling</t>
  </si>
  <si>
    <t>Chase</t>
  </si>
  <si>
    <t>Lyons</t>
  </si>
  <si>
    <t>Little River</t>
  </si>
  <si>
    <t>Russell County</t>
  </si>
  <si>
    <t>Atchison Public Schools</t>
  </si>
  <si>
    <t>Smoky Valley</t>
  </si>
  <si>
    <t>McPherson</t>
  </si>
  <si>
    <t>Canton-Galva</t>
  </si>
  <si>
    <t>Moundridge</t>
  </si>
  <si>
    <t>Inman</t>
  </si>
  <si>
    <t>Claflin</t>
  </si>
  <si>
    <t>Ellinwood</t>
  </si>
  <si>
    <t>Otis-Bison</t>
  </si>
  <si>
    <t>Great Bend</t>
  </si>
  <si>
    <t>Hoisington</t>
  </si>
  <si>
    <t>Auburn-Washburn</t>
  </si>
  <si>
    <t>Vermillion</t>
  </si>
  <si>
    <t>Nemaha Valley Schools</t>
  </si>
  <si>
    <t>B &amp; B</t>
  </si>
  <si>
    <t>Axtell</t>
  </si>
  <si>
    <t>Shawnee Heights</t>
  </si>
  <si>
    <t>Ft Leavenworth</t>
  </si>
  <si>
    <t>Easton</t>
  </si>
  <si>
    <t>Leavenworth</t>
  </si>
  <si>
    <t>Basehor-Linwood</t>
  </si>
  <si>
    <t>Tonganoxie</t>
  </si>
  <si>
    <t>Lansing</t>
  </si>
  <si>
    <t>Garden Ctiy</t>
  </si>
  <si>
    <t>Cedar Vale</t>
  </si>
  <si>
    <t>Central</t>
  </si>
  <si>
    <t>Udall</t>
  </si>
  <si>
    <t>Winfield</t>
  </si>
  <si>
    <t>Arkansas City</t>
  </si>
  <si>
    <t>Dexter</t>
  </si>
  <si>
    <t>Geary County Schools</t>
  </si>
  <si>
    <t>Liberal</t>
  </si>
  <si>
    <t>Ellis</t>
  </si>
  <si>
    <t>LaCrosse</t>
  </si>
  <si>
    <t>Victoria</t>
  </si>
  <si>
    <t>Hays</t>
  </si>
  <si>
    <t>Bluestem</t>
  </si>
  <si>
    <t>Remington-Whitewater</t>
  </si>
  <si>
    <t>Circle</t>
  </si>
  <si>
    <t>Andover</t>
  </si>
  <si>
    <t>Rose Hill Public Schools</t>
  </si>
  <si>
    <t>Douglass Public Schools</t>
  </si>
  <si>
    <t>Augusta</t>
  </si>
  <si>
    <t>El Dorado</t>
  </si>
  <si>
    <t>Flinthills</t>
  </si>
  <si>
    <t>Hanston</t>
  </si>
  <si>
    <t>Kinsley-Offerle</t>
  </si>
  <si>
    <t>Ft Larned</t>
  </si>
  <si>
    <t>Pawnee Heights</t>
  </si>
  <si>
    <t>Lewis</t>
  </si>
  <si>
    <t>Lawrence</t>
  </si>
  <si>
    <t>Piper</t>
  </si>
  <si>
    <t>Bonner Springs</t>
  </si>
  <si>
    <t>Kansas City</t>
  </si>
  <si>
    <t>Topeka Public Schools</t>
  </si>
  <si>
    <t>Shawnee Mission</t>
  </si>
  <si>
    <t>Cheylin</t>
  </si>
  <si>
    <t>Rawlins County</t>
  </si>
  <si>
    <t>Wakeeney</t>
  </si>
  <si>
    <t>Wallace County Schools</t>
  </si>
  <si>
    <t>Weskan</t>
  </si>
  <si>
    <t>Oakley</t>
  </si>
  <si>
    <t>Triplains</t>
  </si>
  <si>
    <t>Hill City</t>
  </si>
  <si>
    <t>Grinnell Public Schools</t>
  </si>
  <si>
    <t>Wheatland</t>
  </si>
  <si>
    <t>Quinter Public Schools</t>
  </si>
  <si>
    <t>Oberlin</t>
  </si>
  <si>
    <t>St. Francis Comm School</t>
  </si>
  <si>
    <t>Brewster</t>
  </si>
  <si>
    <t>Colby Public Schools</t>
  </si>
  <si>
    <t>Golden Plains</t>
  </si>
  <si>
    <t>Goodland</t>
  </si>
  <si>
    <t>Hoxie Community Schools</t>
  </si>
  <si>
    <t>Healy</t>
  </si>
  <si>
    <t>Erie-St.Paul</t>
  </si>
  <si>
    <t>Marmaton Valley</t>
  </si>
  <si>
    <t>Iola</t>
  </si>
  <si>
    <t>Humboldt</t>
  </si>
  <si>
    <t>Yates Center</t>
  </si>
  <si>
    <t>Altoona-Midway</t>
  </si>
  <si>
    <t>Chanute Public Schools</t>
  </si>
  <si>
    <t>Crest</t>
  </si>
  <si>
    <t>Barber County North</t>
  </si>
  <si>
    <t>South Barber</t>
  </si>
  <si>
    <t>Comanche County</t>
  </si>
  <si>
    <t>Kingman</t>
  </si>
  <si>
    <t>Cunningham</t>
  </si>
  <si>
    <t>Stafford</t>
  </si>
  <si>
    <t>St.John-Hudson</t>
  </si>
  <si>
    <t>Macksville</t>
  </si>
  <si>
    <t>Anthony-Harper</t>
  </si>
  <si>
    <t>Pratt</t>
  </si>
  <si>
    <t>Greensburg</t>
  </si>
  <si>
    <t>Skyline Schools</t>
  </si>
  <si>
    <t>Haviland Public Schools</t>
  </si>
  <si>
    <t>Attica</t>
  </si>
  <si>
    <t>Caney Valley</t>
  </si>
  <si>
    <t>Coffeyville</t>
  </si>
  <si>
    <t>Independence</t>
  </si>
  <si>
    <t>Cherryvale</t>
  </si>
  <si>
    <t>Neodesha</t>
  </si>
  <si>
    <t>Fredonia</t>
  </si>
  <si>
    <t>Parsons</t>
  </si>
  <si>
    <t>Valley Falls</t>
  </si>
  <si>
    <t>Jefferson Co North</t>
  </si>
  <si>
    <t>Jefferson West</t>
  </si>
  <si>
    <t>Oskaloosa Public Schools</t>
  </si>
  <si>
    <t>McLouth</t>
  </si>
  <si>
    <t>Perry Public Schools</t>
  </si>
  <si>
    <t>Atchison Co Comm Schools</t>
  </si>
  <si>
    <t>Nickerson</t>
  </si>
  <si>
    <t>Fairfield</t>
  </si>
  <si>
    <t>Pretty Prairie</t>
  </si>
  <si>
    <t>Haven Public Schools</t>
  </si>
  <si>
    <t>Buhler</t>
  </si>
  <si>
    <t>Greely County</t>
  </si>
  <si>
    <t>Moscow Public Schools</t>
  </si>
  <si>
    <t>Hugoton Public Schools</t>
  </si>
  <si>
    <t>Ulysses</t>
  </si>
  <si>
    <t>Lakin</t>
  </si>
  <si>
    <t>Deerfield</t>
  </si>
  <si>
    <t>Rolla</t>
  </si>
  <si>
    <t>Elkhart</t>
  </si>
  <si>
    <t>Holcomb</t>
  </si>
  <si>
    <t>Montezuma</t>
  </si>
  <si>
    <t>Sublette</t>
  </si>
  <si>
    <t>Stanton County</t>
  </si>
  <si>
    <t>Scott County</t>
  </si>
  <si>
    <t>Leoti</t>
  </si>
  <si>
    <t>Copeland</t>
  </si>
  <si>
    <t>Syracuse</t>
  </si>
  <si>
    <t>Satanta</t>
  </si>
  <si>
    <t>Cimarron-Ensign</t>
  </si>
  <si>
    <t>Western Plains</t>
  </si>
  <si>
    <t>Minneola</t>
  </si>
  <si>
    <t>Ashland</t>
  </si>
  <si>
    <t>Fowler</t>
  </si>
  <si>
    <t>Meade</t>
  </si>
  <si>
    <t>Jetmore</t>
  </si>
  <si>
    <t>Ness City</t>
  </si>
  <si>
    <t>Spearville-Windthorst</t>
  </si>
  <si>
    <t>Dodge City</t>
  </si>
  <si>
    <t>Bucklin</t>
  </si>
  <si>
    <t>Ingalls</t>
  </si>
  <si>
    <t>Dighton</t>
  </si>
  <si>
    <t>Kismet-Plains</t>
  </si>
  <si>
    <t>Wellsville</t>
  </si>
  <si>
    <t>Baldwin City</t>
  </si>
  <si>
    <t>Eudora</t>
  </si>
  <si>
    <t>Hiawatha</t>
  </si>
  <si>
    <t>Brown County</t>
  </si>
  <si>
    <t>Doniphan West</t>
  </si>
  <si>
    <t>Troy Public Schools</t>
  </si>
  <si>
    <t>Centre</t>
  </si>
  <si>
    <t>Peabody-Burns</t>
  </si>
  <si>
    <t>Marion</t>
  </si>
  <si>
    <t>Durham-Hillsboro-Lehigh</t>
  </si>
  <si>
    <t>Goessel</t>
  </si>
  <si>
    <t>Valley Center</t>
  </si>
  <si>
    <t>Clearwater</t>
  </si>
  <si>
    <t>Goddard</t>
  </si>
  <si>
    <t>Maize</t>
  </si>
  <si>
    <t>Renwick</t>
  </si>
  <si>
    <t>Cheney</t>
  </si>
  <si>
    <t>Conway Springs</t>
  </si>
  <si>
    <t>Burrton</t>
  </si>
  <si>
    <t>Sedgwick Public Schools</t>
  </si>
  <si>
    <t>Belle Plaine</t>
  </si>
  <si>
    <t>Oxford</t>
  </si>
  <si>
    <t>Argonia Public Schools</t>
  </si>
  <si>
    <t>Caldwell</t>
  </si>
  <si>
    <t>South Haven</t>
  </si>
  <si>
    <t>West Franklin</t>
  </si>
  <si>
    <t>Osage City</t>
  </si>
  <si>
    <t>Lyndon</t>
  </si>
  <si>
    <t>Santa Fe Trail</t>
  </si>
  <si>
    <t>Burlingame Public Schools</t>
  </si>
  <si>
    <t>Marais Des Cygnes Valley</t>
  </si>
  <si>
    <t>Thunder Ridge Schools</t>
  </si>
  <si>
    <t>Norton Community Schools</t>
  </si>
  <si>
    <t>Northern Valley</t>
  </si>
  <si>
    <t>Smith Center</t>
  </si>
  <si>
    <t>Palco</t>
  </si>
  <si>
    <t>Plainville</t>
  </si>
  <si>
    <t>Stockton</t>
  </si>
  <si>
    <t>Phillipsburg</t>
  </si>
  <si>
    <t>Logan</t>
  </si>
  <si>
    <t>Osborne County</t>
  </si>
  <si>
    <t>Paradise</t>
  </si>
  <si>
    <t>Uniontown</t>
  </si>
  <si>
    <t>Northeast</t>
  </si>
  <si>
    <t>Cherokee</t>
  </si>
  <si>
    <t>Girard</t>
  </si>
  <si>
    <t>Frontenac Public Schools</t>
  </si>
  <si>
    <t>Pittsburg</t>
  </si>
  <si>
    <t>Riverton</t>
  </si>
  <si>
    <t>Columbus</t>
  </si>
  <si>
    <t>Galena</t>
  </si>
  <si>
    <t>Oswego</t>
  </si>
  <si>
    <t>Chetopa</t>
  </si>
  <si>
    <t>Labette County</t>
  </si>
  <si>
    <t>Baxter Springs</t>
  </si>
  <si>
    <t>Agency</t>
  </si>
  <si>
    <t>Topeka Juvenile Correction Facility</t>
  </si>
  <si>
    <t>Parsons State Hospital</t>
  </si>
  <si>
    <t>Hutchinson Correctional Facility</t>
  </si>
  <si>
    <t>Winfield Correctional Facility</t>
  </si>
  <si>
    <t>Lansing Correctional Facility</t>
  </si>
  <si>
    <t>Topeka Correction Facility</t>
  </si>
  <si>
    <t>KSD-Elementary</t>
  </si>
  <si>
    <t>KSD-High</t>
  </si>
  <si>
    <t>KSB-Elementary</t>
  </si>
  <si>
    <t>KSB-High</t>
  </si>
  <si>
    <t>Subtotal for Agencies</t>
  </si>
  <si>
    <t>State of Kansas Total</t>
  </si>
  <si>
    <t>Riverside</t>
  </si>
  <si>
    <t>Larned State Hospital</t>
  </si>
  <si>
    <t>S0410</t>
  </si>
  <si>
    <t>S0319</t>
  </si>
  <si>
    <t>S0507</t>
  </si>
  <si>
    <t>S0313</t>
  </si>
  <si>
    <t>S0720</t>
  </si>
  <si>
    <t>S0525</t>
  </si>
  <si>
    <t>S0145</t>
  </si>
  <si>
    <t>S0610</t>
  </si>
  <si>
    <t>S0604</t>
  </si>
  <si>
    <t>Subtotal for Kansas Public Schools</t>
  </si>
  <si>
    <t>Special Purpose &amp; State Schools, Penal Institutions &amp; Correctional Facilities</t>
  </si>
  <si>
    <t>Building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</si>
</sst>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" fontId="0" fillId="0" borderId="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osburgh\AppData\Local\Microsoft\Windows\Temporary%20Internet%20Files\Content.Outlook\HIT63P9V\child_count_actu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 D. Robinson" refreshedDate="40675.317548842591" createdVersion="4" refreshedVersion="4" minRefreshableVersion="3" recordCount="1105">
  <cacheSource type="worksheet">
    <worksheetSource ref="A1:C1048576" sheet="Gifted" r:id="rId2"/>
  </cacheSource>
  <cacheFields count="3">
    <cacheField name="coop" numFmtId="0">
      <sharedItems containsString="0" containsBlank="1" containsNumber="1" containsInteger="1" minValue="202" maxValue="700" count="71">
        <n v="202"/>
        <n v="229"/>
        <n v="230"/>
        <n v="231"/>
        <n v="232"/>
        <n v="233"/>
        <n v="234"/>
        <n v="244"/>
        <n v="253"/>
        <n v="259"/>
        <n v="260"/>
        <n v="261"/>
        <n v="263"/>
        <n v="273"/>
        <n v="282"/>
        <n v="290"/>
        <n v="305"/>
        <n v="308"/>
        <n v="320"/>
        <n v="321"/>
        <n v="330"/>
        <n v="333"/>
        <n v="336"/>
        <n v="345"/>
        <n v="353"/>
        <n v="364"/>
        <n v="368"/>
        <n v="372"/>
        <n v="373"/>
        <n v="379"/>
        <n v="383"/>
        <n v="389"/>
        <n v="405"/>
        <n v="407"/>
        <n v="409"/>
        <n v="418"/>
        <n v="428"/>
        <n v="437"/>
        <n v="442"/>
        <n v="450"/>
        <n v="453"/>
        <n v="457"/>
        <n v="465"/>
        <n v="475"/>
        <n v="480"/>
        <n v="489"/>
        <n v="490"/>
        <n v="495"/>
        <n v="497"/>
        <n v="500"/>
        <n v="501"/>
        <n v="512"/>
        <n v="602"/>
        <n v="603"/>
        <n v="605"/>
        <n v="607"/>
        <n v="608"/>
        <n v="610"/>
        <n v="611"/>
        <n v="613"/>
        <n v="614"/>
        <n v="615"/>
        <n v="616"/>
        <n v="617"/>
        <n v="618"/>
        <n v="619"/>
        <n v="620"/>
        <n v="636"/>
        <n v="637"/>
        <n v="700"/>
        <m/>
      </sharedItems>
    </cacheField>
    <cacheField name="LEA" numFmtId="0">
      <sharedItems containsString="0" containsBlank="1" containsNumber="1" containsInteger="1" minValue="101" maxValue="8574" count="275">
        <n v="202"/>
        <n v="229"/>
        <n v="230"/>
        <n v="231"/>
        <n v="232"/>
        <n v="233"/>
        <n v="234"/>
        <n v="243"/>
        <n v="244"/>
        <n v="245"/>
        <n v="251"/>
        <n v="252"/>
        <n v="253"/>
        <n v="284"/>
        <n v="386"/>
        <n v="390"/>
        <n v="417"/>
        <n v="259"/>
        <n v="260"/>
        <n v="261"/>
        <n v="263"/>
        <n v="107"/>
        <n v="272"/>
        <n v="273"/>
        <n v="298"/>
        <n v="299"/>
        <n v="282"/>
        <n v="286"/>
        <n v="290"/>
        <n v="112"/>
        <n v="239"/>
        <n v="240"/>
        <n v="305"/>
        <n v="306"/>
        <n v="307"/>
        <n v="327"/>
        <n v="393"/>
        <n v="435"/>
        <n v="473"/>
        <n v="481"/>
        <n v="487"/>
        <n v="308"/>
        <n v="320"/>
        <n v="323"/>
        <n v="329"/>
        <n v="321"/>
        <n v="330"/>
        <n v="108"/>
        <n v="109"/>
        <n v="224"/>
        <n v="333"/>
        <n v="426"/>
        <n v="113"/>
        <n v="322"/>
        <n v="335"/>
        <n v="336"/>
        <n v="337"/>
        <n v="345"/>
        <n v="353"/>
        <n v="364"/>
        <n v="498"/>
        <n v="288"/>
        <n v="344"/>
        <n v="346"/>
        <n v="362"/>
        <n v="365"/>
        <n v="367"/>
        <n v="368"/>
        <n v="416"/>
        <n v="372"/>
        <n v="373"/>
        <n v="440"/>
        <n v="460"/>
        <n v="223"/>
        <n v="334"/>
        <n v="378"/>
        <n v="379"/>
        <n v="384"/>
        <n v="383"/>
        <n v="389"/>
        <n v="376"/>
        <n v="405"/>
        <n v="444"/>
        <n v="407"/>
        <n v="409"/>
        <n v="400"/>
        <n v="418"/>
        <n v="419"/>
        <n v="423"/>
        <n v="448"/>
        <n v="355"/>
        <n v="403"/>
        <n v="428"/>
        <n v="431"/>
        <n v="437"/>
        <n v="380"/>
        <n v="442"/>
        <n v="451"/>
        <n v="450"/>
        <n v="207"/>
        <n v="449"/>
        <n v="453"/>
        <n v="458"/>
        <n v="464"/>
        <n v="469"/>
        <n v="457"/>
        <n v="285"/>
        <n v="462"/>
        <n v="463"/>
        <n v="465"/>
        <n v="470"/>
        <n v="471"/>
        <n v="475"/>
        <n v="480"/>
        <n v="388"/>
        <n v="432"/>
        <n v="489"/>
        <n v="205"/>
        <n v="206"/>
        <n v="375"/>
        <n v="385"/>
        <n v="394"/>
        <n v="396"/>
        <n v="402"/>
        <n v="490"/>
        <n v="492"/>
        <n v="228"/>
        <n v="347"/>
        <n v="495"/>
        <n v="496"/>
        <n v="502"/>
        <n v="497"/>
        <n v="203"/>
        <n v="204"/>
        <n v="500"/>
        <n v="501"/>
        <n v="512"/>
        <n v="103"/>
        <n v="105"/>
        <n v="208"/>
        <n v="241"/>
        <n v="242"/>
        <n v="274"/>
        <n v="275"/>
        <n v="281"/>
        <n v="291"/>
        <n v="293"/>
        <n v="294"/>
        <n v="297"/>
        <n v="314"/>
        <n v="315"/>
        <n v="316"/>
        <n v="352"/>
        <n v="412"/>
        <n v="468"/>
        <n v="101"/>
        <n v="256"/>
        <n v="257"/>
        <n v="258"/>
        <n v="366"/>
        <n v="387"/>
        <n v="413"/>
        <n v="479"/>
        <n v="254"/>
        <n v="255"/>
        <n v="300"/>
        <n v="331"/>
        <n v="349"/>
        <n v="350"/>
        <n v="351"/>
        <n v="361"/>
        <n v="382"/>
        <n v="422"/>
        <n v="438"/>
        <n v="436"/>
        <n v="445"/>
        <n v="446"/>
        <n v="447"/>
        <n v="461"/>
        <n v="484"/>
        <n v="503"/>
        <n v="338"/>
        <n v="339"/>
        <n v="340"/>
        <n v="341"/>
        <n v="343"/>
        <n v="377"/>
        <n v="309"/>
        <n v="310"/>
        <n v="311"/>
        <n v="312"/>
        <n v="313"/>
        <n v="200"/>
        <n v="209"/>
        <n v="210"/>
        <n v="214"/>
        <n v="215"/>
        <n v="216"/>
        <n v="217"/>
        <n v="218"/>
        <n v="363"/>
        <n v="371"/>
        <n v="374"/>
        <n v="452"/>
        <n v="466"/>
        <n v="467"/>
        <n v="494"/>
        <n v="102"/>
        <n v="220"/>
        <n v="225"/>
        <n v="381"/>
        <n v="443"/>
        <n v="459"/>
        <n v="477"/>
        <n v="483"/>
        <n v="289"/>
        <n v="348"/>
        <n v="491"/>
        <n v="415"/>
        <n v="430"/>
        <n v="111"/>
        <n v="114"/>
        <n v="429"/>
        <n v="397"/>
        <n v="398"/>
        <n v="408"/>
        <n v="410"/>
        <n v="411"/>
        <n v="262"/>
        <n v="264"/>
        <n v="265"/>
        <n v="266"/>
        <n v="267"/>
        <n v="268"/>
        <n v="356"/>
        <n v="369"/>
        <n v="439"/>
        <n v="357"/>
        <n v="358"/>
        <n v="359"/>
        <n v="360"/>
        <n v="509"/>
        <n v="287"/>
        <n v="420"/>
        <n v="421"/>
        <n v="434"/>
        <n v="454"/>
        <n v="456"/>
        <n v="110"/>
        <n v="211"/>
        <n v="212"/>
        <n v="237"/>
        <n v="269"/>
        <n v="270"/>
        <n v="271"/>
        <n v="325"/>
        <n v="326"/>
        <n v="392"/>
        <n v="399"/>
        <n v="235"/>
        <n v="246"/>
        <n v="247"/>
        <n v="248"/>
        <n v="249"/>
        <n v="250"/>
        <n v="404"/>
        <n v="493"/>
        <n v="499"/>
        <n v="504"/>
        <n v="505"/>
        <n v="506"/>
        <n v="508"/>
        <n v="8168"/>
        <n v="8574"/>
        <m/>
      </sharedItems>
    </cacheField>
    <cacheField name="Count" numFmtId="0">
      <sharedItems containsString="0" containsBlank="1" containsNumber="1" containsInteger="1" minValue="1" maxValue="1557" count="85">
        <n v="47"/>
        <n v="1504"/>
        <n v="41"/>
        <n v="118"/>
        <n v="202"/>
        <n v="890"/>
        <n v="40"/>
        <n v="14"/>
        <n v="30"/>
        <n v="2"/>
        <n v="19"/>
        <n v="18"/>
        <n v="209"/>
        <n v="11"/>
        <n v="4"/>
        <n v="1"/>
        <n v="13"/>
        <n v="1275"/>
        <n v="309"/>
        <n v="167"/>
        <n v="15"/>
        <n v="12"/>
        <n v="3"/>
        <n v="8"/>
        <n v="52"/>
        <n v="29"/>
        <n v="22"/>
        <n v="340"/>
        <n v="17"/>
        <n v="5"/>
        <n v="49"/>
        <n v="23"/>
        <n v="7"/>
        <n v="78"/>
        <n v="51"/>
        <n v="16"/>
        <n v="33"/>
        <n v="24"/>
        <n v="25"/>
        <n v="6"/>
        <n v="127"/>
        <n v="34"/>
        <n v="65"/>
        <n v="20"/>
        <n v="77"/>
        <n v="45"/>
        <n v="122"/>
        <n v="50"/>
        <n v="9"/>
        <n v="324"/>
        <n v="62"/>
        <n v="54"/>
        <n v="27"/>
        <n v="302"/>
        <n v="101"/>
        <n v="85"/>
        <n v="48"/>
        <n v="39"/>
        <n v="125"/>
        <n v="84"/>
        <n v="86"/>
        <n v="68"/>
        <n v="136"/>
        <n v="123"/>
        <n v="46"/>
        <n v="230"/>
        <n v="538"/>
        <n v="83"/>
        <n v="72"/>
        <n v="274"/>
        <n v="368"/>
        <n v="1557"/>
        <n v="10"/>
        <n v="44"/>
        <n v="59"/>
        <n v="217"/>
        <n v="42"/>
        <n v="35"/>
        <n v="158"/>
        <n v="37"/>
        <n v="21"/>
        <n v="32"/>
        <n v="174"/>
        <n v="4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7"/>
    <x v="8"/>
    <x v="8"/>
  </r>
  <r>
    <x v="7"/>
    <x v="9"/>
    <x v="9"/>
  </r>
  <r>
    <x v="8"/>
    <x v="10"/>
    <x v="10"/>
  </r>
  <r>
    <x v="8"/>
    <x v="11"/>
    <x v="11"/>
  </r>
  <r>
    <x v="8"/>
    <x v="12"/>
    <x v="12"/>
  </r>
  <r>
    <x v="8"/>
    <x v="13"/>
    <x v="13"/>
  </r>
  <r>
    <x v="8"/>
    <x v="14"/>
    <x v="14"/>
  </r>
  <r>
    <x v="8"/>
    <x v="15"/>
    <x v="15"/>
  </r>
  <r>
    <x v="8"/>
    <x v="16"/>
    <x v="16"/>
  </r>
  <r>
    <x v="9"/>
    <x v="17"/>
    <x v="17"/>
  </r>
  <r>
    <x v="10"/>
    <x v="18"/>
    <x v="18"/>
  </r>
  <r>
    <x v="11"/>
    <x v="19"/>
    <x v="19"/>
  </r>
  <r>
    <x v="12"/>
    <x v="20"/>
    <x v="8"/>
  </r>
  <r>
    <x v="13"/>
    <x v="21"/>
    <x v="20"/>
  </r>
  <r>
    <x v="13"/>
    <x v="22"/>
    <x v="21"/>
  </r>
  <r>
    <x v="13"/>
    <x v="23"/>
    <x v="10"/>
  </r>
  <r>
    <x v="13"/>
    <x v="24"/>
    <x v="22"/>
  </r>
  <r>
    <x v="13"/>
    <x v="25"/>
    <x v="23"/>
  </r>
  <r>
    <x v="14"/>
    <x v="26"/>
    <x v="22"/>
  </r>
  <r>
    <x v="14"/>
    <x v="27"/>
    <x v="22"/>
  </r>
  <r>
    <x v="15"/>
    <x v="28"/>
    <x v="24"/>
  </r>
  <r>
    <x v="16"/>
    <x v="29"/>
    <x v="9"/>
  </r>
  <r>
    <x v="16"/>
    <x v="30"/>
    <x v="25"/>
  </r>
  <r>
    <x v="16"/>
    <x v="31"/>
    <x v="26"/>
  </r>
  <r>
    <x v="16"/>
    <x v="32"/>
    <x v="27"/>
  </r>
  <r>
    <x v="16"/>
    <x v="33"/>
    <x v="25"/>
  </r>
  <r>
    <x v="16"/>
    <x v="34"/>
    <x v="28"/>
  </r>
  <r>
    <x v="16"/>
    <x v="35"/>
    <x v="29"/>
  </r>
  <r>
    <x v="16"/>
    <x v="36"/>
    <x v="13"/>
  </r>
  <r>
    <x v="16"/>
    <x v="37"/>
    <x v="30"/>
  </r>
  <r>
    <x v="16"/>
    <x v="38"/>
    <x v="31"/>
  </r>
  <r>
    <x v="16"/>
    <x v="39"/>
    <x v="32"/>
  </r>
  <r>
    <x v="16"/>
    <x v="40"/>
    <x v="11"/>
  </r>
  <r>
    <x v="17"/>
    <x v="41"/>
    <x v="33"/>
  </r>
  <r>
    <x v="18"/>
    <x v="42"/>
    <x v="34"/>
  </r>
  <r>
    <x v="18"/>
    <x v="43"/>
    <x v="35"/>
  </r>
  <r>
    <x v="18"/>
    <x v="44"/>
    <x v="32"/>
  </r>
  <r>
    <x v="19"/>
    <x v="45"/>
    <x v="36"/>
  </r>
  <r>
    <x v="20"/>
    <x v="46"/>
    <x v="14"/>
  </r>
  <r>
    <x v="21"/>
    <x v="47"/>
    <x v="7"/>
  </r>
  <r>
    <x v="21"/>
    <x v="48"/>
    <x v="37"/>
  </r>
  <r>
    <x v="21"/>
    <x v="49"/>
    <x v="16"/>
  </r>
  <r>
    <x v="21"/>
    <x v="50"/>
    <x v="30"/>
  </r>
  <r>
    <x v="21"/>
    <x v="51"/>
    <x v="23"/>
  </r>
  <r>
    <x v="22"/>
    <x v="52"/>
    <x v="38"/>
  </r>
  <r>
    <x v="22"/>
    <x v="53"/>
    <x v="15"/>
  </r>
  <r>
    <x v="22"/>
    <x v="54"/>
    <x v="39"/>
  </r>
  <r>
    <x v="22"/>
    <x v="55"/>
    <x v="28"/>
  </r>
  <r>
    <x v="22"/>
    <x v="56"/>
    <x v="10"/>
  </r>
  <r>
    <x v="23"/>
    <x v="57"/>
    <x v="40"/>
  </r>
  <r>
    <x v="24"/>
    <x v="58"/>
    <x v="41"/>
  </r>
  <r>
    <x v="25"/>
    <x v="59"/>
    <x v="42"/>
  </r>
  <r>
    <x v="25"/>
    <x v="60"/>
    <x v="16"/>
  </r>
  <r>
    <x v="26"/>
    <x v="61"/>
    <x v="7"/>
  </r>
  <r>
    <x v="26"/>
    <x v="62"/>
    <x v="39"/>
  </r>
  <r>
    <x v="26"/>
    <x v="63"/>
    <x v="39"/>
  </r>
  <r>
    <x v="26"/>
    <x v="64"/>
    <x v="32"/>
  </r>
  <r>
    <x v="26"/>
    <x v="65"/>
    <x v="13"/>
  </r>
  <r>
    <x v="26"/>
    <x v="66"/>
    <x v="43"/>
  </r>
  <r>
    <x v="26"/>
    <x v="67"/>
    <x v="44"/>
  </r>
  <r>
    <x v="26"/>
    <x v="68"/>
    <x v="45"/>
  </r>
  <r>
    <x v="27"/>
    <x v="69"/>
    <x v="13"/>
  </r>
  <r>
    <x v="28"/>
    <x v="70"/>
    <x v="46"/>
  </r>
  <r>
    <x v="28"/>
    <x v="71"/>
    <x v="38"/>
  </r>
  <r>
    <x v="28"/>
    <x v="72"/>
    <x v="38"/>
  </r>
  <r>
    <x v="29"/>
    <x v="73"/>
    <x v="21"/>
  </r>
  <r>
    <x v="29"/>
    <x v="74"/>
    <x v="9"/>
  </r>
  <r>
    <x v="29"/>
    <x v="75"/>
    <x v="0"/>
  </r>
  <r>
    <x v="29"/>
    <x v="76"/>
    <x v="47"/>
  </r>
  <r>
    <x v="29"/>
    <x v="77"/>
    <x v="48"/>
  </r>
  <r>
    <x v="30"/>
    <x v="78"/>
    <x v="49"/>
  </r>
  <r>
    <x v="31"/>
    <x v="79"/>
    <x v="39"/>
  </r>
  <r>
    <x v="32"/>
    <x v="80"/>
    <x v="13"/>
  </r>
  <r>
    <x v="32"/>
    <x v="81"/>
    <x v="13"/>
  </r>
  <r>
    <x v="32"/>
    <x v="82"/>
    <x v="15"/>
  </r>
  <r>
    <x v="33"/>
    <x v="83"/>
    <x v="16"/>
  </r>
  <r>
    <x v="34"/>
    <x v="84"/>
    <x v="50"/>
  </r>
  <r>
    <x v="35"/>
    <x v="85"/>
    <x v="10"/>
  </r>
  <r>
    <x v="35"/>
    <x v="86"/>
    <x v="51"/>
  </r>
  <r>
    <x v="35"/>
    <x v="87"/>
    <x v="9"/>
  </r>
  <r>
    <x v="35"/>
    <x v="88"/>
    <x v="43"/>
  </r>
  <r>
    <x v="35"/>
    <x v="89"/>
    <x v="29"/>
  </r>
  <r>
    <x v="36"/>
    <x v="29"/>
    <x v="22"/>
  </r>
  <r>
    <x v="36"/>
    <x v="90"/>
    <x v="39"/>
  </r>
  <r>
    <x v="36"/>
    <x v="91"/>
    <x v="9"/>
  </r>
  <r>
    <x v="36"/>
    <x v="92"/>
    <x v="50"/>
  </r>
  <r>
    <x v="36"/>
    <x v="93"/>
    <x v="52"/>
  </r>
  <r>
    <x v="37"/>
    <x v="94"/>
    <x v="53"/>
  </r>
  <r>
    <x v="38"/>
    <x v="52"/>
    <x v="23"/>
  </r>
  <r>
    <x v="38"/>
    <x v="95"/>
    <x v="16"/>
  </r>
  <r>
    <x v="38"/>
    <x v="96"/>
    <x v="35"/>
  </r>
  <r>
    <x v="38"/>
    <x v="97"/>
    <x v="15"/>
  </r>
  <r>
    <x v="39"/>
    <x v="98"/>
    <x v="54"/>
  </r>
  <r>
    <x v="40"/>
    <x v="99"/>
    <x v="50"/>
  </r>
  <r>
    <x v="40"/>
    <x v="100"/>
    <x v="52"/>
  </r>
  <r>
    <x v="40"/>
    <x v="101"/>
    <x v="55"/>
  </r>
  <r>
    <x v="40"/>
    <x v="102"/>
    <x v="56"/>
  </r>
  <r>
    <x v="40"/>
    <x v="103"/>
    <x v="57"/>
  </r>
  <r>
    <x v="40"/>
    <x v="104"/>
    <x v="58"/>
  </r>
  <r>
    <x v="41"/>
    <x v="105"/>
    <x v="59"/>
  </r>
  <r>
    <x v="42"/>
    <x v="106"/>
    <x v="22"/>
  </r>
  <r>
    <x v="42"/>
    <x v="107"/>
    <x v="14"/>
  </r>
  <r>
    <x v="42"/>
    <x v="108"/>
    <x v="7"/>
  </r>
  <r>
    <x v="42"/>
    <x v="109"/>
    <x v="60"/>
  </r>
  <r>
    <x v="42"/>
    <x v="110"/>
    <x v="61"/>
  </r>
  <r>
    <x v="42"/>
    <x v="111"/>
    <x v="9"/>
  </r>
  <r>
    <x v="43"/>
    <x v="112"/>
    <x v="62"/>
  </r>
  <r>
    <x v="44"/>
    <x v="113"/>
    <x v="26"/>
  </r>
  <r>
    <x v="45"/>
    <x v="114"/>
    <x v="15"/>
  </r>
  <r>
    <x v="45"/>
    <x v="115"/>
    <x v="9"/>
  </r>
  <r>
    <x v="45"/>
    <x v="116"/>
    <x v="63"/>
  </r>
  <r>
    <x v="46"/>
    <x v="117"/>
    <x v="29"/>
  </r>
  <r>
    <x v="46"/>
    <x v="118"/>
    <x v="20"/>
  </r>
  <r>
    <x v="46"/>
    <x v="119"/>
    <x v="64"/>
  </r>
  <r>
    <x v="46"/>
    <x v="120"/>
    <x v="65"/>
  </r>
  <r>
    <x v="46"/>
    <x v="121"/>
    <x v="41"/>
  </r>
  <r>
    <x v="46"/>
    <x v="122"/>
    <x v="28"/>
  </r>
  <r>
    <x v="46"/>
    <x v="123"/>
    <x v="6"/>
  </r>
  <r>
    <x v="46"/>
    <x v="124"/>
    <x v="56"/>
  </r>
  <r>
    <x v="46"/>
    <x v="125"/>
    <x v="15"/>
  </r>
  <r>
    <x v="47"/>
    <x v="126"/>
    <x v="9"/>
  </r>
  <r>
    <x v="47"/>
    <x v="127"/>
    <x v="14"/>
  </r>
  <r>
    <x v="47"/>
    <x v="128"/>
    <x v="16"/>
  </r>
  <r>
    <x v="47"/>
    <x v="129"/>
    <x v="9"/>
  </r>
  <r>
    <x v="47"/>
    <x v="130"/>
    <x v="15"/>
  </r>
  <r>
    <x v="48"/>
    <x v="131"/>
    <x v="66"/>
  </r>
  <r>
    <x v="49"/>
    <x v="132"/>
    <x v="67"/>
  </r>
  <r>
    <x v="49"/>
    <x v="133"/>
    <x v="68"/>
  </r>
  <r>
    <x v="49"/>
    <x v="134"/>
    <x v="69"/>
  </r>
  <r>
    <x v="50"/>
    <x v="135"/>
    <x v="70"/>
  </r>
  <r>
    <x v="51"/>
    <x v="136"/>
    <x v="71"/>
  </r>
  <r>
    <x v="52"/>
    <x v="137"/>
    <x v="29"/>
  </r>
  <r>
    <x v="52"/>
    <x v="138"/>
    <x v="32"/>
  </r>
  <r>
    <x v="52"/>
    <x v="139"/>
    <x v="29"/>
  </r>
  <r>
    <x v="52"/>
    <x v="140"/>
    <x v="39"/>
  </r>
  <r>
    <x v="52"/>
    <x v="141"/>
    <x v="29"/>
  </r>
  <r>
    <x v="52"/>
    <x v="142"/>
    <x v="16"/>
  </r>
  <r>
    <x v="52"/>
    <x v="143"/>
    <x v="15"/>
  </r>
  <r>
    <x v="52"/>
    <x v="144"/>
    <x v="72"/>
  </r>
  <r>
    <x v="52"/>
    <x v="145"/>
    <x v="9"/>
  </r>
  <r>
    <x v="52"/>
    <x v="146"/>
    <x v="48"/>
  </r>
  <r>
    <x v="52"/>
    <x v="147"/>
    <x v="28"/>
  </r>
  <r>
    <x v="52"/>
    <x v="148"/>
    <x v="22"/>
  </r>
  <r>
    <x v="52"/>
    <x v="149"/>
    <x v="15"/>
  </r>
  <r>
    <x v="52"/>
    <x v="150"/>
    <x v="37"/>
  </r>
  <r>
    <x v="52"/>
    <x v="151"/>
    <x v="39"/>
  </r>
  <r>
    <x v="52"/>
    <x v="152"/>
    <x v="43"/>
  </r>
  <r>
    <x v="52"/>
    <x v="153"/>
    <x v="72"/>
  </r>
  <r>
    <x v="52"/>
    <x v="154"/>
    <x v="15"/>
  </r>
  <r>
    <x v="53"/>
    <x v="155"/>
    <x v="21"/>
  </r>
  <r>
    <x v="53"/>
    <x v="156"/>
    <x v="15"/>
  </r>
  <r>
    <x v="53"/>
    <x v="157"/>
    <x v="25"/>
  </r>
  <r>
    <x v="53"/>
    <x v="158"/>
    <x v="39"/>
  </r>
  <r>
    <x v="53"/>
    <x v="159"/>
    <x v="15"/>
  </r>
  <r>
    <x v="53"/>
    <x v="160"/>
    <x v="15"/>
  </r>
  <r>
    <x v="53"/>
    <x v="161"/>
    <x v="42"/>
  </r>
  <r>
    <x v="53"/>
    <x v="162"/>
    <x v="15"/>
  </r>
  <r>
    <x v="54"/>
    <x v="163"/>
    <x v="28"/>
  </r>
  <r>
    <x v="54"/>
    <x v="164"/>
    <x v="22"/>
  </r>
  <r>
    <x v="54"/>
    <x v="165"/>
    <x v="9"/>
  </r>
  <r>
    <x v="54"/>
    <x v="166"/>
    <x v="10"/>
  </r>
  <r>
    <x v="54"/>
    <x v="167"/>
    <x v="20"/>
  </r>
  <r>
    <x v="54"/>
    <x v="168"/>
    <x v="16"/>
  </r>
  <r>
    <x v="54"/>
    <x v="169"/>
    <x v="29"/>
  </r>
  <r>
    <x v="54"/>
    <x v="170"/>
    <x v="21"/>
  </r>
  <r>
    <x v="54"/>
    <x v="171"/>
    <x v="73"/>
  </r>
  <r>
    <x v="54"/>
    <x v="172"/>
    <x v="29"/>
  </r>
  <r>
    <x v="54"/>
    <x v="173"/>
    <x v="57"/>
  </r>
  <r>
    <x v="55"/>
    <x v="174"/>
    <x v="29"/>
  </r>
  <r>
    <x v="55"/>
    <x v="175"/>
    <x v="57"/>
  </r>
  <r>
    <x v="55"/>
    <x v="176"/>
    <x v="74"/>
  </r>
  <r>
    <x v="55"/>
    <x v="177"/>
    <x v="35"/>
  </r>
  <r>
    <x v="55"/>
    <x v="178"/>
    <x v="16"/>
  </r>
  <r>
    <x v="55"/>
    <x v="179"/>
    <x v="48"/>
  </r>
  <r>
    <x v="55"/>
    <x v="180"/>
    <x v="45"/>
  </r>
  <r>
    <x v="56"/>
    <x v="181"/>
    <x v="29"/>
  </r>
  <r>
    <x v="56"/>
    <x v="182"/>
    <x v="48"/>
  </r>
  <r>
    <x v="56"/>
    <x v="183"/>
    <x v="72"/>
  </r>
  <r>
    <x v="56"/>
    <x v="184"/>
    <x v="23"/>
  </r>
  <r>
    <x v="56"/>
    <x v="185"/>
    <x v="26"/>
  </r>
  <r>
    <x v="56"/>
    <x v="186"/>
    <x v="9"/>
  </r>
  <r>
    <x v="57"/>
    <x v="187"/>
    <x v="16"/>
  </r>
  <r>
    <x v="57"/>
    <x v="188"/>
    <x v="29"/>
  </r>
  <r>
    <x v="57"/>
    <x v="189"/>
    <x v="29"/>
  </r>
  <r>
    <x v="57"/>
    <x v="190"/>
    <x v="10"/>
  </r>
  <r>
    <x v="57"/>
    <x v="191"/>
    <x v="56"/>
  </r>
  <r>
    <x v="58"/>
    <x v="192"/>
    <x v="29"/>
  </r>
  <r>
    <x v="58"/>
    <x v="193"/>
    <x v="14"/>
  </r>
  <r>
    <x v="58"/>
    <x v="194"/>
    <x v="29"/>
  </r>
  <r>
    <x v="58"/>
    <x v="195"/>
    <x v="52"/>
  </r>
  <r>
    <x v="58"/>
    <x v="196"/>
    <x v="7"/>
  </r>
  <r>
    <x v="58"/>
    <x v="197"/>
    <x v="39"/>
  </r>
  <r>
    <x v="58"/>
    <x v="198"/>
    <x v="14"/>
  </r>
  <r>
    <x v="58"/>
    <x v="199"/>
    <x v="29"/>
  </r>
  <r>
    <x v="58"/>
    <x v="200"/>
    <x v="26"/>
  </r>
  <r>
    <x v="58"/>
    <x v="201"/>
    <x v="29"/>
  </r>
  <r>
    <x v="58"/>
    <x v="202"/>
    <x v="7"/>
  </r>
  <r>
    <x v="58"/>
    <x v="203"/>
    <x v="39"/>
  </r>
  <r>
    <x v="58"/>
    <x v="204"/>
    <x v="13"/>
  </r>
  <r>
    <x v="58"/>
    <x v="205"/>
    <x v="72"/>
  </r>
  <r>
    <x v="58"/>
    <x v="206"/>
    <x v="14"/>
  </r>
  <r>
    <x v="59"/>
    <x v="207"/>
    <x v="11"/>
  </r>
  <r>
    <x v="59"/>
    <x v="208"/>
    <x v="21"/>
  </r>
  <r>
    <x v="59"/>
    <x v="209"/>
    <x v="22"/>
  </r>
  <r>
    <x v="59"/>
    <x v="210"/>
    <x v="37"/>
  </r>
  <r>
    <x v="59"/>
    <x v="211"/>
    <x v="75"/>
  </r>
  <r>
    <x v="59"/>
    <x v="212"/>
    <x v="23"/>
  </r>
  <r>
    <x v="59"/>
    <x v="213"/>
    <x v="29"/>
  </r>
  <r>
    <x v="59"/>
    <x v="214"/>
    <x v="36"/>
  </r>
  <r>
    <x v="60"/>
    <x v="215"/>
    <x v="37"/>
  </r>
  <r>
    <x v="60"/>
    <x v="216"/>
    <x v="30"/>
  </r>
  <r>
    <x v="60"/>
    <x v="217"/>
    <x v="76"/>
  </r>
  <r>
    <x v="61"/>
    <x v="218"/>
    <x v="77"/>
  </r>
  <r>
    <x v="61"/>
    <x v="219"/>
    <x v="8"/>
  </r>
  <r>
    <x v="62"/>
    <x v="220"/>
    <x v="23"/>
  </r>
  <r>
    <x v="62"/>
    <x v="221"/>
    <x v="22"/>
  </r>
  <r>
    <x v="62"/>
    <x v="222"/>
    <x v="15"/>
  </r>
  <r>
    <x v="63"/>
    <x v="223"/>
    <x v="15"/>
  </r>
  <r>
    <x v="63"/>
    <x v="224"/>
    <x v="39"/>
  </r>
  <r>
    <x v="63"/>
    <x v="225"/>
    <x v="13"/>
  </r>
  <r>
    <x v="63"/>
    <x v="226"/>
    <x v="37"/>
  </r>
  <r>
    <x v="63"/>
    <x v="227"/>
    <x v="23"/>
  </r>
  <r>
    <x v="64"/>
    <x v="228"/>
    <x v="59"/>
  </r>
  <r>
    <x v="64"/>
    <x v="229"/>
    <x v="77"/>
  </r>
  <r>
    <x v="64"/>
    <x v="230"/>
    <x v="54"/>
  </r>
  <r>
    <x v="64"/>
    <x v="231"/>
    <x v="78"/>
  </r>
  <r>
    <x v="64"/>
    <x v="232"/>
    <x v="2"/>
  </r>
  <r>
    <x v="64"/>
    <x v="233"/>
    <x v="35"/>
  </r>
  <r>
    <x v="64"/>
    <x v="234"/>
    <x v="14"/>
  </r>
  <r>
    <x v="64"/>
    <x v="235"/>
    <x v="22"/>
  </r>
  <r>
    <x v="64"/>
    <x v="236"/>
    <x v="20"/>
  </r>
  <r>
    <x v="65"/>
    <x v="237"/>
    <x v="21"/>
  </r>
  <r>
    <x v="65"/>
    <x v="238"/>
    <x v="22"/>
  </r>
  <r>
    <x v="65"/>
    <x v="239"/>
    <x v="22"/>
  </r>
  <r>
    <x v="65"/>
    <x v="240"/>
    <x v="32"/>
  </r>
  <r>
    <x v="65"/>
    <x v="241"/>
    <x v="72"/>
  </r>
  <r>
    <x v="66"/>
    <x v="242"/>
    <x v="48"/>
  </r>
  <r>
    <x v="66"/>
    <x v="243"/>
    <x v="20"/>
  </r>
  <r>
    <x v="66"/>
    <x v="244"/>
    <x v="32"/>
  </r>
  <r>
    <x v="66"/>
    <x v="245"/>
    <x v="79"/>
  </r>
  <r>
    <x v="66"/>
    <x v="246"/>
    <x v="32"/>
  </r>
  <r>
    <x v="66"/>
    <x v="247"/>
    <x v="9"/>
  </r>
  <r>
    <x v="67"/>
    <x v="248"/>
    <x v="29"/>
  </r>
  <r>
    <x v="67"/>
    <x v="249"/>
    <x v="80"/>
  </r>
  <r>
    <x v="67"/>
    <x v="250"/>
    <x v="9"/>
  </r>
  <r>
    <x v="67"/>
    <x v="251"/>
    <x v="13"/>
  </r>
  <r>
    <x v="67"/>
    <x v="252"/>
    <x v="9"/>
  </r>
  <r>
    <x v="67"/>
    <x v="253"/>
    <x v="35"/>
  </r>
  <r>
    <x v="67"/>
    <x v="254"/>
    <x v="39"/>
  </r>
  <r>
    <x v="67"/>
    <x v="255"/>
    <x v="21"/>
  </r>
  <r>
    <x v="67"/>
    <x v="256"/>
    <x v="14"/>
  </r>
  <r>
    <x v="67"/>
    <x v="257"/>
    <x v="22"/>
  </r>
  <r>
    <x v="67"/>
    <x v="258"/>
    <x v="39"/>
  </r>
  <r>
    <x v="68"/>
    <x v="259"/>
    <x v="14"/>
  </r>
  <r>
    <x v="68"/>
    <x v="260"/>
    <x v="7"/>
  </r>
  <r>
    <x v="68"/>
    <x v="261"/>
    <x v="37"/>
  </r>
  <r>
    <x v="68"/>
    <x v="262"/>
    <x v="81"/>
  </r>
  <r>
    <x v="68"/>
    <x v="263"/>
    <x v="37"/>
  </r>
  <r>
    <x v="68"/>
    <x v="264"/>
    <x v="82"/>
  </r>
  <r>
    <x v="68"/>
    <x v="265"/>
    <x v="80"/>
  </r>
  <r>
    <x v="68"/>
    <x v="266"/>
    <x v="10"/>
  </r>
  <r>
    <x v="68"/>
    <x v="267"/>
    <x v="26"/>
  </r>
  <r>
    <x v="68"/>
    <x v="268"/>
    <x v="16"/>
  </r>
  <r>
    <x v="68"/>
    <x v="269"/>
    <x v="11"/>
  </r>
  <r>
    <x v="68"/>
    <x v="270"/>
    <x v="83"/>
  </r>
  <r>
    <x v="68"/>
    <x v="271"/>
    <x v="20"/>
  </r>
  <r>
    <x v="69"/>
    <x v="272"/>
    <x v="15"/>
  </r>
  <r>
    <x v="69"/>
    <x v="273"/>
    <x v="15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  <r>
    <x v="70"/>
    <x v="274"/>
    <x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C353" firstHeaderRow="2" firstDataRow="2" firstDataCol="2"/>
  <pivotFields count="3">
    <pivotField axis="axisRow" compact="0" outline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outline="0" showAll="0">
      <items count="276">
        <item x="155"/>
        <item x="207"/>
        <item x="137"/>
        <item x="138"/>
        <item x="21"/>
        <item x="47"/>
        <item x="48"/>
        <item x="248"/>
        <item x="220"/>
        <item x="29"/>
        <item x="52"/>
        <item x="221"/>
        <item x="192"/>
        <item x="0"/>
        <item x="132"/>
        <item x="133"/>
        <item x="117"/>
        <item x="118"/>
        <item x="99"/>
        <item x="139"/>
        <item x="193"/>
        <item x="194"/>
        <item x="249"/>
        <item x="250"/>
        <item x="195"/>
        <item x="196"/>
        <item x="197"/>
        <item x="198"/>
        <item x="199"/>
        <item x="208"/>
        <item x="73"/>
        <item x="49"/>
        <item x="209"/>
        <item x="126"/>
        <item x="1"/>
        <item x="2"/>
        <item x="3"/>
        <item x="4"/>
        <item x="5"/>
        <item x="6"/>
        <item x="259"/>
        <item x="251"/>
        <item x="30"/>
        <item x="31"/>
        <item x="140"/>
        <item x="141"/>
        <item x="7"/>
        <item x="8"/>
        <item x="9"/>
        <item x="260"/>
        <item x="261"/>
        <item x="262"/>
        <item x="263"/>
        <item x="264"/>
        <item x="10"/>
        <item x="11"/>
        <item x="12"/>
        <item x="163"/>
        <item x="164"/>
        <item x="156"/>
        <item x="157"/>
        <item x="158"/>
        <item x="17"/>
        <item x="18"/>
        <item x="19"/>
        <item x="228"/>
        <item x="20"/>
        <item x="229"/>
        <item x="230"/>
        <item x="231"/>
        <item x="232"/>
        <item x="233"/>
        <item x="252"/>
        <item x="253"/>
        <item x="254"/>
        <item x="22"/>
        <item x="23"/>
        <item x="142"/>
        <item x="143"/>
        <item x="144"/>
        <item x="26"/>
        <item x="13"/>
        <item x="106"/>
        <item x="27"/>
        <item x="242"/>
        <item x="61"/>
        <item x="215"/>
        <item x="28"/>
        <item x="145"/>
        <item x="146"/>
        <item x="147"/>
        <item x="148"/>
        <item x="24"/>
        <item x="25"/>
        <item x="165"/>
        <item x="32"/>
        <item x="33"/>
        <item x="34"/>
        <item x="41"/>
        <item x="187"/>
        <item x="188"/>
        <item x="189"/>
        <item x="190"/>
        <item x="191"/>
        <item x="149"/>
        <item x="150"/>
        <item x="151"/>
        <item x="42"/>
        <item x="45"/>
        <item x="53"/>
        <item x="43"/>
        <item x="255"/>
        <item x="256"/>
        <item x="35"/>
        <item x="44"/>
        <item x="46"/>
        <item x="166"/>
        <item x="50"/>
        <item x="74"/>
        <item x="54"/>
        <item x="55"/>
        <item x="56"/>
        <item x="181"/>
        <item x="182"/>
        <item x="183"/>
        <item x="184"/>
        <item x="185"/>
        <item x="62"/>
        <item x="57"/>
        <item x="63"/>
        <item x="127"/>
        <item x="216"/>
        <item x="167"/>
        <item x="168"/>
        <item x="169"/>
        <item x="152"/>
        <item x="58"/>
        <item x="90"/>
        <item x="234"/>
        <item x="237"/>
        <item x="238"/>
        <item x="239"/>
        <item x="240"/>
        <item x="170"/>
        <item x="64"/>
        <item x="200"/>
        <item x="59"/>
        <item x="65"/>
        <item x="159"/>
        <item x="66"/>
        <item x="67"/>
        <item x="235"/>
        <item x="201"/>
        <item x="69"/>
        <item x="70"/>
        <item x="202"/>
        <item x="119"/>
        <item x="80"/>
        <item x="186"/>
        <item x="75"/>
        <item x="76"/>
        <item x="95"/>
        <item x="210"/>
        <item x="171"/>
        <item x="78"/>
        <item x="77"/>
        <item x="120"/>
        <item x="14"/>
        <item x="160"/>
        <item x="114"/>
        <item x="79"/>
        <item x="15"/>
        <item x="257"/>
        <item x="36"/>
        <item x="121"/>
        <item x="122"/>
        <item x="223"/>
        <item x="224"/>
        <item x="258"/>
        <item x="85"/>
        <item x="123"/>
        <item x="91"/>
        <item x="265"/>
        <item x="81"/>
        <item x="83"/>
        <item x="225"/>
        <item x="84"/>
        <item x="226"/>
        <item x="227"/>
        <item x="153"/>
        <item x="161"/>
        <item x="218"/>
        <item x="68"/>
        <item x="16"/>
        <item x="86"/>
        <item x="87"/>
        <item x="243"/>
        <item x="244"/>
        <item x="172"/>
        <item x="88"/>
        <item x="51"/>
        <item x="92"/>
        <item x="222"/>
        <item x="219"/>
        <item x="93"/>
        <item x="115"/>
        <item x="245"/>
        <item x="37"/>
        <item x="174"/>
        <item x="94"/>
        <item x="173"/>
        <item x="236"/>
        <item x="71"/>
        <item x="96"/>
        <item x="211"/>
        <item x="82"/>
        <item x="175"/>
        <item x="176"/>
        <item x="177"/>
        <item x="89"/>
        <item x="100"/>
        <item x="98"/>
        <item x="97"/>
        <item x="203"/>
        <item x="101"/>
        <item x="246"/>
        <item x="247"/>
        <item x="105"/>
        <item x="102"/>
        <item x="212"/>
        <item x="72"/>
        <item x="178"/>
        <item x="107"/>
        <item x="108"/>
        <item x="103"/>
        <item x="109"/>
        <item x="204"/>
        <item x="205"/>
        <item x="154"/>
        <item x="104"/>
        <item x="110"/>
        <item x="111"/>
        <item x="38"/>
        <item x="112"/>
        <item x="213"/>
        <item x="162"/>
        <item x="113"/>
        <item x="39"/>
        <item x="214"/>
        <item x="179"/>
        <item x="40"/>
        <item x="116"/>
        <item x="124"/>
        <item x="217"/>
        <item x="125"/>
        <item x="266"/>
        <item x="206"/>
        <item x="128"/>
        <item x="129"/>
        <item x="131"/>
        <item x="60"/>
        <item x="267"/>
        <item x="134"/>
        <item x="135"/>
        <item x="130"/>
        <item x="180"/>
        <item x="268"/>
        <item x="269"/>
        <item x="270"/>
        <item x="271"/>
        <item x="241"/>
        <item x="136"/>
        <item x="272"/>
        <item x="273"/>
        <item x="274"/>
        <item t="default"/>
      </items>
    </pivotField>
    <pivotField dataField="1" compact="0" outline="0" showAll="0">
      <items count="86">
        <item x="15"/>
        <item x="9"/>
        <item x="22"/>
        <item x="14"/>
        <item x="29"/>
        <item x="39"/>
        <item x="32"/>
        <item x="23"/>
        <item x="48"/>
        <item x="72"/>
        <item x="13"/>
        <item x="21"/>
        <item x="16"/>
        <item x="7"/>
        <item x="20"/>
        <item x="35"/>
        <item x="28"/>
        <item x="11"/>
        <item x="10"/>
        <item x="43"/>
        <item x="80"/>
        <item x="26"/>
        <item x="31"/>
        <item x="37"/>
        <item x="38"/>
        <item x="52"/>
        <item x="25"/>
        <item x="8"/>
        <item x="81"/>
        <item x="36"/>
        <item x="41"/>
        <item x="77"/>
        <item x="79"/>
        <item x="57"/>
        <item x="6"/>
        <item x="2"/>
        <item x="76"/>
        <item x="83"/>
        <item x="73"/>
        <item x="45"/>
        <item x="64"/>
        <item x="0"/>
        <item x="56"/>
        <item x="30"/>
        <item x="47"/>
        <item x="34"/>
        <item x="24"/>
        <item x="51"/>
        <item x="74"/>
        <item x="50"/>
        <item x="42"/>
        <item x="61"/>
        <item x="68"/>
        <item x="44"/>
        <item x="33"/>
        <item x="67"/>
        <item x="59"/>
        <item x="55"/>
        <item x="60"/>
        <item x="54"/>
        <item x="3"/>
        <item x="46"/>
        <item x="63"/>
        <item x="58"/>
        <item x="40"/>
        <item x="62"/>
        <item x="78"/>
        <item x="19"/>
        <item x="82"/>
        <item x="4"/>
        <item x="12"/>
        <item x="75"/>
        <item x="65"/>
        <item x="69"/>
        <item x="53"/>
        <item x="18"/>
        <item x="49"/>
        <item x="27"/>
        <item x="70"/>
        <item x="66"/>
        <item x="5"/>
        <item x="17"/>
        <item x="1"/>
        <item x="71"/>
        <item x="84"/>
        <item t="default"/>
      </items>
    </pivotField>
  </pivotFields>
  <rowFields count="2">
    <field x="0"/>
    <field x="1"/>
  </rowFields>
  <rowItems count="349">
    <i>
      <x/>
      <x v="13"/>
    </i>
    <i t="default">
      <x/>
    </i>
    <i>
      <x v="1"/>
      <x v="34"/>
    </i>
    <i t="default">
      <x v="1"/>
    </i>
    <i>
      <x v="2"/>
      <x v="35"/>
    </i>
    <i t="default">
      <x v="2"/>
    </i>
    <i>
      <x v="3"/>
      <x v="36"/>
    </i>
    <i t="default">
      <x v="3"/>
    </i>
    <i>
      <x v="4"/>
      <x v="37"/>
    </i>
    <i t="default">
      <x v="4"/>
    </i>
    <i>
      <x v="5"/>
      <x v="38"/>
    </i>
    <i t="default">
      <x v="5"/>
    </i>
    <i>
      <x v="6"/>
      <x v="39"/>
    </i>
    <i t="default">
      <x v="6"/>
    </i>
    <i>
      <x v="7"/>
      <x v="46"/>
    </i>
    <i r="1">
      <x v="47"/>
    </i>
    <i r="1">
      <x v="48"/>
    </i>
    <i t="default">
      <x v="7"/>
    </i>
    <i>
      <x v="8"/>
      <x v="54"/>
    </i>
    <i r="1">
      <x v="55"/>
    </i>
    <i r="1">
      <x v="56"/>
    </i>
    <i r="1">
      <x v="81"/>
    </i>
    <i r="1">
      <x v="167"/>
    </i>
    <i r="1">
      <x v="171"/>
    </i>
    <i r="1">
      <x v="193"/>
    </i>
    <i t="default">
      <x v="8"/>
    </i>
    <i>
      <x v="9"/>
      <x v="62"/>
    </i>
    <i t="default">
      <x v="9"/>
    </i>
    <i>
      <x v="10"/>
      <x v="63"/>
    </i>
    <i t="default">
      <x v="10"/>
    </i>
    <i>
      <x v="11"/>
      <x v="64"/>
    </i>
    <i t="default">
      <x v="11"/>
    </i>
    <i>
      <x v="12"/>
      <x v="66"/>
    </i>
    <i t="default">
      <x v="12"/>
    </i>
    <i>
      <x v="13"/>
      <x v="4"/>
    </i>
    <i r="1">
      <x v="75"/>
    </i>
    <i r="1">
      <x v="76"/>
    </i>
    <i r="1">
      <x v="92"/>
    </i>
    <i r="1">
      <x v="93"/>
    </i>
    <i t="default">
      <x v="13"/>
    </i>
    <i>
      <x v="14"/>
      <x v="80"/>
    </i>
    <i r="1">
      <x v="83"/>
    </i>
    <i t="default">
      <x v="14"/>
    </i>
    <i>
      <x v="15"/>
      <x v="87"/>
    </i>
    <i t="default">
      <x v="15"/>
    </i>
    <i>
      <x v="16"/>
      <x v="9"/>
    </i>
    <i r="1">
      <x v="42"/>
    </i>
    <i r="1">
      <x v="43"/>
    </i>
    <i r="1">
      <x v="95"/>
    </i>
    <i r="1">
      <x v="96"/>
    </i>
    <i r="1">
      <x v="97"/>
    </i>
    <i r="1">
      <x v="113"/>
    </i>
    <i r="1">
      <x v="173"/>
    </i>
    <i r="1">
      <x v="207"/>
    </i>
    <i r="1">
      <x v="242"/>
    </i>
    <i r="1">
      <x v="247"/>
    </i>
    <i r="1">
      <x v="250"/>
    </i>
    <i t="default">
      <x v="16"/>
    </i>
    <i>
      <x v="17"/>
      <x v="98"/>
    </i>
    <i t="default">
      <x v="17"/>
    </i>
    <i>
      <x v="18"/>
      <x v="107"/>
    </i>
    <i r="1">
      <x v="110"/>
    </i>
    <i r="1">
      <x v="114"/>
    </i>
    <i t="default">
      <x v="18"/>
    </i>
    <i>
      <x v="19"/>
      <x v="108"/>
    </i>
    <i t="default">
      <x v="19"/>
    </i>
    <i>
      <x v="20"/>
      <x v="115"/>
    </i>
    <i t="default">
      <x v="20"/>
    </i>
    <i>
      <x v="21"/>
      <x v="5"/>
    </i>
    <i r="1">
      <x v="6"/>
    </i>
    <i r="1">
      <x v="31"/>
    </i>
    <i r="1">
      <x v="117"/>
    </i>
    <i r="1">
      <x v="200"/>
    </i>
    <i t="default">
      <x v="21"/>
    </i>
    <i>
      <x v="22"/>
      <x v="10"/>
    </i>
    <i r="1">
      <x v="109"/>
    </i>
    <i r="1">
      <x v="119"/>
    </i>
    <i r="1">
      <x v="120"/>
    </i>
    <i r="1">
      <x v="121"/>
    </i>
    <i t="default">
      <x v="22"/>
    </i>
    <i>
      <x v="23"/>
      <x v="128"/>
    </i>
    <i t="default">
      <x v="23"/>
    </i>
    <i>
      <x v="24"/>
      <x v="136"/>
    </i>
    <i t="default">
      <x v="24"/>
    </i>
    <i>
      <x v="25"/>
      <x v="146"/>
    </i>
    <i r="1">
      <x v="260"/>
    </i>
    <i t="default">
      <x v="25"/>
    </i>
    <i>
      <x v="26"/>
      <x v="85"/>
    </i>
    <i r="1">
      <x v="127"/>
    </i>
    <i r="1">
      <x v="129"/>
    </i>
    <i r="1">
      <x v="144"/>
    </i>
    <i r="1">
      <x v="147"/>
    </i>
    <i r="1">
      <x v="149"/>
    </i>
    <i r="1">
      <x v="150"/>
    </i>
    <i r="1">
      <x v="192"/>
    </i>
    <i t="default">
      <x v="26"/>
    </i>
    <i>
      <x v="27"/>
      <x v="153"/>
    </i>
    <i t="default">
      <x v="27"/>
    </i>
    <i>
      <x v="28"/>
      <x v="154"/>
    </i>
    <i r="1">
      <x v="212"/>
    </i>
    <i r="1">
      <x v="230"/>
    </i>
    <i t="default">
      <x v="28"/>
    </i>
    <i>
      <x v="29"/>
      <x v="30"/>
    </i>
    <i r="1">
      <x v="118"/>
    </i>
    <i r="1">
      <x v="159"/>
    </i>
    <i r="1">
      <x v="160"/>
    </i>
    <i r="1">
      <x v="165"/>
    </i>
    <i t="default">
      <x v="29"/>
    </i>
    <i>
      <x v="30"/>
      <x v="164"/>
    </i>
    <i t="default">
      <x v="30"/>
    </i>
    <i>
      <x v="31"/>
      <x v="170"/>
    </i>
    <i t="default">
      <x v="31"/>
    </i>
    <i>
      <x v="32"/>
      <x v="157"/>
    </i>
    <i r="1">
      <x v="183"/>
    </i>
    <i r="1">
      <x v="215"/>
    </i>
    <i t="default">
      <x v="32"/>
    </i>
    <i>
      <x v="33"/>
      <x v="184"/>
    </i>
    <i t="default">
      <x v="33"/>
    </i>
    <i>
      <x v="34"/>
      <x v="186"/>
    </i>
    <i t="default">
      <x v="34"/>
    </i>
    <i>
      <x v="35"/>
      <x v="179"/>
    </i>
    <i r="1">
      <x v="194"/>
    </i>
    <i r="1">
      <x v="195"/>
    </i>
    <i r="1">
      <x v="199"/>
    </i>
    <i r="1">
      <x v="219"/>
    </i>
    <i t="default">
      <x v="35"/>
    </i>
    <i>
      <x v="36"/>
      <x v="9"/>
    </i>
    <i r="1">
      <x v="137"/>
    </i>
    <i r="1">
      <x v="181"/>
    </i>
    <i r="1">
      <x v="201"/>
    </i>
    <i r="1">
      <x v="204"/>
    </i>
    <i t="default">
      <x v="36"/>
    </i>
    <i>
      <x v="37"/>
      <x v="209"/>
    </i>
    <i t="default">
      <x v="37"/>
    </i>
    <i>
      <x v="38"/>
      <x v="10"/>
    </i>
    <i r="1">
      <x v="161"/>
    </i>
    <i r="1">
      <x v="213"/>
    </i>
    <i r="1">
      <x v="222"/>
    </i>
    <i t="default">
      <x v="38"/>
    </i>
    <i>
      <x v="39"/>
      <x v="221"/>
    </i>
    <i t="default">
      <x v="39"/>
    </i>
    <i>
      <x v="40"/>
      <x v="18"/>
    </i>
    <i r="1">
      <x v="220"/>
    </i>
    <i r="1">
      <x v="224"/>
    </i>
    <i r="1">
      <x v="228"/>
    </i>
    <i r="1">
      <x v="234"/>
    </i>
    <i r="1">
      <x v="239"/>
    </i>
    <i t="default">
      <x v="40"/>
    </i>
    <i>
      <x v="41"/>
      <x v="227"/>
    </i>
    <i t="default">
      <x v="41"/>
    </i>
    <i>
      <x v="42"/>
      <x v="82"/>
    </i>
    <i r="1">
      <x v="232"/>
    </i>
    <i r="1">
      <x v="233"/>
    </i>
    <i r="1">
      <x v="235"/>
    </i>
    <i r="1">
      <x v="240"/>
    </i>
    <i r="1">
      <x v="241"/>
    </i>
    <i t="default">
      <x v="42"/>
    </i>
    <i>
      <x v="43"/>
      <x v="243"/>
    </i>
    <i t="default">
      <x v="43"/>
    </i>
    <i>
      <x v="44"/>
      <x v="246"/>
    </i>
    <i t="default">
      <x v="44"/>
    </i>
    <i>
      <x v="45"/>
      <x v="169"/>
    </i>
    <i r="1">
      <x v="205"/>
    </i>
    <i r="1">
      <x v="251"/>
    </i>
    <i t="default">
      <x v="45"/>
    </i>
    <i>
      <x v="46"/>
      <x v="16"/>
    </i>
    <i r="1">
      <x v="17"/>
    </i>
    <i r="1">
      <x v="156"/>
    </i>
    <i r="1">
      <x v="166"/>
    </i>
    <i r="1">
      <x v="174"/>
    </i>
    <i r="1">
      <x v="175"/>
    </i>
    <i r="1">
      <x v="180"/>
    </i>
    <i r="1">
      <x v="252"/>
    </i>
    <i r="1">
      <x v="254"/>
    </i>
    <i t="default">
      <x v="46"/>
    </i>
    <i>
      <x v="47"/>
      <x v="33"/>
    </i>
    <i r="1">
      <x v="130"/>
    </i>
    <i r="1">
      <x v="257"/>
    </i>
    <i r="1">
      <x v="258"/>
    </i>
    <i r="1">
      <x v="264"/>
    </i>
    <i t="default">
      <x v="47"/>
    </i>
    <i>
      <x v="48"/>
      <x v="259"/>
    </i>
    <i t="default">
      <x v="48"/>
    </i>
    <i>
      <x v="49"/>
      <x v="14"/>
    </i>
    <i r="1">
      <x v="15"/>
    </i>
    <i r="1">
      <x v="262"/>
    </i>
    <i t="default">
      <x v="49"/>
    </i>
    <i>
      <x v="50"/>
      <x v="263"/>
    </i>
    <i t="default">
      <x v="50"/>
    </i>
    <i>
      <x v="51"/>
      <x v="271"/>
    </i>
    <i t="default">
      <x v="51"/>
    </i>
    <i>
      <x v="52"/>
      <x v="2"/>
    </i>
    <i r="1">
      <x v="3"/>
    </i>
    <i r="1">
      <x v="19"/>
    </i>
    <i r="1">
      <x v="44"/>
    </i>
    <i r="1">
      <x v="45"/>
    </i>
    <i r="1">
      <x v="77"/>
    </i>
    <i r="1">
      <x v="78"/>
    </i>
    <i r="1">
      <x v="79"/>
    </i>
    <i r="1">
      <x v="88"/>
    </i>
    <i r="1">
      <x v="89"/>
    </i>
    <i r="1">
      <x v="90"/>
    </i>
    <i r="1">
      <x v="91"/>
    </i>
    <i r="1">
      <x v="104"/>
    </i>
    <i r="1">
      <x v="105"/>
    </i>
    <i r="1">
      <x v="106"/>
    </i>
    <i r="1">
      <x v="135"/>
    </i>
    <i r="1">
      <x v="189"/>
    </i>
    <i r="1">
      <x v="238"/>
    </i>
    <i t="default">
      <x v="52"/>
    </i>
    <i>
      <x v="53"/>
      <x/>
    </i>
    <i r="1">
      <x v="59"/>
    </i>
    <i r="1">
      <x v="60"/>
    </i>
    <i r="1">
      <x v="61"/>
    </i>
    <i r="1">
      <x v="148"/>
    </i>
    <i r="1">
      <x v="168"/>
    </i>
    <i r="1">
      <x v="190"/>
    </i>
    <i r="1">
      <x v="245"/>
    </i>
    <i t="default">
      <x v="53"/>
    </i>
    <i>
      <x v="54"/>
      <x v="57"/>
    </i>
    <i r="1">
      <x v="58"/>
    </i>
    <i r="1">
      <x v="94"/>
    </i>
    <i r="1">
      <x v="116"/>
    </i>
    <i r="1">
      <x v="132"/>
    </i>
    <i r="1">
      <x v="133"/>
    </i>
    <i r="1">
      <x v="134"/>
    </i>
    <i r="1">
      <x v="143"/>
    </i>
    <i r="1">
      <x v="163"/>
    </i>
    <i r="1">
      <x v="198"/>
    </i>
    <i r="1">
      <x v="210"/>
    </i>
    <i t="default">
      <x v="54"/>
    </i>
    <i>
      <x v="55"/>
      <x v="208"/>
    </i>
    <i r="1">
      <x v="216"/>
    </i>
    <i r="1">
      <x v="217"/>
    </i>
    <i r="1">
      <x v="218"/>
    </i>
    <i r="1">
      <x v="231"/>
    </i>
    <i r="1">
      <x v="249"/>
    </i>
    <i r="1">
      <x v="265"/>
    </i>
    <i t="default">
      <x v="55"/>
    </i>
    <i>
      <x v="56"/>
      <x v="122"/>
    </i>
    <i r="1">
      <x v="123"/>
    </i>
    <i r="1">
      <x v="124"/>
    </i>
    <i r="1">
      <x v="125"/>
    </i>
    <i r="1">
      <x v="126"/>
    </i>
    <i r="1">
      <x v="158"/>
    </i>
    <i t="default">
      <x v="56"/>
    </i>
    <i>
      <x v="57"/>
      <x v="99"/>
    </i>
    <i r="1">
      <x v="100"/>
    </i>
    <i r="1">
      <x v="101"/>
    </i>
    <i r="1">
      <x v="102"/>
    </i>
    <i r="1">
      <x v="103"/>
    </i>
    <i t="default">
      <x v="57"/>
    </i>
    <i>
      <x v="58"/>
      <x v="12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145"/>
    </i>
    <i r="1">
      <x v="152"/>
    </i>
    <i r="1">
      <x v="155"/>
    </i>
    <i r="1">
      <x v="223"/>
    </i>
    <i r="1">
      <x v="236"/>
    </i>
    <i r="1">
      <x v="237"/>
    </i>
    <i r="1">
      <x v="256"/>
    </i>
    <i t="default">
      <x v="58"/>
    </i>
    <i>
      <x v="59"/>
      <x v="1"/>
    </i>
    <i r="1">
      <x v="29"/>
    </i>
    <i r="1">
      <x v="32"/>
    </i>
    <i r="1">
      <x v="162"/>
    </i>
    <i r="1">
      <x v="214"/>
    </i>
    <i r="1">
      <x v="229"/>
    </i>
    <i r="1">
      <x v="244"/>
    </i>
    <i r="1">
      <x v="248"/>
    </i>
    <i t="default">
      <x v="59"/>
    </i>
    <i>
      <x v="60"/>
      <x v="86"/>
    </i>
    <i r="1">
      <x v="131"/>
    </i>
    <i r="1">
      <x v="253"/>
    </i>
    <i t="default">
      <x v="60"/>
    </i>
    <i>
      <x v="61"/>
      <x v="191"/>
    </i>
    <i r="1">
      <x v="203"/>
    </i>
    <i t="default">
      <x v="61"/>
    </i>
    <i>
      <x v="62"/>
      <x v="8"/>
    </i>
    <i r="1">
      <x v="11"/>
    </i>
    <i r="1">
      <x v="202"/>
    </i>
    <i t="default">
      <x v="62"/>
    </i>
    <i>
      <x v="63"/>
      <x v="176"/>
    </i>
    <i r="1">
      <x v="177"/>
    </i>
    <i r="1">
      <x v="185"/>
    </i>
    <i r="1">
      <x v="187"/>
    </i>
    <i r="1">
      <x v="188"/>
    </i>
    <i t="default">
      <x v="63"/>
    </i>
    <i>
      <x v="64"/>
      <x v="65"/>
    </i>
    <i r="1">
      <x v="67"/>
    </i>
    <i r="1">
      <x v="68"/>
    </i>
    <i r="1">
      <x v="69"/>
    </i>
    <i r="1">
      <x v="70"/>
    </i>
    <i r="1">
      <x v="71"/>
    </i>
    <i r="1">
      <x v="138"/>
    </i>
    <i r="1">
      <x v="151"/>
    </i>
    <i r="1">
      <x v="211"/>
    </i>
    <i t="default">
      <x v="64"/>
    </i>
    <i>
      <x v="65"/>
      <x v="139"/>
    </i>
    <i r="1">
      <x v="140"/>
    </i>
    <i r="1">
      <x v="141"/>
    </i>
    <i r="1">
      <x v="142"/>
    </i>
    <i r="1">
      <x v="270"/>
    </i>
    <i t="default">
      <x v="65"/>
    </i>
    <i>
      <x v="66"/>
      <x v="84"/>
    </i>
    <i r="1">
      <x v="196"/>
    </i>
    <i r="1">
      <x v="197"/>
    </i>
    <i r="1">
      <x v="206"/>
    </i>
    <i r="1">
      <x v="225"/>
    </i>
    <i r="1">
      <x v="226"/>
    </i>
    <i t="default">
      <x v="66"/>
    </i>
    <i>
      <x v="67"/>
      <x v="7"/>
    </i>
    <i r="1">
      <x v="22"/>
    </i>
    <i r="1">
      <x v="23"/>
    </i>
    <i r="1">
      <x v="41"/>
    </i>
    <i r="1">
      <x v="72"/>
    </i>
    <i r="1">
      <x v="73"/>
    </i>
    <i r="1">
      <x v="74"/>
    </i>
    <i r="1">
      <x v="111"/>
    </i>
    <i r="1">
      <x v="112"/>
    </i>
    <i r="1">
      <x v="172"/>
    </i>
    <i r="1">
      <x v="178"/>
    </i>
    <i t="default">
      <x v="67"/>
    </i>
    <i>
      <x v="68"/>
      <x v="40"/>
    </i>
    <i r="1">
      <x v="49"/>
    </i>
    <i r="1">
      <x v="50"/>
    </i>
    <i r="1">
      <x v="51"/>
    </i>
    <i r="1">
      <x v="52"/>
    </i>
    <i r="1">
      <x v="53"/>
    </i>
    <i r="1">
      <x v="182"/>
    </i>
    <i r="1">
      <x v="255"/>
    </i>
    <i r="1">
      <x v="261"/>
    </i>
    <i r="1">
      <x v="266"/>
    </i>
    <i r="1">
      <x v="267"/>
    </i>
    <i r="1">
      <x v="268"/>
    </i>
    <i r="1">
      <x v="269"/>
    </i>
    <i t="default">
      <x v="68"/>
    </i>
    <i>
      <x v="69"/>
      <x v="272"/>
    </i>
    <i r="1">
      <x v="273"/>
    </i>
    <i t="default">
      <x v="69"/>
    </i>
    <i>
      <x v="70"/>
      <x v="274"/>
    </i>
    <i t="default">
      <x v="70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53"/>
  <sheetViews>
    <sheetView topLeftCell="A328" workbookViewId="0">
      <selection activeCell="C363" sqref="C363"/>
    </sheetView>
  </sheetViews>
  <sheetFormatPr defaultRowHeight="14.4" x14ac:dyDescent="0.3"/>
  <cols>
    <col min="1" max="1" width="16.5546875" customWidth="1"/>
    <col min="2" max="2" width="7.33203125" customWidth="1"/>
    <col min="3" max="3" width="6" customWidth="1"/>
    <col min="4" max="87" width="8.5546875" customWidth="1"/>
    <col min="88" max="88" width="11.33203125" bestFit="1" customWidth="1"/>
  </cols>
  <sheetData>
    <row r="3" spans="1:3" x14ac:dyDescent="0.25">
      <c r="A3" s="1" t="s">
        <v>76</v>
      </c>
    </row>
    <row r="4" spans="1:3" x14ac:dyDescent="0.25">
      <c r="A4" s="1" t="s">
        <v>74</v>
      </c>
      <c r="B4" s="1" t="s">
        <v>75</v>
      </c>
      <c r="C4" t="s">
        <v>77</v>
      </c>
    </row>
    <row r="5" spans="1:3" x14ac:dyDescent="0.25">
      <c r="A5">
        <v>202</v>
      </c>
      <c r="B5">
        <v>202</v>
      </c>
      <c r="C5" s="2">
        <v>47</v>
      </c>
    </row>
    <row r="6" spans="1:3" x14ac:dyDescent="0.25">
      <c r="A6" t="s">
        <v>3</v>
      </c>
      <c r="C6" s="2">
        <v>47</v>
      </c>
    </row>
    <row r="7" spans="1:3" x14ac:dyDescent="0.25">
      <c r="A7">
        <v>229</v>
      </c>
      <c r="B7">
        <v>229</v>
      </c>
      <c r="C7" s="2">
        <v>1504</v>
      </c>
    </row>
    <row r="8" spans="1:3" x14ac:dyDescent="0.25">
      <c r="A8" t="s">
        <v>4</v>
      </c>
      <c r="C8" s="2">
        <v>1504</v>
      </c>
    </row>
    <row r="9" spans="1:3" x14ac:dyDescent="0.25">
      <c r="A9">
        <v>230</v>
      </c>
      <c r="B9">
        <v>230</v>
      </c>
      <c r="C9" s="2">
        <v>41</v>
      </c>
    </row>
    <row r="10" spans="1:3" x14ac:dyDescent="0.25">
      <c r="A10" t="s">
        <v>5</v>
      </c>
      <c r="C10" s="2">
        <v>41</v>
      </c>
    </row>
    <row r="11" spans="1:3" x14ac:dyDescent="0.25">
      <c r="A11">
        <v>231</v>
      </c>
      <c r="B11">
        <v>231</v>
      </c>
      <c r="C11" s="2">
        <v>118</v>
      </c>
    </row>
    <row r="12" spans="1:3" x14ac:dyDescent="0.25">
      <c r="A12" t="s">
        <v>6</v>
      </c>
      <c r="C12" s="2">
        <v>118</v>
      </c>
    </row>
    <row r="13" spans="1:3" x14ac:dyDescent="0.25">
      <c r="A13">
        <v>232</v>
      </c>
      <c r="B13">
        <v>232</v>
      </c>
      <c r="C13" s="2">
        <v>202</v>
      </c>
    </row>
    <row r="14" spans="1:3" x14ac:dyDescent="0.25">
      <c r="A14" t="s">
        <v>7</v>
      </c>
      <c r="C14" s="2">
        <v>202</v>
      </c>
    </row>
    <row r="15" spans="1:3" x14ac:dyDescent="0.25">
      <c r="A15">
        <v>233</v>
      </c>
      <c r="B15">
        <v>233</v>
      </c>
      <c r="C15" s="2">
        <v>890</v>
      </c>
    </row>
    <row r="16" spans="1:3" x14ac:dyDescent="0.25">
      <c r="A16" t="s">
        <v>8</v>
      </c>
      <c r="C16" s="2">
        <v>890</v>
      </c>
    </row>
    <row r="17" spans="1:3" x14ac:dyDescent="0.25">
      <c r="A17">
        <v>234</v>
      </c>
      <c r="B17">
        <v>234</v>
      </c>
      <c r="C17" s="2">
        <v>40</v>
      </c>
    </row>
    <row r="18" spans="1:3" x14ac:dyDescent="0.25">
      <c r="A18" t="s">
        <v>9</v>
      </c>
      <c r="C18" s="2">
        <v>40</v>
      </c>
    </row>
    <row r="19" spans="1:3" x14ac:dyDescent="0.25">
      <c r="A19">
        <v>244</v>
      </c>
      <c r="B19">
        <v>243</v>
      </c>
      <c r="C19" s="2">
        <v>14</v>
      </c>
    </row>
    <row r="20" spans="1:3" x14ac:dyDescent="0.25">
      <c r="B20">
        <v>244</v>
      </c>
      <c r="C20" s="2">
        <v>30</v>
      </c>
    </row>
    <row r="21" spans="1:3" x14ac:dyDescent="0.25">
      <c r="B21">
        <v>245</v>
      </c>
      <c r="C21" s="2">
        <v>2</v>
      </c>
    </row>
    <row r="22" spans="1:3" x14ac:dyDescent="0.25">
      <c r="A22" t="s">
        <v>10</v>
      </c>
      <c r="C22" s="2">
        <v>46</v>
      </c>
    </row>
    <row r="23" spans="1:3" x14ac:dyDescent="0.25">
      <c r="A23">
        <v>253</v>
      </c>
      <c r="B23">
        <v>251</v>
      </c>
      <c r="C23" s="2">
        <v>19</v>
      </c>
    </row>
    <row r="24" spans="1:3" x14ac:dyDescent="0.25">
      <c r="B24">
        <v>252</v>
      </c>
      <c r="C24" s="2">
        <v>18</v>
      </c>
    </row>
    <row r="25" spans="1:3" x14ac:dyDescent="0.25">
      <c r="B25">
        <v>253</v>
      </c>
      <c r="C25" s="2">
        <v>209</v>
      </c>
    </row>
    <row r="26" spans="1:3" x14ac:dyDescent="0.25">
      <c r="B26">
        <v>284</v>
      </c>
      <c r="C26" s="2">
        <v>11</v>
      </c>
    </row>
    <row r="27" spans="1:3" x14ac:dyDescent="0.25">
      <c r="B27">
        <v>386</v>
      </c>
      <c r="C27" s="2">
        <v>4</v>
      </c>
    </row>
    <row r="28" spans="1:3" x14ac:dyDescent="0.25">
      <c r="B28">
        <v>390</v>
      </c>
      <c r="C28" s="2">
        <v>1</v>
      </c>
    </row>
    <row r="29" spans="1:3" x14ac:dyDescent="0.25">
      <c r="B29">
        <v>417</v>
      </c>
      <c r="C29" s="2">
        <v>13</v>
      </c>
    </row>
    <row r="30" spans="1:3" x14ac:dyDescent="0.25">
      <c r="A30" t="s">
        <v>11</v>
      </c>
      <c r="C30" s="2">
        <v>275</v>
      </c>
    </row>
    <row r="31" spans="1:3" x14ac:dyDescent="0.25">
      <c r="A31">
        <v>259</v>
      </c>
      <c r="B31">
        <v>259</v>
      </c>
      <c r="C31" s="2">
        <v>1275</v>
      </c>
    </row>
    <row r="32" spans="1:3" x14ac:dyDescent="0.25">
      <c r="A32" t="s">
        <v>12</v>
      </c>
      <c r="C32" s="2">
        <v>1275</v>
      </c>
    </row>
    <row r="33" spans="1:3" x14ac:dyDescent="0.25">
      <c r="A33">
        <v>260</v>
      </c>
      <c r="B33">
        <v>260</v>
      </c>
      <c r="C33" s="2">
        <v>309</v>
      </c>
    </row>
    <row r="34" spans="1:3" x14ac:dyDescent="0.25">
      <c r="A34" t="s">
        <v>13</v>
      </c>
      <c r="C34" s="2">
        <v>309</v>
      </c>
    </row>
    <row r="35" spans="1:3" x14ac:dyDescent="0.25">
      <c r="A35">
        <v>261</v>
      </c>
      <c r="B35">
        <v>261</v>
      </c>
      <c r="C35" s="2">
        <v>167</v>
      </c>
    </row>
    <row r="36" spans="1:3" x14ac:dyDescent="0.25">
      <c r="A36" t="s">
        <v>14</v>
      </c>
      <c r="C36" s="2">
        <v>167</v>
      </c>
    </row>
    <row r="37" spans="1:3" x14ac:dyDescent="0.25">
      <c r="A37">
        <v>263</v>
      </c>
      <c r="B37">
        <v>263</v>
      </c>
      <c r="C37" s="2">
        <v>30</v>
      </c>
    </row>
    <row r="38" spans="1:3" x14ac:dyDescent="0.25">
      <c r="A38" t="s">
        <v>15</v>
      </c>
      <c r="C38" s="2">
        <v>30</v>
      </c>
    </row>
    <row r="39" spans="1:3" x14ac:dyDescent="0.25">
      <c r="A39">
        <v>273</v>
      </c>
      <c r="B39">
        <v>107</v>
      </c>
      <c r="C39" s="2">
        <v>15</v>
      </c>
    </row>
    <row r="40" spans="1:3" x14ac:dyDescent="0.25">
      <c r="B40">
        <v>272</v>
      </c>
      <c r="C40" s="2">
        <v>12</v>
      </c>
    </row>
    <row r="41" spans="1:3" x14ac:dyDescent="0.25">
      <c r="B41">
        <v>273</v>
      </c>
      <c r="C41" s="2">
        <v>19</v>
      </c>
    </row>
    <row r="42" spans="1:3" x14ac:dyDescent="0.25">
      <c r="B42">
        <v>298</v>
      </c>
      <c r="C42" s="2">
        <v>3</v>
      </c>
    </row>
    <row r="43" spans="1:3" x14ac:dyDescent="0.25">
      <c r="B43">
        <v>299</v>
      </c>
      <c r="C43" s="2">
        <v>8</v>
      </c>
    </row>
    <row r="44" spans="1:3" x14ac:dyDescent="0.25">
      <c r="A44" t="s">
        <v>16</v>
      </c>
      <c r="C44" s="2">
        <v>57</v>
      </c>
    </row>
    <row r="45" spans="1:3" x14ac:dyDescent="0.25">
      <c r="A45">
        <v>282</v>
      </c>
      <c r="B45">
        <v>282</v>
      </c>
      <c r="C45" s="2">
        <v>3</v>
      </c>
    </row>
    <row r="46" spans="1:3" x14ac:dyDescent="0.25">
      <c r="B46">
        <v>286</v>
      </c>
      <c r="C46" s="2">
        <v>3</v>
      </c>
    </row>
    <row r="47" spans="1:3" x14ac:dyDescent="0.25">
      <c r="A47" t="s">
        <v>17</v>
      </c>
      <c r="C47" s="2">
        <v>6</v>
      </c>
    </row>
    <row r="48" spans="1:3" x14ac:dyDescent="0.25">
      <c r="A48">
        <v>290</v>
      </c>
      <c r="B48">
        <v>290</v>
      </c>
      <c r="C48" s="2">
        <v>52</v>
      </c>
    </row>
    <row r="49" spans="1:3" x14ac:dyDescent="0.25">
      <c r="A49" t="s">
        <v>18</v>
      </c>
      <c r="C49" s="2">
        <v>52</v>
      </c>
    </row>
    <row r="50" spans="1:3" x14ac:dyDescent="0.25">
      <c r="A50">
        <v>305</v>
      </c>
      <c r="B50">
        <v>112</v>
      </c>
      <c r="C50" s="2">
        <v>2</v>
      </c>
    </row>
    <row r="51" spans="1:3" x14ac:dyDescent="0.25">
      <c r="B51">
        <v>239</v>
      </c>
      <c r="C51" s="2">
        <v>29</v>
      </c>
    </row>
    <row r="52" spans="1:3" x14ac:dyDescent="0.25">
      <c r="B52">
        <v>240</v>
      </c>
      <c r="C52" s="2">
        <v>22</v>
      </c>
    </row>
    <row r="53" spans="1:3" x14ac:dyDescent="0.25">
      <c r="B53">
        <v>305</v>
      </c>
      <c r="C53" s="2">
        <v>340</v>
      </c>
    </row>
    <row r="54" spans="1:3" x14ac:dyDescent="0.25">
      <c r="B54">
        <v>306</v>
      </c>
      <c r="C54" s="2">
        <v>29</v>
      </c>
    </row>
    <row r="55" spans="1:3" x14ac:dyDescent="0.25">
      <c r="B55">
        <v>307</v>
      </c>
      <c r="C55" s="2">
        <v>17</v>
      </c>
    </row>
    <row r="56" spans="1:3" x14ac:dyDescent="0.25">
      <c r="B56">
        <v>327</v>
      </c>
      <c r="C56" s="2">
        <v>5</v>
      </c>
    </row>
    <row r="57" spans="1:3" x14ac:dyDescent="0.25">
      <c r="B57">
        <v>393</v>
      </c>
      <c r="C57" s="2">
        <v>11</v>
      </c>
    </row>
    <row r="58" spans="1:3" x14ac:dyDescent="0.25">
      <c r="B58">
        <v>435</v>
      </c>
      <c r="C58" s="2">
        <v>49</v>
      </c>
    </row>
    <row r="59" spans="1:3" x14ac:dyDescent="0.25">
      <c r="B59">
        <v>473</v>
      </c>
      <c r="C59" s="2">
        <v>23</v>
      </c>
    </row>
    <row r="60" spans="1:3" x14ac:dyDescent="0.25">
      <c r="B60">
        <v>481</v>
      </c>
      <c r="C60" s="2">
        <v>7</v>
      </c>
    </row>
    <row r="61" spans="1:3" x14ac:dyDescent="0.25">
      <c r="B61">
        <v>487</v>
      </c>
      <c r="C61" s="2">
        <v>18</v>
      </c>
    </row>
    <row r="62" spans="1:3" x14ac:dyDescent="0.25">
      <c r="A62" t="s">
        <v>19</v>
      </c>
      <c r="C62" s="2">
        <v>552</v>
      </c>
    </row>
    <row r="63" spans="1:3" x14ac:dyDescent="0.25">
      <c r="A63">
        <v>308</v>
      </c>
      <c r="B63">
        <v>308</v>
      </c>
      <c r="C63" s="2">
        <v>78</v>
      </c>
    </row>
    <row r="64" spans="1:3" x14ac:dyDescent="0.25">
      <c r="A64" t="s">
        <v>20</v>
      </c>
      <c r="C64" s="2">
        <v>78</v>
      </c>
    </row>
    <row r="65" spans="1:3" x14ac:dyDescent="0.25">
      <c r="A65">
        <v>320</v>
      </c>
      <c r="B65">
        <v>320</v>
      </c>
      <c r="C65" s="2">
        <v>51</v>
      </c>
    </row>
    <row r="66" spans="1:3" x14ac:dyDescent="0.25">
      <c r="B66">
        <v>323</v>
      </c>
      <c r="C66" s="2">
        <v>16</v>
      </c>
    </row>
    <row r="67" spans="1:3" x14ac:dyDescent="0.25">
      <c r="B67">
        <v>329</v>
      </c>
      <c r="C67" s="2">
        <v>7</v>
      </c>
    </row>
    <row r="68" spans="1:3" x14ac:dyDescent="0.25">
      <c r="A68" t="s">
        <v>21</v>
      </c>
      <c r="C68" s="2">
        <v>74</v>
      </c>
    </row>
    <row r="69" spans="1:3" x14ac:dyDescent="0.25">
      <c r="A69">
        <v>321</v>
      </c>
      <c r="B69">
        <v>321</v>
      </c>
      <c r="C69" s="2">
        <v>33</v>
      </c>
    </row>
    <row r="70" spans="1:3" x14ac:dyDescent="0.25">
      <c r="A70" t="s">
        <v>22</v>
      </c>
      <c r="C70" s="2">
        <v>33</v>
      </c>
    </row>
    <row r="71" spans="1:3" x14ac:dyDescent="0.25">
      <c r="A71">
        <v>330</v>
      </c>
      <c r="B71">
        <v>330</v>
      </c>
      <c r="C71" s="2">
        <v>4</v>
      </c>
    </row>
    <row r="72" spans="1:3" x14ac:dyDescent="0.25">
      <c r="A72" t="s">
        <v>23</v>
      </c>
      <c r="C72" s="2">
        <v>4</v>
      </c>
    </row>
    <row r="73" spans="1:3" x14ac:dyDescent="0.25">
      <c r="A73">
        <v>333</v>
      </c>
      <c r="B73">
        <v>108</v>
      </c>
      <c r="C73" s="2">
        <v>14</v>
      </c>
    </row>
    <row r="74" spans="1:3" x14ac:dyDescent="0.25">
      <c r="B74">
        <v>109</v>
      </c>
      <c r="C74" s="2">
        <v>24</v>
      </c>
    </row>
    <row r="75" spans="1:3" x14ac:dyDescent="0.25">
      <c r="B75">
        <v>224</v>
      </c>
      <c r="C75" s="2">
        <v>13</v>
      </c>
    </row>
    <row r="76" spans="1:3" x14ac:dyDescent="0.25">
      <c r="B76">
        <v>333</v>
      </c>
      <c r="C76" s="2">
        <v>49</v>
      </c>
    </row>
    <row r="77" spans="1:3" x14ac:dyDescent="0.25">
      <c r="B77">
        <v>426</v>
      </c>
      <c r="C77" s="2">
        <v>8</v>
      </c>
    </row>
    <row r="78" spans="1:3" x14ac:dyDescent="0.25">
      <c r="A78" t="s">
        <v>24</v>
      </c>
      <c r="C78" s="2">
        <v>108</v>
      </c>
    </row>
    <row r="79" spans="1:3" x14ac:dyDescent="0.25">
      <c r="A79">
        <v>336</v>
      </c>
      <c r="B79">
        <v>113</v>
      </c>
      <c r="C79" s="2">
        <v>25</v>
      </c>
    </row>
    <row r="80" spans="1:3" x14ac:dyDescent="0.25">
      <c r="B80">
        <v>322</v>
      </c>
      <c r="C80" s="2">
        <v>1</v>
      </c>
    </row>
    <row r="81" spans="1:3" x14ac:dyDescent="0.25">
      <c r="B81">
        <v>335</v>
      </c>
      <c r="C81" s="2">
        <v>6</v>
      </c>
    </row>
    <row r="82" spans="1:3" x14ac:dyDescent="0.25">
      <c r="B82">
        <v>336</v>
      </c>
      <c r="C82" s="2">
        <v>17</v>
      </c>
    </row>
    <row r="83" spans="1:3" x14ac:dyDescent="0.25">
      <c r="B83">
        <v>337</v>
      </c>
      <c r="C83" s="2">
        <v>19</v>
      </c>
    </row>
    <row r="84" spans="1:3" x14ac:dyDescent="0.25">
      <c r="A84" t="s">
        <v>25</v>
      </c>
      <c r="C84" s="2">
        <v>68</v>
      </c>
    </row>
    <row r="85" spans="1:3" x14ac:dyDescent="0.25">
      <c r="A85">
        <v>345</v>
      </c>
      <c r="B85">
        <v>345</v>
      </c>
      <c r="C85" s="2">
        <v>127</v>
      </c>
    </row>
    <row r="86" spans="1:3" x14ac:dyDescent="0.25">
      <c r="A86" t="s">
        <v>26</v>
      </c>
      <c r="C86" s="2">
        <v>127</v>
      </c>
    </row>
    <row r="87" spans="1:3" x14ac:dyDescent="0.25">
      <c r="A87">
        <v>353</v>
      </c>
      <c r="B87">
        <v>353</v>
      </c>
      <c r="C87" s="2">
        <v>34</v>
      </c>
    </row>
    <row r="88" spans="1:3" x14ac:dyDescent="0.25">
      <c r="A88" t="s">
        <v>27</v>
      </c>
      <c r="C88" s="2">
        <v>34</v>
      </c>
    </row>
    <row r="89" spans="1:3" x14ac:dyDescent="0.25">
      <c r="A89">
        <v>364</v>
      </c>
      <c r="B89">
        <v>364</v>
      </c>
      <c r="C89" s="2">
        <v>65</v>
      </c>
    </row>
    <row r="90" spans="1:3" x14ac:dyDescent="0.25">
      <c r="B90">
        <v>498</v>
      </c>
      <c r="C90" s="2">
        <v>13</v>
      </c>
    </row>
    <row r="91" spans="1:3" x14ac:dyDescent="0.25">
      <c r="A91" t="s">
        <v>28</v>
      </c>
      <c r="C91" s="2">
        <v>78</v>
      </c>
    </row>
    <row r="92" spans="1:3" x14ac:dyDescent="0.25">
      <c r="A92">
        <v>368</v>
      </c>
      <c r="B92">
        <v>288</v>
      </c>
      <c r="C92" s="2">
        <v>14</v>
      </c>
    </row>
    <row r="93" spans="1:3" x14ac:dyDescent="0.25">
      <c r="B93">
        <v>344</v>
      </c>
      <c r="C93" s="2">
        <v>6</v>
      </c>
    </row>
    <row r="94" spans="1:3" x14ac:dyDescent="0.25">
      <c r="B94">
        <v>346</v>
      </c>
      <c r="C94" s="2">
        <v>6</v>
      </c>
    </row>
    <row r="95" spans="1:3" x14ac:dyDescent="0.25">
      <c r="B95">
        <v>362</v>
      </c>
      <c r="C95" s="2">
        <v>7</v>
      </c>
    </row>
    <row r="96" spans="1:3" x14ac:dyDescent="0.25">
      <c r="B96">
        <v>365</v>
      </c>
      <c r="C96" s="2">
        <v>11</v>
      </c>
    </row>
    <row r="97" spans="1:3" x14ac:dyDescent="0.25">
      <c r="B97">
        <v>367</v>
      </c>
      <c r="C97" s="2">
        <v>20</v>
      </c>
    </row>
    <row r="98" spans="1:3" x14ac:dyDescent="0.25">
      <c r="B98">
        <v>368</v>
      </c>
      <c r="C98" s="2">
        <v>77</v>
      </c>
    </row>
    <row r="99" spans="1:3" x14ac:dyDescent="0.25">
      <c r="B99">
        <v>416</v>
      </c>
      <c r="C99" s="2">
        <v>45</v>
      </c>
    </row>
    <row r="100" spans="1:3" x14ac:dyDescent="0.25">
      <c r="A100" t="s">
        <v>29</v>
      </c>
      <c r="C100" s="2">
        <v>186</v>
      </c>
    </row>
    <row r="101" spans="1:3" x14ac:dyDescent="0.25">
      <c r="A101">
        <v>372</v>
      </c>
      <c r="B101">
        <v>372</v>
      </c>
      <c r="C101" s="2">
        <v>11</v>
      </c>
    </row>
    <row r="102" spans="1:3" x14ac:dyDescent="0.25">
      <c r="A102" t="s">
        <v>30</v>
      </c>
      <c r="C102" s="2">
        <v>11</v>
      </c>
    </row>
    <row r="103" spans="1:3" x14ac:dyDescent="0.25">
      <c r="A103">
        <v>373</v>
      </c>
      <c r="B103">
        <v>373</v>
      </c>
      <c r="C103" s="2">
        <v>122</v>
      </c>
    </row>
    <row r="104" spans="1:3" x14ac:dyDescent="0.25">
      <c r="B104">
        <v>440</v>
      </c>
      <c r="C104" s="2">
        <v>25</v>
      </c>
    </row>
    <row r="105" spans="1:3" x14ac:dyDescent="0.25">
      <c r="B105">
        <v>460</v>
      </c>
      <c r="C105" s="2">
        <v>25</v>
      </c>
    </row>
    <row r="106" spans="1:3" x14ac:dyDescent="0.25">
      <c r="A106" t="s">
        <v>31</v>
      </c>
      <c r="C106" s="2">
        <v>172</v>
      </c>
    </row>
    <row r="107" spans="1:3" x14ac:dyDescent="0.25">
      <c r="A107">
        <v>379</v>
      </c>
      <c r="B107">
        <v>223</v>
      </c>
      <c r="C107" s="2">
        <v>12</v>
      </c>
    </row>
    <row r="108" spans="1:3" x14ac:dyDescent="0.25">
      <c r="B108">
        <v>334</v>
      </c>
      <c r="C108" s="2">
        <v>2</v>
      </c>
    </row>
    <row r="109" spans="1:3" x14ac:dyDescent="0.25">
      <c r="B109">
        <v>378</v>
      </c>
      <c r="C109" s="2">
        <v>47</v>
      </c>
    </row>
    <row r="110" spans="1:3" x14ac:dyDescent="0.25">
      <c r="B110">
        <v>379</v>
      </c>
      <c r="C110" s="2">
        <v>50</v>
      </c>
    </row>
    <row r="111" spans="1:3" x14ac:dyDescent="0.25">
      <c r="B111">
        <v>384</v>
      </c>
      <c r="C111" s="2">
        <v>9</v>
      </c>
    </row>
    <row r="112" spans="1:3" x14ac:dyDescent="0.25">
      <c r="A112" t="s">
        <v>32</v>
      </c>
      <c r="C112" s="2">
        <v>120</v>
      </c>
    </row>
    <row r="113" spans="1:3" x14ac:dyDescent="0.25">
      <c r="A113">
        <v>383</v>
      </c>
      <c r="B113">
        <v>383</v>
      </c>
      <c r="C113" s="2">
        <v>324</v>
      </c>
    </row>
    <row r="114" spans="1:3" x14ac:dyDescent="0.25">
      <c r="A114" t="s">
        <v>33</v>
      </c>
      <c r="C114" s="2">
        <v>324</v>
      </c>
    </row>
    <row r="115" spans="1:3" x14ac:dyDescent="0.25">
      <c r="A115">
        <v>389</v>
      </c>
      <c r="B115">
        <v>389</v>
      </c>
      <c r="C115" s="2">
        <v>6</v>
      </c>
    </row>
    <row r="116" spans="1:3" x14ac:dyDescent="0.25">
      <c r="A116" t="s">
        <v>34</v>
      </c>
      <c r="C116" s="2">
        <v>6</v>
      </c>
    </row>
    <row r="117" spans="1:3" x14ac:dyDescent="0.25">
      <c r="A117">
        <v>405</v>
      </c>
      <c r="B117">
        <v>376</v>
      </c>
      <c r="C117" s="2">
        <v>11</v>
      </c>
    </row>
    <row r="118" spans="1:3" x14ac:dyDescent="0.25">
      <c r="B118">
        <v>405</v>
      </c>
      <c r="C118" s="2">
        <v>11</v>
      </c>
    </row>
    <row r="119" spans="1:3" x14ac:dyDescent="0.25">
      <c r="B119">
        <v>444</v>
      </c>
      <c r="C119" s="2">
        <v>1</v>
      </c>
    </row>
    <row r="120" spans="1:3" x14ac:dyDescent="0.25">
      <c r="A120" t="s">
        <v>35</v>
      </c>
      <c r="C120" s="2">
        <v>23</v>
      </c>
    </row>
    <row r="121" spans="1:3" x14ac:dyDescent="0.25">
      <c r="A121">
        <v>407</v>
      </c>
      <c r="B121">
        <v>407</v>
      </c>
      <c r="C121" s="2">
        <v>13</v>
      </c>
    </row>
    <row r="122" spans="1:3" x14ac:dyDescent="0.25">
      <c r="A122" t="s">
        <v>36</v>
      </c>
      <c r="C122" s="2">
        <v>13</v>
      </c>
    </row>
    <row r="123" spans="1:3" x14ac:dyDescent="0.25">
      <c r="A123">
        <v>409</v>
      </c>
      <c r="B123">
        <v>409</v>
      </c>
      <c r="C123" s="2">
        <v>62</v>
      </c>
    </row>
    <row r="124" spans="1:3" x14ac:dyDescent="0.25">
      <c r="A124" t="s">
        <v>37</v>
      </c>
      <c r="C124" s="2">
        <v>62</v>
      </c>
    </row>
    <row r="125" spans="1:3" x14ac:dyDescent="0.25">
      <c r="A125">
        <v>418</v>
      </c>
      <c r="B125">
        <v>400</v>
      </c>
      <c r="C125" s="2">
        <v>19</v>
      </c>
    </row>
    <row r="126" spans="1:3" x14ac:dyDescent="0.25">
      <c r="B126">
        <v>418</v>
      </c>
      <c r="C126" s="2">
        <v>54</v>
      </c>
    </row>
    <row r="127" spans="1:3" x14ac:dyDescent="0.25">
      <c r="B127">
        <v>419</v>
      </c>
      <c r="C127" s="2">
        <v>2</v>
      </c>
    </row>
    <row r="128" spans="1:3" x14ac:dyDescent="0.25">
      <c r="B128">
        <v>423</v>
      </c>
      <c r="C128" s="2">
        <v>20</v>
      </c>
    </row>
    <row r="129" spans="1:3" x14ac:dyDescent="0.25">
      <c r="B129">
        <v>448</v>
      </c>
      <c r="C129" s="2">
        <v>5</v>
      </c>
    </row>
    <row r="130" spans="1:3" x14ac:dyDescent="0.25">
      <c r="A130" t="s">
        <v>38</v>
      </c>
      <c r="C130" s="2">
        <v>100</v>
      </c>
    </row>
    <row r="131" spans="1:3" x14ac:dyDescent="0.25">
      <c r="A131">
        <v>428</v>
      </c>
      <c r="B131">
        <v>112</v>
      </c>
      <c r="C131" s="2">
        <v>3</v>
      </c>
    </row>
    <row r="132" spans="1:3" x14ac:dyDescent="0.25">
      <c r="B132">
        <v>355</v>
      </c>
      <c r="C132" s="2">
        <v>6</v>
      </c>
    </row>
    <row r="133" spans="1:3" x14ac:dyDescent="0.25">
      <c r="B133">
        <v>403</v>
      </c>
      <c r="C133" s="2">
        <v>2</v>
      </c>
    </row>
    <row r="134" spans="1:3" x14ac:dyDescent="0.25">
      <c r="B134">
        <v>428</v>
      </c>
      <c r="C134" s="2">
        <v>62</v>
      </c>
    </row>
    <row r="135" spans="1:3" x14ac:dyDescent="0.25">
      <c r="B135">
        <v>431</v>
      </c>
      <c r="C135" s="2">
        <v>27</v>
      </c>
    </row>
    <row r="136" spans="1:3" x14ac:dyDescent="0.25">
      <c r="A136" t="s">
        <v>39</v>
      </c>
      <c r="C136" s="2">
        <v>100</v>
      </c>
    </row>
    <row r="137" spans="1:3" x14ac:dyDescent="0.25">
      <c r="A137">
        <v>437</v>
      </c>
      <c r="B137">
        <v>437</v>
      </c>
      <c r="C137" s="2">
        <v>302</v>
      </c>
    </row>
    <row r="138" spans="1:3" x14ac:dyDescent="0.25">
      <c r="A138" t="s">
        <v>40</v>
      </c>
      <c r="C138" s="2">
        <v>302</v>
      </c>
    </row>
    <row r="139" spans="1:3" x14ac:dyDescent="0.25">
      <c r="A139">
        <v>442</v>
      </c>
      <c r="B139">
        <v>113</v>
      </c>
      <c r="C139" s="2">
        <v>8</v>
      </c>
    </row>
    <row r="140" spans="1:3" x14ac:dyDescent="0.25">
      <c r="B140">
        <v>380</v>
      </c>
      <c r="C140" s="2">
        <v>13</v>
      </c>
    </row>
    <row r="141" spans="1:3" x14ac:dyDescent="0.25">
      <c r="B141">
        <v>442</v>
      </c>
      <c r="C141" s="2">
        <v>16</v>
      </c>
    </row>
    <row r="142" spans="1:3" x14ac:dyDescent="0.25">
      <c r="B142">
        <v>451</v>
      </c>
      <c r="C142" s="2">
        <v>1</v>
      </c>
    </row>
    <row r="143" spans="1:3" x14ac:dyDescent="0.25">
      <c r="A143" t="s">
        <v>41</v>
      </c>
      <c r="C143" s="2">
        <v>38</v>
      </c>
    </row>
    <row r="144" spans="1:3" x14ac:dyDescent="0.25">
      <c r="A144">
        <v>450</v>
      </c>
      <c r="B144">
        <v>450</v>
      </c>
      <c r="C144" s="2">
        <v>101</v>
      </c>
    </row>
    <row r="145" spans="1:3" x14ac:dyDescent="0.25">
      <c r="A145" t="s">
        <v>42</v>
      </c>
      <c r="C145" s="2">
        <v>101</v>
      </c>
    </row>
    <row r="146" spans="1:3" x14ac:dyDescent="0.25">
      <c r="A146">
        <v>453</v>
      </c>
      <c r="B146">
        <v>207</v>
      </c>
      <c r="C146" s="2">
        <v>62</v>
      </c>
    </row>
    <row r="147" spans="1:3" x14ac:dyDescent="0.25">
      <c r="B147">
        <v>449</v>
      </c>
      <c r="C147" s="2">
        <v>27</v>
      </c>
    </row>
    <row r="148" spans="1:3" x14ac:dyDescent="0.25">
      <c r="B148">
        <v>453</v>
      </c>
      <c r="C148" s="2">
        <v>85</v>
      </c>
    </row>
    <row r="149" spans="1:3" x14ac:dyDescent="0.25">
      <c r="B149">
        <v>458</v>
      </c>
      <c r="C149" s="2">
        <v>48</v>
      </c>
    </row>
    <row r="150" spans="1:3" x14ac:dyDescent="0.25">
      <c r="B150">
        <v>464</v>
      </c>
      <c r="C150" s="2">
        <v>39</v>
      </c>
    </row>
    <row r="151" spans="1:3" x14ac:dyDescent="0.25">
      <c r="B151">
        <v>469</v>
      </c>
      <c r="C151" s="2">
        <v>125</v>
      </c>
    </row>
    <row r="152" spans="1:3" x14ac:dyDescent="0.25">
      <c r="A152" t="s">
        <v>43</v>
      </c>
      <c r="C152" s="2">
        <v>386</v>
      </c>
    </row>
    <row r="153" spans="1:3" x14ac:dyDescent="0.25">
      <c r="A153">
        <v>457</v>
      </c>
      <c r="B153">
        <v>457</v>
      </c>
      <c r="C153" s="2">
        <v>84</v>
      </c>
    </row>
    <row r="154" spans="1:3" x14ac:dyDescent="0.25">
      <c r="A154" t="s">
        <v>44</v>
      </c>
      <c r="C154" s="2">
        <v>84</v>
      </c>
    </row>
    <row r="155" spans="1:3" x14ac:dyDescent="0.25">
      <c r="A155">
        <v>465</v>
      </c>
      <c r="B155">
        <v>285</v>
      </c>
      <c r="C155" s="2">
        <v>3</v>
      </c>
    </row>
    <row r="156" spans="1:3" x14ac:dyDescent="0.25">
      <c r="B156">
        <v>462</v>
      </c>
      <c r="C156" s="2">
        <v>4</v>
      </c>
    </row>
    <row r="157" spans="1:3" x14ac:dyDescent="0.25">
      <c r="B157">
        <v>463</v>
      </c>
      <c r="C157" s="2">
        <v>14</v>
      </c>
    </row>
    <row r="158" spans="1:3" x14ac:dyDescent="0.25">
      <c r="B158">
        <v>465</v>
      </c>
      <c r="C158" s="2">
        <v>86</v>
      </c>
    </row>
    <row r="159" spans="1:3" x14ac:dyDescent="0.25">
      <c r="B159">
        <v>470</v>
      </c>
      <c r="C159" s="2">
        <v>68</v>
      </c>
    </row>
    <row r="160" spans="1:3" x14ac:dyDescent="0.25">
      <c r="B160">
        <v>471</v>
      </c>
      <c r="C160" s="2">
        <v>2</v>
      </c>
    </row>
    <row r="161" spans="1:3" x14ac:dyDescent="0.25">
      <c r="A161" t="s">
        <v>45</v>
      </c>
      <c r="C161" s="2">
        <v>177</v>
      </c>
    </row>
    <row r="162" spans="1:3" x14ac:dyDescent="0.25">
      <c r="A162">
        <v>475</v>
      </c>
      <c r="B162">
        <v>475</v>
      </c>
      <c r="C162" s="2">
        <v>136</v>
      </c>
    </row>
    <row r="163" spans="1:3" x14ac:dyDescent="0.25">
      <c r="A163" t="s">
        <v>46</v>
      </c>
      <c r="C163" s="2">
        <v>136</v>
      </c>
    </row>
    <row r="164" spans="1:3" x14ac:dyDescent="0.25">
      <c r="A164">
        <v>480</v>
      </c>
      <c r="B164">
        <v>480</v>
      </c>
      <c r="C164" s="2">
        <v>22</v>
      </c>
    </row>
    <row r="165" spans="1:3" x14ac:dyDescent="0.25">
      <c r="A165" t="s">
        <v>47</v>
      </c>
      <c r="C165" s="2">
        <v>22</v>
      </c>
    </row>
    <row r="166" spans="1:3" x14ac:dyDescent="0.25">
      <c r="A166">
        <v>489</v>
      </c>
      <c r="B166">
        <v>388</v>
      </c>
      <c r="C166" s="2">
        <v>1</v>
      </c>
    </row>
    <row r="167" spans="1:3" x14ac:dyDescent="0.25">
      <c r="B167">
        <v>432</v>
      </c>
      <c r="C167" s="2">
        <v>2</v>
      </c>
    </row>
    <row r="168" spans="1:3" x14ac:dyDescent="0.25">
      <c r="B168">
        <v>489</v>
      </c>
      <c r="C168" s="2">
        <v>123</v>
      </c>
    </row>
    <row r="169" spans="1:3" x14ac:dyDescent="0.25">
      <c r="A169" t="s">
        <v>48</v>
      </c>
      <c r="C169" s="2">
        <v>126</v>
      </c>
    </row>
    <row r="170" spans="1:3" x14ac:dyDescent="0.25">
      <c r="A170">
        <v>490</v>
      </c>
      <c r="B170">
        <v>205</v>
      </c>
      <c r="C170" s="2">
        <v>5</v>
      </c>
    </row>
    <row r="171" spans="1:3" x14ac:dyDescent="0.25">
      <c r="B171">
        <v>206</v>
      </c>
      <c r="C171" s="2">
        <v>15</v>
      </c>
    </row>
    <row r="172" spans="1:3" x14ac:dyDescent="0.25">
      <c r="B172">
        <v>375</v>
      </c>
      <c r="C172" s="2">
        <v>46</v>
      </c>
    </row>
    <row r="173" spans="1:3" x14ac:dyDescent="0.25">
      <c r="B173">
        <v>385</v>
      </c>
      <c r="C173" s="2">
        <v>230</v>
      </c>
    </row>
    <row r="174" spans="1:3" x14ac:dyDescent="0.25">
      <c r="B174">
        <v>394</v>
      </c>
      <c r="C174" s="2">
        <v>34</v>
      </c>
    </row>
    <row r="175" spans="1:3" x14ac:dyDescent="0.25">
      <c r="B175">
        <v>396</v>
      </c>
      <c r="C175" s="2">
        <v>17</v>
      </c>
    </row>
    <row r="176" spans="1:3" x14ac:dyDescent="0.25">
      <c r="B176">
        <v>402</v>
      </c>
      <c r="C176" s="2">
        <v>40</v>
      </c>
    </row>
    <row r="177" spans="1:3" x14ac:dyDescent="0.25">
      <c r="B177">
        <v>490</v>
      </c>
      <c r="C177" s="2">
        <v>48</v>
      </c>
    </row>
    <row r="178" spans="1:3" x14ac:dyDescent="0.25">
      <c r="B178">
        <v>492</v>
      </c>
      <c r="C178" s="2">
        <v>1</v>
      </c>
    </row>
    <row r="179" spans="1:3" x14ac:dyDescent="0.25">
      <c r="A179" t="s">
        <v>49</v>
      </c>
      <c r="C179" s="2">
        <v>436</v>
      </c>
    </row>
    <row r="180" spans="1:3" x14ac:dyDescent="0.25">
      <c r="A180">
        <v>495</v>
      </c>
      <c r="B180">
        <v>228</v>
      </c>
      <c r="C180" s="2">
        <v>2</v>
      </c>
    </row>
    <row r="181" spans="1:3" x14ac:dyDescent="0.25">
      <c r="B181">
        <v>347</v>
      </c>
      <c r="C181" s="2">
        <v>4</v>
      </c>
    </row>
    <row r="182" spans="1:3" x14ac:dyDescent="0.25">
      <c r="B182">
        <v>495</v>
      </c>
      <c r="C182" s="2">
        <v>13</v>
      </c>
    </row>
    <row r="183" spans="1:3" x14ac:dyDescent="0.25">
      <c r="B183">
        <v>496</v>
      </c>
      <c r="C183" s="2">
        <v>2</v>
      </c>
    </row>
    <row r="184" spans="1:3" x14ac:dyDescent="0.25">
      <c r="B184">
        <v>502</v>
      </c>
      <c r="C184" s="2">
        <v>1</v>
      </c>
    </row>
    <row r="185" spans="1:3" x14ac:dyDescent="0.25">
      <c r="A185" t="s">
        <v>50</v>
      </c>
      <c r="C185" s="2">
        <v>22</v>
      </c>
    </row>
    <row r="186" spans="1:3" x14ac:dyDescent="0.25">
      <c r="A186">
        <v>497</v>
      </c>
      <c r="B186">
        <v>497</v>
      </c>
      <c r="C186" s="2">
        <v>538</v>
      </c>
    </row>
    <row r="187" spans="1:3" x14ac:dyDescent="0.25">
      <c r="A187" t="s">
        <v>51</v>
      </c>
      <c r="C187" s="2">
        <v>538</v>
      </c>
    </row>
    <row r="188" spans="1:3" x14ac:dyDescent="0.25">
      <c r="A188">
        <v>500</v>
      </c>
      <c r="B188">
        <v>203</v>
      </c>
      <c r="C188" s="2">
        <v>83</v>
      </c>
    </row>
    <row r="189" spans="1:3" x14ac:dyDescent="0.25">
      <c r="B189">
        <v>204</v>
      </c>
      <c r="C189" s="2">
        <v>72</v>
      </c>
    </row>
    <row r="190" spans="1:3" x14ac:dyDescent="0.25">
      <c r="B190">
        <v>500</v>
      </c>
      <c r="C190" s="2">
        <v>274</v>
      </c>
    </row>
    <row r="191" spans="1:3" x14ac:dyDescent="0.25">
      <c r="A191" t="s">
        <v>52</v>
      </c>
      <c r="C191" s="2">
        <v>429</v>
      </c>
    </row>
    <row r="192" spans="1:3" x14ac:dyDescent="0.25">
      <c r="A192">
        <v>501</v>
      </c>
      <c r="B192">
        <v>501</v>
      </c>
      <c r="C192" s="2">
        <v>368</v>
      </c>
    </row>
    <row r="193" spans="1:3" x14ac:dyDescent="0.25">
      <c r="A193" t="s">
        <v>53</v>
      </c>
      <c r="C193" s="2">
        <v>368</v>
      </c>
    </row>
    <row r="194" spans="1:3" x14ac:dyDescent="0.25">
      <c r="A194">
        <v>512</v>
      </c>
      <c r="B194">
        <v>512</v>
      </c>
      <c r="C194" s="2">
        <v>1557</v>
      </c>
    </row>
    <row r="195" spans="1:3" x14ac:dyDescent="0.25">
      <c r="A195" t="s">
        <v>54</v>
      </c>
      <c r="C195" s="2">
        <v>1557</v>
      </c>
    </row>
    <row r="196" spans="1:3" x14ac:dyDescent="0.25">
      <c r="A196">
        <v>602</v>
      </c>
      <c r="B196">
        <v>103</v>
      </c>
      <c r="C196" s="2">
        <v>5</v>
      </c>
    </row>
    <row r="197" spans="1:3" x14ac:dyDescent="0.25">
      <c r="B197">
        <v>105</v>
      </c>
      <c r="C197" s="2">
        <v>7</v>
      </c>
    </row>
    <row r="198" spans="1:3" x14ac:dyDescent="0.25">
      <c r="B198">
        <v>208</v>
      </c>
      <c r="C198" s="2">
        <v>5</v>
      </c>
    </row>
    <row r="199" spans="1:3" x14ac:dyDescent="0.25">
      <c r="B199">
        <v>241</v>
      </c>
      <c r="C199" s="2">
        <v>6</v>
      </c>
    </row>
    <row r="200" spans="1:3" x14ac:dyDescent="0.25">
      <c r="B200">
        <v>242</v>
      </c>
      <c r="C200" s="2">
        <v>5</v>
      </c>
    </row>
    <row r="201" spans="1:3" x14ac:dyDescent="0.25">
      <c r="B201">
        <v>274</v>
      </c>
      <c r="C201" s="2">
        <v>13</v>
      </c>
    </row>
    <row r="202" spans="1:3" x14ac:dyDescent="0.25">
      <c r="B202">
        <v>275</v>
      </c>
      <c r="C202" s="2">
        <v>1</v>
      </c>
    </row>
    <row r="203" spans="1:3" x14ac:dyDescent="0.25">
      <c r="B203">
        <v>281</v>
      </c>
      <c r="C203" s="2">
        <v>10</v>
      </c>
    </row>
    <row r="204" spans="1:3" x14ac:dyDescent="0.25">
      <c r="B204">
        <v>291</v>
      </c>
      <c r="C204" s="2">
        <v>2</v>
      </c>
    </row>
    <row r="205" spans="1:3" x14ac:dyDescent="0.25">
      <c r="B205">
        <v>293</v>
      </c>
      <c r="C205" s="2">
        <v>9</v>
      </c>
    </row>
    <row r="206" spans="1:3" x14ac:dyDescent="0.25">
      <c r="B206">
        <v>294</v>
      </c>
      <c r="C206" s="2">
        <v>17</v>
      </c>
    </row>
    <row r="207" spans="1:3" x14ac:dyDescent="0.25">
      <c r="B207">
        <v>297</v>
      </c>
      <c r="C207" s="2">
        <v>3</v>
      </c>
    </row>
    <row r="208" spans="1:3" x14ac:dyDescent="0.25">
      <c r="B208">
        <v>314</v>
      </c>
      <c r="C208" s="2">
        <v>1</v>
      </c>
    </row>
    <row r="209" spans="1:3" x14ac:dyDescent="0.25">
      <c r="B209">
        <v>315</v>
      </c>
      <c r="C209" s="2">
        <v>24</v>
      </c>
    </row>
    <row r="210" spans="1:3" x14ac:dyDescent="0.25">
      <c r="B210">
        <v>316</v>
      </c>
      <c r="C210" s="2">
        <v>6</v>
      </c>
    </row>
    <row r="211" spans="1:3" x14ac:dyDescent="0.25">
      <c r="B211">
        <v>352</v>
      </c>
      <c r="C211" s="2">
        <v>20</v>
      </c>
    </row>
    <row r="212" spans="1:3" x14ac:dyDescent="0.25">
      <c r="B212">
        <v>412</v>
      </c>
      <c r="C212" s="2">
        <v>10</v>
      </c>
    </row>
    <row r="213" spans="1:3" x14ac:dyDescent="0.25">
      <c r="B213">
        <v>468</v>
      </c>
      <c r="C213" s="2">
        <v>1</v>
      </c>
    </row>
    <row r="214" spans="1:3" x14ac:dyDescent="0.25">
      <c r="A214" t="s">
        <v>55</v>
      </c>
      <c r="C214" s="2">
        <v>145</v>
      </c>
    </row>
    <row r="215" spans="1:3" x14ac:dyDescent="0.25">
      <c r="A215">
        <v>603</v>
      </c>
      <c r="B215">
        <v>101</v>
      </c>
      <c r="C215" s="2">
        <v>12</v>
      </c>
    </row>
    <row r="216" spans="1:3" x14ac:dyDescent="0.25">
      <c r="B216">
        <v>256</v>
      </c>
      <c r="C216" s="2">
        <v>1</v>
      </c>
    </row>
    <row r="217" spans="1:3" x14ac:dyDescent="0.25">
      <c r="B217">
        <v>257</v>
      </c>
      <c r="C217" s="2">
        <v>29</v>
      </c>
    </row>
    <row r="218" spans="1:3" x14ac:dyDescent="0.25">
      <c r="B218">
        <v>258</v>
      </c>
      <c r="C218" s="2">
        <v>6</v>
      </c>
    </row>
    <row r="219" spans="1:3" x14ac:dyDescent="0.25">
      <c r="B219">
        <v>366</v>
      </c>
      <c r="C219" s="2">
        <v>1</v>
      </c>
    </row>
    <row r="220" spans="1:3" x14ac:dyDescent="0.25">
      <c r="B220">
        <v>387</v>
      </c>
      <c r="C220" s="2">
        <v>1</v>
      </c>
    </row>
    <row r="221" spans="1:3" x14ac:dyDescent="0.25">
      <c r="B221">
        <v>413</v>
      </c>
      <c r="C221" s="2">
        <v>65</v>
      </c>
    </row>
    <row r="222" spans="1:3" x14ac:dyDescent="0.25">
      <c r="B222">
        <v>479</v>
      </c>
      <c r="C222" s="2">
        <v>1</v>
      </c>
    </row>
    <row r="223" spans="1:3" x14ac:dyDescent="0.25">
      <c r="A223" t="s">
        <v>56</v>
      </c>
      <c r="C223" s="2">
        <v>116</v>
      </c>
    </row>
    <row r="224" spans="1:3" x14ac:dyDescent="0.25">
      <c r="A224">
        <v>605</v>
      </c>
      <c r="B224">
        <v>254</v>
      </c>
      <c r="C224" s="2">
        <v>17</v>
      </c>
    </row>
    <row r="225" spans="1:3" x14ac:dyDescent="0.25">
      <c r="B225">
        <v>255</v>
      </c>
      <c r="C225" s="2">
        <v>3</v>
      </c>
    </row>
    <row r="226" spans="1:3" x14ac:dyDescent="0.25">
      <c r="B226">
        <v>300</v>
      </c>
      <c r="C226" s="2">
        <v>2</v>
      </c>
    </row>
    <row r="227" spans="1:3" x14ac:dyDescent="0.25">
      <c r="B227">
        <v>331</v>
      </c>
      <c r="C227" s="2">
        <v>19</v>
      </c>
    </row>
    <row r="228" spans="1:3" x14ac:dyDescent="0.25">
      <c r="B228">
        <v>349</v>
      </c>
      <c r="C228" s="2">
        <v>15</v>
      </c>
    </row>
    <row r="229" spans="1:3" x14ac:dyDescent="0.25">
      <c r="B229">
        <v>350</v>
      </c>
      <c r="C229" s="2">
        <v>13</v>
      </c>
    </row>
    <row r="230" spans="1:3" x14ac:dyDescent="0.25">
      <c r="B230">
        <v>351</v>
      </c>
      <c r="C230" s="2">
        <v>5</v>
      </c>
    </row>
    <row r="231" spans="1:3" x14ac:dyDescent="0.25">
      <c r="B231">
        <v>361</v>
      </c>
      <c r="C231" s="2">
        <v>12</v>
      </c>
    </row>
    <row r="232" spans="1:3" x14ac:dyDescent="0.25">
      <c r="B232">
        <v>382</v>
      </c>
      <c r="C232" s="2">
        <v>44</v>
      </c>
    </row>
    <row r="233" spans="1:3" x14ac:dyDescent="0.25">
      <c r="B233">
        <v>422</v>
      </c>
      <c r="C233" s="2">
        <v>5</v>
      </c>
    </row>
    <row r="234" spans="1:3" x14ac:dyDescent="0.25">
      <c r="B234">
        <v>438</v>
      </c>
      <c r="C234" s="2">
        <v>39</v>
      </c>
    </row>
    <row r="235" spans="1:3" x14ac:dyDescent="0.25">
      <c r="A235" t="s">
        <v>57</v>
      </c>
      <c r="C235" s="2">
        <v>174</v>
      </c>
    </row>
    <row r="236" spans="1:3" x14ac:dyDescent="0.25">
      <c r="A236">
        <v>607</v>
      </c>
      <c r="B236">
        <v>436</v>
      </c>
      <c r="C236" s="2">
        <v>5</v>
      </c>
    </row>
    <row r="237" spans="1:3" x14ac:dyDescent="0.25">
      <c r="B237">
        <v>445</v>
      </c>
      <c r="C237" s="2">
        <v>39</v>
      </c>
    </row>
    <row r="238" spans="1:3" x14ac:dyDescent="0.25">
      <c r="B238">
        <v>446</v>
      </c>
      <c r="C238" s="2">
        <v>59</v>
      </c>
    </row>
    <row r="239" spans="1:3" x14ac:dyDescent="0.25">
      <c r="B239">
        <v>447</v>
      </c>
      <c r="C239" s="2">
        <v>16</v>
      </c>
    </row>
    <row r="240" spans="1:3" x14ac:dyDescent="0.25">
      <c r="B240">
        <v>461</v>
      </c>
      <c r="C240" s="2">
        <v>13</v>
      </c>
    </row>
    <row r="241" spans="1:3" x14ac:dyDescent="0.25">
      <c r="B241">
        <v>484</v>
      </c>
      <c r="C241" s="2">
        <v>9</v>
      </c>
    </row>
    <row r="242" spans="1:3" x14ac:dyDescent="0.25">
      <c r="B242">
        <v>503</v>
      </c>
      <c r="C242" s="2">
        <v>45</v>
      </c>
    </row>
    <row r="243" spans="1:3" x14ac:dyDescent="0.25">
      <c r="A243" t="s">
        <v>58</v>
      </c>
      <c r="C243" s="2">
        <v>186</v>
      </c>
    </row>
    <row r="244" spans="1:3" x14ac:dyDescent="0.25">
      <c r="A244">
        <v>608</v>
      </c>
      <c r="B244">
        <v>338</v>
      </c>
      <c r="C244" s="2">
        <v>5</v>
      </c>
    </row>
    <row r="245" spans="1:3" x14ac:dyDescent="0.25">
      <c r="B245">
        <v>339</v>
      </c>
      <c r="C245" s="2">
        <v>9</v>
      </c>
    </row>
    <row r="246" spans="1:3" x14ac:dyDescent="0.25">
      <c r="B246">
        <v>340</v>
      </c>
      <c r="C246" s="2">
        <v>10</v>
      </c>
    </row>
    <row r="247" spans="1:3" x14ac:dyDescent="0.25">
      <c r="B247">
        <v>341</v>
      </c>
      <c r="C247" s="2">
        <v>8</v>
      </c>
    </row>
    <row r="248" spans="1:3" x14ac:dyDescent="0.25">
      <c r="B248">
        <v>343</v>
      </c>
      <c r="C248" s="2">
        <v>22</v>
      </c>
    </row>
    <row r="249" spans="1:3" x14ac:dyDescent="0.25">
      <c r="B249">
        <v>377</v>
      </c>
      <c r="C249" s="2">
        <v>2</v>
      </c>
    </row>
    <row r="250" spans="1:3" x14ac:dyDescent="0.25">
      <c r="A250" t="s">
        <v>59</v>
      </c>
      <c r="C250" s="2">
        <v>56</v>
      </c>
    </row>
    <row r="251" spans="1:3" x14ac:dyDescent="0.25">
      <c r="A251">
        <v>610</v>
      </c>
      <c r="B251">
        <v>309</v>
      </c>
      <c r="C251" s="2">
        <v>13</v>
      </c>
    </row>
    <row r="252" spans="1:3" x14ac:dyDescent="0.25">
      <c r="B252">
        <v>310</v>
      </c>
      <c r="C252" s="2">
        <v>5</v>
      </c>
    </row>
    <row r="253" spans="1:3" x14ac:dyDescent="0.25">
      <c r="B253">
        <v>311</v>
      </c>
      <c r="C253" s="2">
        <v>5</v>
      </c>
    </row>
    <row r="254" spans="1:3" x14ac:dyDescent="0.25">
      <c r="B254">
        <v>312</v>
      </c>
      <c r="C254" s="2">
        <v>19</v>
      </c>
    </row>
    <row r="255" spans="1:3" x14ac:dyDescent="0.25">
      <c r="B255">
        <v>313</v>
      </c>
      <c r="C255" s="2">
        <v>48</v>
      </c>
    </row>
    <row r="256" spans="1:3" x14ac:dyDescent="0.25">
      <c r="A256" t="s">
        <v>60</v>
      </c>
      <c r="C256" s="2">
        <v>90</v>
      </c>
    </row>
    <row r="257" spans="1:3" x14ac:dyDescent="0.25">
      <c r="A257">
        <v>611</v>
      </c>
      <c r="B257">
        <v>200</v>
      </c>
      <c r="C257" s="2">
        <v>5</v>
      </c>
    </row>
    <row r="258" spans="1:3" x14ac:dyDescent="0.25">
      <c r="B258">
        <v>209</v>
      </c>
      <c r="C258" s="2">
        <v>4</v>
      </c>
    </row>
    <row r="259" spans="1:3" x14ac:dyDescent="0.25">
      <c r="B259">
        <v>210</v>
      </c>
      <c r="C259" s="2">
        <v>5</v>
      </c>
    </row>
    <row r="260" spans="1:3" x14ac:dyDescent="0.25">
      <c r="B260">
        <v>214</v>
      </c>
      <c r="C260" s="2">
        <v>27</v>
      </c>
    </row>
    <row r="261" spans="1:3" x14ac:dyDescent="0.25">
      <c r="B261">
        <v>215</v>
      </c>
      <c r="C261" s="2">
        <v>14</v>
      </c>
    </row>
    <row r="262" spans="1:3" x14ac:dyDescent="0.25">
      <c r="B262">
        <v>216</v>
      </c>
      <c r="C262" s="2">
        <v>6</v>
      </c>
    </row>
    <row r="263" spans="1:3" x14ac:dyDescent="0.25">
      <c r="B263">
        <v>217</v>
      </c>
      <c r="C263" s="2">
        <v>4</v>
      </c>
    </row>
    <row r="264" spans="1:3" x14ac:dyDescent="0.25">
      <c r="B264">
        <v>218</v>
      </c>
      <c r="C264" s="2">
        <v>5</v>
      </c>
    </row>
    <row r="265" spans="1:3" x14ac:dyDescent="0.25">
      <c r="B265">
        <v>363</v>
      </c>
      <c r="C265" s="2">
        <v>22</v>
      </c>
    </row>
    <row r="266" spans="1:3" x14ac:dyDescent="0.25">
      <c r="B266">
        <v>371</v>
      </c>
      <c r="C266" s="2">
        <v>5</v>
      </c>
    </row>
    <row r="267" spans="1:3" x14ac:dyDescent="0.25">
      <c r="B267">
        <v>374</v>
      </c>
      <c r="C267" s="2">
        <v>14</v>
      </c>
    </row>
    <row r="268" spans="1:3" x14ac:dyDescent="0.25">
      <c r="B268">
        <v>452</v>
      </c>
      <c r="C268" s="2">
        <v>6</v>
      </c>
    </row>
    <row r="269" spans="1:3" x14ac:dyDescent="0.25">
      <c r="B269">
        <v>466</v>
      </c>
      <c r="C269" s="2">
        <v>11</v>
      </c>
    </row>
    <row r="270" spans="1:3" x14ac:dyDescent="0.25">
      <c r="B270">
        <v>467</v>
      </c>
      <c r="C270" s="2">
        <v>10</v>
      </c>
    </row>
    <row r="271" spans="1:3" x14ac:dyDescent="0.25">
      <c r="B271">
        <v>494</v>
      </c>
      <c r="C271" s="2">
        <v>4</v>
      </c>
    </row>
    <row r="272" spans="1:3" x14ac:dyDescent="0.25">
      <c r="A272" t="s">
        <v>61</v>
      </c>
      <c r="C272" s="2">
        <v>142</v>
      </c>
    </row>
    <row r="273" spans="1:3" x14ac:dyDescent="0.25">
      <c r="A273">
        <v>613</v>
      </c>
      <c r="B273">
        <v>102</v>
      </c>
      <c r="C273" s="2">
        <v>18</v>
      </c>
    </row>
    <row r="274" spans="1:3" x14ac:dyDescent="0.25">
      <c r="B274">
        <v>220</v>
      </c>
      <c r="C274" s="2">
        <v>12</v>
      </c>
    </row>
    <row r="275" spans="1:3" x14ac:dyDescent="0.25">
      <c r="B275">
        <v>225</v>
      </c>
      <c r="C275" s="2">
        <v>3</v>
      </c>
    </row>
    <row r="276" spans="1:3" x14ac:dyDescent="0.25">
      <c r="B276">
        <v>381</v>
      </c>
      <c r="C276" s="2">
        <v>24</v>
      </c>
    </row>
    <row r="277" spans="1:3" x14ac:dyDescent="0.25">
      <c r="B277">
        <v>443</v>
      </c>
      <c r="C277" s="2">
        <v>217</v>
      </c>
    </row>
    <row r="278" spans="1:3" x14ac:dyDescent="0.25">
      <c r="B278">
        <v>459</v>
      </c>
      <c r="C278" s="2">
        <v>8</v>
      </c>
    </row>
    <row r="279" spans="1:3" x14ac:dyDescent="0.25">
      <c r="B279">
        <v>477</v>
      </c>
      <c r="C279" s="2">
        <v>5</v>
      </c>
    </row>
    <row r="280" spans="1:3" x14ac:dyDescent="0.25">
      <c r="B280">
        <v>483</v>
      </c>
      <c r="C280" s="2">
        <v>33</v>
      </c>
    </row>
    <row r="281" spans="1:3" x14ac:dyDescent="0.25">
      <c r="A281" t="s">
        <v>62</v>
      </c>
      <c r="C281" s="2">
        <v>320</v>
      </c>
    </row>
    <row r="282" spans="1:3" x14ac:dyDescent="0.25">
      <c r="A282">
        <v>614</v>
      </c>
      <c r="B282">
        <v>289</v>
      </c>
      <c r="C282" s="2">
        <v>24</v>
      </c>
    </row>
    <row r="283" spans="1:3" x14ac:dyDescent="0.25">
      <c r="B283">
        <v>348</v>
      </c>
      <c r="C283" s="2">
        <v>49</v>
      </c>
    </row>
    <row r="284" spans="1:3" x14ac:dyDescent="0.25">
      <c r="B284">
        <v>491</v>
      </c>
      <c r="C284" s="2">
        <v>42</v>
      </c>
    </row>
    <row r="285" spans="1:3" x14ac:dyDescent="0.25">
      <c r="A285" t="s">
        <v>63</v>
      </c>
      <c r="C285" s="2">
        <v>115</v>
      </c>
    </row>
    <row r="286" spans="1:3" x14ac:dyDescent="0.25">
      <c r="A286">
        <v>615</v>
      </c>
      <c r="B286">
        <v>415</v>
      </c>
      <c r="C286" s="2">
        <v>35</v>
      </c>
    </row>
    <row r="287" spans="1:3" x14ac:dyDescent="0.25">
      <c r="B287">
        <v>430</v>
      </c>
      <c r="C287" s="2">
        <v>30</v>
      </c>
    </row>
    <row r="288" spans="1:3" x14ac:dyDescent="0.25">
      <c r="A288" t="s">
        <v>64</v>
      </c>
      <c r="C288" s="2">
        <v>65</v>
      </c>
    </row>
    <row r="289" spans="1:3" x14ac:dyDescent="0.25">
      <c r="A289">
        <v>616</v>
      </c>
      <c r="B289">
        <v>111</v>
      </c>
      <c r="C289" s="2">
        <v>8</v>
      </c>
    </row>
    <row r="290" spans="1:3" x14ac:dyDescent="0.25">
      <c r="B290">
        <v>114</v>
      </c>
      <c r="C290" s="2">
        <v>3</v>
      </c>
    </row>
    <row r="291" spans="1:3" x14ac:dyDescent="0.25">
      <c r="B291">
        <v>429</v>
      </c>
      <c r="C291" s="2">
        <v>1</v>
      </c>
    </row>
    <row r="292" spans="1:3" x14ac:dyDescent="0.25">
      <c r="A292" t="s">
        <v>65</v>
      </c>
      <c r="C292" s="2">
        <v>12</v>
      </c>
    </row>
    <row r="293" spans="1:3" x14ac:dyDescent="0.25">
      <c r="A293">
        <v>617</v>
      </c>
      <c r="B293">
        <v>397</v>
      </c>
      <c r="C293" s="2">
        <v>1</v>
      </c>
    </row>
    <row r="294" spans="1:3" x14ac:dyDescent="0.25">
      <c r="B294">
        <v>398</v>
      </c>
      <c r="C294" s="2">
        <v>6</v>
      </c>
    </row>
    <row r="295" spans="1:3" x14ac:dyDescent="0.25">
      <c r="B295">
        <v>408</v>
      </c>
      <c r="C295" s="2">
        <v>11</v>
      </c>
    </row>
    <row r="296" spans="1:3" x14ac:dyDescent="0.25">
      <c r="B296">
        <v>410</v>
      </c>
      <c r="C296" s="2">
        <v>24</v>
      </c>
    </row>
    <row r="297" spans="1:3" x14ac:dyDescent="0.25">
      <c r="B297">
        <v>411</v>
      </c>
      <c r="C297" s="2">
        <v>8</v>
      </c>
    </row>
    <row r="298" spans="1:3" x14ac:dyDescent="0.25">
      <c r="A298" t="s">
        <v>66</v>
      </c>
      <c r="C298" s="2">
        <v>50</v>
      </c>
    </row>
    <row r="299" spans="1:3" x14ac:dyDescent="0.25">
      <c r="A299">
        <v>618</v>
      </c>
      <c r="B299">
        <v>262</v>
      </c>
      <c r="C299" s="2">
        <v>84</v>
      </c>
    </row>
    <row r="300" spans="1:3" x14ac:dyDescent="0.25">
      <c r="B300">
        <v>264</v>
      </c>
      <c r="C300" s="2">
        <v>35</v>
      </c>
    </row>
    <row r="301" spans="1:3" x14ac:dyDescent="0.25">
      <c r="B301">
        <v>265</v>
      </c>
      <c r="C301" s="2">
        <v>101</v>
      </c>
    </row>
    <row r="302" spans="1:3" x14ac:dyDescent="0.25">
      <c r="B302">
        <v>266</v>
      </c>
      <c r="C302" s="2">
        <v>158</v>
      </c>
    </row>
    <row r="303" spans="1:3" x14ac:dyDescent="0.25">
      <c r="B303">
        <v>267</v>
      </c>
      <c r="C303" s="2">
        <v>41</v>
      </c>
    </row>
    <row r="304" spans="1:3" x14ac:dyDescent="0.25">
      <c r="B304">
        <v>268</v>
      </c>
      <c r="C304" s="2">
        <v>16</v>
      </c>
    </row>
    <row r="305" spans="1:3" x14ac:dyDescent="0.25">
      <c r="B305">
        <v>356</v>
      </c>
      <c r="C305" s="2">
        <v>4</v>
      </c>
    </row>
    <row r="306" spans="1:3" x14ac:dyDescent="0.25">
      <c r="B306">
        <v>369</v>
      </c>
      <c r="C306" s="2">
        <v>3</v>
      </c>
    </row>
    <row r="307" spans="1:3" x14ac:dyDescent="0.25">
      <c r="B307">
        <v>439</v>
      </c>
      <c r="C307" s="2">
        <v>15</v>
      </c>
    </row>
    <row r="308" spans="1:3" x14ac:dyDescent="0.25">
      <c r="A308" t="s">
        <v>67</v>
      </c>
      <c r="C308" s="2">
        <v>457</v>
      </c>
    </row>
    <row r="309" spans="1:3" x14ac:dyDescent="0.25">
      <c r="A309">
        <v>619</v>
      </c>
      <c r="B309">
        <v>357</v>
      </c>
      <c r="C309" s="2">
        <v>12</v>
      </c>
    </row>
    <row r="310" spans="1:3" x14ac:dyDescent="0.25">
      <c r="B310">
        <v>358</v>
      </c>
      <c r="C310" s="2">
        <v>3</v>
      </c>
    </row>
    <row r="311" spans="1:3" x14ac:dyDescent="0.25">
      <c r="B311">
        <v>359</v>
      </c>
      <c r="C311" s="2">
        <v>3</v>
      </c>
    </row>
    <row r="312" spans="1:3" x14ac:dyDescent="0.25">
      <c r="B312">
        <v>360</v>
      </c>
      <c r="C312" s="2">
        <v>7</v>
      </c>
    </row>
    <row r="313" spans="1:3" x14ac:dyDescent="0.25">
      <c r="B313">
        <v>509</v>
      </c>
      <c r="C313" s="2">
        <v>10</v>
      </c>
    </row>
    <row r="314" spans="1:3" x14ac:dyDescent="0.25">
      <c r="A314" t="s">
        <v>68</v>
      </c>
      <c r="C314" s="2">
        <v>35</v>
      </c>
    </row>
    <row r="315" spans="1:3" x14ac:dyDescent="0.25">
      <c r="A315">
        <v>620</v>
      </c>
      <c r="B315">
        <v>287</v>
      </c>
      <c r="C315" s="2">
        <v>9</v>
      </c>
    </row>
    <row r="316" spans="1:3" x14ac:dyDescent="0.25">
      <c r="B316">
        <v>420</v>
      </c>
      <c r="C316" s="2">
        <v>15</v>
      </c>
    </row>
    <row r="317" spans="1:3" x14ac:dyDescent="0.25">
      <c r="B317">
        <v>421</v>
      </c>
      <c r="C317" s="2">
        <v>7</v>
      </c>
    </row>
    <row r="318" spans="1:3" x14ac:dyDescent="0.25">
      <c r="B318">
        <v>434</v>
      </c>
      <c r="C318" s="2">
        <v>37</v>
      </c>
    </row>
    <row r="319" spans="1:3" x14ac:dyDescent="0.25">
      <c r="B319">
        <v>454</v>
      </c>
      <c r="C319" s="2">
        <v>7</v>
      </c>
    </row>
    <row r="320" spans="1:3" x14ac:dyDescent="0.25">
      <c r="B320">
        <v>456</v>
      </c>
      <c r="C320" s="2">
        <v>2</v>
      </c>
    </row>
    <row r="321" spans="1:3" x14ac:dyDescent="0.25">
      <c r="A321" t="s">
        <v>69</v>
      </c>
      <c r="C321" s="2">
        <v>77</v>
      </c>
    </row>
    <row r="322" spans="1:3" x14ac:dyDescent="0.25">
      <c r="A322">
        <v>636</v>
      </c>
      <c r="B322">
        <v>110</v>
      </c>
      <c r="C322" s="2">
        <v>5</v>
      </c>
    </row>
    <row r="323" spans="1:3" x14ac:dyDescent="0.25">
      <c r="B323">
        <v>211</v>
      </c>
      <c r="C323" s="2">
        <v>21</v>
      </c>
    </row>
    <row r="324" spans="1:3" x14ac:dyDescent="0.25">
      <c r="B324">
        <v>212</v>
      </c>
      <c r="C324" s="2">
        <v>2</v>
      </c>
    </row>
    <row r="325" spans="1:3" x14ac:dyDescent="0.25">
      <c r="B325">
        <v>237</v>
      </c>
      <c r="C325" s="2">
        <v>11</v>
      </c>
    </row>
    <row r="326" spans="1:3" x14ac:dyDescent="0.25">
      <c r="B326">
        <v>269</v>
      </c>
      <c r="C326" s="2">
        <v>2</v>
      </c>
    </row>
    <row r="327" spans="1:3" x14ac:dyDescent="0.25">
      <c r="B327">
        <v>270</v>
      </c>
      <c r="C327" s="2">
        <v>16</v>
      </c>
    </row>
    <row r="328" spans="1:3" x14ac:dyDescent="0.25">
      <c r="B328">
        <v>271</v>
      </c>
      <c r="C328" s="2">
        <v>6</v>
      </c>
    </row>
    <row r="329" spans="1:3" x14ac:dyDescent="0.25">
      <c r="B329">
        <v>325</v>
      </c>
      <c r="C329" s="2">
        <v>12</v>
      </c>
    </row>
    <row r="330" spans="1:3" x14ac:dyDescent="0.25">
      <c r="B330">
        <v>326</v>
      </c>
      <c r="C330" s="2">
        <v>4</v>
      </c>
    </row>
    <row r="331" spans="1:3" x14ac:dyDescent="0.25">
      <c r="B331">
        <v>392</v>
      </c>
      <c r="C331" s="2">
        <v>3</v>
      </c>
    </row>
    <row r="332" spans="1:3" x14ac:dyDescent="0.25">
      <c r="B332">
        <v>399</v>
      </c>
      <c r="C332" s="2">
        <v>6</v>
      </c>
    </row>
    <row r="333" spans="1:3" x14ac:dyDescent="0.25">
      <c r="A333" t="s">
        <v>70</v>
      </c>
      <c r="C333" s="2">
        <v>88</v>
      </c>
    </row>
    <row r="334" spans="1:3" x14ac:dyDescent="0.25">
      <c r="A334">
        <v>637</v>
      </c>
      <c r="B334">
        <v>235</v>
      </c>
      <c r="C334" s="2">
        <v>4</v>
      </c>
    </row>
    <row r="335" spans="1:3" x14ac:dyDescent="0.25">
      <c r="B335">
        <v>246</v>
      </c>
      <c r="C335" s="2">
        <v>14</v>
      </c>
    </row>
    <row r="336" spans="1:3" x14ac:dyDescent="0.25">
      <c r="B336">
        <v>247</v>
      </c>
      <c r="C336" s="2">
        <v>24</v>
      </c>
    </row>
    <row r="337" spans="1:3" x14ac:dyDescent="0.25">
      <c r="B337">
        <v>248</v>
      </c>
      <c r="C337" s="2">
        <v>32</v>
      </c>
    </row>
    <row r="338" spans="1:3" x14ac:dyDescent="0.25">
      <c r="B338">
        <v>249</v>
      </c>
      <c r="C338" s="2">
        <v>24</v>
      </c>
    </row>
    <row r="339" spans="1:3" x14ac:dyDescent="0.25">
      <c r="B339">
        <v>250</v>
      </c>
      <c r="C339" s="2">
        <v>174</v>
      </c>
    </row>
    <row r="340" spans="1:3" x14ac:dyDescent="0.25">
      <c r="B340">
        <v>404</v>
      </c>
      <c r="C340" s="2">
        <v>21</v>
      </c>
    </row>
    <row r="341" spans="1:3" x14ac:dyDescent="0.25">
      <c r="B341">
        <v>493</v>
      </c>
      <c r="C341" s="2">
        <v>19</v>
      </c>
    </row>
    <row r="342" spans="1:3" x14ac:dyDescent="0.25">
      <c r="B342">
        <v>499</v>
      </c>
      <c r="C342" s="2">
        <v>22</v>
      </c>
    </row>
    <row r="343" spans="1:3" x14ac:dyDescent="0.25">
      <c r="B343">
        <v>504</v>
      </c>
      <c r="C343" s="2">
        <v>13</v>
      </c>
    </row>
    <row r="344" spans="1:3" x14ac:dyDescent="0.25">
      <c r="B344">
        <v>505</v>
      </c>
      <c r="C344" s="2">
        <v>18</v>
      </c>
    </row>
    <row r="345" spans="1:3" x14ac:dyDescent="0.25">
      <c r="B345">
        <v>506</v>
      </c>
      <c r="C345" s="2">
        <v>43</v>
      </c>
    </row>
    <row r="346" spans="1:3" x14ac:dyDescent="0.25">
      <c r="B346">
        <v>508</v>
      </c>
      <c r="C346" s="2">
        <v>15</v>
      </c>
    </row>
    <row r="347" spans="1:3" x14ac:dyDescent="0.25">
      <c r="A347" t="s">
        <v>71</v>
      </c>
      <c r="C347" s="2">
        <v>423</v>
      </c>
    </row>
    <row r="348" spans="1:3" x14ac:dyDescent="0.25">
      <c r="A348">
        <v>700</v>
      </c>
      <c r="B348">
        <v>8168</v>
      </c>
      <c r="C348" s="2">
        <v>1</v>
      </c>
    </row>
    <row r="349" spans="1:3" x14ac:dyDescent="0.25">
      <c r="B349">
        <v>8574</v>
      </c>
      <c r="C349" s="2">
        <v>1</v>
      </c>
    </row>
    <row r="350" spans="1:3" x14ac:dyDescent="0.25">
      <c r="A350" t="s">
        <v>72</v>
      </c>
      <c r="C350" s="2">
        <v>2</v>
      </c>
    </row>
    <row r="351" spans="1:3" x14ac:dyDescent="0.25">
      <c r="A351" t="s">
        <v>1</v>
      </c>
      <c r="B351" t="s">
        <v>1</v>
      </c>
      <c r="C351" s="2"/>
    </row>
    <row r="352" spans="1:3" x14ac:dyDescent="0.25">
      <c r="A352" t="s">
        <v>73</v>
      </c>
      <c r="C352" s="2"/>
    </row>
    <row r="353" spans="1:3" x14ac:dyDescent="0.25">
      <c r="A353" t="s">
        <v>2</v>
      </c>
      <c r="C353" s="2">
        <v>14607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"/>
  <sheetViews>
    <sheetView tabSelected="1" workbookViewId="0">
      <pane ySplit="2" topLeftCell="A3" activePane="bottomLeft" state="frozen"/>
      <selection pane="bottomLeft" activeCell="G1" sqref="G1:G1048576"/>
    </sheetView>
  </sheetViews>
  <sheetFormatPr defaultRowHeight="14.4" x14ac:dyDescent="0.3"/>
  <cols>
    <col min="2" max="2" width="11.6640625" customWidth="1"/>
    <col min="3" max="3" width="30.21875" bestFit="1" customWidth="1"/>
    <col min="4" max="4" width="10.109375" customWidth="1"/>
    <col min="5" max="5" width="9.21875" customWidth="1"/>
    <col min="6" max="6" width="13.5546875" customWidth="1"/>
    <col min="7" max="7" width="12.33203125" customWidth="1"/>
    <col min="8" max="8" width="13.109375" customWidth="1"/>
  </cols>
  <sheetData>
    <row r="1" spans="1:8" ht="15" x14ac:dyDescent="0.25">
      <c r="A1" s="14"/>
      <c r="B1" s="14"/>
      <c r="C1" s="14" t="s">
        <v>371</v>
      </c>
      <c r="D1" s="15" t="s">
        <v>372</v>
      </c>
      <c r="E1" s="15" t="s">
        <v>372</v>
      </c>
      <c r="F1" s="15" t="s">
        <v>77</v>
      </c>
      <c r="G1" s="15" t="s">
        <v>77</v>
      </c>
      <c r="H1" s="15" t="s">
        <v>373</v>
      </c>
    </row>
    <row r="2" spans="1:8" ht="15" x14ac:dyDescent="0.25">
      <c r="A2" s="11" t="s">
        <v>0</v>
      </c>
      <c r="B2" s="11" t="s">
        <v>75</v>
      </c>
      <c r="C2" s="11"/>
      <c r="D2" s="12" t="s">
        <v>369</v>
      </c>
      <c r="E2" s="13" t="s">
        <v>370</v>
      </c>
      <c r="F2" s="3" t="s">
        <v>374</v>
      </c>
      <c r="G2" s="3" t="s">
        <v>78</v>
      </c>
      <c r="H2" s="3" t="s">
        <v>79</v>
      </c>
    </row>
    <row r="3" spans="1:8" ht="15" x14ac:dyDescent="0.25">
      <c r="B3" t="s">
        <v>80</v>
      </c>
      <c r="C3" t="s">
        <v>375</v>
      </c>
      <c r="D3" s="2">
        <v>58</v>
      </c>
      <c r="E3" s="2">
        <v>439</v>
      </c>
      <c r="F3">
        <v>497</v>
      </c>
      <c r="G3">
        <v>47</v>
      </c>
      <c r="H3">
        <v>544</v>
      </c>
    </row>
    <row r="4" spans="1:8" ht="15" x14ac:dyDescent="0.25">
      <c r="B4" t="s">
        <v>81</v>
      </c>
      <c r="C4" t="s">
        <v>376</v>
      </c>
      <c r="D4" s="2">
        <v>350</v>
      </c>
      <c r="E4" s="2">
        <v>1637</v>
      </c>
      <c r="F4">
        <v>1987</v>
      </c>
      <c r="G4">
        <v>1504</v>
      </c>
      <c r="H4">
        <v>3457</v>
      </c>
    </row>
    <row r="5" spans="1:8" ht="15" x14ac:dyDescent="0.25">
      <c r="B5" t="s">
        <v>82</v>
      </c>
      <c r="C5" t="s">
        <v>377</v>
      </c>
      <c r="D5" s="2">
        <v>70</v>
      </c>
      <c r="E5" s="2">
        <v>248</v>
      </c>
      <c r="F5">
        <v>318</v>
      </c>
      <c r="G5">
        <v>41</v>
      </c>
      <c r="H5">
        <v>359</v>
      </c>
    </row>
    <row r="6" spans="1:8" ht="15" x14ac:dyDescent="0.25">
      <c r="B6" t="s">
        <v>83</v>
      </c>
      <c r="C6" t="s">
        <v>378</v>
      </c>
      <c r="D6" s="2">
        <v>139</v>
      </c>
      <c r="E6" s="2">
        <v>520</v>
      </c>
      <c r="F6">
        <v>659</v>
      </c>
      <c r="G6">
        <v>118</v>
      </c>
      <c r="H6">
        <v>773</v>
      </c>
    </row>
    <row r="7" spans="1:8" ht="15" x14ac:dyDescent="0.25">
      <c r="B7" t="s">
        <v>84</v>
      </c>
      <c r="C7" t="s">
        <v>379</v>
      </c>
      <c r="D7" s="2">
        <v>83</v>
      </c>
      <c r="E7" s="2">
        <v>389</v>
      </c>
      <c r="F7">
        <v>472</v>
      </c>
      <c r="G7">
        <v>202</v>
      </c>
      <c r="H7">
        <v>673</v>
      </c>
    </row>
    <row r="8" spans="1:8" ht="15" x14ac:dyDescent="0.25">
      <c r="B8" s="6" t="s">
        <v>85</v>
      </c>
      <c r="C8" s="6" t="s">
        <v>380</v>
      </c>
      <c r="D8" s="7">
        <v>530</v>
      </c>
      <c r="E8" s="7">
        <v>2666</v>
      </c>
      <c r="F8" s="6">
        <v>3196</v>
      </c>
      <c r="G8" s="6">
        <v>890</v>
      </c>
      <c r="H8" s="6">
        <v>4048</v>
      </c>
    </row>
    <row r="9" spans="1:8" ht="15" x14ac:dyDescent="0.25">
      <c r="B9" t="s">
        <v>86</v>
      </c>
      <c r="C9" t="s">
        <v>381</v>
      </c>
      <c r="D9" s="2">
        <v>28</v>
      </c>
      <c r="E9" s="2">
        <v>154</v>
      </c>
      <c r="F9">
        <v>182</v>
      </c>
      <c r="G9">
        <v>40</v>
      </c>
      <c r="H9">
        <v>221</v>
      </c>
    </row>
    <row r="10" spans="1:8" ht="15" x14ac:dyDescent="0.25">
      <c r="D10" s="2"/>
      <c r="E10" s="2"/>
    </row>
    <row r="11" spans="1:8" ht="15" x14ac:dyDescent="0.25">
      <c r="A11">
        <v>244</v>
      </c>
      <c r="B11" t="s">
        <v>87</v>
      </c>
      <c r="C11" t="s">
        <v>382</v>
      </c>
      <c r="D11" s="2">
        <v>15</v>
      </c>
      <c r="E11" s="2">
        <v>91</v>
      </c>
      <c r="F11">
        <v>106</v>
      </c>
      <c r="G11">
        <v>14</v>
      </c>
      <c r="H11">
        <v>120</v>
      </c>
    </row>
    <row r="12" spans="1:8" ht="15" x14ac:dyDescent="0.25">
      <c r="A12">
        <v>244</v>
      </c>
      <c r="B12" t="s">
        <v>88</v>
      </c>
      <c r="C12" t="s">
        <v>383</v>
      </c>
      <c r="D12" s="2">
        <v>27</v>
      </c>
      <c r="E12" s="2">
        <v>147</v>
      </c>
      <c r="F12">
        <v>174</v>
      </c>
      <c r="G12">
        <v>30</v>
      </c>
      <c r="H12">
        <v>204</v>
      </c>
    </row>
    <row r="13" spans="1:8" ht="15" x14ac:dyDescent="0.25">
      <c r="A13">
        <v>244</v>
      </c>
      <c r="B13" s="4" t="s">
        <v>89</v>
      </c>
      <c r="C13" s="4" t="s">
        <v>384</v>
      </c>
      <c r="D13" s="5">
        <v>6</v>
      </c>
      <c r="E13" s="5">
        <v>41</v>
      </c>
      <c r="F13" s="4">
        <v>47</v>
      </c>
      <c r="G13" s="4">
        <v>2</v>
      </c>
      <c r="H13" s="4">
        <v>49</v>
      </c>
    </row>
    <row r="14" spans="1:8" ht="15" x14ac:dyDescent="0.25">
      <c r="A14">
        <v>244</v>
      </c>
      <c r="B14" t="s">
        <v>368</v>
      </c>
      <c r="D14" s="2">
        <v>48</v>
      </c>
      <c r="E14" s="2">
        <v>279</v>
      </c>
      <c r="F14">
        <v>327</v>
      </c>
      <c r="G14">
        <v>46</v>
      </c>
      <c r="H14">
        <v>373</v>
      </c>
    </row>
    <row r="15" spans="1:8" ht="15" x14ac:dyDescent="0.25">
      <c r="D15" s="2"/>
      <c r="E15" s="2"/>
    </row>
    <row r="16" spans="1:8" ht="15" x14ac:dyDescent="0.25">
      <c r="A16">
        <v>253</v>
      </c>
      <c r="B16" t="s">
        <v>90</v>
      </c>
      <c r="C16" t="s">
        <v>385</v>
      </c>
      <c r="D16" s="2">
        <v>13</v>
      </c>
      <c r="E16" s="2">
        <v>57</v>
      </c>
      <c r="F16">
        <v>70</v>
      </c>
      <c r="G16">
        <v>19</v>
      </c>
      <c r="H16">
        <v>89</v>
      </c>
    </row>
    <row r="17" spans="1:8" ht="15" x14ac:dyDescent="0.25">
      <c r="A17">
        <v>253</v>
      </c>
      <c r="B17" t="s">
        <v>91</v>
      </c>
      <c r="C17" t="s">
        <v>386</v>
      </c>
      <c r="D17" s="2">
        <v>14</v>
      </c>
      <c r="E17" s="2">
        <v>76</v>
      </c>
      <c r="F17">
        <v>90</v>
      </c>
      <c r="G17">
        <v>18</v>
      </c>
      <c r="H17">
        <v>107</v>
      </c>
    </row>
    <row r="18" spans="1:8" ht="15" x14ac:dyDescent="0.25">
      <c r="A18">
        <v>253</v>
      </c>
      <c r="B18" t="s">
        <v>92</v>
      </c>
      <c r="C18" t="s">
        <v>387</v>
      </c>
      <c r="D18" s="2">
        <v>90</v>
      </c>
      <c r="E18" s="2">
        <v>473</v>
      </c>
      <c r="F18">
        <v>563</v>
      </c>
      <c r="G18">
        <v>209</v>
      </c>
      <c r="H18">
        <v>772</v>
      </c>
    </row>
    <row r="19" spans="1:8" ht="15" x14ac:dyDescent="0.25">
      <c r="A19">
        <v>253</v>
      </c>
      <c r="B19" t="s">
        <v>93</v>
      </c>
      <c r="C19" t="s">
        <v>388</v>
      </c>
      <c r="D19" s="2">
        <v>3</v>
      </c>
      <c r="E19" s="2">
        <v>60</v>
      </c>
      <c r="F19">
        <v>63</v>
      </c>
      <c r="G19">
        <v>11</v>
      </c>
      <c r="H19">
        <v>74</v>
      </c>
    </row>
    <row r="20" spans="1:8" ht="15" x14ac:dyDescent="0.25">
      <c r="A20">
        <v>253</v>
      </c>
      <c r="B20" t="s">
        <v>94</v>
      </c>
      <c r="C20" t="s">
        <v>389</v>
      </c>
      <c r="D20" s="2">
        <v>6</v>
      </c>
      <c r="E20" s="2">
        <v>42</v>
      </c>
      <c r="F20">
        <v>48</v>
      </c>
      <c r="G20">
        <v>4</v>
      </c>
      <c r="H20">
        <v>52</v>
      </c>
    </row>
    <row r="21" spans="1:8" ht="15" x14ac:dyDescent="0.25">
      <c r="A21">
        <v>253</v>
      </c>
      <c r="B21" t="s">
        <v>95</v>
      </c>
      <c r="C21" t="s">
        <v>390</v>
      </c>
      <c r="E21" s="2">
        <v>23</v>
      </c>
      <c r="F21">
        <v>23</v>
      </c>
      <c r="G21">
        <v>1</v>
      </c>
      <c r="H21">
        <v>24</v>
      </c>
    </row>
    <row r="22" spans="1:8" ht="15" x14ac:dyDescent="0.25">
      <c r="A22">
        <v>253</v>
      </c>
      <c r="B22" s="4" t="s">
        <v>96</v>
      </c>
      <c r="C22" s="4" t="s">
        <v>391</v>
      </c>
      <c r="D22" s="5">
        <v>5</v>
      </c>
      <c r="E22" s="5">
        <v>94</v>
      </c>
      <c r="F22" s="4">
        <v>99</v>
      </c>
      <c r="G22" s="4">
        <v>13</v>
      </c>
      <c r="H22" s="4">
        <v>110</v>
      </c>
    </row>
    <row r="23" spans="1:8" ht="15" x14ac:dyDescent="0.25">
      <c r="A23">
        <v>253</v>
      </c>
      <c r="B23" t="s">
        <v>368</v>
      </c>
      <c r="D23" s="2">
        <v>131</v>
      </c>
      <c r="E23" s="2">
        <v>825</v>
      </c>
      <c r="F23">
        <v>956</v>
      </c>
      <c r="G23">
        <v>275</v>
      </c>
      <c r="H23">
        <v>1228</v>
      </c>
    </row>
    <row r="24" spans="1:8" ht="15" x14ac:dyDescent="0.25">
      <c r="D24" s="2"/>
      <c r="E24" s="2"/>
    </row>
    <row r="25" spans="1:8" ht="15" x14ac:dyDescent="0.25">
      <c r="B25" t="s">
        <v>97</v>
      </c>
      <c r="C25" t="s">
        <v>392</v>
      </c>
      <c r="D25" s="2">
        <v>719</v>
      </c>
      <c r="E25" s="2">
        <v>5818</v>
      </c>
      <c r="F25">
        <v>6537</v>
      </c>
      <c r="G25">
        <v>1275</v>
      </c>
      <c r="H25">
        <v>7768</v>
      </c>
    </row>
    <row r="26" spans="1:8" ht="15" x14ac:dyDescent="0.25">
      <c r="D26" s="2"/>
      <c r="E26" s="2"/>
    </row>
    <row r="27" spans="1:8" ht="15" x14ac:dyDescent="0.25">
      <c r="B27" t="s">
        <v>98</v>
      </c>
      <c r="C27" t="s">
        <v>393</v>
      </c>
      <c r="D27" s="2">
        <v>161</v>
      </c>
      <c r="E27" s="2">
        <v>827</v>
      </c>
      <c r="F27">
        <v>988</v>
      </c>
      <c r="G27">
        <v>309</v>
      </c>
      <c r="H27">
        <v>1282</v>
      </c>
    </row>
    <row r="28" spans="1:8" ht="15" x14ac:dyDescent="0.25">
      <c r="D28" s="2"/>
      <c r="E28" s="2"/>
    </row>
    <row r="29" spans="1:8" ht="15" x14ac:dyDescent="0.25">
      <c r="B29" t="s">
        <v>99</v>
      </c>
      <c r="C29" t="s">
        <v>394</v>
      </c>
      <c r="D29" s="2">
        <v>138</v>
      </c>
      <c r="E29" s="2">
        <v>645</v>
      </c>
      <c r="F29">
        <v>783</v>
      </c>
      <c r="G29">
        <v>167</v>
      </c>
      <c r="H29">
        <v>945</v>
      </c>
    </row>
    <row r="30" spans="1:8" ht="15" x14ac:dyDescent="0.25">
      <c r="D30" s="2"/>
      <c r="E30" s="2"/>
    </row>
    <row r="31" spans="1:8" ht="15" x14ac:dyDescent="0.25">
      <c r="B31" t="s">
        <v>100</v>
      </c>
      <c r="C31" t="s">
        <v>395</v>
      </c>
      <c r="D31" s="2">
        <v>69</v>
      </c>
      <c r="E31" s="2">
        <v>195</v>
      </c>
      <c r="F31">
        <v>264</v>
      </c>
      <c r="G31">
        <v>30</v>
      </c>
      <c r="H31">
        <v>292</v>
      </c>
    </row>
    <row r="32" spans="1:8" ht="15" x14ac:dyDescent="0.25">
      <c r="D32" s="2"/>
      <c r="E32" s="2"/>
    </row>
    <row r="33" spans="1:8" ht="15" x14ac:dyDescent="0.25">
      <c r="A33">
        <v>273</v>
      </c>
      <c r="B33" t="s">
        <v>101</v>
      </c>
      <c r="C33" t="s">
        <v>396</v>
      </c>
      <c r="D33" s="2">
        <v>11</v>
      </c>
      <c r="E33" s="2">
        <v>32</v>
      </c>
      <c r="F33">
        <v>43</v>
      </c>
      <c r="G33">
        <v>15</v>
      </c>
      <c r="H33">
        <v>58</v>
      </c>
    </row>
    <row r="34" spans="1:8" ht="15" x14ac:dyDescent="0.25">
      <c r="A34">
        <v>273</v>
      </c>
      <c r="B34" t="s">
        <v>102</v>
      </c>
      <c r="C34" t="s">
        <v>397</v>
      </c>
      <c r="D34" s="2">
        <v>16</v>
      </c>
      <c r="E34" s="2">
        <v>57</v>
      </c>
      <c r="F34">
        <v>73</v>
      </c>
      <c r="G34">
        <v>12</v>
      </c>
      <c r="H34">
        <v>85</v>
      </c>
    </row>
    <row r="35" spans="1:8" ht="15" x14ac:dyDescent="0.25">
      <c r="A35">
        <v>273</v>
      </c>
      <c r="B35" t="s">
        <v>103</v>
      </c>
      <c r="C35" t="s">
        <v>398</v>
      </c>
      <c r="D35" s="2">
        <v>32</v>
      </c>
      <c r="E35" s="2">
        <v>110</v>
      </c>
      <c r="F35">
        <v>142</v>
      </c>
      <c r="G35">
        <v>19</v>
      </c>
      <c r="H35">
        <v>161</v>
      </c>
    </row>
    <row r="36" spans="1:8" ht="15" x14ac:dyDescent="0.25">
      <c r="A36">
        <v>273</v>
      </c>
      <c r="B36" t="s">
        <v>104</v>
      </c>
      <c r="C36" t="s">
        <v>399</v>
      </c>
      <c r="D36" s="2">
        <v>11</v>
      </c>
      <c r="E36" s="2">
        <v>48</v>
      </c>
      <c r="F36">
        <v>59</v>
      </c>
      <c r="G36">
        <v>3</v>
      </c>
      <c r="H36">
        <v>62</v>
      </c>
    </row>
    <row r="37" spans="1:8" ht="15" x14ac:dyDescent="0.25">
      <c r="A37">
        <v>273</v>
      </c>
      <c r="B37" s="4" t="s">
        <v>105</v>
      </c>
      <c r="C37" s="4" t="s">
        <v>400</v>
      </c>
      <c r="D37" s="5">
        <v>5</v>
      </c>
      <c r="E37" s="5">
        <v>37</v>
      </c>
      <c r="F37" s="4">
        <v>42</v>
      </c>
      <c r="G37" s="4">
        <v>8</v>
      </c>
      <c r="H37" s="4">
        <v>49</v>
      </c>
    </row>
    <row r="38" spans="1:8" ht="15" x14ac:dyDescent="0.25">
      <c r="A38">
        <v>273</v>
      </c>
      <c r="B38" t="s">
        <v>368</v>
      </c>
      <c r="D38" s="2">
        <v>75</v>
      </c>
      <c r="E38" s="2">
        <v>284</v>
      </c>
      <c r="F38">
        <v>359</v>
      </c>
      <c r="G38">
        <v>57</v>
      </c>
      <c r="H38">
        <v>415</v>
      </c>
    </row>
    <row r="39" spans="1:8" ht="15" x14ac:dyDescent="0.25">
      <c r="D39" s="2"/>
      <c r="E39" s="2"/>
    </row>
    <row r="40" spans="1:8" ht="15" x14ac:dyDescent="0.25">
      <c r="A40">
        <v>282</v>
      </c>
      <c r="B40" t="s">
        <v>106</v>
      </c>
      <c r="C40" t="s">
        <v>401</v>
      </c>
      <c r="D40" s="2">
        <v>18</v>
      </c>
      <c r="E40" s="2">
        <v>57</v>
      </c>
      <c r="F40">
        <v>75</v>
      </c>
      <c r="G40">
        <v>3</v>
      </c>
      <c r="H40">
        <v>78</v>
      </c>
    </row>
    <row r="41" spans="1:8" ht="15" x14ac:dyDescent="0.25">
      <c r="A41">
        <v>282</v>
      </c>
      <c r="B41" t="s">
        <v>107</v>
      </c>
      <c r="C41" t="s">
        <v>402</v>
      </c>
      <c r="D41" s="2">
        <v>8</v>
      </c>
      <c r="E41" s="2">
        <v>39</v>
      </c>
      <c r="F41">
        <v>47</v>
      </c>
      <c r="G41">
        <v>0</v>
      </c>
      <c r="H41">
        <v>47</v>
      </c>
    </row>
    <row r="42" spans="1:8" ht="15" x14ac:dyDescent="0.25">
      <c r="A42">
        <v>282</v>
      </c>
      <c r="B42" s="4" t="s">
        <v>108</v>
      </c>
      <c r="C42" s="4" t="s">
        <v>403</v>
      </c>
      <c r="D42" s="5">
        <v>7</v>
      </c>
      <c r="E42" s="5">
        <v>54</v>
      </c>
      <c r="F42" s="4">
        <v>61</v>
      </c>
      <c r="G42" s="4">
        <v>3</v>
      </c>
      <c r="H42" s="4">
        <v>64</v>
      </c>
    </row>
    <row r="43" spans="1:8" ht="15" x14ac:dyDescent="0.25">
      <c r="A43">
        <v>282</v>
      </c>
      <c r="B43" t="s">
        <v>368</v>
      </c>
      <c r="D43" s="2">
        <v>33</v>
      </c>
      <c r="E43" s="2">
        <v>150</v>
      </c>
      <c r="F43">
        <v>183</v>
      </c>
      <c r="G43">
        <v>6</v>
      </c>
      <c r="H43">
        <v>189</v>
      </c>
    </row>
    <row r="44" spans="1:8" ht="15" x14ac:dyDescent="0.25">
      <c r="D44" s="2"/>
      <c r="E44" s="2"/>
    </row>
    <row r="45" spans="1:8" ht="15" x14ac:dyDescent="0.25">
      <c r="B45" t="s">
        <v>109</v>
      </c>
      <c r="C45" t="s">
        <v>404</v>
      </c>
      <c r="D45" s="2">
        <v>43</v>
      </c>
      <c r="E45" s="2">
        <v>282</v>
      </c>
      <c r="F45">
        <v>325</v>
      </c>
      <c r="G45">
        <v>52</v>
      </c>
      <c r="H45">
        <v>377</v>
      </c>
    </row>
    <row r="46" spans="1:8" ht="15" x14ac:dyDescent="0.25">
      <c r="D46" s="2"/>
      <c r="E46" s="2"/>
    </row>
    <row r="47" spans="1:8" ht="15" x14ac:dyDescent="0.25">
      <c r="A47">
        <v>305</v>
      </c>
      <c r="B47" t="s">
        <v>110</v>
      </c>
      <c r="C47" t="s">
        <v>411</v>
      </c>
      <c r="D47" s="2">
        <v>11</v>
      </c>
      <c r="E47" s="2">
        <v>52</v>
      </c>
      <c r="F47">
        <v>63</v>
      </c>
      <c r="G47">
        <v>2</v>
      </c>
      <c r="H47">
        <v>65</v>
      </c>
    </row>
    <row r="48" spans="1:8" ht="15" x14ac:dyDescent="0.25">
      <c r="A48">
        <v>305</v>
      </c>
      <c r="B48" t="s">
        <v>111</v>
      </c>
      <c r="C48" t="s">
        <v>405</v>
      </c>
      <c r="D48" s="2">
        <v>16</v>
      </c>
      <c r="E48" s="2">
        <v>107</v>
      </c>
      <c r="F48">
        <v>123</v>
      </c>
      <c r="G48">
        <v>29</v>
      </c>
      <c r="H48">
        <v>152</v>
      </c>
    </row>
    <row r="49" spans="1:8" ht="15" x14ac:dyDescent="0.25">
      <c r="A49">
        <v>305</v>
      </c>
      <c r="B49" t="s">
        <v>112</v>
      </c>
      <c r="C49" t="s">
        <v>406</v>
      </c>
      <c r="D49" s="2">
        <v>13</v>
      </c>
      <c r="E49" s="2">
        <v>74</v>
      </c>
      <c r="F49">
        <v>87</v>
      </c>
      <c r="G49">
        <v>22</v>
      </c>
      <c r="H49">
        <v>109</v>
      </c>
    </row>
    <row r="50" spans="1:8" ht="15" x14ac:dyDescent="0.25">
      <c r="A50">
        <v>305</v>
      </c>
      <c r="B50" t="s">
        <v>113</v>
      </c>
      <c r="C50" t="s">
        <v>407</v>
      </c>
      <c r="D50" s="2">
        <v>172</v>
      </c>
      <c r="E50" s="2">
        <v>1015</v>
      </c>
      <c r="F50">
        <v>1187</v>
      </c>
      <c r="G50">
        <v>340</v>
      </c>
      <c r="H50">
        <v>1522</v>
      </c>
    </row>
    <row r="51" spans="1:8" ht="15" x14ac:dyDescent="0.25">
      <c r="A51">
        <v>305</v>
      </c>
      <c r="B51" t="s">
        <v>114</v>
      </c>
      <c r="C51" t="s">
        <v>408</v>
      </c>
      <c r="D51" s="2">
        <v>7</v>
      </c>
      <c r="E51" s="2">
        <v>77</v>
      </c>
      <c r="F51">
        <v>84</v>
      </c>
      <c r="G51">
        <v>29</v>
      </c>
      <c r="H51">
        <v>110</v>
      </c>
    </row>
    <row r="52" spans="1:8" ht="15" x14ac:dyDescent="0.25">
      <c r="A52">
        <v>305</v>
      </c>
      <c r="B52" t="s">
        <v>115</v>
      </c>
      <c r="C52" t="s">
        <v>409</v>
      </c>
      <c r="D52" s="2">
        <v>5</v>
      </c>
      <c r="E52" s="2">
        <v>59</v>
      </c>
      <c r="F52">
        <v>64</v>
      </c>
      <c r="G52">
        <v>17</v>
      </c>
      <c r="H52">
        <v>80</v>
      </c>
    </row>
    <row r="53" spans="1:8" ht="15" x14ac:dyDescent="0.25">
      <c r="A53">
        <v>305</v>
      </c>
      <c r="B53" t="s">
        <v>116</v>
      </c>
      <c r="C53" t="s">
        <v>410</v>
      </c>
      <c r="D53" s="2">
        <v>13</v>
      </c>
      <c r="E53" s="2">
        <v>92</v>
      </c>
      <c r="F53">
        <v>105</v>
      </c>
      <c r="G53">
        <v>5</v>
      </c>
      <c r="H53">
        <v>110</v>
      </c>
    </row>
    <row r="54" spans="1:8" ht="15" x14ac:dyDescent="0.25">
      <c r="A54">
        <v>305</v>
      </c>
      <c r="B54" t="s">
        <v>117</v>
      </c>
      <c r="C54" t="s">
        <v>412</v>
      </c>
      <c r="D54" s="2">
        <v>6</v>
      </c>
      <c r="E54" s="2">
        <v>43</v>
      </c>
      <c r="F54">
        <v>49</v>
      </c>
      <c r="G54">
        <v>11</v>
      </c>
      <c r="H54">
        <v>60</v>
      </c>
    </row>
    <row r="55" spans="1:8" ht="15" x14ac:dyDescent="0.25">
      <c r="A55">
        <v>305</v>
      </c>
      <c r="B55" t="s">
        <v>118</v>
      </c>
      <c r="C55" t="s">
        <v>413</v>
      </c>
      <c r="D55" s="2">
        <v>33</v>
      </c>
      <c r="E55" s="2">
        <v>253</v>
      </c>
      <c r="F55">
        <v>286</v>
      </c>
      <c r="G55">
        <v>49</v>
      </c>
      <c r="H55">
        <v>334</v>
      </c>
    </row>
    <row r="56" spans="1:8" ht="15" x14ac:dyDescent="0.25">
      <c r="A56">
        <v>305</v>
      </c>
      <c r="B56" t="s">
        <v>119</v>
      </c>
      <c r="C56" t="s">
        <v>414</v>
      </c>
      <c r="D56" s="2">
        <v>19</v>
      </c>
      <c r="E56" s="2">
        <v>146</v>
      </c>
      <c r="F56">
        <v>165</v>
      </c>
      <c r="G56">
        <v>23</v>
      </c>
      <c r="H56">
        <v>188</v>
      </c>
    </row>
    <row r="57" spans="1:8" ht="15" x14ac:dyDescent="0.25">
      <c r="A57">
        <v>305</v>
      </c>
      <c r="B57" t="s">
        <v>120</v>
      </c>
      <c r="C57" t="s">
        <v>415</v>
      </c>
      <c r="D57" s="2">
        <v>8</v>
      </c>
      <c r="E57" s="2">
        <v>60</v>
      </c>
      <c r="F57">
        <v>68</v>
      </c>
      <c r="G57">
        <v>7</v>
      </c>
      <c r="H57">
        <v>75</v>
      </c>
    </row>
    <row r="58" spans="1:8" ht="15" x14ac:dyDescent="0.25">
      <c r="A58">
        <v>305</v>
      </c>
      <c r="B58" s="4" t="s">
        <v>121</v>
      </c>
      <c r="C58" s="4" t="s">
        <v>416</v>
      </c>
      <c r="D58" s="5">
        <v>15</v>
      </c>
      <c r="E58" s="5">
        <v>74</v>
      </c>
      <c r="F58" s="4">
        <v>89</v>
      </c>
      <c r="G58" s="4">
        <v>18</v>
      </c>
      <c r="H58" s="4">
        <v>107</v>
      </c>
    </row>
    <row r="59" spans="1:8" ht="15" x14ac:dyDescent="0.25">
      <c r="A59">
        <v>305</v>
      </c>
      <c r="B59" t="s">
        <v>368</v>
      </c>
      <c r="D59" s="2">
        <v>318</v>
      </c>
      <c r="E59" s="2">
        <v>2052</v>
      </c>
      <c r="F59">
        <v>2370</v>
      </c>
      <c r="G59">
        <v>552</v>
      </c>
      <c r="H59">
        <v>2912</v>
      </c>
    </row>
    <row r="60" spans="1:8" ht="15" x14ac:dyDescent="0.25">
      <c r="D60" s="2"/>
      <c r="E60" s="2"/>
    </row>
    <row r="61" spans="1:8" ht="15" x14ac:dyDescent="0.25">
      <c r="B61" t="s">
        <v>122</v>
      </c>
      <c r="C61" t="s">
        <v>417</v>
      </c>
      <c r="D61" s="2">
        <v>168</v>
      </c>
      <c r="E61" s="2">
        <v>704</v>
      </c>
      <c r="F61">
        <v>872</v>
      </c>
      <c r="G61">
        <v>78</v>
      </c>
      <c r="H61">
        <v>948</v>
      </c>
    </row>
    <row r="62" spans="1:8" ht="15" x14ac:dyDescent="0.25">
      <c r="D62" s="2"/>
      <c r="E62" s="2"/>
    </row>
    <row r="63" spans="1:8" ht="15" x14ac:dyDescent="0.25">
      <c r="A63">
        <v>320</v>
      </c>
      <c r="B63" t="s">
        <v>123</v>
      </c>
      <c r="C63" t="s">
        <v>418</v>
      </c>
      <c r="D63" s="2">
        <v>47</v>
      </c>
      <c r="E63" s="2">
        <v>172</v>
      </c>
      <c r="F63">
        <v>219</v>
      </c>
      <c r="G63">
        <v>51</v>
      </c>
      <c r="H63">
        <v>269</v>
      </c>
    </row>
    <row r="64" spans="1:8" ht="15" x14ac:dyDescent="0.25">
      <c r="A64">
        <v>320</v>
      </c>
      <c r="B64" t="s">
        <v>124</v>
      </c>
      <c r="C64" t="s">
        <v>419</v>
      </c>
      <c r="D64" s="2">
        <v>22</v>
      </c>
      <c r="E64" s="2">
        <v>94</v>
      </c>
      <c r="F64">
        <v>116</v>
      </c>
      <c r="G64">
        <v>16</v>
      </c>
      <c r="H64">
        <v>132</v>
      </c>
    </row>
    <row r="65" spans="1:8" ht="15" x14ac:dyDescent="0.25">
      <c r="A65">
        <v>320</v>
      </c>
      <c r="B65" s="4" t="s">
        <v>125</v>
      </c>
      <c r="C65" s="4" t="s">
        <v>420</v>
      </c>
      <c r="D65" s="5">
        <v>23</v>
      </c>
      <c r="E65" s="5">
        <v>68</v>
      </c>
      <c r="F65" s="4">
        <v>91</v>
      </c>
      <c r="G65" s="4">
        <v>7</v>
      </c>
      <c r="H65" s="4">
        <v>97</v>
      </c>
    </row>
    <row r="66" spans="1:8" ht="15" x14ac:dyDescent="0.25">
      <c r="A66">
        <v>320</v>
      </c>
      <c r="B66" t="s">
        <v>368</v>
      </c>
      <c r="D66" s="2">
        <v>92</v>
      </c>
      <c r="E66" s="2">
        <v>334</v>
      </c>
      <c r="F66">
        <v>426</v>
      </c>
      <c r="G66">
        <v>74</v>
      </c>
      <c r="H66">
        <v>498</v>
      </c>
    </row>
    <row r="67" spans="1:8" ht="15" x14ac:dyDescent="0.25">
      <c r="D67" s="2"/>
      <c r="E67" s="2"/>
    </row>
    <row r="68" spans="1:8" ht="15" x14ac:dyDescent="0.25">
      <c r="B68" t="s">
        <v>126</v>
      </c>
      <c r="C68" t="s">
        <v>421</v>
      </c>
      <c r="D68" s="2">
        <v>49</v>
      </c>
      <c r="E68" s="2">
        <v>190</v>
      </c>
      <c r="F68">
        <v>239</v>
      </c>
      <c r="G68">
        <v>33</v>
      </c>
      <c r="H68">
        <v>271</v>
      </c>
    </row>
    <row r="69" spans="1:8" ht="15" x14ac:dyDescent="0.25">
      <c r="D69" s="2"/>
      <c r="E69" s="2"/>
    </row>
    <row r="70" spans="1:8" ht="15" x14ac:dyDescent="0.25">
      <c r="B70" t="s">
        <v>127</v>
      </c>
      <c r="C70" t="s">
        <v>422</v>
      </c>
      <c r="D70" s="2">
        <v>18</v>
      </c>
      <c r="E70" s="2">
        <v>81</v>
      </c>
      <c r="F70">
        <v>99</v>
      </c>
      <c r="G70">
        <v>4</v>
      </c>
      <c r="H70">
        <v>103</v>
      </c>
    </row>
    <row r="71" spans="1:8" ht="15" x14ac:dyDescent="0.25">
      <c r="D71" s="2"/>
      <c r="E71" s="2"/>
    </row>
    <row r="72" spans="1:8" ht="15" x14ac:dyDescent="0.25">
      <c r="A72">
        <v>333</v>
      </c>
      <c r="B72" t="s">
        <v>128</v>
      </c>
      <c r="C72" t="s">
        <v>423</v>
      </c>
      <c r="D72" s="2">
        <v>16</v>
      </c>
      <c r="E72" s="2">
        <v>61</v>
      </c>
      <c r="F72">
        <v>77</v>
      </c>
      <c r="G72">
        <v>14</v>
      </c>
      <c r="H72">
        <v>90</v>
      </c>
    </row>
    <row r="73" spans="1:8" ht="15" x14ac:dyDescent="0.25">
      <c r="A73">
        <v>333</v>
      </c>
      <c r="B73" t="s">
        <v>129</v>
      </c>
      <c r="C73" t="s">
        <v>424</v>
      </c>
      <c r="D73" s="2">
        <v>24</v>
      </c>
      <c r="E73" s="2">
        <v>93</v>
      </c>
      <c r="F73">
        <v>117</v>
      </c>
      <c r="G73">
        <v>24</v>
      </c>
      <c r="H73">
        <v>140</v>
      </c>
    </row>
    <row r="74" spans="1:8" ht="15" x14ac:dyDescent="0.25">
      <c r="A74">
        <v>333</v>
      </c>
      <c r="B74" t="s">
        <v>130</v>
      </c>
      <c r="C74" t="s">
        <v>425</v>
      </c>
      <c r="D74" s="2">
        <v>13</v>
      </c>
      <c r="E74" s="2">
        <v>48</v>
      </c>
      <c r="F74">
        <v>61</v>
      </c>
      <c r="G74">
        <v>13</v>
      </c>
      <c r="H74">
        <v>73</v>
      </c>
    </row>
    <row r="75" spans="1:8" ht="15" x14ac:dyDescent="0.25">
      <c r="A75">
        <v>333</v>
      </c>
      <c r="B75" t="s">
        <v>131</v>
      </c>
      <c r="C75" t="s">
        <v>426</v>
      </c>
      <c r="D75" s="2">
        <v>27</v>
      </c>
      <c r="E75" s="2">
        <v>162</v>
      </c>
      <c r="F75">
        <v>189</v>
      </c>
      <c r="G75">
        <v>49</v>
      </c>
      <c r="H75">
        <v>236</v>
      </c>
    </row>
    <row r="76" spans="1:8" ht="15" x14ac:dyDescent="0.25">
      <c r="A76">
        <v>333</v>
      </c>
      <c r="B76" s="4" t="s">
        <v>132</v>
      </c>
      <c r="C76" s="4" t="s">
        <v>427</v>
      </c>
      <c r="D76" s="5">
        <v>9</v>
      </c>
      <c r="E76" s="5">
        <v>53</v>
      </c>
      <c r="F76" s="4">
        <v>62</v>
      </c>
      <c r="G76" s="4">
        <v>8</v>
      </c>
      <c r="H76" s="4">
        <v>69</v>
      </c>
    </row>
    <row r="77" spans="1:8" ht="15" x14ac:dyDescent="0.25">
      <c r="A77">
        <v>333</v>
      </c>
      <c r="B77" t="s">
        <v>368</v>
      </c>
      <c r="D77" s="2">
        <v>89</v>
      </c>
      <c r="E77" s="2">
        <v>417</v>
      </c>
      <c r="F77">
        <v>506</v>
      </c>
      <c r="G77">
        <v>108</v>
      </c>
      <c r="H77">
        <v>608</v>
      </c>
    </row>
    <row r="78" spans="1:8" ht="15" x14ac:dyDescent="0.25">
      <c r="D78" s="2"/>
      <c r="E78" s="2"/>
    </row>
    <row r="79" spans="1:8" ht="15" x14ac:dyDescent="0.25">
      <c r="A79">
        <v>336</v>
      </c>
      <c r="B79" t="s">
        <v>133</v>
      </c>
      <c r="C79" t="s">
        <v>432</v>
      </c>
      <c r="D79" s="2">
        <v>17</v>
      </c>
      <c r="E79" s="2">
        <v>110</v>
      </c>
      <c r="F79">
        <v>127</v>
      </c>
      <c r="G79">
        <v>25</v>
      </c>
      <c r="H79">
        <v>151</v>
      </c>
    </row>
    <row r="80" spans="1:8" ht="15" x14ac:dyDescent="0.25">
      <c r="A80">
        <v>336</v>
      </c>
      <c r="B80" t="s">
        <v>134</v>
      </c>
      <c r="C80" t="s">
        <v>428</v>
      </c>
      <c r="D80" s="2">
        <v>10</v>
      </c>
      <c r="E80" s="2">
        <v>58</v>
      </c>
      <c r="F80">
        <v>68</v>
      </c>
      <c r="G80">
        <v>1</v>
      </c>
      <c r="H80">
        <v>69</v>
      </c>
    </row>
    <row r="81" spans="1:8" ht="15" x14ac:dyDescent="0.25">
      <c r="A81">
        <v>336</v>
      </c>
      <c r="B81" t="s">
        <v>135</v>
      </c>
      <c r="C81" t="s">
        <v>429</v>
      </c>
      <c r="D81" s="2">
        <v>19</v>
      </c>
      <c r="E81" s="2">
        <v>56</v>
      </c>
      <c r="F81">
        <v>75</v>
      </c>
      <c r="G81">
        <v>6</v>
      </c>
      <c r="H81">
        <v>81</v>
      </c>
    </row>
    <row r="82" spans="1:8" ht="15" x14ac:dyDescent="0.25">
      <c r="A82">
        <v>336</v>
      </c>
      <c r="B82" t="s">
        <v>136</v>
      </c>
      <c r="C82" t="s">
        <v>430</v>
      </c>
      <c r="D82" s="2">
        <v>18</v>
      </c>
      <c r="E82" s="2">
        <v>102</v>
      </c>
      <c r="F82">
        <v>120</v>
      </c>
      <c r="G82">
        <v>17</v>
      </c>
      <c r="H82">
        <v>137</v>
      </c>
    </row>
    <row r="83" spans="1:8" ht="15" x14ac:dyDescent="0.25">
      <c r="A83">
        <v>336</v>
      </c>
      <c r="B83" s="4" t="s">
        <v>137</v>
      </c>
      <c r="C83" s="4" t="s">
        <v>431</v>
      </c>
      <c r="D83" s="5">
        <v>6</v>
      </c>
      <c r="E83" s="5">
        <v>112</v>
      </c>
      <c r="F83" s="4">
        <v>118</v>
      </c>
      <c r="G83" s="4">
        <v>19</v>
      </c>
      <c r="H83" s="4">
        <v>137</v>
      </c>
    </row>
    <row r="84" spans="1:8" ht="15" x14ac:dyDescent="0.25">
      <c r="A84">
        <v>336</v>
      </c>
      <c r="B84" t="s">
        <v>368</v>
      </c>
      <c r="D84" s="2">
        <v>70</v>
      </c>
      <c r="E84" s="2">
        <v>438</v>
      </c>
      <c r="F84">
        <v>508</v>
      </c>
      <c r="G84">
        <v>68</v>
      </c>
      <c r="H84">
        <v>575</v>
      </c>
    </row>
    <row r="85" spans="1:8" ht="15" x14ac:dyDescent="0.25">
      <c r="D85" s="2"/>
      <c r="E85" s="2"/>
    </row>
    <row r="86" spans="1:8" ht="15" x14ac:dyDescent="0.25">
      <c r="B86" t="s">
        <v>137</v>
      </c>
      <c r="C86" t="s">
        <v>433</v>
      </c>
      <c r="D86" s="2">
        <v>16</v>
      </c>
      <c r="E86" s="2">
        <v>0</v>
      </c>
      <c r="F86">
        <v>16</v>
      </c>
      <c r="G86">
        <v>0</v>
      </c>
      <c r="H86">
        <v>16</v>
      </c>
    </row>
    <row r="87" spans="1:8" ht="15" x14ac:dyDescent="0.25">
      <c r="D87" s="2"/>
    </row>
    <row r="88" spans="1:8" ht="15" x14ac:dyDescent="0.25">
      <c r="B88" t="s">
        <v>138</v>
      </c>
      <c r="C88" t="s">
        <v>434</v>
      </c>
      <c r="D88" s="2">
        <v>110</v>
      </c>
      <c r="E88" s="2">
        <v>430</v>
      </c>
      <c r="F88">
        <v>540</v>
      </c>
      <c r="G88">
        <v>127</v>
      </c>
      <c r="H88">
        <v>663</v>
      </c>
    </row>
    <row r="89" spans="1:8" ht="15" x14ac:dyDescent="0.25">
      <c r="D89" s="2"/>
      <c r="E89" s="2"/>
    </row>
    <row r="90" spans="1:8" ht="15" x14ac:dyDescent="0.25">
      <c r="B90" t="s">
        <v>139</v>
      </c>
      <c r="C90" t="s">
        <v>435</v>
      </c>
      <c r="D90" s="2">
        <v>54</v>
      </c>
      <c r="E90" s="2">
        <v>344</v>
      </c>
      <c r="F90">
        <v>398</v>
      </c>
      <c r="G90">
        <v>34</v>
      </c>
      <c r="H90">
        <v>430</v>
      </c>
    </row>
    <row r="91" spans="1:8" ht="15" x14ac:dyDescent="0.25">
      <c r="D91" s="2"/>
      <c r="E91" s="2"/>
    </row>
    <row r="92" spans="1:8" ht="15" x14ac:dyDescent="0.25">
      <c r="A92">
        <v>364</v>
      </c>
      <c r="B92" t="s">
        <v>140</v>
      </c>
      <c r="C92" t="s">
        <v>436</v>
      </c>
      <c r="D92" s="2">
        <v>17</v>
      </c>
      <c r="E92" s="2">
        <v>110</v>
      </c>
      <c r="F92">
        <v>127</v>
      </c>
      <c r="G92">
        <v>65</v>
      </c>
      <c r="H92">
        <v>192</v>
      </c>
    </row>
    <row r="93" spans="1:8" ht="15" x14ac:dyDescent="0.25">
      <c r="A93">
        <v>364</v>
      </c>
      <c r="B93" s="4" t="s">
        <v>141</v>
      </c>
      <c r="C93" s="4" t="s">
        <v>437</v>
      </c>
      <c r="D93" s="5">
        <v>12</v>
      </c>
      <c r="E93" s="5">
        <v>55</v>
      </c>
      <c r="F93" s="4">
        <v>67</v>
      </c>
      <c r="G93" s="4">
        <v>13</v>
      </c>
      <c r="H93" s="4">
        <v>80</v>
      </c>
    </row>
    <row r="94" spans="1:8" ht="15" x14ac:dyDescent="0.25">
      <c r="A94">
        <v>364</v>
      </c>
      <c r="B94" t="s">
        <v>368</v>
      </c>
      <c r="D94" s="2">
        <v>29</v>
      </c>
      <c r="E94" s="2">
        <v>165</v>
      </c>
      <c r="F94">
        <v>194</v>
      </c>
      <c r="G94">
        <v>78</v>
      </c>
      <c r="H94">
        <v>272</v>
      </c>
    </row>
    <row r="95" spans="1:8" ht="15" x14ac:dyDescent="0.25">
      <c r="D95" s="2"/>
      <c r="E95" s="2"/>
    </row>
    <row r="96" spans="1:8" ht="15" x14ac:dyDescent="0.25">
      <c r="A96">
        <v>368</v>
      </c>
      <c r="B96" t="s">
        <v>142</v>
      </c>
      <c r="C96" t="s">
        <v>438</v>
      </c>
      <c r="D96" s="2">
        <v>7</v>
      </c>
      <c r="E96" s="2">
        <v>59</v>
      </c>
      <c r="F96">
        <v>66</v>
      </c>
      <c r="G96">
        <v>14</v>
      </c>
      <c r="H96">
        <v>80</v>
      </c>
    </row>
    <row r="97" spans="1:8" ht="15" x14ac:dyDescent="0.25">
      <c r="A97">
        <v>368</v>
      </c>
      <c r="B97" t="s">
        <v>143</v>
      </c>
      <c r="C97" t="s">
        <v>439</v>
      </c>
      <c r="D97" s="2">
        <v>14</v>
      </c>
      <c r="E97" s="2">
        <v>59</v>
      </c>
      <c r="F97">
        <v>73</v>
      </c>
      <c r="G97">
        <v>6</v>
      </c>
      <c r="H97">
        <v>79</v>
      </c>
    </row>
    <row r="98" spans="1:8" ht="15" x14ac:dyDescent="0.25">
      <c r="A98">
        <v>368</v>
      </c>
      <c r="B98" t="s">
        <v>144</v>
      </c>
      <c r="C98" t="s">
        <v>440</v>
      </c>
      <c r="D98" s="2">
        <v>24</v>
      </c>
      <c r="E98" s="2">
        <v>50</v>
      </c>
      <c r="F98">
        <v>74</v>
      </c>
      <c r="G98">
        <v>6</v>
      </c>
      <c r="H98">
        <v>80</v>
      </c>
    </row>
    <row r="99" spans="1:8" ht="15" x14ac:dyDescent="0.25">
      <c r="A99">
        <v>368</v>
      </c>
      <c r="B99" t="s">
        <v>145</v>
      </c>
      <c r="C99" t="s">
        <v>441</v>
      </c>
      <c r="D99" s="2">
        <v>28</v>
      </c>
      <c r="E99" s="2">
        <v>135</v>
      </c>
      <c r="F99">
        <v>163</v>
      </c>
      <c r="G99">
        <v>7</v>
      </c>
      <c r="H99">
        <v>170</v>
      </c>
    </row>
    <row r="100" spans="1:8" ht="15" x14ac:dyDescent="0.25">
      <c r="A100">
        <v>368</v>
      </c>
      <c r="B100" t="s">
        <v>146</v>
      </c>
      <c r="C100" t="s">
        <v>442</v>
      </c>
      <c r="D100" s="2">
        <v>37</v>
      </c>
      <c r="E100" s="2">
        <v>135</v>
      </c>
      <c r="F100">
        <v>172</v>
      </c>
      <c r="G100">
        <v>11</v>
      </c>
      <c r="H100">
        <v>182</v>
      </c>
    </row>
    <row r="101" spans="1:8" ht="15" x14ac:dyDescent="0.25">
      <c r="A101">
        <v>368</v>
      </c>
      <c r="B101" t="s">
        <v>147</v>
      </c>
      <c r="C101" t="s">
        <v>443</v>
      </c>
      <c r="D101" s="2">
        <v>60</v>
      </c>
      <c r="E101" s="2">
        <v>180</v>
      </c>
      <c r="F101">
        <v>240</v>
      </c>
      <c r="G101">
        <v>20</v>
      </c>
      <c r="H101">
        <v>259</v>
      </c>
    </row>
    <row r="102" spans="1:8" ht="15" x14ac:dyDescent="0.25">
      <c r="A102">
        <v>368</v>
      </c>
      <c r="B102" t="s">
        <v>148</v>
      </c>
      <c r="C102" t="s">
        <v>444</v>
      </c>
      <c r="D102" s="2">
        <v>39</v>
      </c>
      <c r="E102" s="2">
        <v>289</v>
      </c>
      <c r="F102">
        <v>328</v>
      </c>
      <c r="G102">
        <v>77</v>
      </c>
      <c r="H102">
        <v>405</v>
      </c>
    </row>
    <row r="103" spans="1:8" ht="15" x14ac:dyDescent="0.25">
      <c r="A103">
        <v>368</v>
      </c>
      <c r="B103" s="4" t="s">
        <v>149</v>
      </c>
      <c r="C103" s="4" t="s">
        <v>445</v>
      </c>
      <c r="D103" s="5">
        <v>27</v>
      </c>
      <c r="E103" s="5">
        <v>156</v>
      </c>
      <c r="F103" s="4">
        <v>183</v>
      </c>
      <c r="G103" s="4">
        <v>45</v>
      </c>
      <c r="H103" s="4">
        <v>227</v>
      </c>
    </row>
    <row r="104" spans="1:8" ht="15" x14ac:dyDescent="0.25">
      <c r="A104">
        <v>368</v>
      </c>
      <c r="B104" t="s">
        <v>368</v>
      </c>
      <c r="D104" s="2">
        <v>236</v>
      </c>
      <c r="E104" s="2">
        <v>1063</v>
      </c>
      <c r="F104">
        <v>1299</v>
      </c>
      <c r="G104">
        <v>186</v>
      </c>
      <c r="H104">
        <v>1482</v>
      </c>
    </row>
    <row r="105" spans="1:8" ht="15" x14ac:dyDescent="0.25">
      <c r="D105" s="2"/>
      <c r="E105" s="2"/>
    </row>
    <row r="106" spans="1:8" ht="15" x14ac:dyDescent="0.25">
      <c r="B106" t="s">
        <v>150</v>
      </c>
      <c r="C106" t="s">
        <v>446</v>
      </c>
      <c r="D106" s="2">
        <v>26</v>
      </c>
      <c r="E106" s="2">
        <v>75</v>
      </c>
      <c r="F106">
        <v>101</v>
      </c>
      <c r="G106">
        <v>11</v>
      </c>
      <c r="H106">
        <v>112</v>
      </c>
    </row>
    <row r="107" spans="1:8" ht="15" x14ac:dyDescent="0.25">
      <c r="D107" s="2"/>
      <c r="E107" s="2"/>
    </row>
    <row r="108" spans="1:8" ht="15" x14ac:dyDescent="0.25">
      <c r="A108">
        <v>373</v>
      </c>
      <c r="B108" t="s">
        <v>151</v>
      </c>
      <c r="C108" t="s">
        <v>447</v>
      </c>
      <c r="D108" s="2">
        <v>56</v>
      </c>
      <c r="E108" s="2">
        <v>548</v>
      </c>
      <c r="F108">
        <v>604</v>
      </c>
      <c r="G108">
        <v>122</v>
      </c>
      <c r="H108">
        <v>719</v>
      </c>
    </row>
    <row r="109" spans="1:8" ht="15" x14ac:dyDescent="0.25">
      <c r="A109">
        <v>373</v>
      </c>
      <c r="B109" t="s">
        <v>152</v>
      </c>
      <c r="C109" t="s">
        <v>448</v>
      </c>
      <c r="D109" s="2">
        <v>12</v>
      </c>
      <c r="E109" s="2">
        <v>110</v>
      </c>
      <c r="F109">
        <v>122</v>
      </c>
      <c r="G109">
        <v>25</v>
      </c>
      <c r="H109">
        <v>147</v>
      </c>
    </row>
    <row r="110" spans="1:8" ht="15" x14ac:dyDescent="0.25">
      <c r="A110">
        <v>373</v>
      </c>
      <c r="B110" s="4" t="s">
        <v>153</v>
      </c>
      <c r="C110" s="4" t="s">
        <v>449</v>
      </c>
      <c r="D110" s="5">
        <v>6</v>
      </c>
      <c r="E110" s="5">
        <v>76</v>
      </c>
      <c r="F110" s="4">
        <v>82</v>
      </c>
      <c r="G110" s="4">
        <v>25</v>
      </c>
      <c r="H110" s="4">
        <v>106</v>
      </c>
    </row>
    <row r="111" spans="1:8" ht="15" x14ac:dyDescent="0.25">
      <c r="A111">
        <v>373</v>
      </c>
      <c r="B111" t="s">
        <v>368</v>
      </c>
      <c r="D111" s="2">
        <v>74</v>
      </c>
      <c r="E111" s="2">
        <v>734</v>
      </c>
      <c r="F111">
        <v>808</v>
      </c>
      <c r="G111">
        <v>172</v>
      </c>
      <c r="H111">
        <v>972</v>
      </c>
    </row>
    <row r="112" spans="1:8" ht="15" x14ac:dyDescent="0.25">
      <c r="D112" s="2"/>
      <c r="E112" s="2"/>
    </row>
    <row r="113" spans="1:8" ht="15" x14ac:dyDescent="0.25">
      <c r="A113">
        <v>379</v>
      </c>
      <c r="B113" t="s">
        <v>154</v>
      </c>
      <c r="C113" t="s">
        <v>450</v>
      </c>
      <c r="D113" s="2">
        <v>19</v>
      </c>
      <c r="E113" s="2">
        <v>46</v>
      </c>
      <c r="F113">
        <v>65</v>
      </c>
      <c r="G113">
        <v>12</v>
      </c>
      <c r="H113">
        <v>75</v>
      </c>
    </row>
    <row r="114" spans="1:8" ht="15" x14ac:dyDescent="0.25">
      <c r="A114">
        <v>379</v>
      </c>
      <c r="B114" t="s">
        <v>155</v>
      </c>
      <c r="C114" t="s">
        <v>451</v>
      </c>
      <c r="D114" s="2">
        <v>3</v>
      </c>
      <c r="E114" s="2">
        <v>38</v>
      </c>
      <c r="F114">
        <v>41</v>
      </c>
      <c r="G114">
        <v>2</v>
      </c>
      <c r="H114">
        <v>43</v>
      </c>
    </row>
    <row r="115" spans="1:8" ht="15" x14ac:dyDescent="0.25">
      <c r="A115">
        <v>379</v>
      </c>
      <c r="B115" t="s">
        <v>156</v>
      </c>
      <c r="C115" t="s">
        <v>452</v>
      </c>
      <c r="D115" s="2">
        <v>17</v>
      </c>
      <c r="E115" s="2">
        <v>105</v>
      </c>
      <c r="F115">
        <v>122</v>
      </c>
      <c r="G115">
        <v>47</v>
      </c>
      <c r="H115">
        <v>166</v>
      </c>
    </row>
    <row r="116" spans="1:8" ht="15" x14ac:dyDescent="0.25">
      <c r="A116">
        <v>379</v>
      </c>
      <c r="B116" t="s">
        <v>157</v>
      </c>
      <c r="C116" t="s">
        <v>453</v>
      </c>
      <c r="D116" s="2">
        <v>45</v>
      </c>
      <c r="E116" s="2">
        <v>205</v>
      </c>
      <c r="F116">
        <v>250</v>
      </c>
      <c r="G116">
        <v>50</v>
      </c>
      <c r="H116">
        <v>299</v>
      </c>
    </row>
    <row r="117" spans="1:8" ht="15" x14ac:dyDescent="0.25">
      <c r="A117">
        <v>379</v>
      </c>
      <c r="B117" s="4" t="s">
        <v>158</v>
      </c>
      <c r="C117" s="4" t="s">
        <v>376</v>
      </c>
      <c r="D117" s="5">
        <v>8</v>
      </c>
      <c r="E117" s="5">
        <v>40</v>
      </c>
      <c r="F117" s="4">
        <v>48</v>
      </c>
      <c r="G117" s="4">
        <v>9</v>
      </c>
      <c r="H117" s="4">
        <v>56</v>
      </c>
    </row>
    <row r="118" spans="1:8" ht="15" x14ac:dyDescent="0.25">
      <c r="A118">
        <v>379</v>
      </c>
      <c r="B118" t="s">
        <v>368</v>
      </c>
      <c r="D118" s="2">
        <v>92</v>
      </c>
      <c r="E118" s="2">
        <v>434</v>
      </c>
      <c r="F118">
        <v>526</v>
      </c>
      <c r="G118">
        <v>120</v>
      </c>
      <c r="H118">
        <v>639</v>
      </c>
    </row>
    <row r="119" spans="1:8" ht="15" x14ac:dyDescent="0.25">
      <c r="D119" s="2"/>
      <c r="E119" s="2"/>
    </row>
    <row r="120" spans="1:8" ht="15" x14ac:dyDescent="0.25">
      <c r="B120" t="s">
        <v>159</v>
      </c>
      <c r="C120" t="s">
        <v>454</v>
      </c>
      <c r="D120" s="2">
        <v>156</v>
      </c>
      <c r="E120" s="2">
        <v>814</v>
      </c>
      <c r="F120">
        <v>970</v>
      </c>
      <c r="G120">
        <v>324</v>
      </c>
      <c r="H120">
        <v>1280</v>
      </c>
    </row>
    <row r="121" spans="1:8" ht="15" x14ac:dyDescent="0.25">
      <c r="D121" s="2"/>
      <c r="E121" s="2"/>
    </row>
    <row r="122" spans="1:8" ht="15" x14ac:dyDescent="0.25">
      <c r="B122" t="s">
        <v>160</v>
      </c>
      <c r="C122" t="s">
        <v>455</v>
      </c>
      <c r="D122" s="2">
        <v>17</v>
      </c>
      <c r="E122" s="2">
        <v>86</v>
      </c>
      <c r="F122">
        <v>103</v>
      </c>
      <c r="G122">
        <v>6</v>
      </c>
      <c r="H122">
        <v>109</v>
      </c>
    </row>
    <row r="123" spans="1:8" ht="15" x14ac:dyDescent="0.25">
      <c r="D123" s="2"/>
      <c r="E123" s="2"/>
    </row>
    <row r="124" spans="1:8" ht="15" x14ac:dyDescent="0.25">
      <c r="A124">
        <v>405</v>
      </c>
      <c r="B124" t="s">
        <v>161</v>
      </c>
      <c r="C124" t="s">
        <v>456</v>
      </c>
      <c r="D124" s="2">
        <v>14</v>
      </c>
      <c r="E124" s="2">
        <v>61</v>
      </c>
      <c r="F124">
        <v>75</v>
      </c>
      <c r="G124">
        <v>11</v>
      </c>
      <c r="H124">
        <v>86</v>
      </c>
    </row>
    <row r="125" spans="1:8" ht="15" x14ac:dyDescent="0.25">
      <c r="A125">
        <v>405</v>
      </c>
      <c r="B125" t="s">
        <v>162</v>
      </c>
      <c r="C125" t="s">
        <v>457</v>
      </c>
      <c r="D125" s="2">
        <v>3</v>
      </c>
      <c r="E125" s="2">
        <v>22</v>
      </c>
      <c r="F125">
        <v>25</v>
      </c>
      <c r="G125">
        <v>0</v>
      </c>
      <c r="H125">
        <v>25</v>
      </c>
    </row>
    <row r="126" spans="1:8" ht="15" x14ac:dyDescent="0.25">
      <c r="A126">
        <v>405</v>
      </c>
      <c r="B126" t="s">
        <v>163</v>
      </c>
      <c r="C126" t="s">
        <v>458</v>
      </c>
      <c r="D126" s="2">
        <v>31</v>
      </c>
      <c r="E126" s="2">
        <v>130</v>
      </c>
      <c r="F126">
        <v>161</v>
      </c>
      <c r="G126">
        <v>11</v>
      </c>
      <c r="H126">
        <v>172</v>
      </c>
    </row>
    <row r="127" spans="1:8" ht="15" x14ac:dyDescent="0.25">
      <c r="A127">
        <v>405</v>
      </c>
      <c r="B127" s="4" t="s">
        <v>164</v>
      </c>
      <c r="C127" s="4" t="s">
        <v>459</v>
      </c>
      <c r="D127" s="5">
        <v>6</v>
      </c>
      <c r="E127" s="5">
        <v>58</v>
      </c>
      <c r="F127" s="4">
        <v>64</v>
      </c>
      <c r="G127" s="4">
        <v>1</v>
      </c>
      <c r="H127" s="4">
        <v>65</v>
      </c>
    </row>
    <row r="128" spans="1:8" ht="15" x14ac:dyDescent="0.25">
      <c r="A128">
        <v>405</v>
      </c>
      <c r="B128" t="s">
        <v>368</v>
      </c>
      <c r="D128" s="2">
        <v>54</v>
      </c>
      <c r="E128" s="2">
        <v>271</v>
      </c>
      <c r="F128">
        <v>325</v>
      </c>
      <c r="G128">
        <v>23</v>
      </c>
      <c r="H128">
        <v>348</v>
      </c>
    </row>
    <row r="129" spans="1:8" ht="15" x14ac:dyDescent="0.25">
      <c r="D129" s="2"/>
      <c r="E129" s="2"/>
    </row>
    <row r="130" spans="1:8" ht="15" x14ac:dyDescent="0.25">
      <c r="B130" t="s">
        <v>165</v>
      </c>
      <c r="C130" t="s">
        <v>460</v>
      </c>
      <c r="D130" s="2">
        <v>15</v>
      </c>
      <c r="E130" s="2">
        <v>162</v>
      </c>
      <c r="F130">
        <v>177</v>
      </c>
      <c r="G130">
        <v>13</v>
      </c>
      <c r="H130">
        <v>190</v>
      </c>
    </row>
    <row r="131" spans="1:8" ht="15" x14ac:dyDescent="0.25">
      <c r="D131" s="2"/>
      <c r="E131" s="2"/>
    </row>
    <row r="132" spans="1:8" ht="15" x14ac:dyDescent="0.25">
      <c r="B132" t="s">
        <v>166</v>
      </c>
      <c r="C132" t="s">
        <v>461</v>
      </c>
      <c r="D132" s="2">
        <v>107</v>
      </c>
      <c r="E132" s="2">
        <v>296</v>
      </c>
      <c r="F132">
        <v>403</v>
      </c>
      <c r="G132">
        <v>62</v>
      </c>
      <c r="H132">
        <v>462</v>
      </c>
    </row>
    <row r="133" spans="1:8" ht="15" x14ac:dyDescent="0.25">
      <c r="D133" s="2"/>
      <c r="E133" s="2"/>
    </row>
    <row r="134" spans="1:8" ht="15" x14ac:dyDescent="0.25">
      <c r="A134">
        <v>418</v>
      </c>
      <c r="B134" t="s">
        <v>167</v>
      </c>
      <c r="C134" t="s">
        <v>462</v>
      </c>
      <c r="D134" s="2">
        <v>15</v>
      </c>
      <c r="E134" s="2">
        <v>133</v>
      </c>
      <c r="F134">
        <v>148</v>
      </c>
      <c r="G134">
        <v>19</v>
      </c>
      <c r="H134">
        <v>165</v>
      </c>
    </row>
    <row r="135" spans="1:8" ht="15" x14ac:dyDescent="0.25">
      <c r="A135">
        <v>418</v>
      </c>
      <c r="B135" t="s">
        <v>168</v>
      </c>
      <c r="C135" t="s">
        <v>463</v>
      </c>
      <c r="D135" s="2">
        <v>44</v>
      </c>
      <c r="E135" s="2">
        <v>345</v>
      </c>
      <c r="F135">
        <v>389</v>
      </c>
      <c r="G135">
        <v>54</v>
      </c>
      <c r="H135">
        <v>437</v>
      </c>
    </row>
    <row r="136" spans="1:8" ht="15" x14ac:dyDescent="0.25">
      <c r="A136">
        <v>418</v>
      </c>
      <c r="B136" t="s">
        <v>169</v>
      </c>
      <c r="C136" t="s">
        <v>464</v>
      </c>
      <c r="D136" s="2">
        <v>8</v>
      </c>
      <c r="E136" s="2">
        <v>69</v>
      </c>
      <c r="F136">
        <v>77</v>
      </c>
      <c r="G136">
        <v>2</v>
      </c>
      <c r="H136">
        <v>79</v>
      </c>
    </row>
    <row r="137" spans="1:8" ht="15" x14ac:dyDescent="0.25">
      <c r="A137">
        <v>418</v>
      </c>
      <c r="B137" t="s">
        <v>170</v>
      </c>
      <c r="C137" t="s">
        <v>465</v>
      </c>
      <c r="D137" s="2">
        <v>6</v>
      </c>
      <c r="E137" s="2">
        <v>57</v>
      </c>
      <c r="F137">
        <v>63</v>
      </c>
      <c r="G137">
        <v>20</v>
      </c>
      <c r="H137">
        <v>82</v>
      </c>
    </row>
    <row r="138" spans="1:8" ht="15" x14ac:dyDescent="0.25">
      <c r="A138">
        <v>418</v>
      </c>
      <c r="B138" s="4" t="s">
        <v>171</v>
      </c>
      <c r="C138" s="4" t="s">
        <v>466</v>
      </c>
      <c r="D138" s="5">
        <v>7</v>
      </c>
      <c r="E138" s="5">
        <v>59</v>
      </c>
      <c r="F138" s="4">
        <v>66</v>
      </c>
      <c r="G138" s="4">
        <v>5</v>
      </c>
      <c r="H138" s="4">
        <v>71</v>
      </c>
    </row>
    <row r="139" spans="1:8" ht="15" x14ac:dyDescent="0.25">
      <c r="A139">
        <v>418</v>
      </c>
      <c r="B139" t="s">
        <v>368</v>
      </c>
      <c r="D139" s="2">
        <v>80</v>
      </c>
      <c r="E139" s="2">
        <v>663</v>
      </c>
      <c r="F139">
        <v>743</v>
      </c>
      <c r="G139">
        <v>100</v>
      </c>
      <c r="H139">
        <v>834</v>
      </c>
    </row>
    <row r="140" spans="1:8" ht="15" x14ac:dyDescent="0.25">
      <c r="D140" s="2"/>
      <c r="E140" s="2"/>
    </row>
    <row r="141" spans="1:8" ht="15" x14ac:dyDescent="0.25">
      <c r="A141">
        <v>428</v>
      </c>
      <c r="B141" t="s">
        <v>110</v>
      </c>
      <c r="C141" t="s">
        <v>467</v>
      </c>
      <c r="D141" s="2">
        <v>3</v>
      </c>
      <c r="E141" s="2">
        <v>39</v>
      </c>
      <c r="F141">
        <v>42</v>
      </c>
      <c r="G141">
        <v>3</v>
      </c>
      <c r="H141">
        <v>45</v>
      </c>
    </row>
    <row r="142" spans="1:8" ht="15" x14ac:dyDescent="0.25">
      <c r="A142">
        <v>428</v>
      </c>
      <c r="B142" t="s">
        <v>172</v>
      </c>
      <c r="C142" t="s">
        <v>468</v>
      </c>
      <c r="D142" s="2">
        <v>8</v>
      </c>
      <c r="E142" s="2">
        <v>38</v>
      </c>
      <c r="F142">
        <v>46</v>
      </c>
      <c r="G142">
        <v>6</v>
      </c>
      <c r="H142">
        <v>52</v>
      </c>
    </row>
    <row r="143" spans="1:8" ht="15" x14ac:dyDescent="0.25">
      <c r="A143">
        <v>428</v>
      </c>
      <c r="B143" t="s">
        <v>173</v>
      </c>
      <c r="C143" t="s">
        <v>469</v>
      </c>
      <c r="D143" s="2">
        <v>4</v>
      </c>
      <c r="E143" s="2">
        <v>25</v>
      </c>
      <c r="F143">
        <v>29</v>
      </c>
      <c r="G143">
        <v>2</v>
      </c>
      <c r="H143">
        <v>31</v>
      </c>
    </row>
    <row r="144" spans="1:8" ht="15" x14ac:dyDescent="0.25">
      <c r="A144">
        <v>428</v>
      </c>
      <c r="B144" t="s">
        <v>174</v>
      </c>
      <c r="C144" t="s">
        <v>470</v>
      </c>
      <c r="D144" s="2">
        <v>76</v>
      </c>
      <c r="E144" s="2">
        <v>341</v>
      </c>
      <c r="F144">
        <v>417</v>
      </c>
      <c r="G144">
        <v>62</v>
      </c>
      <c r="H144">
        <v>479</v>
      </c>
    </row>
    <row r="145" spans="1:8" ht="15" x14ac:dyDescent="0.25">
      <c r="A145">
        <v>428</v>
      </c>
      <c r="B145" s="4" t="s">
        <v>175</v>
      </c>
      <c r="C145" s="4" t="s">
        <v>471</v>
      </c>
      <c r="D145" s="5">
        <v>17</v>
      </c>
      <c r="E145" s="5">
        <v>104</v>
      </c>
      <c r="F145" s="4">
        <v>121</v>
      </c>
      <c r="G145" s="4">
        <v>27</v>
      </c>
      <c r="H145" s="4">
        <v>148</v>
      </c>
    </row>
    <row r="146" spans="1:8" ht="15" x14ac:dyDescent="0.25">
      <c r="A146">
        <v>428</v>
      </c>
      <c r="B146" t="s">
        <v>368</v>
      </c>
      <c r="D146" s="2">
        <v>108</v>
      </c>
      <c r="E146" s="2">
        <v>547</v>
      </c>
      <c r="F146">
        <v>655</v>
      </c>
      <c r="G146">
        <v>100</v>
      </c>
      <c r="H146">
        <v>755</v>
      </c>
    </row>
    <row r="147" spans="1:8" ht="15" x14ac:dyDescent="0.25">
      <c r="D147" s="2"/>
      <c r="E147" s="2"/>
    </row>
    <row r="148" spans="1:8" ht="15" x14ac:dyDescent="0.25">
      <c r="B148" t="s">
        <v>176</v>
      </c>
      <c r="C148" t="s">
        <v>472</v>
      </c>
      <c r="D148" s="2">
        <v>106</v>
      </c>
      <c r="E148" s="2">
        <v>722</v>
      </c>
      <c r="F148">
        <v>828</v>
      </c>
      <c r="G148">
        <v>302</v>
      </c>
      <c r="H148">
        <v>1122</v>
      </c>
    </row>
    <row r="149" spans="1:8" ht="15" x14ac:dyDescent="0.25">
      <c r="D149" s="2"/>
      <c r="E149" s="2"/>
    </row>
    <row r="150" spans="1:8" ht="15" x14ac:dyDescent="0.25">
      <c r="A150">
        <v>442</v>
      </c>
      <c r="B150" t="s">
        <v>133</v>
      </c>
      <c r="C150" t="s">
        <v>476</v>
      </c>
      <c r="D150" s="2">
        <v>7</v>
      </c>
      <c r="E150" s="2">
        <v>39</v>
      </c>
      <c r="F150">
        <v>46</v>
      </c>
      <c r="G150">
        <v>8</v>
      </c>
      <c r="H150">
        <v>54</v>
      </c>
    </row>
    <row r="151" spans="1:8" ht="15" x14ac:dyDescent="0.25">
      <c r="A151">
        <v>442</v>
      </c>
      <c r="B151" t="s">
        <v>177</v>
      </c>
      <c r="C151" t="s">
        <v>473</v>
      </c>
      <c r="D151" s="2">
        <v>20</v>
      </c>
      <c r="E151" s="2">
        <v>96</v>
      </c>
      <c r="F151">
        <v>116</v>
      </c>
      <c r="G151">
        <v>13</v>
      </c>
      <c r="H151">
        <v>127</v>
      </c>
    </row>
    <row r="152" spans="1:8" ht="15" x14ac:dyDescent="0.25">
      <c r="A152">
        <v>442</v>
      </c>
      <c r="B152" t="s">
        <v>178</v>
      </c>
      <c r="C152" t="s">
        <v>474</v>
      </c>
      <c r="D152" s="2">
        <v>16</v>
      </c>
      <c r="E152" s="2">
        <v>58</v>
      </c>
      <c r="F152">
        <v>74</v>
      </c>
      <c r="G152">
        <v>16</v>
      </c>
      <c r="H152">
        <v>89</v>
      </c>
    </row>
    <row r="153" spans="1:8" ht="15" x14ac:dyDescent="0.25">
      <c r="A153">
        <v>442</v>
      </c>
      <c r="B153" s="4" t="s">
        <v>179</v>
      </c>
      <c r="C153" s="4" t="s">
        <v>475</v>
      </c>
      <c r="D153" s="5">
        <v>3</v>
      </c>
      <c r="E153" s="5">
        <v>9</v>
      </c>
      <c r="F153" s="4">
        <v>12</v>
      </c>
      <c r="G153" s="4">
        <v>1</v>
      </c>
      <c r="H153" s="4">
        <v>13</v>
      </c>
    </row>
    <row r="154" spans="1:8" ht="15" x14ac:dyDescent="0.25">
      <c r="A154">
        <v>442</v>
      </c>
      <c r="B154" t="s">
        <v>368</v>
      </c>
      <c r="D154" s="2">
        <v>46</v>
      </c>
      <c r="E154" s="2">
        <v>202</v>
      </c>
      <c r="F154">
        <v>248</v>
      </c>
      <c r="G154">
        <v>38</v>
      </c>
      <c r="H154">
        <v>283</v>
      </c>
    </row>
    <row r="155" spans="1:8" ht="15" x14ac:dyDescent="0.25">
      <c r="D155" s="2"/>
      <c r="E155" s="2"/>
    </row>
    <row r="156" spans="1:8" ht="15" x14ac:dyDescent="0.25">
      <c r="B156" t="s">
        <v>180</v>
      </c>
      <c r="C156" t="s">
        <v>477</v>
      </c>
      <c r="D156" s="2">
        <v>69</v>
      </c>
      <c r="E156" s="2">
        <v>400</v>
      </c>
      <c r="F156">
        <v>469</v>
      </c>
      <c r="G156">
        <v>101</v>
      </c>
      <c r="H156">
        <v>564</v>
      </c>
    </row>
    <row r="157" spans="1:8" ht="15" x14ac:dyDescent="0.25">
      <c r="D157" s="2"/>
      <c r="E157" s="2"/>
    </row>
    <row r="158" spans="1:8" ht="15" x14ac:dyDescent="0.25">
      <c r="A158">
        <v>453</v>
      </c>
      <c r="B158" t="s">
        <v>181</v>
      </c>
      <c r="C158" t="s">
        <v>478</v>
      </c>
      <c r="D158" s="2">
        <v>60</v>
      </c>
      <c r="E158" s="2">
        <v>213</v>
      </c>
      <c r="F158">
        <v>273</v>
      </c>
      <c r="G158">
        <v>62</v>
      </c>
      <c r="H158">
        <v>332</v>
      </c>
    </row>
    <row r="159" spans="1:8" ht="15" x14ac:dyDescent="0.25">
      <c r="A159">
        <v>453</v>
      </c>
      <c r="B159" t="s">
        <v>182</v>
      </c>
      <c r="C159" t="s">
        <v>479</v>
      </c>
      <c r="D159" s="2">
        <v>12</v>
      </c>
      <c r="E159" s="2">
        <v>81</v>
      </c>
      <c r="F159">
        <v>93</v>
      </c>
      <c r="G159">
        <v>27</v>
      </c>
      <c r="H159">
        <v>120</v>
      </c>
    </row>
    <row r="160" spans="1:8" ht="15" x14ac:dyDescent="0.25">
      <c r="A160">
        <v>453</v>
      </c>
      <c r="B160" t="s">
        <v>183</v>
      </c>
      <c r="C160" t="s">
        <v>480</v>
      </c>
      <c r="D160" s="2">
        <v>127</v>
      </c>
      <c r="E160" s="2">
        <v>580</v>
      </c>
      <c r="F160">
        <v>707</v>
      </c>
      <c r="G160">
        <v>85</v>
      </c>
      <c r="H160">
        <v>786</v>
      </c>
    </row>
    <row r="161" spans="1:8" ht="15" x14ac:dyDescent="0.25">
      <c r="A161">
        <v>453</v>
      </c>
      <c r="B161" t="s">
        <v>184</v>
      </c>
      <c r="C161" t="s">
        <v>481</v>
      </c>
      <c r="D161" s="2">
        <v>39</v>
      </c>
      <c r="E161" s="2">
        <v>232</v>
      </c>
      <c r="F161">
        <v>271</v>
      </c>
      <c r="G161">
        <v>48</v>
      </c>
      <c r="H161">
        <v>318</v>
      </c>
    </row>
    <row r="162" spans="1:8" ht="15" x14ac:dyDescent="0.25">
      <c r="A162">
        <v>453</v>
      </c>
      <c r="B162" t="s">
        <v>185</v>
      </c>
      <c r="C162" t="s">
        <v>482</v>
      </c>
      <c r="D162" s="2">
        <v>40</v>
      </c>
      <c r="E162" s="2">
        <v>238</v>
      </c>
      <c r="F162">
        <v>278</v>
      </c>
      <c r="G162">
        <v>39</v>
      </c>
      <c r="H162">
        <v>315</v>
      </c>
    </row>
    <row r="163" spans="1:8" ht="15" x14ac:dyDescent="0.25">
      <c r="A163">
        <v>453</v>
      </c>
      <c r="B163" s="4" t="s">
        <v>186</v>
      </c>
      <c r="C163" s="4" t="s">
        <v>483</v>
      </c>
      <c r="D163" s="5">
        <v>56</v>
      </c>
      <c r="E163" s="5">
        <v>316</v>
      </c>
      <c r="F163" s="4">
        <v>372</v>
      </c>
      <c r="G163" s="4">
        <v>125</v>
      </c>
      <c r="H163" s="4">
        <v>490</v>
      </c>
    </row>
    <row r="164" spans="1:8" ht="15" x14ac:dyDescent="0.25">
      <c r="A164">
        <v>453</v>
      </c>
      <c r="B164" t="s">
        <v>368</v>
      </c>
      <c r="D164" s="2">
        <v>334</v>
      </c>
      <c r="E164" s="2">
        <v>1660</v>
      </c>
      <c r="F164">
        <v>1994</v>
      </c>
      <c r="G164">
        <v>386</v>
      </c>
      <c r="H164">
        <v>2361</v>
      </c>
    </row>
    <row r="165" spans="1:8" ht="15" x14ac:dyDescent="0.25">
      <c r="D165" s="2"/>
      <c r="E165" s="2"/>
    </row>
    <row r="166" spans="1:8" ht="15" x14ac:dyDescent="0.25">
      <c r="B166" t="s">
        <v>187</v>
      </c>
      <c r="C166" t="s">
        <v>484</v>
      </c>
      <c r="D166" s="2">
        <v>238</v>
      </c>
      <c r="E166" s="2">
        <v>636</v>
      </c>
      <c r="F166">
        <v>874</v>
      </c>
      <c r="G166">
        <v>84</v>
      </c>
      <c r="H166">
        <v>958</v>
      </c>
    </row>
    <row r="167" spans="1:8" ht="15" x14ac:dyDescent="0.25">
      <c r="D167" s="2"/>
      <c r="E167" s="2"/>
    </row>
    <row r="168" spans="1:8" ht="15" x14ac:dyDescent="0.25">
      <c r="A168">
        <v>465</v>
      </c>
      <c r="B168" t="s">
        <v>188</v>
      </c>
      <c r="C168" t="s">
        <v>485</v>
      </c>
      <c r="D168" s="2">
        <v>14</v>
      </c>
      <c r="E168" s="2">
        <v>23</v>
      </c>
      <c r="F168">
        <v>37</v>
      </c>
      <c r="G168">
        <v>3</v>
      </c>
      <c r="H168">
        <v>40</v>
      </c>
    </row>
    <row r="169" spans="1:8" ht="15" x14ac:dyDescent="0.25">
      <c r="A169">
        <v>465</v>
      </c>
      <c r="B169" t="s">
        <v>189</v>
      </c>
      <c r="C169" t="s">
        <v>486</v>
      </c>
      <c r="D169" s="2">
        <v>14</v>
      </c>
      <c r="E169" s="2">
        <v>56</v>
      </c>
      <c r="F169">
        <v>70</v>
      </c>
      <c r="G169">
        <v>4</v>
      </c>
      <c r="H169">
        <v>74</v>
      </c>
    </row>
    <row r="170" spans="1:8" ht="15" x14ac:dyDescent="0.25">
      <c r="A170">
        <v>465</v>
      </c>
      <c r="B170" t="s">
        <v>190</v>
      </c>
      <c r="C170" t="s">
        <v>487</v>
      </c>
      <c r="D170" s="2">
        <v>21</v>
      </c>
      <c r="E170" s="2">
        <v>38</v>
      </c>
      <c r="F170">
        <v>59</v>
      </c>
      <c r="G170">
        <v>14</v>
      </c>
      <c r="H170">
        <v>73</v>
      </c>
    </row>
    <row r="171" spans="1:8" ht="15" x14ac:dyDescent="0.25">
      <c r="A171">
        <v>465</v>
      </c>
      <c r="B171" t="s">
        <v>191</v>
      </c>
      <c r="C171" t="s">
        <v>488</v>
      </c>
      <c r="D171" s="2">
        <v>165</v>
      </c>
      <c r="E171" s="2">
        <v>356</v>
      </c>
      <c r="F171">
        <v>521</v>
      </c>
      <c r="G171">
        <v>86</v>
      </c>
      <c r="H171">
        <v>604</v>
      </c>
    </row>
    <row r="172" spans="1:8" ht="15" x14ac:dyDescent="0.25">
      <c r="A172">
        <v>465</v>
      </c>
      <c r="B172" t="s">
        <v>192</v>
      </c>
      <c r="C172" t="s">
        <v>489</v>
      </c>
      <c r="D172" s="2">
        <v>109</v>
      </c>
      <c r="E172" s="2">
        <v>449</v>
      </c>
      <c r="F172">
        <v>558</v>
      </c>
      <c r="G172">
        <v>68</v>
      </c>
      <c r="H172">
        <v>625</v>
      </c>
    </row>
    <row r="173" spans="1:8" ht="15" x14ac:dyDescent="0.25">
      <c r="A173">
        <v>465</v>
      </c>
      <c r="B173" s="4" t="s">
        <v>193</v>
      </c>
      <c r="C173" s="4" t="s">
        <v>490</v>
      </c>
      <c r="D173" s="5">
        <v>9</v>
      </c>
      <c r="E173" s="5">
        <v>19</v>
      </c>
      <c r="F173" s="4">
        <v>28</v>
      </c>
      <c r="G173" s="4">
        <v>2</v>
      </c>
      <c r="H173" s="4">
        <v>30</v>
      </c>
    </row>
    <row r="174" spans="1:8" ht="15" x14ac:dyDescent="0.25">
      <c r="A174">
        <v>465</v>
      </c>
      <c r="B174" t="s">
        <v>368</v>
      </c>
      <c r="D174" s="2">
        <v>332</v>
      </c>
      <c r="E174" s="2">
        <v>941</v>
      </c>
      <c r="F174">
        <v>1273</v>
      </c>
      <c r="G174">
        <v>177</v>
      </c>
      <c r="H174">
        <v>1446</v>
      </c>
    </row>
    <row r="175" spans="1:8" ht="15" x14ac:dyDescent="0.25">
      <c r="D175" s="2"/>
      <c r="E175" s="2"/>
    </row>
    <row r="176" spans="1:8" ht="15" x14ac:dyDescent="0.25">
      <c r="B176" t="s">
        <v>194</v>
      </c>
      <c r="C176" t="s">
        <v>491</v>
      </c>
      <c r="D176" s="2">
        <v>232</v>
      </c>
      <c r="E176" s="2">
        <v>1041</v>
      </c>
      <c r="F176">
        <v>1273</v>
      </c>
      <c r="G176">
        <v>136</v>
      </c>
      <c r="H176">
        <v>1405</v>
      </c>
    </row>
    <row r="177" spans="1:8" ht="15" x14ac:dyDescent="0.25">
      <c r="D177" s="2"/>
      <c r="E177" s="2"/>
    </row>
    <row r="178" spans="1:8" ht="15" x14ac:dyDescent="0.25">
      <c r="B178" t="s">
        <v>195</v>
      </c>
      <c r="C178" t="s">
        <v>492</v>
      </c>
      <c r="D178" s="2">
        <v>64</v>
      </c>
      <c r="E178" s="2">
        <v>332</v>
      </c>
      <c r="F178">
        <v>396</v>
      </c>
      <c r="G178">
        <v>22</v>
      </c>
      <c r="H178">
        <v>418</v>
      </c>
    </row>
    <row r="179" spans="1:8" ht="15" x14ac:dyDescent="0.25">
      <c r="D179" s="2"/>
      <c r="E179" s="2"/>
    </row>
    <row r="180" spans="1:8" ht="15" x14ac:dyDescent="0.25">
      <c r="A180">
        <v>489</v>
      </c>
      <c r="B180" t="s">
        <v>196</v>
      </c>
      <c r="C180" t="s">
        <v>493</v>
      </c>
      <c r="D180" s="2">
        <v>10</v>
      </c>
      <c r="E180" s="2">
        <v>59</v>
      </c>
      <c r="F180">
        <v>69</v>
      </c>
      <c r="G180">
        <v>1</v>
      </c>
      <c r="H180">
        <v>70</v>
      </c>
    </row>
    <row r="181" spans="1:8" ht="15" x14ac:dyDescent="0.25">
      <c r="A181">
        <v>489</v>
      </c>
      <c r="B181" t="s">
        <v>197</v>
      </c>
      <c r="C181" t="s">
        <v>494</v>
      </c>
      <c r="D181" s="2">
        <v>5</v>
      </c>
      <c r="E181" s="2">
        <v>53</v>
      </c>
      <c r="F181">
        <v>58</v>
      </c>
      <c r="G181">
        <v>0</v>
      </c>
      <c r="H181">
        <v>58</v>
      </c>
    </row>
    <row r="182" spans="1:8" ht="15" x14ac:dyDescent="0.25">
      <c r="A182">
        <v>489</v>
      </c>
      <c r="B182" t="s">
        <v>198</v>
      </c>
      <c r="C182" t="s">
        <v>495</v>
      </c>
      <c r="D182" s="2">
        <v>6</v>
      </c>
      <c r="E182" s="2">
        <v>18</v>
      </c>
      <c r="F182">
        <v>24</v>
      </c>
      <c r="G182">
        <v>2</v>
      </c>
      <c r="H182">
        <v>26</v>
      </c>
    </row>
    <row r="183" spans="1:8" ht="15" x14ac:dyDescent="0.25">
      <c r="A183">
        <v>489</v>
      </c>
      <c r="B183" s="4" t="s">
        <v>199</v>
      </c>
      <c r="C183" s="4" t="s">
        <v>496</v>
      </c>
      <c r="D183" s="5">
        <v>91</v>
      </c>
      <c r="E183" s="5">
        <v>482</v>
      </c>
      <c r="F183" s="4">
        <v>573</v>
      </c>
      <c r="G183" s="4">
        <v>123</v>
      </c>
      <c r="H183" s="4">
        <v>691</v>
      </c>
    </row>
    <row r="184" spans="1:8" ht="15" x14ac:dyDescent="0.25">
      <c r="A184">
        <v>489</v>
      </c>
      <c r="B184" t="s">
        <v>368</v>
      </c>
      <c r="D184" s="2">
        <v>112</v>
      </c>
      <c r="E184" s="2">
        <v>612</v>
      </c>
      <c r="F184">
        <v>724</v>
      </c>
      <c r="G184">
        <v>126</v>
      </c>
      <c r="H184">
        <v>845</v>
      </c>
    </row>
    <row r="185" spans="1:8" ht="15" x14ac:dyDescent="0.25">
      <c r="D185" s="2"/>
      <c r="E185" s="2"/>
    </row>
    <row r="186" spans="1:8" ht="15" x14ac:dyDescent="0.25">
      <c r="A186">
        <v>490</v>
      </c>
      <c r="B186" t="s">
        <v>200</v>
      </c>
      <c r="C186" t="s">
        <v>497</v>
      </c>
      <c r="D186" s="2">
        <v>22</v>
      </c>
      <c r="E186" s="2">
        <v>70</v>
      </c>
      <c r="F186">
        <v>92</v>
      </c>
      <c r="G186">
        <v>5</v>
      </c>
      <c r="H186">
        <v>97</v>
      </c>
    </row>
    <row r="187" spans="1:8" ht="15" x14ac:dyDescent="0.25">
      <c r="A187">
        <v>490</v>
      </c>
      <c r="B187" t="s">
        <v>201</v>
      </c>
      <c r="C187" t="s">
        <v>498</v>
      </c>
      <c r="D187" s="2">
        <v>8</v>
      </c>
      <c r="E187" s="2">
        <v>101</v>
      </c>
      <c r="F187">
        <v>109</v>
      </c>
      <c r="G187">
        <v>15</v>
      </c>
      <c r="H187">
        <v>124</v>
      </c>
    </row>
    <row r="188" spans="1:8" ht="15" x14ac:dyDescent="0.25">
      <c r="A188">
        <v>490</v>
      </c>
      <c r="B188" t="s">
        <v>202</v>
      </c>
      <c r="C188" t="s">
        <v>499</v>
      </c>
      <c r="D188" s="2">
        <v>36</v>
      </c>
      <c r="E188" s="2">
        <v>175</v>
      </c>
      <c r="F188">
        <v>211</v>
      </c>
      <c r="G188">
        <v>46</v>
      </c>
      <c r="H188">
        <v>253</v>
      </c>
    </row>
    <row r="189" spans="1:8" ht="15" x14ac:dyDescent="0.25">
      <c r="A189">
        <v>490</v>
      </c>
      <c r="B189" t="s">
        <v>203</v>
      </c>
      <c r="C189" t="s">
        <v>500</v>
      </c>
      <c r="D189" s="2">
        <v>72</v>
      </c>
      <c r="E189" s="2">
        <v>489</v>
      </c>
      <c r="F189">
        <v>561</v>
      </c>
      <c r="G189">
        <v>230</v>
      </c>
      <c r="H189">
        <v>787</v>
      </c>
    </row>
    <row r="190" spans="1:8" ht="15" x14ac:dyDescent="0.25">
      <c r="A190">
        <v>490</v>
      </c>
      <c r="B190" t="s">
        <v>204</v>
      </c>
      <c r="C190" t="s">
        <v>501</v>
      </c>
      <c r="D190" s="2">
        <v>27</v>
      </c>
      <c r="E190" s="2">
        <v>189</v>
      </c>
      <c r="F190">
        <v>216</v>
      </c>
      <c r="G190">
        <v>34</v>
      </c>
      <c r="H190">
        <v>248</v>
      </c>
    </row>
    <row r="191" spans="1:8" ht="15" x14ac:dyDescent="0.25">
      <c r="A191">
        <v>490</v>
      </c>
      <c r="B191" t="s">
        <v>205</v>
      </c>
      <c r="C191" t="s">
        <v>502</v>
      </c>
      <c r="D191" s="2">
        <v>16</v>
      </c>
      <c r="E191" s="2">
        <v>77</v>
      </c>
      <c r="F191">
        <v>93</v>
      </c>
      <c r="G191">
        <v>17</v>
      </c>
      <c r="H191">
        <v>110</v>
      </c>
    </row>
    <row r="192" spans="1:8" ht="15" x14ac:dyDescent="0.25">
      <c r="A192">
        <v>490</v>
      </c>
      <c r="B192" t="s">
        <v>206</v>
      </c>
      <c r="C192" t="s">
        <v>503</v>
      </c>
      <c r="D192" s="2">
        <v>82</v>
      </c>
      <c r="E192" s="2">
        <v>251</v>
      </c>
      <c r="F192">
        <v>333</v>
      </c>
      <c r="G192">
        <v>40</v>
      </c>
      <c r="H192">
        <v>373</v>
      </c>
    </row>
    <row r="193" spans="1:8" ht="15" x14ac:dyDescent="0.25">
      <c r="A193">
        <v>490</v>
      </c>
      <c r="B193" t="s">
        <v>207</v>
      </c>
      <c r="C193" t="s">
        <v>504</v>
      </c>
      <c r="D193" s="2">
        <v>71</v>
      </c>
      <c r="E193" s="2">
        <v>288</v>
      </c>
      <c r="F193">
        <v>359</v>
      </c>
      <c r="G193">
        <v>48</v>
      </c>
      <c r="H193">
        <v>406</v>
      </c>
    </row>
    <row r="194" spans="1:8" ht="15" x14ac:dyDescent="0.25">
      <c r="A194">
        <v>490</v>
      </c>
      <c r="B194" s="4" t="s">
        <v>208</v>
      </c>
      <c r="C194" s="4" t="s">
        <v>505</v>
      </c>
      <c r="D194" s="5">
        <v>2</v>
      </c>
      <c r="E194" s="5">
        <v>31</v>
      </c>
      <c r="F194" s="4">
        <v>33</v>
      </c>
      <c r="G194" s="4">
        <v>1</v>
      </c>
      <c r="H194" s="4">
        <v>34</v>
      </c>
    </row>
    <row r="195" spans="1:8" ht="15" x14ac:dyDescent="0.25">
      <c r="A195">
        <v>490</v>
      </c>
      <c r="B195" t="s">
        <v>368</v>
      </c>
      <c r="D195" s="2">
        <v>336</v>
      </c>
      <c r="E195" s="2">
        <v>1671</v>
      </c>
      <c r="F195">
        <v>2007</v>
      </c>
      <c r="G195">
        <v>436</v>
      </c>
      <c r="H195">
        <v>2432</v>
      </c>
    </row>
    <row r="196" spans="1:8" ht="15" x14ac:dyDescent="0.25">
      <c r="D196" s="2"/>
      <c r="E196" s="2"/>
    </row>
    <row r="197" spans="1:8" ht="15" x14ac:dyDescent="0.25">
      <c r="A197">
        <v>495</v>
      </c>
      <c r="B197" t="s">
        <v>209</v>
      </c>
      <c r="C197" t="s">
        <v>506</v>
      </c>
      <c r="D197" s="2">
        <v>1</v>
      </c>
      <c r="E197" s="2">
        <v>4</v>
      </c>
      <c r="F197">
        <v>5</v>
      </c>
      <c r="G197">
        <v>2</v>
      </c>
      <c r="H197">
        <v>7</v>
      </c>
    </row>
    <row r="198" spans="1:8" ht="15" x14ac:dyDescent="0.25">
      <c r="A198">
        <v>495</v>
      </c>
      <c r="B198" t="s">
        <v>210</v>
      </c>
      <c r="C198" t="s">
        <v>507</v>
      </c>
      <c r="D198" s="2">
        <v>18</v>
      </c>
      <c r="E198" s="2">
        <v>50</v>
      </c>
      <c r="F198">
        <v>68</v>
      </c>
      <c r="G198">
        <v>4</v>
      </c>
      <c r="H198">
        <v>72</v>
      </c>
    </row>
    <row r="199" spans="1:8" ht="15" x14ac:dyDescent="0.25">
      <c r="A199">
        <v>495</v>
      </c>
      <c r="B199" t="s">
        <v>211</v>
      </c>
      <c r="C199" t="s">
        <v>508</v>
      </c>
      <c r="D199" s="2">
        <v>45</v>
      </c>
      <c r="E199" s="2">
        <v>194</v>
      </c>
      <c r="F199">
        <v>239</v>
      </c>
      <c r="G199">
        <v>13</v>
      </c>
      <c r="H199">
        <v>252</v>
      </c>
    </row>
    <row r="200" spans="1:8" ht="15" x14ac:dyDescent="0.25">
      <c r="A200">
        <v>495</v>
      </c>
      <c r="B200" t="s">
        <v>212</v>
      </c>
      <c r="C200" t="s">
        <v>509</v>
      </c>
      <c r="D200" s="2">
        <v>3</v>
      </c>
      <c r="E200" s="2">
        <v>16</v>
      </c>
      <c r="F200">
        <v>19</v>
      </c>
      <c r="G200">
        <v>2</v>
      </c>
      <c r="H200">
        <v>21</v>
      </c>
    </row>
    <row r="201" spans="1:8" ht="15" x14ac:dyDescent="0.25">
      <c r="A201">
        <v>495</v>
      </c>
      <c r="B201" s="4" t="s">
        <v>213</v>
      </c>
      <c r="C201" s="4" t="s">
        <v>510</v>
      </c>
      <c r="D201" s="5">
        <v>4</v>
      </c>
      <c r="E201" s="5">
        <v>22</v>
      </c>
      <c r="F201" s="4">
        <v>26</v>
      </c>
      <c r="G201" s="4">
        <v>1</v>
      </c>
      <c r="H201" s="4">
        <v>27</v>
      </c>
    </row>
    <row r="202" spans="1:8" ht="15" x14ac:dyDescent="0.25">
      <c r="A202">
        <v>495</v>
      </c>
      <c r="B202" t="s">
        <v>368</v>
      </c>
      <c r="D202" s="2">
        <v>71</v>
      </c>
      <c r="E202" s="2">
        <v>286</v>
      </c>
      <c r="F202">
        <v>357</v>
      </c>
      <c r="G202">
        <v>22</v>
      </c>
      <c r="H202">
        <v>379</v>
      </c>
    </row>
    <row r="203" spans="1:8" ht="15" x14ac:dyDescent="0.25">
      <c r="D203" s="2"/>
      <c r="E203" s="2"/>
    </row>
    <row r="204" spans="1:8" ht="15" x14ac:dyDescent="0.25">
      <c r="B204" t="s">
        <v>214</v>
      </c>
      <c r="C204" t="s">
        <v>511</v>
      </c>
      <c r="D204" s="2">
        <v>124</v>
      </c>
      <c r="E204" s="2">
        <v>1316</v>
      </c>
      <c r="F204">
        <v>1440</v>
      </c>
      <c r="G204">
        <v>538</v>
      </c>
      <c r="H204">
        <v>1951</v>
      </c>
    </row>
    <row r="205" spans="1:8" ht="15" x14ac:dyDescent="0.25">
      <c r="D205" s="2"/>
      <c r="E205" s="2"/>
    </row>
    <row r="206" spans="1:8" ht="15" x14ac:dyDescent="0.25">
      <c r="A206">
        <v>500</v>
      </c>
      <c r="B206" t="s">
        <v>215</v>
      </c>
      <c r="C206" t="s">
        <v>512</v>
      </c>
      <c r="D206" s="2">
        <v>17</v>
      </c>
      <c r="E206" s="2">
        <v>114</v>
      </c>
      <c r="F206">
        <v>131</v>
      </c>
      <c r="G206">
        <v>83</v>
      </c>
      <c r="H206">
        <v>213</v>
      </c>
    </row>
    <row r="207" spans="1:8" ht="15" x14ac:dyDescent="0.25">
      <c r="A207">
        <v>500</v>
      </c>
      <c r="B207" t="s">
        <v>216</v>
      </c>
      <c r="C207" t="s">
        <v>513</v>
      </c>
      <c r="D207" s="2">
        <v>39</v>
      </c>
      <c r="E207" s="2">
        <v>293</v>
      </c>
      <c r="F207">
        <v>332</v>
      </c>
      <c r="G207">
        <v>72</v>
      </c>
      <c r="H207">
        <v>401</v>
      </c>
    </row>
    <row r="208" spans="1:8" ht="15" x14ac:dyDescent="0.25">
      <c r="A208">
        <v>500</v>
      </c>
      <c r="B208" s="4" t="s">
        <v>217</v>
      </c>
      <c r="C208" s="4" t="s">
        <v>514</v>
      </c>
      <c r="D208" s="5">
        <v>374</v>
      </c>
      <c r="E208" s="5">
        <v>2414</v>
      </c>
      <c r="F208" s="4">
        <v>2788</v>
      </c>
      <c r="G208" s="4">
        <v>274</v>
      </c>
      <c r="H208" s="4">
        <v>3057</v>
      </c>
    </row>
    <row r="209" spans="1:8" ht="15" x14ac:dyDescent="0.25">
      <c r="A209">
        <v>500</v>
      </c>
      <c r="B209" t="s">
        <v>368</v>
      </c>
      <c r="D209" s="2">
        <v>430</v>
      </c>
      <c r="E209" s="2">
        <v>2821</v>
      </c>
      <c r="F209">
        <v>3251</v>
      </c>
      <c r="G209">
        <v>429</v>
      </c>
      <c r="H209">
        <v>3671</v>
      </c>
    </row>
    <row r="210" spans="1:8" ht="15" x14ac:dyDescent="0.25">
      <c r="D210" s="2"/>
      <c r="E210" s="2"/>
    </row>
    <row r="211" spans="1:8" ht="15" x14ac:dyDescent="0.25">
      <c r="B211" t="s">
        <v>218</v>
      </c>
      <c r="C211" t="s">
        <v>515</v>
      </c>
      <c r="D211" s="2">
        <v>358</v>
      </c>
      <c r="E211" s="2">
        <v>2079</v>
      </c>
      <c r="F211">
        <v>2437</v>
      </c>
      <c r="G211">
        <v>368</v>
      </c>
      <c r="H211">
        <v>2790</v>
      </c>
    </row>
    <row r="212" spans="1:8" ht="15" x14ac:dyDescent="0.25">
      <c r="D212" s="2"/>
      <c r="E212" s="2"/>
    </row>
    <row r="213" spans="1:8" ht="15" x14ac:dyDescent="0.25">
      <c r="B213" t="s">
        <v>219</v>
      </c>
      <c r="C213" t="s">
        <v>516</v>
      </c>
      <c r="D213" s="2">
        <v>399</v>
      </c>
      <c r="E213" s="2">
        <v>2604</v>
      </c>
      <c r="F213">
        <v>3003</v>
      </c>
      <c r="G213">
        <v>1557</v>
      </c>
      <c r="H213">
        <v>4535</v>
      </c>
    </row>
    <row r="214" spans="1:8" ht="15" x14ac:dyDescent="0.25">
      <c r="D214" s="2"/>
      <c r="E214" s="2"/>
    </row>
    <row r="215" spans="1:8" ht="15" x14ac:dyDescent="0.25">
      <c r="A215">
        <v>602</v>
      </c>
      <c r="B215" t="s">
        <v>220</v>
      </c>
      <c r="C215" t="s">
        <v>517</v>
      </c>
      <c r="D215" s="2">
        <v>3</v>
      </c>
      <c r="E215" s="2">
        <v>22</v>
      </c>
      <c r="F215">
        <v>25</v>
      </c>
      <c r="G215">
        <v>5</v>
      </c>
      <c r="H215">
        <v>30</v>
      </c>
    </row>
    <row r="216" spans="1:8" ht="15" x14ac:dyDescent="0.25">
      <c r="A216">
        <v>602</v>
      </c>
      <c r="B216" t="s">
        <v>221</v>
      </c>
      <c r="C216" t="s">
        <v>518</v>
      </c>
      <c r="D216" s="2">
        <v>10</v>
      </c>
      <c r="E216" s="2">
        <v>45</v>
      </c>
      <c r="F216">
        <v>55</v>
      </c>
      <c r="G216">
        <v>7</v>
      </c>
      <c r="H216">
        <v>62</v>
      </c>
    </row>
    <row r="217" spans="1:8" ht="15" x14ac:dyDescent="0.25">
      <c r="A217">
        <v>602</v>
      </c>
      <c r="B217" t="s">
        <v>222</v>
      </c>
      <c r="C217" t="s">
        <v>519</v>
      </c>
      <c r="D217" s="2">
        <v>15</v>
      </c>
      <c r="E217" s="2">
        <v>71</v>
      </c>
      <c r="F217">
        <v>86</v>
      </c>
      <c r="G217">
        <v>5</v>
      </c>
      <c r="H217">
        <v>91</v>
      </c>
    </row>
    <row r="218" spans="1:8" ht="15" x14ac:dyDescent="0.25">
      <c r="A218">
        <v>602</v>
      </c>
      <c r="B218" t="s">
        <v>223</v>
      </c>
      <c r="C218" t="s">
        <v>520</v>
      </c>
      <c r="D218" s="2">
        <v>16</v>
      </c>
      <c r="E218" s="2">
        <v>27</v>
      </c>
      <c r="F218">
        <v>43</v>
      </c>
      <c r="G218">
        <v>6</v>
      </c>
      <c r="H218">
        <v>49</v>
      </c>
    </row>
    <row r="219" spans="1:8" ht="15" x14ac:dyDescent="0.25">
      <c r="A219">
        <v>602</v>
      </c>
      <c r="B219" t="s">
        <v>224</v>
      </c>
      <c r="C219" t="s">
        <v>521</v>
      </c>
      <c r="D219" s="2">
        <v>1</v>
      </c>
      <c r="E219" s="2">
        <v>15</v>
      </c>
      <c r="F219">
        <v>16</v>
      </c>
      <c r="G219">
        <v>5</v>
      </c>
      <c r="H219">
        <v>21</v>
      </c>
    </row>
    <row r="220" spans="1:8" ht="15" x14ac:dyDescent="0.25">
      <c r="A220">
        <v>602</v>
      </c>
      <c r="B220" t="s">
        <v>225</v>
      </c>
      <c r="C220" t="s">
        <v>522</v>
      </c>
      <c r="D220" s="2">
        <v>8</v>
      </c>
      <c r="E220" s="2">
        <v>66</v>
      </c>
      <c r="F220">
        <v>74</v>
      </c>
      <c r="G220">
        <v>13</v>
      </c>
      <c r="H220">
        <v>87</v>
      </c>
    </row>
    <row r="221" spans="1:8" ht="15" x14ac:dyDescent="0.25">
      <c r="A221">
        <v>602</v>
      </c>
      <c r="B221" t="s">
        <v>226</v>
      </c>
      <c r="C221" t="s">
        <v>523</v>
      </c>
      <c r="D221" s="2">
        <v>3</v>
      </c>
      <c r="E221" s="2">
        <v>19</v>
      </c>
      <c r="F221">
        <v>22</v>
      </c>
      <c r="G221">
        <v>1</v>
      </c>
      <c r="H221">
        <v>23</v>
      </c>
    </row>
    <row r="222" spans="1:8" ht="15" x14ac:dyDescent="0.25">
      <c r="A222">
        <v>602</v>
      </c>
      <c r="B222" t="s">
        <v>227</v>
      </c>
      <c r="C222" t="s">
        <v>524</v>
      </c>
      <c r="D222" s="2">
        <v>18</v>
      </c>
      <c r="E222" s="2">
        <v>77</v>
      </c>
      <c r="F222">
        <v>95</v>
      </c>
      <c r="G222">
        <v>10</v>
      </c>
      <c r="H222">
        <v>103</v>
      </c>
    </row>
    <row r="223" spans="1:8" ht="15" x14ac:dyDescent="0.25">
      <c r="A223">
        <v>602</v>
      </c>
      <c r="B223" t="s">
        <v>228</v>
      </c>
      <c r="C223" t="s">
        <v>525</v>
      </c>
      <c r="D223" s="2">
        <v>3</v>
      </c>
      <c r="E223" s="2">
        <v>12</v>
      </c>
      <c r="F223">
        <v>15</v>
      </c>
      <c r="G223">
        <v>2</v>
      </c>
      <c r="H223">
        <v>17</v>
      </c>
    </row>
    <row r="224" spans="1:8" ht="15" x14ac:dyDescent="0.25">
      <c r="A224">
        <v>602</v>
      </c>
      <c r="B224" t="s">
        <v>229</v>
      </c>
      <c r="C224" t="s">
        <v>526</v>
      </c>
      <c r="D224" s="2">
        <v>5</v>
      </c>
      <c r="E224" s="2">
        <v>10</v>
      </c>
      <c r="F224">
        <v>15</v>
      </c>
      <c r="G224">
        <v>0</v>
      </c>
      <c r="H224">
        <v>15</v>
      </c>
    </row>
    <row r="225" spans="1:8" ht="15" x14ac:dyDescent="0.25">
      <c r="A225">
        <v>602</v>
      </c>
      <c r="B225" t="s">
        <v>230</v>
      </c>
      <c r="C225" t="s">
        <v>527</v>
      </c>
      <c r="D225" s="2">
        <v>14</v>
      </c>
      <c r="E225" s="2">
        <v>41</v>
      </c>
      <c r="F225">
        <v>55</v>
      </c>
      <c r="G225">
        <v>9</v>
      </c>
      <c r="H225">
        <v>64</v>
      </c>
    </row>
    <row r="226" spans="1:8" ht="15" x14ac:dyDescent="0.25">
      <c r="A226">
        <v>602</v>
      </c>
      <c r="B226" t="s">
        <v>231</v>
      </c>
      <c r="C226" t="s">
        <v>528</v>
      </c>
      <c r="D226" s="2">
        <v>12</v>
      </c>
      <c r="E226" s="2">
        <v>45</v>
      </c>
      <c r="F226">
        <v>57</v>
      </c>
      <c r="G226">
        <v>17</v>
      </c>
      <c r="H226">
        <v>74</v>
      </c>
    </row>
    <row r="227" spans="1:8" ht="15" x14ac:dyDescent="0.25">
      <c r="A227">
        <v>602</v>
      </c>
      <c r="B227" t="s">
        <v>232</v>
      </c>
      <c r="C227" t="s">
        <v>529</v>
      </c>
      <c r="D227" s="2">
        <v>4</v>
      </c>
      <c r="E227" s="2">
        <v>40</v>
      </c>
      <c r="F227">
        <v>44</v>
      </c>
      <c r="G227">
        <v>3</v>
      </c>
      <c r="H227">
        <v>47</v>
      </c>
    </row>
    <row r="228" spans="1:8" ht="15" x14ac:dyDescent="0.25">
      <c r="A228">
        <v>602</v>
      </c>
      <c r="B228" t="s">
        <v>233</v>
      </c>
      <c r="C228" t="s">
        <v>530</v>
      </c>
      <c r="D228" s="2">
        <v>5</v>
      </c>
      <c r="E228" s="2">
        <v>23</v>
      </c>
      <c r="F228">
        <v>28</v>
      </c>
      <c r="G228">
        <v>1</v>
      </c>
      <c r="H228">
        <v>29</v>
      </c>
    </row>
    <row r="229" spans="1:8" ht="15" x14ac:dyDescent="0.25">
      <c r="A229">
        <v>602</v>
      </c>
      <c r="B229" t="s">
        <v>234</v>
      </c>
      <c r="C229" t="s">
        <v>531</v>
      </c>
      <c r="D229" s="2">
        <v>37</v>
      </c>
      <c r="E229" s="2">
        <v>127</v>
      </c>
      <c r="F229">
        <v>164</v>
      </c>
      <c r="G229">
        <v>24</v>
      </c>
      <c r="H229">
        <v>188</v>
      </c>
    </row>
    <row r="230" spans="1:8" ht="15" x14ac:dyDescent="0.25">
      <c r="A230">
        <v>602</v>
      </c>
      <c r="B230" t="s">
        <v>235</v>
      </c>
      <c r="C230" t="s">
        <v>532</v>
      </c>
      <c r="D230" s="2">
        <v>11</v>
      </c>
      <c r="E230" s="2">
        <v>41</v>
      </c>
      <c r="F230">
        <v>52</v>
      </c>
      <c r="G230">
        <v>6</v>
      </c>
      <c r="H230">
        <v>57</v>
      </c>
    </row>
    <row r="231" spans="1:8" ht="15" x14ac:dyDescent="0.25">
      <c r="A231">
        <v>602</v>
      </c>
      <c r="B231" t="s">
        <v>236</v>
      </c>
      <c r="C231" t="s">
        <v>533</v>
      </c>
      <c r="D231" s="2">
        <v>47</v>
      </c>
      <c r="E231" s="2">
        <v>134</v>
      </c>
      <c r="F231">
        <v>181</v>
      </c>
      <c r="G231">
        <v>20</v>
      </c>
      <c r="H231">
        <v>200</v>
      </c>
    </row>
    <row r="232" spans="1:8" ht="15" x14ac:dyDescent="0.25">
      <c r="A232">
        <v>602</v>
      </c>
      <c r="B232" t="s">
        <v>237</v>
      </c>
      <c r="C232" t="s">
        <v>534</v>
      </c>
      <c r="D232" s="2">
        <v>31</v>
      </c>
      <c r="E232" s="2">
        <v>36</v>
      </c>
      <c r="F232">
        <v>67</v>
      </c>
      <c r="G232">
        <v>10</v>
      </c>
      <c r="H232">
        <v>77</v>
      </c>
    </row>
    <row r="233" spans="1:8" ht="15" x14ac:dyDescent="0.25">
      <c r="A233">
        <v>602</v>
      </c>
      <c r="B233" s="4" t="s">
        <v>238</v>
      </c>
      <c r="C233" s="4" t="s">
        <v>535</v>
      </c>
      <c r="D233" s="5">
        <v>6</v>
      </c>
      <c r="E233" s="5">
        <v>11</v>
      </c>
      <c r="F233" s="4">
        <v>17</v>
      </c>
      <c r="G233" s="4">
        <v>1</v>
      </c>
      <c r="H233" s="4">
        <v>18</v>
      </c>
    </row>
    <row r="234" spans="1:8" ht="15" x14ac:dyDescent="0.25">
      <c r="A234">
        <v>602</v>
      </c>
      <c r="B234" t="s">
        <v>368</v>
      </c>
      <c r="D234" s="2">
        <v>249</v>
      </c>
      <c r="E234" s="2">
        <v>862</v>
      </c>
      <c r="F234">
        <v>1111</v>
      </c>
      <c r="G234">
        <v>145</v>
      </c>
      <c r="H234">
        <v>1252</v>
      </c>
    </row>
    <row r="235" spans="1:8" ht="15" x14ac:dyDescent="0.25">
      <c r="D235" s="2"/>
      <c r="E235" s="2"/>
    </row>
    <row r="236" spans="1:8" ht="15" x14ac:dyDescent="0.25">
      <c r="A236">
        <v>603</v>
      </c>
      <c r="B236" t="s">
        <v>239</v>
      </c>
      <c r="C236" t="s">
        <v>536</v>
      </c>
      <c r="D236" s="2">
        <v>13</v>
      </c>
      <c r="E236" s="2">
        <v>77</v>
      </c>
      <c r="F236">
        <v>90</v>
      </c>
      <c r="G236">
        <v>12</v>
      </c>
      <c r="H236">
        <v>102</v>
      </c>
    </row>
    <row r="237" spans="1:8" ht="15" x14ac:dyDescent="0.25">
      <c r="A237">
        <v>603</v>
      </c>
      <c r="B237" t="s">
        <v>240</v>
      </c>
      <c r="C237" t="s">
        <v>537</v>
      </c>
      <c r="D237" s="2">
        <v>5</v>
      </c>
      <c r="E237" s="2">
        <v>45</v>
      </c>
      <c r="F237">
        <v>50</v>
      </c>
      <c r="G237">
        <v>1</v>
      </c>
      <c r="H237">
        <v>51</v>
      </c>
    </row>
    <row r="238" spans="1:8" ht="15" x14ac:dyDescent="0.25">
      <c r="A238">
        <v>603</v>
      </c>
      <c r="B238" t="s">
        <v>241</v>
      </c>
      <c r="C238" t="s">
        <v>538</v>
      </c>
      <c r="D238" s="2">
        <v>45</v>
      </c>
      <c r="E238" s="2">
        <v>215</v>
      </c>
      <c r="F238">
        <v>260</v>
      </c>
      <c r="G238">
        <v>29</v>
      </c>
      <c r="H238">
        <v>288</v>
      </c>
    </row>
    <row r="239" spans="1:8" ht="15" x14ac:dyDescent="0.25">
      <c r="A239">
        <v>603</v>
      </c>
      <c r="B239" t="s">
        <v>242</v>
      </c>
      <c r="C239" t="s">
        <v>539</v>
      </c>
      <c r="D239" s="2">
        <v>14</v>
      </c>
      <c r="E239" s="2">
        <v>68</v>
      </c>
      <c r="F239">
        <v>82</v>
      </c>
      <c r="G239">
        <v>6</v>
      </c>
      <c r="H239">
        <v>88</v>
      </c>
    </row>
    <row r="240" spans="1:8" ht="15" x14ac:dyDescent="0.25">
      <c r="A240">
        <v>603</v>
      </c>
      <c r="B240" t="s">
        <v>243</v>
      </c>
      <c r="C240" t="s">
        <v>540</v>
      </c>
      <c r="D240" s="2">
        <v>13</v>
      </c>
      <c r="E240" s="2">
        <v>67</v>
      </c>
      <c r="F240">
        <v>80</v>
      </c>
      <c r="G240">
        <v>1</v>
      </c>
      <c r="H240">
        <v>81</v>
      </c>
    </row>
    <row r="241" spans="1:8" ht="15" x14ac:dyDescent="0.25">
      <c r="A241">
        <v>603</v>
      </c>
      <c r="B241" t="s">
        <v>244</v>
      </c>
      <c r="C241" t="s">
        <v>541</v>
      </c>
      <c r="D241" s="2">
        <v>9</v>
      </c>
      <c r="E241" s="2">
        <v>24</v>
      </c>
      <c r="F241">
        <v>33</v>
      </c>
      <c r="G241">
        <v>1</v>
      </c>
      <c r="H241">
        <v>34</v>
      </c>
    </row>
    <row r="242" spans="1:8" ht="15" x14ac:dyDescent="0.25">
      <c r="A242">
        <v>603</v>
      </c>
      <c r="B242" t="s">
        <v>245</v>
      </c>
      <c r="C242" t="s">
        <v>542</v>
      </c>
      <c r="D242" s="2">
        <v>66</v>
      </c>
      <c r="E242" s="2">
        <v>266</v>
      </c>
      <c r="F242">
        <v>332</v>
      </c>
      <c r="G242">
        <v>65</v>
      </c>
      <c r="H242">
        <v>395</v>
      </c>
    </row>
    <row r="243" spans="1:8" ht="15" x14ac:dyDescent="0.25">
      <c r="A243">
        <v>603</v>
      </c>
      <c r="B243" s="4" t="s">
        <v>246</v>
      </c>
      <c r="C243" s="4" t="s">
        <v>543</v>
      </c>
      <c r="D243" s="5">
        <v>3</v>
      </c>
      <c r="E243" s="5">
        <v>28</v>
      </c>
      <c r="F243" s="4">
        <v>31</v>
      </c>
      <c r="G243" s="4">
        <v>1</v>
      </c>
      <c r="H243" s="4">
        <v>32</v>
      </c>
    </row>
    <row r="244" spans="1:8" ht="15" x14ac:dyDescent="0.25">
      <c r="A244">
        <v>603</v>
      </c>
      <c r="B244" t="s">
        <v>368</v>
      </c>
      <c r="D244" s="2">
        <v>168</v>
      </c>
      <c r="E244" s="2">
        <v>790</v>
      </c>
      <c r="F244">
        <v>958</v>
      </c>
      <c r="G244">
        <v>116</v>
      </c>
      <c r="H244">
        <v>1071</v>
      </c>
    </row>
    <row r="245" spans="1:8" ht="15" x14ac:dyDescent="0.25">
      <c r="D245" s="2"/>
      <c r="E245" s="2"/>
    </row>
    <row r="246" spans="1:8" ht="15" x14ac:dyDescent="0.25">
      <c r="A246">
        <v>605</v>
      </c>
      <c r="B246" t="s">
        <v>247</v>
      </c>
      <c r="C246" t="s">
        <v>544</v>
      </c>
      <c r="D246" s="2">
        <v>25</v>
      </c>
      <c r="E246" s="2">
        <v>64</v>
      </c>
      <c r="F246">
        <v>89</v>
      </c>
      <c r="G246">
        <v>17</v>
      </c>
      <c r="H246">
        <v>105</v>
      </c>
    </row>
    <row r="247" spans="1:8" ht="15" x14ac:dyDescent="0.25">
      <c r="A247">
        <v>605</v>
      </c>
      <c r="B247" t="s">
        <v>248</v>
      </c>
      <c r="C247" t="s">
        <v>545</v>
      </c>
      <c r="D247" s="2">
        <v>8</v>
      </c>
      <c r="E247" s="2">
        <v>39</v>
      </c>
      <c r="F247">
        <v>47</v>
      </c>
      <c r="G247">
        <v>3</v>
      </c>
      <c r="H247">
        <v>50</v>
      </c>
    </row>
    <row r="248" spans="1:8" ht="15" x14ac:dyDescent="0.25">
      <c r="A248">
        <v>605</v>
      </c>
      <c r="B248" t="s">
        <v>249</v>
      </c>
      <c r="C248" t="s">
        <v>546</v>
      </c>
      <c r="D248" s="2">
        <v>12</v>
      </c>
      <c r="E248" s="2">
        <v>50</v>
      </c>
      <c r="F248">
        <v>62</v>
      </c>
      <c r="G248">
        <v>2</v>
      </c>
      <c r="H248">
        <v>64</v>
      </c>
    </row>
    <row r="249" spans="1:8" ht="15" x14ac:dyDescent="0.25">
      <c r="A249">
        <v>605</v>
      </c>
      <c r="B249" t="s">
        <v>250</v>
      </c>
      <c r="C249" t="s">
        <v>547</v>
      </c>
      <c r="D249" s="2">
        <v>67</v>
      </c>
      <c r="E249" s="2">
        <v>201</v>
      </c>
      <c r="F249">
        <v>268</v>
      </c>
      <c r="G249">
        <v>19</v>
      </c>
      <c r="H249">
        <v>285</v>
      </c>
    </row>
    <row r="250" spans="1:8" ht="15" x14ac:dyDescent="0.25">
      <c r="A250">
        <v>605</v>
      </c>
      <c r="B250" t="s">
        <v>251</v>
      </c>
      <c r="C250" t="s">
        <v>548</v>
      </c>
      <c r="D250" s="2">
        <v>10</v>
      </c>
      <c r="E250" s="2">
        <v>32</v>
      </c>
      <c r="F250">
        <v>42</v>
      </c>
      <c r="G250">
        <v>0</v>
      </c>
      <c r="H250">
        <v>42</v>
      </c>
    </row>
    <row r="251" spans="1:8" ht="15" x14ac:dyDescent="0.25">
      <c r="A251">
        <v>605</v>
      </c>
      <c r="B251" t="s">
        <v>252</v>
      </c>
      <c r="C251" t="s">
        <v>549</v>
      </c>
      <c r="D251" s="2">
        <v>8</v>
      </c>
      <c r="E251" s="2">
        <v>44</v>
      </c>
      <c r="F251">
        <v>52</v>
      </c>
      <c r="G251">
        <v>15</v>
      </c>
      <c r="H251">
        <v>67</v>
      </c>
    </row>
    <row r="252" spans="1:8" ht="15" x14ac:dyDescent="0.25">
      <c r="A252">
        <v>605</v>
      </c>
      <c r="B252" t="s">
        <v>253</v>
      </c>
      <c r="C252" t="s">
        <v>550</v>
      </c>
      <c r="D252" s="2">
        <v>18</v>
      </c>
      <c r="E252" s="2">
        <v>50</v>
      </c>
      <c r="F252">
        <v>68</v>
      </c>
      <c r="G252">
        <v>13</v>
      </c>
      <c r="H252">
        <v>81</v>
      </c>
    </row>
    <row r="253" spans="1:8" ht="15" x14ac:dyDescent="0.25">
      <c r="A253">
        <v>605</v>
      </c>
      <c r="B253" t="s">
        <v>254</v>
      </c>
      <c r="C253" t="s">
        <v>551</v>
      </c>
      <c r="D253" s="2">
        <v>5</v>
      </c>
      <c r="E253" s="2">
        <v>36</v>
      </c>
      <c r="F253">
        <v>41</v>
      </c>
      <c r="G253">
        <v>5</v>
      </c>
      <c r="H253">
        <v>46</v>
      </c>
    </row>
    <row r="254" spans="1:8" ht="15" x14ac:dyDescent="0.25">
      <c r="A254">
        <v>605</v>
      </c>
      <c r="B254" t="s">
        <v>255</v>
      </c>
      <c r="C254" t="s">
        <v>552</v>
      </c>
      <c r="D254" s="2">
        <v>39</v>
      </c>
      <c r="E254" s="2">
        <v>124</v>
      </c>
      <c r="F254">
        <v>163</v>
      </c>
      <c r="G254">
        <v>12</v>
      </c>
      <c r="H254">
        <v>175</v>
      </c>
    </row>
    <row r="255" spans="1:8" ht="15" x14ac:dyDescent="0.25">
      <c r="A255">
        <v>605</v>
      </c>
      <c r="B255" t="s">
        <v>256</v>
      </c>
      <c r="C255" t="s">
        <v>553</v>
      </c>
      <c r="D255" s="2">
        <v>36</v>
      </c>
      <c r="E255" s="2">
        <v>169</v>
      </c>
      <c r="F255">
        <v>205</v>
      </c>
      <c r="G255">
        <v>44</v>
      </c>
      <c r="H255">
        <v>249</v>
      </c>
    </row>
    <row r="256" spans="1:8" ht="15" x14ac:dyDescent="0.25">
      <c r="A256">
        <v>605</v>
      </c>
      <c r="B256" t="s">
        <v>257</v>
      </c>
      <c r="C256" t="s">
        <v>554</v>
      </c>
      <c r="D256" s="2">
        <v>11</v>
      </c>
      <c r="E256" s="2">
        <v>48</v>
      </c>
      <c r="F256">
        <v>59</v>
      </c>
      <c r="G256">
        <v>5</v>
      </c>
      <c r="H256">
        <v>64</v>
      </c>
    </row>
    <row r="257" spans="1:8" ht="15" x14ac:dyDescent="0.25">
      <c r="A257">
        <v>605</v>
      </c>
      <c r="B257" t="s">
        <v>258</v>
      </c>
      <c r="C257" t="s">
        <v>555</v>
      </c>
      <c r="D257" s="2">
        <v>3</v>
      </c>
      <c r="E257" s="2">
        <v>41</v>
      </c>
      <c r="F257">
        <v>44</v>
      </c>
      <c r="G257">
        <v>39</v>
      </c>
      <c r="H257">
        <v>83</v>
      </c>
    </row>
    <row r="258" spans="1:8" ht="15" x14ac:dyDescent="0.25">
      <c r="A258">
        <v>605</v>
      </c>
      <c r="B258" t="s">
        <v>259</v>
      </c>
      <c r="C258" t="s">
        <v>556</v>
      </c>
      <c r="D258" s="2">
        <v>5</v>
      </c>
      <c r="E258" s="2">
        <v>10</v>
      </c>
      <c r="F258">
        <v>15</v>
      </c>
      <c r="G258">
        <v>0</v>
      </c>
      <c r="H258">
        <v>15</v>
      </c>
    </row>
    <row r="259" spans="1:8" ht="15" x14ac:dyDescent="0.25">
      <c r="A259">
        <v>605</v>
      </c>
      <c r="B259" s="4" t="s">
        <v>260</v>
      </c>
      <c r="C259" s="4" t="s">
        <v>557</v>
      </c>
      <c r="D259" s="5">
        <v>12</v>
      </c>
      <c r="E259" s="5">
        <v>20</v>
      </c>
      <c r="F259" s="4">
        <v>32</v>
      </c>
      <c r="G259" s="4">
        <v>0</v>
      </c>
      <c r="H259" s="4">
        <v>32</v>
      </c>
    </row>
    <row r="260" spans="1:8" ht="15" x14ac:dyDescent="0.25">
      <c r="A260">
        <v>605</v>
      </c>
      <c r="B260" t="s">
        <v>368</v>
      </c>
      <c r="D260" s="2">
        <v>259</v>
      </c>
      <c r="E260" s="2">
        <v>928</v>
      </c>
      <c r="F260">
        <v>1187</v>
      </c>
      <c r="G260">
        <v>174</v>
      </c>
      <c r="H260">
        <v>1358</v>
      </c>
    </row>
    <row r="261" spans="1:8" ht="15" x14ac:dyDescent="0.25">
      <c r="D261" s="2"/>
      <c r="E261" s="2"/>
    </row>
    <row r="262" spans="1:8" ht="15" x14ac:dyDescent="0.25">
      <c r="A262">
        <v>607</v>
      </c>
      <c r="B262" t="s">
        <v>261</v>
      </c>
      <c r="C262" t="s">
        <v>558</v>
      </c>
      <c r="D262" s="2">
        <v>15</v>
      </c>
      <c r="E262" s="2">
        <v>65</v>
      </c>
      <c r="F262">
        <v>80</v>
      </c>
      <c r="G262">
        <v>5</v>
      </c>
      <c r="H262">
        <v>85</v>
      </c>
    </row>
    <row r="263" spans="1:8" ht="15" x14ac:dyDescent="0.25">
      <c r="A263">
        <v>607</v>
      </c>
      <c r="B263" t="s">
        <v>262</v>
      </c>
      <c r="C263" t="s">
        <v>559</v>
      </c>
      <c r="D263" s="2">
        <v>41</v>
      </c>
      <c r="E263" s="2">
        <v>203</v>
      </c>
      <c r="F263">
        <v>244</v>
      </c>
      <c r="G263">
        <v>39</v>
      </c>
      <c r="H263">
        <v>283</v>
      </c>
    </row>
    <row r="264" spans="1:8" ht="15" x14ac:dyDescent="0.25">
      <c r="A264">
        <v>607</v>
      </c>
      <c r="B264" t="s">
        <v>263</v>
      </c>
      <c r="C264" t="s">
        <v>560</v>
      </c>
      <c r="D264" s="2">
        <v>73</v>
      </c>
      <c r="E264" s="2">
        <v>218</v>
      </c>
      <c r="F264">
        <v>291</v>
      </c>
      <c r="G264">
        <v>59</v>
      </c>
      <c r="H264">
        <v>349</v>
      </c>
    </row>
    <row r="265" spans="1:8" ht="15" x14ac:dyDescent="0.25">
      <c r="A265">
        <v>607</v>
      </c>
      <c r="B265" t="s">
        <v>264</v>
      </c>
      <c r="C265" t="s">
        <v>561</v>
      </c>
      <c r="D265" s="2">
        <v>19</v>
      </c>
      <c r="E265" s="2">
        <v>84</v>
      </c>
      <c r="F265">
        <v>103</v>
      </c>
      <c r="G265">
        <v>16</v>
      </c>
      <c r="H265">
        <v>119</v>
      </c>
    </row>
    <row r="266" spans="1:8" ht="15" x14ac:dyDescent="0.25">
      <c r="A266">
        <v>607</v>
      </c>
      <c r="B266" t="s">
        <v>265</v>
      </c>
      <c r="C266" t="s">
        <v>562</v>
      </c>
      <c r="D266" s="2">
        <v>24</v>
      </c>
      <c r="E266" s="2">
        <v>86</v>
      </c>
      <c r="F266">
        <v>110</v>
      </c>
      <c r="G266">
        <v>13</v>
      </c>
      <c r="H266">
        <v>123</v>
      </c>
    </row>
    <row r="267" spans="1:8" ht="15" x14ac:dyDescent="0.25">
      <c r="A267">
        <v>607</v>
      </c>
      <c r="B267" t="s">
        <v>266</v>
      </c>
      <c r="C267" t="s">
        <v>563</v>
      </c>
      <c r="D267" s="2">
        <v>15</v>
      </c>
      <c r="E267" s="2">
        <v>111</v>
      </c>
      <c r="F267">
        <v>126</v>
      </c>
      <c r="G267">
        <v>9</v>
      </c>
      <c r="H267">
        <v>135</v>
      </c>
    </row>
    <row r="268" spans="1:8" ht="15" x14ac:dyDescent="0.25">
      <c r="A268">
        <v>607</v>
      </c>
      <c r="B268" s="4" t="s">
        <v>267</v>
      </c>
      <c r="C268" s="4" t="s">
        <v>564</v>
      </c>
      <c r="D268" s="5">
        <v>64</v>
      </c>
      <c r="E268" s="5">
        <v>164</v>
      </c>
      <c r="F268" s="4">
        <v>228</v>
      </c>
      <c r="G268" s="4">
        <v>45</v>
      </c>
      <c r="H268" s="4">
        <v>272</v>
      </c>
    </row>
    <row r="269" spans="1:8" ht="15" x14ac:dyDescent="0.25">
      <c r="A269">
        <v>607</v>
      </c>
      <c r="B269" t="s">
        <v>368</v>
      </c>
      <c r="D269" s="2">
        <v>251</v>
      </c>
      <c r="E269" s="2">
        <v>931</v>
      </c>
      <c r="F269">
        <v>1182</v>
      </c>
      <c r="G269">
        <v>186</v>
      </c>
      <c r="H269">
        <v>1366</v>
      </c>
    </row>
    <row r="270" spans="1:8" ht="15" x14ac:dyDescent="0.25">
      <c r="D270" s="2"/>
      <c r="E270" s="2"/>
    </row>
    <row r="271" spans="1:8" ht="15" x14ac:dyDescent="0.25">
      <c r="A271">
        <v>608</v>
      </c>
      <c r="B271" t="s">
        <v>268</v>
      </c>
      <c r="C271" t="s">
        <v>565</v>
      </c>
      <c r="D271" s="2">
        <v>11</v>
      </c>
      <c r="E271" s="2">
        <v>49</v>
      </c>
      <c r="F271">
        <v>60</v>
      </c>
      <c r="G271">
        <v>5</v>
      </c>
      <c r="H271">
        <v>65</v>
      </c>
    </row>
    <row r="272" spans="1:8" ht="15" x14ac:dyDescent="0.25">
      <c r="A272">
        <v>608</v>
      </c>
      <c r="B272" t="s">
        <v>269</v>
      </c>
      <c r="C272" t="s">
        <v>566</v>
      </c>
      <c r="D272" s="2">
        <v>18</v>
      </c>
      <c r="E272" s="2">
        <v>63</v>
      </c>
      <c r="F272">
        <v>81</v>
      </c>
      <c r="G272">
        <v>9</v>
      </c>
      <c r="H272">
        <v>90</v>
      </c>
    </row>
    <row r="273" spans="1:8" ht="15" x14ac:dyDescent="0.25">
      <c r="A273">
        <v>608</v>
      </c>
      <c r="B273" t="s">
        <v>270</v>
      </c>
      <c r="C273" t="s">
        <v>567</v>
      </c>
      <c r="D273" s="2">
        <v>16</v>
      </c>
      <c r="E273" s="2">
        <v>90</v>
      </c>
      <c r="F273">
        <v>106</v>
      </c>
      <c r="G273">
        <v>10</v>
      </c>
      <c r="H273">
        <v>116</v>
      </c>
    </row>
    <row r="274" spans="1:8" ht="15" x14ac:dyDescent="0.25">
      <c r="A274">
        <v>608</v>
      </c>
      <c r="B274" t="s">
        <v>271</v>
      </c>
      <c r="C274" t="s">
        <v>568</v>
      </c>
      <c r="D274" s="2">
        <v>14</v>
      </c>
      <c r="E274" s="2">
        <v>101</v>
      </c>
      <c r="F274">
        <v>115</v>
      </c>
      <c r="G274">
        <v>8</v>
      </c>
      <c r="H274">
        <v>121</v>
      </c>
    </row>
    <row r="275" spans="1:8" ht="15" x14ac:dyDescent="0.25">
      <c r="A275">
        <v>608</v>
      </c>
      <c r="B275" t="s">
        <v>272</v>
      </c>
      <c r="C275" t="s">
        <v>569</v>
      </c>
      <c r="D275" s="2">
        <v>10</v>
      </c>
      <c r="E275" s="2">
        <v>76</v>
      </c>
      <c r="F275">
        <v>86</v>
      </c>
      <c r="G275">
        <v>0</v>
      </c>
      <c r="H275">
        <v>86</v>
      </c>
    </row>
    <row r="276" spans="1:8" ht="15" x14ac:dyDescent="0.25">
      <c r="A276">
        <v>608</v>
      </c>
      <c r="B276" t="s">
        <v>273</v>
      </c>
      <c r="C276" t="s">
        <v>570</v>
      </c>
      <c r="D276" s="2">
        <v>14</v>
      </c>
      <c r="E276" s="2">
        <v>145</v>
      </c>
      <c r="F276">
        <v>159</v>
      </c>
      <c r="G276">
        <v>22</v>
      </c>
      <c r="H276">
        <v>180</v>
      </c>
    </row>
    <row r="277" spans="1:8" ht="15" x14ac:dyDescent="0.25">
      <c r="A277">
        <v>608</v>
      </c>
      <c r="B277" s="4" t="s">
        <v>274</v>
      </c>
      <c r="C277" s="4" t="s">
        <v>571</v>
      </c>
      <c r="D277" s="5">
        <v>10</v>
      </c>
      <c r="E277" s="5">
        <v>101</v>
      </c>
      <c r="F277" s="4">
        <v>111</v>
      </c>
      <c r="G277" s="4">
        <v>2</v>
      </c>
      <c r="H277" s="4">
        <v>113</v>
      </c>
    </row>
    <row r="278" spans="1:8" ht="15" x14ac:dyDescent="0.25">
      <c r="A278">
        <v>608</v>
      </c>
      <c r="B278" t="s">
        <v>368</v>
      </c>
      <c r="D278" s="2">
        <v>93</v>
      </c>
      <c r="E278" s="2">
        <v>625</v>
      </c>
      <c r="F278">
        <v>718</v>
      </c>
      <c r="G278">
        <v>56</v>
      </c>
      <c r="H278">
        <v>771</v>
      </c>
    </row>
    <row r="279" spans="1:8" ht="15" x14ac:dyDescent="0.25">
      <c r="D279" s="2"/>
      <c r="E279" s="2"/>
    </row>
    <row r="280" spans="1:8" ht="15" x14ac:dyDescent="0.25">
      <c r="A280">
        <v>610</v>
      </c>
      <c r="B280" t="s">
        <v>275</v>
      </c>
      <c r="C280" t="s">
        <v>572</v>
      </c>
      <c r="D280" s="2">
        <v>43</v>
      </c>
      <c r="E280" s="2">
        <v>157</v>
      </c>
      <c r="F280">
        <v>200</v>
      </c>
      <c r="G280">
        <v>13</v>
      </c>
      <c r="H280">
        <v>212</v>
      </c>
    </row>
    <row r="281" spans="1:8" ht="15" x14ac:dyDescent="0.25">
      <c r="A281">
        <v>610</v>
      </c>
      <c r="B281" t="s">
        <v>276</v>
      </c>
      <c r="C281" t="s">
        <v>573</v>
      </c>
      <c r="D281" s="2">
        <v>9</v>
      </c>
      <c r="E281" s="2">
        <v>34</v>
      </c>
      <c r="F281">
        <v>43</v>
      </c>
      <c r="G281">
        <v>5</v>
      </c>
      <c r="H281">
        <v>48</v>
      </c>
    </row>
    <row r="282" spans="1:8" ht="15" x14ac:dyDescent="0.25">
      <c r="A282">
        <v>610</v>
      </c>
      <c r="B282" t="s">
        <v>277</v>
      </c>
      <c r="C282" t="s">
        <v>574</v>
      </c>
      <c r="D282" s="2">
        <v>9</v>
      </c>
      <c r="E282" s="2">
        <v>12</v>
      </c>
      <c r="F282">
        <v>21</v>
      </c>
      <c r="G282">
        <v>5</v>
      </c>
      <c r="H282">
        <v>26</v>
      </c>
    </row>
    <row r="283" spans="1:8" ht="15" x14ac:dyDescent="0.25">
      <c r="A283">
        <v>610</v>
      </c>
      <c r="B283" t="s">
        <v>278</v>
      </c>
      <c r="C283" t="s">
        <v>575</v>
      </c>
      <c r="D283" s="2">
        <v>26</v>
      </c>
      <c r="E283" s="2">
        <v>110</v>
      </c>
      <c r="F283">
        <v>136</v>
      </c>
      <c r="G283">
        <v>19</v>
      </c>
      <c r="H283">
        <v>155</v>
      </c>
    </row>
    <row r="284" spans="1:8" ht="15" x14ac:dyDescent="0.25">
      <c r="A284">
        <v>610</v>
      </c>
      <c r="B284" s="4" t="s">
        <v>279</v>
      </c>
      <c r="C284" s="4" t="s">
        <v>576</v>
      </c>
      <c r="D284" s="5">
        <v>48</v>
      </c>
      <c r="E284" s="5">
        <v>220</v>
      </c>
      <c r="F284" s="4">
        <v>268</v>
      </c>
      <c r="G284" s="4">
        <v>48</v>
      </c>
      <c r="H284" s="4">
        <v>315</v>
      </c>
    </row>
    <row r="285" spans="1:8" ht="15" x14ac:dyDescent="0.25">
      <c r="A285">
        <v>610</v>
      </c>
      <c r="B285" t="s">
        <v>368</v>
      </c>
      <c r="D285" s="2">
        <v>135</v>
      </c>
      <c r="E285" s="2">
        <v>533</v>
      </c>
      <c r="F285">
        <v>668</v>
      </c>
      <c r="G285">
        <v>90</v>
      </c>
      <c r="H285">
        <v>756</v>
      </c>
    </row>
    <row r="286" spans="1:8" ht="15" x14ac:dyDescent="0.25">
      <c r="D286" s="2"/>
      <c r="E286" s="2"/>
    </row>
    <row r="287" spans="1:8" ht="15" x14ac:dyDescent="0.25">
      <c r="A287">
        <v>611</v>
      </c>
      <c r="B287" t="s">
        <v>280</v>
      </c>
      <c r="C287" t="s">
        <v>577</v>
      </c>
      <c r="D287" s="2">
        <v>9</v>
      </c>
      <c r="E287" s="2">
        <v>20</v>
      </c>
      <c r="F287">
        <v>29</v>
      </c>
      <c r="G287">
        <v>5</v>
      </c>
      <c r="H287">
        <v>34</v>
      </c>
    </row>
    <row r="288" spans="1:8" ht="15" x14ac:dyDescent="0.25">
      <c r="A288">
        <v>611</v>
      </c>
      <c r="B288" t="s">
        <v>281</v>
      </c>
      <c r="C288" t="s">
        <v>578</v>
      </c>
      <c r="E288" s="2">
        <v>10</v>
      </c>
      <c r="F288">
        <v>10</v>
      </c>
      <c r="G288">
        <v>4</v>
      </c>
      <c r="H288">
        <v>14</v>
      </c>
    </row>
    <row r="289" spans="1:8" ht="15" x14ac:dyDescent="0.25">
      <c r="A289">
        <v>611</v>
      </c>
      <c r="B289" t="s">
        <v>282</v>
      </c>
      <c r="C289" t="s">
        <v>579</v>
      </c>
      <c r="D289" s="2">
        <v>16</v>
      </c>
      <c r="E289" s="2">
        <v>71</v>
      </c>
      <c r="F289">
        <v>87</v>
      </c>
      <c r="G289">
        <v>5</v>
      </c>
      <c r="H289">
        <v>92</v>
      </c>
    </row>
    <row r="290" spans="1:8" ht="15" x14ac:dyDescent="0.25">
      <c r="A290">
        <v>611</v>
      </c>
      <c r="B290" t="s">
        <v>283</v>
      </c>
      <c r="C290" t="s">
        <v>580</v>
      </c>
      <c r="D290" s="2">
        <v>39</v>
      </c>
      <c r="E290" s="2">
        <v>170</v>
      </c>
      <c r="F290">
        <v>209</v>
      </c>
      <c r="G290">
        <v>27</v>
      </c>
      <c r="H290">
        <v>236</v>
      </c>
    </row>
    <row r="291" spans="1:8" ht="15" x14ac:dyDescent="0.25">
      <c r="A291">
        <v>611</v>
      </c>
      <c r="B291" t="s">
        <v>284</v>
      </c>
      <c r="C291" t="s">
        <v>581</v>
      </c>
      <c r="D291" s="2">
        <v>15</v>
      </c>
      <c r="E291" s="2">
        <v>56</v>
      </c>
      <c r="F291">
        <v>71</v>
      </c>
      <c r="G291">
        <v>14</v>
      </c>
      <c r="H291">
        <v>85</v>
      </c>
    </row>
    <row r="292" spans="1:8" ht="15" x14ac:dyDescent="0.25">
      <c r="A292">
        <v>611</v>
      </c>
      <c r="B292" t="s">
        <v>285</v>
      </c>
      <c r="C292" t="s">
        <v>582</v>
      </c>
      <c r="D292" s="2">
        <v>16</v>
      </c>
      <c r="E292" s="2">
        <v>32</v>
      </c>
      <c r="F292">
        <v>48</v>
      </c>
      <c r="G292">
        <v>6</v>
      </c>
      <c r="H292">
        <v>54</v>
      </c>
    </row>
    <row r="293" spans="1:8" ht="15" x14ac:dyDescent="0.25">
      <c r="A293">
        <v>611</v>
      </c>
      <c r="B293" t="s">
        <v>286</v>
      </c>
      <c r="C293" t="s">
        <v>583</v>
      </c>
      <c r="D293" s="2">
        <v>3</v>
      </c>
      <c r="E293" s="2">
        <v>16</v>
      </c>
      <c r="F293">
        <v>19</v>
      </c>
      <c r="G293">
        <v>4</v>
      </c>
      <c r="H293">
        <v>23</v>
      </c>
    </row>
    <row r="294" spans="1:8" ht="15" x14ac:dyDescent="0.25">
      <c r="A294">
        <v>611</v>
      </c>
      <c r="B294" t="s">
        <v>287</v>
      </c>
      <c r="C294" t="s">
        <v>584</v>
      </c>
      <c r="D294" s="2">
        <v>23</v>
      </c>
      <c r="E294" s="2">
        <v>39</v>
      </c>
      <c r="F294">
        <v>62</v>
      </c>
      <c r="G294">
        <v>5</v>
      </c>
      <c r="H294">
        <v>67</v>
      </c>
    </row>
    <row r="295" spans="1:8" ht="15" x14ac:dyDescent="0.25">
      <c r="A295">
        <v>611</v>
      </c>
      <c r="B295" t="s">
        <v>288</v>
      </c>
      <c r="C295" t="s">
        <v>585</v>
      </c>
      <c r="D295" s="2">
        <v>18</v>
      </c>
      <c r="E295" s="2">
        <v>80</v>
      </c>
      <c r="F295">
        <v>98</v>
      </c>
      <c r="G295">
        <v>22</v>
      </c>
      <c r="H295">
        <v>120</v>
      </c>
    </row>
    <row r="296" spans="1:8" ht="15" x14ac:dyDescent="0.25">
      <c r="A296">
        <v>611</v>
      </c>
      <c r="B296" t="s">
        <v>289</v>
      </c>
      <c r="C296" t="s">
        <v>586</v>
      </c>
      <c r="D296" s="2">
        <v>3</v>
      </c>
      <c r="E296" s="2">
        <v>18</v>
      </c>
      <c r="F296">
        <v>21</v>
      </c>
      <c r="G296">
        <v>5</v>
      </c>
      <c r="H296">
        <v>26</v>
      </c>
    </row>
    <row r="297" spans="1:8" ht="15" x14ac:dyDescent="0.25">
      <c r="A297">
        <v>611</v>
      </c>
      <c r="B297" t="s">
        <v>290</v>
      </c>
      <c r="C297" t="s">
        <v>587</v>
      </c>
      <c r="D297" s="2">
        <v>6</v>
      </c>
      <c r="E297" s="2">
        <v>29</v>
      </c>
      <c r="F297">
        <v>35</v>
      </c>
      <c r="G297">
        <v>14</v>
      </c>
      <c r="H297">
        <v>49</v>
      </c>
    </row>
    <row r="298" spans="1:8" ht="15" x14ac:dyDescent="0.25">
      <c r="A298">
        <v>611</v>
      </c>
      <c r="B298" t="s">
        <v>291</v>
      </c>
      <c r="C298" t="s">
        <v>588</v>
      </c>
      <c r="D298" s="2">
        <v>10</v>
      </c>
      <c r="E298" s="2">
        <v>37</v>
      </c>
      <c r="F298">
        <v>47</v>
      </c>
      <c r="G298">
        <v>6</v>
      </c>
      <c r="H298">
        <v>53</v>
      </c>
    </row>
    <row r="299" spans="1:8" ht="15" x14ac:dyDescent="0.25">
      <c r="A299">
        <v>611</v>
      </c>
      <c r="B299" t="s">
        <v>292</v>
      </c>
      <c r="C299" t="s">
        <v>589</v>
      </c>
      <c r="D299" s="2">
        <v>29</v>
      </c>
      <c r="E299" s="2">
        <v>82</v>
      </c>
      <c r="F299">
        <v>111</v>
      </c>
      <c r="G299">
        <v>11</v>
      </c>
      <c r="H299">
        <v>122</v>
      </c>
    </row>
    <row r="300" spans="1:8" ht="15" x14ac:dyDescent="0.25">
      <c r="A300">
        <v>611</v>
      </c>
      <c r="B300" t="s">
        <v>293</v>
      </c>
      <c r="C300" t="s">
        <v>590</v>
      </c>
      <c r="D300" s="2">
        <v>15</v>
      </c>
      <c r="E300" s="2">
        <v>34</v>
      </c>
      <c r="F300">
        <v>49</v>
      </c>
      <c r="G300">
        <v>10</v>
      </c>
      <c r="H300">
        <v>59</v>
      </c>
    </row>
    <row r="301" spans="1:8" ht="15" x14ac:dyDescent="0.25">
      <c r="A301">
        <v>611</v>
      </c>
      <c r="B301" t="s">
        <v>294</v>
      </c>
      <c r="C301" t="s">
        <v>591</v>
      </c>
      <c r="D301" s="2">
        <v>3</v>
      </c>
      <c r="E301" s="2">
        <v>10</v>
      </c>
      <c r="F301">
        <v>13</v>
      </c>
      <c r="G301">
        <v>0</v>
      </c>
      <c r="H301">
        <v>13</v>
      </c>
    </row>
    <row r="302" spans="1:8" ht="15" x14ac:dyDescent="0.25">
      <c r="A302">
        <v>611</v>
      </c>
      <c r="B302" t="s">
        <v>295</v>
      </c>
      <c r="C302" t="s">
        <v>592</v>
      </c>
      <c r="D302" s="2">
        <v>14</v>
      </c>
      <c r="E302" s="2">
        <v>42</v>
      </c>
      <c r="F302">
        <v>56</v>
      </c>
      <c r="G302">
        <v>4</v>
      </c>
      <c r="H302">
        <v>60</v>
      </c>
    </row>
    <row r="303" spans="1:8" ht="15" x14ac:dyDescent="0.25">
      <c r="A303">
        <v>611</v>
      </c>
      <c r="B303" s="4" t="s">
        <v>296</v>
      </c>
      <c r="C303" s="4" t="s">
        <v>593</v>
      </c>
      <c r="D303" s="5">
        <v>5</v>
      </c>
      <c r="E303" s="5">
        <v>25</v>
      </c>
      <c r="F303" s="4">
        <v>30</v>
      </c>
      <c r="G303" s="4">
        <v>0</v>
      </c>
      <c r="H303" s="4">
        <v>30</v>
      </c>
    </row>
    <row r="304" spans="1:8" ht="15" x14ac:dyDescent="0.25">
      <c r="A304">
        <v>611</v>
      </c>
      <c r="B304" t="s">
        <v>368</v>
      </c>
      <c r="D304" s="2">
        <v>224</v>
      </c>
      <c r="E304" s="2">
        <v>771</v>
      </c>
      <c r="F304">
        <v>995</v>
      </c>
      <c r="G304">
        <v>142</v>
      </c>
      <c r="H304">
        <v>1137</v>
      </c>
    </row>
    <row r="305" spans="1:8" ht="15" x14ac:dyDescent="0.25">
      <c r="D305" s="2"/>
      <c r="E305" s="2"/>
    </row>
    <row r="306" spans="1:8" ht="15" x14ac:dyDescent="0.25">
      <c r="A306">
        <v>613</v>
      </c>
      <c r="B306" t="s">
        <v>297</v>
      </c>
      <c r="C306" t="s">
        <v>594</v>
      </c>
      <c r="D306" s="2">
        <v>11</v>
      </c>
      <c r="E306" s="2">
        <v>53</v>
      </c>
      <c r="F306">
        <v>64</v>
      </c>
      <c r="G306">
        <v>18</v>
      </c>
      <c r="H306">
        <v>82</v>
      </c>
    </row>
    <row r="307" spans="1:8" ht="15" x14ac:dyDescent="0.25">
      <c r="A307">
        <v>613</v>
      </c>
      <c r="B307" t="s">
        <v>298</v>
      </c>
      <c r="C307" t="s">
        <v>595</v>
      </c>
      <c r="D307" s="2">
        <v>2</v>
      </c>
      <c r="E307" s="2">
        <v>29</v>
      </c>
      <c r="F307">
        <v>31</v>
      </c>
      <c r="G307">
        <v>0</v>
      </c>
      <c r="H307">
        <v>31</v>
      </c>
    </row>
    <row r="308" spans="1:8" ht="15" x14ac:dyDescent="0.25">
      <c r="A308">
        <v>613</v>
      </c>
      <c r="B308" t="s">
        <v>299</v>
      </c>
      <c r="C308" t="s">
        <v>596</v>
      </c>
      <c r="D308" s="2">
        <v>5</v>
      </c>
      <c r="E308" s="2">
        <v>31</v>
      </c>
      <c r="F308">
        <v>36</v>
      </c>
      <c r="G308">
        <v>0</v>
      </c>
      <c r="H308">
        <v>36</v>
      </c>
    </row>
    <row r="309" spans="1:8" ht="15" x14ac:dyDescent="0.25">
      <c r="A309">
        <v>613</v>
      </c>
      <c r="B309" t="s">
        <v>300</v>
      </c>
      <c r="C309" t="s">
        <v>597</v>
      </c>
      <c r="D309" s="2">
        <v>4</v>
      </c>
      <c r="E309" s="2">
        <v>30</v>
      </c>
      <c r="F309">
        <v>34</v>
      </c>
      <c r="G309">
        <v>12</v>
      </c>
      <c r="H309">
        <v>45</v>
      </c>
    </row>
    <row r="310" spans="1:8" ht="15" x14ac:dyDescent="0.25">
      <c r="A310">
        <v>613</v>
      </c>
      <c r="B310" t="s">
        <v>301</v>
      </c>
      <c r="C310" t="s">
        <v>598</v>
      </c>
      <c r="D310" s="2">
        <v>5</v>
      </c>
      <c r="E310" s="2">
        <v>27</v>
      </c>
      <c r="F310">
        <v>32</v>
      </c>
      <c r="G310">
        <v>3</v>
      </c>
      <c r="H310">
        <v>35</v>
      </c>
    </row>
    <row r="311" spans="1:8" ht="15" x14ac:dyDescent="0.25">
      <c r="A311">
        <v>613</v>
      </c>
      <c r="B311" t="s">
        <v>302</v>
      </c>
      <c r="C311" t="s">
        <v>599</v>
      </c>
      <c r="D311" s="2">
        <v>21</v>
      </c>
      <c r="E311" s="2">
        <v>46</v>
      </c>
      <c r="F311">
        <v>67</v>
      </c>
      <c r="G311">
        <v>0</v>
      </c>
      <c r="H311">
        <v>67</v>
      </c>
    </row>
    <row r="312" spans="1:8" ht="15" x14ac:dyDescent="0.25">
      <c r="A312">
        <v>613</v>
      </c>
      <c r="B312" t="s">
        <v>303</v>
      </c>
      <c r="C312" t="s">
        <v>600</v>
      </c>
      <c r="D312" s="2">
        <v>15</v>
      </c>
      <c r="E312" s="2">
        <v>31</v>
      </c>
      <c r="F312">
        <v>46</v>
      </c>
      <c r="G312">
        <v>0</v>
      </c>
      <c r="H312">
        <v>46</v>
      </c>
    </row>
    <row r="313" spans="1:8" ht="15" x14ac:dyDescent="0.25">
      <c r="A313">
        <v>613</v>
      </c>
      <c r="B313" t="s">
        <v>304</v>
      </c>
      <c r="C313" t="s">
        <v>601</v>
      </c>
      <c r="D313" s="2">
        <v>17</v>
      </c>
      <c r="E313" s="2">
        <v>38</v>
      </c>
      <c r="F313">
        <v>55</v>
      </c>
      <c r="G313">
        <v>0</v>
      </c>
      <c r="H313">
        <v>55</v>
      </c>
    </row>
    <row r="314" spans="1:8" ht="15" x14ac:dyDescent="0.25">
      <c r="A314">
        <v>613</v>
      </c>
      <c r="B314" t="s">
        <v>305</v>
      </c>
      <c r="C314" t="s">
        <v>602</v>
      </c>
      <c r="D314" s="2">
        <v>3</v>
      </c>
      <c r="E314" s="2">
        <v>37</v>
      </c>
      <c r="F314">
        <v>40</v>
      </c>
      <c r="G314">
        <v>24</v>
      </c>
      <c r="H314">
        <v>64</v>
      </c>
    </row>
    <row r="315" spans="1:8" ht="15" x14ac:dyDescent="0.25">
      <c r="A315">
        <v>613</v>
      </c>
      <c r="B315" t="s">
        <v>306</v>
      </c>
      <c r="C315" t="s">
        <v>603</v>
      </c>
      <c r="D315" s="2">
        <v>64</v>
      </c>
      <c r="E315" s="2">
        <v>691</v>
      </c>
      <c r="F315">
        <v>755</v>
      </c>
      <c r="G315">
        <v>217</v>
      </c>
      <c r="H315">
        <v>966</v>
      </c>
    </row>
    <row r="316" spans="1:8" ht="15" x14ac:dyDescent="0.25">
      <c r="A316">
        <v>613</v>
      </c>
      <c r="B316" t="s">
        <v>307</v>
      </c>
      <c r="C316" t="s">
        <v>604</v>
      </c>
      <c r="D316" s="2">
        <v>12</v>
      </c>
      <c r="E316" s="2">
        <v>33</v>
      </c>
      <c r="F316">
        <v>45</v>
      </c>
      <c r="G316">
        <v>8</v>
      </c>
      <c r="H316">
        <v>53</v>
      </c>
    </row>
    <row r="317" spans="1:8" ht="15" x14ac:dyDescent="0.25">
      <c r="A317">
        <v>613</v>
      </c>
      <c r="B317" t="s">
        <v>308</v>
      </c>
      <c r="C317" t="s">
        <v>605</v>
      </c>
      <c r="E317" s="2">
        <v>19</v>
      </c>
      <c r="F317">
        <v>19</v>
      </c>
      <c r="G317">
        <v>5</v>
      </c>
      <c r="H317">
        <v>24</v>
      </c>
    </row>
    <row r="318" spans="1:8" ht="15" x14ac:dyDescent="0.25">
      <c r="A318">
        <v>613</v>
      </c>
      <c r="B318" t="s">
        <v>309</v>
      </c>
      <c r="C318" t="s">
        <v>606</v>
      </c>
      <c r="D318" s="2">
        <v>12</v>
      </c>
      <c r="E318" s="2">
        <v>35</v>
      </c>
      <c r="F318">
        <v>47</v>
      </c>
      <c r="G318">
        <v>0</v>
      </c>
      <c r="H318">
        <v>47</v>
      </c>
    </row>
    <row r="319" spans="1:8" ht="15" x14ac:dyDescent="0.25">
      <c r="A319">
        <v>613</v>
      </c>
      <c r="B319" s="4" t="s">
        <v>310</v>
      </c>
      <c r="C319" s="4" t="s">
        <v>607</v>
      </c>
      <c r="D319" s="5">
        <v>21</v>
      </c>
      <c r="E319" s="5">
        <v>85</v>
      </c>
      <c r="F319" s="4">
        <v>106</v>
      </c>
      <c r="G319" s="4">
        <v>33</v>
      </c>
      <c r="H319" s="4">
        <v>138</v>
      </c>
    </row>
    <row r="320" spans="1:8" ht="15" x14ac:dyDescent="0.25">
      <c r="A320">
        <v>613</v>
      </c>
      <c r="B320" t="s">
        <v>368</v>
      </c>
      <c r="D320" s="2">
        <v>192</v>
      </c>
      <c r="E320" s="2">
        <v>1185</v>
      </c>
      <c r="F320">
        <v>1377</v>
      </c>
      <c r="G320">
        <v>320</v>
      </c>
      <c r="H320">
        <v>1689</v>
      </c>
    </row>
    <row r="321" spans="1:8" ht="15" x14ac:dyDescent="0.25">
      <c r="D321" s="2"/>
      <c r="E321" s="2"/>
    </row>
    <row r="322" spans="1:8" ht="15" x14ac:dyDescent="0.25">
      <c r="A322">
        <v>614</v>
      </c>
      <c r="B322" t="s">
        <v>311</v>
      </c>
      <c r="C322" t="s">
        <v>608</v>
      </c>
      <c r="D322" s="2">
        <v>33</v>
      </c>
      <c r="E322" s="2">
        <v>106</v>
      </c>
      <c r="F322">
        <v>139</v>
      </c>
      <c r="G322">
        <v>24</v>
      </c>
      <c r="H322">
        <v>163</v>
      </c>
    </row>
    <row r="323" spans="1:8" ht="15" x14ac:dyDescent="0.25">
      <c r="A323">
        <v>614</v>
      </c>
      <c r="B323" t="s">
        <v>312</v>
      </c>
      <c r="C323" t="s">
        <v>609</v>
      </c>
      <c r="D323" s="2">
        <v>21</v>
      </c>
      <c r="E323" s="2">
        <v>162</v>
      </c>
      <c r="F323">
        <v>183</v>
      </c>
      <c r="G323">
        <v>49</v>
      </c>
      <c r="H323">
        <v>231</v>
      </c>
    </row>
    <row r="324" spans="1:8" ht="15" x14ac:dyDescent="0.25">
      <c r="A324">
        <v>614</v>
      </c>
      <c r="B324" s="4" t="s">
        <v>313</v>
      </c>
      <c r="C324" s="4" t="s">
        <v>610</v>
      </c>
      <c r="D324" s="5">
        <v>51</v>
      </c>
      <c r="E324" s="5">
        <v>180</v>
      </c>
      <c r="F324" s="4">
        <v>231</v>
      </c>
      <c r="G324" s="4">
        <v>42</v>
      </c>
      <c r="H324" s="4">
        <v>273</v>
      </c>
    </row>
    <row r="325" spans="1:8" ht="15" x14ac:dyDescent="0.25">
      <c r="A325">
        <v>614</v>
      </c>
      <c r="B325" t="s">
        <v>368</v>
      </c>
      <c r="D325" s="2">
        <v>105</v>
      </c>
      <c r="E325" s="2">
        <v>448</v>
      </c>
      <c r="F325">
        <v>553</v>
      </c>
      <c r="G325">
        <v>115</v>
      </c>
      <c r="H325">
        <v>667</v>
      </c>
    </row>
    <row r="326" spans="1:8" ht="15" x14ac:dyDescent="0.25">
      <c r="D326" s="2"/>
      <c r="E326" s="2"/>
    </row>
    <row r="327" spans="1:8" ht="15" x14ac:dyDescent="0.25">
      <c r="A327">
        <v>615</v>
      </c>
      <c r="B327" t="s">
        <v>314</v>
      </c>
      <c r="C327" t="s">
        <v>611</v>
      </c>
      <c r="D327" s="2">
        <v>25</v>
      </c>
      <c r="E327" s="2">
        <v>112</v>
      </c>
      <c r="F327">
        <v>137</v>
      </c>
      <c r="G327">
        <v>35</v>
      </c>
      <c r="H327">
        <v>172</v>
      </c>
    </row>
    <row r="328" spans="1:8" ht="15" x14ac:dyDescent="0.25">
      <c r="A328">
        <v>615</v>
      </c>
      <c r="B328" s="4" t="s">
        <v>315</v>
      </c>
      <c r="C328" s="4" t="s">
        <v>612</v>
      </c>
      <c r="D328" s="5">
        <v>16</v>
      </c>
      <c r="E328" s="5">
        <v>103</v>
      </c>
      <c r="F328" s="4">
        <v>119</v>
      </c>
      <c r="G328" s="4">
        <v>30</v>
      </c>
      <c r="H328" s="4">
        <v>149</v>
      </c>
    </row>
    <row r="329" spans="1:8" ht="15" x14ac:dyDescent="0.25">
      <c r="A329">
        <v>615</v>
      </c>
      <c r="B329" t="s">
        <v>368</v>
      </c>
      <c r="D329" s="2">
        <v>41</v>
      </c>
      <c r="E329" s="2">
        <v>215</v>
      </c>
      <c r="F329">
        <v>256</v>
      </c>
      <c r="G329">
        <v>65</v>
      </c>
      <c r="H329">
        <v>321</v>
      </c>
    </row>
    <row r="330" spans="1:8" ht="15" x14ac:dyDescent="0.25">
      <c r="D330" s="2"/>
      <c r="E330" s="2"/>
    </row>
    <row r="331" spans="1:8" ht="15" x14ac:dyDescent="0.25">
      <c r="A331">
        <v>616</v>
      </c>
      <c r="B331" t="s">
        <v>316</v>
      </c>
      <c r="C331" t="s">
        <v>613</v>
      </c>
      <c r="D331" s="2">
        <v>14</v>
      </c>
      <c r="E331" s="2">
        <v>50</v>
      </c>
      <c r="F331">
        <v>64</v>
      </c>
      <c r="G331">
        <v>8</v>
      </c>
      <c r="H331">
        <v>72</v>
      </c>
    </row>
    <row r="332" spans="1:8" ht="15" x14ac:dyDescent="0.25">
      <c r="A332">
        <v>616</v>
      </c>
      <c r="B332" t="s">
        <v>317</v>
      </c>
      <c r="C332" t="s">
        <v>677</v>
      </c>
      <c r="D332" s="2">
        <v>27</v>
      </c>
      <c r="E332" s="2">
        <v>115</v>
      </c>
      <c r="F332">
        <v>142</v>
      </c>
      <c r="G332">
        <v>3</v>
      </c>
      <c r="H332">
        <v>145</v>
      </c>
    </row>
    <row r="333" spans="1:8" ht="15" x14ac:dyDescent="0.25">
      <c r="A333">
        <v>616</v>
      </c>
      <c r="B333" s="4" t="s">
        <v>318</v>
      </c>
      <c r="C333" s="4" t="s">
        <v>614</v>
      </c>
      <c r="D333" s="5">
        <v>23</v>
      </c>
      <c r="E333" s="5">
        <v>39</v>
      </c>
      <c r="F333" s="4">
        <v>62</v>
      </c>
      <c r="G333" s="4">
        <v>1</v>
      </c>
      <c r="H333" s="4">
        <v>63</v>
      </c>
    </row>
    <row r="334" spans="1:8" ht="15" x14ac:dyDescent="0.25">
      <c r="A334">
        <v>616</v>
      </c>
      <c r="B334" t="s">
        <v>368</v>
      </c>
      <c r="D334" s="2">
        <v>64</v>
      </c>
      <c r="E334" s="2">
        <v>204</v>
      </c>
      <c r="F334">
        <v>268</v>
      </c>
      <c r="G334">
        <v>12</v>
      </c>
      <c r="H334">
        <v>280</v>
      </c>
    </row>
    <row r="335" spans="1:8" ht="15" x14ac:dyDescent="0.25">
      <c r="D335" s="2"/>
      <c r="E335" s="2"/>
    </row>
    <row r="336" spans="1:8" ht="15" x14ac:dyDescent="0.25">
      <c r="A336">
        <v>617</v>
      </c>
      <c r="B336" t="s">
        <v>319</v>
      </c>
      <c r="C336" t="s">
        <v>615</v>
      </c>
      <c r="D336" s="2">
        <v>6</v>
      </c>
      <c r="E336" s="2">
        <v>39</v>
      </c>
      <c r="F336">
        <v>45</v>
      </c>
      <c r="G336">
        <v>1</v>
      </c>
      <c r="H336">
        <v>46</v>
      </c>
    </row>
    <row r="337" spans="1:8" ht="15" x14ac:dyDescent="0.25">
      <c r="A337">
        <v>617</v>
      </c>
      <c r="B337" t="s">
        <v>320</v>
      </c>
      <c r="C337" t="s">
        <v>616</v>
      </c>
      <c r="D337" s="2">
        <v>8</v>
      </c>
      <c r="E337" s="2">
        <v>69</v>
      </c>
      <c r="F337">
        <v>77</v>
      </c>
      <c r="G337">
        <v>6</v>
      </c>
      <c r="H337">
        <v>83</v>
      </c>
    </row>
    <row r="338" spans="1:8" ht="15" x14ac:dyDescent="0.25">
      <c r="A338">
        <v>617</v>
      </c>
      <c r="B338" t="s">
        <v>321</v>
      </c>
      <c r="C338" t="s">
        <v>617</v>
      </c>
      <c r="D338" s="2">
        <v>15</v>
      </c>
      <c r="E338" s="2">
        <v>90</v>
      </c>
      <c r="F338">
        <v>105</v>
      </c>
      <c r="G338">
        <v>11</v>
      </c>
      <c r="H338">
        <v>115</v>
      </c>
    </row>
    <row r="339" spans="1:8" ht="15" x14ac:dyDescent="0.25">
      <c r="A339">
        <v>617</v>
      </c>
      <c r="B339" t="s">
        <v>322</v>
      </c>
      <c r="C339" t="s">
        <v>618</v>
      </c>
      <c r="D339" s="2">
        <v>12</v>
      </c>
      <c r="E339" s="2">
        <v>92</v>
      </c>
      <c r="F339">
        <v>104</v>
      </c>
      <c r="G339">
        <v>24</v>
      </c>
      <c r="H339">
        <v>126</v>
      </c>
    </row>
    <row r="340" spans="1:8" ht="15" x14ac:dyDescent="0.25">
      <c r="A340">
        <v>617</v>
      </c>
      <c r="B340" s="4" t="s">
        <v>323</v>
      </c>
      <c r="C340" s="4" t="s">
        <v>619</v>
      </c>
      <c r="D340" s="5"/>
      <c r="E340" s="5">
        <v>35</v>
      </c>
      <c r="F340" s="4">
        <v>35</v>
      </c>
      <c r="G340" s="4">
        <v>8</v>
      </c>
      <c r="H340" s="4">
        <v>41</v>
      </c>
    </row>
    <row r="341" spans="1:8" ht="15" x14ac:dyDescent="0.25">
      <c r="A341">
        <v>617</v>
      </c>
      <c r="B341" t="s">
        <v>368</v>
      </c>
      <c r="D341" s="2">
        <v>41</v>
      </c>
      <c r="E341" s="2">
        <v>325</v>
      </c>
      <c r="F341">
        <v>366</v>
      </c>
      <c r="G341">
        <v>50</v>
      </c>
      <c r="H341">
        <v>411</v>
      </c>
    </row>
    <row r="342" spans="1:8" ht="15" x14ac:dyDescent="0.25">
      <c r="D342" s="2"/>
      <c r="E342" s="2"/>
    </row>
    <row r="343" spans="1:8" ht="15" x14ac:dyDescent="0.25">
      <c r="A343">
        <v>618</v>
      </c>
      <c r="B343" t="s">
        <v>324</v>
      </c>
      <c r="C343" t="s">
        <v>620</v>
      </c>
      <c r="D343" s="2">
        <v>36</v>
      </c>
      <c r="E343" s="2">
        <v>315</v>
      </c>
      <c r="F343">
        <v>351</v>
      </c>
      <c r="G343">
        <v>84</v>
      </c>
      <c r="H343">
        <v>432</v>
      </c>
    </row>
    <row r="344" spans="1:8" ht="15" x14ac:dyDescent="0.25">
      <c r="A344">
        <v>618</v>
      </c>
      <c r="B344" t="s">
        <v>325</v>
      </c>
      <c r="C344" t="s">
        <v>621</v>
      </c>
      <c r="D344" s="2">
        <v>18</v>
      </c>
      <c r="E344" s="2">
        <v>189</v>
      </c>
      <c r="F344">
        <v>207</v>
      </c>
      <c r="G344">
        <v>35</v>
      </c>
      <c r="H344">
        <v>241</v>
      </c>
    </row>
    <row r="345" spans="1:8" ht="15" x14ac:dyDescent="0.25">
      <c r="A345">
        <v>618</v>
      </c>
      <c r="B345" t="s">
        <v>326</v>
      </c>
      <c r="C345" t="s">
        <v>622</v>
      </c>
      <c r="D345" s="2">
        <v>72</v>
      </c>
      <c r="E345" s="2">
        <v>632</v>
      </c>
      <c r="F345">
        <v>704</v>
      </c>
      <c r="G345">
        <v>101</v>
      </c>
      <c r="H345">
        <v>804</v>
      </c>
    </row>
    <row r="346" spans="1:8" ht="15" x14ac:dyDescent="0.25">
      <c r="A346">
        <v>618</v>
      </c>
      <c r="B346" t="s">
        <v>327</v>
      </c>
      <c r="C346" t="s">
        <v>623</v>
      </c>
      <c r="D346" s="2">
        <v>93</v>
      </c>
      <c r="E346" s="2">
        <v>680</v>
      </c>
      <c r="F346">
        <v>773</v>
      </c>
      <c r="G346">
        <v>158</v>
      </c>
      <c r="H346">
        <v>928</v>
      </c>
    </row>
    <row r="347" spans="1:8" ht="15" x14ac:dyDescent="0.25">
      <c r="A347">
        <v>618</v>
      </c>
      <c r="B347" t="s">
        <v>328</v>
      </c>
      <c r="C347" t="s">
        <v>624</v>
      </c>
      <c r="D347" s="2">
        <v>16</v>
      </c>
      <c r="E347" s="2">
        <v>174</v>
      </c>
      <c r="F347">
        <v>190</v>
      </c>
      <c r="G347">
        <v>41</v>
      </c>
      <c r="H347">
        <v>231</v>
      </c>
    </row>
    <row r="348" spans="1:8" ht="15" x14ac:dyDescent="0.25">
      <c r="A348">
        <v>618</v>
      </c>
      <c r="B348" t="s">
        <v>329</v>
      </c>
      <c r="C348" t="s">
        <v>625</v>
      </c>
      <c r="D348" s="2">
        <v>9</v>
      </c>
      <c r="E348" s="2">
        <v>83</v>
      </c>
      <c r="F348">
        <v>92</v>
      </c>
      <c r="G348">
        <v>16</v>
      </c>
      <c r="H348">
        <v>107</v>
      </c>
    </row>
    <row r="349" spans="1:8" ht="15" x14ac:dyDescent="0.25">
      <c r="A349">
        <v>618</v>
      </c>
      <c r="B349" t="s">
        <v>330</v>
      </c>
      <c r="C349" t="s">
        <v>626</v>
      </c>
      <c r="D349" s="2">
        <v>12</v>
      </c>
      <c r="E349" s="2">
        <v>42</v>
      </c>
      <c r="F349">
        <v>54</v>
      </c>
      <c r="G349">
        <v>4</v>
      </c>
      <c r="H349">
        <v>58</v>
      </c>
    </row>
    <row r="350" spans="1:8" ht="15" x14ac:dyDescent="0.25">
      <c r="A350">
        <v>618</v>
      </c>
      <c r="B350" t="s">
        <v>331</v>
      </c>
      <c r="C350" t="s">
        <v>627</v>
      </c>
      <c r="D350" s="2">
        <v>8</v>
      </c>
      <c r="E350" s="2">
        <v>34</v>
      </c>
      <c r="F350">
        <v>42</v>
      </c>
      <c r="G350">
        <v>3</v>
      </c>
      <c r="H350">
        <v>45</v>
      </c>
    </row>
    <row r="351" spans="1:8" ht="15" x14ac:dyDescent="0.25">
      <c r="A351">
        <v>618</v>
      </c>
      <c r="B351" s="4" t="s">
        <v>332</v>
      </c>
      <c r="C351" s="4" t="s">
        <v>628</v>
      </c>
      <c r="D351" s="5">
        <v>3</v>
      </c>
      <c r="E351" s="5">
        <v>70</v>
      </c>
      <c r="F351" s="4">
        <v>73</v>
      </c>
      <c r="G351" s="4">
        <v>15</v>
      </c>
      <c r="H351" s="4">
        <v>88</v>
      </c>
    </row>
    <row r="352" spans="1:8" ht="15" x14ac:dyDescent="0.25">
      <c r="A352">
        <v>618</v>
      </c>
      <c r="B352" t="s">
        <v>368</v>
      </c>
      <c r="D352" s="2">
        <v>267</v>
      </c>
      <c r="E352" s="2">
        <v>2219</v>
      </c>
      <c r="F352">
        <v>2486</v>
      </c>
      <c r="G352">
        <v>457</v>
      </c>
      <c r="H352">
        <v>2934</v>
      </c>
    </row>
    <row r="353" spans="1:8" ht="15" x14ac:dyDescent="0.25">
      <c r="D353" s="2"/>
      <c r="E353" s="2"/>
    </row>
    <row r="354" spans="1:8" ht="15" x14ac:dyDescent="0.25">
      <c r="A354">
        <v>619</v>
      </c>
      <c r="B354" t="s">
        <v>333</v>
      </c>
      <c r="C354" t="s">
        <v>629</v>
      </c>
      <c r="D354" s="2">
        <v>17</v>
      </c>
      <c r="E354" s="2">
        <v>105</v>
      </c>
      <c r="F354">
        <v>122</v>
      </c>
      <c r="G354">
        <v>12</v>
      </c>
      <c r="H354">
        <v>133</v>
      </c>
    </row>
    <row r="355" spans="1:8" ht="15" x14ac:dyDescent="0.25">
      <c r="A355">
        <v>619</v>
      </c>
      <c r="B355" t="s">
        <v>334</v>
      </c>
      <c r="C355" t="s">
        <v>630</v>
      </c>
      <c r="D355" s="2">
        <v>14</v>
      </c>
      <c r="E355" s="2">
        <v>63</v>
      </c>
      <c r="F355">
        <v>77</v>
      </c>
      <c r="G355">
        <v>3</v>
      </c>
      <c r="H355">
        <v>80</v>
      </c>
    </row>
    <row r="356" spans="1:8" ht="15" x14ac:dyDescent="0.25">
      <c r="A356">
        <v>619</v>
      </c>
      <c r="B356" t="s">
        <v>335</v>
      </c>
      <c r="C356" t="s">
        <v>631</v>
      </c>
      <c r="D356" s="2">
        <v>11</v>
      </c>
      <c r="E356" s="2">
        <v>27</v>
      </c>
      <c r="F356">
        <v>38</v>
      </c>
      <c r="G356">
        <v>3</v>
      </c>
      <c r="H356">
        <v>41</v>
      </c>
    </row>
    <row r="357" spans="1:8" ht="15" x14ac:dyDescent="0.25">
      <c r="A357">
        <v>619</v>
      </c>
      <c r="B357" t="s">
        <v>336</v>
      </c>
      <c r="C357" t="s">
        <v>632</v>
      </c>
      <c r="D357" s="2">
        <v>15</v>
      </c>
      <c r="E357" s="2">
        <v>30</v>
      </c>
      <c r="F357">
        <v>45</v>
      </c>
      <c r="G357">
        <v>7</v>
      </c>
      <c r="H357">
        <v>52</v>
      </c>
    </row>
    <row r="358" spans="1:8" ht="15" x14ac:dyDescent="0.25">
      <c r="A358">
        <v>619</v>
      </c>
      <c r="B358" s="4" t="s">
        <v>337</v>
      </c>
      <c r="C358" s="4" t="s">
        <v>633</v>
      </c>
      <c r="D358" s="5">
        <v>7</v>
      </c>
      <c r="E358" s="5">
        <v>36</v>
      </c>
      <c r="F358" s="4">
        <v>43</v>
      </c>
      <c r="G358" s="4">
        <v>10</v>
      </c>
      <c r="H358" s="4">
        <v>53</v>
      </c>
    </row>
    <row r="359" spans="1:8" ht="15" x14ac:dyDescent="0.25">
      <c r="A359">
        <v>619</v>
      </c>
      <c r="B359" t="s">
        <v>368</v>
      </c>
      <c r="D359" s="2">
        <v>64</v>
      </c>
      <c r="E359" s="2">
        <v>261</v>
      </c>
      <c r="F359">
        <v>325</v>
      </c>
      <c r="G359">
        <v>35</v>
      </c>
      <c r="H359">
        <v>359</v>
      </c>
    </row>
    <row r="360" spans="1:8" ht="15" x14ac:dyDescent="0.25">
      <c r="D360" s="2"/>
      <c r="E360" s="2"/>
    </row>
    <row r="361" spans="1:8" ht="15" x14ac:dyDescent="0.25">
      <c r="A361">
        <v>620</v>
      </c>
      <c r="B361" t="s">
        <v>338</v>
      </c>
      <c r="C361" t="s">
        <v>634</v>
      </c>
      <c r="D361" s="2">
        <v>21</v>
      </c>
      <c r="E361" s="2">
        <v>98</v>
      </c>
      <c r="F361">
        <v>119</v>
      </c>
      <c r="G361">
        <v>9</v>
      </c>
      <c r="H361">
        <v>128</v>
      </c>
    </row>
    <row r="362" spans="1:8" ht="15" x14ac:dyDescent="0.25">
      <c r="A362">
        <v>620</v>
      </c>
      <c r="B362" t="s">
        <v>339</v>
      </c>
      <c r="C362" t="s">
        <v>635</v>
      </c>
      <c r="D362" s="2">
        <v>28</v>
      </c>
      <c r="E362" s="2">
        <v>93</v>
      </c>
      <c r="F362">
        <v>121</v>
      </c>
      <c r="G362">
        <v>15</v>
      </c>
      <c r="H362">
        <v>135</v>
      </c>
    </row>
    <row r="363" spans="1:8" ht="15" x14ac:dyDescent="0.25">
      <c r="A363">
        <v>620</v>
      </c>
      <c r="B363" t="s">
        <v>340</v>
      </c>
      <c r="C363" t="s">
        <v>636</v>
      </c>
      <c r="D363" s="2">
        <v>12</v>
      </c>
      <c r="E363" s="2">
        <v>54</v>
      </c>
      <c r="F363">
        <v>66</v>
      </c>
      <c r="G363">
        <v>7</v>
      </c>
      <c r="H363">
        <v>73</v>
      </c>
    </row>
    <row r="364" spans="1:8" ht="15" x14ac:dyDescent="0.25">
      <c r="A364">
        <v>620</v>
      </c>
      <c r="B364" t="s">
        <v>341</v>
      </c>
      <c r="C364" t="s">
        <v>637</v>
      </c>
      <c r="D364" s="2">
        <v>45</v>
      </c>
      <c r="E364" s="2">
        <v>178</v>
      </c>
      <c r="F364">
        <v>223</v>
      </c>
      <c r="G364">
        <v>37</v>
      </c>
      <c r="H364">
        <v>256</v>
      </c>
    </row>
    <row r="365" spans="1:8" ht="15" x14ac:dyDescent="0.25">
      <c r="A365">
        <v>620</v>
      </c>
      <c r="B365" t="s">
        <v>342</v>
      </c>
      <c r="C365" t="s">
        <v>638</v>
      </c>
      <c r="D365" s="2">
        <v>13</v>
      </c>
      <c r="E365" s="2">
        <v>50</v>
      </c>
      <c r="F365">
        <v>63</v>
      </c>
      <c r="G365">
        <v>7</v>
      </c>
      <c r="H365">
        <v>70</v>
      </c>
    </row>
    <row r="366" spans="1:8" ht="15" x14ac:dyDescent="0.25">
      <c r="A366">
        <v>620</v>
      </c>
      <c r="B366" s="4" t="s">
        <v>343</v>
      </c>
      <c r="C366" s="4" t="s">
        <v>639</v>
      </c>
      <c r="D366" s="5">
        <v>23</v>
      </c>
      <c r="E366" s="5">
        <v>51</v>
      </c>
      <c r="F366" s="4">
        <v>74</v>
      </c>
      <c r="G366" s="4">
        <v>2</v>
      </c>
      <c r="H366" s="4">
        <v>76</v>
      </c>
    </row>
    <row r="367" spans="1:8" ht="15" x14ac:dyDescent="0.25">
      <c r="A367">
        <v>620</v>
      </c>
      <c r="B367" t="s">
        <v>368</v>
      </c>
      <c r="D367" s="2">
        <v>142</v>
      </c>
      <c r="E367" s="2">
        <v>524</v>
      </c>
      <c r="F367">
        <v>666</v>
      </c>
      <c r="G367">
        <v>77</v>
      </c>
      <c r="H367">
        <v>738</v>
      </c>
    </row>
    <row r="368" spans="1:8" ht="15" x14ac:dyDescent="0.25">
      <c r="D368" s="2"/>
      <c r="E368" s="2"/>
    </row>
    <row r="369" spans="1:8" ht="15" x14ac:dyDescent="0.25">
      <c r="A369">
        <v>636</v>
      </c>
      <c r="B369" t="s">
        <v>344</v>
      </c>
      <c r="C369" t="s">
        <v>640</v>
      </c>
      <c r="D369" s="2">
        <v>14</v>
      </c>
      <c r="E369" s="2">
        <v>38</v>
      </c>
      <c r="F369">
        <v>52</v>
      </c>
      <c r="G369">
        <v>5</v>
      </c>
      <c r="H369">
        <v>57</v>
      </c>
    </row>
    <row r="370" spans="1:8" ht="15" x14ac:dyDescent="0.25">
      <c r="A370">
        <v>636</v>
      </c>
      <c r="B370" t="s">
        <v>345</v>
      </c>
      <c r="C370" t="s">
        <v>641</v>
      </c>
      <c r="D370" s="2">
        <v>25</v>
      </c>
      <c r="E370" s="2">
        <v>131</v>
      </c>
      <c r="F370">
        <v>156</v>
      </c>
      <c r="G370">
        <v>21</v>
      </c>
      <c r="H370">
        <v>177</v>
      </c>
    </row>
    <row r="371" spans="1:8" ht="15" x14ac:dyDescent="0.25">
      <c r="A371">
        <v>636</v>
      </c>
      <c r="B371" t="s">
        <v>346</v>
      </c>
      <c r="C371" t="s">
        <v>642</v>
      </c>
      <c r="D371" s="2">
        <v>9</v>
      </c>
      <c r="E371" s="2">
        <v>29</v>
      </c>
      <c r="F371">
        <v>38</v>
      </c>
      <c r="G371">
        <v>2</v>
      </c>
      <c r="H371">
        <v>40</v>
      </c>
    </row>
    <row r="372" spans="1:8" ht="15" x14ac:dyDescent="0.25">
      <c r="A372">
        <v>636</v>
      </c>
      <c r="B372" t="s">
        <v>347</v>
      </c>
      <c r="C372" t="s">
        <v>643</v>
      </c>
      <c r="D372" s="2">
        <v>17</v>
      </c>
      <c r="E372" s="2">
        <v>59</v>
      </c>
      <c r="F372">
        <v>76</v>
      </c>
      <c r="G372">
        <v>11</v>
      </c>
      <c r="H372">
        <v>85</v>
      </c>
    </row>
    <row r="373" spans="1:8" ht="15" x14ac:dyDescent="0.25">
      <c r="A373">
        <v>636</v>
      </c>
      <c r="B373" t="s">
        <v>348</v>
      </c>
      <c r="C373" t="s">
        <v>644</v>
      </c>
      <c r="D373" s="2">
        <v>12</v>
      </c>
      <c r="E373" s="2">
        <v>21</v>
      </c>
      <c r="F373">
        <v>33</v>
      </c>
      <c r="G373">
        <v>2</v>
      </c>
      <c r="H373">
        <v>35</v>
      </c>
    </row>
    <row r="374" spans="1:8" ht="15" x14ac:dyDescent="0.25">
      <c r="A374">
        <v>636</v>
      </c>
      <c r="B374" t="s">
        <v>349</v>
      </c>
      <c r="C374" t="s">
        <v>645</v>
      </c>
      <c r="D374" s="2">
        <v>17</v>
      </c>
      <c r="E374" s="2">
        <v>40</v>
      </c>
      <c r="F374">
        <v>57</v>
      </c>
      <c r="G374">
        <v>16</v>
      </c>
      <c r="H374">
        <v>73</v>
      </c>
    </row>
    <row r="375" spans="1:8" ht="15" x14ac:dyDescent="0.25">
      <c r="A375">
        <v>636</v>
      </c>
      <c r="B375" t="s">
        <v>350</v>
      </c>
      <c r="C375" t="s">
        <v>646</v>
      </c>
      <c r="D375" s="2">
        <v>11</v>
      </c>
      <c r="E375" s="2">
        <v>56</v>
      </c>
      <c r="F375">
        <v>67</v>
      </c>
      <c r="G375">
        <v>6</v>
      </c>
      <c r="H375">
        <v>72</v>
      </c>
    </row>
    <row r="376" spans="1:8" ht="15" x14ac:dyDescent="0.25">
      <c r="A376">
        <v>636</v>
      </c>
      <c r="B376" t="s">
        <v>351</v>
      </c>
      <c r="C376" t="s">
        <v>647</v>
      </c>
      <c r="D376" s="2">
        <v>14</v>
      </c>
      <c r="E376" s="2">
        <v>78</v>
      </c>
      <c r="F376">
        <v>92</v>
      </c>
      <c r="G376">
        <v>12</v>
      </c>
      <c r="H376">
        <v>104</v>
      </c>
    </row>
    <row r="377" spans="1:8" ht="15" x14ac:dyDescent="0.25">
      <c r="A377">
        <v>636</v>
      </c>
      <c r="B377" t="s">
        <v>352</v>
      </c>
      <c r="C377" t="s">
        <v>648</v>
      </c>
      <c r="D377" s="2">
        <v>1</v>
      </c>
      <c r="E377" s="2">
        <v>47</v>
      </c>
      <c r="F377">
        <v>48</v>
      </c>
      <c r="G377">
        <v>4</v>
      </c>
      <c r="H377">
        <v>52</v>
      </c>
    </row>
    <row r="378" spans="1:8" ht="15" x14ac:dyDescent="0.25">
      <c r="A378">
        <v>636</v>
      </c>
      <c r="B378" t="s">
        <v>353</v>
      </c>
      <c r="C378" t="s">
        <v>649</v>
      </c>
      <c r="D378" s="2">
        <v>10</v>
      </c>
      <c r="E378" s="2">
        <v>57</v>
      </c>
      <c r="F378">
        <v>67</v>
      </c>
      <c r="G378">
        <v>3</v>
      </c>
      <c r="H378">
        <v>67</v>
      </c>
    </row>
    <row r="379" spans="1:8" ht="15" x14ac:dyDescent="0.25">
      <c r="A379">
        <v>636</v>
      </c>
      <c r="B379" s="4" t="s">
        <v>354</v>
      </c>
      <c r="C379" s="4" t="s">
        <v>650</v>
      </c>
      <c r="D379" s="5">
        <v>2</v>
      </c>
      <c r="E379" s="5">
        <v>25</v>
      </c>
      <c r="F379" s="4">
        <v>27</v>
      </c>
      <c r="G379" s="4">
        <v>6</v>
      </c>
      <c r="H379" s="4">
        <v>33</v>
      </c>
    </row>
    <row r="380" spans="1:8" ht="15" x14ac:dyDescent="0.25">
      <c r="A380">
        <v>636</v>
      </c>
      <c r="B380" t="s">
        <v>368</v>
      </c>
      <c r="D380" s="2">
        <v>132</v>
      </c>
      <c r="E380" s="2">
        <v>581</v>
      </c>
      <c r="F380">
        <v>713</v>
      </c>
      <c r="G380">
        <v>88</v>
      </c>
      <c r="H380">
        <v>795</v>
      </c>
    </row>
    <row r="381" spans="1:8" ht="15" x14ac:dyDescent="0.25">
      <c r="D381" s="2"/>
      <c r="E381" s="2"/>
    </row>
    <row r="382" spans="1:8" ht="15" x14ac:dyDescent="0.25">
      <c r="A382">
        <v>637</v>
      </c>
      <c r="B382" t="s">
        <v>355</v>
      </c>
      <c r="C382" t="s">
        <v>651</v>
      </c>
      <c r="D382" s="2">
        <v>5</v>
      </c>
      <c r="E382" s="2">
        <v>45</v>
      </c>
      <c r="F382">
        <v>50</v>
      </c>
      <c r="G382">
        <v>4</v>
      </c>
      <c r="H382">
        <v>54</v>
      </c>
    </row>
    <row r="383" spans="1:8" ht="15" x14ac:dyDescent="0.25">
      <c r="A383">
        <v>637</v>
      </c>
      <c r="B383" t="s">
        <v>356</v>
      </c>
      <c r="C383" t="s">
        <v>652</v>
      </c>
      <c r="D383" s="2">
        <v>16</v>
      </c>
      <c r="E383" s="2">
        <v>61</v>
      </c>
      <c r="F383">
        <v>77</v>
      </c>
      <c r="G383">
        <v>14</v>
      </c>
      <c r="H383">
        <v>91</v>
      </c>
    </row>
    <row r="384" spans="1:8" ht="15" x14ac:dyDescent="0.25">
      <c r="A384">
        <v>637</v>
      </c>
      <c r="B384" t="s">
        <v>357</v>
      </c>
      <c r="C384" t="s">
        <v>653</v>
      </c>
      <c r="D384" s="2">
        <v>15</v>
      </c>
      <c r="E384" s="2">
        <v>97</v>
      </c>
      <c r="F384">
        <v>112</v>
      </c>
      <c r="G384">
        <v>24</v>
      </c>
      <c r="H384">
        <v>136</v>
      </c>
    </row>
    <row r="385" spans="1:8" ht="15" x14ac:dyDescent="0.25">
      <c r="A385">
        <v>637</v>
      </c>
      <c r="B385" t="s">
        <v>358</v>
      </c>
      <c r="C385" t="s">
        <v>654</v>
      </c>
      <c r="D385" s="2">
        <v>18</v>
      </c>
      <c r="E385" s="2">
        <v>111</v>
      </c>
      <c r="F385">
        <v>129</v>
      </c>
      <c r="G385">
        <v>32</v>
      </c>
      <c r="H385">
        <v>160</v>
      </c>
    </row>
    <row r="386" spans="1:8" ht="15" x14ac:dyDescent="0.25">
      <c r="A386">
        <v>637</v>
      </c>
      <c r="B386" t="s">
        <v>359</v>
      </c>
      <c r="C386" t="s">
        <v>655</v>
      </c>
      <c r="D386" s="2">
        <v>8</v>
      </c>
      <c r="E386" s="2">
        <v>70</v>
      </c>
      <c r="F386">
        <v>78</v>
      </c>
      <c r="G386">
        <v>24</v>
      </c>
      <c r="H386">
        <v>102</v>
      </c>
    </row>
    <row r="387" spans="1:8" ht="15" x14ac:dyDescent="0.25">
      <c r="A387">
        <v>637</v>
      </c>
      <c r="B387" t="s">
        <v>360</v>
      </c>
      <c r="C387" t="s">
        <v>656</v>
      </c>
      <c r="D387" s="2">
        <v>66</v>
      </c>
      <c r="E387" s="2">
        <v>400</v>
      </c>
      <c r="F387">
        <v>466</v>
      </c>
      <c r="G387">
        <v>174</v>
      </c>
      <c r="H387">
        <v>635</v>
      </c>
    </row>
    <row r="388" spans="1:8" ht="15" x14ac:dyDescent="0.25">
      <c r="A388">
        <v>637</v>
      </c>
      <c r="B388" t="s">
        <v>361</v>
      </c>
      <c r="C388" t="s">
        <v>657</v>
      </c>
      <c r="D388" s="2">
        <v>9</v>
      </c>
      <c r="E388" s="2">
        <v>89</v>
      </c>
      <c r="F388">
        <v>98</v>
      </c>
      <c r="G388">
        <v>21</v>
      </c>
      <c r="H388">
        <v>119</v>
      </c>
    </row>
    <row r="389" spans="1:8" ht="15" x14ac:dyDescent="0.25">
      <c r="A389">
        <v>637</v>
      </c>
      <c r="B389" t="s">
        <v>362</v>
      </c>
      <c r="C389" t="s">
        <v>658</v>
      </c>
      <c r="D389" s="2">
        <v>29</v>
      </c>
      <c r="E389" s="2">
        <v>141</v>
      </c>
      <c r="F389">
        <v>170</v>
      </c>
      <c r="G389">
        <v>19</v>
      </c>
      <c r="H389">
        <v>189</v>
      </c>
    </row>
    <row r="390" spans="1:8" ht="15" x14ac:dyDescent="0.25">
      <c r="A390">
        <v>637</v>
      </c>
      <c r="B390" t="s">
        <v>363</v>
      </c>
      <c r="C390" t="s">
        <v>659</v>
      </c>
      <c r="D390" s="2">
        <v>15</v>
      </c>
      <c r="E390" s="2">
        <v>112</v>
      </c>
      <c r="F390">
        <v>127</v>
      </c>
      <c r="G390">
        <v>22</v>
      </c>
      <c r="H390">
        <v>149</v>
      </c>
    </row>
    <row r="391" spans="1:8" ht="15" x14ac:dyDescent="0.25">
      <c r="A391">
        <v>637</v>
      </c>
      <c r="B391" t="s">
        <v>364</v>
      </c>
      <c r="C391" t="s">
        <v>660</v>
      </c>
      <c r="D391" s="2">
        <v>23</v>
      </c>
      <c r="E391" s="2">
        <v>72</v>
      </c>
      <c r="F391">
        <v>95</v>
      </c>
      <c r="G391">
        <v>13</v>
      </c>
      <c r="H391">
        <v>108</v>
      </c>
    </row>
    <row r="392" spans="1:8" ht="15" x14ac:dyDescent="0.25">
      <c r="A392">
        <v>637</v>
      </c>
      <c r="B392" t="s">
        <v>365</v>
      </c>
      <c r="C392" t="s">
        <v>661</v>
      </c>
      <c r="D392" s="2">
        <v>4</v>
      </c>
      <c r="E392" s="2">
        <v>60</v>
      </c>
      <c r="F392">
        <v>64</v>
      </c>
      <c r="G392">
        <v>18</v>
      </c>
      <c r="H392">
        <v>81</v>
      </c>
    </row>
    <row r="393" spans="1:8" ht="15" x14ac:dyDescent="0.25">
      <c r="A393">
        <v>637</v>
      </c>
      <c r="B393" t="s">
        <v>366</v>
      </c>
      <c r="C393" t="s">
        <v>662</v>
      </c>
      <c r="D393" s="2">
        <v>23</v>
      </c>
      <c r="E393" s="2">
        <v>194</v>
      </c>
      <c r="F393">
        <v>217</v>
      </c>
      <c r="G393">
        <v>43</v>
      </c>
      <c r="H393">
        <v>259</v>
      </c>
    </row>
    <row r="394" spans="1:8" ht="15" x14ac:dyDescent="0.25">
      <c r="A394">
        <v>637</v>
      </c>
      <c r="B394" s="4" t="s">
        <v>367</v>
      </c>
      <c r="C394" s="4" t="s">
        <v>663</v>
      </c>
      <c r="D394" s="5">
        <v>30</v>
      </c>
      <c r="E394" s="5">
        <v>85</v>
      </c>
      <c r="F394" s="4">
        <v>115</v>
      </c>
      <c r="G394" s="4">
        <v>15</v>
      </c>
      <c r="H394" s="4">
        <v>130</v>
      </c>
    </row>
    <row r="395" spans="1:8" ht="15" x14ac:dyDescent="0.25">
      <c r="A395">
        <v>637</v>
      </c>
      <c r="B395" t="s">
        <v>368</v>
      </c>
      <c r="D395" s="2">
        <v>261</v>
      </c>
      <c r="E395" s="2">
        <v>1537</v>
      </c>
      <c r="F395">
        <v>1798</v>
      </c>
      <c r="G395">
        <v>423</v>
      </c>
      <c r="H395">
        <v>2213</v>
      </c>
    </row>
    <row r="396" spans="1:8" ht="15" x14ac:dyDescent="0.25">
      <c r="D396" s="2"/>
      <c r="E396" s="2"/>
    </row>
    <row r="397" spans="1:8" ht="15" x14ac:dyDescent="0.25">
      <c r="B397" t="s">
        <v>688</v>
      </c>
      <c r="D397" s="2">
        <f>SUM(D3:D9,D14,D23,D25,D27,D29,D31,D38,D43,D45,D59,D61,D66,D68,D70,D77,D84,D86,D88,D90,D94,D104,D106,D111,D118,D120,D122,D128,D130,D132,D139,D146,D148,D154,D156,D164,D166,D174,D176,D178,D184,D195,D202,D204,D209,D211,D213,D234,D244,D260,D269,D278,D285,D304,D320,D325,D329,D334,D341,D352,D359,D367,D380,D395)</f>
        <v>10592</v>
      </c>
      <c r="E397" s="2">
        <f t="shared" ref="E397:H397" si="0">SUM(E3:E9,E14,E23,E25,E27,E29,E31,E38,E43,E45,E59,E61,E66,E68,E70,E77,E84,E86,E88,E90,E94,E104,E106,E111,E118,E120,E122,E128,E130,E132,E139,E146,E148,E154,E156,E164,E166,E174,E176,E178,E184,E195,E202,E204,E209,E211,E213,E234,E244,E260,E269,E278,E285,E304,E320,E325,E329,E334,E341,E352,E359,E367,E380,E395)</f>
        <v>55920</v>
      </c>
      <c r="F397" s="2">
        <f t="shared" si="0"/>
        <v>66512</v>
      </c>
      <c r="G397" s="2">
        <f t="shared" si="0"/>
        <v>14605</v>
      </c>
      <c r="H397" s="2">
        <f t="shared" si="0"/>
        <v>80701</v>
      </c>
    </row>
    <row r="398" spans="1:8" ht="15.75" thickBot="1" x14ac:dyDescent="0.3">
      <c r="D398" s="2"/>
      <c r="E398" s="2"/>
      <c r="F398" s="2"/>
      <c r="G398" s="2"/>
      <c r="H398" s="2"/>
    </row>
    <row r="399" spans="1:8" ht="15.75" thickTop="1" x14ac:dyDescent="0.25">
      <c r="A399" s="9"/>
      <c r="B399" s="9"/>
      <c r="C399" s="9"/>
      <c r="D399" s="10"/>
      <c r="E399" s="10"/>
      <c r="F399" s="10"/>
      <c r="G399" s="10"/>
      <c r="H399" s="10"/>
    </row>
    <row r="400" spans="1:8" ht="15" x14ac:dyDescent="0.25">
      <c r="A400" t="s">
        <v>689</v>
      </c>
      <c r="D400" s="2"/>
      <c r="E400" s="2"/>
      <c r="F400" s="2"/>
      <c r="G400" s="2"/>
      <c r="H400" s="2"/>
    </row>
    <row r="401" spans="1:8" ht="15" x14ac:dyDescent="0.25">
      <c r="D401" s="2"/>
      <c r="E401" s="2"/>
      <c r="F401" s="2"/>
      <c r="G401" s="2"/>
      <c r="H401" s="2"/>
    </row>
    <row r="402" spans="1:8" ht="15" x14ac:dyDescent="0.25">
      <c r="A402" t="s">
        <v>690</v>
      </c>
      <c r="B402" t="s">
        <v>75</v>
      </c>
      <c r="C402" s="2" t="s">
        <v>664</v>
      </c>
      <c r="E402" s="2"/>
      <c r="F402" s="2"/>
      <c r="G402" s="2"/>
      <c r="H402" s="2"/>
    </row>
    <row r="403" spans="1:8" x14ac:dyDescent="0.3">
      <c r="A403">
        <v>8168</v>
      </c>
      <c r="B403" t="s">
        <v>679</v>
      </c>
      <c r="C403" t="s">
        <v>678</v>
      </c>
      <c r="D403" s="2">
        <v>0</v>
      </c>
      <c r="E403" s="2">
        <v>44</v>
      </c>
      <c r="F403">
        <v>44</v>
      </c>
      <c r="G403">
        <v>1</v>
      </c>
      <c r="H403">
        <v>45</v>
      </c>
    </row>
    <row r="404" spans="1:8" x14ac:dyDescent="0.3">
      <c r="A404">
        <v>8574</v>
      </c>
      <c r="B404" t="s">
        <v>680</v>
      </c>
      <c r="C404" t="s">
        <v>665</v>
      </c>
      <c r="D404" s="2">
        <v>0</v>
      </c>
      <c r="E404" s="2">
        <v>72</v>
      </c>
      <c r="F404">
        <v>72</v>
      </c>
      <c r="G404">
        <v>1</v>
      </c>
      <c r="H404">
        <v>73</v>
      </c>
    </row>
    <row r="405" spans="1:8" x14ac:dyDescent="0.3">
      <c r="A405">
        <v>8614</v>
      </c>
      <c r="B405" t="s">
        <v>681</v>
      </c>
      <c r="C405" t="s">
        <v>666</v>
      </c>
      <c r="D405" s="2">
        <v>0</v>
      </c>
      <c r="E405" s="2">
        <v>19</v>
      </c>
      <c r="F405">
        <v>19</v>
      </c>
      <c r="G405">
        <v>0</v>
      </c>
      <c r="H405">
        <v>19</v>
      </c>
    </row>
    <row r="406" spans="1:8" x14ac:dyDescent="0.3">
      <c r="A406">
        <v>3140</v>
      </c>
      <c r="B406" t="s">
        <v>682</v>
      </c>
      <c r="C406" t="s">
        <v>667</v>
      </c>
      <c r="D406" s="2">
        <v>0</v>
      </c>
      <c r="E406" s="2">
        <v>20</v>
      </c>
      <c r="F406">
        <v>20</v>
      </c>
      <c r="G406">
        <v>0</v>
      </c>
      <c r="H406">
        <v>20</v>
      </c>
    </row>
    <row r="407" spans="1:8" x14ac:dyDescent="0.3">
      <c r="A407">
        <v>7347</v>
      </c>
      <c r="B407" t="s">
        <v>683</v>
      </c>
      <c r="C407" t="s">
        <v>668</v>
      </c>
      <c r="D407" s="2">
        <v>0</v>
      </c>
      <c r="E407" s="2">
        <v>5</v>
      </c>
      <c r="F407">
        <v>5</v>
      </c>
      <c r="G407">
        <v>0</v>
      </c>
      <c r="H407">
        <v>5</v>
      </c>
    </row>
    <row r="408" spans="1:8" x14ac:dyDescent="0.3">
      <c r="A408">
        <v>7430</v>
      </c>
      <c r="B408" t="s">
        <v>684</v>
      </c>
      <c r="C408" t="s">
        <v>669</v>
      </c>
      <c r="D408" s="2">
        <v>0</v>
      </c>
      <c r="E408" s="2">
        <v>11</v>
      </c>
      <c r="F408">
        <v>11</v>
      </c>
      <c r="G408">
        <v>0</v>
      </c>
      <c r="H408">
        <v>11</v>
      </c>
    </row>
    <row r="409" spans="1:8" x14ac:dyDescent="0.3">
      <c r="A409">
        <v>8567</v>
      </c>
      <c r="B409" t="s">
        <v>685</v>
      </c>
      <c r="C409" t="s">
        <v>670</v>
      </c>
      <c r="D409" s="2">
        <v>0</v>
      </c>
      <c r="E409" s="2">
        <v>2</v>
      </c>
      <c r="F409">
        <v>2</v>
      </c>
      <c r="G409">
        <v>0</v>
      </c>
      <c r="H409">
        <v>2</v>
      </c>
    </row>
    <row r="410" spans="1:8" x14ac:dyDescent="0.3">
      <c r="A410">
        <v>884</v>
      </c>
      <c r="B410" t="s">
        <v>686</v>
      </c>
      <c r="C410" t="s">
        <v>671</v>
      </c>
      <c r="D410" s="2">
        <v>7</v>
      </c>
      <c r="E410" s="2">
        <v>51</v>
      </c>
      <c r="F410">
        <v>58</v>
      </c>
      <c r="G410">
        <v>0</v>
      </c>
      <c r="H410">
        <v>58</v>
      </c>
    </row>
    <row r="411" spans="1:8" x14ac:dyDescent="0.3">
      <c r="A411">
        <v>886</v>
      </c>
      <c r="B411" t="s">
        <v>686</v>
      </c>
      <c r="C411" t="s">
        <v>672</v>
      </c>
      <c r="D411" s="2">
        <v>0</v>
      </c>
      <c r="E411" s="2">
        <v>86</v>
      </c>
      <c r="F411">
        <v>86</v>
      </c>
      <c r="G411">
        <v>0</v>
      </c>
      <c r="H411">
        <v>86</v>
      </c>
    </row>
    <row r="412" spans="1:8" x14ac:dyDescent="0.3">
      <c r="A412">
        <v>8428</v>
      </c>
      <c r="B412" t="s">
        <v>687</v>
      </c>
      <c r="C412" t="s">
        <v>673</v>
      </c>
      <c r="D412" s="2">
        <v>5</v>
      </c>
      <c r="E412" s="2">
        <v>16</v>
      </c>
      <c r="F412">
        <v>21</v>
      </c>
      <c r="G412">
        <v>0</v>
      </c>
      <c r="H412">
        <v>21</v>
      </c>
    </row>
    <row r="413" spans="1:8" x14ac:dyDescent="0.3">
      <c r="A413">
        <v>8432</v>
      </c>
      <c r="B413" t="s">
        <v>687</v>
      </c>
      <c r="C413" t="s">
        <v>674</v>
      </c>
      <c r="D413" s="2">
        <v>0</v>
      </c>
      <c r="E413" s="2">
        <v>23</v>
      </c>
      <c r="F413">
        <v>23</v>
      </c>
      <c r="G413">
        <v>0</v>
      </c>
      <c r="H413">
        <v>23</v>
      </c>
    </row>
    <row r="414" spans="1:8" x14ac:dyDescent="0.3">
      <c r="D414" s="2"/>
      <c r="E414" s="2"/>
    </row>
    <row r="415" spans="1:8" x14ac:dyDescent="0.3">
      <c r="C415" s="4" t="s">
        <v>675</v>
      </c>
      <c r="D415" s="5">
        <f>SUM(D403:D413)</f>
        <v>12</v>
      </c>
      <c r="E415" s="5">
        <f t="shared" ref="E415:H415" si="1">SUM(E403:E413)</f>
        <v>349</v>
      </c>
      <c r="F415" s="5">
        <f t="shared" si="1"/>
        <v>361</v>
      </c>
      <c r="G415" s="5">
        <f t="shared" si="1"/>
        <v>2</v>
      </c>
      <c r="H415" s="5">
        <f t="shared" si="1"/>
        <v>363</v>
      </c>
    </row>
    <row r="416" spans="1:8" x14ac:dyDescent="0.3">
      <c r="E416" s="2"/>
    </row>
    <row r="417" spans="3:8" ht="15" thickBot="1" x14ac:dyDescent="0.35">
      <c r="C417" s="8" t="s">
        <v>676</v>
      </c>
      <c r="D417" s="8">
        <f>D397+D415</f>
        <v>10604</v>
      </c>
      <c r="E417" s="8">
        <f t="shared" ref="E417:H417" si="2">E397+E415</f>
        <v>56269</v>
      </c>
      <c r="F417" s="8">
        <f t="shared" si="2"/>
        <v>66873</v>
      </c>
      <c r="G417" s="8">
        <f t="shared" si="2"/>
        <v>14607</v>
      </c>
      <c r="H417" s="8">
        <f t="shared" si="2"/>
        <v>81064</v>
      </c>
    </row>
    <row r="418" spans="3:8" ht="15" thickTop="1" x14ac:dyDescent="0.3"/>
  </sheetData>
  <printOptions horizontalCentered="1"/>
  <pageMargins left="0" right="0" top="0.75" bottom="0.75" header="0.3" footer="0.3"/>
  <pageSetup scale="90" orientation="portrait" r:id="rId1"/>
  <headerFooter>
    <oddHeader>&amp;C&amp;"-,Bold"&amp;14Kansas Special Education 
IDEA, Part B and Gifted Child Counts as counted on December 1, 2010</oddHeader>
    <oddFooter>&amp;LJune 15, 2010&amp;CPage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Gifted Pivot</vt:lpstr>
      <vt:lpstr>Child_Count</vt:lpstr>
      <vt:lpstr>Child_Count!Print_Area</vt:lpstr>
      <vt:lpstr>Child_Count!Print_Titles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D. Robinson</dc:creator>
  <cp:lastModifiedBy>Mason Vosburgh</cp:lastModifiedBy>
  <cp:lastPrinted>2011-07-01T12:47:18Z</cp:lastPrinted>
  <dcterms:created xsi:type="dcterms:W3CDTF">2011-05-11T18:18:12Z</dcterms:created>
  <dcterms:modified xsi:type="dcterms:W3CDTF">2011-07-01T12:47:20Z</dcterms:modified>
</cp:coreProperties>
</file>