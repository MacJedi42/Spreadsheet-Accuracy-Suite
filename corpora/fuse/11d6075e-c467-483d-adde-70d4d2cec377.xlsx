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05" windowWidth="10860" windowHeight="615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93" i="1"/>
  <c r="C92"/>
  <c r="C90"/>
  <c r="C89"/>
  <c r="C86"/>
  <c r="C87"/>
  <c r="C88"/>
  <c r="C85"/>
  <c r="C80"/>
  <c r="C81"/>
  <c r="C82"/>
  <c r="C79"/>
  <c r="C33"/>
  <c r="D33"/>
  <c r="C32"/>
  <c r="D32"/>
  <c r="C30"/>
  <c r="D30"/>
  <c r="C7"/>
  <c r="D7"/>
  <c r="D19"/>
  <c r="C19"/>
  <c r="C11"/>
  <c r="D11"/>
  <c r="C12"/>
  <c r="D12"/>
  <c r="C14"/>
  <c r="D14"/>
  <c r="C26"/>
  <c r="D26"/>
  <c r="C27"/>
  <c r="D27"/>
  <c r="C34"/>
  <c r="D34"/>
  <c r="C6"/>
  <c r="D6"/>
  <c r="C29"/>
  <c r="D29"/>
  <c r="C4"/>
  <c r="D4"/>
  <c r="C8"/>
  <c r="D8"/>
  <c r="C9"/>
  <c r="D9"/>
  <c r="C10"/>
  <c r="D10"/>
  <c r="C13"/>
  <c r="D13"/>
  <c r="C15"/>
  <c r="D15"/>
  <c r="C20"/>
  <c r="D20"/>
  <c r="C21"/>
  <c r="D21"/>
  <c r="C22"/>
  <c r="D22"/>
  <c r="C23"/>
  <c r="D23"/>
  <c r="C24"/>
  <c r="D24"/>
  <c r="C28"/>
  <c r="D28"/>
  <c r="C31"/>
  <c r="D31"/>
  <c r="C25"/>
  <c r="D25"/>
  <c r="D5"/>
  <c r="C5"/>
</calcChain>
</file>

<file path=xl/sharedStrings.xml><?xml version="1.0" encoding="utf-8"?>
<sst xmlns="http://schemas.openxmlformats.org/spreadsheetml/2006/main" count="99" uniqueCount="96">
  <si>
    <t>Volatile Organics</t>
  </si>
  <si>
    <t>Semivolatile Organics</t>
  </si>
  <si>
    <t>Pesticides</t>
  </si>
  <si>
    <t>Select Organochlorine Pesticides and PCBs in tissue</t>
  </si>
  <si>
    <t>pH</t>
  </si>
  <si>
    <t>ALKALINITY</t>
  </si>
  <si>
    <t>BOD (5 DAY)</t>
  </si>
  <si>
    <t>COD</t>
  </si>
  <si>
    <t>TOTAL RESIDUE</t>
  </si>
  <si>
    <t>SUSPENDED RESIDUE</t>
  </si>
  <si>
    <t>FECAL MF</t>
  </si>
  <si>
    <t>TOTAL MF</t>
  </si>
  <si>
    <t>TURBIDITY</t>
  </si>
  <si>
    <t>CHLOROPYLL</t>
  </si>
  <si>
    <t>HEXAVALENT CHROMIUM</t>
  </si>
  <si>
    <t>COLOR ADMI</t>
  </si>
  <si>
    <t>CYANIDE</t>
  </si>
  <si>
    <t>DISSOLVED SOLIDS</t>
  </si>
  <si>
    <t>FORMALDEHYDE</t>
  </si>
  <si>
    <t>MBAS</t>
  </si>
  <si>
    <t>OIL &amp; GREASE</t>
  </si>
  <si>
    <t>PHENOL</t>
  </si>
  <si>
    <t>SILICA</t>
  </si>
  <si>
    <t>SPECIFIC CONDUCTANCE</t>
  </si>
  <si>
    <t>SULFIDE</t>
  </si>
  <si>
    <t>AMMONIA</t>
  </si>
  <si>
    <t>NITRATE + NITRITE</t>
  </si>
  <si>
    <t>NITRATE</t>
  </si>
  <si>
    <t>NITRITE</t>
  </si>
  <si>
    <t>TOTAL KJELDAHL</t>
  </si>
  <si>
    <t>TOTAL PHOSPHORUS</t>
  </si>
  <si>
    <t>ORTHOPHOSPHATE</t>
  </si>
  <si>
    <t>THALLIUM</t>
  </si>
  <si>
    <t>MEDIUM</t>
  </si>
  <si>
    <t>Tissue</t>
  </si>
  <si>
    <t>Water</t>
  </si>
  <si>
    <t>Solid*</t>
  </si>
  <si>
    <t xml:space="preserve"> </t>
  </si>
  <si>
    <t>*Oragnics costs listed are for single analyses. In the case of combined analyses: For the first 4 analyses, take highest value and add 50% of each value for the other requested parameters. Example: If all 4 * parameters are analyzed from one sample Cost = $290 + $116 + $101.50 + $116 = $623.50 vs. Cost of individual * parameters = $957</t>
  </si>
  <si>
    <t>* Solid includes sediments, soils and sludge(residuals)</t>
  </si>
  <si>
    <t>ORGANIC PARAMETERS</t>
  </si>
  <si>
    <t>Micro</t>
  </si>
  <si>
    <t>TOC/DOC</t>
  </si>
  <si>
    <t>Nutrients</t>
  </si>
  <si>
    <t>Wet Chemistry</t>
  </si>
  <si>
    <t>COLOR Platinum Cobalt</t>
  </si>
  <si>
    <t>Ion Chromotography (Chloride, Fluoride, and Sulfate)</t>
  </si>
  <si>
    <t>Suspended residue -fixed</t>
  </si>
  <si>
    <t>Suspended residue -vol</t>
  </si>
  <si>
    <t>Tannin and Lignin</t>
  </si>
  <si>
    <t>ANTIMONY (Sb)</t>
  </si>
  <si>
    <t>ALUMINUM (Al)</t>
  </si>
  <si>
    <t>SILVER (Ag)</t>
  </si>
  <si>
    <t>ARSENIC (As)</t>
  </si>
  <si>
    <t>Boron (B)</t>
  </si>
  <si>
    <t>BARIUM (Ba)</t>
  </si>
  <si>
    <t>BERYLLIUM (Be)</t>
  </si>
  <si>
    <t>CALCIUM (Ca)</t>
  </si>
  <si>
    <t>CADMIUM (Cd)</t>
  </si>
  <si>
    <t>CHROMIUM (Cr)</t>
  </si>
  <si>
    <t>COBALT (Co)</t>
  </si>
  <si>
    <t>COPPER (Cu)</t>
  </si>
  <si>
    <t>IRON (Fe)</t>
  </si>
  <si>
    <t>Hardness by Calculation</t>
  </si>
  <si>
    <t>Hardness by titration</t>
  </si>
  <si>
    <t>Mercury by EPA Method 1631 (Hg)</t>
  </si>
  <si>
    <t>Mercury (Hg)</t>
  </si>
  <si>
    <t>POTASSIUM (K)</t>
  </si>
  <si>
    <t>LITHIUM (Li)</t>
  </si>
  <si>
    <t>MAGNESIUM (Mg)</t>
  </si>
  <si>
    <t>MANGANESE (Mn)</t>
  </si>
  <si>
    <t>MOLYBDENUM (Mo)</t>
  </si>
  <si>
    <t>SODIUM (Na)</t>
  </si>
  <si>
    <t>NICKEL (Ni)</t>
  </si>
  <si>
    <t>LEAD (Pb)</t>
  </si>
  <si>
    <t>SELENIUM (Se)</t>
  </si>
  <si>
    <t>Tin (Sn)</t>
  </si>
  <si>
    <t>Titanium (Ti)</t>
  </si>
  <si>
    <t>Vanadium (V)</t>
  </si>
  <si>
    <t>ZINC (Zn)</t>
  </si>
  <si>
    <t>PARAMETER</t>
  </si>
  <si>
    <t>Metals</t>
  </si>
  <si>
    <t>GC/MS Volatile Organics (60 compounds)</t>
  </si>
  <si>
    <t>GC/MS SemiVolatile Organics (66 compounds)</t>
  </si>
  <si>
    <t>Gasoline Range Organics (TPH)</t>
  </si>
  <si>
    <t>Diesel Range Organics (TPHDRO)</t>
  </si>
  <si>
    <t>GC/MS SemiVolatile Organics Extraction</t>
  </si>
  <si>
    <t>Diesel Range Organics Extraction</t>
  </si>
  <si>
    <t>Organophosphorus Pesticides (25 pesticides)</t>
  </si>
  <si>
    <t>Acid Herbicides Extraction</t>
  </si>
  <si>
    <t>PCB's (8)</t>
  </si>
  <si>
    <t>Organochlorine  Pesticides (40 pesticides + screen 8 PCB's)</t>
  </si>
  <si>
    <t>Organonitrogen Pesticides (33 pesticides)</t>
  </si>
  <si>
    <t>Acid Herbicides (14)</t>
  </si>
  <si>
    <t>PCB Extraction</t>
  </si>
  <si>
    <t>Organo Extraction</t>
  </si>
</sst>
</file>

<file path=xl/styles.xml><?xml version="1.0" encoding="utf-8"?>
<styleSheet xmlns="http://schemas.openxmlformats.org/spreadsheetml/2006/main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7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6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/>
    <xf numFmtId="0" fontId="3" fillId="0" borderId="0" xfId="0" applyFont="1" applyFill="1"/>
    <xf numFmtId="164" fontId="3" fillId="0" borderId="0" xfId="0" applyNumberFormat="1" applyFont="1" applyAlignment="1">
      <alignment horizontal="center"/>
    </xf>
    <xf numFmtId="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4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14" fontId="4" fillId="0" borderId="0" xfId="0" applyNumberFormat="1" applyFont="1" applyAlignment="1">
      <alignment horizontal="left"/>
    </xf>
    <xf numFmtId="164" fontId="4" fillId="0" borderId="0" xfId="0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tabSelected="1" workbookViewId="0">
      <selection activeCell="A90" sqref="A90"/>
    </sheetView>
  </sheetViews>
  <sheetFormatPr defaultColWidth="9.140625" defaultRowHeight="11.25"/>
  <cols>
    <col min="1" max="1" width="43.85546875" style="8" customWidth="1"/>
    <col min="2" max="2" width="9.140625" style="14"/>
    <col min="3" max="4" width="9.140625" style="9"/>
    <col min="5" max="5" width="0.28515625" style="9" customWidth="1"/>
    <col min="6" max="9" width="9.140625" style="9" hidden="1" customWidth="1"/>
    <col min="10" max="16384" width="9.140625" style="9"/>
  </cols>
  <sheetData>
    <row r="1" spans="1:5">
      <c r="A1" s="22"/>
      <c r="B1" s="10"/>
      <c r="C1" s="11" t="s">
        <v>33</v>
      </c>
      <c r="D1" s="12"/>
    </row>
    <row r="2" spans="1:5">
      <c r="A2" s="11" t="s">
        <v>80</v>
      </c>
      <c r="B2" s="20" t="s">
        <v>35</v>
      </c>
      <c r="C2" s="21" t="s">
        <v>36</v>
      </c>
      <c r="D2" s="21" t="s">
        <v>34</v>
      </c>
      <c r="E2" s="13"/>
    </row>
    <row r="3" spans="1:5" s="13" customFormat="1">
      <c r="A3" s="25" t="s">
        <v>81</v>
      </c>
      <c r="B3" s="14"/>
      <c r="C3" s="16"/>
      <c r="D3" s="9"/>
    </row>
    <row r="4" spans="1:5" s="13" customFormat="1">
      <c r="A4" s="18" t="s">
        <v>52</v>
      </c>
      <c r="B4" s="14">
        <v>12.63</v>
      </c>
      <c r="C4" s="14">
        <f t="shared" ref="C4:C15" si="0">B4*3</f>
        <v>37.89</v>
      </c>
      <c r="D4" s="14">
        <f t="shared" ref="D4:D15" si="1">B4*4</f>
        <v>50.52</v>
      </c>
    </row>
    <row r="5" spans="1:5" s="13" customFormat="1">
      <c r="A5" s="18" t="s">
        <v>51</v>
      </c>
      <c r="B5" s="14">
        <v>12.63</v>
      </c>
      <c r="C5" s="14">
        <f t="shared" si="0"/>
        <v>37.89</v>
      </c>
      <c r="D5" s="14">
        <f t="shared" si="1"/>
        <v>50.52</v>
      </c>
    </row>
    <row r="6" spans="1:5" s="13" customFormat="1">
      <c r="A6" s="18" t="s">
        <v>53</v>
      </c>
      <c r="B6" s="14">
        <v>14.13</v>
      </c>
      <c r="C6" s="14">
        <f t="shared" si="0"/>
        <v>42.39</v>
      </c>
      <c r="D6" s="14">
        <f t="shared" si="1"/>
        <v>56.52</v>
      </c>
    </row>
    <row r="7" spans="1:5" s="13" customFormat="1">
      <c r="A7" s="18" t="s">
        <v>54</v>
      </c>
      <c r="B7" s="14">
        <v>13.31</v>
      </c>
      <c r="C7" s="14">
        <f t="shared" si="0"/>
        <v>39.93</v>
      </c>
      <c r="D7" s="14">
        <f t="shared" si="1"/>
        <v>53.24</v>
      </c>
    </row>
    <row r="8" spans="1:5" s="13" customFormat="1">
      <c r="A8" s="18" t="s">
        <v>55</v>
      </c>
      <c r="B8" s="14">
        <v>11.79</v>
      </c>
      <c r="C8" s="14">
        <f t="shared" si="0"/>
        <v>35.369999999999997</v>
      </c>
      <c r="D8" s="14">
        <f t="shared" si="1"/>
        <v>47.16</v>
      </c>
    </row>
    <row r="9" spans="1:5" s="13" customFormat="1">
      <c r="A9" s="18" t="s">
        <v>56</v>
      </c>
      <c r="B9" s="14">
        <v>11.79</v>
      </c>
      <c r="C9" s="14">
        <f t="shared" si="0"/>
        <v>35.369999999999997</v>
      </c>
      <c r="D9" s="14">
        <f t="shared" si="1"/>
        <v>47.16</v>
      </c>
    </row>
    <row r="10" spans="1:5" s="13" customFormat="1">
      <c r="A10" s="18" t="s">
        <v>57</v>
      </c>
      <c r="B10" s="14">
        <v>12.63</v>
      </c>
      <c r="C10" s="14">
        <f t="shared" si="0"/>
        <v>37.89</v>
      </c>
      <c r="D10" s="14">
        <f t="shared" si="1"/>
        <v>50.52</v>
      </c>
    </row>
    <row r="11" spans="1:5" s="13" customFormat="1">
      <c r="A11" s="18" t="s">
        <v>58</v>
      </c>
      <c r="B11" s="14">
        <v>12.63</v>
      </c>
      <c r="C11" s="14">
        <f t="shared" si="0"/>
        <v>37.89</v>
      </c>
      <c r="D11" s="14">
        <f t="shared" si="1"/>
        <v>50.52</v>
      </c>
    </row>
    <row r="12" spans="1:5" s="13" customFormat="1">
      <c r="A12" s="18" t="s">
        <v>59</v>
      </c>
      <c r="B12" s="14">
        <v>12.63</v>
      </c>
      <c r="C12" s="14">
        <f t="shared" si="0"/>
        <v>37.89</v>
      </c>
      <c r="D12" s="14">
        <f t="shared" si="1"/>
        <v>50.52</v>
      </c>
    </row>
    <row r="13" spans="1:5" s="13" customFormat="1">
      <c r="A13" s="18" t="s">
        <v>60</v>
      </c>
      <c r="B13" s="14">
        <v>11.79</v>
      </c>
      <c r="C13" s="14">
        <f t="shared" si="0"/>
        <v>35.369999999999997</v>
      </c>
      <c r="D13" s="14">
        <f t="shared" si="1"/>
        <v>47.16</v>
      </c>
    </row>
    <row r="14" spans="1:5" s="13" customFormat="1">
      <c r="A14" s="18" t="s">
        <v>61</v>
      </c>
      <c r="B14" s="14">
        <v>12.63</v>
      </c>
      <c r="C14" s="14">
        <f t="shared" si="0"/>
        <v>37.89</v>
      </c>
      <c r="D14" s="14">
        <f t="shared" si="1"/>
        <v>50.52</v>
      </c>
    </row>
    <row r="15" spans="1:5" s="13" customFormat="1">
      <c r="A15" s="18" t="s">
        <v>62</v>
      </c>
      <c r="B15" s="14">
        <v>12.63</v>
      </c>
      <c r="C15" s="14">
        <f t="shared" si="0"/>
        <v>37.89</v>
      </c>
      <c r="D15" s="14">
        <f t="shared" si="1"/>
        <v>50.52</v>
      </c>
    </row>
    <row r="16" spans="1:5" s="13" customFormat="1">
      <c r="A16" s="18" t="s">
        <v>63</v>
      </c>
      <c r="B16" s="14">
        <v>20.38</v>
      </c>
      <c r="C16" s="14"/>
      <c r="D16" s="14"/>
    </row>
    <row r="17" spans="1:4" s="13" customFormat="1">
      <c r="A17" s="18" t="s">
        <v>64</v>
      </c>
      <c r="B17" s="14">
        <v>15.83</v>
      </c>
      <c r="C17" s="14"/>
      <c r="D17" s="14"/>
    </row>
    <row r="18" spans="1:4" s="13" customFormat="1">
      <c r="A18" s="18" t="s">
        <v>65</v>
      </c>
      <c r="B18" s="14">
        <v>61.2</v>
      </c>
      <c r="C18" s="14"/>
      <c r="D18" s="14"/>
    </row>
    <row r="19" spans="1:4" s="13" customFormat="1">
      <c r="A19" s="18" t="s">
        <v>66</v>
      </c>
      <c r="B19" s="14">
        <v>23.32</v>
      </c>
      <c r="C19" s="14">
        <f t="shared" ref="C19:C34" si="2">B19*3</f>
        <v>69.960000000000008</v>
      </c>
      <c r="D19" s="14">
        <f t="shared" ref="D19:D34" si="3">B19*4</f>
        <v>93.28</v>
      </c>
    </row>
    <row r="20" spans="1:4" s="13" customFormat="1">
      <c r="A20" s="18" t="s">
        <v>67</v>
      </c>
      <c r="B20" s="14">
        <v>11.79</v>
      </c>
      <c r="C20" s="14">
        <f t="shared" si="2"/>
        <v>35.369999999999997</v>
      </c>
      <c r="D20" s="14">
        <f t="shared" si="3"/>
        <v>47.16</v>
      </c>
    </row>
    <row r="21" spans="1:4" s="13" customFormat="1">
      <c r="A21" s="18" t="s">
        <v>68</v>
      </c>
      <c r="B21" s="14">
        <v>11.13</v>
      </c>
      <c r="C21" s="14">
        <f t="shared" si="2"/>
        <v>33.39</v>
      </c>
      <c r="D21" s="14">
        <f t="shared" si="3"/>
        <v>44.52</v>
      </c>
    </row>
    <row r="22" spans="1:4" s="13" customFormat="1">
      <c r="A22" s="18" t="s">
        <v>69</v>
      </c>
      <c r="B22" s="14">
        <v>12.63</v>
      </c>
      <c r="C22" s="14">
        <f t="shared" si="2"/>
        <v>37.89</v>
      </c>
      <c r="D22" s="14">
        <f t="shared" si="3"/>
        <v>50.52</v>
      </c>
    </row>
    <row r="23" spans="1:4" s="13" customFormat="1">
      <c r="A23" s="18" t="s">
        <v>70</v>
      </c>
      <c r="B23" s="14">
        <v>12.63</v>
      </c>
      <c r="C23" s="14">
        <f t="shared" si="2"/>
        <v>37.89</v>
      </c>
      <c r="D23" s="14">
        <f t="shared" si="3"/>
        <v>50.52</v>
      </c>
    </row>
    <row r="24" spans="1:4" s="13" customFormat="1">
      <c r="A24" s="18" t="s">
        <v>71</v>
      </c>
      <c r="B24" s="14">
        <v>12.63</v>
      </c>
      <c r="C24" s="14">
        <f t="shared" si="2"/>
        <v>37.89</v>
      </c>
      <c r="D24" s="14">
        <f t="shared" si="3"/>
        <v>50.52</v>
      </c>
    </row>
    <row r="25" spans="1:4" s="13" customFormat="1">
      <c r="A25" s="18" t="s">
        <v>72</v>
      </c>
      <c r="B25" s="14">
        <v>12.63</v>
      </c>
      <c r="C25" s="14">
        <f t="shared" si="2"/>
        <v>37.89</v>
      </c>
      <c r="D25" s="14">
        <f t="shared" si="3"/>
        <v>50.52</v>
      </c>
    </row>
    <row r="26" spans="1:4" s="13" customFormat="1">
      <c r="A26" s="18" t="s">
        <v>73</v>
      </c>
      <c r="B26" s="14">
        <v>12.63</v>
      </c>
      <c r="C26" s="14">
        <f t="shared" si="2"/>
        <v>37.89</v>
      </c>
      <c r="D26" s="14">
        <f t="shared" si="3"/>
        <v>50.52</v>
      </c>
    </row>
    <row r="27" spans="1:4" s="13" customFormat="1">
      <c r="A27" s="18" t="s">
        <v>74</v>
      </c>
      <c r="B27" s="14">
        <v>12.63</v>
      </c>
      <c r="C27" s="14">
        <f t="shared" si="2"/>
        <v>37.89</v>
      </c>
      <c r="D27" s="14">
        <f t="shared" si="3"/>
        <v>50.52</v>
      </c>
    </row>
    <row r="28" spans="1:4" s="13" customFormat="1">
      <c r="A28" s="18" t="s">
        <v>50</v>
      </c>
      <c r="B28" s="14">
        <v>12.63</v>
      </c>
      <c r="C28" s="14">
        <f t="shared" si="2"/>
        <v>37.89</v>
      </c>
      <c r="D28" s="14">
        <f t="shared" si="3"/>
        <v>50.52</v>
      </c>
    </row>
    <row r="29" spans="1:4" s="13" customFormat="1">
      <c r="A29" s="18" t="s">
        <v>75</v>
      </c>
      <c r="B29" s="14">
        <v>14.13</v>
      </c>
      <c r="C29" s="14">
        <f t="shared" si="2"/>
        <v>42.39</v>
      </c>
      <c r="D29" s="14">
        <f t="shared" si="3"/>
        <v>56.52</v>
      </c>
    </row>
    <row r="30" spans="1:4" s="13" customFormat="1">
      <c r="A30" s="18" t="s">
        <v>76</v>
      </c>
      <c r="B30" s="14">
        <v>12.63</v>
      </c>
      <c r="C30" s="16">
        <f t="shared" si="2"/>
        <v>37.89</v>
      </c>
      <c r="D30" s="16">
        <f t="shared" si="3"/>
        <v>50.52</v>
      </c>
    </row>
    <row r="31" spans="1:4" s="13" customFormat="1">
      <c r="A31" s="18" t="s">
        <v>32</v>
      </c>
      <c r="B31" s="14">
        <v>11.79</v>
      </c>
      <c r="C31" s="14">
        <f t="shared" si="2"/>
        <v>35.369999999999997</v>
      </c>
      <c r="D31" s="14">
        <f t="shared" si="3"/>
        <v>47.16</v>
      </c>
    </row>
    <row r="32" spans="1:4" s="13" customFormat="1">
      <c r="A32" s="18" t="s">
        <v>77</v>
      </c>
      <c r="B32" s="14">
        <v>11.79</v>
      </c>
      <c r="C32" s="16">
        <f t="shared" si="2"/>
        <v>35.369999999999997</v>
      </c>
      <c r="D32" s="16">
        <f t="shared" si="3"/>
        <v>47.16</v>
      </c>
    </row>
    <row r="33" spans="1:5" s="13" customFormat="1">
      <c r="A33" s="18" t="s">
        <v>78</v>
      </c>
      <c r="B33" s="14">
        <v>11.79</v>
      </c>
      <c r="C33" s="16">
        <f t="shared" si="2"/>
        <v>35.369999999999997</v>
      </c>
      <c r="D33" s="16">
        <f t="shared" si="3"/>
        <v>47.16</v>
      </c>
    </row>
    <row r="34" spans="1:5" s="13" customFormat="1">
      <c r="A34" s="18" t="s">
        <v>79</v>
      </c>
      <c r="B34" s="14">
        <v>12.63</v>
      </c>
      <c r="C34" s="14">
        <f t="shared" si="2"/>
        <v>37.89</v>
      </c>
      <c r="D34" s="14">
        <f t="shared" si="3"/>
        <v>50.52</v>
      </c>
    </row>
    <row r="35" spans="1:5" s="13" customFormat="1">
      <c r="A35" s="26" t="s">
        <v>41</v>
      </c>
      <c r="B35" s="23"/>
      <c r="C35" s="24"/>
      <c r="D35" s="24"/>
    </row>
    <row r="36" spans="1:5">
      <c r="A36" s="18" t="s">
        <v>5</v>
      </c>
      <c r="B36" s="14">
        <v>11.3</v>
      </c>
      <c r="C36" s="14"/>
      <c r="E36" s="13"/>
    </row>
    <row r="37" spans="1:5">
      <c r="A37" s="18" t="s">
        <v>6</v>
      </c>
      <c r="B37" s="14">
        <v>24.9</v>
      </c>
      <c r="C37" s="14"/>
      <c r="E37" s="13"/>
    </row>
    <row r="38" spans="1:5">
      <c r="A38" s="18" t="s">
        <v>10</v>
      </c>
      <c r="B38" s="14">
        <v>22.03</v>
      </c>
      <c r="C38" s="14"/>
      <c r="E38" s="13"/>
    </row>
    <row r="39" spans="1:5">
      <c r="A39" s="18" t="s">
        <v>11</v>
      </c>
      <c r="B39" s="14">
        <v>20.52</v>
      </c>
      <c r="C39" s="14"/>
      <c r="E39" s="13"/>
    </row>
    <row r="40" spans="1:5">
      <c r="A40" s="18" t="s">
        <v>23</v>
      </c>
      <c r="B40" s="14">
        <v>10.24</v>
      </c>
      <c r="C40" s="14"/>
      <c r="E40" s="13"/>
    </row>
    <row r="41" spans="1:5">
      <c r="A41" s="18" t="s">
        <v>42</v>
      </c>
      <c r="B41" s="14">
        <v>26.25</v>
      </c>
      <c r="C41" s="14">
        <v>105</v>
      </c>
      <c r="E41" s="13"/>
    </row>
    <row r="42" spans="1:5">
      <c r="A42" s="18" t="s">
        <v>12</v>
      </c>
      <c r="B42" s="14">
        <v>9.6999999999999993</v>
      </c>
      <c r="C42" s="14"/>
      <c r="E42" s="13"/>
    </row>
    <row r="43" spans="1:5">
      <c r="A43" s="25" t="s">
        <v>43</v>
      </c>
      <c r="C43" s="14"/>
      <c r="E43" s="13"/>
    </row>
    <row r="44" spans="1:5">
      <c r="A44" s="18" t="s">
        <v>25</v>
      </c>
      <c r="B44" s="14">
        <v>14.68</v>
      </c>
      <c r="C44" s="14"/>
      <c r="E44" s="13"/>
    </row>
    <row r="45" spans="1:5">
      <c r="A45" s="18" t="s">
        <v>27</v>
      </c>
      <c r="B45" s="14">
        <v>15.58</v>
      </c>
      <c r="C45" s="14"/>
      <c r="E45" s="13"/>
    </row>
    <row r="46" spans="1:5">
      <c r="A46" s="18" t="s">
        <v>26</v>
      </c>
      <c r="B46" s="14">
        <v>18.149999999999999</v>
      </c>
      <c r="C46" s="14"/>
      <c r="E46" s="13"/>
    </row>
    <row r="47" spans="1:5">
      <c r="A47" s="18" t="s">
        <v>28</v>
      </c>
      <c r="B47" s="14">
        <v>14.21</v>
      </c>
      <c r="C47" s="14"/>
      <c r="E47" s="13"/>
    </row>
    <row r="48" spans="1:5">
      <c r="A48" s="18" t="s">
        <v>31</v>
      </c>
      <c r="B48" s="14">
        <v>15.19</v>
      </c>
      <c r="C48" s="14"/>
      <c r="E48" s="13"/>
    </row>
    <row r="49" spans="1:5">
      <c r="A49" s="18" t="s">
        <v>29</v>
      </c>
      <c r="B49" s="14">
        <v>19.88</v>
      </c>
      <c r="C49" s="14"/>
      <c r="E49" s="13"/>
    </row>
    <row r="50" spans="1:5">
      <c r="A50" s="18" t="s">
        <v>30</v>
      </c>
      <c r="B50" s="14">
        <v>19.8</v>
      </c>
      <c r="C50" s="14"/>
      <c r="E50" s="13"/>
    </row>
    <row r="51" spans="1:5">
      <c r="A51" s="25" t="s">
        <v>44</v>
      </c>
      <c r="C51" s="14"/>
      <c r="E51" s="13"/>
    </row>
    <row r="52" spans="1:5">
      <c r="A52" s="18" t="s">
        <v>13</v>
      </c>
      <c r="B52" s="14">
        <v>33.72</v>
      </c>
      <c r="C52" s="14"/>
      <c r="E52" s="13"/>
    </row>
    <row r="53" spans="1:5">
      <c r="A53" s="18" t="s">
        <v>7</v>
      </c>
      <c r="B53" s="14">
        <v>19.260000000000002</v>
      </c>
      <c r="C53" s="14"/>
      <c r="E53" s="13"/>
    </row>
    <row r="54" spans="1:5">
      <c r="A54" s="18" t="s">
        <v>15</v>
      </c>
      <c r="B54" s="14">
        <v>44.91</v>
      </c>
      <c r="C54" s="14"/>
      <c r="E54" s="13"/>
    </row>
    <row r="55" spans="1:5">
      <c r="A55" s="18" t="s">
        <v>45</v>
      </c>
      <c r="B55" s="14">
        <v>13.13</v>
      </c>
      <c r="C55" s="14"/>
      <c r="E55" s="13"/>
    </row>
    <row r="56" spans="1:5">
      <c r="A56" s="18" t="s">
        <v>16</v>
      </c>
      <c r="B56" s="14">
        <v>31.66</v>
      </c>
      <c r="C56" s="14"/>
      <c r="E56" s="13"/>
    </row>
    <row r="57" spans="1:5">
      <c r="A57" s="18" t="s">
        <v>17</v>
      </c>
      <c r="B57" s="14">
        <v>13.04</v>
      </c>
      <c r="C57" s="17"/>
      <c r="E57" s="13"/>
    </row>
    <row r="58" spans="1:5">
      <c r="A58" s="18" t="s">
        <v>18</v>
      </c>
      <c r="B58" s="14">
        <v>37</v>
      </c>
      <c r="C58" s="14"/>
      <c r="E58" s="13"/>
    </row>
    <row r="59" spans="1:5">
      <c r="A59" s="18" t="s">
        <v>14</v>
      </c>
      <c r="B59" s="14">
        <v>26.85</v>
      </c>
      <c r="C59" s="14"/>
      <c r="E59" s="13"/>
    </row>
    <row r="60" spans="1:5">
      <c r="A60" s="18" t="s">
        <v>46</v>
      </c>
      <c r="B60" s="14">
        <v>40.65</v>
      </c>
      <c r="C60" s="14"/>
      <c r="E60" s="13"/>
    </row>
    <row r="61" spans="1:5">
      <c r="A61" s="18" t="s">
        <v>19</v>
      </c>
      <c r="B61" s="14">
        <v>28.38</v>
      </c>
      <c r="C61" s="14"/>
      <c r="E61" s="13"/>
    </row>
    <row r="62" spans="1:5">
      <c r="A62" s="18" t="s">
        <v>20</v>
      </c>
      <c r="B62" s="14">
        <v>36.700000000000003</v>
      </c>
      <c r="C62" s="14">
        <v>48.96</v>
      </c>
      <c r="E62" s="13"/>
    </row>
    <row r="63" spans="1:5">
      <c r="A63" s="18" t="s">
        <v>4</v>
      </c>
      <c r="B63" s="14">
        <v>6.39</v>
      </c>
      <c r="C63" s="14"/>
      <c r="E63" s="13"/>
    </row>
    <row r="64" spans="1:5">
      <c r="A64" s="18" t="s">
        <v>21</v>
      </c>
      <c r="B64" s="14">
        <v>24.8</v>
      </c>
      <c r="C64" s="14"/>
      <c r="E64" s="13"/>
    </row>
    <row r="65" spans="1:5">
      <c r="A65" s="18" t="s">
        <v>22</v>
      </c>
      <c r="B65" s="14">
        <v>14.16</v>
      </c>
      <c r="C65" s="14"/>
      <c r="E65" s="13"/>
    </row>
    <row r="66" spans="1:5">
      <c r="A66" s="18" t="s">
        <v>24</v>
      </c>
      <c r="B66" s="14">
        <v>15.63</v>
      </c>
      <c r="C66" s="14"/>
      <c r="E66" s="13"/>
    </row>
    <row r="67" spans="1:5">
      <c r="A67" s="18" t="s">
        <v>9</v>
      </c>
      <c r="B67" s="14">
        <v>12.48</v>
      </c>
      <c r="C67" s="14"/>
      <c r="E67" s="13"/>
    </row>
    <row r="68" spans="1:5">
      <c r="A68" s="18" t="s">
        <v>47</v>
      </c>
      <c r="B68" s="14">
        <v>8.89</v>
      </c>
      <c r="C68" s="14"/>
      <c r="E68" s="13"/>
    </row>
    <row r="69" spans="1:5">
      <c r="A69" s="18" t="s">
        <v>48</v>
      </c>
      <c r="B69" s="14">
        <v>8.89</v>
      </c>
      <c r="C69" s="14"/>
      <c r="E69" s="13"/>
    </row>
    <row r="70" spans="1:5">
      <c r="A70" s="18" t="s">
        <v>49</v>
      </c>
      <c r="B70" s="14">
        <v>10.039999999999999</v>
      </c>
    </row>
    <row r="71" spans="1:5">
      <c r="A71" s="18" t="s">
        <v>8</v>
      </c>
      <c r="B71" s="14">
        <v>11.55</v>
      </c>
      <c r="C71" s="14"/>
      <c r="E71" s="13"/>
    </row>
    <row r="72" spans="1:5" ht="14.25" customHeight="1">
      <c r="A72" s="9"/>
      <c r="B72" s="9"/>
    </row>
    <row r="73" spans="1:5">
      <c r="A73" s="11" t="s">
        <v>40</v>
      </c>
      <c r="B73" s="20" t="s">
        <v>35</v>
      </c>
      <c r="C73" s="21" t="s">
        <v>36</v>
      </c>
      <c r="D73" s="21" t="s">
        <v>34</v>
      </c>
      <c r="E73" s="13"/>
    </row>
    <row r="74" spans="1:5">
      <c r="A74" s="19" t="s">
        <v>0</v>
      </c>
      <c r="E74" s="13"/>
    </row>
    <row r="75" spans="1:5">
      <c r="A75" s="18" t="s">
        <v>82</v>
      </c>
      <c r="B75" s="14">
        <v>111.97</v>
      </c>
      <c r="C75" s="16">
        <v>335.92</v>
      </c>
      <c r="E75" s="13"/>
    </row>
    <row r="76" spans="1:5">
      <c r="A76" s="18" t="s">
        <v>84</v>
      </c>
      <c r="B76" s="14">
        <v>56.25</v>
      </c>
      <c r="C76" s="15">
        <v>168.75</v>
      </c>
      <c r="E76" s="13"/>
    </row>
    <row r="77" spans="1:5">
      <c r="A77" s="18"/>
      <c r="C77" s="16"/>
      <c r="E77" s="13"/>
    </row>
    <row r="78" spans="1:5">
      <c r="A78" s="19" t="s">
        <v>1</v>
      </c>
      <c r="C78" s="16"/>
      <c r="E78" s="13"/>
    </row>
    <row r="79" spans="1:5">
      <c r="A79" s="18" t="s">
        <v>83</v>
      </c>
      <c r="B79" s="14">
        <v>221.42</v>
      </c>
      <c r="C79" s="14">
        <f>B79*3</f>
        <v>664.26</v>
      </c>
      <c r="E79" s="13"/>
    </row>
    <row r="80" spans="1:5">
      <c r="A80" s="18" t="s">
        <v>86</v>
      </c>
      <c r="B80" s="14">
        <v>22.5</v>
      </c>
      <c r="C80" s="14">
        <f t="shared" ref="C80:C82" si="4">B80*3</f>
        <v>67.5</v>
      </c>
      <c r="E80" s="13"/>
    </row>
    <row r="81" spans="1:5">
      <c r="A81" s="18" t="s">
        <v>85</v>
      </c>
      <c r="B81" s="14">
        <v>59.37</v>
      </c>
      <c r="C81" s="14">
        <f t="shared" si="4"/>
        <v>178.10999999999999</v>
      </c>
      <c r="E81" s="13"/>
    </row>
    <row r="82" spans="1:5">
      <c r="A82" s="18" t="s">
        <v>87</v>
      </c>
      <c r="B82" s="14">
        <v>22.5</v>
      </c>
      <c r="C82" s="14">
        <f t="shared" si="4"/>
        <v>67.5</v>
      </c>
      <c r="E82" s="13"/>
    </row>
    <row r="83" spans="1:5">
      <c r="A83" s="18"/>
      <c r="C83" s="16"/>
      <c r="E83" s="13"/>
    </row>
    <row r="84" spans="1:5">
      <c r="A84" s="19" t="s">
        <v>2</v>
      </c>
      <c r="C84" s="16"/>
      <c r="E84" s="13"/>
    </row>
    <row r="85" spans="1:5">
      <c r="A85" s="18" t="s">
        <v>91</v>
      </c>
      <c r="B85" s="14">
        <v>104.3</v>
      </c>
      <c r="C85" s="15">
        <f>B85*3</f>
        <v>312.89999999999998</v>
      </c>
      <c r="E85" s="13"/>
    </row>
    <row r="86" spans="1:5">
      <c r="A86" s="18" t="s">
        <v>92</v>
      </c>
      <c r="B86" s="14">
        <v>134.30000000000001</v>
      </c>
      <c r="C86" s="15">
        <f t="shared" ref="C86:C93" si="5">B86*3</f>
        <v>402.90000000000003</v>
      </c>
      <c r="E86" s="13"/>
    </row>
    <row r="87" spans="1:5">
      <c r="A87" s="18" t="s">
        <v>88</v>
      </c>
      <c r="B87" s="14">
        <v>136.63999999999999</v>
      </c>
      <c r="C87" s="15">
        <f t="shared" si="5"/>
        <v>409.91999999999996</v>
      </c>
      <c r="E87" s="13"/>
    </row>
    <row r="88" spans="1:5">
      <c r="A88" s="18" t="s">
        <v>93</v>
      </c>
      <c r="B88" s="14">
        <v>137.26</v>
      </c>
      <c r="C88" s="15">
        <f t="shared" si="5"/>
        <v>411.78</v>
      </c>
      <c r="E88" s="13"/>
    </row>
    <row r="89" spans="1:5">
      <c r="A89" s="18" t="s">
        <v>89</v>
      </c>
      <c r="B89" s="14">
        <v>22.5</v>
      </c>
      <c r="C89" s="15">
        <f t="shared" si="5"/>
        <v>67.5</v>
      </c>
      <c r="E89" s="13"/>
    </row>
    <row r="90" spans="1:5">
      <c r="A90" s="18" t="s">
        <v>95</v>
      </c>
      <c r="B90" s="14">
        <v>22.5</v>
      </c>
      <c r="C90" s="15">
        <f t="shared" si="5"/>
        <v>67.5</v>
      </c>
      <c r="E90" s="13"/>
    </row>
    <row r="91" spans="1:5">
      <c r="A91" s="18" t="s">
        <v>3</v>
      </c>
      <c r="C91" s="15"/>
      <c r="D91" s="15">
        <v>392.11</v>
      </c>
      <c r="E91" s="13"/>
    </row>
    <row r="92" spans="1:5">
      <c r="A92" s="18" t="s">
        <v>90</v>
      </c>
      <c r="B92" s="14">
        <v>98.03</v>
      </c>
      <c r="C92" s="15">
        <f t="shared" si="5"/>
        <v>294.09000000000003</v>
      </c>
      <c r="E92" s="13"/>
    </row>
    <row r="93" spans="1:5">
      <c r="A93" s="18" t="s">
        <v>94</v>
      </c>
      <c r="B93" s="14">
        <v>22.5</v>
      </c>
      <c r="C93" s="9">
        <f t="shared" si="5"/>
        <v>67.5</v>
      </c>
    </row>
    <row r="96" spans="1:5">
      <c r="A96" s="18"/>
      <c r="C96" s="15"/>
      <c r="E96" s="13"/>
    </row>
    <row r="97" spans="1:5">
      <c r="A97" s="18"/>
      <c r="C97" s="16"/>
      <c r="E97" s="13"/>
    </row>
    <row r="98" spans="1:5">
      <c r="A98" s="18"/>
      <c r="C98" s="15"/>
      <c r="E98" s="13"/>
    </row>
    <row r="99" spans="1:5">
      <c r="A99" s="9"/>
      <c r="B99" s="9"/>
    </row>
    <row r="100" spans="1:5">
      <c r="A100" s="18" t="s">
        <v>39</v>
      </c>
    </row>
  </sheetData>
  <sortState ref="A52:I75">
    <sortCondition ref="A52:A75"/>
  </sortState>
  <phoneticPr fontId="0" type="noConversion"/>
  <pageMargins left="1.25" right="0.75" top="0.74" bottom="0.8" header="0.5" footer="0.5"/>
  <pageSetup orientation="portrait" r:id="rId1"/>
  <headerFooter alignWithMargins="0">
    <oddHeader>&amp;LAnalytical Costs for NCDWQ Laboratory&amp;CPage &amp;P of &amp;N&amp;R&amp;D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D18:H21"/>
  <sheetViews>
    <sheetView topLeftCell="B1" workbookViewId="0">
      <selection activeCell="E18" sqref="E18"/>
    </sheetView>
  </sheetViews>
  <sheetFormatPr defaultRowHeight="12.75"/>
  <cols>
    <col min="4" max="4" width="33" customWidth="1"/>
    <col min="5" max="5" width="28.7109375" customWidth="1"/>
  </cols>
  <sheetData>
    <row r="18" spans="4:8">
      <c r="D18" s="4"/>
      <c r="E18" s="2" t="s">
        <v>38</v>
      </c>
      <c r="F18" s="3"/>
      <c r="G18" s="1"/>
      <c r="H18" s="1"/>
    </row>
    <row r="19" spans="4:8">
      <c r="E19" s="7"/>
      <c r="F19" s="5" t="s">
        <v>37</v>
      </c>
      <c r="G19" s="1"/>
      <c r="H19" s="1"/>
    </row>
    <row r="20" spans="4:8">
      <c r="D20" s="2"/>
      <c r="E20" s="7"/>
      <c r="F20" s="6"/>
      <c r="G20" s="1"/>
      <c r="H20" s="1"/>
    </row>
    <row r="21" spans="4:8">
      <c r="D21" s="2"/>
      <c r="E21" s="7"/>
      <c r="F21" s="6"/>
      <c r="G21" s="1"/>
      <c r="H21" s="1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DWQ LABORATORY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W. Meyer</dc:creator>
  <cp:lastModifiedBy>DWQ</cp:lastModifiedBy>
  <cp:lastPrinted>2011-07-18T17:37:01Z</cp:lastPrinted>
  <dcterms:created xsi:type="dcterms:W3CDTF">2001-05-24T12:56:18Z</dcterms:created>
  <dcterms:modified xsi:type="dcterms:W3CDTF">2011-07-21T18:22:59Z</dcterms:modified>
</cp:coreProperties>
</file>