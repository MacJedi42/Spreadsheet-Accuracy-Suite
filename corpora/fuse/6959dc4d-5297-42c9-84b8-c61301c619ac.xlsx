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7452" windowHeight="4896" tabRatio="838" activeTab="2"/>
  </bookViews>
  <sheets>
    <sheet name="Non-shuttle Bids" sheetId="3" r:id="rId1"/>
    <sheet name="Shuttle Bids" sheetId="4" r:id="rId2"/>
    <sheet name="New Fig. 4" sheetId="18" r:id="rId3"/>
    <sheet name="New Fig. 5" sheetId="19" r:id="rId4"/>
    <sheet name="New Fig. 6" sheetId="14" r:id="rId5"/>
    <sheet name="Prior 3-yr.Avg for Week" sheetId="7" r:id="rId6"/>
    <sheet name="MinMaxAvg" sheetId="1" r:id="rId7"/>
    <sheet name="Weekly Comparisons" sheetId="13" r:id="rId8"/>
    <sheet name="Range-Avg bid figure" sheetId="17" r:id="rId9"/>
  </sheets>
  <definedNames>
    <definedName name="_xlnm.Print_Area" localSheetId="6">MinMaxAvg!$BG$177:$BS$188</definedName>
    <definedName name="_xlnm.Print_Area" localSheetId="0">'Weekly Comparisons'!$A$4:$AW$12</definedName>
    <definedName name="_xlnm.Print_Area" localSheetId="1">'Weekly Comparisons'!$A$16:$AW$24</definedName>
    <definedName name="_xlnm.Print_Area" localSheetId="7">'Weekly Comparisons'!$AE$1:$AO$24</definedName>
    <definedName name="_xlnm.Print_Titles" localSheetId="0">'Non-shuttle Bids'!$B:$C,'Non-shuttle Bids'!$6:$7</definedName>
    <definedName name="_xlnm.Print_Titles" localSheetId="1">'Shuttle Bids'!$B:$B,'Shuttle Bids'!$6:$7</definedName>
    <definedName name="_xlnm.Print_Titles" localSheetId="7">'Weekly Comparisons'!$A:$B</definedName>
  </definedNames>
  <calcPr calcId="145621"/>
</workbook>
</file>

<file path=xl/calcChain.xml><?xml version="1.0" encoding="utf-8"?>
<calcChain xmlns="http://schemas.openxmlformats.org/spreadsheetml/2006/main">
  <c r="W8" i="13" l="1"/>
  <c r="W7" i="13"/>
  <c r="W6" i="13"/>
  <c r="Y5" i="13"/>
  <c r="X5" i="13"/>
  <c r="W5" i="13"/>
  <c r="Y4" i="13"/>
  <c r="X4" i="13"/>
  <c r="W4" i="13"/>
  <c r="Y3" i="13"/>
  <c r="X3" i="13"/>
  <c r="W3" i="13"/>
  <c r="S8" i="13"/>
  <c r="S7" i="13"/>
  <c r="S6" i="13"/>
  <c r="U5" i="13"/>
  <c r="T5" i="13"/>
  <c r="S5" i="13"/>
  <c r="U4" i="13"/>
  <c r="T4" i="13"/>
  <c r="S4" i="13"/>
  <c r="U3" i="13"/>
  <c r="T3" i="13"/>
  <c r="S3" i="13"/>
  <c r="O8" i="13"/>
  <c r="O7" i="13"/>
  <c r="O6" i="13"/>
  <c r="Q5" i="13"/>
  <c r="P5" i="13"/>
  <c r="O5" i="13"/>
  <c r="Q4" i="13"/>
  <c r="P4" i="13"/>
  <c r="O4" i="13"/>
  <c r="Q3" i="13"/>
  <c r="P3" i="13"/>
  <c r="O3" i="13"/>
  <c r="K8" i="13"/>
  <c r="K7" i="13"/>
  <c r="K6" i="13"/>
  <c r="M5" i="13"/>
  <c r="L5" i="13"/>
  <c r="K5" i="13"/>
  <c r="M4" i="13"/>
  <c r="L4" i="13"/>
  <c r="K4" i="13"/>
  <c r="M3" i="13"/>
  <c r="L3" i="13"/>
  <c r="K3" i="13"/>
  <c r="G8" i="13"/>
  <c r="G7" i="13"/>
  <c r="G6" i="13"/>
  <c r="I5" i="13"/>
  <c r="H5" i="13"/>
  <c r="G5" i="13"/>
  <c r="I4" i="13"/>
  <c r="H4" i="13"/>
  <c r="G4" i="13"/>
  <c r="I3" i="13"/>
  <c r="H3" i="13"/>
  <c r="G3" i="13"/>
  <c r="C8" i="13"/>
  <c r="C7" i="13"/>
  <c r="C6" i="13"/>
  <c r="E5" i="13"/>
  <c r="D5" i="13"/>
  <c r="C5" i="13"/>
  <c r="E4" i="13"/>
  <c r="D4" i="13"/>
  <c r="C4" i="13"/>
  <c r="E3" i="13"/>
  <c r="D3" i="13"/>
  <c r="C3" i="13"/>
  <c r="W20" i="13"/>
  <c r="W19" i="13"/>
  <c r="W18" i="13"/>
  <c r="Y17" i="13"/>
  <c r="X17" i="13"/>
  <c r="W17" i="13"/>
  <c r="Y16" i="13"/>
  <c r="X16" i="13"/>
  <c r="W16" i="13"/>
  <c r="Y15" i="13"/>
  <c r="X15" i="13"/>
  <c r="W15" i="13"/>
  <c r="S20" i="13"/>
  <c r="S19" i="13"/>
  <c r="S18" i="13"/>
  <c r="U17" i="13"/>
  <c r="T17" i="13"/>
  <c r="S17" i="13"/>
  <c r="U16" i="13"/>
  <c r="T16" i="13"/>
  <c r="S16" i="13"/>
  <c r="U15" i="13"/>
  <c r="T15" i="13"/>
  <c r="S15" i="13"/>
  <c r="O20" i="13"/>
  <c r="O19" i="13"/>
  <c r="O18" i="13"/>
  <c r="Q17" i="13"/>
  <c r="P17" i="13"/>
  <c r="O17" i="13"/>
  <c r="Q16" i="13"/>
  <c r="P16" i="13"/>
  <c r="O16" i="13"/>
  <c r="Q15" i="13"/>
  <c r="P15" i="13"/>
  <c r="O15" i="13"/>
  <c r="K20" i="13"/>
  <c r="K19" i="13"/>
  <c r="K18" i="13"/>
  <c r="M17" i="13"/>
  <c r="L17" i="13"/>
  <c r="K17" i="13"/>
  <c r="M16" i="13"/>
  <c r="L16" i="13"/>
  <c r="K16" i="13"/>
  <c r="M15" i="13"/>
  <c r="L15" i="13"/>
  <c r="K15" i="13"/>
  <c r="G20" i="13"/>
  <c r="G19" i="13"/>
  <c r="G18" i="13"/>
  <c r="I17" i="13"/>
  <c r="H17" i="13"/>
  <c r="G17" i="13"/>
  <c r="I16" i="13"/>
  <c r="H16" i="13"/>
  <c r="G16" i="13"/>
  <c r="I15" i="13"/>
  <c r="H15" i="13"/>
  <c r="G15" i="13"/>
  <c r="C20" i="13"/>
  <c r="C19" i="13"/>
  <c r="C18" i="13"/>
  <c r="E17" i="13"/>
  <c r="D17" i="13"/>
  <c r="C17" i="13"/>
  <c r="E16" i="13"/>
  <c r="D16" i="13"/>
  <c r="C16" i="13"/>
  <c r="E15" i="13"/>
  <c r="D15" i="13"/>
  <c r="C15" i="13"/>
  <c r="AW17" i="13"/>
  <c r="AV17" i="13"/>
  <c r="AW16" i="13"/>
  <c r="AV16" i="13"/>
  <c r="AW15" i="13"/>
  <c r="AV15" i="13"/>
  <c r="AU20" i="13"/>
  <c r="AU19" i="13"/>
  <c r="AU18" i="13"/>
  <c r="AU17" i="13"/>
  <c r="AU16" i="13"/>
  <c r="AU15" i="13"/>
  <c r="AW5" i="13"/>
  <c r="AV5" i="13"/>
  <c r="AW4" i="13"/>
  <c r="AV4" i="13"/>
  <c r="AW3" i="13"/>
  <c r="AV3" i="13"/>
  <c r="AU8" i="13"/>
  <c r="AU7" i="13"/>
  <c r="AU6" i="13"/>
  <c r="AU5" i="13"/>
  <c r="AU4" i="13"/>
  <c r="AU3" i="13"/>
  <c r="Z873" i="4"/>
  <c r="V873" i="4"/>
  <c r="R873" i="4"/>
  <c r="N873" i="4"/>
  <c r="J873" i="4"/>
  <c r="F873" i="4"/>
  <c r="AX873" i="4"/>
  <c r="F873" i="3"/>
  <c r="AX873" i="3"/>
  <c r="AJ22" i="7" l="1"/>
  <c r="AL22" i="7"/>
  <c r="AJ23" i="7"/>
  <c r="AL23" i="7"/>
  <c r="AJ24" i="7"/>
  <c r="AL24" i="7"/>
  <c r="AJ25" i="7"/>
  <c r="AL25" i="7"/>
  <c r="AJ26" i="7"/>
  <c r="AL26" i="7"/>
  <c r="AJ27" i="7"/>
  <c r="AL27" i="7"/>
  <c r="AJ32" i="7"/>
  <c r="AL32" i="7"/>
  <c r="AJ33" i="7"/>
  <c r="AL33" i="7"/>
  <c r="AJ34" i="7"/>
  <c r="AL34" i="7"/>
  <c r="AJ35" i="7"/>
  <c r="AL35" i="7"/>
  <c r="AJ36" i="7"/>
  <c r="AK36" i="7"/>
  <c r="AL36" i="7"/>
  <c r="AJ37" i="7"/>
  <c r="AK37" i="7"/>
  <c r="AL37" i="7"/>
  <c r="AJ38" i="7"/>
  <c r="AK38" i="7"/>
  <c r="AL38" i="7"/>
  <c r="AJ39" i="7"/>
  <c r="AK39" i="7"/>
  <c r="AL39" i="7"/>
  <c r="AJ40" i="7"/>
  <c r="AK40" i="7"/>
  <c r="AL40" i="7"/>
  <c r="AJ41" i="7"/>
  <c r="AK41" i="7"/>
  <c r="AL41" i="7"/>
  <c r="CA12" i="7"/>
  <c r="CC12" i="7"/>
  <c r="CA13" i="7"/>
  <c r="CC13" i="7"/>
  <c r="CA14" i="7"/>
  <c r="CC14" i="7"/>
  <c r="CA15" i="7"/>
  <c r="CC15" i="7"/>
  <c r="CA16" i="7"/>
  <c r="CC16" i="7"/>
  <c r="CA22" i="7"/>
  <c r="CC22" i="7"/>
  <c r="CA23" i="7"/>
  <c r="CB23" i="7"/>
  <c r="CC23" i="7"/>
  <c r="CA24" i="7"/>
  <c r="CB24" i="7"/>
  <c r="CC24" i="7"/>
  <c r="CB26" i="7"/>
  <c r="CC26" i="7"/>
  <c r="CB27" i="7"/>
  <c r="CC27" i="7"/>
  <c r="CA28" i="7"/>
  <c r="CB28" i="7"/>
  <c r="CC28" i="7"/>
  <c r="CA29" i="7"/>
  <c r="CB29" i="7"/>
  <c r="CC29" i="7"/>
  <c r="CA30" i="7"/>
  <c r="CB30" i="7"/>
  <c r="CC30" i="7"/>
  <c r="CB31" i="7"/>
  <c r="CC31" i="7"/>
  <c r="CB32" i="7"/>
  <c r="CC32" i="7"/>
  <c r="CB33" i="7"/>
  <c r="CC33" i="7"/>
  <c r="CA34" i="7"/>
  <c r="CB34" i="7"/>
  <c r="CC34" i="7"/>
  <c r="CA35" i="7"/>
  <c r="CB35" i="7"/>
  <c r="CC35" i="7"/>
  <c r="CA36" i="7"/>
  <c r="CB36" i="7"/>
  <c r="CC36" i="7"/>
  <c r="CA37" i="7"/>
  <c r="CB37" i="7"/>
  <c r="CC37" i="7"/>
  <c r="CA38" i="7"/>
  <c r="CB38" i="7"/>
  <c r="CC38" i="7"/>
  <c r="CA39" i="7"/>
  <c r="CB39" i="7"/>
  <c r="CC39" i="7"/>
  <c r="CA40" i="7"/>
  <c r="CB40" i="7"/>
  <c r="CC40" i="7"/>
  <c r="CA41" i="7"/>
  <c r="CC41" i="7"/>
  <c r="CC11" i="7"/>
  <c r="CA11" i="7"/>
  <c r="AQ23" i="13"/>
  <c r="AQ11" i="13"/>
  <c r="AA8" i="13" l="1"/>
  <c r="AA7" i="13"/>
  <c r="AA6" i="13"/>
  <c r="AC5" i="13"/>
  <c r="AB5" i="13"/>
  <c r="AA5" i="13"/>
  <c r="AC4" i="13"/>
  <c r="AB4" i="13"/>
  <c r="AA4" i="13"/>
  <c r="AC3" i="13"/>
  <c r="AB3" i="13"/>
  <c r="AA3" i="13"/>
  <c r="AE8" i="13"/>
  <c r="AE7" i="13"/>
  <c r="AE6" i="13"/>
  <c r="AG5" i="13"/>
  <c r="AF5" i="13"/>
  <c r="AE5" i="13"/>
  <c r="AG4" i="13"/>
  <c r="AF4" i="13"/>
  <c r="AE4" i="13"/>
  <c r="AG3" i="13"/>
  <c r="AF3" i="13"/>
  <c r="AE3" i="13"/>
  <c r="AI8" i="13"/>
  <c r="AI7" i="13"/>
  <c r="AI6" i="13"/>
  <c r="AK5" i="13"/>
  <c r="AJ5" i="13"/>
  <c r="AI5" i="13"/>
  <c r="AK4" i="13"/>
  <c r="AJ4" i="13"/>
  <c r="AI4" i="13"/>
  <c r="AK3" i="13"/>
  <c r="AJ3" i="13"/>
  <c r="AI3" i="13"/>
  <c r="AM8" i="13"/>
  <c r="AM7" i="13"/>
  <c r="AM6" i="13"/>
  <c r="AO5" i="13"/>
  <c r="AN5" i="13"/>
  <c r="AM5" i="13"/>
  <c r="AO4" i="13"/>
  <c r="AN4" i="13"/>
  <c r="AM4" i="13"/>
  <c r="AO3" i="13"/>
  <c r="AN3" i="13"/>
  <c r="AM3" i="13"/>
  <c r="AQ8" i="13"/>
  <c r="AQ7" i="13"/>
  <c r="AQ6" i="13"/>
  <c r="AS5" i="13"/>
  <c r="AR5" i="13"/>
  <c r="AQ5" i="13"/>
  <c r="AS4" i="13"/>
  <c r="AR4" i="13"/>
  <c r="AQ4" i="13"/>
  <c r="AS3" i="13"/>
  <c r="AR3" i="13"/>
  <c r="AQ3" i="13"/>
  <c r="AQ20" i="13"/>
  <c r="AQ19" i="13"/>
  <c r="AQ18" i="13"/>
  <c r="AS17" i="13"/>
  <c r="AR17" i="13"/>
  <c r="AQ17" i="13"/>
  <c r="AS16" i="13"/>
  <c r="AR16" i="13"/>
  <c r="AQ16" i="13"/>
  <c r="AS15" i="13"/>
  <c r="AR15" i="13"/>
  <c r="AQ15" i="13"/>
  <c r="AM20" i="13"/>
  <c r="AM19" i="13"/>
  <c r="AM18" i="13"/>
  <c r="AO17" i="13"/>
  <c r="AN17" i="13"/>
  <c r="AM17" i="13"/>
  <c r="AO16" i="13"/>
  <c r="AN16" i="13"/>
  <c r="AM16" i="13"/>
  <c r="AO15" i="13"/>
  <c r="AN15" i="13"/>
  <c r="AM15" i="13"/>
  <c r="AI20" i="13"/>
  <c r="AI19" i="13"/>
  <c r="AI18" i="13"/>
  <c r="AK17" i="13"/>
  <c r="AJ17" i="13"/>
  <c r="AI17" i="13"/>
  <c r="AK16" i="13"/>
  <c r="AJ16" i="13"/>
  <c r="AI16" i="13"/>
  <c r="AK15" i="13"/>
  <c r="AJ15" i="13"/>
  <c r="AI15" i="13"/>
  <c r="AE20" i="13"/>
  <c r="AE19" i="13"/>
  <c r="AE18" i="13"/>
  <c r="AG17" i="13"/>
  <c r="AF17" i="13"/>
  <c r="AE17" i="13"/>
  <c r="AG16" i="13"/>
  <c r="AF16" i="13"/>
  <c r="AE16" i="13"/>
  <c r="AG15" i="13"/>
  <c r="AF15" i="13"/>
  <c r="AE15" i="13"/>
  <c r="AA20" i="13"/>
  <c r="AA19" i="13"/>
  <c r="AA18" i="13"/>
  <c r="AC17" i="13"/>
  <c r="AB17" i="13"/>
  <c r="AA17" i="13"/>
  <c r="AC16" i="13"/>
  <c r="AB16" i="13"/>
  <c r="AA16" i="13"/>
  <c r="AC15" i="13"/>
  <c r="AB15" i="13"/>
  <c r="AA15" i="13"/>
  <c r="Z872" i="4"/>
  <c r="V872" i="4"/>
  <c r="R872" i="4"/>
  <c r="N872" i="4"/>
  <c r="J872" i="4"/>
  <c r="F872" i="4"/>
  <c r="AX872" i="4"/>
  <c r="F872" i="3"/>
  <c r="AX872" i="3"/>
  <c r="AX871" i="4" l="1"/>
  <c r="AT871" i="4"/>
  <c r="F871" i="4"/>
  <c r="F871" i="3"/>
  <c r="AX871" i="3"/>
  <c r="AT871" i="3"/>
  <c r="F870" i="4" l="1"/>
  <c r="AX870" i="4"/>
  <c r="AT870" i="4"/>
  <c r="F870" i="3"/>
  <c r="AX870" i="3"/>
  <c r="AT870" i="3"/>
  <c r="F869" i="4" l="1"/>
  <c r="AX869" i="4"/>
  <c r="AT869" i="4"/>
  <c r="F869" i="3"/>
  <c r="AX869" i="3"/>
  <c r="AT869" i="3"/>
  <c r="AM23" i="13" l="1"/>
  <c r="AM11" i="13"/>
  <c r="AI23" i="13"/>
  <c r="AI11" i="13"/>
  <c r="F868" i="4" l="1"/>
  <c r="AX868" i="4"/>
  <c r="AT868" i="4"/>
  <c r="F868" i="3"/>
  <c r="AX868" i="3"/>
  <c r="AT868" i="3"/>
  <c r="BD195" i="1" l="1"/>
  <c r="AT195" i="1"/>
  <c r="AJ195" i="1"/>
  <c r="AI195" i="1"/>
  <c r="P195" i="1"/>
  <c r="O195" i="1"/>
  <c r="N195" i="1"/>
  <c r="BD194" i="1"/>
  <c r="AT194" i="1"/>
  <c r="AS194" i="1"/>
  <c r="AI194" i="1"/>
  <c r="AH194" i="1"/>
  <c r="J205" i="1"/>
  <c r="BT208" i="1" s="1"/>
  <c r="I205" i="1"/>
  <c r="BS208" i="1" s="1"/>
  <c r="H205" i="1"/>
  <c r="BR208" i="1" s="1"/>
  <c r="G205" i="1"/>
  <c r="BQ208" i="1" s="1"/>
  <c r="E205" i="1"/>
  <c r="BT195" i="1" s="1"/>
  <c r="D205" i="1"/>
  <c r="BS195" i="1" s="1"/>
  <c r="C205" i="1"/>
  <c r="BR195" i="1" s="1"/>
  <c r="B205" i="1"/>
  <c r="BQ195" i="1" s="1"/>
  <c r="J204" i="1"/>
  <c r="BO208" i="1" s="1"/>
  <c r="I204" i="1"/>
  <c r="BN208" i="1" s="1"/>
  <c r="H204" i="1"/>
  <c r="BM208" i="1" s="1"/>
  <c r="G204" i="1"/>
  <c r="BL208" i="1" s="1"/>
  <c r="E204" i="1"/>
  <c r="BO195" i="1" s="1"/>
  <c r="D204" i="1"/>
  <c r="BN195" i="1" s="1"/>
  <c r="C204" i="1"/>
  <c r="BM195" i="1" s="1"/>
  <c r="B204" i="1"/>
  <c r="BL195" i="1" s="1"/>
  <c r="J203" i="1"/>
  <c r="BJ208" i="1" s="1"/>
  <c r="I203" i="1"/>
  <c r="BI208" i="1" s="1"/>
  <c r="H203" i="1"/>
  <c r="BH208" i="1" s="1"/>
  <c r="G203" i="1"/>
  <c r="BG208" i="1" s="1"/>
  <c r="E203" i="1"/>
  <c r="BJ195" i="1" s="1"/>
  <c r="D203" i="1"/>
  <c r="BI195" i="1" s="1"/>
  <c r="C203" i="1"/>
  <c r="BH195" i="1" s="1"/>
  <c r="B203" i="1"/>
  <c r="BG195" i="1" s="1"/>
  <c r="J202" i="1"/>
  <c r="BE208" i="1" s="1"/>
  <c r="I202" i="1"/>
  <c r="BD208" i="1" s="1"/>
  <c r="H202" i="1"/>
  <c r="BC208" i="1" s="1"/>
  <c r="G202" i="1"/>
  <c r="BB208" i="1" s="1"/>
  <c r="E202" i="1"/>
  <c r="BE195" i="1" s="1"/>
  <c r="D202" i="1"/>
  <c r="C202" i="1"/>
  <c r="BC195" i="1" s="1"/>
  <c r="B202" i="1"/>
  <c r="BB195" i="1" s="1"/>
  <c r="J201" i="1"/>
  <c r="AZ208" i="1" s="1"/>
  <c r="I201" i="1"/>
  <c r="AY208" i="1" s="1"/>
  <c r="H201" i="1"/>
  <c r="AX208" i="1" s="1"/>
  <c r="G201" i="1"/>
  <c r="AW208" i="1" s="1"/>
  <c r="E201" i="1"/>
  <c r="D201" i="1"/>
  <c r="AY195" i="1" s="1"/>
  <c r="C201" i="1"/>
  <c r="AX195" i="1" s="1"/>
  <c r="B201" i="1"/>
  <c r="AW195" i="1" s="1"/>
  <c r="J200" i="1"/>
  <c r="AU208" i="1" s="1"/>
  <c r="I200" i="1"/>
  <c r="AT208" i="1" s="1"/>
  <c r="H200" i="1"/>
  <c r="AS208" i="1" s="1"/>
  <c r="G200" i="1"/>
  <c r="AR208" i="1" s="1"/>
  <c r="E200" i="1"/>
  <c r="AU195" i="1" s="1"/>
  <c r="D200" i="1"/>
  <c r="C200" i="1"/>
  <c r="AS195" i="1" s="1"/>
  <c r="B200" i="1"/>
  <c r="AR195" i="1" s="1"/>
  <c r="J199" i="1"/>
  <c r="AP208" i="1" s="1"/>
  <c r="I199" i="1"/>
  <c r="AO208" i="1" s="1"/>
  <c r="H199" i="1"/>
  <c r="AN208" i="1" s="1"/>
  <c r="G199" i="1"/>
  <c r="AM208" i="1" s="1"/>
  <c r="E199" i="1"/>
  <c r="AP195" i="1" s="1"/>
  <c r="D199" i="1"/>
  <c r="AO195" i="1" s="1"/>
  <c r="C199" i="1"/>
  <c r="AN195" i="1" s="1"/>
  <c r="B199" i="1"/>
  <c r="AM195" i="1" s="1"/>
  <c r="J198" i="1"/>
  <c r="AK208" i="1" s="1"/>
  <c r="I198" i="1"/>
  <c r="AJ208" i="1" s="1"/>
  <c r="H198" i="1"/>
  <c r="AI208" i="1" s="1"/>
  <c r="G198" i="1"/>
  <c r="AH208" i="1" s="1"/>
  <c r="E198" i="1"/>
  <c r="AK195" i="1" s="1"/>
  <c r="D198" i="1"/>
  <c r="C198" i="1"/>
  <c r="B198" i="1"/>
  <c r="AH195" i="1" s="1"/>
  <c r="J197" i="1"/>
  <c r="AF208" i="1" s="1"/>
  <c r="I197" i="1"/>
  <c r="AE208" i="1" s="1"/>
  <c r="H197" i="1"/>
  <c r="AD208" i="1" s="1"/>
  <c r="G197" i="1"/>
  <c r="AC208" i="1" s="1"/>
  <c r="E197" i="1"/>
  <c r="AF195" i="1" s="1"/>
  <c r="D197" i="1"/>
  <c r="AE195" i="1" s="1"/>
  <c r="C197" i="1"/>
  <c r="AD195" i="1" s="1"/>
  <c r="B197" i="1"/>
  <c r="AC195" i="1" s="1"/>
  <c r="J196" i="1"/>
  <c r="AA208" i="1" s="1"/>
  <c r="I196" i="1"/>
  <c r="Z208" i="1" s="1"/>
  <c r="H196" i="1"/>
  <c r="Y208" i="1" s="1"/>
  <c r="G196" i="1"/>
  <c r="X208" i="1" s="1"/>
  <c r="J195" i="1"/>
  <c r="V208" i="1" s="1"/>
  <c r="I195" i="1"/>
  <c r="U208" i="1" s="1"/>
  <c r="H195" i="1"/>
  <c r="T208" i="1" s="1"/>
  <c r="G195" i="1"/>
  <c r="S208" i="1" s="1"/>
  <c r="E196" i="1"/>
  <c r="AA195" i="1" s="1"/>
  <c r="D196" i="1"/>
  <c r="Z195" i="1" s="1"/>
  <c r="C196" i="1"/>
  <c r="Y195" i="1" s="1"/>
  <c r="B196" i="1"/>
  <c r="X195" i="1" s="1"/>
  <c r="E195" i="1"/>
  <c r="V195" i="1" s="1"/>
  <c r="D195" i="1"/>
  <c r="U195" i="1" s="1"/>
  <c r="C195" i="1"/>
  <c r="T195" i="1" s="1"/>
  <c r="B195" i="1"/>
  <c r="S195" i="1" s="1"/>
  <c r="J194" i="1"/>
  <c r="Q208" i="1" s="1"/>
  <c r="I194" i="1"/>
  <c r="P208" i="1" s="1"/>
  <c r="H194" i="1"/>
  <c r="O208" i="1" s="1"/>
  <c r="G194" i="1"/>
  <c r="N208" i="1" s="1"/>
  <c r="E194" i="1"/>
  <c r="Q195" i="1" s="1"/>
  <c r="D194" i="1"/>
  <c r="C194" i="1"/>
  <c r="B194" i="1"/>
  <c r="J193" i="1"/>
  <c r="BT207" i="1" s="1"/>
  <c r="I193" i="1"/>
  <c r="BS207" i="1" s="1"/>
  <c r="H193" i="1"/>
  <c r="BR207" i="1" s="1"/>
  <c r="G193" i="1"/>
  <c r="BQ207" i="1" s="1"/>
  <c r="E193" i="1"/>
  <c r="BT194" i="1" s="1"/>
  <c r="D193" i="1"/>
  <c r="BS194" i="1" s="1"/>
  <c r="C193" i="1"/>
  <c r="BR194" i="1" s="1"/>
  <c r="B193" i="1"/>
  <c r="BQ194" i="1" s="1"/>
  <c r="J192" i="1"/>
  <c r="BO207" i="1" s="1"/>
  <c r="I192" i="1"/>
  <c r="BN207" i="1" s="1"/>
  <c r="H192" i="1"/>
  <c r="BM207" i="1" s="1"/>
  <c r="G192" i="1"/>
  <c r="BL207" i="1" s="1"/>
  <c r="E192" i="1"/>
  <c r="BO194" i="1" s="1"/>
  <c r="D192" i="1"/>
  <c r="BN194" i="1" s="1"/>
  <c r="C192" i="1"/>
  <c r="BM194" i="1" s="1"/>
  <c r="B192" i="1"/>
  <c r="BL194" i="1" s="1"/>
  <c r="J191" i="1"/>
  <c r="BJ207" i="1" s="1"/>
  <c r="I191" i="1"/>
  <c r="BI207" i="1" s="1"/>
  <c r="H191" i="1"/>
  <c r="BH207" i="1" s="1"/>
  <c r="G191" i="1"/>
  <c r="BG207" i="1" s="1"/>
  <c r="E191" i="1"/>
  <c r="BJ194" i="1" s="1"/>
  <c r="D191" i="1"/>
  <c r="BI194" i="1" s="1"/>
  <c r="C191" i="1"/>
  <c r="BH194" i="1" s="1"/>
  <c r="B191" i="1"/>
  <c r="BG194" i="1" s="1"/>
  <c r="J190" i="1"/>
  <c r="BE207" i="1" s="1"/>
  <c r="I190" i="1"/>
  <c r="BD207" i="1" s="1"/>
  <c r="H190" i="1"/>
  <c r="BC207" i="1" s="1"/>
  <c r="G190" i="1"/>
  <c r="BB207" i="1" s="1"/>
  <c r="E190" i="1"/>
  <c r="BE194" i="1" s="1"/>
  <c r="D190" i="1"/>
  <c r="C190" i="1"/>
  <c r="BC194" i="1" s="1"/>
  <c r="B190" i="1"/>
  <c r="BB194" i="1" s="1"/>
  <c r="J189" i="1"/>
  <c r="AZ207" i="1" s="1"/>
  <c r="I189" i="1"/>
  <c r="AY207" i="1" s="1"/>
  <c r="H189" i="1"/>
  <c r="AX207" i="1" s="1"/>
  <c r="G189" i="1"/>
  <c r="AW207" i="1" s="1"/>
  <c r="E189" i="1"/>
  <c r="D189" i="1"/>
  <c r="AY194" i="1" s="1"/>
  <c r="C189" i="1"/>
  <c r="AX194" i="1" s="1"/>
  <c r="B189" i="1"/>
  <c r="AW194" i="1" s="1"/>
  <c r="J188" i="1"/>
  <c r="AU207" i="1" s="1"/>
  <c r="I188" i="1"/>
  <c r="AT207" i="1" s="1"/>
  <c r="H188" i="1"/>
  <c r="AS207" i="1" s="1"/>
  <c r="G188" i="1"/>
  <c r="AR207" i="1" s="1"/>
  <c r="E188" i="1"/>
  <c r="AU194" i="1" s="1"/>
  <c r="D188" i="1"/>
  <c r="C188" i="1"/>
  <c r="B188" i="1"/>
  <c r="AR194" i="1" s="1"/>
  <c r="J187" i="1"/>
  <c r="AP207" i="1" s="1"/>
  <c r="I187" i="1"/>
  <c r="AO207" i="1" s="1"/>
  <c r="H187" i="1"/>
  <c r="AN207" i="1" s="1"/>
  <c r="G187" i="1"/>
  <c r="AM207" i="1" s="1"/>
  <c r="E187" i="1"/>
  <c r="AP194" i="1" s="1"/>
  <c r="D187" i="1"/>
  <c r="AO194" i="1" s="1"/>
  <c r="C187" i="1"/>
  <c r="AN194" i="1" s="1"/>
  <c r="B187" i="1"/>
  <c r="AM194" i="1" s="1"/>
  <c r="J186" i="1"/>
  <c r="AK207" i="1" s="1"/>
  <c r="I186" i="1"/>
  <c r="AJ207" i="1" s="1"/>
  <c r="H186" i="1"/>
  <c r="AI207" i="1" s="1"/>
  <c r="G186" i="1"/>
  <c r="AH207" i="1" s="1"/>
  <c r="E186" i="1"/>
  <c r="AK194" i="1" s="1"/>
  <c r="D186" i="1"/>
  <c r="AJ194" i="1" s="1"/>
  <c r="C186" i="1"/>
  <c r="B186" i="1"/>
  <c r="J185" i="1"/>
  <c r="AF207" i="1" s="1"/>
  <c r="I185" i="1"/>
  <c r="AE207" i="1" s="1"/>
  <c r="H185" i="1"/>
  <c r="AD207" i="1" s="1"/>
  <c r="G185" i="1"/>
  <c r="AC207" i="1" s="1"/>
  <c r="E185" i="1"/>
  <c r="AF194" i="1" s="1"/>
  <c r="D185" i="1"/>
  <c r="AE194" i="1" s="1"/>
  <c r="C185" i="1"/>
  <c r="AD194" i="1" s="1"/>
  <c r="B185" i="1"/>
  <c r="AC194" i="1" s="1"/>
  <c r="J184" i="1"/>
  <c r="AA207" i="1" s="1"/>
  <c r="I184" i="1"/>
  <c r="Z207" i="1" s="1"/>
  <c r="H184" i="1"/>
  <c r="Y207" i="1" s="1"/>
  <c r="G184" i="1"/>
  <c r="X207" i="1" s="1"/>
  <c r="E184" i="1"/>
  <c r="AA194" i="1" s="1"/>
  <c r="D184" i="1"/>
  <c r="Z194" i="1" s="1"/>
  <c r="C184" i="1"/>
  <c r="Y194" i="1" s="1"/>
  <c r="B184" i="1"/>
  <c r="X194" i="1" s="1"/>
  <c r="J183" i="1"/>
  <c r="V207" i="1" s="1"/>
  <c r="I183" i="1"/>
  <c r="U207" i="1" s="1"/>
  <c r="H183" i="1"/>
  <c r="T207" i="1" s="1"/>
  <c r="G183" i="1"/>
  <c r="S207" i="1" s="1"/>
  <c r="E183" i="1"/>
  <c r="V194" i="1" s="1"/>
  <c r="D183" i="1"/>
  <c r="U194" i="1" s="1"/>
  <c r="C183" i="1"/>
  <c r="T194" i="1" s="1"/>
  <c r="B183" i="1"/>
  <c r="S194" i="1" s="1"/>
  <c r="J176" i="1"/>
  <c r="I176" i="1"/>
  <c r="H176" i="1"/>
  <c r="G176" i="1"/>
  <c r="E176" i="1"/>
  <c r="D176" i="1"/>
  <c r="C176" i="1"/>
  <c r="B176" i="1"/>
  <c r="J182" i="1"/>
  <c r="I182" i="1"/>
  <c r="H182" i="1"/>
  <c r="G182" i="1"/>
  <c r="E182" i="1"/>
  <c r="D182" i="1"/>
  <c r="C182" i="1"/>
  <c r="B182" i="1"/>
  <c r="AZ195" i="1" l="1"/>
  <c r="AZ194" i="1"/>
  <c r="CE9" i="7" l="1"/>
  <c r="CG9" i="7"/>
  <c r="CE16" i="7"/>
  <c r="CF16" i="7"/>
  <c r="CG16" i="7"/>
  <c r="CF17" i="7"/>
  <c r="CG17" i="7"/>
  <c r="CE18" i="7"/>
  <c r="CF18" i="7"/>
  <c r="CG18" i="7"/>
  <c r="CE19" i="7"/>
  <c r="CF19" i="7"/>
  <c r="CG19" i="7"/>
  <c r="CE20" i="7"/>
  <c r="CF20" i="7"/>
  <c r="CG20" i="7"/>
  <c r="CE21" i="7"/>
  <c r="CF21" i="7"/>
  <c r="CG21" i="7"/>
  <c r="CE22" i="7"/>
  <c r="CF22" i="7"/>
  <c r="CG22" i="7"/>
  <c r="CE23" i="7"/>
  <c r="CF23" i="7"/>
  <c r="CG23" i="7"/>
  <c r="CF24" i="7"/>
  <c r="CG24" i="7"/>
  <c r="CE25" i="7"/>
  <c r="CF25" i="7"/>
  <c r="CG25" i="7"/>
  <c r="CE26" i="7"/>
  <c r="CF26" i="7"/>
  <c r="CG26" i="7"/>
  <c r="CE27" i="7"/>
  <c r="CF27" i="7"/>
  <c r="CG27" i="7"/>
  <c r="CE28" i="7"/>
  <c r="CF28" i="7"/>
  <c r="CG28" i="7"/>
  <c r="CE29" i="7"/>
  <c r="CF29" i="7"/>
  <c r="CG29" i="7"/>
  <c r="CE30" i="7"/>
  <c r="CF30" i="7"/>
  <c r="CG30" i="7"/>
  <c r="CE31" i="7"/>
  <c r="CF31" i="7"/>
  <c r="CG31" i="7"/>
  <c r="CE32" i="7"/>
  <c r="CF32" i="7"/>
  <c r="CG32" i="7"/>
  <c r="CE33" i="7"/>
  <c r="CF33" i="7"/>
  <c r="CG33" i="7"/>
  <c r="CE34" i="7"/>
  <c r="CF34" i="7"/>
  <c r="CG34" i="7"/>
  <c r="CE35" i="7"/>
  <c r="CF35" i="7"/>
  <c r="CG35" i="7"/>
  <c r="CE36" i="7"/>
  <c r="CF36" i="7"/>
  <c r="CG36" i="7"/>
  <c r="CE37" i="7"/>
  <c r="CF37" i="7"/>
  <c r="CG37" i="7"/>
  <c r="CE38" i="7"/>
  <c r="CF38" i="7"/>
  <c r="CG38" i="7"/>
  <c r="CG8" i="7"/>
  <c r="CE8" i="7"/>
  <c r="BX11" i="7"/>
  <c r="BY11" i="7"/>
  <c r="BX12" i="7"/>
  <c r="BY12" i="7"/>
  <c r="BW13" i="7"/>
  <c r="BX13" i="7"/>
  <c r="BY13" i="7"/>
  <c r="BW14" i="7"/>
  <c r="BX14" i="7"/>
  <c r="BY14" i="7"/>
  <c r="BW15" i="7"/>
  <c r="BX15" i="7"/>
  <c r="BY15" i="7"/>
  <c r="BW16" i="7"/>
  <c r="BX16" i="7"/>
  <c r="BY16" i="7"/>
  <c r="BX17" i="7"/>
  <c r="BY17" i="7"/>
  <c r="BX18" i="7"/>
  <c r="BY18" i="7"/>
  <c r="BX19" i="7"/>
  <c r="BY19" i="7"/>
  <c r="BX20" i="7"/>
  <c r="BY20" i="7"/>
  <c r="BX21" i="7"/>
  <c r="BY21" i="7"/>
  <c r="BX22" i="7"/>
  <c r="BY22" i="7"/>
  <c r="BX23" i="7"/>
  <c r="BY23" i="7"/>
  <c r="BW24" i="7"/>
  <c r="BX24" i="7"/>
  <c r="BY24" i="7"/>
  <c r="BX25" i="7"/>
  <c r="BY25" i="7"/>
  <c r="BW26" i="7"/>
  <c r="BX26" i="7"/>
  <c r="BY26" i="7"/>
  <c r="BW27" i="7"/>
  <c r="BX27" i="7"/>
  <c r="BY27" i="7"/>
  <c r="BX28" i="7"/>
  <c r="BY28" i="7"/>
  <c r="BW29" i="7"/>
  <c r="BX29" i="7"/>
  <c r="BY29" i="7"/>
  <c r="BW30" i="7"/>
  <c r="BX30" i="7"/>
  <c r="BY30" i="7"/>
  <c r="BW31" i="7"/>
  <c r="BX31" i="7"/>
  <c r="BY31" i="7"/>
  <c r="BW32" i="7"/>
  <c r="BX32" i="7"/>
  <c r="BY32" i="7"/>
  <c r="BW33" i="7"/>
  <c r="BX33" i="7"/>
  <c r="BY33" i="7"/>
  <c r="BW34" i="7"/>
  <c r="BX34" i="7"/>
  <c r="BY34" i="7"/>
  <c r="BW35" i="7"/>
  <c r="BX35" i="7"/>
  <c r="BY35" i="7"/>
  <c r="BW36" i="7"/>
  <c r="BX36" i="7"/>
  <c r="BY36" i="7"/>
  <c r="BW37" i="7"/>
  <c r="BX37" i="7"/>
  <c r="BY37" i="7"/>
  <c r="BW38" i="7"/>
  <c r="BX38" i="7"/>
  <c r="BY38" i="7"/>
  <c r="BW39" i="7"/>
  <c r="BX39" i="7"/>
  <c r="BY39" i="7"/>
  <c r="BY10" i="7"/>
  <c r="BX10" i="7"/>
  <c r="BW10" i="7"/>
  <c r="BS49" i="7"/>
  <c r="BT49" i="7"/>
  <c r="BU49" i="7"/>
  <c r="BS50" i="7"/>
  <c r="BT50" i="7"/>
  <c r="BU50" i="7"/>
  <c r="BS51" i="7"/>
  <c r="BT51" i="7"/>
  <c r="BU51" i="7"/>
  <c r="BS52" i="7"/>
  <c r="BT52" i="7"/>
  <c r="BU52" i="7"/>
  <c r="BS53" i="7"/>
  <c r="BT53" i="7"/>
  <c r="BU53" i="7"/>
  <c r="BS54" i="7"/>
  <c r="BT54" i="7"/>
  <c r="BU54" i="7"/>
  <c r="BS55" i="7"/>
  <c r="BT55" i="7"/>
  <c r="BU55" i="7"/>
  <c r="BS56" i="7"/>
  <c r="BT56" i="7"/>
  <c r="BU56" i="7"/>
  <c r="BS57" i="7"/>
  <c r="BT57" i="7"/>
  <c r="BU57" i="7"/>
  <c r="BS58" i="7"/>
  <c r="BT58" i="7"/>
  <c r="BU58" i="7"/>
  <c r="BS59" i="7"/>
  <c r="BT59" i="7"/>
  <c r="BU59" i="7"/>
  <c r="BT60" i="7"/>
  <c r="BU60" i="7"/>
  <c r="BT61" i="7"/>
  <c r="BU61" i="7"/>
  <c r="BS62" i="7"/>
  <c r="BT62" i="7"/>
  <c r="BU62" i="7"/>
  <c r="BT63" i="7"/>
  <c r="BU63" i="7"/>
  <c r="BT64" i="7"/>
  <c r="BU64" i="7"/>
  <c r="BT65" i="7"/>
  <c r="BU65" i="7"/>
  <c r="BS66" i="7"/>
  <c r="BT66" i="7"/>
  <c r="BU66" i="7"/>
  <c r="BS67" i="7"/>
  <c r="BT67" i="7"/>
  <c r="BU67" i="7"/>
  <c r="BT68" i="7"/>
  <c r="BU68" i="7"/>
  <c r="BS69" i="7"/>
  <c r="BT69" i="7"/>
  <c r="BU69" i="7"/>
  <c r="BS70" i="7"/>
  <c r="BT70" i="7"/>
  <c r="BU70" i="7"/>
  <c r="BS71" i="7"/>
  <c r="BT71" i="7"/>
  <c r="BU71" i="7"/>
  <c r="BS72" i="7"/>
  <c r="BT72" i="7"/>
  <c r="BU72" i="7"/>
  <c r="BS73" i="7"/>
  <c r="BT73" i="7"/>
  <c r="BU73" i="7"/>
  <c r="BS74" i="7"/>
  <c r="BT74" i="7"/>
  <c r="BU74" i="7"/>
  <c r="BS75" i="7"/>
  <c r="BT75" i="7"/>
  <c r="BU75" i="7"/>
  <c r="BS76" i="7"/>
  <c r="BT76" i="7"/>
  <c r="BU76" i="7"/>
  <c r="BS77" i="7"/>
  <c r="BT77" i="7"/>
  <c r="BU77" i="7"/>
  <c r="BS78" i="7"/>
  <c r="BT78" i="7"/>
  <c r="BU78" i="7"/>
  <c r="BU48" i="7"/>
  <c r="BT48" i="7"/>
  <c r="BQ45" i="7"/>
  <c r="BR45" i="7"/>
  <c r="BQ46" i="7"/>
  <c r="BR46" i="7"/>
  <c r="BP47" i="7"/>
  <c r="BQ47" i="7"/>
  <c r="BR47" i="7"/>
  <c r="BP48" i="7"/>
  <c r="BQ48" i="7"/>
  <c r="BR48" i="7"/>
  <c r="BP49" i="7"/>
  <c r="BQ49" i="7"/>
  <c r="BR49" i="7"/>
  <c r="BQ50" i="7"/>
  <c r="BR50" i="7"/>
  <c r="BQ51" i="7"/>
  <c r="BR51" i="7"/>
  <c r="BQ52" i="7"/>
  <c r="BR52" i="7"/>
  <c r="BQ53" i="7"/>
  <c r="BR53" i="7"/>
  <c r="BQ54" i="7"/>
  <c r="BR54" i="7"/>
  <c r="BQ55" i="7"/>
  <c r="BR55" i="7"/>
  <c r="BQ56" i="7"/>
  <c r="BR56" i="7"/>
  <c r="BQ57" i="7"/>
  <c r="BR57" i="7"/>
  <c r="BQ58" i="7"/>
  <c r="BR58" i="7"/>
  <c r="BQ59" i="7"/>
  <c r="BR59" i="7"/>
  <c r="BP60" i="7"/>
  <c r="BQ60" i="7"/>
  <c r="BR60" i="7"/>
  <c r="BQ61" i="7"/>
  <c r="BR61" i="7"/>
  <c r="BQ62" i="7"/>
  <c r="BR62" i="7"/>
  <c r="BQ63" i="7"/>
  <c r="BR63" i="7"/>
  <c r="BQ64" i="7"/>
  <c r="BR64" i="7"/>
  <c r="BP65" i="7"/>
  <c r="BQ65" i="7"/>
  <c r="BR65" i="7"/>
  <c r="BP66" i="7"/>
  <c r="BQ66" i="7"/>
  <c r="BR66" i="7"/>
  <c r="BQ67" i="7"/>
  <c r="BR67" i="7"/>
  <c r="BP68" i="7"/>
  <c r="BQ68" i="7"/>
  <c r="BR68" i="7"/>
  <c r="BP69" i="7"/>
  <c r="BQ69" i="7"/>
  <c r="BR69" i="7"/>
  <c r="BP70" i="7"/>
  <c r="BQ70" i="7"/>
  <c r="BR70" i="7"/>
  <c r="BP71" i="7"/>
  <c r="BQ71" i="7"/>
  <c r="BR71" i="7"/>
  <c r="BP72" i="7"/>
  <c r="BQ72" i="7"/>
  <c r="BR72" i="7"/>
  <c r="BP73" i="7"/>
  <c r="BQ73" i="7"/>
  <c r="BR73" i="7"/>
  <c r="BR44" i="7"/>
  <c r="BQ44" i="7"/>
  <c r="BM43" i="7"/>
  <c r="BN43" i="7"/>
  <c r="BO43" i="7"/>
  <c r="BM47" i="7"/>
  <c r="BO47" i="7"/>
  <c r="BN48" i="7"/>
  <c r="BO48" i="7"/>
  <c r="BM49" i="7"/>
  <c r="BN49" i="7"/>
  <c r="BO49" i="7"/>
  <c r="BN50" i="7"/>
  <c r="BO50" i="7"/>
  <c r="BN51" i="7"/>
  <c r="BO51" i="7"/>
  <c r="BM52" i="7"/>
  <c r="BN52" i="7"/>
  <c r="BO52" i="7"/>
  <c r="BM53" i="7"/>
  <c r="BN53" i="7"/>
  <c r="BO53" i="7"/>
  <c r="BM54" i="7"/>
  <c r="BN54" i="7"/>
  <c r="BO54" i="7"/>
  <c r="BM55" i="7"/>
  <c r="BN55" i="7"/>
  <c r="BO55" i="7"/>
  <c r="BM56" i="7"/>
  <c r="BN56" i="7"/>
  <c r="BO56" i="7"/>
  <c r="BN57" i="7"/>
  <c r="BO57" i="7"/>
  <c r="BM58" i="7"/>
  <c r="BN58" i="7"/>
  <c r="BO58" i="7"/>
  <c r="BM59" i="7"/>
  <c r="BN59" i="7"/>
  <c r="BO59" i="7"/>
  <c r="BM60" i="7"/>
  <c r="BN60" i="7"/>
  <c r="BO60" i="7"/>
  <c r="BM61" i="7"/>
  <c r="BN61" i="7"/>
  <c r="BO61" i="7"/>
  <c r="BN62" i="7"/>
  <c r="BO62" i="7"/>
  <c r="BM63" i="7"/>
  <c r="BN63" i="7"/>
  <c r="BO63" i="7"/>
  <c r="BM64" i="7"/>
  <c r="BN64" i="7"/>
  <c r="BO64" i="7"/>
  <c r="BM65" i="7"/>
  <c r="BN65" i="7"/>
  <c r="BO65" i="7"/>
  <c r="BM66" i="7"/>
  <c r="BN66" i="7"/>
  <c r="BO66" i="7"/>
  <c r="BM67" i="7"/>
  <c r="BN67" i="7"/>
  <c r="BO67" i="7"/>
  <c r="BM68" i="7"/>
  <c r="BN68" i="7"/>
  <c r="BO68" i="7"/>
  <c r="BM69" i="7"/>
  <c r="BN69" i="7"/>
  <c r="BO69" i="7"/>
  <c r="BJ36" i="7"/>
  <c r="BK36" i="7"/>
  <c r="BJ37" i="7"/>
  <c r="BK37" i="7"/>
  <c r="BJ38" i="7"/>
  <c r="BK38" i="7"/>
  <c r="BJ39" i="7"/>
  <c r="BK39" i="7"/>
  <c r="BJ48" i="7"/>
  <c r="BK48" i="7"/>
  <c r="BJ49" i="7"/>
  <c r="BK49" i="7"/>
  <c r="BJ50" i="7"/>
  <c r="BK50" i="7"/>
  <c r="BJ51" i="7"/>
  <c r="BK51" i="7"/>
  <c r="BI52" i="7"/>
  <c r="BJ52" i="7"/>
  <c r="BK52" i="7"/>
  <c r="BJ53" i="7"/>
  <c r="BK53" i="7"/>
  <c r="BJ54" i="7"/>
  <c r="BK54" i="7"/>
  <c r="BI55" i="7"/>
  <c r="BJ55" i="7"/>
  <c r="BK55" i="7"/>
  <c r="BI56" i="7"/>
  <c r="BJ56" i="7"/>
  <c r="BK56" i="7"/>
  <c r="BI57" i="7"/>
  <c r="BJ57" i="7"/>
  <c r="BK57" i="7"/>
  <c r="BI58" i="7"/>
  <c r="BJ58" i="7"/>
  <c r="BK58" i="7"/>
  <c r="BI59" i="7"/>
  <c r="BJ59" i="7"/>
  <c r="BK59" i="7"/>
  <c r="BI60" i="7"/>
  <c r="BJ60" i="7"/>
  <c r="BK60" i="7"/>
  <c r="BI61" i="7"/>
  <c r="BJ61" i="7"/>
  <c r="BK61" i="7"/>
  <c r="BI62" i="7"/>
  <c r="BJ62" i="7"/>
  <c r="BK62" i="7"/>
  <c r="BI63" i="7"/>
  <c r="BJ63" i="7"/>
  <c r="BK63" i="7"/>
  <c r="BI64" i="7"/>
  <c r="BJ64" i="7"/>
  <c r="BK64" i="7"/>
  <c r="BI65" i="7"/>
  <c r="BJ65" i="7"/>
  <c r="BK65" i="7"/>
  <c r="BK35" i="7"/>
  <c r="BJ35" i="7"/>
  <c r="BF31" i="7"/>
  <c r="BG31" i="7"/>
  <c r="BH31" i="7"/>
  <c r="BF32" i="7"/>
  <c r="BH32" i="7"/>
  <c r="BF33" i="7"/>
  <c r="BG33" i="7"/>
  <c r="BH33" i="7"/>
  <c r="BF41" i="7"/>
  <c r="BH41" i="7"/>
  <c r="BG47" i="7"/>
  <c r="BH47" i="7"/>
  <c r="BG48" i="7"/>
  <c r="BH48" i="7"/>
  <c r="BG49" i="7"/>
  <c r="BH49" i="7"/>
  <c r="BF50" i="7"/>
  <c r="BG50" i="7"/>
  <c r="BH50" i="7"/>
  <c r="BF51" i="7"/>
  <c r="BG51" i="7"/>
  <c r="BH51" i="7"/>
  <c r="BG52" i="7"/>
  <c r="BH52" i="7"/>
  <c r="BF53" i="7"/>
  <c r="BG53" i="7"/>
  <c r="BH53" i="7"/>
  <c r="BF54" i="7"/>
  <c r="BG54" i="7"/>
  <c r="BH54" i="7"/>
  <c r="BF55" i="7"/>
  <c r="BG55" i="7"/>
  <c r="BH55" i="7"/>
  <c r="BF56" i="7"/>
  <c r="BG56" i="7"/>
  <c r="BH56" i="7"/>
  <c r="BF57" i="7"/>
  <c r="BG57" i="7"/>
  <c r="BH57" i="7"/>
  <c r="BF58" i="7"/>
  <c r="BG58" i="7"/>
  <c r="BH58" i="7"/>
  <c r="BF59" i="7"/>
  <c r="BG59" i="7"/>
  <c r="BH59" i="7"/>
  <c r="BC29" i="7"/>
  <c r="BE29" i="7"/>
  <c r="BC30" i="7"/>
  <c r="BE30" i="7"/>
  <c r="BD34" i="7"/>
  <c r="BE34" i="7"/>
  <c r="BC37" i="7"/>
  <c r="BE37" i="7"/>
  <c r="BD38" i="7"/>
  <c r="BE38" i="7"/>
  <c r="BD41" i="7"/>
  <c r="BE41" i="7"/>
  <c r="BD43" i="7"/>
  <c r="BE43" i="7"/>
  <c r="BC46" i="7"/>
  <c r="BE46" i="7"/>
  <c r="BC47" i="7"/>
  <c r="BD47" i="7"/>
  <c r="BE47" i="7"/>
  <c r="BC48" i="7"/>
  <c r="BD48" i="7"/>
  <c r="BE48" i="7"/>
  <c r="BC49" i="7"/>
  <c r="BD49" i="7"/>
  <c r="BE49" i="7"/>
  <c r="BC50" i="7"/>
  <c r="BD50" i="7"/>
  <c r="BE50" i="7"/>
  <c r="BC51" i="7"/>
  <c r="BD51" i="7"/>
  <c r="BE51" i="7"/>
  <c r="BC52" i="7"/>
  <c r="BD52" i="7"/>
  <c r="BE52" i="7"/>
  <c r="BC53" i="7"/>
  <c r="BD53" i="7"/>
  <c r="BE53" i="7"/>
  <c r="BC54" i="7"/>
  <c r="BD54" i="7"/>
  <c r="BE54" i="7"/>
  <c r="BC55" i="7"/>
  <c r="BD55" i="7"/>
  <c r="BE55" i="7"/>
  <c r="AZ34" i="7"/>
  <c r="BA34" i="7"/>
  <c r="AZ35" i="7"/>
  <c r="BA35" i="7"/>
  <c r="AY36" i="7"/>
  <c r="AZ36" i="7"/>
  <c r="BA36" i="7"/>
  <c r="AZ37" i="7"/>
  <c r="BA37" i="7"/>
  <c r="AZ38" i="7"/>
  <c r="BA38" i="7"/>
  <c r="AZ39" i="7"/>
  <c r="BA39" i="7"/>
  <c r="AY40" i="7"/>
  <c r="AZ40" i="7"/>
  <c r="BA40" i="7"/>
  <c r="AY41" i="7"/>
  <c r="AZ41" i="7"/>
  <c r="BA41" i="7"/>
  <c r="AY42" i="7"/>
  <c r="AZ42" i="7"/>
  <c r="BA42" i="7"/>
  <c r="AY43" i="7"/>
  <c r="AZ43" i="7"/>
  <c r="BA43" i="7"/>
  <c r="AY44" i="7"/>
  <c r="AZ44" i="7"/>
  <c r="BA44" i="7"/>
  <c r="AY45" i="7"/>
  <c r="AZ45" i="7"/>
  <c r="BA45" i="7"/>
  <c r="AY46" i="7"/>
  <c r="AZ46" i="7"/>
  <c r="BA46" i="7"/>
  <c r="AY47" i="7"/>
  <c r="AZ47" i="7"/>
  <c r="BA47" i="7"/>
  <c r="AY48" i="7"/>
  <c r="AZ48" i="7"/>
  <c r="BA48" i="7"/>
  <c r="AY49" i="7"/>
  <c r="AZ49" i="7"/>
  <c r="BA49" i="7"/>
  <c r="AY50" i="7"/>
  <c r="AZ50" i="7"/>
  <c r="BA50" i="7"/>
  <c r="AV30" i="7"/>
  <c r="AX30" i="7"/>
  <c r="AW35" i="7"/>
  <c r="AX35" i="7"/>
  <c r="AW36" i="7"/>
  <c r="AX36" i="7"/>
  <c r="AW37" i="7"/>
  <c r="AX37" i="7"/>
  <c r="AW38" i="7"/>
  <c r="AX38" i="7"/>
  <c r="AV39" i="7"/>
  <c r="AW39" i="7"/>
  <c r="AX39" i="7"/>
  <c r="AV40" i="7"/>
  <c r="AW40" i="7"/>
  <c r="AX40" i="7"/>
  <c r="AV41" i="7"/>
  <c r="AW41" i="7"/>
  <c r="AX41" i="7"/>
  <c r="AV42" i="7"/>
  <c r="AW42" i="7"/>
  <c r="AX42" i="7"/>
  <c r="AV43" i="7"/>
  <c r="AW43" i="7"/>
  <c r="AX43" i="7"/>
  <c r="AV44" i="7"/>
  <c r="AW44" i="7"/>
  <c r="AX44" i="7"/>
  <c r="AV45" i="7"/>
  <c r="AW45" i="7"/>
  <c r="AX45" i="7"/>
  <c r="AV46" i="7"/>
  <c r="AW46" i="7"/>
  <c r="AX46" i="7"/>
  <c r="AV47" i="7"/>
  <c r="AW47" i="7"/>
  <c r="AX47" i="7"/>
  <c r="AT28" i="7"/>
  <c r="AU28" i="7"/>
  <c r="AS30" i="7"/>
  <c r="AT30" i="7"/>
  <c r="AU30" i="7"/>
  <c r="AT31" i="7"/>
  <c r="AU31" i="7"/>
  <c r="AT33" i="7"/>
  <c r="AU33" i="7"/>
  <c r="AT34" i="7"/>
  <c r="AU34" i="7"/>
  <c r="AT35" i="7"/>
  <c r="AU35" i="7"/>
  <c r="AS36" i="7"/>
  <c r="AT36" i="7"/>
  <c r="AU36" i="7"/>
  <c r="AS37" i="7"/>
  <c r="AT37" i="7"/>
  <c r="AU37" i="7"/>
  <c r="AS38" i="7"/>
  <c r="AT38" i="7"/>
  <c r="AU38" i="7"/>
  <c r="AS39" i="7"/>
  <c r="AT39" i="7"/>
  <c r="AU39" i="7"/>
  <c r="AS40" i="7"/>
  <c r="AT40" i="7"/>
  <c r="AU40" i="7"/>
  <c r="AS41" i="7"/>
  <c r="AT41" i="7"/>
  <c r="AU41" i="7"/>
  <c r="AS42" i="7"/>
  <c r="AT42" i="7"/>
  <c r="AU42" i="7"/>
  <c r="AG15" i="7"/>
  <c r="AH15" i="7"/>
  <c r="AG16" i="7"/>
  <c r="AH16" i="7"/>
  <c r="AG17" i="7"/>
  <c r="AH17" i="7"/>
  <c r="AG18" i="7"/>
  <c r="AH18" i="7"/>
  <c r="AG19" i="7"/>
  <c r="AH19" i="7"/>
  <c r="AG20" i="7"/>
  <c r="AH20" i="7"/>
  <c r="AG21" i="7"/>
  <c r="AH21" i="7"/>
  <c r="AG22" i="7"/>
  <c r="AH22" i="7"/>
  <c r="AG23" i="7"/>
  <c r="AH23" i="7"/>
  <c r="AG24" i="7"/>
  <c r="AH24" i="7"/>
  <c r="AF25" i="7"/>
  <c r="AG25" i="7"/>
  <c r="AH25" i="7"/>
  <c r="AF26" i="7"/>
  <c r="AG26" i="7"/>
  <c r="AH26" i="7"/>
  <c r="AF27" i="7"/>
  <c r="AG27" i="7"/>
  <c r="AH27" i="7"/>
  <c r="AF28" i="7"/>
  <c r="AG28" i="7"/>
  <c r="AH28" i="7"/>
  <c r="AF29" i="7"/>
  <c r="AG29" i="7"/>
  <c r="AH29" i="7"/>
  <c r="AF30" i="7"/>
  <c r="AH30" i="7"/>
  <c r="AF31" i="7"/>
  <c r="AH31" i="7"/>
  <c r="AF32" i="7"/>
  <c r="AH32" i="7"/>
  <c r="AF33" i="7"/>
  <c r="AH33" i="7"/>
  <c r="AF34" i="7"/>
  <c r="AG34" i="7"/>
  <c r="AH34" i="7"/>
  <c r="AF35" i="7"/>
  <c r="AG35" i="7"/>
  <c r="AH35" i="7"/>
  <c r="AF36" i="7"/>
  <c r="AG36" i="7"/>
  <c r="AH36" i="7"/>
  <c r="AF37" i="7"/>
  <c r="AG37" i="7"/>
  <c r="AH37" i="7"/>
  <c r="AF38" i="7"/>
  <c r="AG38" i="7"/>
  <c r="AH38" i="7"/>
  <c r="AF39" i="7"/>
  <c r="AG39" i="7"/>
  <c r="AH39" i="7"/>
  <c r="AN15" i="7"/>
  <c r="AP15" i="7"/>
  <c r="AN16" i="7"/>
  <c r="AP16" i="7"/>
  <c r="AN17" i="7"/>
  <c r="AP17" i="7"/>
  <c r="AN18" i="7"/>
  <c r="AP18" i="7"/>
  <c r="AN19" i="7"/>
  <c r="AP19" i="7"/>
  <c r="AN20" i="7"/>
  <c r="AP20" i="7"/>
  <c r="AN24" i="7"/>
  <c r="AP24" i="7"/>
  <c r="AN25" i="7"/>
  <c r="AP25" i="7"/>
  <c r="AN26" i="7"/>
  <c r="AP26" i="7"/>
  <c r="AN27" i="7"/>
  <c r="AO27" i="7"/>
  <c r="AP27" i="7"/>
  <c r="AN28" i="7"/>
  <c r="AO28" i="7"/>
  <c r="AP28" i="7"/>
  <c r="AN29" i="7"/>
  <c r="AO29" i="7"/>
  <c r="AP29" i="7"/>
  <c r="AN30" i="7"/>
  <c r="AO30" i="7"/>
  <c r="AP30" i="7"/>
  <c r="AN31" i="7"/>
  <c r="AO31" i="7"/>
  <c r="AP31" i="7"/>
  <c r="AN32" i="7"/>
  <c r="AO32" i="7"/>
  <c r="AP32" i="7"/>
  <c r="AN33" i="7"/>
  <c r="AO33" i="7"/>
  <c r="AP33" i="7"/>
  <c r="AN34" i="7"/>
  <c r="AO34" i="7"/>
  <c r="AP34" i="7"/>
  <c r="AN35" i="7"/>
  <c r="AO35" i="7"/>
  <c r="AP35" i="7"/>
  <c r="AN36" i="7"/>
  <c r="AO36" i="7"/>
  <c r="AP36" i="7"/>
  <c r="AN37" i="7"/>
  <c r="AO37" i="7"/>
  <c r="AP37" i="7"/>
  <c r="AO38" i="7"/>
  <c r="AP38" i="7"/>
  <c r="AB68" i="7"/>
  <c r="AD68" i="7"/>
  <c r="AB69" i="7"/>
  <c r="AC69" i="7"/>
  <c r="AD69" i="7"/>
  <c r="AB70" i="7"/>
  <c r="AC70" i="7"/>
  <c r="AD70" i="7"/>
  <c r="AB71" i="7"/>
  <c r="AC71" i="7"/>
  <c r="AD71" i="7"/>
  <c r="AB72" i="7"/>
  <c r="AC72" i="7"/>
  <c r="AD72" i="7"/>
  <c r="AB73" i="7"/>
  <c r="AC73" i="7"/>
  <c r="AD73" i="7"/>
  <c r="AB74" i="7"/>
  <c r="AC74" i="7"/>
  <c r="AD74" i="7"/>
  <c r="AB75" i="7"/>
  <c r="AC75" i="7"/>
  <c r="AD75" i="7"/>
  <c r="AB76" i="7"/>
  <c r="AC76" i="7"/>
  <c r="AD76" i="7"/>
  <c r="AB77" i="7"/>
  <c r="AC77" i="7"/>
  <c r="AD77" i="7"/>
  <c r="AB78" i="7"/>
  <c r="AC78" i="7"/>
  <c r="AD78" i="7"/>
  <c r="Z63" i="7"/>
  <c r="AA63" i="7"/>
  <c r="Z64" i="7"/>
  <c r="AA64" i="7"/>
  <c r="Y65" i="7"/>
  <c r="Z65" i="7"/>
  <c r="AA65" i="7"/>
  <c r="Y66" i="7"/>
  <c r="Z66" i="7"/>
  <c r="AA66" i="7"/>
  <c r="Y67" i="7"/>
  <c r="Z67" i="7"/>
  <c r="AA67" i="7"/>
  <c r="Y68" i="7"/>
  <c r="Z68" i="7"/>
  <c r="AA68" i="7"/>
  <c r="Y69" i="7"/>
  <c r="Z69" i="7"/>
  <c r="AA69" i="7"/>
  <c r="Y70" i="7"/>
  <c r="Z70" i="7"/>
  <c r="AA70" i="7"/>
  <c r="Y71" i="7"/>
  <c r="Z71" i="7"/>
  <c r="AA71" i="7"/>
  <c r="Y72" i="7"/>
  <c r="Z72" i="7"/>
  <c r="AA72" i="7"/>
  <c r="Y73" i="7"/>
  <c r="Z73" i="7"/>
  <c r="AA73" i="7"/>
  <c r="V58" i="7"/>
  <c r="X58" i="7"/>
  <c r="V59" i="7"/>
  <c r="X59" i="7"/>
  <c r="V60" i="7"/>
  <c r="X60" i="7"/>
  <c r="V61" i="7"/>
  <c r="X61" i="7"/>
  <c r="V62" i="7"/>
  <c r="W62" i="7"/>
  <c r="X62" i="7"/>
  <c r="V63" i="7"/>
  <c r="W63" i="7"/>
  <c r="X63" i="7"/>
  <c r="V64" i="7"/>
  <c r="W64" i="7"/>
  <c r="X64" i="7"/>
  <c r="V65" i="7"/>
  <c r="W65" i="7"/>
  <c r="X65" i="7"/>
  <c r="V66" i="7"/>
  <c r="W66" i="7"/>
  <c r="X66" i="7"/>
  <c r="V67" i="7"/>
  <c r="W67" i="7"/>
  <c r="X67" i="7"/>
  <c r="V68" i="7"/>
  <c r="W68" i="7"/>
  <c r="X68" i="7"/>
  <c r="V69" i="7"/>
  <c r="W69" i="7"/>
  <c r="X69" i="7"/>
  <c r="S53" i="7"/>
  <c r="T53" i="7"/>
  <c r="S54" i="7"/>
  <c r="T54" i="7"/>
  <c r="S55" i="7"/>
  <c r="T55" i="7"/>
  <c r="S56" i="7"/>
  <c r="T56" i="7"/>
  <c r="R57" i="7"/>
  <c r="S57" i="7"/>
  <c r="T57" i="7"/>
  <c r="R58" i="7"/>
  <c r="S58" i="7"/>
  <c r="T58" i="7"/>
  <c r="R59" i="7"/>
  <c r="S59" i="7"/>
  <c r="T59" i="7"/>
  <c r="R60" i="7"/>
  <c r="S60" i="7"/>
  <c r="T60" i="7"/>
  <c r="R61" i="7"/>
  <c r="S61" i="7"/>
  <c r="T61" i="7"/>
  <c r="R62" i="7"/>
  <c r="S62" i="7"/>
  <c r="T62" i="7"/>
  <c r="R63" i="7"/>
  <c r="S63" i="7"/>
  <c r="T63" i="7"/>
  <c r="R64" i="7"/>
  <c r="S64" i="7"/>
  <c r="T64" i="7"/>
  <c r="R65" i="7"/>
  <c r="S65" i="7"/>
  <c r="T65" i="7"/>
  <c r="P42" i="7"/>
  <c r="Q42" i="7"/>
  <c r="P44" i="7"/>
  <c r="Q44" i="7"/>
  <c r="P45" i="7"/>
  <c r="Q45" i="7"/>
  <c r="P46" i="7"/>
  <c r="Q46" i="7"/>
  <c r="O47" i="7"/>
  <c r="P47" i="7"/>
  <c r="Q47" i="7"/>
  <c r="O48" i="7"/>
  <c r="P48" i="7"/>
  <c r="Q48" i="7"/>
  <c r="O49" i="7"/>
  <c r="P49" i="7"/>
  <c r="Q49" i="7"/>
  <c r="P50" i="7"/>
  <c r="Q50" i="7"/>
  <c r="P51" i="7"/>
  <c r="Q51" i="7"/>
  <c r="O52" i="7"/>
  <c r="P52" i="7"/>
  <c r="Q52" i="7"/>
  <c r="O53" i="7"/>
  <c r="P53" i="7"/>
  <c r="Q53" i="7"/>
  <c r="O54" i="7"/>
  <c r="P54" i="7"/>
  <c r="Q54" i="7"/>
  <c r="O55" i="7"/>
  <c r="P55" i="7"/>
  <c r="Q55" i="7"/>
  <c r="O56" i="7"/>
  <c r="P56" i="7"/>
  <c r="Q56" i="7"/>
  <c r="O57" i="7"/>
  <c r="P57" i="7"/>
  <c r="Q57" i="7"/>
  <c r="O58" i="7"/>
  <c r="P58" i="7"/>
  <c r="Q58" i="7"/>
  <c r="O59" i="7"/>
  <c r="P59" i="7"/>
  <c r="Q59" i="7"/>
  <c r="M42" i="7"/>
  <c r="N42" i="7"/>
  <c r="L43" i="7"/>
  <c r="M43" i="7"/>
  <c r="N43" i="7"/>
  <c r="M44" i="7"/>
  <c r="N44" i="7"/>
  <c r="M45" i="7"/>
  <c r="N45" i="7"/>
  <c r="M46" i="7"/>
  <c r="N46" i="7"/>
  <c r="L47" i="7"/>
  <c r="M47" i="7"/>
  <c r="N47" i="7"/>
  <c r="L48" i="7"/>
  <c r="M48" i="7"/>
  <c r="N48" i="7"/>
  <c r="L49" i="7"/>
  <c r="M49" i="7"/>
  <c r="N49" i="7"/>
  <c r="L50" i="7"/>
  <c r="M50" i="7"/>
  <c r="N50" i="7"/>
  <c r="L51" i="7"/>
  <c r="N51" i="7"/>
  <c r="L52" i="7"/>
  <c r="M52" i="7"/>
  <c r="N52" i="7"/>
  <c r="L53" i="7"/>
  <c r="M53" i="7"/>
  <c r="N53" i="7"/>
  <c r="L54" i="7"/>
  <c r="M54" i="7"/>
  <c r="N54" i="7"/>
  <c r="L55" i="7"/>
  <c r="M55" i="7"/>
  <c r="N55" i="7"/>
  <c r="I37" i="7"/>
  <c r="J37" i="7"/>
  <c r="I38" i="7"/>
  <c r="J38" i="7"/>
  <c r="I39" i="7"/>
  <c r="J39" i="7"/>
  <c r="H40" i="7"/>
  <c r="I40" i="7"/>
  <c r="J40" i="7"/>
  <c r="H41" i="7"/>
  <c r="I41" i="7"/>
  <c r="J41" i="7"/>
  <c r="H42" i="7"/>
  <c r="I42" i="7"/>
  <c r="J42" i="7"/>
  <c r="H43" i="7"/>
  <c r="I43" i="7"/>
  <c r="J43" i="7"/>
  <c r="H44" i="7"/>
  <c r="I44" i="7"/>
  <c r="J44" i="7"/>
  <c r="H45" i="7"/>
  <c r="I45" i="7"/>
  <c r="J45" i="7"/>
  <c r="H46" i="7"/>
  <c r="I46" i="7"/>
  <c r="J46" i="7"/>
  <c r="H47" i="7"/>
  <c r="I47" i="7"/>
  <c r="J47" i="7"/>
  <c r="H48" i="7"/>
  <c r="I48" i="7"/>
  <c r="J48" i="7"/>
  <c r="H49" i="7"/>
  <c r="I49" i="7"/>
  <c r="J49" i="7"/>
  <c r="H50" i="7"/>
  <c r="I50" i="7"/>
  <c r="J50" i="7"/>
  <c r="H51" i="7"/>
  <c r="I51" i="7"/>
  <c r="J51" i="7"/>
  <c r="F37" i="7"/>
  <c r="G37" i="7"/>
  <c r="E38" i="7"/>
  <c r="F38" i="7"/>
  <c r="G38" i="7"/>
  <c r="E39" i="7"/>
  <c r="F39" i="7"/>
  <c r="G39" i="7"/>
  <c r="E40" i="7"/>
  <c r="F40" i="7"/>
  <c r="G40" i="7"/>
  <c r="E41" i="7"/>
  <c r="F41" i="7"/>
  <c r="G41" i="7"/>
  <c r="E42" i="7"/>
  <c r="F42" i="7"/>
  <c r="G42" i="7"/>
  <c r="E43" i="7"/>
  <c r="F43" i="7"/>
  <c r="G43" i="7"/>
  <c r="E44" i="7"/>
  <c r="F44" i="7"/>
  <c r="G44" i="7"/>
  <c r="E45" i="7"/>
  <c r="F45" i="7"/>
  <c r="G45" i="7"/>
  <c r="E46" i="7"/>
  <c r="F46" i="7"/>
  <c r="G46" i="7"/>
  <c r="E47" i="7"/>
  <c r="F47" i="7"/>
  <c r="G47" i="7"/>
  <c r="B31" i="7"/>
  <c r="D31" i="7"/>
  <c r="B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AX867" i="4" l="1"/>
  <c r="AT867" i="4"/>
  <c r="AX867" i="3"/>
  <c r="AT867" i="3"/>
  <c r="AX866" i="4" l="1"/>
  <c r="AT866" i="4"/>
  <c r="AP866" i="4"/>
  <c r="AP866" i="3"/>
  <c r="AT866" i="3"/>
  <c r="AX866" i="3"/>
  <c r="F865" i="4" l="1"/>
  <c r="J865" i="4"/>
  <c r="AX865" i="4"/>
  <c r="AT865" i="4"/>
  <c r="AP865" i="4"/>
  <c r="AT865" i="3"/>
  <c r="AP865" i="3"/>
  <c r="AX864" i="4" l="1"/>
  <c r="AT864" i="4"/>
  <c r="AP864" i="4"/>
  <c r="AT864" i="3"/>
  <c r="AX863" i="4" l="1"/>
  <c r="AT863" i="4"/>
  <c r="AP863" i="4"/>
  <c r="AT863" i="3"/>
  <c r="AP863" i="3"/>
  <c r="AE23" i="13" l="1"/>
  <c r="AE11" i="13"/>
  <c r="AA23" i="13"/>
  <c r="AA11" i="13"/>
  <c r="W23" i="13"/>
  <c r="W11" i="13"/>
  <c r="S23" i="13"/>
  <c r="S11" i="13"/>
  <c r="O23" i="13"/>
  <c r="O11" i="13"/>
  <c r="K23" i="13"/>
  <c r="K11" i="13"/>
  <c r="G23" i="13"/>
  <c r="G11" i="13"/>
  <c r="C23" i="13"/>
  <c r="C11" i="13"/>
  <c r="AX862" i="4" l="1"/>
  <c r="AT862" i="4"/>
  <c r="AP862" i="4"/>
  <c r="AL862" i="4"/>
  <c r="AP862" i="3"/>
  <c r="AL862" i="3"/>
  <c r="AP861" i="4" l="1"/>
  <c r="AL861" i="4"/>
  <c r="AP861" i="3"/>
  <c r="AL861" i="3"/>
  <c r="AT860" i="4" l="1"/>
  <c r="AL860" i="4"/>
  <c r="AP860" i="4"/>
  <c r="AP860" i="3"/>
  <c r="AL860" i="3"/>
  <c r="AP859" i="4" l="1"/>
  <c r="AL859" i="4"/>
  <c r="AP859" i="3"/>
  <c r="AL859" i="3"/>
  <c r="AT858" i="4" l="1"/>
  <c r="AP858" i="4"/>
  <c r="AP857" i="4"/>
  <c r="AL858" i="4"/>
  <c r="AP858" i="3"/>
  <c r="AL858" i="3"/>
  <c r="AL857" i="4" l="1"/>
  <c r="AH857" i="4"/>
  <c r="AP857" i="3"/>
  <c r="AL857" i="3"/>
  <c r="AH857" i="3"/>
  <c r="AL856" i="4" l="1"/>
  <c r="AP856" i="4"/>
  <c r="AH856" i="4"/>
  <c r="AP856" i="3"/>
  <c r="AL856" i="3"/>
  <c r="AH856" i="3"/>
  <c r="AP855" i="4" l="1"/>
  <c r="AL855" i="4"/>
  <c r="AH855" i="4"/>
  <c r="AH855" i="3"/>
  <c r="AL854" i="4" l="1"/>
  <c r="AP854" i="4"/>
  <c r="AH854" i="4"/>
  <c r="AH854" i="3"/>
  <c r="AX853" i="4" l="1"/>
  <c r="AT853" i="4"/>
  <c r="AP853" i="4"/>
  <c r="AL853" i="4"/>
  <c r="AH853" i="4"/>
  <c r="AD853" i="4"/>
  <c r="AH853" i="3"/>
  <c r="AD853" i="3"/>
  <c r="AH852" i="4" l="1"/>
  <c r="AP852" i="4"/>
  <c r="AL852" i="4"/>
  <c r="AD852" i="4"/>
  <c r="AH852" i="3"/>
  <c r="AD852" i="3"/>
  <c r="AP851" i="4" l="1"/>
  <c r="AH851" i="4"/>
  <c r="AL851" i="4"/>
  <c r="AD851" i="4"/>
  <c r="AH851" i="3"/>
  <c r="AD851" i="3"/>
  <c r="AL850" i="4" l="1"/>
  <c r="AH850" i="4"/>
  <c r="AD850" i="4"/>
  <c r="AH850" i="3"/>
  <c r="AD850" i="3"/>
  <c r="AH849" i="4" l="1"/>
  <c r="AD849" i="4"/>
  <c r="Z849" i="4"/>
  <c r="AH849" i="3"/>
  <c r="AD849" i="3"/>
  <c r="Z849" i="3"/>
  <c r="AD848" i="4" l="1"/>
  <c r="AL848" i="4"/>
  <c r="AH848" i="4"/>
  <c r="Z848" i="4"/>
  <c r="AH848" i="3"/>
  <c r="AD848" i="3"/>
  <c r="Z848" i="3"/>
  <c r="AL847" i="4" l="1"/>
  <c r="AH847" i="4"/>
  <c r="AD847" i="4"/>
  <c r="Z847" i="4"/>
  <c r="AH847" i="3"/>
  <c r="AD847" i="3"/>
  <c r="Z847" i="3"/>
  <c r="AL846" i="4" l="1"/>
  <c r="AH846" i="4"/>
  <c r="AD846" i="4"/>
  <c r="Z846" i="4"/>
  <c r="AD846" i="3"/>
  <c r="Z846" i="3"/>
  <c r="AL845" i="4" l="1"/>
  <c r="AH845" i="4"/>
  <c r="AD845" i="4"/>
  <c r="Z845" i="4"/>
  <c r="AD845" i="3"/>
  <c r="Z845" i="3"/>
  <c r="AL844" i="4" l="1"/>
  <c r="AH844" i="4"/>
  <c r="AD844" i="4"/>
  <c r="Z844" i="4"/>
  <c r="V844" i="4"/>
  <c r="Z844" i="3"/>
  <c r="V844" i="3"/>
  <c r="AL843" i="4" l="1"/>
  <c r="AH843" i="4"/>
  <c r="AD843" i="4"/>
  <c r="Z843" i="4"/>
  <c r="V843" i="4"/>
  <c r="Z843" i="3"/>
  <c r="V843" i="3"/>
  <c r="AL842" i="4" l="1"/>
  <c r="AH842" i="4"/>
  <c r="AD842" i="4"/>
  <c r="Z842" i="4"/>
  <c r="V842" i="4"/>
  <c r="V842" i="3"/>
  <c r="AU23" i="13" l="1"/>
  <c r="AU11" i="13"/>
  <c r="AL841" i="4"/>
  <c r="AH841" i="4"/>
  <c r="AD841" i="4"/>
  <c r="Z841" i="4"/>
  <c r="V841" i="4"/>
  <c r="V841" i="3"/>
  <c r="AL840" i="4" l="1"/>
  <c r="AH840" i="4"/>
  <c r="Z840" i="4"/>
  <c r="V840" i="4"/>
  <c r="R840" i="4"/>
  <c r="V840" i="3"/>
  <c r="R840" i="3"/>
  <c r="AL839" i="4" l="1"/>
  <c r="AH839" i="4"/>
  <c r="Z839" i="4"/>
  <c r="V839" i="4"/>
  <c r="R839" i="4"/>
  <c r="V839" i="3"/>
  <c r="R839" i="3"/>
  <c r="V838" i="4" l="1"/>
  <c r="AL838" i="4"/>
  <c r="AH838" i="4"/>
  <c r="R838" i="4"/>
  <c r="R838" i="3"/>
  <c r="V838" i="3"/>
  <c r="AP837" i="4" l="1"/>
  <c r="AL837" i="4"/>
  <c r="AH837" i="4"/>
  <c r="V837" i="4"/>
  <c r="R837" i="4"/>
  <c r="V837" i="3"/>
  <c r="R837" i="3"/>
  <c r="R836" i="4" l="1"/>
  <c r="V836" i="4"/>
  <c r="AL836" i="4"/>
  <c r="AH836" i="4"/>
  <c r="N836" i="4"/>
  <c r="N836" i="3"/>
  <c r="AL835" i="4" l="1"/>
  <c r="AH835" i="4"/>
  <c r="V835" i="4"/>
  <c r="R835" i="4"/>
  <c r="N835" i="4"/>
  <c r="R835" i="3"/>
  <c r="N835" i="3"/>
  <c r="AL834" i="4" l="1"/>
  <c r="AH834" i="4"/>
  <c r="V834" i="4"/>
  <c r="R834" i="4"/>
  <c r="N834" i="4"/>
  <c r="N834" i="3"/>
  <c r="AL833" i="4" l="1"/>
  <c r="AH833" i="4"/>
  <c r="AD833" i="4"/>
  <c r="V833" i="4"/>
  <c r="R833" i="4"/>
  <c r="N833" i="4"/>
  <c r="N833" i="3"/>
  <c r="AH832" i="4" l="1"/>
  <c r="R832" i="4"/>
  <c r="N832" i="4"/>
  <c r="J832" i="4"/>
  <c r="N832" i="3"/>
  <c r="J832" i="3"/>
  <c r="AH831" i="4" l="1"/>
  <c r="N831" i="4"/>
  <c r="J831" i="4"/>
  <c r="N831" i="3"/>
  <c r="J831" i="3"/>
  <c r="AH830" i="4" l="1"/>
  <c r="N830" i="4"/>
  <c r="J830" i="4"/>
  <c r="N830" i="3"/>
  <c r="J830" i="3"/>
  <c r="AH829" i="4" l="1"/>
  <c r="N829" i="4"/>
  <c r="J829" i="4"/>
  <c r="J829" i="3"/>
  <c r="J828" i="4" l="1"/>
  <c r="AH828" i="4"/>
  <c r="N828" i="4"/>
  <c r="N827" i="4" l="1"/>
  <c r="J827" i="4"/>
  <c r="F827" i="4"/>
  <c r="F827" i="3"/>
  <c r="N826" i="4" l="1"/>
  <c r="J826" i="4"/>
  <c r="F826" i="4"/>
  <c r="F826" i="3"/>
  <c r="N825" i="4" l="1"/>
  <c r="J825" i="4"/>
  <c r="F825" i="4"/>
  <c r="F825" i="3"/>
  <c r="N824" i="4" l="1"/>
  <c r="J824" i="4"/>
  <c r="F824" i="4"/>
  <c r="F824" i="3"/>
  <c r="Z823" i="4" l="1"/>
  <c r="N823" i="4"/>
  <c r="J823" i="4"/>
  <c r="F823" i="4"/>
  <c r="AX823" i="4"/>
  <c r="F823" i="3"/>
  <c r="AX823" i="3"/>
  <c r="Z822" i="4" l="1"/>
  <c r="R822" i="4"/>
  <c r="F822" i="4"/>
  <c r="J822" i="4"/>
  <c r="N822" i="4"/>
  <c r="AX822" i="4"/>
  <c r="F822" i="3"/>
  <c r="AX822" i="3"/>
  <c r="Z821" i="4" l="1"/>
  <c r="N821" i="4"/>
  <c r="F821" i="4"/>
  <c r="AX821" i="4"/>
  <c r="AX821" i="3"/>
  <c r="AX820" i="4" l="1"/>
  <c r="F820" i="4"/>
  <c r="Z820" i="4"/>
  <c r="AX820" i="3"/>
  <c r="Z819" i="4" l="1"/>
  <c r="AX819" i="4"/>
  <c r="AX819" i="3"/>
  <c r="F818" i="4" l="1"/>
  <c r="AX818" i="4"/>
  <c r="AT818" i="4"/>
  <c r="AX818" i="3"/>
  <c r="AT818" i="3"/>
  <c r="AX817" i="4" l="1"/>
  <c r="AT817" i="4"/>
  <c r="AX817" i="3"/>
  <c r="AT817" i="3"/>
  <c r="AX816" i="4" l="1"/>
  <c r="AT816" i="4"/>
  <c r="AX816" i="3"/>
  <c r="AT816" i="3"/>
  <c r="AX815" i="4" l="1"/>
  <c r="AT815" i="4"/>
  <c r="AX815" i="3"/>
  <c r="AT815" i="3"/>
  <c r="AX814" i="4" l="1"/>
  <c r="AT814" i="4"/>
  <c r="AP814" i="4"/>
  <c r="AT814" i="3"/>
  <c r="AX814" i="3"/>
  <c r="AP814" i="3"/>
  <c r="AT813" i="4" l="1"/>
  <c r="AX813" i="4"/>
  <c r="AP813" i="4"/>
  <c r="AX813" i="3"/>
  <c r="AT813" i="3"/>
  <c r="AP813" i="3"/>
  <c r="AX812" i="3" l="1"/>
  <c r="AT812" i="3"/>
  <c r="AP812" i="3"/>
  <c r="AX812" i="4"/>
  <c r="AT812" i="4"/>
  <c r="AP812" i="4"/>
  <c r="AX811" i="4" l="1"/>
  <c r="AT811" i="4"/>
  <c r="AP811" i="4"/>
  <c r="AP811" i="3"/>
  <c r="AX810" i="4" l="1"/>
  <c r="AT810" i="4"/>
  <c r="AL810" i="4"/>
  <c r="AP810" i="4"/>
  <c r="AP810" i="3"/>
  <c r="AL810" i="3"/>
  <c r="AX809" i="4" l="1"/>
  <c r="AT809" i="4"/>
  <c r="AP809" i="4"/>
  <c r="AL809" i="4"/>
  <c r="AP809" i="3"/>
  <c r="AL809" i="3"/>
  <c r="AP808" i="4" l="1"/>
  <c r="AL808" i="4"/>
  <c r="AL808" i="3"/>
  <c r="AP807" i="4" l="1"/>
  <c r="AL807" i="4"/>
  <c r="AL807" i="3"/>
  <c r="AX806" i="4" l="1"/>
  <c r="AP806" i="4"/>
  <c r="AL806" i="4"/>
  <c r="AL806" i="3"/>
  <c r="AP805" i="4" l="1"/>
  <c r="AL805" i="4"/>
  <c r="AH805" i="4"/>
  <c r="AL805" i="3"/>
  <c r="AH805" i="3"/>
  <c r="AP804" i="4" l="1"/>
  <c r="AL804" i="4"/>
  <c r="AH804" i="4"/>
  <c r="AL804" i="3"/>
  <c r="AP804" i="3"/>
  <c r="AH804" i="3"/>
  <c r="AP803" i="4" l="1"/>
  <c r="AL803" i="4"/>
  <c r="AH803" i="4"/>
  <c r="AP803" i="3"/>
  <c r="AL803" i="3"/>
  <c r="AH803" i="3"/>
  <c r="AP802" i="4" l="1"/>
  <c r="AL802" i="4"/>
  <c r="AH802" i="4"/>
  <c r="AP802" i="3"/>
  <c r="AH802" i="3"/>
  <c r="AP801" i="4" l="1"/>
  <c r="AL801" i="4"/>
  <c r="AH801" i="4"/>
  <c r="AD801" i="4"/>
  <c r="AH801" i="3"/>
  <c r="AP801" i="3"/>
  <c r="AD801" i="3"/>
  <c r="AP800" i="4" l="1"/>
  <c r="AL800" i="4"/>
  <c r="AH800" i="4"/>
  <c r="AD800" i="4"/>
  <c r="AP800" i="3"/>
  <c r="AD800" i="3"/>
  <c r="AP799" i="4" l="1"/>
  <c r="AL799" i="4"/>
  <c r="AH799" i="4"/>
  <c r="AD799" i="4"/>
  <c r="AP799" i="3"/>
  <c r="AD799" i="3"/>
  <c r="AP798" i="4" l="1"/>
  <c r="AL798" i="4"/>
  <c r="AH798" i="4"/>
  <c r="AD798" i="4"/>
  <c r="AP798" i="3"/>
  <c r="AD798" i="3"/>
  <c r="AP797" i="4" l="1"/>
  <c r="AL797" i="4"/>
  <c r="AH797" i="4"/>
  <c r="AD797" i="4"/>
  <c r="Z797" i="4"/>
  <c r="AP797" i="3"/>
  <c r="AD797" i="3"/>
  <c r="Z797" i="3"/>
  <c r="AP796" i="4" l="1"/>
  <c r="AL796" i="4"/>
  <c r="AH796" i="4"/>
  <c r="AD796" i="4"/>
  <c r="Z796" i="4"/>
  <c r="AP796" i="3"/>
  <c r="AD796" i="3"/>
  <c r="Z796" i="3"/>
  <c r="AP795" i="4" l="1"/>
  <c r="AL795" i="4"/>
  <c r="AH795" i="4"/>
  <c r="AD795" i="4"/>
  <c r="Z795" i="4"/>
  <c r="AD795" i="3"/>
  <c r="AP795" i="3"/>
  <c r="Z795" i="3"/>
  <c r="AT794" i="4" l="1"/>
  <c r="AP794" i="4"/>
  <c r="AL794" i="4"/>
  <c r="AH794" i="4"/>
  <c r="AD794" i="4"/>
  <c r="Z794" i="4"/>
  <c r="AP794" i="3"/>
  <c r="AD794" i="3"/>
  <c r="Z794" i="3"/>
  <c r="AP793" i="3" l="1"/>
  <c r="AT793" i="4"/>
  <c r="AP793" i="4"/>
  <c r="AL793" i="4"/>
  <c r="AH793" i="4"/>
  <c r="AD793" i="4"/>
  <c r="Z793" i="4"/>
  <c r="AD793" i="3"/>
  <c r="Z793" i="3"/>
  <c r="Z792" i="4" l="1"/>
  <c r="AH792" i="4"/>
  <c r="AD792" i="4"/>
  <c r="AP792" i="4"/>
  <c r="AT792" i="4"/>
  <c r="V792" i="4"/>
  <c r="V792" i="3"/>
  <c r="Z792" i="3"/>
  <c r="AD792" i="3"/>
  <c r="AP792" i="3"/>
  <c r="AT791" i="4" l="1"/>
  <c r="AP791" i="4"/>
  <c r="AL791" i="4"/>
  <c r="Z791" i="4"/>
  <c r="V791" i="4"/>
  <c r="V791" i="3"/>
  <c r="Z791" i="3"/>
  <c r="AP791" i="3"/>
  <c r="AT790" i="4" l="1"/>
  <c r="AT789" i="4"/>
  <c r="AP790" i="4"/>
  <c r="AL790" i="4"/>
  <c r="Z790" i="4"/>
  <c r="V790" i="4"/>
  <c r="AP790" i="3"/>
  <c r="Z790" i="3"/>
  <c r="V790" i="3"/>
  <c r="AP789" i="4" l="1"/>
  <c r="AL789" i="4"/>
  <c r="Z789" i="4"/>
  <c r="V789" i="4"/>
  <c r="V788" i="4" l="1"/>
  <c r="AD788" i="4"/>
  <c r="AP788" i="4"/>
  <c r="AL788" i="4"/>
  <c r="R788" i="4"/>
  <c r="R788" i="3"/>
  <c r="AP787" i="4" l="1"/>
  <c r="AL787" i="4"/>
  <c r="AD787" i="4"/>
  <c r="V787" i="4"/>
  <c r="R787" i="4"/>
  <c r="R787" i="3"/>
  <c r="V786" i="4" l="1"/>
  <c r="AL786" i="4"/>
  <c r="AP786" i="4"/>
  <c r="AD786" i="4"/>
  <c r="R786" i="4"/>
  <c r="R786" i="3"/>
  <c r="AP785" i="4" l="1"/>
  <c r="AL785" i="4"/>
  <c r="V785" i="4"/>
  <c r="AD785" i="4"/>
  <c r="R785" i="4"/>
  <c r="R785" i="3"/>
  <c r="R784" i="4" l="1"/>
  <c r="V784" i="4"/>
  <c r="AD784" i="4"/>
  <c r="AL784" i="4"/>
  <c r="AP784" i="4"/>
  <c r="AL783" i="4" l="1"/>
  <c r="AD783" i="4"/>
  <c r="V783" i="4"/>
  <c r="R783" i="4"/>
  <c r="N783" i="4"/>
  <c r="N783" i="3"/>
  <c r="AL782" i="4" l="1"/>
  <c r="AD782" i="4"/>
  <c r="R782" i="4"/>
  <c r="N782" i="4"/>
  <c r="N782" i="3"/>
  <c r="AL781" i="4" l="1"/>
  <c r="N781" i="4"/>
  <c r="N781" i="3"/>
  <c r="Q207" i="1" l="1"/>
  <c r="P207" i="1"/>
  <c r="O207" i="1"/>
  <c r="N207" i="1"/>
  <c r="Q194" i="1"/>
  <c r="P194" i="1"/>
  <c r="O194" i="1"/>
  <c r="N194" i="1"/>
  <c r="R780" i="4"/>
  <c r="N780" i="4"/>
  <c r="N780" i="3"/>
  <c r="AH779" i="4" l="1"/>
  <c r="AD779" i="4"/>
  <c r="R779" i="4"/>
  <c r="N779" i="4"/>
  <c r="J779" i="4"/>
  <c r="N779" i="3"/>
  <c r="J779" i="3"/>
  <c r="N778" i="4" l="1"/>
  <c r="J778" i="4"/>
  <c r="N778" i="3"/>
  <c r="J778" i="3"/>
  <c r="N777" i="4" l="1"/>
  <c r="J777" i="4"/>
  <c r="N777" i="3"/>
  <c r="J777" i="3"/>
  <c r="N776" i="4" l="1"/>
  <c r="J776" i="4"/>
  <c r="N776" i="3"/>
  <c r="J776" i="3"/>
  <c r="AD775" i="4" l="1"/>
  <c r="N775" i="4"/>
  <c r="J775" i="4"/>
  <c r="F775" i="4"/>
  <c r="F775" i="3"/>
  <c r="J775" i="3"/>
  <c r="N774" i="4" l="1"/>
  <c r="J774" i="4"/>
  <c r="F774" i="4"/>
  <c r="J774" i="3"/>
  <c r="F774" i="3"/>
  <c r="N773" i="4" l="1"/>
  <c r="J773" i="4"/>
  <c r="F773" i="4"/>
  <c r="J773" i="3"/>
  <c r="F773" i="3"/>
  <c r="N772" i="4" l="1"/>
  <c r="J772" i="4"/>
  <c r="F772" i="4"/>
  <c r="J772" i="3"/>
  <c r="F772" i="3"/>
  <c r="R771" i="4" l="1"/>
  <c r="N771" i="4"/>
  <c r="J771" i="4"/>
  <c r="F771" i="4"/>
  <c r="F767" i="3"/>
  <c r="F770" i="3"/>
  <c r="F771" i="3"/>
  <c r="J771" i="3"/>
  <c r="N770" i="4" l="1"/>
  <c r="J770" i="4"/>
  <c r="F770" i="4"/>
  <c r="AX770" i="4"/>
  <c r="J770" i="3"/>
  <c r="AX770" i="3"/>
  <c r="F769" i="4" l="1"/>
  <c r="AX769" i="4"/>
  <c r="F769" i="3"/>
  <c r="AX769" i="3"/>
  <c r="AX768" i="4" l="1"/>
  <c r="F768" i="3"/>
  <c r="AX768" i="3"/>
  <c r="AX767" i="4" l="1"/>
  <c r="AX767" i="3"/>
  <c r="J181" i="1" l="1"/>
  <c r="BT206" i="1" s="1"/>
  <c r="I181" i="1"/>
  <c r="BS206" i="1" s="1"/>
  <c r="H181" i="1"/>
  <c r="BR206" i="1" s="1"/>
  <c r="G181" i="1"/>
  <c r="BQ206" i="1" s="1"/>
  <c r="E181" i="1"/>
  <c r="BT193" i="1" s="1"/>
  <c r="D181" i="1"/>
  <c r="BS193" i="1" s="1"/>
  <c r="C181" i="1"/>
  <c r="BR193" i="1" s="1"/>
  <c r="B181" i="1"/>
  <c r="BQ193" i="1" s="1"/>
  <c r="J180" i="1"/>
  <c r="BO206" i="1" s="1"/>
  <c r="I180" i="1"/>
  <c r="BN206" i="1" s="1"/>
  <c r="H180" i="1"/>
  <c r="BM206" i="1" s="1"/>
  <c r="G180" i="1"/>
  <c r="BL206" i="1" s="1"/>
  <c r="E180" i="1"/>
  <c r="BO193" i="1" s="1"/>
  <c r="D180" i="1"/>
  <c r="BN193" i="1" s="1"/>
  <c r="C180" i="1"/>
  <c r="BM193" i="1" s="1"/>
  <c r="B180" i="1"/>
  <c r="BL193" i="1" s="1"/>
  <c r="AX766" i="4"/>
  <c r="AT766" i="4"/>
  <c r="F766" i="4"/>
  <c r="AX766" i="3"/>
  <c r="AT766" i="3"/>
  <c r="F766" i="3"/>
  <c r="AX765" i="4" l="1"/>
  <c r="AT765" i="4"/>
  <c r="F765" i="3"/>
  <c r="AX765" i="3"/>
  <c r="AT765" i="3"/>
  <c r="AX764" i="4" l="1"/>
  <c r="AT764" i="4"/>
  <c r="F764" i="3"/>
  <c r="AX764" i="3"/>
  <c r="AT764" i="3"/>
  <c r="AT763" i="4" l="1"/>
  <c r="AX763" i="4"/>
  <c r="AX763" i="3"/>
  <c r="AT763" i="3"/>
  <c r="AI24" i="13" l="1"/>
  <c r="R762" i="4"/>
  <c r="AX762" i="4"/>
  <c r="AT762" i="4"/>
  <c r="AP762" i="4"/>
  <c r="AX762" i="3"/>
  <c r="AT762" i="3"/>
  <c r="AP762" i="3"/>
  <c r="AX761" i="4" l="1"/>
  <c r="AT761" i="4"/>
  <c r="AP761" i="4"/>
  <c r="AX761" i="3"/>
  <c r="AT761" i="3"/>
  <c r="AP761" i="3"/>
  <c r="AX760" i="4" l="1"/>
  <c r="AT760" i="4"/>
  <c r="AP760" i="4"/>
  <c r="AX760" i="3"/>
  <c r="AT760" i="3"/>
  <c r="AP760" i="3"/>
  <c r="AX759" i="4" l="1"/>
  <c r="AT759" i="4"/>
  <c r="AP759" i="4"/>
  <c r="AT759" i="3"/>
  <c r="AP759" i="3"/>
  <c r="AX758" i="4" l="1"/>
  <c r="AT758" i="4"/>
  <c r="AP758" i="4"/>
  <c r="AT758" i="3"/>
  <c r="AP758" i="3"/>
  <c r="AX757" i="4" l="1"/>
  <c r="AT757" i="4"/>
  <c r="AP757" i="4"/>
  <c r="AL757" i="4"/>
  <c r="AP757" i="3"/>
  <c r="AL757" i="3"/>
  <c r="E179" i="1" l="1"/>
  <c r="BJ193" i="1" s="1"/>
  <c r="D179" i="1"/>
  <c r="BI193" i="1" s="1"/>
  <c r="C179" i="1"/>
  <c r="BH193" i="1" s="1"/>
  <c r="B179" i="1"/>
  <c r="BG193" i="1" s="1"/>
  <c r="E178" i="1"/>
  <c r="BE193" i="1" s="1"/>
  <c r="D178" i="1"/>
  <c r="BD193" i="1" s="1"/>
  <c r="C178" i="1"/>
  <c r="BC193" i="1" s="1"/>
  <c r="B178" i="1"/>
  <c r="BB193" i="1" s="1"/>
  <c r="E177" i="1"/>
  <c r="D177" i="1"/>
  <c r="AY193" i="1" s="1"/>
  <c r="C177" i="1"/>
  <c r="AX193" i="1" s="1"/>
  <c r="B177" i="1"/>
  <c r="AW193" i="1" s="1"/>
  <c r="AX756" i="4"/>
  <c r="AT756" i="4"/>
  <c r="AP756" i="4"/>
  <c r="AL756" i="4"/>
  <c r="AP756" i="3"/>
  <c r="AL756" i="3"/>
  <c r="AX755" i="4" l="1"/>
  <c r="AT755" i="4"/>
  <c r="AP755" i="4"/>
  <c r="AL755" i="4"/>
  <c r="AP755" i="3"/>
  <c r="AL755" i="3"/>
  <c r="AX754" i="4" l="1"/>
  <c r="AT754" i="4"/>
  <c r="AP754" i="4"/>
  <c r="AL754" i="4"/>
  <c r="AP754" i="3"/>
  <c r="AL754" i="3"/>
  <c r="AX753" i="4" l="1"/>
  <c r="AT753" i="4"/>
  <c r="AP753" i="4"/>
  <c r="AL753" i="4"/>
  <c r="AH753" i="4"/>
  <c r="AX753" i="3"/>
  <c r="AT753" i="3"/>
  <c r="AP753" i="3"/>
  <c r="AL753" i="3"/>
  <c r="AH753" i="3"/>
  <c r="AX750" i="4" l="1"/>
  <c r="AX751" i="4"/>
  <c r="AX752" i="4"/>
  <c r="AT752" i="4"/>
  <c r="AP752" i="4"/>
  <c r="AL752" i="4"/>
  <c r="AH752" i="4"/>
  <c r="AX752" i="3"/>
  <c r="AT752" i="3"/>
  <c r="AP752" i="3"/>
  <c r="AL752" i="3"/>
  <c r="AH752" i="3"/>
  <c r="AL751" i="4" l="1"/>
  <c r="AH751" i="4"/>
  <c r="AX751" i="3"/>
  <c r="AT751" i="3"/>
  <c r="AP751" i="3"/>
  <c r="AL751" i="3"/>
  <c r="AH751" i="3"/>
  <c r="AT750" i="4" l="1"/>
  <c r="AP750" i="4"/>
  <c r="AL750" i="4"/>
  <c r="AH750" i="4"/>
  <c r="AX750" i="3"/>
  <c r="AT750" i="3"/>
  <c r="AP750" i="3"/>
  <c r="AL750" i="3"/>
  <c r="AH750" i="3"/>
  <c r="AX749" i="4" l="1"/>
  <c r="AT749" i="4"/>
  <c r="AP749" i="4"/>
  <c r="AL749" i="4"/>
  <c r="AH749" i="4"/>
  <c r="AD749" i="4"/>
  <c r="AX749" i="3"/>
  <c r="AT749" i="3"/>
  <c r="AP749" i="3"/>
  <c r="AL749" i="3"/>
  <c r="AH749" i="3"/>
  <c r="AD749" i="3"/>
  <c r="AT748" i="4" l="1"/>
  <c r="AP748" i="4"/>
  <c r="AL748" i="4"/>
  <c r="AH748" i="4"/>
  <c r="AD748" i="4"/>
  <c r="AX748" i="3"/>
  <c r="AT748" i="3"/>
  <c r="AP748" i="3"/>
  <c r="AL748" i="3"/>
  <c r="AH748" i="3"/>
  <c r="AD748" i="3"/>
  <c r="AU12" i="13" l="1"/>
  <c r="AP747" i="4"/>
  <c r="AL747" i="4"/>
  <c r="AH747" i="4"/>
  <c r="AD747" i="4"/>
  <c r="AH747" i="3"/>
  <c r="AD747" i="3"/>
  <c r="AP746" i="4" l="1"/>
  <c r="AL746" i="4"/>
  <c r="AH746" i="4"/>
  <c r="AD746" i="4"/>
  <c r="AH746" i="3"/>
  <c r="AD746" i="3"/>
  <c r="AP745" i="4" l="1"/>
  <c r="AL745" i="4"/>
  <c r="AH745" i="4"/>
  <c r="AD745" i="4"/>
  <c r="AH745" i="3"/>
  <c r="AD745" i="3"/>
  <c r="AE12" i="13" l="1"/>
  <c r="J179" i="1"/>
  <c r="BJ206" i="1" s="1"/>
  <c r="I179" i="1"/>
  <c r="BI206" i="1" s="1"/>
  <c r="H179" i="1"/>
  <c r="BH206" i="1" s="1"/>
  <c r="G179" i="1"/>
  <c r="BG206" i="1" s="1"/>
  <c r="J178" i="1"/>
  <c r="BE206" i="1" s="1"/>
  <c r="I178" i="1"/>
  <c r="BD206" i="1" s="1"/>
  <c r="H178" i="1"/>
  <c r="BC206" i="1" s="1"/>
  <c r="G178" i="1"/>
  <c r="BB206" i="1" s="1"/>
  <c r="J177" i="1"/>
  <c r="I177" i="1"/>
  <c r="AY206" i="1" s="1"/>
  <c r="H177" i="1"/>
  <c r="AX206" i="1" s="1"/>
  <c r="G177" i="1"/>
  <c r="AW206" i="1" s="1"/>
  <c r="AU206" i="1"/>
  <c r="AT206" i="1"/>
  <c r="AS206" i="1"/>
  <c r="AR206" i="1"/>
  <c r="AU193" i="1"/>
  <c r="AT193" i="1"/>
  <c r="AS193" i="1"/>
  <c r="AR193" i="1"/>
  <c r="J175" i="1"/>
  <c r="AP206" i="1" s="1"/>
  <c r="I175" i="1"/>
  <c r="AO206" i="1" s="1"/>
  <c r="H175" i="1"/>
  <c r="AN206" i="1" s="1"/>
  <c r="G175" i="1"/>
  <c r="AM206" i="1" s="1"/>
  <c r="E175" i="1"/>
  <c r="AP193" i="1" s="1"/>
  <c r="D175" i="1"/>
  <c r="AO193" i="1" s="1"/>
  <c r="C175" i="1"/>
  <c r="AN193" i="1" s="1"/>
  <c r="B175" i="1"/>
  <c r="AM193" i="1" s="1"/>
  <c r="J174" i="1"/>
  <c r="AK206" i="1" s="1"/>
  <c r="I174" i="1"/>
  <c r="AJ206" i="1" s="1"/>
  <c r="H174" i="1"/>
  <c r="AI206" i="1" s="1"/>
  <c r="G174" i="1"/>
  <c r="AH206" i="1" s="1"/>
  <c r="E174" i="1"/>
  <c r="AK193" i="1" s="1"/>
  <c r="D174" i="1"/>
  <c r="AJ193" i="1" s="1"/>
  <c r="C174" i="1"/>
  <c r="AI193" i="1" s="1"/>
  <c r="B174" i="1"/>
  <c r="AH193" i="1" s="1"/>
  <c r="J173" i="1"/>
  <c r="AF206" i="1" s="1"/>
  <c r="I173" i="1"/>
  <c r="AE206" i="1" s="1"/>
  <c r="H173" i="1"/>
  <c r="AD206" i="1" s="1"/>
  <c r="G173" i="1"/>
  <c r="AC206" i="1" s="1"/>
  <c r="E173" i="1"/>
  <c r="AF193" i="1" s="1"/>
  <c r="D173" i="1"/>
  <c r="AE193" i="1" s="1"/>
  <c r="C173" i="1"/>
  <c r="AD193" i="1" s="1"/>
  <c r="B173" i="1"/>
  <c r="AC193" i="1" s="1"/>
  <c r="AZ206" i="1" l="1"/>
  <c r="AZ193" i="1"/>
  <c r="AP744" i="4"/>
  <c r="AL744" i="4"/>
  <c r="AH744" i="4"/>
  <c r="AD744" i="4"/>
  <c r="Z744" i="4"/>
  <c r="AD744" i="3"/>
  <c r="Z744" i="3"/>
  <c r="AP743" i="4" l="1"/>
  <c r="AL743" i="4"/>
  <c r="AH743" i="4"/>
  <c r="AD743" i="4"/>
  <c r="Z743" i="4"/>
  <c r="AD743" i="3"/>
  <c r="Z743" i="3"/>
  <c r="AX742" i="4" l="1"/>
  <c r="AP742" i="4"/>
  <c r="AL742" i="4"/>
  <c r="AH742" i="4"/>
  <c r="AD742" i="4"/>
  <c r="Z742" i="4"/>
  <c r="AD742" i="3"/>
  <c r="Z742" i="3"/>
  <c r="AX741" i="4" l="1"/>
  <c r="AP741" i="4"/>
  <c r="AL741" i="4"/>
  <c r="AH741" i="4"/>
  <c r="AD741" i="4"/>
  <c r="Z741" i="4"/>
  <c r="AD741" i="3"/>
  <c r="Z741" i="3"/>
  <c r="AU24" i="13" l="1"/>
  <c r="AP740" i="4"/>
  <c r="AL740" i="4"/>
  <c r="AH740" i="4"/>
  <c r="AD740" i="4"/>
  <c r="Z740" i="4"/>
  <c r="V740" i="4"/>
  <c r="AD740" i="3"/>
  <c r="Z740" i="3"/>
  <c r="V740" i="3"/>
  <c r="AP739" i="4" l="1"/>
  <c r="AL739" i="4"/>
  <c r="AH739" i="4"/>
  <c r="AD739" i="4"/>
  <c r="Z739" i="4"/>
  <c r="V739" i="4"/>
  <c r="AD739" i="3"/>
  <c r="Z739" i="3"/>
  <c r="V739" i="3"/>
  <c r="AP738" i="4" l="1"/>
  <c r="AL738" i="4"/>
  <c r="AH738" i="4"/>
  <c r="Z738" i="4"/>
  <c r="V738" i="4"/>
  <c r="AD738" i="3"/>
  <c r="Z738" i="3"/>
  <c r="V738" i="3"/>
  <c r="AP737" i="4" l="1"/>
  <c r="AL737" i="4"/>
  <c r="AH737" i="4"/>
  <c r="Z737" i="4"/>
  <c r="V737" i="4"/>
  <c r="Z737" i="3"/>
  <c r="V737" i="3"/>
  <c r="J172" i="1" l="1"/>
  <c r="I172" i="1"/>
  <c r="H172" i="1"/>
  <c r="G172" i="1"/>
  <c r="J171" i="1"/>
  <c r="I171" i="1"/>
  <c r="H171" i="1"/>
  <c r="G171" i="1"/>
  <c r="J170" i="1"/>
  <c r="I170" i="1"/>
  <c r="H170" i="1"/>
  <c r="G170" i="1"/>
  <c r="E172" i="1"/>
  <c r="AA193" i="1" s="1"/>
  <c r="D172" i="1"/>
  <c r="Z193" i="1" s="1"/>
  <c r="C172" i="1"/>
  <c r="Y193" i="1" s="1"/>
  <c r="B172" i="1"/>
  <c r="X193" i="1" s="1"/>
  <c r="E171" i="1"/>
  <c r="V193" i="1" s="1"/>
  <c r="D171" i="1"/>
  <c r="U193" i="1" s="1"/>
  <c r="C171" i="1"/>
  <c r="T193" i="1" s="1"/>
  <c r="B171" i="1"/>
  <c r="S193" i="1" s="1"/>
  <c r="E170" i="1"/>
  <c r="Q193" i="1" s="1"/>
  <c r="D170" i="1"/>
  <c r="P193" i="1" s="1"/>
  <c r="C170" i="1"/>
  <c r="O193" i="1" s="1"/>
  <c r="B170" i="1"/>
  <c r="N193" i="1" s="1"/>
  <c r="B169" i="1"/>
  <c r="AQ24" i="13"/>
  <c r="AQ12" i="13"/>
  <c r="AM12" i="13"/>
  <c r="V206" i="1" l="1"/>
  <c r="S206" i="1"/>
  <c r="X206" i="1"/>
  <c r="O206" i="1"/>
  <c r="Y206" i="1"/>
  <c r="T206" i="1"/>
  <c r="N206" i="1"/>
  <c r="P206" i="1"/>
  <c r="Z206" i="1"/>
  <c r="U206" i="1"/>
  <c r="Q206" i="1"/>
  <c r="AA206" i="1"/>
  <c r="AP736" i="4"/>
  <c r="AL736" i="4"/>
  <c r="AH736" i="4"/>
  <c r="AD736" i="4"/>
  <c r="Z736" i="4"/>
  <c r="V736" i="4"/>
  <c r="R736" i="4"/>
  <c r="Z736" i="3"/>
  <c r="V736" i="3"/>
  <c r="R736" i="3"/>
  <c r="AP735" i="4" l="1"/>
  <c r="AL735" i="4"/>
  <c r="AH735" i="4"/>
  <c r="AD735" i="4"/>
  <c r="Z735" i="4"/>
  <c r="V735" i="4"/>
  <c r="R735" i="4"/>
  <c r="Z735" i="3"/>
  <c r="V735" i="3"/>
  <c r="R735" i="3"/>
  <c r="AP734" i="4" l="1"/>
  <c r="AL734" i="4"/>
  <c r="AH734" i="4"/>
  <c r="AD734" i="4"/>
  <c r="Z734" i="4"/>
  <c r="V734" i="4"/>
  <c r="R734" i="4"/>
  <c r="Z734" i="3"/>
  <c r="V734" i="3"/>
  <c r="R734" i="3"/>
  <c r="AP733" i="4" l="1"/>
  <c r="AL733" i="4"/>
  <c r="AH733" i="4"/>
  <c r="AD733" i="4"/>
  <c r="Z733" i="4"/>
  <c r="V733" i="4"/>
  <c r="R733" i="4"/>
  <c r="Z733" i="3"/>
  <c r="V733" i="3"/>
  <c r="R733" i="3"/>
  <c r="AM24" i="13" l="1"/>
  <c r="AP732" i="4"/>
  <c r="AL732" i="4"/>
  <c r="AH732" i="4"/>
  <c r="AD732" i="4"/>
  <c r="Z732" i="4"/>
  <c r="V732" i="4"/>
  <c r="R732" i="4"/>
  <c r="V732" i="3"/>
  <c r="R732" i="3"/>
  <c r="AL731" i="4" l="1"/>
  <c r="AH731" i="4"/>
  <c r="AD731" i="4"/>
  <c r="Z731" i="4"/>
  <c r="V731" i="4"/>
  <c r="R731" i="4"/>
  <c r="N731" i="4"/>
  <c r="V731" i="3"/>
  <c r="R731" i="3"/>
  <c r="N731" i="3"/>
  <c r="N730" i="4" l="1"/>
  <c r="N730" i="3"/>
  <c r="AL730" i="4"/>
  <c r="AH730" i="4"/>
  <c r="AD730" i="4"/>
  <c r="R730" i="4"/>
  <c r="V730" i="4"/>
  <c r="Z730" i="4"/>
  <c r="V730" i="3"/>
  <c r="R729" i="3"/>
  <c r="R730" i="3"/>
  <c r="AL729" i="4" l="1"/>
  <c r="AH729" i="4"/>
  <c r="AD729" i="4"/>
  <c r="Z729" i="4"/>
  <c r="V729" i="4"/>
  <c r="R729" i="4"/>
  <c r="N729" i="4"/>
  <c r="V729" i="3"/>
  <c r="N729" i="3"/>
  <c r="AI12" i="13" l="1"/>
  <c r="AA12" i="13"/>
  <c r="AL728" i="4"/>
  <c r="AH728" i="4"/>
  <c r="AD728" i="4"/>
  <c r="Z728" i="4"/>
  <c r="V728" i="4"/>
  <c r="R728" i="4"/>
  <c r="N728" i="4"/>
  <c r="V728" i="3"/>
  <c r="R728" i="3"/>
  <c r="N728" i="3"/>
  <c r="N727" i="4" l="1"/>
  <c r="J727" i="4"/>
  <c r="V727" i="3"/>
  <c r="R727" i="3"/>
  <c r="N727" i="3"/>
  <c r="J727" i="3"/>
  <c r="N726" i="4" l="1"/>
  <c r="J726" i="4"/>
  <c r="V726" i="3"/>
  <c r="R726" i="3"/>
  <c r="N726" i="3"/>
  <c r="J726" i="3"/>
  <c r="N725" i="4" l="1"/>
  <c r="J725" i="4"/>
  <c r="V725" i="3"/>
  <c r="R725" i="3"/>
  <c r="N725" i="3"/>
  <c r="J725" i="3"/>
  <c r="R724" i="4" l="1"/>
  <c r="N724" i="4"/>
  <c r="J724" i="4"/>
  <c r="R724" i="3"/>
  <c r="N724" i="3"/>
  <c r="J724" i="3"/>
  <c r="N723" i="4" l="1"/>
  <c r="J723" i="4"/>
  <c r="F723" i="4"/>
  <c r="V723" i="3"/>
  <c r="R723" i="3"/>
  <c r="N723" i="3"/>
  <c r="J723" i="3"/>
  <c r="F723" i="3"/>
  <c r="V722" i="4" l="1"/>
  <c r="R722" i="4"/>
  <c r="N722" i="4"/>
  <c r="J722" i="4"/>
  <c r="F722" i="4"/>
  <c r="N722" i="3"/>
  <c r="J722" i="3"/>
  <c r="F722" i="3"/>
  <c r="N721" i="4" l="1"/>
  <c r="J721" i="4"/>
  <c r="N721" i="3"/>
  <c r="J721" i="3"/>
  <c r="F721" i="3"/>
  <c r="F721" i="4"/>
  <c r="N720" i="4" l="1"/>
  <c r="J720" i="4"/>
  <c r="F720" i="4"/>
  <c r="N720" i="3"/>
  <c r="J720" i="3"/>
  <c r="F720" i="3"/>
  <c r="N719" i="4" l="1"/>
  <c r="J719" i="4"/>
  <c r="F719" i="4"/>
  <c r="N719" i="3"/>
  <c r="J719" i="3"/>
  <c r="F719" i="3"/>
  <c r="N718" i="4" l="1"/>
  <c r="J718" i="4"/>
  <c r="F718" i="4"/>
  <c r="AX718" i="4"/>
  <c r="N718" i="3"/>
  <c r="J718" i="3"/>
  <c r="F718" i="3"/>
  <c r="AX718" i="3"/>
  <c r="N717" i="4" l="1"/>
  <c r="J717" i="4"/>
  <c r="F717" i="4"/>
  <c r="AX717" i="4"/>
  <c r="N717" i="3"/>
  <c r="J717" i="3"/>
  <c r="F717" i="3"/>
  <c r="AX717" i="3"/>
  <c r="N716" i="4" l="1"/>
  <c r="J716" i="4"/>
  <c r="F716" i="4"/>
  <c r="AX716" i="4"/>
  <c r="F716" i="3"/>
  <c r="AX716" i="3"/>
  <c r="R715" i="4" l="1"/>
  <c r="N715" i="4"/>
  <c r="J715" i="4"/>
  <c r="F715" i="4"/>
  <c r="AX715" i="4"/>
  <c r="F715" i="3"/>
  <c r="AX715" i="3"/>
  <c r="V714" i="4" l="1"/>
  <c r="F714" i="4"/>
  <c r="AX714" i="4"/>
  <c r="AT714" i="4"/>
  <c r="F714" i="3"/>
  <c r="AX714" i="3"/>
  <c r="AT714" i="3"/>
  <c r="AX713" i="4"/>
  <c r="AT713" i="4"/>
  <c r="V713" i="4"/>
  <c r="AX713" i="3"/>
  <c r="AT713" i="3"/>
  <c r="V712" i="4"/>
  <c r="F712" i="4"/>
  <c r="AX712" i="4"/>
  <c r="AT712" i="4"/>
  <c r="AX712" i="3"/>
  <c r="AT712" i="3"/>
  <c r="R711" i="4"/>
  <c r="F711" i="4"/>
  <c r="AX711" i="4"/>
  <c r="AT711" i="4"/>
  <c r="AX711" i="3"/>
  <c r="AT711" i="3"/>
  <c r="AX710" i="4"/>
  <c r="AT710" i="4"/>
  <c r="AP710" i="4"/>
  <c r="J710" i="4"/>
  <c r="AX710" i="3"/>
  <c r="AT710" i="3"/>
  <c r="AP710" i="3"/>
  <c r="F709" i="4"/>
  <c r="AX709" i="4"/>
  <c r="AT709" i="4"/>
  <c r="AP709" i="4"/>
  <c r="AX709" i="3"/>
  <c r="AT709" i="3"/>
  <c r="AP709" i="3"/>
  <c r="E169" i="1"/>
  <c r="BT192" i="1" s="1"/>
  <c r="D169" i="1"/>
  <c r="AX708" i="4"/>
  <c r="AT708" i="4"/>
  <c r="AP708" i="4"/>
  <c r="AX708" i="3"/>
  <c r="AT708" i="3"/>
  <c r="AP708" i="3"/>
  <c r="AX707" i="4"/>
  <c r="AT707" i="4"/>
  <c r="AP707" i="4"/>
  <c r="AX707" i="3"/>
  <c r="AT707" i="3"/>
  <c r="AP707" i="3"/>
  <c r="AX706" i="4"/>
  <c r="AT706" i="4"/>
  <c r="AP706" i="4"/>
  <c r="AX706" i="3"/>
  <c r="AT706" i="3"/>
  <c r="AP706" i="3"/>
  <c r="AX705" i="4"/>
  <c r="AT705" i="4"/>
  <c r="AP705" i="4"/>
  <c r="AL705" i="4"/>
  <c r="AX705" i="3"/>
  <c r="AT705" i="3"/>
  <c r="AP705" i="3"/>
  <c r="AL705" i="3"/>
  <c r="AX704" i="4"/>
  <c r="AT704" i="4"/>
  <c r="AP704" i="4"/>
  <c r="AL704" i="4"/>
  <c r="AT704" i="3"/>
  <c r="AP704" i="3"/>
  <c r="AL704" i="3"/>
  <c r="E168" i="1"/>
  <c r="BO192" i="1" s="1"/>
  <c r="D168" i="1"/>
  <c r="BN192" i="1" s="1"/>
  <c r="AX703" i="4"/>
  <c r="AT703" i="4"/>
  <c r="AP703" i="4"/>
  <c r="AL703" i="4"/>
  <c r="AT703" i="3"/>
  <c r="AP703" i="3"/>
  <c r="AL703" i="3"/>
  <c r="U42" i="7"/>
  <c r="U43" i="7" s="1"/>
  <c r="K42" i="7"/>
  <c r="K43" i="7" s="1"/>
  <c r="B42" i="4"/>
  <c r="B41" i="4" s="1"/>
  <c r="B40" i="4" s="1"/>
  <c r="B39" i="4" s="1"/>
  <c r="B38" i="4" s="1"/>
  <c r="B37" i="4" s="1"/>
  <c r="B36" i="4" s="1"/>
  <c r="B35" i="4" s="1"/>
  <c r="B34" i="4" s="1"/>
  <c r="B33" i="4" s="1"/>
  <c r="B32" i="4" s="1"/>
  <c r="B31" i="4" s="1"/>
  <c r="B30" i="4" s="1"/>
  <c r="B29" i="4" s="1"/>
  <c r="B28" i="4" s="1"/>
  <c r="B27" i="4" s="1"/>
  <c r="B26" i="4" s="1"/>
  <c r="B25" i="4" s="1"/>
  <c r="B24" i="4" s="1"/>
  <c r="B23" i="4" s="1"/>
  <c r="B22" i="4" s="1"/>
  <c r="B21" i="4" s="1"/>
  <c r="B20" i="4" s="1"/>
  <c r="B19" i="4" s="1"/>
  <c r="B18" i="4" s="1"/>
  <c r="B17" i="4" s="1"/>
  <c r="B16" i="4" s="1"/>
  <c r="B15" i="4" s="1"/>
  <c r="B14" i="4" s="1"/>
  <c r="B13" i="4" s="1"/>
  <c r="B12" i="4" s="1"/>
  <c r="B11" i="4" s="1"/>
  <c r="B10" i="4" s="1"/>
  <c r="B9" i="4" s="1"/>
  <c r="B8" i="4" s="1"/>
  <c r="A357" i="4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305" i="4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252" i="4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200" i="4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148" i="4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96" i="4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45" i="4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J24" i="3"/>
  <c r="J25" i="3"/>
  <c r="AX702" i="4"/>
  <c r="AT702" i="4"/>
  <c r="AP702" i="4"/>
  <c r="AL702" i="4"/>
  <c r="AP702" i="3"/>
  <c r="AL702" i="3"/>
  <c r="AL701" i="4"/>
  <c r="AX701" i="4"/>
  <c r="AT701" i="4"/>
  <c r="AP701" i="4"/>
  <c r="AH701" i="4"/>
  <c r="AP701" i="3"/>
  <c r="AL701" i="3"/>
  <c r="J169" i="1"/>
  <c r="I169" i="1"/>
  <c r="H169" i="1"/>
  <c r="G169" i="1"/>
  <c r="C169" i="1"/>
  <c r="BR192" i="1" s="1"/>
  <c r="BQ192" i="1"/>
  <c r="J168" i="1"/>
  <c r="I168" i="1"/>
  <c r="H168" i="1"/>
  <c r="G168" i="1"/>
  <c r="C168" i="1"/>
  <c r="BM192" i="1" s="1"/>
  <c r="B168" i="1"/>
  <c r="BL192" i="1" s="1"/>
  <c r="J167" i="1"/>
  <c r="I167" i="1"/>
  <c r="H167" i="1"/>
  <c r="G167" i="1"/>
  <c r="E167" i="1"/>
  <c r="BJ192" i="1" s="1"/>
  <c r="D167" i="1"/>
  <c r="BI192" i="1" s="1"/>
  <c r="C167" i="1"/>
  <c r="BH192" i="1" s="1"/>
  <c r="B167" i="1"/>
  <c r="BG192" i="1" s="1"/>
  <c r="J166" i="1"/>
  <c r="I166" i="1"/>
  <c r="H166" i="1"/>
  <c r="G166" i="1"/>
  <c r="E166" i="1"/>
  <c r="BE192" i="1" s="1"/>
  <c r="D166" i="1"/>
  <c r="BD192" i="1" s="1"/>
  <c r="C166" i="1"/>
  <c r="BC192" i="1" s="1"/>
  <c r="B166" i="1"/>
  <c r="BB192" i="1" s="1"/>
  <c r="J165" i="1"/>
  <c r="I165" i="1"/>
  <c r="H165" i="1"/>
  <c r="G165" i="1"/>
  <c r="E165" i="1"/>
  <c r="D165" i="1"/>
  <c r="AY192" i="1" s="1"/>
  <c r="C165" i="1"/>
  <c r="AX192" i="1" s="1"/>
  <c r="B165" i="1"/>
  <c r="AW192" i="1" s="1"/>
  <c r="J164" i="1"/>
  <c r="I164" i="1"/>
  <c r="H164" i="1"/>
  <c r="G164" i="1"/>
  <c r="E164" i="1"/>
  <c r="AU192" i="1" s="1"/>
  <c r="D164" i="1"/>
  <c r="AT192" i="1" s="1"/>
  <c r="C164" i="1"/>
  <c r="AS192" i="1" s="1"/>
  <c r="B164" i="1"/>
  <c r="AR192" i="1" s="1"/>
  <c r="J163" i="1"/>
  <c r="I163" i="1"/>
  <c r="H163" i="1"/>
  <c r="G163" i="1"/>
  <c r="E163" i="1"/>
  <c r="AP192" i="1" s="1"/>
  <c r="D163" i="1"/>
  <c r="AO192" i="1" s="1"/>
  <c r="C163" i="1"/>
  <c r="AN192" i="1" s="1"/>
  <c r="B163" i="1"/>
  <c r="AM192" i="1" s="1"/>
  <c r="J162" i="1"/>
  <c r="I162" i="1"/>
  <c r="H162" i="1"/>
  <c r="G162" i="1"/>
  <c r="E162" i="1"/>
  <c r="AK192" i="1" s="1"/>
  <c r="D162" i="1"/>
  <c r="AJ192" i="1" s="1"/>
  <c r="C162" i="1"/>
  <c r="AI192" i="1" s="1"/>
  <c r="B162" i="1"/>
  <c r="AH192" i="1" s="1"/>
  <c r="G161" i="1"/>
  <c r="J161" i="1"/>
  <c r="I161" i="1"/>
  <c r="H161" i="1"/>
  <c r="E161" i="1"/>
  <c r="AF192" i="1" s="1"/>
  <c r="D161" i="1"/>
  <c r="AE192" i="1" s="1"/>
  <c r="C161" i="1"/>
  <c r="AD192" i="1" s="1"/>
  <c r="B161" i="1"/>
  <c r="AC192" i="1" s="1"/>
  <c r="J160" i="1"/>
  <c r="AA205" i="1" s="1"/>
  <c r="I160" i="1"/>
  <c r="Z205" i="1" s="1"/>
  <c r="H160" i="1"/>
  <c r="Y205" i="1" s="1"/>
  <c r="G160" i="1"/>
  <c r="X205" i="1" s="1"/>
  <c r="E160" i="1"/>
  <c r="AA192" i="1" s="1"/>
  <c r="D160" i="1"/>
  <c r="Z192" i="1" s="1"/>
  <c r="C160" i="1"/>
  <c r="Y192" i="1" s="1"/>
  <c r="B160" i="1"/>
  <c r="X192" i="1" s="1"/>
  <c r="J159" i="1"/>
  <c r="V205" i="1" s="1"/>
  <c r="I159" i="1"/>
  <c r="U205" i="1" s="1"/>
  <c r="H159" i="1"/>
  <c r="T205" i="1" s="1"/>
  <c r="G159" i="1"/>
  <c r="S205" i="1" s="1"/>
  <c r="E159" i="1"/>
  <c r="V192" i="1" s="1"/>
  <c r="D159" i="1"/>
  <c r="U192" i="1" s="1"/>
  <c r="C159" i="1"/>
  <c r="T192" i="1" s="1"/>
  <c r="B159" i="1"/>
  <c r="S192" i="1" s="1"/>
  <c r="J158" i="1"/>
  <c r="I158" i="1"/>
  <c r="H158" i="1"/>
  <c r="G158" i="1"/>
  <c r="E158" i="1"/>
  <c r="D158" i="1"/>
  <c r="C158" i="1"/>
  <c r="B158" i="1"/>
  <c r="W12" i="13"/>
  <c r="AX700" i="4"/>
  <c r="AT700" i="4"/>
  <c r="AP700" i="4"/>
  <c r="AH700" i="4"/>
  <c r="AP700" i="3"/>
  <c r="AL700" i="3"/>
  <c r="AH700" i="3"/>
  <c r="AX699" i="4"/>
  <c r="AL699" i="4"/>
  <c r="AH699" i="4"/>
  <c r="AP699" i="3"/>
  <c r="AL699" i="3"/>
  <c r="AH699" i="3"/>
  <c r="AT698" i="4"/>
  <c r="AL698" i="4"/>
  <c r="AL696" i="4"/>
  <c r="AH698" i="4"/>
  <c r="AP698" i="3"/>
  <c r="AL698" i="3"/>
  <c r="AH698" i="3"/>
  <c r="AT697" i="4"/>
  <c r="AP697" i="4"/>
  <c r="AH697" i="4"/>
  <c r="AP697" i="3"/>
  <c r="AL697" i="3"/>
  <c r="AH697" i="3"/>
  <c r="AZ205" i="1" l="1"/>
  <c r="BQ205" i="1"/>
  <c r="BR205" i="1"/>
  <c r="BL205" i="1"/>
  <c r="BS205" i="1"/>
  <c r="AP205" i="1"/>
  <c r="BJ205" i="1"/>
  <c r="AD205" i="1"/>
  <c r="AH205" i="1"/>
  <c r="AM205" i="1"/>
  <c r="AR205" i="1"/>
  <c r="AW205" i="1"/>
  <c r="BB205" i="1"/>
  <c r="BG205" i="1"/>
  <c r="BN205" i="1"/>
  <c r="AK205" i="1"/>
  <c r="BE205" i="1"/>
  <c r="BT205" i="1"/>
  <c r="AE205" i="1"/>
  <c r="AI205" i="1"/>
  <c r="AN205" i="1"/>
  <c r="AS205" i="1"/>
  <c r="AX205" i="1"/>
  <c r="BC205" i="1"/>
  <c r="BH205" i="1"/>
  <c r="BO205" i="1"/>
  <c r="AC205" i="1"/>
  <c r="AU205" i="1"/>
  <c r="BM205" i="1"/>
  <c r="AF205" i="1"/>
  <c r="AJ205" i="1"/>
  <c r="AO205" i="1"/>
  <c r="AT205" i="1"/>
  <c r="AY205" i="1"/>
  <c r="BD205" i="1"/>
  <c r="BI205" i="1"/>
  <c r="BS192" i="1"/>
  <c r="AZ192" i="1"/>
  <c r="AT696" i="4"/>
  <c r="AP696" i="4"/>
  <c r="AH696" i="4"/>
  <c r="AD696" i="4"/>
  <c r="AP696" i="3"/>
  <c r="AL696" i="3"/>
  <c r="AH696" i="3"/>
  <c r="AD696" i="3"/>
  <c r="AT695" i="4"/>
  <c r="AL695" i="4"/>
  <c r="AD695" i="4"/>
  <c r="AP695" i="3"/>
  <c r="AL695" i="3"/>
  <c r="AH695" i="3"/>
  <c r="AD695" i="3"/>
  <c r="AT694" i="4"/>
  <c r="AL694" i="4"/>
  <c r="AD694" i="4"/>
  <c r="AP694" i="3"/>
  <c r="AL694" i="3"/>
  <c r="AH694" i="3"/>
  <c r="AD694" i="3"/>
  <c r="AT693" i="4"/>
  <c r="AL693" i="4"/>
  <c r="AH693" i="4"/>
  <c r="AD693" i="4"/>
  <c r="AL693" i="3"/>
  <c r="AH693" i="3"/>
  <c r="AD693" i="3"/>
  <c r="AL692" i="4"/>
  <c r="AD692" i="4"/>
  <c r="Z692" i="4"/>
  <c r="AL692" i="3"/>
  <c r="AH692" i="3"/>
  <c r="AD692" i="3"/>
  <c r="Z692" i="3"/>
  <c r="AL691" i="4"/>
  <c r="AD691" i="4"/>
  <c r="Z691" i="4"/>
  <c r="AD691" i="3"/>
  <c r="Z691" i="3"/>
  <c r="CD14" i="7"/>
  <c r="CD15" i="7" s="1"/>
  <c r="CD16" i="7" s="1"/>
  <c r="CD17" i="7" s="1"/>
  <c r="CD18" i="7" s="1"/>
  <c r="CD19" i="7" s="1"/>
  <c r="CD20" i="7" s="1"/>
  <c r="CD21" i="7" s="1"/>
  <c r="CD22" i="7" s="1"/>
  <c r="CD23" i="7" s="1"/>
  <c r="CD24" i="7" s="1"/>
  <c r="CD25" i="7" s="1"/>
  <c r="CD26" i="7" s="1"/>
  <c r="CD27" i="7" s="1"/>
  <c r="CD28" i="7" s="1"/>
  <c r="CD29" i="7" s="1"/>
  <c r="CD30" i="7" s="1"/>
  <c r="CD31" i="7" s="1"/>
  <c r="CD32" i="7" s="1"/>
  <c r="CD33" i="7" s="1"/>
  <c r="CD34" i="7" s="1"/>
  <c r="CD35" i="7" s="1"/>
  <c r="CD36" i="7" s="1"/>
  <c r="BZ16" i="7"/>
  <c r="BZ17" i="7" s="1"/>
  <c r="BZ18" i="7" s="1"/>
  <c r="BZ19" i="7" s="1"/>
  <c r="BZ20" i="7" s="1"/>
  <c r="BZ21" i="7" s="1"/>
  <c r="BZ22" i="7" s="1"/>
  <c r="BZ23" i="7" s="1"/>
  <c r="BZ24" i="7" s="1"/>
  <c r="BZ25" i="7" s="1"/>
  <c r="BZ26" i="7" s="1"/>
  <c r="BZ27" i="7" s="1"/>
  <c r="BZ28" i="7" s="1"/>
  <c r="BZ29" i="7" s="1"/>
  <c r="BZ30" i="7" s="1"/>
  <c r="BZ31" i="7" s="1"/>
  <c r="BZ32" i="7" s="1"/>
  <c r="BZ33" i="7" s="1"/>
  <c r="BZ34" i="7" s="1"/>
  <c r="BZ35" i="7" s="1"/>
  <c r="BZ36" i="7" s="1"/>
  <c r="BZ37" i="7" s="1"/>
  <c r="BZ38" i="7" s="1"/>
  <c r="BV16" i="7"/>
  <c r="BV17" i="7" s="1"/>
  <c r="BV18" i="7" s="1"/>
  <c r="BV19" i="7" s="1"/>
  <c r="BV20" i="7" s="1"/>
  <c r="BV21" i="7" s="1"/>
  <c r="BV22" i="7" s="1"/>
  <c r="BV23" i="7" s="1"/>
  <c r="BV24" i="7" s="1"/>
  <c r="BV25" i="7" s="1"/>
  <c r="BV26" i="7" s="1"/>
  <c r="BV27" i="7" s="1"/>
  <c r="BV28" i="7" s="1"/>
  <c r="BV29" i="7" s="1"/>
  <c r="BV30" i="7" s="1"/>
  <c r="BV31" i="7" s="1"/>
  <c r="BV32" i="7" s="1"/>
  <c r="BV33" i="7" s="1"/>
  <c r="BV34" i="7" s="1"/>
  <c r="BV35" i="7" s="1"/>
  <c r="BV36" i="7" s="1"/>
  <c r="BV37" i="7" s="1"/>
  <c r="BV38" i="7" s="1"/>
  <c r="AL690" i="4"/>
  <c r="AH690" i="4"/>
  <c r="AD690" i="4"/>
  <c r="Z690" i="4"/>
  <c r="AD690" i="3"/>
  <c r="Z690" i="3"/>
  <c r="AL689" i="4"/>
  <c r="AH689" i="4"/>
  <c r="AD689" i="4"/>
  <c r="Z689" i="4"/>
  <c r="AD689" i="3"/>
  <c r="Z689" i="3"/>
  <c r="AT688" i="4"/>
  <c r="AH688" i="4"/>
  <c r="Z688" i="4"/>
  <c r="V688" i="4"/>
  <c r="AD688" i="3"/>
  <c r="Z688" i="3"/>
  <c r="V688" i="3"/>
  <c r="AT687" i="4"/>
  <c r="AL687" i="4"/>
  <c r="Z687" i="4"/>
  <c r="V687" i="4"/>
  <c r="AD687" i="3"/>
  <c r="Z687" i="3"/>
  <c r="V687" i="3"/>
  <c r="AT686" i="4"/>
  <c r="AP686" i="4"/>
  <c r="Z686" i="4"/>
  <c r="V686" i="4"/>
  <c r="AD686" i="3"/>
  <c r="Z686" i="3"/>
  <c r="V686" i="3"/>
  <c r="AP685" i="4"/>
  <c r="AP684" i="4"/>
  <c r="Z685" i="4"/>
  <c r="V685" i="4"/>
  <c r="Z685" i="3"/>
  <c r="V685" i="3"/>
  <c r="Z684" i="4"/>
  <c r="V684" i="4"/>
  <c r="Z684" i="3"/>
  <c r="V684" i="3"/>
  <c r="AA24" i="13"/>
  <c r="AP683" i="4"/>
  <c r="Z683" i="4"/>
  <c r="V683" i="4"/>
  <c r="R683" i="4"/>
  <c r="V683" i="3"/>
  <c r="R683" i="3"/>
  <c r="Z682" i="4"/>
  <c r="V682" i="4"/>
  <c r="R682" i="4"/>
  <c r="V682" i="3"/>
  <c r="R682" i="3"/>
  <c r="Z681" i="4"/>
  <c r="V681" i="4"/>
  <c r="R681" i="4"/>
  <c r="V681" i="3"/>
  <c r="R681" i="3"/>
  <c r="Z680" i="4"/>
  <c r="V680" i="4"/>
  <c r="R680" i="4"/>
  <c r="V680" i="3"/>
  <c r="R680" i="3"/>
  <c r="Z679" i="4"/>
  <c r="V679" i="4"/>
  <c r="R679" i="4"/>
  <c r="N679" i="4"/>
  <c r="V679" i="3"/>
  <c r="R679" i="3"/>
  <c r="N679" i="3"/>
  <c r="Z678" i="4"/>
  <c r="V678" i="4"/>
  <c r="R678" i="4"/>
  <c r="N678" i="4"/>
  <c r="R678" i="3"/>
  <c r="N678" i="3"/>
  <c r="Z677" i="4"/>
  <c r="V677" i="4"/>
  <c r="N677" i="4"/>
  <c r="R677" i="3"/>
  <c r="N677" i="3"/>
  <c r="Z676" i="4"/>
  <c r="V676" i="4"/>
  <c r="R676" i="4"/>
  <c r="N676" i="4"/>
  <c r="R676" i="3"/>
  <c r="N676" i="3"/>
  <c r="Z675" i="4"/>
  <c r="R675" i="4"/>
  <c r="N675" i="4"/>
  <c r="J675" i="4"/>
  <c r="N675" i="3"/>
  <c r="J675" i="3"/>
  <c r="Z674" i="4"/>
  <c r="V674" i="4"/>
  <c r="R674" i="4"/>
  <c r="N674" i="4"/>
  <c r="J674" i="4"/>
  <c r="N674" i="3"/>
  <c r="J674" i="3"/>
  <c r="Z673" i="4"/>
  <c r="V673" i="4"/>
  <c r="R673" i="4"/>
  <c r="N673" i="4"/>
  <c r="J673" i="4"/>
  <c r="N673" i="3"/>
  <c r="J673" i="3"/>
  <c r="Z672" i="4"/>
  <c r="N672" i="4"/>
  <c r="J672" i="4"/>
  <c r="N672" i="3"/>
  <c r="J672" i="3"/>
  <c r="Z671" i="4"/>
  <c r="J671" i="4"/>
  <c r="F671" i="4"/>
  <c r="N671" i="3"/>
  <c r="J671" i="3"/>
  <c r="F671" i="3"/>
  <c r="Z670" i="4"/>
  <c r="V670" i="4"/>
  <c r="N670" i="4"/>
  <c r="J670" i="4"/>
  <c r="F670" i="4"/>
  <c r="Z669" i="4"/>
  <c r="F669" i="4"/>
  <c r="J670" i="3"/>
  <c r="F670" i="3"/>
  <c r="J669" i="3"/>
  <c r="F669" i="3"/>
  <c r="Z668" i="4"/>
  <c r="N668" i="4"/>
  <c r="F668" i="4"/>
  <c r="J668" i="3"/>
  <c r="F668" i="3"/>
  <c r="J667" i="3"/>
  <c r="Z667" i="4"/>
  <c r="F667" i="4"/>
  <c r="F667" i="3"/>
  <c r="N666" i="4"/>
  <c r="F666" i="4"/>
  <c r="AX666" i="4"/>
  <c r="F666" i="3"/>
  <c r="AX666" i="3"/>
  <c r="AX665" i="4"/>
  <c r="F665" i="3"/>
  <c r="AX665" i="3"/>
  <c r="F664" i="4"/>
  <c r="F661" i="4"/>
  <c r="AX664" i="4"/>
  <c r="AX664" i="3"/>
  <c r="AX663" i="4"/>
  <c r="AX659" i="4"/>
  <c r="AX662" i="4"/>
  <c r="AX611" i="4"/>
  <c r="AX663" i="3"/>
  <c r="AT662" i="4"/>
  <c r="AT658" i="4"/>
  <c r="AT661" i="4"/>
  <c r="AT610" i="4"/>
  <c r="F662" i="3"/>
  <c r="AX662" i="3"/>
  <c r="AT662" i="3"/>
  <c r="AX661" i="4"/>
  <c r="AX661" i="3"/>
  <c r="AT661" i="3"/>
  <c r="F660" i="4"/>
  <c r="AX660" i="4"/>
  <c r="AT660" i="4"/>
  <c r="AX660" i="3"/>
  <c r="AT660" i="3"/>
  <c r="AT659" i="4"/>
  <c r="AX659" i="3"/>
  <c r="AT659" i="3"/>
  <c r="AX658" i="4"/>
  <c r="AP658" i="4"/>
  <c r="AP657" i="4"/>
  <c r="AT658" i="3"/>
  <c r="AP658" i="3"/>
  <c r="AX657" i="4"/>
  <c r="AT657" i="4"/>
  <c r="AT657" i="3"/>
  <c r="AP657" i="3"/>
  <c r="AX656" i="4"/>
  <c r="AT656" i="4"/>
  <c r="AP656" i="4"/>
  <c r="AX656" i="3"/>
  <c r="AT656" i="3"/>
  <c r="AP656" i="3"/>
  <c r="F655" i="4"/>
  <c r="AX655" i="4"/>
  <c r="AT655" i="4"/>
  <c r="AP655" i="4"/>
  <c r="AX655" i="3"/>
  <c r="AT655" i="3"/>
  <c r="AP655" i="3"/>
  <c r="AX654" i="4"/>
  <c r="AT654" i="4"/>
  <c r="AP654" i="4"/>
  <c r="AT654" i="3"/>
  <c r="AP654" i="3"/>
  <c r="F653" i="4"/>
  <c r="AX653" i="4"/>
  <c r="AT653" i="4"/>
  <c r="AP653" i="4"/>
  <c r="AL653" i="4"/>
  <c r="AL652" i="4"/>
  <c r="AP653" i="3"/>
  <c r="AL653" i="3"/>
  <c r="F652" i="4"/>
  <c r="AX652" i="4"/>
  <c r="AT652" i="4"/>
  <c r="AP652" i="4"/>
  <c r="AP652" i="3"/>
  <c r="AL652" i="3"/>
  <c r="F651" i="4"/>
  <c r="AX651" i="4"/>
  <c r="AT651" i="4"/>
  <c r="AP651" i="4"/>
  <c r="AL651" i="4"/>
  <c r="AP651" i="3"/>
  <c r="AL651" i="3"/>
  <c r="F650" i="4"/>
  <c r="AX650" i="4"/>
  <c r="AT650" i="4"/>
  <c r="AP650" i="4"/>
  <c r="AL650" i="4"/>
  <c r="AT650" i="3"/>
  <c r="AP650" i="3"/>
  <c r="AL650" i="3"/>
  <c r="Q205" i="1"/>
  <c r="Q192" i="1"/>
  <c r="O205" i="1"/>
  <c r="P205" i="1"/>
  <c r="N205" i="1"/>
  <c r="O192" i="1"/>
  <c r="P192" i="1"/>
  <c r="N192" i="1"/>
  <c r="J145" i="1"/>
  <c r="BT203" i="1" s="1"/>
  <c r="J144" i="1"/>
  <c r="BO203" i="1" s="1"/>
  <c r="J143" i="1"/>
  <c r="BJ203" i="1" s="1"/>
  <c r="J142" i="1"/>
  <c r="BE203" i="1" s="1"/>
  <c r="J141" i="1"/>
  <c r="AZ190" i="1" s="1"/>
  <c r="J140" i="1"/>
  <c r="AU203" i="1" s="1"/>
  <c r="J139" i="1"/>
  <c r="AP203" i="1" s="1"/>
  <c r="J138" i="1"/>
  <c r="AK203" i="1" s="1"/>
  <c r="J137" i="1"/>
  <c r="AF203" i="1" s="1"/>
  <c r="J136" i="1"/>
  <c r="AA203" i="1" s="1"/>
  <c r="J135" i="1"/>
  <c r="V203" i="1" s="1"/>
  <c r="J134" i="1"/>
  <c r="Q203" i="1" s="1"/>
  <c r="J133" i="1"/>
  <c r="BT202" i="1" s="1"/>
  <c r="J132" i="1"/>
  <c r="BO202" i="1" s="1"/>
  <c r="J131" i="1"/>
  <c r="BJ202" i="1" s="1"/>
  <c r="J130" i="1"/>
  <c r="BE202" i="1" s="1"/>
  <c r="J129" i="1"/>
  <c r="AZ202" i="1" s="1"/>
  <c r="J128" i="1"/>
  <c r="AU202" i="1" s="1"/>
  <c r="J127" i="1"/>
  <c r="AP202" i="1" s="1"/>
  <c r="J126" i="1"/>
  <c r="AK202" i="1" s="1"/>
  <c r="J125" i="1"/>
  <c r="AF202" i="1" s="1"/>
  <c r="J124" i="1"/>
  <c r="AA202" i="1" s="1"/>
  <c r="J123" i="1"/>
  <c r="V202" i="1" s="1"/>
  <c r="J122" i="1"/>
  <c r="Q202" i="1" s="1"/>
  <c r="J121" i="1"/>
  <c r="BT201" i="1" s="1"/>
  <c r="J120" i="1"/>
  <c r="BO201" i="1" s="1"/>
  <c r="J119" i="1"/>
  <c r="BJ201" i="1" s="1"/>
  <c r="J118" i="1"/>
  <c r="BE201" i="1" s="1"/>
  <c r="J117" i="1"/>
  <c r="AZ201" i="1" s="1"/>
  <c r="J116" i="1"/>
  <c r="AU201" i="1" s="1"/>
  <c r="J115" i="1"/>
  <c r="AP201" i="1" s="1"/>
  <c r="J114" i="1"/>
  <c r="AK201" i="1" s="1"/>
  <c r="J113" i="1"/>
  <c r="AF201" i="1" s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J157" i="1"/>
  <c r="BT204" i="1" s="1"/>
  <c r="J156" i="1"/>
  <c r="BO204" i="1" s="1"/>
  <c r="J155" i="1"/>
  <c r="BJ204" i="1" s="1"/>
  <c r="J154" i="1"/>
  <c r="BE204" i="1" s="1"/>
  <c r="J153" i="1"/>
  <c r="AZ204" i="1" s="1"/>
  <c r="J152" i="1"/>
  <c r="AU204" i="1" s="1"/>
  <c r="J151" i="1"/>
  <c r="AP204" i="1" s="1"/>
  <c r="J150" i="1"/>
  <c r="AK204" i="1" s="1"/>
  <c r="J149" i="1"/>
  <c r="AF204" i="1" s="1"/>
  <c r="J148" i="1"/>
  <c r="AA204" i="1" s="1"/>
  <c r="J147" i="1"/>
  <c r="V204" i="1" s="1"/>
  <c r="J146" i="1"/>
  <c r="Q204" i="1" s="1"/>
  <c r="I157" i="1"/>
  <c r="BS204" i="1" s="1"/>
  <c r="I156" i="1"/>
  <c r="BN204" i="1" s="1"/>
  <c r="I155" i="1"/>
  <c r="BI204" i="1" s="1"/>
  <c r="I154" i="1"/>
  <c r="BD204" i="1" s="1"/>
  <c r="I153" i="1"/>
  <c r="AY204" i="1" s="1"/>
  <c r="I152" i="1"/>
  <c r="AT204" i="1" s="1"/>
  <c r="I151" i="1"/>
  <c r="AO204" i="1" s="1"/>
  <c r="I150" i="1"/>
  <c r="AJ204" i="1" s="1"/>
  <c r="I149" i="1"/>
  <c r="AE204" i="1" s="1"/>
  <c r="I148" i="1"/>
  <c r="Z204" i="1" s="1"/>
  <c r="I147" i="1"/>
  <c r="U204" i="1" s="1"/>
  <c r="I146" i="1"/>
  <c r="P204" i="1" s="1"/>
  <c r="H157" i="1"/>
  <c r="BR204" i="1" s="1"/>
  <c r="H156" i="1"/>
  <c r="BM204" i="1" s="1"/>
  <c r="H155" i="1"/>
  <c r="BH204" i="1" s="1"/>
  <c r="H154" i="1"/>
  <c r="BC204" i="1" s="1"/>
  <c r="H153" i="1"/>
  <c r="AX204" i="1" s="1"/>
  <c r="H152" i="1"/>
  <c r="AS204" i="1" s="1"/>
  <c r="H151" i="1"/>
  <c r="AN204" i="1" s="1"/>
  <c r="H150" i="1"/>
  <c r="AI204" i="1" s="1"/>
  <c r="H149" i="1"/>
  <c r="AD204" i="1" s="1"/>
  <c r="H148" i="1"/>
  <c r="Y204" i="1" s="1"/>
  <c r="H147" i="1"/>
  <c r="T204" i="1" s="1"/>
  <c r="H146" i="1"/>
  <c r="O204" i="1" s="1"/>
  <c r="G157" i="1"/>
  <c r="BQ204" i="1" s="1"/>
  <c r="G156" i="1"/>
  <c r="BL204" i="1" s="1"/>
  <c r="G155" i="1"/>
  <c r="BG204" i="1" s="1"/>
  <c r="G154" i="1"/>
  <c r="BB204" i="1" s="1"/>
  <c r="G153" i="1"/>
  <c r="AW204" i="1" s="1"/>
  <c r="G152" i="1"/>
  <c r="AR204" i="1" s="1"/>
  <c r="G151" i="1"/>
  <c r="AM204" i="1" s="1"/>
  <c r="G150" i="1"/>
  <c r="AH204" i="1" s="1"/>
  <c r="G149" i="1"/>
  <c r="AC204" i="1" s="1"/>
  <c r="G148" i="1"/>
  <c r="X204" i="1" s="1"/>
  <c r="G147" i="1"/>
  <c r="S204" i="1" s="1"/>
  <c r="G146" i="1"/>
  <c r="N204" i="1" s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G145" i="1"/>
  <c r="G144" i="1"/>
  <c r="G143" i="1"/>
  <c r="G142" i="1"/>
  <c r="G141" i="1"/>
  <c r="G139" i="1"/>
  <c r="G138" i="1"/>
  <c r="G137" i="1"/>
  <c r="G140" i="1"/>
  <c r="E157" i="1"/>
  <c r="BT191" i="1" s="1"/>
  <c r="E156" i="1"/>
  <c r="BO191" i="1" s="1"/>
  <c r="E155" i="1"/>
  <c r="BJ191" i="1" s="1"/>
  <c r="E154" i="1"/>
  <c r="BE191" i="1" s="1"/>
  <c r="E153" i="1"/>
  <c r="E152" i="1"/>
  <c r="AU191" i="1" s="1"/>
  <c r="E151" i="1"/>
  <c r="AP191" i="1" s="1"/>
  <c r="E150" i="1"/>
  <c r="AK191" i="1" s="1"/>
  <c r="E149" i="1"/>
  <c r="AF191" i="1" s="1"/>
  <c r="E148" i="1"/>
  <c r="AA191" i="1" s="1"/>
  <c r="E147" i="1"/>
  <c r="V191" i="1" s="1"/>
  <c r="D157" i="1"/>
  <c r="BS191" i="1" s="1"/>
  <c r="D156" i="1"/>
  <c r="BN191" i="1" s="1"/>
  <c r="D155" i="1"/>
  <c r="BI191" i="1" s="1"/>
  <c r="D154" i="1"/>
  <c r="BD191" i="1" s="1"/>
  <c r="D153" i="1"/>
  <c r="AY191" i="1" s="1"/>
  <c r="D152" i="1"/>
  <c r="AT191" i="1" s="1"/>
  <c r="D151" i="1"/>
  <c r="AO191" i="1" s="1"/>
  <c r="D150" i="1"/>
  <c r="AJ191" i="1" s="1"/>
  <c r="D149" i="1"/>
  <c r="AE191" i="1" s="1"/>
  <c r="D148" i="1"/>
  <c r="Z191" i="1" s="1"/>
  <c r="D147" i="1"/>
  <c r="U191" i="1" s="1"/>
  <c r="C157" i="1"/>
  <c r="BR191" i="1" s="1"/>
  <c r="C156" i="1"/>
  <c r="BM191" i="1" s="1"/>
  <c r="C155" i="1"/>
  <c r="BH191" i="1" s="1"/>
  <c r="C154" i="1"/>
  <c r="BC191" i="1" s="1"/>
  <c r="C153" i="1"/>
  <c r="AX191" i="1" s="1"/>
  <c r="C152" i="1"/>
  <c r="AS191" i="1" s="1"/>
  <c r="C151" i="1"/>
  <c r="AN191" i="1" s="1"/>
  <c r="C150" i="1"/>
  <c r="AI191" i="1" s="1"/>
  <c r="C149" i="1"/>
  <c r="AD191" i="1" s="1"/>
  <c r="C148" i="1"/>
  <c r="Y191" i="1" s="1"/>
  <c r="C147" i="1"/>
  <c r="T191" i="1" s="1"/>
  <c r="B157" i="1"/>
  <c r="BQ191" i="1" s="1"/>
  <c r="B156" i="1"/>
  <c r="BL191" i="1" s="1"/>
  <c r="B155" i="1"/>
  <c r="BG191" i="1" s="1"/>
  <c r="B154" i="1"/>
  <c r="BB191" i="1" s="1"/>
  <c r="B153" i="1"/>
  <c r="AW191" i="1" s="1"/>
  <c r="B152" i="1"/>
  <c r="AR191" i="1" s="1"/>
  <c r="B151" i="1"/>
  <c r="AM191" i="1" s="1"/>
  <c r="B150" i="1"/>
  <c r="AH191" i="1" s="1"/>
  <c r="B149" i="1"/>
  <c r="AC191" i="1" s="1"/>
  <c r="B148" i="1"/>
  <c r="X191" i="1" s="1"/>
  <c r="B147" i="1"/>
  <c r="S191" i="1" s="1"/>
  <c r="B146" i="1"/>
  <c r="N191" i="1" s="1"/>
  <c r="E146" i="1"/>
  <c r="Q191" i="1" s="1"/>
  <c r="D146" i="1"/>
  <c r="P191" i="1" s="1"/>
  <c r="C146" i="1"/>
  <c r="O191" i="1" s="1"/>
  <c r="E145" i="1"/>
  <c r="BT190" i="1" s="1"/>
  <c r="D145" i="1"/>
  <c r="C145" i="1"/>
  <c r="B145" i="1"/>
  <c r="E144" i="1"/>
  <c r="BO190" i="1" s="1"/>
  <c r="D144" i="1"/>
  <c r="C144" i="1"/>
  <c r="B144" i="1"/>
  <c r="E143" i="1"/>
  <c r="BJ190" i="1" s="1"/>
  <c r="D143" i="1"/>
  <c r="C143" i="1"/>
  <c r="B143" i="1"/>
  <c r="E142" i="1"/>
  <c r="BE190" i="1" s="1"/>
  <c r="D142" i="1"/>
  <c r="C142" i="1"/>
  <c r="B142" i="1"/>
  <c r="E141" i="1"/>
  <c r="D141" i="1"/>
  <c r="C141" i="1"/>
  <c r="B141" i="1"/>
  <c r="E140" i="1"/>
  <c r="AU190" i="1" s="1"/>
  <c r="D140" i="1"/>
  <c r="C140" i="1"/>
  <c r="B140" i="1"/>
  <c r="E139" i="1"/>
  <c r="AP190" i="1" s="1"/>
  <c r="E138" i="1"/>
  <c r="AK190" i="1" s="1"/>
  <c r="E137" i="1"/>
  <c r="AF190" i="1" s="1"/>
  <c r="E135" i="1"/>
  <c r="V190" i="1" s="1"/>
  <c r="D135" i="1"/>
  <c r="C135" i="1"/>
  <c r="E131" i="1"/>
  <c r="BJ189" i="1" s="1"/>
  <c r="E130" i="1"/>
  <c r="BE189" i="1" s="1"/>
  <c r="E129" i="1"/>
  <c r="AZ189" i="1" s="1"/>
  <c r="E128" i="1"/>
  <c r="AU189" i="1" s="1"/>
  <c r="E127" i="1"/>
  <c r="AP189" i="1" s="1"/>
  <c r="E126" i="1"/>
  <c r="AK189" i="1" s="1"/>
  <c r="E125" i="1"/>
  <c r="AF189" i="1" s="1"/>
  <c r="E124" i="1"/>
  <c r="AA189" i="1" s="1"/>
  <c r="E123" i="1"/>
  <c r="V189" i="1" s="1"/>
  <c r="E122" i="1"/>
  <c r="Q189" i="1" s="1"/>
  <c r="E121" i="1"/>
  <c r="BT188" i="1" s="1"/>
  <c r="E120" i="1"/>
  <c r="BO188" i="1" s="1"/>
  <c r="E119" i="1"/>
  <c r="BJ188" i="1" s="1"/>
  <c r="E118" i="1"/>
  <c r="BE188" i="1" s="1"/>
  <c r="E117" i="1"/>
  <c r="AZ188" i="1" s="1"/>
  <c r="E116" i="1"/>
  <c r="AU188" i="1" s="1"/>
  <c r="E115" i="1"/>
  <c r="AP188" i="1" s="1"/>
  <c r="E114" i="1"/>
  <c r="AK188" i="1" s="1"/>
  <c r="E113" i="1"/>
  <c r="AF188" i="1" s="1"/>
  <c r="E112" i="1"/>
  <c r="AA188" i="1" s="1"/>
  <c r="E111" i="1"/>
  <c r="V188" i="1" s="1"/>
  <c r="E110" i="1"/>
  <c r="Q188" i="1" s="1"/>
  <c r="E109" i="1"/>
  <c r="BT187" i="1" s="1"/>
  <c r="E108" i="1"/>
  <c r="BO187" i="1" s="1"/>
  <c r="E107" i="1"/>
  <c r="BJ187" i="1" s="1"/>
  <c r="E106" i="1"/>
  <c r="BE187" i="1" s="1"/>
  <c r="E105" i="1"/>
  <c r="AZ187" i="1" s="1"/>
  <c r="E104" i="1"/>
  <c r="AU187" i="1" s="1"/>
  <c r="E103" i="1"/>
  <c r="AP187" i="1" s="1"/>
  <c r="E102" i="1"/>
  <c r="AK187" i="1" s="1"/>
  <c r="E101" i="1"/>
  <c r="AF187" i="1" s="1"/>
  <c r="E100" i="1"/>
  <c r="AA187" i="1" s="1"/>
  <c r="E99" i="1"/>
  <c r="V187" i="1" s="1"/>
  <c r="E98" i="1"/>
  <c r="Q187" i="1" s="1"/>
  <c r="E97" i="1"/>
  <c r="BT186" i="1" s="1"/>
  <c r="E96" i="1"/>
  <c r="BO186" i="1" s="1"/>
  <c r="E95" i="1"/>
  <c r="BJ186" i="1" s="1"/>
  <c r="E94" i="1"/>
  <c r="BE186" i="1" s="1"/>
  <c r="E93" i="1"/>
  <c r="AZ186" i="1" s="1"/>
  <c r="E92" i="1"/>
  <c r="AU186" i="1" s="1"/>
  <c r="E91" i="1"/>
  <c r="AP186" i="1" s="1"/>
  <c r="E90" i="1"/>
  <c r="AK186" i="1" s="1"/>
  <c r="E89" i="1"/>
  <c r="AF186" i="1" s="1"/>
  <c r="E88" i="1"/>
  <c r="AA186" i="1" s="1"/>
  <c r="E87" i="1"/>
  <c r="V186" i="1" s="1"/>
  <c r="E86" i="1"/>
  <c r="Q186" i="1" s="1"/>
  <c r="E85" i="1"/>
  <c r="BT185" i="1" s="1"/>
  <c r="E84" i="1"/>
  <c r="BO185" i="1" s="1"/>
  <c r="E83" i="1"/>
  <c r="BJ185" i="1" s="1"/>
  <c r="E82" i="1"/>
  <c r="BE185" i="1" s="1"/>
  <c r="E81" i="1"/>
  <c r="AZ185" i="1" s="1"/>
  <c r="E80" i="1"/>
  <c r="AU185" i="1" s="1"/>
  <c r="E79" i="1"/>
  <c r="AP185" i="1" s="1"/>
  <c r="E78" i="1"/>
  <c r="AK185" i="1" s="1"/>
  <c r="E77" i="1"/>
  <c r="AF185" i="1" s="1"/>
  <c r="E76" i="1"/>
  <c r="AA185" i="1" s="1"/>
  <c r="E75" i="1"/>
  <c r="V185" i="1" s="1"/>
  <c r="E136" i="1"/>
  <c r="AA190" i="1" s="1"/>
  <c r="E134" i="1"/>
  <c r="Q190" i="1" s="1"/>
  <c r="E133" i="1"/>
  <c r="BT189" i="1" s="1"/>
  <c r="E132" i="1"/>
  <c r="BO189" i="1" s="1"/>
  <c r="E74" i="1"/>
  <c r="Q185" i="1" s="1"/>
  <c r="AT649" i="4"/>
  <c r="AP649" i="4"/>
  <c r="AL649" i="4"/>
  <c r="AH649" i="4"/>
  <c r="AH645" i="4"/>
  <c r="AP649" i="3"/>
  <c r="AL649" i="3"/>
  <c r="AH649" i="3"/>
  <c r="J648" i="4"/>
  <c r="AT648" i="4"/>
  <c r="AP648" i="4"/>
  <c r="AL648" i="4"/>
  <c r="AH648" i="4"/>
  <c r="F647" i="4"/>
  <c r="AT648" i="3"/>
  <c r="AP648" i="3"/>
  <c r="AL648" i="3"/>
  <c r="AH648" i="3"/>
  <c r="J647" i="4"/>
  <c r="AT647" i="4"/>
  <c r="AP647" i="4"/>
  <c r="AL647" i="4"/>
  <c r="AH647" i="4"/>
  <c r="AP647" i="3"/>
  <c r="AL647" i="3"/>
  <c r="AH647" i="3"/>
  <c r="J646" i="4"/>
  <c r="AP646" i="4"/>
  <c r="AL646" i="4"/>
  <c r="AH646" i="4"/>
  <c r="AL646" i="3"/>
  <c r="AH646" i="3"/>
  <c r="J645" i="4"/>
  <c r="AX645" i="4"/>
  <c r="AT645" i="4"/>
  <c r="AP645" i="4"/>
  <c r="AL645" i="4"/>
  <c r="AL645" i="3"/>
  <c r="AH645" i="3"/>
  <c r="AD644" i="4"/>
  <c r="AP644" i="4"/>
  <c r="AT644" i="4"/>
  <c r="AL644" i="4"/>
  <c r="AH644" i="4"/>
  <c r="AL644" i="3"/>
  <c r="AH644" i="3"/>
  <c r="AD644" i="3"/>
  <c r="AT643" i="4"/>
  <c r="AL643" i="4"/>
  <c r="AH643" i="4"/>
  <c r="AD643" i="4"/>
  <c r="AL643" i="3"/>
  <c r="AH643" i="3"/>
  <c r="AD643" i="3"/>
  <c r="AT642" i="4"/>
  <c r="AL642" i="4"/>
  <c r="AH642" i="4"/>
  <c r="AD642" i="4"/>
  <c r="AL642" i="3"/>
  <c r="AH642" i="3"/>
  <c r="AD642" i="3"/>
  <c r="AT641" i="4"/>
  <c r="AL641" i="4"/>
  <c r="AH641" i="4"/>
  <c r="AD641" i="4"/>
  <c r="AL641" i="3"/>
  <c r="AH641" i="3"/>
  <c r="AD641" i="3"/>
  <c r="AP640" i="4"/>
  <c r="AD640" i="4"/>
  <c r="Z640" i="4"/>
  <c r="Z639" i="4"/>
  <c r="AH640" i="3"/>
  <c r="AD640" i="3"/>
  <c r="Z640" i="3"/>
  <c r="AX637" i="4"/>
  <c r="AX638" i="4"/>
  <c r="AX639" i="4"/>
  <c r="AP639" i="4"/>
  <c r="AD639" i="4"/>
  <c r="AD639" i="3"/>
  <c r="Z639" i="3"/>
  <c r="AP638" i="4"/>
  <c r="AL638" i="4"/>
  <c r="AD638" i="4"/>
  <c r="Z638" i="4"/>
  <c r="AD638" i="3"/>
  <c r="Z638" i="3"/>
  <c r="AP637" i="4"/>
  <c r="AL637" i="4"/>
  <c r="AD637" i="4"/>
  <c r="Z637" i="4"/>
  <c r="AD637" i="3"/>
  <c r="Z637" i="3"/>
  <c r="AD636" i="4"/>
  <c r="AL636" i="4"/>
  <c r="AP636" i="4"/>
  <c r="Z636" i="4"/>
  <c r="V636" i="4"/>
  <c r="V635" i="4"/>
  <c r="AD636" i="3"/>
  <c r="Z636" i="3"/>
  <c r="V636" i="3"/>
  <c r="AP635" i="4"/>
  <c r="AL635" i="4"/>
  <c r="AD635" i="4"/>
  <c r="Z635" i="4"/>
  <c r="AD635" i="3"/>
  <c r="Z635" i="3"/>
  <c r="V635" i="3"/>
  <c r="AP634" i="4"/>
  <c r="AL634" i="4"/>
  <c r="AD634" i="4"/>
  <c r="Z634" i="4"/>
  <c r="V634" i="4"/>
  <c r="AD634" i="3"/>
  <c r="Z634" i="3"/>
  <c r="V634" i="3"/>
  <c r="AP633" i="4"/>
  <c r="AL633" i="4"/>
  <c r="Z633" i="4"/>
  <c r="V633" i="4"/>
  <c r="AD633" i="3"/>
  <c r="Z633" i="3"/>
  <c r="V633" i="3"/>
  <c r="AP632" i="4"/>
  <c r="AL632" i="4"/>
  <c r="Z632" i="4"/>
  <c r="V632" i="4"/>
  <c r="AD632" i="3"/>
  <c r="Z632" i="3"/>
  <c r="V632" i="3"/>
  <c r="AP631" i="4"/>
  <c r="AL631" i="4"/>
  <c r="Z631" i="4"/>
  <c r="V631" i="4"/>
  <c r="R631" i="4"/>
  <c r="R630" i="4"/>
  <c r="AD631" i="3"/>
  <c r="Z631" i="3"/>
  <c r="V631" i="3"/>
  <c r="R631" i="3"/>
  <c r="AL630" i="4"/>
  <c r="AP630" i="4"/>
  <c r="Z630" i="4"/>
  <c r="V630" i="4"/>
  <c r="AD630" i="3"/>
  <c r="Z630" i="3"/>
  <c r="V630" i="3"/>
  <c r="R630" i="3"/>
  <c r="AP629" i="4"/>
  <c r="Z629" i="4"/>
  <c r="V629" i="4"/>
  <c r="R629" i="4"/>
  <c r="AD629" i="3"/>
  <c r="Z629" i="3"/>
  <c r="V629" i="3"/>
  <c r="R629" i="3"/>
  <c r="Z628" i="4"/>
  <c r="V628" i="4"/>
  <c r="R628" i="4"/>
  <c r="AD628" i="3"/>
  <c r="Z628" i="3"/>
  <c r="V628" i="3"/>
  <c r="R628" i="3"/>
  <c r="Z627" i="4"/>
  <c r="R627" i="4"/>
  <c r="N627" i="4"/>
  <c r="V627" i="3"/>
  <c r="R627" i="3"/>
  <c r="N627" i="3"/>
  <c r="N626" i="3"/>
  <c r="AL626" i="4"/>
  <c r="Z626" i="4"/>
  <c r="N625" i="4"/>
  <c r="N626" i="4"/>
  <c r="R626" i="4"/>
  <c r="V626" i="3"/>
  <c r="R626" i="3"/>
  <c r="V625" i="3"/>
  <c r="R625" i="3"/>
  <c r="N625" i="3"/>
  <c r="N624" i="4"/>
  <c r="V624" i="3"/>
  <c r="R624" i="3"/>
  <c r="N624" i="3"/>
  <c r="N623" i="4"/>
  <c r="J623" i="4"/>
  <c r="V623" i="3"/>
  <c r="R623" i="3"/>
  <c r="N623" i="3"/>
  <c r="J623" i="3"/>
  <c r="Z622" i="4"/>
  <c r="N622" i="4"/>
  <c r="J622" i="4"/>
  <c r="R622" i="3"/>
  <c r="N622" i="3"/>
  <c r="J622" i="3"/>
  <c r="Z621" i="4"/>
  <c r="N621" i="4"/>
  <c r="J621" i="4"/>
  <c r="R621" i="3"/>
  <c r="N621" i="3"/>
  <c r="J621" i="3"/>
  <c r="Z620" i="4"/>
  <c r="J620" i="4"/>
  <c r="N620" i="3"/>
  <c r="J620" i="3"/>
  <c r="J619" i="4"/>
  <c r="F619" i="4"/>
  <c r="N619" i="3"/>
  <c r="J619" i="3"/>
  <c r="F619" i="3"/>
  <c r="J618" i="4"/>
  <c r="F618" i="4"/>
  <c r="N618" i="3"/>
  <c r="J618" i="3"/>
  <c r="F618" i="3"/>
  <c r="F617" i="4"/>
  <c r="J617" i="3"/>
  <c r="F617" i="3"/>
  <c r="F616" i="4"/>
  <c r="J616" i="3"/>
  <c r="F616" i="3"/>
  <c r="F615" i="4"/>
  <c r="F615" i="3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G113" i="1"/>
  <c r="H113" i="1"/>
  <c r="B114" i="1"/>
  <c r="C114" i="1"/>
  <c r="D114" i="1"/>
  <c r="G114" i="1"/>
  <c r="H114" i="1"/>
  <c r="B115" i="1"/>
  <c r="C115" i="1"/>
  <c r="D115" i="1"/>
  <c r="G115" i="1"/>
  <c r="H115" i="1"/>
  <c r="B116" i="1"/>
  <c r="C116" i="1"/>
  <c r="D116" i="1"/>
  <c r="G116" i="1"/>
  <c r="H116" i="1"/>
  <c r="B117" i="1"/>
  <c r="C117" i="1"/>
  <c r="D117" i="1"/>
  <c r="G117" i="1"/>
  <c r="H117" i="1"/>
  <c r="B118" i="1"/>
  <c r="C118" i="1"/>
  <c r="D118" i="1"/>
  <c r="G118" i="1"/>
  <c r="H118" i="1"/>
  <c r="B119" i="1"/>
  <c r="C119" i="1"/>
  <c r="D119" i="1"/>
  <c r="G119" i="1"/>
  <c r="H119" i="1"/>
  <c r="B120" i="1"/>
  <c r="C120" i="1"/>
  <c r="D120" i="1"/>
  <c r="G120" i="1"/>
  <c r="H120" i="1"/>
  <c r="B121" i="1"/>
  <c r="C121" i="1"/>
  <c r="D121" i="1"/>
  <c r="G121" i="1"/>
  <c r="H121" i="1"/>
  <c r="B122" i="1"/>
  <c r="C122" i="1"/>
  <c r="D122" i="1"/>
  <c r="G122" i="1"/>
  <c r="H122" i="1"/>
  <c r="B123" i="1"/>
  <c r="C123" i="1"/>
  <c r="D123" i="1"/>
  <c r="G123" i="1"/>
  <c r="H123" i="1"/>
  <c r="B124" i="1"/>
  <c r="C124" i="1"/>
  <c r="D124" i="1"/>
  <c r="G124" i="1"/>
  <c r="H124" i="1"/>
  <c r="B125" i="1"/>
  <c r="C125" i="1"/>
  <c r="D125" i="1"/>
  <c r="G125" i="1"/>
  <c r="H125" i="1"/>
  <c r="B126" i="1"/>
  <c r="C126" i="1"/>
  <c r="D126" i="1"/>
  <c r="G126" i="1"/>
  <c r="H126" i="1"/>
  <c r="B127" i="1"/>
  <c r="C127" i="1"/>
  <c r="D127" i="1"/>
  <c r="G127" i="1"/>
  <c r="H127" i="1"/>
  <c r="B128" i="1"/>
  <c r="C128" i="1"/>
  <c r="D128" i="1"/>
  <c r="G128" i="1"/>
  <c r="H128" i="1"/>
  <c r="B129" i="1"/>
  <c r="C129" i="1"/>
  <c r="D129" i="1"/>
  <c r="G129" i="1"/>
  <c r="H129" i="1"/>
  <c r="B130" i="1"/>
  <c r="C130" i="1"/>
  <c r="D130" i="1"/>
  <c r="G130" i="1"/>
  <c r="H130" i="1"/>
  <c r="B131" i="1"/>
  <c r="C131" i="1"/>
  <c r="D131" i="1"/>
  <c r="G131" i="1"/>
  <c r="H131" i="1"/>
  <c r="I131" i="1"/>
  <c r="B132" i="1"/>
  <c r="C132" i="1"/>
  <c r="D132" i="1"/>
  <c r="G132" i="1"/>
  <c r="H132" i="1"/>
  <c r="I132" i="1"/>
  <c r="B133" i="1"/>
  <c r="C133" i="1"/>
  <c r="D133" i="1"/>
  <c r="G133" i="1"/>
  <c r="H133" i="1"/>
  <c r="I133" i="1"/>
  <c r="B134" i="1"/>
  <c r="C134" i="1"/>
  <c r="D134" i="1"/>
  <c r="G134" i="1"/>
  <c r="H134" i="1"/>
  <c r="I134" i="1"/>
  <c r="B135" i="1"/>
  <c r="G135" i="1"/>
  <c r="H135" i="1"/>
  <c r="I135" i="1"/>
  <c r="B136" i="1"/>
  <c r="C136" i="1"/>
  <c r="D136" i="1"/>
  <c r="G136" i="1"/>
  <c r="H136" i="1"/>
  <c r="I136" i="1"/>
  <c r="B137" i="1"/>
  <c r="C137" i="1"/>
  <c r="D137" i="1"/>
  <c r="B138" i="1"/>
  <c r="C138" i="1"/>
  <c r="D138" i="1"/>
  <c r="B139" i="1"/>
  <c r="C139" i="1"/>
  <c r="D139" i="1"/>
  <c r="AM14" i="7"/>
  <c r="AM15" i="7" s="1"/>
  <c r="AM16" i="7" s="1"/>
  <c r="AM17" i="7" s="1"/>
  <c r="AM18" i="7" s="1"/>
  <c r="AM19" i="7" s="1"/>
  <c r="AM20" i="7" s="1"/>
  <c r="AM21" i="7" s="1"/>
  <c r="AM22" i="7" s="1"/>
  <c r="AM23" i="7" s="1"/>
  <c r="AM24" i="7" s="1"/>
  <c r="AM25" i="7" s="1"/>
  <c r="AM26" i="7" s="1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E16" i="7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AE37" i="7" s="1"/>
  <c r="AE38" i="7" s="1"/>
  <c r="AI16" i="7"/>
  <c r="AI17" i="7" s="1"/>
  <c r="AI18" i="7" s="1"/>
  <c r="AI19" i="7" s="1"/>
  <c r="AI20" i="7" s="1"/>
  <c r="AI21" i="7" s="1"/>
  <c r="AI22" i="7" s="1"/>
  <c r="AI23" i="7" s="1"/>
  <c r="AI24" i="7" s="1"/>
  <c r="AI25" i="7" s="1"/>
  <c r="AI26" i="7" s="1"/>
  <c r="AI27" i="7" s="1"/>
  <c r="AI28" i="7" s="1"/>
  <c r="AI29" i="7" s="1"/>
  <c r="AI30" i="7" s="1"/>
  <c r="AI31" i="7" s="1"/>
  <c r="AI32" i="7" s="1"/>
  <c r="AI33" i="7" s="1"/>
  <c r="AI34" i="7" s="1"/>
  <c r="AI35" i="7" s="1"/>
  <c r="AI36" i="7" s="1"/>
  <c r="AI37" i="7" s="1"/>
  <c r="AI38" i="7" s="1"/>
  <c r="A42" i="7"/>
  <c r="A43" i="7" s="1"/>
  <c r="N469" i="4"/>
  <c r="R469" i="4"/>
  <c r="V469" i="4"/>
  <c r="Z469" i="4"/>
  <c r="AD469" i="4"/>
  <c r="AL469" i="4"/>
  <c r="N470" i="4"/>
  <c r="R470" i="4"/>
  <c r="V470" i="4"/>
  <c r="Z470" i="4"/>
  <c r="AD470" i="4"/>
  <c r="AH470" i="4"/>
  <c r="AL470" i="4"/>
  <c r="N471" i="4"/>
  <c r="R471" i="4"/>
  <c r="V471" i="4"/>
  <c r="Z471" i="4"/>
  <c r="AD471" i="4"/>
  <c r="AH471" i="4"/>
  <c r="AL471" i="4"/>
  <c r="R472" i="4"/>
  <c r="V472" i="4"/>
  <c r="Z472" i="4"/>
  <c r="AD472" i="4"/>
  <c r="AH472" i="4"/>
  <c r="AL472" i="4"/>
  <c r="AP472" i="4"/>
  <c r="R473" i="4"/>
  <c r="V473" i="4"/>
  <c r="Z473" i="4"/>
  <c r="AD473" i="4"/>
  <c r="AH473" i="4"/>
  <c r="AL473" i="4"/>
  <c r="AP473" i="4"/>
  <c r="R474" i="4"/>
  <c r="V474" i="4"/>
  <c r="Z474" i="4"/>
  <c r="AD474" i="4"/>
  <c r="AH474" i="4"/>
  <c r="AL474" i="4"/>
  <c r="AP474" i="4"/>
  <c r="R475" i="4"/>
  <c r="V475" i="4"/>
  <c r="Z475" i="4"/>
  <c r="AD475" i="4"/>
  <c r="AH475" i="4"/>
  <c r="AL475" i="4"/>
  <c r="AP475" i="4"/>
  <c r="R476" i="4"/>
  <c r="V476" i="4"/>
  <c r="Z476" i="4"/>
  <c r="AD476" i="4"/>
  <c r="AH476" i="4"/>
  <c r="AL476" i="4"/>
  <c r="AP476" i="4"/>
  <c r="V477" i="4"/>
  <c r="Z477" i="4"/>
  <c r="AD477" i="4"/>
  <c r="AH477" i="4"/>
  <c r="AL477" i="4"/>
  <c r="AP477" i="4"/>
  <c r="AT477" i="4"/>
  <c r="V478" i="4"/>
  <c r="Z478" i="4"/>
  <c r="AD478" i="4"/>
  <c r="AH478" i="4"/>
  <c r="AL478" i="4"/>
  <c r="AP478" i="4"/>
  <c r="AT478" i="4"/>
  <c r="V479" i="4"/>
  <c r="Z479" i="4"/>
  <c r="AD479" i="4"/>
  <c r="AH479" i="4"/>
  <c r="AL479" i="4"/>
  <c r="AP479" i="4"/>
  <c r="AT479" i="4"/>
  <c r="V480" i="4"/>
  <c r="Z480" i="4"/>
  <c r="AD480" i="4"/>
  <c r="AH480" i="4"/>
  <c r="AL480" i="4"/>
  <c r="AP480" i="4"/>
  <c r="AT480" i="4"/>
  <c r="V481" i="4"/>
  <c r="Z481" i="4"/>
  <c r="AD481" i="4"/>
  <c r="AH481" i="4"/>
  <c r="AL481" i="4"/>
  <c r="AP481" i="4"/>
  <c r="AT481" i="4"/>
  <c r="Z482" i="4"/>
  <c r="AD482" i="4"/>
  <c r="AH482" i="4"/>
  <c r="AL482" i="4"/>
  <c r="AP482" i="4"/>
  <c r="AT482" i="4"/>
  <c r="AX482" i="4"/>
  <c r="Z483" i="4"/>
  <c r="AD483" i="4"/>
  <c r="AH483" i="4"/>
  <c r="AL483" i="4"/>
  <c r="AP483" i="4"/>
  <c r="AT483" i="4"/>
  <c r="AX483" i="4"/>
  <c r="Z484" i="4"/>
  <c r="AD484" i="4"/>
  <c r="AH484" i="4"/>
  <c r="AL484" i="4"/>
  <c r="AP484" i="4"/>
  <c r="AT484" i="4"/>
  <c r="AX484" i="4"/>
  <c r="AD485" i="4"/>
  <c r="AH485" i="4"/>
  <c r="AL485" i="4"/>
  <c r="AP485" i="4"/>
  <c r="AT485" i="4"/>
  <c r="AX485" i="4"/>
  <c r="F486" i="4"/>
  <c r="AD486" i="4"/>
  <c r="AH486" i="4"/>
  <c r="AL486" i="4"/>
  <c r="AP486" i="4"/>
  <c r="AT486" i="4"/>
  <c r="AX486" i="4"/>
  <c r="AD487" i="4"/>
  <c r="AH487" i="4"/>
  <c r="AL487" i="4"/>
  <c r="AP487" i="4"/>
  <c r="AT487" i="4"/>
  <c r="AX487" i="4"/>
  <c r="AD488" i="4"/>
  <c r="AH488" i="4"/>
  <c r="AL488" i="4"/>
  <c r="AP488" i="4"/>
  <c r="AT488" i="4"/>
  <c r="AX488" i="4"/>
  <c r="AH489" i="4"/>
  <c r="AL489" i="4"/>
  <c r="AP489" i="4"/>
  <c r="AT489" i="4"/>
  <c r="AX489" i="4"/>
  <c r="AH490" i="4"/>
  <c r="AL490" i="4"/>
  <c r="AP490" i="4"/>
  <c r="AH491" i="4"/>
  <c r="AL491" i="4"/>
  <c r="AP491" i="4"/>
  <c r="AT491" i="4"/>
  <c r="AH492" i="4"/>
  <c r="AL492" i="4"/>
  <c r="AP492" i="4"/>
  <c r="AT492" i="4"/>
  <c r="AX492" i="4"/>
  <c r="AH493" i="4"/>
  <c r="AL493" i="4"/>
  <c r="AP493" i="4"/>
  <c r="AT493" i="4"/>
  <c r="AX493" i="4"/>
  <c r="AL494" i="4"/>
  <c r="AP494" i="4"/>
  <c r="AT494" i="4"/>
  <c r="AX494" i="4"/>
  <c r="F495" i="4"/>
  <c r="J495" i="4"/>
  <c r="N495" i="4"/>
  <c r="AL495" i="4"/>
  <c r="AP495" i="4"/>
  <c r="AT495" i="4"/>
  <c r="AX495" i="4"/>
  <c r="AL496" i="4"/>
  <c r="AP496" i="4"/>
  <c r="AT496" i="4"/>
  <c r="AX496" i="4"/>
  <c r="AL497" i="4"/>
  <c r="AP497" i="4"/>
  <c r="AT497" i="4"/>
  <c r="AX497" i="4"/>
  <c r="F498" i="4"/>
  <c r="AP498" i="4"/>
  <c r="AT498" i="4"/>
  <c r="AX498" i="4"/>
  <c r="AP499" i="4"/>
  <c r="AT499" i="4"/>
  <c r="AX499" i="4"/>
  <c r="AP500" i="4"/>
  <c r="AT500" i="4"/>
  <c r="AX500" i="4"/>
  <c r="AP501" i="4"/>
  <c r="AT501" i="4"/>
  <c r="AX501" i="4"/>
  <c r="AT502" i="4"/>
  <c r="AX502" i="4"/>
  <c r="F503" i="4"/>
  <c r="AT503" i="4"/>
  <c r="AX503" i="4"/>
  <c r="F504" i="4"/>
  <c r="AT504" i="4"/>
  <c r="AX504" i="4"/>
  <c r="AT505" i="4"/>
  <c r="AX505" i="4"/>
  <c r="F506" i="4"/>
  <c r="AX506" i="4"/>
  <c r="F507" i="4"/>
  <c r="AX507" i="4"/>
  <c r="F508" i="4"/>
  <c r="N508" i="4"/>
  <c r="AX508" i="4"/>
  <c r="F509" i="4"/>
  <c r="AX509" i="4"/>
  <c r="F510" i="4"/>
  <c r="J510" i="4"/>
  <c r="N510" i="4"/>
  <c r="AX510" i="4"/>
  <c r="F511" i="4"/>
  <c r="J511" i="4"/>
  <c r="N511" i="4"/>
  <c r="AX511" i="4"/>
  <c r="F512" i="4"/>
  <c r="J512" i="4"/>
  <c r="N512" i="4"/>
  <c r="F513" i="4"/>
  <c r="J513" i="4"/>
  <c r="N513" i="4"/>
  <c r="F514" i="4"/>
  <c r="J514" i="4"/>
  <c r="J515" i="4"/>
  <c r="N515" i="4"/>
  <c r="J516" i="4"/>
  <c r="N516" i="4"/>
  <c r="R516" i="4"/>
  <c r="V516" i="4"/>
  <c r="J517" i="4"/>
  <c r="N517" i="4"/>
  <c r="R517" i="4"/>
  <c r="V517" i="4"/>
  <c r="J518" i="4"/>
  <c r="N518" i="4"/>
  <c r="R518" i="4"/>
  <c r="V518" i="4"/>
  <c r="Z518" i="4"/>
  <c r="AD518" i="4"/>
  <c r="AH518" i="4"/>
  <c r="J519" i="4"/>
  <c r="N519" i="4"/>
  <c r="R519" i="4"/>
  <c r="V519" i="4"/>
  <c r="Z519" i="4"/>
  <c r="AD519" i="4"/>
  <c r="AH519" i="4"/>
  <c r="N520" i="4"/>
  <c r="R520" i="4"/>
  <c r="V520" i="4"/>
  <c r="Z520" i="4"/>
  <c r="AD520" i="4"/>
  <c r="AH520" i="4"/>
  <c r="AL520" i="4"/>
  <c r="N521" i="4"/>
  <c r="R521" i="4"/>
  <c r="V521" i="4"/>
  <c r="Z521" i="4"/>
  <c r="AD521" i="4"/>
  <c r="AH521" i="4"/>
  <c r="AL521" i="4"/>
  <c r="N522" i="4"/>
  <c r="R522" i="4"/>
  <c r="V522" i="4"/>
  <c r="Z522" i="4"/>
  <c r="AD522" i="4"/>
  <c r="AH522" i="4"/>
  <c r="AL522" i="4"/>
  <c r="N523" i="4"/>
  <c r="R523" i="4"/>
  <c r="Z523" i="4"/>
  <c r="R524" i="4"/>
  <c r="V524" i="4"/>
  <c r="Z524" i="4"/>
  <c r="AD524" i="4"/>
  <c r="AH524" i="4"/>
  <c r="AL524" i="4"/>
  <c r="R525" i="4"/>
  <c r="V525" i="4"/>
  <c r="Z525" i="4"/>
  <c r="AD525" i="4"/>
  <c r="AH525" i="4"/>
  <c r="AL525" i="4"/>
  <c r="AP525" i="4"/>
  <c r="R526" i="4"/>
  <c r="V526" i="4"/>
  <c r="Z526" i="4"/>
  <c r="AD526" i="4"/>
  <c r="AH526" i="4"/>
  <c r="AL526" i="4"/>
  <c r="AP526" i="4"/>
  <c r="R527" i="4"/>
  <c r="V527" i="4"/>
  <c r="Z527" i="4"/>
  <c r="AD527" i="4"/>
  <c r="AH527" i="4"/>
  <c r="AL527" i="4"/>
  <c r="AP527" i="4"/>
  <c r="V528" i="4"/>
  <c r="Z528" i="4"/>
  <c r="AD528" i="4"/>
  <c r="AH528" i="4"/>
  <c r="AL528" i="4"/>
  <c r="AP528" i="4"/>
  <c r="V529" i="4"/>
  <c r="Z529" i="4"/>
  <c r="AD529" i="4"/>
  <c r="AH529" i="4"/>
  <c r="AL529" i="4"/>
  <c r="AP529" i="4"/>
  <c r="AT529" i="4"/>
  <c r="V530" i="4"/>
  <c r="Z530" i="4"/>
  <c r="AD530" i="4"/>
  <c r="AH530" i="4"/>
  <c r="AL530" i="4"/>
  <c r="AP530" i="4"/>
  <c r="V531" i="4"/>
  <c r="Z531" i="4"/>
  <c r="AD531" i="4"/>
  <c r="AH531" i="4"/>
  <c r="AL531" i="4"/>
  <c r="AP531" i="4"/>
  <c r="Z532" i="4"/>
  <c r="AD532" i="4"/>
  <c r="AH532" i="4"/>
  <c r="AL532" i="4"/>
  <c r="AP532" i="4"/>
  <c r="Z533" i="4"/>
  <c r="AD533" i="4"/>
  <c r="AH533" i="4"/>
  <c r="AL533" i="4"/>
  <c r="AP533" i="4"/>
  <c r="AT533" i="4"/>
  <c r="Z534" i="4"/>
  <c r="AD534" i="4"/>
  <c r="AH534" i="4"/>
  <c r="AL534" i="4"/>
  <c r="AP534" i="4"/>
  <c r="AT534" i="4"/>
  <c r="Z535" i="4"/>
  <c r="AD535" i="4"/>
  <c r="AH535" i="4"/>
  <c r="AL535" i="4"/>
  <c r="AP535" i="4"/>
  <c r="Z536" i="4"/>
  <c r="AD536" i="4"/>
  <c r="AH536" i="4"/>
  <c r="AL536" i="4"/>
  <c r="AP536" i="4"/>
  <c r="AD537" i="4"/>
  <c r="AH537" i="4"/>
  <c r="AL537" i="4"/>
  <c r="AP537" i="4"/>
  <c r="AD538" i="4"/>
  <c r="AH538" i="4"/>
  <c r="AL538" i="4"/>
  <c r="AP538" i="4"/>
  <c r="AD539" i="4"/>
  <c r="AH539" i="4"/>
  <c r="AL539" i="4"/>
  <c r="AP539" i="4"/>
  <c r="AT539" i="4"/>
  <c r="AD540" i="4"/>
  <c r="AP540" i="4"/>
  <c r="AT540" i="4"/>
  <c r="AH541" i="4"/>
  <c r="AL541" i="4"/>
  <c r="AP541" i="4"/>
  <c r="AT541" i="4"/>
  <c r="AH542" i="4"/>
  <c r="AL542" i="4"/>
  <c r="AP542" i="4"/>
  <c r="AT542" i="4"/>
  <c r="AH543" i="4"/>
  <c r="AL543" i="4"/>
  <c r="AP543" i="4"/>
  <c r="AT543" i="4"/>
  <c r="AX543" i="4"/>
  <c r="AH544" i="4"/>
  <c r="AL544" i="4"/>
  <c r="AP544" i="4"/>
  <c r="AL545" i="4"/>
  <c r="AP545" i="4"/>
  <c r="AT545" i="4"/>
  <c r="F546" i="4"/>
  <c r="AL546" i="4"/>
  <c r="AP546" i="4"/>
  <c r="AT546" i="4"/>
  <c r="AX546" i="4"/>
  <c r="F547" i="4"/>
  <c r="N547" i="4"/>
  <c r="AL547" i="4"/>
  <c r="AP547" i="4"/>
  <c r="AT547" i="4"/>
  <c r="AX547" i="4"/>
  <c r="F548" i="4"/>
  <c r="N548" i="4"/>
  <c r="AL548" i="4"/>
  <c r="AP548" i="4"/>
  <c r="AT548" i="4"/>
  <c r="AL549" i="4"/>
  <c r="AP549" i="4"/>
  <c r="AT549" i="4"/>
  <c r="AX549" i="4"/>
  <c r="AP550" i="4"/>
  <c r="AT550" i="4"/>
  <c r="AX550" i="4"/>
  <c r="AP551" i="4"/>
  <c r="AP552" i="4"/>
  <c r="AT552" i="4"/>
  <c r="F553" i="4"/>
  <c r="AP553" i="4"/>
  <c r="AT553" i="4"/>
  <c r="AX553" i="4"/>
  <c r="N554" i="4"/>
  <c r="AT554" i="4"/>
  <c r="AX554" i="4"/>
  <c r="AT555" i="4"/>
  <c r="F556" i="4"/>
  <c r="AT556" i="4"/>
  <c r="AX556" i="4"/>
  <c r="AT557" i="4"/>
  <c r="F558" i="4"/>
  <c r="Z558" i="4"/>
  <c r="AX558" i="4"/>
  <c r="F559" i="4"/>
  <c r="Z559" i="4"/>
  <c r="AX559" i="4"/>
  <c r="F560" i="4"/>
  <c r="Z560" i="4"/>
  <c r="AX560" i="4"/>
  <c r="F561" i="4"/>
  <c r="Z561" i="4"/>
  <c r="AX561" i="4"/>
  <c r="F562" i="4"/>
  <c r="Z562" i="4"/>
  <c r="AX562" i="4"/>
  <c r="F563" i="4"/>
  <c r="N563" i="4"/>
  <c r="Z563" i="4"/>
  <c r="F564" i="4"/>
  <c r="Z564" i="4"/>
  <c r="F565" i="4"/>
  <c r="J565" i="4"/>
  <c r="N565" i="4"/>
  <c r="Z565" i="4"/>
  <c r="F566" i="4"/>
  <c r="J566" i="4"/>
  <c r="N566" i="4"/>
  <c r="Z566" i="4"/>
  <c r="J567" i="4"/>
  <c r="N567" i="4"/>
  <c r="Z567" i="4"/>
  <c r="J568" i="4"/>
  <c r="N568" i="4"/>
  <c r="Z568" i="4"/>
  <c r="J569" i="4"/>
  <c r="N569" i="4"/>
  <c r="Z569" i="4"/>
  <c r="J570" i="4"/>
  <c r="N570" i="4"/>
  <c r="Z570" i="4"/>
  <c r="J571" i="4"/>
  <c r="N571" i="4"/>
  <c r="Z571" i="4"/>
  <c r="N572" i="4"/>
  <c r="R572" i="4"/>
  <c r="Z572" i="4"/>
  <c r="N573" i="4"/>
  <c r="R573" i="4"/>
  <c r="Z573" i="4"/>
  <c r="AD573" i="4"/>
  <c r="N574" i="4"/>
  <c r="R574" i="4"/>
  <c r="Z574" i="4"/>
  <c r="AD574" i="4"/>
  <c r="N575" i="4"/>
  <c r="R575" i="4"/>
  <c r="Z575" i="4"/>
  <c r="AD575" i="4"/>
  <c r="R576" i="4"/>
  <c r="V576" i="4"/>
  <c r="Z576" i="4"/>
  <c r="R577" i="4"/>
  <c r="Z577" i="4"/>
  <c r="R578" i="4"/>
  <c r="Z578" i="4"/>
  <c r="R579" i="4"/>
  <c r="V579" i="4"/>
  <c r="Z579" i="4"/>
  <c r="AD579" i="4"/>
  <c r="V580" i="4"/>
  <c r="Z580" i="4"/>
  <c r="AD580" i="4"/>
  <c r="V581" i="4"/>
  <c r="Z581" i="4"/>
  <c r="AD581" i="4"/>
  <c r="V582" i="4"/>
  <c r="AD582" i="4"/>
  <c r="V583" i="4"/>
  <c r="Z583" i="4"/>
  <c r="AD583" i="4"/>
  <c r="Z584" i="4"/>
  <c r="AD584" i="4"/>
  <c r="AH584" i="4"/>
  <c r="Z585" i="4"/>
  <c r="AH585" i="4"/>
  <c r="AT585" i="4"/>
  <c r="Z586" i="4"/>
  <c r="AD586" i="4"/>
  <c r="AH586" i="4"/>
  <c r="Z587" i="4"/>
  <c r="AD587" i="4"/>
  <c r="Z588" i="4"/>
  <c r="AD588" i="4"/>
  <c r="AD589" i="4"/>
  <c r="AH589" i="4"/>
  <c r="AD590" i="4"/>
  <c r="AP590" i="4"/>
  <c r="AT590" i="4"/>
  <c r="AD591" i="4"/>
  <c r="AP591" i="4"/>
  <c r="AT591" i="4"/>
  <c r="AD592" i="4"/>
  <c r="AH592" i="4"/>
  <c r="AP592" i="4"/>
  <c r="AT592" i="4"/>
  <c r="AD593" i="4"/>
  <c r="AH593" i="4"/>
  <c r="AL593" i="4"/>
  <c r="AP593" i="4"/>
  <c r="AT593" i="4"/>
  <c r="AH594" i="4"/>
  <c r="AL594" i="4"/>
  <c r="AP594" i="4"/>
  <c r="AT594" i="4"/>
  <c r="AH595" i="4"/>
  <c r="AT595" i="4"/>
  <c r="AH596" i="4"/>
  <c r="AL596" i="4"/>
  <c r="AP596" i="4"/>
  <c r="AT596" i="4"/>
  <c r="AH597" i="4"/>
  <c r="AL597" i="4"/>
  <c r="AT597" i="4"/>
  <c r="AL598" i="4"/>
  <c r="AP598" i="4"/>
  <c r="AT598" i="4"/>
  <c r="AX598" i="4"/>
  <c r="AL599" i="4"/>
  <c r="AP599" i="4"/>
  <c r="AT599" i="4"/>
  <c r="AX599" i="4"/>
  <c r="AL600" i="4"/>
  <c r="AP600" i="4"/>
  <c r="AT600" i="4"/>
  <c r="AL601" i="4"/>
  <c r="AP601" i="4"/>
  <c r="AT601" i="4"/>
  <c r="AP602" i="4"/>
  <c r="AT602" i="4"/>
  <c r="AX602" i="4"/>
  <c r="AP603" i="4"/>
  <c r="AT603" i="4"/>
  <c r="AX603" i="4"/>
  <c r="AP604" i="4"/>
  <c r="AT604" i="4"/>
  <c r="AP605" i="4"/>
  <c r="AT605" i="4"/>
  <c r="AX605" i="4"/>
  <c r="AT606" i="4"/>
  <c r="AT607" i="4"/>
  <c r="AX607" i="4"/>
  <c r="AT608" i="4"/>
  <c r="AX608" i="4"/>
  <c r="AT609" i="4"/>
  <c r="AX609" i="4"/>
  <c r="F611" i="4"/>
  <c r="AX612" i="4"/>
  <c r="AX613" i="4"/>
  <c r="F614" i="4"/>
  <c r="AX614" i="4"/>
  <c r="V8" i="3"/>
  <c r="AH8" i="3"/>
  <c r="V10" i="3"/>
  <c r="Z10" i="3"/>
  <c r="AD10" i="3"/>
  <c r="AH10" i="3"/>
  <c r="Z11" i="3"/>
  <c r="AD11" i="3"/>
  <c r="AH11" i="3"/>
  <c r="AL11" i="3"/>
  <c r="Z12" i="3"/>
  <c r="AD12" i="3"/>
  <c r="AH12" i="3"/>
  <c r="AL12" i="3"/>
  <c r="Z13" i="3"/>
  <c r="AD13" i="3"/>
  <c r="AH13" i="3"/>
  <c r="AL13" i="3"/>
  <c r="AD14" i="3"/>
  <c r="AH14" i="3"/>
  <c r="AL14" i="3"/>
  <c r="AP14" i="3"/>
  <c r="AD15" i="3"/>
  <c r="AH15" i="3"/>
  <c r="AL15" i="3"/>
  <c r="AP15" i="3"/>
  <c r="AD16" i="3"/>
  <c r="AH16" i="3"/>
  <c r="AL16" i="3"/>
  <c r="AP16" i="3"/>
  <c r="AD17" i="3"/>
  <c r="AH17" i="3"/>
  <c r="AL17" i="3"/>
  <c r="AP17" i="3"/>
  <c r="AD18" i="3"/>
  <c r="AH18" i="3"/>
  <c r="AL18" i="3"/>
  <c r="AP18" i="3"/>
  <c r="AD19" i="3"/>
  <c r="AH19" i="3"/>
  <c r="AL19" i="3"/>
  <c r="AP19" i="3"/>
  <c r="F20" i="3"/>
  <c r="AH20" i="3"/>
  <c r="AL20" i="3"/>
  <c r="AP20" i="3"/>
  <c r="AT20" i="3"/>
  <c r="AX20" i="3"/>
  <c r="F21" i="3"/>
  <c r="AH21" i="3"/>
  <c r="AL21" i="3"/>
  <c r="AP21" i="3"/>
  <c r="AT21" i="3"/>
  <c r="AX21" i="3"/>
  <c r="F22" i="3"/>
  <c r="AH22" i="3"/>
  <c r="AL22" i="3"/>
  <c r="AP22" i="3"/>
  <c r="AT22" i="3"/>
  <c r="AX22" i="3"/>
  <c r="F23" i="3"/>
  <c r="AH23" i="3"/>
  <c r="AL23" i="3"/>
  <c r="AP23" i="3"/>
  <c r="AT23" i="3"/>
  <c r="AX23" i="3"/>
  <c r="F24" i="3"/>
  <c r="AL24" i="3"/>
  <c r="AP24" i="3"/>
  <c r="AT24" i="3"/>
  <c r="AX24" i="3"/>
  <c r="F25" i="3"/>
  <c r="AL25" i="3"/>
  <c r="AP25" i="3"/>
  <c r="AT25" i="3"/>
  <c r="AX25" i="3"/>
  <c r="F26" i="3"/>
  <c r="J26" i="3"/>
  <c r="AL26" i="3"/>
  <c r="AP26" i="3"/>
  <c r="AT26" i="3"/>
  <c r="AX26" i="3"/>
  <c r="F27" i="3"/>
  <c r="J27" i="3"/>
  <c r="AL27" i="3"/>
  <c r="AP27" i="3"/>
  <c r="AT27" i="3"/>
  <c r="AX27" i="3"/>
  <c r="F28" i="3"/>
  <c r="J28" i="3"/>
  <c r="AL28" i="3"/>
  <c r="AP28" i="3"/>
  <c r="AT28" i="3"/>
  <c r="AX28" i="3"/>
  <c r="F29" i="3"/>
  <c r="J29" i="3"/>
  <c r="N29" i="3"/>
  <c r="AP29" i="3"/>
  <c r="AT29" i="3"/>
  <c r="AX29" i="3"/>
  <c r="F30" i="3"/>
  <c r="J30" i="3"/>
  <c r="N30" i="3"/>
  <c r="AP30" i="3"/>
  <c r="AT30" i="3"/>
  <c r="AX30" i="3"/>
  <c r="F31" i="3"/>
  <c r="J31" i="3"/>
  <c r="N31" i="3"/>
  <c r="AP31" i="3"/>
  <c r="AT31" i="3"/>
  <c r="AX31" i="3"/>
  <c r="F32" i="3"/>
  <c r="J32" i="3"/>
  <c r="N32" i="3"/>
  <c r="AP32" i="3"/>
  <c r="AT32" i="3"/>
  <c r="AX32" i="3"/>
  <c r="F33" i="3"/>
  <c r="J33" i="3"/>
  <c r="N33" i="3"/>
  <c r="R33" i="3"/>
  <c r="AT33" i="3"/>
  <c r="AX33" i="3"/>
  <c r="F34" i="3"/>
  <c r="J34" i="3"/>
  <c r="N34" i="3"/>
  <c r="R34" i="3"/>
  <c r="AT34" i="3"/>
  <c r="AX34" i="3"/>
  <c r="F35" i="3"/>
  <c r="J35" i="3"/>
  <c r="N35" i="3"/>
  <c r="R35" i="3"/>
  <c r="AT35" i="3"/>
  <c r="AX35" i="3"/>
  <c r="F36" i="3"/>
  <c r="J36" i="3"/>
  <c r="N36" i="3"/>
  <c r="R36" i="3"/>
  <c r="AT36" i="3"/>
  <c r="AX36" i="3"/>
  <c r="F37" i="3"/>
  <c r="J37" i="3"/>
  <c r="N37" i="3"/>
  <c r="R37" i="3"/>
  <c r="V37" i="3"/>
  <c r="AX37" i="3"/>
  <c r="F39" i="3"/>
  <c r="J39" i="3"/>
  <c r="N39" i="3"/>
  <c r="R39" i="3"/>
  <c r="V39" i="3"/>
  <c r="AX39" i="3"/>
  <c r="F40" i="3"/>
  <c r="J40" i="3"/>
  <c r="N40" i="3"/>
  <c r="R40" i="3"/>
  <c r="V40" i="3"/>
  <c r="AX40" i="3"/>
  <c r="F41" i="3"/>
  <c r="J41" i="3"/>
  <c r="N41" i="3"/>
  <c r="R41" i="3"/>
  <c r="V41" i="3"/>
  <c r="Z41" i="3"/>
  <c r="F43" i="3"/>
  <c r="J43" i="3"/>
  <c r="N43" i="3"/>
  <c r="R43" i="3"/>
  <c r="V43" i="3"/>
  <c r="Z43" i="3"/>
  <c r="F44" i="3"/>
  <c r="J44" i="3"/>
  <c r="N44" i="3"/>
  <c r="R44" i="3"/>
  <c r="V44" i="3"/>
  <c r="Z44" i="3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F45" i="3"/>
  <c r="J45" i="3"/>
  <c r="N45" i="3"/>
  <c r="R45" i="3"/>
  <c r="V45" i="3"/>
  <c r="Z45" i="3"/>
  <c r="J46" i="3"/>
  <c r="N46" i="3"/>
  <c r="R46" i="3"/>
  <c r="V46" i="3"/>
  <c r="Z46" i="3"/>
  <c r="AD46" i="3"/>
  <c r="J47" i="3"/>
  <c r="N47" i="3"/>
  <c r="R47" i="3"/>
  <c r="V47" i="3"/>
  <c r="Z47" i="3"/>
  <c r="AD47" i="3"/>
  <c r="J48" i="3"/>
  <c r="N48" i="3"/>
  <c r="R48" i="3"/>
  <c r="V48" i="3"/>
  <c r="Z48" i="3"/>
  <c r="AD48" i="3"/>
  <c r="J49" i="3"/>
  <c r="N49" i="3"/>
  <c r="R49" i="3"/>
  <c r="V49" i="3"/>
  <c r="Z49" i="3"/>
  <c r="AD49" i="3"/>
  <c r="N50" i="3"/>
  <c r="R50" i="3"/>
  <c r="V50" i="3"/>
  <c r="Z50" i="3"/>
  <c r="AD50" i="3"/>
  <c r="AH50" i="3"/>
  <c r="N51" i="3"/>
  <c r="R51" i="3"/>
  <c r="V51" i="3"/>
  <c r="Z51" i="3"/>
  <c r="AD51" i="3"/>
  <c r="AH51" i="3"/>
  <c r="N52" i="3"/>
  <c r="R52" i="3"/>
  <c r="V52" i="3"/>
  <c r="Z52" i="3"/>
  <c r="AD52" i="3"/>
  <c r="AH52" i="3"/>
  <c r="N53" i="3"/>
  <c r="R53" i="3"/>
  <c r="V53" i="3"/>
  <c r="Z53" i="3"/>
  <c r="AD53" i="3"/>
  <c r="AH53" i="3"/>
  <c r="R54" i="3"/>
  <c r="V54" i="3"/>
  <c r="Z54" i="3"/>
  <c r="AD54" i="3"/>
  <c r="AH54" i="3"/>
  <c r="AL54" i="3"/>
  <c r="R55" i="3"/>
  <c r="V55" i="3"/>
  <c r="Z55" i="3"/>
  <c r="AD55" i="3"/>
  <c r="AH55" i="3"/>
  <c r="AL55" i="3"/>
  <c r="R56" i="3"/>
  <c r="V56" i="3"/>
  <c r="Z56" i="3"/>
  <c r="AD56" i="3"/>
  <c r="AH56" i="3"/>
  <c r="AL56" i="3"/>
  <c r="R57" i="3"/>
  <c r="V57" i="3"/>
  <c r="Z57" i="3"/>
  <c r="AD57" i="3"/>
  <c r="AH57" i="3"/>
  <c r="AL57" i="3"/>
  <c r="V58" i="3"/>
  <c r="Z58" i="3"/>
  <c r="AD58" i="3"/>
  <c r="AH58" i="3"/>
  <c r="AL58" i="3"/>
  <c r="AP58" i="3"/>
  <c r="V59" i="3"/>
  <c r="Z59" i="3"/>
  <c r="AD59" i="3"/>
  <c r="AH59" i="3"/>
  <c r="AL59" i="3"/>
  <c r="AP59" i="3"/>
  <c r="V60" i="3"/>
  <c r="Z60" i="3"/>
  <c r="AD60" i="3"/>
  <c r="AH60" i="3"/>
  <c r="AL60" i="3"/>
  <c r="AP60" i="3"/>
  <c r="V61" i="3"/>
  <c r="Z61" i="3"/>
  <c r="AD61" i="3"/>
  <c r="AH61" i="3"/>
  <c r="AL61" i="3"/>
  <c r="AP61" i="3"/>
  <c r="Z62" i="3"/>
  <c r="AD62" i="3"/>
  <c r="AH62" i="3"/>
  <c r="AL62" i="3"/>
  <c r="AP62" i="3"/>
  <c r="AT62" i="3"/>
  <c r="Z63" i="3"/>
  <c r="AD63" i="3"/>
  <c r="AH63" i="3"/>
  <c r="AL63" i="3"/>
  <c r="AP63" i="3"/>
  <c r="AT63" i="3"/>
  <c r="Z64" i="3"/>
  <c r="AD64" i="3"/>
  <c r="AH64" i="3"/>
  <c r="AL64" i="3"/>
  <c r="AP64" i="3"/>
  <c r="AT64" i="3"/>
  <c r="Z65" i="3"/>
  <c r="AD65" i="3"/>
  <c r="AH65" i="3"/>
  <c r="AL65" i="3"/>
  <c r="AP65" i="3"/>
  <c r="AT65" i="3"/>
  <c r="Z66" i="3"/>
  <c r="AD66" i="3"/>
  <c r="AH66" i="3"/>
  <c r="AL66" i="3"/>
  <c r="AP66" i="3"/>
  <c r="AT66" i="3"/>
  <c r="AD67" i="3"/>
  <c r="AH67" i="3"/>
  <c r="AL67" i="3"/>
  <c r="AP67" i="3"/>
  <c r="AT67" i="3"/>
  <c r="AX67" i="3"/>
  <c r="AD68" i="3"/>
  <c r="AH68" i="3"/>
  <c r="AL68" i="3"/>
  <c r="AP68" i="3"/>
  <c r="AT68" i="3"/>
  <c r="AX68" i="3"/>
  <c r="AD69" i="3"/>
  <c r="AH69" i="3"/>
  <c r="AL69" i="3"/>
  <c r="AP69" i="3"/>
  <c r="AT69" i="3"/>
  <c r="AX69" i="3"/>
  <c r="AD70" i="3"/>
  <c r="AH70" i="3"/>
  <c r="AL70" i="3"/>
  <c r="AP70" i="3"/>
  <c r="AT70" i="3"/>
  <c r="AX70" i="3"/>
  <c r="F71" i="3"/>
  <c r="AH71" i="3"/>
  <c r="AL71" i="3"/>
  <c r="AP71" i="3"/>
  <c r="AT71" i="3"/>
  <c r="AX71" i="3"/>
  <c r="F72" i="3"/>
  <c r="AH72" i="3"/>
  <c r="AL72" i="3"/>
  <c r="AP72" i="3"/>
  <c r="AT72" i="3"/>
  <c r="AX72" i="3"/>
  <c r="F73" i="3"/>
  <c r="AH73" i="3"/>
  <c r="AL73" i="3"/>
  <c r="AP73" i="3"/>
  <c r="AT73" i="3"/>
  <c r="AX73" i="3"/>
  <c r="F74" i="3"/>
  <c r="AH74" i="3"/>
  <c r="AL74" i="3"/>
  <c r="AP74" i="3"/>
  <c r="AT74" i="3"/>
  <c r="AX74" i="3"/>
  <c r="F75" i="3"/>
  <c r="AH75" i="3"/>
  <c r="AL75" i="3"/>
  <c r="AP75" i="3"/>
  <c r="AT75" i="3"/>
  <c r="AX75" i="3"/>
  <c r="F76" i="3"/>
  <c r="J76" i="3"/>
  <c r="AL76" i="3"/>
  <c r="AP76" i="3"/>
  <c r="AT76" i="3"/>
  <c r="AX76" i="3"/>
  <c r="F77" i="3"/>
  <c r="J77" i="3"/>
  <c r="AL77" i="3"/>
  <c r="AP77" i="3"/>
  <c r="AT77" i="3"/>
  <c r="AX77" i="3"/>
  <c r="F78" i="3"/>
  <c r="J78" i="3"/>
  <c r="AL78" i="3"/>
  <c r="AP78" i="3"/>
  <c r="AT78" i="3"/>
  <c r="AX78" i="3"/>
  <c r="F79" i="3"/>
  <c r="J79" i="3"/>
  <c r="AL79" i="3"/>
  <c r="AP79" i="3"/>
  <c r="AT79" i="3"/>
  <c r="AX79" i="3"/>
  <c r="F80" i="3"/>
  <c r="J80" i="3"/>
  <c r="N80" i="3"/>
  <c r="AP80" i="3"/>
  <c r="AT80" i="3"/>
  <c r="AX80" i="3"/>
  <c r="F81" i="3"/>
  <c r="J81" i="3"/>
  <c r="N81" i="3"/>
  <c r="AP81" i="3"/>
  <c r="AT81" i="3"/>
  <c r="AX81" i="3"/>
  <c r="F82" i="3"/>
  <c r="J82" i="3"/>
  <c r="N82" i="3"/>
  <c r="AP82" i="3"/>
  <c r="AT82" i="3"/>
  <c r="AX82" i="3"/>
  <c r="F83" i="3"/>
  <c r="J83" i="3"/>
  <c r="N83" i="3"/>
  <c r="AP83" i="3"/>
  <c r="AT83" i="3"/>
  <c r="AX83" i="3"/>
  <c r="F84" i="3"/>
  <c r="J84" i="3"/>
  <c r="N84" i="3"/>
  <c r="R84" i="3"/>
  <c r="AT84" i="3"/>
  <c r="AX84" i="3"/>
  <c r="F85" i="3"/>
  <c r="J85" i="3"/>
  <c r="N85" i="3"/>
  <c r="R85" i="3"/>
  <c r="AT85" i="3"/>
  <c r="AX85" i="3"/>
  <c r="F86" i="3"/>
  <c r="J86" i="3"/>
  <c r="N86" i="3"/>
  <c r="R86" i="3"/>
  <c r="AT86" i="3"/>
  <c r="AX86" i="3"/>
  <c r="F87" i="3"/>
  <c r="J87" i="3"/>
  <c r="N87" i="3"/>
  <c r="R87" i="3"/>
  <c r="AX87" i="3"/>
  <c r="F88" i="3"/>
  <c r="J88" i="3"/>
  <c r="N88" i="3"/>
  <c r="R88" i="3"/>
  <c r="AT88" i="3"/>
  <c r="AX88" i="3"/>
  <c r="F89" i="3"/>
  <c r="J89" i="3"/>
  <c r="N89" i="3"/>
  <c r="R89" i="3"/>
  <c r="V89" i="3"/>
  <c r="AX89" i="3"/>
  <c r="F90" i="3"/>
  <c r="J90" i="3"/>
  <c r="N90" i="3"/>
  <c r="R90" i="3"/>
  <c r="V90" i="3"/>
  <c r="AX90" i="3"/>
  <c r="F91" i="3"/>
  <c r="J91" i="3"/>
  <c r="N91" i="3"/>
  <c r="R91" i="3"/>
  <c r="V91" i="3"/>
  <c r="AX91" i="3"/>
  <c r="F92" i="3"/>
  <c r="J92" i="3"/>
  <c r="N92" i="3"/>
  <c r="R92" i="3"/>
  <c r="V92" i="3"/>
  <c r="AX92" i="3"/>
  <c r="F93" i="3"/>
  <c r="J93" i="3"/>
  <c r="N93" i="3"/>
  <c r="R93" i="3"/>
  <c r="V93" i="3"/>
  <c r="Z93" i="3"/>
  <c r="F95" i="3"/>
  <c r="J95" i="3"/>
  <c r="N95" i="3"/>
  <c r="A96" i="3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F96" i="3"/>
  <c r="J96" i="3"/>
  <c r="N96" i="3"/>
  <c r="R96" i="3"/>
  <c r="V96" i="3"/>
  <c r="Z96" i="3"/>
  <c r="F97" i="3"/>
  <c r="J97" i="3"/>
  <c r="N97" i="3"/>
  <c r="R97" i="3"/>
  <c r="V97" i="3"/>
  <c r="Z97" i="3"/>
  <c r="F98" i="3"/>
  <c r="J98" i="3"/>
  <c r="N98" i="3"/>
  <c r="R98" i="3"/>
  <c r="V98" i="3"/>
  <c r="Z98" i="3"/>
  <c r="J99" i="3"/>
  <c r="N99" i="3"/>
  <c r="R99" i="3"/>
  <c r="V99" i="3"/>
  <c r="Z99" i="3"/>
  <c r="AD99" i="3"/>
  <c r="F100" i="3"/>
  <c r="J100" i="3"/>
  <c r="N100" i="3"/>
  <c r="R100" i="3"/>
  <c r="V100" i="3"/>
  <c r="Z100" i="3"/>
  <c r="AD100" i="3"/>
  <c r="J101" i="3"/>
  <c r="N101" i="3"/>
  <c r="R101" i="3"/>
  <c r="V101" i="3"/>
  <c r="Z101" i="3"/>
  <c r="AD101" i="3"/>
  <c r="N102" i="3"/>
  <c r="R102" i="3"/>
  <c r="V102" i="3"/>
  <c r="Z102" i="3"/>
  <c r="AD102" i="3"/>
  <c r="AH102" i="3"/>
  <c r="N103" i="3"/>
  <c r="R103" i="3"/>
  <c r="V103" i="3"/>
  <c r="Z103" i="3"/>
  <c r="AD103" i="3"/>
  <c r="AH103" i="3"/>
  <c r="N104" i="3"/>
  <c r="R104" i="3"/>
  <c r="V104" i="3"/>
  <c r="Z104" i="3"/>
  <c r="AD104" i="3"/>
  <c r="AH104" i="3"/>
  <c r="R105" i="3"/>
  <c r="V105" i="3"/>
  <c r="Z105" i="3"/>
  <c r="AD105" i="3"/>
  <c r="AH105" i="3"/>
  <c r="AL105" i="3"/>
  <c r="R106" i="3"/>
  <c r="V106" i="3"/>
  <c r="Z106" i="3"/>
  <c r="AD106" i="3"/>
  <c r="AH106" i="3"/>
  <c r="AL106" i="3"/>
  <c r="R107" i="3"/>
  <c r="V107" i="3"/>
  <c r="Z107" i="3"/>
  <c r="AD107" i="3"/>
  <c r="AH107" i="3"/>
  <c r="AL107" i="3"/>
  <c r="R108" i="3"/>
  <c r="V108" i="3"/>
  <c r="Z108" i="3"/>
  <c r="AD108" i="3"/>
  <c r="AH108" i="3"/>
  <c r="AL108" i="3"/>
  <c r="R109" i="3"/>
  <c r="V109" i="3"/>
  <c r="Z109" i="3"/>
  <c r="AD109" i="3"/>
  <c r="AH109" i="3"/>
  <c r="AL109" i="3"/>
  <c r="V110" i="3"/>
  <c r="Z110" i="3"/>
  <c r="AD110" i="3"/>
  <c r="AH110" i="3"/>
  <c r="AL110" i="3"/>
  <c r="AP110" i="3"/>
  <c r="V111" i="3"/>
  <c r="Z111" i="3"/>
  <c r="AD111" i="3"/>
  <c r="AH111" i="3"/>
  <c r="AL111" i="3"/>
  <c r="AP111" i="3"/>
  <c r="V112" i="3"/>
  <c r="Z112" i="3"/>
  <c r="AD112" i="3"/>
  <c r="AH112" i="3"/>
  <c r="AL112" i="3"/>
  <c r="AP112" i="3"/>
  <c r="V113" i="3"/>
  <c r="Z113" i="3"/>
  <c r="AD113" i="3"/>
  <c r="AH113" i="3"/>
  <c r="AL113" i="3"/>
  <c r="AP113" i="3"/>
  <c r="Z114" i="3"/>
  <c r="AD114" i="3"/>
  <c r="AH114" i="3"/>
  <c r="AL114" i="3"/>
  <c r="AP114" i="3"/>
  <c r="AT114" i="3"/>
  <c r="Z115" i="3"/>
  <c r="AD115" i="3"/>
  <c r="AH115" i="3"/>
  <c r="AL115" i="3"/>
  <c r="AP115" i="3"/>
  <c r="AT115" i="3"/>
  <c r="Z116" i="3"/>
  <c r="AD116" i="3"/>
  <c r="AH116" i="3"/>
  <c r="AL116" i="3"/>
  <c r="AP116" i="3"/>
  <c r="AT116" i="3"/>
  <c r="Z117" i="3"/>
  <c r="AD117" i="3"/>
  <c r="AH117" i="3"/>
  <c r="AL117" i="3"/>
  <c r="AP117" i="3"/>
  <c r="AT117" i="3"/>
  <c r="Z118" i="3"/>
  <c r="AD118" i="3"/>
  <c r="AH118" i="3"/>
  <c r="AL118" i="3"/>
  <c r="AP118" i="3"/>
  <c r="AT118" i="3"/>
  <c r="AD119" i="3"/>
  <c r="AH119" i="3"/>
  <c r="AL119" i="3"/>
  <c r="AP119" i="3"/>
  <c r="AT119" i="3"/>
  <c r="AX119" i="3"/>
  <c r="AD120" i="3"/>
  <c r="AH120" i="3"/>
  <c r="AL120" i="3"/>
  <c r="AP120" i="3"/>
  <c r="AT120" i="3"/>
  <c r="AX120" i="3"/>
  <c r="AD121" i="3"/>
  <c r="AH121" i="3"/>
  <c r="AL121" i="3"/>
  <c r="AP121" i="3"/>
  <c r="AT121" i="3"/>
  <c r="AX121" i="3"/>
  <c r="AD122" i="3"/>
  <c r="AH122" i="3"/>
  <c r="AL122" i="3"/>
  <c r="AP122" i="3"/>
  <c r="AT122" i="3"/>
  <c r="AX122" i="3"/>
  <c r="AD123" i="3"/>
  <c r="AH123" i="3"/>
  <c r="AL123" i="3"/>
  <c r="AP123" i="3"/>
  <c r="AT123" i="3"/>
  <c r="AX123" i="3"/>
  <c r="F124" i="3"/>
  <c r="AH124" i="3"/>
  <c r="AL124" i="3"/>
  <c r="AP124" i="3"/>
  <c r="AT124" i="3"/>
  <c r="AX124" i="3"/>
  <c r="F125" i="3"/>
  <c r="AH125" i="3"/>
  <c r="AL125" i="3"/>
  <c r="AP125" i="3"/>
  <c r="AT125" i="3"/>
  <c r="AX125" i="3"/>
  <c r="F126" i="3"/>
  <c r="J126" i="3"/>
  <c r="AH126" i="3"/>
  <c r="AL126" i="3"/>
  <c r="AP126" i="3"/>
  <c r="AT126" i="3"/>
  <c r="AX126" i="3"/>
  <c r="F127" i="3"/>
  <c r="AH127" i="3"/>
  <c r="AL127" i="3"/>
  <c r="AP127" i="3"/>
  <c r="AT127" i="3"/>
  <c r="AX127" i="3"/>
  <c r="F128" i="3"/>
  <c r="J128" i="3"/>
  <c r="AL128" i="3"/>
  <c r="AP128" i="3"/>
  <c r="AT128" i="3"/>
  <c r="AX128" i="3"/>
  <c r="F129" i="3"/>
  <c r="J129" i="3"/>
  <c r="AL129" i="3"/>
  <c r="AP129" i="3"/>
  <c r="AT129" i="3"/>
  <c r="AX129" i="3"/>
  <c r="AL130" i="3"/>
  <c r="AP130" i="3"/>
  <c r="AT130" i="3"/>
  <c r="AX130" i="3"/>
  <c r="F131" i="3"/>
  <c r="J131" i="3"/>
  <c r="AL131" i="3"/>
  <c r="AP131" i="3"/>
  <c r="AT131" i="3"/>
  <c r="AX131" i="3"/>
  <c r="F132" i="3"/>
  <c r="J132" i="3"/>
  <c r="N132" i="3"/>
  <c r="AP132" i="3"/>
  <c r="AT132" i="3"/>
  <c r="AX132" i="3"/>
  <c r="F133" i="3"/>
  <c r="J133" i="3"/>
  <c r="N133" i="3"/>
  <c r="AP133" i="3"/>
  <c r="AT133" i="3"/>
  <c r="AX133" i="3"/>
  <c r="F134" i="3"/>
  <c r="J134" i="3"/>
  <c r="N134" i="3"/>
  <c r="AP134" i="3"/>
  <c r="AT134" i="3"/>
  <c r="AX134" i="3"/>
  <c r="F135" i="3"/>
  <c r="J135" i="3"/>
  <c r="N135" i="3"/>
  <c r="AP135" i="3"/>
  <c r="AT135" i="3"/>
  <c r="AX135" i="3"/>
  <c r="F136" i="3"/>
  <c r="J136" i="3"/>
  <c r="N136" i="3"/>
  <c r="AP136" i="3"/>
  <c r="AT136" i="3"/>
  <c r="AX136" i="3"/>
  <c r="F137" i="3"/>
  <c r="J137" i="3"/>
  <c r="N137" i="3"/>
  <c r="R137" i="3"/>
  <c r="AT137" i="3"/>
  <c r="AX137" i="3"/>
  <c r="F138" i="3"/>
  <c r="J138" i="3"/>
  <c r="N138" i="3"/>
  <c r="R138" i="3"/>
  <c r="AT138" i="3"/>
  <c r="AX138" i="3"/>
  <c r="F139" i="3"/>
  <c r="J139" i="3"/>
  <c r="N139" i="3"/>
  <c r="R139" i="3"/>
  <c r="AT139" i="3"/>
  <c r="AX139" i="3"/>
  <c r="F140" i="3"/>
  <c r="J140" i="3"/>
  <c r="N140" i="3"/>
  <c r="R140" i="3"/>
  <c r="AT140" i="3"/>
  <c r="AX140" i="3"/>
  <c r="F141" i="3"/>
  <c r="J141" i="3"/>
  <c r="N141" i="3"/>
  <c r="R141" i="3"/>
  <c r="V141" i="3"/>
  <c r="AX141" i="3"/>
  <c r="F142" i="3"/>
  <c r="J142" i="3"/>
  <c r="N142" i="3"/>
  <c r="R142" i="3"/>
  <c r="V142" i="3"/>
  <c r="AX142" i="3"/>
  <c r="F143" i="3"/>
  <c r="J143" i="3"/>
  <c r="N143" i="3"/>
  <c r="R143" i="3"/>
  <c r="V143" i="3"/>
  <c r="AX143" i="3"/>
  <c r="F144" i="3"/>
  <c r="J144" i="3"/>
  <c r="N144" i="3"/>
  <c r="R144" i="3"/>
  <c r="V144" i="3"/>
  <c r="AX144" i="3"/>
  <c r="B145" i="3"/>
  <c r="B144" i="3" s="1"/>
  <c r="B143" i="3" s="1"/>
  <c r="B142" i="3" s="1"/>
  <c r="B141" i="3" s="1"/>
  <c r="B140" i="3" s="1"/>
  <c r="B139" i="3" s="1"/>
  <c r="B138" i="3" s="1"/>
  <c r="B137" i="3" s="1"/>
  <c r="B136" i="3" s="1"/>
  <c r="B135" i="3" s="1"/>
  <c r="B134" i="3" s="1"/>
  <c r="B133" i="3" s="1"/>
  <c r="B132" i="3" s="1"/>
  <c r="B131" i="3" s="1"/>
  <c r="B130" i="3" s="1"/>
  <c r="B129" i="3" s="1"/>
  <c r="B128" i="3" s="1"/>
  <c r="B127" i="3" s="1"/>
  <c r="B126" i="3" s="1"/>
  <c r="B125" i="3" s="1"/>
  <c r="B124" i="3" s="1"/>
  <c r="B123" i="3" s="1"/>
  <c r="B122" i="3" s="1"/>
  <c r="B121" i="3" s="1"/>
  <c r="B120" i="3" s="1"/>
  <c r="B119" i="3" s="1"/>
  <c r="B118" i="3" s="1"/>
  <c r="B117" i="3" s="1"/>
  <c r="B116" i="3" s="1"/>
  <c r="B115" i="3" s="1"/>
  <c r="B114" i="3" s="1"/>
  <c r="B113" i="3" s="1"/>
  <c r="B112" i="3" s="1"/>
  <c r="B111" i="3" s="1"/>
  <c r="B110" i="3" s="1"/>
  <c r="B109" i="3" s="1"/>
  <c r="B108" i="3" s="1"/>
  <c r="B107" i="3" s="1"/>
  <c r="B106" i="3" s="1"/>
  <c r="B105" i="3" s="1"/>
  <c r="B104" i="3" s="1"/>
  <c r="B103" i="3" s="1"/>
  <c r="B102" i="3" s="1"/>
  <c r="B101" i="3" s="1"/>
  <c r="B100" i="3" s="1"/>
  <c r="B99" i="3" s="1"/>
  <c r="B98" i="3" s="1"/>
  <c r="B97" i="3" s="1"/>
  <c r="B96" i="3" s="1"/>
  <c r="B95" i="3" s="1"/>
  <c r="B94" i="3" s="1"/>
  <c r="B93" i="3" s="1"/>
  <c r="B92" i="3" s="1"/>
  <c r="B91" i="3" s="1"/>
  <c r="B90" i="3" s="1"/>
  <c r="B89" i="3" s="1"/>
  <c r="B88" i="3" s="1"/>
  <c r="B87" i="3" s="1"/>
  <c r="B86" i="3" s="1"/>
  <c r="B85" i="3" s="1"/>
  <c r="B84" i="3" s="1"/>
  <c r="B83" i="3" s="1"/>
  <c r="B82" i="3" s="1"/>
  <c r="B81" i="3" s="1"/>
  <c r="B80" i="3" s="1"/>
  <c r="B79" i="3" s="1"/>
  <c r="B78" i="3" s="1"/>
  <c r="B77" i="3" s="1"/>
  <c r="B76" i="3" s="1"/>
  <c r="B75" i="3" s="1"/>
  <c r="B74" i="3" s="1"/>
  <c r="B73" i="3" s="1"/>
  <c r="B72" i="3" s="1"/>
  <c r="B71" i="3" s="1"/>
  <c r="B70" i="3" s="1"/>
  <c r="B69" i="3" s="1"/>
  <c r="B68" i="3" s="1"/>
  <c r="B67" i="3" s="1"/>
  <c r="B66" i="3" s="1"/>
  <c r="B65" i="3" s="1"/>
  <c r="B64" i="3" s="1"/>
  <c r="B63" i="3" s="1"/>
  <c r="B62" i="3" s="1"/>
  <c r="B61" i="3" s="1"/>
  <c r="B60" i="3" s="1"/>
  <c r="B59" i="3" s="1"/>
  <c r="B58" i="3" s="1"/>
  <c r="B57" i="3" s="1"/>
  <c r="B56" i="3" s="1"/>
  <c r="B55" i="3" s="1"/>
  <c r="B54" i="3" s="1"/>
  <c r="B53" i="3" s="1"/>
  <c r="B52" i="3" s="1"/>
  <c r="B51" i="3" s="1"/>
  <c r="B50" i="3" s="1"/>
  <c r="B49" i="3" s="1"/>
  <c r="B48" i="3" s="1"/>
  <c r="B47" i="3" s="1"/>
  <c r="B46" i="3" s="1"/>
  <c r="B45" i="3" s="1"/>
  <c r="B44" i="3" s="1"/>
  <c r="B43" i="3" s="1"/>
  <c r="B42" i="3" s="1"/>
  <c r="B41" i="3" s="1"/>
  <c r="B40" i="3" s="1"/>
  <c r="B39" i="3" s="1"/>
  <c r="B38" i="3" s="1"/>
  <c r="B37" i="3" s="1"/>
  <c r="B36" i="3" s="1"/>
  <c r="B35" i="3" s="1"/>
  <c r="B34" i="3" s="1"/>
  <c r="B33" i="3" s="1"/>
  <c r="B32" i="3" s="1"/>
  <c r="B31" i="3" s="1"/>
  <c r="B30" i="3" s="1"/>
  <c r="B29" i="3" s="1"/>
  <c r="B28" i="3" s="1"/>
  <c r="B27" i="3" s="1"/>
  <c r="B26" i="3" s="1"/>
  <c r="B25" i="3" s="1"/>
  <c r="B24" i="3" s="1"/>
  <c r="B23" i="3" s="1"/>
  <c r="B22" i="3" s="1"/>
  <c r="B21" i="3" s="1"/>
  <c r="B20" i="3" s="1"/>
  <c r="B19" i="3" s="1"/>
  <c r="B18" i="3" s="1"/>
  <c r="B17" i="3" s="1"/>
  <c r="B16" i="3" s="1"/>
  <c r="B15" i="3" s="1"/>
  <c r="B14" i="3" s="1"/>
  <c r="B13" i="3" s="1"/>
  <c r="B12" i="3" s="1"/>
  <c r="B11" i="3" s="1"/>
  <c r="B10" i="3" s="1"/>
  <c r="B9" i="3" s="1"/>
  <c r="B8" i="3" s="1"/>
  <c r="F145" i="3"/>
  <c r="J145" i="3"/>
  <c r="N145" i="3"/>
  <c r="R145" i="3"/>
  <c r="V145" i="3"/>
  <c r="Z145" i="3"/>
  <c r="F146" i="3"/>
  <c r="J146" i="3"/>
  <c r="N146" i="3"/>
  <c r="R146" i="3"/>
  <c r="V146" i="3"/>
  <c r="Z146" i="3"/>
  <c r="F147" i="3"/>
  <c r="J147" i="3"/>
  <c r="N147" i="3"/>
  <c r="R147" i="3"/>
  <c r="V147" i="3"/>
  <c r="Z147" i="3"/>
  <c r="A148" i="3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F148" i="3"/>
  <c r="J148" i="3"/>
  <c r="N148" i="3"/>
  <c r="R148" i="3"/>
  <c r="V148" i="3"/>
  <c r="Z148" i="3"/>
  <c r="F149" i="3"/>
  <c r="J149" i="3"/>
  <c r="N149" i="3"/>
  <c r="R149" i="3"/>
  <c r="V149" i="3"/>
  <c r="Z149" i="3"/>
  <c r="J150" i="3"/>
  <c r="N150" i="3"/>
  <c r="R150" i="3"/>
  <c r="V150" i="3"/>
  <c r="Z150" i="3"/>
  <c r="AD150" i="3"/>
  <c r="J151" i="3"/>
  <c r="N151" i="3"/>
  <c r="R151" i="3"/>
  <c r="V151" i="3"/>
  <c r="Z151" i="3"/>
  <c r="AD151" i="3"/>
  <c r="J152" i="3"/>
  <c r="N152" i="3"/>
  <c r="R152" i="3"/>
  <c r="V152" i="3"/>
  <c r="Z152" i="3"/>
  <c r="AD152" i="3"/>
  <c r="J153" i="3"/>
  <c r="N153" i="3"/>
  <c r="R153" i="3"/>
  <c r="V153" i="3"/>
  <c r="Z153" i="3"/>
  <c r="AD153" i="3"/>
  <c r="N154" i="3"/>
  <c r="R154" i="3"/>
  <c r="V154" i="3"/>
  <c r="Z154" i="3"/>
  <c r="AD154" i="3"/>
  <c r="AH154" i="3"/>
  <c r="N155" i="3"/>
  <c r="R155" i="3"/>
  <c r="V155" i="3"/>
  <c r="Z155" i="3"/>
  <c r="AD155" i="3"/>
  <c r="AH155" i="3"/>
  <c r="N156" i="3"/>
  <c r="R156" i="3"/>
  <c r="V156" i="3"/>
  <c r="Z156" i="3"/>
  <c r="AD156" i="3"/>
  <c r="AH156" i="3"/>
  <c r="N157" i="3"/>
  <c r="R157" i="3"/>
  <c r="V157" i="3"/>
  <c r="Z157" i="3"/>
  <c r="AD157" i="3"/>
  <c r="AH157" i="3"/>
  <c r="R158" i="3"/>
  <c r="V158" i="3"/>
  <c r="Z158" i="3"/>
  <c r="AD158" i="3"/>
  <c r="AH158" i="3"/>
  <c r="AL158" i="3"/>
  <c r="R159" i="3"/>
  <c r="V159" i="3"/>
  <c r="Z159" i="3"/>
  <c r="AD159" i="3"/>
  <c r="AH159" i="3"/>
  <c r="AL159" i="3"/>
  <c r="R160" i="3"/>
  <c r="V160" i="3"/>
  <c r="Z160" i="3"/>
  <c r="AD160" i="3"/>
  <c r="AH160" i="3"/>
  <c r="AL160" i="3"/>
  <c r="R161" i="3"/>
  <c r="V161" i="3"/>
  <c r="Z161" i="3"/>
  <c r="AD161" i="3"/>
  <c r="AH161" i="3"/>
  <c r="AL161" i="3"/>
  <c r="R162" i="3"/>
  <c r="V162" i="3"/>
  <c r="Z162" i="3"/>
  <c r="AD162" i="3"/>
  <c r="AH162" i="3"/>
  <c r="AL162" i="3"/>
  <c r="V163" i="3"/>
  <c r="Z163" i="3"/>
  <c r="AD163" i="3"/>
  <c r="AH163" i="3"/>
  <c r="AL163" i="3"/>
  <c r="AP163" i="3"/>
  <c r="V164" i="3"/>
  <c r="Z164" i="3"/>
  <c r="AD164" i="3"/>
  <c r="AH164" i="3"/>
  <c r="AL164" i="3"/>
  <c r="AP164" i="3"/>
  <c r="V165" i="3"/>
  <c r="Z165" i="3"/>
  <c r="AD165" i="3"/>
  <c r="AH165" i="3"/>
  <c r="AL165" i="3"/>
  <c r="AP165" i="3"/>
  <c r="V166" i="3"/>
  <c r="Z166" i="3"/>
  <c r="AD166" i="3"/>
  <c r="AH166" i="3"/>
  <c r="AL166" i="3"/>
  <c r="AP166" i="3"/>
  <c r="Z167" i="3"/>
  <c r="AD167" i="3"/>
  <c r="AH167" i="3"/>
  <c r="AL167" i="3"/>
  <c r="AP167" i="3"/>
  <c r="AT167" i="3"/>
  <c r="Z168" i="3"/>
  <c r="AD168" i="3"/>
  <c r="AH168" i="3"/>
  <c r="AL168" i="3"/>
  <c r="AP168" i="3"/>
  <c r="AT168" i="3"/>
  <c r="Z169" i="3"/>
  <c r="AD169" i="3"/>
  <c r="AH169" i="3"/>
  <c r="AL169" i="3"/>
  <c r="AP169" i="3"/>
  <c r="AT169" i="3"/>
  <c r="Z170" i="3"/>
  <c r="AD170" i="3"/>
  <c r="AH170" i="3"/>
  <c r="AL170" i="3"/>
  <c r="AP170" i="3"/>
  <c r="AT170" i="3"/>
  <c r="AD171" i="3"/>
  <c r="AH171" i="3"/>
  <c r="AL171" i="3"/>
  <c r="AP171" i="3"/>
  <c r="AT171" i="3"/>
  <c r="AX171" i="3"/>
  <c r="AD172" i="3"/>
  <c r="AH172" i="3"/>
  <c r="AL172" i="3"/>
  <c r="AP172" i="3"/>
  <c r="AT172" i="3"/>
  <c r="AX172" i="3"/>
  <c r="AD173" i="3"/>
  <c r="AH173" i="3"/>
  <c r="AL173" i="3"/>
  <c r="AP173" i="3"/>
  <c r="AT173" i="3"/>
  <c r="AX173" i="3"/>
  <c r="AD174" i="3"/>
  <c r="AH174" i="3"/>
  <c r="AL174" i="3"/>
  <c r="AP174" i="3"/>
  <c r="AT174" i="3"/>
  <c r="AX174" i="3"/>
  <c r="AD175" i="3"/>
  <c r="AH175" i="3"/>
  <c r="AL175" i="3"/>
  <c r="AP175" i="3"/>
  <c r="AT175" i="3"/>
  <c r="AX175" i="3"/>
  <c r="AH176" i="3"/>
  <c r="AL176" i="3"/>
  <c r="AP176" i="3"/>
  <c r="AT176" i="3"/>
  <c r="AX176" i="3"/>
  <c r="F177" i="3"/>
  <c r="AH177" i="3"/>
  <c r="AL177" i="3"/>
  <c r="AP177" i="3"/>
  <c r="AT177" i="3"/>
  <c r="AX177" i="3"/>
  <c r="F178" i="3"/>
  <c r="AH178" i="3"/>
  <c r="AL178" i="3"/>
  <c r="AP178" i="3"/>
  <c r="AT178" i="3"/>
  <c r="AX178" i="3"/>
  <c r="F179" i="3"/>
  <c r="AH179" i="3"/>
  <c r="AL179" i="3"/>
  <c r="AP179" i="3"/>
  <c r="AT179" i="3"/>
  <c r="AX179" i="3"/>
  <c r="F180" i="3"/>
  <c r="J180" i="3"/>
  <c r="AL180" i="3"/>
  <c r="AP180" i="3"/>
  <c r="AT180" i="3"/>
  <c r="AX180" i="3"/>
  <c r="F181" i="3"/>
  <c r="J181" i="3"/>
  <c r="AL181" i="3"/>
  <c r="AP181" i="3"/>
  <c r="AT181" i="3"/>
  <c r="AX181" i="3"/>
  <c r="F182" i="3"/>
  <c r="J182" i="3"/>
  <c r="AL182" i="3"/>
  <c r="AP182" i="3"/>
  <c r="AT182" i="3"/>
  <c r="AX182" i="3"/>
  <c r="F183" i="3"/>
  <c r="J183" i="3"/>
  <c r="AL183" i="3"/>
  <c r="AP183" i="3"/>
  <c r="AT183" i="3"/>
  <c r="AX183" i="3"/>
  <c r="F184" i="3"/>
  <c r="J184" i="3"/>
  <c r="AL184" i="3"/>
  <c r="AP184" i="3"/>
  <c r="AT184" i="3"/>
  <c r="AX184" i="3"/>
  <c r="F185" i="3"/>
  <c r="J185" i="3"/>
  <c r="N185" i="3"/>
  <c r="AP185" i="3"/>
  <c r="AT185" i="3"/>
  <c r="AX185" i="3"/>
  <c r="F186" i="3"/>
  <c r="J186" i="3"/>
  <c r="N186" i="3"/>
  <c r="AP186" i="3"/>
  <c r="AT186" i="3"/>
  <c r="AX186" i="3"/>
  <c r="F187" i="3"/>
  <c r="J187" i="3"/>
  <c r="N187" i="3"/>
  <c r="AP187" i="3"/>
  <c r="AT187" i="3"/>
  <c r="AX187" i="3"/>
  <c r="F188" i="3"/>
  <c r="J188" i="3"/>
  <c r="N188" i="3"/>
  <c r="AP188" i="3"/>
  <c r="AT188" i="3"/>
  <c r="AX188" i="3"/>
  <c r="F189" i="3"/>
  <c r="J189" i="3"/>
  <c r="N189" i="3"/>
  <c r="AT189" i="3"/>
  <c r="AX189" i="3"/>
  <c r="F190" i="3"/>
  <c r="J190" i="3"/>
  <c r="N190" i="3"/>
  <c r="R190" i="3"/>
  <c r="AT190" i="3"/>
  <c r="AX190" i="3"/>
  <c r="F191" i="3"/>
  <c r="J191" i="3"/>
  <c r="N191" i="3"/>
  <c r="R191" i="3"/>
  <c r="AT191" i="3"/>
  <c r="AX191" i="3"/>
  <c r="F192" i="3"/>
  <c r="J192" i="3"/>
  <c r="N192" i="3"/>
  <c r="R192" i="3"/>
  <c r="AT192" i="3"/>
  <c r="AX192" i="3"/>
  <c r="F193" i="3"/>
  <c r="J193" i="3"/>
  <c r="N193" i="3"/>
  <c r="R193" i="3"/>
  <c r="V193" i="3"/>
  <c r="AX193" i="3"/>
  <c r="F194" i="3"/>
  <c r="J194" i="3"/>
  <c r="N194" i="3"/>
  <c r="R194" i="3"/>
  <c r="V194" i="3"/>
  <c r="AX194" i="3"/>
  <c r="F195" i="3"/>
  <c r="J195" i="3"/>
  <c r="N195" i="3"/>
  <c r="R195" i="3"/>
  <c r="V195" i="3"/>
  <c r="AX195" i="3"/>
  <c r="F196" i="3"/>
  <c r="J196" i="3"/>
  <c r="N196" i="3"/>
  <c r="R196" i="3"/>
  <c r="V196" i="3"/>
  <c r="AX196" i="3"/>
  <c r="F197" i="3"/>
  <c r="J197" i="3"/>
  <c r="N197" i="3"/>
  <c r="R197" i="3"/>
  <c r="V197" i="3"/>
  <c r="AX197" i="3"/>
  <c r="F198" i="3"/>
  <c r="J198" i="3"/>
  <c r="N198" i="3"/>
  <c r="R198" i="3"/>
  <c r="V198" i="3"/>
  <c r="Z198" i="3"/>
  <c r="F199" i="3"/>
  <c r="J199" i="3"/>
  <c r="N199" i="3"/>
  <c r="R199" i="3"/>
  <c r="V199" i="3"/>
  <c r="Z199" i="3"/>
  <c r="A200" i="3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F200" i="3"/>
  <c r="J200" i="3"/>
  <c r="N200" i="3"/>
  <c r="R200" i="3"/>
  <c r="V200" i="3"/>
  <c r="Z200" i="3"/>
  <c r="F201" i="3"/>
  <c r="J201" i="3"/>
  <c r="N201" i="3"/>
  <c r="R201" i="3"/>
  <c r="V201" i="3"/>
  <c r="Z201" i="3"/>
  <c r="J202" i="3"/>
  <c r="N202" i="3"/>
  <c r="R202" i="3"/>
  <c r="V202" i="3"/>
  <c r="Z202" i="3"/>
  <c r="AD202" i="3"/>
  <c r="J203" i="3"/>
  <c r="N203" i="3"/>
  <c r="R203" i="3"/>
  <c r="V203" i="3"/>
  <c r="Z203" i="3"/>
  <c r="AD203" i="3"/>
  <c r="J204" i="3"/>
  <c r="N204" i="3"/>
  <c r="R204" i="3"/>
  <c r="V204" i="3"/>
  <c r="Z204" i="3"/>
  <c r="AD204" i="3"/>
  <c r="J205" i="3"/>
  <c r="N205" i="3"/>
  <c r="R205" i="3"/>
  <c r="V205" i="3"/>
  <c r="Z205" i="3"/>
  <c r="AD205" i="3"/>
  <c r="N206" i="3"/>
  <c r="R206" i="3"/>
  <c r="V206" i="3"/>
  <c r="Z206" i="3"/>
  <c r="AD206" i="3"/>
  <c r="AH206" i="3"/>
  <c r="N207" i="3"/>
  <c r="R207" i="3"/>
  <c r="V207" i="3"/>
  <c r="Z207" i="3"/>
  <c r="AD207" i="3"/>
  <c r="AH207" i="3"/>
  <c r="N208" i="3"/>
  <c r="R208" i="3"/>
  <c r="V208" i="3"/>
  <c r="Z208" i="3"/>
  <c r="AD208" i="3"/>
  <c r="AH208" i="3"/>
  <c r="N209" i="3"/>
  <c r="R209" i="3"/>
  <c r="V209" i="3"/>
  <c r="Z209" i="3"/>
  <c r="AD209" i="3"/>
  <c r="AH209" i="3"/>
  <c r="N210" i="3"/>
  <c r="R210" i="3"/>
  <c r="V210" i="3"/>
  <c r="Z210" i="3"/>
  <c r="AD210" i="3"/>
  <c r="AH210" i="3"/>
  <c r="R211" i="3"/>
  <c r="V211" i="3"/>
  <c r="Z211" i="3"/>
  <c r="AD211" i="3"/>
  <c r="AH211" i="3"/>
  <c r="AL211" i="3"/>
  <c r="R212" i="3"/>
  <c r="V212" i="3"/>
  <c r="Z212" i="3"/>
  <c r="AD212" i="3"/>
  <c r="AH212" i="3"/>
  <c r="AL212" i="3"/>
  <c r="R213" i="3"/>
  <c r="V213" i="3"/>
  <c r="Z213" i="3"/>
  <c r="AD213" i="3"/>
  <c r="AH213" i="3"/>
  <c r="AL213" i="3"/>
  <c r="R214" i="3"/>
  <c r="V214" i="3"/>
  <c r="Z214" i="3"/>
  <c r="AD214" i="3"/>
  <c r="AH214" i="3"/>
  <c r="AL214" i="3"/>
  <c r="V215" i="3"/>
  <c r="Z215" i="3"/>
  <c r="AD215" i="3"/>
  <c r="AH215" i="3"/>
  <c r="AL215" i="3"/>
  <c r="AP215" i="3"/>
  <c r="V216" i="3"/>
  <c r="Z216" i="3"/>
  <c r="AD216" i="3"/>
  <c r="AH216" i="3"/>
  <c r="AL216" i="3"/>
  <c r="AP216" i="3"/>
  <c r="V217" i="3"/>
  <c r="Z217" i="3"/>
  <c r="AD217" i="3"/>
  <c r="AH217" i="3"/>
  <c r="AL217" i="3"/>
  <c r="AP217" i="3"/>
  <c r="V218" i="3"/>
  <c r="Z218" i="3"/>
  <c r="AD218" i="3"/>
  <c r="AH218" i="3"/>
  <c r="AL218" i="3"/>
  <c r="AP218" i="3"/>
  <c r="Z219" i="3"/>
  <c r="AD219" i="3"/>
  <c r="AH219" i="3"/>
  <c r="AL219" i="3"/>
  <c r="AP219" i="3"/>
  <c r="AT219" i="3"/>
  <c r="Z220" i="3"/>
  <c r="AD220" i="3"/>
  <c r="AH220" i="3"/>
  <c r="AL220" i="3"/>
  <c r="AP220" i="3"/>
  <c r="AT220" i="3"/>
  <c r="Z221" i="3"/>
  <c r="AD221" i="3"/>
  <c r="AH221" i="3"/>
  <c r="AL221" i="3"/>
  <c r="AP221" i="3"/>
  <c r="AT221" i="3"/>
  <c r="Z222" i="3"/>
  <c r="AD222" i="3"/>
  <c r="AH222" i="3"/>
  <c r="AL222" i="3"/>
  <c r="AP222" i="3"/>
  <c r="AT222" i="3"/>
  <c r="Z223" i="3"/>
  <c r="AD223" i="3"/>
  <c r="AH223" i="3"/>
  <c r="AL223" i="3"/>
  <c r="AP223" i="3"/>
  <c r="AT223" i="3"/>
  <c r="AD224" i="3"/>
  <c r="AH224" i="3"/>
  <c r="AL224" i="3"/>
  <c r="AP224" i="3"/>
  <c r="AT224" i="3"/>
  <c r="AX224" i="3"/>
  <c r="AD225" i="3"/>
  <c r="AH225" i="3"/>
  <c r="AL225" i="3"/>
  <c r="AP225" i="3"/>
  <c r="AT225" i="3"/>
  <c r="AX225" i="3"/>
  <c r="AD226" i="3"/>
  <c r="AH226" i="3"/>
  <c r="AL226" i="3"/>
  <c r="AP226" i="3"/>
  <c r="AT226" i="3"/>
  <c r="AX226" i="3"/>
  <c r="AD227" i="3"/>
  <c r="AH227" i="3"/>
  <c r="AL227" i="3"/>
  <c r="AP227" i="3"/>
  <c r="AT227" i="3"/>
  <c r="AX227" i="3"/>
  <c r="F228" i="3"/>
  <c r="AH228" i="3"/>
  <c r="AL228" i="3"/>
  <c r="AP228" i="3"/>
  <c r="AT228" i="3"/>
  <c r="AX228" i="3"/>
  <c r="F229" i="3"/>
  <c r="AH229" i="3"/>
  <c r="AL229" i="3"/>
  <c r="AP229" i="3"/>
  <c r="AT229" i="3"/>
  <c r="AX229" i="3"/>
  <c r="F230" i="3"/>
  <c r="AH230" i="3"/>
  <c r="AL230" i="3"/>
  <c r="AP230" i="3"/>
  <c r="AT230" i="3"/>
  <c r="AX230" i="3"/>
  <c r="F231" i="3"/>
  <c r="AH231" i="3"/>
  <c r="AL231" i="3"/>
  <c r="AP231" i="3"/>
  <c r="AT231" i="3"/>
  <c r="AX231" i="3"/>
  <c r="F232" i="3"/>
  <c r="J232" i="3"/>
  <c r="AL232" i="3"/>
  <c r="AP232" i="3"/>
  <c r="AT232" i="3"/>
  <c r="AX232" i="3"/>
  <c r="F233" i="3"/>
  <c r="J233" i="3"/>
  <c r="AL233" i="3"/>
  <c r="AP233" i="3"/>
  <c r="AT233" i="3"/>
  <c r="AX233" i="3"/>
  <c r="F234" i="3"/>
  <c r="J234" i="3"/>
  <c r="AL234" i="3"/>
  <c r="AP234" i="3"/>
  <c r="AT234" i="3"/>
  <c r="AX234" i="3"/>
  <c r="F235" i="3"/>
  <c r="J235" i="3"/>
  <c r="AL235" i="3"/>
  <c r="AP235" i="3"/>
  <c r="AT235" i="3"/>
  <c r="AX235" i="3"/>
  <c r="F236" i="3"/>
  <c r="J236" i="3"/>
  <c r="AL236" i="3"/>
  <c r="AP236" i="3"/>
  <c r="AT236" i="3"/>
  <c r="AX236" i="3"/>
  <c r="F237" i="3"/>
  <c r="J237" i="3"/>
  <c r="N237" i="3"/>
  <c r="AP237" i="3"/>
  <c r="AT237" i="3"/>
  <c r="AX237" i="3"/>
  <c r="F238" i="3"/>
  <c r="J238" i="3"/>
  <c r="N238" i="3"/>
  <c r="AP238" i="3"/>
  <c r="AT238" i="3"/>
  <c r="AX238" i="3"/>
  <c r="F239" i="3"/>
  <c r="J239" i="3"/>
  <c r="N239" i="3"/>
  <c r="AP239" i="3"/>
  <c r="AT239" i="3"/>
  <c r="AX239" i="3"/>
  <c r="F240" i="3"/>
  <c r="J240" i="3"/>
  <c r="N240" i="3"/>
  <c r="AP240" i="3"/>
  <c r="AT240" i="3"/>
  <c r="AX240" i="3"/>
  <c r="F241" i="3"/>
  <c r="J241" i="3"/>
  <c r="N241" i="3"/>
  <c r="R241" i="3"/>
  <c r="AT241" i="3"/>
  <c r="AX241" i="3"/>
  <c r="F243" i="3"/>
  <c r="J243" i="3"/>
  <c r="N243" i="3"/>
  <c r="R243" i="3"/>
  <c r="AT243" i="3"/>
  <c r="AX243" i="3"/>
  <c r="F244" i="3"/>
  <c r="J244" i="3"/>
  <c r="N244" i="3"/>
  <c r="R244" i="3"/>
  <c r="AT244" i="3"/>
  <c r="AX244" i="3"/>
  <c r="F245" i="3"/>
  <c r="J245" i="3"/>
  <c r="N245" i="3"/>
  <c r="R245" i="3"/>
  <c r="AT245" i="3"/>
  <c r="AX245" i="3"/>
  <c r="F246" i="3"/>
  <c r="J246" i="3"/>
  <c r="N246" i="3"/>
  <c r="R246" i="3"/>
  <c r="V246" i="3"/>
  <c r="AX246" i="3"/>
  <c r="F247" i="3"/>
  <c r="J247" i="3"/>
  <c r="N247" i="3"/>
  <c r="R247" i="3"/>
  <c r="V247" i="3"/>
  <c r="AX247" i="3"/>
  <c r="F248" i="3"/>
  <c r="J248" i="3"/>
  <c r="N248" i="3"/>
  <c r="R248" i="3"/>
  <c r="V248" i="3"/>
  <c r="AX248" i="3"/>
  <c r="F249" i="3"/>
  <c r="J249" i="3"/>
  <c r="N249" i="3"/>
  <c r="R249" i="3"/>
  <c r="V249" i="3"/>
  <c r="AX249" i="3"/>
  <c r="B250" i="3"/>
  <c r="B249" i="3"/>
  <c r="B248" i="3" s="1"/>
  <c r="B247" i="3" s="1"/>
  <c r="B246" i="3" s="1"/>
  <c r="B245" i="3" s="1"/>
  <c r="B244" i="3" s="1"/>
  <c r="B243" i="3" s="1"/>
  <c r="B242" i="3" s="1"/>
  <c r="B241" i="3" s="1"/>
  <c r="B240" i="3" s="1"/>
  <c r="B239" i="3" s="1"/>
  <c r="B238" i="3" s="1"/>
  <c r="B237" i="3" s="1"/>
  <c r="B236" i="3" s="1"/>
  <c r="B235" i="3" s="1"/>
  <c r="B234" i="3" s="1"/>
  <c r="B233" i="3" s="1"/>
  <c r="B232" i="3" s="1"/>
  <c r="B231" i="3" s="1"/>
  <c r="B230" i="3" s="1"/>
  <c r="B229" i="3" s="1"/>
  <c r="B228" i="3" s="1"/>
  <c r="B227" i="3" s="1"/>
  <c r="B226" i="3" s="1"/>
  <c r="B225" i="3" s="1"/>
  <c r="B224" i="3" s="1"/>
  <c r="B223" i="3" s="1"/>
  <c r="B222" i="3" s="1"/>
  <c r="B221" i="3" s="1"/>
  <c r="B220" i="3" s="1"/>
  <c r="B219" i="3" s="1"/>
  <c r="B218" i="3" s="1"/>
  <c r="B217" i="3" s="1"/>
  <c r="B216" i="3" s="1"/>
  <c r="B215" i="3" s="1"/>
  <c r="B214" i="3" s="1"/>
  <c r="B213" i="3" s="1"/>
  <c r="B212" i="3" s="1"/>
  <c r="B211" i="3" s="1"/>
  <c r="B210" i="3" s="1"/>
  <c r="B209" i="3" s="1"/>
  <c r="B208" i="3" s="1"/>
  <c r="B207" i="3" s="1"/>
  <c r="B206" i="3" s="1"/>
  <c r="B205" i="3" s="1"/>
  <c r="B204" i="3" s="1"/>
  <c r="B203" i="3" s="1"/>
  <c r="B202" i="3" s="1"/>
  <c r="B201" i="3" s="1"/>
  <c r="B200" i="3" s="1"/>
  <c r="B199" i="3" s="1"/>
  <c r="B198" i="3" s="1"/>
  <c r="B197" i="3" s="1"/>
  <c r="B196" i="3" s="1"/>
  <c r="B195" i="3" s="1"/>
  <c r="B194" i="3" s="1"/>
  <c r="B193" i="3" s="1"/>
  <c r="B192" i="3" s="1"/>
  <c r="B191" i="3" s="1"/>
  <c r="B190" i="3" s="1"/>
  <c r="B189" i="3" s="1"/>
  <c r="B188" i="3" s="1"/>
  <c r="B187" i="3" s="1"/>
  <c r="B186" i="3" s="1"/>
  <c r="B185" i="3" s="1"/>
  <c r="B184" i="3" s="1"/>
  <c r="B183" i="3" s="1"/>
  <c r="B182" i="3" s="1"/>
  <c r="B181" i="3" s="1"/>
  <c r="B180" i="3" s="1"/>
  <c r="B179" i="3" s="1"/>
  <c r="B178" i="3" s="1"/>
  <c r="B177" i="3" s="1"/>
  <c r="B176" i="3" s="1"/>
  <c r="B175" i="3" s="1"/>
  <c r="B174" i="3" s="1"/>
  <c r="B173" i="3" s="1"/>
  <c r="B172" i="3" s="1"/>
  <c r="B171" i="3" s="1"/>
  <c r="B170" i="3" s="1"/>
  <c r="B169" i="3" s="1"/>
  <c r="B168" i="3" s="1"/>
  <c r="B167" i="3" s="1"/>
  <c r="B166" i="3" s="1"/>
  <c r="B165" i="3" s="1"/>
  <c r="B164" i="3" s="1"/>
  <c r="B163" i="3" s="1"/>
  <c r="B162" i="3" s="1"/>
  <c r="B161" i="3" s="1"/>
  <c r="B160" i="3" s="1"/>
  <c r="B159" i="3" s="1"/>
  <c r="B158" i="3" s="1"/>
  <c r="B157" i="3" s="1"/>
  <c r="B156" i="3" s="1"/>
  <c r="B155" i="3" s="1"/>
  <c r="B154" i="3" s="1"/>
  <c r="B153" i="3" s="1"/>
  <c r="B152" i="3" s="1"/>
  <c r="B151" i="3" s="1"/>
  <c r="B150" i="3" s="1"/>
  <c r="B149" i="3" s="1"/>
  <c r="B148" i="3" s="1"/>
  <c r="B147" i="3" s="1"/>
  <c r="F250" i="3"/>
  <c r="J250" i="3"/>
  <c r="N250" i="3"/>
  <c r="R250" i="3"/>
  <c r="V250" i="3"/>
  <c r="Z250" i="3"/>
  <c r="F251" i="3"/>
  <c r="J251" i="3"/>
  <c r="N251" i="3"/>
  <c r="R251" i="3"/>
  <c r="V251" i="3"/>
  <c r="Z251" i="3"/>
  <c r="A252" i="3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B252" i="3"/>
  <c r="F252" i="3"/>
  <c r="J252" i="3"/>
  <c r="N252" i="3"/>
  <c r="R252" i="3"/>
  <c r="V252" i="3"/>
  <c r="Z252" i="3"/>
  <c r="F253" i="3"/>
  <c r="J253" i="3"/>
  <c r="N253" i="3"/>
  <c r="R253" i="3"/>
  <c r="V253" i="3"/>
  <c r="Z253" i="3"/>
  <c r="J254" i="3"/>
  <c r="N254" i="3"/>
  <c r="R254" i="3"/>
  <c r="V254" i="3"/>
  <c r="Z254" i="3"/>
  <c r="AD254" i="3"/>
  <c r="J255" i="3"/>
  <c r="N255" i="3"/>
  <c r="R255" i="3"/>
  <c r="V255" i="3"/>
  <c r="Z255" i="3"/>
  <c r="AD255" i="3"/>
  <c r="J256" i="3"/>
  <c r="N256" i="3"/>
  <c r="R256" i="3"/>
  <c r="V256" i="3"/>
  <c r="Z256" i="3"/>
  <c r="AD256" i="3"/>
  <c r="J257" i="3"/>
  <c r="N257" i="3"/>
  <c r="R257" i="3"/>
  <c r="V257" i="3"/>
  <c r="Z257" i="3"/>
  <c r="AD257" i="3"/>
  <c r="J258" i="3"/>
  <c r="N258" i="3"/>
  <c r="R258" i="3"/>
  <c r="V258" i="3"/>
  <c r="Z258" i="3"/>
  <c r="AD258" i="3"/>
  <c r="N259" i="3"/>
  <c r="R259" i="3"/>
  <c r="V259" i="3"/>
  <c r="Z259" i="3"/>
  <c r="AD259" i="3"/>
  <c r="AH259" i="3"/>
  <c r="N260" i="3"/>
  <c r="R260" i="3"/>
  <c r="V260" i="3"/>
  <c r="Z260" i="3"/>
  <c r="AD260" i="3"/>
  <c r="AH260" i="3"/>
  <c r="N261" i="3"/>
  <c r="R261" i="3"/>
  <c r="V261" i="3"/>
  <c r="Z261" i="3"/>
  <c r="AD261" i="3"/>
  <c r="AH261" i="3"/>
  <c r="N262" i="3"/>
  <c r="R262" i="3"/>
  <c r="V262" i="3"/>
  <c r="Z262" i="3"/>
  <c r="AD262" i="3"/>
  <c r="AH262" i="3"/>
  <c r="R263" i="3"/>
  <c r="V263" i="3"/>
  <c r="Z263" i="3"/>
  <c r="AD263" i="3"/>
  <c r="AH263" i="3"/>
  <c r="AL263" i="3"/>
  <c r="R264" i="3"/>
  <c r="V264" i="3"/>
  <c r="Z264" i="3"/>
  <c r="AD264" i="3"/>
  <c r="AH264" i="3"/>
  <c r="AL264" i="3"/>
  <c r="R265" i="3"/>
  <c r="V265" i="3"/>
  <c r="Z265" i="3"/>
  <c r="AD265" i="3"/>
  <c r="AH265" i="3"/>
  <c r="AL265" i="3"/>
  <c r="R266" i="3"/>
  <c r="V266" i="3"/>
  <c r="Z266" i="3"/>
  <c r="AD266" i="3"/>
  <c r="AH266" i="3"/>
  <c r="AL266" i="3"/>
  <c r="V267" i="3"/>
  <c r="Z267" i="3"/>
  <c r="AD267" i="3"/>
  <c r="AH267" i="3"/>
  <c r="AL267" i="3"/>
  <c r="AP267" i="3"/>
  <c r="V268" i="3"/>
  <c r="Z268" i="3"/>
  <c r="AD268" i="3"/>
  <c r="AH268" i="3"/>
  <c r="AL268" i="3"/>
  <c r="AP268" i="3"/>
  <c r="V269" i="3"/>
  <c r="Z269" i="3"/>
  <c r="AD269" i="3"/>
  <c r="AH269" i="3"/>
  <c r="AL269" i="3"/>
  <c r="AP269" i="3"/>
  <c r="V270" i="3"/>
  <c r="Z270" i="3"/>
  <c r="AD270" i="3"/>
  <c r="AH270" i="3"/>
  <c r="AL270" i="3"/>
  <c r="AP270" i="3"/>
  <c r="Z271" i="3"/>
  <c r="AD271" i="3"/>
  <c r="AH271" i="3"/>
  <c r="AL271" i="3"/>
  <c r="AP271" i="3"/>
  <c r="AT271" i="3"/>
  <c r="Z272" i="3"/>
  <c r="AD272" i="3"/>
  <c r="AH272" i="3"/>
  <c r="AL272" i="3"/>
  <c r="AP272" i="3"/>
  <c r="AT272" i="3"/>
  <c r="Z273" i="3"/>
  <c r="AD273" i="3"/>
  <c r="AH273" i="3"/>
  <c r="AL273" i="3"/>
  <c r="AP273" i="3"/>
  <c r="AT273" i="3"/>
  <c r="Z274" i="3"/>
  <c r="AD274" i="3"/>
  <c r="AH274" i="3"/>
  <c r="AL274" i="3"/>
  <c r="AP274" i="3"/>
  <c r="AT274" i="3"/>
  <c r="Z275" i="3"/>
  <c r="AD275" i="3"/>
  <c r="AH275" i="3"/>
  <c r="AL275" i="3"/>
  <c r="AP275" i="3"/>
  <c r="AT275" i="3"/>
  <c r="AD276" i="3"/>
  <c r="AH276" i="3"/>
  <c r="AL276" i="3"/>
  <c r="AP276" i="3"/>
  <c r="AT276" i="3"/>
  <c r="AX276" i="3"/>
  <c r="AD277" i="3"/>
  <c r="AH277" i="3"/>
  <c r="AL277" i="3"/>
  <c r="AP277" i="3"/>
  <c r="AT277" i="3"/>
  <c r="AX277" i="3"/>
  <c r="AD278" i="3"/>
  <c r="AH278" i="3"/>
  <c r="AL278" i="3"/>
  <c r="AP278" i="3"/>
  <c r="AT278" i="3"/>
  <c r="AX278" i="3"/>
  <c r="AD279" i="3"/>
  <c r="AH279" i="3"/>
  <c r="AL279" i="3"/>
  <c r="AP279" i="3"/>
  <c r="AT279" i="3"/>
  <c r="AX279" i="3"/>
  <c r="AD280" i="3"/>
  <c r="AH280" i="3"/>
  <c r="AL280" i="3"/>
  <c r="AP280" i="3"/>
  <c r="F281" i="3"/>
  <c r="AH281" i="3"/>
  <c r="AL281" i="3"/>
  <c r="AP281" i="3"/>
  <c r="AT281" i="3"/>
  <c r="AX281" i="3"/>
  <c r="F282" i="3"/>
  <c r="AH282" i="3"/>
  <c r="AL282" i="3"/>
  <c r="AP282" i="3"/>
  <c r="AT282" i="3"/>
  <c r="AX282" i="3"/>
  <c r="AH283" i="3"/>
  <c r="AL283" i="3"/>
  <c r="AP283" i="3"/>
  <c r="AT283" i="3"/>
  <c r="F284" i="3"/>
  <c r="J284" i="3"/>
  <c r="AL284" i="3"/>
  <c r="AP284" i="3"/>
  <c r="AT284" i="3"/>
  <c r="AX284" i="3"/>
  <c r="F285" i="3"/>
  <c r="J285" i="3"/>
  <c r="AL285" i="3"/>
  <c r="AP285" i="3"/>
  <c r="AT285" i="3"/>
  <c r="AX285" i="3"/>
  <c r="F286" i="3"/>
  <c r="J286" i="3"/>
  <c r="AL286" i="3"/>
  <c r="AP286" i="3"/>
  <c r="AT286" i="3"/>
  <c r="AX286" i="3"/>
  <c r="F287" i="3"/>
  <c r="J287" i="3"/>
  <c r="AL287" i="3"/>
  <c r="AP287" i="3"/>
  <c r="AT287" i="3"/>
  <c r="AX287" i="3"/>
  <c r="F288" i="3"/>
  <c r="J288" i="3"/>
  <c r="AL288" i="3"/>
  <c r="AP288" i="3"/>
  <c r="AT288" i="3"/>
  <c r="AX288" i="3"/>
  <c r="F292" i="3"/>
  <c r="J292" i="3"/>
  <c r="N292" i="3"/>
  <c r="AP292" i="3"/>
  <c r="AT292" i="3"/>
  <c r="AX292" i="3"/>
  <c r="F293" i="3"/>
  <c r="J293" i="3"/>
  <c r="N293" i="3"/>
  <c r="R293" i="3"/>
  <c r="AT293" i="3"/>
  <c r="AX293" i="3"/>
  <c r="F294" i="3"/>
  <c r="J294" i="3"/>
  <c r="N294" i="3"/>
  <c r="R294" i="3"/>
  <c r="AT294" i="3"/>
  <c r="AX294" i="3"/>
  <c r="F295" i="3"/>
  <c r="J295" i="3"/>
  <c r="N295" i="3"/>
  <c r="R295" i="3"/>
  <c r="AT295" i="3"/>
  <c r="AX295" i="3"/>
  <c r="F296" i="3"/>
  <c r="J296" i="3"/>
  <c r="N296" i="3"/>
  <c r="R296" i="3"/>
  <c r="AT296" i="3"/>
  <c r="AX296" i="3"/>
  <c r="F297" i="3"/>
  <c r="J297" i="3"/>
  <c r="N297" i="3"/>
  <c r="R297" i="3"/>
  <c r="AT297" i="3"/>
  <c r="AX297" i="3"/>
  <c r="F298" i="3"/>
  <c r="J298" i="3"/>
  <c r="N298" i="3"/>
  <c r="R298" i="3"/>
  <c r="AT298" i="3"/>
  <c r="AX298" i="3"/>
  <c r="F299" i="3"/>
  <c r="J299" i="3"/>
  <c r="N299" i="3"/>
  <c r="R299" i="3"/>
  <c r="V299" i="3"/>
  <c r="AX299" i="3"/>
  <c r="F300" i="3"/>
  <c r="J300" i="3"/>
  <c r="N300" i="3"/>
  <c r="R300" i="3"/>
  <c r="V300" i="3"/>
  <c r="AX300" i="3"/>
  <c r="F301" i="3"/>
  <c r="J301" i="3"/>
  <c r="N301" i="3"/>
  <c r="R301" i="3"/>
  <c r="V301" i="3"/>
  <c r="AX301" i="3"/>
  <c r="F302" i="3"/>
  <c r="J302" i="3"/>
  <c r="N302" i="3"/>
  <c r="R302" i="3"/>
  <c r="V302" i="3"/>
  <c r="Z302" i="3"/>
  <c r="F303" i="3"/>
  <c r="J303" i="3"/>
  <c r="N303" i="3"/>
  <c r="R303" i="3"/>
  <c r="V303" i="3"/>
  <c r="Z303" i="3"/>
  <c r="F304" i="3"/>
  <c r="J304" i="3"/>
  <c r="N304" i="3"/>
  <c r="R304" i="3"/>
  <c r="V304" i="3"/>
  <c r="Z304" i="3"/>
  <c r="A305" i="3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F305" i="3"/>
  <c r="J305" i="3"/>
  <c r="N305" i="3"/>
  <c r="R305" i="3"/>
  <c r="V305" i="3"/>
  <c r="Z305" i="3"/>
  <c r="B306" i="3"/>
  <c r="B305" i="3" s="1"/>
  <c r="B304" i="3" s="1"/>
  <c r="B303" i="3" s="1"/>
  <c r="B302" i="3" s="1"/>
  <c r="B301" i="3" s="1"/>
  <c r="B300" i="3" s="1"/>
  <c r="B299" i="3" s="1"/>
  <c r="B298" i="3" s="1"/>
  <c r="B297" i="3" s="1"/>
  <c r="B296" i="3" s="1"/>
  <c r="B295" i="3" s="1"/>
  <c r="B294" i="3" s="1"/>
  <c r="B293" i="3" s="1"/>
  <c r="B292" i="3" s="1"/>
  <c r="B291" i="3" s="1"/>
  <c r="B290" i="3" s="1"/>
  <c r="B289" i="3" s="1"/>
  <c r="B288" i="3" s="1"/>
  <c r="B287" i="3" s="1"/>
  <c r="B286" i="3" s="1"/>
  <c r="B285" i="3" s="1"/>
  <c r="B284" i="3" s="1"/>
  <c r="B283" i="3" s="1"/>
  <c r="B282" i="3" s="1"/>
  <c r="B281" i="3" s="1"/>
  <c r="B280" i="3" s="1"/>
  <c r="B279" i="3" s="1"/>
  <c r="B278" i="3" s="1"/>
  <c r="B277" i="3" s="1"/>
  <c r="B276" i="3" s="1"/>
  <c r="B275" i="3" s="1"/>
  <c r="B274" i="3" s="1"/>
  <c r="B273" i="3" s="1"/>
  <c r="B272" i="3" s="1"/>
  <c r="B271" i="3" s="1"/>
  <c r="B270" i="3" s="1"/>
  <c r="B269" i="3" s="1"/>
  <c r="B268" i="3" s="1"/>
  <c r="B267" i="3" s="1"/>
  <c r="B266" i="3" s="1"/>
  <c r="B265" i="3" s="1"/>
  <c r="B264" i="3" s="1"/>
  <c r="B263" i="3" s="1"/>
  <c r="B262" i="3" s="1"/>
  <c r="B261" i="3" s="1"/>
  <c r="B260" i="3" s="1"/>
  <c r="B259" i="3" s="1"/>
  <c r="B258" i="3" s="1"/>
  <c r="B257" i="3" s="1"/>
  <c r="B256" i="3" s="1"/>
  <c r="B255" i="3" s="1"/>
  <c r="B254" i="3" s="1"/>
  <c r="B253" i="3" s="1"/>
  <c r="J306" i="3"/>
  <c r="N306" i="3"/>
  <c r="R306" i="3"/>
  <c r="V306" i="3"/>
  <c r="Z306" i="3"/>
  <c r="AD306" i="3"/>
  <c r="J307" i="3"/>
  <c r="N307" i="3"/>
  <c r="R307" i="3"/>
  <c r="V307" i="3"/>
  <c r="Z307" i="3"/>
  <c r="AD307" i="3"/>
  <c r="J308" i="3"/>
  <c r="N308" i="3"/>
  <c r="R308" i="3"/>
  <c r="V308" i="3"/>
  <c r="Z308" i="3"/>
  <c r="AD308" i="3"/>
  <c r="B309" i="3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J309" i="3"/>
  <c r="N309" i="3"/>
  <c r="R309" i="3"/>
  <c r="V309" i="3"/>
  <c r="Z309" i="3"/>
  <c r="AD309" i="3"/>
  <c r="J310" i="3"/>
  <c r="N310" i="3"/>
  <c r="R310" i="3"/>
  <c r="V310" i="3"/>
  <c r="Z310" i="3"/>
  <c r="AD310" i="3"/>
  <c r="N311" i="3"/>
  <c r="R311" i="3"/>
  <c r="V311" i="3"/>
  <c r="Z311" i="3"/>
  <c r="AD311" i="3"/>
  <c r="AH311" i="3"/>
  <c r="N312" i="3"/>
  <c r="R312" i="3"/>
  <c r="V312" i="3"/>
  <c r="Z312" i="3"/>
  <c r="AD312" i="3"/>
  <c r="AH312" i="3"/>
  <c r="N313" i="3"/>
  <c r="R313" i="3"/>
  <c r="V313" i="3"/>
  <c r="Z313" i="3"/>
  <c r="AD313" i="3"/>
  <c r="AH313" i="3"/>
  <c r="N314" i="3"/>
  <c r="R314" i="3"/>
  <c r="V314" i="3"/>
  <c r="Z314" i="3"/>
  <c r="AD314" i="3"/>
  <c r="AH314" i="3"/>
  <c r="R315" i="3"/>
  <c r="V315" i="3"/>
  <c r="Z315" i="3"/>
  <c r="AD315" i="3"/>
  <c r="AH315" i="3"/>
  <c r="AL315" i="3"/>
  <c r="R316" i="3"/>
  <c r="V316" i="3"/>
  <c r="Z316" i="3"/>
  <c r="AD316" i="3"/>
  <c r="AH316" i="3"/>
  <c r="AL316" i="3"/>
  <c r="R317" i="3"/>
  <c r="V317" i="3"/>
  <c r="Z317" i="3"/>
  <c r="AD317" i="3"/>
  <c r="AH317" i="3"/>
  <c r="AL317" i="3"/>
  <c r="R318" i="3"/>
  <c r="V318" i="3"/>
  <c r="Z318" i="3"/>
  <c r="AD318" i="3"/>
  <c r="AH318" i="3"/>
  <c r="AL318" i="3"/>
  <c r="V319" i="3"/>
  <c r="Z319" i="3"/>
  <c r="AD319" i="3"/>
  <c r="AH319" i="3"/>
  <c r="AL319" i="3"/>
  <c r="AP319" i="3"/>
  <c r="V320" i="3"/>
  <c r="Z320" i="3"/>
  <c r="AD320" i="3"/>
  <c r="AH320" i="3"/>
  <c r="AL320" i="3"/>
  <c r="AP320" i="3"/>
  <c r="V321" i="3"/>
  <c r="Z321" i="3"/>
  <c r="AD321" i="3"/>
  <c r="AH321" i="3"/>
  <c r="AL321" i="3"/>
  <c r="AP321" i="3"/>
  <c r="V322" i="3"/>
  <c r="Z322" i="3"/>
  <c r="AD322" i="3"/>
  <c r="AH322" i="3"/>
  <c r="AL322" i="3"/>
  <c r="AP322" i="3"/>
  <c r="V323" i="3"/>
  <c r="Z323" i="3"/>
  <c r="AD323" i="3"/>
  <c r="AH323" i="3"/>
  <c r="AL323" i="3"/>
  <c r="AP323" i="3"/>
  <c r="Z324" i="3"/>
  <c r="AD324" i="3"/>
  <c r="AH324" i="3"/>
  <c r="AL324" i="3"/>
  <c r="AP324" i="3"/>
  <c r="AT324" i="3"/>
  <c r="Z325" i="3"/>
  <c r="AD325" i="3"/>
  <c r="AH325" i="3"/>
  <c r="AL325" i="3"/>
  <c r="AP325" i="3"/>
  <c r="AT325" i="3"/>
  <c r="Z326" i="3"/>
  <c r="AD326" i="3"/>
  <c r="AH326" i="3"/>
  <c r="AL326" i="3"/>
  <c r="AP326" i="3"/>
  <c r="AT326" i="3"/>
  <c r="Z327" i="3"/>
  <c r="AD327" i="3"/>
  <c r="AH327" i="3"/>
  <c r="AL327" i="3"/>
  <c r="AP327" i="3"/>
  <c r="AT327" i="3"/>
  <c r="AD328" i="3"/>
  <c r="AH328" i="3"/>
  <c r="AL328" i="3"/>
  <c r="AP328" i="3"/>
  <c r="AT328" i="3"/>
  <c r="AX328" i="3"/>
  <c r="AD329" i="3"/>
  <c r="AH329" i="3"/>
  <c r="AL329" i="3"/>
  <c r="AP329" i="3"/>
  <c r="AT329" i="3"/>
  <c r="AX329" i="3"/>
  <c r="AD330" i="3"/>
  <c r="AH330" i="3"/>
  <c r="AL330" i="3"/>
  <c r="AP330" i="3"/>
  <c r="AT330" i="3"/>
  <c r="AX330" i="3"/>
  <c r="AD331" i="3"/>
  <c r="AH331" i="3"/>
  <c r="AL331" i="3"/>
  <c r="AP331" i="3"/>
  <c r="AT331" i="3"/>
  <c r="AX331" i="3"/>
  <c r="F332" i="3"/>
  <c r="AH332" i="3"/>
  <c r="AL332" i="3"/>
  <c r="AP332" i="3"/>
  <c r="AT332" i="3"/>
  <c r="AX332" i="3"/>
  <c r="F333" i="3"/>
  <c r="AH333" i="3"/>
  <c r="AL333" i="3"/>
  <c r="AP333" i="3"/>
  <c r="AT333" i="3"/>
  <c r="AX333" i="3"/>
  <c r="F334" i="3"/>
  <c r="AH334" i="3"/>
  <c r="AL334" i="3"/>
  <c r="AP334" i="3"/>
  <c r="AT334" i="3"/>
  <c r="AX334" i="3"/>
  <c r="F335" i="3"/>
  <c r="AH335" i="3"/>
  <c r="AL335" i="3"/>
  <c r="AP335" i="3"/>
  <c r="AT335" i="3"/>
  <c r="AX335" i="3"/>
  <c r="F336" i="3"/>
  <c r="J336" i="3"/>
  <c r="AL336" i="3"/>
  <c r="AP336" i="3"/>
  <c r="AT336" i="3"/>
  <c r="AX336" i="3"/>
  <c r="F337" i="3"/>
  <c r="J337" i="3"/>
  <c r="N337" i="3"/>
  <c r="AP337" i="3"/>
  <c r="AT337" i="3"/>
  <c r="AX337" i="3"/>
  <c r="F338" i="3"/>
  <c r="J338" i="3"/>
  <c r="N338" i="3"/>
  <c r="AP338" i="3"/>
  <c r="AT338" i="3"/>
  <c r="AX338" i="3"/>
  <c r="F339" i="3"/>
  <c r="J339" i="3"/>
  <c r="N339" i="3"/>
  <c r="AP339" i="3"/>
  <c r="AT339" i="3"/>
  <c r="AX339" i="3"/>
  <c r="F340" i="3"/>
  <c r="J340" i="3"/>
  <c r="N340" i="3"/>
  <c r="AP340" i="3"/>
  <c r="AT340" i="3"/>
  <c r="AX340" i="3"/>
  <c r="F341" i="3"/>
  <c r="J341" i="3"/>
  <c r="N341" i="3"/>
  <c r="R341" i="3"/>
  <c r="AT341" i="3"/>
  <c r="AX341" i="3"/>
  <c r="F342" i="3"/>
  <c r="J342" i="3"/>
  <c r="N342" i="3"/>
  <c r="R342" i="3"/>
  <c r="AT342" i="3"/>
  <c r="AX342" i="3"/>
  <c r="F343" i="3"/>
  <c r="J343" i="3"/>
  <c r="N343" i="3"/>
  <c r="R343" i="3"/>
  <c r="AT343" i="3"/>
  <c r="AX343" i="3"/>
  <c r="F344" i="3"/>
  <c r="J344" i="3"/>
  <c r="N344" i="3"/>
  <c r="R344" i="3"/>
  <c r="AT344" i="3"/>
  <c r="AX344" i="3"/>
  <c r="F345" i="3"/>
  <c r="J345" i="3"/>
  <c r="N345" i="3"/>
  <c r="R345" i="3"/>
  <c r="AX345" i="3"/>
  <c r="F346" i="3"/>
  <c r="J346" i="3"/>
  <c r="N346" i="3"/>
  <c r="R346" i="3"/>
  <c r="AX346" i="3"/>
  <c r="F347" i="3"/>
  <c r="J347" i="3"/>
  <c r="N347" i="3"/>
  <c r="R347" i="3"/>
  <c r="V347" i="3"/>
  <c r="AX347" i="3"/>
  <c r="F348" i="3"/>
  <c r="J348" i="3"/>
  <c r="N348" i="3"/>
  <c r="R348" i="3"/>
  <c r="V348" i="3"/>
  <c r="AX348" i="3"/>
  <c r="F349" i="3"/>
  <c r="J349" i="3"/>
  <c r="N349" i="3"/>
  <c r="R349" i="3"/>
  <c r="V349" i="3"/>
  <c r="AX349" i="3"/>
  <c r="F350" i="3"/>
  <c r="J350" i="3"/>
  <c r="N350" i="3"/>
  <c r="R350" i="3"/>
  <c r="V350" i="3"/>
  <c r="Z350" i="3"/>
  <c r="F351" i="3"/>
  <c r="J351" i="3"/>
  <c r="N351" i="3"/>
  <c r="R351" i="3"/>
  <c r="V351" i="3"/>
  <c r="Z351" i="3"/>
  <c r="F352" i="3"/>
  <c r="J352" i="3"/>
  <c r="N352" i="3"/>
  <c r="R352" i="3"/>
  <c r="V352" i="3"/>
  <c r="Z352" i="3"/>
  <c r="F353" i="3"/>
  <c r="J353" i="3"/>
  <c r="N353" i="3"/>
  <c r="R353" i="3"/>
  <c r="V353" i="3"/>
  <c r="Z353" i="3"/>
  <c r="J354" i="3"/>
  <c r="N354" i="3"/>
  <c r="R354" i="3"/>
  <c r="V354" i="3"/>
  <c r="Z354" i="3"/>
  <c r="J355" i="3"/>
  <c r="N355" i="3"/>
  <c r="R355" i="3"/>
  <c r="V355" i="3"/>
  <c r="Z355" i="3"/>
  <c r="AD355" i="3"/>
  <c r="J356" i="3"/>
  <c r="N356" i="3"/>
  <c r="R356" i="3"/>
  <c r="V356" i="3"/>
  <c r="Z356" i="3"/>
  <c r="AD356" i="3"/>
  <c r="A357" i="3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J357" i="3"/>
  <c r="N357" i="3"/>
  <c r="R357" i="3"/>
  <c r="V357" i="3"/>
  <c r="Z357" i="3"/>
  <c r="AD357" i="3"/>
  <c r="J358" i="3"/>
  <c r="N358" i="3"/>
  <c r="R358" i="3"/>
  <c r="V358" i="3"/>
  <c r="Z358" i="3"/>
  <c r="AD358" i="3"/>
  <c r="N359" i="3"/>
  <c r="R359" i="3"/>
  <c r="V359" i="3"/>
  <c r="Z359" i="3"/>
  <c r="AD359" i="3"/>
  <c r="AH359" i="3"/>
  <c r="N360" i="3"/>
  <c r="R360" i="3"/>
  <c r="V360" i="3"/>
  <c r="Z360" i="3"/>
  <c r="AD360" i="3"/>
  <c r="AH360" i="3"/>
  <c r="N361" i="3"/>
  <c r="R361" i="3"/>
  <c r="V361" i="3"/>
  <c r="Z361" i="3"/>
  <c r="AD361" i="3"/>
  <c r="AH361" i="3"/>
  <c r="N362" i="3"/>
  <c r="R362" i="3"/>
  <c r="V362" i="3"/>
  <c r="Z362" i="3"/>
  <c r="AD362" i="3"/>
  <c r="AH362" i="3"/>
  <c r="R363" i="3"/>
  <c r="V363" i="3"/>
  <c r="Z363" i="3"/>
  <c r="AD363" i="3"/>
  <c r="AH363" i="3"/>
  <c r="AL363" i="3"/>
  <c r="R364" i="3"/>
  <c r="V364" i="3"/>
  <c r="Z364" i="3"/>
  <c r="AD364" i="3"/>
  <c r="AH364" i="3"/>
  <c r="AL364" i="3"/>
  <c r="R365" i="3"/>
  <c r="V365" i="3"/>
  <c r="Z365" i="3"/>
  <c r="AD365" i="3"/>
  <c r="AH365" i="3"/>
  <c r="AL365" i="3"/>
  <c r="R366" i="3"/>
  <c r="V366" i="3"/>
  <c r="Z366" i="3"/>
  <c r="AD366" i="3"/>
  <c r="AH366" i="3"/>
  <c r="AL366" i="3"/>
  <c r="V367" i="3"/>
  <c r="Z367" i="3"/>
  <c r="AD367" i="3"/>
  <c r="AH367" i="3"/>
  <c r="AL367" i="3"/>
  <c r="AP367" i="3"/>
  <c r="V368" i="3"/>
  <c r="Z368" i="3"/>
  <c r="AD368" i="3"/>
  <c r="AH368" i="3"/>
  <c r="AL368" i="3"/>
  <c r="AP368" i="3"/>
  <c r="V369" i="3"/>
  <c r="Z369" i="3"/>
  <c r="AD369" i="3"/>
  <c r="AH369" i="3"/>
  <c r="AL369" i="3"/>
  <c r="AP369" i="3"/>
  <c r="V370" i="3"/>
  <c r="Z370" i="3"/>
  <c r="AD370" i="3"/>
  <c r="AH370" i="3"/>
  <c r="AL370" i="3"/>
  <c r="AP370" i="3"/>
  <c r="V371" i="3"/>
  <c r="Z371" i="3"/>
  <c r="AD371" i="3"/>
  <c r="AH371" i="3"/>
  <c r="AL371" i="3"/>
  <c r="AP371" i="3"/>
  <c r="Z372" i="3"/>
  <c r="AD372" i="3"/>
  <c r="AH372" i="3"/>
  <c r="AL372" i="3"/>
  <c r="AP372" i="3"/>
  <c r="AT372" i="3"/>
  <c r="Z373" i="3"/>
  <c r="AD373" i="3"/>
  <c r="AH373" i="3"/>
  <c r="AL373" i="3"/>
  <c r="AP373" i="3"/>
  <c r="AT373" i="3"/>
  <c r="Z374" i="3"/>
  <c r="AD374" i="3"/>
  <c r="AH374" i="3"/>
  <c r="AL374" i="3"/>
  <c r="AP374" i="3"/>
  <c r="AT374" i="3"/>
  <c r="Z375" i="3"/>
  <c r="AD375" i="3"/>
  <c r="AH375" i="3"/>
  <c r="AL375" i="3"/>
  <c r="AP375" i="3"/>
  <c r="AT375" i="3"/>
  <c r="AD376" i="3"/>
  <c r="AH376" i="3"/>
  <c r="AL376" i="3"/>
  <c r="AP376" i="3"/>
  <c r="AT376" i="3"/>
  <c r="AD377" i="3"/>
  <c r="AH377" i="3"/>
  <c r="AL377" i="3"/>
  <c r="AP377" i="3"/>
  <c r="AT377" i="3"/>
  <c r="AD378" i="3"/>
  <c r="AH378" i="3"/>
  <c r="AL378" i="3"/>
  <c r="AP378" i="3"/>
  <c r="AT378" i="3"/>
  <c r="AD379" i="3"/>
  <c r="AH379" i="3"/>
  <c r="AL379" i="3"/>
  <c r="AP379" i="3"/>
  <c r="AT379" i="3"/>
  <c r="AX379" i="3"/>
  <c r="F380" i="3"/>
  <c r="AH380" i="3"/>
  <c r="AL380" i="3"/>
  <c r="AP380" i="3"/>
  <c r="AT380" i="3"/>
  <c r="AX380" i="3"/>
  <c r="AH381" i="3"/>
  <c r="AL381" i="3"/>
  <c r="AP381" i="3"/>
  <c r="AT381" i="3"/>
  <c r="AX381" i="3"/>
  <c r="AH382" i="3"/>
  <c r="AL382" i="3"/>
  <c r="AP382" i="3"/>
  <c r="AT382" i="3"/>
  <c r="AX382" i="3"/>
  <c r="AH383" i="3"/>
  <c r="AL383" i="3"/>
  <c r="AP383" i="3"/>
  <c r="AT383" i="3"/>
  <c r="AX383" i="3"/>
  <c r="F384" i="3"/>
  <c r="J384" i="3"/>
  <c r="AL384" i="3"/>
  <c r="AP384" i="3"/>
  <c r="AT384" i="3"/>
  <c r="AX384" i="3"/>
  <c r="AL385" i="3"/>
  <c r="AP385" i="3"/>
  <c r="AT385" i="3"/>
  <c r="AX385" i="3"/>
  <c r="AL386" i="3"/>
  <c r="AP386" i="3"/>
  <c r="AT386" i="3"/>
  <c r="AX386" i="3"/>
  <c r="AL387" i="3"/>
  <c r="AP387" i="3"/>
  <c r="AT387" i="3"/>
  <c r="AX387" i="3"/>
  <c r="AL388" i="3"/>
  <c r="AP388" i="3"/>
  <c r="AT388" i="3"/>
  <c r="AX388" i="3"/>
  <c r="AP389" i="3"/>
  <c r="AT389" i="3"/>
  <c r="AX389" i="3"/>
  <c r="AP390" i="3"/>
  <c r="AT390" i="3"/>
  <c r="AX390" i="3"/>
  <c r="AP391" i="3"/>
  <c r="AT391" i="3"/>
  <c r="AX391" i="3"/>
  <c r="AP392" i="3"/>
  <c r="AT392" i="3"/>
  <c r="AX392" i="3"/>
  <c r="AT393" i="3"/>
  <c r="AX393" i="3"/>
  <c r="AT394" i="3"/>
  <c r="AX394" i="3"/>
  <c r="AT395" i="3"/>
  <c r="AX395" i="3"/>
  <c r="AT396" i="3"/>
  <c r="AX396" i="3"/>
  <c r="F397" i="3"/>
  <c r="J397" i="3"/>
  <c r="N397" i="3"/>
  <c r="AT397" i="3"/>
  <c r="AX397" i="3"/>
  <c r="F398" i="3"/>
  <c r="J398" i="3"/>
  <c r="N398" i="3"/>
  <c r="R398" i="3"/>
  <c r="V398" i="3"/>
  <c r="AX398" i="3"/>
  <c r="F399" i="3"/>
  <c r="J399" i="3"/>
  <c r="N399" i="3"/>
  <c r="R399" i="3"/>
  <c r="V399" i="3"/>
  <c r="AX399" i="3"/>
  <c r="F400" i="3"/>
  <c r="J400" i="3"/>
  <c r="N400" i="3"/>
  <c r="R400" i="3"/>
  <c r="V400" i="3"/>
  <c r="AX400" i="3"/>
  <c r="F401" i="3"/>
  <c r="J401" i="3"/>
  <c r="N401" i="3"/>
  <c r="R401" i="3"/>
  <c r="V401" i="3"/>
  <c r="AX401" i="3"/>
  <c r="F402" i="3"/>
  <c r="J402" i="3"/>
  <c r="N402" i="3"/>
  <c r="R402" i="3"/>
  <c r="V402" i="3"/>
  <c r="AX402" i="3"/>
  <c r="F403" i="3"/>
  <c r="J403" i="3"/>
  <c r="N403" i="3"/>
  <c r="R403" i="3"/>
  <c r="V403" i="3"/>
  <c r="Z403" i="3"/>
  <c r="F404" i="3"/>
  <c r="J404" i="3"/>
  <c r="N404" i="3"/>
  <c r="R404" i="3"/>
  <c r="V404" i="3"/>
  <c r="Z404" i="3"/>
  <c r="F405" i="3"/>
  <c r="J405" i="3"/>
  <c r="N405" i="3"/>
  <c r="R405" i="3"/>
  <c r="V405" i="3"/>
  <c r="Z405" i="3"/>
  <c r="F406" i="3"/>
  <c r="J406" i="3"/>
  <c r="N406" i="3"/>
  <c r="R406" i="3"/>
  <c r="V406" i="3"/>
  <c r="Z406" i="3"/>
  <c r="J407" i="3"/>
  <c r="N407" i="3"/>
  <c r="R407" i="3"/>
  <c r="V407" i="3"/>
  <c r="Z407" i="3"/>
  <c r="AD407" i="3"/>
  <c r="J408" i="3"/>
  <c r="N408" i="3"/>
  <c r="R408" i="3"/>
  <c r="V408" i="3"/>
  <c r="Z408" i="3"/>
  <c r="AD408" i="3"/>
  <c r="J409" i="3"/>
  <c r="N409" i="3"/>
  <c r="R409" i="3"/>
  <c r="V409" i="3"/>
  <c r="Z409" i="3"/>
  <c r="AD409" i="3"/>
  <c r="J410" i="3"/>
  <c r="N410" i="3"/>
  <c r="R410" i="3"/>
  <c r="V410" i="3"/>
  <c r="Z410" i="3"/>
  <c r="AD410" i="3"/>
  <c r="N411" i="3"/>
  <c r="R411" i="3"/>
  <c r="V411" i="3"/>
  <c r="Z411" i="3"/>
  <c r="AD411" i="3"/>
  <c r="N412" i="3"/>
  <c r="R412" i="3"/>
  <c r="V412" i="3"/>
  <c r="Z412" i="3"/>
  <c r="AD412" i="3"/>
  <c r="AH412" i="3"/>
  <c r="N413" i="3"/>
  <c r="R413" i="3"/>
  <c r="V413" i="3"/>
  <c r="Z413" i="3"/>
  <c r="AD413" i="3"/>
  <c r="AH413" i="3"/>
  <c r="N414" i="3"/>
  <c r="R414" i="3"/>
  <c r="V414" i="3"/>
  <c r="Z414" i="3"/>
  <c r="AD414" i="3"/>
  <c r="AH414" i="3"/>
  <c r="N415" i="3"/>
  <c r="R415" i="3"/>
  <c r="V415" i="3"/>
  <c r="Z415" i="3"/>
  <c r="AD415" i="3"/>
  <c r="R416" i="3"/>
  <c r="V416" i="3"/>
  <c r="Z416" i="3"/>
  <c r="AD416" i="3"/>
  <c r="R417" i="3"/>
  <c r="V417" i="3"/>
  <c r="Z417" i="3"/>
  <c r="AD417" i="3"/>
  <c r="AH417" i="3"/>
  <c r="R418" i="3"/>
  <c r="V418" i="3"/>
  <c r="Z418" i="3"/>
  <c r="AD418" i="3"/>
  <c r="AH418" i="3"/>
  <c r="AL418" i="3"/>
  <c r="R419" i="3"/>
  <c r="V419" i="3"/>
  <c r="Z419" i="3"/>
  <c r="AD419" i="3"/>
  <c r="AH419" i="3"/>
  <c r="AL419" i="3"/>
  <c r="V420" i="3"/>
  <c r="Z420" i="3"/>
  <c r="AD420" i="3"/>
  <c r="AH420" i="3"/>
  <c r="AL420" i="3"/>
  <c r="V421" i="3"/>
  <c r="Z421" i="3"/>
  <c r="AD421" i="3"/>
  <c r="AH421" i="3"/>
  <c r="AL421" i="3"/>
  <c r="V422" i="3"/>
  <c r="Z422" i="3"/>
  <c r="AD422" i="3"/>
  <c r="AH422" i="3"/>
  <c r="AL422" i="3"/>
  <c r="V423" i="3"/>
  <c r="Z423" i="3"/>
  <c r="AD423" i="3"/>
  <c r="AH423" i="3"/>
  <c r="AL423" i="3"/>
  <c r="V424" i="3"/>
  <c r="Z424" i="3"/>
  <c r="AD424" i="3"/>
  <c r="AH424" i="3"/>
  <c r="AL424" i="3"/>
  <c r="Z425" i="3"/>
  <c r="AD425" i="3"/>
  <c r="AH425" i="3"/>
  <c r="AL425" i="3"/>
  <c r="Z426" i="3"/>
  <c r="AD426" i="3"/>
  <c r="AH426" i="3"/>
  <c r="AL426" i="3"/>
  <c r="Z427" i="3"/>
  <c r="AD427" i="3"/>
  <c r="AH427" i="3"/>
  <c r="AL427" i="3"/>
  <c r="AP427" i="3"/>
  <c r="Z428" i="3"/>
  <c r="AD428" i="3"/>
  <c r="AH428" i="3"/>
  <c r="AL428" i="3"/>
  <c r="AP428" i="3"/>
  <c r="AD429" i="3"/>
  <c r="AH429" i="3"/>
  <c r="AL429" i="3"/>
  <c r="AP429" i="3"/>
  <c r="AD430" i="3"/>
  <c r="AH430" i="3"/>
  <c r="AL430" i="3"/>
  <c r="AP430" i="3"/>
  <c r="AT430" i="3"/>
  <c r="AX430" i="3"/>
  <c r="AD431" i="3"/>
  <c r="AH431" i="3"/>
  <c r="AL431" i="3"/>
  <c r="AP431" i="3"/>
  <c r="AT431" i="3"/>
  <c r="AX431" i="3"/>
  <c r="AD432" i="3"/>
  <c r="AH432" i="3"/>
  <c r="AL432" i="3"/>
  <c r="AP432" i="3"/>
  <c r="AT432" i="3"/>
  <c r="AX432" i="3"/>
  <c r="AH433" i="3"/>
  <c r="AL433" i="3"/>
  <c r="AP433" i="3"/>
  <c r="AT433" i="3"/>
  <c r="AX433" i="3"/>
  <c r="F434" i="3"/>
  <c r="AH434" i="3"/>
  <c r="AL434" i="3"/>
  <c r="AP434" i="3"/>
  <c r="AT434" i="3"/>
  <c r="AX434" i="3"/>
  <c r="F435" i="3"/>
  <c r="AH435" i="3"/>
  <c r="AL435" i="3"/>
  <c r="AP435" i="3"/>
  <c r="AT435" i="3"/>
  <c r="AX435" i="3"/>
  <c r="F436" i="3"/>
  <c r="AH436" i="3"/>
  <c r="AL436" i="3"/>
  <c r="AP436" i="3"/>
  <c r="AT436" i="3"/>
  <c r="AX436" i="3"/>
  <c r="F437" i="3"/>
  <c r="J437" i="3"/>
  <c r="AL437" i="3"/>
  <c r="AP437" i="3"/>
  <c r="AT437" i="3"/>
  <c r="AX437" i="3"/>
  <c r="F438" i="3"/>
  <c r="J438" i="3"/>
  <c r="AL438" i="3"/>
  <c r="AP438" i="3"/>
  <c r="AT438" i="3"/>
  <c r="AX438" i="3"/>
  <c r="F439" i="3"/>
  <c r="J439" i="3"/>
  <c r="AL439" i="3"/>
  <c r="AP439" i="3"/>
  <c r="AT439" i="3"/>
  <c r="AX439" i="3"/>
  <c r="F440" i="3"/>
  <c r="J440" i="3"/>
  <c r="AL440" i="3"/>
  <c r="AP440" i="3"/>
  <c r="AT440" i="3"/>
  <c r="AX440" i="3"/>
  <c r="F441" i="3"/>
  <c r="J441" i="3"/>
  <c r="N441" i="3"/>
  <c r="AP441" i="3"/>
  <c r="AT441" i="3"/>
  <c r="AX441" i="3"/>
  <c r="F442" i="3"/>
  <c r="J442" i="3"/>
  <c r="N442" i="3"/>
  <c r="AP442" i="3"/>
  <c r="AT442" i="3"/>
  <c r="AX442" i="3"/>
  <c r="F443" i="3"/>
  <c r="J443" i="3"/>
  <c r="N443" i="3"/>
  <c r="AP443" i="3"/>
  <c r="AT443" i="3"/>
  <c r="AX443" i="3"/>
  <c r="F444" i="3"/>
  <c r="J444" i="3"/>
  <c r="N444" i="3"/>
  <c r="AP444" i="3"/>
  <c r="AT444" i="3"/>
  <c r="AX444" i="3"/>
  <c r="F445" i="3"/>
  <c r="J445" i="3"/>
  <c r="N445" i="3"/>
  <c r="AP445" i="3"/>
  <c r="AT445" i="3"/>
  <c r="AX445" i="3"/>
  <c r="F446" i="3"/>
  <c r="J446" i="3"/>
  <c r="N446" i="3"/>
  <c r="R446" i="3"/>
  <c r="AT446" i="3"/>
  <c r="AX446" i="3"/>
  <c r="F447" i="3"/>
  <c r="J447" i="3"/>
  <c r="N447" i="3"/>
  <c r="R447" i="3"/>
  <c r="AT447" i="3"/>
  <c r="AX447" i="3"/>
  <c r="F448" i="3"/>
  <c r="J448" i="3"/>
  <c r="N448" i="3"/>
  <c r="R448" i="3"/>
  <c r="AT448" i="3"/>
  <c r="AX448" i="3"/>
  <c r="F449" i="3"/>
  <c r="J449" i="3"/>
  <c r="N449" i="3"/>
  <c r="R449" i="3"/>
  <c r="AT449" i="3"/>
  <c r="AX449" i="3"/>
  <c r="F450" i="3"/>
  <c r="J450" i="3"/>
  <c r="N450" i="3"/>
  <c r="R450" i="3"/>
  <c r="V450" i="3"/>
  <c r="AX450" i="3"/>
  <c r="F451" i="3"/>
  <c r="J451" i="3"/>
  <c r="N451" i="3"/>
  <c r="R451" i="3"/>
  <c r="V451" i="3"/>
  <c r="AX451" i="3"/>
  <c r="F452" i="3"/>
  <c r="J452" i="3"/>
  <c r="N452" i="3"/>
  <c r="R452" i="3"/>
  <c r="V452" i="3"/>
  <c r="AX452" i="3"/>
  <c r="F453" i="3"/>
  <c r="J453" i="3"/>
  <c r="N453" i="3"/>
  <c r="R453" i="3"/>
  <c r="V453" i="3"/>
  <c r="AX453" i="3"/>
  <c r="F454" i="3"/>
  <c r="J454" i="3"/>
  <c r="N454" i="3"/>
  <c r="R454" i="3"/>
  <c r="V454" i="3"/>
  <c r="AX454" i="3"/>
  <c r="F455" i="3"/>
  <c r="J455" i="3"/>
  <c r="N455" i="3"/>
  <c r="R455" i="3"/>
  <c r="V455" i="3"/>
  <c r="Z455" i="3"/>
  <c r="F456" i="3"/>
  <c r="J456" i="3"/>
  <c r="N456" i="3"/>
  <c r="R456" i="3"/>
  <c r="V456" i="3"/>
  <c r="Z456" i="3"/>
  <c r="F457" i="3"/>
  <c r="J457" i="3"/>
  <c r="N457" i="3"/>
  <c r="R457" i="3"/>
  <c r="V457" i="3"/>
  <c r="Z457" i="3"/>
  <c r="F458" i="3"/>
  <c r="J458" i="3"/>
  <c r="N458" i="3"/>
  <c r="R458" i="3"/>
  <c r="V458" i="3"/>
  <c r="Z458" i="3"/>
  <c r="J459" i="3"/>
  <c r="N459" i="3"/>
  <c r="R459" i="3"/>
  <c r="V459" i="3"/>
  <c r="Z459" i="3"/>
  <c r="AD459" i="3"/>
  <c r="J460" i="3"/>
  <c r="N460" i="3"/>
  <c r="R460" i="3"/>
  <c r="V460" i="3"/>
  <c r="Z460" i="3"/>
  <c r="AD460" i="3"/>
  <c r="J461" i="3"/>
  <c r="N461" i="3"/>
  <c r="R461" i="3"/>
  <c r="V461" i="3"/>
  <c r="Z461" i="3"/>
  <c r="AD461" i="3"/>
  <c r="J462" i="3"/>
  <c r="N462" i="3"/>
  <c r="R462" i="3"/>
  <c r="V462" i="3"/>
  <c r="Z462" i="3"/>
  <c r="AD462" i="3"/>
  <c r="N463" i="3"/>
  <c r="R463" i="3"/>
  <c r="V463" i="3"/>
  <c r="Z463" i="3"/>
  <c r="AD463" i="3"/>
  <c r="AH463" i="3"/>
  <c r="N464" i="3"/>
  <c r="R464" i="3"/>
  <c r="V464" i="3"/>
  <c r="Z464" i="3"/>
  <c r="AD464" i="3"/>
  <c r="AH464" i="3"/>
  <c r="J465" i="3"/>
  <c r="N465" i="3"/>
  <c r="R465" i="3"/>
  <c r="V465" i="3"/>
  <c r="Z465" i="3"/>
  <c r="AD465" i="3"/>
  <c r="AH465" i="3"/>
  <c r="J466" i="3"/>
  <c r="N466" i="3"/>
  <c r="R466" i="3"/>
  <c r="V466" i="3"/>
  <c r="Z466" i="3"/>
  <c r="AD466" i="3"/>
  <c r="AH466" i="3"/>
  <c r="J467" i="3"/>
  <c r="N467" i="3"/>
  <c r="R467" i="3"/>
  <c r="V467" i="3"/>
  <c r="Z467" i="3"/>
  <c r="AD467" i="3"/>
  <c r="AH467" i="3"/>
  <c r="N468" i="3"/>
  <c r="R468" i="3"/>
  <c r="V468" i="3"/>
  <c r="Z468" i="3"/>
  <c r="AD468" i="3"/>
  <c r="AH468" i="3"/>
  <c r="AL468" i="3"/>
  <c r="N469" i="3"/>
  <c r="R469" i="3"/>
  <c r="V469" i="3"/>
  <c r="Z469" i="3"/>
  <c r="AD469" i="3"/>
  <c r="AH469" i="3"/>
  <c r="AL469" i="3"/>
  <c r="N470" i="3"/>
  <c r="R470" i="3"/>
  <c r="V470" i="3"/>
  <c r="Z470" i="3"/>
  <c r="AD470" i="3"/>
  <c r="AH470" i="3"/>
  <c r="AL470" i="3"/>
  <c r="N471" i="3"/>
  <c r="R471" i="3"/>
  <c r="V471" i="3"/>
  <c r="Z471" i="3"/>
  <c r="AD471" i="3"/>
  <c r="AH471" i="3"/>
  <c r="AL471" i="3"/>
  <c r="R472" i="3"/>
  <c r="V472" i="3"/>
  <c r="Z472" i="3"/>
  <c r="AD472" i="3"/>
  <c r="AH472" i="3"/>
  <c r="AL472" i="3"/>
  <c r="AP472" i="3"/>
  <c r="R473" i="3"/>
  <c r="V473" i="3"/>
  <c r="Z473" i="3"/>
  <c r="AD473" i="3"/>
  <c r="AH473" i="3"/>
  <c r="AL473" i="3"/>
  <c r="AP473" i="3"/>
  <c r="R474" i="3"/>
  <c r="V474" i="3"/>
  <c r="Z474" i="3"/>
  <c r="AD474" i="3"/>
  <c r="AH474" i="3"/>
  <c r="AL474" i="3"/>
  <c r="AP474" i="3"/>
  <c r="R475" i="3"/>
  <c r="V475" i="3"/>
  <c r="Z475" i="3"/>
  <c r="AD475" i="3"/>
  <c r="AH475" i="3"/>
  <c r="AL475" i="3"/>
  <c r="AP475" i="3"/>
  <c r="R476" i="3"/>
  <c r="V476" i="3"/>
  <c r="Z476" i="3"/>
  <c r="AD476" i="3"/>
  <c r="AH476" i="3"/>
  <c r="AL476" i="3"/>
  <c r="AP476" i="3"/>
  <c r="V477" i="3"/>
  <c r="Z477" i="3"/>
  <c r="AD477" i="3"/>
  <c r="AH477" i="3"/>
  <c r="AL477" i="3"/>
  <c r="AP477" i="3"/>
  <c r="AT477" i="3"/>
  <c r="V478" i="3"/>
  <c r="Z478" i="3"/>
  <c r="AD478" i="3"/>
  <c r="AH478" i="3"/>
  <c r="AL478" i="3"/>
  <c r="AP478" i="3"/>
  <c r="AT478" i="3"/>
  <c r="V479" i="3"/>
  <c r="Z479" i="3"/>
  <c r="AD479" i="3"/>
  <c r="AH479" i="3"/>
  <c r="AL479" i="3"/>
  <c r="AP479" i="3"/>
  <c r="AT479" i="3"/>
  <c r="V480" i="3"/>
  <c r="Z480" i="3"/>
  <c r="AD480" i="3"/>
  <c r="AH480" i="3"/>
  <c r="AL480" i="3"/>
  <c r="AP480" i="3"/>
  <c r="AT480" i="3"/>
  <c r="Z481" i="3"/>
  <c r="AD481" i="3"/>
  <c r="AH481" i="3"/>
  <c r="AL481" i="3"/>
  <c r="AP481" i="3"/>
  <c r="AT481" i="3"/>
  <c r="Z482" i="3"/>
  <c r="AD482" i="3"/>
  <c r="AH482" i="3"/>
  <c r="AL482" i="3"/>
  <c r="AP482" i="3"/>
  <c r="AT482" i="3"/>
  <c r="Z483" i="3"/>
  <c r="AD483" i="3"/>
  <c r="AH483" i="3"/>
  <c r="AL483" i="3"/>
  <c r="AP483" i="3"/>
  <c r="AT483" i="3"/>
  <c r="Z484" i="3"/>
  <c r="AD484" i="3"/>
  <c r="AH484" i="3"/>
  <c r="AL484" i="3"/>
  <c r="AP484" i="3"/>
  <c r="AT484" i="3"/>
  <c r="AD485" i="3"/>
  <c r="AH485" i="3"/>
  <c r="AL485" i="3"/>
  <c r="AP485" i="3"/>
  <c r="AT485" i="3"/>
  <c r="AD486" i="3"/>
  <c r="AH486" i="3"/>
  <c r="AL486" i="3"/>
  <c r="AP486" i="3"/>
  <c r="AT486" i="3"/>
  <c r="AD487" i="3"/>
  <c r="AH487" i="3"/>
  <c r="AL487" i="3"/>
  <c r="AP487" i="3"/>
  <c r="AT487" i="3"/>
  <c r="AD488" i="3"/>
  <c r="AH488" i="3"/>
  <c r="AL488" i="3"/>
  <c r="AP488" i="3"/>
  <c r="AT488" i="3"/>
  <c r="AX488" i="3"/>
  <c r="AH489" i="3"/>
  <c r="AL489" i="3"/>
  <c r="AP489" i="3"/>
  <c r="AT489" i="3"/>
  <c r="AX489" i="3"/>
  <c r="AH490" i="3"/>
  <c r="AL490" i="3"/>
  <c r="AP490" i="3"/>
  <c r="AT490" i="3"/>
  <c r="AX490" i="3"/>
  <c r="AH491" i="3"/>
  <c r="AL491" i="3"/>
  <c r="AP491" i="3"/>
  <c r="AT491" i="3"/>
  <c r="AX491" i="3"/>
  <c r="AH492" i="3"/>
  <c r="AL492" i="3"/>
  <c r="AP492" i="3"/>
  <c r="AT492" i="3"/>
  <c r="AX492" i="3"/>
  <c r="AH493" i="3"/>
  <c r="AL493" i="3"/>
  <c r="AP493" i="3"/>
  <c r="AT493" i="3"/>
  <c r="AX493" i="3"/>
  <c r="AL494" i="3"/>
  <c r="AP494" i="3"/>
  <c r="AT494" i="3"/>
  <c r="AX494" i="3"/>
  <c r="AL495" i="3"/>
  <c r="AP495" i="3"/>
  <c r="AT495" i="3"/>
  <c r="AX495" i="3"/>
  <c r="AL496" i="3"/>
  <c r="AP496" i="3"/>
  <c r="AT496" i="3"/>
  <c r="AX496" i="3"/>
  <c r="AL497" i="3"/>
  <c r="AP497" i="3"/>
  <c r="AT497" i="3"/>
  <c r="AX497" i="3"/>
  <c r="F498" i="3"/>
  <c r="AP498" i="3"/>
  <c r="AT498" i="3"/>
  <c r="AX498" i="3"/>
  <c r="F499" i="3"/>
  <c r="AP499" i="3"/>
  <c r="AT499" i="3"/>
  <c r="AX499" i="3"/>
  <c r="F500" i="3"/>
  <c r="AP500" i="3"/>
  <c r="AT500" i="3"/>
  <c r="AX500" i="3"/>
  <c r="F501" i="3"/>
  <c r="AP501" i="3"/>
  <c r="AT501" i="3"/>
  <c r="AX501" i="3"/>
  <c r="F502" i="3"/>
  <c r="AT502" i="3"/>
  <c r="AX502" i="3"/>
  <c r="F503" i="3"/>
  <c r="AT503" i="3"/>
  <c r="AX503" i="3"/>
  <c r="F504" i="3"/>
  <c r="J504" i="3"/>
  <c r="N504" i="3"/>
  <c r="AT504" i="3"/>
  <c r="AX504" i="3"/>
  <c r="F505" i="3"/>
  <c r="J505" i="3"/>
  <c r="N505" i="3"/>
  <c r="AT505" i="3"/>
  <c r="AX505" i="3"/>
  <c r="F506" i="3"/>
  <c r="J506" i="3"/>
  <c r="N506" i="3"/>
  <c r="AX506" i="3"/>
  <c r="F507" i="3"/>
  <c r="J507" i="3"/>
  <c r="N507" i="3"/>
  <c r="AX507" i="3"/>
  <c r="F508" i="3"/>
  <c r="J508" i="3"/>
  <c r="N508" i="3"/>
  <c r="AX508" i="3"/>
  <c r="F509" i="3"/>
  <c r="J509" i="3"/>
  <c r="N509" i="3"/>
  <c r="AX509" i="3"/>
  <c r="F510" i="3"/>
  <c r="J510" i="3"/>
  <c r="N510" i="3"/>
  <c r="AX510" i="3"/>
  <c r="F511" i="3"/>
  <c r="J511" i="3"/>
  <c r="N511" i="3"/>
  <c r="R511" i="3"/>
  <c r="AX511" i="3"/>
  <c r="F512" i="3"/>
  <c r="J512" i="3"/>
  <c r="N512" i="3"/>
  <c r="R512" i="3"/>
  <c r="F513" i="3"/>
  <c r="J513" i="3"/>
  <c r="N513" i="3"/>
  <c r="R513" i="3"/>
  <c r="F514" i="3"/>
  <c r="J514" i="3"/>
  <c r="N514" i="3"/>
  <c r="R514" i="3"/>
  <c r="V514" i="3"/>
  <c r="Z514" i="3"/>
  <c r="AD514" i="3"/>
  <c r="J515" i="3"/>
  <c r="N515" i="3"/>
  <c r="R515" i="3"/>
  <c r="V515" i="3"/>
  <c r="Z515" i="3"/>
  <c r="AD515" i="3"/>
  <c r="AH515" i="3"/>
  <c r="J516" i="3"/>
  <c r="N516" i="3"/>
  <c r="R516" i="3"/>
  <c r="V516" i="3"/>
  <c r="Z516" i="3"/>
  <c r="AD516" i="3"/>
  <c r="J517" i="3"/>
  <c r="N517" i="3"/>
  <c r="R517" i="3"/>
  <c r="V517" i="3"/>
  <c r="Z517" i="3"/>
  <c r="AD517" i="3"/>
  <c r="J518" i="3"/>
  <c r="N518" i="3"/>
  <c r="R518" i="3"/>
  <c r="V518" i="3"/>
  <c r="Z518" i="3"/>
  <c r="AD518" i="3"/>
  <c r="J519" i="3"/>
  <c r="N519" i="3"/>
  <c r="R519" i="3"/>
  <c r="V519" i="3"/>
  <c r="Z519" i="3"/>
  <c r="AD519" i="3"/>
  <c r="AH519" i="3"/>
  <c r="N520" i="3"/>
  <c r="R520" i="3"/>
  <c r="V520" i="3"/>
  <c r="Z520" i="3"/>
  <c r="AD520" i="3"/>
  <c r="AH520" i="3"/>
  <c r="AL520" i="3"/>
  <c r="N521" i="3"/>
  <c r="R521" i="3"/>
  <c r="V521" i="3"/>
  <c r="Z521" i="3"/>
  <c r="AD521" i="3"/>
  <c r="AH521" i="3"/>
  <c r="AL521" i="3"/>
  <c r="N522" i="3"/>
  <c r="R522" i="3"/>
  <c r="V522" i="3"/>
  <c r="Z522" i="3"/>
  <c r="AD522" i="3"/>
  <c r="AH522" i="3"/>
  <c r="AL522" i="3"/>
  <c r="R523" i="3"/>
  <c r="V523" i="3"/>
  <c r="Z523" i="3"/>
  <c r="AD523" i="3"/>
  <c r="AH523" i="3"/>
  <c r="AL523" i="3"/>
  <c r="R524" i="3"/>
  <c r="V524" i="3"/>
  <c r="Z524" i="3"/>
  <c r="AD524" i="3"/>
  <c r="AH524" i="3"/>
  <c r="AL524" i="3"/>
  <c r="AP524" i="3"/>
  <c r="R525" i="3"/>
  <c r="V525" i="3"/>
  <c r="Z525" i="3"/>
  <c r="AD525" i="3"/>
  <c r="AH525" i="3"/>
  <c r="AL525" i="3"/>
  <c r="AP525" i="3"/>
  <c r="R526" i="3"/>
  <c r="V526" i="3"/>
  <c r="Z526" i="3"/>
  <c r="AD526" i="3"/>
  <c r="AH526" i="3"/>
  <c r="AL526" i="3"/>
  <c r="AP526" i="3"/>
  <c r="R527" i="3"/>
  <c r="V527" i="3"/>
  <c r="Z527" i="3"/>
  <c r="AD527" i="3"/>
  <c r="AH527" i="3"/>
  <c r="AL527" i="3"/>
  <c r="AP527" i="3"/>
  <c r="V528" i="3"/>
  <c r="Z528" i="3"/>
  <c r="AD528" i="3"/>
  <c r="AH528" i="3"/>
  <c r="AL528" i="3"/>
  <c r="AP528" i="3"/>
  <c r="V529" i="3"/>
  <c r="Z529" i="3"/>
  <c r="AD529" i="3"/>
  <c r="AH529" i="3"/>
  <c r="AL529" i="3"/>
  <c r="AP529" i="3"/>
  <c r="V530" i="3"/>
  <c r="Z530" i="3"/>
  <c r="AD530" i="3"/>
  <c r="AH530" i="3"/>
  <c r="AL530" i="3"/>
  <c r="AP530" i="3"/>
  <c r="V531" i="3"/>
  <c r="Z531" i="3"/>
  <c r="AD531" i="3"/>
  <c r="AH531" i="3"/>
  <c r="AL531" i="3"/>
  <c r="AP531" i="3"/>
  <c r="Z532" i="3"/>
  <c r="AD532" i="3"/>
  <c r="AH532" i="3"/>
  <c r="AL532" i="3"/>
  <c r="AP532" i="3"/>
  <c r="AT532" i="3"/>
  <c r="Z533" i="3"/>
  <c r="AD533" i="3"/>
  <c r="AH533" i="3"/>
  <c r="AL533" i="3"/>
  <c r="AP533" i="3"/>
  <c r="AT533" i="3"/>
  <c r="Z534" i="3"/>
  <c r="AD534" i="3"/>
  <c r="AH534" i="3"/>
  <c r="AL534" i="3"/>
  <c r="AP534" i="3"/>
  <c r="AT534" i="3"/>
  <c r="Z535" i="3"/>
  <c r="AD535" i="3"/>
  <c r="AH535" i="3"/>
  <c r="AL535" i="3"/>
  <c r="AP535" i="3"/>
  <c r="Z536" i="3"/>
  <c r="AD536" i="3"/>
  <c r="AH536" i="3"/>
  <c r="AL536" i="3"/>
  <c r="AD537" i="3"/>
  <c r="AH537" i="3"/>
  <c r="AL537" i="3"/>
  <c r="AD538" i="3"/>
  <c r="AH538" i="3"/>
  <c r="AL538" i="3"/>
  <c r="AD539" i="3"/>
  <c r="AH539" i="3"/>
  <c r="AL539" i="3"/>
  <c r="AD540" i="3"/>
  <c r="AH540" i="3"/>
  <c r="AL540" i="3"/>
  <c r="AH541" i="3"/>
  <c r="AL541" i="3"/>
  <c r="AP541" i="3"/>
  <c r="AH542" i="3"/>
  <c r="AL542" i="3"/>
  <c r="AH543" i="3"/>
  <c r="AL543" i="3"/>
  <c r="AH544" i="3"/>
  <c r="AL544" i="3"/>
  <c r="AP544" i="3"/>
  <c r="AL545" i="3"/>
  <c r="AP545" i="3"/>
  <c r="AL546" i="3"/>
  <c r="AP546" i="3"/>
  <c r="AT546" i="3"/>
  <c r="AL547" i="3"/>
  <c r="AP547" i="3"/>
  <c r="AT547" i="3"/>
  <c r="AX547" i="3"/>
  <c r="AL548" i="3"/>
  <c r="AP548" i="3"/>
  <c r="AT548" i="3"/>
  <c r="AX548" i="3"/>
  <c r="AL549" i="3"/>
  <c r="AP549" i="3"/>
  <c r="AT549" i="3"/>
  <c r="AX549" i="3"/>
  <c r="AP550" i="3"/>
  <c r="AT550" i="3"/>
  <c r="AX550" i="3"/>
  <c r="AP551" i="3"/>
  <c r="AT551" i="3"/>
  <c r="AX551" i="3"/>
  <c r="AP552" i="3"/>
  <c r="AT552" i="3"/>
  <c r="AX552" i="3"/>
  <c r="AP553" i="3"/>
  <c r="AT553" i="3"/>
  <c r="AX553" i="3"/>
  <c r="AT554" i="3"/>
  <c r="AX554" i="3"/>
  <c r="F555" i="3"/>
  <c r="J555" i="3"/>
  <c r="N555" i="3"/>
  <c r="AT555" i="3"/>
  <c r="AX555" i="3"/>
  <c r="F556" i="3"/>
  <c r="AT556" i="3"/>
  <c r="AX556" i="3"/>
  <c r="F557" i="3"/>
  <c r="J557" i="3"/>
  <c r="N557" i="3"/>
  <c r="AT557" i="3"/>
  <c r="AX557" i="3"/>
  <c r="F558" i="3"/>
  <c r="N558" i="3"/>
  <c r="AX558" i="3"/>
  <c r="F559" i="3"/>
  <c r="N559" i="3"/>
  <c r="AX559" i="3"/>
  <c r="F560" i="3"/>
  <c r="J560" i="3"/>
  <c r="N560" i="3"/>
  <c r="AX560" i="3"/>
  <c r="F561" i="3"/>
  <c r="J561" i="3"/>
  <c r="N561" i="3"/>
  <c r="AX561" i="3"/>
  <c r="F562" i="3"/>
  <c r="J562" i="3"/>
  <c r="N562" i="3"/>
  <c r="AX562" i="3"/>
  <c r="F563" i="3"/>
  <c r="J563" i="3"/>
  <c r="N563" i="3"/>
  <c r="F564" i="3"/>
  <c r="J564" i="3"/>
  <c r="N564" i="3"/>
  <c r="F565" i="3"/>
  <c r="J565" i="3"/>
  <c r="N565" i="3"/>
  <c r="F566" i="3"/>
  <c r="J566" i="3"/>
  <c r="N566" i="3"/>
  <c r="R566" i="3"/>
  <c r="V566" i="3"/>
  <c r="J567" i="3"/>
  <c r="N567" i="3"/>
  <c r="R567" i="3"/>
  <c r="V567" i="3"/>
  <c r="J568" i="3"/>
  <c r="N568" i="3"/>
  <c r="R568" i="3"/>
  <c r="V568" i="3"/>
  <c r="J569" i="3"/>
  <c r="N569" i="3"/>
  <c r="R569" i="3"/>
  <c r="V569" i="3"/>
  <c r="J570" i="3"/>
  <c r="N570" i="3"/>
  <c r="R570" i="3"/>
  <c r="V570" i="3"/>
  <c r="N571" i="3"/>
  <c r="R571" i="3"/>
  <c r="V571" i="3"/>
  <c r="N572" i="3"/>
  <c r="R572" i="3"/>
  <c r="V572" i="3"/>
  <c r="N573" i="3"/>
  <c r="R573" i="3"/>
  <c r="V573" i="3"/>
  <c r="N574" i="3"/>
  <c r="R574" i="3"/>
  <c r="V574" i="3"/>
  <c r="Z574" i="3"/>
  <c r="R575" i="3"/>
  <c r="V575" i="3"/>
  <c r="Z575" i="3"/>
  <c r="R576" i="3"/>
  <c r="V576" i="3"/>
  <c r="Z576" i="3"/>
  <c r="AD576" i="3"/>
  <c r="R577" i="3"/>
  <c r="V577" i="3"/>
  <c r="Z577" i="3"/>
  <c r="AD577" i="3"/>
  <c r="R578" i="3"/>
  <c r="V578" i="3"/>
  <c r="Z578" i="3"/>
  <c r="AD578" i="3"/>
  <c r="AH578" i="3"/>
  <c r="AL578" i="3"/>
  <c r="R579" i="3"/>
  <c r="V579" i="3"/>
  <c r="Z579" i="3"/>
  <c r="AD579" i="3"/>
  <c r="AH579" i="3"/>
  <c r="AL579" i="3"/>
  <c r="V580" i="3"/>
  <c r="Z580" i="3"/>
  <c r="AD580" i="3"/>
  <c r="AH580" i="3"/>
  <c r="AL580" i="3"/>
  <c r="V581" i="3"/>
  <c r="Z581" i="3"/>
  <c r="AD581" i="3"/>
  <c r="AH581" i="3"/>
  <c r="AL581" i="3"/>
  <c r="V582" i="3"/>
  <c r="Z582" i="3"/>
  <c r="AD582" i="3"/>
  <c r="AH582" i="3"/>
  <c r="V583" i="3"/>
  <c r="Z583" i="3"/>
  <c r="AD583" i="3"/>
  <c r="AH583" i="3"/>
  <c r="AL583" i="3"/>
  <c r="Z584" i="3"/>
  <c r="AD584" i="3"/>
  <c r="AH584" i="3"/>
  <c r="AL584" i="3"/>
  <c r="Z585" i="3"/>
  <c r="AD585" i="3"/>
  <c r="AH585" i="3"/>
  <c r="AL585" i="3"/>
  <c r="Z586" i="3"/>
  <c r="AD586" i="3"/>
  <c r="AH586" i="3"/>
  <c r="AL586" i="3"/>
  <c r="Z587" i="3"/>
  <c r="AD587" i="3"/>
  <c r="AH587" i="3"/>
  <c r="AL587" i="3"/>
  <c r="Z588" i="3"/>
  <c r="AD588" i="3"/>
  <c r="AH588" i="3"/>
  <c r="AL588" i="3"/>
  <c r="AD589" i="3"/>
  <c r="AH589" i="3"/>
  <c r="AL589" i="3"/>
  <c r="AD590" i="3"/>
  <c r="AH590" i="3"/>
  <c r="AL590" i="3"/>
  <c r="AD591" i="3"/>
  <c r="AH591" i="3"/>
  <c r="AL591" i="3"/>
  <c r="AP591" i="3"/>
  <c r="AT591" i="3"/>
  <c r="AD592" i="3"/>
  <c r="AH592" i="3"/>
  <c r="AL592" i="3"/>
  <c r="AP592" i="3"/>
  <c r="AT592" i="3"/>
  <c r="AH593" i="3"/>
  <c r="AL593" i="3"/>
  <c r="AP593" i="3"/>
  <c r="AT593" i="3"/>
  <c r="AH594" i="3"/>
  <c r="AL594" i="3"/>
  <c r="AH595" i="3"/>
  <c r="AL595" i="3"/>
  <c r="AP595" i="3"/>
  <c r="AH596" i="3"/>
  <c r="AL596" i="3"/>
  <c r="AP596" i="3"/>
  <c r="AL597" i="3"/>
  <c r="AP597" i="3"/>
  <c r="AT597" i="3"/>
  <c r="AL598" i="3"/>
  <c r="AP598" i="3"/>
  <c r="AT598" i="3"/>
  <c r="AL599" i="3"/>
  <c r="AP599" i="3"/>
  <c r="AT599" i="3"/>
  <c r="AX599" i="3"/>
  <c r="AL600" i="3"/>
  <c r="AP600" i="3"/>
  <c r="AT600" i="3"/>
  <c r="AX600" i="3"/>
  <c r="AL601" i="3"/>
  <c r="AP601" i="3"/>
  <c r="AT601" i="3"/>
  <c r="AX601" i="3"/>
  <c r="AP602" i="3"/>
  <c r="AT602" i="3"/>
  <c r="AX602" i="3"/>
  <c r="AP603" i="3"/>
  <c r="AT603" i="3"/>
  <c r="AX603" i="3"/>
  <c r="AP604" i="3"/>
  <c r="AT604" i="3"/>
  <c r="AX604" i="3"/>
  <c r="AP605" i="3"/>
  <c r="AT605" i="3"/>
  <c r="AX605" i="3"/>
  <c r="AT606" i="3"/>
  <c r="AX606" i="3"/>
  <c r="AT607" i="3"/>
  <c r="AX607" i="3"/>
  <c r="AT608" i="3"/>
  <c r="AX608" i="3"/>
  <c r="F609" i="3"/>
  <c r="AT609" i="3"/>
  <c r="AX609" i="3"/>
  <c r="F610" i="3"/>
  <c r="AT610" i="3"/>
  <c r="AX610" i="3"/>
  <c r="F611" i="3"/>
  <c r="AX611" i="3"/>
  <c r="F612" i="3"/>
  <c r="AX612" i="3"/>
  <c r="F613" i="3"/>
  <c r="AX613" i="3"/>
  <c r="F614" i="3"/>
  <c r="AX614" i="3"/>
  <c r="C24" i="13"/>
  <c r="C12" i="13"/>
  <c r="G12" i="13"/>
  <c r="G24" i="13"/>
  <c r="K12" i="13"/>
  <c r="K24" i="13"/>
  <c r="O12" i="13"/>
  <c r="O24" i="13"/>
  <c r="AZ191" i="1" l="1"/>
  <c r="AZ203" i="1"/>
  <c r="A132" i="3"/>
  <c r="A25" i="7"/>
  <c r="A24" i="7" s="1"/>
  <c r="A23" i="7" s="1"/>
  <c r="A22" i="7" s="1"/>
  <c r="A21" i="7" s="1"/>
  <c r="A20" i="7" s="1"/>
  <c r="A19" i="7" s="1"/>
  <c r="A18" i="7" s="1"/>
  <c r="A17" i="7" s="1"/>
  <c r="A16" i="7" s="1"/>
  <c r="A15" i="7" s="1"/>
  <c r="W24" i="13"/>
  <c r="AE24" i="13"/>
  <c r="S12" i="13"/>
  <c r="S24" i="13"/>
  <c r="A133" i="3" l="1"/>
  <c r="A26" i="7"/>
  <c r="A27" i="7" l="1"/>
  <c r="A134" i="3"/>
  <c r="A28" i="7" l="1"/>
  <c r="A135" i="3"/>
  <c r="A136" i="3" l="1"/>
  <c r="A29" i="7"/>
  <c r="A30" i="7" l="1"/>
  <c r="A137" i="3"/>
  <c r="A138" i="3" l="1"/>
  <c r="A31" i="7"/>
  <c r="A139" i="3" l="1"/>
  <c r="A32" i="7"/>
  <c r="A140" i="3" l="1"/>
  <c r="A33" i="7"/>
  <c r="A141" i="3" l="1"/>
  <c r="A34" i="7"/>
  <c r="A142" i="3" l="1"/>
  <c r="A35" i="7"/>
  <c r="A143" i="3" l="1"/>
  <c r="A36" i="7"/>
  <c r="A144" i="3" l="1"/>
  <c r="A37" i="7"/>
  <c r="A145" i="3" l="1"/>
  <c r="A38" i="7"/>
  <c r="A146" i="3" l="1"/>
  <c r="A40" i="7" s="1"/>
  <c r="A39" i="7"/>
</calcChain>
</file>

<file path=xl/sharedStrings.xml><?xml version="1.0" encoding="utf-8"?>
<sst xmlns="http://schemas.openxmlformats.org/spreadsheetml/2006/main" count="728" uniqueCount="297">
  <si>
    <t>Figure 4</t>
  </si>
  <si>
    <t>Source:  Transportation &amp; Marketing Programs/AMS/USDA</t>
  </si>
  <si>
    <t>Jan. 99</t>
  </si>
  <si>
    <t>Feb. 99</t>
  </si>
  <si>
    <t>Mar. 99</t>
  </si>
  <si>
    <t>Apr. 99</t>
  </si>
  <si>
    <t>May 99</t>
  </si>
  <si>
    <t>June 99</t>
  </si>
  <si>
    <t>July 99</t>
  </si>
  <si>
    <t>Aug. 99</t>
  </si>
  <si>
    <t>Sept. 99</t>
  </si>
  <si>
    <t>Oct. 99</t>
  </si>
  <si>
    <t>Nov. 99</t>
  </si>
  <si>
    <t>Dec. 99</t>
  </si>
  <si>
    <t>Jan. 00</t>
  </si>
  <si>
    <t>Feb. 00</t>
  </si>
  <si>
    <t>Mar. 00</t>
  </si>
  <si>
    <t>Apr. 00</t>
  </si>
  <si>
    <t>May 00</t>
  </si>
  <si>
    <t>June 00</t>
  </si>
  <si>
    <t>July 00</t>
  </si>
  <si>
    <t>Aug. 00</t>
  </si>
  <si>
    <t>Sept. 00</t>
  </si>
  <si>
    <t>Oct. 00</t>
  </si>
  <si>
    <t>Nov. 00</t>
  </si>
  <si>
    <t>Dec. 00</t>
  </si>
  <si>
    <t>Jan. 01</t>
  </si>
  <si>
    <t>Feb. 01</t>
  </si>
  <si>
    <t>Mar. 01</t>
  </si>
  <si>
    <t>Apr. 01</t>
  </si>
  <si>
    <t>May 01</t>
  </si>
  <si>
    <t>June 01</t>
  </si>
  <si>
    <t>July 01</t>
  </si>
  <si>
    <t>Aug. 01</t>
  </si>
  <si>
    <t>Sept. 01</t>
  </si>
  <si>
    <t>Oct. 01</t>
  </si>
  <si>
    <t>Nov. 01</t>
  </si>
  <si>
    <t>Dec. 01</t>
  </si>
  <si>
    <t>Jan. 02</t>
  </si>
  <si>
    <t>Feb. 02</t>
  </si>
  <si>
    <t>Mar. 02</t>
  </si>
  <si>
    <t>Apr. 02</t>
  </si>
  <si>
    <t>May 02</t>
  </si>
  <si>
    <t>June 02</t>
  </si>
  <si>
    <t>July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</si>
  <si>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</si>
  <si>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</si>
  <si>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</si>
  <si>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</si>
  <si>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</si>
  <si>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</si>
  <si>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</si>
  <si>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</si>
  <si>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</si>
  <si>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 03</t>
  </si>
  <si>
    <t>June 03</t>
  </si>
  <si>
    <t>July 03</t>
  </si>
  <si>
    <t>Aug. 03</t>
  </si>
  <si>
    <t>Sept. 03</t>
  </si>
  <si>
    <t>Oct. 03</t>
  </si>
  <si>
    <t>Nov. 03</t>
  </si>
  <si>
    <t>Dec. 03</t>
  </si>
  <si>
    <t>Jan. 04</t>
  </si>
  <si>
    <t>Feb. 04</t>
  </si>
  <si>
    <t>Mar. 04</t>
  </si>
  <si>
    <t>Apr. 04</t>
  </si>
  <si>
    <t>May 04</t>
  </si>
  <si>
    <t>June 04</t>
  </si>
  <si>
    <t>July 04</t>
  </si>
  <si>
    <t>For the Following Delivery Dates:</t>
  </si>
  <si>
    <t>GTR</t>
  </si>
  <si>
    <t>Date</t>
  </si>
  <si>
    <t>BNSF-GF</t>
  </si>
  <si>
    <t>UP-Pool</t>
  </si>
  <si>
    <t xml:space="preserve">Jan. </t>
  </si>
  <si>
    <t xml:space="preserve">Feb. </t>
  </si>
  <si>
    <t xml:space="preserve">Mar. </t>
  </si>
  <si>
    <t xml:space="preserve">Dec. </t>
  </si>
  <si>
    <t xml:space="preserve">Nov. </t>
  </si>
  <si>
    <t xml:space="preserve">Oct. </t>
  </si>
  <si>
    <t xml:space="preserve">Sep. </t>
  </si>
  <si>
    <t xml:space="preserve">Aug. </t>
  </si>
  <si>
    <t xml:space="preserve">Jul. </t>
  </si>
  <si>
    <t xml:space="preserve">Jun. </t>
  </si>
  <si>
    <t xml:space="preserve">May. </t>
  </si>
  <si>
    <t xml:space="preserve">Apr. </t>
  </si>
  <si>
    <t>Data Sources:  Atwood/Conagra, Harvest States Coop, James B. Joiner Co., Tradewest Brokerage Co.</t>
  </si>
  <si>
    <t>Data taken from secondary_premiums_all database that was prepared by Upper Great Plains Transportation Institute</t>
  </si>
  <si>
    <t>(Occasionally, the data will not correspond to what was reported in the Grain Transportation Report)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</si>
  <si>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</si>
  <si>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</si>
  <si>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</si>
  <si>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</si>
  <si>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</si>
  <si>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</si>
  <si>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</si>
  <si>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</si>
  <si>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</si>
  <si>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Jun. 05</t>
  </si>
  <si>
    <t>May. 05</t>
  </si>
  <si>
    <t>Jul. 05</t>
  </si>
  <si>
    <t>Aug. 05</t>
  </si>
  <si>
    <t>Sept. 05</t>
  </si>
  <si>
    <t>Oct. 05</t>
  </si>
  <si>
    <t>Nov. 05</t>
  </si>
  <si>
    <t>Dec. 05</t>
  </si>
  <si>
    <t>MAX</t>
  </si>
  <si>
    <t>MIN</t>
  </si>
  <si>
    <t>AVG</t>
  </si>
  <si>
    <t>Change from prior week</t>
  </si>
  <si>
    <t>Jan. 06</t>
  </si>
  <si>
    <t>Feb. 06</t>
  </si>
  <si>
    <t>Mar. 06</t>
  </si>
  <si>
    <t>Apr. 06</t>
  </si>
  <si>
    <t>May. 06</t>
  </si>
  <si>
    <t>Jun. 06</t>
  </si>
  <si>
    <t>Jul. 06</t>
  </si>
  <si>
    <t>Aug. 06</t>
  </si>
  <si>
    <t>Sept. 06</t>
  </si>
  <si>
    <t>Oct. 06</t>
  </si>
  <si>
    <t>Nov. 06</t>
  </si>
  <si>
    <t>Dec. 06</t>
  </si>
  <si>
    <t>Jan</t>
  </si>
  <si>
    <t>Feb</t>
  </si>
  <si>
    <t>March</t>
  </si>
  <si>
    <t>April</t>
  </si>
  <si>
    <t>May</t>
  </si>
  <si>
    <t>June</t>
  </si>
  <si>
    <t>July</t>
  </si>
  <si>
    <t>August</t>
  </si>
  <si>
    <t>Sep</t>
  </si>
  <si>
    <t>Oct</t>
  </si>
  <si>
    <t>Nov</t>
  </si>
  <si>
    <t>Dec</t>
  </si>
  <si>
    <t>Both</t>
  </si>
  <si>
    <t>October</t>
  </si>
  <si>
    <t>November</t>
  </si>
  <si>
    <t>week #</t>
  </si>
  <si>
    <t>December</t>
  </si>
  <si>
    <t>Week</t>
  </si>
  <si>
    <t>Aggregate peak</t>
  </si>
  <si>
    <t>Change from peak</t>
  </si>
  <si>
    <t>Shuttle Bids for Secondary Rail Car Market ($)</t>
  </si>
  <si>
    <t>Avg.</t>
  </si>
  <si>
    <t>Aggregate avg. bid this week</t>
  </si>
  <si>
    <t>Aggregate avg. change from prior week</t>
  </si>
  <si>
    <t>Aggregate avg. change over last 4 weeks</t>
  </si>
  <si>
    <t>Ending</t>
  </si>
  <si>
    <t xml:space="preserve">Week </t>
  </si>
  <si>
    <t>Figure 6</t>
  </si>
  <si>
    <t>Change from prior year</t>
  </si>
  <si>
    <t>Change from last year</t>
  </si>
  <si>
    <t>Jan. 07</t>
  </si>
  <si>
    <t>Feb. 07</t>
  </si>
  <si>
    <t>Mar. 07</t>
  </si>
  <si>
    <t xml:space="preserve">Do not copy items in rose </t>
  </si>
  <si>
    <t>Year</t>
  </si>
  <si>
    <t>Max</t>
  </si>
  <si>
    <t>Min</t>
  </si>
  <si>
    <t>January</t>
  </si>
  <si>
    <t>February</t>
  </si>
  <si>
    <t>Avg</t>
  </si>
  <si>
    <t>September</t>
  </si>
  <si>
    <t>DELIVERY</t>
  </si>
  <si>
    <t>DATE</t>
  </si>
  <si>
    <t>NON-SHUTTLE BIDS</t>
  </si>
  <si>
    <t>SHUTTLE BIDS</t>
  </si>
  <si>
    <t>Apr. 07</t>
  </si>
  <si>
    <t>May. 07</t>
  </si>
  <si>
    <t>Jun. 07</t>
  </si>
  <si>
    <t>Jul. 07</t>
  </si>
  <si>
    <t>Aug. 07</t>
  </si>
  <si>
    <t>Sept. 07</t>
  </si>
  <si>
    <t>Oct. 07</t>
  </si>
  <si>
    <t>Nov. 07</t>
  </si>
  <si>
    <t>Dec. 07</t>
  </si>
  <si>
    <t>Non-shuttle bids include unit-train and single-car bids.  n/a = not available.</t>
  </si>
  <si>
    <t>Jan. 08</t>
  </si>
  <si>
    <t>Feb. 08</t>
  </si>
  <si>
    <t>Mar. 08</t>
  </si>
  <si>
    <t>Apr. 08</t>
  </si>
  <si>
    <t>May. 08</t>
  </si>
  <si>
    <t>Jun. 08</t>
  </si>
  <si>
    <t>Figure 5</t>
  </si>
  <si>
    <t>Jul.08</t>
  </si>
  <si>
    <t>Aug. 08</t>
  </si>
  <si>
    <t>Sep. 08</t>
  </si>
  <si>
    <t>Oct. 08</t>
  </si>
  <si>
    <t>Nov. 08</t>
  </si>
  <si>
    <t>Dec. 08</t>
  </si>
  <si>
    <t>Jan. 09</t>
  </si>
  <si>
    <t>Feb. 09</t>
  </si>
  <si>
    <t>Jan. 10</t>
  </si>
  <si>
    <t>Oct. 09</t>
  </si>
  <si>
    <t>Nov. 09</t>
  </si>
  <si>
    <t>Dec. 09</t>
  </si>
  <si>
    <t>Mar. 09</t>
  </si>
  <si>
    <t>Apr. 09</t>
  </si>
  <si>
    <t>May. 09</t>
  </si>
  <si>
    <t>Jun. 09</t>
  </si>
  <si>
    <t>Jul. 09</t>
  </si>
  <si>
    <t>Aug. 09</t>
  </si>
  <si>
    <t>Sept. 09</t>
  </si>
  <si>
    <t>STDEV</t>
  </si>
  <si>
    <t>Shuttle</t>
  </si>
  <si>
    <t>Non-Shuttle</t>
  </si>
  <si>
    <t>Current week bid/offer</t>
  </si>
  <si>
    <t>Mar</t>
  </si>
  <si>
    <t>Apr</t>
  </si>
  <si>
    <t>Jun</t>
  </si>
  <si>
    <t>Jul</t>
  </si>
  <si>
    <t>Aug</t>
  </si>
  <si>
    <t>BNSF</t>
  </si>
  <si>
    <t>UP</t>
  </si>
  <si>
    <t>Oct. 10</t>
  </si>
  <si>
    <t>Nov. 10</t>
  </si>
  <si>
    <t>Dec. 10</t>
  </si>
  <si>
    <t>Jan. 11</t>
  </si>
  <si>
    <t>Oct. 11</t>
  </si>
  <si>
    <t>Nov. 11</t>
  </si>
  <si>
    <t>Dec. 11</t>
  </si>
  <si>
    <t>Feb. 10</t>
  </si>
  <si>
    <t>Mar. 10</t>
  </si>
  <si>
    <t>Apr. 10</t>
  </si>
  <si>
    <t>May. 10</t>
  </si>
  <si>
    <t>Jun. 10</t>
  </si>
  <si>
    <t>Jul. 10</t>
  </si>
  <si>
    <t>Aug. 10</t>
  </si>
  <si>
    <t>Sept. 10</t>
  </si>
  <si>
    <t>*up to 6 months of trading</t>
  </si>
  <si>
    <t>Feb. 11</t>
  </si>
  <si>
    <t>Mar. 11</t>
  </si>
  <si>
    <t>Apr. 11</t>
  </si>
  <si>
    <t>May. 11</t>
  </si>
  <si>
    <t>Jun. 11</t>
  </si>
  <si>
    <t>Jul. 11</t>
  </si>
  <si>
    <t>Aug. 11</t>
  </si>
  <si>
    <t>Sept. 11</t>
  </si>
  <si>
    <t>Non-shuttle Secondary Rail Car Market Bids ($)</t>
  </si>
  <si>
    <t>Weeks having no reported activity are represented by blanks.  Bids submitted at par value are represented by 0.</t>
  </si>
  <si>
    <t>Prior 3-year averages for each week in a trading month</t>
  </si>
  <si>
    <t>Monthly maximums, minimums, averages, and standard deviations for the secondary railcar market</t>
  </si>
  <si>
    <t>Jan. 12</t>
  </si>
  <si>
    <t>Feb. 12</t>
  </si>
  <si>
    <t>Mar. 12</t>
  </si>
  <si>
    <t>Apr. 12</t>
  </si>
  <si>
    <t>May. 12</t>
  </si>
  <si>
    <t>Jun. 12</t>
  </si>
  <si>
    <t>Jul. 12</t>
  </si>
  <si>
    <t>Aug. 12</t>
  </si>
  <si>
    <t>Sept. 12</t>
  </si>
  <si>
    <t>Oct. 12</t>
  </si>
  <si>
    <t>Nov. 12</t>
  </si>
  <si>
    <t>Dec. 12</t>
  </si>
  <si>
    <t>Dec. 2013</t>
  </si>
  <si>
    <t>Jan. 2014</t>
  </si>
  <si>
    <t>Feb. 2014</t>
  </si>
  <si>
    <t>Mar. 2014</t>
  </si>
  <si>
    <t>Apr. 2014</t>
  </si>
  <si>
    <t>May. 2014</t>
  </si>
  <si>
    <t>Jun. 2014</t>
  </si>
  <si>
    <t>Jul. 2014</t>
  </si>
  <si>
    <t>Aug. 2014</t>
  </si>
  <si>
    <t>Bids/Offers for Railcars to be Delivered in December 2013, Secondary Market</t>
  </si>
  <si>
    <t>Bids/Offers for Railcars to be Delivered in January 2014, Secondary Market</t>
  </si>
  <si>
    <t>Jan. 2011-13</t>
  </si>
  <si>
    <t>Feb. 2011-13</t>
  </si>
  <si>
    <t>Mar. 2011-13</t>
  </si>
  <si>
    <t>Apr. 2011-13</t>
  </si>
  <si>
    <t>May 2011-13</t>
  </si>
  <si>
    <t>June 2011-13</t>
  </si>
  <si>
    <t>Jul. 2011-13</t>
  </si>
  <si>
    <t>Aug. 2011-13</t>
  </si>
  <si>
    <t>Sep. 2011-13</t>
  </si>
  <si>
    <t xml:space="preserve">Dec. 2010-12 </t>
  </si>
  <si>
    <t>Oct.  2011-13</t>
  </si>
  <si>
    <t>May. 2011-13</t>
  </si>
  <si>
    <t>Jun. 2011-13</t>
  </si>
  <si>
    <t>Oct. 2011-13</t>
  </si>
  <si>
    <t>Dec. 2010-12</t>
  </si>
  <si>
    <t>Jan. 13</t>
  </si>
  <si>
    <t>Feb. 13</t>
  </si>
  <si>
    <t>Mar. 13</t>
  </si>
  <si>
    <t>Apr. 13</t>
  </si>
  <si>
    <t>May. 13</t>
  </si>
  <si>
    <t>Jun. 13</t>
  </si>
  <si>
    <t>Jul. 13</t>
  </si>
  <si>
    <t>Aug. 13</t>
  </si>
  <si>
    <t>Sept. 13</t>
  </si>
  <si>
    <t>Oct. 13</t>
  </si>
  <si>
    <t>Nov. 13</t>
  </si>
  <si>
    <t>Dec. 13</t>
  </si>
  <si>
    <t>Sep. 2014</t>
  </si>
  <si>
    <t>Oct. 2014</t>
  </si>
  <si>
    <t>Bids/Offers for Railcars to be Delivered in February 2014, Secondary Market</t>
  </si>
  <si>
    <t>Nov. 2014</t>
  </si>
  <si>
    <t>Nov. 2011-13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</si>
</sst>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"/>
    <numFmt numFmtId="165" formatCode="[$-409]mmm\-yy;@"/>
    <numFmt numFmtId="166" formatCode="0_);[Red]\(0\)"/>
    <numFmt numFmtId="167" formatCode="0.0_);[Red]\(0.0\)"/>
    <numFmt numFmtId="168" formatCode="0.00_);[Red]\(0.00\)"/>
    <numFmt numFmtId="169" formatCode="[$-409]d\-mmm\-yyyy;@"/>
  </numFmts>
  <fonts count="22" x14ac:knownFonts="1">
    <font>
      <sz val="12"/>
      <name val="Arial"/>
    </font>
    <font>
      <b/>
      <sz val="1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Times New Roman"/>
      <family val="1"/>
    </font>
    <font>
      <sz val="9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 applyFill="0" applyBorder="0"/>
    <xf numFmtId="0" fontId="2" fillId="0" borderId="0"/>
  </cellStyleXfs>
  <cellXfs count="152">
    <xf numFmtId="0" fontId="0" fillId="0" borderId="0" xfId="0"/>
    <xf numFmtId="0" fontId="2" fillId="0" borderId="0" xfId="0" applyNumberFormat="1" applyFont="1" applyAlignment="1"/>
    <xf numFmtId="0" fontId="3" fillId="0" borderId="0" xfId="0" applyNumberFormat="1" applyFont="1" applyAlignment="1"/>
    <xf numFmtId="17" fontId="3" fillId="0" borderId="0" xfId="0" applyNumberFormat="1" applyFont="1" applyAlignment="1"/>
    <xf numFmtId="164" fontId="3" fillId="0" borderId="0" xfId="0" applyNumberFormat="1" applyFont="1" applyAlignment="1"/>
    <xf numFmtId="0" fontId="4" fillId="0" borderId="0" xfId="0" applyFont="1"/>
    <xf numFmtId="0" fontId="6" fillId="2" borderId="0" xfId="0" applyFont="1" applyFill="1"/>
    <xf numFmtId="0" fontId="2" fillId="0" borderId="0" xfId="0" applyNumberFormat="1" applyFont="1" applyAlignment="1">
      <alignment horizontal="right"/>
    </xf>
    <xf numFmtId="0" fontId="8" fillId="0" borderId="0" xfId="0" applyFont="1"/>
    <xf numFmtId="0" fontId="8" fillId="0" borderId="1" xfId="0" applyFont="1" applyBorder="1"/>
    <xf numFmtId="0" fontId="8" fillId="0" borderId="0" xfId="0" applyFont="1" applyBorder="1"/>
    <xf numFmtId="0" fontId="1" fillId="0" borderId="1" xfId="0" applyFont="1" applyBorder="1"/>
    <xf numFmtId="0" fontId="9" fillId="0" borderId="0" xfId="0" applyFont="1"/>
    <xf numFmtId="0" fontId="5" fillId="0" borderId="0" xfId="0" applyFont="1" applyBorder="1"/>
    <xf numFmtId="0" fontId="5" fillId="0" borderId="0" xfId="0" applyFont="1"/>
    <xf numFmtId="0" fontId="5" fillId="0" borderId="0" xfId="0" applyFont="1" applyFill="1" applyBorder="1"/>
    <xf numFmtId="0" fontId="10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quotePrefix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/>
    <xf numFmtId="165" fontId="2" fillId="0" borderId="0" xfId="0" applyNumberFormat="1" applyFont="1" applyAlignment="1">
      <alignment horizontal="right"/>
    </xf>
    <xf numFmtId="16" fontId="2" fillId="0" borderId="0" xfId="0" applyNumberFormat="1" applyFont="1" applyAlignment="1">
      <alignment horizontal="right"/>
    </xf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1" fillId="0" borderId="0" xfId="0" applyFont="1" applyBorder="1"/>
    <xf numFmtId="2" fontId="1" fillId="0" borderId="0" xfId="0" applyNumberFormat="1" applyFont="1" applyBorder="1"/>
    <xf numFmtId="0" fontId="10" fillId="0" borderId="0" xfId="0" applyFont="1" applyBorder="1"/>
    <xf numFmtId="0" fontId="0" fillId="2" borderId="0" xfId="0" applyFill="1"/>
    <xf numFmtId="0" fontId="0" fillId="0" borderId="0" xfId="0" applyBorder="1"/>
    <xf numFmtId="9" fontId="5" fillId="0" borderId="0" xfId="0" applyNumberFormat="1" applyFont="1"/>
    <xf numFmtId="0" fontId="11" fillId="0" borderId="0" xfId="0" applyFont="1" applyBorder="1"/>
    <xf numFmtId="0" fontId="0" fillId="0" borderId="0" xfId="0" applyFill="1"/>
    <xf numFmtId="168" fontId="5" fillId="0" borderId="0" xfId="0" applyNumberFormat="1" applyFont="1" applyBorder="1" applyAlignment="1">
      <alignment horizontal="center"/>
    </xf>
    <xf numFmtId="0" fontId="12" fillId="0" borderId="0" xfId="0" applyFont="1"/>
    <xf numFmtId="166" fontId="5" fillId="0" borderId="0" xfId="0" applyNumberFormat="1" applyFont="1" applyBorder="1" applyAlignment="1">
      <alignment horizontal="center"/>
    </xf>
    <xf numFmtId="0" fontId="1" fillId="0" borderId="3" xfId="0" applyFont="1" applyFill="1" applyBorder="1"/>
    <xf numFmtId="0" fontId="1" fillId="0" borderId="1" xfId="0" applyFont="1" applyFill="1" applyBorder="1"/>
    <xf numFmtId="0" fontId="0" fillId="4" borderId="0" xfId="0" applyFill="1"/>
    <xf numFmtId="0" fontId="7" fillId="4" borderId="0" xfId="0" applyFont="1" applyFill="1"/>
    <xf numFmtId="0" fontId="2" fillId="4" borderId="0" xfId="0" applyFont="1" applyFill="1"/>
    <xf numFmtId="0" fontId="13" fillId="4" borderId="0" xfId="0" applyFont="1" applyFill="1"/>
    <xf numFmtId="0" fontId="1" fillId="0" borderId="0" xfId="0" applyFont="1" applyFill="1" applyBorder="1"/>
    <xf numFmtId="168" fontId="5" fillId="0" borderId="0" xfId="0" applyNumberFormat="1" applyFont="1" applyBorder="1" applyAlignment="1"/>
    <xf numFmtId="0" fontId="11" fillId="0" borderId="0" xfId="0" applyFont="1" applyFill="1"/>
    <xf numFmtId="0" fontId="5" fillId="0" borderId="0" xfId="0" applyFont="1" applyFill="1"/>
    <xf numFmtId="2" fontId="5" fillId="0" borderId="0" xfId="0" applyNumberFormat="1" applyFont="1"/>
    <xf numFmtId="2" fontId="0" fillId="0" borderId="0" xfId="0" applyNumberFormat="1"/>
    <xf numFmtId="2" fontId="1" fillId="0" borderId="1" xfId="0" applyNumberFormat="1" applyFont="1" applyBorder="1"/>
    <xf numFmtId="2" fontId="12" fillId="0" borderId="0" xfId="0" applyNumberFormat="1" applyFont="1"/>
    <xf numFmtId="0" fontId="2" fillId="0" borderId="1" xfId="0" applyNumberFormat="1" applyFont="1" applyBorder="1" applyAlignment="1"/>
    <xf numFmtId="0" fontId="2" fillId="7" borderId="0" xfId="0" applyNumberFormat="1" applyFont="1" applyFill="1" applyAlignment="1">
      <alignment horizontal="left"/>
    </xf>
    <xf numFmtId="0" fontId="2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3" fontId="2" fillId="0" borderId="0" xfId="0" applyNumberFormat="1" applyFont="1" applyAlignment="1"/>
    <xf numFmtId="0" fontId="3" fillId="0" borderId="0" xfId="0" applyNumberFormat="1" applyFont="1" applyAlignment="1">
      <alignment horizontal="center"/>
    </xf>
    <xf numFmtId="0" fontId="2" fillId="7" borderId="0" xfId="0" applyNumberFormat="1" applyFont="1" applyFill="1" applyAlignment="1"/>
    <xf numFmtId="0" fontId="2" fillId="6" borderId="0" xfId="0" applyNumberFormat="1" applyFont="1" applyFill="1" applyAlignment="1">
      <alignment horizontal="left"/>
    </xf>
    <xf numFmtId="0" fontId="2" fillId="6" borderId="0" xfId="0" applyNumberFormat="1" applyFont="1" applyFill="1" applyAlignment="1"/>
    <xf numFmtId="1" fontId="2" fillId="0" borderId="0" xfId="0" applyNumberFormat="1" applyFont="1" applyAlignment="1"/>
    <xf numFmtId="1" fontId="3" fillId="0" borderId="0" xfId="0" applyNumberFormat="1" applyFont="1" applyAlignment="1"/>
    <xf numFmtId="0" fontId="3" fillId="0" borderId="0" xfId="0" applyFont="1" applyFill="1" applyAlignment="1"/>
    <xf numFmtId="3" fontId="3" fillId="0" borderId="0" xfId="0" applyNumberFormat="1" applyFont="1" applyFill="1" applyAlignment="1"/>
    <xf numFmtId="1" fontId="3" fillId="0" borderId="0" xfId="0" applyNumberFormat="1" applyFont="1" applyFill="1" applyAlignment="1"/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1" fontId="3" fillId="0" borderId="0" xfId="0" applyNumberFormat="1" applyFont="1" applyFill="1" applyBorder="1" applyAlignment="1"/>
    <xf numFmtId="0" fontId="12" fillId="0" borderId="0" xfId="0" applyFont="1" applyFill="1"/>
    <xf numFmtId="166" fontId="5" fillId="0" borderId="0" xfId="0" applyNumberFormat="1" applyFont="1" applyFill="1" applyBorder="1" applyAlignment="1">
      <alignment horizontal="center"/>
    </xf>
    <xf numFmtId="0" fontId="9" fillId="0" borderId="0" xfId="0" applyFont="1" applyBorder="1"/>
    <xf numFmtId="3" fontId="8" fillId="0" borderId="0" xfId="0" quotePrefix="1" applyNumberFormat="1" applyFont="1"/>
    <xf numFmtId="3" fontId="8" fillId="0" borderId="0" xfId="0" quotePrefix="1" applyNumberFormat="1" applyFont="1" applyFill="1"/>
    <xf numFmtId="0" fontId="15" fillId="2" borderId="0" xfId="0" applyFont="1" applyFill="1"/>
    <xf numFmtId="0" fontId="1" fillId="8" borderId="0" xfId="0" applyFont="1" applyFill="1" applyAlignment="1"/>
    <xf numFmtId="2" fontId="9" fillId="0" borderId="0" xfId="0" applyNumberFormat="1" applyFont="1" applyBorder="1"/>
    <xf numFmtId="2" fontId="9" fillId="5" borderId="0" xfId="0" applyNumberFormat="1" applyFont="1" applyFill="1" applyBorder="1"/>
    <xf numFmtId="0" fontId="2" fillId="0" borderId="0" xfId="0" applyFont="1"/>
    <xf numFmtId="0" fontId="9" fillId="0" borderId="0" xfId="0" applyFont="1" applyFill="1" applyBorder="1"/>
    <xf numFmtId="2" fontId="2" fillId="0" borderId="0" xfId="0" applyNumberFormat="1" applyFont="1"/>
    <xf numFmtId="0" fontId="17" fillId="0" borderId="0" xfId="0" applyFont="1" applyFill="1"/>
    <xf numFmtId="2" fontId="9" fillId="5" borderId="0" xfId="0" applyNumberFormat="1" applyFont="1" applyFill="1"/>
    <xf numFmtId="0" fontId="9" fillId="0" borderId="0" xfId="0" applyFont="1" applyFill="1"/>
    <xf numFmtId="2" fontId="9" fillId="0" borderId="0" xfId="0" applyNumberFormat="1" applyFont="1" applyFill="1"/>
    <xf numFmtId="0" fontId="10" fillId="0" borderId="0" xfId="0" applyFont="1" applyFill="1"/>
    <xf numFmtId="2" fontId="9" fillId="0" borderId="0" xfId="0" applyNumberFormat="1" applyFont="1" applyFill="1" applyBorder="1"/>
    <xf numFmtId="0" fontId="8" fillId="0" borderId="2" xfId="0" applyFont="1" applyFill="1" applyBorder="1" applyAlignment="1">
      <alignment horizontal="center"/>
    </xf>
    <xf numFmtId="0" fontId="4" fillId="2" borderId="0" xfId="0" applyFont="1" applyFill="1"/>
    <xf numFmtId="0" fontId="18" fillId="2" borderId="0" xfId="0" applyFont="1" applyFill="1" applyAlignment="1">
      <alignment horizontal="left"/>
    </xf>
    <xf numFmtId="0" fontId="18" fillId="2" borderId="0" xfId="0" applyFont="1" applyFill="1"/>
    <xf numFmtId="16" fontId="2" fillId="0" borderId="0" xfId="0" applyNumberFormat="1" applyFont="1" applyFill="1" applyAlignment="1">
      <alignment horizontal="right"/>
    </xf>
    <xf numFmtId="0" fontId="8" fillId="9" borderId="0" xfId="0" applyFont="1" applyFill="1"/>
    <xf numFmtId="0" fontId="0" fillId="9" borderId="0" xfId="0" applyFill="1"/>
    <xf numFmtId="0" fontId="17" fillId="0" borderId="0" xfId="0" applyNumberFormat="1" applyFont="1" applyAlignment="1"/>
    <xf numFmtId="0" fontId="8" fillId="0" borderId="2" xfId="0" applyFont="1" applyBorder="1" applyAlignment="1">
      <alignment horizontal="center"/>
    </xf>
    <xf numFmtId="2" fontId="5" fillId="0" borderId="0" xfId="0" applyNumberFormat="1" applyFont="1" applyBorder="1"/>
    <xf numFmtId="2" fontId="5" fillId="0" borderId="0" xfId="0" applyNumberFormat="1" applyFont="1" applyFill="1"/>
    <xf numFmtId="2" fontId="5" fillId="0" borderId="0" xfId="0" applyNumberFormat="1" applyFont="1" applyFill="1" applyBorder="1"/>
    <xf numFmtId="2" fontId="9" fillId="0" borderId="0" xfId="0" applyNumberFormat="1" applyFont="1"/>
    <xf numFmtId="2" fontId="0" fillId="0" borderId="0" xfId="0" applyNumberFormat="1" applyFill="1"/>
    <xf numFmtId="169" fontId="5" fillId="0" borderId="0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2" fontId="14" fillId="0" borderId="0" xfId="0" applyNumberFormat="1" applyFont="1"/>
    <xf numFmtId="2" fontId="11" fillId="0" borderId="0" xfId="0" applyNumberFormat="1" applyFont="1" applyFill="1"/>
    <xf numFmtId="2" fontId="17" fillId="0" borderId="0" xfId="0" applyNumberFormat="1" applyFont="1"/>
    <xf numFmtId="2" fontId="17" fillId="5" borderId="0" xfId="0" applyNumberFormat="1" applyFont="1" applyFill="1"/>
    <xf numFmtId="2" fontId="17" fillId="0" borderId="0" xfId="0" applyNumberFormat="1" applyFont="1" applyFill="1"/>
    <xf numFmtId="0" fontId="2" fillId="0" borderId="0" xfId="0" applyNumberFormat="1" applyFont="1" applyFill="1" applyBorder="1" applyAlignment="1"/>
    <xf numFmtId="0" fontId="17" fillId="0" borderId="0" xfId="0" applyNumberFormat="1" applyFont="1" applyFill="1" applyBorder="1" applyAlignment="1"/>
    <xf numFmtId="0" fontId="17" fillId="0" borderId="0" xfId="0" applyNumberFormat="1" applyFont="1" applyBorder="1" applyAlignment="1"/>
    <xf numFmtId="0" fontId="8" fillId="0" borderId="0" xfId="0" applyNumberFormat="1" applyFont="1" applyAlignment="1"/>
    <xf numFmtId="0" fontId="4" fillId="10" borderId="0" xfId="0" applyFont="1" applyFill="1"/>
    <xf numFmtId="0" fontId="0" fillId="10" borderId="0" xfId="0" applyFill="1"/>
    <xf numFmtId="1" fontId="12" fillId="0" borderId="0" xfId="0" applyNumberFormat="1" applyFont="1"/>
    <xf numFmtId="0" fontId="1" fillId="0" borderId="0" xfId="0" applyFont="1"/>
    <xf numFmtId="0" fontId="9" fillId="3" borderId="0" xfId="0" applyFont="1" applyFill="1"/>
    <xf numFmtId="0" fontId="19" fillId="0" borderId="0" xfId="0" applyFont="1" applyFill="1"/>
    <xf numFmtId="167" fontId="1" fillId="4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9" fontId="9" fillId="5" borderId="0" xfId="0" applyNumberFormat="1" applyFont="1" applyFill="1"/>
    <xf numFmtId="9" fontId="9" fillId="0" borderId="0" xfId="0" applyNumberFormat="1" applyFont="1"/>
    <xf numFmtId="9" fontId="9" fillId="0" borderId="0" xfId="0" applyNumberFormat="1" applyFont="1" applyFill="1"/>
    <xf numFmtId="168" fontId="9" fillId="5" borderId="0" xfId="0" applyNumberFormat="1" applyFont="1" applyFill="1" applyBorder="1" applyAlignment="1"/>
    <xf numFmtId="168" fontId="9" fillId="0" borderId="0" xfId="0" applyNumberFormat="1" applyFont="1" applyBorder="1" applyAlignment="1">
      <alignment horizontal="center"/>
    </xf>
    <xf numFmtId="168" fontId="9" fillId="0" borderId="0" xfId="0" applyNumberFormat="1" applyFont="1" applyBorder="1" applyAlignment="1"/>
    <xf numFmtId="168" fontId="9" fillId="0" borderId="0" xfId="0" applyNumberFormat="1" applyFont="1" applyFill="1" applyBorder="1" applyAlignment="1"/>
    <xf numFmtId="166" fontId="9" fillId="5" borderId="0" xfId="0" applyNumberFormat="1" applyFont="1" applyFill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166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168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center"/>
    </xf>
    <xf numFmtId="0" fontId="1" fillId="6" borderId="0" xfId="0" applyFont="1" applyFill="1"/>
    <xf numFmtId="0" fontId="9" fillId="6" borderId="0" xfId="0" applyFont="1" applyFill="1"/>
    <xf numFmtId="17" fontId="20" fillId="0" borderId="0" xfId="1" applyNumberFormat="1" applyFont="1" applyAlignment="1"/>
    <xf numFmtId="17" fontId="20" fillId="0" borderId="0" xfId="1" applyNumberFormat="1" applyFont="1" applyAlignment="1">
      <alignment horizontal="center"/>
    </xf>
    <xf numFmtId="3" fontId="20" fillId="0" borderId="0" xfId="1" applyNumberFormat="1" applyFont="1" applyAlignment="1"/>
    <xf numFmtId="3" fontId="20" fillId="0" borderId="0" xfId="1" applyNumberFormat="1" applyFont="1" applyAlignment="1">
      <alignment horizontal="center"/>
    </xf>
    <xf numFmtId="3" fontId="21" fillId="0" borderId="0" xfId="1" applyNumberFormat="1" applyFont="1" applyAlignment="1">
      <alignment horizontal="center"/>
    </xf>
    <xf numFmtId="4" fontId="20" fillId="0" borderId="0" xfId="1" applyNumberFormat="1" applyFont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2" fontId="9" fillId="11" borderId="0" xfId="0" applyNumberFormat="1" applyFont="1" applyFill="1" applyBorder="1"/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168" fontId="9" fillId="5" borderId="0" xfId="0" applyNumberFormat="1" applyFont="1" applyFill="1" applyBorder="1" applyAlignment="1">
      <alignment horizontal="center"/>
    </xf>
    <xf numFmtId="168" fontId="1" fillId="5" borderId="0" xfId="0" applyNumberFormat="1" applyFont="1" applyFill="1" applyBorder="1" applyAlignment="1">
      <alignment horizontal="center"/>
    </xf>
  </cellXfs>
  <cellStyles count="2">
    <cellStyle name="Normal" xfId="0" builtinId="0"/>
    <cellStyle name="Normal_data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1ADDA"/>
      <rgbColor rgb="00FFFFFF"/>
      <rgbColor rgb="00B9BCD9"/>
      <rgbColor rgb="0000FF00"/>
      <rgbColor rgb="000000FF"/>
      <rgbColor rgb="00FFFF00"/>
      <rgbColor rgb="00BBD569"/>
      <rgbColor rgb="0000FFFF"/>
      <rgbColor rgb="008388BB"/>
      <rgbColor rgb="00008000"/>
      <rgbColor rgb="00000080"/>
      <rgbColor rgb="00808000"/>
      <rgbColor rgb="00800080"/>
      <rgbColor rgb="00008080"/>
      <rgbColor rgb="00AABC3E"/>
      <rgbColor rgb="00E1C8C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72D072"/>
      <rgbColor rgb="003366FF"/>
      <rgbColor rgb="0033CCCC"/>
      <rgbColor rgb="00FFDD4F"/>
      <rgbColor rgb="00FFCC00"/>
      <rgbColor rgb="006C0E51"/>
      <rgbColor rgb="00FF0909"/>
      <rgbColor rgb="00666699"/>
      <rgbColor rgb="00FF0000"/>
      <rgbColor rgb="00003366"/>
      <rgbColor rgb="00339966"/>
      <rgbColor rgb="00003300"/>
      <rgbColor rgb="00333300"/>
      <rgbColor rgb="00E1C8AF"/>
      <rgbColor rgb="00993366"/>
      <rgbColor rgb="00333399"/>
      <rgbColor rgb="00333333"/>
    </indexed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01011744093933"/>
          <c:y val="3.6795756505640057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Bids'!$C$845:$C$875</c:f>
              <c:numCache>
                <c:formatCode>[$-409]d\-mmm\-yyyy;@</c:formatCode>
                <c:ptCount val="31"/>
                <c:pt idx="0">
                  <c:v>41410</c:v>
                </c:pt>
                <c:pt idx="1">
                  <c:v>41417</c:v>
                </c:pt>
                <c:pt idx="2">
                  <c:v>41424</c:v>
                </c:pt>
                <c:pt idx="3">
                  <c:v>41431</c:v>
                </c:pt>
                <c:pt idx="4">
                  <c:v>41438</c:v>
                </c:pt>
                <c:pt idx="5">
                  <c:v>41445</c:v>
                </c:pt>
                <c:pt idx="6">
                  <c:v>41452</c:v>
                </c:pt>
                <c:pt idx="7">
                  <c:v>41459</c:v>
                </c:pt>
                <c:pt idx="8">
                  <c:v>41466</c:v>
                </c:pt>
                <c:pt idx="9">
                  <c:v>41473</c:v>
                </c:pt>
                <c:pt idx="10">
                  <c:v>41480</c:v>
                </c:pt>
                <c:pt idx="11">
                  <c:v>41487</c:v>
                </c:pt>
                <c:pt idx="12">
                  <c:v>41494</c:v>
                </c:pt>
                <c:pt idx="13">
                  <c:v>41501</c:v>
                </c:pt>
                <c:pt idx="14">
                  <c:v>41508</c:v>
                </c:pt>
                <c:pt idx="15">
                  <c:v>41515</c:v>
                </c:pt>
                <c:pt idx="16">
                  <c:v>41522</c:v>
                </c:pt>
                <c:pt idx="17">
                  <c:v>41529</c:v>
                </c:pt>
                <c:pt idx="18">
                  <c:v>41536</c:v>
                </c:pt>
                <c:pt idx="19">
                  <c:v>41543</c:v>
                </c:pt>
                <c:pt idx="20">
                  <c:v>41550</c:v>
                </c:pt>
                <c:pt idx="21">
                  <c:v>41557</c:v>
                </c:pt>
                <c:pt idx="22">
                  <c:v>41564</c:v>
                </c:pt>
                <c:pt idx="23">
                  <c:v>41571</c:v>
                </c:pt>
                <c:pt idx="24">
                  <c:v>41578</c:v>
                </c:pt>
                <c:pt idx="25">
                  <c:v>41585</c:v>
                </c:pt>
                <c:pt idx="26">
                  <c:v>41592</c:v>
                </c:pt>
                <c:pt idx="27">
                  <c:v>41599</c:v>
                </c:pt>
                <c:pt idx="28">
                  <c:v>41606</c:v>
                </c:pt>
                <c:pt idx="29">
                  <c:v>41613</c:v>
                </c:pt>
                <c:pt idx="30">
                  <c:v>41620</c:v>
                </c:pt>
              </c:numCache>
            </c:numRef>
          </c:cat>
          <c:val>
            <c:numRef>
              <c:f>'Non-shuttle Bids'!$AX$845:$AX$875</c:f>
              <c:numCache>
                <c:formatCode>General</c:formatCode>
                <c:ptCount val="31"/>
                <c:pt idx="21" formatCode="0.00">
                  <c:v>263</c:v>
                </c:pt>
                <c:pt idx="22" formatCode="0.00">
                  <c:v>342</c:v>
                </c:pt>
                <c:pt idx="23" formatCode="0.00">
                  <c:v>250</c:v>
                </c:pt>
                <c:pt idx="24" formatCode="0.00">
                  <c:v>1175</c:v>
                </c:pt>
                <c:pt idx="25" formatCode="0.00">
                  <c:v>975</c:v>
                </c:pt>
                <c:pt idx="26" formatCode="0.00">
                  <c:v>300</c:v>
                </c:pt>
                <c:pt idx="27" formatCode="0.00">
                  <c:v>175</c:v>
                </c:pt>
                <c:pt idx="28" formatCode="0.00">
                  <c:v>175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Bids'!$C$845:$C$875</c:f>
              <c:numCache>
                <c:formatCode>[$-409]d\-mmm\-yyyy;@</c:formatCode>
                <c:ptCount val="31"/>
                <c:pt idx="0">
                  <c:v>41410</c:v>
                </c:pt>
                <c:pt idx="1">
                  <c:v>41417</c:v>
                </c:pt>
                <c:pt idx="2">
                  <c:v>41424</c:v>
                </c:pt>
                <c:pt idx="3">
                  <c:v>41431</c:v>
                </c:pt>
                <c:pt idx="4">
                  <c:v>41438</c:v>
                </c:pt>
                <c:pt idx="5">
                  <c:v>41445</c:v>
                </c:pt>
                <c:pt idx="6">
                  <c:v>41452</c:v>
                </c:pt>
                <c:pt idx="7">
                  <c:v>41459</c:v>
                </c:pt>
                <c:pt idx="8">
                  <c:v>41466</c:v>
                </c:pt>
                <c:pt idx="9">
                  <c:v>41473</c:v>
                </c:pt>
                <c:pt idx="10">
                  <c:v>41480</c:v>
                </c:pt>
                <c:pt idx="11">
                  <c:v>41487</c:v>
                </c:pt>
                <c:pt idx="12">
                  <c:v>41494</c:v>
                </c:pt>
                <c:pt idx="13">
                  <c:v>41501</c:v>
                </c:pt>
                <c:pt idx="14">
                  <c:v>41508</c:v>
                </c:pt>
                <c:pt idx="15">
                  <c:v>41515</c:v>
                </c:pt>
                <c:pt idx="16">
                  <c:v>41522</c:v>
                </c:pt>
                <c:pt idx="17">
                  <c:v>41529</c:v>
                </c:pt>
                <c:pt idx="18">
                  <c:v>41536</c:v>
                </c:pt>
                <c:pt idx="19">
                  <c:v>41543</c:v>
                </c:pt>
                <c:pt idx="20">
                  <c:v>41550</c:v>
                </c:pt>
                <c:pt idx="21">
                  <c:v>41557</c:v>
                </c:pt>
                <c:pt idx="22">
                  <c:v>41564</c:v>
                </c:pt>
                <c:pt idx="23">
                  <c:v>41571</c:v>
                </c:pt>
                <c:pt idx="24">
                  <c:v>41578</c:v>
                </c:pt>
                <c:pt idx="25">
                  <c:v>41585</c:v>
                </c:pt>
                <c:pt idx="26">
                  <c:v>41592</c:v>
                </c:pt>
                <c:pt idx="27">
                  <c:v>41599</c:v>
                </c:pt>
                <c:pt idx="28">
                  <c:v>41606</c:v>
                </c:pt>
                <c:pt idx="29">
                  <c:v>41613</c:v>
                </c:pt>
                <c:pt idx="30">
                  <c:v>41620</c:v>
                </c:pt>
              </c:numCache>
            </c:numRef>
          </c:cat>
          <c:val>
            <c:numRef>
              <c:f>'Shuttle Bids'!$AX$845:$AX$875</c:f>
              <c:numCache>
                <c:formatCode>General</c:formatCode>
                <c:ptCount val="31"/>
                <c:pt idx="8" formatCode="0.00">
                  <c:v>-200</c:v>
                </c:pt>
                <c:pt idx="17" formatCode="0.00">
                  <c:v>-50</c:v>
                </c:pt>
                <c:pt idx="18" formatCode="0.00">
                  <c:v>-63</c:v>
                </c:pt>
                <c:pt idx="19" formatCode="0.00">
                  <c:v>-56.5</c:v>
                </c:pt>
                <c:pt idx="20" formatCode="0.00">
                  <c:v>-25</c:v>
                </c:pt>
                <c:pt idx="21" formatCode="0.00">
                  <c:v>-6</c:v>
                </c:pt>
                <c:pt idx="22" formatCode="0.00">
                  <c:v>75</c:v>
                </c:pt>
                <c:pt idx="23" formatCode="0.00">
                  <c:v>287.5</c:v>
                </c:pt>
                <c:pt idx="24" formatCode="0.00">
                  <c:v>875</c:v>
                </c:pt>
                <c:pt idx="25" formatCode="0.00">
                  <c:v>550</c:v>
                </c:pt>
                <c:pt idx="26" formatCode="0.00">
                  <c:v>96</c:v>
                </c:pt>
                <c:pt idx="27" formatCode="0.00">
                  <c:v>535.5</c:v>
                </c:pt>
                <c:pt idx="28" formatCode="0.00">
                  <c:v>662.5</c:v>
                </c:pt>
              </c:numCache>
            </c:numRef>
          </c:val>
          <c:smooth val="0"/>
        </c:ser>
        <c:ser>
          <c:idx val="2"/>
          <c:order val="2"/>
          <c:tx>
            <c:v>Non-shuttle avg. 2010-12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Bids'!$C$845:$C$875</c:f>
              <c:numCache>
                <c:formatCode>[$-409]d\-mmm\-yyyy;@</c:formatCode>
                <c:ptCount val="31"/>
                <c:pt idx="0">
                  <c:v>41410</c:v>
                </c:pt>
                <c:pt idx="1">
                  <c:v>41417</c:v>
                </c:pt>
                <c:pt idx="2">
                  <c:v>41424</c:v>
                </c:pt>
                <c:pt idx="3">
                  <c:v>41431</c:v>
                </c:pt>
                <c:pt idx="4">
                  <c:v>41438</c:v>
                </c:pt>
                <c:pt idx="5">
                  <c:v>41445</c:v>
                </c:pt>
                <c:pt idx="6">
                  <c:v>41452</c:v>
                </c:pt>
                <c:pt idx="7">
                  <c:v>41459</c:v>
                </c:pt>
                <c:pt idx="8">
                  <c:v>41466</c:v>
                </c:pt>
                <c:pt idx="9">
                  <c:v>41473</c:v>
                </c:pt>
                <c:pt idx="10">
                  <c:v>41480</c:v>
                </c:pt>
                <c:pt idx="11">
                  <c:v>41487</c:v>
                </c:pt>
                <c:pt idx="12">
                  <c:v>41494</c:v>
                </c:pt>
                <c:pt idx="13">
                  <c:v>41501</c:v>
                </c:pt>
                <c:pt idx="14">
                  <c:v>41508</c:v>
                </c:pt>
                <c:pt idx="15">
                  <c:v>41515</c:v>
                </c:pt>
                <c:pt idx="16">
                  <c:v>41522</c:v>
                </c:pt>
                <c:pt idx="17">
                  <c:v>41529</c:v>
                </c:pt>
                <c:pt idx="18">
                  <c:v>41536</c:v>
                </c:pt>
                <c:pt idx="19">
                  <c:v>41543</c:v>
                </c:pt>
                <c:pt idx="20">
                  <c:v>41550</c:v>
                </c:pt>
                <c:pt idx="21">
                  <c:v>41557</c:v>
                </c:pt>
                <c:pt idx="22">
                  <c:v>41564</c:v>
                </c:pt>
                <c:pt idx="23">
                  <c:v>41571</c:v>
                </c:pt>
                <c:pt idx="24">
                  <c:v>41578</c:v>
                </c:pt>
                <c:pt idx="25">
                  <c:v>41585</c:v>
                </c:pt>
                <c:pt idx="26">
                  <c:v>41592</c:v>
                </c:pt>
                <c:pt idx="27">
                  <c:v>41599</c:v>
                </c:pt>
                <c:pt idx="28">
                  <c:v>41606</c:v>
                </c:pt>
                <c:pt idx="29">
                  <c:v>41613</c:v>
                </c:pt>
                <c:pt idx="30">
                  <c:v>41620</c:v>
                </c:pt>
              </c:numCache>
            </c:numRef>
          </c:cat>
          <c:val>
            <c:numRef>
              <c:f>'Prior 3-yr.Avg for Week'!$AP$8:$AP$38</c:f>
              <c:numCache>
                <c:formatCode>0.00</c:formatCode>
                <c:ptCount val="31"/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6">
                  <c:v>400</c:v>
                </c:pt>
                <c:pt idx="17">
                  <c:v>200</c:v>
                </c:pt>
                <c:pt idx="18">
                  <c:v>250</c:v>
                </c:pt>
                <c:pt idx="19">
                  <c:v>100</c:v>
                </c:pt>
                <c:pt idx="20">
                  <c:v>100</c:v>
                </c:pt>
                <c:pt idx="21">
                  <c:v>57</c:v>
                </c:pt>
                <c:pt idx="22">
                  <c:v>27.833333333333332</c:v>
                </c:pt>
                <c:pt idx="23">
                  <c:v>-1.3333333333333333</c:v>
                </c:pt>
                <c:pt idx="24">
                  <c:v>-8.3333333333333339</c:v>
                </c:pt>
                <c:pt idx="25">
                  <c:v>-2.5</c:v>
                </c:pt>
                <c:pt idx="26">
                  <c:v>-10.833333333333334</c:v>
                </c:pt>
                <c:pt idx="27">
                  <c:v>-25.666666666666668</c:v>
                </c:pt>
                <c:pt idx="28">
                  <c:v>-28.166666666666668</c:v>
                </c:pt>
                <c:pt idx="29">
                  <c:v>-15.5</c:v>
                </c:pt>
                <c:pt idx="3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v>Shuttle avg. 2010-12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Bids'!$C$845:$C$875</c:f>
              <c:numCache>
                <c:formatCode>[$-409]d\-mmm\-yyyy;@</c:formatCode>
                <c:ptCount val="31"/>
                <c:pt idx="0">
                  <c:v>41410</c:v>
                </c:pt>
                <c:pt idx="1">
                  <c:v>41417</c:v>
                </c:pt>
                <c:pt idx="2">
                  <c:v>41424</c:v>
                </c:pt>
                <c:pt idx="3">
                  <c:v>41431</c:v>
                </c:pt>
                <c:pt idx="4">
                  <c:v>41438</c:v>
                </c:pt>
                <c:pt idx="5">
                  <c:v>41445</c:v>
                </c:pt>
                <c:pt idx="6">
                  <c:v>41452</c:v>
                </c:pt>
                <c:pt idx="7">
                  <c:v>41459</c:v>
                </c:pt>
                <c:pt idx="8">
                  <c:v>41466</c:v>
                </c:pt>
                <c:pt idx="9">
                  <c:v>41473</c:v>
                </c:pt>
                <c:pt idx="10">
                  <c:v>41480</c:v>
                </c:pt>
                <c:pt idx="11">
                  <c:v>41487</c:v>
                </c:pt>
                <c:pt idx="12">
                  <c:v>41494</c:v>
                </c:pt>
                <c:pt idx="13">
                  <c:v>41501</c:v>
                </c:pt>
                <c:pt idx="14">
                  <c:v>41508</c:v>
                </c:pt>
                <c:pt idx="15">
                  <c:v>41515</c:v>
                </c:pt>
                <c:pt idx="16">
                  <c:v>41522</c:v>
                </c:pt>
                <c:pt idx="17">
                  <c:v>41529</c:v>
                </c:pt>
                <c:pt idx="18">
                  <c:v>41536</c:v>
                </c:pt>
                <c:pt idx="19">
                  <c:v>41543</c:v>
                </c:pt>
                <c:pt idx="20">
                  <c:v>41550</c:v>
                </c:pt>
                <c:pt idx="21">
                  <c:v>41557</c:v>
                </c:pt>
                <c:pt idx="22">
                  <c:v>41564</c:v>
                </c:pt>
                <c:pt idx="23">
                  <c:v>41571</c:v>
                </c:pt>
                <c:pt idx="24">
                  <c:v>41578</c:v>
                </c:pt>
                <c:pt idx="25">
                  <c:v>41585</c:v>
                </c:pt>
                <c:pt idx="26">
                  <c:v>41592</c:v>
                </c:pt>
                <c:pt idx="27">
                  <c:v>41599</c:v>
                </c:pt>
                <c:pt idx="28">
                  <c:v>41606</c:v>
                </c:pt>
                <c:pt idx="29">
                  <c:v>41613</c:v>
                </c:pt>
                <c:pt idx="30">
                  <c:v>41620</c:v>
                </c:pt>
              </c:numCache>
            </c:numRef>
          </c:cat>
          <c:val>
            <c:numRef>
              <c:f>'Prior 3-yr.Avg for Week'!$CG$8:$CG$38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8">
                  <c:v>-12.5</c:v>
                </c:pt>
                <c:pt idx="9">
                  <c:v>0</c:v>
                </c:pt>
                <c:pt idx="10">
                  <c:v>125</c:v>
                </c:pt>
                <c:pt idx="11">
                  <c:v>150</c:v>
                </c:pt>
                <c:pt idx="12">
                  <c:v>162.5</c:v>
                </c:pt>
                <c:pt idx="13">
                  <c:v>58.333333333333336</c:v>
                </c:pt>
                <c:pt idx="14">
                  <c:v>112.5</c:v>
                </c:pt>
                <c:pt idx="15">
                  <c:v>112.5</c:v>
                </c:pt>
                <c:pt idx="16">
                  <c:v>-33.333333333333336</c:v>
                </c:pt>
                <c:pt idx="17">
                  <c:v>-114.66666666666667</c:v>
                </c:pt>
                <c:pt idx="18">
                  <c:v>-129.16666666666666</c:v>
                </c:pt>
                <c:pt idx="19">
                  <c:v>-100</c:v>
                </c:pt>
                <c:pt idx="20">
                  <c:v>-137.66666666666666</c:v>
                </c:pt>
                <c:pt idx="21">
                  <c:v>-141.66666666666666</c:v>
                </c:pt>
                <c:pt idx="22">
                  <c:v>-254.16666666666666</c:v>
                </c:pt>
                <c:pt idx="23">
                  <c:v>-279.16666666666669</c:v>
                </c:pt>
                <c:pt idx="24">
                  <c:v>-337.5</c:v>
                </c:pt>
                <c:pt idx="25">
                  <c:v>-359.16666666666669</c:v>
                </c:pt>
                <c:pt idx="26">
                  <c:v>-334.5</c:v>
                </c:pt>
                <c:pt idx="27">
                  <c:v>-313.33333333333331</c:v>
                </c:pt>
                <c:pt idx="28">
                  <c:v>-227.83333333333334</c:v>
                </c:pt>
                <c:pt idx="29">
                  <c:v>-67.5</c:v>
                </c:pt>
                <c:pt idx="30">
                  <c:v>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87264"/>
        <c:axId val="42588800"/>
      </c:lineChart>
      <c:dateAx>
        <c:axId val="42587264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258880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42588800"/>
        <c:scaling>
          <c:orientation val="minMax"/>
          <c:max val="1200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2587264"/>
        <c:crosses val="autoZero"/>
        <c:crossBetween val="between"/>
        <c:majorUnit val="20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30221948545469"/>
          <c:y val="3.2389487498273244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8"/>
            <c:marker>
              <c:symbol val="x"/>
              <c:size val="3"/>
            </c:marker>
            <c:bubble3D val="0"/>
          </c:dPt>
          <c:cat>
            <c:numRef>
              <c:f>'Non-shuttle Bids'!$C$850:$C$880</c:f>
              <c:numCache>
                <c:formatCode>[$-409]d\-mmm\-yyyy;@</c:formatCode>
                <c:ptCount val="31"/>
                <c:pt idx="0">
                  <c:v>41445</c:v>
                </c:pt>
                <c:pt idx="1">
                  <c:v>41452</c:v>
                </c:pt>
                <c:pt idx="2">
                  <c:v>41459</c:v>
                </c:pt>
                <c:pt idx="3">
                  <c:v>41466</c:v>
                </c:pt>
                <c:pt idx="4">
                  <c:v>41473</c:v>
                </c:pt>
                <c:pt idx="5">
                  <c:v>41480</c:v>
                </c:pt>
                <c:pt idx="6">
                  <c:v>41487</c:v>
                </c:pt>
                <c:pt idx="7">
                  <c:v>41494</c:v>
                </c:pt>
                <c:pt idx="8">
                  <c:v>41501</c:v>
                </c:pt>
                <c:pt idx="9">
                  <c:v>41508</c:v>
                </c:pt>
                <c:pt idx="10">
                  <c:v>41515</c:v>
                </c:pt>
                <c:pt idx="11">
                  <c:v>41522</c:v>
                </c:pt>
                <c:pt idx="12">
                  <c:v>41529</c:v>
                </c:pt>
                <c:pt idx="13">
                  <c:v>41536</c:v>
                </c:pt>
                <c:pt idx="14">
                  <c:v>41543</c:v>
                </c:pt>
                <c:pt idx="15">
                  <c:v>41550</c:v>
                </c:pt>
                <c:pt idx="16">
                  <c:v>41557</c:v>
                </c:pt>
                <c:pt idx="17">
                  <c:v>41564</c:v>
                </c:pt>
                <c:pt idx="18">
                  <c:v>41571</c:v>
                </c:pt>
                <c:pt idx="19">
                  <c:v>41578</c:v>
                </c:pt>
                <c:pt idx="20">
                  <c:v>41585</c:v>
                </c:pt>
                <c:pt idx="21">
                  <c:v>41592</c:v>
                </c:pt>
                <c:pt idx="22">
                  <c:v>41599</c:v>
                </c:pt>
                <c:pt idx="23">
                  <c:v>41606</c:v>
                </c:pt>
                <c:pt idx="24">
                  <c:v>41613</c:v>
                </c:pt>
                <c:pt idx="25">
                  <c:v>41620</c:v>
                </c:pt>
                <c:pt idx="26">
                  <c:v>41627</c:v>
                </c:pt>
                <c:pt idx="27">
                  <c:v>41634</c:v>
                </c:pt>
                <c:pt idx="28">
                  <c:v>41641</c:v>
                </c:pt>
                <c:pt idx="29">
                  <c:v>41648</c:v>
                </c:pt>
                <c:pt idx="30">
                  <c:v>41655</c:v>
                </c:pt>
              </c:numCache>
            </c:numRef>
          </c:cat>
          <c:val>
            <c:numRef>
              <c:f>'Non-shuttle Bids'!$F$850:$F$880</c:f>
              <c:numCache>
                <c:formatCode>General</c:formatCode>
                <c:ptCount val="31"/>
                <c:pt idx="18" formatCode="0.00">
                  <c:v>138</c:v>
                </c:pt>
                <c:pt idx="19" formatCode="0.00">
                  <c:v>250</c:v>
                </c:pt>
                <c:pt idx="20" formatCode="0.00">
                  <c:v>250</c:v>
                </c:pt>
                <c:pt idx="21" formatCode="0.00">
                  <c:v>250</c:v>
                </c:pt>
                <c:pt idx="22" formatCode="0.00">
                  <c:v>250</c:v>
                </c:pt>
                <c:pt idx="23">
                  <c:v>350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Bids'!$C$850:$C$880</c:f>
              <c:numCache>
                <c:formatCode>[$-409]d\-mmm\-yyyy;@</c:formatCode>
                <c:ptCount val="31"/>
                <c:pt idx="0">
                  <c:v>41445</c:v>
                </c:pt>
                <c:pt idx="1">
                  <c:v>41452</c:v>
                </c:pt>
                <c:pt idx="2">
                  <c:v>41459</c:v>
                </c:pt>
                <c:pt idx="3">
                  <c:v>41466</c:v>
                </c:pt>
                <c:pt idx="4">
                  <c:v>41473</c:v>
                </c:pt>
                <c:pt idx="5">
                  <c:v>41480</c:v>
                </c:pt>
                <c:pt idx="6">
                  <c:v>41487</c:v>
                </c:pt>
                <c:pt idx="7">
                  <c:v>41494</c:v>
                </c:pt>
                <c:pt idx="8">
                  <c:v>41501</c:v>
                </c:pt>
                <c:pt idx="9">
                  <c:v>41508</c:v>
                </c:pt>
                <c:pt idx="10">
                  <c:v>41515</c:v>
                </c:pt>
                <c:pt idx="11">
                  <c:v>41522</c:v>
                </c:pt>
                <c:pt idx="12">
                  <c:v>41529</c:v>
                </c:pt>
                <c:pt idx="13">
                  <c:v>41536</c:v>
                </c:pt>
                <c:pt idx="14">
                  <c:v>41543</c:v>
                </c:pt>
                <c:pt idx="15">
                  <c:v>41550</c:v>
                </c:pt>
                <c:pt idx="16">
                  <c:v>41557</c:v>
                </c:pt>
                <c:pt idx="17">
                  <c:v>41564</c:v>
                </c:pt>
                <c:pt idx="18">
                  <c:v>41571</c:v>
                </c:pt>
                <c:pt idx="19">
                  <c:v>41578</c:v>
                </c:pt>
                <c:pt idx="20">
                  <c:v>41585</c:v>
                </c:pt>
                <c:pt idx="21">
                  <c:v>41592</c:v>
                </c:pt>
                <c:pt idx="22">
                  <c:v>41599</c:v>
                </c:pt>
                <c:pt idx="23">
                  <c:v>41606</c:v>
                </c:pt>
                <c:pt idx="24">
                  <c:v>41613</c:v>
                </c:pt>
                <c:pt idx="25">
                  <c:v>41620</c:v>
                </c:pt>
                <c:pt idx="26">
                  <c:v>41627</c:v>
                </c:pt>
                <c:pt idx="27">
                  <c:v>41634</c:v>
                </c:pt>
                <c:pt idx="28">
                  <c:v>41641</c:v>
                </c:pt>
                <c:pt idx="29">
                  <c:v>41648</c:v>
                </c:pt>
                <c:pt idx="30">
                  <c:v>41655</c:v>
                </c:pt>
              </c:numCache>
            </c:numRef>
          </c:cat>
          <c:val>
            <c:numRef>
              <c:f>'Shuttle Bids'!$F$850:$F$880</c:f>
              <c:numCache>
                <c:formatCode>General</c:formatCode>
                <c:ptCount val="31"/>
                <c:pt idx="15" formatCode="0.00">
                  <c:v>-50</c:v>
                </c:pt>
                <c:pt idx="18" formatCode="0.00">
                  <c:v>150</c:v>
                </c:pt>
                <c:pt idx="19" formatCode="0.00">
                  <c:v>0</c:v>
                </c:pt>
                <c:pt idx="20" formatCode="0.00">
                  <c:v>325</c:v>
                </c:pt>
                <c:pt idx="21" formatCode="0.00">
                  <c:v>-100</c:v>
                </c:pt>
                <c:pt idx="22">
                  <c:v>19</c:v>
                </c:pt>
                <c:pt idx="23">
                  <c:v>13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Bids'!$C$850:$C$880</c:f>
              <c:numCache>
                <c:formatCode>[$-409]d\-mmm\-yyyy;@</c:formatCode>
                <c:ptCount val="31"/>
                <c:pt idx="0">
                  <c:v>41445</c:v>
                </c:pt>
                <c:pt idx="1">
                  <c:v>41452</c:v>
                </c:pt>
                <c:pt idx="2">
                  <c:v>41459</c:v>
                </c:pt>
                <c:pt idx="3">
                  <c:v>41466</c:v>
                </c:pt>
                <c:pt idx="4">
                  <c:v>41473</c:v>
                </c:pt>
                <c:pt idx="5">
                  <c:v>41480</c:v>
                </c:pt>
                <c:pt idx="6">
                  <c:v>41487</c:v>
                </c:pt>
                <c:pt idx="7">
                  <c:v>41494</c:v>
                </c:pt>
                <c:pt idx="8">
                  <c:v>41501</c:v>
                </c:pt>
                <c:pt idx="9">
                  <c:v>41508</c:v>
                </c:pt>
                <c:pt idx="10">
                  <c:v>41515</c:v>
                </c:pt>
                <c:pt idx="11">
                  <c:v>41522</c:v>
                </c:pt>
                <c:pt idx="12">
                  <c:v>41529</c:v>
                </c:pt>
                <c:pt idx="13">
                  <c:v>41536</c:v>
                </c:pt>
                <c:pt idx="14">
                  <c:v>41543</c:v>
                </c:pt>
                <c:pt idx="15">
                  <c:v>41550</c:v>
                </c:pt>
                <c:pt idx="16">
                  <c:v>41557</c:v>
                </c:pt>
                <c:pt idx="17">
                  <c:v>41564</c:v>
                </c:pt>
                <c:pt idx="18">
                  <c:v>41571</c:v>
                </c:pt>
                <c:pt idx="19">
                  <c:v>41578</c:v>
                </c:pt>
                <c:pt idx="20">
                  <c:v>41585</c:v>
                </c:pt>
                <c:pt idx="21">
                  <c:v>41592</c:v>
                </c:pt>
                <c:pt idx="22">
                  <c:v>41599</c:v>
                </c:pt>
                <c:pt idx="23">
                  <c:v>41606</c:v>
                </c:pt>
                <c:pt idx="24">
                  <c:v>41613</c:v>
                </c:pt>
                <c:pt idx="25">
                  <c:v>41620</c:v>
                </c:pt>
                <c:pt idx="26">
                  <c:v>41627</c:v>
                </c:pt>
                <c:pt idx="27">
                  <c:v>41634</c:v>
                </c:pt>
                <c:pt idx="28">
                  <c:v>41641</c:v>
                </c:pt>
                <c:pt idx="29">
                  <c:v>41648</c:v>
                </c:pt>
                <c:pt idx="30">
                  <c:v>41655</c:v>
                </c:pt>
              </c:numCache>
            </c:numRef>
          </c:cat>
          <c:val>
            <c:numRef>
              <c:f>'Prior 3-yr.Avg for Week'!$D$13:$D$42</c:f>
              <c:numCache>
                <c:formatCode>0.00</c:formatCode>
                <c:ptCount val="30"/>
                <c:pt idx="18">
                  <c:v>-125</c:v>
                </c:pt>
                <c:pt idx="19">
                  <c:v>-125</c:v>
                </c:pt>
                <c:pt idx="20">
                  <c:v>-87.5</c:v>
                </c:pt>
                <c:pt idx="21">
                  <c:v>-22.75</c:v>
                </c:pt>
                <c:pt idx="22">
                  <c:v>1.75</c:v>
                </c:pt>
                <c:pt idx="23">
                  <c:v>-9.5</c:v>
                </c:pt>
                <c:pt idx="24">
                  <c:v>-8.1666666666666661</c:v>
                </c:pt>
                <c:pt idx="25">
                  <c:v>1.6666666666666667</c:v>
                </c:pt>
                <c:pt idx="26">
                  <c:v>6.333333333333333</c:v>
                </c:pt>
                <c:pt idx="27">
                  <c:v>22.833333333333332</c:v>
                </c:pt>
                <c:pt idx="28">
                  <c:v>28.166666666666668</c:v>
                </c:pt>
                <c:pt idx="29">
                  <c:v>31.166666666666668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Bids'!$C$850:$C$880</c:f>
              <c:numCache>
                <c:formatCode>[$-409]d\-mmm\-yyyy;@</c:formatCode>
                <c:ptCount val="31"/>
                <c:pt idx="0">
                  <c:v>41445</c:v>
                </c:pt>
                <c:pt idx="1">
                  <c:v>41452</c:v>
                </c:pt>
                <c:pt idx="2">
                  <c:v>41459</c:v>
                </c:pt>
                <c:pt idx="3">
                  <c:v>41466</c:v>
                </c:pt>
                <c:pt idx="4">
                  <c:v>41473</c:v>
                </c:pt>
                <c:pt idx="5">
                  <c:v>41480</c:v>
                </c:pt>
                <c:pt idx="6">
                  <c:v>41487</c:v>
                </c:pt>
                <c:pt idx="7">
                  <c:v>41494</c:v>
                </c:pt>
                <c:pt idx="8">
                  <c:v>41501</c:v>
                </c:pt>
                <c:pt idx="9">
                  <c:v>41508</c:v>
                </c:pt>
                <c:pt idx="10">
                  <c:v>41515</c:v>
                </c:pt>
                <c:pt idx="11">
                  <c:v>41522</c:v>
                </c:pt>
                <c:pt idx="12">
                  <c:v>41529</c:v>
                </c:pt>
                <c:pt idx="13">
                  <c:v>41536</c:v>
                </c:pt>
                <c:pt idx="14">
                  <c:v>41543</c:v>
                </c:pt>
                <c:pt idx="15">
                  <c:v>41550</c:v>
                </c:pt>
                <c:pt idx="16">
                  <c:v>41557</c:v>
                </c:pt>
                <c:pt idx="17">
                  <c:v>41564</c:v>
                </c:pt>
                <c:pt idx="18">
                  <c:v>41571</c:v>
                </c:pt>
                <c:pt idx="19">
                  <c:v>41578</c:v>
                </c:pt>
                <c:pt idx="20">
                  <c:v>41585</c:v>
                </c:pt>
                <c:pt idx="21">
                  <c:v>41592</c:v>
                </c:pt>
                <c:pt idx="22">
                  <c:v>41599</c:v>
                </c:pt>
                <c:pt idx="23">
                  <c:v>41606</c:v>
                </c:pt>
                <c:pt idx="24">
                  <c:v>41613</c:v>
                </c:pt>
                <c:pt idx="25">
                  <c:v>41620</c:v>
                </c:pt>
                <c:pt idx="26">
                  <c:v>41627</c:v>
                </c:pt>
                <c:pt idx="27">
                  <c:v>41634</c:v>
                </c:pt>
                <c:pt idx="28">
                  <c:v>41641</c:v>
                </c:pt>
                <c:pt idx="29">
                  <c:v>41648</c:v>
                </c:pt>
                <c:pt idx="30">
                  <c:v>41655</c:v>
                </c:pt>
              </c:numCache>
            </c:numRef>
          </c:cat>
          <c:val>
            <c:numRef>
              <c:f>'Prior 3-yr.Avg for Week'!$AU$13:$AU$42</c:f>
              <c:numCache>
                <c:formatCode>0.00</c:formatCode>
                <c:ptCount val="30"/>
                <c:pt idx="15">
                  <c:v>-100</c:v>
                </c:pt>
                <c:pt idx="17">
                  <c:v>-300</c:v>
                </c:pt>
                <c:pt idx="18">
                  <c:v>-300</c:v>
                </c:pt>
                <c:pt idx="20">
                  <c:v>-312.66666666666669</c:v>
                </c:pt>
                <c:pt idx="21">
                  <c:v>-300</c:v>
                </c:pt>
                <c:pt idx="22">
                  <c:v>-262.5</c:v>
                </c:pt>
                <c:pt idx="23">
                  <c:v>-200</c:v>
                </c:pt>
                <c:pt idx="24">
                  <c:v>-98</c:v>
                </c:pt>
                <c:pt idx="25">
                  <c:v>-12.166666666666666</c:v>
                </c:pt>
                <c:pt idx="26">
                  <c:v>-129</c:v>
                </c:pt>
                <c:pt idx="27">
                  <c:v>-113.16666666666667</c:v>
                </c:pt>
                <c:pt idx="28">
                  <c:v>-171.66666666666666</c:v>
                </c:pt>
                <c:pt idx="29">
                  <c:v>-135.5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17600"/>
        <c:axId val="43819392"/>
      </c:lineChart>
      <c:dateAx>
        <c:axId val="43817600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381939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43819392"/>
        <c:scaling>
          <c:orientation val="minMax"/>
          <c:max val="500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3817600"/>
        <c:crosses val="autoZero"/>
        <c:crossBetween val="between"/>
        <c:majorUnit val="20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19018631074479"/>
          <c:y val="5.0955414012739023E-2"/>
          <c:w val="0.8290179693924814"/>
          <c:h val="0.61318505505536902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Bids'!$C$854:$C$884</c:f>
              <c:numCache>
                <c:formatCode>[$-409]d\-mmm\-yyyy;@</c:formatCode>
                <c:ptCount val="31"/>
                <c:pt idx="0">
                  <c:v>41473</c:v>
                </c:pt>
                <c:pt idx="1">
                  <c:v>41480</c:v>
                </c:pt>
                <c:pt idx="2">
                  <c:v>41487</c:v>
                </c:pt>
                <c:pt idx="3">
                  <c:v>41494</c:v>
                </c:pt>
                <c:pt idx="4">
                  <c:v>41501</c:v>
                </c:pt>
                <c:pt idx="5">
                  <c:v>41508</c:v>
                </c:pt>
                <c:pt idx="6">
                  <c:v>41515</c:v>
                </c:pt>
                <c:pt idx="7">
                  <c:v>41522</c:v>
                </c:pt>
                <c:pt idx="8">
                  <c:v>41529</c:v>
                </c:pt>
                <c:pt idx="9">
                  <c:v>41536</c:v>
                </c:pt>
                <c:pt idx="10">
                  <c:v>41543</c:v>
                </c:pt>
                <c:pt idx="11">
                  <c:v>41550</c:v>
                </c:pt>
                <c:pt idx="12">
                  <c:v>41557</c:v>
                </c:pt>
                <c:pt idx="13">
                  <c:v>41564</c:v>
                </c:pt>
                <c:pt idx="14">
                  <c:v>41571</c:v>
                </c:pt>
                <c:pt idx="15">
                  <c:v>41578</c:v>
                </c:pt>
                <c:pt idx="16">
                  <c:v>41585</c:v>
                </c:pt>
                <c:pt idx="17">
                  <c:v>41592</c:v>
                </c:pt>
                <c:pt idx="18">
                  <c:v>41599</c:v>
                </c:pt>
                <c:pt idx="19">
                  <c:v>41606</c:v>
                </c:pt>
                <c:pt idx="20">
                  <c:v>41613</c:v>
                </c:pt>
                <c:pt idx="21">
                  <c:v>41620</c:v>
                </c:pt>
                <c:pt idx="22">
                  <c:v>41627</c:v>
                </c:pt>
                <c:pt idx="23">
                  <c:v>41634</c:v>
                </c:pt>
                <c:pt idx="24">
                  <c:v>41641</c:v>
                </c:pt>
                <c:pt idx="25">
                  <c:v>41648</c:v>
                </c:pt>
                <c:pt idx="26">
                  <c:v>41655</c:v>
                </c:pt>
                <c:pt idx="27">
                  <c:v>41662</c:v>
                </c:pt>
                <c:pt idx="28">
                  <c:v>41669</c:v>
                </c:pt>
                <c:pt idx="29">
                  <c:v>41676</c:v>
                </c:pt>
                <c:pt idx="30">
                  <c:v>41683</c:v>
                </c:pt>
              </c:numCache>
            </c:numRef>
          </c:cat>
          <c:val>
            <c:numRef>
              <c:f>'Non-shuttle Bids'!$J$854:$J$884</c:f>
              <c:numCache>
                <c:formatCode>0.00</c:formatCode>
                <c:ptCount val="31"/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Bids'!$C$854:$C$884</c:f>
              <c:numCache>
                <c:formatCode>[$-409]d\-mmm\-yyyy;@</c:formatCode>
                <c:ptCount val="31"/>
                <c:pt idx="0">
                  <c:v>41473</c:v>
                </c:pt>
                <c:pt idx="1">
                  <c:v>41480</c:v>
                </c:pt>
                <c:pt idx="2">
                  <c:v>41487</c:v>
                </c:pt>
                <c:pt idx="3">
                  <c:v>41494</c:v>
                </c:pt>
                <c:pt idx="4">
                  <c:v>41501</c:v>
                </c:pt>
                <c:pt idx="5">
                  <c:v>41508</c:v>
                </c:pt>
                <c:pt idx="6">
                  <c:v>41515</c:v>
                </c:pt>
                <c:pt idx="7">
                  <c:v>41522</c:v>
                </c:pt>
                <c:pt idx="8">
                  <c:v>41529</c:v>
                </c:pt>
                <c:pt idx="9">
                  <c:v>41536</c:v>
                </c:pt>
                <c:pt idx="10">
                  <c:v>41543</c:v>
                </c:pt>
                <c:pt idx="11">
                  <c:v>41550</c:v>
                </c:pt>
                <c:pt idx="12">
                  <c:v>41557</c:v>
                </c:pt>
                <c:pt idx="13">
                  <c:v>41564</c:v>
                </c:pt>
                <c:pt idx="14">
                  <c:v>41571</c:v>
                </c:pt>
                <c:pt idx="15">
                  <c:v>41578</c:v>
                </c:pt>
                <c:pt idx="16">
                  <c:v>41585</c:v>
                </c:pt>
                <c:pt idx="17">
                  <c:v>41592</c:v>
                </c:pt>
                <c:pt idx="18">
                  <c:v>41599</c:v>
                </c:pt>
                <c:pt idx="19">
                  <c:v>41606</c:v>
                </c:pt>
                <c:pt idx="20">
                  <c:v>41613</c:v>
                </c:pt>
                <c:pt idx="21">
                  <c:v>41620</c:v>
                </c:pt>
                <c:pt idx="22">
                  <c:v>41627</c:v>
                </c:pt>
                <c:pt idx="23">
                  <c:v>41634</c:v>
                </c:pt>
                <c:pt idx="24">
                  <c:v>41641</c:v>
                </c:pt>
                <c:pt idx="25">
                  <c:v>41648</c:v>
                </c:pt>
                <c:pt idx="26">
                  <c:v>41655</c:v>
                </c:pt>
                <c:pt idx="27">
                  <c:v>41662</c:v>
                </c:pt>
                <c:pt idx="28">
                  <c:v>41669</c:v>
                </c:pt>
                <c:pt idx="29">
                  <c:v>41676</c:v>
                </c:pt>
                <c:pt idx="30">
                  <c:v>41683</c:v>
                </c:pt>
              </c:numCache>
            </c:numRef>
          </c:cat>
          <c:val>
            <c:numRef>
              <c:f>'Shuttle Bids'!$J$854:$J$884</c:f>
              <c:numCache>
                <c:formatCode>General</c:formatCode>
                <c:ptCount val="31"/>
                <c:pt idx="11" formatCode="0.00">
                  <c:v>-50</c:v>
                </c:pt>
                <c:pt idx="18">
                  <c:v>100</c:v>
                </c:pt>
                <c:pt idx="19">
                  <c:v>100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>
              <a:solidFill>
                <a:srgbClr val="002060"/>
              </a:solidFill>
              <a:prstDash val="sysDot"/>
            </a:ln>
          </c:spPr>
          <c:marker>
            <c:symbol val="none"/>
          </c:marker>
          <c:cat>
            <c:numRef>
              <c:f>'Non-shuttle Bids'!$C$854:$C$884</c:f>
              <c:numCache>
                <c:formatCode>[$-409]d\-mmm\-yyyy;@</c:formatCode>
                <c:ptCount val="31"/>
                <c:pt idx="0">
                  <c:v>41473</c:v>
                </c:pt>
                <c:pt idx="1">
                  <c:v>41480</c:v>
                </c:pt>
                <c:pt idx="2">
                  <c:v>41487</c:v>
                </c:pt>
                <c:pt idx="3">
                  <c:v>41494</c:v>
                </c:pt>
                <c:pt idx="4">
                  <c:v>41501</c:v>
                </c:pt>
                <c:pt idx="5">
                  <c:v>41508</c:v>
                </c:pt>
                <c:pt idx="6">
                  <c:v>41515</c:v>
                </c:pt>
                <c:pt idx="7">
                  <c:v>41522</c:v>
                </c:pt>
                <c:pt idx="8">
                  <c:v>41529</c:v>
                </c:pt>
                <c:pt idx="9">
                  <c:v>41536</c:v>
                </c:pt>
                <c:pt idx="10">
                  <c:v>41543</c:v>
                </c:pt>
                <c:pt idx="11">
                  <c:v>41550</c:v>
                </c:pt>
                <c:pt idx="12">
                  <c:v>41557</c:v>
                </c:pt>
                <c:pt idx="13">
                  <c:v>41564</c:v>
                </c:pt>
                <c:pt idx="14">
                  <c:v>41571</c:v>
                </c:pt>
                <c:pt idx="15">
                  <c:v>41578</c:v>
                </c:pt>
                <c:pt idx="16">
                  <c:v>41585</c:v>
                </c:pt>
                <c:pt idx="17">
                  <c:v>41592</c:v>
                </c:pt>
                <c:pt idx="18">
                  <c:v>41599</c:v>
                </c:pt>
                <c:pt idx="19">
                  <c:v>41606</c:v>
                </c:pt>
                <c:pt idx="20">
                  <c:v>41613</c:v>
                </c:pt>
                <c:pt idx="21">
                  <c:v>41620</c:v>
                </c:pt>
                <c:pt idx="22">
                  <c:v>41627</c:v>
                </c:pt>
                <c:pt idx="23">
                  <c:v>41634</c:v>
                </c:pt>
                <c:pt idx="24">
                  <c:v>41641</c:v>
                </c:pt>
                <c:pt idx="25">
                  <c:v>41648</c:v>
                </c:pt>
                <c:pt idx="26">
                  <c:v>41655</c:v>
                </c:pt>
                <c:pt idx="27">
                  <c:v>41662</c:v>
                </c:pt>
                <c:pt idx="28">
                  <c:v>41669</c:v>
                </c:pt>
                <c:pt idx="29">
                  <c:v>41676</c:v>
                </c:pt>
                <c:pt idx="30">
                  <c:v>41683</c:v>
                </c:pt>
              </c:numCache>
            </c:numRef>
          </c:cat>
          <c:val>
            <c:numRef>
              <c:f>'Prior 3-yr.Avg for Week'!$G$18:$G$47</c:f>
              <c:numCache>
                <c:formatCode>0.00</c:formatCode>
                <c:ptCount val="30"/>
                <c:pt idx="19">
                  <c:v>0</c:v>
                </c:pt>
                <c:pt idx="20">
                  <c:v>-12.5</c:v>
                </c:pt>
                <c:pt idx="21">
                  <c:v>-9.5</c:v>
                </c:pt>
                <c:pt idx="22">
                  <c:v>-9.5</c:v>
                </c:pt>
                <c:pt idx="23">
                  <c:v>34.5</c:v>
                </c:pt>
                <c:pt idx="24">
                  <c:v>27.25</c:v>
                </c:pt>
                <c:pt idx="25">
                  <c:v>22.5</c:v>
                </c:pt>
                <c:pt idx="26">
                  <c:v>27</c:v>
                </c:pt>
                <c:pt idx="27">
                  <c:v>29.833333333333332</c:v>
                </c:pt>
                <c:pt idx="28">
                  <c:v>38</c:v>
                </c:pt>
                <c:pt idx="29">
                  <c:v>41.5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Bids'!$C$854:$C$884</c:f>
              <c:numCache>
                <c:formatCode>[$-409]d\-mmm\-yyyy;@</c:formatCode>
                <c:ptCount val="31"/>
                <c:pt idx="0">
                  <c:v>41473</c:v>
                </c:pt>
                <c:pt idx="1">
                  <c:v>41480</c:v>
                </c:pt>
                <c:pt idx="2">
                  <c:v>41487</c:v>
                </c:pt>
                <c:pt idx="3">
                  <c:v>41494</c:v>
                </c:pt>
                <c:pt idx="4">
                  <c:v>41501</c:v>
                </c:pt>
                <c:pt idx="5">
                  <c:v>41508</c:v>
                </c:pt>
                <c:pt idx="6">
                  <c:v>41515</c:v>
                </c:pt>
                <c:pt idx="7">
                  <c:v>41522</c:v>
                </c:pt>
                <c:pt idx="8">
                  <c:v>41529</c:v>
                </c:pt>
                <c:pt idx="9">
                  <c:v>41536</c:v>
                </c:pt>
                <c:pt idx="10">
                  <c:v>41543</c:v>
                </c:pt>
                <c:pt idx="11">
                  <c:v>41550</c:v>
                </c:pt>
                <c:pt idx="12">
                  <c:v>41557</c:v>
                </c:pt>
                <c:pt idx="13">
                  <c:v>41564</c:v>
                </c:pt>
                <c:pt idx="14">
                  <c:v>41571</c:v>
                </c:pt>
                <c:pt idx="15">
                  <c:v>41578</c:v>
                </c:pt>
                <c:pt idx="16">
                  <c:v>41585</c:v>
                </c:pt>
                <c:pt idx="17">
                  <c:v>41592</c:v>
                </c:pt>
                <c:pt idx="18">
                  <c:v>41599</c:v>
                </c:pt>
                <c:pt idx="19">
                  <c:v>41606</c:v>
                </c:pt>
                <c:pt idx="20">
                  <c:v>41613</c:v>
                </c:pt>
                <c:pt idx="21">
                  <c:v>41620</c:v>
                </c:pt>
                <c:pt idx="22">
                  <c:v>41627</c:v>
                </c:pt>
                <c:pt idx="23">
                  <c:v>41634</c:v>
                </c:pt>
                <c:pt idx="24">
                  <c:v>41641</c:v>
                </c:pt>
                <c:pt idx="25">
                  <c:v>41648</c:v>
                </c:pt>
                <c:pt idx="26">
                  <c:v>41655</c:v>
                </c:pt>
                <c:pt idx="27">
                  <c:v>41662</c:v>
                </c:pt>
                <c:pt idx="28">
                  <c:v>41669</c:v>
                </c:pt>
                <c:pt idx="29">
                  <c:v>41676</c:v>
                </c:pt>
                <c:pt idx="30">
                  <c:v>41683</c:v>
                </c:pt>
              </c:numCache>
            </c:numRef>
          </c:cat>
          <c:val>
            <c:numRef>
              <c:f>'Prior 3-yr.Avg for Week'!$AX$18:$AX$47</c:f>
              <c:numCache>
                <c:formatCode>0.00</c:formatCode>
                <c:ptCount val="30"/>
                <c:pt idx="12">
                  <c:v>-200</c:v>
                </c:pt>
                <c:pt idx="17">
                  <c:v>-350</c:v>
                </c:pt>
                <c:pt idx="18">
                  <c:v>-250</c:v>
                </c:pt>
                <c:pt idx="19">
                  <c:v>-350</c:v>
                </c:pt>
                <c:pt idx="20">
                  <c:v>-150</c:v>
                </c:pt>
                <c:pt idx="21">
                  <c:v>-82.5</c:v>
                </c:pt>
                <c:pt idx="22">
                  <c:v>-152.66666666666666</c:v>
                </c:pt>
                <c:pt idx="23">
                  <c:v>-187.83333333333334</c:v>
                </c:pt>
                <c:pt idx="24">
                  <c:v>-146</c:v>
                </c:pt>
                <c:pt idx="25">
                  <c:v>-160.5</c:v>
                </c:pt>
                <c:pt idx="26">
                  <c:v>-178.5</c:v>
                </c:pt>
                <c:pt idx="27">
                  <c:v>-152.33333333333334</c:v>
                </c:pt>
                <c:pt idx="28">
                  <c:v>-9.6666666666666661</c:v>
                </c:pt>
                <c:pt idx="29">
                  <c:v>-63.333333333333336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42272"/>
        <c:axId val="43943808"/>
      </c:lineChart>
      <c:dateAx>
        <c:axId val="43942272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3943808"/>
        <c:crossesAt val="-600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43943808"/>
        <c:scaling>
          <c:orientation val="minMax"/>
          <c:max val="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3942272"/>
        <c:crosses val="autoZero"/>
        <c:crossBetween val="between"/>
        <c:majorUnit val="200"/>
      </c:valAx>
      <c:spPr>
        <a:noFill/>
        <a:ln w="3175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8.0634820647419059E-2"/>
          <c:y val="0.86293324993441833"/>
          <c:w val="0.89091093613298333"/>
          <c:h val="0.1058791120061555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1.  Non-shuttle</a:t>
            </a:r>
            <a:r>
              <a:rPr lang="en-US" sz="1400" b="1" baseline="0"/>
              <a:t> Secondary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629941953707823"/>
          <c:y val="0.10623754861967555"/>
          <c:w val="0.82960413080895012"/>
          <c:h val="0.57147329475381869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MinMaxAvg!$B$146:$B$205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35</c:v>
                </c:pt>
                <c:pt idx="8">
                  <c:v>58</c:v>
                </c:pt>
                <c:pt idx="9">
                  <c:v>241</c:v>
                </c:pt>
                <c:pt idx="10">
                  <c:v>325</c:v>
                </c:pt>
                <c:pt idx="11">
                  <c:v>325</c:v>
                </c:pt>
                <c:pt idx="12">
                  <c:v>57</c:v>
                </c:pt>
                <c:pt idx="13">
                  <c:v>82</c:v>
                </c:pt>
                <c:pt idx="14">
                  <c:v>150</c:v>
                </c:pt>
                <c:pt idx="15">
                  <c:v>20</c:v>
                </c:pt>
                <c:pt idx="16">
                  <c:v>25</c:v>
                </c:pt>
                <c:pt idx="17">
                  <c:v>10</c:v>
                </c:pt>
                <c:pt idx="18">
                  <c:v>63</c:v>
                </c:pt>
                <c:pt idx="19">
                  <c:v>475</c:v>
                </c:pt>
                <c:pt idx="20">
                  <c:v>1059</c:v>
                </c:pt>
                <c:pt idx="21">
                  <c:v>1100</c:v>
                </c:pt>
                <c:pt idx="22">
                  <c:v>525</c:v>
                </c:pt>
                <c:pt idx="23">
                  <c:v>500</c:v>
                </c:pt>
                <c:pt idx="24">
                  <c:v>150</c:v>
                </c:pt>
                <c:pt idx="25">
                  <c:v>250</c:v>
                </c:pt>
                <c:pt idx="26">
                  <c:v>338</c:v>
                </c:pt>
                <c:pt idx="27">
                  <c:v>350</c:v>
                </c:pt>
                <c:pt idx="28">
                  <c:v>300</c:v>
                </c:pt>
                <c:pt idx="29">
                  <c:v>100</c:v>
                </c:pt>
                <c:pt idx="30">
                  <c:v>100</c:v>
                </c:pt>
                <c:pt idx="31">
                  <c:v>50</c:v>
                </c:pt>
                <c:pt idx="32">
                  <c:v>150</c:v>
                </c:pt>
                <c:pt idx="33">
                  <c:v>400</c:v>
                </c:pt>
                <c:pt idx="34">
                  <c:v>300</c:v>
                </c:pt>
                <c:pt idx="35">
                  <c:v>200</c:v>
                </c:pt>
                <c:pt idx="36">
                  <c:v>25</c:v>
                </c:pt>
                <c:pt idx="37">
                  <c:v>25</c:v>
                </c:pt>
                <c:pt idx="38">
                  <c:v>13</c:v>
                </c:pt>
                <c:pt idx="39">
                  <c:v>25</c:v>
                </c:pt>
                <c:pt idx="40">
                  <c:v>22</c:v>
                </c:pt>
                <c:pt idx="41">
                  <c:v>25</c:v>
                </c:pt>
                <c:pt idx="42">
                  <c:v>30</c:v>
                </c:pt>
                <c:pt idx="43">
                  <c:v>40</c:v>
                </c:pt>
                <c:pt idx="44">
                  <c:v>40</c:v>
                </c:pt>
                <c:pt idx="45">
                  <c:v>138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13</c:v>
                </c:pt>
                <c:pt idx="50">
                  <c:v>13</c:v>
                </c:pt>
                <c:pt idx="51">
                  <c:v>0</c:v>
                </c:pt>
                <c:pt idx="52">
                  <c:v>0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500</c:v>
                </c:pt>
                <c:pt idx="57">
                  <c:v>750</c:v>
                </c:pt>
                <c:pt idx="58">
                  <c:v>1617</c:v>
                </c:pt>
                <c:pt idx="59">
                  <c:v>1175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MinMaxAvg!$C$146:$C$205</c:f>
              <c:numCache>
                <c:formatCode>General</c:formatCode>
                <c:ptCount val="60"/>
                <c:pt idx="0">
                  <c:v>-132</c:v>
                </c:pt>
                <c:pt idx="1">
                  <c:v>-72</c:v>
                </c:pt>
                <c:pt idx="2">
                  <c:v>-92</c:v>
                </c:pt>
                <c:pt idx="3">
                  <c:v>-43</c:v>
                </c:pt>
                <c:pt idx="4">
                  <c:v>-50</c:v>
                </c:pt>
                <c:pt idx="5">
                  <c:v>-34</c:v>
                </c:pt>
                <c:pt idx="6">
                  <c:v>-26</c:v>
                </c:pt>
                <c:pt idx="7">
                  <c:v>-37</c:v>
                </c:pt>
                <c:pt idx="8">
                  <c:v>-15</c:v>
                </c:pt>
                <c:pt idx="9">
                  <c:v>0</c:v>
                </c:pt>
                <c:pt idx="10">
                  <c:v>-5</c:v>
                </c:pt>
                <c:pt idx="11">
                  <c:v>-8</c:v>
                </c:pt>
                <c:pt idx="12">
                  <c:v>-20</c:v>
                </c:pt>
                <c:pt idx="13">
                  <c:v>-50</c:v>
                </c:pt>
                <c:pt idx="14">
                  <c:v>-25</c:v>
                </c:pt>
                <c:pt idx="15">
                  <c:v>-30</c:v>
                </c:pt>
                <c:pt idx="16">
                  <c:v>-18</c:v>
                </c:pt>
                <c:pt idx="17">
                  <c:v>-63</c:v>
                </c:pt>
                <c:pt idx="18">
                  <c:v>-25</c:v>
                </c:pt>
                <c:pt idx="19">
                  <c:v>0</c:v>
                </c:pt>
                <c:pt idx="20">
                  <c:v>-5</c:v>
                </c:pt>
                <c:pt idx="21">
                  <c:v>113</c:v>
                </c:pt>
                <c:pt idx="22">
                  <c:v>-67</c:v>
                </c:pt>
                <c:pt idx="23">
                  <c:v>-88</c:v>
                </c:pt>
                <c:pt idx="24">
                  <c:v>-50</c:v>
                </c:pt>
                <c:pt idx="25">
                  <c:v>-50</c:v>
                </c:pt>
                <c:pt idx="26">
                  <c:v>0</c:v>
                </c:pt>
                <c:pt idx="27">
                  <c:v>-25</c:v>
                </c:pt>
                <c:pt idx="28">
                  <c:v>-13</c:v>
                </c:pt>
                <c:pt idx="29">
                  <c:v>0</c:v>
                </c:pt>
                <c:pt idx="30">
                  <c:v>-13</c:v>
                </c:pt>
                <c:pt idx="31">
                  <c:v>0</c:v>
                </c:pt>
                <c:pt idx="32">
                  <c:v>-13</c:v>
                </c:pt>
                <c:pt idx="33">
                  <c:v>-42</c:v>
                </c:pt>
                <c:pt idx="34">
                  <c:v>-69</c:v>
                </c:pt>
                <c:pt idx="35">
                  <c:v>-75</c:v>
                </c:pt>
                <c:pt idx="36">
                  <c:v>-125</c:v>
                </c:pt>
                <c:pt idx="37">
                  <c:v>-50</c:v>
                </c:pt>
                <c:pt idx="38">
                  <c:v>-13</c:v>
                </c:pt>
                <c:pt idx="39">
                  <c:v>-20</c:v>
                </c:pt>
                <c:pt idx="40">
                  <c:v>-10</c:v>
                </c:pt>
                <c:pt idx="41">
                  <c:v>0</c:v>
                </c:pt>
                <c:pt idx="42">
                  <c:v>-13</c:v>
                </c:pt>
                <c:pt idx="43">
                  <c:v>-283</c:v>
                </c:pt>
                <c:pt idx="44">
                  <c:v>-283</c:v>
                </c:pt>
                <c:pt idx="45">
                  <c:v>0</c:v>
                </c:pt>
                <c:pt idx="46">
                  <c:v>-13</c:v>
                </c:pt>
                <c:pt idx="47">
                  <c:v>-25</c:v>
                </c:pt>
                <c:pt idx="48">
                  <c:v>0</c:v>
                </c:pt>
                <c:pt idx="49">
                  <c:v>-13</c:v>
                </c:pt>
                <c:pt idx="50">
                  <c:v>-50</c:v>
                </c:pt>
                <c:pt idx="51">
                  <c:v>-10</c:v>
                </c:pt>
                <c:pt idx="52">
                  <c:v>0</c:v>
                </c:pt>
                <c:pt idx="53">
                  <c:v>0</c:v>
                </c:pt>
                <c:pt idx="54">
                  <c:v>-13</c:v>
                </c:pt>
                <c:pt idx="55">
                  <c:v>-200</c:v>
                </c:pt>
                <c:pt idx="56">
                  <c:v>-10</c:v>
                </c:pt>
                <c:pt idx="57">
                  <c:v>-50</c:v>
                </c:pt>
                <c:pt idx="58">
                  <c:v>0</c:v>
                </c:pt>
                <c:pt idx="59">
                  <c:v>50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MinMaxAvg!$D$146:$D$205</c:f>
              <c:numCache>
                <c:formatCode>0</c:formatCode>
                <c:ptCount val="60"/>
                <c:pt idx="0">
                  <c:v>-55.777777777777779</c:v>
                </c:pt>
                <c:pt idx="1">
                  <c:v>-36.142857142857146</c:v>
                </c:pt>
                <c:pt idx="2">
                  <c:v>-28.526315789473685</c:v>
                </c:pt>
                <c:pt idx="3">
                  <c:v>-12.666666666666666</c:v>
                </c:pt>
                <c:pt idx="4">
                  <c:v>-17.076923076923077</c:v>
                </c:pt>
                <c:pt idx="5">
                  <c:v>-4.5238095238095237</c:v>
                </c:pt>
                <c:pt idx="6">
                  <c:v>15.931034482758621</c:v>
                </c:pt>
                <c:pt idx="7">
                  <c:v>12.411764705882353</c:v>
                </c:pt>
                <c:pt idx="8">
                  <c:v>27</c:v>
                </c:pt>
                <c:pt idx="9">
                  <c:v>79.736842105263165</c:v>
                </c:pt>
                <c:pt idx="10">
                  <c:v>116.52941176470588</c:v>
                </c:pt>
                <c:pt idx="11">
                  <c:v>67.5625</c:v>
                </c:pt>
                <c:pt idx="12">
                  <c:v>4.2307692307692308</c:v>
                </c:pt>
                <c:pt idx="13">
                  <c:v>8</c:v>
                </c:pt>
                <c:pt idx="14">
                  <c:v>18.5625</c:v>
                </c:pt>
                <c:pt idx="15">
                  <c:v>-6.7857142857142856</c:v>
                </c:pt>
                <c:pt idx="16">
                  <c:v>-6.1875</c:v>
                </c:pt>
                <c:pt idx="17">
                  <c:v>-7.375</c:v>
                </c:pt>
                <c:pt idx="18">
                  <c:v>1.3888888888888888</c:v>
                </c:pt>
                <c:pt idx="19">
                  <c:v>97.722222222222229</c:v>
                </c:pt>
                <c:pt idx="20">
                  <c:v>347.30434782608694</c:v>
                </c:pt>
                <c:pt idx="21">
                  <c:v>474.75862068965517</c:v>
                </c:pt>
                <c:pt idx="22">
                  <c:v>204.77272727272728</c:v>
                </c:pt>
                <c:pt idx="23">
                  <c:v>91</c:v>
                </c:pt>
                <c:pt idx="24">
                  <c:v>18.105263157894736</c:v>
                </c:pt>
                <c:pt idx="25">
                  <c:v>48.047619047619051</c:v>
                </c:pt>
                <c:pt idx="26">
                  <c:v>67.81481481481481</c:v>
                </c:pt>
                <c:pt idx="27">
                  <c:v>84.869565217391298</c:v>
                </c:pt>
                <c:pt idx="28">
                  <c:v>37.25</c:v>
                </c:pt>
                <c:pt idx="29">
                  <c:v>31.210526315789473</c:v>
                </c:pt>
                <c:pt idx="30">
                  <c:v>39.35</c:v>
                </c:pt>
                <c:pt idx="31">
                  <c:v>22.333333333333332</c:v>
                </c:pt>
                <c:pt idx="32">
                  <c:v>61.526315789473685</c:v>
                </c:pt>
                <c:pt idx="33">
                  <c:v>172</c:v>
                </c:pt>
                <c:pt idx="34">
                  <c:v>79</c:v>
                </c:pt>
                <c:pt idx="35">
                  <c:v>34.807692307692307</c:v>
                </c:pt>
                <c:pt idx="36">
                  <c:v>-29.277777777777779</c:v>
                </c:pt>
                <c:pt idx="37">
                  <c:v>-1.8666666666666667</c:v>
                </c:pt>
                <c:pt idx="38">
                  <c:v>-1</c:v>
                </c:pt>
                <c:pt idx="39">
                  <c:v>9.75</c:v>
                </c:pt>
                <c:pt idx="40">
                  <c:v>10</c:v>
                </c:pt>
                <c:pt idx="41">
                  <c:v>9.6</c:v>
                </c:pt>
                <c:pt idx="42">
                  <c:v>5.0625</c:v>
                </c:pt>
                <c:pt idx="43">
                  <c:v>-46.5</c:v>
                </c:pt>
                <c:pt idx="44">
                  <c:v>-7.5384615384615383</c:v>
                </c:pt>
                <c:pt idx="45">
                  <c:v>61.555555555555557</c:v>
                </c:pt>
                <c:pt idx="46">
                  <c:v>-0.83333333333333337</c:v>
                </c:pt>
                <c:pt idx="47">
                  <c:v>0</c:v>
                </c:pt>
                <c:pt idx="48">
                  <c:v>13.8</c:v>
                </c:pt>
                <c:pt idx="49">
                  <c:v>-0.42857142857142855</c:v>
                </c:pt>
                <c:pt idx="50">
                  <c:v>-9.545454545454545</c:v>
                </c:pt>
                <c:pt idx="51">
                  <c:v>-2.75</c:v>
                </c:pt>
                <c:pt idx="52">
                  <c:v>0</c:v>
                </c:pt>
                <c:pt idx="53">
                  <c:v>8.0833333333333339</c:v>
                </c:pt>
                <c:pt idx="54">
                  <c:v>6.5625</c:v>
                </c:pt>
                <c:pt idx="55">
                  <c:v>-1.2142857142857142</c:v>
                </c:pt>
                <c:pt idx="56">
                  <c:v>112.2</c:v>
                </c:pt>
                <c:pt idx="57">
                  <c:v>211.83333333333334</c:v>
                </c:pt>
                <c:pt idx="58">
                  <c:v>416.07142857142856</c:v>
                </c:pt>
                <c:pt idx="59">
                  <c:v>400.5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44394752"/>
        <c:axId val="44408832"/>
      </c:stockChart>
      <c:catAx>
        <c:axId val="4439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b="1"/>
            </a:pPr>
            <a:endParaRPr lang="en-US"/>
          </a:p>
        </c:txPr>
        <c:crossAx val="44408832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44408832"/>
        <c:scaling>
          <c:orientation val="minMax"/>
          <c:max val="1900"/>
          <c:min val="-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2.096840391665878E-2"/>
              <c:y val="9.3348512158871744E-2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/>
            </a:pPr>
            <a:endParaRPr lang="en-US"/>
          </a:p>
        </c:txPr>
        <c:crossAx val="44394752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2.  Shuttle Secondary</a:t>
            </a:r>
            <a:r>
              <a:rPr lang="en-US" sz="1400" b="1" baseline="0"/>
              <a:t>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3184165232358"/>
          <c:y val="0.11077159029820069"/>
          <c:w val="0.82271944922547624"/>
          <c:h val="0.55002087088511564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MinMaxAvg!$G$146:$G$205</c:f>
              <c:numCache>
                <c:formatCode>General</c:formatCode>
                <c:ptCount val="60"/>
                <c:pt idx="0">
                  <c:v>0</c:v>
                </c:pt>
                <c:pt idx="1">
                  <c:v>-38</c:v>
                </c:pt>
                <c:pt idx="2">
                  <c:v>-88</c:v>
                </c:pt>
                <c:pt idx="3">
                  <c:v>-142</c:v>
                </c:pt>
                <c:pt idx="4">
                  <c:v>-231</c:v>
                </c:pt>
                <c:pt idx="5">
                  <c:v>-100</c:v>
                </c:pt>
                <c:pt idx="6" formatCode="0">
                  <c:v>200</c:v>
                </c:pt>
                <c:pt idx="7" formatCode="0">
                  <c:v>50</c:v>
                </c:pt>
                <c:pt idx="8" formatCode="0">
                  <c:v>200</c:v>
                </c:pt>
                <c:pt idx="9" formatCode="0">
                  <c:v>600</c:v>
                </c:pt>
                <c:pt idx="10" formatCode="0">
                  <c:v>782</c:v>
                </c:pt>
                <c:pt idx="11" formatCode="0">
                  <c:v>469</c:v>
                </c:pt>
                <c:pt idx="12">
                  <c:v>384</c:v>
                </c:pt>
                <c:pt idx="13">
                  <c:v>550</c:v>
                </c:pt>
                <c:pt idx="14">
                  <c:v>363</c:v>
                </c:pt>
                <c:pt idx="15">
                  <c:v>-100</c:v>
                </c:pt>
                <c:pt idx="16">
                  <c:v>-100</c:v>
                </c:pt>
                <c:pt idx="17">
                  <c:v>-133</c:v>
                </c:pt>
                <c:pt idx="18" formatCode="0">
                  <c:v>125</c:v>
                </c:pt>
                <c:pt idx="19" formatCode="0">
                  <c:v>1142</c:v>
                </c:pt>
                <c:pt idx="20" formatCode="0">
                  <c:v>1400</c:v>
                </c:pt>
                <c:pt idx="21" formatCode="0">
                  <c:v>1900</c:v>
                </c:pt>
                <c:pt idx="22" formatCode="0">
                  <c:v>1100</c:v>
                </c:pt>
                <c:pt idx="23" formatCode="0">
                  <c:v>600</c:v>
                </c:pt>
                <c:pt idx="24">
                  <c:v>104</c:v>
                </c:pt>
                <c:pt idx="25">
                  <c:v>433</c:v>
                </c:pt>
                <c:pt idx="26">
                  <c:v>475</c:v>
                </c:pt>
                <c:pt idx="27">
                  <c:v>88</c:v>
                </c:pt>
                <c:pt idx="28">
                  <c:v>38</c:v>
                </c:pt>
                <c:pt idx="29">
                  <c:v>0</c:v>
                </c:pt>
                <c:pt idx="30" formatCode="0">
                  <c:v>0</c:v>
                </c:pt>
                <c:pt idx="31" formatCode="0">
                  <c:v>-200</c:v>
                </c:pt>
                <c:pt idx="32" formatCode="0">
                  <c:v>300</c:v>
                </c:pt>
                <c:pt idx="33" formatCode="0">
                  <c:v>850</c:v>
                </c:pt>
                <c:pt idx="34" formatCode="0">
                  <c:v>450</c:v>
                </c:pt>
                <c:pt idx="35" formatCode="0">
                  <c:v>75</c:v>
                </c:pt>
                <c:pt idx="36" formatCode="0">
                  <c:v>-25</c:v>
                </c:pt>
                <c:pt idx="37">
                  <c:v>-125</c:v>
                </c:pt>
                <c:pt idx="38">
                  <c:v>-38</c:v>
                </c:pt>
                <c:pt idx="39">
                  <c:v>-150</c:v>
                </c:pt>
                <c:pt idx="40">
                  <c:v>-238</c:v>
                </c:pt>
                <c:pt idx="41">
                  <c:v>-108</c:v>
                </c:pt>
                <c:pt idx="42" formatCode="0">
                  <c:v>-113</c:v>
                </c:pt>
                <c:pt idx="43" formatCode="0">
                  <c:v>-125</c:v>
                </c:pt>
                <c:pt idx="44" formatCode="0">
                  <c:v>500</c:v>
                </c:pt>
                <c:pt idx="45" formatCode="0">
                  <c:v>700</c:v>
                </c:pt>
                <c:pt idx="46" formatCode="0">
                  <c:v>600</c:v>
                </c:pt>
                <c:pt idx="47" formatCode="0">
                  <c:v>75</c:v>
                </c:pt>
                <c:pt idx="48" formatCode="0">
                  <c:v>81</c:v>
                </c:pt>
                <c:pt idx="49" formatCode="0">
                  <c:v>242</c:v>
                </c:pt>
                <c:pt idx="50" formatCode="0">
                  <c:v>125</c:v>
                </c:pt>
                <c:pt idx="51">
                  <c:v>-38</c:v>
                </c:pt>
                <c:pt idx="52">
                  <c:v>-67</c:v>
                </c:pt>
                <c:pt idx="53">
                  <c:v>100</c:v>
                </c:pt>
                <c:pt idx="54">
                  <c:v>42</c:v>
                </c:pt>
                <c:pt idx="55">
                  <c:v>0</c:v>
                </c:pt>
                <c:pt idx="56">
                  <c:v>433</c:v>
                </c:pt>
                <c:pt idx="57">
                  <c:v>1450</c:v>
                </c:pt>
                <c:pt idx="58">
                  <c:v>2517</c:v>
                </c:pt>
                <c:pt idx="59">
                  <c:v>1500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MinMaxAvg!$H$146:$H$205</c:f>
              <c:numCache>
                <c:formatCode>General</c:formatCode>
                <c:ptCount val="60"/>
                <c:pt idx="0">
                  <c:v>-367</c:v>
                </c:pt>
                <c:pt idx="1">
                  <c:v>-250</c:v>
                </c:pt>
                <c:pt idx="2">
                  <c:v>-209</c:v>
                </c:pt>
                <c:pt idx="3">
                  <c:v>-400</c:v>
                </c:pt>
                <c:pt idx="4">
                  <c:v>-400</c:v>
                </c:pt>
                <c:pt idx="5">
                  <c:v>-413</c:v>
                </c:pt>
                <c:pt idx="6" formatCode="0">
                  <c:v>-375</c:v>
                </c:pt>
                <c:pt idx="7" formatCode="0">
                  <c:v>-200</c:v>
                </c:pt>
                <c:pt idx="8" formatCode="0">
                  <c:v>-225</c:v>
                </c:pt>
                <c:pt idx="9" formatCode="0">
                  <c:v>50</c:v>
                </c:pt>
                <c:pt idx="10" formatCode="0">
                  <c:v>0</c:v>
                </c:pt>
                <c:pt idx="11" formatCode="0">
                  <c:v>-125</c:v>
                </c:pt>
                <c:pt idx="12">
                  <c:v>-250</c:v>
                </c:pt>
                <c:pt idx="13">
                  <c:v>-175</c:v>
                </c:pt>
                <c:pt idx="14">
                  <c:v>-350</c:v>
                </c:pt>
                <c:pt idx="15">
                  <c:v>-334</c:v>
                </c:pt>
                <c:pt idx="16">
                  <c:v>-350</c:v>
                </c:pt>
                <c:pt idx="17">
                  <c:v>-450</c:v>
                </c:pt>
                <c:pt idx="18" formatCode="0">
                  <c:v>-475</c:v>
                </c:pt>
                <c:pt idx="19" formatCode="0">
                  <c:v>-300</c:v>
                </c:pt>
                <c:pt idx="20" formatCode="0">
                  <c:v>-200</c:v>
                </c:pt>
                <c:pt idx="21" formatCode="0">
                  <c:v>-350</c:v>
                </c:pt>
                <c:pt idx="22" formatCode="0">
                  <c:v>-525</c:v>
                </c:pt>
                <c:pt idx="23" formatCode="0">
                  <c:v>-509</c:v>
                </c:pt>
                <c:pt idx="24">
                  <c:v>-600</c:v>
                </c:pt>
                <c:pt idx="25">
                  <c:v>-425</c:v>
                </c:pt>
                <c:pt idx="26">
                  <c:v>-488</c:v>
                </c:pt>
                <c:pt idx="27">
                  <c:v>-800</c:v>
                </c:pt>
                <c:pt idx="28">
                  <c:v>-900</c:v>
                </c:pt>
                <c:pt idx="29">
                  <c:v>-500</c:v>
                </c:pt>
                <c:pt idx="30" formatCode="0">
                  <c:v>-450</c:v>
                </c:pt>
                <c:pt idx="31" formatCode="0">
                  <c:v>-725</c:v>
                </c:pt>
                <c:pt idx="32" formatCode="0">
                  <c:v>-700</c:v>
                </c:pt>
                <c:pt idx="33" formatCode="0">
                  <c:v>-600</c:v>
                </c:pt>
                <c:pt idx="34" formatCode="0">
                  <c:v>-450</c:v>
                </c:pt>
                <c:pt idx="35" formatCode="0">
                  <c:v>-475</c:v>
                </c:pt>
                <c:pt idx="36" formatCode="0">
                  <c:v>-425</c:v>
                </c:pt>
                <c:pt idx="37">
                  <c:v>-325</c:v>
                </c:pt>
                <c:pt idx="38">
                  <c:v>-300</c:v>
                </c:pt>
                <c:pt idx="39">
                  <c:v>-475</c:v>
                </c:pt>
                <c:pt idx="40">
                  <c:v>-375</c:v>
                </c:pt>
                <c:pt idx="41">
                  <c:v>-625</c:v>
                </c:pt>
                <c:pt idx="42" formatCode="0">
                  <c:v>-600</c:v>
                </c:pt>
                <c:pt idx="43" formatCode="0">
                  <c:v>-525</c:v>
                </c:pt>
                <c:pt idx="44" formatCode="0">
                  <c:v>-550</c:v>
                </c:pt>
                <c:pt idx="45" formatCode="0">
                  <c:v>-150</c:v>
                </c:pt>
                <c:pt idx="46" formatCode="0">
                  <c:v>-325</c:v>
                </c:pt>
                <c:pt idx="47" formatCode="0">
                  <c:v>-363</c:v>
                </c:pt>
                <c:pt idx="48" formatCode="0">
                  <c:v>-200</c:v>
                </c:pt>
                <c:pt idx="49" formatCode="0">
                  <c:v>-138</c:v>
                </c:pt>
                <c:pt idx="50" formatCode="0">
                  <c:v>-175</c:v>
                </c:pt>
                <c:pt idx="51">
                  <c:v>-225</c:v>
                </c:pt>
                <c:pt idx="52">
                  <c:v>-225</c:v>
                </c:pt>
                <c:pt idx="53">
                  <c:v>-225</c:v>
                </c:pt>
                <c:pt idx="54">
                  <c:v>-250</c:v>
                </c:pt>
                <c:pt idx="55">
                  <c:v>-213</c:v>
                </c:pt>
                <c:pt idx="56">
                  <c:v>-225</c:v>
                </c:pt>
                <c:pt idx="57">
                  <c:v>250</c:v>
                </c:pt>
                <c:pt idx="58">
                  <c:v>250</c:v>
                </c:pt>
                <c:pt idx="59">
                  <c:v>-200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MinMaxAvg!$I$146:$I$205</c:f>
              <c:numCache>
                <c:formatCode>0</c:formatCode>
                <c:ptCount val="60"/>
                <c:pt idx="0">
                  <c:v>-188</c:v>
                </c:pt>
                <c:pt idx="1">
                  <c:v>-127.36363636363636</c:v>
                </c:pt>
                <c:pt idx="2">
                  <c:v>-158.33333333333334</c:v>
                </c:pt>
                <c:pt idx="3">
                  <c:v>-275.81818181818181</c:v>
                </c:pt>
                <c:pt idx="4">
                  <c:v>-319.46666666666664</c:v>
                </c:pt>
                <c:pt idx="5">
                  <c:v>-236.11538461538461</c:v>
                </c:pt>
                <c:pt idx="6">
                  <c:v>-118.38888888888889</c:v>
                </c:pt>
                <c:pt idx="7">
                  <c:v>-66.666666666666671</c:v>
                </c:pt>
                <c:pt idx="8">
                  <c:v>-24.529411764705884</c:v>
                </c:pt>
                <c:pt idx="9">
                  <c:v>292.3</c:v>
                </c:pt>
                <c:pt idx="10">
                  <c:v>209.26470588235293</c:v>
                </c:pt>
                <c:pt idx="11">
                  <c:v>48.310344827586206</c:v>
                </c:pt>
                <c:pt idx="12">
                  <c:v>0.73684210526315785</c:v>
                </c:pt>
                <c:pt idx="13">
                  <c:v>106</c:v>
                </c:pt>
                <c:pt idx="14">
                  <c:v>60.555555555555557</c:v>
                </c:pt>
                <c:pt idx="15">
                  <c:v>-192.4</c:v>
                </c:pt>
                <c:pt idx="16">
                  <c:v>-257.09523809523807</c:v>
                </c:pt>
                <c:pt idx="17">
                  <c:v>-200.15217391304347</c:v>
                </c:pt>
                <c:pt idx="18">
                  <c:v>-231.76923076923077</c:v>
                </c:pt>
                <c:pt idx="19">
                  <c:v>200.6</c:v>
                </c:pt>
                <c:pt idx="20">
                  <c:v>286.84615384615387</c:v>
                </c:pt>
                <c:pt idx="21">
                  <c:v>718.91666666666663</c:v>
                </c:pt>
                <c:pt idx="22">
                  <c:v>272.38888888888891</c:v>
                </c:pt>
                <c:pt idx="23">
                  <c:v>-41.470588235294116</c:v>
                </c:pt>
                <c:pt idx="24">
                  <c:v>-210.58823529411765</c:v>
                </c:pt>
                <c:pt idx="25">
                  <c:v>-163.04761904761904</c:v>
                </c:pt>
                <c:pt idx="26">
                  <c:v>-175.85185185185185</c:v>
                </c:pt>
                <c:pt idx="27">
                  <c:v>-330.25</c:v>
                </c:pt>
                <c:pt idx="28">
                  <c:v>-484.48148148148147</c:v>
                </c:pt>
                <c:pt idx="29">
                  <c:v>-315.95833333333331</c:v>
                </c:pt>
                <c:pt idx="30">
                  <c:v>-323.63333333333333</c:v>
                </c:pt>
                <c:pt idx="31">
                  <c:v>-376</c:v>
                </c:pt>
                <c:pt idx="32">
                  <c:v>-306</c:v>
                </c:pt>
                <c:pt idx="33">
                  <c:v>424.15384615384613</c:v>
                </c:pt>
                <c:pt idx="34">
                  <c:v>16.862068965517242</c:v>
                </c:pt>
                <c:pt idx="35">
                  <c:v>-187.63636363636363</c:v>
                </c:pt>
                <c:pt idx="36">
                  <c:v>-211.8</c:v>
                </c:pt>
                <c:pt idx="37">
                  <c:v>-205.06666666666666</c:v>
                </c:pt>
                <c:pt idx="38">
                  <c:v>-207.52631578947367</c:v>
                </c:pt>
                <c:pt idx="39">
                  <c:v>-281</c:v>
                </c:pt>
                <c:pt idx="40">
                  <c:v>-306.6875</c:v>
                </c:pt>
                <c:pt idx="41">
                  <c:v>-336.58823529411762</c:v>
                </c:pt>
                <c:pt idx="42">
                  <c:v>-324.44444444444446</c:v>
                </c:pt>
                <c:pt idx="43">
                  <c:v>-360</c:v>
                </c:pt>
                <c:pt idx="44">
                  <c:v>-243.16279069767441</c:v>
                </c:pt>
                <c:pt idx="45">
                  <c:v>312.3488372093023</c:v>
                </c:pt>
                <c:pt idx="46">
                  <c:v>67.181818181818187</c:v>
                </c:pt>
                <c:pt idx="47">
                  <c:v>-147.86206896551724</c:v>
                </c:pt>
                <c:pt idx="48">
                  <c:v>-31.714285714285715</c:v>
                </c:pt>
                <c:pt idx="49">
                  <c:v>-13.882352941176471</c:v>
                </c:pt>
                <c:pt idx="50">
                  <c:v>-44.125</c:v>
                </c:pt>
                <c:pt idx="51">
                  <c:v>-157.5</c:v>
                </c:pt>
                <c:pt idx="52">
                  <c:v>-154.70588235294119</c:v>
                </c:pt>
                <c:pt idx="53">
                  <c:v>-108.22727272727273</c:v>
                </c:pt>
                <c:pt idx="54">
                  <c:v>-119.3</c:v>
                </c:pt>
                <c:pt idx="55">
                  <c:v>-118.44736842105263</c:v>
                </c:pt>
                <c:pt idx="56">
                  <c:v>-43.166666666666664</c:v>
                </c:pt>
                <c:pt idx="57">
                  <c:v>623.77777777777783</c:v>
                </c:pt>
                <c:pt idx="58">
                  <c:v>717.1</c:v>
                </c:pt>
                <c:pt idx="59">
                  <c:v>254.54545454545453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44258048"/>
        <c:axId val="44259584"/>
      </c:stockChart>
      <c:catAx>
        <c:axId val="4425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259584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44259584"/>
        <c:scaling>
          <c:orientation val="minMax"/>
          <c:max val="3000"/>
          <c:min val="-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1.4398101682756147E-2"/>
              <c:y val="0.10855358441640579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258048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3.  Standard Deviation of </a:t>
            </a:r>
          </a:p>
          <a:p>
            <a:pPr>
              <a:defRPr/>
            </a:pPr>
            <a:r>
              <a:rPr lang="en-US" sz="1400"/>
              <a:t>Non-Shuttle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2706401283172932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MinMaxAvg!$E$165:$E$169</c:f>
              <c:numCache>
                <c:formatCode>0</c:formatCode>
                <c:ptCount val="5"/>
                <c:pt idx="0">
                  <c:v>146.22295850779125</c:v>
                </c:pt>
                <c:pt idx="1">
                  <c:v>302.23236617221414</c:v>
                </c:pt>
                <c:pt idx="2">
                  <c:v>273.08602192250362</c:v>
                </c:pt>
                <c:pt idx="3">
                  <c:v>192.04858805302416</c:v>
                </c:pt>
                <c:pt idx="4">
                  <c:v>171.73380564117247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MinMaxAvg!$E$153:$E$157</c:f>
              <c:numCache>
                <c:formatCode>0</c:formatCode>
                <c:ptCount val="5"/>
                <c:pt idx="0">
                  <c:v>17.036940832824904</c:v>
                </c:pt>
                <c:pt idx="1">
                  <c:v>20.295543621915893</c:v>
                </c:pt>
                <c:pt idx="2">
                  <c:v>75.08945931743547</c:v>
                </c:pt>
                <c:pt idx="3">
                  <c:v>113.99184052326883</c:v>
                </c:pt>
                <c:pt idx="4">
                  <c:v>91.957213782642782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MinMaxAvg!$E$141:$E$145</c:f>
              <c:numCache>
                <c:formatCode>0</c:formatCode>
                <c:ptCount val="5"/>
                <c:pt idx="0">
                  <c:v>68.070688395363092</c:v>
                </c:pt>
                <c:pt idx="1">
                  <c:v>102.5516671948557</c:v>
                </c:pt>
                <c:pt idx="2">
                  <c:v>100.67294406476185</c:v>
                </c:pt>
                <c:pt idx="3">
                  <c:v>106.67179474852664</c:v>
                </c:pt>
                <c:pt idx="4">
                  <c:v>68.859410842225927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MinMaxAvg!$E$129:$E$133</c:f>
              <c:numCache>
                <c:formatCode>#,##0</c:formatCode>
                <c:ptCount val="5"/>
                <c:pt idx="0">
                  <c:v>137.11774633702314</c:v>
                </c:pt>
                <c:pt idx="1">
                  <c:v>245.70317972149348</c:v>
                </c:pt>
                <c:pt idx="2" formatCode="0">
                  <c:v>316.15587613026571</c:v>
                </c:pt>
                <c:pt idx="3" formatCode="0">
                  <c:v>174.49985673346555</c:v>
                </c:pt>
                <c:pt idx="4" formatCode="0">
                  <c:v>173.71348537174654</c:v>
                </c:pt>
              </c:numCache>
            </c:numRef>
          </c:val>
          <c:smooth val="0"/>
        </c:ser>
        <c:ser>
          <c:idx val="4"/>
          <c:order val="4"/>
          <c:tx>
            <c:v>2006</c:v>
          </c:tx>
          <c:marker>
            <c:symbol val="none"/>
          </c:marker>
          <c:val>
            <c:numRef>
              <c:f>MinMaxAvg!$E$117:$E$121</c:f>
              <c:numCache>
                <c:formatCode>#,##0</c:formatCode>
                <c:ptCount val="5"/>
                <c:pt idx="0">
                  <c:v>60.977390386640693</c:v>
                </c:pt>
                <c:pt idx="1">
                  <c:v>88.880615443061515</c:v>
                </c:pt>
                <c:pt idx="2">
                  <c:v>163.56580651598455</c:v>
                </c:pt>
                <c:pt idx="3">
                  <c:v>172.02114941311905</c:v>
                </c:pt>
                <c:pt idx="4">
                  <c:v>151.2507206191259</c:v>
                </c:pt>
              </c:numCache>
            </c:numRef>
          </c:val>
          <c:smooth val="0"/>
        </c:ser>
        <c:ser>
          <c:idx val="5"/>
          <c:order val="5"/>
          <c:tx>
            <c:v>2005</c:v>
          </c:tx>
          <c:marker>
            <c:symbol val="none"/>
          </c:marker>
          <c:val>
            <c:numRef>
              <c:f>MinMaxAvg!$E$105:$E$109</c:f>
              <c:numCache>
                <c:formatCode>#,##0</c:formatCode>
                <c:ptCount val="5"/>
                <c:pt idx="0">
                  <c:v>58.943190035558345</c:v>
                </c:pt>
                <c:pt idx="1">
                  <c:v>91.574237147196087</c:v>
                </c:pt>
                <c:pt idx="2">
                  <c:v>227.18460268574319</c:v>
                </c:pt>
                <c:pt idx="3">
                  <c:v>258.38829713586915</c:v>
                </c:pt>
                <c:pt idx="4">
                  <c:v>190.73925184691785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99008"/>
        <c:axId val="44300544"/>
      </c:lineChart>
      <c:catAx>
        <c:axId val="4429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300544"/>
        <c:crosses val="autoZero"/>
        <c:auto val="1"/>
        <c:lblAlgn val="ctr"/>
        <c:lblOffset val="100"/>
        <c:noMultiLvlLbl val="0"/>
      </c:catAx>
      <c:valAx>
        <c:axId val="443005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4429900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3888888888888903E-2"/>
          <c:y val="0.82423993875765533"/>
          <c:w val="0.94611111111111112"/>
          <c:h val="8.779709827938174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4.  Standard Deviation of </a:t>
            </a:r>
          </a:p>
          <a:p>
            <a:pPr>
              <a:defRPr/>
            </a:pPr>
            <a:r>
              <a:rPr lang="en-US" sz="1400"/>
              <a:t>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5021216097987746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MinMaxAvg!$J$165:$J$169</c:f>
              <c:numCache>
                <c:formatCode>0</c:formatCode>
                <c:ptCount val="5"/>
                <c:pt idx="0">
                  <c:v>451.01849819523562</c:v>
                </c:pt>
                <c:pt idx="1">
                  <c:v>459.67133409058192</c:v>
                </c:pt>
                <c:pt idx="2">
                  <c:v>517.99478901749137</c:v>
                </c:pt>
                <c:pt idx="3">
                  <c:v>420.82200361929597</c:v>
                </c:pt>
                <c:pt idx="4">
                  <c:v>327.0806809275154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MinMaxAvg!$J$153:$J$157</c:f>
              <c:numCache>
                <c:formatCode>0</c:formatCode>
                <c:ptCount val="5"/>
                <c:pt idx="0">
                  <c:v>72.75169773833133</c:v>
                </c:pt>
                <c:pt idx="1">
                  <c:v>96.74998560617469</c:v>
                </c:pt>
                <c:pt idx="2">
                  <c:v>133.48892204109038</c:v>
                </c:pt>
                <c:pt idx="3">
                  <c:v>185.20918702645878</c:v>
                </c:pt>
                <c:pt idx="4">
                  <c:v>144.52807523806476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MinMaxAvg!$J$141:$J$145</c:f>
              <c:numCache>
                <c:formatCode>0</c:formatCode>
                <c:ptCount val="5"/>
                <c:pt idx="0">
                  <c:v>97.634691411572391</c:v>
                </c:pt>
                <c:pt idx="1">
                  <c:v>101.09662443685978</c:v>
                </c:pt>
                <c:pt idx="2">
                  <c:v>137.11113433231722</c:v>
                </c:pt>
                <c:pt idx="3">
                  <c:v>158.65801123053708</c:v>
                </c:pt>
                <c:pt idx="4">
                  <c:v>159.15995006873541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MinMaxAvg!$J$129:$J$133</c:f>
              <c:numCache>
                <c:formatCode>0</c:formatCode>
                <c:ptCount val="5"/>
                <c:pt idx="0">
                  <c:v>312.81838629311784</c:v>
                </c:pt>
                <c:pt idx="1">
                  <c:v>425.6006095107374</c:v>
                </c:pt>
                <c:pt idx="2">
                  <c:v>375.45548273023678</c:v>
                </c:pt>
                <c:pt idx="3">
                  <c:v>365.4586096736748</c:v>
                </c:pt>
                <c:pt idx="4">
                  <c:v>188.85109291216096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23424"/>
        <c:axId val="55224960"/>
      </c:lineChart>
      <c:catAx>
        <c:axId val="5522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224960"/>
        <c:crosses val="autoZero"/>
        <c:auto val="1"/>
        <c:lblAlgn val="ctr"/>
        <c:lblOffset val="100"/>
        <c:noMultiLvlLbl val="0"/>
      </c:catAx>
      <c:valAx>
        <c:axId val="552249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552234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1777777777777777"/>
          <c:y val="0.85201771653543312"/>
          <c:w val="0.62555555555555553"/>
          <c:h val="7.853783902012248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Secondary Railcar Market Bids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96522309711287"/>
          <c:y val="0.15277777777777779"/>
          <c:w val="0.83212882764654428"/>
          <c:h val="0.71388743073782446"/>
        </c:manualLayout>
      </c:layout>
      <c:lineChart>
        <c:grouping val="standard"/>
        <c:varyColors val="0"/>
        <c:ser>
          <c:idx val="0"/>
          <c:order val="0"/>
          <c:tx>
            <c:v>BNSF non-shuttle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'Non-shuttle Bids'!$AR$863:$AR$869</c:f>
              <c:numCache>
                <c:formatCode>0.00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200</c:v>
                </c:pt>
                <c:pt idx="3">
                  <c:v>550</c:v>
                </c:pt>
                <c:pt idx="4">
                  <c:v>400</c:v>
                </c:pt>
                <c:pt idx="5">
                  <c:v>733</c:v>
                </c:pt>
                <c:pt idx="6">
                  <c:v>1617</c:v>
                </c:pt>
              </c:numCache>
            </c:numRef>
          </c:val>
          <c:smooth val="0"/>
        </c:ser>
        <c:ser>
          <c:idx val="1"/>
          <c:order val="1"/>
          <c:tx>
            <c:v>BNSF 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'Shuttle Bids'!$AR$863:$AR$869</c:f>
              <c:numCache>
                <c:formatCode>0.00</c:formatCode>
                <c:ptCount val="7"/>
                <c:pt idx="1">
                  <c:v>300</c:v>
                </c:pt>
                <c:pt idx="2">
                  <c:v>500</c:v>
                </c:pt>
                <c:pt idx="3">
                  <c:v>800</c:v>
                </c:pt>
                <c:pt idx="4">
                  <c:v>1225</c:v>
                </c:pt>
                <c:pt idx="5">
                  <c:v>1675</c:v>
                </c:pt>
                <c:pt idx="6">
                  <c:v>2517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93024"/>
        <c:axId val="56194560"/>
      </c:lineChart>
      <c:dateAx>
        <c:axId val="56193024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low"/>
        <c:crossAx val="56194560"/>
        <c:crosses val="autoZero"/>
        <c:auto val="1"/>
        <c:lblOffset val="100"/>
        <c:baseTimeUnit val="days"/>
        <c:majorUnit val="7"/>
        <c:majorTimeUnit val="days"/>
      </c:dateAx>
      <c:valAx>
        <c:axId val="56194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Dollars per railcar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619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533333333333334"/>
          <c:y val="0.18072142023913679"/>
          <c:w val="0.33800000000000002"/>
          <c:h val="0.15707567804024497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6350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0.1557</cdr:x>
      <cdr:y>0.5692</cdr:y>
    </cdr:from>
    <cdr:to>
      <cdr:x>0.41048</cdr:x>
      <cdr:y>0.71228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7736" y="1648188"/>
          <a:ext cx="1338089" cy="41430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   $300	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 $50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  $1275       $50</a:t>
          </a:r>
        </a:p>
      </cdr:txBody>
    </cdr:sp>
  </cdr:relSizeAnchor>
  <cdr:relSizeAnchor xmlns:cdr="http://schemas.openxmlformats.org/drawingml/2006/chartDrawing">
    <cdr:from>
      <cdr:x>0.01508</cdr:x>
      <cdr:y>0.05288</cdr:y>
    </cdr:from>
    <cdr:to>
      <cdr:x>0.09573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103" y="154886"/>
          <a:ext cx="417707" cy="2107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0.14459</cdr:x>
      <cdr:y>0.04299</cdr:y>
    </cdr:from>
    <cdr:to>
      <cdr:x>0.78312</cdr:x>
      <cdr:y>0.16647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5507" y="128031"/>
          <a:ext cx="3336433" cy="36774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Non-shuttle bids/offers are the same as last week and are $1000 below the peak.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rose $127 this week and are $212.50 below the peak.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0.15814</cdr:x>
      <cdr:y>0.57064</cdr:y>
    </cdr:from>
    <cdr:to>
      <cdr:x>0.41292</cdr:x>
      <cdr:y>0.71372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308" y="1695828"/>
          <a:ext cx="1331269" cy="4252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  $350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	   n/a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  n/a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$13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0.01508</cdr:x>
      <cdr:y>0.05288</cdr:y>
    </cdr:from>
    <cdr:to>
      <cdr:x>0.09573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103" y="154886"/>
          <a:ext cx="417707" cy="2107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0.15577</cdr:x>
      <cdr:y>0.03895</cdr:y>
    </cdr:from>
    <cdr:to>
      <cdr:x>0.77076</cdr:x>
      <cdr:y>0.13688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3925" y="115752"/>
          <a:ext cx="3213427" cy="29102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Non-shuttle bids/offers rose $100 this week and are at the peak.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fell $6 this week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and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are $312 below the peak.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6350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0.1888</cdr:x>
      <cdr:y>0.51429</cdr:y>
    </cdr:from>
    <cdr:to>
      <cdr:x>0.43</cdr:x>
      <cdr:y>0.65245</cdr:y>
    </cdr:to>
    <cdr:sp macro="" textlink="">
      <cdr:nvSpPr>
        <cdr:cNvPr id="21505" name="Text Box 204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98427" y="1531620"/>
          <a:ext cx="1275533" cy="41148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BNSF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 UP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   n/a          n/a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           n/a         $100       </a:t>
          </a:r>
        </a:p>
      </cdr:txBody>
    </cdr:sp>
  </cdr:relSizeAnchor>
  <cdr:relSizeAnchor xmlns:cdr="http://schemas.openxmlformats.org/drawingml/2006/chartDrawing">
    <cdr:from>
      <cdr:x>0.00204</cdr:x>
      <cdr:y>0.04758</cdr:y>
    </cdr:from>
    <cdr:to>
      <cdr:x>0.07105</cdr:x>
      <cdr:y>0.77135</cdr:y>
    </cdr:to>
    <cdr:sp macro="" textlink="">
      <cdr:nvSpPr>
        <cdr:cNvPr id="21506" name="Text Box 205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916" y="142305"/>
          <a:ext cx="370083" cy="21646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0.14337</cdr:x>
      <cdr:y>0.05213</cdr:y>
    </cdr:from>
    <cdr:to>
      <cdr:x>0.76801</cdr:x>
      <cdr:y>0.15016</cdr:y>
    </cdr:to>
    <cdr:sp macro="" textlink="">
      <cdr:nvSpPr>
        <cdr:cNvPr id="18435" name="Text Box 205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8180" y="155251"/>
          <a:ext cx="3303279" cy="29194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There are no non-shuttle bids/offers this week.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bids/offers are the same as last week and are at the peak.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</xdr:row>
      <xdr:rowOff>7620</xdr:rowOff>
    </xdr:from>
    <xdr:to>
      <xdr:col>8</xdr:col>
      <xdr:colOff>15240</xdr:colOff>
      <xdr:row>18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23</xdr:row>
      <xdr:rowOff>7620</xdr:rowOff>
    </xdr:from>
    <xdr:to>
      <xdr:col>8</xdr:col>
      <xdr:colOff>15240</xdr:colOff>
      <xdr:row>39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632460</xdr:colOff>
      <xdr:row>3</xdr:row>
      <xdr:rowOff>129540</xdr:rowOff>
    </xdr:from>
    <xdr:to>
      <xdr:col>15</xdr:col>
      <xdr:colOff>83820</xdr:colOff>
      <xdr:row>17</xdr:row>
      <xdr:rowOff>99060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15</xdr:col>
      <xdr:colOff>182880</xdr:colOff>
      <xdr:row>34</xdr:row>
      <xdr:rowOff>167640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</xdr:colOff>
      <xdr:row>36</xdr:row>
      <xdr:rowOff>184150</xdr:rowOff>
    </xdr:from>
    <xdr:to>
      <xdr:col>15</xdr:col>
      <xdr:colOff>9525</xdr:colOff>
      <xdr:row>50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0.36484</cdr:x>
      <cdr:y>0.17023</cdr:y>
    </cdr:from>
    <cdr:to>
      <cdr:x>0.72752</cdr:x>
      <cdr:y>0.28108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04619" y="534846"/>
          <a:ext cx="2191552" cy="3482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—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|    =     Range for bid/offer per car</a:t>
          </a:r>
        </a:p>
      </cdr:txBody>
    </cdr:sp>
  </cdr:relSizeAnchor>
  <cdr:relSizeAnchor xmlns:cdr="http://schemas.openxmlformats.org/drawingml/2006/chartDrawing">
    <cdr:from>
      <cdr:x>0.01708</cdr:x>
      <cdr:y>0.87711</cdr:y>
    </cdr:from>
    <cdr:to>
      <cdr:x>0.61629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9060" y="2773680"/>
          <a:ext cx="347472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0.33511</cdr:x>
      <cdr:y>0.13991</cdr:y>
    </cdr:from>
    <cdr:to>
      <cdr:x>0.70699</cdr:x>
      <cdr:y>0.25317</cdr:y>
    </cdr:to>
    <cdr:sp macro="" textlink="">
      <cdr:nvSpPr>
        <cdr:cNvPr id="50176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4963" y="439587"/>
          <a:ext cx="2247144" cy="355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—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  | 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Range for bid/offer per car</a:t>
          </a:r>
        </a:p>
      </cdr:txBody>
    </cdr:sp>
  </cdr:relSizeAnchor>
  <cdr:relSizeAnchor xmlns:cdr="http://schemas.openxmlformats.org/drawingml/2006/chartDrawing">
    <cdr:from>
      <cdr:x>0.01577</cdr:x>
      <cdr:y>0.8747</cdr:y>
    </cdr:from>
    <cdr:to>
      <cdr:x>0.6071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1440" y="2766060"/>
          <a:ext cx="3429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0.66333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12"/>
          <a:ext cx="3009900" cy="359688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0.66506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05"/>
          <a:ext cx="3017782" cy="35969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42"/>
    <pageSetUpPr fitToPage="1"/>
  </sheetPr>
  <dimension ref="A1:AX1278"/>
  <sheetViews>
    <sheetView zoomScaleNormal="100" workbookViewId="0">
      <pane xSplit="3" ySplit="7" topLeftCell="D856" activePane="bottomRight" state="frozen"/>
      <selection pane="topRight" activeCell="D1" sqref="D1"/>
      <selection pane="bottomLeft" activeCell="A8" sqref="A8"/>
      <selection pane="bottomRight" activeCell="E876" sqref="E876"/>
    </sheetView>
  </sheetViews>
  <sheetFormatPr defaultRowHeight="15" x14ac:dyDescent="0.25"/>
  <cols>
    <col min="1" max="1" width="5.1796875" customWidth="1"/>
    <col min="2" max="3" width="9.81640625" customWidth="1"/>
    <col min="4" max="6" width="6.81640625" customWidth="1"/>
    <col min="7" max="7" width="0.81640625" customWidth="1"/>
    <col min="8" max="10" width="6.81640625" customWidth="1"/>
    <col min="11" max="11" width="1" customWidth="1"/>
    <col min="12" max="12" width="7.08984375" customWidth="1"/>
    <col min="13" max="14" width="6.81640625" customWidth="1"/>
    <col min="15" max="15" width="1.1796875" customWidth="1"/>
    <col min="16" max="18" width="6.81640625" customWidth="1"/>
    <col min="19" max="19" width="1.1796875" customWidth="1"/>
    <col min="20" max="22" width="6.81640625" customWidth="1"/>
    <col min="23" max="23" width="1.1796875" customWidth="1"/>
    <col min="24" max="26" width="6.81640625" customWidth="1"/>
    <col min="27" max="27" width="1.1796875" customWidth="1"/>
    <col min="28" max="30" width="6.81640625" customWidth="1"/>
    <col min="31" max="31" width="1.54296875" customWidth="1"/>
    <col min="32" max="32" width="7.08984375" customWidth="1"/>
    <col min="33" max="34" width="6.81640625" customWidth="1"/>
    <col min="35" max="35" width="1.1796875" customWidth="1"/>
    <col min="36" max="36" width="6.54296875" customWidth="1"/>
    <col min="37" max="37" width="6.1796875" customWidth="1"/>
    <col min="38" max="38" width="6.453125" customWidth="1"/>
    <col min="39" max="39" width="1.453125" customWidth="1"/>
    <col min="40" max="42" width="6.81640625" customWidth="1"/>
    <col min="43" max="43" width="1.08984375" customWidth="1"/>
    <col min="44" max="46" width="6.81640625" customWidth="1"/>
    <col min="47" max="47" width="1.1796875" customWidth="1"/>
    <col min="48" max="50" width="6.81640625" customWidth="1"/>
  </cols>
  <sheetData>
    <row r="1" spans="1:50" ht="15.6" x14ac:dyDescent="0.3">
      <c r="B1" s="8" t="s">
        <v>238</v>
      </c>
      <c r="C1" s="8"/>
      <c r="P1" s="8" t="s">
        <v>238</v>
      </c>
      <c r="AB1" s="8" t="s">
        <v>238</v>
      </c>
      <c r="AN1" s="8" t="s">
        <v>238</v>
      </c>
    </row>
    <row r="2" spans="1:50" ht="11.25" customHeight="1" x14ac:dyDescent="0.25">
      <c r="B2" s="16" t="s">
        <v>86</v>
      </c>
      <c r="C2" s="16"/>
    </row>
    <row r="3" spans="1:50" ht="11.25" customHeight="1" x14ac:dyDescent="0.25">
      <c r="B3" s="16" t="s">
        <v>87</v>
      </c>
      <c r="C3" s="16"/>
    </row>
    <row r="4" spans="1:50" ht="11.25" customHeight="1" x14ac:dyDescent="0.25">
      <c r="B4" s="12" t="s">
        <v>239</v>
      </c>
      <c r="C4" s="16"/>
    </row>
    <row r="5" spans="1:50" ht="11.25" customHeight="1" x14ac:dyDescent="0.25">
      <c r="B5" s="16"/>
      <c r="C5" s="16"/>
      <c r="D5" s="16" t="s">
        <v>88</v>
      </c>
    </row>
    <row r="6" spans="1:50" ht="15.6" x14ac:dyDescent="0.3">
      <c r="B6" s="10" t="s">
        <v>70</v>
      </c>
      <c r="C6" s="10" t="s">
        <v>139</v>
      </c>
      <c r="D6" s="145" t="s">
        <v>74</v>
      </c>
      <c r="E6" s="145"/>
      <c r="F6" s="145"/>
      <c r="G6" s="25"/>
      <c r="H6" s="145" t="s">
        <v>75</v>
      </c>
      <c r="I6" s="145"/>
      <c r="J6" s="145"/>
      <c r="K6" s="25"/>
      <c r="L6" s="145" t="s">
        <v>76</v>
      </c>
      <c r="M6" s="145"/>
      <c r="N6" s="145"/>
      <c r="O6" s="25"/>
      <c r="P6" s="145" t="s">
        <v>85</v>
      </c>
      <c r="Q6" s="145"/>
      <c r="R6" s="145"/>
      <c r="S6" s="25"/>
      <c r="T6" s="146" t="s">
        <v>84</v>
      </c>
      <c r="U6" s="146"/>
      <c r="V6" s="26"/>
      <c r="W6" s="26"/>
      <c r="X6" s="145" t="s">
        <v>83</v>
      </c>
      <c r="Y6" s="145"/>
      <c r="Z6" s="25"/>
      <c r="AA6" s="25"/>
      <c r="AB6" s="145" t="s">
        <v>82</v>
      </c>
      <c r="AC6" s="145"/>
      <c r="AD6" s="25"/>
      <c r="AE6" s="25"/>
      <c r="AF6" s="145" t="s">
        <v>81</v>
      </c>
      <c r="AG6" s="145"/>
      <c r="AH6" s="25"/>
      <c r="AI6" s="25"/>
      <c r="AJ6" s="145" t="s">
        <v>80</v>
      </c>
      <c r="AK6" s="145"/>
      <c r="AL6" s="25"/>
      <c r="AM6" s="25"/>
      <c r="AN6" s="145" t="s">
        <v>79</v>
      </c>
      <c r="AO6" s="145"/>
      <c r="AP6" s="145"/>
      <c r="AQ6" s="25"/>
      <c r="AR6" s="145" t="s">
        <v>78</v>
      </c>
      <c r="AS6" s="145"/>
      <c r="AT6" s="145"/>
      <c r="AU6" s="25"/>
      <c r="AV6" s="145" t="s">
        <v>77</v>
      </c>
      <c r="AW6" s="145"/>
      <c r="AX6" s="145"/>
    </row>
    <row r="7" spans="1:50" ht="16.2" thickBot="1" x14ac:dyDescent="0.35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11" t="s">
        <v>143</v>
      </c>
      <c r="AU7" s="11"/>
      <c r="AV7" s="11" t="s">
        <v>72</v>
      </c>
      <c r="AW7" s="11" t="s">
        <v>73</v>
      </c>
      <c r="AX7" s="38" t="s">
        <v>143</v>
      </c>
    </row>
    <row r="8" spans="1:50" ht="10.199999999999999" customHeight="1" x14ac:dyDescent="0.25">
      <c r="A8" s="14">
        <v>18</v>
      </c>
      <c r="B8" s="102">
        <f>+B9-7</f>
        <v>35555</v>
      </c>
      <c r="C8" s="103">
        <v>35553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>
        <v>-95</v>
      </c>
      <c r="U8" s="13">
        <v>-28</v>
      </c>
      <c r="V8" s="48">
        <f>AVERAGE(T8,U8)</f>
        <v>-61.5</v>
      </c>
      <c r="W8" s="13"/>
      <c r="X8" s="13"/>
      <c r="Y8" s="13"/>
      <c r="Z8" s="13"/>
      <c r="AA8" s="13"/>
      <c r="AB8" s="13"/>
      <c r="AC8" s="13"/>
      <c r="AD8" s="13"/>
      <c r="AE8" s="13"/>
      <c r="AF8" s="15">
        <v>0</v>
      </c>
      <c r="AG8" s="13">
        <v>2</v>
      </c>
      <c r="AH8" s="48">
        <f t="shared" ref="AH8:AH23" si="0">AVERAGE(AF8,AG8)</f>
        <v>1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50" ht="10.199999999999999" customHeight="1" x14ac:dyDescent="0.25">
      <c r="A9" s="14">
        <v>19</v>
      </c>
      <c r="B9" s="102">
        <f>+B10-7</f>
        <v>35562</v>
      </c>
      <c r="C9" s="103">
        <v>35560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48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48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50" ht="10.199999999999999" customHeight="1" x14ac:dyDescent="0.25">
      <c r="A10" s="14">
        <v>20</v>
      </c>
      <c r="B10" s="102">
        <f>+B11-7-1</f>
        <v>35569</v>
      </c>
      <c r="C10" s="103">
        <v>35567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>
        <v>-83</v>
      </c>
      <c r="U10" s="13">
        <v>-20</v>
      </c>
      <c r="V10" s="48">
        <f>AVERAGE(T10,U10)</f>
        <v>-51.5</v>
      </c>
      <c r="W10" s="13"/>
      <c r="X10" s="13">
        <v>-42</v>
      </c>
      <c r="Y10" s="13">
        <v>-19</v>
      </c>
      <c r="Z10" s="48">
        <f>AVERAGE(X10,Y10)</f>
        <v>-30.5</v>
      </c>
      <c r="AA10" s="13"/>
      <c r="AB10" s="13">
        <v>-25</v>
      </c>
      <c r="AC10" s="13">
        <v>-10</v>
      </c>
      <c r="AD10" s="48">
        <f t="shared" ref="AD10:AD19" si="1">AVERAGE(AB10,AC10)</f>
        <v>-17.5</v>
      </c>
      <c r="AE10" s="13"/>
      <c r="AF10" s="13">
        <v>-15</v>
      </c>
      <c r="AG10" s="13">
        <v>14</v>
      </c>
      <c r="AH10" s="48">
        <f t="shared" si="0"/>
        <v>-0.5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50" ht="10.199999999999999" customHeight="1" x14ac:dyDescent="0.25">
      <c r="A11" s="14">
        <v>21</v>
      </c>
      <c r="B11" s="102">
        <f>+B12-7+1</f>
        <v>35577</v>
      </c>
      <c r="C11" s="103">
        <v>35574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97"/>
      <c r="W11" s="13"/>
      <c r="X11" s="13">
        <v>-53</v>
      </c>
      <c r="Y11" s="13">
        <v>-18</v>
      </c>
      <c r="Z11" s="48">
        <f>AVERAGE(X11,Y11)</f>
        <v>-35.5</v>
      </c>
      <c r="AA11" s="13"/>
      <c r="AB11" s="13">
        <v>-43</v>
      </c>
      <c r="AC11" s="13">
        <v>-13</v>
      </c>
      <c r="AD11" s="48">
        <f t="shared" si="1"/>
        <v>-28</v>
      </c>
      <c r="AE11" s="13"/>
      <c r="AF11" s="13">
        <v>-24</v>
      </c>
      <c r="AG11" s="13">
        <v>9</v>
      </c>
      <c r="AH11" s="48">
        <f t="shared" si="0"/>
        <v>-7.5</v>
      </c>
      <c r="AI11" s="13"/>
      <c r="AJ11" s="13">
        <v>10</v>
      </c>
      <c r="AK11" s="13">
        <v>27</v>
      </c>
      <c r="AL11" s="48">
        <f t="shared" ref="AL11:AL28" si="2">AVERAGE(AJ11,AK11)</f>
        <v>18.5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50" ht="10.199999999999999" customHeight="1" x14ac:dyDescent="0.25">
      <c r="A12" s="14">
        <v>22</v>
      </c>
      <c r="B12" s="102">
        <f t="shared" ref="B12:B43" si="3">+B13-7</f>
        <v>35583</v>
      </c>
      <c r="C12" s="103">
        <v>35581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97"/>
      <c r="W12" s="13"/>
      <c r="X12" s="13">
        <v>-112</v>
      </c>
      <c r="Y12" s="13">
        <v>-23</v>
      </c>
      <c r="Z12" s="48">
        <f>AVERAGE(X12,Y12)</f>
        <v>-67.5</v>
      </c>
      <c r="AA12" s="13"/>
      <c r="AB12" s="13">
        <v>-102</v>
      </c>
      <c r="AC12" s="13">
        <v>-18</v>
      </c>
      <c r="AD12" s="48">
        <f t="shared" si="1"/>
        <v>-60</v>
      </c>
      <c r="AE12" s="13"/>
      <c r="AF12" s="13">
        <v>-94</v>
      </c>
      <c r="AG12" s="13">
        <v>3</v>
      </c>
      <c r="AH12" s="48">
        <f t="shared" si="0"/>
        <v>-45.5</v>
      </c>
      <c r="AI12" s="13"/>
      <c r="AJ12" s="13">
        <v>-6</v>
      </c>
      <c r="AK12" s="13">
        <v>23</v>
      </c>
      <c r="AL12" s="48">
        <f t="shared" si="2"/>
        <v>8.5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50" ht="10.199999999999999" customHeight="1" x14ac:dyDescent="0.25">
      <c r="A13" s="14">
        <v>23</v>
      </c>
      <c r="B13" s="102">
        <f t="shared" si="3"/>
        <v>35590</v>
      </c>
      <c r="C13" s="103">
        <v>35588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97"/>
      <c r="W13" s="13"/>
      <c r="X13" s="13">
        <v>-65</v>
      </c>
      <c r="Y13" s="13">
        <v>-21</v>
      </c>
      <c r="Z13" s="48">
        <f>AVERAGE(X13,Y13)</f>
        <v>-43</v>
      </c>
      <c r="AA13" s="13"/>
      <c r="AB13" s="13">
        <v>-86</v>
      </c>
      <c r="AC13" s="13">
        <v>-11</v>
      </c>
      <c r="AD13" s="48">
        <f t="shared" si="1"/>
        <v>-48.5</v>
      </c>
      <c r="AE13" s="13"/>
      <c r="AF13" s="13">
        <v>-66</v>
      </c>
      <c r="AG13" s="13">
        <v>10</v>
      </c>
      <c r="AH13" s="48">
        <f t="shared" si="0"/>
        <v>-28</v>
      </c>
      <c r="AI13" s="13"/>
      <c r="AJ13" s="13">
        <v>-17</v>
      </c>
      <c r="AK13" s="13">
        <v>23</v>
      </c>
      <c r="AL13" s="48">
        <f t="shared" si="2"/>
        <v>3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50" ht="10.199999999999999" customHeight="1" x14ac:dyDescent="0.25">
      <c r="A14" s="14">
        <v>24</v>
      </c>
      <c r="B14" s="102">
        <f t="shared" si="3"/>
        <v>35597</v>
      </c>
      <c r="C14" s="103">
        <v>35595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97"/>
      <c r="W14" s="13"/>
      <c r="X14" s="13"/>
      <c r="Y14" s="13"/>
      <c r="Z14" s="97"/>
      <c r="AA14" s="13"/>
      <c r="AB14" s="13">
        <v>-83</v>
      </c>
      <c r="AC14" s="13">
        <v>-10</v>
      </c>
      <c r="AD14" s="48">
        <f t="shared" si="1"/>
        <v>-46.5</v>
      </c>
      <c r="AE14" s="13"/>
      <c r="AF14" s="13">
        <v>-48</v>
      </c>
      <c r="AG14" s="13">
        <v>24</v>
      </c>
      <c r="AH14" s="48">
        <f t="shared" si="0"/>
        <v>-12</v>
      </c>
      <c r="AI14" s="13"/>
      <c r="AJ14" s="13">
        <v>-10</v>
      </c>
      <c r="AK14" s="13">
        <v>33</v>
      </c>
      <c r="AL14" s="48">
        <f t="shared" si="2"/>
        <v>11.5</v>
      </c>
      <c r="AM14" s="13"/>
      <c r="AN14" s="13">
        <v>43</v>
      </c>
      <c r="AO14" s="13">
        <v>101</v>
      </c>
      <c r="AP14" s="48">
        <f t="shared" ref="AP14:AP32" si="4">AVERAGE(AN14,AO14)</f>
        <v>72</v>
      </c>
      <c r="AQ14" s="13"/>
      <c r="AR14" s="13"/>
      <c r="AS14" s="13"/>
      <c r="AT14" s="13"/>
      <c r="AU14" s="13"/>
      <c r="AV14" s="13"/>
      <c r="AW14" s="13"/>
    </row>
    <row r="15" spans="1:50" ht="10.199999999999999" customHeight="1" x14ac:dyDescent="0.25">
      <c r="A15" s="14">
        <v>25</v>
      </c>
      <c r="B15" s="102">
        <f t="shared" si="3"/>
        <v>35604</v>
      </c>
      <c r="C15" s="103">
        <v>35602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97"/>
      <c r="W15" s="13"/>
      <c r="X15" s="13"/>
      <c r="Y15" s="13"/>
      <c r="Z15" s="97"/>
      <c r="AA15" s="13"/>
      <c r="AB15" s="13">
        <v>-41</v>
      </c>
      <c r="AC15" s="13">
        <v>-14</v>
      </c>
      <c r="AD15" s="48">
        <f t="shared" si="1"/>
        <v>-27.5</v>
      </c>
      <c r="AE15" s="13"/>
      <c r="AF15" s="13">
        <v>-19</v>
      </c>
      <c r="AG15" s="13">
        <v>22</v>
      </c>
      <c r="AH15" s="48">
        <f t="shared" si="0"/>
        <v>1.5</v>
      </c>
      <c r="AI15" s="13"/>
      <c r="AJ15" s="15">
        <v>0</v>
      </c>
      <c r="AK15" s="13">
        <v>30</v>
      </c>
      <c r="AL15" s="48">
        <f t="shared" si="2"/>
        <v>15</v>
      </c>
      <c r="AM15" s="13"/>
      <c r="AN15" s="13">
        <v>77</v>
      </c>
      <c r="AO15" s="13">
        <v>110</v>
      </c>
      <c r="AP15" s="48">
        <f t="shared" si="4"/>
        <v>93.5</v>
      </c>
      <c r="AQ15" s="13"/>
      <c r="AR15" s="13"/>
      <c r="AS15" s="13"/>
      <c r="AT15" s="13"/>
      <c r="AU15" s="13"/>
      <c r="AV15" s="13"/>
      <c r="AW15" s="13"/>
    </row>
    <row r="16" spans="1:50" ht="10.199999999999999" customHeight="1" x14ac:dyDescent="0.25">
      <c r="A16" s="14">
        <v>26</v>
      </c>
      <c r="B16" s="102">
        <f t="shared" si="3"/>
        <v>35611</v>
      </c>
      <c r="C16" s="103">
        <v>35609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97"/>
      <c r="W16" s="13"/>
      <c r="X16" s="13"/>
      <c r="Y16" s="13"/>
      <c r="Z16" s="97"/>
      <c r="AA16" s="13"/>
      <c r="AB16" s="13">
        <v>-34</v>
      </c>
      <c r="AC16" s="15"/>
      <c r="AD16" s="98">
        <f t="shared" si="1"/>
        <v>-34</v>
      </c>
      <c r="AE16" s="15"/>
      <c r="AF16" s="13">
        <v>-2</v>
      </c>
      <c r="AG16" s="13">
        <v>26</v>
      </c>
      <c r="AH16" s="48">
        <f t="shared" si="0"/>
        <v>12</v>
      </c>
      <c r="AI16" s="13"/>
      <c r="AJ16" s="13">
        <v>10</v>
      </c>
      <c r="AK16" s="13">
        <v>38</v>
      </c>
      <c r="AL16" s="48">
        <f t="shared" si="2"/>
        <v>24</v>
      </c>
      <c r="AM16" s="13"/>
      <c r="AN16" s="13">
        <v>96</v>
      </c>
      <c r="AO16" s="13">
        <v>143</v>
      </c>
      <c r="AP16" s="48">
        <f t="shared" si="4"/>
        <v>119.5</v>
      </c>
      <c r="AQ16" s="13"/>
      <c r="AR16" s="13"/>
      <c r="AS16" s="13"/>
      <c r="AT16" s="13"/>
      <c r="AU16" s="13"/>
      <c r="AV16" s="13"/>
      <c r="AW16" s="13"/>
    </row>
    <row r="17" spans="1:50" ht="10.199999999999999" customHeight="1" x14ac:dyDescent="0.25">
      <c r="A17" s="14">
        <v>27</v>
      </c>
      <c r="B17" s="102">
        <f t="shared" si="3"/>
        <v>35618</v>
      </c>
      <c r="C17" s="103">
        <v>35616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97"/>
      <c r="W17" s="13"/>
      <c r="X17" s="13"/>
      <c r="Y17" s="13"/>
      <c r="Z17" s="97"/>
      <c r="AA17" s="13"/>
      <c r="AB17" s="13">
        <v>-44</v>
      </c>
      <c r="AC17" s="13">
        <v>-5</v>
      </c>
      <c r="AD17" s="48">
        <f t="shared" si="1"/>
        <v>-24.5</v>
      </c>
      <c r="AE17" s="13"/>
      <c r="AF17" s="13">
        <v>-6</v>
      </c>
      <c r="AG17" s="13">
        <v>28</v>
      </c>
      <c r="AH17" s="48">
        <f t="shared" si="0"/>
        <v>11</v>
      </c>
      <c r="AI17" s="13"/>
      <c r="AJ17" s="13">
        <v>20</v>
      </c>
      <c r="AK17" s="13">
        <v>45</v>
      </c>
      <c r="AL17" s="48">
        <f t="shared" si="2"/>
        <v>32.5</v>
      </c>
      <c r="AM17" s="13"/>
      <c r="AN17" s="13">
        <v>138</v>
      </c>
      <c r="AO17" s="13">
        <v>137</v>
      </c>
      <c r="AP17" s="48">
        <f t="shared" si="4"/>
        <v>137.5</v>
      </c>
      <c r="AQ17" s="13"/>
      <c r="AR17" s="13"/>
      <c r="AS17" s="13"/>
      <c r="AT17" s="13"/>
      <c r="AU17" s="13"/>
      <c r="AV17" s="13"/>
      <c r="AW17" s="13"/>
    </row>
    <row r="18" spans="1:50" ht="10.199999999999999" customHeight="1" x14ac:dyDescent="0.25">
      <c r="A18" s="14">
        <v>28</v>
      </c>
      <c r="B18" s="102">
        <f t="shared" si="3"/>
        <v>35625</v>
      </c>
      <c r="C18" s="103">
        <v>35623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97"/>
      <c r="W18" s="13"/>
      <c r="X18" s="13"/>
      <c r="Y18" s="13"/>
      <c r="Z18" s="97"/>
      <c r="AA18" s="13"/>
      <c r="AB18" s="13">
        <v>-93</v>
      </c>
      <c r="AC18" s="13">
        <v>3</v>
      </c>
      <c r="AD18" s="48">
        <f t="shared" si="1"/>
        <v>-45</v>
      </c>
      <c r="AE18" s="13"/>
      <c r="AF18" s="13">
        <v>-43</v>
      </c>
      <c r="AG18" s="13">
        <v>19</v>
      </c>
      <c r="AH18" s="48">
        <f t="shared" si="0"/>
        <v>-12</v>
      </c>
      <c r="AI18" s="13"/>
      <c r="AJ18" s="13">
        <v>15</v>
      </c>
      <c r="AK18" s="13">
        <v>40</v>
      </c>
      <c r="AL18" s="48">
        <f t="shared" si="2"/>
        <v>27.5</v>
      </c>
      <c r="AM18" s="13"/>
      <c r="AN18" s="13">
        <v>126</v>
      </c>
      <c r="AO18" s="13">
        <v>171</v>
      </c>
      <c r="AP18" s="48">
        <f t="shared" si="4"/>
        <v>148.5</v>
      </c>
      <c r="AQ18" s="13"/>
      <c r="AR18" s="13"/>
      <c r="AS18" s="13"/>
      <c r="AT18" s="13"/>
      <c r="AU18" s="13"/>
      <c r="AV18" s="13"/>
      <c r="AW18" s="13"/>
    </row>
    <row r="19" spans="1:50" ht="10.199999999999999" customHeight="1" x14ac:dyDescent="0.25">
      <c r="A19" s="14">
        <v>29</v>
      </c>
      <c r="B19" s="102">
        <f t="shared" si="3"/>
        <v>35632</v>
      </c>
      <c r="C19" s="103">
        <v>35630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97"/>
      <c r="W19" s="13"/>
      <c r="X19" s="13"/>
      <c r="Y19" s="13"/>
      <c r="Z19" s="97"/>
      <c r="AA19" s="13"/>
      <c r="AB19" s="13">
        <v>-45</v>
      </c>
      <c r="AC19" s="13">
        <v>37</v>
      </c>
      <c r="AD19" s="48">
        <f t="shared" si="1"/>
        <v>-4</v>
      </c>
      <c r="AE19" s="13"/>
      <c r="AF19" s="13">
        <v>-26</v>
      </c>
      <c r="AG19" s="13">
        <v>31</v>
      </c>
      <c r="AH19" s="48">
        <f t="shared" si="0"/>
        <v>2.5</v>
      </c>
      <c r="AI19" s="13"/>
      <c r="AJ19" s="15"/>
      <c r="AK19" s="13">
        <v>41</v>
      </c>
      <c r="AL19" s="48">
        <f t="shared" si="2"/>
        <v>41</v>
      </c>
      <c r="AM19" s="13"/>
      <c r="AN19" s="13">
        <v>98</v>
      </c>
      <c r="AO19" s="13">
        <v>132</v>
      </c>
      <c r="AP19" s="48">
        <f t="shared" si="4"/>
        <v>115</v>
      </c>
      <c r="AQ19" s="13"/>
      <c r="AR19" s="13"/>
      <c r="AS19" s="13"/>
      <c r="AT19" s="13"/>
      <c r="AU19" s="13"/>
      <c r="AV19" s="13"/>
      <c r="AW19" s="13"/>
    </row>
    <row r="20" spans="1:50" ht="10.199999999999999" customHeight="1" x14ac:dyDescent="0.25">
      <c r="A20" s="14">
        <v>30</v>
      </c>
      <c r="B20" s="102">
        <f t="shared" si="3"/>
        <v>35639</v>
      </c>
      <c r="C20" s="103">
        <v>35637</v>
      </c>
      <c r="D20" s="13">
        <v>122</v>
      </c>
      <c r="E20" s="13">
        <v>143</v>
      </c>
      <c r="F20" s="48">
        <f t="shared" ref="F20:F45" si="5">AVERAGE(D20,E20)</f>
        <v>132.5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97"/>
      <c r="W20" s="13"/>
      <c r="X20" s="13"/>
      <c r="Y20" s="13"/>
      <c r="Z20" s="97"/>
      <c r="AA20" s="13"/>
      <c r="AB20" s="13"/>
      <c r="AC20" s="13"/>
      <c r="AD20" s="97"/>
      <c r="AE20" s="13"/>
      <c r="AF20" s="13">
        <v>17</v>
      </c>
      <c r="AG20" s="13">
        <v>53</v>
      </c>
      <c r="AH20" s="48">
        <f t="shared" si="0"/>
        <v>35</v>
      </c>
      <c r="AI20" s="13"/>
      <c r="AJ20" s="13">
        <v>22</v>
      </c>
      <c r="AK20" s="13">
        <v>56</v>
      </c>
      <c r="AL20" s="48">
        <f t="shared" si="2"/>
        <v>39</v>
      </c>
      <c r="AM20" s="13"/>
      <c r="AN20" s="13">
        <v>122</v>
      </c>
      <c r="AO20" s="13">
        <v>155</v>
      </c>
      <c r="AP20" s="48">
        <f t="shared" si="4"/>
        <v>138.5</v>
      </c>
      <c r="AQ20" s="13"/>
      <c r="AR20" s="13">
        <v>175</v>
      </c>
      <c r="AS20" s="13">
        <v>169</v>
      </c>
      <c r="AT20" s="48">
        <f t="shared" ref="AT20:AT36" si="6">AVERAGE(AR20,AS20)</f>
        <v>172</v>
      </c>
      <c r="AU20" s="13"/>
      <c r="AV20" s="13">
        <v>157</v>
      </c>
      <c r="AW20" s="13">
        <v>166</v>
      </c>
      <c r="AX20" s="48">
        <f t="shared" ref="AX20:AX37" si="7">AVERAGE(AV20,AW20)</f>
        <v>161.5</v>
      </c>
    </row>
    <row r="21" spans="1:50" ht="10.199999999999999" customHeight="1" x14ac:dyDescent="0.25">
      <c r="A21" s="14">
        <v>31</v>
      </c>
      <c r="B21" s="102">
        <f t="shared" si="3"/>
        <v>35646</v>
      </c>
      <c r="C21" s="103">
        <v>35644</v>
      </c>
      <c r="D21" s="13">
        <v>189</v>
      </c>
      <c r="E21" s="13">
        <v>158</v>
      </c>
      <c r="F21" s="48">
        <f t="shared" si="5"/>
        <v>173.5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97"/>
      <c r="W21" s="13"/>
      <c r="X21" s="13"/>
      <c r="Y21" s="13"/>
      <c r="Z21" s="97"/>
      <c r="AA21" s="13"/>
      <c r="AB21" s="13"/>
      <c r="AC21" s="13"/>
      <c r="AD21" s="97"/>
      <c r="AE21" s="13"/>
      <c r="AF21" s="13">
        <v>144</v>
      </c>
      <c r="AG21" s="13">
        <v>125</v>
      </c>
      <c r="AH21" s="48">
        <f t="shared" si="0"/>
        <v>134.5</v>
      </c>
      <c r="AI21" s="13"/>
      <c r="AJ21" s="13">
        <v>104</v>
      </c>
      <c r="AK21" s="13">
        <v>138</v>
      </c>
      <c r="AL21" s="48">
        <f t="shared" si="2"/>
        <v>121</v>
      </c>
      <c r="AM21" s="13"/>
      <c r="AN21" s="13">
        <v>182</v>
      </c>
      <c r="AO21" s="13">
        <v>200</v>
      </c>
      <c r="AP21" s="48">
        <f t="shared" si="4"/>
        <v>191</v>
      </c>
      <c r="AQ21" s="13"/>
      <c r="AR21" s="13">
        <v>208</v>
      </c>
      <c r="AS21" s="13">
        <v>210</v>
      </c>
      <c r="AT21" s="48">
        <f t="shared" si="6"/>
        <v>209</v>
      </c>
      <c r="AU21" s="13"/>
      <c r="AV21" s="13">
        <v>202</v>
      </c>
      <c r="AW21" s="13">
        <v>201</v>
      </c>
      <c r="AX21" s="48">
        <f t="shared" si="7"/>
        <v>201.5</v>
      </c>
    </row>
    <row r="22" spans="1:50" ht="10.199999999999999" customHeight="1" x14ac:dyDescent="0.25">
      <c r="A22" s="14">
        <v>32</v>
      </c>
      <c r="B22" s="102">
        <f t="shared" si="3"/>
        <v>35653</v>
      </c>
      <c r="C22" s="103">
        <v>35651</v>
      </c>
      <c r="D22" s="13">
        <v>182</v>
      </c>
      <c r="E22" s="13">
        <v>208</v>
      </c>
      <c r="F22" s="48">
        <f t="shared" si="5"/>
        <v>195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97"/>
      <c r="W22" s="13"/>
      <c r="X22" s="13"/>
      <c r="Y22" s="13"/>
      <c r="Z22" s="97"/>
      <c r="AA22" s="13"/>
      <c r="AB22" s="13"/>
      <c r="AC22" s="13"/>
      <c r="AD22" s="97"/>
      <c r="AE22" s="13"/>
      <c r="AF22" s="13">
        <v>184</v>
      </c>
      <c r="AG22" s="13">
        <v>148</v>
      </c>
      <c r="AH22" s="48">
        <f t="shared" si="0"/>
        <v>166</v>
      </c>
      <c r="AI22" s="13"/>
      <c r="AJ22" s="13">
        <v>138</v>
      </c>
      <c r="AK22" s="13">
        <v>136</v>
      </c>
      <c r="AL22" s="48">
        <f t="shared" si="2"/>
        <v>137</v>
      </c>
      <c r="AM22" s="13"/>
      <c r="AN22" s="13">
        <v>191</v>
      </c>
      <c r="AO22" s="13">
        <v>184</v>
      </c>
      <c r="AP22" s="48">
        <f t="shared" si="4"/>
        <v>187.5</v>
      </c>
      <c r="AQ22" s="13"/>
      <c r="AR22" s="13">
        <v>205</v>
      </c>
      <c r="AS22" s="13">
        <v>200</v>
      </c>
      <c r="AT22" s="48">
        <f t="shared" si="6"/>
        <v>202.5</v>
      </c>
      <c r="AU22" s="13"/>
      <c r="AV22" s="13">
        <v>184</v>
      </c>
      <c r="AW22" s="13">
        <v>189</v>
      </c>
      <c r="AX22" s="48">
        <f t="shared" si="7"/>
        <v>186.5</v>
      </c>
    </row>
    <row r="23" spans="1:50" ht="10.199999999999999" customHeight="1" x14ac:dyDescent="0.25">
      <c r="A23" s="14">
        <v>33</v>
      </c>
      <c r="B23" s="102">
        <f t="shared" si="3"/>
        <v>35660</v>
      </c>
      <c r="C23" s="103">
        <v>35658</v>
      </c>
      <c r="D23" s="13">
        <v>168</v>
      </c>
      <c r="E23" s="13">
        <v>190</v>
      </c>
      <c r="F23" s="48">
        <f t="shared" si="5"/>
        <v>179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97"/>
      <c r="W23" s="13"/>
      <c r="X23" s="13"/>
      <c r="Y23" s="13"/>
      <c r="Z23" s="97"/>
      <c r="AA23" s="13"/>
      <c r="AB23" s="13"/>
      <c r="AC23" s="13"/>
      <c r="AD23" s="97"/>
      <c r="AE23" s="13"/>
      <c r="AF23" s="13">
        <v>189</v>
      </c>
      <c r="AG23" s="13"/>
      <c r="AH23" s="48">
        <f t="shared" si="0"/>
        <v>189</v>
      </c>
      <c r="AI23" s="13"/>
      <c r="AJ23" s="13">
        <v>138</v>
      </c>
      <c r="AK23" s="13">
        <v>138</v>
      </c>
      <c r="AL23" s="48">
        <f t="shared" si="2"/>
        <v>138</v>
      </c>
      <c r="AM23" s="13"/>
      <c r="AN23" s="13">
        <v>177</v>
      </c>
      <c r="AO23" s="13">
        <v>184</v>
      </c>
      <c r="AP23" s="48">
        <f t="shared" si="4"/>
        <v>180.5</v>
      </c>
      <c r="AQ23" s="13"/>
      <c r="AR23" s="13">
        <v>205</v>
      </c>
      <c r="AS23" s="13">
        <v>208</v>
      </c>
      <c r="AT23" s="48">
        <f t="shared" si="6"/>
        <v>206.5</v>
      </c>
      <c r="AU23" s="13"/>
      <c r="AV23" s="13">
        <v>180</v>
      </c>
      <c r="AW23" s="13">
        <v>184</v>
      </c>
      <c r="AX23" s="48">
        <f t="shared" si="7"/>
        <v>182</v>
      </c>
    </row>
    <row r="24" spans="1:50" ht="10.199999999999999" customHeight="1" x14ac:dyDescent="0.25">
      <c r="A24" s="14">
        <v>34</v>
      </c>
      <c r="B24" s="102">
        <f t="shared" si="3"/>
        <v>35667</v>
      </c>
      <c r="C24" s="103">
        <v>35665</v>
      </c>
      <c r="D24" s="13">
        <v>148</v>
      </c>
      <c r="E24" s="13"/>
      <c r="F24" s="48">
        <f t="shared" si="5"/>
        <v>148</v>
      </c>
      <c r="G24" s="13"/>
      <c r="H24" s="13">
        <v>118</v>
      </c>
      <c r="I24" s="13"/>
      <c r="J24" s="48">
        <f t="shared" ref="J24:J49" si="8">AVERAGE(H24,I24)</f>
        <v>118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97"/>
      <c r="W24" s="13"/>
      <c r="X24" s="13"/>
      <c r="Y24" s="13"/>
      <c r="Z24" s="97"/>
      <c r="AA24" s="13"/>
      <c r="AB24" s="13"/>
      <c r="AC24" s="13"/>
      <c r="AD24" s="97"/>
      <c r="AE24" s="13"/>
      <c r="AF24" s="13"/>
      <c r="AG24" s="13"/>
      <c r="AH24" s="97"/>
      <c r="AI24" s="13"/>
      <c r="AJ24" s="13">
        <v>86</v>
      </c>
      <c r="AK24" s="13">
        <v>107</v>
      </c>
      <c r="AL24" s="48">
        <f t="shared" si="2"/>
        <v>96.5</v>
      </c>
      <c r="AM24" s="13"/>
      <c r="AN24" s="13">
        <v>143</v>
      </c>
      <c r="AO24" s="13">
        <v>175</v>
      </c>
      <c r="AP24" s="48">
        <f t="shared" si="4"/>
        <v>159</v>
      </c>
      <c r="AQ24" s="13"/>
      <c r="AR24" s="13">
        <v>164</v>
      </c>
      <c r="AS24" s="13">
        <v>191</v>
      </c>
      <c r="AT24" s="48">
        <f t="shared" si="6"/>
        <v>177.5</v>
      </c>
      <c r="AU24" s="13"/>
      <c r="AV24" s="13">
        <v>152</v>
      </c>
      <c r="AW24" s="13">
        <v>166</v>
      </c>
      <c r="AX24" s="48">
        <f t="shared" si="7"/>
        <v>159</v>
      </c>
    </row>
    <row r="25" spans="1:50" ht="10.199999999999999" customHeight="1" x14ac:dyDescent="0.25">
      <c r="A25" s="14">
        <v>35</v>
      </c>
      <c r="B25" s="102">
        <f t="shared" si="3"/>
        <v>35674</v>
      </c>
      <c r="C25" s="103">
        <v>35672</v>
      </c>
      <c r="D25" s="13">
        <v>181</v>
      </c>
      <c r="E25" s="13"/>
      <c r="F25" s="48">
        <f t="shared" si="5"/>
        <v>181</v>
      </c>
      <c r="G25" s="13"/>
      <c r="H25" s="13">
        <v>158</v>
      </c>
      <c r="I25" s="13"/>
      <c r="J25" s="48">
        <f t="shared" si="8"/>
        <v>158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97"/>
      <c r="W25" s="13"/>
      <c r="X25" s="13"/>
      <c r="Y25" s="13"/>
      <c r="Z25" s="97"/>
      <c r="AA25" s="13"/>
      <c r="AB25" s="13"/>
      <c r="AC25" s="13"/>
      <c r="AD25" s="97"/>
      <c r="AE25" s="13"/>
      <c r="AF25" s="13"/>
      <c r="AG25" s="13"/>
      <c r="AH25" s="97"/>
      <c r="AI25" s="13"/>
      <c r="AJ25" s="13">
        <v>229</v>
      </c>
      <c r="AK25" s="13">
        <v>230</v>
      </c>
      <c r="AL25" s="48">
        <f t="shared" si="2"/>
        <v>229.5</v>
      </c>
      <c r="AM25" s="13"/>
      <c r="AN25" s="13">
        <v>221</v>
      </c>
      <c r="AO25" s="13">
        <v>254</v>
      </c>
      <c r="AP25" s="48">
        <f t="shared" si="4"/>
        <v>237.5</v>
      </c>
      <c r="AQ25" s="13"/>
      <c r="AR25" s="13">
        <v>218</v>
      </c>
      <c r="AS25" s="13">
        <v>251</v>
      </c>
      <c r="AT25" s="48">
        <f t="shared" si="6"/>
        <v>234.5</v>
      </c>
      <c r="AU25" s="13"/>
      <c r="AV25" s="13">
        <v>193</v>
      </c>
      <c r="AW25" s="13">
        <v>219</v>
      </c>
      <c r="AX25" s="48">
        <f t="shared" si="7"/>
        <v>206</v>
      </c>
    </row>
    <row r="26" spans="1:50" ht="10.199999999999999" customHeight="1" x14ac:dyDescent="0.25">
      <c r="A26" s="14">
        <v>36</v>
      </c>
      <c r="B26" s="102">
        <f t="shared" si="3"/>
        <v>35681</v>
      </c>
      <c r="C26" s="103">
        <v>35679</v>
      </c>
      <c r="D26" s="13">
        <v>181</v>
      </c>
      <c r="E26" s="13">
        <v>223</v>
      </c>
      <c r="F26" s="48">
        <f t="shared" si="5"/>
        <v>202</v>
      </c>
      <c r="G26" s="13"/>
      <c r="H26" s="13">
        <v>154</v>
      </c>
      <c r="I26" s="13">
        <v>200</v>
      </c>
      <c r="J26" s="48">
        <f t="shared" si="8"/>
        <v>177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97"/>
      <c r="W26" s="13"/>
      <c r="X26" s="13"/>
      <c r="Y26" s="13"/>
      <c r="Z26" s="97"/>
      <c r="AA26" s="13"/>
      <c r="AB26" s="13"/>
      <c r="AC26" s="13"/>
      <c r="AD26" s="97"/>
      <c r="AE26" s="13"/>
      <c r="AF26" s="13"/>
      <c r="AG26" s="13"/>
      <c r="AH26" s="97"/>
      <c r="AI26" s="13"/>
      <c r="AJ26" s="13">
        <v>271</v>
      </c>
      <c r="AK26" s="13">
        <v>288</v>
      </c>
      <c r="AL26" s="48">
        <f t="shared" si="2"/>
        <v>279.5</v>
      </c>
      <c r="AM26" s="13"/>
      <c r="AN26" s="13">
        <v>242</v>
      </c>
      <c r="AO26" s="13">
        <v>295</v>
      </c>
      <c r="AP26" s="48">
        <f t="shared" si="4"/>
        <v>268.5</v>
      </c>
      <c r="AQ26" s="13"/>
      <c r="AR26" s="13">
        <v>231</v>
      </c>
      <c r="AS26" s="13">
        <v>284</v>
      </c>
      <c r="AT26" s="48">
        <f t="shared" si="6"/>
        <v>257.5</v>
      </c>
      <c r="AU26" s="13"/>
      <c r="AV26" s="13">
        <v>206</v>
      </c>
      <c r="AW26" s="13">
        <v>240</v>
      </c>
      <c r="AX26" s="48">
        <f t="shared" si="7"/>
        <v>223</v>
      </c>
    </row>
    <row r="27" spans="1:50" ht="10.199999999999999" customHeight="1" x14ac:dyDescent="0.25">
      <c r="A27" s="14">
        <v>37</v>
      </c>
      <c r="B27" s="102">
        <f t="shared" si="3"/>
        <v>35688</v>
      </c>
      <c r="C27" s="103">
        <v>35686</v>
      </c>
      <c r="D27" s="13">
        <v>149</v>
      </c>
      <c r="E27" s="13">
        <v>166</v>
      </c>
      <c r="F27" s="48">
        <f t="shared" si="5"/>
        <v>157.5</v>
      </c>
      <c r="G27" s="13"/>
      <c r="H27" s="13">
        <v>120</v>
      </c>
      <c r="I27" s="13">
        <v>140</v>
      </c>
      <c r="J27" s="48">
        <f t="shared" si="8"/>
        <v>130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97"/>
      <c r="W27" s="13"/>
      <c r="X27" s="13"/>
      <c r="Y27" s="13"/>
      <c r="Z27" s="97"/>
      <c r="AA27" s="13"/>
      <c r="AB27" s="13"/>
      <c r="AC27" s="13"/>
      <c r="AD27" s="97"/>
      <c r="AE27" s="13"/>
      <c r="AF27" s="13"/>
      <c r="AG27" s="13"/>
      <c r="AH27" s="97"/>
      <c r="AI27" s="13"/>
      <c r="AJ27" s="13">
        <v>249</v>
      </c>
      <c r="AK27" s="13">
        <v>242</v>
      </c>
      <c r="AL27" s="48">
        <f t="shared" si="2"/>
        <v>245.5</v>
      </c>
      <c r="AM27" s="13"/>
      <c r="AN27" s="13">
        <v>191</v>
      </c>
      <c r="AO27" s="13">
        <v>249</v>
      </c>
      <c r="AP27" s="48">
        <f t="shared" si="4"/>
        <v>220</v>
      </c>
      <c r="AQ27" s="13"/>
      <c r="AR27" s="13">
        <v>167</v>
      </c>
      <c r="AS27" s="13">
        <v>238</v>
      </c>
      <c r="AT27" s="48">
        <f t="shared" si="6"/>
        <v>202.5</v>
      </c>
      <c r="AU27" s="13"/>
      <c r="AV27" s="13">
        <v>153</v>
      </c>
      <c r="AW27" s="13">
        <v>192</v>
      </c>
      <c r="AX27" s="48">
        <f t="shared" si="7"/>
        <v>172.5</v>
      </c>
    </row>
    <row r="28" spans="1:50" ht="10.199999999999999" customHeight="1" x14ac:dyDescent="0.25">
      <c r="A28" s="14">
        <v>38</v>
      </c>
      <c r="B28" s="102">
        <f t="shared" si="3"/>
        <v>35695</v>
      </c>
      <c r="C28" s="103">
        <v>35693</v>
      </c>
      <c r="D28" s="13">
        <v>131</v>
      </c>
      <c r="E28" s="13">
        <v>155</v>
      </c>
      <c r="F28" s="48">
        <f t="shared" si="5"/>
        <v>143</v>
      </c>
      <c r="G28" s="13"/>
      <c r="H28" s="13">
        <v>97</v>
      </c>
      <c r="I28" s="13">
        <v>137</v>
      </c>
      <c r="J28" s="48">
        <f t="shared" si="8"/>
        <v>117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97"/>
      <c r="W28" s="13"/>
      <c r="X28" s="13"/>
      <c r="Y28" s="13"/>
      <c r="Z28" s="97"/>
      <c r="AA28" s="13"/>
      <c r="AB28" s="13"/>
      <c r="AC28" s="13"/>
      <c r="AD28" s="97"/>
      <c r="AE28" s="13"/>
      <c r="AF28" s="13"/>
      <c r="AG28" s="13"/>
      <c r="AH28" s="97"/>
      <c r="AI28" s="13"/>
      <c r="AJ28" s="13">
        <v>148</v>
      </c>
      <c r="AK28" s="13">
        <v>250</v>
      </c>
      <c r="AL28" s="48">
        <f t="shared" si="2"/>
        <v>199</v>
      </c>
      <c r="AM28" s="13"/>
      <c r="AN28" s="13">
        <v>147</v>
      </c>
      <c r="AO28" s="13">
        <v>257</v>
      </c>
      <c r="AP28" s="48">
        <f t="shared" si="4"/>
        <v>202</v>
      </c>
      <c r="AQ28" s="13"/>
      <c r="AR28" s="13">
        <v>141</v>
      </c>
      <c r="AS28" s="13">
        <v>207</v>
      </c>
      <c r="AT28" s="48">
        <f t="shared" si="6"/>
        <v>174</v>
      </c>
      <c r="AU28" s="13"/>
      <c r="AV28" s="13">
        <v>130</v>
      </c>
      <c r="AW28" s="13">
        <v>173</v>
      </c>
      <c r="AX28" s="48">
        <f t="shared" si="7"/>
        <v>151.5</v>
      </c>
    </row>
    <row r="29" spans="1:50" ht="10.199999999999999" customHeight="1" x14ac:dyDescent="0.25">
      <c r="A29" s="14">
        <v>39</v>
      </c>
      <c r="B29" s="102">
        <f t="shared" si="3"/>
        <v>35702</v>
      </c>
      <c r="C29" s="103">
        <v>35700</v>
      </c>
      <c r="D29" s="13">
        <v>137</v>
      </c>
      <c r="E29" s="13">
        <v>208</v>
      </c>
      <c r="F29" s="48">
        <f t="shared" si="5"/>
        <v>172.5</v>
      </c>
      <c r="G29" s="13"/>
      <c r="H29" s="13">
        <v>114</v>
      </c>
      <c r="I29" s="13">
        <v>173</v>
      </c>
      <c r="J29" s="48">
        <f t="shared" si="8"/>
        <v>143.5</v>
      </c>
      <c r="K29" s="13"/>
      <c r="L29" s="13">
        <v>66</v>
      </c>
      <c r="M29" s="13">
        <v>120</v>
      </c>
      <c r="N29" s="48">
        <f t="shared" ref="N29:N53" si="9">AVERAGE(L29,M29)</f>
        <v>93</v>
      </c>
      <c r="O29" s="13"/>
      <c r="P29" s="13"/>
      <c r="Q29" s="13"/>
      <c r="R29" s="13"/>
      <c r="S29" s="13"/>
      <c r="T29" s="13"/>
      <c r="U29" s="13"/>
      <c r="V29" s="97"/>
      <c r="W29" s="13"/>
      <c r="X29" s="13"/>
      <c r="Y29" s="13"/>
      <c r="Z29" s="97"/>
      <c r="AA29" s="13"/>
      <c r="AB29" s="13"/>
      <c r="AC29" s="13"/>
      <c r="AD29" s="97"/>
      <c r="AE29" s="13"/>
      <c r="AF29" s="13"/>
      <c r="AG29" s="13"/>
      <c r="AH29" s="97"/>
      <c r="AI29" s="13"/>
      <c r="AJ29" s="13"/>
      <c r="AK29" s="13"/>
      <c r="AL29" s="97"/>
      <c r="AM29" s="13"/>
      <c r="AN29" s="13">
        <v>236</v>
      </c>
      <c r="AO29" s="13">
        <v>300</v>
      </c>
      <c r="AP29" s="48">
        <f t="shared" si="4"/>
        <v>268</v>
      </c>
      <c r="AQ29" s="13"/>
      <c r="AR29" s="13">
        <v>174</v>
      </c>
      <c r="AS29" s="13">
        <v>259</v>
      </c>
      <c r="AT29" s="48">
        <f t="shared" si="6"/>
        <v>216.5</v>
      </c>
      <c r="AU29" s="13"/>
      <c r="AV29" s="13">
        <v>142</v>
      </c>
      <c r="AW29" s="13">
        <v>227</v>
      </c>
      <c r="AX29" s="48">
        <f t="shared" si="7"/>
        <v>184.5</v>
      </c>
    </row>
    <row r="30" spans="1:50" ht="10.199999999999999" customHeight="1" x14ac:dyDescent="0.25">
      <c r="A30" s="14">
        <v>40</v>
      </c>
      <c r="B30" s="102">
        <f t="shared" si="3"/>
        <v>35709</v>
      </c>
      <c r="C30" s="103">
        <v>35707</v>
      </c>
      <c r="D30" s="13">
        <v>160</v>
      </c>
      <c r="E30" s="13">
        <v>250</v>
      </c>
      <c r="F30" s="48">
        <f t="shared" si="5"/>
        <v>205</v>
      </c>
      <c r="G30" s="13"/>
      <c r="H30" s="13">
        <v>123</v>
      </c>
      <c r="I30" s="13">
        <v>225</v>
      </c>
      <c r="J30" s="48">
        <f t="shared" si="8"/>
        <v>174</v>
      </c>
      <c r="K30" s="13"/>
      <c r="L30" s="13">
        <v>91</v>
      </c>
      <c r="M30" s="13">
        <v>167</v>
      </c>
      <c r="N30" s="48">
        <f t="shared" si="9"/>
        <v>129</v>
      </c>
      <c r="O30" s="13"/>
      <c r="P30" s="13"/>
      <c r="Q30" s="13"/>
      <c r="R30" s="13"/>
      <c r="S30" s="13"/>
      <c r="T30" s="13"/>
      <c r="U30" s="13"/>
      <c r="V30" s="97"/>
      <c r="W30" s="13"/>
      <c r="X30" s="13"/>
      <c r="Y30" s="13"/>
      <c r="Z30" s="97"/>
      <c r="AA30" s="13"/>
      <c r="AB30" s="13"/>
      <c r="AC30" s="13"/>
      <c r="AD30" s="97"/>
      <c r="AE30" s="13"/>
      <c r="AF30" s="13"/>
      <c r="AG30" s="13"/>
      <c r="AH30" s="97"/>
      <c r="AI30" s="13"/>
      <c r="AJ30" s="13"/>
      <c r="AK30" s="13"/>
      <c r="AL30" s="97"/>
      <c r="AM30" s="13"/>
      <c r="AN30" s="13">
        <v>278</v>
      </c>
      <c r="AO30" s="13">
        <v>350</v>
      </c>
      <c r="AP30" s="48">
        <f t="shared" si="4"/>
        <v>314</v>
      </c>
      <c r="AQ30" s="13"/>
      <c r="AR30" s="13">
        <v>215</v>
      </c>
      <c r="AS30" s="13">
        <v>288</v>
      </c>
      <c r="AT30" s="48">
        <f t="shared" si="6"/>
        <v>251.5</v>
      </c>
      <c r="AU30" s="13"/>
      <c r="AV30" s="13">
        <v>163</v>
      </c>
      <c r="AW30" s="13">
        <v>267</v>
      </c>
      <c r="AX30" s="48">
        <f t="shared" si="7"/>
        <v>215</v>
      </c>
    </row>
    <row r="31" spans="1:50" ht="10.199999999999999" customHeight="1" x14ac:dyDescent="0.25">
      <c r="A31" s="14">
        <v>41</v>
      </c>
      <c r="B31" s="102">
        <f t="shared" si="3"/>
        <v>35716</v>
      </c>
      <c r="C31" s="103">
        <v>35714</v>
      </c>
      <c r="D31" s="13">
        <v>199</v>
      </c>
      <c r="E31" s="13">
        <v>268</v>
      </c>
      <c r="F31" s="48">
        <f t="shared" si="5"/>
        <v>233.5</v>
      </c>
      <c r="G31" s="13"/>
      <c r="H31" s="13">
        <v>155</v>
      </c>
      <c r="I31" s="13">
        <v>223</v>
      </c>
      <c r="J31" s="48">
        <f t="shared" si="8"/>
        <v>189</v>
      </c>
      <c r="K31" s="13"/>
      <c r="L31" s="13">
        <v>78</v>
      </c>
      <c r="M31" s="13">
        <v>163</v>
      </c>
      <c r="N31" s="48">
        <f t="shared" si="9"/>
        <v>120.5</v>
      </c>
      <c r="O31" s="13"/>
      <c r="P31" s="13"/>
      <c r="Q31" s="13"/>
      <c r="R31" s="13"/>
      <c r="S31" s="13"/>
      <c r="T31" s="13"/>
      <c r="U31" s="13"/>
      <c r="V31" s="97"/>
      <c r="W31" s="13"/>
      <c r="X31" s="13"/>
      <c r="Y31" s="13"/>
      <c r="Z31" s="97"/>
      <c r="AA31" s="13"/>
      <c r="AB31" s="13"/>
      <c r="AC31" s="13"/>
      <c r="AD31" s="97"/>
      <c r="AE31" s="13"/>
      <c r="AF31" s="13"/>
      <c r="AG31" s="13"/>
      <c r="AH31" s="97"/>
      <c r="AI31" s="13"/>
      <c r="AJ31" s="13"/>
      <c r="AK31" s="13"/>
      <c r="AL31" s="97"/>
      <c r="AM31" s="13"/>
      <c r="AN31" s="13">
        <v>325</v>
      </c>
      <c r="AO31" s="13"/>
      <c r="AP31" s="48">
        <f t="shared" si="4"/>
        <v>325</v>
      </c>
      <c r="AQ31" s="13"/>
      <c r="AR31" s="13">
        <v>279</v>
      </c>
      <c r="AS31" s="13">
        <v>334</v>
      </c>
      <c r="AT31" s="48">
        <f t="shared" si="6"/>
        <v>306.5</v>
      </c>
      <c r="AU31" s="13"/>
      <c r="AV31" s="13">
        <v>212</v>
      </c>
      <c r="AW31" s="15"/>
      <c r="AX31" s="48">
        <f t="shared" si="7"/>
        <v>212</v>
      </c>
    </row>
    <row r="32" spans="1:50" ht="10.199999999999999" customHeight="1" x14ac:dyDescent="0.25">
      <c r="A32" s="14">
        <v>42</v>
      </c>
      <c r="B32" s="102">
        <f t="shared" si="3"/>
        <v>35723</v>
      </c>
      <c r="C32" s="103">
        <v>35721</v>
      </c>
      <c r="D32" s="13">
        <v>174</v>
      </c>
      <c r="E32" s="13">
        <v>264</v>
      </c>
      <c r="F32" s="48">
        <f t="shared" si="5"/>
        <v>219</v>
      </c>
      <c r="G32" s="13"/>
      <c r="H32" s="13">
        <v>140</v>
      </c>
      <c r="I32" s="13">
        <v>225</v>
      </c>
      <c r="J32" s="48">
        <f t="shared" si="8"/>
        <v>182.5</v>
      </c>
      <c r="K32" s="13"/>
      <c r="L32" s="13">
        <v>100</v>
      </c>
      <c r="M32" s="13">
        <v>152</v>
      </c>
      <c r="N32" s="48">
        <f t="shared" si="9"/>
        <v>126</v>
      </c>
      <c r="O32" s="13"/>
      <c r="P32" s="13"/>
      <c r="Q32" s="13"/>
      <c r="R32" s="13"/>
      <c r="S32" s="13"/>
      <c r="T32" s="13"/>
      <c r="U32" s="13"/>
      <c r="V32" s="97"/>
      <c r="W32" s="13"/>
      <c r="X32" s="13"/>
      <c r="Y32" s="13"/>
      <c r="Z32" s="97"/>
      <c r="AA32" s="13"/>
      <c r="AB32" s="13"/>
      <c r="AC32" s="13"/>
      <c r="AD32" s="97"/>
      <c r="AE32" s="13"/>
      <c r="AF32" s="13"/>
      <c r="AG32" s="13"/>
      <c r="AH32" s="97"/>
      <c r="AI32" s="13"/>
      <c r="AJ32" s="13"/>
      <c r="AK32" s="13"/>
      <c r="AL32" s="97"/>
      <c r="AM32" s="13"/>
      <c r="AN32" s="13">
        <v>241</v>
      </c>
      <c r="AO32" s="13"/>
      <c r="AP32" s="48">
        <f t="shared" si="4"/>
        <v>241</v>
      </c>
      <c r="AQ32" s="13"/>
      <c r="AR32" s="13">
        <v>229</v>
      </c>
      <c r="AS32" s="13">
        <v>280</v>
      </c>
      <c r="AT32" s="48">
        <f t="shared" si="6"/>
        <v>254.5</v>
      </c>
      <c r="AU32" s="13"/>
      <c r="AV32" s="13">
        <v>177</v>
      </c>
      <c r="AW32" s="13">
        <v>273</v>
      </c>
      <c r="AX32" s="48">
        <f t="shared" si="7"/>
        <v>225</v>
      </c>
    </row>
    <row r="33" spans="1:50" ht="10.199999999999999" customHeight="1" x14ac:dyDescent="0.25">
      <c r="A33" s="14">
        <v>43</v>
      </c>
      <c r="B33" s="102">
        <f t="shared" si="3"/>
        <v>35730</v>
      </c>
      <c r="C33" s="103">
        <v>35728</v>
      </c>
      <c r="D33" s="13">
        <v>129</v>
      </c>
      <c r="E33" s="13">
        <v>214</v>
      </c>
      <c r="F33" s="48">
        <f t="shared" si="5"/>
        <v>171.5</v>
      </c>
      <c r="G33" s="13"/>
      <c r="H33" s="13">
        <v>109</v>
      </c>
      <c r="I33" s="13">
        <v>181</v>
      </c>
      <c r="J33" s="48">
        <f t="shared" si="8"/>
        <v>145</v>
      </c>
      <c r="K33" s="13"/>
      <c r="L33" s="13">
        <v>51</v>
      </c>
      <c r="M33" s="13">
        <v>115</v>
      </c>
      <c r="N33" s="48">
        <f t="shared" si="9"/>
        <v>83</v>
      </c>
      <c r="O33" s="13"/>
      <c r="P33" s="13">
        <v>-21</v>
      </c>
      <c r="Q33" s="13">
        <v>35</v>
      </c>
      <c r="R33" s="48">
        <f t="shared" ref="R33:R57" si="10">AVERAGE(P33,Q33)</f>
        <v>7</v>
      </c>
      <c r="S33" s="13"/>
      <c r="T33" s="13"/>
      <c r="U33" s="13"/>
      <c r="V33" s="97"/>
      <c r="W33" s="13"/>
      <c r="X33" s="13"/>
      <c r="Y33" s="13"/>
      <c r="Z33" s="97"/>
      <c r="AA33" s="13"/>
      <c r="AB33" s="13"/>
      <c r="AC33" s="13"/>
      <c r="AD33" s="97"/>
      <c r="AE33" s="13"/>
      <c r="AF33" s="13"/>
      <c r="AG33" s="13"/>
      <c r="AH33" s="97"/>
      <c r="AI33" s="13"/>
      <c r="AJ33" s="13"/>
      <c r="AK33" s="13"/>
      <c r="AL33" s="97"/>
      <c r="AM33" s="13"/>
      <c r="AN33" s="13"/>
      <c r="AO33" s="13"/>
      <c r="AP33" s="97"/>
      <c r="AQ33" s="13"/>
      <c r="AR33" s="13">
        <v>151</v>
      </c>
      <c r="AS33" s="13">
        <v>219</v>
      </c>
      <c r="AT33" s="48">
        <f t="shared" si="6"/>
        <v>185</v>
      </c>
      <c r="AU33" s="13"/>
      <c r="AV33" s="13">
        <v>123</v>
      </c>
      <c r="AW33" s="13">
        <v>198</v>
      </c>
      <c r="AX33" s="48">
        <f t="shared" si="7"/>
        <v>160.5</v>
      </c>
    </row>
    <row r="34" spans="1:50" ht="10.199999999999999" customHeight="1" x14ac:dyDescent="0.25">
      <c r="A34" s="14">
        <v>44</v>
      </c>
      <c r="B34" s="102">
        <f t="shared" si="3"/>
        <v>35737</v>
      </c>
      <c r="C34" s="103">
        <v>35735</v>
      </c>
      <c r="D34" s="13">
        <v>112</v>
      </c>
      <c r="E34" s="13">
        <v>167</v>
      </c>
      <c r="F34" s="48">
        <f t="shared" si="5"/>
        <v>139.5</v>
      </c>
      <c r="G34" s="13"/>
      <c r="H34" s="13">
        <v>81</v>
      </c>
      <c r="I34" s="13">
        <v>143</v>
      </c>
      <c r="J34" s="48">
        <f t="shared" si="8"/>
        <v>112</v>
      </c>
      <c r="K34" s="13"/>
      <c r="L34" s="13">
        <v>56</v>
      </c>
      <c r="M34" s="13">
        <v>108</v>
      </c>
      <c r="N34" s="48">
        <f t="shared" si="9"/>
        <v>82</v>
      </c>
      <c r="O34" s="13"/>
      <c r="P34" s="13">
        <v>-36</v>
      </c>
      <c r="Q34" s="13">
        <v>13</v>
      </c>
      <c r="R34" s="48">
        <f t="shared" si="10"/>
        <v>-11.5</v>
      </c>
      <c r="S34" s="13"/>
      <c r="T34" s="13"/>
      <c r="U34" s="13"/>
      <c r="V34" s="97"/>
      <c r="W34" s="13"/>
      <c r="X34" s="13"/>
      <c r="Y34" s="13"/>
      <c r="Z34" s="97"/>
      <c r="AA34" s="13"/>
      <c r="AB34" s="13"/>
      <c r="AC34" s="13"/>
      <c r="AD34" s="97"/>
      <c r="AE34" s="13"/>
      <c r="AF34" s="13"/>
      <c r="AG34" s="13"/>
      <c r="AH34" s="97"/>
      <c r="AI34" s="13"/>
      <c r="AJ34" s="13"/>
      <c r="AK34" s="13"/>
      <c r="AL34" s="97"/>
      <c r="AM34" s="13"/>
      <c r="AN34" s="13"/>
      <c r="AO34" s="13"/>
      <c r="AP34" s="97"/>
      <c r="AQ34" s="13"/>
      <c r="AR34" s="13">
        <v>115</v>
      </c>
      <c r="AS34" s="13">
        <v>160</v>
      </c>
      <c r="AT34" s="48">
        <f t="shared" si="6"/>
        <v>137.5</v>
      </c>
      <c r="AU34" s="13"/>
      <c r="AV34" s="13">
        <v>92</v>
      </c>
      <c r="AW34" s="13">
        <v>165</v>
      </c>
      <c r="AX34" s="48">
        <f t="shared" si="7"/>
        <v>128.5</v>
      </c>
    </row>
    <row r="35" spans="1:50" ht="10.199999999999999" customHeight="1" x14ac:dyDescent="0.25">
      <c r="A35" s="14">
        <v>45</v>
      </c>
      <c r="B35" s="102">
        <f t="shared" si="3"/>
        <v>35744</v>
      </c>
      <c r="C35" s="103">
        <v>35742</v>
      </c>
      <c r="D35" s="13">
        <v>64</v>
      </c>
      <c r="E35" s="13">
        <v>172</v>
      </c>
      <c r="F35" s="48">
        <f t="shared" si="5"/>
        <v>118</v>
      </c>
      <c r="G35" s="13"/>
      <c r="H35" s="13">
        <v>64</v>
      </c>
      <c r="I35" s="13">
        <v>146</v>
      </c>
      <c r="J35" s="48">
        <f t="shared" si="8"/>
        <v>105</v>
      </c>
      <c r="K35" s="13"/>
      <c r="L35" s="13">
        <v>43</v>
      </c>
      <c r="M35" s="13">
        <v>98</v>
      </c>
      <c r="N35" s="48">
        <f t="shared" si="9"/>
        <v>70.5</v>
      </c>
      <c r="O35" s="13"/>
      <c r="P35" s="13">
        <v>-20</v>
      </c>
      <c r="Q35" s="13">
        <v>19</v>
      </c>
      <c r="R35" s="48">
        <f t="shared" si="10"/>
        <v>-0.5</v>
      </c>
      <c r="S35" s="13"/>
      <c r="T35" s="13"/>
      <c r="U35" s="13"/>
      <c r="V35" s="97"/>
      <c r="W35" s="13"/>
      <c r="X35" s="13"/>
      <c r="Y35" s="13"/>
      <c r="Z35" s="97"/>
      <c r="AA35" s="13"/>
      <c r="AB35" s="13"/>
      <c r="AC35" s="13"/>
      <c r="AD35" s="97"/>
      <c r="AE35" s="13"/>
      <c r="AF35" s="13"/>
      <c r="AG35" s="13"/>
      <c r="AH35" s="97"/>
      <c r="AI35" s="13"/>
      <c r="AJ35" s="13"/>
      <c r="AK35" s="13"/>
      <c r="AL35" s="97"/>
      <c r="AM35" s="13"/>
      <c r="AN35" s="13"/>
      <c r="AO35" s="13"/>
      <c r="AP35" s="97"/>
      <c r="AQ35" s="13"/>
      <c r="AR35" s="13">
        <v>69</v>
      </c>
      <c r="AS35" s="13">
        <v>205</v>
      </c>
      <c r="AT35" s="48">
        <f t="shared" si="6"/>
        <v>137</v>
      </c>
      <c r="AU35" s="13"/>
      <c r="AV35" s="13">
        <v>44</v>
      </c>
      <c r="AW35" s="13">
        <v>162</v>
      </c>
      <c r="AX35" s="48">
        <f t="shared" si="7"/>
        <v>103</v>
      </c>
    </row>
    <row r="36" spans="1:50" ht="10.199999999999999" customHeight="1" x14ac:dyDescent="0.25">
      <c r="A36" s="14">
        <v>46</v>
      </c>
      <c r="B36" s="102">
        <f t="shared" si="3"/>
        <v>35751</v>
      </c>
      <c r="C36" s="103">
        <v>35749</v>
      </c>
      <c r="D36" s="13">
        <v>41</v>
      </c>
      <c r="E36" s="13">
        <v>172</v>
      </c>
      <c r="F36" s="48">
        <f t="shared" si="5"/>
        <v>106.5</v>
      </c>
      <c r="G36" s="13"/>
      <c r="H36" s="13">
        <v>36</v>
      </c>
      <c r="I36" s="13">
        <v>153</v>
      </c>
      <c r="J36" s="48">
        <f t="shared" si="8"/>
        <v>94.5</v>
      </c>
      <c r="K36" s="13"/>
      <c r="L36" s="13">
        <v>28</v>
      </c>
      <c r="M36" s="13">
        <v>90</v>
      </c>
      <c r="N36" s="48">
        <f t="shared" si="9"/>
        <v>59</v>
      </c>
      <c r="O36" s="13"/>
      <c r="P36" s="13">
        <v>-71</v>
      </c>
      <c r="Q36" s="13">
        <v>21</v>
      </c>
      <c r="R36" s="48">
        <f t="shared" si="10"/>
        <v>-25</v>
      </c>
      <c r="S36" s="13"/>
      <c r="T36" s="13"/>
      <c r="U36" s="13"/>
      <c r="V36" s="97"/>
      <c r="W36" s="13"/>
      <c r="X36" s="13"/>
      <c r="Y36" s="13"/>
      <c r="Z36" s="97"/>
      <c r="AA36" s="13"/>
      <c r="AB36" s="13"/>
      <c r="AC36" s="13"/>
      <c r="AD36" s="97"/>
      <c r="AE36" s="13"/>
      <c r="AF36" s="13"/>
      <c r="AG36" s="13"/>
      <c r="AH36" s="97"/>
      <c r="AI36" s="13"/>
      <c r="AJ36" s="13"/>
      <c r="AK36" s="13"/>
      <c r="AL36" s="97"/>
      <c r="AM36" s="13"/>
      <c r="AN36" s="13"/>
      <c r="AO36" s="13"/>
      <c r="AP36" s="97"/>
      <c r="AQ36" s="13"/>
      <c r="AR36" s="13">
        <v>83</v>
      </c>
      <c r="AS36" s="13"/>
      <c r="AT36" s="48">
        <f t="shared" si="6"/>
        <v>83</v>
      </c>
      <c r="AU36" s="13"/>
      <c r="AV36" s="13">
        <v>35</v>
      </c>
      <c r="AW36" s="13">
        <v>175</v>
      </c>
      <c r="AX36" s="48">
        <f t="shared" si="7"/>
        <v>105</v>
      </c>
    </row>
    <row r="37" spans="1:50" ht="10.199999999999999" customHeight="1" x14ac:dyDescent="0.25">
      <c r="A37" s="14">
        <v>47</v>
      </c>
      <c r="B37" s="102">
        <f t="shared" si="3"/>
        <v>35758</v>
      </c>
      <c r="C37" s="103">
        <v>35756</v>
      </c>
      <c r="D37" s="13">
        <v>58</v>
      </c>
      <c r="E37" s="13">
        <v>181</v>
      </c>
      <c r="F37" s="48">
        <f t="shared" si="5"/>
        <v>119.5</v>
      </c>
      <c r="G37" s="13"/>
      <c r="H37" s="13">
        <v>33</v>
      </c>
      <c r="I37" s="13">
        <v>151</v>
      </c>
      <c r="J37" s="48">
        <f t="shared" si="8"/>
        <v>92</v>
      </c>
      <c r="K37" s="13"/>
      <c r="L37" s="13">
        <v>28</v>
      </c>
      <c r="M37" s="13">
        <v>100</v>
      </c>
      <c r="N37" s="48">
        <f t="shared" si="9"/>
        <v>64</v>
      </c>
      <c r="O37" s="13"/>
      <c r="P37" s="13">
        <v>-83</v>
      </c>
      <c r="Q37" s="13">
        <v>21</v>
      </c>
      <c r="R37" s="48">
        <f t="shared" si="10"/>
        <v>-31</v>
      </c>
      <c r="S37" s="13"/>
      <c r="T37" s="13">
        <v>-89</v>
      </c>
      <c r="U37" s="13">
        <v>19</v>
      </c>
      <c r="V37" s="48">
        <f t="shared" ref="V37:V61" si="11">AVERAGE(T37,U37)</f>
        <v>-35</v>
      </c>
      <c r="W37" s="13"/>
      <c r="X37" s="13"/>
      <c r="Y37" s="13"/>
      <c r="Z37" s="97"/>
      <c r="AA37" s="13"/>
      <c r="AB37" s="13"/>
      <c r="AC37" s="13"/>
      <c r="AD37" s="97"/>
      <c r="AE37" s="13"/>
      <c r="AF37" s="13"/>
      <c r="AG37" s="13"/>
      <c r="AH37" s="97"/>
      <c r="AI37" s="13"/>
      <c r="AJ37" s="13"/>
      <c r="AK37" s="13"/>
      <c r="AL37" s="97"/>
      <c r="AM37" s="13"/>
      <c r="AN37" s="13"/>
      <c r="AO37" s="13"/>
      <c r="AP37" s="97"/>
      <c r="AQ37" s="13"/>
      <c r="AR37" s="13"/>
      <c r="AS37" s="13"/>
      <c r="AT37" s="97"/>
      <c r="AU37" s="13"/>
      <c r="AV37" s="13">
        <v>63</v>
      </c>
      <c r="AW37" s="13">
        <v>205</v>
      </c>
      <c r="AX37" s="48">
        <f t="shared" si="7"/>
        <v>134</v>
      </c>
    </row>
    <row r="38" spans="1:50" ht="10.199999999999999" customHeight="1" x14ac:dyDescent="0.25">
      <c r="A38" s="14">
        <v>48</v>
      </c>
      <c r="B38" s="102">
        <f t="shared" si="3"/>
        <v>35765</v>
      </c>
      <c r="C38" s="103">
        <v>35763</v>
      </c>
      <c r="D38" s="13"/>
      <c r="E38" s="13"/>
      <c r="F38" s="48"/>
      <c r="G38" s="13"/>
      <c r="H38" s="13"/>
      <c r="I38" s="13"/>
      <c r="J38" s="48"/>
      <c r="K38" s="13"/>
      <c r="L38" s="13"/>
      <c r="M38" s="13"/>
      <c r="N38" s="48"/>
      <c r="O38" s="13"/>
      <c r="P38" s="13"/>
      <c r="Q38" s="13"/>
      <c r="R38" s="48"/>
      <c r="S38" s="13"/>
      <c r="T38" s="13"/>
      <c r="U38" s="13"/>
      <c r="V38" s="48"/>
      <c r="W38" s="13"/>
      <c r="X38" s="13"/>
      <c r="Y38" s="13"/>
      <c r="Z38" s="97"/>
      <c r="AA38" s="13"/>
      <c r="AB38" s="13"/>
      <c r="AC38" s="13"/>
      <c r="AD38" s="97"/>
      <c r="AE38" s="13"/>
      <c r="AF38" s="13"/>
      <c r="AG38" s="13"/>
      <c r="AH38" s="97"/>
      <c r="AI38" s="13"/>
      <c r="AJ38" s="13"/>
      <c r="AK38" s="13"/>
      <c r="AL38" s="97"/>
      <c r="AM38" s="13"/>
      <c r="AN38" s="13"/>
      <c r="AO38" s="13"/>
      <c r="AP38" s="97"/>
      <c r="AQ38" s="13"/>
      <c r="AR38" s="13"/>
      <c r="AS38" s="13"/>
      <c r="AT38" s="97"/>
      <c r="AU38" s="13"/>
      <c r="AV38" s="13"/>
      <c r="AW38" s="13"/>
      <c r="AX38" s="48"/>
    </row>
    <row r="39" spans="1:50" ht="10.199999999999999" customHeight="1" x14ac:dyDescent="0.25">
      <c r="A39" s="14">
        <v>49</v>
      </c>
      <c r="B39" s="102">
        <f t="shared" si="3"/>
        <v>35772</v>
      </c>
      <c r="C39" s="103">
        <v>35770</v>
      </c>
      <c r="D39" s="13">
        <v>7</v>
      </c>
      <c r="E39" s="13">
        <v>75</v>
      </c>
      <c r="F39" s="48">
        <f t="shared" si="5"/>
        <v>41</v>
      </c>
      <c r="G39" s="13"/>
      <c r="H39" s="13">
        <v>6</v>
      </c>
      <c r="I39" s="13">
        <v>63</v>
      </c>
      <c r="J39" s="48">
        <f t="shared" si="8"/>
        <v>34.5</v>
      </c>
      <c r="K39" s="13"/>
      <c r="L39" s="13">
        <v>4</v>
      </c>
      <c r="M39" s="13">
        <v>46</v>
      </c>
      <c r="N39" s="48">
        <f t="shared" si="9"/>
        <v>25</v>
      </c>
      <c r="O39" s="13"/>
      <c r="P39" s="13">
        <v>-70</v>
      </c>
      <c r="Q39" s="13">
        <v>25</v>
      </c>
      <c r="R39" s="48">
        <f t="shared" si="10"/>
        <v>-22.5</v>
      </c>
      <c r="S39" s="13"/>
      <c r="T39" s="13">
        <v>-51</v>
      </c>
      <c r="U39" s="13">
        <v>27</v>
      </c>
      <c r="V39" s="48">
        <f t="shared" si="11"/>
        <v>-12</v>
      </c>
      <c r="W39" s="13"/>
      <c r="X39" s="13"/>
      <c r="Y39" s="13"/>
      <c r="Z39" s="97"/>
      <c r="AA39" s="13"/>
      <c r="AB39" s="13"/>
      <c r="AC39" s="13"/>
      <c r="AD39" s="97"/>
      <c r="AE39" s="13"/>
      <c r="AF39" s="13"/>
      <c r="AG39" s="13"/>
      <c r="AH39" s="97"/>
      <c r="AI39" s="13"/>
      <c r="AJ39" s="13"/>
      <c r="AK39" s="13"/>
      <c r="AL39" s="97"/>
      <c r="AM39" s="13"/>
      <c r="AN39" s="13"/>
      <c r="AO39" s="13"/>
      <c r="AP39" s="97"/>
      <c r="AQ39" s="13"/>
      <c r="AR39" s="13"/>
      <c r="AS39" s="13"/>
      <c r="AT39" s="97"/>
      <c r="AU39" s="13"/>
      <c r="AV39" s="13">
        <v>17</v>
      </c>
      <c r="AW39" s="13">
        <v>100</v>
      </c>
      <c r="AX39" s="48">
        <f>AVERAGE(AV39,AW39)</f>
        <v>58.5</v>
      </c>
    </row>
    <row r="40" spans="1:50" ht="10.199999999999999" customHeight="1" x14ac:dyDescent="0.25">
      <c r="A40" s="14">
        <v>50</v>
      </c>
      <c r="B40" s="102">
        <f t="shared" si="3"/>
        <v>35779</v>
      </c>
      <c r="C40" s="103">
        <v>35777</v>
      </c>
      <c r="D40" s="13">
        <v>-48</v>
      </c>
      <c r="E40" s="13">
        <v>38</v>
      </c>
      <c r="F40" s="48">
        <f t="shared" si="5"/>
        <v>-5</v>
      </c>
      <c r="G40" s="13"/>
      <c r="H40" s="13">
        <v>-75</v>
      </c>
      <c r="I40" s="13">
        <v>35</v>
      </c>
      <c r="J40" s="48">
        <f t="shared" si="8"/>
        <v>-20</v>
      </c>
      <c r="K40" s="13"/>
      <c r="L40" s="13">
        <v>-75</v>
      </c>
      <c r="M40" s="13">
        <v>19</v>
      </c>
      <c r="N40" s="48">
        <f t="shared" si="9"/>
        <v>-28</v>
      </c>
      <c r="O40" s="13"/>
      <c r="P40" s="13">
        <v>-78</v>
      </c>
      <c r="Q40" s="13">
        <v>10</v>
      </c>
      <c r="R40" s="48">
        <f t="shared" si="10"/>
        <v>-34</v>
      </c>
      <c r="S40" s="13"/>
      <c r="T40" s="13">
        <v>-83</v>
      </c>
      <c r="U40" s="13">
        <v>8</v>
      </c>
      <c r="V40" s="48">
        <f t="shared" si="11"/>
        <v>-37.5</v>
      </c>
      <c r="W40" s="13"/>
      <c r="X40" s="13"/>
      <c r="Y40" s="13"/>
      <c r="Z40" s="97"/>
      <c r="AA40" s="13"/>
      <c r="AB40" s="13"/>
      <c r="AC40" s="13"/>
      <c r="AD40" s="97"/>
      <c r="AE40" s="13"/>
      <c r="AF40" s="13"/>
      <c r="AG40" s="13"/>
      <c r="AH40" s="97"/>
      <c r="AI40" s="13"/>
      <c r="AJ40" s="13"/>
      <c r="AK40" s="13"/>
      <c r="AL40" s="97"/>
      <c r="AM40" s="13"/>
      <c r="AN40" s="13"/>
      <c r="AO40" s="13"/>
      <c r="AP40" s="97"/>
      <c r="AQ40" s="13"/>
      <c r="AR40" s="13"/>
      <c r="AS40" s="13"/>
      <c r="AT40" s="97"/>
      <c r="AU40" s="13"/>
      <c r="AV40" s="13">
        <v>-84</v>
      </c>
      <c r="AW40" s="13"/>
      <c r="AX40" s="48">
        <f>AVERAGE(AV40,AW40)</f>
        <v>-84</v>
      </c>
    </row>
    <row r="41" spans="1:50" ht="10.199999999999999" customHeight="1" x14ac:dyDescent="0.25">
      <c r="A41" s="14">
        <v>51</v>
      </c>
      <c r="B41" s="102">
        <f t="shared" si="3"/>
        <v>35786</v>
      </c>
      <c r="C41" s="103">
        <v>35784</v>
      </c>
      <c r="D41" s="13">
        <v>-167</v>
      </c>
      <c r="E41" s="13">
        <v>-25</v>
      </c>
      <c r="F41" s="48">
        <f t="shared" si="5"/>
        <v>-96</v>
      </c>
      <c r="G41" s="13"/>
      <c r="H41" s="13">
        <v>-155</v>
      </c>
      <c r="I41" s="13">
        <v>-43</v>
      </c>
      <c r="J41" s="48">
        <f t="shared" si="8"/>
        <v>-99</v>
      </c>
      <c r="K41" s="13"/>
      <c r="L41" s="13">
        <v>-154</v>
      </c>
      <c r="M41" s="13">
        <v>-46</v>
      </c>
      <c r="N41" s="48">
        <f t="shared" si="9"/>
        <v>-100</v>
      </c>
      <c r="O41" s="13"/>
      <c r="P41" s="13">
        <v>-124</v>
      </c>
      <c r="Q41" s="13">
        <v>-54</v>
      </c>
      <c r="R41" s="48">
        <f t="shared" si="10"/>
        <v>-89</v>
      </c>
      <c r="S41" s="13"/>
      <c r="T41" s="13">
        <v>-99</v>
      </c>
      <c r="U41" s="13">
        <v>-57</v>
      </c>
      <c r="V41" s="48">
        <f t="shared" si="11"/>
        <v>-78</v>
      </c>
      <c r="W41" s="13"/>
      <c r="X41" s="13">
        <v>-72</v>
      </c>
      <c r="Y41" s="13">
        <v>-39</v>
      </c>
      <c r="Z41" s="48">
        <f t="shared" ref="Z41:Z66" si="12">AVERAGE(X41,Y41)</f>
        <v>-55.5</v>
      </c>
      <c r="AA41" s="13"/>
      <c r="AB41" s="13"/>
      <c r="AC41" s="13"/>
      <c r="AD41" s="97"/>
      <c r="AE41" s="13"/>
      <c r="AF41" s="13"/>
      <c r="AG41" s="13"/>
      <c r="AH41" s="97"/>
      <c r="AI41" s="13"/>
      <c r="AJ41" s="13"/>
      <c r="AK41" s="13"/>
      <c r="AL41" s="97"/>
      <c r="AM41" s="13"/>
      <c r="AN41" s="13"/>
      <c r="AO41" s="13"/>
      <c r="AP41" s="97"/>
      <c r="AQ41" s="13"/>
      <c r="AR41" s="13"/>
      <c r="AS41" s="13"/>
      <c r="AT41" s="97"/>
      <c r="AU41" s="13"/>
      <c r="AV41" s="13"/>
      <c r="AW41" s="13"/>
      <c r="AX41" s="49"/>
    </row>
    <row r="42" spans="1:50" ht="10.199999999999999" customHeight="1" x14ac:dyDescent="0.25">
      <c r="A42" s="14">
        <v>52</v>
      </c>
      <c r="B42" s="102">
        <f t="shared" si="3"/>
        <v>35793</v>
      </c>
      <c r="C42" s="103">
        <v>35791</v>
      </c>
      <c r="D42" s="13"/>
      <c r="E42" s="13"/>
      <c r="F42" s="48"/>
      <c r="G42" s="13"/>
      <c r="H42" s="13"/>
      <c r="I42" s="13"/>
      <c r="J42" s="48"/>
      <c r="K42" s="13"/>
      <c r="L42" s="13"/>
      <c r="M42" s="13"/>
      <c r="N42" s="48"/>
      <c r="O42" s="13"/>
      <c r="P42" s="13"/>
      <c r="Q42" s="13"/>
      <c r="R42" s="48"/>
      <c r="S42" s="13"/>
      <c r="T42" s="13"/>
      <c r="U42" s="13"/>
      <c r="V42" s="48"/>
      <c r="W42" s="13"/>
      <c r="X42" s="13"/>
      <c r="Y42" s="13"/>
      <c r="Z42" s="48"/>
      <c r="AA42" s="13"/>
      <c r="AB42" s="13"/>
      <c r="AC42" s="13"/>
      <c r="AD42" s="97"/>
      <c r="AE42" s="13"/>
      <c r="AF42" s="13"/>
      <c r="AG42" s="13"/>
      <c r="AH42" s="97"/>
      <c r="AI42" s="13"/>
      <c r="AJ42" s="13"/>
      <c r="AK42" s="13"/>
      <c r="AL42" s="97"/>
      <c r="AM42" s="13"/>
      <c r="AN42" s="13"/>
      <c r="AO42" s="13"/>
      <c r="AP42" s="97"/>
      <c r="AQ42" s="13"/>
      <c r="AR42" s="13"/>
      <c r="AS42" s="13"/>
      <c r="AT42" s="97"/>
      <c r="AU42" s="13"/>
      <c r="AV42" s="13"/>
      <c r="AW42" s="13"/>
      <c r="AX42" s="49"/>
    </row>
    <row r="43" spans="1:50" ht="9.75" customHeight="1" x14ac:dyDescent="0.25">
      <c r="A43" s="14">
        <v>1</v>
      </c>
      <c r="B43" s="102">
        <f t="shared" si="3"/>
        <v>35800</v>
      </c>
      <c r="C43" s="103">
        <v>35798</v>
      </c>
      <c r="D43" s="15">
        <v>-203</v>
      </c>
      <c r="E43" s="15"/>
      <c r="F43" s="98">
        <f t="shared" si="5"/>
        <v>-203</v>
      </c>
      <c r="G43" s="15"/>
      <c r="H43" s="15">
        <v>-160</v>
      </c>
      <c r="I43" s="15">
        <v>-17</v>
      </c>
      <c r="J43" s="98">
        <f t="shared" si="8"/>
        <v>-88.5</v>
      </c>
      <c r="K43" s="15"/>
      <c r="L43" s="15">
        <v>-175</v>
      </c>
      <c r="M43" s="15">
        <v>-25</v>
      </c>
      <c r="N43" s="98">
        <f t="shared" si="9"/>
        <v>-100</v>
      </c>
      <c r="O43" s="15"/>
      <c r="P43" s="15">
        <v>-77</v>
      </c>
      <c r="Q43" s="15">
        <v>-29</v>
      </c>
      <c r="R43" s="98">
        <f t="shared" si="10"/>
        <v>-53</v>
      </c>
      <c r="S43" s="15"/>
      <c r="T43" s="15">
        <v>-89</v>
      </c>
      <c r="U43" s="15">
        <v>-29</v>
      </c>
      <c r="V43" s="98">
        <f t="shared" si="11"/>
        <v>-59</v>
      </c>
      <c r="W43" s="15"/>
      <c r="X43" s="15">
        <v>-70</v>
      </c>
      <c r="Y43" s="15">
        <v>-21</v>
      </c>
      <c r="Z43" s="98">
        <f t="shared" si="12"/>
        <v>-45.5</v>
      </c>
      <c r="AA43" s="13"/>
      <c r="AB43" s="13"/>
      <c r="AC43" s="13"/>
      <c r="AD43" s="97"/>
      <c r="AE43" s="13"/>
      <c r="AF43" s="13"/>
      <c r="AG43" s="13"/>
      <c r="AH43" s="97"/>
      <c r="AI43" s="13"/>
      <c r="AJ43" s="13"/>
      <c r="AK43" s="13"/>
      <c r="AL43" s="97"/>
      <c r="AM43" s="13"/>
      <c r="AN43" s="13"/>
      <c r="AO43" s="13"/>
      <c r="AP43" s="97"/>
      <c r="AQ43" s="13"/>
      <c r="AR43" s="13"/>
      <c r="AS43" s="13"/>
      <c r="AT43" s="97"/>
      <c r="AU43" s="13"/>
      <c r="AV43" s="13"/>
      <c r="AW43" s="13"/>
      <c r="AX43" s="49"/>
    </row>
    <row r="44" spans="1:50" ht="10.199999999999999" customHeight="1" x14ac:dyDescent="0.25">
      <c r="A44" s="14">
        <v>2</v>
      </c>
      <c r="B44" s="102">
        <f t="shared" ref="B44:B75" si="13">+B45-7</f>
        <v>35807</v>
      </c>
      <c r="C44" s="103">
        <v>35805</v>
      </c>
      <c r="D44" s="15">
        <v>-269</v>
      </c>
      <c r="E44" s="15">
        <v>-75</v>
      </c>
      <c r="F44" s="98">
        <f t="shared" si="5"/>
        <v>-172</v>
      </c>
      <c r="G44" s="15"/>
      <c r="H44" s="15">
        <v>-210</v>
      </c>
      <c r="I44" s="15">
        <v>-61</v>
      </c>
      <c r="J44" s="98">
        <f t="shared" si="8"/>
        <v>-135.5</v>
      </c>
      <c r="K44" s="15"/>
      <c r="L44" s="15">
        <v>-184</v>
      </c>
      <c r="M44" s="15">
        <v>-61</v>
      </c>
      <c r="N44" s="98">
        <f t="shared" si="9"/>
        <v>-122.5</v>
      </c>
      <c r="O44" s="15"/>
      <c r="P44" s="15">
        <v>-114</v>
      </c>
      <c r="Q44" s="15">
        <v>-50</v>
      </c>
      <c r="R44" s="98">
        <f t="shared" si="10"/>
        <v>-82</v>
      </c>
      <c r="S44" s="15"/>
      <c r="T44" s="15">
        <v>-104</v>
      </c>
      <c r="U44" s="15">
        <v>-50</v>
      </c>
      <c r="V44" s="98">
        <f t="shared" si="11"/>
        <v>-77</v>
      </c>
      <c r="W44" s="15"/>
      <c r="X44" s="15">
        <v>-67</v>
      </c>
      <c r="Y44" s="15">
        <v>-18</v>
      </c>
      <c r="Z44" s="98">
        <f t="shared" si="12"/>
        <v>-42.5</v>
      </c>
      <c r="AA44" s="13"/>
      <c r="AB44" s="13"/>
      <c r="AC44" s="13"/>
      <c r="AD44" s="97"/>
      <c r="AE44" s="13"/>
      <c r="AF44" s="13"/>
      <c r="AG44" s="13"/>
      <c r="AH44" s="97"/>
      <c r="AI44" s="13"/>
      <c r="AJ44" s="13"/>
      <c r="AK44" s="13"/>
      <c r="AL44" s="97"/>
      <c r="AM44" s="13"/>
      <c r="AN44" s="13"/>
      <c r="AO44" s="13"/>
      <c r="AP44" s="97"/>
      <c r="AQ44" s="13"/>
      <c r="AR44" s="13"/>
      <c r="AS44" s="13"/>
      <c r="AT44" s="97"/>
      <c r="AU44" s="13"/>
      <c r="AV44" s="13"/>
      <c r="AW44" s="13"/>
      <c r="AX44" s="49"/>
    </row>
    <row r="45" spans="1:50" ht="10.199999999999999" customHeight="1" x14ac:dyDescent="0.25">
      <c r="A45" s="14">
        <f t="shared" ref="A45:A76" si="14">+A44+1</f>
        <v>3</v>
      </c>
      <c r="B45" s="102">
        <f t="shared" si="13"/>
        <v>35814</v>
      </c>
      <c r="C45" s="103">
        <v>35812</v>
      </c>
      <c r="D45" s="15">
        <v>-280</v>
      </c>
      <c r="E45" s="15">
        <v>-83</v>
      </c>
      <c r="F45" s="98">
        <f t="shared" si="5"/>
        <v>-181.5</v>
      </c>
      <c r="G45" s="15"/>
      <c r="H45" s="15">
        <v>-235</v>
      </c>
      <c r="I45" s="15">
        <v>-96</v>
      </c>
      <c r="J45" s="98">
        <f t="shared" si="8"/>
        <v>-165.5</v>
      </c>
      <c r="K45" s="15"/>
      <c r="L45" s="15">
        <v>-165</v>
      </c>
      <c r="M45" s="15">
        <v>-77</v>
      </c>
      <c r="N45" s="98">
        <f t="shared" si="9"/>
        <v>-121</v>
      </c>
      <c r="O45" s="15"/>
      <c r="P45" s="15">
        <v>-125</v>
      </c>
      <c r="Q45" s="15">
        <v>-61</v>
      </c>
      <c r="R45" s="98">
        <f t="shared" si="10"/>
        <v>-93</v>
      </c>
      <c r="S45" s="15"/>
      <c r="T45" s="15">
        <v>-113</v>
      </c>
      <c r="U45" s="15">
        <v>-61</v>
      </c>
      <c r="V45" s="98">
        <f t="shared" si="11"/>
        <v>-87</v>
      </c>
      <c r="W45" s="15"/>
      <c r="X45" s="15">
        <v>-63</v>
      </c>
      <c r="Y45" s="15">
        <v>-23</v>
      </c>
      <c r="Z45" s="98">
        <f t="shared" si="12"/>
        <v>-43</v>
      </c>
      <c r="AA45" s="13"/>
      <c r="AB45" s="13"/>
      <c r="AC45" s="13"/>
      <c r="AD45" s="97"/>
      <c r="AE45" s="13"/>
      <c r="AF45" s="13"/>
      <c r="AG45" s="13"/>
      <c r="AH45" s="97"/>
      <c r="AI45" s="13"/>
      <c r="AJ45" s="13"/>
      <c r="AK45" s="13"/>
      <c r="AL45" s="97"/>
      <c r="AM45" s="13"/>
      <c r="AN45" s="13"/>
      <c r="AO45" s="13"/>
      <c r="AP45" s="97"/>
      <c r="AQ45" s="13"/>
      <c r="AR45" s="13"/>
      <c r="AS45" s="13"/>
      <c r="AT45" s="97"/>
      <c r="AU45" s="13"/>
      <c r="AV45" s="13"/>
      <c r="AW45" s="13"/>
      <c r="AX45" s="49"/>
    </row>
    <row r="46" spans="1:50" ht="10.199999999999999" customHeight="1" x14ac:dyDescent="0.25">
      <c r="A46" s="14">
        <f t="shared" si="14"/>
        <v>4</v>
      </c>
      <c r="B46" s="102">
        <f t="shared" si="13"/>
        <v>35821</v>
      </c>
      <c r="C46" s="103">
        <v>35819</v>
      </c>
      <c r="D46" s="15"/>
      <c r="E46" s="15"/>
      <c r="F46" s="99"/>
      <c r="G46" s="15"/>
      <c r="H46" s="15">
        <v>-246</v>
      </c>
      <c r="I46" s="15">
        <v>-39</v>
      </c>
      <c r="J46" s="98">
        <f t="shared" si="8"/>
        <v>-142.5</v>
      </c>
      <c r="K46" s="15"/>
      <c r="L46" s="15">
        <v>-168</v>
      </c>
      <c r="M46" s="15">
        <v>-53</v>
      </c>
      <c r="N46" s="98">
        <f t="shared" si="9"/>
        <v>-110.5</v>
      </c>
      <c r="O46" s="15"/>
      <c r="P46" s="15">
        <v>-125</v>
      </c>
      <c r="Q46" s="15">
        <v>-59</v>
      </c>
      <c r="R46" s="98">
        <f t="shared" si="10"/>
        <v>-92</v>
      </c>
      <c r="S46" s="15"/>
      <c r="T46" s="15">
        <v>-125</v>
      </c>
      <c r="U46" s="15">
        <v>-59</v>
      </c>
      <c r="V46" s="98">
        <f t="shared" si="11"/>
        <v>-92</v>
      </c>
      <c r="W46" s="15"/>
      <c r="X46" s="15">
        <v>-81</v>
      </c>
      <c r="Y46" s="15">
        <v>-28</v>
      </c>
      <c r="Z46" s="98">
        <f t="shared" si="12"/>
        <v>-54.5</v>
      </c>
      <c r="AA46" s="13"/>
      <c r="AB46" s="13">
        <v>-29</v>
      </c>
      <c r="AC46" s="13">
        <v>4</v>
      </c>
      <c r="AD46" s="48">
        <f t="shared" ref="AD46:AD70" si="15">AVERAGE(AB46,AC46)</f>
        <v>-12.5</v>
      </c>
      <c r="AE46" s="13"/>
      <c r="AF46" s="13"/>
      <c r="AG46" s="13"/>
      <c r="AH46" s="97"/>
      <c r="AI46" s="13"/>
      <c r="AJ46" s="13"/>
      <c r="AK46" s="13"/>
      <c r="AL46" s="97"/>
      <c r="AM46" s="13"/>
      <c r="AN46" s="13"/>
      <c r="AO46" s="13"/>
      <c r="AP46" s="97"/>
      <c r="AQ46" s="13"/>
      <c r="AR46" s="13"/>
      <c r="AS46" s="13"/>
      <c r="AT46" s="97"/>
      <c r="AU46" s="13"/>
      <c r="AV46" s="13"/>
      <c r="AW46" s="13"/>
      <c r="AX46" s="49"/>
    </row>
    <row r="47" spans="1:50" ht="10.199999999999999" customHeight="1" x14ac:dyDescent="0.25">
      <c r="A47" s="14">
        <f t="shared" si="14"/>
        <v>5</v>
      </c>
      <c r="B47" s="102">
        <f t="shared" si="13"/>
        <v>35828</v>
      </c>
      <c r="C47" s="103">
        <v>35826</v>
      </c>
      <c r="D47" s="15"/>
      <c r="E47" s="15"/>
      <c r="F47" s="99"/>
      <c r="G47" s="15"/>
      <c r="H47" s="15">
        <v>-274</v>
      </c>
      <c r="I47" s="15">
        <v>-63</v>
      </c>
      <c r="J47" s="98">
        <f t="shared" si="8"/>
        <v>-168.5</v>
      </c>
      <c r="K47" s="15"/>
      <c r="L47" s="15">
        <v>-249</v>
      </c>
      <c r="M47" s="15">
        <v>-73</v>
      </c>
      <c r="N47" s="98">
        <f t="shared" si="9"/>
        <v>-161</v>
      </c>
      <c r="O47" s="15"/>
      <c r="P47" s="15">
        <v>-164</v>
      </c>
      <c r="Q47" s="15">
        <v>-78</v>
      </c>
      <c r="R47" s="98">
        <f t="shared" si="10"/>
        <v>-121</v>
      </c>
      <c r="S47" s="15"/>
      <c r="T47" s="15">
        <v>-157</v>
      </c>
      <c r="U47" s="15">
        <v>-78</v>
      </c>
      <c r="V47" s="98">
        <f t="shared" si="11"/>
        <v>-117.5</v>
      </c>
      <c r="W47" s="15"/>
      <c r="X47" s="15">
        <v>-96</v>
      </c>
      <c r="Y47" s="15">
        <v>-63</v>
      </c>
      <c r="Z47" s="98">
        <f t="shared" si="12"/>
        <v>-79.5</v>
      </c>
      <c r="AA47" s="13"/>
      <c r="AB47" s="13">
        <v>-58</v>
      </c>
      <c r="AC47" s="13">
        <v>-19</v>
      </c>
      <c r="AD47" s="48">
        <f t="shared" si="15"/>
        <v>-38.5</v>
      </c>
      <c r="AE47" s="13"/>
      <c r="AF47" s="13"/>
      <c r="AG47" s="13"/>
      <c r="AH47" s="97"/>
      <c r="AI47" s="13"/>
      <c r="AJ47" s="13"/>
      <c r="AK47" s="13"/>
      <c r="AL47" s="97"/>
      <c r="AM47" s="13"/>
      <c r="AN47" s="13"/>
      <c r="AO47" s="13"/>
      <c r="AP47" s="97"/>
      <c r="AQ47" s="13"/>
      <c r="AR47" s="13"/>
      <c r="AS47" s="13"/>
      <c r="AT47" s="97"/>
      <c r="AU47" s="13"/>
      <c r="AV47" s="13"/>
      <c r="AW47" s="13"/>
      <c r="AX47" s="49"/>
    </row>
    <row r="48" spans="1:50" ht="10.199999999999999" customHeight="1" x14ac:dyDescent="0.25">
      <c r="A48" s="14">
        <f t="shared" si="14"/>
        <v>6</v>
      </c>
      <c r="B48" s="102">
        <f t="shared" si="13"/>
        <v>35835</v>
      </c>
      <c r="C48" s="103">
        <v>35833</v>
      </c>
      <c r="D48" s="15"/>
      <c r="E48" s="15"/>
      <c r="F48" s="99"/>
      <c r="G48" s="15"/>
      <c r="H48" s="15">
        <v>-289</v>
      </c>
      <c r="I48" s="15">
        <v>-165</v>
      </c>
      <c r="J48" s="98">
        <f t="shared" si="8"/>
        <v>-227</v>
      </c>
      <c r="K48" s="15"/>
      <c r="L48" s="15">
        <v>-272</v>
      </c>
      <c r="M48" s="15">
        <v>-144</v>
      </c>
      <c r="N48" s="98">
        <f t="shared" si="9"/>
        <v>-208</v>
      </c>
      <c r="O48" s="15"/>
      <c r="P48" s="15">
        <v>-219</v>
      </c>
      <c r="Q48" s="15">
        <v>-113</v>
      </c>
      <c r="R48" s="98">
        <f t="shared" si="10"/>
        <v>-166</v>
      </c>
      <c r="S48" s="15"/>
      <c r="T48" s="15">
        <v>-198</v>
      </c>
      <c r="U48" s="15">
        <v>-121</v>
      </c>
      <c r="V48" s="98">
        <f t="shared" si="11"/>
        <v>-159.5</v>
      </c>
      <c r="W48" s="15"/>
      <c r="X48" s="15">
        <v>-131</v>
      </c>
      <c r="Y48" s="15">
        <v>-75</v>
      </c>
      <c r="Z48" s="98">
        <f t="shared" si="12"/>
        <v>-103</v>
      </c>
      <c r="AA48" s="13"/>
      <c r="AB48" s="13">
        <v>-73</v>
      </c>
      <c r="AC48" s="13">
        <v>-33</v>
      </c>
      <c r="AD48" s="48">
        <f t="shared" si="15"/>
        <v>-53</v>
      </c>
      <c r="AE48" s="13"/>
      <c r="AF48" s="13"/>
      <c r="AG48" s="13"/>
      <c r="AH48" s="97"/>
      <c r="AI48" s="13"/>
      <c r="AJ48" s="13"/>
      <c r="AK48" s="13"/>
      <c r="AL48" s="97"/>
      <c r="AM48" s="13"/>
      <c r="AN48" s="13"/>
      <c r="AO48" s="13"/>
      <c r="AP48" s="97"/>
      <c r="AQ48" s="13"/>
      <c r="AR48" s="13"/>
      <c r="AS48" s="13"/>
      <c r="AT48" s="97"/>
      <c r="AU48" s="13"/>
      <c r="AV48" s="13"/>
      <c r="AW48" s="13"/>
      <c r="AX48" s="49"/>
    </row>
    <row r="49" spans="1:50" ht="10.199999999999999" customHeight="1" x14ac:dyDescent="0.25">
      <c r="A49" s="14">
        <f t="shared" si="14"/>
        <v>7</v>
      </c>
      <c r="B49" s="102">
        <f t="shared" si="13"/>
        <v>35842</v>
      </c>
      <c r="C49" s="103">
        <v>35840</v>
      </c>
      <c r="D49" s="15"/>
      <c r="E49" s="15"/>
      <c r="F49" s="99"/>
      <c r="G49" s="15"/>
      <c r="H49" s="15">
        <v>-285</v>
      </c>
      <c r="I49" s="15">
        <v>-150</v>
      </c>
      <c r="J49" s="98">
        <f t="shared" si="8"/>
        <v>-217.5</v>
      </c>
      <c r="K49" s="15"/>
      <c r="L49" s="15">
        <v>-266</v>
      </c>
      <c r="M49" s="15">
        <v>-118</v>
      </c>
      <c r="N49" s="98">
        <f t="shared" si="9"/>
        <v>-192</v>
      </c>
      <c r="O49" s="15"/>
      <c r="P49" s="15">
        <v>-221</v>
      </c>
      <c r="Q49" s="15">
        <v>-104</v>
      </c>
      <c r="R49" s="98">
        <f t="shared" si="10"/>
        <v>-162.5</v>
      </c>
      <c r="S49" s="15"/>
      <c r="T49" s="15">
        <v>-205</v>
      </c>
      <c r="U49" s="15">
        <v>-100</v>
      </c>
      <c r="V49" s="98">
        <f t="shared" si="11"/>
        <v>-152.5</v>
      </c>
      <c r="W49" s="15"/>
      <c r="X49" s="15">
        <v>-130</v>
      </c>
      <c r="Y49" s="15">
        <v>-84</v>
      </c>
      <c r="Z49" s="98">
        <f t="shared" si="12"/>
        <v>-107</v>
      </c>
      <c r="AA49" s="13"/>
      <c r="AB49" s="13">
        <v>-91</v>
      </c>
      <c r="AC49" s="13">
        <v>-57</v>
      </c>
      <c r="AD49" s="48">
        <f t="shared" si="15"/>
        <v>-74</v>
      </c>
      <c r="AE49" s="13"/>
      <c r="AF49" s="13"/>
      <c r="AG49" s="13"/>
      <c r="AH49" s="97"/>
      <c r="AI49" s="13"/>
      <c r="AJ49" s="13"/>
      <c r="AK49" s="13"/>
      <c r="AL49" s="97"/>
      <c r="AM49" s="13"/>
      <c r="AN49" s="13"/>
      <c r="AO49" s="13"/>
      <c r="AP49" s="97"/>
      <c r="AQ49" s="13"/>
      <c r="AR49" s="13"/>
      <c r="AS49" s="13"/>
      <c r="AT49" s="97"/>
      <c r="AU49" s="13"/>
      <c r="AV49" s="13"/>
      <c r="AW49" s="13"/>
      <c r="AX49" s="49"/>
    </row>
    <row r="50" spans="1:50" ht="10.199999999999999" customHeight="1" x14ac:dyDescent="0.25">
      <c r="A50" s="14">
        <f t="shared" si="14"/>
        <v>8</v>
      </c>
      <c r="B50" s="102">
        <f t="shared" si="13"/>
        <v>35849</v>
      </c>
      <c r="C50" s="103">
        <v>35847</v>
      </c>
      <c r="D50" s="15"/>
      <c r="E50" s="15"/>
      <c r="F50" s="99"/>
      <c r="G50" s="15"/>
      <c r="H50" s="15"/>
      <c r="I50" s="15"/>
      <c r="J50" s="99"/>
      <c r="K50" s="15"/>
      <c r="L50" s="15">
        <v>-278</v>
      </c>
      <c r="M50" s="15">
        <v>-139</v>
      </c>
      <c r="N50" s="98">
        <f t="shared" si="9"/>
        <v>-208.5</v>
      </c>
      <c r="O50" s="15"/>
      <c r="P50" s="15">
        <v>-231</v>
      </c>
      <c r="Q50" s="15">
        <v>-121</v>
      </c>
      <c r="R50" s="98">
        <f t="shared" si="10"/>
        <v>-176</v>
      </c>
      <c r="S50" s="15"/>
      <c r="T50" s="15">
        <v>-210</v>
      </c>
      <c r="U50" s="15">
        <v>-121</v>
      </c>
      <c r="V50" s="98">
        <f t="shared" si="11"/>
        <v>-165.5</v>
      </c>
      <c r="W50" s="15"/>
      <c r="X50" s="15">
        <v>-133</v>
      </c>
      <c r="Y50" s="15">
        <v>-80</v>
      </c>
      <c r="Z50" s="98">
        <f t="shared" si="12"/>
        <v>-106.5</v>
      </c>
      <c r="AA50" s="13"/>
      <c r="AB50" s="13">
        <v>-75</v>
      </c>
      <c r="AC50" s="13">
        <v>-54</v>
      </c>
      <c r="AD50" s="48">
        <f t="shared" si="15"/>
        <v>-64.5</v>
      </c>
      <c r="AE50" s="13"/>
      <c r="AF50" s="13">
        <v>-4</v>
      </c>
      <c r="AG50" s="13">
        <v>13</v>
      </c>
      <c r="AH50" s="48">
        <f t="shared" ref="AH50:AH75" si="16">AVERAGE(AF50,AG50)</f>
        <v>4.5</v>
      </c>
      <c r="AI50" s="13"/>
      <c r="AJ50" s="13"/>
      <c r="AK50" s="13"/>
      <c r="AL50" s="97"/>
      <c r="AM50" s="13"/>
      <c r="AN50" s="13"/>
      <c r="AO50" s="13"/>
      <c r="AP50" s="97"/>
      <c r="AQ50" s="13"/>
      <c r="AR50" s="13"/>
      <c r="AS50" s="13"/>
      <c r="AT50" s="97"/>
      <c r="AU50" s="13"/>
      <c r="AV50" s="13"/>
      <c r="AW50" s="13"/>
      <c r="AX50" s="49"/>
    </row>
    <row r="51" spans="1:50" ht="10.199999999999999" customHeight="1" x14ac:dyDescent="0.25">
      <c r="A51" s="14">
        <f t="shared" si="14"/>
        <v>9</v>
      </c>
      <c r="B51" s="102">
        <f t="shared" si="13"/>
        <v>35856</v>
      </c>
      <c r="C51" s="103">
        <v>35854</v>
      </c>
      <c r="D51" s="15"/>
      <c r="E51" s="15"/>
      <c r="F51" s="99"/>
      <c r="G51" s="15"/>
      <c r="H51" s="15"/>
      <c r="I51" s="15"/>
      <c r="J51" s="99"/>
      <c r="K51" s="15"/>
      <c r="L51" s="15">
        <v>-278</v>
      </c>
      <c r="M51" s="15">
        <v>-148</v>
      </c>
      <c r="N51" s="98">
        <f t="shared" si="9"/>
        <v>-213</v>
      </c>
      <c r="O51" s="15"/>
      <c r="P51" s="15">
        <v>-251</v>
      </c>
      <c r="Q51" s="15">
        <v>-128</v>
      </c>
      <c r="R51" s="98">
        <f t="shared" si="10"/>
        <v>-189.5</v>
      </c>
      <c r="S51" s="15"/>
      <c r="T51" s="15">
        <v>-225</v>
      </c>
      <c r="U51" s="15">
        <v>-128</v>
      </c>
      <c r="V51" s="98">
        <f t="shared" si="11"/>
        <v>-176.5</v>
      </c>
      <c r="W51" s="15"/>
      <c r="X51" s="15">
        <v>-148</v>
      </c>
      <c r="Y51" s="15">
        <v>-83</v>
      </c>
      <c r="Z51" s="98">
        <f t="shared" si="12"/>
        <v>-115.5</v>
      </c>
      <c r="AA51" s="13"/>
      <c r="AB51" s="13">
        <v>-73</v>
      </c>
      <c r="AC51" s="13">
        <v>-45</v>
      </c>
      <c r="AD51" s="48">
        <f t="shared" si="15"/>
        <v>-59</v>
      </c>
      <c r="AE51" s="13"/>
      <c r="AF51" s="13">
        <v>3</v>
      </c>
      <c r="AG51" s="13">
        <v>4</v>
      </c>
      <c r="AH51" s="48">
        <f t="shared" si="16"/>
        <v>3.5</v>
      </c>
      <c r="AI51" s="13"/>
      <c r="AJ51" s="13"/>
      <c r="AK51" s="13"/>
      <c r="AL51" s="97"/>
      <c r="AM51" s="13"/>
      <c r="AN51" s="13"/>
      <c r="AO51" s="13"/>
      <c r="AP51" s="97"/>
      <c r="AQ51" s="13"/>
      <c r="AR51" s="13"/>
      <c r="AS51" s="13"/>
      <c r="AT51" s="97"/>
      <c r="AU51" s="13"/>
      <c r="AV51" s="13"/>
      <c r="AW51" s="13"/>
      <c r="AX51" s="49"/>
    </row>
    <row r="52" spans="1:50" ht="10.199999999999999" customHeight="1" x14ac:dyDescent="0.25">
      <c r="A52" s="14">
        <f t="shared" si="14"/>
        <v>10</v>
      </c>
      <c r="B52" s="102">
        <f t="shared" si="13"/>
        <v>35863</v>
      </c>
      <c r="C52" s="103">
        <v>35861</v>
      </c>
      <c r="D52" s="15"/>
      <c r="E52" s="15"/>
      <c r="F52" s="99"/>
      <c r="G52" s="15"/>
      <c r="H52" s="15"/>
      <c r="I52" s="15"/>
      <c r="J52" s="99"/>
      <c r="K52" s="15"/>
      <c r="L52" s="15">
        <v>-217</v>
      </c>
      <c r="M52" s="15">
        <v>-75</v>
      </c>
      <c r="N52" s="98">
        <f t="shared" si="9"/>
        <v>-146</v>
      </c>
      <c r="O52" s="15"/>
      <c r="P52" s="15">
        <v>-191</v>
      </c>
      <c r="Q52" s="15">
        <v>-79</v>
      </c>
      <c r="R52" s="98">
        <f t="shared" si="10"/>
        <v>-135</v>
      </c>
      <c r="S52" s="15"/>
      <c r="T52" s="15">
        <v>-186</v>
      </c>
      <c r="U52" s="15">
        <v>-77</v>
      </c>
      <c r="V52" s="98">
        <f t="shared" si="11"/>
        <v>-131.5</v>
      </c>
      <c r="W52" s="15"/>
      <c r="X52" s="15">
        <v>-109</v>
      </c>
      <c r="Y52" s="15">
        <v>-50</v>
      </c>
      <c r="Z52" s="98">
        <f t="shared" si="12"/>
        <v>-79.5</v>
      </c>
      <c r="AA52" s="13"/>
      <c r="AB52" s="13">
        <v>-66</v>
      </c>
      <c r="AC52" s="13">
        <v>-11</v>
      </c>
      <c r="AD52" s="48">
        <f t="shared" si="15"/>
        <v>-38.5</v>
      </c>
      <c r="AE52" s="13"/>
      <c r="AF52" s="13">
        <v>23</v>
      </c>
      <c r="AG52" s="13">
        <v>29</v>
      </c>
      <c r="AH52" s="48">
        <f t="shared" si="16"/>
        <v>26</v>
      </c>
      <c r="AI52" s="13"/>
      <c r="AJ52" s="13"/>
      <c r="AK52" s="13"/>
      <c r="AL52" s="97"/>
      <c r="AM52" s="13"/>
      <c r="AN52" s="13"/>
      <c r="AO52" s="13"/>
      <c r="AP52" s="97"/>
      <c r="AQ52" s="13"/>
      <c r="AR52" s="13"/>
      <c r="AS52" s="13"/>
      <c r="AT52" s="97"/>
      <c r="AU52" s="13"/>
      <c r="AV52" s="13"/>
      <c r="AW52" s="13"/>
      <c r="AX52" s="49"/>
    </row>
    <row r="53" spans="1:50" ht="10.199999999999999" customHeight="1" x14ac:dyDescent="0.25">
      <c r="A53" s="14">
        <f t="shared" si="14"/>
        <v>11</v>
      </c>
      <c r="B53" s="102">
        <f t="shared" si="13"/>
        <v>35870</v>
      </c>
      <c r="C53" s="103">
        <v>35868</v>
      </c>
      <c r="D53" s="15"/>
      <c r="E53" s="15"/>
      <c r="F53" s="99"/>
      <c r="G53" s="15"/>
      <c r="H53" s="15"/>
      <c r="I53" s="15"/>
      <c r="J53" s="99"/>
      <c r="K53" s="15"/>
      <c r="L53" s="15">
        <v>-111</v>
      </c>
      <c r="M53" s="15"/>
      <c r="N53" s="98">
        <f t="shared" si="9"/>
        <v>-111</v>
      </c>
      <c r="O53" s="15"/>
      <c r="P53" s="15">
        <v>-96</v>
      </c>
      <c r="Q53" s="15">
        <v>11</v>
      </c>
      <c r="R53" s="98">
        <f t="shared" si="10"/>
        <v>-42.5</v>
      </c>
      <c r="S53" s="15"/>
      <c r="T53" s="15">
        <v>-99</v>
      </c>
      <c r="U53" s="15">
        <v>19</v>
      </c>
      <c r="V53" s="98">
        <f t="shared" si="11"/>
        <v>-40</v>
      </c>
      <c r="W53" s="15"/>
      <c r="X53" s="15">
        <v>-54</v>
      </c>
      <c r="Y53" s="15">
        <v>27</v>
      </c>
      <c r="Z53" s="98">
        <f t="shared" si="12"/>
        <v>-13.5</v>
      </c>
      <c r="AA53" s="15"/>
      <c r="AB53" s="13">
        <v>-29</v>
      </c>
      <c r="AC53" s="13">
        <v>71</v>
      </c>
      <c r="AD53" s="48">
        <f t="shared" si="15"/>
        <v>21</v>
      </c>
      <c r="AE53" s="13"/>
      <c r="AF53" s="13">
        <v>85</v>
      </c>
      <c r="AG53" s="13">
        <v>98</v>
      </c>
      <c r="AH53" s="48">
        <f t="shared" si="16"/>
        <v>91.5</v>
      </c>
      <c r="AI53" s="13"/>
      <c r="AJ53" s="13"/>
      <c r="AK53" s="13"/>
      <c r="AL53" s="97"/>
      <c r="AM53" s="13"/>
      <c r="AN53" s="13"/>
      <c r="AO53" s="13"/>
      <c r="AP53" s="97"/>
      <c r="AQ53" s="13"/>
      <c r="AR53" s="13"/>
      <c r="AS53" s="13"/>
      <c r="AT53" s="97"/>
      <c r="AU53" s="13"/>
      <c r="AV53" s="13"/>
      <c r="AW53" s="13"/>
      <c r="AX53" s="49"/>
    </row>
    <row r="54" spans="1:50" ht="10.199999999999999" customHeight="1" x14ac:dyDescent="0.25">
      <c r="A54" s="14">
        <f t="shared" si="14"/>
        <v>12</v>
      </c>
      <c r="B54" s="102">
        <f t="shared" si="13"/>
        <v>35877</v>
      </c>
      <c r="C54" s="103">
        <v>35875</v>
      </c>
      <c r="D54" s="15"/>
      <c r="E54" s="15"/>
      <c r="F54" s="99"/>
      <c r="G54" s="15"/>
      <c r="H54" s="15"/>
      <c r="I54" s="15"/>
      <c r="J54" s="99"/>
      <c r="K54" s="15"/>
      <c r="L54" s="15"/>
      <c r="M54" s="15"/>
      <c r="N54" s="98"/>
      <c r="O54" s="15"/>
      <c r="P54" s="15">
        <v>-130</v>
      </c>
      <c r="Q54" s="15">
        <v>44</v>
      </c>
      <c r="R54" s="98">
        <f t="shared" si="10"/>
        <v>-43</v>
      </c>
      <c r="S54" s="15"/>
      <c r="T54" s="15">
        <v>-129</v>
      </c>
      <c r="U54" s="15">
        <v>31</v>
      </c>
      <c r="V54" s="98">
        <f t="shared" si="11"/>
        <v>-49</v>
      </c>
      <c r="W54" s="15"/>
      <c r="X54" s="15">
        <v>-81</v>
      </c>
      <c r="Y54" s="15">
        <v>36</v>
      </c>
      <c r="Z54" s="98">
        <f t="shared" si="12"/>
        <v>-22.5</v>
      </c>
      <c r="AA54" s="13"/>
      <c r="AB54" s="15">
        <v>-33</v>
      </c>
      <c r="AC54" s="15">
        <v>69</v>
      </c>
      <c r="AD54" s="98">
        <f t="shared" si="15"/>
        <v>18</v>
      </c>
      <c r="AE54" s="15"/>
      <c r="AF54" s="15">
        <v>79</v>
      </c>
      <c r="AG54" s="15">
        <v>90</v>
      </c>
      <c r="AH54" s="98">
        <f t="shared" si="16"/>
        <v>84.5</v>
      </c>
      <c r="AI54" s="15"/>
      <c r="AJ54" s="15">
        <v>122</v>
      </c>
      <c r="AK54" s="15">
        <v>126</v>
      </c>
      <c r="AL54" s="98">
        <f t="shared" ref="AL54:AL79" si="17">AVERAGE(AJ54,AK54)</f>
        <v>124</v>
      </c>
      <c r="AM54" s="15"/>
      <c r="AN54" s="15"/>
      <c r="AO54" s="15"/>
      <c r="AP54" s="99"/>
      <c r="AQ54" s="15"/>
      <c r="AR54" s="15"/>
      <c r="AS54" s="15"/>
      <c r="AT54" s="99"/>
      <c r="AU54" s="15"/>
      <c r="AV54" s="15"/>
      <c r="AW54" s="15"/>
      <c r="AX54" s="49"/>
    </row>
    <row r="55" spans="1:50" ht="10.199999999999999" customHeight="1" x14ac:dyDescent="0.25">
      <c r="A55" s="14">
        <f t="shared" si="14"/>
        <v>13</v>
      </c>
      <c r="B55" s="102">
        <f t="shared" si="13"/>
        <v>35884</v>
      </c>
      <c r="C55" s="103">
        <v>35882</v>
      </c>
      <c r="D55" s="15"/>
      <c r="E55" s="15"/>
      <c r="F55" s="99"/>
      <c r="G55" s="15"/>
      <c r="H55" s="15"/>
      <c r="I55" s="15"/>
      <c r="J55" s="99"/>
      <c r="K55" s="15"/>
      <c r="L55" s="15"/>
      <c r="M55" s="15"/>
      <c r="N55" s="99"/>
      <c r="O55" s="15"/>
      <c r="P55" s="15">
        <v>-133</v>
      </c>
      <c r="Q55" s="15">
        <v>45</v>
      </c>
      <c r="R55" s="98">
        <f t="shared" si="10"/>
        <v>-44</v>
      </c>
      <c r="S55" s="15"/>
      <c r="T55" s="15">
        <v>-123</v>
      </c>
      <c r="U55" s="15">
        <v>33</v>
      </c>
      <c r="V55" s="98">
        <f t="shared" si="11"/>
        <v>-45</v>
      </c>
      <c r="W55" s="15"/>
      <c r="X55" s="15">
        <v>-60</v>
      </c>
      <c r="Y55" s="15">
        <v>61</v>
      </c>
      <c r="Z55" s="98">
        <f t="shared" si="12"/>
        <v>0.5</v>
      </c>
      <c r="AA55" s="13"/>
      <c r="AB55" s="15">
        <v>-21</v>
      </c>
      <c r="AC55" s="15">
        <v>96</v>
      </c>
      <c r="AD55" s="98">
        <f t="shared" si="15"/>
        <v>37.5</v>
      </c>
      <c r="AE55" s="15"/>
      <c r="AF55" s="15">
        <v>82</v>
      </c>
      <c r="AG55" s="15">
        <v>110</v>
      </c>
      <c r="AH55" s="98">
        <f t="shared" si="16"/>
        <v>96</v>
      </c>
      <c r="AI55" s="15"/>
      <c r="AJ55" s="15">
        <v>139</v>
      </c>
      <c r="AK55" s="15">
        <v>136</v>
      </c>
      <c r="AL55" s="98">
        <f t="shared" si="17"/>
        <v>137.5</v>
      </c>
      <c r="AM55" s="15"/>
      <c r="AN55" s="15"/>
      <c r="AO55" s="15"/>
      <c r="AP55" s="99"/>
      <c r="AQ55" s="15"/>
      <c r="AR55" s="15"/>
      <c r="AS55" s="15"/>
      <c r="AT55" s="99"/>
      <c r="AU55" s="15"/>
      <c r="AV55" s="15"/>
      <c r="AW55" s="15"/>
      <c r="AX55" s="49"/>
    </row>
    <row r="56" spans="1:50" ht="10.199999999999999" customHeight="1" x14ac:dyDescent="0.25">
      <c r="A56" s="14">
        <f t="shared" si="14"/>
        <v>14</v>
      </c>
      <c r="B56" s="102">
        <f t="shared" si="13"/>
        <v>35891</v>
      </c>
      <c r="C56" s="103">
        <v>35889</v>
      </c>
      <c r="D56" s="15"/>
      <c r="E56" s="15"/>
      <c r="F56" s="99"/>
      <c r="G56" s="15"/>
      <c r="H56" s="15"/>
      <c r="I56" s="15"/>
      <c r="J56" s="99"/>
      <c r="K56" s="15"/>
      <c r="L56" s="15"/>
      <c r="M56" s="15"/>
      <c r="N56" s="99"/>
      <c r="O56" s="15"/>
      <c r="P56" s="15">
        <v>-169</v>
      </c>
      <c r="Q56" s="15">
        <v>21</v>
      </c>
      <c r="R56" s="98">
        <f t="shared" si="10"/>
        <v>-74</v>
      </c>
      <c r="S56" s="15"/>
      <c r="T56" s="15">
        <v>-158</v>
      </c>
      <c r="U56" s="15">
        <v>24</v>
      </c>
      <c r="V56" s="98">
        <f t="shared" si="11"/>
        <v>-67</v>
      </c>
      <c r="W56" s="15"/>
      <c r="X56" s="15">
        <v>-79</v>
      </c>
      <c r="Y56" s="15">
        <v>55</v>
      </c>
      <c r="Z56" s="98">
        <f t="shared" si="12"/>
        <v>-12</v>
      </c>
      <c r="AA56" s="13"/>
      <c r="AB56" s="15">
        <v>-40</v>
      </c>
      <c r="AC56" s="15">
        <v>83</v>
      </c>
      <c r="AD56" s="98">
        <f t="shared" si="15"/>
        <v>21.5</v>
      </c>
      <c r="AE56" s="15"/>
      <c r="AF56" s="15">
        <v>54</v>
      </c>
      <c r="AG56" s="15">
        <v>98</v>
      </c>
      <c r="AH56" s="98">
        <f t="shared" si="16"/>
        <v>76</v>
      </c>
      <c r="AI56" s="15"/>
      <c r="AJ56" s="15">
        <v>126</v>
      </c>
      <c r="AK56" s="15">
        <v>142</v>
      </c>
      <c r="AL56" s="98">
        <f t="shared" si="17"/>
        <v>134</v>
      </c>
      <c r="AM56" s="15"/>
      <c r="AN56" s="15"/>
      <c r="AO56" s="15"/>
      <c r="AP56" s="99"/>
      <c r="AQ56" s="15"/>
      <c r="AR56" s="15"/>
      <c r="AS56" s="15"/>
      <c r="AT56" s="99"/>
      <c r="AU56" s="15"/>
      <c r="AV56" s="15"/>
      <c r="AW56" s="15"/>
      <c r="AX56" s="49"/>
    </row>
    <row r="57" spans="1:50" ht="10.199999999999999" customHeight="1" x14ac:dyDescent="0.25">
      <c r="A57" s="14">
        <f t="shared" si="14"/>
        <v>15</v>
      </c>
      <c r="B57" s="102">
        <f t="shared" si="13"/>
        <v>35898</v>
      </c>
      <c r="C57" s="103">
        <v>35896</v>
      </c>
      <c r="D57" s="15"/>
      <c r="E57" s="15"/>
      <c r="F57" s="99"/>
      <c r="G57" s="15"/>
      <c r="H57" s="15"/>
      <c r="I57" s="15"/>
      <c r="J57" s="99"/>
      <c r="K57" s="15"/>
      <c r="L57" s="15"/>
      <c r="M57" s="15"/>
      <c r="N57" s="99"/>
      <c r="O57" s="15"/>
      <c r="P57" s="15">
        <v>-259</v>
      </c>
      <c r="Q57" s="15">
        <v>50</v>
      </c>
      <c r="R57" s="98">
        <f t="shared" si="10"/>
        <v>-104.5</v>
      </c>
      <c r="S57" s="15"/>
      <c r="T57" s="15">
        <v>-226</v>
      </c>
      <c r="U57" s="15">
        <v>7</v>
      </c>
      <c r="V57" s="98">
        <f t="shared" si="11"/>
        <v>-109.5</v>
      </c>
      <c r="W57" s="15"/>
      <c r="X57" s="15">
        <v>-135</v>
      </c>
      <c r="Y57" s="15">
        <v>50</v>
      </c>
      <c r="Z57" s="98">
        <f t="shared" si="12"/>
        <v>-42.5</v>
      </c>
      <c r="AA57" s="13"/>
      <c r="AB57" s="15">
        <v>-56</v>
      </c>
      <c r="AC57" s="15">
        <v>74</v>
      </c>
      <c r="AD57" s="98">
        <f t="shared" si="15"/>
        <v>9</v>
      </c>
      <c r="AE57" s="15"/>
      <c r="AF57" s="15">
        <v>38</v>
      </c>
      <c r="AG57" s="15">
        <v>90</v>
      </c>
      <c r="AH57" s="98">
        <f t="shared" si="16"/>
        <v>64</v>
      </c>
      <c r="AI57" s="15"/>
      <c r="AJ57" s="15">
        <v>99</v>
      </c>
      <c r="AK57" s="15">
        <v>124</v>
      </c>
      <c r="AL57" s="98">
        <f t="shared" si="17"/>
        <v>111.5</v>
      </c>
      <c r="AM57" s="15"/>
      <c r="AN57" s="15"/>
      <c r="AO57" s="15"/>
      <c r="AP57" s="99"/>
      <c r="AQ57" s="15"/>
      <c r="AR57" s="15"/>
      <c r="AS57" s="15"/>
      <c r="AT57" s="99"/>
      <c r="AU57" s="15"/>
      <c r="AV57" s="15"/>
      <c r="AW57" s="15"/>
      <c r="AX57" s="49"/>
    </row>
    <row r="58" spans="1:50" ht="10.199999999999999" customHeight="1" x14ac:dyDescent="0.25">
      <c r="A58" s="14">
        <f t="shared" si="14"/>
        <v>16</v>
      </c>
      <c r="B58" s="102">
        <f t="shared" si="13"/>
        <v>35905</v>
      </c>
      <c r="C58" s="103">
        <v>35903</v>
      </c>
      <c r="D58" s="15"/>
      <c r="E58" s="15"/>
      <c r="F58" s="99"/>
      <c r="G58" s="15"/>
      <c r="H58" s="15"/>
      <c r="I58" s="15"/>
      <c r="J58" s="99"/>
      <c r="K58" s="15"/>
      <c r="L58" s="15"/>
      <c r="M58" s="15"/>
      <c r="N58" s="99"/>
      <c r="O58" s="15"/>
      <c r="P58" s="15"/>
      <c r="Q58" s="15"/>
      <c r="R58" s="99"/>
      <c r="S58" s="15"/>
      <c r="T58" s="15">
        <v>-208</v>
      </c>
      <c r="U58" s="15">
        <v>20</v>
      </c>
      <c r="V58" s="98">
        <f t="shared" si="11"/>
        <v>-94</v>
      </c>
      <c r="W58" s="15"/>
      <c r="X58" s="15">
        <v>-150</v>
      </c>
      <c r="Y58" s="15">
        <v>54</v>
      </c>
      <c r="Z58" s="98">
        <f t="shared" si="12"/>
        <v>-48</v>
      </c>
      <c r="AA58" s="13"/>
      <c r="AB58" s="15">
        <v>-54</v>
      </c>
      <c r="AC58" s="15">
        <v>92</v>
      </c>
      <c r="AD58" s="98">
        <f t="shared" si="15"/>
        <v>19</v>
      </c>
      <c r="AE58" s="15"/>
      <c r="AF58" s="15">
        <v>43</v>
      </c>
      <c r="AG58" s="15">
        <v>105</v>
      </c>
      <c r="AH58" s="98">
        <f t="shared" si="16"/>
        <v>74</v>
      </c>
      <c r="AI58" s="15"/>
      <c r="AJ58" s="15">
        <v>109</v>
      </c>
      <c r="AK58" s="15">
        <v>128</v>
      </c>
      <c r="AL58" s="98">
        <f t="shared" si="17"/>
        <v>118.5</v>
      </c>
      <c r="AM58" s="15"/>
      <c r="AN58" s="15">
        <v>187</v>
      </c>
      <c r="AO58" s="15">
        <v>198</v>
      </c>
      <c r="AP58" s="98">
        <f t="shared" ref="AP58:AP83" si="18">AVERAGE(AN58,AO58)</f>
        <v>192.5</v>
      </c>
      <c r="AQ58" s="15"/>
      <c r="AR58" s="15"/>
      <c r="AS58" s="15"/>
      <c r="AT58" s="99"/>
      <c r="AU58" s="15"/>
      <c r="AV58" s="15"/>
      <c r="AW58" s="15"/>
      <c r="AX58" s="49"/>
    </row>
    <row r="59" spans="1:50" ht="10.199999999999999" customHeight="1" x14ac:dyDescent="0.25">
      <c r="A59" s="14">
        <f t="shared" si="14"/>
        <v>17</v>
      </c>
      <c r="B59" s="102">
        <f t="shared" si="13"/>
        <v>35912</v>
      </c>
      <c r="C59" s="103">
        <v>35910</v>
      </c>
      <c r="D59" s="15"/>
      <c r="E59" s="15"/>
      <c r="F59" s="99"/>
      <c r="G59" s="15"/>
      <c r="H59" s="15"/>
      <c r="I59" s="15"/>
      <c r="J59" s="99"/>
      <c r="K59" s="15"/>
      <c r="L59" s="15"/>
      <c r="M59" s="15"/>
      <c r="N59" s="99"/>
      <c r="O59" s="15"/>
      <c r="P59" s="15"/>
      <c r="Q59" s="15"/>
      <c r="R59" s="99"/>
      <c r="S59" s="15"/>
      <c r="T59" s="15">
        <v>-216</v>
      </c>
      <c r="U59" s="15">
        <v>-16</v>
      </c>
      <c r="V59" s="98">
        <f t="shared" si="11"/>
        <v>-116</v>
      </c>
      <c r="W59" s="15"/>
      <c r="X59" s="15">
        <v>-158</v>
      </c>
      <c r="Y59" s="15">
        <v>37</v>
      </c>
      <c r="Z59" s="98">
        <f t="shared" si="12"/>
        <v>-60.5</v>
      </c>
      <c r="AA59" s="13"/>
      <c r="AB59" s="15">
        <v>-56</v>
      </c>
      <c r="AC59" s="15">
        <v>89</v>
      </c>
      <c r="AD59" s="98">
        <f t="shared" si="15"/>
        <v>16.5</v>
      </c>
      <c r="AE59" s="15"/>
      <c r="AF59" s="15">
        <v>28</v>
      </c>
      <c r="AG59" s="15">
        <v>104</v>
      </c>
      <c r="AH59" s="98">
        <f t="shared" si="16"/>
        <v>66</v>
      </c>
      <c r="AI59" s="15"/>
      <c r="AJ59" s="15">
        <v>101</v>
      </c>
      <c r="AK59" s="15">
        <v>138</v>
      </c>
      <c r="AL59" s="98">
        <f t="shared" si="17"/>
        <v>119.5</v>
      </c>
      <c r="AM59" s="15"/>
      <c r="AN59" s="15">
        <v>187</v>
      </c>
      <c r="AO59" s="15">
        <v>206</v>
      </c>
      <c r="AP59" s="98">
        <f t="shared" si="18"/>
        <v>196.5</v>
      </c>
      <c r="AQ59" s="15"/>
      <c r="AR59" s="15"/>
      <c r="AS59" s="15"/>
      <c r="AT59" s="99"/>
      <c r="AU59" s="15"/>
      <c r="AV59" s="15"/>
      <c r="AW59" s="15"/>
      <c r="AX59" s="49"/>
    </row>
    <row r="60" spans="1:50" ht="10.199999999999999" customHeight="1" x14ac:dyDescent="0.25">
      <c r="A60" s="14">
        <f t="shared" si="14"/>
        <v>18</v>
      </c>
      <c r="B60" s="102">
        <f t="shared" si="13"/>
        <v>35919</v>
      </c>
      <c r="C60" s="103">
        <v>35917</v>
      </c>
      <c r="D60" s="15"/>
      <c r="E60" s="15"/>
      <c r="F60" s="99"/>
      <c r="G60" s="15"/>
      <c r="H60" s="15"/>
      <c r="I60" s="15"/>
      <c r="J60" s="99"/>
      <c r="K60" s="15"/>
      <c r="L60" s="15"/>
      <c r="M60" s="15"/>
      <c r="N60" s="99"/>
      <c r="O60" s="15"/>
      <c r="P60" s="15"/>
      <c r="Q60" s="15"/>
      <c r="R60" s="99"/>
      <c r="S60" s="15"/>
      <c r="T60" s="15">
        <v>-181</v>
      </c>
      <c r="U60" s="15">
        <v>-11</v>
      </c>
      <c r="V60" s="98">
        <f t="shared" si="11"/>
        <v>-96</v>
      </c>
      <c r="W60" s="15"/>
      <c r="X60" s="15">
        <v>-116</v>
      </c>
      <c r="Y60" s="15">
        <v>47</v>
      </c>
      <c r="Z60" s="98">
        <f t="shared" si="12"/>
        <v>-34.5</v>
      </c>
      <c r="AA60" s="13"/>
      <c r="AB60" s="15">
        <v>-26</v>
      </c>
      <c r="AC60" s="15">
        <v>90</v>
      </c>
      <c r="AD60" s="98">
        <f t="shared" si="15"/>
        <v>32</v>
      </c>
      <c r="AE60" s="15"/>
      <c r="AF60" s="15">
        <v>45</v>
      </c>
      <c r="AG60" s="15">
        <v>109</v>
      </c>
      <c r="AH60" s="98">
        <f t="shared" si="16"/>
        <v>77</v>
      </c>
      <c r="AI60" s="15"/>
      <c r="AJ60" s="15">
        <v>132</v>
      </c>
      <c r="AK60" s="15">
        <v>142</v>
      </c>
      <c r="AL60" s="98">
        <f t="shared" si="17"/>
        <v>137</v>
      </c>
      <c r="AM60" s="15"/>
      <c r="AN60" s="15">
        <v>191</v>
      </c>
      <c r="AO60" s="15">
        <v>209</v>
      </c>
      <c r="AP60" s="98">
        <f t="shared" si="18"/>
        <v>200</v>
      </c>
      <c r="AQ60" s="15"/>
      <c r="AR60" s="15"/>
      <c r="AS60" s="15"/>
      <c r="AT60" s="99"/>
      <c r="AU60" s="15"/>
      <c r="AV60" s="15"/>
      <c r="AW60" s="15"/>
      <c r="AX60" s="49"/>
    </row>
    <row r="61" spans="1:50" ht="10.199999999999999" customHeight="1" x14ac:dyDescent="0.25">
      <c r="A61" s="14">
        <f t="shared" si="14"/>
        <v>19</v>
      </c>
      <c r="B61" s="102">
        <f t="shared" si="13"/>
        <v>35926</v>
      </c>
      <c r="C61" s="103">
        <v>35924</v>
      </c>
      <c r="D61" s="15"/>
      <c r="E61" s="15"/>
      <c r="F61" s="99"/>
      <c r="G61" s="15"/>
      <c r="H61" s="15"/>
      <c r="I61" s="15"/>
      <c r="J61" s="99"/>
      <c r="K61" s="15"/>
      <c r="L61" s="15"/>
      <c r="M61" s="15"/>
      <c r="N61" s="99"/>
      <c r="O61" s="15"/>
      <c r="P61" s="15"/>
      <c r="Q61" s="15"/>
      <c r="R61" s="99"/>
      <c r="S61" s="15"/>
      <c r="T61" s="15">
        <v>-147</v>
      </c>
      <c r="U61" s="15">
        <v>-33</v>
      </c>
      <c r="V61" s="98">
        <f t="shared" si="11"/>
        <v>-90</v>
      </c>
      <c r="W61" s="15"/>
      <c r="X61" s="15">
        <v>-90</v>
      </c>
      <c r="Y61" s="15">
        <v>21</v>
      </c>
      <c r="Z61" s="98">
        <f t="shared" si="12"/>
        <v>-34.5</v>
      </c>
      <c r="AA61" s="13"/>
      <c r="AB61" s="15">
        <v>-11</v>
      </c>
      <c r="AC61" s="15">
        <v>68</v>
      </c>
      <c r="AD61" s="98">
        <f t="shared" si="15"/>
        <v>28.5</v>
      </c>
      <c r="AE61" s="15"/>
      <c r="AF61" s="15">
        <v>71</v>
      </c>
      <c r="AG61" s="15">
        <v>106</v>
      </c>
      <c r="AH61" s="98">
        <f t="shared" si="16"/>
        <v>88.5</v>
      </c>
      <c r="AI61" s="15"/>
      <c r="AJ61" s="15">
        <v>153</v>
      </c>
      <c r="AK61" s="15">
        <v>145</v>
      </c>
      <c r="AL61" s="98">
        <f t="shared" si="17"/>
        <v>149</v>
      </c>
      <c r="AM61" s="15"/>
      <c r="AN61" s="15">
        <v>215</v>
      </c>
      <c r="AO61" s="15">
        <v>210</v>
      </c>
      <c r="AP61" s="98">
        <f t="shared" si="18"/>
        <v>212.5</v>
      </c>
      <c r="AQ61" s="15"/>
      <c r="AR61" s="15"/>
      <c r="AS61" s="15"/>
      <c r="AT61" s="99"/>
      <c r="AU61" s="15"/>
      <c r="AV61" s="15"/>
      <c r="AW61" s="15"/>
      <c r="AX61" s="49"/>
    </row>
    <row r="62" spans="1:50" ht="10.199999999999999" customHeight="1" x14ac:dyDescent="0.25">
      <c r="A62" s="14">
        <f t="shared" si="14"/>
        <v>20</v>
      </c>
      <c r="B62" s="102">
        <f t="shared" si="13"/>
        <v>35933</v>
      </c>
      <c r="C62" s="103">
        <v>35931</v>
      </c>
      <c r="D62" s="15"/>
      <c r="E62" s="15"/>
      <c r="F62" s="99"/>
      <c r="G62" s="15"/>
      <c r="H62" s="15"/>
      <c r="I62" s="15"/>
      <c r="J62" s="99"/>
      <c r="K62" s="15"/>
      <c r="L62" s="15"/>
      <c r="M62" s="15"/>
      <c r="N62" s="99"/>
      <c r="O62" s="15"/>
      <c r="P62" s="15"/>
      <c r="Q62" s="15"/>
      <c r="R62" s="99"/>
      <c r="S62" s="15"/>
      <c r="T62" s="15"/>
      <c r="U62" s="15"/>
      <c r="V62" s="99"/>
      <c r="W62" s="15"/>
      <c r="X62" s="15">
        <v>-47</v>
      </c>
      <c r="Y62" s="15">
        <v>19</v>
      </c>
      <c r="Z62" s="98">
        <f t="shared" si="12"/>
        <v>-14</v>
      </c>
      <c r="AA62" s="13"/>
      <c r="AB62" s="15">
        <v>-5</v>
      </c>
      <c r="AC62" s="15">
        <v>78</v>
      </c>
      <c r="AD62" s="98">
        <f t="shared" si="15"/>
        <v>36.5</v>
      </c>
      <c r="AE62" s="15"/>
      <c r="AF62" s="15">
        <v>68</v>
      </c>
      <c r="AG62" s="15">
        <v>109</v>
      </c>
      <c r="AH62" s="98">
        <f t="shared" si="16"/>
        <v>88.5</v>
      </c>
      <c r="AI62" s="15"/>
      <c r="AJ62" s="15">
        <v>153</v>
      </c>
      <c r="AK62" s="15">
        <v>155</v>
      </c>
      <c r="AL62" s="98">
        <f t="shared" si="17"/>
        <v>154</v>
      </c>
      <c r="AM62" s="15"/>
      <c r="AN62" s="15">
        <v>208</v>
      </c>
      <c r="AO62" s="15">
        <v>213</v>
      </c>
      <c r="AP62" s="98">
        <f t="shared" si="18"/>
        <v>210.5</v>
      </c>
      <c r="AQ62" s="15"/>
      <c r="AR62" s="15">
        <v>211</v>
      </c>
      <c r="AS62" s="15">
        <v>213</v>
      </c>
      <c r="AT62" s="98">
        <f t="shared" ref="AT62:AT86" si="19">AVERAGE(AR62,AS62)</f>
        <v>212</v>
      </c>
      <c r="AU62" s="15"/>
      <c r="AV62" s="15"/>
      <c r="AW62" s="15"/>
      <c r="AX62" s="49"/>
    </row>
    <row r="63" spans="1:50" ht="10.199999999999999" customHeight="1" x14ac:dyDescent="0.25">
      <c r="A63" s="14">
        <f t="shared" si="14"/>
        <v>21</v>
      </c>
      <c r="B63" s="102">
        <f t="shared" si="13"/>
        <v>35940</v>
      </c>
      <c r="C63" s="103">
        <v>35938</v>
      </c>
      <c r="D63" s="15"/>
      <c r="E63" s="15"/>
      <c r="F63" s="99"/>
      <c r="G63" s="15"/>
      <c r="H63" s="15"/>
      <c r="I63" s="15"/>
      <c r="J63" s="99"/>
      <c r="K63" s="15"/>
      <c r="L63" s="15"/>
      <c r="M63" s="15"/>
      <c r="N63" s="99"/>
      <c r="O63" s="15"/>
      <c r="P63" s="15"/>
      <c r="Q63" s="15"/>
      <c r="R63" s="99"/>
      <c r="S63" s="15"/>
      <c r="T63" s="15"/>
      <c r="U63" s="15"/>
      <c r="V63" s="99"/>
      <c r="W63" s="15"/>
      <c r="X63" s="15">
        <v>-10</v>
      </c>
      <c r="Y63" s="15">
        <v>13</v>
      </c>
      <c r="Z63" s="98">
        <f t="shared" si="12"/>
        <v>1.5</v>
      </c>
      <c r="AA63" s="13"/>
      <c r="AB63" s="15">
        <v>38</v>
      </c>
      <c r="AC63" s="15">
        <v>103</v>
      </c>
      <c r="AD63" s="98">
        <f t="shared" si="15"/>
        <v>70.5</v>
      </c>
      <c r="AE63" s="15"/>
      <c r="AF63" s="15">
        <v>86</v>
      </c>
      <c r="AG63" s="15">
        <v>122</v>
      </c>
      <c r="AH63" s="98">
        <f t="shared" si="16"/>
        <v>104</v>
      </c>
      <c r="AI63" s="15"/>
      <c r="AJ63" s="15">
        <v>187</v>
      </c>
      <c r="AK63" s="15">
        <v>157</v>
      </c>
      <c r="AL63" s="98">
        <f t="shared" si="17"/>
        <v>172</v>
      </c>
      <c r="AM63" s="15"/>
      <c r="AN63" s="15">
        <v>213</v>
      </c>
      <c r="AO63" s="15">
        <v>220</v>
      </c>
      <c r="AP63" s="98">
        <f t="shared" si="18"/>
        <v>216.5</v>
      </c>
      <c r="AQ63" s="15"/>
      <c r="AR63" s="15">
        <v>212</v>
      </c>
      <c r="AS63" s="15">
        <v>217</v>
      </c>
      <c r="AT63" s="98">
        <f t="shared" si="19"/>
        <v>214.5</v>
      </c>
      <c r="AU63" s="15"/>
      <c r="AV63" s="15"/>
      <c r="AW63" s="15"/>
      <c r="AX63" s="49"/>
    </row>
    <row r="64" spans="1:50" ht="10.199999999999999" customHeight="1" x14ac:dyDescent="0.25">
      <c r="A64" s="14">
        <f t="shared" si="14"/>
        <v>22</v>
      </c>
      <c r="B64" s="102">
        <f t="shared" si="13"/>
        <v>35947</v>
      </c>
      <c r="C64" s="103">
        <v>35945</v>
      </c>
      <c r="D64" s="15"/>
      <c r="E64" s="15"/>
      <c r="F64" s="99"/>
      <c r="G64" s="15"/>
      <c r="H64" s="15"/>
      <c r="I64" s="15"/>
      <c r="J64" s="99"/>
      <c r="K64" s="15"/>
      <c r="L64" s="15"/>
      <c r="M64" s="15"/>
      <c r="N64" s="99"/>
      <c r="O64" s="15"/>
      <c r="P64" s="15"/>
      <c r="Q64" s="15"/>
      <c r="R64" s="99"/>
      <c r="S64" s="15"/>
      <c r="T64" s="15"/>
      <c r="U64" s="15"/>
      <c r="V64" s="99"/>
      <c r="W64" s="15"/>
      <c r="X64" s="15">
        <v>-33</v>
      </c>
      <c r="Y64" s="15">
        <v>34</v>
      </c>
      <c r="Z64" s="98">
        <f t="shared" si="12"/>
        <v>0.5</v>
      </c>
      <c r="AA64" s="13"/>
      <c r="AB64" s="15">
        <v>18</v>
      </c>
      <c r="AC64" s="15">
        <v>105</v>
      </c>
      <c r="AD64" s="98">
        <f t="shared" si="15"/>
        <v>61.5</v>
      </c>
      <c r="AE64" s="15"/>
      <c r="AF64" s="15">
        <v>81</v>
      </c>
      <c r="AG64" s="15">
        <v>121</v>
      </c>
      <c r="AH64" s="98">
        <f t="shared" si="16"/>
        <v>101</v>
      </c>
      <c r="AI64" s="15"/>
      <c r="AJ64" s="15">
        <v>186</v>
      </c>
      <c r="AK64" s="15">
        <v>158</v>
      </c>
      <c r="AL64" s="98">
        <f t="shared" si="17"/>
        <v>172</v>
      </c>
      <c r="AM64" s="15"/>
      <c r="AN64" s="15">
        <v>228</v>
      </c>
      <c r="AO64" s="15">
        <v>221</v>
      </c>
      <c r="AP64" s="98">
        <f t="shared" si="18"/>
        <v>224.5</v>
      </c>
      <c r="AQ64" s="15"/>
      <c r="AR64" s="15">
        <v>218</v>
      </c>
      <c r="AS64" s="15">
        <v>218</v>
      </c>
      <c r="AT64" s="98">
        <f t="shared" si="19"/>
        <v>218</v>
      </c>
      <c r="AU64" s="15"/>
      <c r="AV64" s="15"/>
      <c r="AW64" s="15"/>
      <c r="AX64" s="49"/>
    </row>
    <row r="65" spans="1:50" ht="10.199999999999999" customHeight="1" x14ac:dyDescent="0.25">
      <c r="A65" s="14">
        <f t="shared" si="14"/>
        <v>23</v>
      </c>
      <c r="B65" s="102">
        <f t="shared" si="13"/>
        <v>35954</v>
      </c>
      <c r="C65" s="103">
        <v>35952</v>
      </c>
      <c r="D65" s="15"/>
      <c r="E65" s="15"/>
      <c r="F65" s="99"/>
      <c r="G65" s="15"/>
      <c r="H65" s="15"/>
      <c r="I65" s="15"/>
      <c r="J65" s="99"/>
      <c r="K65" s="15"/>
      <c r="L65" s="15"/>
      <c r="M65" s="15"/>
      <c r="N65" s="99"/>
      <c r="O65" s="15"/>
      <c r="P65" s="15"/>
      <c r="Q65" s="15"/>
      <c r="R65" s="99"/>
      <c r="S65" s="15"/>
      <c r="T65" s="15"/>
      <c r="U65" s="15"/>
      <c r="V65" s="99"/>
      <c r="W65" s="15"/>
      <c r="X65" s="15">
        <v>-41</v>
      </c>
      <c r="Y65" s="15">
        <v>1</v>
      </c>
      <c r="Z65" s="98">
        <f t="shared" si="12"/>
        <v>-20</v>
      </c>
      <c r="AA65" s="13"/>
      <c r="AB65" s="15">
        <v>3</v>
      </c>
      <c r="AC65" s="15">
        <v>72</v>
      </c>
      <c r="AD65" s="98">
        <f t="shared" si="15"/>
        <v>37.5</v>
      </c>
      <c r="AE65" s="15"/>
      <c r="AF65" s="15">
        <v>51</v>
      </c>
      <c r="AG65" s="15">
        <v>88</v>
      </c>
      <c r="AH65" s="98">
        <f t="shared" si="16"/>
        <v>69.5</v>
      </c>
      <c r="AI65" s="15"/>
      <c r="AJ65" s="15">
        <v>143</v>
      </c>
      <c r="AK65" s="15">
        <v>127</v>
      </c>
      <c r="AL65" s="98">
        <f t="shared" si="17"/>
        <v>135</v>
      </c>
      <c r="AM65" s="15"/>
      <c r="AN65" s="15">
        <v>175</v>
      </c>
      <c r="AO65" s="15">
        <v>184</v>
      </c>
      <c r="AP65" s="98">
        <f t="shared" si="18"/>
        <v>179.5</v>
      </c>
      <c r="AQ65" s="15"/>
      <c r="AR65" s="15">
        <v>175</v>
      </c>
      <c r="AS65" s="15">
        <v>185</v>
      </c>
      <c r="AT65" s="98">
        <f t="shared" si="19"/>
        <v>180</v>
      </c>
      <c r="AU65" s="15"/>
      <c r="AV65" s="15"/>
      <c r="AW65" s="15"/>
      <c r="AX65" s="49"/>
    </row>
    <row r="66" spans="1:50" ht="10.199999999999999" customHeight="1" x14ac:dyDescent="0.25">
      <c r="A66" s="14">
        <f t="shared" si="14"/>
        <v>24</v>
      </c>
      <c r="B66" s="102">
        <f t="shared" si="13"/>
        <v>35961</v>
      </c>
      <c r="C66" s="103">
        <v>35959</v>
      </c>
      <c r="D66" s="15"/>
      <c r="E66" s="15"/>
      <c r="F66" s="99"/>
      <c r="G66" s="15"/>
      <c r="H66" s="15"/>
      <c r="I66" s="15"/>
      <c r="J66" s="99"/>
      <c r="K66" s="15"/>
      <c r="L66" s="15"/>
      <c r="M66" s="15"/>
      <c r="N66" s="99"/>
      <c r="O66" s="15"/>
      <c r="P66" s="15"/>
      <c r="Q66" s="15"/>
      <c r="R66" s="99"/>
      <c r="S66" s="15"/>
      <c r="T66" s="15"/>
      <c r="U66" s="15"/>
      <c r="V66" s="99"/>
      <c r="W66" s="15"/>
      <c r="X66" s="15">
        <v>-58</v>
      </c>
      <c r="Y66" s="15">
        <v>0</v>
      </c>
      <c r="Z66" s="98">
        <f t="shared" si="12"/>
        <v>-29</v>
      </c>
      <c r="AA66" s="13"/>
      <c r="AB66" s="15">
        <v>-15</v>
      </c>
      <c r="AC66" s="15">
        <v>40</v>
      </c>
      <c r="AD66" s="98">
        <f t="shared" si="15"/>
        <v>12.5</v>
      </c>
      <c r="AE66" s="15"/>
      <c r="AF66" s="15">
        <v>27</v>
      </c>
      <c r="AG66" s="15">
        <v>75</v>
      </c>
      <c r="AH66" s="98">
        <f t="shared" si="16"/>
        <v>51</v>
      </c>
      <c r="AI66" s="15"/>
      <c r="AJ66" s="15">
        <v>130</v>
      </c>
      <c r="AK66" s="15">
        <v>127</v>
      </c>
      <c r="AL66" s="98">
        <f t="shared" si="17"/>
        <v>128.5</v>
      </c>
      <c r="AM66" s="15"/>
      <c r="AN66" s="15">
        <v>151</v>
      </c>
      <c r="AO66" s="15">
        <v>186</v>
      </c>
      <c r="AP66" s="98">
        <f t="shared" si="18"/>
        <v>168.5</v>
      </c>
      <c r="AQ66" s="15"/>
      <c r="AR66" s="15">
        <v>176</v>
      </c>
      <c r="AS66" s="15">
        <v>188</v>
      </c>
      <c r="AT66" s="98">
        <f t="shared" si="19"/>
        <v>182</v>
      </c>
      <c r="AU66" s="15"/>
      <c r="AV66" s="15"/>
      <c r="AW66" s="15"/>
      <c r="AX66" s="49"/>
    </row>
    <row r="67" spans="1:50" ht="10.199999999999999" customHeight="1" x14ac:dyDescent="0.25">
      <c r="A67" s="14">
        <f t="shared" si="14"/>
        <v>25</v>
      </c>
      <c r="B67" s="102">
        <f t="shared" si="13"/>
        <v>35968</v>
      </c>
      <c r="C67" s="103">
        <v>35966</v>
      </c>
      <c r="D67" s="15"/>
      <c r="E67" s="15"/>
      <c r="F67" s="99"/>
      <c r="G67" s="15"/>
      <c r="H67" s="15"/>
      <c r="I67" s="15"/>
      <c r="J67" s="99"/>
      <c r="K67" s="15"/>
      <c r="L67" s="15"/>
      <c r="M67" s="15"/>
      <c r="N67" s="99"/>
      <c r="O67" s="15"/>
      <c r="P67" s="15"/>
      <c r="Q67" s="15"/>
      <c r="R67" s="99"/>
      <c r="S67" s="15"/>
      <c r="T67" s="15"/>
      <c r="U67" s="15"/>
      <c r="V67" s="99"/>
      <c r="W67" s="15"/>
      <c r="X67" s="15"/>
      <c r="Y67" s="15"/>
      <c r="Z67" s="99"/>
      <c r="AA67" s="13"/>
      <c r="AB67" s="15">
        <v>-4</v>
      </c>
      <c r="AC67" s="15">
        <v>38</v>
      </c>
      <c r="AD67" s="98">
        <f t="shared" si="15"/>
        <v>17</v>
      </c>
      <c r="AE67" s="15"/>
      <c r="AF67" s="15">
        <v>29</v>
      </c>
      <c r="AG67" s="15">
        <v>72</v>
      </c>
      <c r="AH67" s="98">
        <f t="shared" si="16"/>
        <v>50.5</v>
      </c>
      <c r="AI67" s="15"/>
      <c r="AJ67" s="15">
        <v>108</v>
      </c>
      <c r="AK67" s="15">
        <v>125</v>
      </c>
      <c r="AL67" s="98">
        <f t="shared" si="17"/>
        <v>116.5</v>
      </c>
      <c r="AM67" s="15"/>
      <c r="AN67" s="15">
        <v>153</v>
      </c>
      <c r="AO67" s="15">
        <v>103</v>
      </c>
      <c r="AP67" s="98">
        <f t="shared" si="18"/>
        <v>128</v>
      </c>
      <c r="AQ67" s="15"/>
      <c r="AR67" s="15">
        <v>155</v>
      </c>
      <c r="AS67" s="15">
        <v>175</v>
      </c>
      <c r="AT67" s="98">
        <f t="shared" si="19"/>
        <v>165</v>
      </c>
      <c r="AU67" s="15"/>
      <c r="AV67" s="15">
        <v>90</v>
      </c>
      <c r="AW67" s="15">
        <v>63</v>
      </c>
      <c r="AX67" s="48">
        <f t="shared" ref="AX67:AX92" si="20">AVERAGE(AV67,AW67)</f>
        <v>76.5</v>
      </c>
    </row>
    <row r="68" spans="1:50" ht="10.199999999999999" customHeight="1" x14ac:dyDescent="0.25">
      <c r="A68" s="14">
        <f t="shared" si="14"/>
        <v>26</v>
      </c>
      <c r="B68" s="102">
        <f t="shared" si="13"/>
        <v>35975</v>
      </c>
      <c r="C68" s="103">
        <v>35973</v>
      </c>
      <c r="D68" s="15"/>
      <c r="E68" s="15"/>
      <c r="F68" s="99"/>
      <c r="G68" s="15"/>
      <c r="H68" s="15"/>
      <c r="I68" s="15"/>
      <c r="J68" s="99"/>
      <c r="K68" s="15"/>
      <c r="L68" s="15"/>
      <c r="M68" s="15"/>
      <c r="N68" s="99"/>
      <c r="O68" s="15"/>
      <c r="P68" s="15"/>
      <c r="Q68" s="15"/>
      <c r="R68" s="99"/>
      <c r="S68" s="15"/>
      <c r="T68" s="15"/>
      <c r="U68" s="15"/>
      <c r="V68" s="99"/>
      <c r="W68" s="15"/>
      <c r="X68" s="15"/>
      <c r="Y68" s="15"/>
      <c r="Z68" s="99"/>
      <c r="AA68" s="13"/>
      <c r="AB68" s="15">
        <v>-15</v>
      </c>
      <c r="AC68" s="15">
        <v>46</v>
      </c>
      <c r="AD68" s="98">
        <f t="shared" si="15"/>
        <v>15.5</v>
      </c>
      <c r="AE68" s="15"/>
      <c r="AF68" s="15">
        <v>24</v>
      </c>
      <c r="AG68" s="15">
        <v>99</v>
      </c>
      <c r="AH68" s="98">
        <f t="shared" si="16"/>
        <v>61.5</v>
      </c>
      <c r="AI68" s="15"/>
      <c r="AJ68" s="15">
        <v>108</v>
      </c>
      <c r="AK68" s="15">
        <v>128</v>
      </c>
      <c r="AL68" s="98">
        <f t="shared" si="17"/>
        <v>118</v>
      </c>
      <c r="AM68" s="15"/>
      <c r="AN68" s="15">
        <v>152</v>
      </c>
      <c r="AO68" s="15">
        <v>106</v>
      </c>
      <c r="AP68" s="98">
        <f t="shared" si="18"/>
        <v>129</v>
      </c>
      <c r="AQ68" s="15"/>
      <c r="AR68" s="15">
        <v>154</v>
      </c>
      <c r="AS68" s="15">
        <v>188</v>
      </c>
      <c r="AT68" s="98">
        <f t="shared" si="19"/>
        <v>171</v>
      </c>
      <c r="AU68" s="15"/>
      <c r="AV68" s="15">
        <v>89</v>
      </c>
      <c r="AW68" s="15">
        <v>79</v>
      </c>
      <c r="AX68" s="48">
        <f t="shared" si="20"/>
        <v>84</v>
      </c>
    </row>
    <row r="69" spans="1:50" ht="10.199999999999999" customHeight="1" x14ac:dyDescent="0.25">
      <c r="A69" s="14">
        <f t="shared" si="14"/>
        <v>27</v>
      </c>
      <c r="B69" s="102">
        <f t="shared" si="13"/>
        <v>35982</v>
      </c>
      <c r="C69" s="103">
        <v>35980</v>
      </c>
      <c r="D69" s="15"/>
      <c r="E69" s="15"/>
      <c r="F69" s="99"/>
      <c r="G69" s="15"/>
      <c r="H69" s="15"/>
      <c r="I69" s="15"/>
      <c r="J69" s="99"/>
      <c r="K69" s="15"/>
      <c r="L69" s="15"/>
      <c r="M69" s="15"/>
      <c r="N69" s="99"/>
      <c r="O69" s="15"/>
      <c r="P69" s="15"/>
      <c r="Q69" s="15"/>
      <c r="R69" s="99"/>
      <c r="S69" s="15"/>
      <c r="T69" s="15"/>
      <c r="U69" s="15"/>
      <c r="V69" s="99"/>
      <c r="W69" s="15"/>
      <c r="X69" s="15"/>
      <c r="Y69" s="15"/>
      <c r="Z69" s="99"/>
      <c r="AA69" s="13"/>
      <c r="AB69" s="15">
        <v>7</v>
      </c>
      <c r="AC69" s="15">
        <v>96</v>
      </c>
      <c r="AD69" s="98">
        <f t="shared" si="15"/>
        <v>51.5</v>
      </c>
      <c r="AE69" s="15"/>
      <c r="AF69" s="15">
        <v>51</v>
      </c>
      <c r="AG69" s="15">
        <v>109</v>
      </c>
      <c r="AH69" s="98">
        <f t="shared" si="16"/>
        <v>80</v>
      </c>
      <c r="AI69" s="15"/>
      <c r="AJ69" s="15">
        <v>116</v>
      </c>
      <c r="AK69" s="15">
        <v>126</v>
      </c>
      <c r="AL69" s="98">
        <f t="shared" si="17"/>
        <v>121</v>
      </c>
      <c r="AM69" s="15"/>
      <c r="AN69" s="15">
        <v>163</v>
      </c>
      <c r="AO69" s="15">
        <v>145</v>
      </c>
      <c r="AP69" s="98">
        <f t="shared" si="18"/>
        <v>154</v>
      </c>
      <c r="AQ69" s="15"/>
      <c r="AR69" s="15">
        <v>162</v>
      </c>
      <c r="AS69" s="15">
        <v>198</v>
      </c>
      <c r="AT69" s="98">
        <f t="shared" si="19"/>
        <v>180</v>
      </c>
      <c r="AU69" s="15"/>
      <c r="AV69" s="15">
        <v>123</v>
      </c>
      <c r="AW69" s="15">
        <v>91</v>
      </c>
      <c r="AX69" s="48">
        <f t="shared" si="20"/>
        <v>107</v>
      </c>
    </row>
    <row r="70" spans="1:50" ht="10.199999999999999" customHeight="1" x14ac:dyDescent="0.25">
      <c r="A70" s="14">
        <f t="shared" si="14"/>
        <v>28</v>
      </c>
      <c r="B70" s="102">
        <f t="shared" si="13"/>
        <v>35989</v>
      </c>
      <c r="C70" s="103">
        <v>35987</v>
      </c>
      <c r="D70" s="15"/>
      <c r="E70" s="15"/>
      <c r="F70" s="99"/>
      <c r="G70" s="15"/>
      <c r="H70" s="15"/>
      <c r="I70" s="15"/>
      <c r="J70" s="99"/>
      <c r="K70" s="15"/>
      <c r="L70" s="15"/>
      <c r="M70" s="15"/>
      <c r="N70" s="99"/>
      <c r="O70" s="15"/>
      <c r="P70" s="15"/>
      <c r="Q70" s="15"/>
      <c r="R70" s="99"/>
      <c r="S70" s="15"/>
      <c r="T70" s="15"/>
      <c r="U70" s="15"/>
      <c r="V70" s="99"/>
      <c r="W70" s="15"/>
      <c r="X70" s="15"/>
      <c r="Y70" s="15"/>
      <c r="Z70" s="99"/>
      <c r="AA70" s="13"/>
      <c r="AB70" s="15">
        <v>46</v>
      </c>
      <c r="AC70" s="15">
        <v>120</v>
      </c>
      <c r="AD70" s="98">
        <f t="shared" si="15"/>
        <v>83</v>
      </c>
      <c r="AE70" s="15"/>
      <c r="AF70" s="15">
        <v>60</v>
      </c>
      <c r="AG70" s="15">
        <v>133</v>
      </c>
      <c r="AH70" s="98">
        <f t="shared" si="16"/>
        <v>96.5</v>
      </c>
      <c r="AI70" s="15"/>
      <c r="AJ70" s="15">
        <v>142</v>
      </c>
      <c r="AK70" s="15">
        <v>170</v>
      </c>
      <c r="AL70" s="98">
        <f t="shared" si="17"/>
        <v>156</v>
      </c>
      <c r="AM70" s="15"/>
      <c r="AN70" s="15">
        <v>177</v>
      </c>
      <c r="AO70" s="15">
        <v>156</v>
      </c>
      <c r="AP70" s="98">
        <f t="shared" si="18"/>
        <v>166.5</v>
      </c>
      <c r="AQ70" s="15"/>
      <c r="AR70" s="15">
        <v>173</v>
      </c>
      <c r="AS70" s="15">
        <v>214</v>
      </c>
      <c r="AT70" s="98">
        <f t="shared" si="19"/>
        <v>193.5</v>
      </c>
      <c r="AU70" s="15"/>
      <c r="AV70" s="15">
        <v>125</v>
      </c>
      <c r="AW70" s="15">
        <v>164</v>
      </c>
      <c r="AX70" s="48">
        <f t="shared" si="20"/>
        <v>144.5</v>
      </c>
    </row>
    <row r="71" spans="1:50" ht="10.199999999999999" customHeight="1" x14ac:dyDescent="0.25">
      <c r="A71" s="14">
        <f t="shared" si="14"/>
        <v>29</v>
      </c>
      <c r="B71" s="102">
        <f t="shared" si="13"/>
        <v>35996</v>
      </c>
      <c r="C71" s="103">
        <v>35994</v>
      </c>
      <c r="D71" s="47">
        <v>28</v>
      </c>
      <c r="E71" s="15">
        <v>24</v>
      </c>
      <c r="F71" s="98">
        <f t="shared" ref="F71:F100" si="21">AVERAGE(D71,E71)</f>
        <v>26</v>
      </c>
      <c r="G71" s="15"/>
      <c r="H71" s="15"/>
      <c r="I71" s="15"/>
      <c r="J71" s="99"/>
      <c r="K71" s="15"/>
      <c r="L71" s="15"/>
      <c r="M71" s="15"/>
      <c r="N71" s="99"/>
      <c r="O71" s="15"/>
      <c r="P71" s="15"/>
      <c r="Q71" s="15"/>
      <c r="R71" s="99"/>
      <c r="S71" s="15"/>
      <c r="T71" s="15"/>
      <c r="U71" s="15"/>
      <c r="V71" s="99"/>
      <c r="W71" s="15"/>
      <c r="X71" s="15"/>
      <c r="Y71" s="15"/>
      <c r="Z71" s="99"/>
      <c r="AA71" s="13"/>
      <c r="AB71" s="15"/>
      <c r="AC71" s="15"/>
      <c r="AD71" s="99"/>
      <c r="AE71" s="15"/>
      <c r="AF71" s="15">
        <v>126</v>
      </c>
      <c r="AG71" s="15">
        <v>164</v>
      </c>
      <c r="AH71" s="98">
        <f t="shared" si="16"/>
        <v>145</v>
      </c>
      <c r="AI71" s="15"/>
      <c r="AJ71" s="15">
        <v>164</v>
      </c>
      <c r="AK71" s="15">
        <v>167</v>
      </c>
      <c r="AL71" s="98">
        <f t="shared" si="17"/>
        <v>165.5</v>
      </c>
      <c r="AM71" s="15"/>
      <c r="AN71" s="15">
        <v>196</v>
      </c>
      <c r="AO71" s="15">
        <v>173</v>
      </c>
      <c r="AP71" s="98">
        <f t="shared" si="18"/>
        <v>184.5</v>
      </c>
      <c r="AQ71" s="15"/>
      <c r="AR71" s="15">
        <v>184</v>
      </c>
      <c r="AS71" s="15">
        <v>166</v>
      </c>
      <c r="AT71" s="98">
        <f t="shared" si="19"/>
        <v>175</v>
      </c>
      <c r="AU71" s="15"/>
      <c r="AV71" s="15">
        <v>122</v>
      </c>
      <c r="AW71" s="15">
        <v>174</v>
      </c>
      <c r="AX71" s="48">
        <f t="shared" si="20"/>
        <v>148</v>
      </c>
    </row>
    <row r="72" spans="1:50" ht="10.199999999999999" customHeight="1" x14ac:dyDescent="0.25">
      <c r="A72" s="14">
        <f t="shared" si="14"/>
        <v>30</v>
      </c>
      <c r="B72" s="102">
        <f t="shared" si="13"/>
        <v>36003</v>
      </c>
      <c r="C72" s="103">
        <v>36001</v>
      </c>
      <c r="D72" s="14">
        <v>39</v>
      </c>
      <c r="E72" s="14">
        <v>24</v>
      </c>
      <c r="F72" s="48">
        <f t="shared" si="21"/>
        <v>31.5</v>
      </c>
      <c r="G72" s="14"/>
      <c r="H72" s="13"/>
      <c r="I72" s="13"/>
      <c r="J72" s="97"/>
      <c r="K72" s="13"/>
      <c r="L72" s="13"/>
      <c r="M72" s="13"/>
      <c r="N72" s="97"/>
      <c r="O72" s="13"/>
      <c r="P72" s="13"/>
      <c r="Q72" s="13"/>
      <c r="R72" s="97"/>
      <c r="S72" s="13"/>
      <c r="T72" s="13"/>
      <c r="U72" s="13"/>
      <c r="V72" s="97"/>
      <c r="W72" s="13"/>
      <c r="X72" s="13"/>
      <c r="Y72" s="13"/>
      <c r="Z72" s="97"/>
      <c r="AA72" s="13"/>
      <c r="AB72" s="15"/>
      <c r="AC72" s="15"/>
      <c r="AD72" s="99"/>
      <c r="AE72" s="15"/>
      <c r="AF72" s="15">
        <v>132</v>
      </c>
      <c r="AG72" s="15">
        <v>176</v>
      </c>
      <c r="AH72" s="98">
        <f t="shared" si="16"/>
        <v>154</v>
      </c>
      <c r="AI72" s="15"/>
      <c r="AJ72" s="15">
        <v>158</v>
      </c>
      <c r="AK72" s="15">
        <v>208</v>
      </c>
      <c r="AL72" s="98">
        <f t="shared" si="17"/>
        <v>183</v>
      </c>
      <c r="AM72" s="15"/>
      <c r="AN72" s="15">
        <v>190</v>
      </c>
      <c r="AO72" s="15">
        <v>236</v>
      </c>
      <c r="AP72" s="98">
        <f t="shared" si="18"/>
        <v>213</v>
      </c>
      <c r="AQ72" s="15"/>
      <c r="AR72" s="15">
        <v>172</v>
      </c>
      <c r="AS72" s="15">
        <v>161</v>
      </c>
      <c r="AT72" s="98">
        <f t="shared" si="19"/>
        <v>166.5</v>
      </c>
      <c r="AU72" s="15"/>
      <c r="AV72" s="15">
        <v>117</v>
      </c>
      <c r="AW72" s="15">
        <v>184</v>
      </c>
      <c r="AX72" s="48">
        <f t="shared" si="20"/>
        <v>150.5</v>
      </c>
    </row>
    <row r="73" spans="1:50" ht="10.199999999999999" customHeight="1" x14ac:dyDescent="0.25">
      <c r="A73" s="14">
        <f t="shared" si="14"/>
        <v>31</v>
      </c>
      <c r="B73" s="102">
        <f t="shared" si="13"/>
        <v>36010</v>
      </c>
      <c r="C73" s="103">
        <v>36008</v>
      </c>
      <c r="D73" s="14">
        <v>40</v>
      </c>
      <c r="E73" s="14">
        <v>30</v>
      </c>
      <c r="F73" s="48">
        <f t="shared" si="21"/>
        <v>35</v>
      </c>
      <c r="G73" s="14"/>
      <c r="H73" s="13"/>
      <c r="I73" s="13"/>
      <c r="J73" s="97"/>
      <c r="K73" s="13"/>
      <c r="L73" s="13"/>
      <c r="M73" s="13"/>
      <c r="N73" s="97"/>
      <c r="O73" s="13"/>
      <c r="P73" s="13"/>
      <c r="Q73" s="13"/>
      <c r="R73" s="97"/>
      <c r="S73" s="13"/>
      <c r="T73" s="13"/>
      <c r="U73" s="13"/>
      <c r="V73" s="97"/>
      <c r="W73" s="13"/>
      <c r="X73" s="13"/>
      <c r="Y73" s="13"/>
      <c r="Z73" s="97"/>
      <c r="AA73" s="13"/>
      <c r="AB73" s="15"/>
      <c r="AC73" s="15"/>
      <c r="AD73" s="99"/>
      <c r="AE73" s="15"/>
      <c r="AF73" s="15">
        <v>159</v>
      </c>
      <c r="AG73" s="15">
        <v>183</v>
      </c>
      <c r="AH73" s="98">
        <f t="shared" si="16"/>
        <v>171</v>
      </c>
      <c r="AI73" s="15"/>
      <c r="AJ73" s="15">
        <v>177</v>
      </c>
      <c r="AK73" s="15">
        <v>238</v>
      </c>
      <c r="AL73" s="98">
        <f t="shared" si="17"/>
        <v>207.5</v>
      </c>
      <c r="AM73" s="15"/>
      <c r="AN73" s="15">
        <v>190</v>
      </c>
      <c r="AO73" s="15">
        <v>221</v>
      </c>
      <c r="AP73" s="98">
        <f t="shared" si="18"/>
        <v>205.5</v>
      </c>
      <c r="AQ73" s="15"/>
      <c r="AR73" s="15">
        <v>166</v>
      </c>
      <c r="AS73" s="15">
        <v>166</v>
      </c>
      <c r="AT73" s="98">
        <f t="shared" si="19"/>
        <v>166</v>
      </c>
      <c r="AU73" s="15"/>
      <c r="AV73" s="15">
        <v>113</v>
      </c>
      <c r="AW73" s="15">
        <v>195</v>
      </c>
      <c r="AX73" s="48">
        <f t="shared" si="20"/>
        <v>154</v>
      </c>
    </row>
    <row r="74" spans="1:50" ht="10.199999999999999" customHeight="1" x14ac:dyDescent="0.25">
      <c r="A74" s="14">
        <f t="shared" si="14"/>
        <v>32</v>
      </c>
      <c r="B74" s="102">
        <f t="shared" si="13"/>
        <v>36017</v>
      </c>
      <c r="C74" s="103">
        <v>36015</v>
      </c>
      <c r="D74" s="14">
        <v>29</v>
      </c>
      <c r="E74" s="14">
        <v>30</v>
      </c>
      <c r="F74" s="48">
        <f t="shared" si="21"/>
        <v>29.5</v>
      </c>
      <c r="G74" s="14"/>
      <c r="H74" s="13"/>
      <c r="I74" s="13"/>
      <c r="J74" s="97"/>
      <c r="K74" s="13"/>
      <c r="L74" s="13"/>
      <c r="M74" s="13"/>
      <c r="N74" s="97"/>
      <c r="O74" s="13"/>
      <c r="P74" s="13"/>
      <c r="Q74" s="13"/>
      <c r="R74" s="97"/>
      <c r="S74" s="13"/>
      <c r="T74" s="13"/>
      <c r="U74" s="13"/>
      <c r="V74" s="97"/>
      <c r="W74" s="13"/>
      <c r="X74" s="13"/>
      <c r="Y74" s="13"/>
      <c r="Z74" s="97"/>
      <c r="AA74" s="13"/>
      <c r="AB74" s="15"/>
      <c r="AC74" s="15"/>
      <c r="AD74" s="99"/>
      <c r="AE74" s="15"/>
      <c r="AF74" s="15">
        <v>68</v>
      </c>
      <c r="AG74" s="15">
        <v>261</v>
      </c>
      <c r="AH74" s="98">
        <f t="shared" si="16"/>
        <v>164.5</v>
      </c>
      <c r="AI74" s="15"/>
      <c r="AJ74" s="15">
        <v>120</v>
      </c>
      <c r="AK74" s="15">
        <v>246</v>
      </c>
      <c r="AL74" s="98">
        <f t="shared" si="17"/>
        <v>183</v>
      </c>
      <c r="AM74" s="15"/>
      <c r="AN74" s="15">
        <v>163</v>
      </c>
      <c r="AO74" s="15">
        <v>266</v>
      </c>
      <c r="AP74" s="98">
        <f t="shared" si="18"/>
        <v>214.5</v>
      </c>
      <c r="AQ74" s="15"/>
      <c r="AR74" s="15">
        <v>141</v>
      </c>
      <c r="AS74" s="15">
        <v>216</v>
      </c>
      <c r="AT74" s="98">
        <f t="shared" si="19"/>
        <v>178.5</v>
      </c>
      <c r="AU74" s="15"/>
      <c r="AV74" s="15">
        <v>81</v>
      </c>
      <c r="AW74" s="15">
        <v>193</v>
      </c>
      <c r="AX74" s="48">
        <f t="shared" si="20"/>
        <v>137</v>
      </c>
    </row>
    <row r="75" spans="1:50" ht="10.199999999999999" customHeight="1" x14ac:dyDescent="0.25">
      <c r="A75" s="14">
        <f t="shared" si="14"/>
        <v>33</v>
      </c>
      <c r="B75" s="102">
        <f t="shared" si="13"/>
        <v>36024</v>
      </c>
      <c r="C75" s="103">
        <v>36022</v>
      </c>
      <c r="D75" s="14">
        <v>4</v>
      </c>
      <c r="E75" s="14">
        <v>41</v>
      </c>
      <c r="F75" s="48">
        <f t="shared" si="21"/>
        <v>22.5</v>
      </c>
      <c r="G75" s="14"/>
      <c r="H75" s="13"/>
      <c r="I75" s="13"/>
      <c r="J75" s="97"/>
      <c r="K75" s="13"/>
      <c r="L75" s="13"/>
      <c r="M75" s="13"/>
      <c r="N75" s="97"/>
      <c r="O75" s="13"/>
      <c r="P75" s="13"/>
      <c r="Q75" s="13"/>
      <c r="R75" s="97"/>
      <c r="S75" s="13"/>
      <c r="T75" s="13"/>
      <c r="U75" s="13"/>
      <c r="V75" s="97"/>
      <c r="W75" s="13"/>
      <c r="X75" s="13"/>
      <c r="Y75" s="13"/>
      <c r="Z75" s="97"/>
      <c r="AA75" s="13"/>
      <c r="AB75" s="15"/>
      <c r="AC75" s="15"/>
      <c r="AD75" s="99"/>
      <c r="AE75" s="15"/>
      <c r="AF75" s="15">
        <v>-4</v>
      </c>
      <c r="AG75" s="15">
        <v>29</v>
      </c>
      <c r="AH75" s="98">
        <f t="shared" si="16"/>
        <v>12.5</v>
      </c>
      <c r="AI75" s="15"/>
      <c r="AJ75" s="15">
        <v>45</v>
      </c>
      <c r="AK75" s="15">
        <v>151</v>
      </c>
      <c r="AL75" s="98">
        <f t="shared" si="17"/>
        <v>98</v>
      </c>
      <c r="AM75" s="15"/>
      <c r="AN75" s="15">
        <v>118</v>
      </c>
      <c r="AO75" s="15">
        <v>196</v>
      </c>
      <c r="AP75" s="98">
        <f t="shared" si="18"/>
        <v>157</v>
      </c>
      <c r="AQ75" s="15"/>
      <c r="AR75" s="15">
        <v>67</v>
      </c>
      <c r="AS75" s="15">
        <v>152</v>
      </c>
      <c r="AT75" s="98">
        <f t="shared" si="19"/>
        <v>109.5</v>
      </c>
      <c r="AU75" s="15"/>
      <c r="AV75" s="15">
        <v>10</v>
      </c>
      <c r="AW75" s="15">
        <v>86</v>
      </c>
      <c r="AX75" s="48">
        <f t="shared" si="20"/>
        <v>48</v>
      </c>
    </row>
    <row r="76" spans="1:50" ht="10.199999999999999" customHeight="1" x14ac:dyDescent="0.25">
      <c r="A76" s="14">
        <f t="shared" si="14"/>
        <v>34</v>
      </c>
      <c r="B76" s="102">
        <f t="shared" ref="B76:B95" si="22">+B77-7</f>
        <v>36031</v>
      </c>
      <c r="C76" s="103">
        <v>36029</v>
      </c>
      <c r="D76" s="14">
        <v>-9</v>
      </c>
      <c r="E76" s="14">
        <v>25</v>
      </c>
      <c r="F76" s="48">
        <f t="shared" si="21"/>
        <v>8</v>
      </c>
      <c r="G76" s="14"/>
      <c r="H76" s="14">
        <v>-24</v>
      </c>
      <c r="I76" s="14">
        <v>27</v>
      </c>
      <c r="J76" s="48">
        <f t="shared" ref="J76:J101" si="23">AVERAGE(H76,I76)</f>
        <v>1.5</v>
      </c>
      <c r="K76" s="14"/>
      <c r="L76" s="13"/>
      <c r="M76" s="13"/>
      <c r="N76" s="97"/>
      <c r="O76" s="13"/>
      <c r="P76" s="13"/>
      <c r="Q76" s="13"/>
      <c r="R76" s="97"/>
      <c r="S76" s="13"/>
      <c r="T76" s="13"/>
      <c r="U76" s="13"/>
      <c r="V76" s="97"/>
      <c r="W76" s="13"/>
      <c r="X76" s="13"/>
      <c r="Y76" s="13"/>
      <c r="Z76" s="97"/>
      <c r="AA76" s="13"/>
      <c r="AB76" s="15"/>
      <c r="AC76" s="15"/>
      <c r="AD76" s="99"/>
      <c r="AE76" s="15"/>
      <c r="AF76" s="15"/>
      <c r="AG76" s="15"/>
      <c r="AH76" s="99"/>
      <c r="AI76" s="15"/>
      <c r="AJ76" s="15">
        <v>49</v>
      </c>
      <c r="AK76" s="15">
        <v>110</v>
      </c>
      <c r="AL76" s="98">
        <f t="shared" si="17"/>
        <v>79.5</v>
      </c>
      <c r="AM76" s="15"/>
      <c r="AN76" s="15">
        <v>123</v>
      </c>
      <c r="AO76" s="15">
        <v>179</v>
      </c>
      <c r="AP76" s="98">
        <f t="shared" si="18"/>
        <v>151</v>
      </c>
      <c r="AQ76" s="15"/>
      <c r="AR76" s="15">
        <v>87</v>
      </c>
      <c r="AS76" s="15">
        <v>177</v>
      </c>
      <c r="AT76" s="98">
        <f t="shared" si="19"/>
        <v>132</v>
      </c>
      <c r="AU76" s="15"/>
      <c r="AV76" s="15">
        <v>23</v>
      </c>
      <c r="AW76" s="15">
        <v>69</v>
      </c>
      <c r="AX76" s="48">
        <f t="shared" si="20"/>
        <v>46</v>
      </c>
    </row>
    <row r="77" spans="1:50" ht="10.199999999999999" customHeight="1" x14ac:dyDescent="0.25">
      <c r="A77" s="14">
        <f t="shared" ref="A77:A94" si="24">+A76+1</f>
        <v>35</v>
      </c>
      <c r="B77" s="102">
        <f t="shared" si="22"/>
        <v>36038</v>
      </c>
      <c r="C77" s="103">
        <v>36036</v>
      </c>
      <c r="D77" s="14">
        <v>7</v>
      </c>
      <c r="E77" s="14">
        <v>50</v>
      </c>
      <c r="F77" s="48">
        <f t="shared" si="21"/>
        <v>28.5</v>
      </c>
      <c r="G77" s="14"/>
      <c r="H77" s="14">
        <v>-16</v>
      </c>
      <c r="I77" s="14">
        <v>35</v>
      </c>
      <c r="J77" s="48">
        <f t="shared" si="23"/>
        <v>9.5</v>
      </c>
      <c r="K77" s="14"/>
      <c r="L77" s="13"/>
      <c r="M77" s="13"/>
      <c r="N77" s="97"/>
      <c r="O77" s="13"/>
      <c r="P77" s="13"/>
      <c r="Q77" s="13"/>
      <c r="R77" s="97"/>
      <c r="S77" s="13"/>
      <c r="T77" s="13"/>
      <c r="U77" s="13"/>
      <c r="V77" s="97"/>
      <c r="W77" s="13"/>
      <c r="X77" s="13"/>
      <c r="Y77" s="13"/>
      <c r="Z77" s="97"/>
      <c r="AA77" s="13"/>
      <c r="AB77" s="15"/>
      <c r="AC77" s="15"/>
      <c r="AD77" s="99"/>
      <c r="AE77" s="15"/>
      <c r="AF77" s="15"/>
      <c r="AG77" s="15"/>
      <c r="AH77" s="99"/>
      <c r="AI77" s="15"/>
      <c r="AJ77" s="15">
        <v>52</v>
      </c>
      <c r="AK77" s="15">
        <v>222</v>
      </c>
      <c r="AL77" s="98">
        <f t="shared" si="17"/>
        <v>137</v>
      </c>
      <c r="AM77" s="15"/>
      <c r="AN77" s="15">
        <v>138</v>
      </c>
      <c r="AO77" s="15">
        <v>269</v>
      </c>
      <c r="AP77" s="98">
        <f t="shared" si="18"/>
        <v>203.5</v>
      </c>
      <c r="AQ77" s="15"/>
      <c r="AR77" s="15">
        <v>99</v>
      </c>
      <c r="AS77" s="15">
        <v>221</v>
      </c>
      <c r="AT77" s="98">
        <f t="shared" si="19"/>
        <v>160</v>
      </c>
      <c r="AU77" s="15"/>
      <c r="AV77" s="15">
        <v>41</v>
      </c>
      <c r="AW77" s="15">
        <v>102</v>
      </c>
      <c r="AX77" s="48">
        <f t="shared" si="20"/>
        <v>71.5</v>
      </c>
    </row>
    <row r="78" spans="1:50" ht="10.199999999999999" customHeight="1" x14ac:dyDescent="0.25">
      <c r="A78" s="14">
        <f t="shared" si="24"/>
        <v>36</v>
      </c>
      <c r="B78" s="102">
        <f t="shared" si="22"/>
        <v>36045</v>
      </c>
      <c r="C78" s="103">
        <v>36043</v>
      </c>
      <c r="D78" s="14">
        <v>-9</v>
      </c>
      <c r="E78" s="14">
        <v>36</v>
      </c>
      <c r="F78" s="48">
        <f t="shared" si="21"/>
        <v>13.5</v>
      </c>
      <c r="G78" s="14"/>
      <c r="H78" s="14">
        <v>-24</v>
      </c>
      <c r="I78" s="14">
        <v>25</v>
      </c>
      <c r="J78" s="48">
        <f t="shared" si="23"/>
        <v>0.5</v>
      </c>
      <c r="K78" s="14"/>
      <c r="L78" s="13"/>
      <c r="M78" s="13"/>
      <c r="N78" s="97"/>
      <c r="O78" s="13"/>
      <c r="P78" s="13"/>
      <c r="Q78" s="13"/>
      <c r="R78" s="97"/>
      <c r="S78" s="13"/>
      <c r="T78" s="13"/>
      <c r="U78" s="13"/>
      <c r="V78" s="97"/>
      <c r="W78" s="13"/>
      <c r="X78" s="13"/>
      <c r="Y78" s="13"/>
      <c r="Z78" s="97"/>
      <c r="AA78" s="13"/>
      <c r="AB78" s="15"/>
      <c r="AC78" s="15"/>
      <c r="AD78" s="99"/>
      <c r="AE78" s="15"/>
      <c r="AF78" s="15"/>
      <c r="AG78" s="15"/>
      <c r="AH78" s="99"/>
      <c r="AI78" s="15"/>
      <c r="AJ78" s="15">
        <v>34</v>
      </c>
      <c r="AK78" s="15">
        <v>158</v>
      </c>
      <c r="AL78" s="98">
        <f t="shared" si="17"/>
        <v>96</v>
      </c>
      <c r="AM78" s="15"/>
      <c r="AN78" s="15">
        <v>102</v>
      </c>
      <c r="AO78" s="15">
        <v>232</v>
      </c>
      <c r="AP78" s="98">
        <f t="shared" si="18"/>
        <v>167</v>
      </c>
      <c r="AQ78" s="15"/>
      <c r="AR78" s="15">
        <v>56</v>
      </c>
      <c r="AS78" s="15">
        <v>157</v>
      </c>
      <c r="AT78" s="98">
        <f t="shared" si="19"/>
        <v>106.5</v>
      </c>
      <c r="AU78" s="15"/>
      <c r="AV78" s="15">
        <v>-5</v>
      </c>
      <c r="AW78" s="15">
        <v>59</v>
      </c>
      <c r="AX78" s="48">
        <f t="shared" si="20"/>
        <v>27</v>
      </c>
    </row>
    <row r="79" spans="1:50" ht="10.199999999999999" customHeight="1" x14ac:dyDescent="0.25">
      <c r="A79" s="14">
        <f t="shared" si="24"/>
        <v>37</v>
      </c>
      <c r="B79" s="102">
        <f t="shared" si="22"/>
        <v>36052</v>
      </c>
      <c r="C79" s="103">
        <v>36050</v>
      </c>
      <c r="D79" s="14">
        <v>-9</v>
      </c>
      <c r="E79" s="14">
        <v>36</v>
      </c>
      <c r="F79" s="48">
        <f t="shared" si="21"/>
        <v>13.5</v>
      </c>
      <c r="G79" s="14"/>
      <c r="H79" s="14">
        <v>-24</v>
      </c>
      <c r="I79" s="14">
        <v>25</v>
      </c>
      <c r="J79" s="48">
        <f t="shared" si="23"/>
        <v>0.5</v>
      </c>
      <c r="K79" s="14"/>
      <c r="L79" s="13"/>
      <c r="M79" s="13"/>
      <c r="N79" s="97"/>
      <c r="O79" s="13"/>
      <c r="P79" s="13"/>
      <c r="Q79" s="13"/>
      <c r="R79" s="97"/>
      <c r="S79" s="13"/>
      <c r="T79" s="13"/>
      <c r="U79" s="13"/>
      <c r="V79" s="97"/>
      <c r="W79" s="13"/>
      <c r="X79" s="13"/>
      <c r="Y79" s="13"/>
      <c r="Z79" s="97"/>
      <c r="AA79" s="13"/>
      <c r="AB79" s="15"/>
      <c r="AC79" s="15"/>
      <c r="AD79" s="99"/>
      <c r="AE79" s="15"/>
      <c r="AF79" s="15"/>
      <c r="AG79" s="15"/>
      <c r="AH79" s="99"/>
      <c r="AI79" s="15"/>
      <c r="AJ79" s="15">
        <v>34</v>
      </c>
      <c r="AK79" s="15">
        <v>158</v>
      </c>
      <c r="AL79" s="98">
        <f t="shared" si="17"/>
        <v>96</v>
      </c>
      <c r="AM79" s="15"/>
      <c r="AN79" s="15">
        <v>102</v>
      </c>
      <c r="AO79" s="15">
        <v>232</v>
      </c>
      <c r="AP79" s="98">
        <f t="shared" si="18"/>
        <v>167</v>
      </c>
      <c r="AQ79" s="15"/>
      <c r="AR79" s="15">
        <v>56</v>
      </c>
      <c r="AS79" s="15">
        <v>157</v>
      </c>
      <c r="AT79" s="98">
        <f t="shared" si="19"/>
        <v>106.5</v>
      </c>
      <c r="AU79" s="15"/>
      <c r="AV79" s="15">
        <v>-5</v>
      </c>
      <c r="AW79" s="15">
        <v>59</v>
      </c>
      <c r="AX79" s="48">
        <f t="shared" si="20"/>
        <v>27</v>
      </c>
    </row>
    <row r="80" spans="1:50" ht="10.199999999999999" customHeight="1" x14ac:dyDescent="0.25">
      <c r="A80" s="14">
        <f t="shared" si="24"/>
        <v>38</v>
      </c>
      <c r="B80" s="102">
        <f t="shared" si="22"/>
        <v>36059</v>
      </c>
      <c r="C80" s="103">
        <v>36057</v>
      </c>
      <c r="D80" s="47">
        <v>-60</v>
      </c>
      <c r="E80" s="47">
        <v>4</v>
      </c>
      <c r="F80" s="98">
        <f t="shared" si="21"/>
        <v>-28</v>
      </c>
      <c r="G80" s="47"/>
      <c r="H80" s="47">
        <v>-64</v>
      </c>
      <c r="I80" s="47">
        <v>8</v>
      </c>
      <c r="J80" s="98">
        <f t="shared" si="23"/>
        <v>-28</v>
      </c>
      <c r="K80" s="47"/>
      <c r="L80" s="47">
        <v>-59</v>
      </c>
      <c r="M80" s="47">
        <v>9</v>
      </c>
      <c r="N80" s="98">
        <f t="shared" ref="N80:N104" si="25">AVERAGE(L80,M80)</f>
        <v>-25</v>
      </c>
      <c r="O80" s="47"/>
      <c r="P80" s="15"/>
      <c r="Q80" s="15"/>
      <c r="R80" s="99"/>
      <c r="S80" s="15"/>
      <c r="T80" s="15"/>
      <c r="U80" s="15"/>
      <c r="V80" s="99"/>
      <c r="W80" s="15"/>
      <c r="X80" s="15"/>
      <c r="Y80" s="15"/>
      <c r="Z80" s="97"/>
      <c r="AA80" s="13"/>
      <c r="AB80" s="15"/>
      <c r="AC80" s="15"/>
      <c r="AD80" s="99"/>
      <c r="AE80" s="15"/>
      <c r="AF80" s="15"/>
      <c r="AG80" s="15"/>
      <c r="AH80" s="99"/>
      <c r="AI80" s="15"/>
      <c r="AJ80" s="15"/>
      <c r="AK80" s="15"/>
      <c r="AL80" s="99"/>
      <c r="AM80" s="15"/>
      <c r="AN80" s="15">
        <v>57</v>
      </c>
      <c r="AO80" s="15">
        <v>155</v>
      </c>
      <c r="AP80" s="98">
        <f t="shared" si="18"/>
        <v>106</v>
      </c>
      <c r="AQ80" s="15"/>
      <c r="AR80" s="15">
        <v>-12</v>
      </c>
      <c r="AS80" s="15">
        <v>29</v>
      </c>
      <c r="AT80" s="98">
        <f t="shared" si="19"/>
        <v>8.5</v>
      </c>
      <c r="AU80" s="15"/>
      <c r="AV80" s="15">
        <v>-48</v>
      </c>
      <c r="AW80" s="15">
        <v>6</v>
      </c>
      <c r="AX80" s="48">
        <f t="shared" si="20"/>
        <v>-21</v>
      </c>
    </row>
    <row r="81" spans="1:50" ht="10.199999999999999" customHeight="1" x14ac:dyDescent="0.25">
      <c r="A81" s="14">
        <f t="shared" si="24"/>
        <v>39</v>
      </c>
      <c r="B81" s="102">
        <f t="shared" si="22"/>
        <v>36066</v>
      </c>
      <c r="C81" s="103">
        <v>36064</v>
      </c>
      <c r="D81" s="47">
        <v>-28</v>
      </c>
      <c r="E81" s="47">
        <v>6</v>
      </c>
      <c r="F81" s="98">
        <f t="shared" si="21"/>
        <v>-11</v>
      </c>
      <c r="G81" s="47"/>
      <c r="H81" s="47">
        <v>-44</v>
      </c>
      <c r="I81" s="47">
        <v>11</v>
      </c>
      <c r="J81" s="98">
        <f t="shared" si="23"/>
        <v>-16.5</v>
      </c>
      <c r="K81" s="47"/>
      <c r="L81" s="47">
        <v>-39</v>
      </c>
      <c r="M81" s="47">
        <v>15</v>
      </c>
      <c r="N81" s="98">
        <f t="shared" si="25"/>
        <v>-12</v>
      </c>
      <c r="O81" s="47"/>
      <c r="P81" s="15"/>
      <c r="Q81" s="15"/>
      <c r="R81" s="99"/>
      <c r="S81" s="15"/>
      <c r="T81" s="15"/>
      <c r="U81" s="15"/>
      <c r="V81" s="99"/>
      <c r="W81" s="15"/>
      <c r="X81" s="15"/>
      <c r="Y81" s="15"/>
      <c r="Z81" s="97"/>
      <c r="AA81" s="13"/>
      <c r="AB81" s="15"/>
      <c r="AC81" s="15"/>
      <c r="AD81" s="99"/>
      <c r="AE81" s="15"/>
      <c r="AF81" s="15"/>
      <c r="AG81" s="15"/>
      <c r="AH81" s="99"/>
      <c r="AI81" s="15"/>
      <c r="AJ81" s="15"/>
      <c r="AK81" s="15"/>
      <c r="AL81" s="99"/>
      <c r="AM81" s="15"/>
      <c r="AN81" s="15">
        <v>120</v>
      </c>
      <c r="AO81" s="15">
        <v>179</v>
      </c>
      <c r="AP81" s="98">
        <f t="shared" si="18"/>
        <v>149.5</v>
      </c>
      <c r="AQ81" s="15"/>
      <c r="AR81" s="15">
        <v>33</v>
      </c>
      <c r="AS81" s="15">
        <v>52</v>
      </c>
      <c r="AT81" s="98">
        <f t="shared" si="19"/>
        <v>42.5</v>
      </c>
      <c r="AU81" s="15"/>
      <c r="AV81" s="15">
        <v>-14</v>
      </c>
      <c r="AW81" s="15">
        <v>14</v>
      </c>
      <c r="AX81" s="48">
        <f t="shared" si="20"/>
        <v>0</v>
      </c>
    </row>
    <row r="82" spans="1:50" ht="10.199999999999999" customHeight="1" x14ac:dyDescent="0.25">
      <c r="A82" s="14">
        <f t="shared" si="24"/>
        <v>40</v>
      </c>
      <c r="B82" s="102">
        <f t="shared" si="22"/>
        <v>36073</v>
      </c>
      <c r="C82" s="103">
        <v>36071</v>
      </c>
      <c r="D82" s="47">
        <v>-7</v>
      </c>
      <c r="E82" s="47">
        <v>9</v>
      </c>
      <c r="F82" s="98">
        <f t="shared" si="21"/>
        <v>1</v>
      </c>
      <c r="G82" s="47"/>
      <c r="H82" s="47">
        <v>-25</v>
      </c>
      <c r="I82" s="47">
        <v>9</v>
      </c>
      <c r="J82" s="98">
        <f t="shared" si="23"/>
        <v>-8</v>
      </c>
      <c r="K82" s="47"/>
      <c r="L82" s="47">
        <v>-20</v>
      </c>
      <c r="M82" s="47">
        <v>13</v>
      </c>
      <c r="N82" s="98">
        <f t="shared" si="25"/>
        <v>-3.5</v>
      </c>
      <c r="O82" s="47"/>
      <c r="P82" s="15"/>
      <c r="Q82" s="15"/>
      <c r="R82" s="99"/>
      <c r="S82" s="15"/>
      <c r="T82" s="15"/>
      <c r="U82" s="15"/>
      <c r="V82" s="99"/>
      <c r="W82" s="15"/>
      <c r="X82" s="15"/>
      <c r="Y82" s="15"/>
      <c r="Z82" s="97"/>
      <c r="AA82" s="13"/>
      <c r="AB82" s="15"/>
      <c r="AC82" s="15"/>
      <c r="AD82" s="99"/>
      <c r="AE82" s="15"/>
      <c r="AF82" s="15"/>
      <c r="AG82" s="15"/>
      <c r="AH82" s="99"/>
      <c r="AI82" s="15"/>
      <c r="AJ82" s="15"/>
      <c r="AK82" s="15"/>
      <c r="AL82" s="99"/>
      <c r="AM82" s="15"/>
      <c r="AN82" s="15">
        <v>170</v>
      </c>
      <c r="AO82" s="15">
        <v>181</v>
      </c>
      <c r="AP82" s="98">
        <f t="shared" si="18"/>
        <v>175.5</v>
      </c>
      <c r="AQ82" s="15"/>
      <c r="AR82" s="15">
        <v>63</v>
      </c>
      <c r="AS82" s="15">
        <v>82</v>
      </c>
      <c r="AT82" s="98">
        <f t="shared" si="19"/>
        <v>72.5</v>
      </c>
      <c r="AU82" s="15"/>
      <c r="AV82" s="15">
        <v>10</v>
      </c>
      <c r="AW82" s="15">
        <v>18</v>
      </c>
      <c r="AX82" s="48">
        <f t="shared" si="20"/>
        <v>14</v>
      </c>
    </row>
    <row r="83" spans="1:50" ht="10.199999999999999" customHeight="1" x14ac:dyDescent="0.25">
      <c r="A83" s="14">
        <f t="shared" si="24"/>
        <v>41</v>
      </c>
      <c r="B83" s="102">
        <f t="shared" si="22"/>
        <v>36080</v>
      </c>
      <c r="C83" s="103">
        <v>36078</v>
      </c>
      <c r="D83" s="47">
        <v>-6</v>
      </c>
      <c r="E83" s="47">
        <v>7</v>
      </c>
      <c r="F83" s="98">
        <f t="shared" si="21"/>
        <v>0.5</v>
      </c>
      <c r="G83" s="47"/>
      <c r="H83" s="47"/>
      <c r="I83" s="47">
        <v>9</v>
      </c>
      <c r="J83" s="98">
        <f t="shared" si="23"/>
        <v>9</v>
      </c>
      <c r="K83" s="47"/>
      <c r="L83" s="47">
        <v>-10</v>
      </c>
      <c r="M83" s="47">
        <v>12</v>
      </c>
      <c r="N83" s="98">
        <f t="shared" si="25"/>
        <v>1</v>
      </c>
      <c r="O83" s="47"/>
      <c r="P83" s="15"/>
      <c r="Q83" s="15"/>
      <c r="R83" s="99"/>
      <c r="S83" s="15"/>
      <c r="T83" s="15"/>
      <c r="U83" s="15"/>
      <c r="V83" s="99"/>
      <c r="W83" s="15"/>
      <c r="X83" s="15"/>
      <c r="Y83" s="15"/>
      <c r="Z83" s="97"/>
      <c r="AA83" s="13"/>
      <c r="AB83" s="15"/>
      <c r="AC83" s="15"/>
      <c r="AD83" s="99"/>
      <c r="AE83" s="15"/>
      <c r="AF83" s="15"/>
      <c r="AG83" s="15"/>
      <c r="AH83" s="99"/>
      <c r="AI83" s="15"/>
      <c r="AJ83" s="15"/>
      <c r="AK83" s="15"/>
      <c r="AL83" s="99"/>
      <c r="AM83" s="15"/>
      <c r="AN83" s="15">
        <v>181</v>
      </c>
      <c r="AO83" s="15">
        <v>21</v>
      </c>
      <c r="AP83" s="98">
        <f t="shared" si="18"/>
        <v>101</v>
      </c>
      <c r="AQ83" s="15"/>
      <c r="AR83" s="15">
        <v>88</v>
      </c>
      <c r="AS83" s="15">
        <v>61</v>
      </c>
      <c r="AT83" s="98">
        <f t="shared" si="19"/>
        <v>74.5</v>
      </c>
      <c r="AU83" s="15"/>
      <c r="AV83" s="15">
        <v>17</v>
      </c>
      <c r="AW83" s="15">
        <v>13</v>
      </c>
      <c r="AX83" s="48">
        <f t="shared" si="20"/>
        <v>15</v>
      </c>
    </row>
    <row r="84" spans="1:50" ht="10.199999999999999" customHeight="1" x14ac:dyDescent="0.25">
      <c r="A84" s="14">
        <f t="shared" si="24"/>
        <v>42</v>
      </c>
      <c r="B84" s="102">
        <f t="shared" si="22"/>
        <v>36087</v>
      </c>
      <c r="C84" s="103">
        <v>36085</v>
      </c>
      <c r="D84" s="47"/>
      <c r="E84" s="47">
        <v>15</v>
      </c>
      <c r="F84" s="98">
        <f t="shared" si="21"/>
        <v>15</v>
      </c>
      <c r="G84" s="47"/>
      <c r="H84" s="47">
        <v>-11</v>
      </c>
      <c r="I84" s="47">
        <v>11</v>
      </c>
      <c r="J84" s="98">
        <f t="shared" si="23"/>
        <v>0</v>
      </c>
      <c r="K84" s="47"/>
      <c r="L84" s="47">
        <v>-23</v>
      </c>
      <c r="M84" s="47">
        <v>15</v>
      </c>
      <c r="N84" s="98">
        <f t="shared" si="25"/>
        <v>-4</v>
      </c>
      <c r="O84" s="47"/>
      <c r="P84" s="47">
        <v>-26</v>
      </c>
      <c r="Q84" s="47"/>
      <c r="R84" s="98">
        <f t="shared" ref="R84:R109" si="26">AVERAGE(P84,Q84)</f>
        <v>-26</v>
      </c>
      <c r="S84" s="47"/>
      <c r="T84" s="15"/>
      <c r="U84" s="15"/>
      <c r="V84" s="99"/>
      <c r="W84" s="15"/>
      <c r="X84" s="15"/>
      <c r="Y84" s="15"/>
      <c r="Z84" s="97"/>
      <c r="AA84" s="13"/>
      <c r="AB84" s="15"/>
      <c r="AC84" s="15"/>
      <c r="AD84" s="99"/>
      <c r="AE84" s="15"/>
      <c r="AF84" s="15"/>
      <c r="AG84" s="15"/>
      <c r="AH84" s="99"/>
      <c r="AI84" s="15"/>
      <c r="AJ84" s="15"/>
      <c r="AK84" s="15"/>
      <c r="AL84" s="99"/>
      <c r="AM84" s="15"/>
      <c r="AN84" s="15"/>
      <c r="AO84" s="15"/>
      <c r="AP84" s="99"/>
      <c r="AQ84" s="15"/>
      <c r="AR84" s="15">
        <v>92</v>
      </c>
      <c r="AS84" s="15">
        <v>16</v>
      </c>
      <c r="AT84" s="98">
        <f t="shared" si="19"/>
        <v>54</v>
      </c>
      <c r="AU84" s="15"/>
      <c r="AV84" s="15">
        <v>23</v>
      </c>
      <c r="AW84" s="15">
        <v>7</v>
      </c>
      <c r="AX84" s="48">
        <f t="shared" si="20"/>
        <v>15</v>
      </c>
    </row>
    <row r="85" spans="1:50" ht="10.199999999999999" customHeight="1" x14ac:dyDescent="0.25">
      <c r="A85" s="14">
        <f t="shared" si="24"/>
        <v>43</v>
      </c>
      <c r="B85" s="102">
        <f t="shared" si="22"/>
        <v>36094</v>
      </c>
      <c r="C85" s="103">
        <v>36092</v>
      </c>
      <c r="D85" s="47">
        <v>-9</v>
      </c>
      <c r="E85" s="47">
        <v>9</v>
      </c>
      <c r="F85" s="98">
        <f t="shared" si="21"/>
        <v>0</v>
      </c>
      <c r="G85" s="47"/>
      <c r="H85" s="47">
        <v>-19</v>
      </c>
      <c r="I85" s="47">
        <v>15</v>
      </c>
      <c r="J85" s="98">
        <f t="shared" si="23"/>
        <v>-2</v>
      </c>
      <c r="K85" s="47"/>
      <c r="L85" s="47">
        <v>-32</v>
      </c>
      <c r="M85" s="47">
        <v>11</v>
      </c>
      <c r="N85" s="98">
        <f t="shared" si="25"/>
        <v>-10.5</v>
      </c>
      <c r="O85" s="47"/>
      <c r="P85" s="47">
        <v>-37</v>
      </c>
      <c r="Q85" s="47">
        <v>3</v>
      </c>
      <c r="R85" s="98">
        <f t="shared" si="26"/>
        <v>-17</v>
      </c>
      <c r="S85" s="47"/>
      <c r="T85" s="15"/>
      <c r="U85" s="15"/>
      <c r="V85" s="99"/>
      <c r="W85" s="15"/>
      <c r="X85" s="15"/>
      <c r="Y85" s="15"/>
      <c r="Z85" s="97"/>
      <c r="AA85" s="13"/>
      <c r="AB85" s="15"/>
      <c r="AC85" s="15"/>
      <c r="AD85" s="99"/>
      <c r="AE85" s="15"/>
      <c r="AF85" s="15"/>
      <c r="AG85" s="15"/>
      <c r="AH85" s="99"/>
      <c r="AI85" s="15"/>
      <c r="AJ85" s="15"/>
      <c r="AK85" s="15"/>
      <c r="AL85" s="99"/>
      <c r="AM85" s="15"/>
      <c r="AN85" s="15"/>
      <c r="AO85" s="15"/>
      <c r="AP85" s="99"/>
      <c r="AQ85" s="15"/>
      <c r="AR85" s="15">
        <v>55</v>
      </c>
      <c r="AS85" s="15">
        <v>28</v>
      </c>
      <c r="AT85" s="98">
        <f t="shared" si="19"/>
        <v>41.5</v>
      </c>
      <c r="AU85" s="15"/>
      <c r="AV85" s="15">
        <v>15</v>
      </c>
      <c r="AW85" s="15"/>
      <c r="AX85" s="48">
        <f t="shared" si="20"/>
        <v>15</v>
      </c>
    </row>
    <row r="86" spans="1:50" ht="10.199999999999999" customHeight="1" x14ac:dyDescent="0.25">
      <c r="A86" s="14">
        <f t="shared" si="24"/>
        <v>44</v>
      </c>
      <c r="B86" s="102">
        <f t="shared" si="22"/>
        <v>36101</v>
      </c>
      <c r="C86" s="103">
        <v>36099</v>
      </c>
      <c r="D86" s="47">
        <v>-8</v>
      </c>
      <c r="E86" s="47">
        <v>13</v>
      </c>
      <c r="F86" s="98">
        <f t="shared" si="21"/>
        <v>2.5</v>
      </c>
      <c r="G86" s="47"/>
      <c r="H86" s="47">
        <v>-16</v>
      </c>
      <c r="I86" s="47">
        <v>11</v>
      </c>
      <c r="J86" s="98">
        <f t="shared" si="23"/>
        <v>-2.5</v>
      </c>
      <c r="K86" s="47"/>
      <c r="L86" s="47">
        <v>-27</v>
      </c>
      <c r="M86" s="47">
        <v>11</v>
      </c>
      <c r="N86" s="98">
        <f t="shared" si="25"/>
        <v>-8</v>
      </c>
      <c r="O86" s="47"/>
      <c r="P86" s="47">
        <v>-48</v>
      </c>
      <c r="Q86" s="47">
        <v>4</v>
      </c>
      <c r="R86" s="98">
        <f t="shared" si="26"/>
        <v>-22</v>
      </c>
      <c r="S86" s="47"/>
      <c r="T86" s="15"/>
      <c r="U86" s="15"/>
      <c r="V86" s="99"/>
      <c r="W86" s="15"/>
      <c r="X86" s="15"/>
      <c r="Y86" s="15"/>
      <c r="Z86" s="97"/>
      <c r="AA86" s="13"/>
      <c r="AB86" s="15"/>
      <c r="AC86" s="15"/>
      <c r="AD86" s="99"/>
      <c r="AE86" s="15"/>
      <c r="AF86" s="15"/>
      <c r="AG86" s="15"/>
      <c r="AH86" s="99"/>
      <c r="AI86" s="15"/>
      <c r="AJ86" s="15"/>
      <c r="AK86" s="15"/>
      <c r="AL86" s="99"/>
      <c r="AM86" s="15"/>
      <c r="AN86" s="15"/>
      <c r="AO86" s="15"/>
      <c r="AP86" s="99"/>
      <c r="AQ86" s="15"/>
      <c r="AR86" s="15">
        <v>30</v>
      </c>
      <c r="AS86" s="15">
        <v>18</v>
      </c>
      <c r="AT86" s="98">
        <f t="shared" si="19"/>
        <v>24</v>
      </c>
      <c r="AU86" s="15"/>
      <c r="AV86" s="15">
        <v>0</v>
      </c>
      <c r="AW86" s="15">
        <v>7</v>
      </c>
      <c r="AX86" s="48">
        <f t="shared" si="20"/>
        <v>3.5</v>
      </c>
    </row>
    <row r="87" spans="1:50" ht="10.199999999999999" customHeight="1" x14ac:dyDescent="0.25">
      <c r="A87" s="14">
        <f t="shared" si="24"/>
        <v>45</v>
      </c>
      <c r="B87" s="102">
        <f t="shared" si="22"/>
        <v>36108</v>
      </c>
      <c r="C87" s="103">
        <v>36106</v>
      </c>
      <c r="D87" s="47">
        <v>-12</v>
      </c>
      <c r="E87" s="47">
        <v>-1</v>
      </c>
      <c r="F87" s="98">
        <f t="shared" si="21"/>
        <v>-6.5</v>
      </c>
      <c r="G87" s="47"/>
      <c r="H87" s="47">
        <v>-21</v>
      </c>
      <c r="I87" s="47">
        <v>3</v>
      </c>
      <c r="J87" s="98">
        <f t="shared" si="23"/>
        <v>-9</v>
      </c>
      <c r="K87" s="47"/>
      <c r="L87" s="47">
        <v>-49</v>
      </c>
      <c r="M87" s="47">
        <v>-1</v>
      </c>
      <c r="N87" s="98">
        <f t="shared" si="25"/>
        <v>-25</v>
      </c>
      <c r="O87" s="47"/>
      <c r="P87" s="47">
        <v>-67</v>
      </c>
      <c r="Q87" s="47">
        <v>2</v>
      </c>
      <c r="R87" s="98">
        <f t="shared" si="26"/>
        <v>-32.5</v>
      </c>
      <c r="S87" s="47"/>
      <c r="T87" s="15"/>
      <c r="U87" s="15"/>
      <c r="V87" s="99"/>
      <c r="W87" s="15"/>
      <c r="X87" s="15"/>
      <c r="Y87" s="15"/>
      <c r="Z87" s="97"/>
      <c r="AA87" s="13"/>
      <c r="AB87" s="15"/>
      <c r="AC87" s="15"/>
      <c r="AD87" s="99"/>
      <c r="AE87" s="15"/>
      <c r="AF87" s="15"/>
      <c r="AG87" s="15"/>
      <c r="AH87" s="99"/>
      <c r="AI87" s="15"/>
      <c r="AJ87" s="15"/>
      <c r="AK87" s="15"/>
      <c r="AL87" s="99"/>
      <c r="AM87" s="15"/>
      <c r="AN87" s="15"/>
      <c r="AO87" s="15"/>
      <c r="AP87" s="99"/>
      <c r="AQ87" s="15"/>
      <c r="AR87" s="15"/>
      <c r="AS87" s="15"/>
      <c r="AT87" s="98"/>
      <c r="AU87" s="15"/>
      <c r="AV87" s="15">
        <v>-1</v>
      </c>
      <c r="AW87" s="15">
        <v>-4</v>
      </c>
      <c r="AX87" s="48">
        <f t="shared" si="20"/>
        <v>-2.5</v>
      </c>
    </row>
    <row r="88" spans="1:50" ht="10.199999999999999" customHeight="1" x14ac:dyDescent="0.25">
      <c r="A88" s="14">
        <f t="shared" si="24"/>
        <v>46</v>
      </c>
      <c r="B88" s="102">
        <f t="shared" si="22"/>
        <v>36115</v>
      </c>
      <c r="C88" s="103">
        <v>36113</v>
      </c>
      <c r="D88" s="47">
        <v>-19</v>
      </c>
      <c r="E88" s="47">
        <v>1</v>
      </c>
      <c r="F88" s="98">
        <f t="shared" si="21"/>
        <v>-9</v>
      </c>
      <c r="G88" s="47"/>
      <c r="H88" s="47">
        <v>-20</v>
      </c>
      <c r="I88" s="47">
        <v>4</v>
      </c>
      <c r="J88" s="98">
        <f t="shared" si="23"/>
        <v>-8</v>
      </c>
      <c r="K88" s="47"/>
      <c r="L88" s="47">
        <v>-56</v>
      </c>
      <c r="M88" s="47">
        <v>1</v>
      </c>
      <c r="N88" s="98">
        <f t="shared" si="25"/>
        <v>-27.5</v>
      </c>
      <c r="O88" s="47"/>
      <c r="P88" s="47">
        <v>-45</v>
      </c>
      <c r="Q88" s="47">
        <v>3</v>
      </c>
      <c r="R88" s="98">
        <f t="shared" si="26"/>
        <v>-21</v>
      </c>
      <c r="S88" s="47"/>
      <c r="T88" s="15"/>
      <c r="U88" s="15"/>
      <c r="V88" s="99"/>
      <c r="W88" s="15"/>
      <c r="X88" s="15"/>
      <c r="Y88" s="15"/>
      <c r="Z88" s="97"/>
      <c r="AA88" s="13"/>
      <c r="AB88" s="15"/>
      <c r="AC88" s="15"/>
      <c r="AD88" s="99"/>
      <c r="AE88" s="15"/>
      <c r="AF88" s="15"/>
      <c r="AG88" s="15"/>
      <c r="AH88" s="99"/>
      <c r="AI88" s="15"/>
      <c r="AJ88" s="15"/>
      <c r="AK88" s="15"/>
      <c r="AL88" s="99"/>
      <c r="AM88" s="15"/>
      <c r="AN88" s="15"/>
      <c r="AO88" s="15"/>
      <c r="AP88" s="99"/>
      <c r="AQ88" s="15"/>
      <c r="AR88" s="15"/>
      <c r="AS88" s="15">
        <v>13</v>
      </c>
      <c r="AT88" s="98">
        <f>AVERAGE(AR88,AS88)</f>
        <v>13</v>
      </c>
      <c r="AU88" s="15"/>
      <c r="AV88" s="15">
        <v>2</v>
      </c>
      <c r="AW88" s="15">
        <v>-2</v>
      </c>
      <c r="AX88" s="48">
        <f t="shared" si="20"/>
        <v>0</v>
      </c>
    </row>
    <row r="89" spans="1:50" ht="10.199999999999999" customHeight="1" x14ac:dyDescent="0.25">
      <c r="A89" s="14">
        <f t="shared" si="24"/>
        <v>47</v>
      </c>
      <c r="B89" s="102">
        <f t="shared" si="22"/>
        <v>36122</v>
      </c>
      <c r="C89" s="103">
        <v>36120</v>
      </c>
      <c r="D89" s="47">
        <v>-17</v>
      </c>
      <c r="E89" s="47">
        <v>9</v>
      </c>
      <c r="F89" s="98">
        <f t="shared" si="21"/>
        <v>-4</v>
      </c>
      <c r="G89" s="47"/>
      <c r="H89" s="47">
        <v>-26</v>
      </c>
      <c r="I89" s="47">
        <v>9</v>
      </c>
      <c r="J89" s="98">
        <f t="shared" si="23"/>
        <v>-8.5</v>
      </c>
      <c r="K89" s="47"/>
      <c r="L89" s="47">
        <v>-45</v>
      </c>
      <c r="M89" s="47">
        <v>8</v>
      </c>
      <c r="N89" s="98">
        <f t="shared" si="25"/>
        <v>-18.5</v>
      </c>
      <c r="O89" s="47"/>
      <c r="P89" s="47">
        <v>-43</v>
      </c>
      <c r="Q89" s="47">
        <v>1</v>
      </c>
      <c r="R89" s="98">
        <f t="shared" si="26"/>
        <v>-21</v>
      </c>
      <c r="S89" s="47"/>
      <c r="T89" s="47">
        <v>-46</v>
      </c>
      <c r="U89" s="47"/>
      <c r="V89" s="98">
        <f t="shared" ref="V89:V113" si="27">AVERAGE(T89,U89)</f>
        <v>-46</v>
      </c>
      <c r="W89" s="47"/>
      <c r="X89" s="15"/>
      <c r="Y89" s="15"/>
      <c r="Z89" s="97"/>
      <c r="AA89" s="13"/>
      <c r="AB89" s="15"/>
      <c r="AC89" s="15"/>
      <c r="AD89" s="99"/>
      <c r="AE89" s="15"/>
      <c r="AF89" s="15"/>
      <c r="AG89" s="15"/>
      <c r="AH89" s="99"/>
      <c r="AI89" s="15"/>
      <c r="AJ89" s="15"/>
      <c r="AK89" s="15"/>
      <c r="AL89" s="99"/>
      <c r="AM89" s="15"/>
      <c r="AN89" s="15"/>
      <c r="AO89" s="15"/>
      <c r="AP89" s="99"/>
      <c r="AQ89" s="15"/>
      <c r="AR89" s="15"/>
      <c r="AS89" s="15"/>
      <c r="AT89" s="99"/>
      <c r="AU89" s="15"/>
      <c r="AV89" s="15"/>
      <c r="AW89" s="15">
        <v>8</v>
      </c>
      <c r="AX89" s="48">
        <f t="shared" si="20"/>
        <v>8</v>
      </c>
    </row>
    <row r="90" spans="1:50" ht="10.199999999999999" customHeight="1" x14ac:dyDescent="0.25">
      <c r="A90" s="14">
        <f t="shared" si="24"/>
        <v>48</v>
      </c>
      <c r="B90" s="102">
        <f t="shared" si="22"/>
        <v>36129</v>
      </c>
      <c r="C90" s="103">
        <v>36127</v>
      </c>
      <c r="D90" s="47">
        <v>-11</v>
      </c>
      <c r="E90" s="47">
        <v>6</v>
      </c>
      <c r="F90" s="98">
        <f t="shared" si="21"/>
        <v>-2.5</v>
      </c>
      <c r="G90" s="47"/>
      <c r="H90" s="47">
        <v>-19</v>
      </c>
      <c r="I90" s="47">
        <v>4</v>
      </c>
      <c r="J90" s="98">
        <f t="shared" si="23"/>
        <v>-7.5</v>
      </c>
      <c r="K90" s="47"/>
      <c r="L90" s="47">
        <v>-28</v>
      </c>
      <c r="M90" s="47">
        <v>3</v>
      </c>
      <c r="N90" s="98">
        <f t="shared" si="25"/>
        <v>-12.5</v>
      </c>
      <c r="O90" s="47"/>
      <c r="P90" s="47">
        <v>-16</v>
      </c>
      <c r="Q90" s="47">
        <v>1</v>
      </c>
      <c r="R90" s="98">
        <f t="shared" si="26"/>
        <v>-7.5</v>
      </c>
      <c r="S90" s="47"/>
      <c r="T90" s="47">
        <v>-8</v>
      </c>
      <c r="U90" s="47"/>
      <c r="V90" s="98">
        <f t="shared" si="27"/>
        <v>-8</v>
      </c>
      <c r="W90" s="47"/>
      <c r="X90" s="15"/>
      <c r="Y90" s="15"/>
      <c r="Z90" s="97"/>
      <c r="AA90" s="13"/>
      <c r="AB90" s="13"/>
      <c r="AC90" s="13"/>
      <c r="AD90" s="97"/>
      <c r="AE90" s="13"/>
      <c r="AF90" s="13"/>
      <c r="AG90" s="13"/>
      <c r="AH90" s="97"/>
      <c r="AI90" s="13"/>
      <c r="AJ90" s="13"/>
      <c r="AK90" s="13"/>
      <c r="AL90" s="97"/>
      <c r="AM90" s="13"/>
      <c r="AN90" s="13"/>
      <c r="AO90" s="13"/>
      <c r="AP90" s="97"/>
      <c r="AQ90" s="13"/>
      <c r="AR90" s="13"/>
      <c r="AS90" s="13"/>
      <c r="AT90" s="97"/>
      <c r="AU90" s="13"/>
      <c r="AV90" s="15"/>
      <c r="AW90" s="15">
        <v>7</v>
      </c>
      <c r="AX90" s="48">
        <f t="shared" si="20"/>
        <v>7</v>
      </c>
    </row>
    <row r="91" spans="1:50" ht="10.199999999999999" customHeight="1" x14ac:dyDescent="0.25">
      <c r="A91" s="14">
        <f t="shared" si="24"/>
        <v>49</v>
      </c>
      <c r="B91" s="102">
        <f t="shared" si="22"/>
        <v>36136</v>
      </c>
      <c r="C91" s="103">
        <v>36134</v>
      </c>
      <c r="D91" s="47">
        <v>-17</v>
      </c>
      <c r="E91" s="47">
        <v>9</v>
      </c>
      <c r="F91" s="98">
        <f t="shared" si="21"/>
        <v>-4</v>
      </c>
      <c r="G91" s="47"/>
      <c r="H91" s="47">
        <v>-37</v>
      </c>
      <c r="I91" s="47">
        <v>8</v>
      </c>
      <c r="J91" s="98">
        <f t="shared" si="23"/>
        <v>-14.5</v>
      </c>
      <c r="K91" s="47"/>
      <c r="L91" s="47">
        <v>-50</v>
      </c>
      <c r="M91" s="47">
        <v>1</v>
      </c>
      <c r="N91" s="98">
        <f t="shared" si="25"/>
        <v>-24.5</v>
      </c>
      <c r="O91" s="47"/>
      <c r="P91" s="47">
        <v>-43</v>
      </c>
      <c r="Q91" s="47">
        <v>-4</v>
      </c>
      <c r="R91" s="98">
        <f t="shared" si="26"/>
        <v>-23.5</v>
      </c>
      <c r="S91" s="47"/>
      <c r="T91" s="47">
        <v>-47</v>
      </c>
      <c r="U91" s="47">
        <v>-4</v>
      </c>
      <c r="V91" s="98">
        <f t="shared" si="27"/>
        <v>-25.5</v>
      </c>
      <c r="W91" s="47"/>
      <c r="X91" s="15"/>
      <c r="Y91" s="15"/>
      <c r="Z91" s="97"/>
      <c r="AA91" s="13"/>
      <c r="AB91" s="13"/>
      <c r="AC91" s="13"/>
      <c r="AD91" s="97"/>
      <c r="AE91" s="13"/>
      <c r="AF91" s="13"/>
      <c r="AG91" s="13"/>
      <c r="AH91" s="97"/>
      <c r="AI91" s="13"/>
      <c r="AJ91" s="13"/>
      <c r="AK91" s="13"/>
      <c r="AL91" s="97"/>
      <c r="AM91" s="13"/>
      <c r="AN91" s="13"/>
      <c r="AO91" s="13"/>
      <c r="AP91" s="97"/>
      <c r="AQ91" s="13"/>
      <c r="AR91" s="13"/>
      <c r="AS91" s="13"/>
      <c r="AT91" s="97"/>
      <c r="AU91" s="13"/>
      <c r="AV91" s="15"/>
      <c r="AW91" s="15">
        <v>10</v>
      </c>
      <c r="AX91" s="48">
        <f t="shared" si="20"/>
        <v>10</v>
      </c>
    </row>
    <row r="92" spans="1:50" ht="10.199999999999999" customHeight="1" x14ac:dyDescent="0.25">
      <c r="A92" s="14">
        <f t="shared" si="24"/>
        <v>50</v>
      </c>
      <c r="B92" s="102">
        <f t="shared" si="22"/>
        <v>36143</v>
      </c>
      <c r="C92" s="103">
        <v>36141</v>
      </c>
      <c r="D92" s="47">
        <v>-23</v>
      </c>
      <c r="E92" s="47">
        <v>8</v>
      </c>
      <c r="F92" s="98">
        <f t="shared" si="21"/>
        <v>-7.5</v>
      </c>
      <c r="G92" s="47"/>
      <c r="H92" s="47">
        <v>-36</v>
      </c>
      <c r="I92" s="47">
        <v>7</v>
      </c>
      <c r="J92" s="98">
        <f t="shared" si="23"/>
        <v>-14.5</v>
      </c>
      <c r="K92" s="47"/>
      <c r="L92" s="47">
        <v>-42</v>
      </c>
      <c r="M92" s="47">
        <v>1</v>
      </c>
      <c r="N92" s="98">
        <f t="shared" si="25"/>
        <v>-20.5</v>
      </c>
      <c r="O92" s="47"/>
      <c r="P92" s="47">
        <v>-43</v>
      </c>
      <c r="Q92" s="47">
        <v>-4</v>
      </c>
      <c r="R92" s="98">
        <f t="shared" si="26"/>
        <v>-23.5</v>
      </c>
      <c r="S92" s="47"/>
      <c r="T92" s="47">
        <v>-31</v>
      </c>
      <c r="U92" s="47">
        <v>-5</v>
      </c>
      <c r="V92" s="98">
        <f t="shared" si="27"/>
        <v>-18</v>
      </c>
      <c r="W92" s="47"/>
      <c r="X92" s="15"/>
      <c r="Y92" s="15"/>
      <c r="Z92" s="97"/>
      <c r="AA92" s="13"/>
      <c r="AB92" s="13"/>
      <c r="AC92" s="13"/>
      <c r="AD92" s="97"/>
      <c r="AE92" s="13"/>
      <c r="AF92" s="13"/>
      <c r="AG92" s="13"/>
      <c r="AH92" s="97"/>
      <c r="AI92" s="13"/>
      <c r="AJ92" s="13"/>
      <c r="AK92" s="13"/>
      <c r="AL92" s="97"/>
      <c r="AM92" s="13"/>
      <c r="AN92" s="13"/>
      <c r="AO92" s="13"/>
      <c r="AP92" s="97"/>
      <c r="AQ92" s="13"/>
      <c r="AR92" s="13"/>
      <c r="AS92" s="13"/>
      <c r="AT92" s="97"/>
      <c r="AU92" s="13"/>
      <c r="AV92" s="15"/>
      <c r="AW92" s="15">
        <v>6</v>
      </c>
      <c r="AX92" s="48">
        <f t="shared" si="20"/>
        <v>6</v>
      </c>
    </row>
    <row r="93" spans="1:50" ht="10.199999999999999" customHeight="1" x14ac:dyDescent="0.25">
      <c r="A93" s="14">
        <f t="shared" si="24"/>
        <v>51</v>
      </c>
      <c r="B93" s="102">
        <f t="shared" si="22"/>
        <v>36150</v>
      </c>
      <c r="C93" s="103">
        <v>36148</v>
      </c>
      <c r="D93" s="47"/>
      <c r="E93" s="47">
        <v>-1</v>
      </c>
      <c r="F93" s="98">
        <f t="shared" si="21"/>
        <v>-1</v>
      </c>
      <c r="G93" s="47"/>
      <c r="H93" s="47">
        <v>-31</v>
      </c>
      <c r="I93" s="47">
        <v>-4</v>
      </c>
      <c r="J93" s="98">
        <f t="shared" si="23"/>
        <v>-17.5</v>
      </c>
      <c r="K93" s="47"/>
      <c r="L93" s="47">
        <v>-32</v>
      </c>
      <c r="M93" s="47">
        <v>-4</v>
      </c>
      <c r="N93" s="98">
        <f t="shared" si="25"/>
        <v>-18</v>
      </c>
      <c r="O93" s="47"/>
      <c r="P93" s="47">
        <v>-23</v>
      </c>
      <c r="Q93" s="47">
        <v>-7</v>
      </c>
      <c r="R93" s="98">
        <f t="shared" si="26"/>
        <v>-15</v>
      </c>
      <c r="S93" s="47"/>
      <c r="T93" s="47">
        <v>-26</v>
      </c>
      <c r="U93" s="47">
        <v>-3</v>
      </c>
      <c r="V93" s="98">
        <f t="shared" si="27"/>
        <v>-14.5</v>
      </c>
      <c r="W93" s="47"/>
      <c r="X93" s="47">
        <v>-17</v>
      </c>
      <c r="Y93" s="47">
        <v>8</v>
      </c>
      <c r="Z93" s="48">
        <f t="shared" ref="Z93:Z118" si="28">AVERAGE(X93,Y93)</f>
        <v>-4.5</v>
      </c>
      <c r="AA93" s="14"/>
      <c r="AB93" s="13"/>
      <c r="AC93" s="13"/>
      <c r="AD93" s="97"/>
      <c r="AE93" s="13"/>
      <c r="AF93" s="13"/>
      <c r="AG93" s="13"/>
      <c r="AH93" s="97"/>
      <c r="AI93" s="13"/>
      <c r="AJ93" s="13"/>
      <c r="AK93" s="13"/>
      <c r="AL93" s="97"/>
      <c r="AM93" s="13"/>
      <c r="AN93" s="13"/>
      <c r="AO93" s="13"/>
      <c r="AP93" s="97"/>
      <c r="AQ93" s="13"/>
      <c r="AR93" s="13"/>
      <c r="AS93" s="13"/>
      <c r="AT93" s="97"/>
      <c r="AU93" s="13"/>
      <c r="AV93" s="15"/>
      <c r="AW93" s="15"/>
      <c r="AX93" s="49"/>
    </row>
    <row r="94" spans="1:50" ht="10.199999999999999" customHeight="1" x14ac:dyDescent="0.25">
      <c r="A94" s="14">
        <f t="shared" si="24"/>
        <v>52</v>
      </c>
      <c r="B94" s="102">
        <f t="shared" si="22"/>
        <v>36157</v>
      </c>
      <c r="C94" s="103">
        <v>36155</v>
      </c>
      <c r="D94" s="15"/>
      <c r="E94" s="15"/>
      <c r="F94" s="98"/>
      <c r="G94" s="15"/>
      <c r="H94" s="15"/>
      <c r="I94" s="15"/>
      <c r="J94" s="98"/>
      <c r="K94" s="15"/>
      <c r="L94" s="15"/>
      <c r="M94" s="15"/>
      <c r="N94" s="98"/>
      <c r="O94" s="15"/>
      <c r="P94" s="15"/>
      <c r="Q94" s="15"/>
      <c r="R94" s="98"/>
      <c r="S94" s="15"/>
      <c r="T94" s="15"/>
      <c r="U94" s="15"/>
      <c r="V94" s="98"/>
      <c r="W94" s="15"/>
      <c r="X94" s="15"/>
      <c r="Y94" s="15"/>
      <c r="Z94" s="48"/>
      <c r="AA94" s="13"/>
      <c r="AB94" s="13"/>
      <c r="AC94" s="13"/>
      <c r="AD94" s="97"/>
      <c r="AE94" s="13"/>
      <c r="AF94" s="13"/>
      <c r="AG94" s="13"/>
      <c r="AH94" s="97"/>
      <c r="AI94" s="13"/>
      <c r="AJ94" s="13"/>
      <c r="AK94" s="13"/>
      <c r="AL94" s="97"/>
      <c r="AM94" s="13"/>
      <c r="AN94" s="13"/>
      <c r="AO94" s="13"/>
      <c r="AP94" s="97"/>
      <c r="AQ94" s="13"/>
      <c r="AR94" s="13"/>
      <c r="AS94" s="13"/>
      <c r="AT94" s="97"/>
      <c r="AU94" s="13"/>
      <c r="AV94" s="13"/>
      <c r="AW94" s="13"/>
      <c r="AX94" s="49"/>
    </row>
    <row r="95" spans="1:50" ht="10.199999999999999" customHeight="1" x14ac:dyDescent="0.25">
      <c r="A95" s="14">
        <v>1</v>
      </c>
      <c r="B95" s="102">
        <f t="shared" si="22"/>
        <v>36164</v>
      </c>
      <c r="C95" s="103">
        <v>36162</v>
      </c>
      <c r="D95" s="15"/>
      <c r="E95" s="15">
        <v>-1</v>
      </c>
      <c r="F95" s="98">
        <f t="shared" si="21"/>
        <v>-1</v>
      </c>
      <c r="G95" s="15"/>
      <c r="H95" s="15">
        <v>-31</v>
      </c>
      <c r="I95" s="15">
        <v>-4</v>
      </c>
      <c r="J95" s="98">
        <f t="shared" si="23"/>
        <v>-17.5</v>
      </c>
      <c r="K95" s="15"/>
      <c r="L95" s="15">
        <v>-32</v>
      </c>
      <c r="M95" s="15">
        <v>-4</v>
      </c>
      <c r="N95" s="98">
        <f t="shared" si="25"/>
        <v>-18</v>
      </c>
      <c r="O95" s="15"/>
      <c r="P95" s="15"/>
      <c r="Q95" s="15"/>
      <c r="R95" s="98"/>
      <c r="S95" s="15"/>
      <c r="T95" s="15"/>
      <c r="U95" s="15"/>
      <c r="V95" s="98"/>
      <c r="W95" s="15"/>
      <c r="X95" s="15"/>
      <c r="Y95" s="15"/>
      <c r="Z95" s="48"/>
      <c r="AA95" s="13"/>
      <c r="AB95" s="13"/>
      <c r="AC95" s="13"/>
      <c r="AD95" s="97"/>
      <c r="AE95" s="13"/>
      <c r="AF95" s="13"/>
      <c r="AG95" s="13"/>
      <c r="AH95" s="97"/>
      <c r="AI95" s="13"/>
      <c r="AJ95" s="13"/>
      <c r="AK95" s="13"/>
      <c r="AL95" s="97"/>
      <c r="AM95" s="13"/>
      <c r="AN95" s="13"/>
      <c r="AO95" s="13"/>
      <c r="AP95" s="97"/>
      <c r="AQ95" s="13"/>
      <c r="AR95" s="13"/>
      <c r="AS95" s="13"/>
      <c r="AT95" s="97"/>
      <c r="AU95" s="13"/>
      <c r="AV95" s="13"/>
      <c r="AW95" s="13"/>
      <c r="AX95" s="49"/>
    </row>
    <row r="96" spans="1:50" ht="10.199999999999999" customHeight="1" x14ac:dyDescent="0.25">
      <c r="A96" s="14">
        <f t="shared" ref="A96:A127" si="29">+A95+1</f>
        <v>2</v>
      </c>
      <c r="B96" s="102">
        <f>+B97-7-3</f>
        <v>36171</v>
      </c>
      <c r="C96" s="103">
        <v>36169</v>
      </c>
      <c r="D96" s="15">
        <v>-58</v>
      </c>
      <c r="E96" s="15">
        <v>1</v>
      </c>
      <c r="F96" s="98">
        <f t="shared" si="21"/>
        <v>-28.5</v>
      </c>
      <c r="G96" s="15"/>
      <c r="H96" s="15">
        <v>-54</v>
      </c>
      <c r="I96" s="15">
        <v>1</v>
      </c>
      <c r="J96" s="98">
        <f t="shared" si="23"/>
        <v>-26.5</v>
      </c>
      <c r="K96" s="15"/>
      <c r="L96" s="15">
        <v>-54</v>
      </c>
      <c r="M96" s="15">
        <v>-2</v>
      </c>
      <c r="N96" s="98">
        <f t="shared" si="25"/>
        <v>-28</v>
      </c>
      <c r="O96" s="15"/>
      <c r="P96" s="15">
        <v>-66</v>
      </c>
      <c r="Q96" s="15">
        <v>-4</v>
      </c>
      <c r="R96" s="98">
        <f t="shared" si="26"/>
        <v>-35</v>
      </c>
      <c r="S96" s="15"/>
      <c r="T96" s="15">
        <v>-74</v>
      </c>
      <c r="U96" s="15">
        <v>-5</v>
      </c>
      <c r="V96" s="98">
        <f t="shared" si="27"/>
        <v>-39.5</v>
      </c>
      <c r="W96" s="15"/>
      <c r="X96" s="15">
        <v>-26</v>
      </c>
      <c r="Y96" s="15">
        <v>23</v>
      </c>
      <c r="Z96" s="48">
        <f t="shared" si="28"/>
        <v>-1.5</v>
      </c>
      <c r="AA96" s="13"/>
      <c r="AB96" s="13"/>
      <c r="AC96" s="13"/>
      <c r="AD96" s="97"/>
      <c r="AE96" s="13"/>
      <c r="AF96" s="13"/>
      <c r="AG96" s="13"/>
      <c r="AH96" s="97"/>
      <c r="AI96" s="13"/>
      <c r="AJ96" s="13"/>
      <c r="AK96" s="13"/>
      <c r="AL96" s="97"/>
      <c r="AM96" s="13"/>
      <c r="AN96" s="13"/>
      <c r="AO96" s="13"/>
      <c r="AP96" s="97"/>
      <c r="AQ96" s="13"/>
      <c r="AR96" s="13"/>
      <c r="AS96" s="13"/>
      <c r="AT96" s="97"/>
      <c r="AU96" s="13"/>
      <c r="AV96" s="13"/>
      <c r="AW96" s="13"/>
      <c r="AX96" s="49"/>
    </row>
    <row r="97" spans="1:50" ht="10.199999999999999" customHeight="1" x14ac:dyDescent="0.25">
      <c r="A97" s="14">
        <f t="shared" si="29"/>
        <v>3</v>
      </c>
      <c r="B97" s="102">
        <f t="shared" ref="B97:B128" si="30">+B98-7</f>
        <v>36181</v>
      </c>
      <c r="C97" s="103">
        <v>36176</v>
      </c>
      <c r="D97" s="15">
        <v>-101</v>
      </c>
      <c r="E97" s="15">
        <v>0</v>
      </c>
      <c r="F97" s="98">
        <f t="shared" si="21"/>
        <v>-50.5</v>
      </c>
      <c r="G97" s="15"/>
      <c r="H97" s="15">
        <v>-84</v>
      </c>
      <c r="I97" s="15">
        <v>-10</v>
      </c>
      <c r="J97" s="98">
        <f t="shared" si="23"/>
        <v>-47</v>
      </c>
      <c r="K97" s="15"/>
      <c r="L97" s="15">
        <v>-73</v>
      </c>
      <c r="M97" s="15">
        <v>-6</v>
      </c>
      <c r="N97" s="98">
        <f t="shared" si="25"/>
        <v>-39.5</v>
      </c>
      <c r="O97" s="15"/>
      <c r="P97" s="15">
        <v>-78</v>
      </c>
      <c r="Q97" s="15">
        <v>-4</v>
      </c>
      <c r="R97" s="98">
        <f t="shared" si="26"/>
        <v>-41</v>
      </c>
      <c r="S97" s="15"/>
      <c r="T97" s="15">
        <v>-88</v>
      </c>
      <c r="U97" s="15">
        <v>-4</v>
      </c>
      <c r="V97" s="98">
        <f t="shared" si="27"/>
        <v>-46</v>
      </c>
      <c r="W97" s="15"/>
      <c r="X97" s="15">
        <v>-20</v>
      </c>
      <c r="Y97" s="15">
        <v>31</v>
      </c>
      <c r="Z97" s="48">
        <f t="shared" si="28"/>
        <v>5.5</v>
      </c>
      <c r="AA97" s="13"/>
      <c r="AB97" s="13"/>
      <c r="AC97" s="13"/>
      <c r="AD97" s="97"/>
      <c r="AE97" s="13"/>
      <c r="AF97" s="13"/>
      <c r="AG97" s="13"/>
      <c r="AH97" s="97"/>
      <c r="AI97" s="13"/>
      <c r="AJ97" s="13"/>
      <c r="AK97" s="13"/>
      <c r="AL97" s="97"/>
      <c r="AM97" s="13"/>
      <c r="AN97" s="13"/>
      <c r="AO97" s="13"/>
      <c r="AP97" s="97"/>
      <c r="AQ97" s="13"/>
      <c r="AR97" s="13"/>
      <c r="AS97" s="13"/>
      <c r="AT97" s="97"/>
      <c r="AU97" s="13"/>
      <c r="AV97" s="13"/>
      <c r="AW97" s="13"/>
      <c r="AX97" s="49"/>
    </row>
    <row r="98" spans="1:50" ht="10.199999999999999" customHeight="1" x14ac:dyDescent="0.25">
      <c r="A98" s="14">
        <f t="shared" si="29"/>
        <v>4</v>
      </c>
      <c r="B98" s="102">
        <f t="shared" si="30"/>
        <v>36188</v>
      </c>
      <c r="C98" s="103">
        <v>36183</v>
      </c>
      <c r="D98" s="15">
        <v>-85</v>
      </c>
      <c r="E98" s="15">
        <v>-8</v>
      </c>
      <c r="F98" s="98">
        <f t="shared" si="21"/>
        <v>-46.5</v>
      </c>
      <c r="G98" s="15"/>
      <c r="H98" s="15">
        <v>-75</v>
      </c>
      <c r="I98" s="15">
        <v>-9</v>
      </c>
      <c r="J98" s="98">
        <f t="shared" si="23"/>
        <v>-42</v>
      </c>
      <c r="K98" s="15"/>
      <c r="L98" s="15">
        <v>-76</v>
      </c>
      <c r="M98" s="15">
        <v>-8</v>
      </c>
      <c r="N98" s="98">
        <f t="shared" si="25"/>
        <v>-42</v>
      </c>
      <c r="O98" s="15"/>
      <c r="P98" s="15">
        <v>-75</v>
      </c>
      <c r="Q98" s="15">
        <v>-8</v>
      </c>
      <c r="R98" s="98">
        <f t="shared" si="26"/>
        <v>-41.5</v>
      </c>
      <c r="S98" s="15"/>
      <c r="T98" s="15">
        <v>-16</v>
      </c>
      <c r="U98" s="15">
        <v>17</v>
      </c>
      <c r="V98" s="98">
        <f t="shared" si="27"/>
        <v>0.5</v>
      </c>
      <c r="W98" s="15"/>
      <c r="X98" s="15">
        <v>10</v>
      </c>
      <c r="Y98" s="15">
        <v>48</v>
      </c>
      <c r="Z98" s="48">
        <f t="shared" si="28"/>
        <v>29</v>
      </c>
      <c r="AA98" s="13"/>
      <c r="AB98" s="13"/>
      <c r="AC98" s="13"/>
      <c r="AD98" s="97"/>
      <c r="AE98" s="13"/>
      <c r="AF98" s="13"/>
      <c r="AG98" s="13"/>
      <c r="AH98" s="97"/>
      <c r="AI98" s="13"/>
      <c r="AJ98" s="13"/>
      <c r="AK98" s="13"/>
      <c r="AL98" s="97"/>
      <c r="AM98" s="13"/>
      <c r="AN98" s="13"/>
      <c r="AO98" s="13"/>
      <c r="AP98" s="97"/>
      <c r="AQ98" s="13"/>
      <c r="AR98" s="13"/>
      <c r="AS98" s="13"/>
      <c r="AT98" s="97"/>
      <c r="AU98" s="13"/>
      <c r="AV98" s="13"/>
      <c r="AW98" s="13"/>
      <c r="AX98" s="49"/>
    </row>
    <row r="99" spans="1:50" ht="10.199999999999999" customHeight="1" x14ac:dyDescent="0.25">
      <c r="A99" s="14">
        <f t="shared" si="29"/>
        <v>5</v>
      </c>
      <c r="B99" s="102">
        <f t="shared" si="30"/>
        <v>36195</v>
      </c>
      <c r="C99" s="103">
        <v>36190</v>
      </c>
      <c r="D99" s="15"/>
      <c r="E99" s="15"/>
      <c r="F99" s="98"/>
      <c r="G99" s="15"/>
      <c r="H99" s="15">
        <v>-43</v>
      </c>
      <c r="I99" s="15">
        <v>-1</v>
      </c>
      <c r="J99" s="98">
        <f t="shared" si="23"/>
        <v>-22</v>
      </c>
      <c r="K99" s="15"/>
      <c r="L99" s="15">
        <v>-50</v>
      </c>
      <c r="M99" s="15">
        <v>-4</v>
      </c>
      <c r="N99" s="98">
        <f t="shared" si="25"/>
        <v>-27</v>
      </c>
      <c r="O99" s="15"/>
      <c r="P99" s="15">
        <v>-66</v>
      </c>
      <c r="Q99" s="15">
        <v>-6</v>
      </c>
      <c r="R99" s="98">
        <f t="shared" si="26"/>
        <v>-36</v>
      </c>
      <c r="S99" s="15"/>
      <c r="T99" s="15">
        <v>-65</v>
      </c>
      <c r="U99" s="15">
        <v>-6</v>
      </c>
      <c r="V99" s="98">
        <f t="shared" si="27"/>
        <v>-35.5</v>
      </c>
      <c r="W99" s="15"/>
      <c r="X99" s="15">
        <v>-15</v>
      </c>
      <c r="Y99" s="15">
        <v>33</v>
      </c>
      <c r="Z99" s="48">
        <f t="shared" si="28"/>
        <v>9</v>
      </c>
      <c r="AA99" s="13"/>
      <c r="AB99" s="13">
        <v>21</v>
      </c>
      <c r="AC99" s="13">
        <v>55</v>
      </c>
      <c r="AD99" s="48">
        <f t="shared" ref="AD99:AD123" si="31">AVERAGE(AB99,AC99)</f>
        <v>38</v>
      </c>
      <c r="AE99" s="13"/>
      <c r="AF99" s="13"/>
      <c r="AG99" s="13"/>
      <c r="AH99" s="97"/>
      <c r="AI99" s="13"/>
      <c r="AJ99" s="13"/>
      <c r="AK99" s="13"/>
      <c r="AL99" s="97"/>
      <c r="AM99" s="13"/>
      <c r="AN99" s="13"/>
      <c r="AO99" s="13"/>
      <c r="AP99" s="97"/>
      <c r="AQ99" s="13"/>
      <c r="AR99" s="13"/>
      <c r="AS99" s="13"/>
      <c r="AT99" s="97"/>
      <c r="AU99" s="13"/>
      <c r="AV99" s="13"/>
      <c r="AW99" s="13"/>
      <c r="AX99" s="49"/>
    </row>
    <row r="100" spans="1:50" ht="10.199999999999999" customHeight="1" x14ac:dyDescent="0.25">
      <c r="A100" s="14">
        <f t="shared" si="29"/>
        <v>6</v>
      </c>
      <c r="B100" s="102">
        <f t="shared" si="30"/>
        <v>36202</v>
      </c>
      <c r="C100" s="103">
        <v>36197</v>
      </c>
      <c r="D100" s="15">
        <v>-9</v>
      </c>
      <c r="E100" s="15"/>
      <c r="F100" s="98">
        <f t="shared" si="21"/>
        <v>-9</v>
      </c>
      <c r="G100" s="15"/>
      <c r="H100" s="15">
        <v>-9</v>
      </c>
      <c r="I100" s="15">
        <v>2</v>
      </c>
      <c r="J100" s="98">
        <f t="shared" si="23"/>
        <v>-3.5</v>
      </c>
      <c r="K100" s="15"/>
      <c r="L100" s="15">
        <v>-21</v>
      </c>
      <c r="M100" s="15">
        <v>2</v>
      </c>
      <c r="N100" s="98">
        <f t="shared" si="25"/>
        <v>-9.5</v>
      </c>
      <c r="O100" s="15"/>
      <c r="P100" s="15">
        <v>-52</v>
      </c>
      <c r="Q100" s="15">
        <v>-1</v>
      </c>
      <c r="R100" s="98">
        <f t="shared" si="26"/>
        <v>-26.5</v>
      </c>
      <c r="S100" s="15"/>
      <c r="T100" s="15">
        <v>-50</v>
      </c>
      <c r="U100" s="15">
        <v>0</v>
      </c>
      <c r="V100" s="98">
        <f t="shared" si="27"/>
        <v>-25</v>
      </c>
      <c r="W100" s="15"/>
      <c r="X100" s="15">
        <v>-10</v>
      </c>
      <c r="Y100" s="15">
        <v>34</v>
      </c>
      <c r="Z100" s="48">
        <f t="shared" si="28"/>
        <v>12</v>
      </c>
      <c r="AA100" s="13"/>
      <c r="AB100" s="13">
        <v>34</v>
      </c>
      <c r="AC100" s="13">
        <v>54</v>
      </c>
      <c r="AD100" s="48">
        <f t="shared" si="31"/>
        <v>44</v>
      </c>
      <c r="AE100" s="13"/>
      <c r="AF100" s="13"/>
      <c r="AG100" s="13"/>
      <c r="AH100" s="97"/>
      <c r="AI100" s="13"/>
      <c r="AJ100" s="13"/>
      <c r="AK100" s="13"/>
      <c r="AL100" s="97"/>
      <c r="AM100" s="13"/>
      <c r="AN100" s="13"/>
      <c r="AO100" s="13"/>
      <c r="AP100" s="97"/>
      <c r="AQ100" s="13"/>
      <c r="AR100" s="13"/>
      <c r="AS100" s="13"/>
      <c r="AT100" s="97"/>
      <c r="AU100" s="13"/>
      <c r="AV100" s="13"/>
      <c r="AW100" s="13"/>
      <c r="AX100" s="49"/>
    </row>
    <row r="101" spans="1:50" ht="10.199999999999999" customHeight="1" x14ac:dyDescent="0.25">
      <c r="A101" s="14">
        <f t="shared" si="29"/>
        <v>7</v>
      </c>
      <c r="B101" s="102">
        <f t="shared" si="30"/>
        <v>36209</v>
      </c>
      <c r="C101" s="103">
        <v>36204</v>
      </c>
      <c r="D101" s="15"/>
      <c r="E101" s="15"/>
      <c r="F101" s="99"/>
      <c r="G101" s="15"/>
      <c r="H101" s="15">
        <v>-8</v>
      </c>
      <c r="I101" s="15">
        <v>-1</v>
      </c>
      <c r="J101" s="98">
        <f t="shared" si="23"/>
        <v>-4.5</v>
      </c>
      <c r="K101" s="15"/>
      <c r="L101" s="15">
        <v>-23</v>
      </c>
      <c r="M101" s="15">
        <v>-1</v>
      </c>
      <c r="N101" s="98">
        <f t="shared" si="25"/>
        <v>-12</v>
      </c>
      <c r="O101" s="15"/>
      <c r="P101" s="15">
        <v>-50</v>
      </c>
      <c r="Q101" s="15">
        <v>1</v>
      </c>
      <c r="R101" s="98">
        <f t="shared" si="26"/>
        <v>-24.5</v>
      </c>
      <c r="S101" s="15"/>
      <c r="T101" s="15">
        <v>-49</v>
      </c>
      <c r="U101" s="15">
        <v>1</v>
      </c>
      <c r="V101" s="98">
        <f t="shared" si="27"/>
        <v>-24</v>
      </c>
      <c r="W101" s="15"/>
      <c r="X101" s="15">
        <v>-11</v>
      </c>
      <c r="Y101" s="15">
        <v>34</v>
      </c>
      <c r="Z101" s="48">
        <f t="shared" si="28"/>
        <v>11.5</v>
      </c>
      <c r="AA101" s="13"/>
      <c r="AB101" s="13">
        <v>34</v>
      </c>
      <c r="AC101" s="13">
        <v>63</v>
      </c>
      <c r="AD101" s="48">
        <f t="shared" si="31"/>
        <v>48.5</v>
      </c>
      <c r="AE101" s="13"/>
      <c r="AF101" s="13"/>
      <c r="AG101" s="13"/>
      <c r="AH101" s="97"/>
      <c r="AI101" s="13"/>
      <c r="AJ101" s="13"/>
      <c r="AK101" s="13"/>
      <c r="AL101" s="97"/>
      <c r="AM101" s="13"/>
      <c r="AN101" s="13"/>
      <c r="AO101" s="13"/>
      <c r="AP101" s="97"/>
      <c r="AQ101" s="13"/>
      <c r="AR101" s="13"/>
      <c r="AS101" s="13"/>
      <c r="AT101" s="97"/>
      <c r="AU101" s="13"/>
      <c r="AV101" s="13"/>
      <c r="AW101" s="13"/>
      <c r="AX101" s="49"/>
    </row>
    <row r="102" spans="1:50" ht="10.199999999999999" customHeight="1" x14ac:dyDescent="0.25">
      <c r="A102" s="14">
        <f t="shared" si="29"/>
        <v>8</v>
      </c>
      <c r="B102" s="102">
        <f t="shared" si="30"/>
        <v>36216</v>
      </c>
      <c r="C102" s="103">
        <v>36211</v>
      </c>
      <c r="D102" s="15"/>
      <c r="E102" s="15"/>
      <c r="F102" s="99"/>
      <c r="G102" s="15"/>
      <c r="H102" s="15"/>
      <c r="I102" s="15"/>
      <c r="J102" s="99"/>
      <c r="K102" s="15"/>
      <c r="L102" s="15">
        <v>-43</v>
      </c>
      <c r="M102" s="15">
        <v>-4</v>
      </c>
      <c r="N102" s="98">
        <f t="shared" si="25"/>
        <v>-23.5</v>
      </c>
      <c r="O102" s="15"/>
      <c r="P102" s="15">
        <v>-59</v>
      </c>
      <c r="Q102" s="15">
        <v>-2</v>
      </c>
      <c r="R102" s="98">
        <f t="shared" si="26"/>
        <v>-30.5</v>
      </c>
      <c r="S102" s="15"/>
      <c r="T102" s="15">
        <v>-55</v>
      </c>
      <c r="U102" s="15">
        <v>-1</v>
      </c>
      <c r="V102" s="98">
        <f t="shared" si="27"/>
        <v>-28</v>
      </c>
      <c r="W102" s="15"/>
      <c r="X102" s="15">
        <v>-14</v>
      </c>
      <c r="Y102" s="15">
        <v>29</v>
      </c>
      <c r="Z102" s="48">
        <f t="shared" si="28"/>
        <v>7.5</v>
      </c>
      <c r="AA102" s="13"/>
      <c r="AB102" s="13">
        <v>27</v>
      </c>
      <c r="AC102" s="13">
        <v>64</v>
      </c>
      <c r="AD102" s="48">
        <f t="shared" si="31"/>
        <v>45.5</v>
      </c>
      <c r="AE102" s="13"/>
      <c r="AF102" s="13">
        <v>58</v>
      </c>
      <c r="AG102" s="13">
        <v>75</v>
      </c>
      <c r="AH102" s="48">
        <f t="shared" ref="AH102:AH127" si="32">AVERAGE(AF102,AG102)</f>
        <v>66.5</v>
      </c>
      <c r="AI102" s="13"/>
      <c r="AJ102" s="13"/>
      <c r="AK102" s="13"/>
      <c r="AL102" s="97"/>
      <c r="AM102" s="13"/>
      <c r="AN102" s="13"/>
      <c r="AO102" s="13"/>
      <c r="AP102" s="97"/>
      <c r="AQ102" s="13"/>
      <c r="AR102" s="13"/>
      <c r="AS102" s="13"/>
      <c r="AT102" s="97"/>
      <c r="AU102" s="13"/>
      <c r="AV102" s="13"/>
      <c r="AW102" s="13"/>
      <c r="AX102" s="49"/>
    </row>
    <row r="103" spans="1:50" ht="10.199999999999999" customHeight="1" x14ac:dyDescent="0.25">
      <c r="A103" s="14">
        <f t="shared" si="29"/>
        <v>9</v>
      </c>
      <c r="B103" s="102">
        <f t="shared" si="30"/>
        <v>36223</v>
      </c>
      <c r="C103" s="103">
        <v>36218</v>
      </c>
      <c r="D103" s="15"/>
      <c r="E103" s="15"/>
      <c r="F103" s="99"/>
      <c r="G103" s="15"/>
      <c r="H103" s="15"/>
      <c r="I103" s="15"/>
      <c r="J103" s="99"/>
      <c r="K103" s="15"/>
      <c r="L103" s="15">
        <v>-51</v>
      </c>
      <c r="M103" s="15">
        <v>-4</v>
      </c>
      <c r="N103" s="98">
        <f t="shared" si="25"/>
        <v>-27.5</v>
      </c>
      <c r="O103" s="15"/>
      <c r="P103" s="15">
        <v>-66</v>
      </c>
      <c r="Q103" s="15">
        <v>-8</v>
      </c>
      <c r="R103" s="98">
        <f t="shared" si="26"/>
        <v>-37</v>
      </c>
      <c r="S103" s="15"/>
      <c r="T103" s="15">
        <v>-59</v>
      </c>
      <c r="U103" s="15">
        <v>-8</v>
      </c>
      <c r="V103" s="98">
        <f t="shared" si="27"/>
        <v>-33.5</v>
      </c>
      <c r="W103" s="15"/>
      <c r="X103" s="15">
        <v>-16</v>
      </c>
      <c r="Y103" s="15">
        <v>11</v>
      </c>
      <c r="Z103" s="48">
        <f t="shared" si="28"/>
        <v>-2.5</v>
      </c>
      <c r="AA103" s="13"/>
      <c r="AB103" s="13">
        <v>14</v>
      </c>
      <c r="AC103" s="13">
        <v>58</v>
      </c>
      <c r="AD103" s="48">
        <f t="shared" si="31"/>
        <v>36</v>
      </c>
      <c r="AE103" s="13"/>
      <c r="AF103" s="13">
        <v>51</v>
      </c>
      <c r="AG103" s="13">
        <v>71</v>
      </c>
      <c r="AH103" s="48">
        <f t="shared" si="32"/>
        <v>61</v>
      </c>
      <c r="AI103" s="13"/>
      <c r="AJ103" s="13"/>
      <c r="AK103" s="13"/>
      <c r="AL103" s="97"/>
      <c r="AM103" s="13"/>
      <c r="AN103" s="13"/>
      <c r="AO103" s="13"/>
      <c r="AP103" s="97"/>
      <c r="AQ103" s="13"/>
      <c r="AR103" s="13"/>
      <c r="AS103" s="13"/>
      <c r="AT103" s="97"/>
      <c r="AU103" s="13"/>
      <c r="AV103" s="13"/>
      <c r="AW103" s="13"/>
      <c r="AX103" s="49"/>
    </row>
    <row r="104" spans="1:50" ht="10.199999999999999" customHeight="1" x14ac:dyDescent="0.25">
      <c r="A104" s="14">
        <f t="shared" si="29"/>
        <v>10</v>
      </c>
      <c r="B104" s="102">
        <f t="shared" si="30"/>
        <v>36230</v>
      </c>
      <c r="C104" s="103">
        <v>36225</v>
      </c>
      <c r="D104" s="15"/>
      <c r="E104" s="15"/>
      <c r="F104" s="99"/>
      <c r="G104" s="15"/>
      <c r="H104" s="15"/>
      <c r="I104" s="15"/>
      <c r="J104" s="99"/>
      <c r="K104" s="15"/>
      <c r="L104" s="15">
        <v>-64</v>
      </c>
      <c r="M104" s="15">
        <v>-47</v>
      </c>
      <c r="N104" s="98">
        <f t="shared" si="25"/>
        <v>-55.5</v>
      </c>
      <c r="O104" s="15"/>
      <c r="P104" s="15">
        <v>-76</v>
      </c>
      <c r="Q104" s="15">
        <v>-44</v>
      </c>
      <c r="R104" s="98">
        <f t="shared" si="26"/>
        <v>-60</v>
      </c>
      <c r="S104" s="15"/>
      <c r="T104" s="15">
        <v>-70</v>
      </c>
      <c r="U104" s="15">
        <v>-42</v>
      </c>
      <c r="V104" s="98">
        <f t="shared" si="27"/>
        <v>-56</v>
      </c>
      <c r="W104" s="15"/>
      <c r="X104" s="15">
        <v>-29</v>
      </c>
      <c r="Y104" s="15">
        <v>-14</v>
      </c>
      <c r="Z104" s="48">
        <f t="shared" si="28"/>
        <v>-21.5</v>
      </c>
      <c r="AA104" s="13"/>
      <c r="AB104" s="13">
        <v>10</v>
      </c>
      <c r="AC104" s="13">
        <v>34</v>
      </c>
      <c r="AD104" s="48">
        <f t="shared" si="31"/>
        <v>22</v>
      </c>
      <c r="AE104" s="13"/>
      <c r="AF104" s="13">
        <v>50</v>
      </c>
      <c r="AG104" s="13">
        <v>61</v>
      </c>
      <c r="AH104" s="48">
        <f t="shared" si="32"/>
        <v>55.5</v>
      </c>
      <c r="AI104" s="13"/>
      <c r="AJ104" s="13"/>
      <c r="AK104" s="13"/>
      <c r="AL104" s="97"/>
      <c r="AM104" s="13"/>
      <c r="AN104" s="13"/>
      <c r="AO104" s="13"/>
      <c r="AP104" s="97"/>
      <c r="AQ104" s="13"/>
      <c r="AR104" s="13"/>
      <c r="AS104" s="13"/>
      <c r="AT104" s="97"/>
      <c r="AU104" s="13"/>
      <c r="AV104" s="13"/>
      <c r="AW104" s="13"/>
      <c r="AX104" s="49"/>
    </row>
    <row r="105" spans="1:50" ht="10.199999999999999" customHeight="1" x14ac:dyDescent="0.25">
      <c r="A105" s="14">
        <f t="shared" si="29"/>
        <v>11</v>
      </c>
      <c r="B105" s="102">
        <f t="shared" si="30"/>
        <v>36237</v>
      </c>
      <c r="C105" s="103">
        <v>36232</v>
      </c>
      <c r="D105" s="15"/>
      <c r="E105" s="15"/>
      <c r="F105" s="99"/>
      <c r="G105" s="15"/>
      <c r="H105" s="15"/>
      <c r="I105" s="15"/>
      <c r="J105" s="99"/>
      <c r="K105" s="15"/>
      <c r="L105" s="15"/>
      <c r="M105" s="15"/>
      <c r="N105" s="99"/>
      <c r="O105" s="15"/>
      <c r="P105" s="15">
        <v>-81</v>
      </c>
      <c r="Q105" s="15">
        <v>-42</v>
      </c>
      <c r="R105" s="98">
        <f t="shared" si="26"/>
        <v>-61.5</v>
      </c>
      <c r="S105" s="15"/>
      <c r="T105" s="15">
        <v>-68</v>
      </c>
      <c r="U105" s="15">
        <v>-37</v>
      </c>
      <c r="V105" s="98">
        <f t="shared" si="27"/>
        <v>-52.5</v>
      </c>
      <c r="W105" s="15"/>
      <c r="X105" s="15">
        <v>-34</v>
      </c>
      <c r="Y105" s="15">
        <v>-13</v>
      </c>
      <c r="Z105" s="48">
        <f t="shared" si="28"/>
        <v>-23.5</v>
      </c>
      <c r="AA105" s="13"/>
      <c r="AB105" s="13">
        <v>-4</v>
      </c>
      <c r="AC105" s="13">
        <v>25</v>
      </c>
      <c r="AD105" s="48">
        <f t="shared" si="31"/>
        <v>10.5</v>
      </c>
      <c r="AE105" s="13"/>
      <c r="AF105" s="13">
        <v>19</v>
      </c>
      <c r="AG105" s="13">
        <v>49</v>
      </c>
      <c r="AH105" s="48">
        <f t="shared" si="32"/>
        <v>34</v>
      </c>
      <c r="AI105" s="13"/>
      <c r="AJ105" s="13">
        <v>70</v>
      </c>
      <c r="AK105" s="13">
        <v>96</v>
      </c>
      <c r="AL105" s="48">
        <f t="shared" ref="AL105:AL131" si="33">AVERAGE(AJ105,AK105)</f>
        <v>83</v>
      </c>
      <c r="AM105" s="13"/>
      <c r="AN105" s="13"/>
      <c r="AO105" s="13"/>
      <c r="AP105" s="97"/>
      <c r="AQ105" s="13"/>
      <c r="AR105" s="13"/>
      <c r="AS105" s="13"/>
      <c r="AT105" s="97"/>
      <c r="AU105" s="13"/>
      <c r="AV105" s="13"/>
      <c r="AW105" s="13"/>
      <c r="AX105" s="49"/>
    </row>
    <row r="106" spans="1:50" ht="10.199999999999999" customHeight="1" x14ac:dyDescent="0.25">
      <c r="A106" s="14">
        <f t="shared" si="29"/>
        <v>12</v>
      </c>
      <c r="B106" s="102">
        <f t="shared" si="30"/>
        <v>36244</v>
      </c>
      <c r="C106" s="103">
        <v>36239</v>
      </c>
      <c r="D106" s="15"/>
      <c r="E106" s="15"/>
      <c r="F106" s="99"/>
      <c r="G106" s="15"/>
      <c r="H106" s="15"/>
      <c r="I106" s="15"/>
      <c r="J106" s="99"/>
      <c r="K106" s="15"/>
      <c r="L106" s="15"/>
      <c r="M106" s="15"/>
      <c r="N106" s="99"/>
      <c r="O106" s="15"/>
      <c r="P106" s="15">
        <v>-67</v>
      </c>
      <c r="Q106" s="15">
        <v>-26</v>
      </c>
      <c r="R106" s="98">
        <f t="shared" si="26"/>
        <v>-46.5</v>
      </c>
      <c r="S106" s="15"/>
      <c r="T106" s="15">
        <v>-57</v>
      </c>
      <c r="U106" s="15">
        <v>-27</v>
      </c>
      <c r="V106" s="98">
        <f t="shared" si="27"/>
        <v>-42</v>
      </c>
      <c r="W106" s="15"/>
      <c r="X106" s="15">
        <v>-31</v>
      </c>
      <c r="Y106" s="15">
        <v>-7</v>
      </c>
      <c r="Z106" s="48">
        <f t="shared" si="28"/>
        <v>-19</v>
      </c>
      <c r="AA106" s="13"/>
      <c r="AB106" s="13">
        <v>-5</v>
      </c>
      <c r="AC106" s="13">
        <v>34</v>
      </c>
      <c r="AD106" s="48">
        <f t="shared" si="31"/>
        <v>14.5</v>
      </c>
      <c r="AE106" s="13"/>
      <c r="AF106" s="13">
        <v>24</v>
      </c>
      <c r="AG106" s="13">
        <v>65</v>
      </c>
      <c r="AH106" s="48">
        <f t="shared" si="32"/>
        <v>44.5</v>
      </c>
      <c r="AI106" s="13"/>
      <c r="AJ106" s="13">
        <v>77</v>
      </c>
      <c r="AK106" s="13">
        <v>102</v>
      </c>
      <c r="AL106" s="48">
        <f t="shared" si="33"/>
        <v>89.5</v>
      </c>
      <c r="AM106" s="13"/>
      <c r="AN106" s="13"/>
      <c r="AO106" s="13"/>
      <c r="AP106" s="97"/>
      <c r="AQ106" s="13"/>
      <c r="AR106" s="13"/>
      <c r="AS106" s="13"/>
      <c r="AT106" s="97"/>
      <c r="AU106" s="13"/>
      <c r="AV106" s="13"/>
      <c r="AW106" s="13"/>
      <c r="AX106" s="49"/>
    </row>
    <row r="107" spans="1:50" ht="10.199999999999999" customHeight="1" x14ac:dyDescent="0.25">
      <c r="A107" s="14">
        <f t="shared" si="29"/>
        <v>13</v>
      </c>
      <c r="B107" s="102">
        <f t="shared" si="30"/>
        <v>36251</v>
      </c>
      <c r="C107" s="103">
        <v>36246</v>
      </c>
      <c r="D107" s="15"/>
      <c r="E107" s="15"/>
      <c r="F107" s="99"/>
      <c r="G107" s="15"/>
      <c r="H107" s="15"/>
      <c r="I107" s="15"/>
      <c r="J107" s="99"/>
      <c r="K107" s="15"/>
      <c r="L107" s="15"/>
      <c r="M107" s="15"/>
      <c r="N107" s="99"/>
      <c r="O107" s="15"/>
      <c r="P107" s="15">
        <v>-33</v>
      </c>
      <c r="Q107" s="15">
        <v>-14</v>
      </c>
      <c r="R107" s="98">
        <f t="shared" si="26"/>
        <v>-23.5</v>
      </c>
      <c r="S107" s="15"/>
      <c r="T107" s="15">
        <v>-36</v>
      </c>
      <c r="U107" s="15">
        <v>-12</v>
      </c>
      <c r="V107" s="98">
        <f t="shared" si="27"/>
        <v>-24</v>
      </c>
      <c r="W107" s="15"/>
      <c r="X107" s="15">
        <v>-17</v>
      </c>
      <c r="Y107" s="15">
        <v>1</v>
      </c>
      <c r="Z107" s="48">
        <f t="shared" si="28"/>
        <v>-8</v>
      </c>
      <c r="AA107" s="13"/>
      <c r="AB107" s="13">
        <v>12</v>
      </c>
      <c r="AC107" s="13">
        <v>39</v>
      </c>
      <c r="AD107" s="48">
        <f t="shared" si="31"/>
        <v>25.5</v>
      </c>
      <c r="AE107" s="13"/>
      <c r="AF107" s="13">
        <v>37</v>
      </c>
      <c r="AG107" s="13">
        <v>63</v>
      </c>
      <c r="AH107" s="48">
        <f t="shared" si="32"/>
        <v>50</v>
      </c>
      <c r="AI107" s="13"/>
      <c r="AJ107" s="13">
        <v>85</v>
      </c>
      <c r="AK107" s="13">
        <v>102</v>
      </c>
      <c r="AL107" s="48">
        <f t="shared" si="33"/>
        <v>93.5</v>
      </c>
      <c r="AM107" s="13"/>
      <c r="AN107" s="13"/>
      <c r="AO107" s="13"/>
      <c r="AP107" s="97"/>
      <c r="AQ107" s="13"/>
      <c r="AR107" s="13"/>
      <c r="AS107" s="13"/>
      <c r="AT107" s="97"/>
      <c r="AU107" s="13"/>
      <c r="AV107" s="13"/>
      <c r="AW107" s="13"/>
      <c r="AX107" s="49"/>
    </row>
    <row r="108" spans="1:50" ht="10.199999999999999" customHeight="1" x14ac:dyDescent="0.25">
      <c r="A108" s="14">
        <f t="shared" si="29"/>
        <v>14</v>
      </c>
      <c r="B108" s="102">
        <f t="shared" si="30"/>
        <v>36258</v>
      </c>
      <c r="C108" s="103">
        <v>36253</v>
      </c>
      <c r="D108" s="15"/>
      <c r="E108" s="15"/>
      <c r="F108" s="99"/>
      <c r="G108" s="15"/>
      <c r="H108" s="15"/>
      <c r="I108" s="15"/>
      <c r="J108" s="99"/>
      <c r="K108" s="15"/>
      <c r="L108" s="15"/>
      <c r="M108" s="15"/>
      <c r="N108" s="99"/>
      <c r="O108" s="15"/>
      <c r="P108" s="15">
        <v>-38</v>
      </c>
      <c r="Q108" s="15">
        <v>-5</v>
      </c>
      <c r="R108" s="98">
        <f t="shared" si="26"/>
        <v>-21.5</v>
      </c>
      <c r="S108" s="15"/>
      <c r="T108" s="15">
        <v>-37</v>
      </c>
      <c r="U108" s="15">
        <v>-5</v>
      </c>
      <c r="V108" s="98">
        <f t="shared" si="27"/>
        <v>-21</v>
      </c>
      <c r="W108" s="15"/>
      <c r="X108" s="15">
        <v>-17</v>
      </c>
      <c r="Y108" s="15">
        <v>5</v>
      </c>
      <c r="Z108" s="48">
        <f t="shared" si="28"/>
        <v>-6</v>
      </c>
      <c r="AA108" s="13"/>
      <c r="AB108" s="13">
        <v>12</v>
      </c>
      <c r="AC108" s="13">
        <v>48</v>
      </c>
      <c r="AD108" s="48">
        <f t="shared" si="31"/>
        <v>30</v>
      </c>
      <c r="AE108" s="13"/>
      <c r="AF108" s="13">
        <v>40</v>
      </c>
      <c r="AG108" s="13">
        <v>73</v>
      </c>
      <c r="AH108" s="48">
        <f t="shared" si="32"/>
        <v>56.5</v>
      </c>
      <c r="AI108" s="13"/>
      <c r="AJ108" s="13">
        <v>93</v>
      </c>
      <c r="AK108" s="13">
        <v>90</v>
      </c>
      <c r="AL108" s="48">
        <f t="shared" si="33"/>
        <v>91.5</v>
      </c>
      <c r="AM108" s="13"/>
      <c r="AN108" s="13"/>
      <c r="AO108" s="13"/>
      <c r="AP108" s="97"/>
      <c r="AQ108" s="13"/>
      <c r="AR108" s="13"/>
      <c r="AS108" s="13"/>
      <c r="AT108" s="97"/>
      <c r="AU108" s="13"/>
      <c r="AV108" s="13"/>
      <c r="AW108" s="13"/>
      <c r="AX108" s="49"/>
    </row>
    <row r="109" spans="1:50" ht="10.199999999999999" customHeight="1" x14ac:dyDescent="0.25">
      <c r="A109" s="14">
        <f t="shared" si="29"/>
        <v>15</v>
      </c>
      <c r="B109" s="102">
        <f t="shared" si="30"/>
        <v>36265</v>
      </c>
      <c r="C109" s="103">
        <v>36260</v>
      </c>
      <c r="D109" s="15"/>
      <c r="E109" s="15"/>
      <c r="F109" s="99"/>
      <c r="G109" s="15"/>
      <c r="H109" s="15"/>
      <c r="I109" s="15"/>
      <c r="J109" s="99"/>
      <c r="K109" s="15"/>
      <c r="L109" s="15"/>
      <c r="M109" s="15"/>
      <c r="N109" s="99"/>
      <c r="O109" s="15"/>
      <c r="P109" s="15">
        <v>0</v>
      </c>
      <c r="Q109" s="15">
        <v>0</v>
      </c>
      <c r="R109" s="98">
        <f t="shared" si="26"/>
        <v>0</v>
      </c>
      <c r="S109" s="15"/>
      <c r="T109" s="15">
        <v>-41</v>
      </c>
      <c r="U109" s="15">
        <v>-5</v>
      </c>
      <c r="V109" s="98">
        <f t="shared" si="27"/>
        <v>-23</v>
      </c>
      <c r="W109" s="15"/>
      <c r="X109" s="15">
        <v>-22</v>
      </c>
      <c r="Y109" s="15">
        <v>5</v>
      </c>
      <c r="Z109" s="48">
        <f t="shared" si="28"/>
        <v>-8.5</v>
      </c>
      <c r="AA109" s="13"/>
      <c r="AB109" s="13">
        <v>11</v>
      </c>
      <c r="AC109" s="13">
        <v>54</v>
      </c>
      <c r="AD109" s="48">
        <f t="shared" si="31"/>
        <v>32.5</v>
      </c>
      <c r="AE109" s="13"/>
      <c r="AF109" s="13">
        <v>40</v>
      </c>
      <c r="AG109" s="13">
        <v>85</v>
      </c>
      <c r="AH109" s="48">
        <f t="shared" si="32"/>
        <v>62.5</v>
      </c>
      <c r="AI109" s="13"/>
      <c r="AJ109" s="13">
        <v>93</v>
      </c>
      <c r="AK109" s="13">
        <v>90</v>
      </c>
      <c r="AL109" s="48">
        <f t="shared" si="33"/>
        <v>91.5</v>
      </c>
      <c r="AM109" s="13"/>
      <c r="AN109" s="13"/>
      <c r="AO109" s="13"/>
      <c r="AP109" s="97"/>
      <c r="AQ109" s="13"/>
      <c r="AR109" s="13"/>
      <c r="AS109" s="13"/>
      <c r="AT109" s="97"/>
      <c r="AU109" s="13"/>
      <c r="AV109" s="13"/>
      <c r="AW109" s="13"/>
      <c r="AX109" s="49"/>
    </row>
    <row r="110" spans="1:50" ht="10.199999999999999" customHeight="1" x14ac:dyDescent="0.25">
      <c r="A110" s="14">
        <f t="shared" si="29"/>
        <v>16</v>
      </c>
      <c r="B110" s="102">
        <f t="shared" si="30"/>
        <v>36272</v>
      </c>
      <c r="C110" s="103">
        <v>36267</v>
      </c>
      <c r="D110" s="15"/>
      <c r="E110" s="15"/>
      <c r="F110" s="99"/>
      <c r="G110" s="15"/>
      <c r="H110" s="15"/>
      <c r="I110" s="15"/>
      <c r="J110" s="99"/>
      <c r="K110" s="15"/>
      <c r="L110" s="15"/>
      <c r="M110" s="15"/>
      <c r="N110" s="99"/>
      <c r="O110" s="15"/>
      <c r="P110" s="15"/>
      <c r="Q110" s="15"/>
      <c r="R110" s="99"/>
      <c r="S110" s="15"/>
      <c r="T110" s="15">
        <v>0</v>
      </c>
      <c r="U110" s="15">
        <v>0</v>
      </c>
      <c r="V110" s="98">
        <f t="shared" si="27"/>
        <v>0</v>
      </c>
      <c r="W110" s="15"/>
      <c r="X110" s="15">
        <v>-29</v>
      </c>
      <c r="Y110" s="15">
        <v>-5</v>
      </c>
      <c r="Z110" s="48">
        <f t="shared" si="28"/>
        <v>-17</v>
      </c>
      <c r="AA110" s="13"/>
      <c r="AB110" s="13">
        <v>-4</v>
      </c>
      <c r="AC110" s="13">
        <v>5</v>
      </c>
      <c r="AD110" s="48">
        <f t="shared" si="31"/>
        <v>0.5</v>
      </c>
      <c r="AE110" s="13"/>
      <c r="AF110" s="13">
        <v>28</v>
      </c>
      <c r="AG110" s="13">
        <v>76</v>
      </c>
      <c r="AH110" s="48">
        <f t="shared" si="32"/>
        <v>52</v>
      </c>
      <c r="AI110" s="13"/>
      <c r="AJ110" s="13">
        <v>87</v>
      </c>
      <c r="AK110" s="13">
        <v>110</v>
      </c>
      <c r="AL110" s="48">
        <f t="shared" si="33"/>
        <v>98.5</v>
      </c>
      <c r="AM110" s="13"/>
      <c r="AN110" s="13">
        <v>125</v>
      </c>
      <c r="AO110" s="13">
        <v>90</v>
      </c>
      <c r="AP110" s="48">
        <f t="shared" ref="AP110:AP136" si="34">AVERAGE(AN110,AO110)</f>
        <v>107.5</v>
      </c>
      <c r="AQ110" s="13"/>
      <c r="AR110" s="13"/>
      <c r="AS110" s="13"/>
      <c r="AT110" s="97"/>
      <c r="AU110" s="13"/>
      <c r="AV110" s="13"/>
      <c r="AW110" s="13"/>
      <c r="AX110" s="49"/>
    </row>
    <row r="111" spans="1:50" ht="10.199999999999999" customHeight="1" x14ac:dyDescent="0.25">
      <c r="A111" s="14">
        <f t="shared" si="29"/>
        <v>17</v>
      </c>
      <c r="B111" s="102">
        <f t="shared" si="30"/>
        <v>36279</v>
      </c>
      <c r="C111" s="103">
        <v>36274</v>
      </c>
      <c r="D111" s="15"/>
      <c r="E111" s="15"/>
      <c r="F111" s="99"/>
      <c r="G111" s="15"/>
      <c r="H111" s="15"/>
      <c r="I111" s="15"/>
      <c r="J111" s="99"/>
      <c r="K111" s="15"/>
      <c r="L111" s="15"/>
      <c r="M111" s="15"/>
      <c r="N111" s="99"/>
      <c r="O111" s="15"/>
      <c r="P111" s="15"/>
      <c r="Q111" s="15"/>
      <c r="R111" s="99"/>
      <c r="S111" s="15"/>
      <c r="T111" s="15">
        <v>-54</v>
      </c>
      <c r="U111" s="15">
        <v>-10</v>
      </c>
      <c r="V111" s="98">
        <f t="shared" si="27"/>
        <v>-32</v>
      </c>
      <c r="W111" s="15"/>
      <c r="X111" s="15">
        <v>-36</v>
      </c>
      <c r="Y111" s="15">
        <v>8</v>
      </c>
      <c r="Z111" s="48">
        <f t="shared" si="28"/>
        <v>-14</v>
      </c>
      <c r="AA111" s="13"/>
      <c r="AB111" s="13">
        <v>-11</v>
      </c>
      <c r="AC111" s="13">
        <v>47</v>
      </c>
      <c r="AD111" s="48">
        <f t="shared" si="31"/>
        <v>18</v>
      </c>
      <c r="AE111" s="13"/>
      <c r="AF111" s="13">
        <v>27</v>
      </c>
      <c r="AG111" s="13">
        <v>74</v>
      </c>
      <c r="AH111" s="48">
        <f t="shared" si="32"/>
        <v>50.5</v>
      </c>
      <c r="AI111" s="13"/>
      <c r="AJ111" s="13">
        <v>78</v>
      </c>
      <c r="AK111" s="13">
        <v>108</v>
      </c>
      <c r="AL111" s="48">
        <f t="shared" si="33"/>
        <v>93</v>
      </c>
      <c r="AM111" s="13"/>
      <c r="AN111" s="13">
        <v>128</v>
      </c>
      <c r="AO111" s="13">
        <v>136</v>
      </c>
      <c r="AP111" s="48">
        <f t="shared" si="34"/>
        <v>132</v>
      </c>
      <c r="AQ111" s="13"/>
      <c r="AR111" s="13"/>
      <c r="AS111" s="13"/>
      <c r="AT111" s="97"/>
      <c r="AU111" s="13"/>
      <c r="AV111" s="13"/>
      <c r="AW111" s="13"/>
      <c r="AX111" s="49"/>
    </row>
    <row r="112" spans="1:50" ht="10.199999999999999" customHeight="1" x14ac:dyDescent="0.25">
      <c r="A112" s="14">
        <f t="shared" si="29"/>
        <v>18</v>
      </c>
      <c r="B112" s="102">
        <f t="shared" si="30"/>
        <v>36286</v>
      </c>
      <c r="C112" s="103">
        <v>36281</v>
      </c>
      <c r="D112" s="15"/>
      <c r="E112" s="15"/>
      <c r="F112" s="99"/>
      <c r="G112" s="15"/>
      <c r="H112" s="15"/>
      <c r="I112" s="15"/>
      <c r="J112" s="99"/>
      <c r="K112" s="15"/>
      <c r="L112" s="15"/>
      <c r="M112" s="15"/>
      <c r="N112" s="99"/>
      <c r="O112" s="15"/>
      <c r="P112" s="15"/>
      <c r="Q112" s="15"/>
      <c r="R112" s="99"/>
      <c r="S112" s="15"/>
      <c r="T112" s="15">
        <v>-66</v>
      </c>
      <c r="U112" s="15">
        <v>-7</v>
      </c>
      <c r="V112" s="98">
        <f t="shared" si="27"/>
        <v>-36.5</v>
      </c>
      <c r="W112" s="15"/>
      <c r="X112" s="15">
        <v>-46</v>
      </c>
      <c r="Y112" s="15">
        <v>5</v>
      </c>
      <c r="Z112" s="48">
        <f t="shared" si="28"/>
        <v>-20.5</v>
      </c>
      <c r="AA112" s="13"/>
      <c r="AB112" s="13">
        <v>-16</v>
      </c>
      <c r="AC112" s="13">
        <v>50</v>
      </c>
      <c r="AD112" s="48">
        <f t="shared" si="31"/>
        <v>17</v>
      </c>
      <c r="AE112" s="13"/>
      <c r="AF112" s="13">
        <v>25</v>
      </c>
      <c r="AG112" s="13">
        <v>75</v>
      </c>
      <c r="AH112" s="48">
        <f t="shared" si="32"/>
        <v>50</v>
      </c>
      <c r="AI112" s="13"/>
      <c r="AJ112" s="13">
        <v>71</v>
      </c>
      <c r="AK112" s="13">
        <v>108</v>
      </c>
      <c r="AL112" s="48">
        <f t="shared" si="33"/>
        <v>89.5</v>
      </c>
      <c r="AM112" s="13"/>
      <c r="AN112" s="13">
        <v>125</v>
      </c>
      <c r="AO112" s="13">
        <v>133</v>
      </c>
      <c r="AP112" s="48">
        <f t="shared" si="34"/>
        <v>129</v>
      </c>
      <c r="AQ112" s="13"/>
      <c r="AR112" s="13"/>
      <c r="AS112" s="13"/>
      <c r="AT112" s="97"/>
      <c r="AU112" s="13"/>
      <c r="AV112" s="13"/>
      <c r="AW112" s="13"/>
      <c r="AX112" s="49"/>
    </row>
    <row r="113" spans="1:50" ht="10.199999999999999" customHeight="1" x14ac:dyDescent="0.25">
      <c r="A113" s="14">
        <f t="shared" si="29"/>
        <v>19</v>
      </c>
      <c r="B113" s="102">
        <f t="shared" si="30"/>
        <v>36293</v>
      </c>
      <c r="C113" s="103">
        <v>36288</v>
      </c>
      <c r="D113" s="15"/>
      <c r="E113" s="15"/>
      <c r="F113" s="99"/>
      <c r="G113" s="15"/>
      <c r="H113" s="15"/>
      <c r="I113" s="15"/>
      <c r="J113" s="99"/>
      <c r="K113" s="15"/>
      <c r="L113" s="15"/>
      <c r="M113" s="15"/>
      <c r="N113" s="99"/>
      <c r="O113" s="15"/>
      <c r="P113" s="15"/>
      <c r="Q113" s="15"/>
      <c r="R113" s="99"/>
      <c r="S113" s="15"/>
      <c r="T113" s="15">
        <v>-44</v>
      </c>
      <c r="U113" s="15">
        <v>-4</v>
      </c>
      <c r="V113" s="98">
        <f t="shared" si="27"/>
        <v>-24</v>
      </c>
      <c r="W113" s="15"/>
      <c r="X113" s="15">
        <v>-39</v>
      </c>
      <c r="Y113" s="15">
        <v>3</v>
      </c>
      <c r="Z113" s="48">
        <f t="shared" si="28"/>
        <v>-18</v>
      </c>
      <c r="AA113" s="13"/>
      <c r="AB113" s="13">
        <v>-14</v>
      </c>
      <c r="AC113" s="13">
        <v>50</v>
      </c>
      <c r="AD113" s="48">
        <f t="shared" si="31"/>
        <v>18</v>
      </c>
      <c r="AE113" s="13"/>
      <c r="AF113" s="13">
        <v>21</v>
      </c>
      <c r="AG113" s="13">
        <v>72</v>
      </c>
      <c r="AH113" s="48">
        <f t="shared" si="32"/>
        <v>46.5</v>
      </c>
      <c r="AI113" s="13"/>
      <c r="AJ113" s="13">
        <v>72</v>
      </c>
      <c r="AK113" s="13">
        <v>105</v>
      </c>
      <c r="AL113" s="48">
        <f t="shared" si="33"/>
        <v>88.5</v>
      </c>
      <c r="AM113" s="13"/>
      <c r="AN113" s="13">
        <v>127</v>
      </c>
      <c r="AO113" s="13">
        <v>132</v>
      </c>
      <c r="AP113" s="48">
        <f t="shared" si="34"/>
        <v>129.5</v>
      </c>
      <c r="AQ113" s="13"/>
      <c r="AR113" s="13"/>
      <c r="AS113" s="13"/>
      <c r="AT113" s="97"/>
      <c r="AU113" s="13"/>
      <c r="AV113" s="13"/>
      <c r="AW113" s="13"/>
      <c r="AX113" s="49"/>
    </row>
    <row r="114" spans="1:50" ht="10.199999999999999" customHeight="1" x14ac:dyDescent="0.25">
      <c r="A114" s="14">
        <f t="shared" si="29"/>
        <v>20</v>
      </c>
      <c r="B114" s="102">
        <f t="shared" si="30"/>
        <v>36300</v>
      </c>
      <c r="C114" s="103">
        <v>36295</v>
      </c>
      <c r="D114" s="15"/>
      <c r="E114" s="15"/>
      <c r="F114" s="99"/>
      <c r="G114" s="15"/>
      <c r="H114" s="15"/>
      <c r="I114" s="15"/>
      <c r="J114" s="99"/>
      <c r="K114" s="15"/>
      <c r="L114" s="15"/>
      <c r="M114" s="15"/>
      <c r="N114" s="99"/>
      <c r="O114" s="15"/>
      <c r="P114" s="15"/>
      <c r="Q114" s="15"/>
      <c r="R114" s="99"/>
      <c r="S114" s="15"/>
      <c r="T114" s="15"/>
      <c r="U114" s="15"/>
      <c r="V114" s="99"/>
      <c r="W114" s="15"/>
      <c r="X114" s="15">
        <v>-39</v>
      </c>
      <c r="Y114" s="15">
        <v>-1</v>
      </c>
      <c r="Z114" s="48">
        <f t="shared" si="28"/>
        <v>-20</v>
      </c>
      <c r="AA114" s="13"/>
      <c r="AB114" s="13">
        <v>-16</v>
      </c>
      <c r="AC114" s="13">
        <v>46</v>
      </c>
      <c r="AD114" s="48">
        <f t="shared" si="31"/>
        <v>15</v>
      </c>
      <c r="AE114" s="13"/>
      <c r="AF114" s="13">
        <v>9</v>
      </c>
      <c r="AG114" s="13">
        <v>57</v>
      </c>
      <c r="AH114" s="48">
        <f t="shared" si="32"/>
        <v>33</v>
      </c>
      <c r="AI114" s="13"/>
      <c r="AJ114" s="13">
        <v>49</v>
      </c>
      <c r="AK114" s="13">
        <v>102</v>
      </c>
      <c r="AL114" s="48">
        <f t="shared" si="33"/>
        <v>75.5</v>
      </c>
      <c r="AM114" s="13"/>
      <c r="AN114" s="13">
        <v>74</v>
      </c>
      <c r="AO114" s="13">
        <v>123</v>
      </c>
      <c r="AP114" s="48">
        <f t="shared" si="34"/>
        <v>98.5</v>
      </c>
      <c r="AQ114" s="13"/>
      <c r="AR114" s="13">
        <v>81</v>
      </c>
      <c r="AS114" s="13">
        <v>111</v>
      </c>
      <c r="AT114" s="48">
        <f t="shared" ref="AT114:AT140" si="35">AVERAGE(AR114,AS114)</f>
        <v>96</v>
      </c>
      <c r="AU114" s="13"/>
      <c r="AV114" s="13"/>
      <c r="AW114" s="13"/>
      <c r="AX114" s="49"/>
    </row>
    <row r="115" spans="1:50" ht="10.199999999999999" customHeight="1" x14ac:dyDescent="0.25">
      <c r="A115" s="14">
        <f t="shared" si="29"/>
        <v>21</v>
      </c>
      <c r="B115" s="102">
        <f t="shared" si="30"/>
        <v>36307</v>
      </c>
      <c r="C115" s="103">
        <v>36302</v>
      </c>
      <c r="D115" s="15"/>
      <c r="E115" s="15"/>
      <c r="F115" s="99"/>
      <c r="G115" s="15"/>
      <c r="H115" s="15"/>
      <c r="I115" s="15"/>
      <c r="J115" s="99"/>
      <c r="K115" s="15"/>
      <c r="L115" s="15"/>
      <c r="M115" s="15"/>
      <c r="N115" s="99"/>
      <c r="O115" s="15"/>
      <c r="P115" s="15"/>
      <c r="Q115" s="15"/>
      <c r="R115" s="99"/>
      <c r="S115" s="15"/>
      <c r="T115" s="15"/>
      <c r="U115" s="15"/>
      <c r="V115" s="99"/>
      <c r="W115" s="15"/>
      <c r="X115" s="15">
        <v>-29</v>
      </c>
      <c r="Y115" s="15">
        <v>-10</v>
      </c>
      <c r="Z115" s="48">
        <f t="shared" si="28"/>
        <v>-19.5</v>
      </c>
      <c r="AA115" s="13"/>
      <c r="AB115" s="13">
        <v>-9</v>
      </c>
      <c r="AC115" s="13">
        <v>23</v>
      </c>
      <c r="AD115" s="48">
        <f t="shared" si="31"/>
        <v>7</v>
      </c>
      <c r="AE115" s="13"/>
      <c r="AF115" s="13">
        <v>21</v>
      </c>
      <c r="AG115" s="13">
        <v>51</v>
      </c>
      <c r="AH115" s="48">
        <f t="shared" si="32"/>
        <v>36</v>
      </c>
      <c r="AI115" s="13"/>
      <c r="AJ115" s="13">
        <v>64</v>
      </c>
      <c r="AK115" s="13">
        <v>73</v>
      </c>
      <c r="AL115" s="48">
        <f t="shared" si="33"/>
        <v>68.5</v>
      </c>
      <c r="AM115" s="13"/>
      <c r="AN115" s="13">
        <v>93</v>
      </c>
      <c r="AO115" s="13">
        <v>97</v>
      </c>
      <c r="AP115" s="48">
        <f t="shared" si="34"/>
        <v>95</v>
      </c>
      <c r="AQ115" s="13"/>
      <c r="AR115" s="13">
        <v>89</v>
      </c>
      <c r="AS115" s="13">
        <v>107</v>
      </c>
      <c r="AT115" s="48">
        <f t="shared" si="35"/>
        <v>98</v>
      </c>
      <c r="AU115" s="13"/>
      <c r="AV115" s="13"/>
      <c r="AW115" s="13"/>
      <c r="AX115" s="49"/>
    </row>
    <row r="116" spans="1:50" ht="10.199999999999999" customHeight="1" x14ac:dyDescent="0.25">
      <c r="A116" s="14">
        <f t="shared" si="29"/>
        <v>22</v>
      </c>
      <c r="B116" s="102">
        <f t="shared" si="30"/>
        <v>36314</v>
      </c>
      <c r="C116" s="103">
        <v>36309</v>
      </c>
      <c r="D116" s="15"/>
      <c r="E116" s="15"/>
      <c r="F116" s="99"/>
      <c r="G116" s="15"/>
      <c r="H116" s="15"/>
      <c r="I116" s="15"/>
      <c r="J116" s="99"/>
      <c r="K116" s="15"/>
      <c r="L116" s="15"/>
      <c r="M116" s="15"/>
      <c r="N116" s="99"/>
      <c r="O116" s="15"/>
      <c r="P116" s="15"/>
      <c r="Q116" s="15"/>
      <c r="R116" s="99"/>
      <c r="S116" s="15"/>
      <c r="T116" s="15"/>
      <c r="U116" s="15"/>
      <c r="V116" s="99"/>
      <c r="W116" s="15"/>
      <c r="X116" s="15">
        <v>-45</v>
      </c>
      <c r="Y116" s="15">
        <v>-7</v>
      </c>
      <c r="Z116" s="48">
        <f t="shared" si="28"/>
        <v>-26</v>
      </c>
      <c r="AA116" s="13"/>
      <c r="AB116" s="13">
        <v>-36</v>
      </c>
      <c r="AC116" s="13">
        <v>24</v>
      </c>
      <c r="AD116" s="48">
        <f t="shared" si="31"/>
        <v>-6</v>
      </c>
      <c r="AE116" s="13"/>
      <c r="AF116" s="13">
        <v>8</v>
      </c>
      <c r="AG116" s="13">
        <v>44</v>
      </c>
      <c r="AH116" s="48">
        <f t="shared" si="32"/>
        <v>26</v>
      </c>
      <c r="AI116" s="13"/>
      <c r="AJ116" s="13">
        <v>55</v>
      </c>
      <c r="AK116" s="13">
        <v>77</v>
      </c>
      <c r="AL116" s="48">
        <f t="shared" si="33"/>
        <v>66</v>
      </c>
      <c r="AM116" s="13"/>
      <c r="AN116" s="13">
        <v>95</v>
      </c>
      <c r="AO116" s="13">
        <v>102</v>
      </c>
      <c r="AP116" s="48">
        <f t="shared" si="34"/>
        <v>98.5</v>
      </c>
      <c r="AQ116" s="13"/>
      <c r="AR116" s="13">
        <v>89</v>
      </c>
      <c r="AS116" s="13">
        <v>97</v>
      </c>
      <c r="AT116" s="48">
        <f t="shared" si="35"/>
        <v>93</v>
      </c>
      <c r="AU116" s="13"/>
      <c r="AV116" s="13"/>
      <c r="AW116" s="13"/>
      <c r="AX116" s="49"/>
    </row>
    <row r="117" spans="1:50" ht="10.199999999999999" customHeight="1" x14ac:dyDescent="0.25">
      <c r="A117" s="14">
        <f t="shared" si="29"/>
        <v>23</v>
      </c>
      <c r="B117" s="102">
        <f t="shared" si="30"/>
        <v>36321</v>
      </c>
      <c r="C117" s="103">
        <v>36316</v>
      </c>
      <c r="D117" s="15"/>
      <c r="E117" s="15"/>
      <c r="F117" s="99"/>
      <c r="G117" s="15"/>
      <c r="H117" s="15"/>
      <c r="I117" s="15"/>
      <c r="J117" s="99"/>
      <c r="K117" s="15"/>
      <c r="L117" s="15"/>
      <c r="M117" s="15"/>
      <c r="N117" s="99"/>
      <c r="O117" s="15"/>
      <c r="P117" s="15"/>
      <c r="Q117" s="15"/>
      <c r="R117" s="99"/>
      <c r="S117" s="15"/>
      <c r="T117" s="15"/>
      <c r="U117" s="15"/>
      <c r="V117" s="99"/>
      <c r="W117" s="15"/>
      <c r="X117" s="15">
        <v>-20</v>
      </c>
      <c r="Y117" s="15">
        <v>-1</v>
      </c>
      <c r="Z117" s="48">
        <f t="shared" si="28"/>
        <v>-10.5</v>
      </c>
      <c r="AA117" s="13"/>
      <c r="AB117" s="13">
        <v>-16</v>
      </c>
      <c r="AC117" s="13">
        <v>15</v>
      </c>
      <c r="AD117" s="48">
        <f t="shared" si="31"/>
        <v>-0.5</v>
      </c>
      <c r="AE117" s="13"/>
      <c r="AF117" s="13">
        <v>1</v>
      </c>
      <c r="AG117" s="13">
        <v>40</v>
      </c>
      <c r="AH117" s="48">
        <f t="shared" si="32"/>
        <v>20.5</v>
      </c>
      <c r="AI117" s="13"/>
      <c r="AJ117" s="13">
        <v>50</v>
      </c>
      <c r="AK117" s="13">
        <v>66</v>
      </c>
      <c r="AL117" s="48">
        <f t="shared" si="33"/>
        <v>58</v>
      </c>
      <c r="AM117" s="13"/>
      <c r="AN117" s="13">
        <v>93</v>
      </c>
      <c r="AO117" s="13">
        <v>97</v>
      </c>
      <c r="AP117" s="48">
        <f t="shared" si="34"/>
        <v>95</v>
      </c>
      <c r="AQ117" s="13"/>
      <c r="AR117" s="13">
        <v>89</v>
      </c>
      <c r="AS117" s="13">
        <v>91</v>
      </c>
      <c r="AT117" s="48">
        <f t="shared" si="35"/>
        <v>90</v>
      </c>
      <c r="AU117" s="13"/>
      <c r="AV117" s="13"/>
      <c r="AW117" s="13"/>
      <c r="AX117" s="49"/>
    </row>
    <row r="118" spans="1:50" ht="10.199999999999999" customHeight="1" x14ac:dyDescent="0.25">
      <c r="A118" s="14">
        <f t="shared" si="29"/>
        <v>24</v>
      </c>
      <c r="B118" s="102">
        <f t="shared" si="30"/>
        <v>36328</v>
      </c>
      <c r="C118" s="103">
        <v>36323</v>
      </c>
      <c r="D118" s="15"/>
      <c r="E118" s="15"/>
      <c r="F118" s="99"/>
      <c r="G118" s="15"/>
      <c r="H118" s="15"/>
      <c r="I118" s="15"/>
      <c r="J118" s="99"/>
      <c r="K118" s="15"/>
      <c r="L118" s="15"/>
      <c r="M118" s="15"/>
      <c r="N118" s="99"/>
      <c r="O118" s="15"/>
      <c r="P118" s="15"/>
      <c r="Q118" s="15"/>
      <c r="R118" s="99"/>
      <c r="S118" s="15"/>
      <c r="T118" s="15"/>
      <c r="U118" s="15"/>
      <c r="V118" s="99"/>
      <c r="W118" s="15"/>
      <c r="X118" s="15">
        <v>-74</v>
      </c>
      <c r="Y118" s="15">
        <v>-6</v>
      </c>
      <c r="Z118" s="48">
        <f t="shared" si="28"/>
        <v>-40</v>
      </c>
      <c r="AA118" s="13"/>
      <c r="AB118" s="13">
        <v>-50</v>
      </c>
      <c r="AC118" s="13">
        <v>0</v>
      </c>
      <c r="AD118" s="48">
        <f t="shared" si="31"/>
        <v>-25</v>
      </c>
      <c r="AE118" s="13"/>
      <c r="AF118" s="13">
        <v>3</v>
      </c>
      <c r="AG118" s="13">
        <v>35</v>
      </c>
      <c r="AH118" s="48">
        <f t="shared" si="32"/>
        <v>19</v>
      </c>
      <c r="AI118" s="13"/>
      <c r="AJ118" s="13">
        <v>41</v>
      </c>
      <c r="AK118" s="13">
        <v>65</v>
      </c>
      <c r="AL118" s="48">
        <f t="shared" si="33"/>
        <v>53</v>
      </c>
      <c r="AM118" s="13"/>
      <c r="AN118" s="13">
        <v>88</v>
      </c>
      <c r="AO118" s="13">
        <v>95</v>
      </c>
      <c r="AP118" s="48">
        <f t="shared" si="34"/>
        <v>91.5</v>
      </c>
      <c r="AQ118" s="13"/>
      <c r="AR118" s="13">
        <v>81</v>
      </c>
      <c r="AS118" s="13">
        <v>83</v>
      </c>
      <c r="AT118" s="48">
        <f t="shared" si="35"/>
        <v>82</v>
      </c>
      <c r="AU118" s="13"/>
      <c r="AV118" s="13"/>
      <c r="AW118" s="13"/>
      <c r="AX118" s="49"/>
    </row>
    <row r="119" spans="1:50" ht="10.199999999999999" customHeight="1" x14ac:dyDescent="0.25">
      <c r="A119" s="14">
        <f t="shared" si="29"/>
        <v>25</v>
      </c>
      <c r="B119" s="102">
        <f t="shared" si="30"/>
        <v>36335</v>
      </c>
      <c r="C119" s="103">
        <v>36330</v>
      </c>
      <c r="D119" s="15"/>
      <c r="E119" s="15"/>
      <c r="F119" s="99"/>
      <c r="G119" s="15"/>
      <c r="H119" s="15"/>
      <c r="I119" s="15"/>
      <c r="J119" s="99"/>
      <c r="K119" s="15"/>
      <c r="L119" s="15"/>
      <c r="M119" s="15"/>
      <c r="N119" s="99"/>
      <c r="O119" s="15"/>
      <c r="P119" s="15"/>
      <c r="Q119" s="15"/>
      <c r="R119" s="99"/>
      <c r="S119" s="15"/>
      <c r="T119" s="15"/>
      <c r="U119" s="15"/>
      <c r="V119" s="99"/>
      <c r="W119" s="15"/>
      <c r="X119" s="15"/>
      <c r="Y119" s="15"/>
      <c r="Z119" s="97"/>
      <c r="AA119" s="13"/>
      <c r="AB119" s="13">
        <v>-51</v>
      </c>
      <c r="AC119" s="13">
        <v>-18</v>
      </c>
      <c r="AD119" s="48">
        <f t="shared" si="31"/>
        <v>-34.5</v>
      </c>
      <c r="AE119" s="13"/>
      <c r="AF119" s="13">
        <v>-1</v>
      </c>
      <c r="AG119" s="13">
        <v>25</v>
      </c>
      <c r="AH119" s="48">
        <f t="shared" si="32"/>
        <v>12</v>
      </c>
      <c r="AI119" s="13"/>
      <c r="AJ119" s="13">
        <v>36</v>
      </c>
      <c r="AK119" s="13">
        <v>52</v>
      </c>
      <c r="AL119" s="48">
        <f t="shared" si="33"/>
        <v>44</v>
      </c>
      <c r="AM119" s="13"/>
      <c r="AN119" s="13">
        <v>66</v>
      </c>
      <c r="AO119" s="13">
        <v>84</v>
      </c>
      <c r="AP119" s="48">
        <f t="shared" si="34"/>
        <v>75</v>
      </c>
      <c r="AQ119" s="13"/>
      <c r="AR119" s="13">
        <v>54</v>
      </c>
      <c r="AS119" s="13">
        <v>77</v>
      </c>
      <c r="AT119" s="48">
        <f t="shared" si="35"/>
        <v>65.5</v>
      </c>
      <c r="AU119" s="13"/>
      <c r="AV119" s="13">
        <v>39</v>
      </c>
      <c r="AW119" s="13">
        <v>66</v>
      </c>
      <c r="AX119" s="48">
        <f t="shared" ref="AX119:AX144" si="36">AVERAGE(AV119,AW119)</f>
        <v>52.5</v>
      </c>
    </row>
    <row r="120" spans="1:50" ht="10.199999999999999" customHeight="1" x14ac:dyDescent="0.25">
      <c r="A120" s="14">
        <f t="shared" si="29"/>
        <v>26</v>
      </c>
      <c r="B120" s="102">
        <f t="shared" si="30"/>
        <v>36342</v>
      </c>
      <c r="C120" s="103">
        <v>36337</v>
      </c>
      <c r="D120" s="15"/>
      <c r="E120" s="15"/>
      <c r="F120" s="99"/>
      <c r="G120" s="15"/>
      <c r="H120" s="15"/>
      <c r="I120" s="15"/>
      <c r="J120" s="99"/>
      <c r="K120" s="15"/>
      <c r="L120" s="15"/>
      <c r="M120" s="15"/>
      <c r="N120" s="99"/>
      <c r="O120" s="15"/>
      <c r="P120" s="15"/>
      <c r="Q120" s="15"/>
      <c r="R120" s="99"/>
      <c r="S120" s="15"/>
      <c r="T120" s="15"/>
      <c r="U120" s="15"/>
      <c r="V120" s="99"/>
      <c r="W120" s="15"/>
      <c r="X120" s="15"/>
      <c r="Y120" s="15"/>
      <c r="Z120" s="97"/>
      <c r="AA120" s="13"/>
      <c r="AB120" s="13">
        <v>-35</v>
      </c>
      <c r="AC120" s="13">
        <v>-7</v>
      </c>
      <c r="AD120" s="48">
        <f t="shared" si="31"/>
        <v>-21</v>
      </c>
      <c r="AE120" s="13"/>
      <c r="AF120" s="13">
        <v>9</v>
      </c>
      <c r="AG120" s="13">
        <v>20</v>
      </c>
      <c r="AH120" s="48">
        <f t="shared" si="32"/>
        <v>14.5</v>
      </c>
      <c r="AI120" s="13"/>
      <c r="AJ120" s="13">
        <v>38</v>
      </c>
      <c r="AK120" s="13">
        <v>51</v>
      </c>
      <c r="AL120" s="48">
        <f t="shared" si="33"/>
        <v>44.5</v>
      </c>
      <c r="AM120" s="13"/>
      <c r="AN120" s="13">
        <v>65</v>
      </c>
      <c r="AO120" s="13">
        <v>84</v>
      </c>
      <c r="AP120" s="48">
        <f t="shared" si="34"/>
        <v>74.5</v>
      </c>
      <c r="AQ120" s="13"/>
      <c r="AR120" s="13">
        <v>52</v>
      </c>
      <c r="AS120" s="13">
        <v>77</v>
      </c>
      <c r="AT120" s="48">
        <f t="shared" si="35"/>
        <v>64.5</v>
      </c>
      <c r="AU120" s="13"/>
      <c r="AV120" s="13">
        <v>30</v>
      </c>
      <c r="AW120" s="13">
        <v>63</v>
      </c>
      <c r="AX120" s="48">
        <f t="shared" si="36"/>
        <v>46.5</v>
      </c>
    </row>
    <row r="121" spans="1:50" ht="10.199999999999999" customHeight="1" x14ac:dyDescent="0.25">
      <c r="A121" s="14">
        <f t="shared" si="29"/>
        <v>27</v>
      </c>
      <c r="B121" s="102">
        <f t="shared" si="30"/>
        <v>36349</v>
      </c>
      <c r="C121" s="103">
        <v>36344</v>
      </c>
      <c r="D121" s="15"/>
      <c r="E121" s="15"/>
      <c r="F121" s="99"/>
      <c r="G121" s="15"/>
      <c r="H121" s="15"/>
      <c r="I121" s="15"/>
      <c r="J121" s="99"/>
      <c r="K121" s="15"/>
      <c r="L121" s="15"/>
      <c r="M121" s="15"/>
      <c r="N121" s="99"/>
      <c r="O121" s="15"/>
      <c r="P121" s="15"/>
      <c r="Q121" s="15"/>
      <c r="R121" s="99"/>
      <c r="S121" s="15"/>
      <c r="T121" s="15"/>
      <c r="U121" s="15"/>
      <c r="V121" s="99"/>
      <c r="W121" s="15"/>
      <c r="X121" s="15"/>
      <c r="Y121" s="15"/>
      <c r="Z121" s="97"/>
      <c r="AA121" s="13"/>
      <c r="AB121" s="13">
        <v>-32</v>
      </c>
      <c r="AC121" s="13">
        <v>6</v>
      </c>
      <c r="AD121" s="48">
        <f t="shared" si="31"/>
        <v>-13</v>
      </c>
      <c r="AE121" s="13"/>
      <c r="AF121" s="13">
        <v>5</v>
      </c>
      <c r="AG121" s="13">
        <v>33</v>
      </c>
      <c r="AH121" s="48">
        <f t="shared" si="32"/>
        <v>19</v>
      </c>
      <c r="AI121" s="13"/>
      <c r="AJ121" s="13">
        <v>40</v>
      </c>
      <c r="AK121" s="13">
        <v>54</v>
      </c>
      <c r="AL121" s="48">
        <f t="shared" si="33"/>
        <v>47</v>
      </c>
      <c r="AM121" s="13"/>
      <c r="AN121" s="13">
        <v>62</v>
      </c>
      <c r="AO121" s="13">
        <v>74</v>
      </c>
      <c r="AP121" s="48">
        <f t="shared" si="34"/>
        <v>68</v>
      </c>
      <c r="AQ121" s="13"/>
      <c r="AR121" s="13">
        <v>41</v>
      </c>
      <c r="AS121" s="13">
        <v>70</v>
      </c>
      <c r="AT121" s="48">
        <f t="shared" si="35"/>
        <v>55.5</v>
      </c>
      <c r="AU121" s="13"/>
      <c r="AV121" s="13">
        <v>25</v>
      </c>
      <c r="AW121" s="13">
        <v>48</v>
      </c>
      <c r="AX121" s="48">
        <f t="shared" si="36"/>
        <v>36.5</v>
      </c>
    </row>
    <row r="122" spans="1:50" ht="10.199999999999999" customHeight="1" x14ac:dyDescent="0.25">
      <c r="A122" s="14">
        <f t="shared" si="29"/>
        <v>28</v>
      </c>
      <c r="B122" s="102">
        <f t="shared" si="30"/>
        <v>36356</v>
      </c>
      <c r="C122" s="103">
        <v>36351</v>
      </c>
      <c r="D122" s="15"/>
      <c r="E122" s="15"/>
      <c r="F122" s="99"/>
      <c r="G122" s="15"/>
      <c r="H122" s="15"/>
      <c r="I122" s="15"/>
      <c r="J122" s="99"/>
      <c r="K122" s="15"/>
      <c r="L122" s="15"/>
      <c r="M122" s="15"/>
      <c r="N122" s="99"/>
      <c r="O122" s="15"/>
      <c r="P122" s="15"/>
      <c r="Q122" s="15"/>
      <c r="R122" s="99"/>
      <c r="S122" s="15"/>
      <c r="T122" s="15"/>
      <c r="U122" s="15"/>
      <c r="V122" s="99"/>
      <c r="W122" s="15"/>
      <c r="X122" s="15"/>
      <c r="Y122" s="15"/>
      <c r="Z122" s="97"/>
      <c r="AA122" s="13"/>
      <c r="AB122" s="13">
        <v>-41</v>
      </c>
      <c r="AC122" s="13">
        <v>-1</v>
      </c>
      <c r="AD122" s="48">
        <f t="shared" si="31"/>
        <v>-21</v>
      </c>
      <c r="AE122" s="13"/>
      <c r="AF122" s="13">
        <v>2</v>
      </c>
      <c r="AG122" s="13">
        <v>28</v>
      </c>
      <c r="AH122" s="48">
        <f t="shared" si="32"/>
        <v>15</v>
      </c>
      <c r="AI122" s="13"/>
      <c r="AJ122" s="13">
        <v>35</v>
      </c>
      <c r="AK122" s="13">
        <v>62</v>
      </c>
      <c r="AL122" s="48">
        <f t="shared" si="33"/>
        <v>48.5</v>
      </c>
      <c r="AM122" s="13"/>
      <c r="AN122" s="13">
        <v>60</v>
      </c>
      <c r="AO122" s="13">
        <v>72</v>
      </c>
      <c r="AP122" s="48">
        <f t="shared" si="34"/>
        <v>66</v>
      </c>
      <c r="AQ122" s="13"/>
      <c r="AR122" s="13">
        <v>48</v>
      </c>
      <c r="AS122" s="13">
        <v>54</v>
      </c>
      <c r="AT122" s="48">
        <f t="shared" si="35"/>
        <v>51</v>
      </c>
      <c r="AU122" s="13"/>
      <c r="AV122" s="13">
        <v>22</v>
      </c>
      <c r="AW122" s="13">
        <v>34</v>
      </c>
      <c r="AX122" s="48">
        <f t="shared" si="36"/>
        <v>28</v>
      </c>
    </row>
    <row r="123" spans="1:50" ht="10.199999999999999" customHeight="1" x14ac:dyDescent="0.25">
      <c r="A123" s="14">
        <f t="shared" si="29"/>
        <v>29</v>
      </c>
      <c r="B123" s="102">
        <f t="shared" si="30"/>
        <v>36363</v>
      </c>
      <c r="C123" s="103">
        <v>36358</v>
      </c>
      <c r="D123" s="15"/>
      <c r="E123" s="15"/>
      <c r="F123" s="99"/>
      <c r="G123" s="15"/>
      <c r="H123" s="15"/>
      <c r="I123" s="15"/>
      <c r="J123" s="99"/>
      <c r="K123" s="15"/>
      <c r="L123" s="15"/>
      <c r="M123" s="15"/>
      <c r="N123" s="99"/>
      <c r="O123" s="15"/>
      <c r="P123" s="15"/>
      <c r="Q123" s="15"/>
      <c r="R123" s="99"/>
      <c r="S123" s="15"/>
      <c r="T123" s="15"/>
      <c r="U123" s="15"/>
      <c r="V123" s="99"/>
      <c r="W123" s="15"/>
      <c r="X123" s="15"/>
      <c r="Y123" s="15"/>
      <c r="Z123" s="97"/>
      <c r="AA123" s="13"/>
      <c r="AB123" s="13">
        <v>-57</v>
      </c>
      <c r="AC123" s="13">
        <v>0</v>
      </c>
      <c r="AD123" s="48">
        <f t="shared" si="31"/>
        <v>-28.5</v>
      </c>
      <c r="AE123" s="13"/>
      <c r="AF123" s="13">
        <v>-28</v>
      </c>
      <c r="AG123" s="13">
        <v>12</v>
      </c>
      <c r="AH123" s="48">
        <f t="shared" si="32"/>
        <v>-8</v>
      </c>
      <c r="AI123" s="13"/>
      <c r="AJ123" s="13">
        <v>26</v>
      </c>
      <c r="AK123" s="13">
        <v>52</v>
      </c>
      <c r="AL123" s="48">
        <f t="shared" si="33"/>
        <v>39</v>
      </c>
      <c r="AM123" s="13"/>
      <c r="AN123" s="13">
        <v>47</v>
      </c>
      <c r="AO123" s="13">
        <v>66</v>
      </c>
      <c r="AP123" s="48">
        <f t="shared" si="34"/>
        <v>56.5</v>
      </c>
      <c r="AQ123" s="13"/>
      <c r="AR123" s="13">
        <v>36</v>
      </c>
      <c r="AS123" s="13">
        <v>53</v>
      </c>
      <c r="AT123" s="48">
        <f t="shared" si="35"/>
        <v>44.5</v>
      </c>
      <c r="AU123" s="13"/>
      <c r="AV123" s="13">
        <v>18</v>
      </c>
      <c r="AW123" s="13">
        <v>30</v>
      </c>
      <c r="AX123" s="48">
        <f t="shared" si="36"/>
        <v>24</v>
      </c>
    </row>
    <row r="124" spans="1:50" ht="10.199999999999999" customHeight="1" x14ac:dyDescent="0.25">
      <c r="A124" s="14">
        <f t="shared" si="29"/>
        <v>30</v>
      </c>
      <c r="B124" s="102">
        <f t="shared" si="30"/>
        <v>36370</v>
      </c>
      <c r="C124" s="103">
        <v>36365</v>
      </c>
      <c r="D124" s="15">
        <v>2</v>
      </c>
      <c r="E124" s="15">
        <v>30</v>
      </c>
      <c r="F124" s="98">
        <f t="shared" ref="F124:F129" si="37">AVERAGE(D124,E124)</f>
        <v>16</v>
      </c>
      <c r="G124" s="15"/>
      <c r="H124" s="15"/>
      <c r="I124" s="15"/>
      <c r="J124" s="99"/>
      <c r="K124" s="15"/>
      <c r="L124" s="15"/>
      <c r="M124" s="15"/>
      <c r="N124" s="99"/>
      <c r="O124" s="15"/>
      <c r="P124" s="15"/>
      <c r="Q124" s="15"/>
      <c r="R124" s="99"/>
      <c r="S124" s="15"/>
      <c r="T124" s="15"/>
      <c r="U124" s="15"/>
      <c r="V124" s="99"/>
      <c r="W124" s="15"/>
      <c r="X124" s="15"/>
      <c r="Y124" s="15"/>
      <c r="Z124" s="97"/>
      <c r="AA124" s="13"/>
      <c r="AB124" s="13"/>
      <c r="AC124" s="13"/>
      <c r="AD124" s="97"/>
      <c r="AE124" s="13"/>
      <c r="AF124" s="13">
        <v>16</v>
      </c>
      <c r="AG124" s="13">
        <v>49</v>
      </c>
      <c r="AH124" s="48">
        <f t="shared" si="32"/>
        <v>32.5</v>
      </c>
      <c r="AI124" s="13"/>
      <c r="AJ124" s="13">
        <v>47</v>
      </c>
      <c r="AK124" s="13">
        <v>72</v>
      </c>
      <c r="AL124" s="48">
        <f t="shared" si="33"/>
        <v>59.5</v>
      </c>
      <c r="AM124" s="13"/>
      <c r="AN124" s="13">
        <v>55</v>
      </c>
      <c r="AO124" s="13">
        <v>84</v>
      </c>
      <c r="AP124" s="48">
        <f t="shared" si="34"/>
        <v>69.5</v>
      </c>
      <c r="AQ124" s="13"/>
      <c r="AR124" s="13">
        <v>38</v>
      </c>
      <c r="AS124" s="13">
        <v>59</v>
      </c>
      <c r="AT124" s="48">
        <f t="shared" si="35"/>
        <v>48.5</v>
      </c>
      <c r="AU124" s="13"/>
      <c r="AV124" s="13">
        <v>16</v>
      </c>
      <c r="AW124" s="13">
        <v>27</v>
      </c>
      <c r="AX124" s="48">
        <f t="shared" si="36"/>
        <v>21.5</v>
      </c>
    </row>
    <row r="125" spans="1:50" ht="10.199999999999999" customHeight="1" x14ac:dyDescent="0.25">
      <c r="A125" s="14">
        <f t="shared" si="29"/>
        <v>31</v>
      </c>
      <c r="B125" s="102">
        <f t="shared" si="30"/>
        <v>36377</v>
      </c>
      <c r="C125" s="103">
        <v>36372</v>
      </c>
      <c r="D125" s="15">
        <v>3</v>
      </c>
      <c r="E125" s="15">
        <v>23</v>
      </c>
      <c r="F125" s="98">
        <f t="shared" si="37"/>
        <v>13</v>
      </c>
      <c r="G125" s="15"/>
      <c r="H125" s="15"/>
      <c r="I125" s="15"/>
      <c r="J125" s="99"/>
      <c r="K125" s="15"/>
      <c r="L125" s="15"/>
      <c r="M125" s="15"/>
      <c r="N125" s="99"/>
      <c r="O125" s="15"/>
      <c r="P125" s="15"/>
      <c r="Q125" s="15"/>
      <c r="R125" s="99"/>
      <c r="S125" s="15"/>
      <c r="T125" s="15"/>
      <c r="U125" s="15"/>
      <c r="V125" s="99"/>
      <c r="W125" s="15"/>
      <c r="X125" s="15"/>
      <c r="Y125" s="15"/>
      <c r="Z125" s="97"/>
      <c r="AA125" s="13"/>
      <c r="AB125" s="13"/>
      <c r="AC125" s="13"/>
      <c r="AD125" s="97"/>
      <c r="AE125" s="13"/>
      <c r="AF125" s="13">
        <v>37</v>
      </c>
      <c r="AG125" s="13">
        <v>81</v>
      </c>
      <c r="AH125" s="48">
        <f t="shared" si="32"/>
        <v>59</v>
      </c>
      <c r="AI125" s="13"/>
      <c r="AJ125" s="13">
        <v>60</v>
      </c>
      <c r="AK125" s="13">
        <v>107</v>
      </c>
      <c r="AL125" s="48">
        <f t="shared" si="33"/>
        <v>83.5</v>
      </c>
      <c r="AM125" s="13"/>
      <c r="AN125" s="13">
        <v>69</v>
      </c>
      <c r="AO125" s="13">
        <v>110</v>
      </c>
      <c r="AP125" s="48">
        <f t="shared" si="34"/>
        <v>89.5</v>
      </c>
      <c r="AQ125" s="13"/>
      <c r="AR125" s="13">
        <v>40</v>
      </c>
      <c r="AS125" s="13">
        <v>65</v>
      </c>
      <c r="AT125" s="48">
        <f t="shared" si="35"/>
        <v>52.5</v>
      </c>
      <c r="AU125" s="13"/>
      <c r="AV125" s="13">
        <v>23</v>
      </c>
      <c r="AW125" s="13">
        <v>35</v>
      </c>
      <c r="AX125" s="48">
        <f t="shared" si="36"/>
        <v>29</v>
      </c>
    </row>
    <row r="126" spans="1:50" ht="10.199999999999999" customHeight="1" x14ac:dyDescent="0.25">
      <c r="A126" s="14">
        <f t="shared" si="29"/>
        <v>32</v>
      </c>
      <c r="B126" s="102">
        <f t="shared" si="30"/>
        <v>36384</v>
      </c>
      <c r="C126" s="103">
        <v>36379</v>
      </c>
      <c r="D126" s="15"/>
      <c r="E126" s="15">
        <v>4</v>
      </c>
      <c r="F126" s="98">
        <f t="shared" si="37"/>
        <v>4</v>
      </c>
      <c r="G126" s="15"/>
      <c r="H126" s="15">
        <v>14</v>
      </c>
      <c r="I126" s="15"/>
      <c r="J126" s="98">
        <f>AVERAGE(H126,I126)</f>
        <v>14</v>
      </c>
      <c r="K126" s="15"/>
      <c r="L126" s="15"/>
      <c r="M126" s="15"/>
      <c r="N126" s="99"/>
      <c r="O126" s="15"/>
      <c r="P126" s="15"/>
      <c r="Q126" s="15"/>
      <c r="R126" s="99"/>
      <c r="S126" s="15"/>
      <c r="T126" s="15"/>
      <c r="U126" s="15"/>
      <c r="V126" s="99"/>
      <c r="W126" s="15"/>
      <c r="X126" s="15"/>
      <c r="Y126" s="15"/>
      <c r="Z126" s="97"/>
      <c r="AA126" s="13"/>
      <c r="AB126" s="13"/>
      <c r="AC126" s="13"/>
      <c r="AD126" s="97"/>
      <c r="AE126" s="13"/>
      <c r="AF126" s="13">
        <v>49</v>
      </c>
      <c r="AG126" s="13">
        <v>96</v>
      </c>
      <c r="AH126" s="48">
        <f t="shared" si="32"/>
        <v>72.5</v>
      </c>
      <c r="AI126" s="13"/>
      <c r="AJ126" s="13">
        <v>49</v>
      </c>
      <c r="AK126" s="13">
        <v>175</v>
      </c>
      <c r="AL126" s="48">
        <f t="shared" si="33"/>
        <v>112</v>
      </c>
      <c r="AM126" s="13"/>
      <c r="AN126" s="13">
        <v>74</v>
      </c>
      <c r="AO126" s="13">
        <v>157</v>
      </c>
      <c r="AP126" s="48">
        <f t="shared" si="34"/>
        <v>115.5</v>
      </c>
      <c r="AQ126" s="13"/>
      <c r="AR126" s="13">
        <v>30</v>
      </c>
      <c r="AS126" s="13">
        <v>67</v>
      </c>
      <c r="AT126" s="48">
        <f t="shared" si="35"/>
        <v>48.5</v>
      </c>
      <c r="AU126" s="13"/>
      <c r="AV126" s="13">
        <v>18</v>
      </c>
      <c r="AW126" s="13">
        <v>42</v>
      </c>
      <c r="AX126" s="48">
        <f t="shared" si="36"/>
        <v>30</v>
      </c>
    </row>
    <row r="127" spans="1:50" ht="10.199999999999999" customHeight="1" x14ac:dyDescent="0.25">
      <c r="A127" s="14">
        <f t="shared" si="29"/>
        <v>33</v>
      </c>
      <c r="B127" s="102">
        <f t="shared" si="30"/>
        <v>36391</v>
      </c>
      <c r="C127" s="103">
        <v>36386</v>
      </c>
      <c r="D127" s="15">
        <v>1</v>
      </c>
      <c r="E127" s="15">
        <v>9</v>
      </c>
      <c r="F127" s="98">
        <f t="shared" si="37"/>
        <v>5</v>
      </c>
      <c r="G127" s="15"/>
      <c r="H127" s="15"/>
      <c r="I127" s="15"/>
      <c r="J127" s="98"/>
      <c r="K127" s="15"/>
      <c r="L127" s="15"/>
      <c r="M127" s="15"/>
      <c r="N127" s="99"/>
      <c r="O127" s="15"/>
      <c r="P127" s="15"/>
      <c r="Q127" s="15"/>
      <c r="R127" s="99"/>
      <c r="S127" s="15"/>
      <c r="T127" s="15"/>
      <c r="U127" s="15"/>
      <c r="V127" s="99"/>
      <c r="W127" s="15"/>
      <c r="X127" s="15"/>
      <c r="Y127" s="15"/>
      <c r="Z127" s="97"/>
      <c r="AA127" s="13"/>
      <c r="AB127" s="13"/>
      <c r="AC127" s="13"/>
      <c r="AD127" s="97"/>
      <c r="AE127" s="13"/>
      <c r="AF127" s="13">
        <v>118</v>
      </c>
      <c r="AG127" s="13">
        <v>86</v>
      </c>
      <c r="AH127" s="48">
        <f t="shared" si="32"/>
        <v>102</v>
      </c>
      <c r="AI127" s="13"/>
      <c r="AJ127" s="13">
        <v>94</v>
      </c>
      <c r="AK127" s="13">
        <v>187</v>
      </c>
      <c r="AL127" s="48">
        <f t="shared" si="33"/>
        <v>140.5</v>
      </c>
      <c r="AM127" s="13"/>
      <c r="AN127" s="13">
        <v>96</v>
      </c>
      <c r="AO127" s="13">
        <v>198</v>
      </c>
      <c r="AP127" s="48">
        <f t="shared" si="34"/>
        <v>147</v>
      </c>
      <c r="AQ127" s="13"/>
      <c r="AR127" s="13">
        <v>32</v>
      </c>
      <c r="AS127" s="13">
        <v>103</v>
      </c>
      <c r="AT127" s="48">
        <f t="shared" si="35"/>
        <v>67.5</v>
      </c>
      <c r="AU127" s="13"/>
      <c r="AV127" s="13">
        <v>11</v>
      </c>
      <c r="AW127" s="13">
        <v>46</v>
      </c>
      <c r="AX127" s="48">
        <f t="shared" si="36"/>
        <v>28.5</v>
      </c>
    </row>
    <row r="128" spans="1:50" ht="10.199999999999999" customHeight="1" x14ac:dyDescent="0.25">
      <c r="A128" s="14">
        <f t="shared" ref="A128:A146" si="38">+A127+1</f>
        <v>34</v>
      </c>
      <c r="B128" s="102">
        <f t="shared" si="30"/>
        <v>36398</v>
      </c>
      <c r="C128" s="103">
        <v>36393</v>
      </c>
      <c r="D128" s="15">
        <v>0</v>
      </c>
      <c r="E128" s="15">
        <v>25</v>
      </c>
      <c r="F128" s="98">
        <f t="shared" si="37"/>
        <v>12.5</v>
      </c>
      <c r="G128" s="15"/>
      <c r="H128" s="15">
        <v>0</v>
      </c>
      <c r="I128" s="15">
        <v>15</v>
      </c>
      <c r="J128" s="98">
        <f>AVERAGE(H128,I128)</f>
        <v>7.5</v>
      </c>
      <c r="K128" s="15"/>
      <c r="L128" s="15"/>
      <c r="M128" s="15"/>
      <c r="N128" s="99"/>
      <c r="O128" s="15"/>
      <c r="P128" s="15"/>
      <c r="Q128" s="15"/>
      <c r="R128" s="99"/>
      <c r="S128" s="15"/>
      <c r="T128" s="15"/>
      <c r="U128" s="15"/>
      <c r="V128" s="99"/>
      <c r="W128" s="15"/>
      <c r="X128" s="15"/>
      <c r="Y128" s="15"/>
      <c r="Z128" s="97"/>
      <c r="AA128" s="13"/>
      <c r="AB128" s="13"/>
      <c r="AC128" s="13"/>
      <c r="AD128" s="97"/>
      <c r="AE128" s="13"/>
      <c r="AF128" s="13"/>
      <c r="AG128" s="13"/>
      <c r="AH128" s="97"/>
      <c r="AI128" s="13"/>
      <c r="AJ128" s="13">
        <v>66</v>
      </c>
      <c r="AK128" s="13">
        <v>116</v>
      </c>
      <c r="AL128" s="48">
        <f t="shared" si="33"/>
        <v>91</v>
      </c>
      <c r="AM128" s="13"/>
      <c r="AN128" s="13">
        <v>86</v>
      </c>
      <c r="AO128" s="13">
        <v>162</v>
      </c>
      <c r="AP128" s="48">
        <f t="shared" si="34"/>
        <v>124</v>
      </c>
      <c r="AQ128" s="13"/>
      <c r="AR128" s="13">
        <v>31</v>
      </c>
      <c r="AS128" s="13">
        <v>92</v>
      </c>
      <c r="AT128" s="48">
        <f t="shared" si="35"/>
        <v>61.5</v>
      </c>
      <c r="AU128" s="13"/>
      <c r="AV128" s="13">
        <v>12</v>
      </c>
      <c r="AW128" s="13">
        <v>37</v>
      </c>
      <c r="AX128" s="48">
        <f t="shared" si="36"/>
        <v>24.5</v>
      </c>
    </row>
    <row r="129" spans="1:50" ht="10.199999999999999" customHeight="1" x14ac:dyDescent="0.25">
      <c r="A129" s="14">
        <f t="shared" si="38"/>
        <v>35</v>
      </c>
      <c r="B129" s="102">
        <f t="shared" ref="B129:B145" si="39">+B130-7</f>
        <v>36405</v>
      </c>
      <c r="C129" s="103">
        <v>36400</v>
      </c>
      <c r="D129" s="15">
        <v>1</v>
      </c>
      <c r="E129" s="15">
        <v>3</v>
      </c>
      <c r="F129" s="98">
        <f t="shared" si="37"/>
        <v>2</v>
      </c>
      <c r="G129" s="15"/>
      <c r="H129" s="15">
        <v>0</v>
      </c>
      <c r="I129" s="15">
        <v>0</v>
      </c>
      <c r="J129" s="98">
        <f>AVERAGE(H129,I129)</f>
        <v>0</v>
      </c>
      <c r="K129" s="15"/>
      <c r="L129" s="15"/>
      <c r="M129" s="15"/>
      <c r="N129" s="99"/>
      <c r="O129" s="15"/>
      <c r="P129" s="15"/>
      <c r="Q129" s="15"/>
      <c r="R129" s="99"/>
      <c r="S129" s="15"/>
      <c r="T129" s="15"/>
      <c r="U129" s="15"/>
      <c r="V129" s="99"/>
      <c r="W129" s="15"/>
      <c r="X129" s="15"/>
      <c r="Y129" s="15"/>
      <c r="Z129" s="97"/>
      <c r="AA129" s="13"/>
      <c r="AB129" s="13"/>
      <c r="AC129" s="13"/>
      <c r="AD129" s="97"/>
      <c r="AE129" s="13"/>
      <c r="AF129" s="13"/>
      <c r="AG129" s="13"/>
      <c r="AH129" s="97"/>
      <c r="AI129" s="13"/>
      <c r="AJ129" s="13">
        <v>66</v>
      </c>
      <c r="AK129" s="13">
        <v>170</v>
      </c>
      <c r="AL129" s="48">
        <f t="shared" si="33"/>
        <v>118</v>
      </c>
      <c r="AM129" s="13"/>
      <c r="AN129" s="13">
        <v>79</v>
      </c>
      <c r="AO129" s="13">
        <v>158</v>
      </c>
      <c r="AP129" s="48">
        <f t="shared" si="34"/>
        <v>118.5</v>
      </c>
      <c r="AQ129" s="13"/>
      <c r="AR129" s="13">
        <v>18</v>
      </c>
      <c r="AS129" s="13">
        <v>89</v>
      </c>
      <c r="AT129" s="48">
        <f t="shared" si="35"/>
        <v>53.5</v>
      </c>
      <c r="AU129" s="13"/>
      <c r="AV129" s="13">
        <v>12</v>
      </c>
      <c r="AW129" s="13">
        <v>18</v>
      </c>
      <c r="AX129" s="48">
        <f t="shared" si="36"/>
        <v>15</v>
      </c>
    </row>
    <row r="130" spans="1:50" ht="10.199999999999999" customHeight="1" x14ac:dyDescent="0.25">
      <c r="A130" s="14">
        <f t="shared" si="38"/>
        <v>36</v>
      </c>
      <c r="B130" s="102">
        <f t="shared" si="39"/>
        <v>36412</v>
      </c>
      <c r="C130" s="103">
        <v>36407</v>
      </c>
      <c r="D130" s="15"/>
      <c r="E130" s="15"/>
      <c r="F130" s="98"/>
      <c r="G130" s="15"/>
      <c r="H130" s="15"/>
      <c r="I130" s="15"/>
      <c r="J130" s="98"/>
      <c r="K130" s="15"/>
      <c r="L130" s="15"/>
      <c r="M130" s="15"/>
      <c r="N130" s="99"/>
      <c r="O130" s="15"/>
      <c r="P130" s="15"/>
      <c r="Q130" s="15"/>
      <c r="R130" s="99"/>
      <c r="S130" s="15"/>
      <c r="T130" s="15"/>
      <c r="U130" s="15"/>
      <c r="V130" s="99"/>
      <c r="W130" s="15"/>
      <c r="X130" s="15"/>
      <c r="Y130" s="15"/>
      <c r="Z130" s="97"/>
      <c r="AA130" s="13"/>
      <c r="AB130" s="13"/>
      <c r="AC130" s="13"/>
      <c r="AD130" s="97"/>
      <c r="AE130" s="13"/>
      <c r="AF130" s="13"/>
      <c r="AG130" s="13"/>
      <c r="AH130" s="97"/>
      <c r="AI130" s="13"/>
      <c r="AJ130" s="13">
        <v>70</v>
      </c>
      <c r="AK130" s="13">
        <v>130</v>
      </c>
      <c r="AL130" s="48">
        <f t="shared" si="33"/>
        <v>100</v>
      </c>
      <c r="AM130" s="13"/>
      <c r="AN130" s="13">
        <v>77</v>
      </c>
      <c r="AO130" s="13">
        <v>173</v>
      </c>
      <c r="AP130" s="48">
        <f t="shared" si="34"/>
        <v>125</v>
      </c>
      <c r="AQ130" s="13"/>
      <c r="AR130" s="13">
        <v>20</v>
      </c>
      <c r="AS130" s="13">
        <v>48</v>
      </c>
      <c r="AT130" s="48">
        <f t="shared" si="35"/>
        <v>34</v>
      </c>
      <c r="AU130" s="13"/>
      <c r="AV130" s="13">
        <v>5</v>
      </c>
      <c r="AW130" s="13">
        <v>8</v>
      </c>
      <c r="AX130" s="48">
        <f t="shared" si="36"/>
        <v>6.5</v>
      </c>
    </row>
    <row r="131" spans="1:50" ht="10.199999999999999" customHeight="1" x14ac:dyDescent="0.25">
      <c r="A131" s="14">
        <f t="shared" si="38"/>
        <v>37</v>
      </c>
      <c r="B131" s="102">
        <f t="shared" si="39"/>
        <v>36419</v>
      </c>
      <c r="C131" s="103">
        <v>36414</v>
      </c>
      <c r="D131" s="15">
        <v>4</v>
      </c>
      <c r="E131" s="15">
        <v>2</v>
      </c>
      <c r="F131" s="98">
        <f t="shared" ref="F131:F149" si="40">AVERAGE(D131,E131)</f>
        <v>3</v>
      </c>
      <c r="G131" s="15"/>
      <c r="H131" s="15">
        <v>-6</v>
      </c>
      <c r="I131" s="15">
        <v>-1</v>
      </c>
      <c r="J131" s="98">
        <f t="shared" ref="J131:J153" si="41">AVERAGE(H131,I131)</f>
        <v>-3.5</v>
      </c>
      <c r="K131" s="15"/>
      <c r="L131" s="15"/>
      <c r="M131" s="15"/>
      <c r="N131" s="99"/>
      <c r="O131" s="15"/>
      <c r="P131" s="15"/>
      <c r="Q131" s="15"/>
      <c r="R131" s="99"/>
      <c r="S131" s="15"/>
      <c r="T131" s="15"/>
      <c r="U131" s="15"/>
      <c r="V131" s="99"/>
      <c r="W131" s="15"/>
      <c r="X131" s="15"/>
      <c r="Y131" s="15"/>
      <c r="Z131" s="97"/>
      <c r="AA131" s="13"/>
      <c r="AB131" s="13"/>
      <c r="AC131" s="13"/>
      <c r="AD131" s="97"/>
      <c r="AE131" s="13"/>
      <c r="AF131" s="13"/>
      <c r="AG131" s="13"/>
      <c r="AH131" s="97"/>
      <c r="AI131" s="13"/>
      <c r="AJ131" s="13">
        <v>29</v>
      </c>
      <c r="AK131" s="13">
        <v>75</v>
      </c>
      <c r="AL131" s="48">
        <f t="shared" si="33"/>
        <v>52</v>
      </c>
      <c r="AM131" s="13"/>
      <c r="AN131" s="13">
        <v>46</v>
      </c>
      <c r="AO131" s="13">
        <v>122</v>
      </c>
      <c r="AP131" s="48">
        <f t="shared" si="34"/>
        <v>84</v>
      </c>
      <c r="AQ131" s="13"/>
      <c r="AR131" s="13">
        <v>15</v>
      </c>
      <c r="AS131" s="13">
        <v>43</v>
      </c>
      <c r="AT131" s="48">
        <f t="shared" si="35"/>
        <v>29</v>
      </c>
      <c r="AU131" s="13"/>
      <c r="AV131" s="13">
        <v>2</v>
      </c>
      <c r="AW131" s="13">
        <v>2</v>
      </c>
      <c r="AX131" s="48">
        <f t="shared" si="36"/>
        <v>2</v>
      </c>
    </row>
    <row r="132" spans="1:50" ht="10.199999999999999" customHeight="1" x14ac:dyDescent="0.25">
      <c r="A132" s="14">
        <f t="shared" si="38"/>
        <v>38</v>
      </c>
      <c r="B132" s="102">
        <f t="shared" si="39"/>
        <v>36426</v>
      </c>
      <c r="C132" s="103">
        <v>36421</v>
      </c>
      <c r="D132" s="15">
        <v>-2</v>
      </c>
      <c r="E132" s="15">
        <v>-5</v>
      </c>
      <c r="F132" s="98">
        <f t="shared" si="40"/>
        <v>-3.5</v>
      </c>
      <c r="G132" s="15"/>
      <c r="H132" s="15">
        <v>-5</v>
      </c>
      <c r="I132" s="15">
        <v>0</v>
      </c>
      <c r="J132" s="98">
        <f t="shared" si="41"/>
        <v>-2.5</v>
      </c>
      <c r="K132" s="15"/>
      <c r="L132" s="15">
        <v>-3</v>
      </c>
      <c r="M132" s="15">
        <v>0</v>
      </c>
      <c r="N132" s="98">
        <f t="shared" ref="N132:N157" si="42">AVERAGE(L132,M132)</f>
        <v>-1.5</v>
      </c>
      <c r="O132" s="15"/>
      <c r="P132" s="15"/>
      <c r="Q132" s="15"/>
      <c r="R132" s="99"/>
      <c r="S132" s="15"/>
      <c r="T132" s="15"/>
      <c r="U132" s="15"/>
      <c r="V132" s="99"/>
      <c r="W132" s="15"/>
      <c r="X132" s="15"/>
      <c r="Y132" s="15"/>
      <c r="Z132" s="97"/>
      <c r="AA132" s="13"/>
      <c r="AB132" s="13"/>
      <c r="AC132" s="13"/>
      <c r="AD132" s="97"/>
      <c r="AE132" s="13"/>
      <c r="AF132" s="13"/>
      <c r="AG132" s="13"/>
      <c r="AH132" s="97"/>
      <c r="AI132" s="13"/>
      <c r="AJ132" s="13"/>
      <c r="AK132" s="13"/>
      <c r="AL132" s="97"/>
      <c r="AM132" s="13"/>
      <c r="AN132" s="13">
        <v>16</v>
      </c>
      <c r="AO132" s="13">
        <v>65</v>
      </c>
      <c r="AP132" s="48">
        <f t="shared" si="34"/>
        <v>40.5</v>
      </c>
      <c r="AQ132" s="13"/>
      <c r="AR132" s="13">
        <v>-10</v>
      </c>
      <c r="AS132" s="13">
        <v>0</v>
      </c>
      <c r="AT132" s="48">
        <f t="shared" si="35"/>
        <v>-5</v>
      </c>
      <c r="AU132" s="13"/>
      <c r="AV132" s="13">
        <v>-12</v>
      </c>
      <c r="AW132" s="13">
        <v>-4</v>
      </c>
      <c r="AX132" s="48">
        <f t="shared" si="36"/>
        <v>-8</v>
      </c>
    </row>
    <row r="133" spans="1:50" ht="10.199999999999999" customHeight="1" x14ac:dyDescent="0.25">
      <c r="A133" s="14">
        <f t="shared" si="38"/>
        <v>39</v>
      </c>
      <c r="B133" s="102">
        <f t="shared" si="39"/>
        <v>36433</v>
      </c>
      <c r="C133" s="103">
        <v>36428</v>
      </c>
      <c r="D133" s="15">
        <v>-12</v>
      </c>
      <c r="E133" s="15">
        <v>-12</v>
      </c>
      <c r="F133" s="98">
        <f t="shared" si="40"/>
        <v>-12</v>
      </c>
      <c r="G133" s="15"/>
      <c r="H133" s="15">
        <v>-16</v>
      </c>
      <c r="I133" s="15">
        <v>-9</v>
      </c>
      <c r="J133" s="98">
        <f t="shared" si="41"/>
        <v>-12.5</v>
      </c>
      <c r="K133" s="15"/>
      <c r="L133" s="15">
        <v>-16</v>
      </c>
      <c r="M133" s="15">
        <v>-10</v>
      </c>
      <c r="N133" s="98">
        <f t="shared" si="42"/>
        <v>-13</v>
      </c>
      <c r="O133" s="15"/>
      <c r="P133" s="15"/>
      <c r="Q133" s="15"/>
      <c r="R133" s="99"/>
      <c r="S133" s="15"/>
      <c r="T133" s="15"/>
      <c r="U133" s="15"/>
      <c r="V133" s="99"/>
      <c r="W133" s="15"/>
      <c r="X133" s="15"/>
      <c r="Y133" s="15"/>
      <c r="Z133" s="97"/>
      <c r="AA133" s="13"/>
      <c r="AB133" s="13"/>
      <c r="AC133" s="13"/>
      <c r="AD133" s="97"/>
      <c r="AE133" s="13"/>
      <c r="AF133" s="13"/>
      <c r="AG133" s="13"/>
      <c r="AH133" s="97"/>
      <c r="AI133" s="13"/>
      <c r="AJ133" s="13"/>
      <c r="AK133" s="13"/>
      <c r="AL133" s="97"/>
      <c r="AM133" s="13"/>
      <c r="AN133" s="13">
        <v>18</v>
      </c>
      <c r="AO133" s="13">
        <v>74</v>
      </c>
      <c r="AP133" s="48">
        <f t="shared" si="34"/>
        <v>46</v>
      </c>
      <c r="AQ133" s="13"/>
      <c r="AR133" s="13">
        <v>-9</v>
      </c>
      <c r="AS133" s="13">
        <v>0</v>
      </c>
      <c r="AT133" s="48">
        <f t="shared" si="35"/>
        <v>-4.5</v>
      </c>
      <c r="AU133" s="13"/>
      <c r="AV133" s="13">
        <v>-18</v>
      </c>
      <c r="AW133" s="13">
        <v>-9</v>
      </c>
      <c r="AX133" s="48">
        <f t="shared" si="36"/>
        <v>-13.5</v>
      </c>
    </row>
    <row r="134" spans="1:50" ht="10.199999999999999" customHeight="1" x14ac:dyDescent="0.25">
      <c r="A134" s="14">
        <f t="shared" si="38"/>
        <v>40</v>
      </c>
      <c r="B134" s="102">
        <f t="shared" si="39"/>
        <v>36440</v>
      </c>
      <c r="C134" s="103">
        <v>36435</v>
      </c>
      <c r="D134" s="15">
        <v>-28</v>
      </c>
      <c r="E134" s="15">
        <v>-16</v>
      </c>
      <c r="F134" s="98">
        <f t="shared" si="40"/>
        <v>-22</v>
      </c>
      <c r="G134" s="15"/>
      <c r="H134" s="15">
        <v>-10</v>
      </c>
      <c r="I134" s="15">
        <v>-6</v>
      </c>
      <c r="J134" s="98">
        <f t="shared" si="41"/>
        <v>-8</v>
      </c>
      <c r="K134" s="15"/>
      <c r="L134" s="15">
        <v>-10</v>
      </c>
      <c r="M134" s="15">
        <v>-5</v>
      </c>
      <c r="N134" s="98">
        <f t="shared" si="42"/>
        <v>-7.5</v>
      </c>
      <c r="O134" s="15"/>
      <c r="P134" s="15"/>
      <c r="Q134" s="15"/>
      <c r="R134" s="99"/>
      <c r="S134" s="15"/>
      <c r="T134" s="15"/>
      <c r="U134" s="15"/>
      <c r="V134" s="99"/>
      <c r="W134" s="15"/>
      <c r="X134" s="15"/>
      <c r="Y134" s="15"/>
      <c r="Z134" s="97"/>
      <c r="AA134" s="13"/>
      <c r="AB134" s="13"/>
      <c r="AC134" s="13"/>
      <c r="AD134" s="97"/>
      <c r="AE134" s="13"/>
      <c r="AF134" s="13"/>
      <c r="AG134" s="13"/>
      <c r="AH134" s="97"/>
      <c r="AI134" s="13"/>
      <c r="AJ134" s="13"/>
      <c r="AK134" s="13"/>
      <c r="AL134" s="97"/>
      <c r="AM134" s="13"/>
      <c r="AN134" s="13">
        <v>-10</v>
      </c>
      <c r="AO134" s="13">
        <v>52</v>
      </c>
      <c r="AP134" s="48">
        <f t="shared" si="34"/>
        <v>21</v>
      </c>
      <c r="AQ134" s="13"/>
      <c r="AR134" s="13">
        <v>-13</v>
      </c>
      <c r="AS134" s="13">
        <v>0</v>
      </c>
      <c r="AT134" s="48">
        <f t="shared" si="35"/>
        <v>-6.5</v>
      </c>
      <c r="AU134" s="13"/>
      <c r="AV134" s="13">
        <v>-19</v>
      </c>
      <c r="AW134" s="13">
        <v>-17</v>
      </c>
      <c r="AX134" s="48">
        <f t="shared" si="36"/>
        <v>-18</v>
      </c>
    </row>
    <row r="135" spans="1:50" ht="10.199999999999999" customHeight="1" x14ac:dyDescent="0.25">
      <c r="A135" s="14">
        <f t="shared" si="38"/>
        <v>41</v>
      </c>
      <c r="B135" s="102">
        <f t="shared" si="39"/>
        <v>36447</v>
      </c>
      <c r="C135" s="103">
        <v>36442</v>
      </c>
      <c r="D135" s="15">
        <v>-43</v>
      </c>
      <c r="E135" s="15">
        <v>-25</v>
      </c>
      <c r="F135" s="98">
        <f t="shared" si="40"/>
        <v>-34</v>
      </c>
      <c r="G135" s="15"/>
      <c r="H135" s="15">
        <v>-43</v>
      </c>
      <c r="I135" s="15">
        <v>-13</v>
      </c>
      <c r="J135" s="98">
        <f t="shared" si="41"/>
        <v>-28</v>
      </c>
      <c r="K135" s="15"/>
      <c r="L135" s="15">
        <v>-15</v>
      </c>
      <c r="M135" s="15">
        <v>-13</v>
      </c>
      <c r="N135" s="98">
        <f t="shared" si="42"/>
        <v>-14</v>
      </c>
      <c r="O135" s="15"/>
      <c r="P135" s="15"/>
      <c r="Q135" s="15"/>
      <c r="R135" s="99"/>
      <c r="S135" s="15"/>
      <c r="T135" s="15"/>
      <c r="U135" s="15"/>
      <c r="V135" s="99"/>
      <c r="W135" s="15"/>
      <c r="X135" s="15"/>
      <c r="Y135" s="15"/>
      <c r="Z135" s="97"/>
      <c r="AA135" s="13"/>
      <c r="AB135" s="13"/>
      <c r="AC135" s="13"/>
      <c r="AD135" s="97"/>
      <c r="AE135" s="13"/>
      <c r="AF135" s="13"/>
      <c r="AG135" s="13"/>
      <c r="AH135" s="97"/>
      <c r="AI135" s="13"/>
      <c r="AJ135" s="13"/>
      <c r="AK135" s="13"/>
      <c r="AL135" s="97"/>
      <c r="AM135" s="13"/>
      <c r="AN135" s="13">
        <v>13</v>
      </c>
      <c r="AO135" s="13">
        <v>4</v>
      </c>
      <c r="AP135" s="48">
        <f t="shared" si="34"/>
        <v>8.5</v>
      </c>
      <c r="AQ135" s="13"/>
      <c r="AR135" s="13">
        <v>-34</v>
      </c>
      <c r="AS135" s="13">
        <v>-20</v>
      </c>
      <c r="AT135" s="48">
        <f t="shared" si="35"/>
        <v>-27</v>
      </c>
      <c r="AU135" s="13"/>
      <c r="AV135" s="13">
        <v>-39</v>
      </c>
      <c r="AW135" s="13">
        <v>-28</v>
      </c>
      <c r="AX135" s="48">
        <f t="shared" si="36"/>
        <v>-33.5</v>
      </c>
    </row>
    <row r="136" spans="1:50" ht="10.199999999999999" customHeight="1" x14ac:dyDescent="0.25">
      <c r="A136" s="14">
        <f t="shared" si="38"/>
        <v>42</v>
      </c>
      <c r="B136" s="102">
        <f t="shared" si="39"/>
        <v>36454</v>
      </c>
      <c r="C136" s="103">
        <v>36449</v>
      </c>
      <c r="D136" s="15">
        <v>-50</v>
      </c>
      <c r="E136" s="15">
        <v>-41</v>
      </c>
      <c r="F136" s="98">
        <f t="shared" si="40"/>
        <v>-45.5</v>
      </c>
      <c r="G136" s="15"/>
      <c r="H136" s="15">
        <v>-50</v>
      </c>
      <c r="I136" s="15">
        <v>-41</v>
      </c>
      <c r="J136" s="98">
        <f t="shared" si="41"/>
        <v>-45.5</v>
      </c>
      <c r="K136" s="15"/>
      <c r="L136" s="15">
        <v>-50</v>
      </c>
      <c r="M136" s="15">
        <v>-35</v>
      </c>
      <c r="N136" s="98">
        <f t="shared" si="42"/>
        <v>-42.5</v>
      </c>
      <c r="O136" s="15"/>
      <c r="P136" s="15"/>
      <c r="Q136" s="15"/>
      <c r="R136" s="99"/>
      <c r="S136" s="15"/>
      <c r="T136" s="15"/>
      <c r="U136" s="15"/>
      <c r="V136" s="99"/>
      <c r="W136" s="15"/>
      <c r="X136" s="15"/>
      <c r="Y136" s="15"/>
      <c r="Z136" s="97"/>
      <c r="AA136" s="13"/>
      <c r="AB136" s="13"/>
      <c r="AC136" s="13"/>
      <c r="AD136" s="97"/>
      <c r="AE136" s="13"/>
      <c r="AF136" s="13"/>
      <c r="AG136" s="13"/>
      <c r="AH136" s="97"/>
      <c r="AI136" s="13"/>
      <c r="AJ136" s="13"/>
      <c r="AK136" s="13"/>
      <c r="AL136" s="97"/>
      <c r="AM136" s="13"/>
      <c r="AN136" s="13">
        <v>3</v>
      </c>
      <c r="AO136" s="13">
        <v>0</v>
      </c>
      <c r="AP136" s="48">
        <f t="shared" si="34"/>
        <v>1.5</v>
      </c>
      <c r="AQ136" s="13"/>
      <c r="AR136" s="13">
        <v>-39</v>
      </c>
      <c r="AS136" s="13">
        <v>-35</v>
      </c>
      <c r="AT136" s="48">
        <f t="shared" si="35"/>
        <v>-37</v>
      </c>
      <c r="AU136" s="13"/>
      <c r="AV136" s="13">
        <v>-51</v>
      </c>
      <c r="AW136" s="13">
        <v>-43</v>
      </c>
      <c r="AX136" s="48">
        <f t="shared" si="36"/>
        <v>-47</v>
      </c>
    </row>
    <row r="137" spans="1:50" ht="10.199999999999999" customHeight="1" x14ac:dyDescent="0.25">
      <c r="A137" s="14">
        <f t="shared" si="38"/>
        <v>43</v>
      </c>
      <c r="B137" s="102">
        <f t="shared" si="39"/>
        <v>36461</v>
      </c>
      <c r="C137" s="103">
        <v>36456</v>
      </c>
      <c r="D137" s="15">
        <v>-60</v>
      </c>
      <c r="E137" s="15">
        <v>-44</v>
      </c>
      <c r="F137" s="98">
        <f t="shared" si="40"/>
        <v>-52</v>
      </c>
      <c r="G137" s="15"/>
      <c r="H137" s="15">
        <v>-41</v>
      </c>
      <c r="I137" s="15">
        <v>-27</v>
      </c>
      <c r="J137" s="98">
        <f t="shared" si="41"/>
        <v>-34</v>
      </c>
      <c r="K137" s="15"/>
      <c r="L137" s="15">
        <v>-21</v>
      </c>
      <c r="M137" s="15">
        <v>-27</v>
      </c>
      <c r="N137" s="98">
        <f t="shared" si="42"/>
        <v>-24</v>
      </c>
      <c r="O137" s="15"/>
      <c r="P137" s="15">
        <v>-48</v>
      </c>
      <c r="Q137" s="15">
        <v>-35</v>
      </c>
      <c r="R137" s="98">
        <f t="shared" ref="R137:R162" si="43">AVERAGE(P137,Q137)</f>
        <v>-41.5</v>
      </c>
      <c r="S137" s="15"/>
      <c r="T137" s="15"/>
      <c r="U137" s="15"/>
      <c r="V137" s="99"/>
      <c r="W137" s="15"/>
      <c r="X137" s="15"/>
      <c r="Y137" s="15"/>
      <c r="Z137" s="97"/>
      <c r="AA137" s="13"/>
      <c r="AB137" s="13"/>
      <c r="AC137" s="13"/>
      <c r="AD137" s="97"/>
      <c r="AE137" s="13"/>
      <c r="AF137" s="13"/>
      <c r="AG137" s="13"/>
      <c r="AH137" s="97"/>
      <c r="AI137" s="13"/>
      <c r="AJ137" s="13"/>
      <c r="AK137" s="13"/>
      <c r="AL137" s="97"/>
      <c r="AM137" s="13"/>
      <c r="AN137" s="13"/>
      <c r="AO137" s="13"/>
      <c r="AP137" s="97"/>
      <c r="AQ137" s="13"/>
      <c r="AR137" s="13">
        <v>-99</v>
      </c>
      <c r="AS137" s="13">
        <v>-129</v>
      </c>
      <c r="AT137" s="48">
        <f t="shared" si="35"/>
        <v>-114</v>
      </c>
      <c r="AU137" s="13"/>
      <c r="AV137" s="13">
        <v>-86</v>
      </c>
      <c r="AW137" s="13">
        <v>-58</v>
      </c>
      <c r="AX137" s="48">
        <f t="shared" si="36"/>
        <v>-72</v>
      </c>
    </row>
    <row r="138" spans="1:50" ht="10.199999999999999" customHeight="1" x14ac:dyDescent="0.25">
      <c r="A138" s="14">
        <f t="shared" si="38"/>
        <v>44</v>
      </c>
      <c r="B138" s="102">
        <f t="shared" si="39"/>
        <v>36468</v>
      </c>
      <c r="C138" s="103">
        <v>36463</v>
      </c>
      <c r="D138" s="15">
        <v>-79</v>
      </c>
      <c r="E138" s="15">
        <v>-68</v>
      </c>
      <c r="F138" s="98">
        <f t="shared" si="40"/>
        <v>-73.5</v>
      </c>
      <c r="G138" s="15"/>
      <c r="H138" s="15">
        <v>-56</v>
      </c>
      <c r="I138" s="15">
        <v>-68</v>
      </c>
      <c r="J138" s="98">
        <f t="shared" si="41"/>
        <v>-62</v>
      </c>
      <c r="K138" s="15"/>
      <c r="L138" s="15">
        <v>-28</v>
      </c>
      <c r="M138" s="15">
        <v>-43</v>
      </c>
      <c r="N138" s="98">
        <f t="shared" si="42"/>
        <v>-35.5</v>
      </c>
      <c r="O138" s="15"/>
      <c r="P138" s="15">
        <v>-58</v>
      </c>
      <c r="Q138" s="15">
        <v>-35</v>
      </c>
      <c r="R138" s="98">
        <f t="shared" si="43"/>
        <v>-46.5</v>
      </c>
      <c r="S138" s="15"/>
      <c r="T138" s="15"/>
      <c r="U138" s="15"/>
      <c r="V138" s="99"/>
      <c r="W138" s="15"/>
      <c r="X138" s="15"/>
      <c r="Y138" s="15"/>
      <c r="Z138" s="97"/>
      <c r="AA138" s="13"/>
      <c r="AB138" s="13"/>
      <c r="AC138" s="13"/>
      <c r="AD138" s="97"/>
      <c r="AE138" s="13"/>
      <c r="AF138" s="13"/>
      <c r="AG138" s="13"/>
      <c r="AH138" s="97"/>
      <c r="AI138" s="13"/>
      <c r="AJ138" s="13"/>
      <c r="AK138" s="13"/>
      <c r="AL138" s="97"/>
      <c r="AM138" s="13"/>
      <c r="AN138" s="13"/>
      <c r="AO138" s="13"/>
      <c r="AP138" s="97"/>
      <c r="AQ138" s="13"/>
      <c r="AR138" s="13">
        <v>-85</v>
      </c>
      <c r="AS138" s="13">
        <v>-91</v>
      </c>
      <c r="AT138" s="48">
        <f t="shared" si="35"/>
        <v>-88</v>
      </c>
      <c r="AU138" s="13"/>
      <c r="AV138" s="13">
        <v>-134</v>
      </c>
      <c r="AW138" s="13">
        <v>-81</v>
      </c>
      <c r="AX138" s="48">
        <f t="shared" si="36"/>
        <v>-107.5</v>
      </c>
    </row>
    <row r="139" spans="1:50" ht="10.199999999999999" customHeight="1" x14ac:dyDescent="0.25">
      <c r="A139" s="14">
        <f t="shared" si="38"/>
        <v>45</v>
      </c>
      <c r="B139" s="102">
        <f t="shared" si="39"/>
        <v>36475</v>
      </c>
      <c r="C139" s="103">
        <v>36470</v>
      </c>
      <c r="D139" s="15">
        <v>-121</v>
      </c>
      <c r="E139" s="15">
        <v>-87</v>
      </c>
      <c r="F139" s="98">
        <f t="shared" si="40"/>
        <v>-104</v>
      </c>
      <c r="G139" s="15"/>
      <c r="H139" s="15">
        <v>-106</v>
      </c>
      <c r="I139" s="15">
        <v>-83</v>
      </c>
      <c r="J139" s="98">
        <f t="shared" si="41"/>
        <v>-94.5</v>
      </c>
      <c r="K139" s="15"/>
      <c r="L139" s="15">
        <v>-101</v>
      </c>
      <c r="M139" s="15">
        <v>-66</v>
      </c>
      <c r="N139" s="98">
        <f t="shared" si="42"/>
        <v>-83.5</v>
      </c>
      <c r="O139" s="15"/>
      <c r="P139" s="15">
        <v>-85</v>
      </c>
      <c r="Q139" s="15">
        <v>-63</v>
      </c>
      <c r="R139" s="98">
        <f t="shared" si="43"/>
        <v>-74</v>
      </c>
      <c r="S139" s="15"/>
      <c r="T139" s="15"/>
      <c r="U139" s="15"/>
      <c r="V139" s="99"/>
      <c r="W139" s="15"/>
      <c r="X139" s="15"/>
      <c r="Y139" s="15"/>
      <c r="Z139" s="97"/>
      <c r="AA139" s="13"/>
      <c r="AB139" s="13"/>
      <c r="AC139" s="13"/>
      <c r="AD139" s="97"/>
      <c r="AE139" s="13"/>
      <c r="AF139" s="13"/>
      <c r="AG139" s="13"/>
      <c r="AH139" s="97"/>
      <c r="AI139" s="13"/>
      <c r="AJ139" s="13"/>
      <c r="AK139" s="13"/>
      <c r="AL139" s="97"/>
      <c r="AM139" s="13"/>
      <c r="AN139" s="13"/>
      <c r="AO139" s="13"/>
      <c r="AP139" s="97"/>
      <c r="AQ139" s="13"/>
      <c r="AR139" s="13">
        <v>-198</v>
      </c>
      <c r="AS139" s="13">
        <v>-164</v>
      </c>
      <c r="AT139" s="48">
        <f t="shared" si="35"/>
        <v>-181</v>
      </c>
      <c r="AU139" s="13"/>
      <c r="AV139" s="13">
        <v>-164</v>
      </c>
      <c r="AW139" s="13">
        <v>-138</v>
      </c>
      <c r="AX139" s="48">
        <f t="shared" si="36"/>
        <v>-151</v>
      </c>
    </row>
    <row r="140" spans="1:50" ht="10.199999999999999" customHeight="1" x14ac:dyDescent="0.25">
      <c r="A140" s="14">
        <f t="shared" si="38"/>
        <v>46</v>
      </c>
      <c r="B140" s="102">
        <f t="shared" si="39"/>
        <v>36482</v>
      </c>
      <c r="C140" s="103">
        <v>36477</v>
      </c>
      <c r="D140" s="15">
        <v>-122</v>
      </c>
      <c r="E140" s="15">
        <v>-107</v>
      </c>
      <c r="F140" s="98">
        <f t="shared" si="40"/>
        <v>-114.5</v>
      </c>
      <c r="G140" s="15"/>
      <c r="H140" s="15">
        <v>-103</v>
      </c>
      <c r="I140" s="15">
        <v>-73</v>
      </c>
      <c r="J140" s="98">
        <f t="shared" si="41"/>
        <v>-88</v>
      </c>
      <c r="K140" s="15"/>
      <c r="L140" s="15">
        <v>-97</v>
      </c>
      <c r="M140" s="15">
        <v>-70</v>
      </c>
      <c r="N140" s="98">
        <f t="shared" si="42"/>
        <v>-83.5</v>
      </c>
      <c r="O140" s="15"/>
      <c r="P140" s="15">
        <v>-67</v>
      </c>
      <c r="Q140" s="15">
        <v>-55</v>
      </c>
      <c r="R140" s="98">
        <f t="shared" si="43"/>
        <v>-61</v>
      </c>
      <c r="S140" s="15"/>
      <c r="T140" s="15"/>
      <c r="U140" s="15"/>
      <c r="V140" s="99"/>
      <c r="W140" s="15"/>
      <c r="X140" s="15"/>
      <c r="Y140" s="15"/>
      <c r="Z140" s="97"/>
      <c r="AA140" s="13"/>
      <c r="AB140" s="13"/>
      <c r="AC140" s="13"/>
      <c r="AD140" s="97"/>
      <c r="AE140" s="13"/>
      <c r="AF140" s="13"/>
      <c r="AG140" s="13"/>
      <c r="AH140" s="97"/>
      <c r="AI140" s="13"/>
      <c r="AJ140" s="13"/>
      <c r="AK140" s="13"/>
      <c r="AL140" s="97"/>
      <c r="AM140" s="13"/>
      <c r="AN140" s="13"/>
      <c r="AO140" s="13"/>
      <c r="AP140" s="97"/>
      <c r="AQ140" s="13"/>
      <c r="AR140" s="13">
        <v>-218</v>
      </c>
      <c r="AS140" s="13">
        <v>-171</v>
      </c>
      <c r="AT140" s="48">
        <f t="shared" si="35"/>
        <v>-194.5</v>
      </c>
      <c r="AU140" s="13"/>
      <c r="AV140" s="13">
        <v>-136</v>
      </c>
      <c r="AW140" s="13">
        <v>-129</v>
      </c>
      <c r="AX140" s="48">
        <f t="shared" si="36"/>
        <v>-132.5</v>
      </c>
    </row>
    <row r="141" spans="1:50" ht="10.199999999999999" customHeight="1" x14ac:dyDescent="0.25">
      <c r="A141" s="14">
        <f t="shared" si="38"/>
        <v>47</v>
      </c>
      <c r="B141" s="102">
        <f t="shared" si="39"/>
        <v>36489</v>
      </c>
      <c r="C141" s="103">
        <v>36484</v>
      </c>
      <c r="D141" s="15">
        <v>-128</v>
      </c>
      <c r="E141" s="15">
        <v>-123</v>
      </c>
      <c r="F141" s="98">
        <f t="shared" si="40"/>
        <v>-125.5</v>
      </c>
      <c r="G141" s="15"/>
      <c r="H141" s="15">
        <v>-110</v>
      </c>
      <c r="I141" s="15">
        <v>-108</v>
      </c>
      <c r="J141" s="98">
        <f t="shared" si="41"/>
        <v>-109</v>
      </c>
      <c r="K141" s="15"/>
      <c r="L141" s="15">
        <v>-105</v>
      </c>
      <c r="M141" s="15">
        <v>-91</v>
      </c>
      <c r="N141" s="98">
        <f t="shared" si="42"/>
        <v>-98</v>
      </c>
      <c r="O141" s="15"/>
      <c r="P141" s="15">
        <v>-74</v>
      </c>
      <c r="Q141" s="15">
        <v>-72</v>
      </c>
      <c r="R141" s="98">
        <f t="shared" si="43"/>
        <v>-73</v>
      </c>
      <c r="S141" s="15"/>
      <c r="T141" s="15">
        <v>-66</v>
      </c>
      <c r="U141" s="15">
        <v>-66</v>
      </c>
      <c r="V141" s="98">
        <f t="shared" ref="V141:V166" si="44">AVERAGE(T141,U141)</f>
        <v>-66</v>
      </c>
      <c r="W141" s="15"/>
      <c r="X141" s="15"/>
      <c r="Y141" s="15"/>
      <c r="Z141" s="97"/>
      <c r="AA141" s="13"/>
      <c r="AB141" s="13"/>
      <c r="AC141" s="13"/>
      <c r="AD141" s="97"/>
      <c r="AE141" s="13"/>
      <c r="AF141" s="13"/>
      <c r="AG141" s="13"/>
      <c r="AH141" s="97"/>
      <c r="AI141" s="13"/>
      <c r="AJ141" s="13"/>
      <c r="AK141" s="13"/>
      <c r="AL141" s="97"/>
      <c r="AM141" s="13"/>
      <c r="AN141" s="13"/>
      <c r="AO141" s="13"/>
      <c r="AP141" s="97"/>
      <c r="AQ141" s="13"/>
      <c r="AR141" s="13"/>
      <c r="AS141" s="13"/>
      <c r="AT141" s="97"/>
      <c r="AU141" s="13"/>
      <c r="AV141" s="13">
        <v>-217</v>
      </c>
      <c r="AW141" s="13">
        <v>-157</v>
      </c>
      <c r="AX141" s="48">
        <f t="shared" si="36"/>
        <v>-187</v>
      </c>
    </row>
    <row r="142" spans="1:50" ht="10.199999999999999" customHeight="1" x14ac:dyDescent="0.25">
      <c r="A142" s="14">
        <f t="shared" si="38"/>
        <v>48</v>
      </c>
      <c r="B142" s="102">
        <f t="shared" si="39"/>
        <v>36496</v>
      </c>
      <c r="C142" s="103">
        <v>36491</v>
      </c>
      <c r="D142" s="15">
        <v>-127</v>
      </c>
      <c r="E142" s="15">
        <v>-102</v>
      </c>
      <c r="F142" s="98">
        <f t="shared" si="40"/>
        <v>-114.5</v>
      </c>
      <c r="G142" s="15"/>
      <c r="H142" s="15">
        <v>-108</v>
      </c>
      <c r="I142" s="15">
        <v>-93</v>
      </c>
      <c r="J142" s="98">
        <f t="shared" si="41"/>
        <v>-100.5</v>
      </c>
      <c r="K142" s="15"/>
      <c r="L142" s="15">
        <v>-105</v>
      </c>
      <c r="M142" s="15">
        <v>-90</v>
      </c>
      <c r="N142" s="98">
        <f t="shared" si="42"/>
        <v>-97.5</v>
      </c>
      <c r="O142" s="15"/>
      <c r="P142" s="15">
        <v>-68</v>
      </c>
      <c r="Q142" s="15">
        <v>-80</v>
      </c>
      <c r="R142" s="98">
        <f t="shared" si="43"/>
        <v>-74</v>
      </c>
      <c r="S142" s="15"/>
      <c r="T142" s="15">
        <v>-63</v>
      </c>
      <c r="U142" s="15">
        <v>-72</v>
      </c>
      <c r="V142" s="98">
        <f t="shared" si="44"/>
        <v>-67.5</v>
      </c>
      <c r="W142" s="15"/>
      <c r="X142" s="15"/>
      <c r="Y142" s="15"/>
      <c r="Z142" s="97"/>
      <c r="AA142" s="13"/>
      <c r="AB142" s="13"/>
      <c r="AC142" s="13"/>
      <c r="AD142" s="97"/>
      <c r="AE142" s="13"/>
      <c r="AF142" s="13"/>
      <c r="AG142" s="13"/>
      <c r="AH142" s="97"/>
      <c r="AI142" s="13"/>
      <c r="AJ142" s="13"/>
      <c r="AK142" s="13"/>
      <c r="AL142" s="97"/>
      <c r="AM142" s="13"/>
      <c r="AN142" s="13"/>
      <c r="AO142" s="13"/>
      <c r="AP142" s="97"/>
      <c r="AQ142" s="13"/>
      <c r="AR142" s="13"/>
      <c r="AS142" s="13"/>
      <c r="AT142" s="97"/>
      <c r="AU142" s="13"/>
      <c r="AV142" s="13">
        <v>-187</v>
      </c>
      <c r="AW142" s="13">
        <v>-92</v>
      </c>
      <c r="AX142" s="48">
        <f t="shared" si="36"/>
        <v>-139.5</v>
      </c>
    </row>
    <row r="143" spans="1:50" ht="10.199999999999999" customHeight="1" x14ac:dyDescent="0.25">
      <c r="A143" s="14">
        <f t="shared" si="38"/>
        <v>49</v>
      </c>
      <c r="B143" s="102">
        <f t="shared" si="39"/>
        <v>36503</v>
      </c>
      <c r="C143" s="103">
        <v>36498</v>
      </c>
      <c r="D143" s="15">
        <v>-144</v>
      </c>
      <c r="E143" s="15">
        <v>-69</v>
      </c>
      <c r="F143" s="98">
        <f t="shared" si="40"/>
        <v>-106.5</v>
      </c>
      <c r="G143" s="15"/>
      <c r="H143" s="15">
        <v>-126</v>
      </c>
      <c r="I143" s="15">
        <v>-68</v>
      </c>
      <c r="J143" s="98">
        <f t="shared" si="41"/>
        <v>-97</v>
      </c>
      <c r="K143" s="15"/>
      <c r="L143" s="15">
        <v>-123</v>
      </c>
      <c r="M143" s="15">
        <v>-61</v>
      </c>
      <c r="N143" s="98">
        <f t="shared" si="42"/>
        <v>-92</v>
      </c>
      <c r="O143" s="15"/>
      <c r="P143" s="15">
        <v>-88</v>
      </c>
      <c r="Q143" s="15">
        <v>-65</v>
      </c>
      <c r="R143" s="98">
        <f t="shared" si="43"/>
        <v>-76.5</v>
      </c>
      <c r="S143" s="15"/>
      <c r="T143" s="15">
        <v>-25</v>
      </c>
      <c r="U143" s="15">
        <v>-73</v>
      </c>
      <c r="V143" s="98">
        <f t="shared" si="44"/>
        <v>-49</v>
      </c>
      <c r="W143" s="15"/>
      <c r="X143" s="15"/>
      <c r="Y143" s="15"/>
      <c r="Z143" s="97"/>
      <c r="AA143" s="13"/>
      <c r="AB143" s="13"/>
      <c r="AC143" s="13"/>
      <c r="AD143" s="97"/>
      <c r="AE143" s="13"/>
      <c r="AF143" s="13"/>
      <c r="AG143" s="13"/>
      <c r="AH143" s="97"/>
      <c r="AI143" s="13"/>
      <c r="AJ143" s="13"/>
      <c r="AK143" s="13"/>
      <c r="AL143" s="97"/>
      <c r="AM143" s="13"/>
      <c r="AN143" s="13"/>
      <c r="AO143" s="13"/>
      <c r="AP143" s="97"/>
      <c r="AQ143" s="13"/>
      <c r="AR143" s="13"/>
      <c r="AS143" s="13"/>
      <c r="AT143" s="97"/>
      <c r="AU143" s="13"/>
      <c r="AV143" s="13">
        <v>-162</v>
      </c>
      <c r="AW143" s="13">
        <v>-54</v>
      </c>
      <c r="AX143" s="48">
        <f t="shared" si="36"/>
        <v>-108</v>
      </c>
    </row>
    <row r="144" spans="1:50" ht="10.199999999999999" customHeight="1" x14ac:dyDescent="0.25">
      <c r="A144" s="14">
        <f t="shared" si="38"/>
        <v>50</v>
      </c>
      <c r="B144" s="102">
        <f t="shared" si="39"/>
        <v>36510</v>
      </c>
      <c r="C144" s="103">
        <v>36505</v>
      </c>
      <c r="D144" s="15">
        <v>-15</v>
      </c>
      <c r="E144" s="15">
        <v>-39</v>
      </c>
      <c r="F144" s="98">
        <f t="shared" si="40"/>
        <v>-27</v>
      </c>
      <c r="G144" s="15"/>
      <c r="H144" s="15">
        <v>-15</v>
      </c>
      <c r="I144" s="15">
        <v>-39</v>
      </c>
      <c r="J144" s="98">
        <f t="shared" si="41"/>
        <v>-27</v>
      </c>
      <c r="K144" s="15"/>
      <c r="L144" s="15">
        <v>-15</v>
      </c>
      <c r="M144" s="15">
        <v>-30</v>
      </c>
      <c r="N144" s="98">
        <f t="shared" si="42"/>
        <v>-22.5</v>
      </c>
      <c r="O144" s="15"/>
      <c r="P144" s="15">
        <v>-45</v>
      </c>
      <c r="Q144" s="15">
        <v>-41</v>
      </c>
      <c r="R144" s="98">
        <f t="shared" si="43"/>
        <v>-43</v>
      </c>
      <c r="S144" s="15"/>
      <c r="T144" s="15">
        <v>-45</v>
      </c>
      <c r="U144" s="15">
        <v>-36</v>
      </c>
      <c r="V144" s="98">
        <f t="shared" si="44"/>
        <v>-40.5</v>
      </c>
      <c r="W144" s="15"/>
      <c r="X144" s="15"/>
      <c r="Y144" s="15"/>
      <c r="Z144" s="97"/>
      <c r="AA144" s="13"/>
      <c r="AB144" s="13"/>
      <c r="AC144" s="13"/>
      <c r="AD144" s="97"/>
      <c r="AE144" s="13"/>
      <c r="AF144" s="13"/>
      <c r="AG144" s="13"/>
      <c r="AH144" s="97"/>
      <c r="AI144" s="13"/>
      <c r="AJ144" s="13"/>
      <c r="AK144" s="13"/>
      <c r="AL144" s="97"/>
      <c r="AM144" s="13"/>
      <c r="AN144" s="13"/>
      <c r="AO144" s="13"/>
      <c r="AP144" s="97"/>
      <c r="AQ144" s="13"/>
      <c r="AR144" s="13"/>
      <c r="AS144" s="13"/>
      <c r="AT144" s="97"/>
      <c r="AU144" s="13"/>
      <c r="AV144" s="13">
        <v>-25</v>
      </c>
      <c r="AW144" s="13">
        <v>-14</v>
      </c>
      <c r="AX144" s="48">
        <f t="shared" si="36"/>
        <v>-19.5</v>
      </c>
    </row>
    <row r="145" spans="1:50" ht="10.199999999999999" customHeight="1" x14ac:dyDescent="0.25">
      <c r="A145" s="14">
        <f t="shared" si="38"/>
        <v>51</v>
      </c>
      <c r="B145" s="102">
        <f t="shared" si="39"/>
        <v>36517</v>
      </c>
      <c r="C145" s="103">
        <v>36512</v>
      </c>
      <c r="D145" s="15">
        <v>-83</v>
      </c>
      <c r="E145" s="15">
        <v>-45</v>
      </c>
      <c r="F145" s="98">
        <f t="shared" si="40"/>
        <v>-64</v>
      </c>
      <c r="G145" s="15"/>
      <c r="H145" s="15">
        <v>-91</v>
      </c>
      <c r="I145" s="15">
        <v>-56</v>
      </c>
      <c r="J145" s="98">
        <f t="shared" si="41"/>
        <v>-73.5</v>
      </c>
      <c r="K145" s="15"/>
      <c r="L145" s="15">
        <v>-88</v>
      </c>
      <c r="M145" s="15">
        <v>-63</v>
      </c>
      <c r="N145" s="98">
        <f t="shared" si="42"/>
        <v>-75.5</v>
      </c>
      <c r="O145" s="15"/>
      <c r="P145" s="15">
        <v>-80</v>
      </c>
      <c r="Q145" s="15">
        <v>-57</v>
      </c>
      <c r="R145" s="98">
        <f t="shared" si="43"/>
        <v>-68.5</v>
      </c>
      <c r="S145" s="15"/>
      <c r="T145" s="15">
        <v>-69</v>
      </c>
      <c r="U145" s="15">
        <v>-52</v>
      </c>
      <c r="V145" s="98">
        <f t="shared" si="44"/>
        <v>-60.5</v>
      </c>
      <c r="W145" s="15"/>
      <c r="X145" s="15">
        <v>-43</v>
      </c>
      <c r="Y145" s="15">
        <v>-24</v>
      </c>
      <c r="Z145" s="48">
        <f t="shared" ref="Z145:Z170" si="45">AVERAGE(X145,Y145)</f>
        <v>-33.5</v>
      </c>
      <c r="AA145" s="13"/>
      <c r="AB145" s="13"/>
      <c r="AC145" s="13"/>
      <c r="AD145" s="97"/>
      <c r="AE145" s="13"/>
      <c r="AF145" s="13"/>
      <c r="AG145" s="13"/>
      <c r="AH145" s="97"/>
      <c r="AI145" s="13"/>
      <c r="AJ145" s="13"/>
      <c r="AK145" s="13"/>
      <c r="AL145" s="97"/>
      <c r="AM145" s="13"/>
      <c r="AN145" s="13"/>
      <c r="AO145" s="13"/>
      <c r="AP145" s="97"/>
      <c r="AQ145" s="13"/>
      <c r="AR145" s="13"/>
      <c r="AS145" s="13"/>
      <c r="AT145" s="97"/>
      <c r="AU145" s="13"/>
      <c r="AV145" s="13"/>
      <c r="AW145" s="13"/>
      <c r="AX145" s="49"/>
    </row>
    <row r="146" spans="1:50" ht="10.199999999999999" customHeight="1" x14ac:dyDescent="0.25">
      <c r="A146" s="14">
        <f t="shared" si="38"/>
        <v>52</v>
      </c>
      <c r="B146" s="102">
        <v>36524</v>
      </c>
      <c r="C146" s="103">
        <v>36519</v>
      </c>
      <c r="D146" s="15">
        <v>-32</v>
      </c>
      <c r="E146" s="15">
        <v>-3</v>
      </c>
      <c r="F146" s="98">
        <f t="shared" si="40"/>
        <v>-17.5</v>
      </c>
      <c r="G146" s="15"/>
      <c r="H146" s="15">
        <v>-61</v>
      </c>
      <c r="I146" s="15">
        <v>-34</v>
      </c>
      <c r="J146" s="98">
        <f t="shared" si="41"/>
        <v>-47.5</v>
      </c>
      <c r="K146" s="15"/>
      <c r="L146" s="15">
        <v>-58</v>
      </c>
      <c r="M146" s="15">
        <v>-24</v>
      </c>
      <c r="N146" s="98">
        <f t="shared" si="42"/>
        <v>-41</v>
      </c>
      <c r="O146" s="15"/>
      <c r="P146" s="15">
        <v>-68</v>
      </c>
      <c r="Q146" s="15">
        <v>-47</v>
      </c>
      <c r="R146" s="98">
        <f t="shared" si="43"/>
        <v>-57.5</v>
      </c>
      <c r="S146" s="15"/>
      <c r="T146" s="15">
        <v>-68</v>
      </c>
      <c r="U146" s="15">
        <v>-47</v>
      </c>
      <c r="V146" s="98">
        <f t="shared" si="44"/>
        <v>-57.5</v>
      </c>
      <c r="W146" s="15"/>
      <c r="X146" s="15">
        <v>-48</v>
      </c>
      <c r="Y146" s="15">
        <v>-22</v>
      </c>
      <c r="Z146" s="48">
        <f t="shared" si="45"/>
        <v>-35</v>
      </c>
      <c r="AA146" s="13"/>
      <c r="AB146" s="13"/>
      <c r="AC146" s="13"/>
      <c r="AD146" s="97"/>
      <c r="AE146" s="13"/>
      <c r="AF146" s="13"/>
      <c r="AG146" s="13"/>
      <c r="AH146" s="97"/>
      <c r="AI146" s="13"/>
      <c r="AJ146" s="13"/>
      <c r="AK146" s="13"/>
      <c r="AL146" s="97"/>
      <c r="AM146" s="13"/>
      <c r="AN146" s="13"/>
      <c r="AO146" s="13"/>
      <c r="AP146" s="97"/>
      <c r="AQ146" s="13"/>
      <c r="AR146" s="13"/>
      <c r="AS146" s="13"/>
      <c r="AT146" s="97"/>
      <c r="AU146" s="13"/>
      <c r="AV146" s="13"/>
      <c r="AW146" s="13"/>
      <c r="AX146" s="49"/>
    </row>
    <row r="147" spans="1:50" ht="10.199999999999999" customHeight="1" x14ac:dyDescent="0.25">
      <c r="A147" s="14">
        <v>1</v>
      </c>
      <c r="B147" s="102">
        <f t="shared" ref="B147:B178" si="46">+B148-7</f>
        <v>36529</v>
      </c>
      <c r="C147" s="103">
        <v>36526</v>
      </c>
      <c r="D147" s="15">
        <v>-40</v>
      </c>
      <c r="E147" s="15">
        <v>-14</v>
      </c>
      <c r="F147" s="98">
        <f t="shared" si="40"/>
        <v>-27</v>
      </c>
      <c r="G147" s="15"/>
      <c r="H147" s="15">
        <v>-62</v>
      </c>
      <c r="I147" s="15">
        <v>-39</v>
      </c>
      <c r="J147" s="98">
        <f t="shared" si="41"/>
        <v>-50.5</v>
      </c>
      <c r="K147" s="15"/>
      <c r="L147" s="15">
        <v>-63</v>
      </c>
      <c r="M147" s="15">
        <v>-39</v>
      </c>
      <c r="N147" s="98">
        <f t="shared" si="42"/>
        <v>-51</v>
      </c>
      <c r="O147" s="15"/>
      <c r="P147" s="15">
        <v>-70</v>
      </c>
      <c r="Q147" s="15">
        <v>-30</v>
      </c>
      <c r="R147" s="98">
        <f t="shared" si="43"/>
        <v>-50</v>
      </c>
      <c r="S147" s="15"/>
      <c r="T147" s="15">
        <v>-70</v>
      </c>
      <c r="U147" s="15">
        <v>-41</v>
      </c>
      <c r="V147" s="98">
        <f t="shared" si="44"/>
        <v>-55.5</v>
      </c>
      <c r="W147" s="15"/>
      <c r="X147" s="15">
        <v>-49</v>
      </c>
      <c r="Y147" s="15">
        <v>-36</v>
      </c>
      <c r="Z147" s="48">
        <f t="shared" si="45"/>
        <v>-42.5</v>
      </c>
      <c r="AA147" s="13"/>
      <c r="AB147" s="13"/>
      <c r="AC147" s="13"/>
      <c r="AD147" s="97"/>
      <c r="AE147" s="13"/>
      <c r="AF147" s="13"/>
      <c r="AG147" s="13"/>
      <c r="AH147" s="97"/>
      <c r="AI147" s="13"/>
      <c r="AJ147" s="13"/>
      <c r="AK147" s="13"/>
      <c r="AL147" s="97"/>
      <c r="AM147" s="13"/>
      <c r="AN147" s="13"/>
      <c r="AO147" s="13"/>
      <c r="AP147" s="97"/>
      <c r="AQ147" s="13"/>
      <c r="AR147" s="13"/>
      <c r="AS147" s="13"/>
      <c r="AT147" s="97"/>
      <c r="AU147" s="13"/>
      <c r="AV147" s="13"/>
      <c r="AW147" s="13"/>
      <c r="AX147" s="49"/>
    </row>
    <row r="148" spans="1:50" ht="10.199999999999999" customHeight="1" x14ac:dyDescent="0.25">
      <c r="A148" s="14">
        <f t="shared" ref="A148:A179" si="47">+A147+1</f>
        <v>2</v>
      </c>
      <c r="B148" s="102">
        <f t="shared" si="46"/>
        <v>36536</v>
      </c>
      <c r="C148" s="103">
        <v>36533</v>
      </c>
      <c r="D148" s="15">
        <v>-13</v>
      </c>
      <c r="E148" s="15">
        <v>-6</v>
      </c>
      <c r="F148" s="98">
        <f t="shared" si="40"/>
        <v>-9.5</v>
      </c>
      <c r="G148" s="15"/>
      <c r="H148" s="15">
        <v>-39</v>
      </c>
      <c r="I148" s="15">
        <v>-18</v>
      </c>
      <c r="J148" s="98">
        <f t="shared" si="41"/>
        <v>-28.5</v>
      </c>
      <c r="K148" s="15"/>
      <c r="L148" s="15">
        <v>-48</v>
      </c>
      <c r="M148" s="15">
        <v>-27</v>
      </c>
      <c r="N148" s="98">
        <f t="shared" si="42"/>
        <v>-37.5</v>
      </c>
      <c r="O148" s="15"/>
      <c r="P148" s="15">
        <v>-60</v>
      </c>
      <c r="Q148" s="15">
        <v>-36</v>
      </c>
      <c r="R148" s="98">
        <f t="shared" si="43"/>
        <v>-48</v>
      </c>
      <c r="S148" s="15"/>
      <c r="T148" s="15">
        <v>-57</v>
      </c>
      <c r="U148" s="15">
        <v>-34</v>
      </c>
      <c r="V148" s="98">
        <f t="shared" si="44"/>
        <v>-45.5</v>
      </c>
      <c r="W148" s="15"/>
      <c r="X148" s="15">
        <v>-38</v>
      </c>
      <c r="Y148" s="15">
        <v>-19</v>
      </c>
      <c r="Z148" s="48">
        <f t="shared" si="45"/>
        <v>-28.5</v>
      </c>
      <c r="AA148" s="13"/>
      <c r="AB148" s="13"/>
      <c r="AC148" s="13"/>
      <c r="AD148" s="97"/>
      <c r="AE148" s="13"/>
      <c r="AF148" s="13"/>
      <c r="AG148" s="13"/>
      <c r="AH148" s="97"/>
      <c r="AI148" s="13"/>
      <c r="AJ148" s="13"/>
      <c r="AK148" s="13"/>
      <c r="AL148" s="97"/>
      <c r="AM148" s="13"/>
      <c r="AN148" s="13"/>
      <c r="AO148" s="13"/>
      <c r="AP148" s="97"/>
      <c r="AQ148" s="13"/>
      <c r="AR148" s="13"/>
      <c r="AS148" s="13"/>
      <c r="AT148" s="97"/>
      <c r="AU148" s="13"/>
      <c r="AV148" s="13"/>
      <c r="AW148" s="13"/>
      <c r="AX148" s="49"/>
    </row>
    <row r="149" spans="1:50" ht="10.199999999999999" customHeight="1" x14ac:dyDescent="0.25">
      <c r="A149" s="14">
        <f t="shared" si="47"/>
        <v>3</v>
      </c>
      <c r="B149" s="102">
        <f t="shared" si="46"/>
        <v>36543</v>
      </c>
      <c r="C149" s="103">
        <v>36540</v>
      </c>
      <c r="D149" s="15">
        <v>-2</v>
      </c>
      <c r="E149" s="15">
        <v>-14</v>
      </c>
      <c r="F149" s="98">
        <f t="shared" si="40"/>
        <v>-8</v>
      </c>
      <c r="G149" s="15"/>
      <c r="H149" s="15">
        <v>-28</v>
      </c>
      <c r="I149" s="15">
        <v>-13</v>
      </c>
      <c r="J149" s="98">
        <f t="shared" si="41"/>
        <v>-20.5</v>
      </c>
      <c r="K149" s="15"/>
      <c r="L149" s="15">
        <v>-36</v>
      </c>
      <c r="M149" s="15">
        <v>-28</v>
      </c>
      <c r="N149" s="98">
        <f t="shared" si="42"/>
        <v>-32</v>
      </c>
      <c r="O149" s="15"/>
      <c r="P149" s="15">
        <v>-56</v>
      </c>
      <c r="Q149" s="15">
        <v>-34</v>
      </c>
      <c r="R149" s="98">
        <f t="shared" si="43"/>
        <v>-45</v>
      </c>
      <c r="S149" s="15"/>
      <c r="T149" s="15">
        <v>-56</v>
      </c>
      <c r="U149" s="15">
        <v>-29</v>
      </c>
      <c r="V149" s="98">
        <f t="shared" si="44"/>
        <v>-42.5</v>
      </c>
      <c r="W149" s="15"/>
      <c r="X149" s="15">
        <v>-45</v>
      </c>
      <c r="Y149" s="15">
        <v>-8</v>
      </c>
      <c r="Z149" s="48">
        <f t="shared" si="45"/>
        <v>-26.5</v>
      </c>
      <c r="AA149" s="13"/>
      <c r="AB149" s="13"/>
      <c r="AC149" s="13"/>
      <c r="AD149" s="97"/>
      <c r="AE149" s="13"/>
      <c r="AF149" s="13"/>
      <c r="AG149" s="13"/>
      <c r="AH149" s="97"/>
      <c r="AI149" s="13"/>
      <c r="AJ149" s="13"/>
      <c r="AK149" s="13"/>
      <c r="AL149" s="97"/>
      <c r="AM149" s="13"/>
      <c r="AN149" s="13"/>
      <c r="AO149" s="13"/>
      <c r="AP149" s="97"/>
      <c r="AQ149" s="13"/>
      <c r="AR149" s="13"/>
      <c r="AS149" s="13"/>
      <c r="AT149" s="97"/>
      <c r="AU149" s="13"/>
      <c r="AV149" s="13"/>
      <c r="AW149" s="13"/>
      <c r="AX149" s="49"/>
    </row>
    <row r="150" spans="1:50" ht="10.199999999999999" customHeight="1" x14ac:dyDescent="0.25">
      <c r="A150" s="14">
        <f t="shared" si="47"/>
        <v>4</v>
      </c>
      <c r="B150" s="102">
        <f t="shared" si="46"/>
        <v>36550</v>
      </c>
      <c r="C150" s="103">
        <v>36547</v>
      </c>
      <c r="D150" s="15"/>
      <c r="E150" s="15"/>
      <c r="F150" s="99"/>
      <c r="G150" s="15"/>
      <c r="H150" s="15">
        <v>-14</v>
      </c>
      <c r="I150" s="15">
        <v>-20</v>
      </c>
      <c r="J150" s="98">
        <f t="shared" si="41"/>
        <v>-17</v>
      </c>
      <c r="K150" s="15"/>
      <c r="L150" s="15">
        <v>-26</v>
      </c>
      <c r="M150" s="15">
        <v>-28</v>
      </c>
      <c r="N150" s="98">
        <f t="shared" si="42"/>
        <v>-27</v>
      </c>
      <c r="O150" s="15"/>
      <c r="P150" s="15">
        <v>-41</v>
      </c>
      <c r="Q150" s="15">
        <v>-31</v>
      </c>
      <c r="R150" s="98">
        <f t="shared" si="43"/>
        <v>-36</v>
      </c>
      <c r="S150" s="15"/>
      <c r="T150" s="15">
        <v>-47</v>
      </c>
      <c r="U150" s="15">
        <v>-31</v>
      </c>
      <c r="V150" s="98">
        <f t="shared" si="44"/>
        <v>-39</v>
      </c>
      <c r="W150" s="15"/>
      <c r="X150" s="15">
        <v>-38</v>
      </c>
      <c r="Y150" s="15">
        <v>-18</v>
      </c>
      <c r="Z150" s="48">
        <f t="shared" si="45"/>
        <v>-28</v>
      </c>
      <c r="AA150" s="13"/>
      <c r="AB150" s="13">
        <v>-7</v>
      </c>
      <c r="AC150" s="13">
        <v>8</v>
      </c>
      <c r="AD150" s="48">
        <f t="shared" ref="AD150:AD175" si="48">AVERAGE(AB150,AC150)</f>
        <v>0.5</v>
      </c>
      <c r="AE150" s="13"/>
      <c r="AF150" s="13"/>
      <c r="AG150" s="13"/>
      <c r="AH150" s="97"/>
      <c r="AI150" s="13"/>
      <c r="AJ150" s="13"/>
      <c r="AK150" s="13"/>
      <c r="AL150" s="97"/>
      <c r="AM150" s="13"/>
      <c r="AN150" s="13"/>
      <c r="AO150" s="13"/>
      <c r="AP150" s="97"/>
      <c r="AQ150" s="13"/>
      <c r="AR150" s="13"/>
      <c r="AS150" s="13"/>
      <c r="AT150" s="97"/>
      <c r="AU150" s="13"/>
      <c r="AV150" s="13"/>
      <c r="AW150" s="13"/>
      <c r="AX150" s="49"/>
    </row>
    <row r="151" spans="1:50" ht="10.199999999999999" customHeight="1" x14ac:dyDescent="0.25">
      <c r="A151" s="14">
        <f t="shared" si="47"/>
        <v>5</v>
      </c>
      <c r="B151" s="102">
        <f t="shared" si="46"/>
        <v>36557</v>
      </c>
      <c r="C151" s="103">
        <v>36554</v>
      </c>
      <c r="D151" s="15"/>
      <c r="E151" s="15"/>
      <c r="F151" s="99"/>
      <c r="G151" s="15"/>
      <c r="H151" s="15">
        <v>-12</v>
      </c>
      <c r="I151" s="15">
        <v>-3</v>
      </c>
      <c r="J151" s="98">
        <f t="shared" si="41"/>
        <v>-7.5</v>
      </c>
      <c r="K151" s="15"/>
      <c r="L151" s="15">
        <v>-34</v>
      </c>
      <c r="M151" s="15">
        <v>-9</v>
      </c>
      <c r="N151" s="98">
        <f t="shared" si="42"/>
        <v>-21.5</v>
      </c>
      <c r="O151" s="15"/>
      <c r="P151" s="15">
        <v>-53</v>
      </c>
      <c r="Q151" s="15">
        <v>-30</v>
      </c>
      <c r="R151" s="98">
        <f t="shared" si="43"/>
        <v>-41.5</v>
      </c>
      <c r="S151" s="15"/>
      <c r="T151" s="15">
        <v>-53</v>
      </c>
      <c r="U151" s="15">
        <v>-30</v>
      </c>
      <c r="V151" s="98">
        <f t="shared" si="44"/>
        <v>-41.5</v>
      </c>
      <c r="W151" s="15"/>
      <c r="X151" s="15">
        <v>-32</v>
      </c>
      <c r="Y151" s="15">
        <v>-10</v>
      </c>
      <c r="Z151" s="48">
        <f t="shared" si="45"/>
        <v>-21</v>
      </c>
      <c r="AA151" s="13"/>
      <c r="AB151" s="13">
        <v>-22</v>
      </c>
      <c r="AC151" s="13">
        <v>1</v>
      </c>
      <c r="AD151" s="48">
        <f t="shared" si="48"/>
        <v>-10.5</v>
      </c>
      <c r="AE151" s="13"/>
      <c r="AF151" s="13"/>
      <c r="AG151" s="13"/>
      <c r="AH151" s="97"/>
      <c r="AI151" s="13"/>
      <c r="AJ151" s="13"/>
      <c r="AK151" s="13"/>
      <c r="AL151" s="97"/>
      <c r="AM151" s="13"/>
      <c r="AN151" s="13"/>
      <c r="AO151" s="13"/>
      <c r="AP151" s="97"/>
      <c r="AQ151" s="13"/>
      <c r="AR151" s="13"/>
      <c r="AS151" s="13"/>
      <c r="AT151" s="97"/>
      <c r="AU151" s="13"/>
      <c r="AV151" s="13"/>
      <c r="AW151" s="13"/>
      <c r="AX151" s="49"/>
    </row>
    <row r="152" spans="1:50" ht="10.199999999999999" customHeight="1" x14ac:dyDescent="0.25">
      <c r="A152" s="14">
        <f t="shared" si="47"/>
        <v>6</v>
      </c>
      <c r="B152" s="102">
        <f t="shared" si="46"/>
        <v>36564</v>
      </c>
      <c r="C152" s="103">
        <v>36561</v>
      </c>
      <c r="D152" s="15"/>
      <c r="E152" s="15"/>
      <c r="F152" s="99"/>
      <c r="G152" s="15"/>
      <c r="H152" s="15">
        <v>-6</v>
      </c>
      <c r="I152" s="15">
        <v>1</v>
      </c>
      <c r="J152" s="98">
        <f t="shared" si="41"/>
        <v>-2.5</v>
      </c>
      <c r="K152" s="15"/>
      <c r="L152" s="15">
        <v>-27</v>
      </c>
      <c r="M152" s="15">
        <v>-11</v>
      </c>
      <c r="N152" s="98">
        <f t="shared" si="42"/>
        <v>-19</v>
      </c>
      <c r="O152" s="15"/>
      <c r="P152" s="15">
        <v>-52</v>
      </c>
      <c r="Q152" s="15">
        <v>-31</v>
      </c>
      <c r="R152" s="98">
        <f t="shared" si="43"/>
        <v>-41.5</v>
      </c>
      <c r="S152" s="15"/>
      <c r="T152" s="15">
        <v>-53</v>
      </c>
      <c r="U152" s="15">
        <v>-31</v>
      </c>
      <c r="V152" s="98">
        <f t="shared" si="44"/>
        <v>-42</v>
      </c>
      <c r="W152" s="15"/>
      <c r="X152" s="15">
        <v>-34</v>
      </c>
      <c r="Y152" s="15">
        <v>-14</v>
      </c>
      <c r="Z152" s="48">
        <f t="shared" si="45"/>
        <v>-24</v>
      </c>
      <c r="AA152" s="13"/>
      <c r="AB152" s="13">
        <v>-12</v>
      </c>
      <c r="AC152" s="13">
        <v>8</v>
      </c>
      <c r="AD152" s="48">
        <f t="shared" si="48"/>
        <v>-2</v>
      </c>
      <c r="AE152" s="13"/>
      <c r="AF152" s="13"/>
      <c r="AG152" s="13"/>
      <c r="AH152" s="97"/>
      <c r="AI152" s="13"/>
      <c r="AJ152" s="13"/>
      <c r="AK152" s="13"/>
      <c r="AL152" s="97"/>
      <c r="AM152" s="13"/>
      <c r="AN152" s="13"/>
      <c r="AO152" s="13"/>
      <c r="AP152" s="97"/>
      <c r="AQ152" s="13"/>
      <c r="AR152" s="13"/>
      <c r="AS152" s="13"/>
      <c r="AT152" s="97"/>
      <c r="AU152" s="13"/>
      <c r="AV152" s="13"/>
      <c r="AW152" s="13"/>
      <c r="AX152" s="49"/>
    </row>
    <row r="153" spans="1:50" ht="10.199999999999999" customHeight="1" x14ac:dyDescent="0.25">
      <c r="A153" s="14">
        <f t="shared" si="47"/>
        <v>7</v>
      </c>
      <c r="B153" s="102">
        <f t="shared" si="46"/>
        <v>36571</v>
      </c>
      <c r="C153" s="103">
        <v>36568</v>
      </c>
      <c r="D153" s="15"/>
      <c r="E153" s="15"/>
      <c r="F153" s="99"/>
      <c r="G153" s="15"/>
      <c r="H153" s="15">
        <v>5</v>
      </c>
      <c r="I153" s="15">
        <v>-50</v>
      </c>
      <c r="J153" s="98">
        <f t="shared" si="41"/>
        <v>-22.5</v>
      </c>
      <c r="K153" s="15"/>
      <c r="L153" s="15">
        <v>-17</v>
      </c>
      <c r="M153" s="15">
        <v>-12</v>
      </c>
      <c r="N153" s="98">
        <f t="shared" si="42"/>
        <v>-14.5</v>
      </c>
      <c r="O153" s="15"/>
      <c r="P153" s="15">
        <v>-46</v>
      </c>
      <c r="Q153" s="15">
        <v>-33</v>
      </c>
      <c r="R153" s="98">
        <f t="shared" si="43"/>
        <v>-39.5</v>
      </c>
      <c r="S153" s="15"/>
      <c r="T153" s="15">
        <v>-46</v>
      </c>
      <c r="U153" s="15">
        <v>-32</v>
      </c>
      <c r="V153" s="98">
        <f t="shared" si="44"/>
        <v>-39</v>
      </c>
      <c r="W153" s="15"/>
      <c r="X153" s="15">
        <v>-37</v>
      </c>
      <c r="Y153" s="15">
        <v>-16</v>
      </c>
      <c r="Z153" s="48">
        <f t="shared" si="45"/>
        <v>-26.5</v>
      </c>
      <c r="AA153" s="13"/>
      <c r="AB153" s="13">
        <v>-15</v>
      </c>
      <c r="AC153" s="13">
        <v>18</v>
      </c>
      <c r="AD153" s="48">
        <f t="shared" si="48"/>
        <v>1.5</v>
      </c>
      <c r="AE153" s="13"/>
      <c r="AF153" s="13"/>
      <c r="AG153" s="13"/>
      <c r="AH153" s="97"/>
      <c r="AI153" s="13"/>
      <c r="AJ153" s="13"/>
      <c r="AK153" s="13"/>
      <c r="AL153" s="97"/>
      <c r="AM153" s="13"/>
      <c r="AN153" s="13"/>
      <c r="AO153" s="13"/>
      <c r="AP153" s="97"/>
      <c r="AQ153" s="13"/>
      <c r="AR153" s="13"/>
      <c r="AS153" s="13"/>
      <c r="AT153" s="97"/>
      <c r="AU153" s="13"/>
      <c r="AV153" s="13"/>
      <c r="AW153" s="13"/>
      <c r="AX153" s="49"/>
    </row>
    <row r="154" spans="1:50" ht="10.199999999999999" customHeight="1" x14ac:dyDescent="0.25">
      <c r="A154" s="14">
        <f t="shared" si="47"/>
        <v>8</v>
      </c>
      <c r="B154" s="102">
        <f t="shared" si="46"/>
        <v>36578</v>
      </c>
      <c r="C154" s="103">
        <v>36575</v>
      </c>
      <c r="D154" s="15"/>
      <c r="E154" s="15"/>
      <c r="F154" s="99"/>
      <c r="G154" s="15"/>
      <c r="H154" s="15"/>
      <c r="I154" s="15"/>
      <c r="J154" s="99"/>
      <c r="K154" s="15"/>
      <c r="L154" s="15">
        <v>-2</v>
      </c>
      <c r="M154" s="15">
        <v>-1</v>
      </c>
      <c r="N154" s="98">
        <f t="shared" si="42"/>
        <v>-1.5</v>
      </c>
      <c r="O154" s="15"/>
      <c r="P154" s="15">
        <v>-44</v>
      </c>
      <c r="Q154" s="15">
        <v>-23</v>
      </c>
      <c r="R154" s="98">
        <f t="shared" si="43"/>
        <v>-33.5</v>
      </c>
      <c r="S154" s="15"/>
      <c r="T154" s="15">
        <v>-42</v>
      </c>
      <c r="U154" s="15">
        <v>-20</v>
      </c>
      <c r="V154" s="98">
        <f t="shared" si="44"/>
        <v>-31</v>
      </c>
      <c r="W154" s="15"/>
      <c r="X154" s="15">
        <v>-36</v>
      </c>
      <c r="Y154" s="15">
        <v>-15</v>
      </c>
      <c r="Z154" s="48">
        <f t="shared" si="45"/>
        <v>-25.5</v>
      </c>
      <c r="AA154" s="13"/>
      <c r="AB154" s="13">
        <v>-15</v>
      </c>
      <c r="AC154" s="13">
        <v>6</v>
      </c>
      <c r="AD154" s="48">
        <f t="shared" si="48"/>
        <v>-4.5</v>
      </c>
      <c r="AE154" s="13"/>
      <c r="AF154" s="13">
        <v>18</v>
      </c>
      <c r="AG154" s="13">
        <v>36</v>
      </c>
      <c r="AH154" s="48">
        <f t="shared" ref="AH154:AH179" si="49">AVERAGE(AF154,AG154)</f>
        <v>27</v>
      </c>
      <c r="AI154" s="13"/>
      <c r="AJ154" s="13"/>
      <c r="AK154" s="13"/>
      <c r="AL154" s="97"/>
      <c r="AM154" s="13"/>
      <c r="AN154" s="13"/>
      <c r="AO154" s="13"/>
      <c r="AP154" s="97"/>
      <c r="AQ154" s="13"/>
      <c r="AR154" s="13"/>
      <c r="AS154" s="13"/>
      <c r="AT154" s="97"/>
      <c r="AU154" s="13"/>
      <c r="AV154" s="13"/>
      <c r="AW154" s="13"/>
      <c r="AX154" s="49"/>
    </row>
    <row r="155" spans="1:50" ht="10.199999999999999" customHeight="1" x14ac:dyDescent="0.25">
      <c r="A155" s="14">
        <f t="shared" si="47"/>
        <v>9</v>
      </c>
      <c r="B155" s="102">
        <f t="shared" si="46"/>
        <v>36585</v>
      </c>
      <c r="C155" s="103">
        <v>36582</v>
      </c>
      <c r="D155" s="15"/>
      <c r="E155" s="15"/>
      <c r="F155" s="99"/>
      <c r="G155" s="15"/>
      <c r="H155" s="15"/>
      <c r="I155" s="15"/>
      <c r="J155" s="99"/>
      <c r="K155" s="15"/>
      <c r="L155" s="15">
        <v>3</v>
      </c>
      <c r="M155" s="15">
        <v>-2</v>
      </c>
      <c r="N155" s="98">
        <f t="shared" si="42"/>
        <v>0.5</v>
      </c>
      <c r="O155" s="15"/>
      <c r="P155" s="15">
        <v>-31</v>
      </c>
      <c r="Q155" s="15">
        <v>-15</v>
      </c>
      <c r="R155" s="98">
        <f t="shared" si="43"/>
        <v>-23</v>
      </c>
      <c r="S155" s="15"/>
      <c r="T155" s="15">
        <v>-34</v>
      </c>
      <c r="U155" s="15">
        <v>-16</v>
      </c>
      <c r="V155" s="98">
        <f t="shared" si="44"/>
        <v>-25</v>
      </c>
      <c r="W155" s="15"/>
      <c r="X155" s="15">
        <v>-29</v>
      </c>
      <c r="Y155" s="15">
        <v>-13</v>
      </c>
      <c r="Z155" s="48">
        <f t="shared" si="45"/>
        <v>-21</v>
      </c>
      <c r="AA155" s="13"/>
      <c r="AB155" s="13">
        <v>-13</v>
      </c>
      <c r="AC155" s="13">
        <v>6</v>
      </c>
      <c r="AD155" s="48">
        <f t="shared" si="48"/>
        <v>-3.5</v>
      </c>
      <c r="AE155" s="13"/>
      <c r="AF155" s="13">
        <v>7</v>
      </c>
      <c r="AG155" s="13">
        <v>36</v>
      </c>
      <c r="AH155" s="48">
        <f t="shared" si="49"/>
        <v>21.5</v>
      </c>
      <c r="AI155" s="13"/>
      <c r="AJ155" s="13"/>
      <c r="AK155" s="13"/>
      <c r="AL155" s="97"/>
      <c r="AM155" s="13"/>
      <c r="AN155" s="13"/>
      <c r="AO155" s="13"/>
      <c r="AP155" s="97"/>
      <c r="AQ155" s="13"/>
      <c r="AR155" s="13"/>
      <c r="AS155" s="13"/>
      <c r="AT155" s="97"/>
      <c r="AU155" s="13"/>
      <c r="AV155" s="13"/>
      <c r="AW155" s="13"/>
      <c r="AX155" s="49"/>
    </row>
    <row r="156" spans="1:50" ht="10.199999999999999" customHeight="1" x14ac:dyDescent="0.25">
      <c r="A156" s="14">
        <f t="shared" si="47"/>
        <v>10</v>
      </c>
      <c r="B156" s="102">
        <f t="shared" si="46"/>
        <v>36592</v>
      </c>
      <c r="C156" s="103">
        <v>36589</v>
      </c>
      <c r="D156" s="13"/>
      <c r="E156" s="13"/>
      <c r="F156" s="97"/>
      <c r="G156" s="13"/>
      <c r="H156" s="13"/>
      <c r="I156" s="13"/>
      <c r="J156" s="97"/>
      <c r="K156" s="13"/>
      <c r="L156" s="13">
        <v>-7</v>
      </c>
      <c r="M156" s="13">
        <v>-4</v>
      </c>
      <c r="N156" s="48">
        <f t="shared" si="42"/>
        <v>-5.5</v>
      </c>
      <c r="O156" s="13"/>
      <c r="P156" s="13">
        <v>-46</v>
      </c>
      <c r="Q156" s="13">
        <v>-16</v>
      </c>
      <c r="R156" s="48">
        <f t="shared" si="43"/>
        <v>-31</v>
      </c>
      <c r="S156" s="13"/>
      <c r="T156" s="13">
        <v>-49</v>
      </c>
      <c r="U156" s="13">
        <v>-20</v>
      </c>
      <c r="V156" s="48">
        <f t="shared" si="44"/>
        <v>-34.5</v>
      </c>
      <c r="W156" s="13"/>
      <c r="X156" s="13">
        <v>-31</v>
      </c>
      <c r="Y156" s="13">
        <v>-14</v>
      </c>
      <c r="Z156" s="48">
        <f t="shared" si="45"/>
        <v>-22.5</v>
      </c>
      <c r="AA156" s="13"/>
      <c r="AB156" s="13">
        <v>-12</v>
      </c>
      <c r="AC156" s="13">
        <v>5</v>
      </c>
      <c r="AD156" s="48">
        <f t="shared" si="48"/>
        <v>-3.5</v>
      </c>
      <c r="AE156" s="13"/>
      <c r="AF156" s="13">
        <v>17</v>
      </c>
      <c r="AG156" s="13">
        <v>35</v>
      </c>
      <c r="AH156" s="48">
        <f t="shared" si="49"/>
        <v>26</v>
      </c>
      <c r="AI156" s="13"/>
      <c r="AJ156" s="13"/>
      <c r="AK156" s="13"/>
      <c r="AL156" s="97"/>
      <c r="AM156" s="13"/>
      <c r="AN156" s="13"/>
      <c r="AO156" s="13"/>
      <c r="AP156" s="97"/>
      <c r="AQ156" s="13"/>
      <c r="AR156" s="13"/>
      <c r="AS156" s="13"/>
      <c r="AT156" s="97"/>
      <c r="AU156" s="13"/>
      <c r="AV156" s="13"/>
      <c r="AW156" s="13"/>
      <c r="AX156" s="49"/>
    </row>
    <row r="157" spans="1:50" ht="10.199999999999999" customHeight="1" x14ac:dyDescent="0.25">
      <c r="A157" s="14">
        <f t="shared" si="47"/>
        <v>11</v>
      </c>
      <c r="B157" s="102">
        <f t="shared" si="46"/>
        <v>36599</v>
      </c>
      <c r="C157" s="103">
        <v>36596</v>
      </c>
      <c r="D157" s="13"/>
      <c r="E157" s="13"/>
      <c r="F157" s="97"/>
      <c r="G157" s="13"/>
      <c r="H157" s="13"/>
      <c r="I157" s="13"/>
      <c r="J157" s="97"/>
      <c r="K157" s="13"/>
      <c r="L157" s="13">
        <v>-1</v>
      </c>
      <c r="M157" s="13"/>
      <c r="N157" s="48">
        <f t="shared" si="42"/>
        <v>-1</v>
      </c>
      <c r="O157" s="13"/>
      <c r="P157" s="13">
        <v>-28</v>
      </c>
      <c r="Q157" s="13">
        <v>-7</v>
      </c>
      <c r="R157" s="48">
        <f t="shared" si="43"/>
        <v>-17.5</v>
      </c>
      <c r="S157" s="13"/>
      <c r="T157" s="13">
        <v>-41</v>
      </c>
      <c r="U157" s="13">
        <v>-12</v>
      </c>
      <c r="V157" s="48">
        <f t="shared" si="44"/>
        <v>-26.5</v>
      </c>
      <c r="W157" s="13"/>
      <c r="X157" s="13">
        <v>-31</v>
      </c>
      <c r="Y157" s="13">
        <v>-10</v>
      </c>
      <c r="Z157" s="48">
        <f t="shared" si="45"/>
        <v>-20.5</v>
      </c>
      <c r="AA157" s="13"/>
      <c r="AB157" s="13">
        <v>-17</v>
      </c>
      <c r="AC157" s="13">
        <v>8</v>
      </c>
      <c r="AD157" s="48">
        <f t="shared" si="48"/>
        <v>-4.5</v>
      </c>
      <c r="AE157" s="13"/>
      <c r="AF157" s="13">
        <v>16</v>
      </c>
      <c r="AG157" s="13">
        <v>33</v>
      </c>
      <c r="AH157" s="48">
        <f t="shared" si="49"/>
        <v>24.5</v>
      </c>
      <c r="AI157" s="13"/>
      <c r="AJ157" s="13"/>
      <c r="AK157" s="13"/>
      <c r="AL157" s="97"/>
      <c r="AM157" s="13"/>
      <c r="AN157" s="13"/>
      <c r="AO157" s="13"/>
      <c r="AP157" s="97"/>
      <c r="AQ157" s="13"/>
      <c r="AR157" s="13"/>
      <c r="AS157" s="13"/>
      <c r="AT157" s="97"/>
      <c r="AU157" s="13"/>
      <c r="AV157" s="13"/>
      <c r="AW157" s="13"/>
      <c r="AX157" s="49"/>
    </row>
    <row r="158" spans="1:50" ht="10.199999999999999" customHeight="1" x14ac:dyDescent="0.25">
      <c r="A158" s="14">
        <f t="shared" si="47"/>
        <v>12</v>
      </c>
      <c r="B158" s="102">
        <f t="shared" si="46"/>
        <v>36606</v>
      </c>
      <c r="C158" s="103">
        <v>36603</v>
      </c>
      <c r="D158" s="13"/>
      <c r="E158" s="13"/>
      <c r="F158" s="97"/>
      <c r="G158" s="13"/>
      <c r="H158" s="13"/>
      <c r="I158" s="13"/>
      <c r="J158" s="97"/>
      <c r="K158" s="13"/>
      <c r="L158" s="13"/>
      <c r="M158" s="13"/>
      <c r="N158" s="97"/>
      <c r="O158" s="13"/>
      <c r="P158" s="13">
        <v>-17</v>
      </c>
      <c r="Q158" s="13">
        <v>-9</v>
      </c>
      <c r="R158" s="48">
        <f t="shared" si="43"/>
        <v>-13</v>
      </c>
      <c r="S158" s="13"/>
      <c r="T158" s="13">
        <v>-34</v>
      </c>
      <c r="U158" s="13">
        <v>-12</v>
      </c>
      <c r="V158" s="48">
        <f t="shared" si="44"/>
        <v>-23</v>
      </c>
      <c r="W158" s="13"/>
      <c r="X158" s="13">
        <v>-30</v>
      </c>
      <c r="Y158" s="13">
        <v>-8</v>
      </c>
      <c r="Z158" s="48">
        <f t="shared" si="45"/>
        <v>-19</v>
      </c>
      <c r="AA158" s="13"/>
      <c r="AB158" s="13">
        <v>-6</v>
      </c>
      <c r="AC158" s="13">
        <v>-1</v>
      </c>
      <c r="AD158" s="48">
        <f t="shared" si="48"/>
        <v>-3.5</v>
      </c>
      <c r="AE158" s="13"/>
      <c r="AF158" s="13">
        <v>15</v>
      </c>
      <c r="AG158" s="13">
        <v>25</v>
      </c>
      <c r="AH158" s="48">
        <f t="shared" si="49"/>
        <v>20</v>
      </c>
      <c r="AI158" s="13"/>
      <c r="AJ158" s="13">
        <v>28</v>
      </c>
      <c r="AK158" s="13">
        <v>44</v>
      </c>
      <c r="AL158" s="48">
        <f t="shared" ref="AL158:AL184" si="50">AVERAGE(AJ158,AK158)</f>
        <v>36</v>
      </c>
      <c r="AM158" s="13"/>
      <c r="AN158" s="13"/>
      <c r="AO158" s="13"/>
      <c r="AP158" s="97"/>
      <c r="AQ158" s="13"/>
      <c r="AR158" s="13"/>
      <c r="AS158" s="13"/>
      <c r="AT158" s="97"/>
      <c r="AU158" s="13"/>
      <c r="AV158" s="13"/>
      <c r="AW158" s="13"/>
      <c r="AX158" s="49"/>
    </row>
    <row r="159" spans="1:50" ht="10.199999999999999" customHeight="1" x14ac:dyDescent="0.25">
      <c r="A159" s="14">
        <f t="shared" si="47"/>
        <v>13</v>
      </c>
      <c r="B159" s="102">
        <f t="shared" si="46"/>
        <v>36613</v>
      </c>
      <c r="C159" s="103">
        <v>36610</v>
      </c>
      <c r="D159" s="13"/>
      <c r="E159" s="13"/>
      <c r="F159" s="97"/>
      <c r="G159" s="13"/>
      <c r="H159" s="13"/>
      <c r="I159" s="13"/>
      <c r="J159" s="97"/>
      <c r="K159" s="13"/>
      <c r="L159" s="13"/>
      <c r="M159" s="13"/>
      <c r="N159" s="97"/>
      <c r="O159" s="13"/>
      <c r="P159" s="13">
        <v>-61</v>
      </c>
      <c r="Q159" s="13">
        <v>-26</v>
      </c>
      <c r="R159" s="48">
        <f t="shared" si="43"/>
        <v>-43.5</v>
      </c>
      <c r="S159" s="13"/>
      <c r="T159" s="13">
        <v>-66</v>
      </c>
      <c r="U159" s="13">
        <v>-23</v>
      </c>
      <c r="V159" s="48">
        <f t="shared" si="44"/>
        <v>-44.5</v>
      </c>
      <c r="W159" s="13"/>
      <c r="X159" s="13">
        <v>-56</v>
      </c>
      <c r="Y159" s="13">
        <v>-11</v>
      </c>
      <c r="Z159" s="48">
        <f t="shared" si="45"/>
        <v>-33.5</v>
      </c>
      <c r="AA159" s="13"/>
      <c r="AB159" s="13">
        <v>-56</v>
      </c>
      <c r="AC159" s="13">
        <v>-5</v>
      </c>
      <c r="AD159" s="48">
        <f t="shared" si="48"/>
        <v>-30.5</v>
      </c>
      <c r="AE159" s="13"/>
      <c r="AF159" s="13">
        <v>-48</v>
      </c>
      <c r="AG159" s="13">
        <v>25</v>
      </c>
      <c r="AH159" s="48">
        <f t="shared" si="49"/>
        <v>-11.5</v>
      </c>
      <c r="AI159" s="13"/>
      <c r="AJ159" s="13">
        <v>12</v>
      </c>
      <c r="AK159" s="13">
        <v>41</v>
      </c>
      <c r="AL159" s="48">
        <f t="shared" si="50"/>
        <v>26.5</v>
      </c>
      <c r="AM159" s="13"/>
      <c r="AN159" s="13"/>
      <c r="AO159" s="13"/>
      <c r="AP159" s="97"/>
      <c r="AQ159" s="13"/>
      <c r="AR159" s="13"/>
      <c r="AS159" s="13"/>
      <c r="AT159" s="97"/>
      <c r="AU159" s="13"/>
      <c r="AV159" s="13"/>
      <c r="AW159" s="13"/>
      <c r="AX159" s="49"/>
    </row>
    <row r="160" spans="1:50" ht="10.199999999999999" customHeight="1" x14ac:dyDescent="0.25">
      <c r="A160" s="14">
        <f t="shared" si="47"/>
        <v>14</v>
      </c>
      <c r="B160" s="102">
        <f t="shared" si="46"/>
        <v>36620</v>
      </c>
      <c r="C160" s="103">
        <v>36617</v>
      </c>
      <c r="D160" s="13"/>
      <c r="E160" s="13"/>
      <c r="F160" s="97"/>
      <c r="G160" s="13"/>
      <c r="H160" s="13"/>
      <c r="I160" s="13"/>
      <c r="J160" s="97"/>
      <c r="K160" s="13"/>
      <c r="L160" s="13"/>
      <c r="M160" s="13"/>
      <c r="N160" s="97"/>
      <c r="O160" s="13"/>
      <c r="P160" s="13">
        <v>-57</v>
      </c>
      <c r="Q160" s="13">
        <v>-46</v>
      </c>
      <c r="R160" s="48">
        <f t="shared" si="43"/>
        <v>-51.5</v>
      </c>
      <c r="S160" s="13"/>
      <c r="T160" s="13">
        <v>-70</v>
      </c>
      <c r="U160" s="13">
        <v>-32</v>
      </c>
      <c r="V160" s="48">
        <f t="shared" si="44"/>
        <v>-51</v>
      </c>
      <c r="W160" s="13"/>
      <c r="X160" s="13">
        <v>-71</v>
      </c>
      <c r="Y160" s="13">
        <v>-21</v>
      </c>
      <c r="Z160" s="48">
        <f t="shared" si="45"/>
        <v>-46</v>
      </c>
      <c r="AA160" s="13"/>
      <c r="AB160" s="13">
        <v>-67</v>
      </c>
      <c r="AC160" s="13">
        <v>-9</v>
      </c>
      <c r="AD160" s="48">
        <f t="shared" si="48"/>
        <v>-38</v>
      </c>
      <c r="AE160" s="13"/>
      <c r="AF160" s="13">
        <v>-59</v>
      </c>
      <c r="AG160" s="13">
        <v>22</v>
      </c>
      <c r="AH160" s="48">
        <f t="shared" si="49"/>
        <v>-18.5</v>
      </c>
      <c r="AI160" s="13"/>
      <c r="AJ160" s="13">
        <v>-1</v>
      </c>
      <c r="AK160" s="13">
        <v>40</v>
      </c>
      <c r="AL160" s="48">
        <f t="shared" si="50"/>
        <v>19.5</v>
      </c>
      <c r="AM160" s="13"/>
      <c r="AN160" s="13"/>
      <c r="AO160" s="13"/>
      <c r="AP160" s="97"/>
      <c r="AQ160" s="13"/>
      <c r="AR160" s="13"/>
      <c r="AS160" s="13"/>
      <c r="AT160" s="97"/>
      <c r="AU160" s="13"/>
      <c r="AV160" s="13"/>
      <c r="AW160" s="13"/>
      <c r="AX160" s="49"/>
    </row>
    <row r="161" spans="1:50" ht="10.199999999999999" customHeight="1" x14ac:dyDescent="0.25">
      <c r="A161" s="14">
        <f t="shared" si="47"/>
        <v>15</v>
      </c>
      <c r="B161" s="102">
        <f t="shared" si="46"/>
        <v>36627</v>
      </c>
      <c r="C161" s="103">
        <v>36624</v>
      </c>
      <c r="D161" s="13"/>
      <c r="E161" s="13"/>
      <c r="F161" s="97"/>
      <c r="G161" s="13"/>
      <c r="H161" s="13"/>
      <c r="I161" s="13"/>
      <c r="J161" s="97"/>
      <c r="K161" s="13"/>
      <c r="L161" s="13"/>
      <c r="M161" s="13"/>
      <c r="N161" s="97"/>
      <c r="O161" s="13"/>
      <c r="P161" s="13">
        <v>-71</v>
      </c>
      <c r="Q161" s="13">
        <v>-43</v>
      </c>
      <c r="R161" s="48">
        <f t="shared" si="43"/>
        <v>-57</v>
      </c>
      <c r="S161" s="13"/>
      <c r="T161" s="13">
        <v>-77</v>
      </c>
      <c r="U161" s="13">
        <v>-60</v>
      </c>
      <c r="V161" s="48">
        <f t="shared" si="44"/>
        <v>-68.5</v>
      </c>
      <c r="W161" s="13"/>
      <c r="X161" s="13">
        <v>-85</v>
      </c>
      <c r="Y161" s="13">
        <v>-43</v>
      </c>
      <c r="Z161" s="48">
        <f t="shared" si="45"/>
        <v>-64</v>
      </c>
      <c r="AA161" s="13"/>
      <c r="AB161" s="13">
        <v>-79</v>
      </c>
      <c r="AC161" s="13">
        <v>-18</v>
      </c>
      <c r="AD161" s="48">
        <f t="shared" si="48"/>
        <v>-48.5</v>
      </c>
      <c r="AE161" s="13"/>
      <c r="AF161" s="13">
        <v>-65</v>
      </c>
      <c r="AG161" s="13">
        <v>6</v>
      </c>
      <c r="AH161" s="48">
        <f t="shared" si="49"/>
        <v>-29.5</v>
      </c>
      <c r="AI161" s="13"/>
      <c r="AJ161" s="13">
        <v>-11</v>
      </c>
      <c r="AK161" s="13">
        <v>29</v>
      </c>
      <c r="AL161" s="48">
        <f t="shared" si="50"/>
        <v>9</v>
      </c>
      <c r="AM161" s="13"/>
      <c r="AN161" s="13"/>
      <c r="AO161" s="13"/>
      <c r="AP161" s="97"/>
      <c r="AQ161" s="13"/>
      <c r="AR161" s="13"/>
      <c r="AS161" s="13"/>
      <c r="AT161" s="97"/>
      <c r="AU161" s="13"/>
      <c r="AV161" s="13"/>
      <c r="AW161" s="13"/>
      <c r="AX161" s="49"/>
    </row>
    <row r="162" spans="1:50" ht="10.199999999999999" customHeight="1" x14ac:dyDescent="0.25">
      <c r="A162" s="14">
        <f t="shared" si="47"/>
        <v>16</v>
      </c>
      <c r="B162" s="102">
        <f t="shared" si="46"/>
        <v>36634</v>
      </c>
      <c r="C162" s="103">
        <v>36631</v>
      </c>
      <c r="D162" s="13"/>
      <c r="E162" s="13"/>
      <c r="F162" s="97"/>
      <c r="G162" s="13"/>
      <c r="H162" s="13"/>
      <c r="I162" s="13"/>
      <c r="J162" s="97"/>
      <c r="K162" s="13"/>
      <c r="L162" s="13"/>
      <c r="M162" s="13"/>
      <c r="N162" s="97"/>
      <c r="O162" s="13"/>
      <c r="P162" s="13">
        <v>-15</v>
      </c>
      <c r="Q162" s="13"/>
      <c r="R162" s="48">
        <f t="shared" si="43"/>
        <v>-15</v>
      </c>
      <c r="S162" s="13"/>
      <c r="T162" s="13">
        <v>-50</v>
      </c>
      <c r="U162" s="13">
        <v>-26</v>
      </c>
      <c r="V162" s="48">
        <f t="shared" si="44"/>
        <v>-38</v>
      </c>
      <c r="W162" s="13"/>
      <c r="X162" s="13">
        <v>-61</v>
      </c>
      <c r="Y162" s="13">
        <v>-26</v>
      </c>
      <c r="Z162" s="48">
        <f t="shared" si="45"/>
        <v>-43.5</v>
      </c>
      <c r="AA162" s="13"/>
      <c r="AB162" s="13">
        <v>-57</v>
      </c>
      <c r="AC162" s="13">
        <v>-20</v>
      </c>
      <c r="AD162" s="48">
        <f t="shared" si="48"/>
        <v>-38.5</v>
      </c>
      <c r="AE162" s="13"/>
      <c r="AF162" s="13">
        <v>-47</v>
      </c>
      <c r="AG162" s="13">
        <v>2</v>
      </c>
      <c r="AH162" s="48">
        <f t="shared" si="49"/>
        <v>-22.5</v>
      </c>
      <c r="AI162" s="13"/>
      <c r="AJ162" s="13">
        <v>-2</v>
      </c>
      <c r="AK162" s="13">
        <v>28</v>
      </c>
      <c r="AL162" s="48">
        <f t="shared" si="50"/>
        <v>13</v>
      </c>
      <c r="AM162" s="13"/>
      <c r="AN162" s="13"/>
      <c r="AO162" s="13"/>
      <c r="AP162" s="97"/>
      <c r="AQ162" s="13"/>
      <c r="AR162" s="13"/>
      <c r="AS162" s="13"/>
      <c r="AT162" s="97"/>
      <c r="AU162" s="13"/>
      <c r="AV162" s="13"/>
      <c r="AW162" s="13"/>
      <c r="AX162" s="49"/>
    </row>
    <row r="163" spans="1:50" ht="10.199999999999999" customHeight="1" x14ac:dyDescent="0.25">
      <c r="A163" s="14">
        <f t="shared" si="47"/>
        <v>17</v>
      </c>
      <c r="B163" s="102">
        <f t="shared" si="46"/>
        <v>36641</v>
      </c>
      <c r="C163" s="103">
        <v>36638</v>
      </c>
      <c r="D163" s="13"/>
      <c r="E163" s="13"/>
      <c r="F163" s="97"/>
      <c r="G163" s="13"/>
      <c r="H163" s="13"/>
      <c r="I163" s="13"/>
      <c r="J163" s="97"/>
      <c r="K163" s="13"/>
      <c r="L163" s="13"/>
      <c r="M163" s="13"/>
      <c r="N163" s="97"/>
      <c r="O163" s="13"/>
      <c r="P163" s="13"/>
      <c r="Q163" s="13"/>
      <c r="R163" s="97"/>
      <c r="S163" s="13"/>
      <c r="T163" s="13">
        <v>-48</v>
      </c>
      <c r="U163" s="13">
        <v>-19</v>
      </c>
      <c r="V163" s="48">
        <f t="shared" si="44"/>
        <v>-33.5</v>
      </c>
      <c r="W163" s="13"/>
      <c r="X163" s="13">
        <v>-55</v>
      </c>
      <c r="Y163" s="13">
        <v>-20</v>
      </c>
      <c r="Z163" s="48">
        <f t="shared" si="45"/>
        <v>-37.5</v>
      </c>
      <c r="AA163" s="13"/>
      <c r="AB163" s="13">
        <v>-48</v>
      </c>
      <c r="AC163" s="13">
        <v>-13</v>
      </c>
      <c r="AD163" s="48">
        <f t="shared" si="48"/>
        <v>-30.5</v>
      </c>
      <c r="AE163" s="13"/>
      <c r="AF163" s="13">
        <v>-40</v>
      </c>
      <c r="AG163" s="13">
        <v>11</v>
      </c>
      <c r="AH163" s="48">
        <f t="shared" si="49"/>
        <v>-14.5</v>
      </c>
      <c r="AI163" s="13"/>
      <c r="AJ163" s="13">
        <v>-2</v>
      </c>
      <c r="AK163" s="13">
        <v>22</v>
      </c>
      <c r="AL163" s="48">
        <f t="shared" si="50"/>
        <v>10</v>
      </c>
      <c r="AM163" s="13"/>
      <c r="AN163" s="13">
        <v>2</v>
      </c>
      <c r="AO163" s="13">
        <v>47</v>
      </c>
      <c r="AP163" s="48">
        <f t="shared" ref="AP163:AP188" si="51">AVERAGE(AN163,AO163)</f>
        <v>24.5</v>
      </c>
      <c r="AQ163" s="13"/>
      <c r="AR163" s="13"/>
      <c r="AS163" s="13"/>
      <c r="AT163" s="97"/>
      <c r="AU163" s="13"/>
      <c r="AV163" s="13"/>
      <c r="AW163" s="13"/>
      <c r="AX163" s="49"/>
    </row>
    <row r="164" spans="1:50" ht="10.199999999999999" customHeight="1" x14ac:dyDescent="0.25">
      <c r="A164" s="14">
        <f t="shared" si="47"/>
        <v>18</v>
      </c>
      <c r="B164" s="102">
        <f t="shared" si="46"/>
        <v>36648</v>
      </c>
      <c r="C164" s="103">
        <v>36645</v>
      </c>
      <c r="D164" s="13"/>
      <c r="E164" s="13"/>
      <c r="F164" s="97"/>
      <c r="G164" s="13"/>
      <c r="H164" s="13"/>
      <c r="I164" s="13"/>
      <c r="J164" s="97"/>
      <c r="K164" s="13"/>
      <c r="L164" s="13"/>
      <c r="M164" s="13"/>
      <c r="N164" s="97"/>
      <c r="O164" s="13"/>
      <c r="P164" s="13"/>
      <c r="Q164" s="13"/>
      <c r="R164" s="97"/>
      <c r="S164" s="13"/>
      <c r="T164" s="13">
        <v>-57</v>
      </c>
      <c r="U164" s="13">
        <v>-24</v>
      </c>
      <c r="V164" s="48">
        <f t="shared" si="44"/>
        <v>-40.5</v>
      </c>
      <c r="W164" s="13"/>
      <c r="X164" s="13">
        <v>-62</v>
      </c>
      <c r="Y164" s="13">
        <v>-20</v>
      </c>
      <c r="Z164" s="48">
        <f t="shared" si="45"/>
        <v>-41</v>
      </c>
      <c r="AA164" s="13"/>
      <c r="AB164" s="13">
        <v>-57</v>
      </c>
      <c r="AC164" s="13">
        <v>-10</v>
      </c>
      <c r="AD164" s="48">
        <f t="shared" si="48"/>
        <v>-33.5</v>
      </c>
      <c r="AE164" s="13"/>
      <c r="AF164" s="13">
        <v>-45</v>
      </c>
      <c r="AG164" s="13">
        <v>10</v>
      </c>
      <c r="AH164" s="48">
        <f t="shared" si="49"/>
        <v>-17.5</v>
      </c>
      <c r="AI164" s="13"/>
      <c r="AJ164" s="13">
        <v>-2</v>
      </c>
      <c r="AK164" s="13">
        <v>20</v>
      </c>
      <c r="AL164" s="48">
        <f t="shared" si="50"/>
        <v>9</v>
      </c>
      <c r="AM164" s="13"/>
      <c r="AN164" s="13">
        <v>13</v>
      </c>
      <c r="AO164" s="13">
        <v>48</v>
      </c>
      <c r="AP164" s="48">
        <f t="shared" si="51"/>
        <v>30.5</v>
      </c>
      <c r="AQ164" s="13"/>
      <c r="AR164" s="13"/>
      <c r="AS164" s="13"/>
      <c r="AT164" s="97"/>
      <c r="AU164" s="13"/>
      <c r="AV164" s="13"/>
      <c r="AW164" s="13"/>
      <c r="AX164" s="49"/>
    </row>
    <row r="165" spans="1:50" ht="10.199999999999999" customHeight="1" x14ac:dyDescent="0.25">
      <c r="A165" s="14">
        <f t="shared" si="47"/>
        <v>19</v>
      </c>
      <c r="B165" s="102">
        <f t="shared" si="46"/>
        <v>36655</v>
      </c>
      <c r="C165" s="103">
        <v>36652</v>
      </c>
      <c r="D165" s="13"/>
      <c r="E165" s="13"/>
      <c r="F165" s="97"/>
      <c r="G165" s="13"/>
      <c r="H165" s="13"/>
      <c r="I165" s="13"/>
      <c r="J165" s="97"/>
      <c r="K165" s="13"/>
      <c r="L165" s="13"/>
      <c r="M165" s="13"/>
      <c r="N165" s="97"/>
      <c r="O165" s="13"/>
      <c r="P165" s="13"/>
      <c r="Q165" s="13"/>
      <c r="R165" s="97"/>
      <c r="S165" s="13"/>
      <c r="T165" s="13">
        <v>-53</v>
      </c>
      <c r="U165" s="13">
        <v>-24</v>
      </c>
      <c r="V165" s="48">
        <f t="shared" si="44"/>
        <v>-38.5</v>
      </c>
      <c r="W165" s="13"/>
      <c r="X165" s="13">
        <v>-60</v>
      </c>
      <c r="Y165" s="13">
        <v>-22</v>
      </c>
      <c r="Z165" s="48">
        <f t="shared" si="45"/>
        <v>-41</v>
      </c>
      <c r="AA165" s="13"/>
      <c r="AB165" s="13">
        <v>-59</v>
      </c>
      <c r="AC165" s="13">
        <v>-15</v>
      </c>
      <c r="AD165" s="48">
        <f t="shared" si="48"/>
        <v>-37</v>
      </c>
      <c r="AE165" s="13"/>
      <c r="AF165" s="13">
        <v>-51</v>
      </c>
      <c r="AG165" s="13">
        <v>6</v>
      </c>
      <c r="AH165" s="48">
        <f t="shared" si="49"/>
        <v>-22.5</v>
      </c>
      <c r="AI165" s="13"/>
      <c r="AJ165" s="13">
        <v>-5</v>
      </c>
      <c r="AK165" s="13">
        <v>17</v>
      </c>
      <c r="AL165" s="48">
        <f t="shared" si="50"/>
        <v>6</v>
      </c>
      <c r="AM165" s="13"/>
      <c r="AN165" s="13">
        <v>13</v>
      </c>
      <c r="AO165" s="13">
        <v>34</v>
      </c>
      <c r="AP165" s="48">
        <f t="shared" si="51"/>
        <v>23.5</v>
      </c>
      <c r="AQ165" s="13"/>
      <c r="AR165" s="13"/>
      <c r="AS165" s="13"/>
      <c r="AT165" s="97"/>
      <c r="AU165" s="13"/>
      <c r="AV165" s="13"/>
      <c r="AW165" s="13"/>
      <c r="AX165" s="49"/>
    </row>
    <row r="166" spans="1:50" ht="10.199999999999999" customHeight="1" x14ac:dyDescent="0.25">
      <c r="A166" s="14">
        <f t="shared" si="47"/>
        <v>20</v>
      </c>
      <c r="B166" s="102">
        <f t="shared" si="46"/>
        <v>36662</v>
      </c>
      <c r="C166" s="103">
        <v>36659</v>
      </c>
      <c r="D166" s="13"/>
      <c r="E166" s="13"/>
      <c r="F166" s="97"/>
      <c r="G166" s="13"/>
      <c r="H166" s="13"/>
      <c r="I166" s="13"/>
      <c r="J166" s="97"/>
      <c r="K166" s="13"/>
      <c r="L166" s="13"/>
      <c r="M166" s="13"/>
      <c r="N166" s="97"/>
      <c r="O166" s="13"/>
      <c r="P166" s="13"/>
      <c r="Q166" s="13"/>
      <c r="R166" s="97"/>
      <c r="S166" s="13"/>
      <c r="T166" s="13">
        <v>-34</v>
      </c>
      <c r="U166" s="13">
        <v>-13</v>
      </c>
      <c r="V166" s="48">
        <f t="shared" si="44"/>
        <v>-23.5</v>
      </c>
      <c r="W166" s="13"/>
      <c r="X166" s="13">
        <v>-45</v>
      </c>
      <c r="Y166" s="13">
        <v>-24</v>
      </c>
      <c r="Z166" s="48">
        <f t="shared" si="45"/>
        <v>-34.5</v>
      </c>
      <c r="AA166" s="13"/>
      <c r="AB166" s="13">
        <v>-45</v>
      </c>
      <c r="AC166" s="13">
        <v>-4</v>
      </c>
      <c r="AD166" s="48">
        <f t="shared" si="48"/>
        <v>-24.5</v>
      </c>
      <c r="AE166" s="13"/>
      <c r="AF166" s="13">
        <v>-38</v>
      </c>
      <c r="AG166" s="13">
        <v>15</v>
      </c>
      <c r="AH166" s="48">
        <f t="shared" si="49"/>
        <v>-11.5</v>
      </c>
      <c r="AI166" s="13"/>
      <c r="AJ166" s="13">
        <v>-5</v>
      </c>
      <c r="AK166" s="13">
        <v>28</v>
      </c>
      <c r="AL166" s="48">
        <f t="shared" si="50"/>
        <v>11.5</v>
      </c>
      <c r="AM166" s="13"/>
      <c r="AN166" s="13">
        <v>13</v>
      </c>
      <c r="AO166" s="13">
        <v>39</v>
      </c>
      <c r="AP166" s="48">
        <f t="shared" si="51"/>
        <v>26</v>
      </c>
      <c r="AQ166" s="13"/>
      <c r="AR166" s="13"/>
      <c r="AS166" s="13"/>
      <c r="AT166" s="97"/>
      <c r="AU166" s="13"/>
      <c r="AV166" s="13"/>
      <c r="AW166" s="13"/>
      <c r="AX166" s="49"/>
    </row>
    <row r="167" spans="1:50" ht="10.199999999999999" customHeight="1" x14ac:dyDescent="0.25">
      <c r="A167" s="14">
        <f t="shared" si="47"/>
        <v>21</v>
      </c>
      <c r="B167" s="102">
        <f t="shared" si="46"/>
        <v>36669</v>
      </c>
      <c r="C167" s="103">
        <v>36666</v>
      </c>
      <c r="D167" s="13"/>
      <c r="E167" s="13"/>
      <c r="F167" s="97"/>
      <c r="G167" s="13"/>
      <c r="H167" s="13"/>
      <c r="I167" s="13"/>
      <c r="J167" s="97"/>
      <c r="K167" s="13"/>
      <c r="L167" s="13"/>
      <c r="M167" s="13"/>
      <c r="N167" s="97"/>
      <c r="O167" s="13"/>
      <c r="P167" s="13"/>
      <c r="Q167" s="13"/>
      <c r="R167" s="97"/>
      <c r="S167" s="13"/>
      <c r="T167" s="13"/>
      <c r="U167" s="13"/>
      <c r="V167" s="97"/>
      <c r="W167" s="13"/>
      <c r="X167" s="13">
        <v>-40</v>
      </c>
      <c r="Y167" s="13">
        <v>-25</v>
      </c>
      <c r="Z167" s="48">
        <f t="shared" si="45"/>
        <v>-32.5</v>
      </c>
      <c r="AA167" s="13"/>
      <c r="AB167" s="13">
        <v>-40</v>
      </c>
      <c r="AC167" s="13">
        <v>-10</v>
      </c>
      <c r="AD167" s="48">
        <f t="shared" si="48"/>
        <v>-25</v>
      </c>
      <c r="AE167" s="13"/>
      <c r="AF167" s="13">
        <v>-30</v>
      </c>
      <c r="AG167" s="13">
        <v>10</v>
      </c>
      <c r="AH167" s="48">
        <f t="shared" si="49"/>
        <v>-10</v>
      </c>
      <c r="AI167" s="13"/>
      <c r="AJ167" s="13">
        <v>-4</v>
      </c>
      <c r="AK167" s="13">
        <v>17</v>
      </c>
      <c r="AL167" s="48">
        <f t="shared" si="50"/>
        <v>6.5</v>
      </c>
      <c r="AM167" s="13"/>
      <c r="AN167" s="13">
        <v>13</v>
      </c>
      <c r="AO167" s="13">
        <v>34</v>
      </c>
      <c r="AP167" s="48">
        <f t="shared" si="51"/>
        <v>23.5</v>
      </c>
      <c r="AQ167" s="13"/>
      <c r="AR167" s="13">
        <v>11</v>
      </c>
      <c r="AS167" s="13">
        <v>25</v>
      </c>
      <c r="AT167" s="48">
        <f t="shared" ref="AT167:AT192" si="52">AVERAGE(AR167,AS167)</f>
        <v>18</v>
      </c>
      <c r="AU167" s="13"/>
      <c r="AV167" s="13"/>
      <c r="AW167" s="13"/>
      <c r="AX167" s="49"/>
    </row>
    <row r="168" spans="1:50" ht="10.199999999999999" customHeight="1" x14ac:dyDescent="0.25">
      <c r="A168" s="14">
        <f t="shared" si="47"/>
        <v>22</v>
      </c>
      <c r="B168" s="102">
        <f t="shared" si="46"/>
        <v>36676</v>
      </c>
      <c r="C168" s="103">
        <v>36673</v>
      </c>
      <c r="D168" s="13"/>
      <c r="E168" s="13"/>
      <c r="F168" s="97"/>
      <c r="G168" s="13"/>
      <c r="H168" s="13"/>
      <c r="I168" s="13"/>
      <c r="J168" s="97"/>
      <c r="K168" s="13"/>
      <c r="L168" s="13"/>
      <c r="M168" s="13"/>
      <c r="N168" s="97"/>
      <c r="O168" s="13"/>
      <c r="P168" s="13"/>
      <c r="Q168" s="13"/>
      <c r="R168" s="97"/>
      <c r="S168" s="13"/>
      <c r="T168" s="13"/>
      <c r="U168" s="13"/>
      <c r="V168" s="97"/>
      <c r="W168" s="13"/>
      <c r="X168" s="13">
        <v>-49</v>
      </c>
      <c r="Y168" s="13">
        <v>-31</v>
      </c>
      <c r="Z168" s="48">
        <f t="shared" si="45"/>
        <v>-40</v>
      </c>
      <c r="AA168" s="13"/>
      <c r="AB168" s="13">
        <v>-41</v>
      </c>
      <c r="AC168" s="13">
        <v>-11</v>
      </c>
      <c r="AD168" s="48">
        <f t="shared" si="48"/>
        <v>-26</v>
      </c>
      <c r="AE168" s="13"/>
      <c r="AF168" s="13">
        <v>-23</v>
      </c>
      <c r="AG168" s="13">
        <v>9</v>
      </c>
      <c r="AH168" s="48">
        <f t="shared" si="49"/>
        <v>-7</v>
      </c>
      <c r="AI168" s="13"/>
      <c r="AJ168" s="13">
        <v>-1</v>
      </c>
      <c r="AK168" s="13">
        <v>18</v>
      </c>
      <c r="AL168" s="48">
        <f t="shared" si="50"/>
        <v>8.5</v>
      </c>
      <c r="AM168" s="13"/>
      <c r="AN168" s="13">
        <v>16</v>
      </c>
      <c r="AO168" s="13">
        <v>41</v>
      </c>
      <c r="AP168" s="48">
        <f t="shared" si="51"/>
        <v>28.5</v>
      </c>
      <c r="AQ168" s="13"/>
      <c r="AR168" s="13">
        <v>11</v>
      </c>
      <c r="AS168" s="13">
        <v>22</v>
      </c>
      <c r="AT168" s="48">
        <f t="shared" si="52"/>
        <v>16.5</v>
      </c>
      <c r="AU168" s="13"/>
      <c r="AV168" s="13"/>
      <c r="AW168" s="13"/>
      <c r="AX168" s="49"/>
    </row>
    <row r="169" spans="1:50" ht="10.199999999999999" customHeight="1" x14ac:dyDescent="0.25">
      <c r="A169" s="14">
        <f t="shared" si="47"/>
        <v>23</v>
      </c>
      <c r="B169" s="102">
        <f t="shared" si="46"/>
        <v>36683</v>
      </c>
      <c r="C169" s="103">
        <v>36680</v>
      </c>
      <c r="D169" s="13"/>
      <c r="E169" s="13"/>
      <c r="F169" s="97"/>
      <c r="G169" s="13"/>
      <c r="H169" s="13"/>
      <c r="I169" s="13"/>
      <c r="J169" s="97"/>
      <c r="K169" s="13"/>
      <c r="L169" s="13"/>
      <c r="M169" s="13"/>
      <c r="N169" s="97"/>
      <c r="O169" s="13"/>
      <c r="P169" s="13"/>
      <c r="Q169" s="13"/>
      <c r="R169" s="97"/>
      <c r="S169" s="13"/>
      <c r="T169" s="13"/>
      <c r="U169" s="13"/>
      <c r="V169" s="97"/>
      <c r="W169" s="13"/>
      <c r="X169" s="13">
        <v>-65</v>
      </c>
      <c r="Y169" s="13">
        <v>-49</v>
      </c>
      <c r="Z169" s="48">
        <f t="shared" si="45"/>
        <v>-57</v>
      </c>
      <c r="AA169" s="13"/>
      <c r="AB169" s="13">
        <v>-45</v>
      </c>
      <c r="AC169" s="13">
        <v>-18</v>
      </c>
      <c r="AD169" s="48">
        <f t="shared" si="48"/>
        <v>-31.5</v>
      </c>
      <c r="AE169" s="13"/>
      <c r="AF169" s="13">
        <v>-23</v>
      </c>
      <c r="AG169" s="13">
        <v>8</v>
      </c>
      <c r="AH169" s="48">
        <f t="shared" si="49"/>
        <v>-7.5</v>
      </c>
      <c r="AI169" s="13"/>
      <c r="AJ169" s="13">
        <v>-2</v>
      </c>
      <c r="AK169" s="13">
        <v>18</v>
      </c>
      <c r="AL169" s="48">
        <f t="shared" si="50"/>
        <v>8</v>
      </c>
      <c r="AM169" s="13"/>
      <c r="AN169" s="13">
        <v>16</v>
      </c>
      <c r="AO169" s="13">
        <v>39</v>
      </c>
      <c r="AP169" s="48">
        <f t="shared" si="51"/>
        <v>27.5</v>
      </c>
      <c r="AQ169" s="13"/>
      <c r="AR169" s="13">
        <v>10</v>
      </c>
      <c r="AS169" s="13">
        <v>22</v>
      </c>
      <c r="AT169" s="48">
        <f t="shared" si="52"/>
        <v>16</v>
      </c>
      <c r="AU169" s="13"/>
      <c r="AV169" s="13"/>
      <c r="AW169" s="13"/>
      <c r="AX169" s="49"/>
    </row>
    <row r="170" spans="1:50" ht="10.199999999999999" customHeight="1" x14ac:dyDescent="0.25">
      <c r="A170" s="14">
        <f t="shared" si="47"/>
        <v>24</v>
      </c>
      <c r="B170" s="102">
        <f t="shared" si="46"/>
        <v>36690</v>
      </c>
      <c r="C170" s="103">
        <v>36687</v>
      </c>
      <c r="D170" s="13"/>
      <c r="E170" s="13"/>
      <c r="F170" s="97"/>
      <c r="G170" s="13"/>
      <c r="H170" s="13"/>
      <c r="I170" s="13"/>
      <c r="J170" s="97"/>
      <c r="K170" s="13"/>
      <c r="L170" s="13"/>
      <c r="M170" s="13"/>
      <c r="N170" s="97"/>
      <c r="O170" s="13"/>
      <c r="P170" s="13"/>
      <c r="Q170" s="13"/>
      <c r="R170" s="97"/>
      <c r="S170" s="13"/>
      <c r="T170" s="13"/>
      <c r="U170" s="13"/>
      <c r="V170" s="97"/>
      <c r="W170" s="13"/>
      <c r="X170" s="13">
        <v>-74</v>
      </c>
      <c r="Y170" s="13">
        <v>-31</v>
      </c>
      <c r="Z170" s="48">
        <f t="shared" si="45"/>
        <v>-52.5</v>
      </c>
      <c r="AA170" s="13"/>
      <c r="AB170" s="13">
        <v>-53</v>
      </c>
      <c r="AC170" s="13">
        <v>-31</v>
      </c>
      <c r="AD170" s="48">
        <f t="shared" si="48"/>
        <v>-42</v>
      </c>
      <c r="AE170" s="13"/>
      <c r="AF170" s="13">
        <v>-25</v>
      </c>
      <c r="AG170" s="13">
        <v>9</v>
      </c>
      <c r="AH170" s="48">
        <f t="shared" si="49"/>
        <v>-8</v>
      </c>
      <c r="AI170" s="13"/>
      <c r="AJ170" s="13">
        <v>-6</v>
      </c>
      <c r="AK170" s="13">
        <v>20</v>
      </c>
      <c r="AL170" s="48">
        <f t="shared" si="50"/>
        <v>7</v>
      </c>
      <c r="AM170" s="13"/>
      <c r="AN170" s="13">
        <v>15</v>
      </c>
      <c r="AO170" s="13">
        <v>33</v>
      </c>
      <c r="AP170" s="48">
        <f t="shared" si="51"/>
        <v>24</v>
      </c>
      <c r="AQ170" s="13"/>
      <c r="AR170" s="13">
        <v>10</v>
      </c>
      <c r="AS170" s="13">
        <v>15</v>
      </c>
      <c r="AT170" s="48">
        <f t="shared" si="52"/>
        <v>12.5</v>
      </c>
      <c r="AU170" s="13"/>
      <c r="AV170" s="13"/>
      <c r="AW170" s="13"/>
      <c r="AX170" s="49"/>
    </row>
    <row r="171" spans="1:50" ht="10.199999999999999" customHeight="1" x14ac:dyDescent="0.25">
      <c r="A171" s="14">
        <f t="shared" si="47"/>
        <v>25</v>
      </c>
      <c r="B171" s="102">
        <f t="shared" si="46"/>
        <v>36697</v>
      </c>
      <c r="C171" s="103">
        <v>36694</v>
      </c>
      <c r="D171" s="13"/>
      <c r="E171" s="13"/>
      <c r="F171" s="97"/>
      <c r="G171" s="13"/>
      <c r="H171" s="13"/>
      <c r="I171" s="13"/>
      <c r="J171" s="97"/>
      <c r="K171" s="13"/>
      <c r="L171" s="13"/>
      <c r="M171" s="13"/>
      <c r="N171" s="97"/>
      <c r="O171" s="13"/>
      <c r="P171" s="13"/>
      <c r="Q171" s="13"/>
      <c r="R171" s="97"/>
      <c r="S171" s="13"/>
      <c r="T171" s="13"/>
      <c r="U171" s="13"/>
      <c r="V171" s="97"/>
      <c r="W171" s="13"/>
      <c r="X171" s="13"/>
      <c r="Y171" s="13"/>
      <c r="Z171" s="97"/>
      <c r="AA171" s="13"/>
      <c r="AB171" s="13">
        <v>-74</v>
      </c>
      <c r="AC171" s="13">
        <v>-66</v>
      </c>
      <c r="AD171" s="48">
        <f t="shared" si="48"/>
        <v>-70</v>
      </c>
      <c r="AE171" s="13"/>
      <c r="AF171" s="13">
        <v>-50</v>
      </c>
      <c r="AG171" s="13">
        <v>-14</v>
      </c>
      <c r="AH171" s="48">
        <f t="shared" si="49"/>
        <v>-32</v>
      </c>
      <c r="AI171" s="13"/>
      <c r="AJ171" s="13">
        <v>-8</v>
      </c>
      <c r="AK171" s="13">
        <v>-1</v>
      </c>
      <c r="AL171" s="48">
        <f t="shared" si="50"/>
        <v>-4.5</v>
      </c>
      <c r="AM171" s="13"/>
      <c r="AN171" s="13">
        <v>0</v>
      </c>
      <c r="AO171" s="13">
        <v>18</v>
      </c>
      <c r="AP171" s="48">
        <f t="shared" si="51"/>
        <v>9</v>
      </c>
      <c r="AQ171" s="13"/>
      <c r="AR171" s="13">
        <v>10</v>
      </c>
      <c r="AS171" s="13">
        <v>10</v>
      </c>
      <c r="AT171" s="48">
        <f t="shared" si="52"/>
        <v>10</v>
      </c>
      <c r="AU171" s="13"/>
      <c r="AV171" s="13">
        <v>0</v>
      </c>
      <c r="AW171" s="13">
        <v>5</v>
      </c>
      <c r="AX171" s="48">
        <f t="shared" ref="AX171:AX197" si="53">AVERAGE(AV171,AW171)</f>
        <v>2.5</v>
      </c>
    </row>
    <row r="172" spans="1:50" ht="10.199999999999999" customHeight="1" x14ac:dyDescent="0.25">
      <c r="A172" s="14">
        <f t="shared" si="47"/>
        <v>26</v>
      </c>
      <c r="B172" s="102">
        <f t="shared" si="46"/>
        <v>36704</v>
      </c>
      <c r="C172" s="103">
        <v>36701</v>
      </c>
      <c r="D172" s="13"/>
      <c r="E172" s="13"/>
      <c r="F172" s="97"/>
      <c r="G172" s="13"/>
      <c r="H172" s="13"/>
      <c r="I172" s="13"/>
      <c r="J172" s="97"/>
      <c r="K172" s="13"/>
      <c r="L172" s="13"/>
      <c r="M172" s="13"/>
      <c r="N172" s="97"/>
      <c r="O172" s="13"/>
      <c r="P172" s="13"/>
      <c r="Q172" s="13"/>
      <c r="R172" s="97"/>
      <c r="S172" s="13"/>
      <c r="T172" s="13"/>
      <c r="U172" s="13"/>
      <c r="V172" s="97"/>
      <c r="W172" s="13"/>
      <c r="X172" s="13"/>
      <c r="Y172" s="13"/>
      <c r="Z172" s="97"/>
      <c r="AA172" s="13"/>
      <c r="AB172" s="13">
        <v>-106</v>
      </c>
      <c r="AC172" s="13">
        <v>-50</v>
      </c>
      <c r="AD172" s="48">
        <f t="shared" si="48"/>
        <v>-78</v>
      </c>
      <c r="AE172" s="13"/>
      <c r="AF172" s="13">
        <v>-58</v>
      </c>
      <c r="AG172" s="13">
        <v>-21</v>
      </c>
      <c r="AH172" s="48">
        <f t="shared" si="49"/>
        <v>-39.5</v>
      </c>
      <c r="AI172" s="13"/>
      <c r="AJ172" s="13">
        <v>-20</v>
      </c>
      <c r="AK172" s="13">
        <v>-1</v>
      </c>
      <c r="AL172" s="48">
        <f t="shared" si="50"/>
        <v>-10.5</v>
      </c>
      <c r="AM172" s="13"/>
      <c r="AN172" s="13">
        <v>-5</v>
      </c>
      <c r="AO172" s="13">
        <v>22</v>
      </c>
      <c r="AP172" s="48">
        <f t="shared" si="51"/>
        <v>8.5</v>
      </c>
      <c r="AQ172" s="13"/>
      <c r="AR172" s="13">
        <v>5</v>
      </c>
      <c r="AS172" s="13">
        <v>20</v>
      </c>
      <c r="AT172" s="48">
        <f t="shared" si="52"/>
        <v>12.5</v>
      </c>
      <c r="AU172" s="13"/>
      <c r="AV172" s="13">
        <v>0</v>
      </c>
      <c r="AW172" s="13">
        <v>8</v>
      </c>
      <c r="AX172" s="48">
        <f t="shared" si="53"/>
        <v>4</v>
      </c>
    </row>
    <row r="173" spans="1:50" ht="10.199999999999999" customHeight="1" x14ac:dyDescent="0.25">
      <c r="A173" s="14">
        <f t="shared" si="47"/>
        <v>27</v>
      </c>
      <c r="B173" s="102">
        <f t="shared" si="46"/>
        <v>36711</v>
      </c>
      <c r="C173" s="103">
        <v>36708</v>
      </c>
      <c r="D173" s="13"/>
      <c r="E173" s="13"/>
      <c r="F173" s="97"/>
      <c r="G173" s="13"/>
      <c r="H173" s="13"/>
      <c r="I173" s="13"/>
      <c r="J173" s="97"/>
      <c r="K173" s="13"/>
      <c r="L173" s="13"/>
      <c r="M173" s="13"/>
      <c r="N173" s="97"/>
      <c r="O173" s="13"/>
      <c r="P173" s="13"/>
      <c r="Q173" s="13"/>
      <c r="R173" s="97"/>
      <c r="S173" s="13"/>
      <c r="T173" s="13"/>
      <c r="U173" s="13"/>
      <c r="V173" s="97"/>
      <c r="W173" s="13"/>
      <c r="X173" s="13"/>
      <c r="Y173" s="13"/>
      <c r="Z173" s="97"/>
      <c r="AA173" s="13"/>
      <c r="AB173" s="13">
        <v>-102</v>
      </c>
      <c r="AC173" s="13">
        <v>-56</v>
      </c>
      <c r="AD173" s="48">
        <f t="shared" si="48"/>
        <v>-79</v>
      </c>
      <c r="AE173" s="13"/>
      <c r="AF173" s="13">
        <v>-51</v>
      </c>
      <c r="AG173" s="13">
        <v>-9</v>
      </c>
      <c r="AH173" s="48">
        <f t="shared" si="49"/>
        <v>-30</v>
      </c>
      <c r="AI173" s="13"/>
      <c r="AJ173" s="13">
        <v>-13</v>
      </c>
      <c r="AK173" s="13">
        <v>5</v>
      </c>
      <c r="AL173" s="48">
        <f t="shared" si="50"/>
        <v>-4</v>
      </c>
      <c r="AM173" s="13"/>
      <c r="AN173" s="13">
        <v>-5</v>
      </c>
      <c r="AO173" s="13">
        <v>22</v>
      </c>
      <c r="AP173" s="48">
        <f t="shared" si="51"/>
        <v>8.5</v>
      </c>
      <c r="AQ173" s="13"/>
      <c r="AR173" s="13">
        <v>-2</v>
      </c>
      <c r="AS173" s="13">
        <v>15</v>
      </c>
      <c r="AT173" s="48">
        <f t="shared" si="52"/>
        <v>6.5</v>
      </c>
      <c r="AU173" s="13"/>
      <c r="AV173" s="13">
        <v>-10</v>
      </c>
      <c r="AW173" s="13">
        <v>6</v>
      </c>
      <c r="AX173" s="48">
        <f t="shared" si="53"/>
        <v>-2</v>
      </c>
    </row>
    <row r="174" spans="1:50" ht="10.199999999999999" customHeight="1" x14ac:dyDescent="0.25">
      <c r="A174" s="14">
        <f t="shared" si="47"/>
        <v>28</v>
      </c>
      <c r="B174" s="102">
        <f t="shared" si="46"/>
        <v>36718</v>
      </c>
      <c r="C174" s="103">
        <v>36715</v>
      </c>
      <c r="D174" s="13"/>
      <c r="E174" s="13"/>
      <c r="F174" s="97"/>
      <c r="G174" s="13"/>
      <c r="H174" s="13"/>
      <c r="I174" s="13"/>
      <c r="J174" s="97"/>
      <c r="K174" s="13"/>
      <c r="L174" s="13"/>
      <c r="M174" s="13"/>
      <c r="N174" s="97"/>
      <c r="O174" s="13"/>
      <c r="P174" s="13"/>
      <c r="Q174" s="13"/>
      <c r="R174" s="97"/>
      <c r="S174" s="13"/>
      <c r="T174" s="13"/>
      <c r="U174" s="13"/>
      <c r="V174" s="97"/>
      <c r="W174" s="13"/>
      <c r="X174" s="13"/>
      <c r="Y174" s="13"/>
      <c r="Z174" s="97"/>
      <c r="AA174" s="13"/>
      <c r="AB174" s="13">
        <v>-62</v>
      </c>
      <c r="AC174" s="13">
        <v>4</v>
      </c>
      <c r="AD174" s="48">
        <f t="shared" si="48"/>
        <v>-29</v>
      </c>
      <c r="AE174" s="13"/>
      <c r="AF174" s="13">
        <v>-38</v>
      </c>
      <c r="AG174" s="13">
        <v>14</v>
      </c>
      <c r="AH174" s="48">
        <f t="shared" si="49"/>
        <v>-12</v>
      </c>
      <c r="AI174" s="13"/>
      <c r="AJ174" s="13">
        <v>-12</v>
      </c>
      <c r="AK174" s="13">
        <v>20</v>
      </c>
      <c r="AL174" s="48">
        <f t="shared" si="50"/>
        <v>4</v>
      </c>
      <c r="AM174" s="13"/>
      <c r="AN174" s="13">
        <v>1</v>
      </c>
      <c r="AO174" s="13">
        <v>35</v>
      </c>
      <c r="AP174" s="48">
        <f t="shared" si="51"/>
        <v>18</v>
      </c>
      <c r="AQ174" s="13"/>
      <c r="AR174" s="13">
        <v>-12</v>
      </c>
      <c r="AS174" s="13">
        <v>18</v>
      </c>
      <c r="AT174" s="48">
        <f t="shared" si="52"/>
        <v>3</v>
      </c>
      <c r="AU174" s="13"/>
      <c r="AV174" s="13">
        <v>-20</v>
      </c>
      <c r="AW174" s="13">
        <v>6</v>
      </c>
      <c r="AX174" s="48">
        <f t="shared" si="53"/>
        <v>-7</v>
      </c>
    </row>
    <row r="175" spans="1:50" ht="10.199999999999999" customHeight="1" x14ac:dyDescent="0.25">
      <c r="A175" s="14">
        <f t="shared" si="47"/>
        <v>29</v>
      </c>
      <c r="B175" s="102">
        <f t="shared" si="46"/>
        <v>36725</v>
      </c>
      <c r="C175" s="103">
        <v>36722</v>
      </c>
      <c r="D175" s="13"/>
      <c r="E175" s="13"/>
      <c r="F175" s="97"/>
      <c r="G175" s="13"/>
      <c r="H175" s="13"/>
      <c r="I175" s="13"/>
      <c r="J175" s="97"/>
      <c r="K175" s="13"/>
      <c r="L175" s="13"/>
      <c r="M175" s="13"/>
      <c r="N175" s="97"/>
      <c r="O175" s="13"/>
      <c r="P175" s="13"/>
      <c r="Q175" s="13"/>
      <c r="R175" s="97"/>
      <c r="S175" s="13"/>
      <c r="T175" s="13"/>
      <c r="U175" s="13"/>
      <c r="V175" s="97"/>
      <c r="W175" s="13"/>
      <c r="X175" s="13"/>
      <c r="Y175" s="13"/>
      <c r="Z175" s="97"/>
      <c r="AA175" s="13"/>
      <c r="AB175" s="13">
        <v>-108</v>
      </c>
      <c r="AC175" s="13">
        <v>-34</v>
      </c>
      <c r="AD175" s="48">
        <f t="shared" si="48"/>
        <v>-71</v>
      </c>
      <c r="AE175" s="13"/>
      <c r="AF175" s="13">
        <v>-66</v>
      </c>
      <c r="AG175" s="13">
        <v>-5</v>
      </c>
      <c r="AH175" s="48">
        <f t="shared" si="49"/>
        <v>-35.5</v>
      </c>
      <c r="AI175" s="13"/>
      <c r="AJ175" s="13">
        <v>-15</v>
      </c>
      <c r="AK175" s="13">
        <v>15</v>
      </c>
      <c r="AL175" s="48">
        <f t="shared" si="50"/>
        <v>0</v>
      </c>
      <c r="AM175" s="13"/>
      <c r="AN175" s="13">
        <v>-9</v>
      </c>
      <c r="AO175" s="13">
        <v>33</v>
      </c>
      <c r="AP175" s="48">
        <f t="shared" si="51"/>
        <v>12</v>
      </c>
      <c r="AQ175" s="13"/>
      <c r="AR175" s="13">
        <v>-40</v>
      </c>
      <c r="AS175" s="13">
        <v>23</v>
      </c>
      <c r="AT175" s="48">
        <f t="shared" si="52"/>
        <v>-8.5</v>
      </c>
      <c r="AU175" s="13"/>
      <c r="AV175" s="13">
        <v>-45</v>
      </c>
      <c r="AW175" s="13">
        <v>8</v>
      </c>
      <c r="AX175" s="48">
        <f t="shared" si="53"/>
        <v>-18.5</v>
      </c>
    </row>
    <row r="176" spans="1:50" ht="10.199999999999999" customHeight="1" x14ac:dyDescent="0.25">
      <c r="A176" s="14">
        <f t="shared" si="47"/>
        <v>30</v>
      </c>
      <c r="B176" s="102">
        <f t="shared" si="46"/>
        <v>36732</v>
      </c>
      <c r="C176" s="103">
        <v>36729</v>
      </c>
      <c r="D176" s="13"/>
      <c r="E176" s="13"/>
      <c r="F176" s="97"/>
      <c r="G176" s="13"/>
      <c r="H176" s="13"/>
      <c r="I176" s="13"/>
      <c r="J176" s="97"/>
      <c r="K176" s="13"/>
      <c r="L176" s="13"/>
      <c r="M176" s="13"/>
      <c r="N176" s="97"/>
      <c r="O176" s="13"/>
      <c r="P176" s="13"/>
      <c r="Q176" s="13"/>
      <c r="R176" s="97"/>
      <c r="S176" s="13"/>
      <c r="T176" s="13"/>
      <c r="U176" s="13"/>
      <c r="V176" s="97"/>
      <c r="W176" s="13"/>
      <c r="X176" s="13"/>
      <c r="Y176" s="13"/>
      <c r="Z176" s="97"/>
      <c r="AA176" s="13"/>
      <c r="AB176" s="13"/>
      <c r="AC176" s="13"/>
      <c r="AD176" s="97"/>
      <c r="AE176" s="13"/>
      <c r="AF176" s="13">
        <v>-112</v>
      </c>
      <c r="AG176" s="13">
        <v>-32</v>
      </c>
      <c r="AH176" s="48">
        <f t="shared" si="49"/>
        <v>-72</v>
      </c>
      <c r="AI176" s="13"/>
      <c r="AJ176" s="13">
        <v>-23</v>
      </c>
      <c r="AK176" s="13">
        <v>5</v>
      </c>
      <c r="AL176" s="48">
        <f t="shared" si="50"/>
        <v>-9</v>
      </c>
      <c r="AM176" s="13"/>
      <c r="AN176" s="13">
        <v>-9</v>
      </c>
      <c r="AO176" s="13">
        <v>26</v>
      </c>
      <c r="AP176" s="48">
        <f t="shared" si="51"/>
        <v>8.5</v>
      </c>
      <c r="AQ176" s="13"/>
      <c r="AR176" s="13">
        <v>-36</v>
      </c>
      <c r="AS176" s="13">
        <v>16</v>
      </c>
      <c r="AT176" s="48">
        <f t="shared" si="52"/>
        <v>-10</v>
      </c>
      <c r="AU176" s="13"/>
      <c r="AV176" s="13">
        <v>-44</v>
      </c>
      <c r="AW176" s="13">
        <v>6</v>
      </c>
      <c r="AX176" s="48">
        <f t="shared" si="53"/>
        <v>-19</v>
      </c>
    </row>
    <row r="177" spans="1:50" ht="10.199999999999999" customHeight="1" x14ac:dyDescent="0.25">
      <c r="A177" s="14">
        <f t="shared" si="47"/>
        <v>31</v>
      </c>
      <c r="B177" s="102">
        <f t="shared" si="46"/>
        <v>36739</v>
      </c>
      <c r="C177" s="103">
        <v>36736</v>
      </c>
      <c r="D177" s="13">
        <v>-46</v>
      </c>
      <c r="E177" s="13">
        <v>-3</v>
      </c>
      <c r="F177" s="48">
        <f t="shared" ref="F177:F201" si="54">AVERAGE(D177,E177)</f>
        <v>-24.5</v>
      </c>
      <c r="G177" s="13"/>
      <c r="H177" s="13"/>
      <c r="I177" s="13"/>
      <c r="J177" s="97"/>
      <c r="K177" s="13"/>
      <c r="L177" s="13"/>
      <c r="M177" s="13"/>
      <c r="N177" s="97"/>
      <c r="O177" s="13"/>
      <c r="P177" s="13"/>
      <c r="Q177" s="13"/>
      <c r="R177" s="97"/>
      <c r="S177" s="13"/>
      <c r="T177" s="13"/>
      <c r="U177" s="13"/>
      <c r="V177" s="97"/>
      <c r="W177" s="13"/>
      <c r="X177" s="13"/>
      <c r="Y177" s="13"/>
      <c r="Z177" s="97"/>
      <c r="AA177" s="13"/>
      <c r="AB177" s="13"/>
      <c r="AC177" s="13"/>
      <c r="AD177" s="97"/>
      <c r="AE177" s="13"/>
      <c r="AF177" s="13">
        <v>-163</v>
      </c>
      <c r="AG177" s="13">
        <v>-29</v>
      </c>
      <c r="AH177" s="48">
        <f t="shared" si="49"/>
        <v>-96</v>
      </c>
      <c r="AI177" s="13"/>
      <c r="AJ177" s="13">
        <v>-52</v>
      </c>
      <c r="AK177" s="13">
        <v>-4</v>
      </c>
      <c r="AL177" s="48">
        <f t="shared" si="50"/>
        <v>-28</v>
      </c>
      <c r="AM177" s="13"/>
      <c r="AN177" s="13">
        <v>-22</v>
      </c>
      <c r="AO177" s="13">
        <v>29</v>
      </c>
      <c r="AP177" s="48">
        <f t="shared" si="51"/>
        <v>3.5</v>
      </c>
      <c r="AQ177" s="13"/>
      <c r="AR177" s="13">
        <v>-39</v>
      </c>
      <c r="AS177" s="13">
        <v>16</v>
      </c>
      <c r="AT177" s="48">
        <f t="shared" si="52"/>
        <v>-11.5</v>
      </c>
      <c r="AU177" s="13"/>
      <c r="AV177" s="13">
        <v>-64</v>
      </c>
      <c r="AW177" s="13">
        <v>6</v>
      </c>
      <c r="AX177" s="48">
        <f t="shared" si="53"/>
        <v>-29</v>
      </c>
    </row>
    <row r="178" spans="1:50" ht="10.199999999999999" customHeight="1" x14ac:dyDescent="0.25">
      <c r="A178" s="14">
        <f t="shared" si="47"/>
        <v>32</v>
      </c>
      <c r="B178" s="102">
        <f t="shared" si="46"/>
        <v>36746</v>
      </c>
      <c r="C178" s="103">
        <v>36743</v>
      </c>
      <c r="D178" s="13">
        <v>-63</v>
      </c>
      <c r="E178" s="13">
        <v>-20</v>
      </c>
      <c r="F178" s="48">
        <f t="shared" si="54"/>
        <v>-41.5</v>
      </c>
      <c r="G178" s="13"/>
      <c r="H178" s="13"/>
      <c r="I178" s="13"/>
      <c r="J178" s="97"/>
      <c r="K178" s="13"/>
      <c r="L178" s="13"/>
      <c r="M178" s="13"/>
      <c r="N178" s="97"/>
      <c r="O178" s="13"/>
      <c r="P178" s="13"/>
      <c r="Q178" s="13"/>
      <c r="R178" s="97"/>
      <c r="S178" s="13"/>
      <c r="T178" s="13"/>
      <c r="U178" s="13"/>
      <c r="V178" s="97"/>
      <c r="W178" s="13"/>
      <c r="X178" s="13"/>
      <c r="Y178" s="13"/>
      <c r="Z178" s="97"/>
      <c r="AA178" s="13"/>
      <c r="AB178" s="13"/>
      <c r="AC178" s="13"/>
      <c r="AD178" s="97"/>
      <c r="AE178" s="13"/>
      <c r="AF178" s="13">
        <v>-152</v>
      </c>
      <c r="AG178" s="13">
        <v>-38</v>
      </c>
      <c r="AH178" s="48">
        <f t="shared" si="49"/>
        <v>-95</v>
      </c>
      <c r="AI178" s="13"/>
      <c r="AJ178" s="13">
        <v>-53</v>
      </c>
      <c r="AK178" s="13">
        <v>-22</v>
      </c>
      <c r="AL178" s="48">
        <f t="shared" si="50"/>
        <v>-37.5</v>
      </c>
      <c r="AM178" s="13"/>
      <c r="AN178" s="13">
        <v>-35</v>
      </c>
      <c r="AO178" s="13">
        <v>2</v>
      </c>
      <c r="AP178" s="48">
        <f t="shared" si="51"/>
        <v>-16.5</v>
      </c>
      <c r="AQ178" s="13"/>
      <c r="AR178" s="13">
        <v>-46</v>
      </c>
      <c r="AS178" s="13">
        <v>-2</v>
      </c>
      <c r="AT178" s="48">
        <f t="shared" si="52"/>
        <v>-24</v>
      </c>
      <c r="AU178" s="13"/>
      <c r="AV178" s="13">
        <v>-70</v>
      </c>
      <c r="AW178" s="13">
        <v>-15</v>
      </c>
      <c r="AX178" s="48">
        <f t="shared" si="53"/>
        <v>-42.5</v>
      </c>
    </row>
    <row r="179" spans="1:50" ht="10.199999999999999" customHeight="1" x14ac:dyDescent="0.25">
      <c r="A179" s="14">
        <f t="shared" si="47"/>
        <v>33</v>
      </c>
      <c r="B179" s="102">
        <f t="shared" ref="B179:B210" si="55">+B180-7</f>
        <v>36753</v>
      </c>
      <c r="C179" s="103">
        <v>36750</v>
      </c>
      <c r="D179" s="13">
        <v>-59</v>
      </c>
      <c r="E179" s="13">
        <v>-20</v>
      </c>
      <c r="F179" s="48">
        <f t="shared" si="54"/>
        <v>-39.5</v>
      </c>
      <c r="G179" s="13"/>
      <c r="H179" s="13"/>
      <c r="I179" s="13"/>
      <c r="J179" s="97"/>
      <c r="K179" s="13"/>
      <c r="L179" s="13"/>
      <c r="M179" s="13"/>
      <c r="N179" s="97"/>
      <c r="O179" s="13"/>
      <c r="P179" s="13"/>
      <c r="Q179" s="13"/>
      <c r="R179" s="97"/>
      <c r="S179" s="13"/>
      <c r="T179" s="13"/>
      <c r="U179" s="13"/>
      <c r="V179" s="97"/>
      <c r="W179" s="13"/>
      <c r="X179" s="13"/>
      <c r="Y179" s="13"/>
      <c r="Z179" s="97"/>
      <c r="AA179" s="13"/>
      <c r="AB179" s="13"/>
      <c r="AC179" s="13"/>
      <c r="AD179" s="97"/>
      <c r="AE179" s="13"/>
      <c r="AF179" s="13">
        <v>-122</v>
      </c>
      <c r="AG179" s="13">
        <v>-13</v>
      </c>
      <c r="AH179" s="48">
        <f t="shared" si="49"/>
        <v>-67.5</v>
      </c>
      <c r="AI179" s="13"/>
      <c r="AJ179" s="13">
        <v>-53</v>
      </c>
      <c r="AK179" s="13">
        <v>-28</v>
      </c>
      <c r="AL179" s="48">
        <f t="shared" si="50"/>
        <v>-40.5</v>
      </c>
      <c r="AM179" s="13"/>
      <c r="AN179" s="13">
        <v>-10</v>
      </c>
      <c r="AO179" s="13">
        <v>-5</v>
      </c>
      <c r="AP179" s="48">
        <f t="shared" si="51"/>
        <v>-7.5</v>
      </c>
      <c r="AQ179" s="13"/>
      <c r="AR179" s="13">
        <v>-49</v>
      </c>
      <c r="AS179" s="13">
        <v>-11</v>
      </c>
      <c r="AT179" s="48">
        <f t="shared" si="52"/>
        <v>-30</v>
      </c>
      <c r="AU179" s="13"/>
      <c r="AV179" s="13">
        <v>-88</v>
      </c>
      <c r="AW179" s="13">
        <v>-13</v>
      </c>
      <c r="AX179" s="48">
        <f t="shared" si="53"/>
        <v>-50.5</v>
      </c>
    </row>
    <row r="180" spans="1:50" ht="10.199999999999999" customHeight="1" x14ac:dyDescent="0.25">
      <c r="A180" s="14">
        <f t="shared" ref="A180:A198" si="56">+A179+1</f>
        <v>34</v>
      </c>
      <c r="B180" s="102">
        <f t="shared" si="55"/>
        <v>36760</v>
      </c>
      <c r="C180" s="103">
        <v>36757</v>
      </c>
      <c r="D180" s="13">
        <v>-54</v>
      </c>
      <c r="E180" s="13">
        <v>-20</v>
      </c>
      <c r="F180" s="48">
        <f t="shared" si="54"/>
        <v>-37</v>
      </c>
      <c r="G180" s="13"/>
      <c r="H180" s="13">
        <v>-69</v>
      </c>
      <c r="I180" s="13">
        <v>-20</v>
      </c>
      <c r="J180" s="48">
        <f t="shared" ref="J180:J205" si="57">AVERAGE(H180,I180)</f>
        <v>-44.5</v>
      </c>
      <c r="K180" s="13"/>
      <c r="L180" s="13"/>
      <c r="M180" s="13"/>
      <c r="N180" s="97"/>
      <c r="O180" s="13"/>
      <c r="P180" s="13"/>
      <c r="Q180" s="13"/>
      <c r="R180" s="97"/>
      <c r="S180" s="13"/>
      <c r="T180" s="13"/>
      <c r="U180" s="13"/>
      <c r="V180" s="97"/>
      <c r="W180" s="13"/>
      <c r="X180" s="13"/>
      <c r="Y180" s="13"/>
      <c r="Z180" s="97"/>
      <c r="AA180" s="13"/>
      <c r="AB180" s="13"/>
      <c r="AC180" s="13"/>
      <c r="AD180" s="97"/>
      <c r="AE180" s="13"/>
      <c r="AF180" s="13"/>
      <c r="AG180" s="13"/>
      <c r="AH180" s="97"/>
      <c r="AI180" s="13"/>
      <c r="AJ180" s="13">
        <v>-37</v>
      </c>
      <c r="AK180" s="13">
        <v>-27</v>
      </c>
      <c r="AL180" s="48">
        <f t="shared" si="50"/>
        <v>-32</v>
      </c>
      <c r="AM180" s="13"/>
      <c r="AN180" s="13">
        <v>-9</v>
      </c>
      <c r="AO180" s="13">
        <v>1</v>
      </c>
      <c r="AP180" s="48">
        <f t="shared" si="51"/>
        <v>-4</v>
      </c>
      <c r="AQ180" s="13"/>
      <c r="AR180" s="13">
        <v>-69</v>
      </c>
      <c r="AS180" s="13">
        <v>-15</v>
      </c>
      <c r="AT180" s="48">
        <f t="shared" si="52"/>
        <v>-42</v>
      </c>
      <c r="AU180" s="13"/>
      <c r="AV180" s="13">
        <v>-76</v>
      </c>
      <c r="AW180" s="13">
        <v>-23</v>
      </c>
      <c r="AX180" s="48">
        <f t="shared" si="53"/>
        <v>-49.5</v>
      </c>
    </row>
    <row r="181" spans="1:50" ht="10.199999999999999" customHeight="1" x14ac:dyDescent="0.25">
      <c r="A181" s="14">
        <f t="shared" si="56"/>
        <v>35</v>
      </c>
      <c r="B181" s="102">
        <f t="shared" si="55"/>
        <v>36767</v>
      </c>
      <c r="C181" s="103">
        <v>36764</v>
      </c>
      <c r="D181" s="13">
        <v>-67</v>
      </c>
      <c r="E181" s="13">
        <v>-53</v>
      </c>
      <c r="F181" s="48">
        <f t="shared" si="54"/>
        <v>-60</v>
      </c>
      <c r="G181" s="13"/>
      <c r="H181" s="13">
        <v>-71</v>
      </c>
      <c r="I181" s="13">
        <v>-50</v>
      </c>
      <c r="J181" s="48">
        <f t="shared" si="57"/>
        <v>-60.5</v>
      </c>
      <c r="K181" s="13"/>
      <c r="L181" s="13"/>
      <c r="M181" s="13"/>
      <c r="N181" s="97"/>
      <c r="O181" s="13"/>
      <c r="P181" s="13"/>
      <c r="Q181" s="13"/>
      <c r="R181" s="97"/>
      <c r="S181" s="13"/>
      <c r="T181" s="13"/>
      <c r="U181" s="13"/>
      <c r="V181" s="97"/>
      <c r="W181" s="13"/>
      <c r="X181" s="13"/>
      <c r="Y181" s="13"/>
      <c r="Z181" s="97"/>
      <c r="AA181" s="13"/>
      <c r="AB181" s="13"/>
      <c r="AC181" s="13"/>
      <c r="AD181" s="97"/>
      <c r="AE181" s="13"/>
      <c r="AF181" s="13"/>
      <c r="AG181" s="13"/>
      <c r="AH181" s="97"/>
      <c r="AI181" s="13"/>
      <c r="AJ181" s="13">
        <v>-17</v>
      </c>
      <c r="AK181" s="13">
        <v>-18</v>
      </c>
      <c r="AL181" s="48">
        <f t="shared" si="50"/>
        <v>-17.5</v>
      </c>
      <c r="AM181" s="13"/>
      <c r="AN181" s="13">
        <v>0</v>
      </c>
      <c r="AO181" s="13">
        <v>1</v>
      </c>
      <c r="AP181" s="48">
        <f t="shared" si="51"/>
        <v>0.5</v>
      </c>
      <c r="AQ181" s="13"/>
      <c r="AR181" s="13">
        <v>-61</v>
      </c>
      <c r="AS181" s="13">
        <v>-14</v>
      </c>
      <c r="AT181" s="48">
        <f t="shared" si="52"/>
        <v>-37.5</v>
      </c>
      <c r="AU181" s="13"/>
      <c r="AV181" s="13">
        <v>-71</v>
      </c>
      <c r="AW181" s="13">
        <v>-53</v>
      </c>
      <c r="AX181" s="48">
        <f t="shared" si="53"/>
        <v>-62</v>
      </c>
    </row>
    <row r="182" spans="1:50" ht="10.199999999999999" customHeight="1" x14ac:dyDescent="0.25">
      <c r="A182" s="14">
        <f t="shared" si="56"/>
        <v>36</v>
      </c>
      <c r="B182" s="102">
        <f t="shared" si="55"/>
        <v>36774</v>
      </c>
      <c r="C182" s="103">
        <v>36771</v>
      </c>
      <c r="D182" s="13">
        <v>-40</v>
      </c>
      <c r="E182" s="13">
        <v>-25</v>
      </c>
      <c r="F182" s="48">
        <f t="shared" si="54"/>
        <v>-32.5</v>
      </c>
      <c r="G182" s="13"/>
      <c r="H182" s="13">
        <v>-40</v>
      </c>
      <c r="I182" s="13">
        <v>-28</v>
      </c>
      <c r="J182" s="48">
        <f t="shared" si="57"/>
        <v>-34</v>
      </c>
      <c r="K182" s="13"/>
      <c r="L182" s="13"/>
      <c r="M182" s="13"/>
      <c r="N182" s="97"/>
      <c r="O182" s="13"/>
      <c r="P182" s="13"/>
      <c r="Q182" s="13"/>
      <c r="R182" s="97"/>
      <c r="S182" s="13"/>
      <c r="T182" s="13"/>
      <c r="U182" s="13"/>
      <c r="V182" s="97"/>
      <c r="W182" s="13"/>
      <c r="X182" s="13"/>
      <c r="Y182" s="13"/>
      <c r="Z182" s="97"/>
      <c r="AA182" s="13"/>
      <c r="AB182" s="13"/>
      <c r="AC182" s="13"/>
      <c r="AD182" s="97"/>
      <c r="AE182" s="13"/>
      <c r="AF182" s="13"/>
      <c r="AG182" s="13"/>
      <c r="AH182" s="97"/>
      <c r="AI182" s="13"/>
      <c r="AJ182" s="13">
        <v>104</v>
      </c>
      <c r="AK182" s="13">
        <v>47</v>
      </c>
      <c r="AL182" s="48">
        <f t="shared" si="50"/>
        <v>75.5</v>
      </c>
      <c r="AM182" s="13"/>
      <c r="AN182" s="13">
        <v>64</v>
      </c>
      <c r="AO182" s="13">
        <v>46</v>
      </c>
      <c r="AP182" s="48">
        <f t="shared" si="51"/>
        <v>55</v>
      </c>
      <c r="AQ182" s="13"/>
      <c r="AR182" s="13">
        <v>-15</v>
      </c>
      <c r="AS182" s="13">
        <v>-9</v>
      </c>
      <c r="AT182" s="48">
        <f t="shared" si="52"/>
        <v>-12</v>
      </c>
      <c r="AU182" s="13"/>
      <c r="AV182" s="13">
        <v>-31</v>
      </c>
      <c r="AW182" s="13">
        <v>-23</v>
      </c>
      <c r="AX182" s="48">
        <f t="shared" si="53"/>
        <v>-27</v>
      </c>
    </row>
    <row r="183" spans="1:50" ht="10.199999999999999" customHeight="1" x14ac:dyDescent="0.25">
      <c r="A183" s="14">
        <f t="shared" si="56"/>
        <v>37</v>
      </c>
      <c r="B183" s="102">
        <f t="shared" si="55"/>
        <v>36781</v>
      </c>
      <c r="C183" s="103">
        <v>36778</v>
      </c>
      <c r="D183" s="13">
        <v>-49</v>
      </c>
      <c r="E183" s="13">
        <v>-25</v>
      </c>
      <c r="F183" s="48">
        <f t="shared" si="54"/>
        <v>-37</v>
      </c>
      <c r="G183" s="13"/>
      <c r="H183" s="13">
        <v>-49</v>
      </c>
      <c r="I183" s="13">
        <v>-25</v>
      </c>
      <c r="J183" s="48">
        <f t="shared" si="57"/>
        <v>-37</v>
      </c>
      <c r="K183" s="13"/>
      <c r="L183" s="13"/>
      <c r="M183" s="13"/>
      <c r="N183" s="97"/>
      <c r="O183" s="13"/>
      <c r="P183" s="13"/>
      <c r="Q183" s="13"/>
      <c r="R183" s="97"/>
      <c r="S183" s="13"/>
      <c r="T183" s="13"/>
      <c r="U183" s="13"/>
      <c r="V183" s="97"/>
      <c r="W183" s="13"/>
      <c r="X183" s="13"/>
      <c r="Y183" s="13"/>
      <c r="Z183" s="97"/>
      <c r="AA183" s="13"/>
      <c r="AB183" s="13"/>
      <c r="AC183" s="13"/>
      <c r="AD183" s="97"/>
      <c r="AE183" s="13"/>
      <c r="AF183" s="13"/>
      <c r="AG183" s="13"/>
      <c r="AH183" s="97"/>
      <c r="AI183" s="13"/>
      <c r="AJ183" s="13">
        <v>73</v>
      </c>
      <c r="AK183" s="13">
        <v>20</v>
      </c>
      <c r="AL183" s="48">
        <f t="shared" si="50"/>
        <v>46.5</v>
      </c>
      <c r="AM183" s="13"/>
      <c r="AN183" s="13">
        <v>48</v>
      </c>
      <c r="AO183" s="13">
        <v>18</v>
      </c>
      <c r="AP183" s="48">
        <f t="shared" si="51"/>
        <v>33</v>
      </c>
      <c r="AQ183" s="13"/>
      <c r="AR183" s="13">
        <v>-26</v>
      </c>
      <c r="AS183" s="13">
        <v>-26</v>
      </c>
      <c r="AT183" s="48">
        <f t="shared" si="52"/>
        <v>-26</v>
      </c>
      <c r="AU183" s="13"/>
      <c r="AV183" s="13">
        <v>-40</v>
      </c>
      <c r="AW183" s="13">
        <v>-25</v>
      </c>
      <c r="AX183" s="48">
        <f t="shared" si="53"/>
        <v>-32.5</v>
      </c>
    </row>
    <row r="184" spans="1:50" ht="10.199999999999999" customHeight="1" x14ac:dyDescent="0.25">
      <c r="A184" s="14">
        <f t="shared" si="56"/>
        <v>38</v>
      </c>
      <c r="B184" s="102">
        <f t="shared" si="55"/>
        <v>36788</v>
      </c>
      <c r="C184" s="103">
        <v>36785</v>
      </c>
      <c r="D184" s="13">
        <v>-65</v>
      </c>
      <c r="E184" s="13">
        <v>-69</v>
      </c>
      <c r="F184" s="48">
        <f t="shared" si="54"/>
        <v>-67</v>
      </c>
      <c r="G184" s="13"/>
      <c r="H184" s="13">
        <v>-65</v>
      </c>
      <c r="I184" s="13">
        <v>-69</v>
      </c>
      <c r="J184" s="48">
        <f t="shared" si="57"/>
        <v>-67</v>
      </c>
      <c r="K184" s="13"/>
      <c r="L184" s="13"/>
      <c r="M184" s="13"/>
      <c r="N184" s="97"/>
      <c r="O184" s="13"/>
      <c r="P184" s="13"/>
      <c r="Q184" s="13"/>
      <c r="R184" s="97"/>
      <c r="S184" s="13"/>
      <c r="T184" s="13"/>
      <c r="U184" s="13"/>
      <c r="V184" s="97"/>
      <c r="W184" s="13"/>
      <c r="X184" s="13"/>
      <c r="Y184" s="13"/>
      <c r="Z184" s="97"/>
      <c r="AA184" s="13"/>
      <c r="AB184" s="13"/>
      <c r="AC184" s="13"/>
      <c r="AD184" s="97"/>
      <c r="AE184" s="13"/>
      <c r="AF184" s="13"/>
      <c r="AG184" s="13"/>
      <c r="AH184" s="97"/>
      <c r="AI184" s="13"/>
      <c r="AJ184" s="13">
        <v>44</v>
      </c>
      <c r="AK184" s="13">
        <v>60</v>
      </c>
      <c r="AL184" s="48">
        <f t="shared" si="50"/>
        <v>52</v>
      </c>
      <c r="AM184" s="13"/>
      <c r="AN184" s="13">
        <v>36</v>
      </c>
      <c r="AO184" s="13">
        <v>6</v>
      </c>
      <c r="AP184" s="48">
        <f t="shared" si="51"/>
        <v>21</v>
      </c>
      <c r="AQ184" s="13"/>
      <c r="AR184" s="13">
        <v>-60</v>
      </c>
      <c r="AS184" s="13">
        <v>-58</v>
      </c>
      <c r="AT184" s="48">
        <f t="shared" si="52"/>
        <v>-59</v>
      </c>
      <c r="AU184" s="13"/>
      <c r="AV184" s="13">
        <v>-66</v>
      </c>
      <c r="AW184" s="13">
        <v>-63</v>
      </c>
      <c r="AX184" s="48">
        <f t="shared" si="53"/>
        <v>-64.5</v>
      </c>
    </row>
    <row r="185" spans="1:50" ht="10.199999999999999" customHeight="1" x14ac:dyDescent="0.25">
      <c r="A185" s="14">
        <f t="shared" si="56"/>
        <v>39</v>
      </c>
      <c r="B185" s="102">
        <f t="shared" si="55"/>
        <v>36795</v>
      </c>
      <c r="C185" s="103">
        <v>36792</v>
      </c>
      <c r="D185" s="13">
        <v>-87</v>
      </c>
      <c r="E185" s="13">
        <v>-90</v>
      </c>
      <c r="F185" s="48">
        <f t="shared" si="54"/>
        <v>-88.5</v>
      </c>
      <c r="G185" s="13"/>
      <c r="H185" s="13">
        <v>-86</v>
      </c>
      <c r="I185" s="13">
        <v>-90</v>
      </c>
      <c r="J185" s="48">
        <f t="shared" si="57"/>
        <v>-88</v>
      </c>
      <c r="K185" s="13"/>
      <c r="L185" s="13">
        <v>-87</v>
      </c>
      <c r="M185" s="13">
        <v>-90</v>
      </c>
      <c r="N185" s="48">
        <f t="shared" ref="N185:N210" si="58">AVERAGE(L185,M185)</f>
        <v>-88.5</v>
      </c>
      <c r="O185" s="13"/>
      <c r="P185" s="13"/>
      <c r="Q185" s="13"/>
      <c r="R185" s="97"/>
      <c r="S185" s="13"/>
      <c r="T185" s="13"/>
      <c r="U185" s="13"/>
      <c r="V185" s="97"/>
      <c r="W185" s="13"/>
      <c r="X185" s="13"/>
      <c r="Y185" s="13"/>
      <c r="Z185" s="97"/>
      <c r="AA185" s="13"/>
      <c r="AB185" s="13"/>
      <c r="AC185" s="13"/>
      <c r="AD185" s="97"/>
      <c r="AE185" s="13"/>
      <c r="AF185" s="13"/>
      <c r="AG185" s="13"/>
      <c r="AH185" s="97"/>
      <c r="AI185" s="13"/>
      <c r="AJ185" s="13"/>
      <c r="AK185" s="13"/>
      <c r="AL185" s="97"/>
      <c r="AM185" s="13"/>
      <c r="AN185" s="13">
        <v>-4</v>
      </c>
      <c r="AO185" s="13">
        <v>-56</v>
      </c>
      <c r="AP185" s="48">
        <f t="shared" si="51"/>
        <v>-30</v>
      </c>
      <c r="AQ185" s="13"/>
      <c r="AR185" s="13">
        <v>-80</v>
      </c>
      <c r="AS185" s="13">
        <v>-83</v>
      </c>
      <c r="AT185" s="48">
        <f t="shared" si="52"/>
        <v>-81.5</v>
      </c>
      <c r="AU185" s="13"/>
      <c r="AV185" s="13">
        <v>-81</v>
      </c>
      <c r="AW185" s="13">
        <v>-83</v>
      </c>
      <c r="AX185" s="48">
        <f t="shared" si="53"/>
        <v>-82</v>
      </c>
    </row>
    <row r="186" spans="1:50" ht="10.199999999999999" customHeight="1" x14ac:dyDescent="0.25">
      <c r="A186" s="14">
        <f t="shared" si="56"/>
        <v>40</v>
      </c>
      <c r="B186" s="102">
        <f t="shared" si="55"/>
        <v>36802</v>
      </c>
      <c r="C186" s="103">
        <v>36799</v>
      </c>
      <c r="D186" s="13">
        <v>-79</v>
      </c>
      <c r="E186" s="13">
        <v>-104</v>
      </c>
      <c r="F186" s="48">
        <f t="shared" si="54"/>
        <v>-91.5</v>
      </c>
      <c r="G186" s="13"/>
      <c r="H186" s="13">
        <v>-78</v>
      </c>
      <c r="I186" s="13">
        <v>-104</v>
      </c>
      <c r="J186" s="48">
        <f t="shared" si="57"/>
        <v>-91</v>
      </c>
      <c r="K186" s="13"/>
      <c r="L186" s="13">
        <v>-78</v>
      </c>
      <c r="M186" s="13">
        <v>-104</v>
      </c>
      <c r="N186" s="48">
        <f t="shared" si="58"/>
        <v>-91</v>
      </c>
      <c r="O186" s="13"/>
      <c r="P186" s="13"/>
      <c r="Q186" s="13"/>
      <c r="R186" s="97"/>
      <c r="S186" s="13"/>
      <c r="T186" s="13"/>
      <c r="U186" s="13"/>
      <c r="V186" s="97"/>
      <c r="W186" s="13"/>
      <c r="X186" s="13"/>
      <c r="Y186" s="13"/>
      <c r="Z186" s="97"/>
      <c r="AA186" s="13"/>
      <c r="AB186" s="13"/>
      <c r="AC186" s="13"/>
      <c r="AD186" s="97"/>
      <c r="AE186" s="13"/>
      <c r="AF186" s="13"/>
      <c r="AG186" s="13"/>
      <c r="AH186" s="97"/>
      <c r="AI186" s="13"/>
      <c r="AJ186" s="13"/>
      <c r="AK186" s="13"/>
      <c r="AL186" s="97"/>
      <c r="AM186" s="13"/>
      <c r="AN186" s="13">
        <v>80</v>
      </c>
      <c r="AO186" s="13">
        <v>-108</v>
      </c>
      <c r="AP186" s="48">
        <f t="shared" si="51"/>
        <v>-14</v>
      </c>
      <c r="AQ186" s="13"/>
      <c r="AR186" s="13">
        <v>-55</v>
      </c>
      <c r="AS186" s="13">
        <v>-136</v>
      </c>
      <c r="AT186" s="48">
        <f t="shared" si="52"/>
        <v>-95.5</v>
      </c>
      <c r="AU186" s="13"/>
      <c r="AV186" s="13">
        <v>-73</v>
      </c>
      <c r="AW186" s="13">
        <v>-118</v>
      </c>
      <c r="AX186" s="48">
        <f t="shared" si="53"/>
        <v>-95.5</v>
      </c>
    </row>
    <row r="187" spans="1:50" ht="10.199999999999999" customHeight="1" x14ac:dyDescent="0.25">
      <c r="A187" s="14">
        <f t="shared" si="56"/>
        <v>41</v>
      </c>
      <c r="B187" s="102">
        <f t="shared" si="55"/>
        <v>36809</v>
      </c>
      <c r="C187" s="103">
        <v>36806</v>
      </c>
      <c r="D187" s="13">
        <v>-63</v>
      </c>
      <c r="E187" s="13">
        <v>-105</v>
      </c>
      <c r="F187" s="48">
        <f t="shared" si="54"/>
        <v>-84</v>
      </c>
      <c r="G187" s="13"/>
      <c r="H187" s="13">
        <v>-58</v>
      </c>
      <c r="I187" s="13">
        <v>-105</v>
      </c>
      <c r="J187" s="48">
        <f t="shared" si="57"/>
        <v>-81.5</v>
      </c>
      <c r="K187" s="13"/>
      <c r="L187" s="13">
        <v>-65</v>
      </c>
      <c r="M187" s="13">
        <v>-105</v>
      </c>
      <c r="N187" s="48">
        <f t="shared" si="58"/>
        <v>-85</v>
      </c>
      <c r="O187" s="13"/>
      <c r="P187" s="13"/>
      <c r="Q187" s="13"/>
      <c r="R187" s="97"/>
      <c r="S187" s="13"/>
      <c r="T187" s="13"/>
      <c r="U187" s="13"/>
      <c r="V187" s="97"/>
      <c r="W187" s="13"/>
      <c r="X187" s="13"/>
      <c r="Y187" s="13"/>
      <c r="Z187" s="97"/>
      <c r="AA187" s="13"/>
      <c r="AB187" s="13"/>
      <c r="AC187" s="13"/>
      <c r="AD187" s="97"/>
      <c r="AE187" s="13"/>
      <c r="AF187" s="13"/>
      <c r="AG187" s="13"/>
      <c r="AH187" s="97"/>
      <c r="AI187" s="13"/>
      <c r="AJ187" s="13"/>
      <c r="AK187" s="13"/>
      <c r="AL187" s="97"/>
      <c r="AM187" s="13"/>
      <c r="AN187" s="13">
        <v>94</v>
      </c>
      <c r="AO187" s="13">
        <v>-144</v>
      </c>
      <c r="AP187" s="48">
        <f t="shared" si="51"/>
        <v>-25</v>
      </c>
      <c r="AQ187" s="13"/>
      <c r="AR187" s="13">
        <v>-39</v>
      </c>
      <c r="AS187" s="13">
        <v>-148</v>
      </c>
      <c r="AT187" s="48">
        <f t="shared" si="52"/>
        <v>-93.5</v>
      </c>
      <c r="AU187" s="13"/>
      <c r="AV187" s="13">
        <v>-56</v>
      </c>
      <c r="AW187" s="13">
        <v>-124</v>
      </c>
      <c r="AX187" s="48">
        <f t="shared" si="53"/>
        <v>-90</v>
      </c>
    </row>
    <row r="188" spans="1:50" ht="10.199999999999999" customHeight="1" x14ac:dyDescent="0.25">
      <c r="A188" s="14">
        <f t="shared" si="56"/>
        <v>42</v>
      </c>
      <c r="B188" s="102">
        <f t="shared" si="55"/>
        <v>36816</v>
      </c>
      <c r="C188" s="103">
        <v>36813</v>
      </c>
      <c r="D188" s="13">
        <v>-48</v>
      </c>
      <c r="E188" s="13">
        <v>-95</v>
      </c>
      <c r="F188" s="48">
        <f t="shared" si="54"/>
        <v>-71.5</v>
      </c>
      <c r="G188" s="13"/>
      <c r="H188" s="13">
        <v>-41</v>
      </c>
      <c r="I188" s="13">
        <v>-95</v>
      </c>
      <c r="J188" s="48">
        <f t="shared" si="57"/>
        <v>-68</v>
      </c>
      <c r="K188" s="13"/>
      <c r="L188" s="13">
        <v>-41</v>
      </c>
      <c r="M188" s="13">
        <v>-95</v>
      </c>
      <c r="N188" s="48">
        <f t="shared" si="58"/>
        <v>-68</v>
      </c>
      <c r="O188" s="13"/>
      <c r="P188" s="13"/>
      <c r="Q188" s="13"/>
      <c r="R188" s="97"/>
      <c r="S188" s="13"/>
      <c r="T188" s="13"/>
      <c r="U188" s="13"/>
      <c r="V188" s="97"/>
      <c r="W188" s="13"/>
      <c r="X188" s="13"/>
      <c r="Y188" s="13"/>
      <c r="Z188" s="97"/>
      <c r="AA188" s="13"/>
      <c r="AB188" s="13"/>
      <c r="AC188" s="13"/>
      <c r="AD188" s="97"/>
      <c r="AE188" s="13"/>
      <c r="AF188" s="13"/>
      <c r="AG188" s="13"/>
      <c r="AH188" s="97"/>
      <c r="AI188" s="13"/>
      <c r="AJ188" s="13"/>
      <c r="AK188" s="13"/>
      <c r="AL188" s="97"/>
      <c r="AM188" s="13"/>
      <c r="AN188" s="13">
        <v>99</v>
      </c>
      <c r="AO188" s="13">
        <v>-47</v>
      </c>
      <c r="AP188" s="48">
        <f t="shared" si="51"/>
        <v>26</v>
      </c>
      <c r="AQ188" s="13"/>
      <c r="AR188" s="13">
        <v>-9</v>
      </c>
      <c r="AS188" s="13">
        <v>-150</v>
      </c>
      <c r="AT188" s="48">
        <f t="shared" si="52"/>
        <v>-79.5</v>
      </c>
      <c r="AU188" s="13"/>
      <c r="AV188" s="13">
        <v>-35</v>
      </c>
      <c r="AW188" s="13">
        <v>-130</v>
      </c>
      <c r="AX188" s="48">
        <f t="shared" si="53"/>
        <v>-82.5</v>
      </c>
    </row>
    <row r="189" spans="1:50" ht="10.199999999999999" customHeight="1" x14ac:dyDescent="0.25">
      <c r="A189" s="14">
        <f t="shared" si="56"/>
        <v>43</v>
      </c>
      <c r="B189" s="102">
        <f t="shared" si="55"/>
        <v>36823</v>
      </c>
      <c r="C189" s="103">
        <v>36820</v>
      </c>
      <c r="D189" s="13">
        <v>-26</v>
      </c>
      <c r="E189" s="13">
        <v>-81</v>
      </c>
      <c r="F189" s="48">
        <f t="shared" si="54"/>
        <v>-53.5</v>
      </c>
      <c r="G189" s="13"/>
      <c r="H189" s="13">
        <v>-26</v>
      </c>
      <c r="I189" s="13">
        <v>-81</v>
      </c>
      <c r="J189" s="48">
        <f t="shared" si="57"/>
        <v>-53.5</v>
      </c>
      <c r="K189" s="13"/>
      <c r="L189" s="13">
        <v>-27</v>
      </c>
      <c r="M189" s="13">
        <v>-81</v>
      </c>
      <c r="N189" s="48">
        <f t="shared" si="58"/>
        <v>-54</v>
      </c>
      <c r="O189" s="13"/>
      <c r="P189" s="13"/>
      <c r="Q189" s="13"/>
      <c r="R189" s="97"/>
      <c r="S189" s="13"/>
      <c r="T189" s="13"/>
      <c r="U189" s="13"/>
      <c r="V189" s="97"/>
      <c r="W189" s="13"/>
      <c r="X189" s="13"/>
      <c r="Y189" s="13"/>
      <c r="Z189" s="97"/>
      <c r="AA189" s="13"/>
      <c r="AB189" s="13"/>
      <c r="AC189" s="13"/>
      <c r="AD189" s="97"/>
      <c r="AE189" s="13"/>
      <c r="AF189" s="13"/>
      <c r="AG189" s="13"/>
      <c r="AH189" s="97"/>
      <c r="AI189" s="13"/>
      <c r="AJ189" s="13"/>
      <c r="AK189" s="13"/>
      <c r="AL189" s="97"/>
      <c r="AM189" s="13"/>
      <c r="AN189" s="13"/>
      <c r="AO189" s="13"/>
      <c r="AP189" s="97"/>
      <c r="AQ189" s="13"/>
      <c r="AR189" s="13">
        <v>6</v>
      </c>
      <c r="AS189" s="13">
        <v>-144</v>
      </c>
      <c r="AT189" s="48">
        <f t="shared" si="52"/>
        <v>-69</v>
      </c>
      <c r="AU189" s="13"/>
      <c r="AV189" s="13">
        <v>-15</v>
      </c>
      <c r="AW189" s="13">
        <v>-103</v>
      </c>
      <c r="AX189" s="48">
        <f t="shared" si="53"/>
        <v>-59</v>
      </c>
    </row>
    <row r="190" spans="1:50" ht="10.199999999999999" customHeight="1" x14ac:dyDescent="0.25">
      <c r="A190" s="14">
        <f t="shared" si="56"/>
        <v>44</v>
      </c>
      <c r="B190" s="102">
        <f t="shared" si="55"/>
        <v>36830</v>
      </c>
      <c r="C190" s="103">
        <v>36827</v>
      </c>
      <c r="D190" s="13">
        <v>-23</v>
      </c>
      <c r="E190" s="13">
        <v>-73</v>
      </c>
      <c r="F190" s="48">
        <f t="shared" si="54"/>
        <v>-48</v>
      </c>
      <c r="G190" s="13"/>
      <c r="H190" s="13">
        <v>-21</v>
      </c>
      <c r="I190" s="13">
        <v>-73</v>
      </c>
      <c r="J190" s="48">
        <f t="shared" si="57"/>
        <v>-47</v>
      </c>
      <c r="K190" s="13"/>
      <c r="L190" s="13">
        <v>-21</v>
      </c>
      <c r="M190" s="13">
        <v>-73</v>
      </c>
      <c r="N190" s="48">
        <f t="shared" si="58"/>
        <v>-47</v>
      </c>
      <c r="O190" s="13"/>
      <c r="P190" s="13">
        <v>-13</v>
      </c>
      <c r="Q190" s="13">
        <v>-45</v>
      </c>
      <c r="R190" s="48">
        <f t="shared" ref="R190:R214" si="59">AVERAGE(P190,Q190)</f>
        <v>-29</v>
      </c>
      <c r="S190" s="13"/>
      <c r="T190" s="13"/>
      <c r="U190" s="13"/>
      <c r="V190" s="97"/>
      <c r="W190" s="13"/>
      <c r="X190" s="13"/>
      <c r="Y190" s="13"/>
      <c r="Z190" s="97"/>
      <c r="AA190" s="13"/>
      <c r="AB190" s="13"/>
      <c r="AC190" s="13"/>
      <c r="AD190" s="97"/>
      <c r="AE190" s="13"/>
      <c r="AF190" s="13"/>
      <c r="AG190" s="13"/>
      <c r="AH190" s="97"/>
      <c r="AI190" s="13"/>
      <c r="AJ190" s="13"/>
      <c r="AK190" s="13"/>
      <c r="AL190" s="97"/>
      <c r="AM190" s="13"/>
      <c r="AN190" s="13"/>
      <c r="AO190" s="13"/>
      <c r="AP190" s="97"/>
      <c r="AQ190" s="13"/>
      <c r="AR190" s="13">
        <v>55</v>
      </c>
      <c r="AS190" s="13">
        <v>-83</v>
      </c>
      <c r="AT190" s="48">
        <f t="shared" si="52"/>
        <v>-14</v>
      </c>
      <c r="AU190" s="13"/>
      <c r="AV190" s="13">
        <v>1</v>
      </c>
      <c r="AW190" s="13">
        <v>-85</v>
      </c>
      <c r="AX190" s="48">
        <f t="shared" si="53"/>
        <v>-42</v>
      </c>
    </row>
    <row r="191" spans="1:50" ht="10.199999999999999" customHeight="1" x14ac:dyDescent="0.25">
      <c r="A191" s="14">
        <f t="shared" si="56"/>
        <v>45</v>
      </c>
      <c r="B191" s="102">
        <f t="shared" si="55"/>
        <v>36837</v>
      </c>
      <c r="C191" s="103">
        <v>36834</v>
      </c>
      <c r="D191" s="13">
        <v>-20</v>
      </c>
      <c r="E191" s="13">
        <v>-62</v>
      </c>
      <c r="F191" s="48">
        <f t="shared" si="54"/>
        <v>-41</v>
      </c>
      <c r="G191" s="13"/>
      <c r="H191" s="13">
        <v>-23</v>
      </c>
      <c r="I191" s="13">
        <v>-62</v>
      </c>
      <c r="J191" s="48">
        <f t="shared" si="57"/>
        <v>-42.5</v>
      </c>
      <c r="K191" s="13"/>
      <c r="L191" s="13">
        <v>-23</v>
      </c>
      <c r="M191" s="13">
        <v>-62</v>
      </c>
      <c r="N191" s="48">
        <f t="shared" si="58"/>
        <v>-42.5</v>
      </c>
      <c r="O191" s="13"/>
      <c r="P191" s="13">
        <v>-10</v>
      </c>
      <c r="Q191" s="13">
        <v>-30</v>
      </c>
      <c r="R191" s="48">
        <f t="shared" si="59"/>
        <v>-20</v>
      </c>
      <c r="S191" s="13"/>
      <c r="T191" s="13"/>
      <c r="U191" s="13"/>
      <c r="V191" s="97"/>
      <c r="W191" s="13"/>
      <c r="X191" s="13"/>
      <c r="Y191" s="13"/>
      <c r="Z191" s="97"/>
      <c r="AA191" s="13"/>
      <c r="AB191" s="13"/>
      <c r="AC191" s="13"/>
      <c r="AD191" s="97"/>
      <c r="AE191" s="13"/>
      <c r="AF191" s="13"/>
      <c r="AG191" s="13"/>
      <c r="AH191" s="97"/>
      <c r="AI191" s="13"/>
      <c r="AJ191" s="13"/>
      <c r="AK191" s="13"/>
      <c r="AL191" s="97"/>
      <c r="AM191" s="13"/>
      <c r="AN191" s="13"/>
      <c r="AO191" s="13"/>
      <c r="AP191" s="97"/>
      <c r="AQ191" s="13"/>
      <c r="AR191" s="13">
        <v>13</v>
      </c>
      <c r="AS191" s="13">
        <v>-37</v>
      </c>
      <c r="AT191" s="48">
        <f t="shared" si="52"/>
        <v>-12</v>
      </c>
      <c r="AU191" s="13"/>
      <c r="AV191" s="13">
        <v>-3</v>
      </c>
      <c r="AW191" s="13">
        <v>-50</v>
      </c>
      <c r="AX191" s="48">
        <f t="shared" si="53"/>
        <v>-26.5</v>
      </c>
    </row>
    <row r="192" spans="1:50" ht="10.199999999999999" customHeight="1" x14ac:dyDescent="0.25">
      <c r="A192" s="14">
        <f t="shared" si="56"/>
        <v>46</v>
      </c>
      <c r="B192" s="102">
        <f t="shared" si="55"/>
        <v>36844</v>
      </c>
      <c r="C192" s="103">
        <v>36841</v>
      </c>
      <c r="D192" s="13">
        <v>-25</v>
      </c>
      <c r="E192" s="13">
        <v>-52</v>
      </c>
      <c r="F192" s="48">
        <f t="shared" si="54"/>
        <v>-38.5</v>
      </c>
      <c r="G192" s="13"/>
      <c r="H192" s="13">
        <v>-26</v>
      </c>
      <c r="I192" s="13">
        <v>-44</v>
      </c>
      <c r="J192" s="48">
        <f t="shared" si="57"/>
        <v>-35</v>
      </c>
      <c r="K192" s="13"/>
      <c r="L192" s="13">
        <v>-26</v>
      </c>
      <c r="M192" s="13">
        <v>-44</v>
      </c>
      <c r="N192" s="48">
        <f t="shared" si="58"/>
        <v>-35</v>
      </c>
      <c r="O192" s="13"/>
      <c r="P192" s="13">
        <v>-10</v>
      </c>
      <c r="Q192" s="13">
        <v>-50</v>
      </c>
      <c r="R192" s="48">
        <f t="shared" si="59"/>
        <v>-30</v>
      </c>
      <c r="S192" s="13"/>
      <c r="T192" s="13"/>
      <c r="U192" s="13"/>
      <c r="V192" s="97"/>
      <c r="W192" s="13"/>
      <c r="X192" s="13"/>
      <c r="Y192" s="13"/>
      <c r="Z192" s="97"/>
      <c r="AA192" s="13"/>
      <c r="AB192" s="13"/>
      <c r="AC192" s="13"/>
      <c r="AD192" s="97"/>
      <c r="AE192" s="13"/>
      <c r="AF192" s="13"/>
      <c r="AG192" s="13"/>
      <c r="AH192" s="97"/>
      <c r="AI192" s="13"/>
      <c r="AJ192" s="13"/>
      <c r="AK192" s="13"/>
      <c r="AL192" s="97"/>
      <c r="AM192" s="13"/>
      <c r="AN192" s="13"/>
      <c r="AO192" s="13"/>
      <c r="AP192" s="97"/>
      <c r="AQ192" s="13"/>
      <c r="AR192" s="13">
        <v>4</v>
      </c>
      <c r="AS192" s="13">
        <v>-15</v>
      </c>
      <c r="AT192" s="48">
        <f t="shared" si="52"/>
        <v>-5.5</v>
      </c>
      <c r="AU192" s="13"/>
      <c r="AV192" s="13">
        <v>1</v>
      </c>
      <c r="AW192" s="13">
        <v>-24</v>
      </c>
      <c r="AX192" s="48">
        <f t="shared" si="53"/>
        <v>-11.5</v>
      </c>
    </row>
    <row r="193" spans="1:50" ht="10.199999999999999" customHeight="1" x14ac:dyDescent="0.25">
      <c r="A193" s="14">
        <f t="shared" si="56"/>
        <v>47</v>
      </c>
      <c r="B193" s="102">
        <f t="shared" si="55"/>
        <v>36851</v>
      </c>
      <c r="C193" s="103">
        <v>36848</v>
      </c>
      <c r="D193" s="13">
        <v>-13</v>
      </c>
      <c r="E193" s="13">
        <v>-43</v>
      </c>
      <c r="F193" s="48">
        <f t="shared" si="54"/>
        <v>-28</v>
      </c>
      <c r="G193" s="13"/>
      <c r="H193" s="13">
        <v>-16</v>
      </c>
      <c r="I193" s="13">
        <v>-40</v>
      </c>
      <c r="J193" s="48">
        <f t="shared" si="57"/>
        <v>-28</v>
      </c>
      <c r="K193" s="13"/>
      <c r="L193" s="13">
        <v>-19</v>
      </c>
      <c r="M193" s="13">
        <v>-42</v>
      </c>
      <c r="N193" s="48">
        <f t="shared" si="58"/>
        <v>-30.5</v>
      </c>
      <c r="O193" s="13"/>
      <c r="P193" s="13"/>
      <c r="Q193" s="13">
        <v>-50</v>
      </c>
      <c r="R193" s="48">
        <f t="shared" si="59"/>
        <v>-50</v>
      </c>
      <c r="S193" s="13"/>
      <c r="T193" s="13"/>
      <c r="U193" s="13">
        <v>-50</v>
      </c>
      <c r="V193" s="48">
        <f t="shared" ref="V193:V218" si="60">AVERAGE(T193,U193)</f>
        <v>-50</v>
      </c>
      <c r="W193" s="13"/>
      <c r="X193" s="13"/>
      <c r="Y193" s="13"/>
      <c r="Z193" s="97"/>
      <c r="AA193" s="13"/>
      <c r="AB193" s="13"/>
      <c r="AC193" s="13"/>
      <c r="AD193" s="97"/>
      <c r="AE193" s="13"/>
      <c r="AF193" s="13"/>
      <c r="AG193" s="13"/>
      <c r="AH193" s="97"/>
      <c r="AI193" s="13"/>
      <c r="AJ193" s="13"/>
      <c r="AK193" s="13"/>
      <c r="AL193" s="97"/>
      <c r="AM193" s="13"/>
      <c r="AN193" s="13"/>
      <c r="AO193" s="13"/>
      <c r="AP193" s="97"/>
      <c r="AQ193" s="13"/>
      <c r="AR193" s="13"/>
      <c r="AS193" s="13"/>
      <c r="AT193" s="97"/>
      <c r="AU193" s="13"/>
      <c r="AV193" s="13">
        <v>12</v>
      </c>
      <c r="AW193" s="13">
        <v>-28</v>
      </c>
      <c r="AX193" s="48">
        <f t="shared" si="53"/>
        <v>-8</v>
      </c>
    </row>
    <row r="194" spans="1:50" ht="10.199999999999999" customHeight="1" x14ac:dyDescent="0.25">
      <c r="A194" s="14">
        <f t="shared" si="56"/>
        <v>48</v>
      </c>
      <c r="B194" s="102">
        <f t="shared" si="55"/>
        <v>36858</v>
      </c>
      <c r="C194" s="103">
        <v>36855</v>
      </c>
      <c r="D194" s="13">
        <v>-6</v>
      </c>
      <c r="E194" s="13">
        <v>-18</v>
      </c>
      <c r="F194" s="48">
        <f t="shared" si="54"/>
        <v>-12</v>
      </c>
      <c r="G194" s="13"/>
      <c r="H194" s="13">
        <v>-6</v>
      </c>
      <c r="I194" s="13">
        <v>-29</v>
      </c>
      <c r="J194" s="48">
        <f t="shared" si="57"/>
        <v>-17.5</v>
      </c>
      <c r="K194" s="13"/>
      <c r="L194" s="13">
        <v>-6</v>
      </c>
      <c r="M194" s="13">
        <v>-30</v>
      </c>
      <c r="N194" s="48">
        <f t="shared" si="58"/>
        <v>-18</v>
      </c>
      <c r="O194" s="13"/>
      <c r="P194" s="13">
        <v>-13</v>
      </c>
      <c r="Q194" s="13">
        <v>-55</v>
      </c>
      <c r="R194" s="48">
        <f t="shared" si="59"/>
        <v>-34</v>
      </c>
      <c r="S194" s="13"/>
      <c r="T194" s="13">
        <v>-25</v>
      </c>
      <c r="U194" s="13">
        <v>-55</v>
      </c>
      <c r="V194" s="48">
        <f t="shared" si="60"/>
        <v>-40</v>
      </c>
      <c r="W194" s="13"/>
      <c r="X194" s="13"/>
      <c r="Y194" s="13"/>
      <c r="Z194" s="97"/>
      <c r="AA194" s="13"/>
      <c r="AB194" s="13"/>
      <c r="AC194" s="13"/>
      <c r="AD194" s="97"/>
      <c r="AE194" s="13"/>
      <c r="AF194" s="13"/>
      <c r="AG194" s="13"/>
      <c r="AH194" s="97"/>
      <c r="AI194" s="13"/>
      <c r="AJ194" s="13"/>
      <c r="AK194" s="13"/>
      <c r="AL194" s="97"/>
      <c r="AM194" s="13"/>
      <c r="AN194" s="13"/>
      <c r="AO194" s="13"/>
      <c r="AP194" s="97"/>
      <c r="AQ194" s="13"/>
      <c r="AR194" s="13"/>
      <c r="AS194" s="13"/>
      <c r="AT194" s="97"/>
      <c r="AU194" s="13"/>
      <c r="AV194" s="13">
        <v>15</v>
      </c>
      <c r="AW194" s="13">
        <v>1</v>
      </c>
      <c r="AX194" s="48">
        <f t="shared" si="53"/>
        <v>8</v>
      </c>
    </row>
    <row r="195" spans="1:50" ht="10.199999999999999" customHeight="1" x14ac:dyDescent="0.25">
      <c r="A195" s="14">
        <f t="shared" si="56"/>
        <v>49</v>
      </c>
      <c r="B195" s="102">
        <f t="shared" si="55"/>
        <v>36865</v>
      </c>
      <c r="C195" s="103">
        <v>36862</v>
      </c>
      <c r="D195" s="13">
        <v>1</v>
      </c>
      <c r="E195" s="13">
        <v>-12</v>
      </c>
      <c r="F195" s="48">
        <f t="shared" si="54"/>
        <v>-5.5</v>
      </c>
      <c r="G195" s="13"/>
      <c r="H195" s="13">
        <v>-6</v>
      </c>
      <c r="I195" s="13">
        <v>-26</v>
      </c>
      <c r="J195" s="48">
        <f t="shared" si="57"/>
        <v>-16</v>
      </c>
      <c r="K195" s="13"/>
      <c r="L195" s="13">
        <v>-9</v>
      </c>
      <c r="M195" s="13">
        <v>-26</v>
      </c>
      <c r="N195" s="48">
        <f t="shared" si="58"/>
        <v>-17.5</v>
      </c>
      <c r="O195" s="13"/>
      <c r="P195" s="13">
        <v>-19</v>
      </c>
      <c r="Q195" s="13">
        <v>-53</v>
      </c>
      <c r="R195" s="48">
        <f t="shared" si="59"/>
        <v>-36</v>
      </c>
      <c r="S195" s="13"/>
      <c r="T195" s="13">
        <v>-19</v>
      </c>
      <c r="U195" s="13">
        <v>-53</v>
      </c>
      <c r="V195" s="48">
        <f t="shared" si="60"/>
        <v>-36</v>
      </c>
      <c r="W195" s="13"/>
      <c r="X195" s="13"/>
      <c r="Y195" s="13"/>
      <c r="Z195" s="97"/>
      <c r="AA195" s="13"/>
      <c r="AB195" s="13"/>
      <c r="AC195" s="13"/>
      <c r="AD195" s="97"/>
      <c r="AE195" s="13"/>
      <c r="AF195" s="13"/>
      <c r="AG195" s="13"/>
      <c r="AH195" s="97"/>
      <c r="AI195" s="13"/>
      <c r="AJ195" s="13"/>
      <c r="AK195" s="13"/>
      <c r="AL195" s="97"/>
      <c r="AM195" s="13"/>
      <c r="AN195" s="13"/>
      <c r="AO195" s="13"/>
      <c r="AP195" s="97"/>
      <c r="AQ195" s="13"/>
      <c r="AR195" s="13"/>
      <c r="AS195" s="13"/>
      <c r="AT195" s="97"/>
      <c r="AU195" s="13"/>
      <c r="AV195" s="13">
        <v>22</v>
      </c>
      <c r="AW195" s="13">
        <v>6</v>
      </c>
      <c r="AX195" s="48">
        <f t="shared" si="53"/>
        <v>14</v>
      </c>
    </row>
    <row r="196" spans="1:50" ht="10.199999999999999" customHeight="1" x14ac:dyDescent="0.25">
      <c r="A196" s="14">
        <f t="shared" si="56"/>
        <v>50</v>
      </c>
      <c r="B196" s="102">
        <f t="shared" si="55"/>
        <v>36872</v>
      </c>
      <c r="C196" s="103">
        <v>36869</v>
      </c>
      <c r="D196" s="13">
        <v>7</v>
      </c>
      <c r="E196" s="13">
        <v>-6</v>
      </c>
      <c r="F196" s="48">
        <f t="shared" si="54"/>
        <v>0.5</v>
      </c>
      <c r="G196" s="13"/>
      <c r="H196" s="13">
        <v>-1</v>
      </c>
      <c r="I196" s="13">
        <v>-15</v>
      </c>
      <c r="J196" s="48">
        <f t="shared" si="57"/>
        <v>-8</v>
      </c>
      <c r="K196" s="13"/>
      <c r="L196" s="13">
        <v>-3</v>
      </c>
      <c r="M196" s="13">
        <v>-20</v>
      </c>
      <c r="N196" s="48">
        <f t="shared" si="58"/>
        <v>-11.5</v>
      </c>
      <c r="O196" s="13"/>
      <c r="P196" s="13">
        <v>-21</v>
      </c>
      <c r="Q196" s="13">
        <v>-46</v>
      </c>
      <c r="R196" s="48">
        <f t="shared" si="59"/>
        <v>-33.5</v>
      </c>
      <c r="S196" s="13"/>
      <c r="T196" s="13">
        <v>-21</v>
      </c>
      <c r="U196" s="13">
        <v>-44</v>
      </c>
      <c r="V196" s="48">
        <f t="shared" si="60"/>
        <v>-32.5</v>
      </c>
      <c r="W196" s="13"/>
      <c r="X196" s="13"/>
      <c r="Y196" s="13"/>
      <c r="Z196" s="97"/>
      <c r="AA196" s="13"/>
      <c r="AB196" s="13"/>
      <c r="AC196" s="13"/>
      <c r="AD196" s="97"/>
      <c r="AE196" s="13"/>
      <c r="AF196" s="13"/>
      <c r="AG196" s="13"/>
      <c r="AH196" s="97"/>
      <c r="AI196" s="13"/>
      <c r="AJ196" s="13"/>
      <c r="AK196" s="13"/>
      <c r="AL196" s="97"/>
      <c r="AM196" s="13"/>
      <c r="AN196" s="13"/>
      <c r="AO196" s="13"/>
      <c r="AP196" s="97"/>
      <c r="AQ196" s="13"/>
      <c r="AR196" s="13"/>
      <c r="AS196" s="13"/>
      <c r="AT196" s="97"/>
      <c r="AU196" s="13"/>
      <c r="AV196" s="13">
        <v>36</v>
      </c>
      <c r="AW196" s="13">
        <v>12</v>
      </c>
      <c r="AX196" s="48">
        <f t="shared" si="53"/>
        <v>24</v>
      </c>
    </row>
    <row r="197" spans="1:50" ht="10.199999999999999" customHeight="1" x14ac:dyDescent="0.25">
      <c r="A197" s="14">
        <f t="shared" si="56"/>
        <v>51</v>
      </c>
      <c r="B197" s="102">
        <f t="shared" si="55"/>
        <v>36879</v>
      </c>
      <c r="C197" s="103">
        <v>36876</v>
      </c>
      <c r="D197" s="13">
        <v>10</v>
      </c>
      <c r="E197" s="13">
        <v>-4</v>
      </c>
      <c r="F197" s="48">
        <f t="shared" si="54"/>
        <v>3</v>
      </c>
      <c r="G197" s="13"/>
      <c r="H197" s="13">
        <v>-2</v>
      </c>
      <c r="I197" s="13">
        <v>-15</v>
      </c>
      <c r="J197" s="48">
        <f t="shared" si="57"/>
        <v>-8.5</v>
      </c>
      <c r="K197" s="13"/>
      <c r="L197" s="13">
        <v>-3</v>
      </c>
      <c r="M197" s="13">
        <v>-20</v>
      </c>
      <c r="N197" s="48">
        <f t="shared" si="58"/>
        <v>-11.5</v>
      </c>
      <c r="O197" s="13"/>
      <c r="P197" s="13">
        <v>-19</v>
      </c>
      <c r="Q197" s="13">
        <v>-48</v>
      </c>
      <c r="R197" s="48">
        <f t="shared" si="59"/>
        <v>-33.5</v>
      </c>
      <c r="S197" s="13"/>
      <c r="T197" s="13">
        <v>-19</v>
      </c>
      <c r="U197" s="13">
        <v>-46</v>
      </c>
      <c r="V197" s="48">
        <f t="shared" si="60"/>
        <v>-32.5</v>
      </c>
      <c r="W197" s="13"/>
      <c r="X197" s="13"/>
      <c r="Y197" s="13"/>
      <c r="Z197" s="97"/>
      <c r="AA197" s="13"/>
      <c r="AB197" s="13"/>
      <c r="AC197" s="13"/>
      <c r="AD197" s="97"/>
      <c r="AE197" s="13"/>
      <c r="AF197" s="13"/>
      <c r="AG197" s="13"/>
      <c r="AH197" s="97"/>
      <c r="AI197" s="13"/>
      <c r="AJ197" s="13"/>
      <c r="AK197" s="13"/>
      <c r="AL197" s="97"/>
      <c r="AM197" s="13"/>
      <c r="AN197" s="13"/>
      <c r="AO197" s="13"/>
      <c r="AP197" s="97"/>
      <c r="AQ197" s="13"/>
      <c r="AR197" s="13"/>
      <c r="AS197" s="13"/>
      <c r="AT197" s="97"/>
      <c r="AU197" s="13"/>
      <c r="AV197" s="13">
        <v>34</v>
      </c>
      <c r="AW197" s="13">
        <v>8</v>
      </c>
      <c r="AX197" s="48">
        <f t="shared" si="53"/>
        <v>21</v>
      </c>
    </row>
    <row r="198" spans="1:50" ht="10.199999999999999" customHeight="1" x14ac:dyDescent="0.25">
      <c r="A198" s="14">
        <f t="shared" si="56"/>
        <v>52</v>
      </c>
      <c r="B198" s="102">
        <f t="shared" si="55"/>
        <v>36886</v>
      </c>
      <c r="C198" s="103">
        <v>36883</v>
      </c>
      <c r="D198" s="13">
        <v>30</v>
      </c>
      <c r="E198" s="13">
        <v>7</v>
      </c>
      <c r="F198" s="48">
        <f t="shared" si="54"/>
        <v>18.5</v>
      </c>
      <c r="G198" s="13"/>
      <c r="H198" s="13">
        <v>3</v>
      </c>
      <c r="I198" s="13">
        <v>-11</v>
      </c>
      <c r="J198" s="48">
        <f t="shared" si="57"/>
        <v>-4</v>
      </c>
      <c r="K198" s="13"/>
      <c r="L198" s="13">
        <v>-2</v>
      </c>
      <c r="M198" s="13">
        <v>-15</v>
      </c>
      <c r="N198" s="48">
        <f t="shared" si="58"/>
        <v>-8.5</v>
      </c>
      <c r="O198" s="13"/>
      <c r="P198" s="13">
        <v>-14</v>
      </c>
      <c r="Q198" s="13">
        <v>-48</v>
      </c>
      <c r="R198" s="48">
        <f t="shared" si="59"/>
        <v>-31</v>
      </c>
      <c r="S198" s="13"/>
      <c r="T198" s="13">
        <v>-14</v>
      </c>
      <c r="U198" s="13">
        <v>-45</v>
      </c>
      <c r="V198" s="48">
        <f t="shared" si="60"/>
        <v>-29.5</v>
      </c>
      <c r="W198" s="13"/>
      <c r="X198" s="13">
        <v>-20</v>
      </c>
      <c r="Y198" s="13">
        <v>0</v>
      </c>
      <c r="Z198" s="48">
        <f t="shared" ref="Z198:Z223" si="61">AVERAGE(X198,Y198)</f>
        <v>-10</v>
      </c>
      <c r="AA198" s="13"/>
      <c r="AB198" s="13"/>
      <c r="AC198" s="13"/>
      <c r="AD198" s="97"/>
      <c r="AE198" s="13"/>
      <c r="AF198" s="13"/>
      <c r="AG198" s="13"/>
      <c r="AH198" s="97"/>
      <c r="AI198" s="13"/>
      <c r="AJ198" s="13"/>
      <c r="AK198" s="13"/>
      <c r="AL198" s="97"/>
      <c r="AM198" s="13"/>
      <c r="AN198" s="13"/>
      <c r="AO198" s="13"/>
      <c r="AP198" s="97"/>
      <c r="AQ198" s="13"/>
      <c r="AR198" s="13"/>
      <c r="AS198" s="13"/>
      <c r="AT198" s="97"/>
      <c r="AU198" s="13"/>
      <c r="AV198" s="13"/>
      <c r="AW198" s="13"/>
      <c r="AX198" s="49"/>
    </row>
    <row r="199" spans="1:50" ht="10.199999999999999" customHeight="1" x14ac:dyDescent="0.25">
      <c r="A199" s="14">
        <v>1</v>
      </c>
      <c r="B199" s="102">
        <f t="shared" si="55"/>
        <v>36893</v>
      </c>
      <c r="C199" s="103">
        <v>36890</v>
      </c>
      <c r="D199" s="13">
        <v>82</v>
      </c>
      <c r="E199" s="13">
        <v>85</v>
      </c>
      <c r="F199" s="48">
        <f t="shared" si="54"/>
        <v>83.5</v>
      </c>
      <c r="G199" s="13"/>
      <c r="H199" s="13">
        <v>17</v>
      </c>
      <c r="I199" s="13">
        <v>22</v>
      </c>
      <c r="J199" s="48">
        <f t="shared" si="57"/>
        <v>19.5</v>
      </c>
      <c r="K199" s="13"/>
      <c r="L199" s="13">
        <v>16</v>
      </c>
      <c r="M199" s="13">
        <v>5</v>
      </c>
      <c r="N199" s="48">
        <f t="shared" si="58"/>
        <v>10.5</v>
      </c>
      <c r="O199" s="13"/>
      <c r="P199" s="13">
        <v>-10</v>
      </c>
      <c r="Q199" s="13">
        <v>-26</v>
      </c>
      <c r="R199" s="48">
        <f t="shared" si="59"/>
        <v>-18</v>
      </c>
      <c r="S199" s="13"/>
      <c r="T199" s="13">
        <v>-10</v>
      </c>
      <c r="U199" s="13">
        <v>-24</v>
      </c>
      <c r="V199" s="48">
        <f t="shared" si="60"/>
        <v>-17</v>
      </c>
      <c r="W199" s="13"/>
      <c r="X199" s="13">
        <v>-5</v>
      </c>
      <c r="Y199" s="13">
        <v>-18</v>
      </c>
      <c r="Z199" s="48">
        <f t="shared" si="61"/>
        <v>-11.5</v>
      </c>
      <c r="AA199" s="13"/>
      <c r="AB199" s="13"/>
      <c r="AC199" s="13"/>
      <c r="AD199" s="97"/>
      <c r="AE199" s="13"/>
      <c r="AF199" s="13"/>
      <c r="AG199" s="13"/>
      <c r="AH199" s="97"/>
      <c r="AI199" s="13"/>
      <c r="AJ199" s="13"/>
      <c r="AK199" s="13"/>
      <c r="AL199" s="97"/>
      <c r="AM199" s="13"/>
      <c r="AN199" s="13"/>
      <c r="AO199" s="13"/>
      <c r="AP199" s="97"/>
      <c r="AQ199" s="13"/>
      <c r="AR199" s="13"/>
      <c r="AS199" s="13"/>
      <c r="AT199" s="97"/>
      <c r="AU199" s="13"/>
      <c r="AV199" s="13"/>
      <c r="AW199" s="13"/>
      <c r="AX199" s="49"/>
    </row>
    <row r="200" spans="1:50" ht="10.199999999999999" customHeight="1" x14ac:dyDescent="0.25">
      <c r="A200" s="14">
        <f t="shared" ref="A200:A231" si="62">+A199+1</f>
        <v>2</v>
      </c>
      <c r="B200" s="102">
        <f t="shared" si="55"/>
        <v>36900</v>
      </c>
      <c r="C200" s="103">
        <v>36897</v>
      </c>
      <c r="D200" s="13">
        <v>100</v>
      </c>
      <c r="E200" s="13">
        <v>0</v>
      </c>
      <c r="F200" s="48">
        <f t="shared" si="54"/>
        <v>50</v>
      </c>
      <c r="G200" s="13"/>
      <c r="H200" s="13">
        <v>0</v>
      </c>
      <c r="I200" s="13">
        <v>0</v>
      </c>
      <c r="J200" s="48">
        <f t="shared" si="57"/>
        <v>0</v>
      </c>
      <c r="K200" s="13"/>
      <c r="L200" s="13">
        <v>0</v>
      </c>
      <c r="M200" s="13">
        <v>-15</v>
      </c>
      <c r="N200" s="48">
        <f t="shared" si="58"/>
        <v>-7.5</v>
      </c>
      <c r="O200" s="13"/>
      <c r="P200" s="13">
        <v>-40</v>
      </c>
      <c r="Q200" s="13">
        <v>-40</v>
      </c>
      <c r="R200" s="48">
        <f t="shared" si="59"/>
        <v>-40</v>
      </c>
      <c r="S200" s="13"/>
      <c r="T200" s="13">
        <v>-40</v>
      </c>
      <c r="U200" s="13">
        <v>-40</v>
      </c>
      <c r="V200" s="48">
        <f t="shared" si="60"/>
        <v>-40</v>
      </c>
      <c r="W200" s="13"/>
      <c r="X200" s="13">
        <v>-30</v>
      </c>
      <c r="Y200" s="13">
        <v>-40</v>
      </c>
      <c r="Z200" s="48">
        <f t="shared" si="61"/>
        <v>-35</v>
      </c>
      <c r="AA200" s="13"/>
      <c r="AB200" s="13"/>
      <c r="AC200" s="13"/>
      <c r="AD200" s="97"/>
      <c r="AE200" s="13"/>
      <c r="AF200" s="13"/>
      <c r="AG200" s="13"/>
      <c r="AH200" s="97"/>
      <c r="AI200" s="13"/>
      <c r="AJ200" s="13"/>
      <c r="AK200" s="13"/>
      <c r="AL200" s="97"/>
      <c r="AM200" s="13"/>
      <c r="AN200" s="13"/>
      <c r="AO200" s="13"/>
      <c r="AP200" s="97"/>
      <c r="AQ200" s="13"/>
      <c r="AR200" s="13"/>
      <c r="AS200" s="13"/>
      <c r="AT200" s="97"/>
      <c r="AU200" s="13"/>
      <c r="AV200" s="13"/>
      <c r="AW200" s="13"/>
      <c r="AX200" s="49"/>
    </row>
    <row r="201" spans="1:50" ht="10.199999999999999" customHeight="1" x14ac:dyDescent="0.25">
      <c r="A201" s="14">
        <f t="shared" si="62"/>
        <v>3</v>
      </c>
      <c r="B201" s="102">
        <f t="shared" si="55"/>
        <v>36907</v>
      </c>
      <c r="C201" s="103">
        <v>36904</v>
      </c>
      <c r="D201" s="13">
        <v>125</v>
      </c>
      <c r="E201" s="13">
        <v>0</v>
      </c>
      <c r="F201" s="48">
        <f t="shared" si="54"/>
        <v>62.5</v>
      </c>
      <c r="G201" s="13"/>
      <c r="H201" s="13">
        <v>40</v>
      </c>
      <c r="I201" s="13">
        <v>-5</v>
      </c>
      <c r="J201" s="48">
        <f t="shared" si="57"/>
        <v>17.5</v>
      </c>
      <c r="K201" s="13"/>
      <c r="L201" s="13">
        <v>0</v>
      </c>
      <c r="M201" s="13">
        <v>-25</v>
      </c>
      <c r="N201" s="48">
        <f t="shared" si="58"/>
        <v>-12.5</v>
      </c>
      <c r="O201" s="13"/>
      <c r="P201" s="13">
        <v>-25</v>
      </c>
      <c r="Q201" s="13">
        <v>-50</v>
      </c>
      <c r="R201" s="48">
        <f t="shared" si="59"/>
        <v>-37.5</v>
      </c>
      <c r="S201" s="13"/>
      <c r="T201" s="13">
        <v>-25</v>
      </c>
      <c r="U201" s="13">
        <v>-50</v>
      </c>
      <c r="V201" s="48">
        <f t="shared" si="60"/>
        <v>-37.5</v>
      </c>
      <c r="W201" s="13"/>
      <c r="X201" s="13">
        <v>-30</v>
      </c>
      <c r="Y201" s="13">
        <v>-50</v>
      </c>
      <c r="Z201" s="48">
        <f t="shared" si="61"/>
        <v>-40</v>
      </c>
      <c r="AA201" s="13"/>
      <c r="AB201" s="13"/>
      <c r="AC201" s="13"/>
      <c r="AD201" s="97"/>
      <c r="AE201" s="13"/>
      <c r="AF201" s="13"/>
      <c r="AG201" s="13"/>
      <c r="AH201" s="97"/>
      <c r="AI201" s="13"/>
      <c r="AJ201" s="13"/>
      <c r="AK201" s="13"/>
      <c r="AL201" s="97"/>
      <c r="AM201" s="13"/>
      <c r="AN201" s="13"/>
      <c r="AO201" s="13"/>
      <c r="AP201" s="97"/>
      <c r="AQ201" s="13"/>
      <c r="AR201" s="13"/>
      <c r="AS201" s="13"/>
      <c r="AT201" s="97"/>
      <c r="AU201" s="13"/>
      <c r="AV201" s="13"/>
      <c r="AW201" s="13"/>
      <c r="AX201" s="49"/>
    </row>
    <row r="202" spans="1:50" ht="10.199999999999999" customHeight="1" x14ac:dyDescent="0.25">
      <c r="A202" s="14">
        <f t="shared" si="62"/>
        <v>4</v>
      </c>
      <c r="B202" s="102">
        <f t="shared" si="55"/>
        <v>36914</v>
      </c>
      <c r="C202" s="103">
        <v>36911</v>
      </c>
      <c r="D202" s="13"/>
      <c r="E202" s="13"/>
      <c r="F202" s="97"/>
      <c r="G202" s="13"/>
      <c r="H202" s="13">
        <v>67</v>
      </c>
      <c r="I202" s="13">
        <v>-8</v>
      </c>
      <c r="J202" s="48">
        <f t="shared" si="57"/>
        <v>29.5</v>
      </c>
      <c r="K202" s="13"/>
      <c r="L202" s="13">
        <v>0</v>
      </c>
      <c r="M202" s="13">
        <v>-20</v>
      </c>
      <c r="N202" s="48">
        <f t="shared" si="58"/>
        <v>-10</v>
      </c>
      <c r="O202" s="13"/>
      <c r="P202" s="13">
        <v>-25</v>
      </c>
      <c r="Q202" s="13">
        <v>-50</v>
      </c>
      <c r="R202" s="48">
        <f t="shared" si="59"/>
        <v>-37.5</v>
      </c>
      <c r="S202" s="13"/>
      <c r="T202" s="13">
        <v>-25</v>
      </c>
      <c r="U202" s="13">
        <v>-50</v>
      </c>
      <c r="V202" s="48">
        <f t="shared" si="60"/>
        <v>-37.5</v>
      </c>
      <c r="W202" s="13"/>
      <c r="X202" s="13">
        <v>-30</v>
      </c>
      <c r="Y202" s="13">
        <v>-50</v>
      </c>
      <c r="Z202" s="48">
        <f t="shared" si="61"/>
        <v>-40</v>
      </c>
      <c r="AA202" s="13"/>
      <c r="AB202" s="13">
        <v>-10</v>
      </c>
      <c r="AC202" s="13">
        <v>-50</v>
      </c>
      <c r="AD202" s="48">
        <f t="shared" ref="AD202:AD227" si="63">AVERAGE(AB202,AC202)</f>
        <v>-30</v>
      </c>
      <c r="AE202" s="13"/>
      <c r="AF202" s="13"/>
      <c r="AG202" s="13"/>
      <c r="AH202" s="97"/>
      <c r="AI202" s="13"/>
      <c r="AJ202" s="13"/>
      <c r="AK202" s="13"/>
      <c r="AL202" s="97"/>
      <c r="AM202" s="13"/>
      <c r="AN202" s="13"/>
      <c r="AO202" s="13"/>
      <c r="AP202" s="97"/>
      <c r="AQ202" s="13"/>
      <c r="AR202" s="13"/>
      <c r="AS202" s="13"/>
      <c r="AT202" s="97"/>
      <c r="AU202" s="13"/>
      <c r="AV202" s="13"/>
      <c r="AW202" s="13"/>
      <c r="AX202" s="49"/>
    </row>
    <row r="203" spans="1:50" ht="10.199999999999999" customHeight="1" x14ac:dyDescent="0.25">
      <c r="A203" s="14">
        <f t="shared" si="62"/>
        <v>5</v>
      </c>
      <c r="B203" s="102">
        <f t="shared" si="55"/>
        <v>36921</v>
      </c>
      <c r="C203" s="103">
        <v>36918</v>
      </c>
      <c r="D203" s="13"/>
      <c r="E203" s="13"/>
      <c r="F203" s="97"/>
      <c r="G203" s="13"/>
      <c r="H203" s="13">
        <v>92</v>
      </c>
      <c r="I203" s="13">
        <v>-25</v>
      </c>
      <c r="J203" s="48">
        <f t="shared" si="57"/>
        <v>33.5</v>
      </c>
      <c r="K203" s="13"/>
      <c r="L203" s="13">
        <v>35</v>
      </c>
      <c r="M203" s="13">
        <v>-30</v>
      </c>
      <c r="N203" s="48">
        <f t="shared" si="58"/>
        <v>2.5</v>
      </c>
      <c r="O203" s="13"/>
      <c r="P203" s="13">
        <v>-10</v>
      </c>
      <c r="Q203" s="13">
        <v>-50</v>
      </c>
      <c r="R203" s="48">
        <f t="shared" si="59"/>
        <v>-30</v>
      </c>
      <c r="S203" s="13"/>
      <c r="T203" s="13">
        <v>-10</v>
      </c>
      <c r="U203" s="13">
        <v>-50</v>
      </c>
      <c r="V203" s="48">
        <f t="shared" si="60"/>
        <v>-30</v>
      </c>
      <c r="W203" s="13"/>
      <c r="X203" s="13">
        <v>-10</v>
      </c>
      <c r="Y203" s="13">
        <v>-30</v>
      </c>
      <c r="Z203" s="48">
        <f t="shared" si="61"/>
        <v>-20</v>
      </c>
      <c r="AA203" s="13"/>
      <c r="AB203" s="13">
        <v>-10</v>
      </c>
      <c r="AC203" s="13">
        <v>-30</v>
      </c>
      <c r="AD203" s="48">
        <f t="shared" si="63"/>
        <v>-20</v>
      </c>
      <c r="AE203" s="13"/>
      <c r="AF203" s="13"/>
      <c r="AG203" s="13"/>
      <c r="AH203" s="97"/>
      <c r="AI203" s="13"/>
      <c r="AJ203" s="13"/>
      <c r="AK203" s="13"/>
      <c r="AL203" s="97"/>
      <c r="AM203" s="13"/>
      <c r="AN203" s="13"/>
      <c r="AO203" s="13"/>
      <c r="AP203" s="97"/>
      <c r="AQ203" s="13"/>
      <c r="AR203" s="13"/>
      <c r="AS203" s="13"/>
      <c r="AT203" s="97"/>
      <c r="AU203" s="13"/>
      <c r="AV203" s="13"/>
      <c r="AW203" s="13"/>
      <c r="AX203" s="49"/>
    </row>
    <row r="204" spans="1:50" ht="10.199999999999999" customHeight="1" x14ac:dyDescent="0.25">
      <c r="A204" s="14">
        <f t="shared" si="62"/>
        <v>6</v>
      </c>
      <c r="B204" s="102">
        <f t="shared" si="55"/>
        <v>36928</v>
      </c>
      <c r="C204" s="103">
        <v>36925</v>
      </c>
      <c r="D204" s="13"/>
      <c r="E204" s="13"/>
      <c r="F204" s="97"/>
      <c r="G204" s="13"/>
      <c r="H204" s="13">
        <v>75</v>
      </c>
      <c r="I204" s="13">
        <v>-40</v>
      </c>
      <c r="J204" s="48">
        <f t="shared" si="57"/>
        <v>17.5</v>
      </c>
      <c r="K204" s="13"/>
      <c r="L204" s="13">
        <v>12</v>
      </c>
      <c r="M204" s="13">
        <v>-40</v>
      </c>
      <c r="N204" s="48">
        <f t="shared" si="58"/>
        <v>-14</v>
      </c>
      <c r="O204" s="13"/>
      <c r="P204" s="13">
        <v>0</v>
      </c>
      <c r="Q204" s="13">
        <v>-50</v>
      </c>
      <c r="R204" s="48">
        <f t="shared" si="59"/>
        <v>-25</v>
      </c>
      <c r="S204" s="13"/>
      <c r="T204" s="13">
        <v>-10</v>
      </c>
      <c r="U204" s="13">
        <v>-50</v>
      </c>
      <c r="V204" s="48">
        <f t="shared" si="60"/>
        <v>-30</v>
      </c>
      <c r="W204" s="13"/>
      <c r="X204" s="13">
        <v>-10</v>
      </c>
      <c r="Y204" s="13">
        <v>-30</v>
      </c>
      <c r="Z204" s="48">
        <f t="shared" si="61"/>
        <v>-20</v>
      </c>
      <c r="AA204" s="13"/>
      <c r="AB204" s="13">
        <v>-10</v>
      </c>
      <c r="AC204" s="13">
        <v>-30</v>
      </c>
      <c r="AD204" s="48">
        <f t="shared" si="63"/>
        <v>-20</v>
      </c>
      <c r="AE204" s="13"/>
      <c r="AF204" s="13"/>
      <c r="AG204" s="13"/>
      <c r="AH204" s="97"/>
      <c r="AI204" s="13"/>
      <c r="AJ204" s="13"/>
      <c r="AK204" s="13"/>
      <c r="AL204" s="97"/>
      <c r="AM204" s="13"/>
      <c r="AN204" s="13"/>
      <c r="AO204" s="13"/>
      <c r="AP204" s="97"/>
      <c r="AQ204" s="13"/>
      <c r="AR204" s="13"/>
      <c r="AS204" s="13"/>
      <c r="AT204" s="97"/>
      <c r="AU204" s="13"/>
      <c r="AV204" s="13"/>
      <c r="AW204" s="13"/>
      <c r="AX204" s="49"/>
    </row>
    <row r="205" spans="1:50" ht="10.199999999999999" customHeight="1" x14ac:dyDescent="0.25">
      <c r="A205" s="14">
        <f t="shared" si="62"/>
        <v>7</v>
      </c>
      <c r="B205" s="102">
        <f t="shared" si="55"/>
        <v>36935</v>
      </c>
      <c r="C205" s="103">
        <v>36932</v>
      </c>
      <c r="D205" s="13"/>
      <c r="E205" s="13"/>
      <c r="F205" s="97"/>
      <c r="G205" s="13"/>
      <c r="H205" s="13">
        <v>100</v>
      </c>
      <c r="I205" s="13">
        <v>0</v>
      </c>
      <c r="J205" s="48">
        <f t="shared" si="57"/>
        <v>50</v>
      </c>
      <c r="K205" s="13"/>
      <c r="L205" s="13">
        <v>38</v>
      </c>
      <c r="M205" s="13">
        <v>-18</v>
      </c>
      <c r="N205" s="48">
        <f t="shared" si="58"/>
        <v>10</v>
      </c>
      <c r="O205" s="13"/>
      <c r="P205" s="13">
        <v>-15</v>
      </c>
      <c r="Q205" s="13">
        <v>-55</v>
      </c>
      <c r="R205" s="48">
        <f t="shared" si="59"/>
        <v>-35</v>
      </c>
      <c r="S205" s="13"/>
      <c r="T205" s="13">
        <v>-20</v>
      </c>
      <c r="U205" s="13">
        <v>-55</v>
      </c>
      <c r="V205" s="48">
        <f t="shared" si="60"/>
        <v>-37.5</v>
      </c>
      <c r="W205" s="13"/>
      <c r="X205" s="13">
        <v>-20</v>
      </c>
      <c r="Y205" s="13">
        <v>-50</v>
      </c>
      <c r="Z205" s="48">
        <f t="shared" si="61"/>
        <v>-35</v>
      </c>
      <c r="AA205" s="13"/>
      <c r="AB205" s="13">
        <v>-20</v>
      </c>
      <c r="AC205" s="13">
        <v>-50</v>
      </c>
      <c r="AD205" s="48">
        <f t="shared" si="63"/>
        <v>-35</v>
      </c>
      <c r="AE205" s="13"/>
      <c r="AF205" s="13"/>
      <c r="AG205" s="13"/>
      <c r="AH205" s="97"/>
      <c r="AI205" s="13"/>
      <c r="AJ205" s="13"/>
      <c r="AK205" s="13"/>
      <c r="AL205" s="97"/>
      <c r="AM205" s="13"/>
      <c r="AN205" s="13"/>
      <c r="AO205" s="13"/>
      <c r="AP205" s="97"/>
      <c r="AQ205" s="13"/>
      <c r="AR205" s="13"/>
      <c r="AS205" s="13"/>
      <c r="AT205" s="97"/>
      <c r="AU205" s="13"/>
      <c r="AV205" s="13"/>
      <c r="AW205" s="13"/>
      <c r="AX205" s="49"/>
    </row>
    <row r="206" spans="1:50" ht="10.199999999999999" customHeight="1" x14ac:dyDescent="0.25">
      <c r="A206" s="14">
        <f t="shared" si="62"/>
        <v>8</v>
      </c>
      <c r="B206" s="102">
        <f t="shared" si="55"/>
        <v>36942</v>
      </c>
      <c r="C206" s="103">
        <v>36939</v>
      </c>
      <c r="D206" s="13"/>
      <c r="E206" s="13"/>
      <c r="F206" s="97"/>
      <c r="G206" s="13"/>
      <c r="H206" s="13"/>
      <c r="I206" s="13"/>
      <c r="J206" s="97"/>
      <c r="K206" s="13"/>
      <c r="L206" s="13">
        <v>0</v>
      </c>
      <c r="M206" s="13">
        <v>-8</v>
      </c>
      <c r="N206" s="48">
        <f t="shared" si="58"/>
        <v>-4</v>
      </c>
      <c r="O206" s="13"/>
      <c r="P206" s="13">
        <v>-20</v>
      </c>
      <c r="Q206" s="13">
        <v>-50</v>
      </c>
      <c r="R206" s="48">
        <f t="shared" si="59"/>
        <v>-35</v>
      </c>
      <c r="S206" s="13"/>
      <c r="T206" s="13">
        <v>-20</v>
      </c>
      <c r="U206" s="13">
        <v>-60</v>
      </c>
      <c r="V206" s="48">
        <f t="shared" si="60"/>
        <v>-40</v>
      </c>
      <c r="W206" s="13"/>
      <c r="X206" s="13">
        <v>-20</v>
      </c>
      <c r="Y206" s="13">
        <v>-40</v>
      </c>
      <c r="Z206" s="48">
        <f t="shared" si="61"/>
        <v>-30</v>
      </c>
      <c r="AA206" s="13"/>
      <c r="AB206" s="13">
        <v>-20</v>
      </c>
      <c r="AC206" s="13">
        <v>-45</v>
      </c>
      <c r="AD206" s="48">
        <f t="shared" si="63"/>
        <v>-32.5</v>
      </c>
      <c r="AE206" s="13"/>
      <c r="AF206" s="13">
        <v>10</v>
      </c>
      <c r="AG206" s="13">
        <v>0</v>
      </c>
      <c r="AH206" s="48">
        <f t="shared" ref="AH206:AH231" si="64">AVERAGE(AF206,AG206)</f>
        <v>5</v>
      </c>
      <c r="AI206" s="13"/>
      <c r="AJ206" s="13"/>
      <c r="AK206" s="13"/>
      <c r="AL206" s="97"/>
      <c r="AM206" s="13"/>
      <c r="AN206" s="13"/>
      <c r="AO206" s="13"/>
      <c r="AP206" s="97"/>
      <c r="AQ206" s="13"/>
      <c r="AR206" s="13"/>
      <c r="AS206" s="13"/>
      <c r="AT206" s="97"/>
      <c r="AU206" s="13"/>
      <c r="AV206" s="13"/>
      <c r="AW206" s="13"/>
      <c r="AX206" s="49"/>
    </row>
    <row r="207" spans="1:50" ht="10.199999999999999" customHeight="1" x14ac:dyDescent="0.25">
      <c r="A207" s="14">
        <f t="shared" si="62"/>
        <v>9</v>
      </c>
      <c r="B207" s="102">
        <f t="shared" si="55"/>
        <v>36949</v>
      </c>
      <c r="C207" s="103">
        <v>36946</v>
      </c>
      <c r="D207" s="13"/>
      <c r="E207" s="13"/>
      <c r="F207" s="97"/>
      <c r="G207" s="13"/>
      <c r="H207" s="13"/>
      <c r="I207" s="13"/>
      <c r="J207" s="97"/>
      <c r="K207" s="13"/>
      <c r="L207" s="13">
        <v>55</v>
      </c>
      <c r="M207" s="13">
        <v>0</v>
      </c>
      <c r="N207" s="48">
        <f t="shared" si="58"/>
        <v>27.5</v>
      </c>
      <c r="O207" s="13"/>
      <c r="P207" s="13">
        <v>-5</v>
      </c>
      <c r="Q207" s="13">
        <v>-45</v>
      </c>
      <c r="R207" s="48">
        <f t="shared" si="59"/>
        <v>-25</v>
      </c>
      <c r="S207" s="13"/>
      <c r="T207" s="13">
        <v>-20</v>
      </c>
      <c r="U207" s="13">
        <v>-50</v>
      </c>
      <c r="V207" s="48">
        <f t="shared" si="60"/>
        <v>-35</v>
      </c>
      <c r="W207" s="13"/>
      <c r="X207" s="13">
        <v>-20</v>
      </c>
      <c r="Y207" s="13">
        <v>-40</v>
      </c>
      <c r="Z207" s="48">
        <f t="shared" si="61"/>
        <v>-30</v>
      </c>
      <c r="AA207" s="13"/>
      <c r="AB207" s="13">
        <v>-20</v>
      </c>
      <c r="AC207" s="13">
        <v>-35</v>
      </c>
      <c r="AD207" s="48">
        <f t="shared" si="63"/>
        <v>-27.5</v>
      </c>
      <c r="AE207" s="13"/>
      <c r="AF207" s="13">
        <v>10</v>
      </c>
      <c r="AG207" s="13">
        <v>0</v>
      </c>
      <c r="AH207" s="48">
        <f t="shared" si="64"/>
        <v>5</v>
      </c>
      <c r="AI207" s="13"/>
      <c r="AJ207" s="13"/>
      <c r="AK207" s="13"/>
      <c r="AL207" s="97"/>
      <c r="AM207" s="13"/>
      <c r="AN207" s="13"/>
      <c r="AO207" s="13"/>
      <c r="AP207" s="97"/>
      <c r="AQ207" s="13"/>
      <c r="AR207" s="13"/>
      <c r="AS207" s="13"/>
      <c r="AT207" s="97"/>
      <c r="AU207" s="13"/>
      <c r="AV207" s="13"/>
      <c r="AW207" s="13"/>
      <c r="AX207" s="49"/>
    </row>
    <row r="208" spans="1:50" ht="10.199999999999999" customHeight="1" x14ac:dyDescent="0.25">
      <c r="A208" s="14">
        <f t="shared" si="62"/>
        <v>10</v>
      </c>
      <c r="B208" s="102">
        <f t="shared" si="55"/>
        <v>36956</v>
      </c>
      <c r="C208" s="103">
        <v>36953</v>
      </c>
      <c r="D208" s="13"/>
      <c r="E208" s="13"/>
      <c r="F208" s="97"/>
      <c r="G208" s="13"/>
      <c r="H208" s="13"/>
      <c r="I208" s="13"/>
      <c r="J208" s="97"/>
      <c r="K208" s="13"/>
      <c r="L208" s="13">
        <v>73</v>
      </c>
      <c r="M208" s="13">
        <v>15</v>
      </c>
      <c r="N208" s="48">
        <f t="shared" si="58"/>
        <v>44</v>
      </c>
      <c r="O208" s="13"/>
      <c r="P208" s="13">
        <v>-3</v>
      </c>
      <c r="Q208" s="13">
        <v>-25</v>
      </c>
      <c r="R208" s="48">
        <f t="shared" si="59"/>
        <v>-14</v>
      </c>
      <c r="S208" s="13"/>
      <c r="T208" s="13">
        <v>-10</v>
      </c>
      <c r="U208" s="13">
        <v>-25</v>
      </c>
      <c r="V208" s="48">
        <f t="shared" si="60"/>
        <v>-17.5</v>
      </c>
      <c r="W208" s="13"/>
      <c r="X208" s="13">
        <v>-10</v>
      </c>
      <c r="Y208" s="13">
        <v>-30</v>
      </c>
      <c r="Z208" s="48">
        <f t="shared" si="61"/>
        <v>-20</v>
      </c>
      <c r="AA208" s="13"/>
      <c r="AB208" s="13">
        <v>-10</v>
      </c>
      <c r="AC208" s="13">
        <v>-30</v>
      </c>
      <c r="AD208" s="48">
        <f t="shared" si="63"/>
        <v>-20</v>
      </c>
      <c r="AE208" s="13"/>
      <c r="AF208" s="13">
        <v>10</v>
      </c>
      <c r="AG208" s="13">
        <v>0</v>
      </c>
      <c r="AH208" s="48">
        <f t="shared" si="64"/>
        <v>5</v>
      </c>
      <c r="AI208" s="13"/>
      <c r="AJ208" s="13"/>
      <c r="AK208" s="13"/>
      <c r="AL208" s="97"/>
      <c r="AM208" s="13"/>
      <c r="AN208" s="13"/>
      <c r="AO208" s="13"/>
      <c r="AP208" s="97"/>
      <c r="AQ208" s="13"/>
      <c r="AR208" s="13"/>
      <c r="AS208" s="13"/>
      <c r="AT208" s="97"/>
      <c r="AU208" s="13"/>
      <c r="AV208" s="13"/>
      <c r="AW208" s="13"/>
      <c r="AX208" s="49"/>
    </row>
    <row r="209" spans="1:50" ht="10.199999999999999" customHeight="1" x14ac:dyDescent="0.25">
      <c r="A209" s="14">
        <f t="shared" si="62"/>
        <v>11</v>
      </c>
      <c r="B209" s="102">
        <f t="shared" si="55"/>
        <v>36963</v>
      </c>
      <c r="C209" s="103">
        <v>36960</v>
      </c>
      <c r="D209" s="13"/>
      <c r="E209" s="13"/>
      <c r="F209" s="97"/>
      <c r="G209" s="13"/>
      <c r="H209" s="13"/>
      <c r="I209" s="13"/>
      <c r="J209" s="97"/>
      <c r="K209" s="13"/>
      <c r="L209" s="13">
        <v>0</v>
      </c>
      <c r="M209" s="13">
        <v>0</v>
      </c>
      <c r="N209" s="48">
        <f t="shared" si="58"/>
        <v>0</v>
      </c>
      <c r="O209" s="13"/>
      <c r="P209" s="13">
        <v>-25</v>
      </c>
      <c r="Q209" s="13">
        <v>-30</v>
      </c>
      <c r="R209" s="48">
        <f t="shared" si="59"/>
        <v>-27.5</v>
      </c>
      <c r="S209" s="13"/>
      <c r="T209" s="13">
        <v>-25</v>
      </c>
      <c r="U209" s="13">
        <v>-30</v>
      </c>
      <c r="V209" s="48">
        <f t="shared" si="60"/>
        <v>-27.5</v>
      </c>
      <c r="W209" s="13"/>
      <c r="X209" s="13">
        <v>-10</v>
      </c>
      <c r="Y209" s="13">
        <v>-30</v>
      </c>
      <c r="Z209" s="48">
        <f t="shared" si="61"/>
        <v>-20</v>
      </c>
      <c r="AA209" s="13"/>
      <c r="AB209" s="13">
        <v>-10</v>
      </c>
      <c r="AC209" s="13">
        <v>-30</v>
      </c>
      <c r="AD209" s="48">
        <f t="shared" si="63"/>
        <v>-20</v>
      </c>
      <c r="AE209" s="13"/>
      <c r="AF209" s="13">
        <v>10</v>
      </c>
      <c r="AG209" s="13">
        <v>0</v>
      </c>
      <c r="AH209" s="48">
        <f t="shared" si="64"/>
        <v>5</v>
      </c>
      <c r="AI209" s="13"/>
      <c r="AJ209" s="13"/>
      <c r="AK209" s="13"/>
      <c r="AL209" s="97"/>
      <c r="AM209" s="13"/>
      <c r="AN209" s="13"/>
      <c r="AO209" s="13"/>
      <c r="AP209" s="97"/>
      <c r="AQ209" s="13"/>
      <c r="AR209" s="13"/>
      <c r="AS209" s="13"/>
      <c r="AT209" s="97"/>
      <c r="AU209" s="13"/>
      <c r="AV209" s="13"/>
      <c r="AW209" s="13"/>
      <c r="AX209" s="49"/>
    </row>
    <row r="210" spans="1:50" ht="10.199999999999999" customHeight="1" x14ac:dyDescent="0.25">
      <c r="A210" s="14">
        <f t="shared" si="62"/>
        <v>12</v>
      </c>
      <c r="B210" s="102">
        <f t="shared" si="55"/>
        <v>36970</v>
      </c>
      <c r="C210" s="103">
        <v>36967</v>
      </c>
      <c r="D210" s="13"/>
      <c r="E210" s="13"/>
      <c r="F210" s="97"/>
      <c r="G210" s="13"/>
      <c r="H210" s="13"/>
      <c r="I210" s="13"/>
      <c r="J210" s="97"/>
      <c r="K210" s="13"/>
      <c r="L210" s="13">
        <v>-20</v>
      </c>
      <c r="M210" s="13">
        <v>0</v>
      </c>
      <c r="N210" s="48">
        <f t="shared" si="58"/>
        <v>-10</v>
      </c>
      <c r="O210" s="13"/>
      <c r="P210" s="13">
        <v>-25</v>
      </c>
      <c r="Q210" s="13">
        <v>-35</v>
      </c>
      <c r="R210" s="48">
        <f t="shared" si="59"/>
        <v>-30</v>
      </c>
      <c r="S210" s="13"/>
      <c r="T210" s="13">
        <v>-30</v>
      </c>
      <c r="U210" s="13">
        <v>-45</v>
      </c>
      <c r="V210" s="48">
        <f t="shared" si="60"/>
        <v>-37.5</v>
      </c>
      <c r="W210" s="13"/>
      <c r="X210" s="13">
        <v>-20</v>
      </c>
      <c r="Y210" s="13">
        <v>-40</v>
      </c>
      <c r="Z210" s="48">
        <f t="shared" si="61"/>
        <v>-30</v>
      </c>
      <c r="AA210" s="13"/>
      <c r="AB210" s="13">
        <v>-20</v>
      </c>
      <c r="AC210" s="13">
        <v>-40</v>
      </c>
      <c r="AD210" s="48">
        <f t="shared" si="63"/>
        <v>-30</v>
      </c>
      <c r="AE210" s="13"/>
      <c r="AF210" s="13">
        <v>10</v>
      </c>
      <c r="AG210" s="13">
        <v>0</v>
      </c>
      <c r="AH210" s="48">
        <f t="shared" si="64"/>
        <v>5</v>
      </c>
      <c r="AI210" s="13"/>
      <c r="AJ210" s="13"/>
      <c r="AK210" s="13"/>
      <c r="AL210" s="97"/>
      <c r="AM210" s="13"/>
      <c r="AN210" s="13"/>
      <c r="AO210" s="13"/>
      <c r="AP210" s="97"/>
      <c r="AQ210" s="13"/>
      <c r="AR210" s="13"/>
      <c r="AS210" s="13"/>
      <c r="AT210" s="97"/>
      <c r="AU210" s="13"/>
      <c r="AV210" s="13"/>
      <c r="AW210" s="13"/>
      <c r="AX210" s="49"/>
    </row>
    <row r="211" spans="1:50" ht="10.199999999999999" customHeight="1" x14ac:dyDescent="0.25">
      <c r="A211" s="14">
        <f t="shared" si="62"/>
        <v>13</v>
      </c>
      <c r="B211" s="102">
        <f t="shared" ref="B211:B242" si="65">+B212-7</f>
        <v>36977</v>
      </c>
      <c r="C211" s="103">
        <v>36974</v>
      </c>
      <c r="D211" s="13"/>
      <c r="E211" s="13"/>
      <c r="F211" s="97"/>
      <c r="G211" s="13"/>
      <c r="H211" s="13"/>
      <c r="I211" s="13"/>
      <c r="J211" s="97"/>
      <c r="K211" s="13"/>
      <c r="L211" s="13"/>
      <c r="M211" s="13"/>
      <c r="N211" s="97"/>
      <c r="O211" s="13"/>
      <c r="P211" s="13">
        <v>-15</v>
      </c>
      <c r="Q211" s="13">
        <v>-23</v>
      </c>
      <c r="R211" s="48">
        <f t="shared" si="59"/>
        <v>-19</v>
      </c>
      <c r="S211" s="13"/>
      <c r="T211" s="13">
        <v>-30</v>
      </c>
      <c r="U211" s="13">
        <v>-40</v>
      </c>
      <c r="V211" s="48">
        <f t="shared" si="60"/>
        <v>-35</v>
      </c>
      <c r="W211" s="13"/>
      <c r="X211" s="13">
        <v>-20</v>
      </c>
      <c r="Y211" s="13">
        <v>-40</v>
      </c>
      <c r="Z211" s="48">
        <f t="shared" si="61"/>
        <v>-30</v>
      </c>
      <c r="AA211" s="13"/>
      <c r="AB211" s="13">
        <v>-20</v>
      </c>
      <c r="AC211" s="13">
        <v>-40</v>
      </c>
      <c r="AD211" s="48">
        <f t="shared" si="63"/>
        <v>-30</v>
      </c>
      <c r="AE211" s="13"/>
      <c r="AF211" s="13">
        <v>10</v>
      </c>
      <c r="AG211" s="13">
        <v>-20</v>
      </c>
      <c r="AH211" s="48">
        <f t="shared" si="64"/>
        <v>-5</v>
      </c>
      <c r="AI211" s="13"/>
      <c r="AJ211" s="13">
        <v>20</v>
      </c>
      <c r="AK211" s="13">
        <v>-20</v>
      </c>
      <c r="AL211" s="48">
        <f t="shared" ref="AL211:AL236" si="66">AVERAGE(AJ211,AK211)</f>
        <v>0</v>
      </c>
      <c r="AM211" s="13"/>
      <c r="AN211" s="13"/>
      <c r="AO211" s="13"/>
      <c r="AP211" s="97"/>
      <c r="AQ211" s="13"/>
      <c r="AR211" s="13"/>
      <c r="AS211" s="13"/>
      <c r="AT211" s="97"/>
      <c r="AU211" s="13"/>
      <c r="AV211" s="13"/>
      <c r="AW211" s="13"/>
      <c r="AX211" s="49"/>
    </row>
    <row r="212" spans="1:50" ht="10.199999999999999" customHeight="1" x14ac:dyDescent="0.25">
      <c r="A212" s="14">
        <f t="shared" si="62"/>
        <v>14</v>
      </c>
      <c r="B212" s="102">
        <f t="shared" si="65"/>
        <v>36984</v>
      </c>
      <c r="C212" s="103">
        <v>36981</v>
      </c>
      <c r="D212" s="13"/>
      <c r="E212" s="13"/>
      <c r="F212" s="97"/>
      <c r="G212" s="13"/>
      <c r="H212" s="13"/>
      <c r="I212" s="13"/>
      <c r="J212" s="97"/>
      <c r="K212" s="13"/>
      <c r="L212" s="13"/>
      <c r="M212" s="13"/>
      <c r="N212" s="97"/>
      <c r="O212" s="13"/>
      <c r="P212" s="13">
        <v>-30</v>
      </c>
      <c r="Q212" s="13">
        <v>-50</v>
      </c>
      <c r="R212" s="48">
        <f t="shared" si="59"/>
        <v>-40</v>
      </c>
      <c r="S212" s="13"/>
      <c r="T212" s="13">
        <v>-35</v>
      </c>
      <c r="U212" s="13">
        <v>-40</v>
      </c>
      <c r="V212" s="48">
        <f t="shared" si="60"/>
        <v>-37.5</v>
      </c>
      <c r="W212" s="13"/>
      <c r="X212" s="13">
        <v>-20</v>
      </c>
      <c r="Y212" s="13">
        <v>-45</v>
      </c>
      <c r="Z212" s="48">
        <f t="shared" si="61"/>
        <v>-32.5</v>
      </c>
      <c r="AA212" s="13"/>
      <c r="AB212" s="13">
        <v>-20</v>
      </c>
      <c r="AC212" s="13">
        <v>-40</v>
      </c>
      <c r="AD212" s="48">
        <f t="shared" si="63"/>
        <v>-30</v>
      </c>
      <c r="AE212" s="13"/>
      <c r="AF212" s="13">
        <v>0</v>
      </c>
      <c r="AG212" s="13">
        <v>0</v>
      </c>
      <c r="AH212" s="48">
        <f t="shared" si="64"/>
        <v>0</v>
      </c>
      <c r="AI212" s="13"/>
      <c r="AJ212" s="13">
        <v>15</v>
      </c>
      <c r="AK212" s="13">
        <v>-40</v>
      </c>
      <c r="AL212" s="48">
        <f t="shared" si="66"/>
        <v>-12.5</v>
      </c>
      <c r="AM212" s="13"/>
      <c r="AN212" s="13"/>
      <c r="AO212" s="13"/>
      <c r="AP212" s="97"/>
      <c r="AQ212" s="13"/>
      <c r="AR212" s="13"/>
      <c r="AS212" s="13"/>
      <c r="AT212" s="97"/>
      <c r="AU212" s="13"/>
      <c r="AV212" s="13"/>
      <c r="AW212" s="13"/>
      <c r="AX212" s="49"/>
    </row>
    <row r="213" spans="1:50" ht="10.199999999999999" customHeight="1" x14ac:dyDescent="0.25">
      <c r="A213" s="14">
        <f t="shared" si="62"/>
        <v>15</v>
      </c>
      <c r="B213" s="102">
        <f t="shared" si="65"/>
        <v>36991</v>
      </c>
      <c r="C213" s="103">
        <v>36988</v>
      </c>
      <c r="D213" s="13"/>
      <c r="E213" s="13"/>
      <c r="F213" s="97"/>
      <c r="G213" s="13"/>
      <c r="H213" s="13"/>
      <c r="I213" s="13"/>
      <c r="J213" s="97"/>
      <c r="K213" s="13"/>
      <c r="L213" s="13"/>
      <c r="M213" s="13"/>
      <c r="N213" s="97"/>
      <c r="O213" s="13"/>
      <c r="P213" s="13">
        <v>-25</v>
      </c>
      <c r="Q213" s="13">
        <v>-40</v>
      </c>
      <c r="R213" s="48">
        <f t="shared" si="59"/>
        <v>-32.5</v>
      </c>
      <c r="S213" s="13"/>
      <c r="T213" s="13">
        <v>-40</v>
      </c>
      <c r="U213" s="13">
        <v>-40</v>
      </c>
      <c r="V213" s="48">
        <f t="shared" si="60"/>
        <v>-40</v>
      </c>
      <c r="W213" s="13"/>
      <c r="X213" s="13">
        <v>-25</v>
      </c>
      <c r="Y213" s="13">
        <v>-45</v>
      </c>
      <c r="Z213" s="48">
        <f t="shared" si="61"/>
        <v>-35</v>
      </c>
      <c r="AA213" s="13"/>
      <c r="AB213" s="13">
        <v>-25</v>
      </c>
      <c r="AC213" s="13">
        <v>-40</v>
      </c>
      <c r="AD213" s="48">
        <f t="shared" si="63"/>
        <v>-32.5</v>
      </c>
      <c r="AE213" s="13"/>
      <c r="AF213" s="13">
        <v>0</v>
      </c>
      <c r="AG213" s="13">
        <v>0</v>
      </c>
      <c r="AH213" s="48">
        <f t="shared" si="64"/>
        <v>0</v>
      </c>
      <c r="AI213" s="13"/>
      <c r="AJ213" s="13">
        <v>15</v>
      </c>
      <c r="AK213" s="13">
        <v>-40</v>
      </c>
      <c r="AL213" s="48">
        <f t="shared" si="66"/>
        <v>-12.5</v>
      </c>
      <c r="AM213" s="13"/>
      <c r="AN213" s="13"/>
      <c r="AO213" s="13"/>
      <c r="AP213" s="97"/>
      <c r="AQ213" s="13"/>
      <c r="AR213" s="13"/>
      <c r="AS213" s="13"/>
      <c r="AT213" s="97"/>
      <c r="AU213" s="13"/>
      <c r="AV213" s="13"/>
      <c r="AW213" s="13"/>
      <c r="AX213" s="49"/>
    </row>
    <row r="214" spans="1:50" ht="10.199999999999999" customHeight="1" x14ac:dyDescent="0.25">
      <c r="A214" s="14">
        <f t="shared" si="62"/>
        <v>16</v>
      </c>
      <c r="B214" s="102">
        <f t="shared" si="65"/>
        <v>36998</v>
      </c>
      <c r="C214" s="103">
        <v>36995</v>
      </c>
      <c r="D214" s="13"/>
      <c r="E214" s="13"/>
      <c r="F214" s="97"/>
      <c r="G214" s="13"/>
      <c r="H214" s="13"/>
      <c r="I214" s="13"/>
      <c r="J214" s="97"/>
      <c r="K214" s="13"/>
      <c r="L214" s="13"/>
      <c r="M214" s="13"/>
      <c r="N214" s="97"/>
      <c r="O214" s="13"/>
      <c r="P214" s="13">
        <v>0</v>
      </c>
      <c r="Q214" s="13">
        <v>-40</v>
      </c>
      <c r="R214" s="48">
        <f t="shared" si="59"/>
        <v>-20</v>
      </c>
      <c r="S214" s="13"/>
      <c r="T214" s="13">
        <v>-50</v>
      </c>
      <c r="U214" s="13">
        <v>-40</v>
      </c>
      <c r="V214" s="48">
        <f t="shared" si="60"/>
        <v>-45</v>
      </c>
      <c r="W214" s="13"/>
      <c r="X214" s="13">
        <v>-30</v>
      </c>
      <c r="Y214" s="13">
        <v>-45</v>
      </c>
      <c r="Z214" s="48">
        <f t="shared" si="61"/>
        <v>-37.5</v>
      </c>
      <c r="AA214" s="13"/>
      <c r="AB214" s="13">
        <v>-25</v>
      </c>
      <c r="AC214" s="13">
        <v>-40</v>
      </c>
      <c r="AD214" s="48">
        <f t="shared" si="63"/>
        <v>-32.5</v>
      </c>
      <c r="AE214" s="13"/>
      <c r="AF214" s="13">
        <v>0</v>
      </c>
      <c r="AG214" s="13">
        <v>0</v>
      </c>
      <c r="AH214" s="48">
        <f t="shared" si="64"/>
        <v>0</v>
      </c>
      <c r="AI214" s="13"/>
      <c r="AJ214" s="13">
        <v>15</v>
      </c>
      <c r="AK214" s="13">
        <v>-40</v>
      </c>
      <c r="AL214" s="48">
        <f t="shared" si="66"/>
        <v>-12.5</v>
      </c>
      <c r="AM214" s="13"/>
      <c r="AN214" s="13"/>
      <c r="AO214" s="13"/>
      <c r="AP214" s="97"/>
      <c r="AQ214" s="13"/>
      <c r="AR214" s="13"/>
      <c r="AS214" s="13"/>
      <c r="AT214" s="97"/>
      <c r="AU214" s="13"/>
      <c r="AV214" s="13"/>
      <c r="AW214" s="13"/>
      <c r="AX214" s="49"/>
    </row>
    <row r="215" spans="1:50" ht="10.199999999999999" customHeight="1" x14ac:dyDescent="0.25">
      <c r="A215" s="14">
        <f t="shared" si="62"/>
        <v>17</v>
      </c>
      <c r="B215" s="102">
        <f t="shared" si="65"/>
        <v>37005</v>
      </c>
      <c r="C215" s="103">
        <v>37002</v>
      </c>
      <c r="D215" s="13"/>
      <c r="E215" s="13"/>
      <c r="F215" s="97"/>
      <c r="G215" s="13"/>
      <c r="H215" s="13"/>
      <c r="I215" s="13"/>
      <c r="J215" s="97"/>
      <c r="K215" s="13"/>
      <c r="L215" s="13"/>
      <c r="M215" s="13"/>
      <c r="N215" s="97"/>
      <c r="O215" s="13"/>
      <c r="P215" s="13"/>
      <c r="Q215" s="13"/>
      <c r="R215" s="97"/>
      <c r="S215" s="13"/>
      <c r="T215" s="13">
        <v>-63</v>
      </c>
      <c r="U215" s="13">
        <v>0</v>
      </c>
      <c r="V215" s="48">
        <f t="shared" si="60"/>
        <v>-31.5</v>
      </c>
      <c r="W215" s="13"/>
      <c r="X215" s="13">
        <v>-40</v>
      </c>
      <c r="Y215" s="13">
        <v>-90</v>
      </c>
      <c r="Z215" s="48">
        <f t="shared" si="61"/>
        <v>-65</v>
      </c>
      <c r="AA215" s="13"/>
      <c r="AB215" s="13">
        <v>-40</v>
      </c>
      <c r="AC215" s="13">
        <v>-90</v>
      </c>
      <c r="AD215" s="48">
        <f t="shared" si="63"/>
        <v>-65</v>
      </c>
      <c r="AE215" s="13"/>
      <c r="AF215" s="13">
        <v>-15</v>
      </c>
      <c r="AG215" s="13">
        <v>0</v>
      </c>
      <c r="AH215" s="48">
        <f t="shared" si="64"/>
        <v>-7.5</v>
      </c>
      <c r="AI215" s="13"/>
      <c r="AJ215" s="13">
        <v>0</v>
      </c>
      <c r="AK215" s="13">
        <v>0</v>
      </c>
      <c r="AL215" s="48">
        <f t="shared" si="66"/>
        <v>0</v>
      </c>
      <c r="AM215" s="13"/>
      <c r="AN215" s="13">
        <v>10</v>
      </c>
      <c r="AO215" s="13">
        <v>0</v>
      </c>
      <c r="AP215" s="48">
        <f t="shared" ref="AP215:AP240" si="67">AVERAGE(AN215,AO215)</f>
        <v>5</v>
      </c>
      <c r="AQ215" s="13"/>
      <c r="AR215" s="13"/>
      <c r="AS215" s="13"/>
      <c r="AT215" s="97"/>
      <c r="AU215" s="13"/>
      <c r="AV215" s="13"/>
      <c r="AW215" s="13"/>
      <c r="AX215" s="49"/>
    </row>
    <row r="216" spans="1:50" ht="10.199999999999999" customHeight="1" x14ac:dyDescent="0.25">
      <c r="A216" s="14">
        <f t="shared" si="62"/>
        <v>18</v>
      </c>
      <c r="B216" s="102">
        <f t="shared" si="65"/>
        <v>37012</v>
      </c>
      <c r="C216" s="103">
        <v>37009</v>
      </c>
      <c r="D216" s="13"/>
      <c r="E216" s="13"/>
      <c r="F216" s="97"/>
      <c r="G216" s="13"/>
      <c r="H216" s="13"/>
      <c r="I216" s="13"/>
      <c r="J216" s="97"/>
      <c r="K216" s="13"/>
      <c r="L216" s="13"/>
      <c r="M216" s="13"/>
      <c r="N216" s="97"/>
      <c r="O216" s="13"/>
      <c r="P216" s="13"/>
      <c r="Q216" s="13"/>
      <c r="R216" s="97"/>
      <c r="S216" s="13"/>
      <c r="T216" s="13">
        <v>-80</v>
      </c>
      <c r="U216" s="13">
        <v>-150</v>
      </c>
      <c r="V216" s="48">
        <f t="shared" si="60"/>
        <v>-115</v>
      </c>
      <c r="W216" s="13"/>
      <c r="X216" s="13">
        <v>-60</v>
      </c>
      <c r="Y216" s="13">
        <v>-125</v>
      </c>
      <c r="Z216" s="48">
        <f t="shared" si="61"/>
        <v>-92.5</v>
      </c>
      <c r="AA216" s="13"/>
      <c r="AB216" s="13">
        <v>-40</v>
      </c>
      <c r="AC216" s="13">
        <v>-95</v>
      </c>
      <c r="AD216" s="48">
        <f t="shared" si="63"/>
        <v>-67.5</v>
      </c>
      <c r="AE216" s="13"/>
      <c r="AF216" s="13">
        <v>0</v>
      </c>
      <c r="AG216" s="13">
        <v>-60</v>
      </c>
      <c r="AH216" s="48">
        <f t="shared" si="64"/>
        <v>-30</v>
      </c>
      <c r="AI216" s="13"/>
      <c r="AJ216" s="13">
        <v>0</v>
      </c>
      <c r="AK216" s="13">
        <v>-45</v>
      </c>
      <c r="AL216" s="48">
        <f t="shared" si="66"/>
        <v>-22.5</v>
      </c>
      <c r="AM216" s="13"/>
      <c r="AN216" s="13">
        <v>10</v>
      </c>
      <c r="AO216" s="13">
        <v>-25</v>
      </c>
      <c r="AP216" s="48">
        <f t="shared" si="67"/>
        <v>-7.5</v>
      </c>
      <c r="AQ216" s="13"/>
      <c r="AR216" s="13"/>
      <c r="AS216" s="13"/>
      <c r="AT216" s="97"/>
      <c r="AU216" s="13"/>
      <c r="AV216" s="13"/>
      <c r="AW216" s="13"/>
      <c r="AX216" s="49"/>
    </row>
    <row r="217" spans="1:50" ht="10.199999999999999" customHeight="1" x14ac:dyDescent="0.25">
      <c r="A217" s="14">
        <f t="shared" si="62"/>
        <v>19</v>
      </c>
      <c r="B217" s="102">
        <f t="shared" si="65"/>
        <v>37019</v>
      </c>
      <c r="C217" s="103">
        <v>37016</v>
      </c>
      <c r="D217" s="13"/>
      <c r="E217" s="13"/>
      <c r="F217" s="97"/>
      <c r="G217" s="13"/>
      <c r="H217" s="13"/>
      <c r="I217" s="13"/>
      <c r="J217" s="97"/>
      <c r="K217" s="13"/>
      <c r="L217" s="13"/>
      <c r="M217" s="13"/>
      <c r="N217" s="97"/>
      <c r="O217" s="13"/>
      <c r="P217" s="13"/>
      <c r="Q217" s="13"/>
      <c r="R217" s="97"/>
      <c r="S217" s="13"/>
      <c r="T217" s="13">
        <v>-90</v>
      </c>
      <c r="U217" s="13">
        <v>-150</v>
      </c>
      <c r="V217" s="48">
        <f t="shared" si="60"/>
        <v>-120</v>
      </c>
      <c r="W217" s="13"/>
      <c r="X217" s="13">
        <v>-80</v>
      </c>
      <c r="Y217" s="13">
        <v>-140</v>
      </c>
      <c r="Z217" s="48">
        <f t="shared" si="61"/>
        <v>-110</v>
      </c>
      <c r="AA217" s="13"/>
      <c r="AB217" s="13">
        <v>-60</v>
      </c>
      <c r="AC217" s="13">
        <v>-100</v>
      </c>
      <c r="AD217" s="48">
        <f t="shared" si="63"/>
        <v>-80</v>
      </c>
      <c r="AE217" s="13"/>
      <c r="AF217" s="13">
        <v>-25</v>
      </c>
      <c r="AG217" s="13">
        <v>-75</v>
      </c>
      <c r="AH217" s="48">
        <f t="shared" si="64"/>
        <v>-50</v>
      </c>
      <c r="AI217" s="13"/>
      <c r="AJ217" s="13">
        <v>-15</v>
      </c>
      <c r="AK217" s="13">
        <v>-45</v>
      </c>
      <c r="AL217" s="48">
        <f t="shared" si="66"/>
        <v>-30</v>
      </c>
      <c r="AM217" s="13"/>
      <c r="AN217" s="13">
        <v>0</v>
      </c>
      <c r="AO217" s="13">
        <v>-30</v>
      </c>
      <c r="AP217" s="48">
        <f t="shared" si="67"/>
        <v>-15</v>
      </c>
      <c r="AQ217" s="13"/>
      <c r="AR217" s="13"/>
      <c r="AS217" s="13"/>
      <c r="AT217" s="97"/>
      <c r="AU217" s="13"/>
      <c r="AV217" s="13"/>
      <c r="AW217" s="13"/>
      <c r="AX217" s="49"/>
    </row>
    <row r="218" spans="1:50" ht="10.199999999999999" customHeight="1" x14ac:dyDescent="0.25">
      <c r="A218" s="14">
        <f t="shared" si="62"/>
        <v>20</v>
      </c>
      <c r="B218" s="102">
        <f t="shared" si="65"/>
        <v>37026</v>
      </c>
      <c r="C218" s="103">
        <v>37023</v>
      </c>
      <c r="D218" s="13"/>
      <c r="E218" s="13"/>
      <c r="F218" s="97"/>
      <c r="G218" s="13"/>
      <c r="H218" s="13"/>
      <c r="I218" s="13"/>
      <c r="J218" s="97"/>
      <c r="K218" s="13"/>
      <c r="L218" s="13"/>
      <c r="M218" s="13"/>
      <c r="N218" s="97"/>
      <c r="O218" s="13"/>
      <c r="P218" s="13"/>
      <c r="Q218" s="13"/>
      <c r="R218" s="97"/>
      <c r="S218" s="13"/>
      <c r="T218" s="13">
        <v>0</v>
      </c>
      <c r="U218" s="13">
        <v>-30</v>
      </c>
      <c r="V218" s="48">
        <f t="shared" si="60"/>
        <v>-15</v>
      </c>
      <c r="W218" s="13"/>
      <c r="X218" s="13">
        <v>-20</v>
      </c>
      <c r="Y218" s="13">
        <v>-40</v>
      </c>
      <c r="Z218" s="48">
        <f t="shared" si="61"/>
        <v>-30</v>
      </c>
      <c r="AA218" s="13"/>
      <c r="AB218" s="13">
        <v>-20</v>
      </c>
      <c r="AC218" s="13">
        <v>-40</v>
      </c>
      <c r="AD218" s="48">
        <f t="shared" si="63"/>
        <v>-30</v>
      </c>
      <c r="AE218" s="13"/>
      <c r="AF218" s="13">
        <v>-10</v>
      </c>
      <c r="AG218" s="13">
        <v>-30</v>
      </c>
      <c r="AH218" s="48">
        <f t="shared" si="64"/>
        <v>-20</v>
      </c>
      <c r="AI218" s="13"/>
      <c r="AJ218" s="13">
        <v>-10</v>
      </c>
      <c r="AK218" s="13">
        <v>-30</v>
      </c>
      <c r="AL218" s="48">
        <f t="shared" si="66"/>
        <v>-20</v>
      </c>
      <c r="AM218" s="13"/>
      <c r="AN218" s="13">
        <v>10</v>
      </c>
      <c r="AO218" s="13">
        <v>-25</v>
      </c>
      <c r="AP218" s="48">
        <f t="shared" si="67"/>
        <v>-7.5</v>
      </c>
      <c r="AQ218" s="13"/>
      <c r="AR218" s="13"/>
      <c r="AS218" s="13"/>
      <c r="AT218" s="97"/>
      <c r="AU218" s="13"/>
      <c r="AV218" s="13"/>
      <c r="AW218" s="13"/>
      <c r="AX218" s="49"/>
    </row>
    <row r="219" spans="1:50" ht="10.199999999999999" customHeight="1" x14ac:dyDescent="0.25">
      <c r="A219" s="14">
        <f t="shared" si="62"/>
        <v>21</v>
      </c>
      <c r="B219" s="102">
        <f t="shared" si="65"/>
        <v>37033</v>
      </c>
      <c r="C219" s="103">
        <v>37030</v>
      </c>
      <c r="D219" s="13"/>
      <c r="E219" s="13"/>
      <c r="F219" s="97"/>
      <c r="G219" s="13"/>
      <c r="H219" s="13"/>
      <c r="I219" s="13"/>
      <c r="J219" s="97"/>
      <c r="K219" s="13"/>
      <c r="L219" s="13"/>
      <c r="M219" s="13"/>
      <c r="N219" s="97"/>
      <c r="O219" s="13"/>
      <c r="P219" s="13"/>
      <c r="Q219" s="13"/>
      <c r="R219" s="97"/>
      <c r="S219" s="13"/>
      <c r="T219" s="13"/>
      <c r="U219" s="13"/>
      <c r="V219" s="97"/>
      <c r="W219" s="13"/>
      <c r="X219" s="13">
        <v>-15</v>
      </c>
      <c r="Y219" s="13">
        <v>-50</v>
      </c>
      <c r="Z219" s="48">
        <f t="shared" si="61"/>
        <v>-32.5</v>
      </c>
      <c r="AA219" s="13"/>
      <c r="AB219" s="13">
        <v>-15</v>
      </c>
      <c r="AC219" s="13">
        <v>-50</v>
      </c>
      <c r="AD219" s="48">
        <f t="shared" si="63"/>
        <v>-32.5</v>
      </c>
      <c r="AE219" s="13"/>
      <c r="AF219" s="13">
        <v>-10</v>
      </c>
      <c r="AG219" s="13">
        <v>-30</v>
      </c>
      <c r="AH219" s="48">
        <f t="shared" si="64"/>
        <v>-20</v>
      </c>
      <c r="AI219" s="13"/>
      <c r="AJ219" s="13">
        <v>-10</v>
      </c>
      <c r="AK219" s="13">
        <v>-30</v>
      </c>
      <c r="AL219" s="48">
        <f t="shared" si="66"/>
        <v>-20</v>
      </c>
      <c r="AM219" s="13"/>
      <c r="AN219" s="13">
        <v>10</v>
      </c>
      <c r="AO219" s="13">
        <v>-25</v>
      </c>
      <c r="AP219" s="48">
        <f t="shared" si="67"/>
        <v>-7.5</v>
      </c>
      <c r="AQ219" s="13"/>
      <c r="AR219" s="13">
        <v>0</v>
      </c>
      <c r="AS219" s="13">
        <v>-75</v>
      </c>
      <c r="AT219" s="48">
        <f t="shared" ref="AT219:AT241" si="68">AVERAGE(AR219,AS219)</f>
        <v>-37.5</v>
      </c>
      <c r="AU219" s="13"/>
      <c r="AV219" s="13"/>
      <c r="AW219" s="13"/>
      <c r="AX219" s="49"/>
    </row>
    <row r="220" spans="1:50" ht="10.199999999999999" customHeight="1" x14ac:dyDescent="0.25">
      <c r="A220" s="14">
        <f t="shared" si="62"/>
        <v>22</v>
      </c>
      <c r="B220" s="102">
        <f t="shared" si="65"/>
        <v>37040</v>
      </c>
      <c r="C220" s="103">
        <v>37037</v>
      </c>
      <c r="D220" s="13"/>
      <c r="E220" s="13"/>
      <c r="F220" s="97"/>
      <c r="G220" s="13"/>
      <c r="H220" s="13"/>
      <c r="I220" s="13"/>
      <c r="J220" s="97"/>
      <c r="K220" s="13"/>
      <c r="L220" s="13"/>
      <c r="M220" s="13"/>
      <c r="N220" s="97"/>
      <c r="O220" s="13"/>
      <c r="P220" s="13"/>
      <c r="Q220" s="13"/>
      <c r="R220" s="97"/>
      <c r="S220" s="13"/>
      <c r="T220" s="13"/>
      <c r="U220" s="13"/>
      <c r="V220" s="97"/>
      <c r="W220" s="13"/>
      <c r="X220" s="13">
        <v>-20</v>
      </c>
      <c r="Y220" s="13">
        <v>-40</v>
      </c>
      <c r="Z220" s="48">
        <f t="shared" si="61"/>
        <v>-30</v>
      </c>
      <c r="AA220" s="13"/>
      <c r="AB220" s="13">
        <v>-20</v>
      </c>
      <c r="AC220" s="13">
        <v>-40</v>
      </c>
      <c r="AD220" s="48">
        <f t="shared" si="63"/>
        <v>-30</v>
      </c>
      <c r="AE220" s="13"/>
      <c r="AF220" s="13">
        <v>-10</v>
      </c>
      <c r="AG220" s="13">
        <v>-30</v>
      </c>
      <c r="AH220" s="48">
        <f t="shared" si="64"/>
        <v>-20</v>
      </c>
      <c r="AI220" s="13"/>
      <c r="AJ220" s="13">
        <v>-10</v>
      </c>
      <c r="AK220" s="13">
        <v>-30</v>
      </c>
      <c r="AL220" s="48">
        <f t="shared" si="66"/>
        <v>-20</v>
      </c>
      <c r="AM220" s="13"/>
      <c r="AN220" s="13">
        <v>10</v>
      </c>
      <c r="AO220" s="13">
        <v>-25</v>
      </c>
      <c r="AP220" s="48">
        <f t="shared" si="67"/>
        <v>-7.5</v>
      </c>
      <c r="AQ220" s="13"/>
      <c r="AR220" s="13">
        <v>0</v>
      </c>
      <c r="AS220" s="13">
        <v>-75</v>
      </c>
      <c r="AT220" s="48">
        <f t="shared" si="68"/>
        <v>-37.5</v>
      </c>
      <c r="AU220" s="13"/>
      <c r="AV220" s="13"/>
      <c r="AW220" s="13"/>
      <c r="AX220" s="49"/>
    </row>
    <row r="221" spans="1:50" ht="10.199999999999999" customHeight="1" x14ac:dyDescent="0.25">
      <c r="A221" s="14">
        <f t="shared" si="62"/>
        <v>23</v>
      </c>
      <c r="B221" s="102">
        <f t="shared" si="65"/>
        <v>37047</v>
      </c>
      <c r="C221" s="103">
        <v>37044</v>
      </c>
      <c r="D221" s="13"/>
      <c r="E221" s="13"/>
      <c r="F221" s="97"/>
      <c r="G221" s="13"/>
      <c r="H221" s="13"/>
      <c r="I221" s="13"/>
      <c r="J221" s="97"/>
      <c r="K221" s="13"/>
      <c r="L221" s="13"/>
      <c r="M221" s="13"/>
      <c r="N221" s="97"/>
      <c r="O221" s="13"/>
      <c r="P221" s="13"/>
      <c r="Q221" s="13"/>
      <c r="R221" s="97"/>
      <c r="S221" s="13"/>
      <c r="T221" s="13"/>
      <c r="U221" s="13"/>
      <c r="V221" s="97"/>
      <c r="W221" s="13"/>
      <c r="X221" s="13">
        <v>-5</v>
      </c>
      <c r="Y221" s="13">
        <v>-50</v>
      </c>
      <c r="Z221" s="48">
        <f t="shared" si="61"/>
        <v>-27.5</v>
      </c>
      <c r="AA221" s="13"/>
      <c r="AB221" s="13">
        <v>-10</v>
      </c>
      <c r="AC221" s="13">
        <v>-40</v>
      </c>
      <c r="AD221" s="48">
        <f t="shared" si="63"/>
        <v>-25</v>
      </c>
      <c r="AE221" s="13"/>
      <c r="AF221" s="13">
        <v>-5</v>
      </c>
      <c r="AG221" s="13">
        <v>-40</v>
      </c>
      <c r="AH221" s="48">
        <f t="shared" si="64"/>
        <v>-22.5</v>
      </c>
      <c r="AI221" s="13"/>
      <c r="AJ221" s="13">
        <v>10</v>
      </c>
      <c r="AK221" s="13">
        <v>-30</v>
      </c>
      <c r="AL221" s="48">
        <f t="shared" si="66"/>
        <v>-10</v>
      </c>
      <c r="AM221" s="13"/>
      <c r="AN221" s="13">
        <v>15</v>
      </c>
      <c r="AO221" s="13">
        <v>-25</v>
      </c>
      <c r="AP221" s="48">
        <f t="shared" si="67"/>
        <v>-5</v>
      </c>
      <c r="AQ221" s="13"/>
      <c r="AR221" s="13">
        <v>0</v>
      </c>
      <c r="AS221" s="13">
        <v>-75</v>
      </c>
      <c r="AT221" s="48">
        <f t="shared" si="68"/>
        <v>-37.5</v>
      </c>
      <c r="AU221" s="13"/>
      <c r="AV221" s="13"/>
      <c r="AW221" s="13"/>
      <c r="AX221" s="49"/>
    </row>
    <row r="222" spans="1:50" ht="10.199999999999999" customHeight="1" x14ac:dyDescent="0.25">
      <c r="A222" s="14">
        <f t="shared" si="62"/>
        <v>24</v>
      </c>
      <c r="B222" s="102">
        <f t="shared" si="65"/>
        <v>37054</v>
      </c>
      <c r="C222" s="103">
        <v>37051</v>
      </c>
      <c r="D222" s="13"/>
      <c r="E222" s="13"/>
      <c r="F222" s="97"/>
      <c r="G222" s="13"/>
      <c r="H222" s="13"/>
      <c r="I222" s="13"/>
      <c r="J222" s="97"/>
      <c r="K222" s="13"/>
      <c r="L222" s="13"/>
      <c r="M222" s="13"/>
      <c r="N222" s="97"/>
      <c r="O222" s="13"/>
      <c r="P222" s="13"/>
      <c r="Q222" s="13"/>
      <c r="R222" s="97"/>
      <c r="S222" s="13"/>
      <c r="T222" s="13"/>
      <c r="U222" s="13"/>
      <c r="V222" s="97"/>
      <c r="W222" s="13"/>
      <c r="X222" s="13">
        <v>0</v>
      </c>
      <c r="Y222" s="13">
        <v>0</v>
      </c>
      <c r="Z222" s="48">
        <f t="shared" si="61"/>
        <v>0</v>
      </c>
      <c r="AA222" s="13"/>
      <c r="AB222" s="13">
        <v>-5</v>
      </c>
      <c r="AC222" s="13">
        <v>-20</v>
      </c>
      <c r="AD222" s="48">
        <f t="shared" si="63"/>
        <v>-12.5</v>
      </c>
      <c r="AE222" s="13"/>
      <c r="AF222" s="13">
        <v>-5</v>
      </c>
      <c r="AG222" s="13">
        <v>-20</v>
      </c>
      <c r="AH222" s="48">
        <f t="shared" si="64"/>
        <v>-12.5</v>
      </c>
      <c r="AI222" s="13"/>
      <c r="AJ222" s="13">
        <v>10</v>
      </c>
      <c r="AK222" s="13">
        <v>-25</v>
      </c>
      <c r="AL222" s="48">
        <f t="shared" si="66"/>
        <v>-7.5</v>
      </c>
      <c r="AM222" s="13"/>
      <c r="AN222" s="13">
        <v>15</v>
      </c>
      <c r="AO222" s="13">
        <v>-25</v>
      </c>
      <c r="AP222" s="48">
        <f t="shared" si="67"/>
        <v>-5</v>
      </c>
      <c r="AQ222" s="13"/>
      <c r="AR222" s="13">
        <v>0</v>
      </c>
      <c r="AS222" s="13">
        <v>-75</v>
      </c>
      <c r="AT222" s="48">
        <f t="shared" si="68"/>
        <v>-37.5</v>
      </c>
      <c r="AU222" s="13"/>
      <c r="AV222" s="13"/>
      <c r="AW222" s="13"/>
      <c r="AX222" s="49"/>
    </row>
    <row r="223" spans="1:50" ht="10.199999999999999" customHeight="1" x14ac:dyDescent="0.25">
      <c r="A223" s="14">
        <f t="shared" si="62"/>
        <v>25</v>
      </c>
      <c r="B223" s="102">
        <f t="shared" si="65"/>
        <v>37061</v>
      </c>
      <c r="C223" s="103">
        <v>37058</v>
      </c>
      <c r="D223" s="13"/>
      <c r="E223" s="13"/>
      <c r="F223" s="97"/>
      <c r="G223" s="13"/>
      <c r="H223" s="13"/>
      <c r="I223" s="13"/>
      <c r="J223" s="97"/>
      <c r="K223" s="13"/>
      <c r="L223" s="13"/>
      <c r="M223" s="13"/>
      <c r="N223" s="97"/>
      <c r="O223" s="13"/>
      <c r="P223" s="13"/>
      <c r="Q223" s="13"/>
      <c r="R223" s="97"/>
      <c r="S223" s="13"/>
      <c r="T223" s="13"/>
      <c r="U223" s="13"/>
      <c r="V223" s="97"/>
      <c r="W223" s="13"/>
      <c r="X223" s="13">
        <v>10</v>
      </c>
      <c r="Y223" s="13">
        <v>0</v>
      </c>
      <c r="Z223" s="48">
        <f t="shared" si="61"/>
        <v>5</v>
      </c>
      <c r="AA223" s="13"/>
      <c r="AB223" s="13">
        <v>5</v>
      </c>
      <c r="AC223" s="13">
        <v>-20</v>
      </c>
      <c r="AD223" s="48">
        <f t="shared" si="63"/>
        <v>-7.5</v>
      </c>
      <c r="AE223" s="13"/>
      <c r="AF223" s="13">
        <v>15</v>
      </c>
      <c r="AG223" s="13">
        <v>-20</v>
      </c>
      <c r="AH223" s="48">
        <f t="shared" si="64"/>
        <v>-2.5</v>
      </c>
      <c r="AI223" s="13"/>
      <c r="AJ223" s="13">
        <v>25</v>
      </c>
      <c r="AK223" s="13">
        <v>-25</v>
      </c>
      <c r="AL223" s="48">
        <f t="shared" si="66"/>
        <v>0</v>
      </c>
      <c r="AM223" s="13"/>
      <c r="AN223" s="13">
        <v>20</v>
      </c>
      <c r="AO223" s="13">
        <v>-25</v>
      </c>
      <c r="AP223" s="48">
        <f t="shared" si="67"/>
        <v>-2.5</v>
      </c>
      <c r="AQ223" s="13"/>
      <c r="AR223" s="13">
        <v>0</v>
      </c>
      <c r="AS223" s="13">
        <v>-75</v>
      </c>
      <c r="AT223" s="48">
        <f t="shared" si="68"/>
        <v>-37.5</v>
      </c>
      <c r="AU223" s="13"/>
      <c r="AV223" s="13"/>
      <c r="AW223" s="13"/>
      <c r="AX223" s="49"/>
    </row>
    <row r="224" spans="1:50" ht="10.199999999999999" customHeight="1" x14ac:dyDescent="0.25">
      <c r="A224" s="14">
        <f t="shared" si="62"/>
        <v>26</v>
      </c>
      <c r="B224" s="102">
        <f t="shared" si="65"/>
        <v>37068</v>
      </c>
      <c r="C224" s="103">
        <v>37065</v>
      </c>
      <c r="D224" s="13"/>
      <c r="E224" s="13"/>
      <c r="F224" s="97"/>
      <c r="G224" s="13"/>
      <c r="H224" s="13"/>
      <c r="I224" s="13"/>
      <c r="J224" s="97"/>
      <c r="K224" s="13"/>
      <c r="L224" s="13"/>
      <c r="M224" s="13"/>
      <c r="N224" s="97"/>
      <c r="O224" s="13"/>
      <c r="P224" s="13"/>
      <c r="Q224" s="13"/>
      <c r="R224" s="97"/>
      <c r="S224" s="13"/>
      <c r="T224" s="13"/>
      <c r="U224" s="13"/>
      <c r="V224" s="97"/>
      <c r="W224" s="13"/>
      <c r="X224" s="13"/>
      <c r="Y224" s="13"/>
      <c r="Z224" s="97"/>
      <c r="AA224" s="13"/>
      <c r="AB224" s="13">
        <v>10</v>
      </c>
      <c r="AC224" s="13">
        <v>-10</v>
      </c>
      <c r="AD224" s="48">
        <f t="shared" si="63"/>
        <v>0</v>
      </c>
      <c r="AE224" s="13"/>
      <c r="AF224" s="13">
        <v>15</v>
      </c>
      <c r="AG224" s="13">
        <v>-20</v>
      </c>
      <c r="AH224" s="48">
        <f t="shared" si="64"/>
        <v>-2.5</v>
      </c>
      <c r="AI224" s="13"/>
      <c r="AJ224" s="13">
        <v>25</v>
      </c>
      <c r="AK224" s="13">
        <v>-20</v>
      </c>
      <c r="AL224" s="48">
        <f t="shared" si="66"/>
        <v>2.5</v>
      </c>
      <c r="AM224" s="13"/>
      <c r="AN224" s="13">
        <v>20</v>
      </c>
      <c r="AO224" s="13">
        <v>-10</v>
      </c>
      <c r="AP224" s="48">
        <f t="shared" si="67"/>
        <v>5</v>
      </c>
      <c r="AQ224" s="13"/>
      <c r="AR224" s="13">
        <v>0</v>
      </c>
      <c r="AS224" s="13">
        <v>75</v>
      </c>
      <c r="AT224" s="48">
        <f t="shared" si="68"/>
        <v>37.5</v>
      </c>
      <c r="AU224" s="13"/>
      <c r="AV224" s="13">
        <v>0</v>
      </c>
      <c r="AW224" s="13">
        <v>-75</v>
      </c>
      <c r="AX224" s="48">
        <f t="shared" ref="AX224:AX241" si="69">AVERAGE(AV224,AW224)</f>
        <v>-37.5</v>
      </c>
    </row>
    <row r="225" spans="1:50" ht="10.199999999999999" customHeight="1" x14ac:dyDescent="0.25">
      <c r="A225" s="14">
        <f t="shared" si="62"/>
        <v>27</v>
      </c>
      <c r="B225" s="102">
        <f t="shared" si="65"/>
        <v>37075</v>
      </c>
      <c r="C225" s="103">
        <v>37072</v>
      </c>
      <c r="D225" s="13"/>
      <c r="E225" s="13"/>
      <c r="F225" s="97"/>
      <c r="G225" s="13"/>
      <c r="H225" s="13"/>
      <c r="I225" s="13"/>
      <c r="J225" s="97"/>
      <c r="K225" s="13"/>
      <c r="L225" s="13"/>
      <c r="M225" s="13"/>
      <c r="N225" s="97"/>
      <c r="O225" s="13"/>
      <c r="P225" s="13"/>
      <c r="Q225" s="13"/>
      <c r="R225" s="97"/>
      <c r="S225" s="13"/>
      <c r="T225" s="13"/>
      <c r="U225" s="13"/>
      <c r="V225" s="97"/>
      <c r="W225" s="13"/>
      <c r="X225" s="13"/>
      <c r="Y225" s="13"/>
      <c r="Z225" s="97"/>
      <c r="AA225" s="13"/>
      <c r="AB225" s="13">
        <v>0</v>
      </c>
      <c r="AC225" s="13">
        <v>15</v>
      </c>
      <c r="AD225" s="48">
        <f t="shared" si="63"/>
        <v>7.5</v>
      </c>
      <c r="AE225" s="13"/>
      <c r="AF225" s="13">
        <v>15</v>
      </c>
      <c r="AG225" s="13">
        <v>-15</v>
      </c>
      <c r="AH225" s="48">
        <f t="shared" si="64"/>
        <v>0</v>
      </c>
      <c r="AI225" s="13"/>
      <c r="AJ225" s="13">
        <v>20</v>
      </c>
      <c r="AK225" s="13">
        <v>-15</v>
      </c>
      <c r="AL225" s="48">
        <f t="shared" si="66"/>
        <v>2.5</v>
      </c>
      <c r="AM225" s="13"/>
      <c r="AN225" s="13">
        <v>20</v>
      </c>
      <c r="AO225" s="13">
        <v>-10</v>
      </c>
      <c r="AP225" s="48">
        <f t="shared" si="67"/>
        <v>5</v>
      </c>
      <c r="AQ225" s="13"/>
      <c r="AR225" s="13">
        <v>0</v>
      </c>
      <c r="AS225" s="13">
        <v>-75</v>
      </c>
      <c r="AT225" s="48">
        <f t="shared" si="68"/>
        <v>-37.5</v>
      </c>
      <c r="AU225" s="13"/>
      <c r="AV225" s="13">
        <v>0</v>
      </c>
      <c r="AW225" s="13">
        <v>-75</v>
      </c>
      <c r="AX225" s="48">
        <f t="shared" si="69"/>
        <v>-37.5</v>
      </c>
    </row>
    <row r="226" spans="1:50" ht="10.199999999999999" customHeight="1" x14ac:dyDescent="0.25">
      <c r="A226" s="14">
        <f t="shared" si="62"/>
        <v>28</v>
      </c>
      <c r="B226" s="102">
        <f t="shared" si="65"/>
        <v>37082</v>
      </c>
      <c r="C226" s="103">
        <v>37079</v>
      </c>
      <c r="D226" s="13"/>
      <c r="E226" s="13"/>
      <c r="F226" s="97"/>
      <c r="G226" s="13"/>
      <c r="H226" s="13"/>
      <c r="I226" s="13"/>
      <c r="J226" s="97"/>
      <c r="K226" s="13"/>
      <c r="L226" s="13"/>
      <c r="M226" s="13"/>
      <c r="N226" s="97"/>
      <c r="O226" s="13"/>
      <c r="P226" s="13"/>
      <c r="Q226" s="13"/>
      <c r="R226" s="97"/>
      <c r="S226" s="13"/>
      <c r="T226" s="13"/>
      <c r="U226" s="13"/>
      <c r="V226" s="97"/>
      <c r="W226" s="13"/>
      <c r="X226" s="13"/>
      <c r="Y226" s="13"/>
      <c r="Z226" s="97"/>
      <c r="AA226" s="13"/>
      <c r="AB226" s="13">
        <v>40</v>
      </c>
      <c r="AC226" s="13">
        <v>15</v>
      </c>
      <c r="AD226" s="48">
        <f t="shared" si="63"/>
        <v>27.5</v>
      </c>
      <c r="AE226" s="13"/>
      <c r="AF226" s="13">
        <v>25</v>
      </c>
      <c r="AG226" s="13">
        <v>-15</v>
      </c>
      <c r="AH226" s="48">
        <f t="shared" si="64"/>
        <v>5</v>
      </c>
      <c r="AI226" s="13"/>
      <c r="AJ226" s="13">
        <v>20</v>
      </c>
      <c r="AK226" s="13">
        <v>-15</v>
      </c>
      <c r="AL226" s="48">
        <f t="shared" si="66"/>
        <v>2.5</v>
      </c>
      <c r="AM226" s="13"/>
      <c r="AN226" s="13">
        <v>20</v>
      </c>
      <c r="AO226" s="13">
        <v>-10</v>
      </c>
      <c r="AP226" s="48">
        <f t="shared" si="67"/>
        <v>5</v>
      </c>
      <c r="AQ226" s="13"/>
      <c r="AR226" s="13">
        <v>0</v>
      </c>
      <c r="AS226" s="13">
        <v>-75</v>
      </c>
      <c r="AT226" s="48">
        <f t="shared" si="68"/>
        <v>-37.5</v>
      </c>
      <c r="AU226" s="13"/>
      <c r="AV226" s="13">
        <v>0</v>
      </c>
      <c r="AW226" s="13">
        <v>-75</v>
      </c>
      <c r="AX226" s="48">
        <f t="shared" si="69"/>
        <v>-37.5</v>
      </c>
    </row>
    <row r="227" spans="1:50" ht="10.199999999999999" customHeight="1" x14ac:dyDescent="0.25">
      <c r="A227" s="14">
        <f t="shared" si="62"/>
        <v>29</v>
      </c>
      <c r="B227" s="102">
        <f t="shared" si="65"/>
        <v>37089</v>
      </c>
      <c r="C227" s="103">
        <v>37086</v>
      </c>
      <c r="D227" s="13"/>
      <c r="E227" s="13"/>
      <c r="F227" s="97"/>
      <c r="G227" s="13"/>
      <c r="H227" s="13"/>
      <c r="I227" s="13"/>
      <c r="J227" s="97"/>
      <c r="K227" s="13"/>
      <c r="L227" s="13"/>
      <c r="M227" s="13"/>
      <c r="N227" s="97"/>
      <c r="O227" s="13"/>
      <c r="P227" s="13"/>
      <c r="Q227" s="13"/>
      <c r="R227" s="97"/>
      <c r="S227" s="13"/>
      <c r="T227" s="13"/>
      <c r="U227" s="13"/>
      <c r="V227" s="97"/>
      <c r="W227" s="13"/>
      <c r="X227" s="13"/>
      <c r="Y227" s="13"/>
      <c r="Z227" s="97"/>
      <c r="AA227" s="13"/>
      <c r="AB227" s="13">
        <v>65</v>
      </c>
      <c r="AC227" s="13">
        <v>0</v>
      </c>
      <c r="AD227" s="48">
        <f t="shared" si="63"/>
        <v>32.5</v>
      </c>
      <c r="AE227" s="13"/>
      <c r="AF227" s="13">
        <v>30</v>
      </c>
      <c r="AG227" s="13">
        <v>50</v>
      </c>
      <c r="AH227" s="48">
        <f t="shared" si="64"/>
        <v>40</v>
      </c>
      <c r="AI227" s="13"/>
      <c r="AJ227" s="13">
        <v>35</v>
      </c>
      <c r="AK227" s="13">
        <v>30</v>
      </c>
      <c r="AL227" s="48">
        <f t="shared" si="66"/>
        <v>32.5</v>
      </c>
      <c r="AM227" s="13"/>
      <c r="AN227" s="13">
        <v>35</v>
      </c>
      <c r="AO227" s="13">
        <v>20</v>
      </c>
      <c r="AP227" s="48">
        <f t="shared" si="67"/>
        <v>27.5</v>
      </c>
      <c r="AQ227" s="13"/>
      <c r="AR227" s="13">
        <v>0</v>
      </c>
      <c r="AS227" s="13">
        <v>-15</v>
      </c>
      <c r="AT227" s="48">
        <f t="shared" si="68"/>
        <v>-7.5</v>
      </c>
      <c r="AU227" s="13"/>
      <c r="AV227" s="13">
        <v>5</v>
      </c>
      <c r="AW227" s="13">
        <v>-50</v>
      </c>
      <c r="AX227" s="48">
        <f t="shared" si="69"/>
        <v>-22.5</v>
      </c>
    </row>
    <row r="228" spans="1:50" ht="10.199999999999999" customHeight="1" x14ac:dyDescent="0.25">
      <c r="A228" s="14">
        <f t="shared" si="62"/>
        <v>30</v>
      </c>
      <c r="B228" s="102">
        <f t="shared" si="65"/>
        <v>37096</v>
      </c>
      <c r="C228" s="103">
        <v>37093</v>
      </c>
      <c r="D228" s="13">
        <v>0</v>
      </c>
      <c r="E228" s="13">
        <v>0</v>
      </c>
      <c r="F228" s="48">
        <f t="shared" ref="F228:F241" si="70">AVERAGE(D228,E228)</f>
        <v>0</v>
      </c>
      <c r="G228" s="13"/>
      <c r="H228" s="13"/>
      <c r="I228" s="13"/>
      <c r="J228" s="97"/>
      <c r="K228" s="13"/>
      <c r="L228" s="13"/>
      <c r="M228" s="13"/>
      <c r="N228" s="97"/>
      <c r="O228" s="13"/>
      <c r="P228" s="13"/>
      <c r="Q228" s="13"/>
      <c r="R228" s="97"/>
      <c r="S228" s="13"/>
      <c r="T228" s="13"/>
      <c r="U228" s="13"/>
      <c r="V228" s="97"/>
      <c r="W228" s="13"/>
      <c r="X228" s="13"/>
      <c r="Y228" s="13"/>
      <c r="Z228" s="97"/>
      <c r="AA228" s="13"/>
      <c r="AB228" s="13"/>
      <c r="AC228" s="13"/>
      <c r="AD228" s="97"/>
      <c r="AE228" s="13"/>
      <c r="AF228" s="13">
        <v>30</v>
      </c>
      <c r="AG228" s="13">
        <v>60</v>
      </c>
      <c r="AH228" s="48">
        <f t="shared" si="64"/>
        <v>45</v>
      </c>
      <c r="AI228" s="13"/>
      <c r="AJ228" s="13">
        <v>40</v>
      </c>
      <c r="AK228" s="13">
        <v>30</v>
      </c>
      <c r="AL228" s="48">
        <f t="shared" si="66"/>
        <v>35</v>
      </c>
      <c r="AM228" s="13"/>
      <c r="AN228" s="13">
        <v>40</v>
      </c>
      <c r="AO228" s="13">
        <v>20</v>
      </c>
      <c r="AP228" s="48">
        <f t="shared" si="67"/>
        <v>30</v>
      </c>
      <c r="AQ228" s="13"/>
      <c r="AR228" s="13">
        <v>0</v>
      </c>
      <c r="AS228" s="13">
        <v>-15</v>
      </c>
      <c r="AT228" s="48">
        <f t="shared" si="68"/>
        <v>-7.5</v>
      </c>
      <c r="AU228" s="13"/>
      <c r="AV228" s="13">
        <v>0</v>
      </c>
      <c r="AW228" s="13">
        <v>-50</v>
      </c>
      <c r="AX228" s="48">
        <f t="shared" si="69"/>
        <v>-25</v>
      </c>
    </row>
    <row r="229" spans="1:50" ht="10.199999999999999" customHeight="1" x14ac:dyDescent="0.25">
      <c r="A229" s="14">
        <f t="shared" si="62"/>
        <v>31</v>
      </c>
      <c r="B229" s="102">
        <f t="shared" si="65"/>
        <v>37103</v>
      </c>
      <c r="C229" s="103">
        <v>37100</v>
      </c>
      <c r="D229" s="13">
        <v>0</v>
      </c>
      <c r="E229" s="13">
        <v>0</v>
      </c>
      <c r="F229" s="48">
        <f t="shared" si="70"/>
        <v>0</v>
      </c>
      <c r="G229" s="13"/>
      <c r="H229" s="13"/>
      <c r="I229" s="13"/>
      <c r="J229" s="97"/>
      <c r="K229" s="13"/>
      <c r="L229" s="13"/>
      <c r="M229" s="13"/>
      <c r="N229" s="97"/>
      <c r="O229" s="13"/>
      <c r="P229" s="13"/>
      <c r="Q229" s="13"/>
      <c r="R229" s="97"/>
      <c r="S229" s="13"/>
      <c r="T229" s="13"/>
      <c r="U229" s="13"/>
      <c r="V229" s="97"/>
      <c r="W229" s="13"/>
      <c r="X229" s="13"/>
      <c r="Y229" s="13"/>
      <c r="Z229" s="97"/>
      <c r="AA229" s="13"/>
      <c r="AB229" s="13"/>
      <c r="AC229" s="13"/>
      <c r="AD229" s="97"/>
      <c r="AE229" s="13"/>
      <c r="AF229" s="13">
        <v>20</v>
      </c>
      <c r="AG229" s="13">
        <v>40</v>
      </c>
      <c r="AH229" s="48">
        <f t="shared" si="64"/>
        <v>30</v>
      </c>
      <c r="AI229" s="13"/>
      <c r="AJ229" s="13">
        <v>25</v>
      </c>
      <c r="AK229" s="13">
        <v>35</v>
      </c>
      <c r="AL229" s="48">
        <f t="shared" si="66"/>
        <v>30</v>
      </c>
      <c r="AM229" s="13"/>
      <c r="AN229" s="13">
        <v>35</v>
      </c>
      <c r="AO229" s="13">
        <v>20</v>
      </c>
      <c r="AP229" s="48">
        <f t="shared" si="67"/>
        <v>27.5</v>
      </c>
      <c r="AQ229" s="13"/>
      <c r="AR229" s="13">
        <v>0</v>
      </c>
      <c r="AS229" s="13">
        <v>-15</v>
      </c>
      <c r="AT229" s="48">
        <f t="shared" si="68"/>
        <v>-7.5</v>
      </c>
      <c r="AU229" s="13"/>
      <c r="AV229" s="13">
        <v>-10</v>
      </c>
      <c r="AW229" s="13">
        <v>-50</v>
      </c>
      <c r="AX229" s="48">
        <f t="shared" si="69"/>
        <v>-30</v>
      </c>
    </row>
    <row r="230" spans="1:50" ht="10.199999999999999" customHeight="1" x14ac:dyDescent="0.25">
      <c r="A230" s="14">
        <f t="shared" si="62"/>
        <v>32</v>
      </c>
      <c r="B230" s="102">
        <f t="shared" si="65"/>
        <v>37110</v>
      </c>
      <c r="C230" s="103">
        <v>37107</v>
      </c>
      <c r="D230" s="13">
        <v>0</v>
      </c>
      <c r="E230" s="13">
        <v>0</v>
      </c>
      <c r="F230" s="48">
        <f t="shared" si="70"/>
        <v>0</v>
      </c>
      <c r="G230" s="13"/>
      <c r="H230" s="13"/>
      <c r="I230" s="13"/>
      <c r="J230" s="97"/>
      <c r="K230" s="13"/>
      <c r="L230" s="13"/>
      <c r="M230" s="13"/>
      <c r="N230" s="97"/>
      <c r="O230" s="13"/>
      <c r="P230" s="13"/>
      <c r="Q230" s="13"/>
      <c r="R230" s="97"/>
      <c r="S230" s="13"/>
      <c r="T230" s="13"/>
      <c r="U230" s="13"/>
      <c r="V230" s="97"/>
      <c r="W230" s="13"/>
      <c r="X230" s="13"/>
      <c r="Y230" s="13"/>
      <c r="Z230" s="97"/>
      <c r="AA230" s="13"/>
      <c r="AB230" s="13"/>
      <c r="AC230" s="13"/>
      <c r="AD230" s="97"/>
      <c r="AE230" s="13"/>
      <c r="AF230" s="13">
        <v>30</v>
      </c>
      <c r="AG230" s="13">
        <v>0</v>
      </c>
      <c r="AH230" s="48">
        <f t="shared" si="64"/>
        <v>15</v>
      </c>
      <c r="AI230" s="13"/>
      <c r="AJ230" s="13">
        <v>30</v>
      </c>
      <c r="AK230" s="13">
        <v>35</v>
      </c>
      <c r="AL230" s="48">
        <f t="shared" si="66"/>
        <v>32.5</v>
      </c>
      <c r="AM230" s="13"/>
      <c r="AN230" s="13">
        <v>35</v>
      </c>
      <c r="AO230" s="13">
        <v>30</v>
      </c>
      <c r="AP230" s="48">
        <f t="shared" si="67"/>
        <v>32.5</v>
      </c>
      <c r="AQ230" s="13"/>
      <c r="AR230" s="13">
        <v>0</v>
      </c>
      <c r="AS230" s="13">
        <v>30</v>
      </c>
      <c r="AT230" s="48">
        <f t="shared" si="68"/>
        <v>15</v>
      </c>
      <c r="AU230" s="13"/>
      <c r="AV230" s="13">
        <v>-10</v>
      </c>
      <c r="AW230" s="13">
        <v>-50</v>
      </c>
      <c r="AX230" s="48">
        <f t="shared" si="69"/>
        <v>-30</v>
      </c>
    </row>
    <row r="231" spans="1:50" ht="10.199999999999999" customHeight="1" x14ac:dyDescent="0.25">
      <c r="A231" s="14">
        <f t="shared" si="62"/>
        <v>33</v>
      </c>
      <c r="B231" s="102">
        <f t="shared" si="65"/>
        <v>37117</v>
      </c>
      <c r="C231" s="103">
        <v>37114</v>
      </c>
      <c r="D231" s="13">
        <v>0</v>
      </c>
      <c r="E231" s="13">
        <v>0</v>
      </c>
      <c r="F231" s="48">
        <f t="shared" si="70"/>
        <v>0</v>
      </c>
      <c r="G231" s="13"/>
      <c r="H231" s="13"/>
      <c r="I231" s="13"/>
      <c r="J231" s="97"/>
      <c r="K231" s="13"/>
      <c r="L231" s="13"/>
      <c r="M231" s="13"/>
      <c r="N231" s="97"/>
      <c r="O231" s="13"/>
      <c r="P231" s="13"/>
      <c r="Q231" s="13"/>
      <c r="R231" s="97"/>
      <c r="S231" s="13"/>
      <c r="T231" s="13"/>
      <c r="U231" s="13"/>
      <c r="V231" s="97"/>
      <c r="W231" s="13"/>
      <c r="X231" s="13"/>
      <c r="Y231" s="13"/>
      <c r="Z231" s="97"/>
      <c r="AA231" s="13"/>
      <c r="AB231" s="13"/>
      <c r="AC231" s="13"/>
      <c r="AD231" s="97"/>
      <c r="AE231" s="13"/>
      <c r="AF231" s="13">
        <v>50</v>
      </c>
      <c r="AG231" s="13">
        <v>0</v>
      </c>
      <c r="AH231" s="48">
        <f t="shared" si="64"/>
        <v>25</v>
      </c>
      <c r="AI231" s="13"/>
      <c r="AJ231" s="13">
        <v>45</v>
      </c>
      <c r="AK231" s="13">
        <v>15</v>
      </c>
      <c r="AL231" s="48">
        <f t="shared" si="66"/>
        <v>30</v>
      </c>
      <c r="AM231" s="13"/>
      <c r="AN231" s="13">
        <v>45</v>
      </c>
      <c r="AO231" s="13">
        <v>15</v>
      </c>
      <c r="AP231" s="48">
        <f t="shared" si="67"/>
        <v>30</v>
      </c>
      <c r="AQ231" s="13"/>
      <c r="AR231" s="13">
        <v>0</v>
      </c>
      <c r="AS231" s="13">
        <v>-50</v>
      </c>
      <c r="AT231" s="48">
        <f t="shared" si="68"/>
        <v>-25</v>
      </c>
      <c r="AU231" s="13"/>
      <c r="AV231" s="13">
        <v>-10</v>
      </c>
      <c r="AW231" s="13">
        <v>-50</v>
      </c>
      <c r="AX231" s="48">
        <f t="shared" si="69"/>
        <v>-30</v>
      </c>
    </row>
    <row r="232" spans="1:50" ht="10.199999999999999" customHeight="1" x14ac:dyDescent="0.25">
      <c r="A232" s="14">
        <f t="shared" ref="A232:A250" si="71">+A231+1</f>
        <v>34</v>
      </c>
      <c r="B232" s="102">
        <f t="shared" si="65"/>
        <v>37124</v>
      </c>
      <c r="C232" s="103">
        <v>37121</v>
      </c>
      <c r="D232" s="13">
        <v>0</v>
      </c>
      <c r="E232" s="13">
        <v>-25</v>
      </c>
      <c r="F232" s="48">
        <f t="shared" si="70"/>
        <v>-12.5</v>
      </c>
      <c r="G232" s="13"/>
      <c r="H232" s="13">
        <v>0</v>
      </c>
      <c r="I232" s="13">
        <v>0</v>
      </c>
      <c r="J232" s="48">
        <f t="shared" ref="J232:J241" si="72">AVERAGE(H232,I232)</f>
        <v>0</v>
      </c>
      <c r="K232" s="13"/>
      <c r="L232" s="13"/>
      <c r="M232" s="13"/>
      <c r="N232" s="97"/>
      <c r="O232" s="13"/>
      <c r="P232" s="13"/>
      <c r="Q232" s="13"/>
      <c r="R232" s="97"/>
      <c r="S232" s="13"/>
      <c r="T232" s="13"/>
      <c r="U232" s="13"/>
      <c r="V232" s="97"/>
      <c r="W232" s="13"/>
      <c r="X232" s="13"/>
      <c r="Y232" s="13"/>
      <c r="Z232" s="97"/>
      <c r="AA232" s="13"/>
      <c r="AB232" s="13"/>
      <c r="AC232" s="13"/>
      <c r="AD232" s="97"/>
      <c r="AE232" s="13"/>
      <c r="AF232" s="13"/>
      <c r="AG232" s="13"/>
      <c r="AH232" s="97"/>
      <c r="AI232" s="13"/>
      <c r="AJ232" s="13">
        <v>100</v>
      </c>
      <c r="AK232" s="13">
        <v>10</v>
      </c>
      <c r="AL232" s="48">
        <f t="shared" si="66"/>
        <v>55</v>
      </c>
      <c r="AM232" s="13"/>
      <c r="AN232" s="13">
        <v>80</v>
      </c>
      <c r="AO232" s="13">
        <v>15</v>
      </c>
      <c r="AP232" s="48">
        <f t="shared" si="67"/>
        <v>47.5</v>
      </c>
      <c r="AQ232" s="13"/>
      <c r="AR232" s="13">
        <v>15</v>
      </c>
      <c r="AS232" s="13">
        <v>-50</v>
      </c>
      <c r="AT232" s="48">
        <f t="shared" si="68"/>
        <v>-17.5</v>
      </c>
      <c r="AU232" s="13"/>
      <c r="AV232" s="13">
        <v>-10</v>
      </c>
      <c r="AW232" s="13">
        <v>-50</v>
      </c>
      <c r="AX232" s="48">
        <f t="shared" si="69"/>
        <v>-30</v>
      </c>
    </row>
    <row r="233" spans="1:50" ht="10.199999999999999" customHeight="1" x14ac:dyDescent="0.25">
      <c r="A233" s="14">
        <f t="shared" si="71"/>
        <v>35</v>
      </c>
      <c r="B233" s="102">
        <f t="shared" si="65"/>
        <v>37131</v>
      </c>
      <c r="C233" s="103">
        <v>37128</v>
      </c>
      <c r="D233" s="13">
        <v>0</v>
      </c>
      <c r="E233" s="13">
        <v>-25</v>
      </c>
      <c r="F233" s="48">
        <f t="shared" si="70"/>
        <v>-12.5</v>
      </c>
      <c r="G233" s="13"/>
      <c r="H233" s="13">
        <v>0</v>
      </c>
      <c r="I233" s="13">
        <v>0</v>
      </c>
      <c r="J233" s="48">
        <f t="shared" si="72"/>
        <v>0</v>
      </c>
      <c r="K233" s="13"/>
      <c r="L233" s="13"/>
      <c r="M233" s="13"/>
      <c r="N233" s="97"/>
      <c r="O233" s="13"/>
      <c r="P233" s="13"/>
      <c r="Q233" s="13"/>
      <c r="R233" s="97"/>
      <c r="S233" s="13"/>
      <c r="T233" s="13"/>
      <c r="U233" s="13"/>
      <c r="V233" s="97"/>
      <c r="W233" s="13"/>
      <c r="X233" s="13"/>
      <c r="Y233" s="13"/>
      <c r="Z233" s="97"/>
      <c r="AA233" s="13"/>
      <c r="AB233" s="13"/>
      <c r="AC233" s="13"/>
      <c r="AD233" s="97"/>
      <c r="AE233" s="13"/>
      <c r="AF233" s="13"/>
      <c r="AG233" s="13"/>
      <c r="AH233" s="97"/>
      <c r="AI233" s="13"/>
      <c r="AJ233" s="13">
        <v>100</v>
      </c>
      <c r="AK233" s="13">
        <v>25</v>
      </c>
      <c r="AL233" s="48">
        <f t="shared" si="66"/>
        <v>62.5</v>
      </c>
      <c r="AM233" s="13"/>
      <c r="AN233" s="13">
        <v>80</v>
      </c>
      <c r="AO233" s="13">
        <v>15</v>
      </c>
      <c r="AP233" s="48">
        <f t="shared" si="67"/>
        <v>47.5</v>
      </c>
      <c r="AQ233" s="13"/>
      <c r="AR233" s="13">
        <v>15</v>
      </c>
      <c r="AS233" s="13">
        <v>-50</v>
      </c>
      <c r="AT233" s="48">
        <f t="shared" si="68"/>
        <v>-17.5</v>
      </c>
      <c r="AU233" s="13"/>
      <c r="AV233" s="13">
        <v>-10</v>
      </c>
      <c r="AW233" s="13">
        <v>-50</v>
      </c>
      <c r="AX233" s="48">
        <f t="shared" si="69"/>
        <v>-30</v>
      </c>
    </row>
    <row r="234" spans="1:50" ht="10.199999999999999" customHeight="1" x14ac:dyDescent="0.25">
      <c r="A234" s="14">
        <f t="shared" si="71"/>
        <v>36</v>
      </c>
      <c r="B234" s="102">
        <f t="shared" si="65"/>
        <v>37138</v>
      </c>
      <c r="C234" s="103">
        <v>37135</v>
      </c>
      <c r="D234" s="13">
        <v>5</v>
      </c>
      <c r="E234" s="13">
        <v>-25</v>
      </c>
      <c r="F234" s="48">
        <f t="shared" si="70"/>
        <v>-10</v>
      </c>
      <c r="G234" s="13"/>
      <c r="H234" s="13">
        <v>5</v>
      </c>
      <c r="I234" s="13">
        <v>0</v>
      </c>
      <c r="J234" s="48">
        <f t="shared" si="72"/>
        <v>2.5</v>
      </c>
      <c r="K234" s="13"/>
      <c r="L234" s="13"/>
      <c r="M234" s="13"/>
      <c r="N234" s="97"/>
      <c r="O234" s="13"/>
      <c r="P234" s="13"/>
      <c r="Q234" s="13"/>
      <c r="R234" s="97"/>
      <c r="S234" s="13"/>
      <c r="T234" s="13"/>
      <c r="U234" s="13"/>
      <c r="V234" s="97"/>
      <c r="W234" s="13"/>
      <c r="X234" s="13"/>
      <c r="Y234" s="13"/>
      <c r="Z234" s="97"/>
      <c r="AA234" s="13"/>
      <c r="AB234" s="13"/>
      <c r="AC234" s="13"/>
      <c r="AD234" s="97"/>
      <c r="AE234" s="13"/>
      <c r="AF234" s="13"/>
      <c r="AG234" s="13"/>
      <c r="AH234" s="97"/>
      <c r="AI234" s="13"/>
      <c r="AJ234" s="13">
        <v>100</v>
      </c>
      <c r="AK234" s="13">
        <v>20</v>
      </c>
      <c r="AL234" s="48">
        <f t="shared" si="66"/>
        <v>60</v>
      </c>
      <c r="AM234" s="13"/>
      <c r="AN234" s="13">
        <v>80</v>
      </c>
      <c r="AO234" s="13">
        <v>15</v>
      </c>
      <c r="AP234" s="48">
        <f t="shared" si="67"/>
        <v>47.5</v>
      </c>
      <c r="AQ234" s="13"/>
      <c r="AR234" s="13">
        <v>10</v>
      </c>
      <c r="AS234" s="13">
        <v>-50</v>
      </c>
      <c r="AT234" s="48">
        <f t="shared" si="68"/>
        <v>-20</v>
      </c>
      <c r="AU234" s="13"/>
      <c r="AV234" s="13">
        <v>0</v>
      </c>
      <c r="AW234" s="13">
        <v>-50</v>
      </c>
      <c r="AX234" s="48">
        <f t="shared" si="69"/>
        <v>-25</v>
      </c>
    </row>
    <row r="235" spans="1:50" ht="10.199999999999999" customHeight="1" x14ac:dyDescent="0.25">
      <c r="A235" s="14">
        <f t="shared" si="71"/>
        <v>37</v>
      </c>
      <c r="B235" s="102">
        <f t="shared" si="65"/>
        <v>37145</v>
      </c>
      <c r="C235" s="103">
        <v>37142</v>
      </c>
      <c r="D235" s="13">
        <v>0</v>
      </c>
      <c r="E235" s="13">
        <v>-25</v>
      </c>
      <c r="F235" s="48">
        <f t="shared" si="70"/>
        <v>-12.5</v>
      </c>
      <c r="G235" s="13"/>
      <c r="H235" s="13">
        <v>0</v>
      </c>
      <c r="I235" s="13">
        <v>-40</v>
      </c>
      <c r="J235" s="48">
        <f t="shared" si="72"/>
        <v>-20</v>
      </c>
      <c r="K235" s="13"/>
      <c r="L235" s="13"/>
      <c r="M235" s="13"/>
      <c r="N235" s="97"/>
      <c r="O235" s="13"/>
      <c r="P235" s="13"/>
      <c r="Q235" s="13"/>
      <c r="R235" s="97"/>
      <c r="S235" s="13"/>
      <c r="T235" s="13"/>
      <c r="U235" s="13"/>
      <c r="V235" s="97"/>
      <c r="W235" s="13"/>
      <c r="X235" s="13"/>
      <c r="Y235" s="13"/>
      <c r="Z235" s="97"/>
      <c r="AA235" s="13"/>
      <c r="AB235" s="13"/>
      <c r="AC235" s="13"/>
      <c r="AD235" s="97"/>
      <c r="AE235" s="13"/>
      <c r="AF235" s="13"/>
      <c r="AG235" s="13"/>
      <c r="AH235" s="97"/>
      <c r="AI235" s="13"/>
      <c r="AJ235" s="13">
        <v>160</v>
      </c>
      <c r="AK235" s="13">
        <v>35</v>
      </c>
      <c r="AL235" s="48">
        <f t="shared" si="66"/>
        <v>97.5</v>
      </c>
      <c r="AM235" s="13"/>
      <c r="AN235" s="13">
        <v>102</v>
      </c>
      <c r="AO235" s="13">
        <v>15</v>
      </c>
      <c r="AP235" s="48">
        <f t="shared" si="67"/>
        <v>58.5</v>
      </c>
      <c r="AQ235" s="13"/>
      <c r="AR235" s="13">
        <v>10</v>
      </c>
      <c r="AS235" s="13">
        <v>-50</v>
      </c>
      <c r="AT235" s="48">
        <f t="shared" si="68"/>
        <v>-20</v>
      </c>
      <c r="AU235" s="13"/>
      <c r="AV235" s="13">
        <v>0</v>
      </c>
      <c r="AW235" s="13">
        <v>-50</v>
      </c>
      <c r="AX235" s="48">
        <f t="shared" si="69"/>
        <v>-25</v>
      </c>
    </row>
    <row r="236" spans="1:50" ht="10.199999999999999" customHeight="1" x14ac:dyDescent="0.25">
      <c r="A236" s="14">
        <f t="shared" si="71"/>
        <v>38</v>
      </c>
      <c r="B236" s="102">
        <f t="shared" si="65"/>
        <v>37152</v>
      </c>
      <c r="C236" s="103">
        <v>37149</v>
      </c>
      <c r="D236" s="13">
        <v>5</v>
      </c>
      <c r="E236" s="13">
        <v>-25</v>
      </c>
      <c r="F236" s="48">
        <f t="shared" si="70"/>
        <v>-10</v>
      </c>
      <c r="G236" s="13"/>
      <c r="H236" s="13">
        <v>5</v>
      </c>
      <c r="I236" s="13">
        <v>-40</v>
      </c>
      <c r="J236" s="48">
        <f t="shared" si="72"/>
        <v>-17.5</v>
      </c>
      <c r="K236" s="13"/>
      <c r="L236" s="13"/>
      <c r="M236" s="13"/>
      <c r="N236" s="97"/>
      <c r="O236" s="13"/>
      <c r="P236" s="13"/>
      <c r="Q236" s="13"/>
      <c r="R236" s="97"/>
      <c r="S236" s="13"/>
      <c r="T236" s="13"/>
      <c r="U236" s="13"/>
      <c r="V236" s="97"/>
      <c r="W236" s="13"/>
      <c r="X236" s="13"/>
      <c r="Y236" s="13"/>
      <c r="Z236" s="97"/>
      <c r="AA236" s="13"/>
      <c r="AB236" s="13"/>
      <c r="AC236" s="13"/>
      <c r="AD236" s="97"/>
      <c r="AE236" s="13"/>
      <c r="AF236" s="13"/>
      <c r="AG236" s="13"/>
      <c r="AH236" s="97"/>
      <c r="AI236" s="13"/>
      <c r="AJ236" s="13">
        <v>0</v>
      </c>
      <c r="AK236" s="13">
        <v>0</v>
      </c>
      <c r="AL236" s="48">
        <f t="shared" si="66"/>
        <v>0</v>
      </c>
      <c r="AM236" s="13"/>
      <c r="AN236" s="13">
        <v>100</v>
      </c>
      <c r="AO236" s="13">
        <v>25</v>
      </c>
      <c r="AP236" s="48">
        <f t="shared" si="67"/>
        <v>62.5</v>
      </c>
      <c r="AQ236" s="13"/>
      <c r="AR236" s="13">
        <v>10</v>
      </c>
      <c r="AS236" s="13">
        <v>-50</v>
      </c>
      <c r="AT236" s="48">
        <f t="shared" si="68"/>
        <v>-20</v>
      </c>
      <c r="AU236" s="13"/>
      <c r="AV236" s="13">
        <v>5</v>
      </c>
      <c r="AW236" s="13">
        <v>-50</v>
      </c>
      <c r="AX236" s="48">
        <f t="shared" si="69"/>
        <v>-22.5</v>
      </c>
    </row>
    <row r="237" spans="1:50" ht="10.199999999999999" customHeight="1" x14ac:dyDescent="0.25">
      <c r="A237" s="14">
        <f t="shared" si="71"/>
        <v>39</v>
      </c>
      <c r="B237" s="102">
        <f t="shared" si="65"/>
        <v>37159</v>
      </c>
      <c r="C237" s="103">
        <v>37156</v>
      </c>
      <c r="D237" s="13">
        <v>0</v>
      </c>
      <c r="E237" s="13">
        <v>-60</v>
      </c>
      <c r="F237" s="48">
        <f t="shared" si="70"/>
        <v>-30</v>
      </c>
      <c r="G237" s="13"/>
      <c r="H237" s="13">
        <v>0</v>
      </c>
      <c r="I237" s="13">
        <v>0</v>
      </c>
      <c r="J237" s="48">
        <f t="shared" si="72"/>
        <v>0</v>
      </c>
      <c r="K237" s="13"/>
      <c r="L237" s="13">
        <v>0</v>
      </c>
      <c r="M237" s="13">
        <v>0</v>
      </c>
      <c r="N237" s="48">
        <f>AVERAGE(L237,M237)</f>
        <v>0</v>
      </c>
      <c r="O237" s="13"/>
      <c r="P237" s="13"/>
      <c r="Q237" s="13"/>
      <c r="R237" s="97"/>
      <c r="S237" s="13"/>
      <c r="T237" s="13"/>
      <c r="U237" s="13"/>
      <c r="V237" s="97"/>
      <c r="W237" s="13"/>
      <c r="X237" s="13"/>
      <c r="Y237" s="13"/>
      <c r="Z237" s="97"/>
      <c r="AA237" s="13"/>
      <c r="AB237" s="13"/>
      <c r="AC237" s="13"/>
      <c r="AD237" s="97"/>
      <c r="AE237" s="13"/>
      <c r="AF237" s="13"/>
      <c r="AG237" s="13"/>
      <c r="AH237" s="97"/>
      <c r="AI237" s="13"/>
      <c r="AJ237" s="13"/>
      <c r="AK237" s="13"/>
      <c r="AL237" s="97"/>
      <c r="AM237" s="13"/>
      <c r="AN237" s="13">
        <v>-20</v>
      </c>
      <c r="AO237" s="13">
        <v>-40</v>
      </c>
      <c r="AP237" s="48">
        <f t="shared" si="67"/>
        <v>-30</v>
      </c>
      <c r="AQ237" s="13"/>
      <c r="AR237" s="13">
        <v>-20</v>
      </c>
      <c r="AS237" s="13">
        <v>-70</v>
      </c>
      <c r="AT237" s="48">
        <f t="shared" si="68"/>
        <v>-45</v>
      </c>
      <c r="AU237" s="13"/>
      <c r="AV237" s="13">
        <v>0</v>
      </c>
      <c r="AW237" s="13">
        <v>-60</v>
      </c>
      <c r="AX237" s="48">
        <f t="shared" si="69"/>
        <v>-30</v>
      </c>
    </row>
    <row r="238" spans="1:50" ht="10.199999999999999" customHeight="1" x14ac:dyDescent="0.25">
      <c r="A238" s="14">
        <f t="shared" si="71"/>
        <v>40</v>
      </c>
      <c r="B238" s="102">
        <f t="shared" si="65"/>
        <v>37166</v>
      </c>
      <c r="C238" s="103">
        <v>37163</v>
      </c>
      <c r="D238" s="13">
        <v>0</v>
      </c>
      <c r="E238" s="13">
        <v>-50</v>
      </c>
      <c r="F238" s="48">
        <f t="shared" si="70"/>
        <v>-25</v>
      </c>
      <c r="G238" s="13"/>
      <c r="H238" s="13">
        <v>0</v>
      </c>
      <c r="I238" s="13">
        <v>-60</v>
      </c>
      <c r="J238" s="48">
        <f t="shared" si="72"/>
        <v>-30</v>
      </c>
      <c r="K238" s="13"/>
      <c r="L238" s="13">
        <v>0</v>
      </c>
      <c r="M238" s="13">
        <v>-60</v>
      </c>
      <c r="N238" s="48">
        <f>AVERAGE(L238,M238)</f>
        <v>-30</v>
      </c>
      <c r="O238" s="13"/>
      <c r="P238" s="13"/>
      <c r="Q238" s="13"/>
      <c r="R238" s="97"/>
      <c r="S238" s="13"/>
      <c r="T238" s="13"/>
      <c r="U238" s="13"/>
      <c r="V238" s="97"/>
      <c r="W238" s="13"/>
      <c r="X238" s="13"/>
      <c r="Y238" s="13"/>
      <c r="Z238" s="97"/>
      <c r="AA238" s="13"/>
      <c r="AB238" s="13"/>
      <c r="AC238" s="13"/>
      <c r="AD238" s="97"/>
      <c r="AE238" s="13"/>
      <c r="AF238" s="13"/>
      <c r="AG238" s="13"/>
      <c r="AH238" s="97"/>
      <c r="AI238" s="13"/>
      <c r="AJ238" s="13"/>
      <c r="AK238" s="13"/>
      <c r="AL238" s="97"/>
      <c r="AM238" s="13"/>
      <c r="AN238" s="13">
        <v>35</v>
      </c>
      <c r="AO238" s="13">
        <v>0</v>
      </c>
      <c r="AP238" s="48">
        <f t="shared" si="67"/>
        <v>17.5</v>
      </c>
      <c r="AQ238" s="13"/>
      <c r="AR238" s="13">
        <v>0</v>
      </c>
      <c r="AS238" s="13">
        <v>-60</v>
      </c>
      <c r="AT238" s="48">
        <f t="shared" si="68"/>
        <v>-30</v>
      </c>
      <c r="AU238" s="13"/>
      <c r="AV238" s="13">
        <v>0</v>
      </c>
      <c r="AW238" s="13">
        <v>-60</v>
      </c>
      <c r="AX238" s="48">
        <f t="shared" si="69"/>
        <v>-30</v>
      </c>
    </row>
    <row r="239" spans="1:50" ht="10.199999999999999" customHeight="1" x14ac:dyDescent="0.25">
      <c r="A239" s="14">
        <f t="shared" si="71"/>
        <v>41</v>
      </c>
      <c r="B239" s="102">
        <f t="shared" si="65"/>
        <v>37173</v>
      </c>
      <c r="C239" s="103">
        <v>37170</v>
      </c>
      <c r="D239" s="13">
        <v>0</v>
      </c>
      <c r="E239" s="13">
        <v>-50</v>
      </c>
      <c r="F239" s="48">
        <f t="shared" si="70"/>
        <v>-25</v>
      </c>
      <c r="G239" s="13"/>
      <c r="H239" s="13">
        <v>0</v>
      </c>
      <c r="I239" s="13">
        <v>-60</v>
      </c>
      <c r="J239" s="48">
        <f t="shared" si="72"/>
        <v>-30</v>
      </c>
      <c r="K239" s="13"/>
      <c r="L239" s="13">
        <v>0</v>
      </c>
      <c r="M239" s="13">
        <v>-60</v>
      </c>
      <c r="N239" s="48">
        <f>AVERAGE(L239,M239)</f>
        <v>-30</v>
      </c>
      <c r="O239" s="13"/>
      <c r="P239" s="13"/>
      <c r="Q239" s="13"/>
      <c r="R239" s="97"/>
      <c r="S239" s="13"/>
      <c r="T239" s="13"/>
      <c r="U239" s="13"/>
      <c r="V239" s="97"/>
      <c r="W239" s="13"/>
      <c r="X239" s="13"/>
      <c r="Y239" s="13"/>
      <c r="Z239" s="97"/>
      <c r="AA239" s="13"/>
      <c r="AB239" s="13"/>
      <c r="AC239" s="13"/>
      <c r="AD239" s="97"/>
      <c r="AE239" s="13"/>
      <c r="AF239" s="13"/>
      <c r="AG239" s="13"/>
      <c r="AH239" s="97"/>
      <c r="AI239" s="13"/>
      <c r="AJ239" s="13"/>
      <c r="AK239" s="13"/>
      <c r="AL239" s="97"/>
      <c r="AM239" s="13"/>
      <c r="AN239" s="13">
        <v>0</v>
      </c>
      <c r="AO239" s="13">
        <v>0</v>
      </c>
      <c r="AP239" s="48">
        <f t="shared" si="67"/>
        <v>0</v>
      </c>
      <c r="AQ239" s="13"/>
      <c r="AR239" s="13">
        <v>-30</v>
      </c>
      <c r="AS239" s="13">
        <v>-70</v>
      </c>
      <c r="AT239" s="48">
        <f t="shared" si="68"/>
        <v>-50</v>
      </c>
      <c r="AU239" s="13"/>
      <c r="AV239" s="13">
        <v>-30</v>
      </c>
      <c r="AW239" s="13">
        <v>-70</v>
      </c>
      <c r="AX239" s="48">
        <f t="shared" si="69"/>
        <v>-50</v>
      </c>
    </row>
    <row r="240" spans="1:50" ht="10.199999999999999" customHeight="1" x14ac:dyDescent="0.25">
      <c r="A240" s="14">
        <f t="shared" si="71"/>
        <v>42</v>
      </c>
      <c r="B240" s="102">
        <f t="shared" si="65"/>
        <v>37180</v>
      </c>
      <c r="C240" s="103">
        <v>37177</v>
      </c>
      <c r="D240" s="13">
        <v>-20</v>
      </c>
      <c r="E240" s="13">
        <v>-50</v>
      </c>
      <c r="F240" s="48">
        <f t="shared" si="70"/>
        <v>-35</v>
      </c>
      <c r="G240" s="13"/>
      <c r="H240" s="13">
        <v>-20</v>
      </c>
      <c r="I240" s="13">
        <v>-60</v>
      </c>
      <c r="J240" s="48">
        <f t="shared" si="72"/>
        <v>-40</v>
      </c>
      <c r="K240" s="13"/>
      <c r="L240" s="13">
        <v>-20</v>
      </c>
      <c r="M240" s="13">
        <v>-60</v>
      </c>
      <c r="N240" s="48">
        <f>AVERAGE(L240,M240)</f>
        <v>-40</v>
      </c>
      <c r="O240" s="13"/>
      <c r="P240" s="13"/>
      <c r="Q240" s="13"/>
      <c r="R240" s="97"/>
      <c r="S240" s="13"/>
      <c r="T240" s="13"/>
      <c r="U240" s="13"/>
      <c r="V240" s="97"/>
      <c r="W240" s="13"/>
      <c r="X240" s="13"/>
      <c r="Y240" s="13"/>
      <c r="Z240" s="97"/>
      <c r="AA240" s="13"/>
      <c r="AB240" s="13"/>
      <c r="AC240" s="13"/>
      <c r="AD240" s="97"/>
      <c r="AE240" s="13"/>
      <c r="AF240" s="13"/>
      <c r="AG240" s="13"/>
      <c r="AH240" s="97"/>
      <c r="AI240" s="13"/>
      <c r="AJ240" s="13"/>
      <c r="AK240" s="13"/>
      <c r="AL240" s="97"/>
      <c r="AM240" s="13"/>
      <c r="AN240" s="13">
        <v>0</v>
      </c>
      <c r="AO240" s="13">
        <v>0</v>
      </c>
      <c r="AP240" s="48">
        <f t="shared" si="67"/>
        <v>0</v>
      </c>
      <c r="AQ240" s="13"/>
      <c r="AR240" s="13">
        <v>-30</v>
      </c>
      <c r="AS240" s="13">
        <v>-70</v>
      </c>
      <c r="AT240" s="48">
        <f t="shared" si="68"/>
        <v>-50</v>
      </c>
      <c r="AU240" s="13"/>
      <c r="AV240" s="13">
        <v>-30</v>
      </c>
      <c r="AW240" s="13">
        <v>-70</v>
      </c>
      <c r="AX240" s="48">
        <f t="shared" si="69"/>
        <v>-50</v>
      </c>
    </row>
    <row r="241" spans="1:50" ht="10.199999999999999" customHeight="1" x14ac:dyDescent="0.25">
      <c r="A241" s="14">
        <f t="shared" si="71"/>
        <v>43</v>
      </c>
      <c r="B241" s="102">
        <f t="shared" si="65"/>
        <v>37187</v>
      </c>
      <c r="C241" s="103">
        <v>37184</v>
      </c>
      <c r="D241" s="13">
        <v>-30</v>
      </c>
      <c r="E241" s="13">
        <v>-80</v>
      </c>
      <c r="F241" s="48">
        <f t="shared" si="70"/>
        <v>-55</v>
      </c>
      <c r="G241" s="13"/>
      <c r="H241" s="13">
        <v>-30</v>
      </c>
      <c r="I241" s="13">
        <v>-60</v>
      </c>
      <c r="J241" s="48">
        <f t="shared" si="72"/>
        <v>-45</v>
      </c>
      <c r="K241" s="13"/>
      <c r="L241" s="13">
        <v>-30</v>
      </c>
      <c r="M241" s="13">
        <v>-60</v>
      </c>
      <c r="N241" s="48">
        <f>AVERAGE(L241,M241)</f>
        <v>-45</v>
      </c>
      <c r="O241" s="13"/>
      <c r="P241" s="13">
        <v>-35</v>
      </c>
      <c r="Q241" s="13">
        <v>-60</v>
      </c>
      <c r="R241" s="48">
        <f>AVERAGE(P241,Q241)</f>
        <v>-47.5</v>
      </c>
      <c r="S241" s="13"/>
      <c r="T241" s="13"/>
      <c r="U241" s="13"/>
      <c r="V241" s="97"/>
      <c r="W241" s="13"/>
      <c r="X241" s="13"/>
      <c r="Y241" s="13"/>
      <c r="Z241" s="97"/>
      <c r="AA241" s="13"/>
      <c r="AB241" s="13"/>
      <c r="AC241" s="13"/>
      <c r="AD241" s="97"/>
      <c r="AE241" s="13"/>
      <c r="AF241" s="13"/>
      <c r="AG241" s="13"/>
      <c r="AH241" s="97"/>
      <c r="AI241" s="13"/>
      <c r="AJ241" s="13"/>
      <c r="AK241" s="13"/>
      <c r="AL241" s="97"/>
      <c r="AM241" s="13"/>
      <c r="AN241" s="13"/>
      <c r="AO241" s="13"/>
      <c r="AP241" s="97"/>
      <c r="AQ241" s="13"/>
      <c r="AR241" s="13">
        <v>-50</v>
      </c>
      <c r="AS241" s="13">
        <v>-80</v>
      </c>
      <c r="AT241" s="48">
        <f t="shared" si="68"/>
        <v>-65</v>
      </c>
      <c r="AU241" s="13"/>
      <c r="AV241" s="13">
        <v>-50</v>
      </c>
      <c r="AW241" s="13">
        <v>-80</v>
      </c>
      <c r="AX241" s="48">
        <f t="shared" si="69"/>
        <v>-65</v>
      </c>
    </row>
    <row r="242" spans="1:50" ht="10.199999999999999" customHeight="1" x14ac:dyDescent="0.25">
      <c r="A242" s="14">
        <f t="shared" si="71"/>
        <v>44</v>
      </c>
      <c r="B242" s="102">
        <f t="shared" si="65"/>
        <v>37194</v>
      </c>
      <c r="C242" s="103">
        <v>37191</v>
      </c>
      <c r="D242" s="13"/>
      <c r="E242" s="13"/>
      <c r="F242" s="48"/>
      <c r="G242" s="13"/>
      <c r="H242" s="13"/>
      <c r="I242" s="13"/>
      <c r="J242" s="48"/>
      <c r="K242" s="13"/>
      <c r="L242" s="13"/>
      <c r="M242" s="13"/>
      <c r="N242" s="48"/>
      <c r="O242" s="13"/>
      <c r="P242" s="13"/>
      <c r="Q242" s="13"/>
      <c r="R242" s="48"/>
      <c r="S242" s="13"/>
      <c r="T242" s="13"/>
      <c r="U242" s="13"/>
      <c r="V242" s="97"/>
      <c r="W242" s="13"/>
      <c r="X242" s="13"/>
      <c r="Y242" s="13"/>
      <c r="Z242" s="97"/>
      <c r="AA242" s="13"/>
      <c r="AB242" s="13"/>
      <c r="AC242" s="13"/>
      <c r="AD242" s="97"/>
      <c r="AE242" s="13"/>
      <c r="AF242" s="13"/>
      <c r="AG242" s="13"/>
      <c r="AH242" s="97"/>
      <c r="AI242" s="13"/>
      <c r="AJ242" s="13"/>
      <c r="AK242" s="13"/>
      <c r="AL242" s="97"/>
      <c r="AM242" s="13"/>
      <c r="AN242" s="13"/>
      <c r="AO242" s="13"/>
      <c r="AP242" s="97"/>
      <c r="AQ242" s="13"/>
      <c r="AR242" s="13"/>
      <c r="AS242" s="13"/>
      <c r="AT242" s="48"/>
      <c r="AU242" s="13"/>
      <c r="AV242" s="13"/>
      <c r="AW242" s="13"/>
      <c r="AX242" s="48"/>
    </row>
    <row r="243" spans="1:50" ht="10.199999999999999" customHeight="1" x14ac:dyDescent="0.25">
      <c r="A243" s="14">
        <f t="shared" si="71"/>
        <v>45</v>
      </c>
      <c r="B243" s="102">
        <f t="shared" ref="B243:B248" si="73">+B244-7</f>
        <v>37201</v>
      </c>
      <c r="C243" s="103">
        <v>37198</v>
      </c>
      <c r="D243" s="13">
        <v>-20</v>
      </c>
      <c r="E243" s="13">
        <v>-50</v>
      </c>
      <c r="F243" s="48">
        <f t="shared" ref="F243:F253" si="74">AVERAGE(D243,E243)</f>
        <v>-35</v>
      </c>
      <c r="G243" s="13"/>
      <c r="H243" s="13">
        <v>-20</v>
      </c>
      <c r="I243" s="13">
        <v>-60</v>
      </c>
      <c r="J243" s="48">
        <f t="shared" ref="J243:J258" si="75">AVERAGE(H243,I243)</f>
        <v>-40</v>
      </c>
      <c r="K243" s="13"/>
      <c r="L243" s="13">
        <v>-20</v>
      </c>
      <c r="M243" s="13">
        <v>-60</v>
      </c>
      <c r="N243" s="48">
        <f t="shared" ref="N243:N262" si="76">AVERAGE(L243,M243)</f>
        <v>-40</v>
      </c>
      <c r="O243" s="13"/>
      <c r="P243" s="13">
        <v>-30</v>
      </c>
      <c r="Q243" s="13">
        <v>-50</v>
      </c>
      <c r="R243" s="48">
        <f t="shared" ref="R243:R266" si="77">AVERAGE(P243,Q243)</f>
        <v>-40</v>
      </c>
      <c r="S243" s="13"/>
      <c r="T243" s="13"/>
      <c r="U243" s="13"/>
      <c r="V243" s="97"/>
      <c r="W243" s="13"/>
      <c r="X243" s="13"/>
      <c r="Y243" s="13"/>
      <c r="Z243" s="97"/>
      <c r="AA243" s="13"/>
      <c r="AB243" s="13"/>
      <c r="AC243" s="13"/>
      <c r="AD243" s="97"/>
      <c r="AE243" s="13"/>
      <c r="AF243" s="13"/>
      <c r="AG243" s="13"/>
      <c r="AH243" s="97"/>
      <c r="AI243" s="13"/>
      <c r="AJ243" s="13"/>
      <c r="AK243" s="13"/>
      <c r="AL243" s="97"/>
      <c r="AM243" s="13"/>
      <c r="AN243" s="13"/>
      <c r="AO243" s="13"/>
      <c r="AP243" s="97"/>
      <c r="AQ243" s="13"/>
      <c r="AR243" s="13">
        <v>-30</v>
      </c>
      <c r="AS243" s="13">
        <v>-70</v>
      </c>
      <c r="AT243" s="48">
        <f>AVERAGE(AR243,AS243)</f>
        <v>-50</v>
      </c>
      <c r="AU243" s="13"/>
      <c r="AV243" s="13">
        <v>-30</v>
      </c>
      <c r="AW243" s="13">
        <v>-70</v>
      </c>
      <c r="AX243" s="48">
        <f t="shared" ref="AX243:AX249" si="78">AVERAGE(AV243,AW243)</f>
        <v>-50</v>
      </c>
    </row>
    <row r="244" spans="1:50" ht="10.199999999999999" customHeight="1" x14ac:dyDescent="0.25">
      <c r="A244" s="14">
        <f t="shared" si="71"/>
        <v>46</v>
      </c>
      <c r="B244" s="102">
        <f t="shared" si="73"/>
        <v>37208</v>
      </c>
      <c r="C244" s="103">
        <v>37205</v>
      </c>
      <c r="D244" s="13">
        <v>-30</v>
      </c>
      <c r="E244" s="13">
        <v>-45</v>
      </c>
      <c r="F244" s="48">
        <f t="shared" si="74"/>
        <v>-37.5</v>
      </c>
      <c r="G244" s="13"/>
      <c r="H244" s="13">
        <v>-30</v>
      </c>
      <c r="I244" s="13">
        <v>-50</v>
      </c>
      <c r="J244" s="48">
        <f t="shared" si="75"/>
        <v>-40</v>
      </c>
      <c r="K244" s="13"/>
      <c r="L244" s="13">
        <v>-30</v>
      </c>
      <c r="M244" s="13">
        <v>-50</v>
      </c>
      <c r="N244" s="48">
        <f t="shared" si="76"/>
        <v>-40</v>
      </c>
      <c r="O244" s="13"/>
      <c r="P244" s="13">
        <v>-43</v>
      </c>
      <c r="Q244" s="13">
        <v>-60</v>
      </c>
      <c r="R244" s="48">
        <f t="shared" si="77"/>
        <v>-51.5</v>
      </c>
      <c r="S244" s="13"/>
      <c r="T244" s="13"/>
      <c r="U244" s="13"/>
      <c r="V244" s="97"/>
      <c r="W244" s="13"/>
      <c r="X244" s="13"/>
      <c r="Y244" s="13"/>
      <c r="Z244" s="97"/>
      <c r="AA244" s="13"/>
      <c r="AB244" s="13"/>
      <c r="AC244" s="13"/>
      <c r="AD244" s="97"/>
      <c r="AE244" s="13"/>
      <c r="AF244" s="13"/>
      <c r="AG244" s="13"/>
      <c r="AH244" s="97"/>
      <c r="AI244" s="13"/>
      <c r="AJ244" s="13"/>
      <c r="AK244" s="13"/>
      <c r="AL244" s="97"/>
      <c r="AM244" s="13"/>
      <c r="AN244" s="13"/>
      <c r="AO244" s="13"/>
      <c r="AP244" s="97"/>
      <c r="AQ244" s="13"/>
      <c r="AR244" s="13">
        <v>-60</v>
      </c>
      <c r="AS244" s="13">
        <v>-5</v>
      </c>
      <c r="AT244" s="48">
        <f>AVERAGE(AR244,AS244)</f>
        <v>-32.5</v>
      </c>
      <c r="AU244" s="13"/>
      <c r="AV244" s="13">
        <v>-50</v>
      </c>
      <c r="AW244" s="13">
        <v>-50</v>
      </c>
      <c r="AX244" s="48">
        <f t="shared" si="78"/>
        <v>-50</v>
      </c>
    </row>
    <row r="245" spans="1:50" ht="10.199999999999999" customHeight="1" x14ac:dyDescent="0.25">
      <c r="A245" s="14">
        <f t="shared" si="71"/>
        <v>47</v>
      </c>
      <c r="B245" s="102">
        <f t="shared" si="73"/>
        <v>37215</v>
      </c>
      <c r="C245" s="103">
        <v>37212</v>
      </c>
      <c r="D245" s="13">
        <v>-40</v>
      </c>
      <c r="E245" s="13">
        <v>-45</v>
      </c>
      <c r="F245" s="48">
        <f t="shared" si="74"/>
        <v>-42.5</v>
      </c>
      <c r="G245" s="13"/>
      <c r="H245" s="13">
        <v>-40</v>
      </c>
      <c r="I245" s="13">
        <v>-50</v>
      </c>
      <c r="J245" s="48">
        <f t="shared" si="75"/>
        <v>-45</v>
      </c>
      <c r="K245" s="13"/>
      <c r="L245" s="13">
        <v>-40</v>
      </c>
      <c r="M245" s="13">
        <v>-50</v>
      </c>
      <c r="N245" s="48">
        <f t="shared" si="76"/>
        <v>-45</v>
      </c>
      <c r="O245" s="13"/>
      <c r="P245" s="13">
        <v>-40</v>
      </c>
      <c r="Q245" s="13">
        <v>-60</v>
      </c>
      <c r="R245" s="48">
        <f t="shared" si="77"/>
        <v>-50</v>
      </c>
      <c r="S245" s="13"/>
      <c r="T245" s="13"/>
      <c r="U245" s="13"/>
      <c r="V245" s="97"/>
      <c r="W245" s="13"/>
      <c r="X245" s="13"/>
      <c r="Y245" s="13"/>
      <c r="Z245" s="97"/>
      <c r="AA245" s="13"/>
      <c r="AB245" s="13"/>
      <c r="AC245" s="13"/>
      <c r="AD245" s="97"/>
      <c r="AE245" s="13"/>
      <c r="AF245" s="13"/>
      <c r="AG245" s="13"/>
      <c r="AH245" s="97"/>
      <c r="AI245" s="13"/>
      <c r="AJ245" s="13"/>
      <c r="AK245" s="13"/>
      <c r="AL245" s="97"/>
      <c r="AM245" s="13"/>
      <c r="AN245" s="13"/>
      <c r="AO245" s="13"/>
      <c r="AP245" s="97"/>
      <c r="AQ245" s="13"/>
      <c r="AR245" s="13">
        <v>-70</v>
      </c>
      <c r="AS245" s="13">
        <v>0</v>
      </c>
      <c r="AT245" s="48">
        <f>AVERAGE(AR245,AS245)</f>
        <v>-35</v>
      </c>
      <c r="AU245" s="13"/>
      <c r="AV245" s="13">
        <v>-50</v>
      </c>
      <c r="AW245" s="13">
        <v>-30</v>
      </c>
      <c r="AX245" s="48">
        <f t="shared" si="78"/>
        <v>-40</v>
      </c>
    </row>
    <row r="246" spans="1:50" ht="10.199999999999999" customHeight="1" x14ac:dyDescent="0.25">
      <c r="A246" s="14">
        <f t="shared" si="71"/>
        <v>48</v>
      </c>
      <c r="B246" s="102">
        <f t="shared" si="73"/>
        <v>37222</v>
      </c>
      <c r="C246" s="103">
        <v>37219</v>
      </c>
      <c r="D246" s="13">
        <v>-30</v>
      </c>
      <c r="E246" s="13">
        <v>-45</v>
      </c>
      <c r="F246" s="48">
        <f t="shared" si="74"/>
        <v>-37.5</v>
      </c>
      <c r="G246" s="13"/>
      <c r="H246" s="13">
        <v>-30</v>
      </c>
      <c r="I246" s="13">
        <v>-50</v>
      </c>
      <c r="J246" s="48">
        <f t="shared" si="75"/>
        <v>-40</v>
      </c>
      <c r="K246" s="13"/>
      <c r="L246" s="13">
        <v>-30</v>
      </c>
      <c r="M246" s="13">
        <v>-50</v>
      </c>
      <c r="N246" s="48">
        <f t="shared" si="76"/>
        <v>-40</v>
      </c>
      <c r="O246" s="13"/>
      <c r="P246" s="13">
        <v>-40</v>
      </c>
      <c r="Q246" s="13">
        <v>-60</v>
      </c>
      <c r="R246" s="48">
        <f t="shared" si="77"/>
        <v>-50</v>
      </c>
      <c r="S246" s="13"/>
      <c r="T246" s="13">
        <v>-40</v>
      </c>
      <c r="U246" s="13">
        <v>-60</v>
      </c>
      <c r="V246" s="48">
        <f t="shared" ref="V246:V270" si="79">AVERAGE(T246,U246)</f>
        <v>-50</v>
      </c>
      <c r="W246" s="13"/>
      <c r="X246" s="13"/>
      <c r="Y246" s="13"/>
      <c r="Z246" s="97"/>
      <c r="AA246" s="13"/>
      <c r="AB246" s="13"/>
      <c r="AC246" s="13"/>
      <c r="AD246" s="97"/>
      <c r="AE246" s="13"/>
      <c r="AF246" s="13"/>
      <c r="AG246" s="13"/>
      <c r="AH246" s="97"/>
      <c r="AI246" s="13"/>
      <c r="AJ246" s="13"/>
      <c r="AK246" s="13"/>
      <c r="AL246" s="97"/>
      <c r="AM246" s="13"/>
      <c r="AN246" s="13"/>
      <c r="AO246" s="13"/>
      <c r="AP246" s="97"/>
      <c r="AQ246" s="13"/>
      <c r="AR246" s="13"/>
      <c r="AS246" s="13"/>
      <c r="AT246" s="97"/>
      <c r="AU246" s="13"/>
      <c r="AV246" s="13">
        <v>-35</v>
      </c>
      <c r="AW246" s="13">
        <v>-10</v>
      </c>
      <c r="AX246" s="48">
        <f t="shared" si="78"/>
        <v>-22.5</v>
      </c>
    </row>
    <row r="247" spans="1:50" ht="10.199999999999999" customHeight="1" x14ac:dyDescent="0.25">
      <c r="A247" s="14">
        <f t="shared" si="71"/>
        <v>49</v>
      </c>
      <c r="B247" s="102">
        <f t="shared" si="73"/>
        <v>37229</v>
      </c>
      <c r="C247" s="103">
        <v>37226</v>
      </c>
      <c r="D247" s="13">
        <v>-30</v>
      </c>
      <c r="E247" s="13">
        <v>-35</v>
      </c>
      <c r="F247" s="48">
        <f t="shared" si="74"/>
        <v>-32.5</v>
      </c>
      <c r="G247" s="13"/>
      <c r="H247" s="13">
        <v>-30</v>
      </c>
      <c r="I247" s="13">
        <v>-50</v>
      </c>
      <c r="J247" s="48">
        <f t="shared" si="75"/>
        <v>-40</v>
      </c>
      <c r="K247" s="13"/>
      <c r="L247" s="13">
        <v>-30</v>
      </c>
      <c r="M247" s="13">
        <v>-50</v>
      </c>
      <c r="N247" s="48">
        <f t="shared" si="76"/>
        <v>-40</v>
      </c>
      <c r="O247" s="13"/>
      <c r="P247" s="13">
        <v>-50</v>
      </c>
      <c r="Q247" s="13">
        <v>-50</v>
      </c>
      <c r="R247" s="48">
        <f t="shared" si="77"/>
        <v>-50</v>
      </c>
      <c r="S247" s="13"/>
      <c r="T247" s="13">
        <v>-50</v>
      </c>
      <c r="U247" s="13">
        <v>-50</v>
      </c>
      <c r="V247" s="48">
        <f t="shared" si="79"/>
        <v>-50</v>
      </c>
      <c r="W247" s="13"/>
      <c r="X247" s="13"/>
      <c r="Y247" s="13"/>
      <c r="Z247" s="97"/>
      <c r="AA247" s="13"/>
      <c r="AB247" s="13"/>
      <c r="AC247" s="13"/>
      <c r="AD247" s="97"/>
      <c r="AE247" s="13"/>
      <c r="AF247" s="13"/>
      <c r="AG247" s="13"/>
      <c r="AH247" s="97"/>
      <c r="AI247" s="13"/>
      <c r="AJ247" s="13"/>
      <c r="AK247" s="13"/>
      <c r="AL247" s="97"/>
      <c r="AM247" s="13"/>
      <c r="AN247" s="13"/>
      <c r="AO247" s="13"/>
      <c r="AP247" s="97"/>
      <c r="AQ247" s="13"/>
      <c r="AR247" s="13"/>
      <c r="AS247" s="13"/>
      <c r="AT247" s="97"/>
      <c r="AU247" s="13"/>
      <c r="AV247" s="13">
        <v>-25</v>
      </c>
      <c r="AW247" s="13">
        <v>-5</v>
      </c>
      <c r="AX247" s="48">
        <f t="shared" si="78"/>
        <v>-15</v>
      </c>
    </row>
    <row r="248" spans="1:50" ht="10.199999999999999" customHeight="1" x14ac:dyDescent="0.25">
      <c r="A248" s="14">
        <f t="shared" si="71"/>
        <v>50</v>
      </c>
      <c r="B248" s="102">
        <f t="shared" si="73"/>
        <v>37236</v>
      </c>
      <c r="C248" s="103">
        <v>37233</v>
      </c>
      <c r="D248" s="13">
        <v>-15</v>
      </c>
      <c r="E248" s="13">
        <v>-25</v>
      </c>
      <c r="F248" s="48">
        <f t="shared" si="74"/>
        <v>-20</v>
      </c>
      <c r="G248" s="13"/>
      <c r="H248" s="13">
        <v>-30</v>
      </c>
      <c r="I248" s="13">
        <v>-40</v>
      </c>
      <c r="J248" s="48">
        <f t="shared" si="75"/>
        <v>-35</v>
      </c>
      <c r="K248" s="13"/>
      <c r="L248" s="13">
        <v>-30</v>
      </c>
      <c r="M248" s="13">
        <v>-50</v>
      </c>
      <c r="N248" s="48">
        <f t="shared" si="76"/>
        <v>-40</v>
      </c>
      <c r="O248" s="13"/>
      <c r="P248" s="13">
        <v>-50</v>
      </c>
      <c r="Q248" s="13">
        <v>-50</v>
      </c>
      <c r="R248" s="48">
        <f t="shared" si="77"/>
        <v>-50</v>
      </c>
      <c r="S248" s="13"/>
      <c r="T248" s="13">
        <v>-50</v>
      </c>
      <c r="U248" s="13">
        <v>-50</v>
      </c>
      <c r="V248" s="48">
        <f t="shared" si="79"/>
        <v>-50</v>
      </c>
      <c r="W248" s="13"/>
      <c r="X248" s="13"/>
      <c r="Y248" s="13"/>
      <c r="Z248" s="97"/>
      <c r="AA248" s="13"/>
      <c r="AB248" s="13"/>
      <c r="AC248" s="13"/>
      <c r="AD248" s="97"/>
      <c r="AE248" s="13"/>
      <c r="AF248" s="13"/>
      <c r="AG248" s="13"/>
      <c r="AH248" s="97"/>
      <c r="AI248" s="13"/>
      <c r="AJ248" s="13"/>
      <c r="AK248" s="13"/>
      <c r="AL248" s="97"/>
      <c r="AM248" s="13"/>
      <c r="AN248" s="13"/>
      <c r="AO248" s="13"/>
      <c r="AP248" s="97"/>
      <c r="AQ248" s="13"/>
      <c r="AR248" s="13"/>
      <c r="AS248" s="13"/>
      <c r="AT248" s="97"/>
      <c r="AU248" s="13"/>
      <c r="AV248" s="13">
        <v>10</v>
      </c>
      <c r="AW248" s="13">
        <v>5</v>
      </c>
      <c r="AX248" s="48">
        <f t="shared" si="78"/>
        <v>7.5</v>
      </c>
    </row>
    <row r="249" spans="1:50" ht="10.199999999999999" customHeight="1" x14ac:dyDescent="0.25">
      <c r="A249" s="14">
        <f t="shared" si="71"/>
        <v>51</v>
      </c>
      <c r="B249" s="102">
        <f>+B250-7-1</f>
        <v>37243</v>
      </c>
      <c r="C249" s="103">
        <v>37240</v>
      </c>
      <c r="D249" s="13">
        <v>-10</v>
      </c>
      <c r="E249" s="13">
        <v>-15</v>
      </c>
      <c r="F249" s="48">
        <f t="shared" si="74"/>
        <v>-12.5</v>
      </c>
      <c r="G249" s="13"/>
      <c r="H249" s="13">
        <v>-25</v>
      </c>
      <c r="I249" s="13">
        <v>-25</v>
      </c>
      <c r="J249" s="48">
        <f t="shared" si="75"/>
        <v>-25</v>
      </c>
      <c r="K249" s="13"/>
      <c r="L249" s="13">
        <v>-25</v>
      </c>
      <c r="M249" s="13">
        <v>-35</v>
      </c>
      <c r="N249" s="48">
        <f t="shared" si="76"/>
        <v>-30</v>
      </c>
      <c r="O249" s="13"/>
      <c r="P249" s="13">
        <v>-50</v>
      </c>
      <c r="Q249" s="13">
        <v>-50</v>
      </c>
      <c r="R249" s="48">
        <f t="shared" si="77"/>
        <v>-50</v>
      </c>
      <c r="S249" s="13"/>
      <c r="T249" s="13">
        <v>-50</v>
      </c>
      <c r="U249" s="13">
        <v>-50</v>
      </c>
      <c r="V249" s="48">
        <f t="shared" si="79"/>
        <v>-50</v>
      </c>
      <c r="W249" s="13"/>
      <c r="X249" s="13"/>
      <c r="Y249" s="13"/>
      <c r="Z249" s="97"/>
      <c r="AA249" s="13"/>
      <c r="AB249" s="13"/>
      <c r="AC249" s="13"/>
      <c r="AD249" s="97"/>
      <c r="AE249" s="13"/>
      <c r="AF249" s="13"/>
      <c r="AG249" s="13"/>
      <c r="AH249" s="97"/>
      <c r="AI249" s="13"/>
      <c r="AJ249" s="13"/>
      <c r="AK249" s="13"/>
      <c r="AL249" s="97"/>
      <c r="AM249" s="13"/>
      <c r="AN249" s="13"/>
      <c r="AO249" s="13"/>
      <c r="AP249" s="97"/>
      <c r="AQ249" s="13"/>
      <c r="AR249" s="13"/>
      <c r="AS249" s="13"/>
      <c r="AT249" s="97"/>
      <c r="AU249" s="13"/>
      <c r="AV249" s="13">
        <v>-10</v>
      </c>
      <c r="AW249" s="13">
        <v>0</v>
      </c>
      <c r="AX249" s="48">
        <f t="shared" si="78"/>
        <v>-5</v>
      </c>
    </row>
    <row r="250" spans="1:50" ht="10.199999999999999" customHeight="1" x14ac:dyDescent="0.25">
      <c r="A250" s="14">
        <f t="shared" si="71"/>
        <v>52</v>
      </c>
      <c r="B250" s="102">
        <f>+B251-7</f>
        <v>37251</v>
      </c>
      <c r="C250" s="103">
        <v>37247</v>
      </c>
      <c r="D250" s="13">
        <v>18</v>
      </c>
      <c r="E250" s="13">
        <v>-5</v>
      </c>
      <c r="F250" s="48">
        <f t="shared" si="74"/>
        <v>6.5</v>
      </c>
      <c r="G250" s="13"/>
      <c r="H250" s="13">
        <v>-15</v>
      </c>
      <c r="I250" s="13">
        <v>-25</v>
      </c>
      <c r="J250" s="48">
        <f t="shared" si="75"/>
        <v>-20</v>
      </c>
      <c r="K250" s="13"/>
      <c r="L250" s="13">
        <v>-15</v>
      </c>
      <c r="M250" s="13">
        <v>-35</v>
      </c>
      <c r="N250" s="48">
        <f t="shared" si="76"/>
        <v>-25</v>
      </c>
      <c r="O250" s="13"/>
      <c r="P250" s="13">
        <v>-40</v>
      </c>
      <c r="Q250" s="13">
        <v>-50</v>
      </c>
      <c r="R250" s="48">
        <f t="shared" si="77"/>
        <v>-45</v>
      </c>
      <c r="S250" s="13"/>
      <c r="T250" s="13">
        <v>-40</v>
      </c>
      <c r="U250" s="13">
        <v>-50</v>
      </c>
      <c r="V250" s="48">
        <f t="shared" si="79"/>
        <v>-45</v>
      </c>
      <c r="W250" s="13"/>
      <c r="X250" s="13">
        <v>-50</v>
      </c>
      <c r="Y250" s="13">
        <v>-50</v>
      </c>
      <c r="Z250" s="48">
        <f t="shared" ref="Z250:Z275" si="80">AVERAGE(X250,Y250)</f>
        <v>-50</v>
      </c>
      <c r="AA250" s="13"/>
      <c r="AB250" s="13"/>
      <c r="AC250" s="13"/>
      <c r="AD250" s="97"/>
      <c r="AE250" s="13"/>
      <c r="AF250" s="13"/>
      <c r="AG250" s="13"/>
      <c r="AH250" s="97"/>
      <c r="AI250" s="13"/>
      <c r="AJ250" s="13"/>
      <c r="AK250" s="13"/>
      <c r="AL250" s="97"/>
      <c r="AM250" s="13"/>
      <c r="AN250" s="13"/>
      <c r="AO250" s="13"/>
      <c r="AP250" s="97"/>
      <c r="AQ250" s="13"/>
      <c r="AR250" s="13"/>
      <c r="AS250" s="13"/>
      <c r="AT250" s="97"/>
      <c r="AU250" s="13"/>
      <c r="AV250" s="13"/>
      <c r="AW250" s="13"/>
      <c r="AX250" s="49"/>
    </row>
    <row r="251" spans="1:50" ht="10.199999999999999" customHeight="1" x14ac:dyDescent="0.25">
      <c r="A251" s="14"/>
      <c r="B251" s="102">
        <v>37258</v>
      </c>
      <c r="C251" s="103">
        <v>37254</v>
      </c>
      <c r="D251" s="13">
        <v>20</v>
      </c>
      <c r="E251" s="13">
        <v>-5</v>
      </c>
      <c r="F251" s="48">
        <f t="shared" si="74"/>
        <v>7.5</v>
      </c>
      <c r="G251" s="13"/>
      <c r="H251" s="13">
        <v>-5</v>
      </c>
      <c r="I251" s="13">
        <v>-25</v>
      </c>
      <c r="J251" s="48">
        <f t="shared" si="75"/>
        <v>-15</v>
      </c>
      <c r="K251" s="13"/>
      <c r="L251" s="13">
        <v>-10</v>
      </c>
      <c r="M251" s="13">
        <v>-35</v>
      </c>
      <c r="N251" s="48">
        <f t="shared" si="76"/>
        <v>-22.5</v>
      </c>
      <c r="O251" s="13"/>
      <c r="P251" s="13">
        <v>-35</v>
      </c>
      <c r="Q251" s="13">
        <v>-50</v>
      </c>
      <c r="R251" s="48">
        <f t="shared" si="77"/>
        <v>-42.5</v>
      </c>
      <c r="S251" s="13"/>
      <c r="T251" s="13">
        <v>-35</v>
      </c>
      <c r="U251" s="13">
        <v>-50</v>
      </c>
      <c r="V251" s="48">
        <f t="shared" si="79"/>
        <v>-42.5</v>
      </c>
      <c r="W251" s="13"/>
      <c r="X251" s="13">
        <v>-50</v>
      </c>
      <c r="Y251" s="13">
        <v>-50</v>
      </c>
      <c r="Z251" s="48">
        <f t="shared" si="80"/>
        <v>-50</v>
      </c>
      <c r="AA251" s="13"/>
      <c r="AB251" s="13"/>
      <c r="AC251" s="13"/>
      <c r="AD251" s="97"/>
      <c r="AE251" s="13"/>
      <c r="AF251" s="13"/>
      <c r="AG251" s="13"/>
      <c r="AH251" s="97"/>
      <c r="AI251" s="13"/>
      <c r="AJ251" s="13"/>
      <c r="AK251" s="13"/>
      <c r="AL251" s="97"/>
      <c r="AM251" s="13"/>
      <c r="AN251" s="13"/>
      <c r="AO251" s="13"/>
      <c r="AP251" s="97"/>
      <c r="AQ251" s="13"/>
      <c r="AR251" s="13"/>
      <c r="AS251" s="13"/>
      <c r="AT251" s="97"/>
      <c r="AU251" s="13"/>
      <c r="AV251" s="13"/>
      <c r="AW251" s="13"/>
      <c r="AX251" s="49"/>
    </row>
    <row r="252" spans="1:50" ht="10.199999999999999" customHeight="1" x14ac:dyDescent="0.25">
      <c r="A252" s="14">
        <f t="shared" ref="A252:A283" si="81">+A251+1</f>
        <v>1</v>
      </c>
      <c r="B252" s="102">
        <f>+B251+7</f>
        <v>37265</v>
      </c>
      <c r="C252" s="103">
        <v>37261</v>
      </c>
      <c r="D252" s="13">
        <v>25</v>
      </c>
      <c r="E252" s="13">
        <v>3</v>
      </c>
      <c r="F252" s="48">
        <f t="shared" si="74"/>
        <v>14</v>
      </c>
      <c r="G252" s="13"/>
      <c r="H252" s="13">
        <v>5</v>
      </c>
      <c r="I252" s="13">
        <v>-16</v>
      </c>
      <c r="J252" s="48">
        <f t="shared" si="75"/>
        <v>-5.5</v>
      </c>
      <c r="K252" s="13"/>
      <c r="L252" s="13">
        <v>1</v>
      </c>
      <c r="M252" s="13">
        <v>-20</v>
      </c>
      <c r="N252" s="48">
        <f t="shared" si="76"/>
        <v>-9.5</v>
      </c>
      <c r="O252" s="13"/>
      <c r="P252" s="13">
        <v>-20</v>
      </c>
      <c r="Q252" s="13">
        <v>-29</v>
      </c>
      <c r="R252" s="48">
        <f t="shared" si="77"/>
        <v>-24.5</v>
      </c>
      <c r="S252" s="13"/>
      <c r="T252" s="13">
        <v>-20</v>
      </c>
      <c r="U252" s="13">
        <v>-29</v>
      </c>
      <c r="V252" s="48">
        <f t="shared" si="79"/>
        <v>-24.5</v>
      </c>
      <c r="W252" s="13"/>
      <c r="X252" s="13">
        <v>-23</v>
      </c>
      <c r="Y252" s="13">
        <v>-27</v>
      </c>
      <c r="Z252" s="48">
        <f t="shared" si="80"/>
        <v>-25</v>
      </c>
      <c r="AA252" s="13"/>
      <c r="AB252" s="13"/>
      <c r="AC252" s="13"/>
      <c r="AD252" s="97"/>
      <c r="AE252" s="13"/>
      <c r="AF252" s="13"/>
      <c r="AG252" s="13"/>
      <c r="AH252" s="97"/>
      <c r="AI252" s="13"/>
      <c r="AJ252" s="13"/>
      <c r="AK252" s="13"/>
      <c r="AL252" s="97"/>
      <c r="AM252" s="13"/>
      <c r="AN252" s="13"/>
      <c r="AO252" s="13"/>
      <c r="AP252" s="97"/>
      <c r="AQ252" s="13"/>
      <c r="AR252" s="13"/>
      <c r="AS252" s="13"/>
      <c r="AT252" s="97"/>
      <c r="AU252" s="13"/>
      <c r="AV252" s="13"/>
      <c r="AW252" s="13"/>
      <c r="AX252" s="49"/>
    </row>
    <row r="253" spans="1:50" ht="10.199999999999999" customHeight="1" x14ac:dyDescent="0.25">
      <c r="A253" s="14">
        <f t="shared" si="81"/>
        <v>2</v>
      </c>
      <c r="B253" s="102">
        <f t="shared" ref="B253:B284" si="82">+B254-7</f>
        <v>37271</v>
      </c>
      <c r="C253" s="103">
        <v>37268</v>
      </c>
      <c r="D253" s="13">
        <v>14</v>
      </c>
      <c r="E253" s="13">
        <v>3</v>
      </c>
      <c r="F253" s="48">
        <f t="shared" si="74"/>
        <v>8.5</v>
      </c>
      <c r="G253" s="13"/>
      <c r="H253" s="13">
        <v>-4</v>
      </c>
      <c r="I253" s="13">
        <v>-4</v>
      </c>
      <c r="J253" s="48">
        <f t="shared" si="75"/>
        <v>-4</v>
      </c>
      <c r="K253" s="13"/>
      <c r="L253" s="13">
        <v>-3</v>
      </c>
      <c r="M253" s="13">
        <v>-15</v>
      </c>
      <c r="N253" s="48">
        <f t="shared" si="76"/>
        <v>-9</v>
      </c>
      <c r="O253" s="13"/>
      <c r="P253" s="13">
        <v>-23</v>
      </c>
      <c r="Q253" s="13">
        <v>-25</v>
      </c>
      <c r="R253" s="48">
        <f t="shared" si="77"/>
        <v>-24</v>
      </c>
      <c r="S253" s="13"/>
      <c r="T253" s="13">
        <v>-23</v>
      </c>
      <c r="U253" s="13">
        <v>-25</v>
      </c>
      <c r="V253" s="48">
        <f t="shared" si="79"/>
        <v>-24</v>
      </c>
      <c r="W253" s="13"/>
      <c r="X253" s="14">
        <v>-18</v>
      </c>
      <c r="Y253" s="14">
        <v>-25</v>
      </c>
      <c r="Z253" s="48">
        <f t="shared" si="80"/>
        <v>-21.5</v>
      </c>
      <c r="AA253" s="14"/>
      <c r="AB253" s="13"/>
      <c r="AC253" s="13"/>
      <c r="AD253" s="97"/>
      <c r="AE253" s="13"/>
      <c r="AF253" s="13"/>
      <c r="AG253" s="13"/>
      <c r="AH253" s="97"/>
      <c r="AI253" s="13"/>
      <c r="AJ253" s="13"/>
      <c r="AK253" s="13"/>
      <c r="AL253" s="97"/>
      <c r="AM253" s="13"/>
      <c r="AN253" s="13"/>
      <c r="AO253" s="13"/>
      <c r="AP253" s="97"/>
      <c r="AQ253" s="13"/>
      <c r="AR253" s="13"/>
      <c r="AS253" s="13"/>
      <c r="AT253" s="97"/>
      <c r="AU253" s="13"/>
      <c r="AV253" s="13"/>
      <c r="AW253" s="13"/>
      <c r="AX253" s="49"/>
    </row>
    <row r="254" spans="1:50" ht="10.199999999999999" customHeight="1" x14ac:dyDescent="0.25">
      <c r="A254" s="14">
        <f t="shared" si="81"/>
        <v>3</v>
      </c>
      <c r="B254" s="102">
        <f t="shared" si="82"/>
        <v>37278</v>
      </c>
      <c r="C254" s="103">
        <v>37275</v>
      </c>
      <c r="D254" s="13"/>
      <c r="E254" s="13"/>
      <c r="F254" s="97"/>
      <c r="G254" s="13"/>
      <c r="H254" s="13">
        <v>4</v>
      </c>
      <c r="I254" s="13">
        <v>6</v>
      </c>
      <c r="J254" s="48">
        <f t="shared" si="75"/>
        <v>5</v>
      </c>
      <c r="K254" s="13"/>
      <c r="L254" s="13">
        <v>-14</v>
      </c>
      <c r="M254" s="13">
        <v>-4</v>
      </c>
      <c r="N254" s="48">
        <f t="shared" si="76"/>
        <v>-9</v>
      </c>
      <c r="O254" s="13"/>
      <c r="P254" s="13">
        <v>-31</v>
      </c>
      <c r="Q254" s="13">
        <v>-36</v>
      </c>
      <c r="R254" s="48">
        <f t="shared" si="77"/>
        <v>-33.5</v>
      </c>
      <c r="S254" s="13"/>
      <c r="T254" s="13">
        <v>-26</v>
      </c>
      <c r="U254" s="13">
        <v>-36</v>
      </c>
      <c r="V254" s="48">
        <f t="shared" si="79"/>
        <v>-31</v>
      </c>
      <c r="W254" s="13"/>
      <c r="X254" s="13">
        <v>-21</v>
      </c>
      <c r="Y254" s="13">
        <v>-34</v>
      </c>
      <c r="Z254" s="48">
        <f t="shared" si="80"/>
        <v>-27.5</v>
      </c>
      <c r="AA254" s="13"/>
      <c r="AB254" s="13">
        <v>-18</v>
      </c>
      <c r="AC254" s="13">
        <v>-29</v>
      </c>
      <c r="AD254" s="48">
        <f t="shared" ref="AD254:AD280" si="83">AVERAGE(AB254,AC254)</f>
        <v>-23.5</v>
      </c>
      <c r="AE254" s="13"/>
      <c r="AF254" s="13"/>
      <c r="AG254" s="13"/>
      <c r="AH254" s="97"/>
      <c r="AI254" s="13"/>
      <c r="AJ254" s="13"/>
      <c r="AK254" s="13"/>
      <c r="AL254" s="97"/>
      <c r="AM254" s="13"/>
      <c r="AN254" s="13"/>
      <c r="AO254" s="13"/>
      <c r="AP254" s="97"/>
      <c r="AQ254" s="13"/>
      <c r="AR254" s="13"/>
      <c r="AS254" s="13"/>
      <c r="AT254" s="97"/>
      <c r="AU254" s="13"/>
      <c r="AV254" s="13"/>
      <c r="AW254" s="13"/>
      <c r="AX254" s="49"/>
    </row>
    <row r="255" spans="1:50" ht="10.199999999999999" customHeight="1" x14ac:dyDescent="0.25">
      <c r="A255" s="14">
        <f t="shared" si="81"/>
        <v>4</v>
      </c>
      <c r="B255" s="102">
        <f t="shared" si="82"/>
        <v>37285</v>
      </c>
      <c r="C255" s="103">
        <v>37282</v>
      </c>
      <c r="D255" s="13"/>
      <c r="E255" s="13"/>
      <c r="F255" s="97"/>
      <c r="G255" s="13"/>
      <c r="H255" s="13">
        <v>3</v>
      </c>
      <c r="I255" s="13">
        <v>0</v>
      </c>
      <c r="J255" s="48">
        <f t="shared" si="75"/>
        <v>1.5</v>
      </c>
      <c r="K255" s="13"/>
      <c r="L255" s="13">
        <v>0</v>
      </c>
      <c r="M255" s="13">
        <v>-3</v>
      </c>
      <c r="N255" s="48">
        <f t="shared" si="76"/>
        <v>-1.5</v>
      </c>
      <c r="O255" s="13"/>
      <c r="P255" s="13">
        <v>-32</v>
      </c>
      <c r="Q255" s="13">
        <v>-38</v>
      </c>
      <c r="R255" s="48">
        <f t="shared" si="77"/>
        <v>-35</v>
      </c>
      <c r="S255" s="13"/>
      <c r="T255" s="13">
        <v>-32</v>
      </c>
      <c r="U255" s="13">
        <v>-38</v>
      </c>
      <c r="V255" s="48">
        <f t="shared" si="79"/>
        <v>-35</v>
      </c>
      <c r="W255" s="13"/>
      <c r="X255" s="13">
        <v>-27</v>
      </c>
      <c r="Y255" s="13">
        <v>-36</v>
      </c>
      <c r="Z255" s="48">
        <f t="shared" si="80"/>
        <v>-31.5</v>
      </c>
      <c r="AA255" s="13"/>
      <c r="AB255" s="13">
        <v>-15</v>
      </c>
      <c r="AC255" s="13">
        <v>-28</v>
      </c>
      <c r="AD255" s="48">
        <f t="shared" si="83"/>
        <v>-21.5</v>
      </c>
      <c r="AE255" s="13"/>
      <c r="AF255" s="13"/>
      <c r="AG255" s="13"/>
      <c r="AH255" s="97"/>
      <c r="AI255" s="13"/>
      <c r="AJ255" s="13"/>
      <c r="AK255" s="13"/>
      <c r="AL255" s="97"/>
      <c r="AM255" s="13"/>
      <c r="AN255" s="13"/>
      <c r="AO255" s="13"/>
      <c r="AP255" s="97"/>
      <c r="AQ255" s="13"/>
      <c r="AR255" s="13"/>
      <c r="AS255" s="13"/>
      <c r="AT255" s="97"/>
      <c r="AU255" s="13"/>
      <c r="AV255" s="13"/>
      <c r="AW255" s="13"/>
      <c r="AX255" s="49"/>
    </row>
    <row r="256" spans="1:50" ht="10.199999999999999" customHeight="1" x14ac:dyDescent="0.25">
      <c r="A256" s="14">
        <f t="shared" si="81"/>
        <v>5</v>
      </c>
      <c r="B256" s="102">
        <f t="shared" si="82"/>
        <v>37292</v>
      </c>
      <c r="C256" s="103">
        <v>37289</v>
      </c>
      <c r="D256" s="13"/>
      <c r="E256" s="13"/>
      <c r="F256" s="97"/>
      <c r="G256" s="13"/>
      <c r="H256" s="13">
        <v>-14</v>
      </c>
      <c r="I256" s="13">
        <v>-14</v>
      </c>
      <c r="J256" s="48">
        <f t="shared" si="75"/>
        <v>-14</v>
      </c>
      <c r="K256" s="13"/>
      <c r="L256" s="13">
        <v>-14</v>
      </c>
      <c r="M256" s="13">
        <v>-16</v>
      </c>
      <c r="N256" s="48">
        <f t="shared" si="76"/>
        <v>-15</v>
      </c>
      <c r="O256" s="13"/>
      <c r="P256" s="13">
        <v>-39</v>
      </c>
      <c r="Q256" s="13">
        <v>-41</v>
      </c>
      <c r="R256" s="48">
        <f t="shared" si="77"/>
        <v>-40</v>
      </c>
      <c r="S256" s="13"/>
      <c r="T256" s="13">
        <v>-39</v>
      </c>
      <c r="U256" s="13">
        <v>-41</v>
      </c>
      <c r="V256" s="48">
        <f t="shared" si="79"/>
        <v>-40</v>
      </c>
      <c r="W256" s="13"/>
      <c r="X256" s="13">
        <v>-29</v>
      </c>
      <c r="Y256" s="13">
        <v>-33</v>
      </c>
      <c r="Z256" s="48">
        <f t="shared" si="80"/>
        <v>-31</v>
      </c>
      <c r="AA256" s="13"/>
      <c r="AB256" s="13">
        <v>-15</v>
      </c>
      <c r="AC256" s="13">
        <v>-26</v>
      </c>
      <c r="AD256" s="48">
        <f t="shared" si="83"/>
        <v>-20.5</v>
      </c>
      <c r="AE256" s="13"/>
      <c r="AF256" s="13"/>
      <c r="AG256" s="13"/>
      <c r="AH256" s="97"/>
      <c r="AI256" s="13"/>
      <c r="AJ256" s="13"/>
      <c r="AK256" s="13"/>
      <c r="AL256" s="97"/>
      <c r="AM256" s="13"/>
      <c r="AN256" s="13"/>
      <c r="AO256" s="13"/>
      <c r="AP256" s="97"/>
      <c r="AQ256" s="13"/>
      <c r="AR256" s="13"/>
      <c r="AS256" s="13"/>
      <c r="AT256" s="97"/>
      <c r="AU256" s="13"/>
      <c r="AV256" s="13"/>
      <c r="AW256" s="13"/>
      <c r="AX256" s="49"/>
    </row>
    <row r="257" spans="1:50" ht="10.199999999999999" customHeight="1" x14ac:dyDescent="0.25">
      <c r="A257" s="14">
        <f t="shared" si="81"/>
        <v>6</v>
      </c>
      <c r="B257" s="102">
        <f t="shared" si="82"/>
        <v>37299</v>
      </c>
      <c r="C257" s="103">
        <v>37296</v>
      </c>
      <c r="D257" s="13"/>
      <c r="E257" s="13"/>
      <c r="F257" s="97"/>
      <c r="G257" s="13"/>
      <c r="H257" s="13">
        <v>-10</v>
      </c>
      <c r="I257" s="13">
        <v>5</v>
      </c>
      <c r="J257" s="48">
        <f t="shared" si="75"/>
        <v>-2.5</v>
      </c>
      <c r="K257" s="13"/>
      <c r="L257" s="13">
        <v>-15</v>
      </c>
      <c r="M257" s="13">
        <v>-39</v>
      </c>
      <c r="N257" s="48">
        <f t="shared" si="76"/>
        <v>-27</v>
      </c>
      <c r="O257" s="13"/>
      <c r="P257" s="13">
        <v>-40</v>
      </c>
      <c r="Q257" s="13">
        <v>-62</v>
      </c>
      <c r="R257" s="48">
        <f t="shared" si="77"/>
        <v>-51</v>
      </c>
      <c r="S257" s="13"/>
      <c r="T257" s="13">
        <v>-40</v>
      </c>
      <c r="U257" s="13">
        <v>-62</v>
      </c>
      <c r="V257" s="48">
        <f t="shared" si="79"/>
        <v>-51</v>
      </c>
      <c r="W257" s="13"/>
      <c r="X257" s="13">
        <v>-29</v>
      </c>
      <c r="Y257" s="13">
        <v>-38</v>
      </c>
      <c r="Z257" s="48">
        <f t="shared" si="80"/>
        <v>-33.5</v>
      </c>
      <c r="AA257" s="13"/>
      <c r="AB257" s="13">
        <v>-11</v>
      </c>
      <c r="AC257" s="13">
        <v>-26</v>
      </c>
      <c r="AD257" s="48">
        <f t="shared" si="83"/>
        <v>-18.5</v>
      </c>
      <c r="AE257" s="13"/>
      <c r="AF257" s="13"/>
      <c r="AG257" s="13"/>
      <c r="AH257" s="97"/>
      <c r="AI257" s="13"/>
      <c r="AJ257" s="13"/>
      <c r="AK257" s="13"/>
      <c r="AL257" s="97"/>
      <c r="AM257" s="13"/>
      <c r="AN257" s="13"/>
      <c r="AO257" s="13"/>
      <c r="AP257" s="97"/>
      <c r="AQ257" s="13"/>
      <c r="AR257" s="13"/>
      <c r="AS257" s="13"/>
      <c r="AT257" s="97"/>
      <c r="AU257" s="13"/>
      <c r="AV257" s="13"/>
      <c r="AW257" s="13"/>
      <c r="AX257" s="49"/>
    </row>
    <row r="258" spans="1:50" ht="10.199999999999999" customHeight="1" x14ac:dyDescent="0.25">
      <c r="A258" s="14">
        <f t="shared" si="81"/>
        <v>7</v>
      </c>
      <c r="B258" s="102">
        <f t="shared" si="82"/>
        <v>37306</v>
      </c>
      <c r="C258" s="103">
        <v>37303</v>
      </c>
      <c r="D258" s="13"/>
      <c r="E258" s="13"/>
      <c r="F258" s="97"/>
      <c r="G258" s="13"/>
      <c r="H258" s="13">
        <v>-7</v>
      </c>
      <c r="I258" s="13">
        <v>-8</v>
      </c>
      <c r="J258" s="48">
        <f t="shared" si="75"/>
        <v>-7.5</v>
      </c>
      <c r="K258" s="13"/>
      <c r="L258" s="13">
        <v>-10</v>
      </c>
      <c r="M258" s="13">
        <v>-20</v>
      </c>
      <c r="N258" s="48">
        <f t="shared" si="76"/>
        <v>-15</v>
      </c>
      <c r="O258" s="13"/>
      <c r="P258" s="13">
        <v>-38</v>
      </c>
      <c r="Q258" s="13">
        <v>-58</v>
      </c>
      <c r="R258" s="48">
        <f t="shared" si="77"/>
        <v>-48</v>
      </c>
      <c r="S258" s="13"/>
      <c r="T258" s="13">
        <v>-38</v>
      </c>
      <c r="U258" s="13">
        <v>-58</v>
      </c>
      <c r="V258" s="48">
        <f t="shared" si="79"/>
        <v>-48</v>
      </c>
      <c r="W258" s="13"/>
      <c r="X258" s="13">
        <v>-25</v>
      </c>
      <c r="Y258" s="13">
        <v>-40</v>
      </c>
      <c r="Z258" s="48">
        <f t="shared" si="80"/>
        <v>-32.5</v>
      </c>
      <c r="AA258" s="13"/>
      <c r="AB258" s="13">
        <v>-8</v>
      </c>
      <c r="AC258" s="13">
        <v>-25</v>
      </c>
      <c r="AD258" s="48">
        <f t="shared" si="83"/>
        <v>-16.5</v>
      </c>
      <c r="AE258" s="13"/>
      <c r="AF258" s="13"/>
      <c r="AG258" s="13"/>
      <c r="AH258" s="97"/>
      <c r="AI258" s="13"/>
      <c r="AJ258" s="13"/>
      <c r="AK258" s="13"/>
      <c r="AL258" s="97"/>
      <c r="AM258" s="13"/>
      <c r="AN258" s="13"/>
      <c r="AO258" s="13"/>
      <c r="AP258" s="97"/>
      <c r="AQ258" s="13"/>
      <c r="AR258" s="13"/>
      <c r="AS258" s="13"/>
      <c r="AT258" s="97"/>
      <c r="AU258" s="13"/>
      <c r="AV258" s="13"/>
      <c r="AW258" s="13"/>
      <c r="AX258" s="49"/>
    </row>
    <row r="259" spans="1:50" ht="10.199999999999999" customHeight="1" x14ac:dyDescent="0.25">
      <c r="A259" s="14">
        <f t="shared" si="81"/>
        <v>8</v>
      </c>
      <c r="B259" s="102">
        <f t="shared" si="82"/>
        <v>37313</v>
      </c>
      <c r="C259" s="103">
        <v>37310</v>
      </c>
      <c r="D259" s="13"/>
      <c r="E259" s="13"/>
      <c r="F259" s="97"/>
      <c r="G259" s="13"/>
      <c r="H259" s="13"/>
      <c r="I259" s="13"/>
      <c r="J259" s="97"/>
      <c r="K259" s="13"/>
      <c r="L259" s="13">
        <v>-8</v>
      </c>
      <c r="M259" s="13">
        <v>-11</v>
      </c>
      <c r="N259" s="48">
        <f t="shared" si="76"/>
        <v>-9.5</v>
      </c>
      <c r="O259" s="13"/>
      <c r="P259" s="13">
        <v>-36</v>
      </c>
      <c r="Q259" s="13">
        <v>-40</v>
      </c>
      <c r="R259" s="48">
        <f t="shared" si="77"/>
        <v>-38</v>
      </c>
      <c r="S259" s="13"/>
      <c r="T259" s="13">
        <v>-36</v>
      </c>
      <c r="U259" s="13">
        <v>-61</v>
      </c>
      <c r="V259" s="48">
        <f t="shared" si="79"/>
        <v>-48.5</v>
      </c>
      <c r="W259" s="13"/>
      <c r="X259" s="13">
        <v>-22</v>
      </c>
      <c r="Y259" s="13">
        <v>-51</v>
      </c>
      <c r="Z259" s="48">
        <f t="shared" si="80"/>
        <v>-36.5</v>
      </c>
      <c r="AA259" s="13"/>
      <c r="AB259" s="13">
        <v>-4</v>
      </c>
      <c r="AC259" s="13">
        <v>-34</v>
      </c>
      <c r="AD259" s="48">
        <f t="shared" si="83"/>
        <v>-19</v>
      </c>
      <c r="AE259" s="13"/>
      <c r="AF259" s="13">
        <v>8</v>
      </c>
      <c r="AG259" s="13">
        <v>-28</v>
      </c>
      <c r="AH259" s="48">
        <f t="shared" ref="AH259:AH283" si="84">AVERAGE(AF259,AG259)</f>
        <v>-10</v>
      </c>
      <c r="AI259" s="13"/>
      <c r="AJ259" s="13"/>
      <c r="AK259" s="13"/>
      <c r="AL259" s="97"/>
      <c r="AM259" s="13"/>
      <c r="AN259" s="13"/>
      <c r="AO259" s="13"/>
      <c r="AP259" s="97"/>
      <c r="AQ259" s="13"/>
      <c r="AR259" s="13"/>
      <c r="AS259" s="13"/>
      <c r="AT259" s="97"/>
      <c r="AU259" s="13"/>
      <c r="AV259" s="13"/>
      <c r="AW259" s="13"/>
      <c r="AX259" s="49"/>
    </row>
    <row r="260" spans="1:50" ht="10.199999999999999" customHeight="1" x14ac:dyDescent="0.25">
      <c r="A260" s="14">
        <f t="shared" si="81"/>
        <v>9</v>
      </c>
      <c r="B260" s="102">
        <f t="shared" si="82"/>
        <v>37320</v>
      </c>
      <c r="C260" s="103">
        <v>37317</v>
      </c>
      <c r="D260" s="13"/>
      <c r="E260" s="13"/>
      <c r="F260" s="97"/>
      <c r="G260" s="13"/>
      <c r="H260" s="13"/>
      <c r="I260" s="13"/>
      <c r="J260" s="97"/>
      <c r="K260" s="13"/>
      <c r="L260" s="13">
        <v>-3</v>
      </c>
      <c r="M260" s="13">
        <v>-11</v>
      </c>
      <c r="N260" s="48">
        <f t="shared" si="76"/>
        <v>-7</v>
      </c>
      <c r="O260" s="13"/>
      <c r="P260" s="13">
        <v>-29</v>
      </c>
      <c r="Q260" s="13">
        <v>-41</v>
      </c>
      <c r="R260" s="48">
        <f t="shared" si="77"/>
        <v>-35</v>
      </c>
      <c r="S260" s="13"/>
      <c r="T260" s="13">
        <v>-35</v>
      </c>
      <c r="U260" s="13">
        <v>-50</v>
      </c>
      <c r="V260" s="48">
        <f t="shared" si="79"/>
        <v>-42.5</v>
      </c>
      <c r="W260" s="13"/>
      <c r="X260" s="13">
        <v>-18</v>
      </c>
      <c r="Y260" s="13">
        <v>-37</v>
      </c>
      <c r="Z260" s="48">
        <f t="shared" si="80"/>
        <v>-27.5</v>
      </c>
      <c r="AA260" s="13"/>
      <c r="AB260" s="13">
        <v>-3</v>
      </c>
      <c r="AC260" s="13">
        <v>-20</v>
      </c>
      <c r="AD260" s="48">
        <f t="shared" si="83"/>
        <v>-11.5</v>
      </c>
      <c r="AE260" s="13"/>
      <c r="AF260" s="13">
        <v>11</v>
      </c>
      <c r="AG260" s="13">
        <v>-5</v>
      </c>
      <c r="AH260" s="48">
        <f t="shared" si="84"/>
        <v>3</v>
      </c>
      <c r="AI260" s="13"/>
      <c r="AJ260" s="13"/>
      <c r="AK260" s="13"/>
      <c r="AL260" s="97"/>
      <c r="AM260" s="13"/>
      <c r="AN260" s="13"/>
      <c r="AO260" s="13"/>
      <c r="AP260" s="97"/>
      <c r="AQ260" s="13"/>
      <c r="AR260" s="13"/>
      <c r="AS260" s="13"/>
      <c r="AT260" s="97"/>
      <c r="AU260" s="13"/>
      <c r="AV260" s="13"/>
      <c r="AW260" s="13"/>
      <c r="AX260" s="49"/>
    </row>
    <row r="261" spans="1:50" ht="10.199999999999999" customHeight="1" x14ac:dyDescent="0.25">
      <c r="A261" s="14">
        <f t="shared" si="81"/>
        <v>10</v>
      </c>
      <c r="B261" s="102">
        <f t="shared" si="82"/>
        <v>37327</v>
      </c>
      <c r="C261" s="103">
        <v>37324</v>
      </c>
      <c r="D261" s="13"/>
      <c r="E261" s="13"/>
      <c r="F261" s="97"/>
      <c r="G261" s="13"/>
      <c r="H261" s="13"/>
      <c r="I261" s="13"/>
      <c r="J261" s="97"/>
      <c r="K261" s="13"/>
      <c r="L261" s="13">
        <v>-1</v>
      </c>
      <c r="M261" s="13">
        <v>-8</v>
      </c>
      <c r="N261" s="48">
        <f t="shared" si="76"/>
        <v>-4.5</v>
      </c>
      <c r="O261" s="13"/>
      <c r="P261" s="13">
        <v>-21</v>
      </c>
      <c r="Q261" s="13">
        <v>-30</v>
      </c>
      <c r="R261" s="48">
        <f t="shared" si="77"/>
        <v>-25.5</v>
      </c>
      <c r="S261" s="13"/>
      <c r="T261" s="13">
        <v>-32</v>
      </c>
      <c r="U261" s="13">
        <v>-43</v>
      </c>
      <c r="V261" s="48">
        <f t="shared" si="79"/>
        <v>-37.5</v>
      </c>
      <c r="W261" s="13"/>
      <c r="X261" s="13">
        <v>-21</v>
      </c>
      <c r="Y261" s="13">
        <v>-35</v>
      </c>
      <c r="Z261" s="48">
        <f t="shared" si="80"/>
        <v>-28</v>
      </c>
      <c r="AA261" s="13"/>
      <c r="AB261" s="13">
        <v>-7</v>
      </c>
      <c r="AC261" s="13">
        <v>-20</v>
      </c>
      <c r="AD261" s="48">
        <f t="shared" si="83"/>
        <v>-13.5</v>
      </c>
      <c r="AE261" s="13"/>
      <c r="AF261" s="13">
        <v>12</v>
      </c>
      <c r="AG261" s="13">
        <v>-5</v>
      </c>
      <c r="AH261" s="48">
        <f t="shared" si="84"/>
        <v>3.5</v>
      </c>
      <c r="AI261" s="13"/>
      <c r="AJ261" s="13"/>
      <c r="AK261" s="13"/>
      <c r="AL261" s="97"/>
      <c r="AM261" s="13"/>
      <c r="AN261" s="13"/>
      <c r="AO261" s="13"/>
      <c r="AP261" s="97"/>
      <c r="AQ261" s="13"/>
      <c r="AR261" s="13"/>
      <c r="AS261" s="13"/>
      <c r="AT261" s="97"/>
      <c r="AU261" s="13"/>
      <c r="AV261" s="13"/>
      <c r="AW261" s="13"/>
      <c r="AX261" s="49"/>
    </row>
    <row r="262" spans="1:50" ht="10.199999999999999" customHeight="1" x14ac:dyDescent="0.25">
      <c r="A262" s="14">
        <f t="shared" si="81"/>
        <v>11</v>
      </c>
      <c r="B262" s="102">
        <f t="shared" si="82"/>
        <v>37334</v>
      </c>
      <c r="C262" s="103">
        <v>37331</v>
      </c>
      <c r="D262" s="13"/>
      <c r="E262" s="13"/>
      <c r="F262" s="97"/>
      <c r="G262" s="13"/>
      <c r="H262" s="13"/>
      <c r="I262" s="13"/>
      <c r="J262" s="97"/>
      <c r="K262" s="13"/>
      <c r="L262" s="13">
        <v>3</v>
      </c>
      <c r="M262" s="13">
        <v>-5</v>
      </c>
      <c r="N262" s="48">
        <f t="shared" si="76"/>
        <v>-1</v>
      </c>
      <c r="O262" s="13"/>
      <c r="P262" s="13">
        <v>-15</v>
      </c>
      <c r="Q262" s="13">
        <v>-23</v>
      </c>
      <c r="R262" s="48">
        <f t="shared" si="77"/>
        <v>-19</v>
      </c>
      <c r="S262" s="13"/>
      <c r="T262" s="13">
        <v>-25</v>
      </c>
      <c r="U262" s="13">
        <v>-35</v>
      </c>
      <c r="V262" s="48">
        <f t="shared" si="79"/>
        <v>-30</v>
      </c>
      <c r="W262" s="13"/>
      <c r="X262" s="13">
        <v>-16</v>
      </c>
      <c r="Y262" s="13">
        <v>-28</v>
      </c>
      <c r="Z262" s="48">
        <f t="shared" si="80"/>
        <v>-22</v>
      </c>
      <c r="AA262" s="13"/>
      <c r="AB262" s="13">
        <v>-4</v>
      </c>
      <c r="AC262" s="13">
        <v>-17</v>
      </c>
      <c r="AD262" s="48">
        <f t="shared" si="83"/>
        <v>-10.5</v>
      </c>
      <c r="AE262" s="13"/>
      <c r="AF262" s="13">
        <v>15</v>
      </c>
      <c r="AG262" s="13">
        <v>4</v>
      </c>
      <c r="AH262" s="48">
        <f t="shared" si="84"/>
        <v>9.5</v>
      </c>
      <c r="AI262" s="13"/>
      <c r="AJ262" s="13"/>
      <c r="AK262" s="13"/>
      <c r="AL262" s="97"/>
      <c r="AM262" s="13"/>
      <c r="AN262" s="13"/>
      <c r="AO262" s="13"/>
      <c r="AP262" s="97"/>
      <c r="AQ262" s="13"/>
      <c r="AR262" s="13"/>
      <c r="AS262" s="13"/>
      <c r="AT262" s="97"/>
      <c r="AU262" s="13"/>
      <c r="AV262" s="13"/>
      <c r="AW262" s="13"/>
      <c r="AX262" s="49"/>
    </row>
    <row r="263" spans="1:50" ht="10.199999999999999" customHeight="1" x14ac:dyDescent="0.25">
      <c r="A263" s="14">
        <f t="shared" si="81"/>
        <v>12</v>
      </c>
      <c r="B263" s="102">
        <f t="shared" si="82"/>
        <v>37341</v>
      </c>
      <c r="C263" s="103">
        <v>37338</v>
      </c>
      <c r="D263" s="13"/>
      <c r="E263" s="13"/>
      <c r="F263" s="97"/>
      <c r="G263" s="13"/>
      <c r="H263" s="13"/>
      <c r="I263" s="13"/>
      <c r="J263" s="97"/>
      <c r="K263" s="13"/>
      <c r="L263" s="13"/>
      <c r="M263" s="13"/>
      <c r="N263" s="97"/>
      <c r="O263" s="13"/>
      <c r="P263" s="13">
        <v>-19</v>
      </c>
      <c r="Q263" s="13">
        <v>-32</v>
      </c>
      <c r="R263" s="48">
        <f t="shared" si="77"/>
        <v>-25.5</v>
      </c>
      <c r="S263" s="13"/>
      <c r="T263" s="13">
        <v>-30</v>
      </c>
      <c r="U263" s="13">
        <v>-38</v>
      </c>
      <c r="V263" s="48">
        <f t="shared" si="79"/>
        <v>-34</v>
      </c>
      <c r="W263" s="13"/>
      <c r="X263" s="13">
        <v>-17</v>
      </c>
      <c r="Y263" s="13">
        <v>-34</v>
      </c>
      <c r="Z263" s="48">
        <f t="shared" si="80"/>
        <v>-25.5</v>
      </c>
      <c r="AA263" s="13"/>
      <c r="AB263" s="13">
        <v>-5</v>
      </c>
      <c r="AC263" s="13">
        <v>-22</v>
      </c>
      <c r="AD263" s="48">
        <f t="shared" si="83"/>
        <v>-13.5</v>
      </c>
      <c r="AE263" s="13"/>
      <c r="AF263" s="13">
        <v>14</v>
      </c>
      <c r="AG263" s="13">
        <v>-8</v>
      </c>
      <c r="AH263" s="48">
        <f t="shared" si="84"/>
        <v>3</v>
      </c>
      <c r="AI263" s="13"/>
      <c r="AJ263" s="13">
        <v>36</v>
      </c>
      <c r="AK263" s="13">
        <v>16</v>
      </c>
      <c r="AL263" s="48">
        <f t="shared" ref="AL263:AL288" si="85">AVERAGE(AJ263,AK263)</f>
        <v>26</v>
      </c>
      <c r="AM263" s="13"/>
      <c r="AN263" s="13"/>
      <c r="AO263" s="13"/>
      <c r="AP263" s="97"/>
      <c r="AQ263" s="13"/>
      <c r="AR263" s="13"/>
      <c r="AS263" s="13"/>
      <c r="AT263" s="97"/>
      <c r="AU263" s="13"/>
      <c r="AV263" s="13"/>
      <c r="AW263" s="13"/>
      <c r="AX263" s="49"/>
    </row>
    <row r="264" spans="1:50" ht="10.199999999999999" customHeight="1" x14ac:dyDescent="0.25">
      <c r="A264" s="14">
        <f t="shared" si="81"/>
        <v>13</v>
      </c>
      <c r="B264" s="102">
        <f t="shared" si="82"/>
        <v>37348</v>
      </c>
      <c r="C264" s="103">
        <v>37345</v>
      </c>
      <c r="D264" s="13"/>
      <c r="E264" s="13"/>
      <c r="F264" s="97"/>
      <c r="G264" s="13"/>
      <c r="H264" s="13"/>
      <c r="I264" s="13"/>
      <c r="J264" s="97"/>
      <c r="K264" s="13"/>
      <c r="L264" s="13"/>
      <c r="M264" s="13"/>
      <c r="N264" s="97"/>
      <c r="O264" s="13"/>
      <c r="P264" s="13">
        <v>-23</v>
      </c>
      <c r="Q264" s="13">
        <v>-30</v>
      </c>
      <c r="R264" s="48">
        <f t="shared" si="77"/>
        <v>-26.5</v>
      </c>
      <c r="S264" s="13"/>
      <c r="T264" s="13">
        <v>-32</v>
      </c>
      <c r="U264" s="13">
        <v>-35</v>
      </c>
      <c r="V264" s="48">
        <f t="shared" si="79"/>
        <v>-33.5</v>
      </c>
      <c r="W264" s="13"/>
      <c r="X264" s="13">
        <v>-20</v>
      </c>
      <c r="Y264" s="13">
        <v>-36</v>
      </c>
      <c r="Z264" s="48">
        <f t="shared" si="80"/>
        <v>-28</v>
      </c>
      <c r="AA264" s="13"/>
      <c r="AB264" s="13">
        <v>-4</v>
      </c>
      <c r="AC264" s="13">
        <v>-23</v>
      </c>
      <c r="AD264" s="48">
        <f t="shared" si="83"/>
        <v>-13.5</v>
      </c>
      <c r="AE264" s="13"/>
      <c r="AF264" s="13">
        <v>16</v>
      </c>
      <c r="AG264" s="13">
        <v>-3</v>
      </c>
      <c r="AH264" s="48">
        <f t="shared" si="84"/>
        <v>6.5</v>
      </c>
      <c r="AI264" s="13"/>
      <c r="AJ264" s="13">
        <v>38</v>
      </c>
      <c r="AK264" s="13">
        <v>21</v>
      </c>
      <c r="AL264" s="48">
        <f t="shared" si="85"/>
        <v>29.5</v>
      </c>
      <c r="AM264" s="13"/>
      <c r="AN264" s="13"/>
      <c r="AO264" s="13"/>
      <c r="AP264" s="97"/>
      <c r="AQ264" s="13"/>
      <c r="AR264" s="13"/>
      <c r="AS264" s="13"/>
      <c r="AT264" s="97"/>
      <c r="AU264" s="13"/>
      <c r="AV264" s="13"/>
      <c r="AW264" s="13"/>
      <c r="AX264" s="49"/>
    </row>
    <row r="265" spans="1:50" ht="10.199999999999999" customHeight="1" x14ac:dyDescent="0.25">
      <c r="A265" s="14">
        <f t="shared" si="81"/>
        <v>14</v>
      </c>
      <c r="B265" s="102">
        <f t="shared" si="82"/>
        <v>37355</v>
      </c>
      <c r="C265" s="103">
        <v>37352</v>
      </c>
      <c r="D265" s="13"/>
      <c r="E265" s="13"/>
      <c r="F265" s="97"/>
      <c r="G265" s="13"/>
      <c r="H265" s="13"/>
      <c r="I265" s="13"/>
      <c r="J265" s="97"/>
      <c r="K265" s="13"/>
      <c r="L265" s="13"/>
      <c r="M265" s="13"/>
      <c r="N265" s="97"/>
      <c r="O265" s="13"/>
      <c r="P265" s="13">
        <v>-28</v>
      </c>
      <c r="Q265" s="13">
        <v>-33</v>
      </c>
      <c r="R265" s="48">
        <f t="shared" si="77"/>
        <v>-30.5</v>
      </c>
      <c r="S265" s="13"/>
      <c r="T265" s="13">
        <v>-33</v>
      </c>
      <c r="U265" s="13">
        <v>-34</v>
      </c>
      <c r="V265" s="48">
        <f t="shared" si="79"/>
        <v>-33.5</v>
      </c>
      <c r="W265" s="13"/>
      <c r="X265" s="13">
        <v>-21</v>
      </c>
      <c r="Y265" s="13">
        <v>-34</v>
      </c>
      <c r="Z265" s="48">
        <f t="shared" si="80"/>
        <v>-27.5</v>
      </c>
      <c r="AA265" s="13"/>
      <c r="AB265" s="13">
        <v>-4</v>
      </c>
      <c r="AC265" s="13">
        <v>-23</v>
      </c>
      <c r="AD265" s="48">
        <f t="shared" si="83"/>
        <v>-13.5</v>
      </c>
      <c r="AE265" s="13"/>
      <c r="AF265" s="13">
        <v>16</v>
      </c>
      <c r="AG265" s="13">
        <v>-9</v>
      </c>
      <c r="AH265" s="48">
        <f t="shared" si="84"/>
        <v>3.5</v>
      </c>
      <c r="AI265" s="13"/>
      <c r="AJ265" s="13">
        <v>38</v>
      </c>
      <c r="AK265" s="13">
        <v>16</v>
      </c>
      <c r="AL265" s="48">
        <f t="shared" si="85"/>
        <v>27</v>
      </c>
      <c r="AM265" s="13"/>
      <c r="AN265" s="13"/>
      <c r="AO265" s="13"/>
      <c r="AP265" s="97"/>
      <c r="AQ265" s="13"/>
      <c r="AR265" s="13"/>
      <c r="AS265" s="13"/>
      <c r="AT265" s="97"/>
      <c r="AU265" s="13"/>
      <c r="AV265" s="13"/>
      <c r="AW265" s="13"/>
      <c r="AX265" s="49"/>
    </row>
    <row r="266" spans="1:50" ht="10.199999999999999" customHeight="1" x14ac:dyDescent="0.25">
      <c r="A266" s="14">
        <f t="shared" si="81"/>
        <v>15</v>
      </c>
      <c r="B266" s="102">
        <f t="shared" si="82"/>
        <v>37362</v>
      </c>
      <c r="C266" s="103">
        <v>37359</v>
      </c>
      <c r="D266" s="13"/>
      <c r="E266" s="13"/>
      <c r="F266" s="97"/>
      <c r="G266" s="13"/>
      <c r="H266" s="13"/>
      <c r="I266" s="13"/>
      <c r="J266" s="97"/>
      <c r="K266" s="13"/>
      <c r="L266" s="13"/>
      <c r="M266" s="13"/>
      <c r="N266" s="97"/>
      <c r="O266" s="13"/>
      <c r="P266" s="13">
        <v>-38</v>
      </c>
      <c r="Q266" s="13">
        <v>-23</v>
      </c>
      <c r="R266" s="48">
        <f t="shared" si="77"/>
        <v>-30.5</v>
      </c>
      <c r="S266" s="13"/>
      <c r="T266" s="13">
        <v>-36</v>
      </c>
      <c r="U266" s="13">
        <v>-22</v>
      </c>
      <c r="V266" s="48">
        <f t="shared" si="79"/>
        <v>-29</v>
      </c>
      <c r="W266" s="13"/>
      <c r="X266" s="13">
        <v>-24</v>
      </c>
      <c r="Y266" s="13">
        <v>-19</v>
      </c>
      <c r="Z266" s="48">
        <f t="shared" si="80"/>
        <v>-21.5</v>
      </c>
      <c r="AA266" s="13"/>
      <c r="AB266" s="13">
        <v>-9</v>
      </c>
      <c r="AC266" s="13">
        <v>-12</v>
      </c>
      <c r="AD266" s="48">
        <f t="shared" si="83"/>
        <v>-10.5</v>
      </c>
      <c r="AE266" s="13"/>
      <c r="AF266" s="13">
        <v>17</v>
      </c>
      <c r="AG266" s="13">
        <v>17</v>
      </c>
      <c r="AH266" s="48">
        <f t="shared" si="84"/>
        <v>17</v>
      </c>
      <c r="AI266" s="13"/>
      <c r="AJ266" s="13">
        <v>36</v>
      </c>
      <c r="AK266" s="13">
        <v>24</v>
      </c>
      <c r="AL266" s="48">
        <f t="shared" si="85"/>
        <v>30</v>
      </c>
      <c r="AM266" s="13"/>
      <c r="AN266" s="13"/>
      <c r="AO266" s="13"/>
      <c r="AP266" s="97"/>
      <c r="AQ266" s="13"/>
      <c r="AR266" s="13"/>
      <c r="AS266" s="13"/>
      <c r="AT266" s="97"/>
      <c r="AU266" s="13"/>
      <c r="AV266" s="13"/>
      <c r="AW266" s="13"/>
      <c r="AX266" s="49"/>
    </row>
    <row r="267" spans="1:50" ht="10.199999999999999" customHeight="1" x14ac:dyDescent="0.25">
      <c r="A267" s="14">
        <f t="shared" si="81"/>
        <v>16</v>
      </c>
      <c r="B267" s="102">
        <f t="shared" si="82"/>
        <v>37369</v>
      </c>
      <c r="C267" s="103">
        <v>37366</v>
      </c>
      <c r="D267" s="13"/>
      <c r="E267" s="13"/>
      <c r="F267" s="97"/>
      <c r="G267" s="13"/>
      <c r="H267" s="13"/>
      <c r="I267" s="13"/>
      <c r="J267" s="97"/>
      <c r="K267" s="13"/>
      <c r="L267" s="13"/>
      <c r="M267" s="13"/>
      <c r="N267" s="97"/>
      <c r="O267" s="13"/>
      <c r="P267" s="13"/>
      <c r="Q267" s="13"/>
      <c r="R267" s="97"/>
      <c r="S267" s="13"/>
      <c r="T267" s="13">
        <v>-34</v>
      </c>
      <c r="U267" s="13">
        <v>-8</v>
      </c>
      <c r="V267" s="48">
        <f t="shared" si="79"/>
        <v>-21</v>
      </c>
      <c r="W267" s="13"/>
      <c r="X267" s="13">
        <v>-22</v>
      </c>
      <c r="Y267" s="13">
        <v>-19</v>
      </c>
      <c r="Z267" s="48">
        <f t="shared" si="80"/>
        <v>-20.5</v>
      </c>
      <c r="AA267" s="13"/>
      <c r="AB267" s="13">
        <v>-10</v>
      </c>
      <c r="AC267" s="13">
        <v>-16</v>
      </c>
      <c r="AD267" s="48">
        <f t="shared" si="83"/>
        <v>-13</v>
      </c>
      <c r="AE267" s="13"/>
      <c r="AF267" s="13">
        <v>12</v>
      </c>
      <c r="AG267" s="13">
        <v>12</v>
      </c>
      <c r="AH267" s="48">
        <f t="shared" si="84"/>
        <v>12</v>
      </c>
      <c r="AI267" s="13"/>
      <c r="AJ267" s="13">
        <v>34</v>
      </c>
      <c r="AK267" s="13">
        <v>30</v>
      </c>
      <c r="AL267" s="48">
        <f t="shared" si="85"/>
        <v>32</v>
      </c>
      <c r="AM267" s="13"/>
      <c r="AN267" s="13">
        <v>39</v>
      </c>
      <c r="AO267" s="13">
        <v>35</v>
      </c>
      <c r="AP267" s="48">
        <f t="shared" ref="AP267:AP288" si="86">AVERAGE(AN267,AO267)</f>
        <v>37</v>
      </c>
      <c r="AQ267" s="13"/>
      <c r="AR267" s="13"/>
      <c r="AS267" s="13"/>
      <c r="AT267" s="97"/>
      <c r="AU267" s="13"/>
      <c r="AV267" s="13"/>
      <c r="AW267" s="13"/>
      <c r="AX267" s="49"/>
    </row>
    <row r="268" spans="1:50" ht="10.199999999999999" customHeight="1" x14ac:dyDescent="0.25">
      <c r="A268" s="14">
        <f t="shared" si="81"/>
        <v>17</v>
      </c>
      <c r="B268" s="102">
        <f t="shared" si="82"/>
        <v>37376</v>
      </c>
      <c r="C268" s="103">
        <v>37373</v>
      </c>
      <c r="D268" s="13"/>
      <c r="E268" s="13"/>
      <c r="F268" s="97"/>
      <c r="G268" s="13"/>
      <c r="H268" s="13"/>
      <c r="I268" s="13"/>
      <c r="J268" s="97"/>
      <c r="K268" s="13"/>
      <c r="L268" s="13"/>
      <c r="M268" s="13"/>
      <c r="N268" s="97"/>
      <c r="O268" s="13"/>
      <c r="P268" s="13"/>
      <c r="Q268" s="13"/>
      <c r="R268" s="97"/>
      <c r="S268" s="13"/>
      <c r="T268" s="13">
        <v>-25</v>
      </c>
      <c r="U268" s="13">
        <v>-23</v>
      </c>
      <c r="V268" s="48">
        <f t="shared" si="79"/>
        <v>-24</v>
      </c>
      <c r="W268" s="13"/>
      <c r="X268" s="13">
        <v>-15</v>
      </c>
      <c r="Y268" s="13">
        <v>-21</v>
      </c>
      <c r="Z268" s="48">
        <f t="shared" si="80"/>
        <v>-18</v>
      </c>
      <c r="AA268" s="13"/>
      <c r="AB268" s="13">
        <v>-6</v>
      </c>
      <c r="AC268" s="13">
        <v>-16</v>
      </c>
      <c r="AD268" s="48">
        <f t="shared" si="83"/>
        <v>-11</v>
      </c>
      <c r="AE268" s="13"/>
      <c r="AF268" s="13">
        <v>14</v>
      </c>
      <c r="AG268" s="13">
        <v>11</v>
      </c>
      <c r="AH268" s="48">
        <f t="shared" si="84"/>
        <v>12.5</v>
      </c>
      <c r="AI268" s="13"/>
      <c r="AJ268" s="13">
        <v>40</v>
      </c>
      <c r="AK268" s="13">
        <v>30</v>
      </c>
      <c r="AL268" s="48">
        <f t="shared" si="85"/>
        <v>35</v>
      </c>
      <c r="AM268" s="13"/>
      <c r="AN268" s="13">
        <v>46</v>
      </c>
      <c r="AO268" s="13">
        <v>40</v>
      </c>
      <c r="AP268" s="48">
        <f t="shared" si="86"/>
        <v>43</v>
      </c>
      <c r="AQ268" s="13"/>
      <c r="AR268" s="13"/>
      <c r="AS268" s="13"/>
      <c r="AT268" s="97"/>
      <c r="AU268" s="13"/>
      <c r="AV268" s="13"/>
      <c r="AW268" s="13"/>
      <c r="AX268" s="49"/>
    </row>
    <row r="269" spans="1:50" ht="10.199999999999999" customHeight="1" x14ac:dyDescent="0.25">
      <c r="A269" s="14">
        <f t="shared" si="81"/>
        <v>18</v>
      </c>
      <c r="B269" s="102">
        <f t="shared" si="82"/>
        <v>37383</v>
      </c>
      <c r="C269" s="103">
        <v>37380</v>
      </c>
      <c r="D269" s="13"/>
      <c r="E269" s="13"/>
      <c r="F269" s="97"/>
      <c r="G269" s="13"/>
      <c r="H269" s="13"/>
      <c r="I269" s="13"/>
      <c r="J269" s="97"/>
      <c r="K269" s="13"/>
      <c r="L269" s="13"/>
      <c r="M269" s="13"/>
      <c r="N269" s="97"/>
      <c r="O269" s="13"/>
      <c r="P269" s="13"/>
      <c r="Q269" s="13"/>
      <c r="R269" s="97"/>
      <c r="S269" s="13"/>
      <c r="T269" s="13">
        <v>-29</v>
      </c>
      <c r="U269" s="13">
        <v>-27</v>
      </c>
      <c r="V269" s="48">
        <f t="shared" si="79"/>
        <v>-28</v>
      </c>
      <c r="W269" s="13"/>
      <c r="X269" s="13">
        <v>-22</v>
      </c>
      <c r="Y269" s="13">
        <v>-25</v>
      </c>
      <c r="Z269" s="48">
        <f t="shared" si="80"/>
        <v>-23.5</v>
      </c>
      <c r="AA269" s="13"/>
      <c r="AB269" s="13">
        <v>-9</v>
      </c>
      <c r="AC269" s="13">
        <v>-17</v>
      </c>
      <c r="AD269" s="48">
        <f t="shared" si="83"/>
        <v>-13</v>
      </c>
      <c r="AE269" s="13"/>
      <c r="AF269" s="13">
        <v>11</v>
      </c>
      <c r="AG269" s="13">
        <v>13</v>
      </c>
      <c r="AH269" s="48">
        <f t="shared" si="84"/>
        <v>12</v>
      </c>
      <c r="AI269" s="13"/>
      <c r="AJ269" s="13">
        <v>25</v>
      </c>
      <c r="AK269" s="13">
        <v>26</v>
      </c>
      <c r="AL269" s="48">
        <f t="shared" si="85"/>
        <v>25.5</v>
      </c>
      <c r="AM269" s="13"/>
      <c r="AN269" s="13">
        <v>36</v>
      </c>
      <c r="AO269" s="13">
        <v>36</v>
      </c>
      <c r="AP269" s="48">
        <f t="shared" si="86"/>
        <v>36</v>
      </c>
      <c r="AQ269" s="13"/>
      <c r="AR269" s="13"/>
      <c r="AS269" s="13"/>
      <c r="AT269" s="97"/>
      <c r="AU269" s="13"/>
      <c r="AV269" s="13"/>
      <c r="AW269" s="13"/>
      <c r="AX269" s="49"/>
    </row>
    <row r="270" spans="1:50" ht="10.199999999999999" customHeight="1" x14ac:dyDescent="0.25">
      <c r="A270" s="14">
        <f t="shared" si="81"/>
        <v>19</v>
      </c>
      <c r="B270" s="102">
        <f t="shared" si="82"/>
        <v>37390</v>
      </c>
      <c r="C270" s="103">
        <v>37387</v>
      </c>
      <c r="D270" s="13"/>
      <c r="E270" s="13"/>
      <c r="F270" s="97"/>
      <c r="G270" s="13"/>
      <c r="H270" s="13"/>
      <c r="I270" s="13"/>
      <c r="J270" s="97"/>
      <c r="K270" s="13"/>
      <c r="L270" s="13"/>
      <c r="M270" s="13"/>
      <c r="N270" s="97"/>
      <c r="O270" s="13"/>
      <c r="P270" s="13"/>
      <c r="Q270" s="13"/>
      <c r="R270" s="97"/>
      <c r="S270" s="13"/>
      <c r="T270" s="13">
        <v>-11</v>
      </c>
      <c r="U270" s="13"/>
      <c r="V270" s="48">
        <f t="shared" si="79"/>
        <v>-11</v>
      </c>
      <c r="W270" s="13"/>
      <c r="X270" s="13">
        <v>-13</v>
      </c>
      <c r="Y270" s="13">
        <v>-13</v>
      </c>
      <c r="Z270" s="48">
        <f t="shared" si="80"/>
        <v>-13</v>
      </c>
      <c r="AA270" s="13"/>
      <c r="AB270" s="13">
        <v>-8</v>
      </c>
      <c r="AC270" s="13">
        <v>-11</v>
      </c>
      <c r="AD270" s="48">
        <f t="shared" si="83"/>
        <v>-9.5</v>
      </c>
      <c r="AE270" s="13"/>
      <c r="AF270" s="13">
        <v>12</v>
      </c>
      <c r="AG270" s="13">
        <v>10</v>
      </c>
      <c r="AH270" s="48">
        <f t="shared" si="84"/>
        <v>11</v>
      </c>
      <c r="AI270" s="13"/>
      <c r="AJ270" s="13">
        <v>26</v>
      </c>
      <c r="AK270" s="13">
        <v>25</v>
      </c>
      <c r="AL270" s="48">
        <f t="shared" si="85"/>
        <v>25.5</v>
      </c>
      <c r="AM270" s="13"/>
      <c r="AN270" s="13">
        <v>37</v>
      </c>
      <c r="AO270" s="13">
        <v>42</v>
      </c>
      <c r="AP270" s="48">
        <f t="shared" si="86"/>
        <v>39.5</v>
      </c>
      <c r="AQ270" s="13"/>
      <c r="AR270" s="13"/>
      <c r="AS270" s="13"/>
      <c r="AT270" s="97"/>
      <c r="AU270" s="13"/>
      <c r="AV270" s="13"/>
      <c r="AW270" s="13"/>
      <c r="AX270" s="49"/>
    </row>
    <row r="271" spans="1:50" ht="10.199999999999999" customHeight="1" x14ac:dyDescent="0.25">
      <c r="A271" s="14">
        <f t="shared" si="81"/>
        <v>20</v>
      </c>
      <c r="B271" s="102">
        <f t="shared" si="82"/>
        <v>37397</v>
      </c>
      <c r="C271" s="103">
        <v>37394</v>
      </c>
      <c r="D271" s="13"/>
      <c r="E271" s="13"/>
      <c r="F271" s="97"/>
      <c r="G271" s="13"/>
      <c r="H271" s="13"/>
      <c r="I271" s="13"/>
      <c r="J271" s="97"/>
      <c r="K271" s="13"/>
      <c r="L271" s="13"/>
      <c r="M271" s="13"/>
      <c r="N271" s="97"/>
      <c r="O271" s="13"/>
      <c r="P271" s="13"/>
      <c r="Q271" s="13"/>
      <c r="R271" s="97"/>
      <c r="S271" s="13"/>
      <c r="T271" s="13"/>
      <c r="U271" s="13"/>
      <c r="V271" s="97"/>
      <c r="W271" s="13"/>
      <c r="X271" s="13">
        <v>-8</v>
      </c>
      <c r="Y271" s="13">
        <v>-10</v>
      </c>
      <c r="Z271" s="48">
        <f t="shared" si="80"/>
        <v>-9</v>
      </c>
      <c r="AA271" s="13"/>
      <c r="AB271" s="13">
        <v>-8</v>
      </c>
      <c r="AC271" s="13">
        <v>-5</v>
      </c>
      <c r="AD271" s="48">
        <f t="shared" si="83"/>
        <v>-6.5</v>
      </c>
      <c r="AE271" s="13"/>
      <c r="AF271" s="13">
        <v>8</v>
      </c>
      <c r="AG271" s="13">
        <v>5</v>
      </c>
      <c r="AH271" s="48">
        <f t="shared" si="84"/>
        <v>6.5</v>
      </c>
      <c r="AI271" s="13"/>
      <c r="AJ271" s="13">
        <v>31</v>
      </c>
      <c r="AK271" s="13">
        <v>25</v>
      </c>
      <c r="AL271" s="48">
        <f t="shared" si="85"/>
        <v>28</v>
      </c>
      <c r="AM271" s="13"/>
      <c r="AN271" s="13">
        <v>30</v>
      </c>
      <c r="AO271" s="13">
        <v>31</v>
      </c>
      <c r="AP271" s="48">
        <f t="shared" si="86"/>
        <v>30.5</v>
      </c>
      <c r="AQ271" s="13"/>
      <c r="AR271" s="13">
        <v>11</v>
      </c>
      <c r="AS271" s="13">
        <v>23</v>
      </c>
      <c r="AT271" s="48">
        <f t="shared" ref="AT271:AT279" si="87">AVERAGE(AR271,AS271)</f>
        <v>17</v>
      </c>
      <c r="AU271" s="13"/>
      <c r="AV271" s="13"/>
      <c r="AW271" s="13"/>
      <c r="AX271" s="49"/>
    </row>
    <row r="272" spans="1:50" ht="10.199999999999999" customHeight="1" x14ac:dyDescent="0.25">
      <c r="A272" s="14">
        <f t="shared" si="81"/>
        <v>21</v>
      </c>
      <c r="B272" s="102">
        <f t="shared" si="82"/>
        <v>37404</v>
      </c>
      <c r="C272" s="103">
        <v>37401</v>
      </c>
      <c r="D272" s="13"/>
      <c r="E272" s="13"/>
      <c r="F272" s="97"/>
      <c r="G272" s="13"/>
      <c r="H272" s="13"/>
      <c r="I272" s="13"/>
      <c r="J272" s="97"/>
      <c r="K272" s="13"/>
      <c r="L272" s="13"/>
      <c r="M272" s="13"/>
      <c r="N272" s="97"/>
      <c r="O272" s="13"/>
      <c r="P272" s="13"/>
      <c r="Q272" s="13"/>
      <c r="R272" s="97"/>
      <c r="S272" s="13"/>
      <c r="T272" s="13"/>
      <c r="U272" s="13"/>
      <c r="V272" s="97"/>
      <c r="W272" s="13"/>
      <c r="X272" s="13">
        <v>0</v>
      </c>
      <c r="Y272" s="13">
        <v>-8</v>
      </c>
      <c r="Z272" s="48">
        <f t="shared" si="80"/>
        <v>-4</v>
      </c>
      <c r="AA272" s="13"/>
      <c r="AB272" s="13">
        <v>-5</v>
      </c>
      <c r="AC272" s="13">
        <v>-6</v>
      </c>
      <c r="AD272" s="48">
        <f t="shared" si="83"/>
        <v>-5.5</v>
      </c>
      <c r="AE272" s="13"/>
      <c r="AF272" s="13">
        <v>8</v>
      </c>
      <c r="AG272" s="13">
        <v>12</v>
      </c>
      <c r="AH272" s="48">
        <f t="shared" si="84"/>
        <v>10</v>
      </c>
      <c r="AI272" s="13"/>
      <c r="AJ272" s="13">
        <v>24</v>
      </c>
      <c r="AK272" s="13">
        <v>21</v>
      </c>
      <c r="AL272" s="48">
        <f t="shared" si="85"/>
        <v>22.5</v>
      </c>
      <c r="AM272" s="13"/>
      <c r="AN272" s="13">
        <v>35</v>
      </c>
      <c r="AO272" s="13">
        <v>40</v>
      </c>
      <c r="AP272" s="48">
        <f t="shared" si="86"/>
        <v>37.5</v>
      </c>
      <c r="AQ272" s="13"/>
      <c r="AR272" s="13">
        <v>14</v>
      </c>
      <c r="AS272" s="13">
        <v>8</v>
      </c>
      <c r="AT272" s="48">
        <f t="shared" si="87"/>
        <v>11</v>
      </c>
      <c r="AU272" s="13"/>
      <c r="AV272" s="13"/>
      <c r="AW272" s="13"/>
      <c r="AX272" s="49"/>
    </row>
    <row r="273" spans="1:50" ht="10.199999999999999" customHeight="1" x14ac:dyDescent="0.25">
      <c r="A273" s="14">
        <f t="shared" si="81"/>
        <v>22</v>
      </c>
      <c r="B273" s="102">
        <f t="shared" si="82"/>
        <v>37411</v>
      </c>
      <c r="C273" s="103">
        <v>37408</v>
      </c>
      <c r="D273" s="13"/>
      <c r="E273" s="13"/>
      <c r="F273" s="97"/>
      <c r="G273" s="13"/>
      <c r="H273" s="13"/>
      <c r="I273" s="13"/>
      <c r="J273" s="97"/>
      <c r="K273" s="13"/>
      <c r="L273" s="13"/>
      <c r="M273" s="13"/>
      <c r="N273" s="97"/>
      <c r="O273" s="13"/>
      <c r="P273" s="13"/>
      <c r="Q273" s="13"/>
      <c r="R273" s="97"/>
      <c r="S273" s="13"/>
      <c r="T273" s="13"/>
      <c r="U273" s="13"/>
      <c r="V273" s="97"/>
      <c r="W273" s="13"/>
      <c r="X273" s="13">
        <v>-3</v>
      </c>
      <c r="Y273" s="13">
        <v>-4</v>
      </c>
      <c r="Z273" s="48">
        <f t="shared" si="80"/>
        <v>-3.5</v>
      </c>
      <c r="AA273" s="13"/>
      <c r="AB273" s="13">
        <v>-5</v>
      </c>
      <c r="AC273" s="13">
        <v>-5</v>
      </c>
      <c r="AD273" s="48">
        <f t="shared" si="83"/>
        <v>-5</v>
      </c>
      <c r="AE273" s="13"/>
      <c r="AF273" s="13">
        <v>8</v>
      </c>
      <c r="AG273" s="13">
        <v>9</v>
      </c>
      <c r="AH273" s="48">
        <f t="shared" si="84"/>
        <v>8.5</v>
      </c>
      <c r="AI273" s="13"/>
      <c r="AJ273" s="13">
        <v>24</v>
      </c>
      <c r="AK273" s="13">
        <v>25</v>
      </c>
      <c r="AL273" s="48">
        <f t="shared" si="85"/>
        <v>24.5</v>
      </c>
      <c r="AM273" s="13"/>
      <c r="AN273" s="13">
        <v>35</v>
      </c>
      <c r="AO273" s="13">
        <v>40</v>
      </c>
      <c r="AP273" s="48">
        <f t="shared" si="86"/>
        <v>37.5</v>
      </c>
      <c r="AQ273" s="13"/>
      <c r="AR273" s="13">
        <v>13</v>
      </c>
      <c r="AS273" s="13">
        <v>11</v>
      </c>
      <c r="AT273" s="48">
        <f t="shared" si="87"/>
        <v>12</v>
      </c>
      <c r="AU273" s="13"/>
      <c r="AV273" s="13"/>
      <c r="AW273" s="13"/>
      <c r="AX273" s="49"/>
    </row>
    <row r="274" spans="1:50" ht="10.199999999999999" customHeight="1" x14ac:dyDescent="0.25">
      <c r="A274" s="14">
        <f t="shared" si="81"/>
        <v>23</v>
      </c>
      <c r="B274" s="102">
        <f t="shared" si="82"/>
        <v>37418</v>
      </c>
      <c r="C274" s="103">
        <v>37415</v>
      </c>
      <c r="D274" s="13"/>
      <c r="E274" s="13"/>
      <c r="F274" s="97"/>
      <c r="G274" s="13"/>
      <c r="H274" s="13"/>
      <c r="I274" s="13"/>
      <c r="J274" s="97"/>
      <c r="K274" s="13"/>
      <c r="L274" s="13"/>
      <c r="M274" s="13"/>
      <c r="N274" s="97"/>
      <c r="O274" s="13"/>
      <c r="P274" s="13"/>
      <c r="Q274" s="13"/>
      <c r="R274" s="97"/>
      <c r="S274" s="13"/>
      <c r="T274" s="13"/>
      <c r="U274" s="13"/>
      <c r="V274" s="97"/>
      <c r="W274" s="13"/>
      <c r="X274" s="13">
        <v>2</v>
      </c>
      <c r="Y274" s="13">
        <v>-5</v>
      </c>
      <c r="Z274" s="48">
        <f t="shared" si="80"/>
        <v>-1.5</v>
      </c>
      <c r="AA274" s="13"/>
      <c r="AB274" s="13">
        <v>-3</v>
      </c>
      <c r="AC274" s="13">
        <v>-10</v>
      </c>
      <c r="AD274" s="48">
        <f t="shared" si="83"/>
        <v>-6.5</v>
      </c>
      <c r="AE274" s="13"/>
      <c r="AF274" s="13">
        <v>7</v>
      </c>
      <c r="AG274" s="13">
        <v>7</v>
      </c>
      <c r="AH274" s="48">
        <f t="shared" si="84"/>
        <v>7</v>
      </c>
      <c r="AI274" s="13"/>
      <c r="AJ274" s="13">
        <v>25</v>
      </c>
      <c r="AK274" s="13">
        <v>23</v>
      </c>
      <c r="AL274" s="48">
        <f t="shared" si="85"/>
        <v>24</v>
      </c>
      <c r="AM274" s="13"/>
      <c r="AN274" s="13">
        <v>37</v>
      </c>
      <c r="AO274" s="13">
        <v>39</v>
      </c>
      <c r="AP274" s="48">
        <f t="shared" si="86"/>
        <v>38</v>
      </c>
      <c r="AQ274" s="13"/>
      <c r="AR274" s="13">
        <v>13</v>
      </c>
      <c r="AS274" s="13">
        <v>11</v>
      </c>
      <c r="AT274" s="48">
        <f t="shared" si="87"/>
        <v>12</v>
      </c>
      <c r="AU274" s="13"/>
      <c r="AV274" s="13"/>
      <c r="AW274" s="13"/>
      <c r="AX274" s="49"/>
    </row>
    <row r="275" spans="1:50" ht="10.199999999999999" customHeight="1" x14ac:dyDescent="0.25">
      <c r="A275" s="14">
        <f t="shared" si="81"/>
        <v>24</v>
      </c>
      <c r="B275" s="102">
        <f t="shared" si="82"/>
        <v>37425</v>
      </c>
      <c r="C275" s="103">
        <v>37422</v>
      </c>
      <c r="D275" s="13"/>
      <c r="E275" s="13"/>
      <c r="F275" s="97"/>
      <c r="G275" s="13"/>
      <c r="H275" s="13"/>
      <c r="I275" s="13"/>
      <c r="J275" s="97"/>
      <c r="K275" s="13"/>
      <c r="L275" s="13"/>
      <c r="M275" s="13"/>
      <c r="N275" s="97"/>
      <c r="O275" s="13"/>
      <c r="P275" s="13"/>
      <c r="Q275" s="13"/>
      <c r="R275" s="97"/>
      <c r="S275" s="13"/>
      <c r="T275" s="13"/>
      <c r="U275" s="13"/>
      <c r="V275" s="97"/>
      <c r="W275" s="13"/>
      <c r="X275" s="13">
        <v>6</v>
      </c>
      <c r="Y275" s="13">
        <v>4</v>
      </c>
      <c r="Z275" s="48">
        <f t="shared" si="80"/>
        <v>5</v>
      </c>
      <c r="AA275" s="13"/>
      <c r="AB275" s="13">
        <v>1</v>
      </c>
      <c r="AC275" s="13">
        <v>-10</v>
      </c>
      <c r="AD275" s="48">
        <f t="shared" si="83"/>
        <v>-4.5</v>
      </c>
      <c r="AE275" s="13"/>
      <c r="AF275" s="13">
        <v>6</v>
      </c>
      <c r="AG275" s="13">
        <v>7</v>
      </c>
      <c r="AH275" s="48">
        <f t="shared" si="84"/>
        <v>6.5</v>
      </c>
      <c r="AI275" s="13"/>
      <c r="AJ275" s="13">
        <v>23</v>
      </c>
      <c r="AK275" s="13">
        <v>15</v>
      </c>
      <c r="AL275" s="48">
        <f t="shared" si="85"/>
        <v>19</v>
      </c>
      <c r="AM275" s="13"/>
      <c r="AN275" s="13">
        <v>36</v>
      </c>
      <c r="AO275" s="13">
        <v>32</v>
      </c>
      <c r="AP275" s="48">
        <f t="shared" si="86"/>
        <v>34</v>
      </c>
      <c r="AQ275" s="13"/>
      <c r="AR275" s="13">
        <v>13</v>
      </c>
      <c r="AS275" s="13">
        <v>11</v>
      </c>
      <c r="AT275" s="48">
        <f t="shared" si="87"/>
        <v>12</v>
      </c>
      <c r="AU275" s="13"/>
      <c r="AV275" s="13"/>
      <c r="AW275" s="13"/>
      <c r="AX275" s="49"/>
    </row>
    <row r="276" spans="1:50" ht="10.199999999999999" customHeight="1" x14ac:dyDescent="0.25">
      <c r="A276" s="14">
        <f t="shared" si="81"/>
        <v>25</v>
      </c>
      <c r="B276" s="102">
        <f t="shared" si="82"/>
        <v>37432</v>
      </c>
      <c r="C276" s="103">
        <v>37429</v>
      </c>
      <c r="D276" s="13"/>
      <c r="E276" s="13"/>
      <c r="F276" s="97"/>
      <c r="G276" s="13"/>
      <c r="H276" s="13"/>
      <c r="I276" s="13"/>
      <c r="J276" s="97"/>
      <c r="K276" s="13"/>
      <c r="L276" s="13"/>
      <c r="M276" s="13"/>
      <c r="N276" s="97"/>
      <c r="O276" s="13"/>
      <c r="P276" s="13"/>
      <c r="Q276" s="13"/>
      <c r="R276" s="97"/>
      <c r="S276" s="13"/>
      <c r="T276" s="13"/>
      <c r="U276" s="13"/>
      <c r="V276" s="97"/>
      <c r="W276" s="13"/>
      <c r="X276" s="13"/>
      <c r="Y276" s="13"/>
      <c r="Z276" s="97"/>
      <c r="AA276" s="13"/>
      <c r="AB276" s="13">
        <v>2</v>
      </c>
      <c r="AC276" s="13">
        <v>-6</v>
      </c>
      <c r="AD276" s="48">
        <f t="shared" si="83"/>
        <v>-2</v>
      </c>
      <c r="AE276" s="13"/>
      <c r="AF276" s="13">
        <v>6</v>
      </c>
      <c r="AG276" s="13">
        <v>-2</v>
      </c>
      <c r="AH276" s="48">
        <f t="shared" si="84"/>
        <v>2</v>
      </c>
      <c r="AI276" s="13"/>
      <c r="AJ276" s="13">
        <v>21</v>
      </c>
      <c r="AK276" s="13">
        <v>6</v>
      </c>
      <c r="AL276" s="48">
        <f t="shared" si="85"/>
        <v>13.5</v>
      </c>
      <c r="AM276" s="13"/>
      <c r="AN276" s="13">
        <v>36</v>
      </c>
      <c r="AO276" s="13">
        <v>20</v>
      </c>
      <c r="AP276" s="48">
        <f t="shared" si="86"/>
        <v>28</v>
      </c>
      <c r="AQ276" s="13"/>
      <c r="AR276" s="13">
        <v>28</v>
      </c>
      <c r="AS276" s="13">
        <v>25</v>
      </c>
      <c r="AT276" s="48">
        <f t="shared" si="87"/>
        <v>26.5</v>
      </c>
      <c r="AU276" s="13"/>
      <c r="AV276" s="13">
        <v>15</v>
      </c>
      <c r="AW276" s="13">
        <v>5</v>
      </c>
      <c r="AX276" s="48">
        <f>AVERAGE(AV276,AW276)</f>
        <v>10</v>
      </c>
    </row>
    <row r="277" spans="1:50" ht="10.199999999999999" customHeight="1" x14ac:dyDescent="0.25">
      <c r="A277" s="14">
        <f t="shared" si="81"/>
        <v>26</v>
      </c>
      <c r="B277" s="102">
        <f t="shared" si="82"/>
        <v>37439</v>
      </c>
      <c r="C277" s="103">
        <v>37436</v>
      </c>
      <c r="D277" s="13"/>
      <c r="E277" s="13"/>
      <c r="F277" s="97"/>
      <c r="G277" s="13"/>
      <c r="H277" s="13"/>
      <c r="I277" s="13"/>
      <c r="J277" s="97"/>
      <c r="K277" s="13"/>
      <c r="L277" s="13"/>
      <c r="M277" s="13"/>
      <c r="N277" s="97"/>
      <c r="O277" s="13"/>
      <c r="P277" s="13"/>
      <c r="Q277" s="13"/>
      <c r="R277" s="97"/>
      <c r="S277" s="13"/>
      <c r="T277" s="13"/>
      <c r="U277" s="13"/>
      <c r="V277" s="97"/>
      <c r="W277" s="13"/>
      <c r="X277" s="13"/>
      <c r="Y277" s="13"/>
      <c r="Z277" s="97"/>
      <c r="AA277" s="13"/>
      <c r="AB277" s="13">
        <v>10</v>
      </c>
      <c r="AC277" s="13">
        <v>-6</v>
      </c>
      <c r="AD277" s="48">
        <f t="shared" si="83"/>
        <v>2</v>
      </c>
      <c r="AE277" s="13"/>
      <c r="AF277" s="13">
        <v>6</v>
      </c>
      <c r="AG277" s="13">
        <v>2</v>
      </c>
      <c r="AH277" s="48">
        <f t="shared" si="84"/>
        <v>4</v>
      </c>
      <c r="AI277" s="13"/>
      <c r="AJ277" s="13">
        <v>18</v>
      </c>
      <c r="AK277" s="13">
        <v>9</v>
      </c>
      <c r="AL277" s="48">
        <f t="shared" si="85"/>
        <v>13.5</v>
      </c>
      <c r="AM277" s="13"/>
      <c r="AN277" s="13">
        <v>30</v>
      </c>
      <c r="AO277" s="13">
        <v>33</v>
      </c>
      <c r="AP277" s="48">
        <f t="shared" si="86"/>
        <v>31.5</v>
      </c>
      <c r="AQ277" s="13"/>
      <c r="AR277" s="13">
        <v>28</v>
      </c>
      <c r="AS277" s="13">
        <v>15</v>
      </c>
      <c r="AT277" s="48">
        <f t="shared" si="87"/>
        <v>21.5</v>
      </c>
      <c r="AU277" s="13"/>
      <c r="AV277" s="13">
        <v>8</v>
      </c>
      <c r="AW277" s="13">
        <v>10</v>
      </c>
      <c r="AX277" s="48">
        <f>AVERAGE(AV277,AW277)</f>
        <v>9</v>
      </c>
    </row>
    <row r="278" spans="1:50" ht="10.199999999999999" customHeight="1" x14ac:dyDescent="0.25">
      <c r="A278" s="14">
        <f t="shared" si="81"/>
        <v>27</v>
      </c>
      <c r="B278" s="102">
        <f t="shared" si="82"/>
        <v>37446</v>
      </c>
      <c r="C278" s="103">
        <v>37443</v>
      </c>
      <c r="D278" s="13"/>
      <c r="E278" s="13"/>
      <c r="F278" s="97"/>
      <c r="G278" s="13"/>
      <c r="H278" s="13"/>
      <c r="I278" s="13"/>
      <c r="J278" s="97"/>
      <c r="K278" s="13"/>
      <c r="L278" s="13"/>
      <c r="M278" s="13"/>
      <c r="N278" s="97"/>
      <c r="O278" s="13"/>
      <c r="P278" s="13"/>
      <c r="Q278" s="13"/>
      <c r="R278" s="97"/>
      <c r="S278" s="13"/>
      <c r="T278" s="13"/>
      <c r="U278" s="13"/>
      <c r="V278" s="97"/>
      <c r="W278" s="13"/>
      <c r="X278" s="13"/>
      <c r="Y278" s="13"/>
      <c r="Z278" s="97"/>
      <c r="AA278" s="13"/>
      <c r="AB278" s="13">
        <v>13</v>
      </c>
      <c r="AC278" s="13">
        <v>4</v>
      </c>
      <c r="AD278" s="48">
        <f t="shared" si="83"/>
        <v>8.5</v>
      </c>
      <c r="AE278" s="13"/>
      <c r="AF278" s="13">
        <v>13</v>
      </c>
      <c r="AG278" s="13">
        <v>5</v>
      </c>
      <c r="AH278" s="48">
        <f t="shared" si="84"/>
        <v>9</v>
      </c>
      <c r="AI278" s="13"/>
      <c r="AJ278" s="13">
        <v>16</v>
      </c>
      <c r="AK278" s="13">
        <v>10</v>
      </c>
      <c r="AL278" s="48">
        <f t="shared" si="85"/>
        <v>13</v>
      </c>
      <c r="AM278" s="13"/>
      <c r="AN278" s="13">
        <v>25</v>
      </c>
      <c r="AO278" s="13">
        <v>18</v>
      </c>
      <c r="AP278" s="48">
        <f t="shared" si="86"/>
        <v>21.5</v>
      </c>
      <c r="AQ278" s="13"/>
      <c r="AR278" s="13">
        <v>18</v>
      </c>
      <c r="AS278" s="13">
        <v>12</v>
      </c>
      <c r="AT278" s="48">
        <f t="shared" si="87"/>
        <v>15</v>
      </c>
      <c r="AU278" s="13"/>
      <c r="AV278" s="13">
        <v>7</v>
      </c>
      <c r="AW278" s="13">
        <v>6</v>
      </c>
      <c r="AX278" s="48">
        <f>AVERAGE(AV278,AW278)</f>
        <v>6.5</v>
      </c>
    </row>
    <row r="279" spans="1:50" ht="10.199999999999999" customHeight="1" x14ac:dyDescent="0.25">
      <c r="A279" s="14">
        <f t="shared" si="81"/>
        <v>28</v>
      </c>
      <c r="B279" s="102">
        <f t="shared" si="82"/>
        <v>37453</v>
      </c>
      <c r="C279" s="103">
        <v>37450</v>
      </c>
      <c r="D279" s="13"/>
      <c r="E279" s="13"/>
      <c r="F279" s="97"/>
      <c r="G279" s="13"/>
      <c r="H279" s="13"/>
      <c r="I279" s="13"/>
      <c r="J279" s="97"/>
      <c r="K279" s="13"/>
      <c r="L279" s="13"/>
      <c r="M279" s="13"/>
      <c r="N279" s="97"/>
      <c r="O279" s="13"/>
      <c r="P279" s="13"/>
      <c r="Q279" s="13"/>
      <c r="R279" s="97"/>
      <c r="S279" s="13"/>
      <c r="T279" s="13"/>
      <c r="U279" s="13"/>
      <c r="V279" s="97"/>
      <c r="W279" s="13"/>
      <c r="X279" s="13"/>
      <c r="Y279" s="13"/>
      <c r="Z279" s="97"/>
      <c r="AA279" s="13"/>
      <c r="AB279" s="13">
        <v>8</v>
      </c>
      <c r="AC279" s="13"/>
      <c r="AD279" s="48">
        <f t="shared" si="83"/>
        <v>8</v>
      </c>
      <c r="AE279" s="13"/>
      <c r="AF279" s="13">
        <v>2</v>
      </c>
      <c r="AG279" s="13">
        <v>1</v>
      </c>
      <c r="AH279" s="48">
        <f t="shared" si="84"/>
        <v>1.5</v>
      </c>
      <c r="AI279" s="13"/>
      <c r="AJ279" s="13">
        <v>16</v>
      </c>
      <c r="AK279" s="13">
        <v>9</v>
      </c>
      <c r="AL279" s="48">
        <f t="shared" si="85"/>
        <v>12.5</v>
      </c>
      <c r="AM279" s="13"/>
      <c r="AN279" s="13">
        <v>23</v>
      </c>
      <c r="AO279" s="13">
        <v>20</v>
      </c>
      <c r="AP279" s="48">
        <f t="shared" si="86"/>
        <v>21.5</v>
      </c>
      <c r="AQ279" s="13"/>
      <c r="AR279" s="13">
        <v>10</v>
      </c>
      <c r="AS279" s="13">
        <v>7</v>
      </c>
      <c r="AT279" s="48">
        <f t="shared" si="87"/>
        <v>8.5</v>
      </c>
      <c r="AU279" s="13"/>
      <c r="AV279" s="13">
        <v>3</v>
      </c>
      <c r="AW279" s="13">
        <v>4</v>
      </c>
      <c r="AX279" s="48">
        <f>AVERAGE(AV279,AW279)</f>
        <v>3.5</v>
      </c>
    </row>
    <row r="280" spans="1:50" ht="10.199999999999999" customHeight="1" x14ac:dyDescent="0.25">
      <c r="A280" s="14">
        <f t="shared" si="81"/>
        <v>29</v>
      </c>
      <c r="B280" s="102">
        <f t="shared" si="82"/>
        <v>37460</v>
      </c>
      <c r="C280" s="103">
        <v>37457</v>
      </c>
      <c r="D280" s="13"/>
      <c r="E280" s="13"/>
      <c r="F280" s="97"/>
      <c r="G280" s="13"/>
      <c r="H280" s="13"/>
      <c r="I280" s="13"/>
      <c r="J280" s="97"/>
      <c r="K280" s="13"/>
      <c r="L280" s="13"/>
      <c r="M280" s="13"/>
      <c r="N280" s="97"/>
      <c r="O280" s="13"/>
      <c r="P280" s="13"/>
      <c r="Q280" s="13"/>
      <c r="R280" s="97"/>
      <c r="S280" s="13"/>
      <c r="T280" s="13"/>
      <c r="U280" s="13"/>
      <c r="V280" s="97"/>
      <c r="W280" s="13"/>
      <c r="X280" s="13"/>
      <c r="Y280" s="13"/>
      <c r="Z280" s="97"/>
      <c r="AA280" s="13"/>
      <c r="AB280" s="13">
        <v>8</v>
      </c>
      <c r="AC280" s="13"/>
      <c r="AD280" s="48">
        <f t="shared" si="83"/>
        <v>8</v>
      </c>
      <c r="AE280" s="13"/>
      <c r="AF280" s="13">
        <v>2</v>
      </c>
      <c r="AG280" s="13">
        <v>1</v>
      </c>
      <c r="AH280" s="48">
        <f t="shared" si="84"/>
        <v>1.5</v>
      </c>
      <c r="AI280" s="13"/>
      <c r="AJ280" s="13">
        <v>16</v>
      </c>
      <c r="AK280" s="13">
        <v>9</v>
      </c>
      <c r="AL280" s="48">
        <f t="shared" si="85"/>
        <v>12.5</v>
      </c>
      <c r="AM280" s="13"/>
      <c r="AN280" s="13">
        <v>22</v>
      </c>
      <c r="AO280" s="13">
        <v>20</v>
      </c>
      <c r="AP280" s="48">
        <f t="shared" si="86"/>
        <v>21</v>
      </c>
      <c r="AQ280" s="13"/>
      <c r="AR280" s="13"/>
      <c r="AS280" s="13"/>
      <c r="AT280" s="48"/>
      <c r="AU280" s="13"/>
      <c r="AV280" s="13"/>
      <c r="AW280" s="13"/>
      <c r="AX280" s="48"/>
    </row>
    <row r="281" spans="1:50" ht="10.199999999999999" customHeight="1" x14ac:dyDescent="0.25">
      <c r="A281" s="14">
        <f t="shared" si="81"/>
        <v>30</v>
      </c>
      <c r="B281" s="102">
        <f t="shared" si="82"/>
        <v>37467</v>
      </c>
      <c r="C281" s="103">
        <v>37464</v>
      </c>
      <c r="D281" s="13">
        <v>0</v>
      </c>
      <c r="E281" s="13">
        <v>0</v>
      </c>
      <c r="F281" s="48">
        <f>AVERAGE(D281,E281)</f>
        <v>0</v>
      </c>
      <c r="G281" s="13"/>
      <c r="H281" s="13"/>
      <c r="I281" s="13"/>
      <c r="J281" s="97"/>
      <c r="K281" s="13"/>
      <c r="L281" s="13"/>
      <c r="M281" s="13"/>
      <c r="N281" s="97"/>
      <c r="O281" s="13"/>
      <c r="P281" s="13"/>
      <c r="Q281" s="13"/>
      <c r="R281" s="97"/>
      <c r="S281" s="13"/>
      <c r="T281" s="13"/>
      <c r="U281" s="13"/>
      <c r="V281" s="97"/>
      <c r="W281" s="13"/>
      <c r="X281" s="13"/>
      <c r="Y281" s="13"/>
      <c r="Z281" s="97"/>
      <c r="AA281" s="13"/>
      <c r="AB281" s="13"/>
      <c r="AC281" s="13"/>
      <c r="AD281" s="97"/>
      <c r="AE281" s="13"/>
      <c r="AF281" s="13">
        <v>0</v>
      </c>
      <c r="AG281" s="13">
        <v>-47</v>
      </c>
      <c r="AH281" s="48">
        <f t="shared" si="84"/>
        <v>-23.5</v>
      </c>
      <c r="AI281" s="13"/>
      <c r="AJ281" s="13">
        <v>3</v>
      </c>
      <c r="AK281" s="13">
        <v>-6</v>
      </c>
      <c r="AL281" s="48">
        <f t="shared" si="85"/>
        <v>-1.5</v>
      </c>
      <c r="AM281" s="13"/>
      <c r="AN281" s="13">
        <v>10</v>
      </c>
      <c r="AO281" s="13">
        <v>10</v>
      </c>
      <c r="AP281" s="48">
        <f t="shared" si="86"/>
        <v>10</v>
      </c>
      <c r="AQ281" s="13"/>
      <c r="AR281" s="13">
        <v>-1</v>
      </c>
      <c r="AS281" s="13">
        <v>3</v>
      </c>
      <c r="AT281" s="48">
        <f t="shared" ref="AT281:AT288" si="88">AVERAGE(AR281,AS281)</f>
        <v>1</v>
      </c>
      <c r="AU281" s="13"/>
      <c r="AV281" s="13">
        <v>-2</v>
      </c>
      <c r="AW281" s="13">
        <v>0</v>
      </c>
      <c r="AX281" s="48">
        <f>AVERAGE(AV281,AW281)</f>
        <v>-1</v>
      </c>
    </row>
    <row r="282" spans="1:50" ht="10.199999999999999" customHeight="1" x14ac:dyDescent="0.25">
      <c r="A282" s="14">
        <f t="shared" si="81"/>
        <v>31</v>
      </c>
      <c r="B282" s="102">
        <f t="shared" si="82"/>
        <v>37474</v>
      </c>
      <c r="C282" s="103">
        <v>37471</v>
      </c>
      <c r="D282" s="13">
        <v>0</v>
      </c>
      <c r="E282" s="13">
        <v>0</v>
      </c>
      <c r="F282" s="48">
        <f>AVERAGE(D282,E282)</f>
        <v>0</v>
      </c>
      <c r="G282" s="13"/>
      <c r="H282" s="13"/>
      <c r="I282" s="13"/>
      <c r="J282" s="97"/>
      <c r="K282" s="13"/>
      <c r="L282" s="13"/>
      <c r="M282" s="13"/>
      <c r="N282" s="97"/>
      <c r="O282" s="13"/>
      <c r="P282" s="13"/>
      <c r="Q282" s="13"/>
      <c r="R282" s="97"/>
      <c r="S282" s="13"/>
      <c r="T282" s="13"/>
      <c r="U282" s="13"/>
      <c r="V282" s="97"/>
      <c r="W282" s="13"/>
      <c r="X282" s="13"/>
      <c r="Y282" s="13"/>
      <c r="Z282" s="97"/>
      <c r="AA282" s="13"/>
      <c r="AB282" s="13"/>
      <c r="AC282" s="13"/>
      <c r="AD282" s="97"/>
      <c r="AE282" s="13"/>
      <c r="AF282" s="13">
        <v>-3</v>
      </c>
      <c r="AG282" s="13">
        <v>-59</v>
      </c>
      <c r="AH282" s="48">
        <f t="shared" si="84"/>
        <v>-31</v>
      </c>
      <c r="AI282" s="13"/>
      <c r="AJ282" s="13">
        <v>0</v>
      </c>
      <c r="AK282" s="13">
        <v>-30</v>
      </c>
      <c r="AL282" s="48">
        <f t="shared" si="85"/>
        <v>-15</v>
      </c>
      <c r="AM282" s="13"/>
      <c r="AN282" s="13">
        <v>6</v>
      </c>
      <c r="AO282" s="13">
        <v>3</v>
      </c>
      <c r="AP282" s="48">
        <f t="shared" si="86"/>
        <v>4.5</v>
      </c>
      <c r="AQ282" s="13"/>
      <c r="AR282" s="13">
        <v>-1</v>
      </c>
      <c r="AS282" s="13">
        <v>-3</v>
      </c>
      <c r="AT282" s="48">
        <f t="shared" si="88"/>
        <v>-2</v>
      </c>
      <c r="AU282" s="13"/>
      <c r="AV282" s="13">
        <v>-2</v>
      </c>
      <c r="AW282" s="13">
        <v>0</v>
      </c>
      <c r="AX282" s="48">
        <f>AVERAGE(AV282,AW282)</f>
        <v>-1</v>
      </c>
    </row>
    <row r="283" spans="1:50" ht="10.199999999999999" customHeight="1" x14ac:dyDescent="0.25">
      <c r="A283" s="14">
        <f t="shared" si="81"/>
        <v>32</v>
      </c>
      <c r="B283" s="102">
        <f t="shared" si="82"/>
        <v>37481</v>
      </c>
      <c r="C283" s="103">
        <v>37478</v>
      </c>
      <c r="D283" s="13"/>
      <c r="E283" s="13"/>
      <c r="F283" s="48"/>
      <c r="G283" s="13"/>
      <c r="H283" s="13"/>
      <c r="I283" s="13"/>
      <c r="J283" s="97"/>
      <c r="K283" s="13"/>
      <c r="L283" s="13"/>
      <c r="M283" s="13"/>
      <c r="N283" s="97"/>
      <c r="O283" s="13"/>
      <c r="P283" s="13"/>
      <c r="Q283" s="13"/>
      <c r="R283" s="97"/>
      <c r="S283" s="13"/>
      <c r="T283" s="13"/>
      <c r="U283" s="13"/>
      <c r="V283" s="97"/>
      <c r="W283" s="13"/>
      <c r="X283" s="13"/>
      <c r="Y283" s="13"/>
      <c r="Z283" s="97"/>
      <c r="AA283" s="13"/>
      <c r="AB283" s="13"/>
      <c r="AC283" s="13"/>
      <c r="AD283" s="97"/>
      <c r="AE283" s="13"/>
      <c r="AF283" s="13">
        <v>-5</v>
      </c>
      <c r="AG283" s="13">
        <v>-55</v>
      </c>
      <c r="AH283" s="48">
        <f t="shared" si="84"/>
        <v>-30</v>
      </c>
      <c r="AI283" s="13"/>
      <c r="AJ283" s="13">
        <v>0</v>
      </c>
      <c r="AK283" s="13">
        <v>-35</v>
      </c>
      <c r="AL283" s="48">
        <f t="shared" si="85"/>
        <v>-17.5</v>
      </c>
      <c r="AM283" s="13"/>
      <c r="AN283" s="13">
        <v>-2</v>
      </c>
      <c r="AO283" s="13">
        <v>-5</v>
      </c>
      <c r="AP283" s="48">
        <f t="shared" si="86"/>
        <v>-3.5</v>
      </c>
      <c r="AQ283" s="13"/>
      <c r="AR283" s="13">
        <v>-3</v>
      </c>
      <c r="AS283" s="13">
        <v>-10</v>
      </c>
      <c r="AT283" s="48">
        <f t="shared" si="88"/>
        <v>-6.5</v>
      </c>
      <c r="AU283" s="13"/>
      <c r="AV283" s="13"/>
      <c r="AW283" s="13"/>
      <c r="AX283" s="48"/>
    </row>
    <row r="284" spans="1:50" ht="10.199999999999999" customHeight="1" x14ac:dyDescent="0.25">
      <c r="A284" s="14">
        <f t="shared" ref="A284:A303" si="89">+A283+1</f>
        <v>33</v>
      </c>
      <c r="B284" s="102">
        <f t="shared" si="82"/>
        <v>37488</v>
      </c>
      <c r="C284" s="103">
        <v>37485</v>
      </c>
      <c r="D284" s="13">
        <v>-10</v>
      </c>
      <c r="E284" s="13">
        <v>0</v>
      </c>
      <c r="F284" s="48">
        <f>AVERAGE(D284,E284)</f>
        <v>-5</v>
      </c>
      <c r="G284" s="13"/>
      <c r="H284" s="13">
        <v>-10</v>
      </c>
      <c r="I284" s="13">
        <v>0</v>
      </c>
      <c r="J284" s="48">
        <f>AVERAGE(H284,I284)</f>
        <v>-5</v>
      </c>
      <c r="K284" s="13"/>
      <c r="L284" s="13"/>
      <c r="M284" s="13"/>
      <c r="N284" s="97"/>
      <c r="O284" s="13"/>
      <c r="P284" s="13"/>
      <c r="Q284" s="13"/>
      <c r="R284" s="97"/>
      <c r="S284" s="13"/>
      <c r="T284" s="13"/>
      <c r="U284" s="13"/>
      <c r="V284" s="97"/>
      <c r="W284" s="13"/>
      <c r="X284" s="13"/>
      <c r="Y284" s="13"/>
      <c r="Z284" s="97"/>
      <c r="AA284" s="13"/>
      <c r="AB284" s="13"/>
      <c r="AC284" s="13"/>
      <c r="AD284" s="97"/>
      <c r="AE284" s="13"/>
      <c r="AH284" s="49"/>
      <c r="AJ284" s="13">
        <v>-4</v>
      </c>
      <c r="AK284" s="13">
        <v>-39</v>
      </c>
      <c r="AL284" s="48">
        <f t="shared" si="85"/>
        <v>-21.5</v>
      </c>
      <c r="AM284" s="13"/>
      <c r="AN284" s="13">
        <v>-7</v>
      </c>
      <c r="AO284" s="13">
        <v>-20</v>
      </c>
      <c r="AP284" s="48">
        <f t="shared" si="86"/>
        <v>-13.5</v>
      </c>
      <c r="AQ284" s="13"/>
      <c r="AR284" s="13">
        <v>-19</v>
      </c>
      <c r="AS284" s="13">
        <v>-23</v>
      </c>
      <c r="AT284" s="48">
        <f t="shared" si="88"/>
        <v>-21</v>
      </c>
      <c r="AU284" s="13"/>
      <c r="AV284" s="13">
        <v>-19</v>
      </c>
      <c r="AW284" s="13">
        <v>-23</v>
      </c>
      <c r="AX284" s="48">
        <f>AVERAGE(AV284,AW284)</f>
        <v>-21</v>
      </c>
    </row>
    <row r="285" spans="1:50" ht="10.199999999999999" customHeight="1" x14ac:dyDescent="0.25">
      <c r="A285" s="14">
        <f t="shared" si="89"/>
        <v>34</v>
      </c>
      <c r="B285" s="102">
        <f t="shared" ref="B285:B306" si="90">+B286-7</f>
        <v>37495</v>
      </c>
      <c r="C285" s="103">
        <v>37492</v>
      </c>
      <c r="D285" s="13">
        <v>-10</v>
      </c>
      <c r="E285" s="13">
        <v>0</v>
      </c>
      <c r="F285" s="48">
        <f>AVERAGE(D285,E285)</f>
        <v>-5</v>
      </c>
      <c r="G285" s="13"/>
      <c r="H285" s="13">
        <v>-10</v>
      </c>
      <c r="I285" s="13">
        <v>0</v>
      </c>
      <c r="J285" s="48">
        <f>AVERAGE(H285,I285)</f>
        <v>-5</v>
      </c>
      <c r="K285" s="13"/>
      <c r="L285" s="13"/>
      <c r="M285" s="13"/>
      <c r="N285" s="97"/>
      <c r="O285" s="13"/>
      <c r="P285" s="13"/>
      <c r="Q285" s="13"/>
      <c r="R285" s="97"/>
      <c r="S285" s="13"/>
      <c r="T285" s="13"/>
      <c r="U285" s="13"/>
      <c r="V285" s="97"/>
      <c r="W285" s="13"/>
      <c r="X285" s="13"/>
      <c r="Y285" s="13"/>
      <c r="Z285" s="97"/>
      <c r="AA285" s="13"/>
      <c r="AB285" s="13"/>
      <c r="AC285" s="13"/>
      <c r="AD285" s="97"/>
      <c r="AE285" s="13"/>
      <c r="AF285" s="13"/>
      <c r="AG285" s="13"/>
      <c r="AH285" s="97"/>
      <c r="AI285" s="13"/>
      <c r="AJ285" s="13">
        <v>1</v>
      </c>
      <c r="AK285" s="13">
        <v>-24</v>
      </c>
      <c r="AL285" s="48">
        <f t="shared" si="85"/>
        <v>-11.5</v>
      </c>
      <c r="AM285" s="13"/>
      <c r="AN285" s="13">
        <v>0</v>
      </c>
      <c r="AO285" s="13">
        <v>-18</v>
      </c>
      <c r="AP285" s="48">
        <f t="shared" si="86"/>
        <v>-9</v>
      </c>
      <c r="AQ285" s="13"/>
      <c r="AR285" s="13">
        <v>-10</v>
      </c>
      <c r="AS285" s="13">
        <v>-23</v>
      </c>
      <c r="AT285" s="48">
        <f t="shared" si="88"/>
        <v>-16.5</v>
      </c>
      <c r="AU285" s="13"/>
      <c r="AV285" s="13">
        <v>-11</v>
      </c>
      <c r="AW285" s="13">
        <v>-23</v>
      </c>
      <c r="AX285" s="48">
        <f>AVERAGE(AV285,AW285)</f>
        <v>-17</v>
      </c>
    </row>
    <row r="286" spans="1:50" ht="10.199999999999999" customHeight="1" x14ac:dyDescent="0.25">
      <c r="A286" s="14">
        <f t="shared" si="89"/>
        <v>35</v>
      </c>
      <c r="B286" s="102">
        <f t="shared" si="90"/>
        <v>37502</v>
      </c>
      <c r="C286" s="103">
        <v>37499</v>
      </c>
      <c r="D286" s="13">
        <v>-13</v>
      </c>
      <c r="E286" s="13">
        <v>-20</v>
      </c>
      <c r="F286" s="48">
        <f>AVERAGE(D286,E286)</f>
        <v>-16.5</v>
      </c>
      <c r="G286" s="13"/>
      <c r="H286" s="13">
        <v>-13</v>
      </c>
      <c r="I286" s="13">
        <v>-20</v>
      </c>
      <c r="J286" s="48">
        <f>AVERAGE(H286,I286)</f>
        <v>-16.5</v>
      </c>
      <c r="K286" s="13"/>
      <c r="L286" s="13"/>
      <c r="M286" s="13"/>
      <c r="N286" s="97"/>
      <c r="O286" s="13"/>
      <c r="P286" s="13"/>
      <c r="Q286" s="13"/>
      <c r="R286" s="97"/>
      <c r="S286" s="13"/>
      <c r="T286" s="13"/>
      <c r="U286" s="13"/>
      <c r="V286" s="97"/>
      <c r="W286" s="13"/>
      <c r="X286" s="13"/>
      <c r="Y286" s="13"/>
      <c r="Z286" s="97"/>
      <c r="AA286" s="13"/>
      <c r="AB286" s="13"/>
      <c r="AC286" s="13"/>
      <c r="AD286" s="97"/>
      <c r="AE286" s="13"/>
      <c r="AF286" s="13"/>
      <c r="AG286" s="13"/>
      <c r="AH286" s="97"/>
      <c r="AI286" s="13"/>
      <c r="AJ286" s="13">
        <v>7</v>
      </c>
      <c r="AK286" s="13">
        <v>-33</v>
      </c>
      <c r="AL286" s="48">
        <f t="shared" si="85"/>
        <v>-13</v>
      </c>
      <c r="AM286" s="13"/>
      <c r="AN286" s="13">
        <v>5</v>
      </c>
      <c r="AO286" s="13">
        <v>-16</v>
      </c>
      <c r="AP286" s="48">
        <f t="shared" si="86"/>
        <v>-5.5</v>
      </c>
      <c r="AQ286" s="13"/>
      <c r="AR286" s="13">
        <v>-9</v>
      </c>
      <c r="AS286" s="13">
        <v>-18</v>
      </c>
      <c r="AT286" s="48">
        <f t="shared" si="88"/>
        <v>-13.5</v>
      </c>
      <c r="AU286" s="13"/>
      <c r="AV286" s="13">
        <v>-11</v>
      </c>
      <c r="AW286" s="13">
        <v>-21</v>
      </c>
      <c r="AX286" s="48">
        <f>AVERAGE(AV286,AW286)</f>
        <v>-16</v>
      </c>
    </row>
    <row r="287" spans="1:50" ht="10.199999999999999" customHeight="1" x14ac:dyDescent="0.25">
      <c r="A287" s="14">
        <f t="shared" si="89"/>
        <v>36</v>
      </c>
      <c r="B287" s="102">
        <f t="shared" si="90"/>
        <v>37509</v>
      </c>
      <c r="C287" s="103">
        <v>37506</v>
      </c>
      <c r="D287" s="13">
        <v>-13</v>
      </c>
      <c r="E287" s="13">
        <v>-18</v>
      </c>
      <c r="F287" s="48">
        <f>AVERAGE(D287,E287)</f>
        <v>-15.5</v>
      </c>
      <c r="G287" s="13"/>
      <c r="H287" s="13">
        <v>-13</v>
      </c>
      <c r="I287" s="13">
        <v>-18</v>
      </c>
      <c r="J287" s="48">
        <f>AVERAGE(H287,I287)</f>
        <v>-15.5</v>
      </c>
      <c r="K287" s="13"/>
      <c r="L287" s="13"/>
      <c r="M287" s="13"/>
      <c r="N287" s="97"/>
      <c r="O287" s="13"/>
      <c r="P287" s="13"/>
      <c r="Q287" s="13"/>
      <c r="R287" s="97"/>
      <c r="S287" s="13"/>
      <c r="T287" s="13"/>
      <c r="U287" s="13"/>
      <c r="V287" s="97"/>
      <c r="W287" s="13"/>
      <c r="X287" s="13"/>
      <c r="Y287" s="13"/>
      <c r="Z287" s="97"/>
      <c r="AA287" s="13"/>
      <c r="AB287" s="13"/>
      <c r="AC287" s="13"/>
      <c r="AD287" s="97"/>
      <c r="AE287" s="13"/>
      <c r="AF287" s="13"/>
      <c r="AG287" s="13"/>
      <c r="AH287" s="97"/>
      <c r="AI287" s="13"/>
      <c r="AJ287" s="13">
        <v>10</v>
      </c>
      <c r="AK287" s="13">
        <v>-40</v>
      </c>
      <c r="AL287" s="48">
        <f t="shared" si="85"/>
        <v>-15</v>
      </c>
      <c r="AM287" s="13"/>
      <c r="AN287" s="13">
        <v>5</v>
      </c>
      <c r="AO287" s="13">
        <v>-16</v>
      </c>
      <c r="AP287" s="48">
        <f t="shared" si="86"/>
        <v>-5.5</v>
      </c>
      <c r="AQ287" s="13"/>
      <c r="AR287" s="13">
        <v>-9</v>
      </c>
      <c r="AS287" s="13">
        <v>-20</v>
      </c>
      <c r="AT287" s="48">
        <f t="shared" si="88"/>
        <v>-14.5</v>
      </c>
      <c r="AU287" s="13"/>
      <c r="AV287" s="13">
        <v>-11</v>
      </c>
      <c r="AW287" s="13">
        <v>-23</v>
      </c>
      <c r="AX287" s="48">
        <f>AVERAGE(AV287,AW287)</f>
        <v>-17</v>
      </c>
    </row>
    <row r="288" spans="1:50" ht="10.199999999999999" customHeight="1" x14ac:dyDescent="0.25">
      <c r="A288" s="14">
        <f t="shared" si="89"/>
        <v>37</v>
      </c>
      <c r="B288" s="102">
        <f t="shared" si="90"/>
        <v>37516</v>
      </c>
      <c r="C288" s="103">
        <v>37513</v>
      </c>
      <c r="D288" s="13">
        <v>-4</v>
      </c>
      <c r="E288" s="13">
        <v>-11</v>
      </c>
      <c r="F288" s="48">
        <f>AVERAGE(D288,E288)</f>
        <v>-7.5</v>
      </c>
      <c r="G288" s="13"/>
      <c r="H288" s="13">
        <v>-4</v>
      </c>
      <c r="I288" s="13">
        <v>-11</v>
      </c>
      <c r="J288" s="48">
        <f>AVERAGE(H288,I288)</f>
        <v>-7.5</v>
      </c>
      <c r="K288" s="13"/>
      <c r="L288" s="13"/>
      <c r="M288" s="13"/>
      <c r="N288" s="97"/>
      <c r="O288" s="13"/>
      <c r="P288" s="13"/>
      <c r="Q288" s="13"/>
      <c r="R288" s="97"/>
      <c r="S288" s="13"/>
      <c r="T288" s="13"/>
      <c r="U288" s="13"/>
      <c r="V288" s="97"/>
      <c r="W288" s="13"/>
      <c r="X288" s="13"/>
      <c r="Y288" s="13"/>
      <c r="Z288" s="97"/>
      <c r="AA288" s="13"/>
      <c r="AB288" s="13"/>
      <c r="AC288" s="13"/>
      <c r="AD288" s="97"/>
      <c r="AE288" s="13"/>
      <c r="AF288" s="13"/>
      <c r="AG288" s="13"/>
      <c r="AH288" s="97"/>
      <c r="AI288" s="13"/>
      <c r="AJ288" s="13">
        <v>28</v>
      </c>
      <c r="AK288" s="13">
        <v>0</v>
      </c>
      <c r="AL288" s="48">
        <f t="shared" si="85"/>
        <v>14</v>
      </c>
      <c r="AM288" s="13"/>
      <c r="AN288" s="13">
        <v>54</v>
      </c>
      <c r="AO288" s="13">
        <v>39</v>
      </c>
      <c r="AP288" s="48">
        <f t="shared" si="86"/>
        <v>46.5</v>
      </c>
      <c r="AQ288" s="13"/>
      <c r="AR288" s="13">
        <v>3</v>
      </c>
      <c r="AS288" s="13">
        <v>-11</v>
      </c>
      <c r="AT288" s="48">
        <f t="shared" si="88"/>
        <v>-4</v>
      </c>
      <c r="AU288" s="13"/>
      <c r="AV288" s="13">
        <v>-5</v>
      </c>
      <c r="AW288" s="13">
        <v>-11</v>
      </c>
      <c r="AX288" s="48">
        <f>AVERAGE(AV288,AW288)</f>
        <v>-8</v>
      </c>
    </row>
    <row r="289" spans="1:50" ht="10.199999999999999" customHeight="1" x14ac:dyDescent="0.25">
      <c r="A289" s="14">
        <f t="shared" si="89"/>
        <v>38</v>
      </c>
      <c r="B289" s="102">
        <f t="shared" si="90"/>
        <v>37523</v>
      </c>
      <c r="C289" s="103">
        <v>37520</v>
      </c>
      <c r="D289" s="13"/>
      <c r="E289" s="13"/>
      <c r="F289" s="48"/>
      <c r="G289" s="13"/>
      <c r="H289" s="13"/>
      <c r="I289" s="13"/>
      <c r="J289" s="48"/>
      <c r="K289" s="13"/>
      <c r="L289" s="13"/>
      <c r="M289" s="13"/>
      <c r="N289" s="97"/>
      <c r="O289" s="13"/>
      <c r="P289" s="13"/>
      <c r="Q289" s="13"/>
      <c r="R289" s="97"/>
      <c r="S289" s="13"/>
      <c r="T289" s="13"/>
      <c r="U289" s="13"/>
      <c r="V289" s="97"/>
      <c r="W289" s="13"/>
      <c r="X289" s="13"/>
      <c r="Y289" s="13"/>
      <c r="Z289" s="97"/>
      <c r="AA289" s="13"/>
      <c r="AB289" s="13"/>
      <c r="AC289" s="13"/>
      <c r="AD289" s="97"/>
      <c r="AE289" s="13"/>
      <c r="AF289" s="13"/>
      <c r="AG289" s="13"/>
      <c r="AH289" s="97"/>
      <c r="AI289" s="13"/>
      <c r="AJ289" s="13"/>
      <c r="AK289" s="13"/>
      <c r="AL289" s="97"/>
      <c r="AM289" s="13"/>
      <c r="AN289" s="13"/>
      <c r="AO289" s="13"/>
      <c r="AP289" s="48"/>
      <c r="AQ289" s="13"/>
      <c r="AR289" s="13"/>
      <c r="AS289" s="13"/>
      <c r="AT289" s="48"/>
      <c r="AU289" s="13"/>
      <c r="AV289" s="13"/>
      <c r="AW289" s="13"/>
      <c r="AX289" s="48"/>
    </row>
    <row r="290" spans="1:50" ht="10.199999999999999" customHeight="1" x14ac:dyDescent="0.25">
      <c r="A290" s="14">
        <f t="shared" si="89"/>
        <v>39</v>
      </c>
      <c r="B290" s="102">
        <f t="shared" si="90"/>
        <v>37530</v>
      </c>
      <c r="C290" s="103">
        <v>37527</v>
      </c>
      <c r="D290" s="13"/>
      <c r="E290" s="13"/>
      <c r="F290" s="48"/>
      <c r="G290" s="13"/>
      <c r="H290" s="13"/>
      <c r="I290" s="13"/>
      <c r="J290" s="48"/>
      <c r="K290" s="13"/>
      <c r="L290" s="13"/>
      <c r="M290" s="13"/>
      <c r="N290" s="97"/>
      <c r="O290" s="13"/>
      <c r="P290" s="13"/>
      <c r="Q290" s="13"/>
      <c r="R290" s="97"/>
      <c r="S290" s="13"/>
      <c r="T290" s="13"/>
      <c r="U290" s="13"/>
      <c r="V290" s="97"/>
      <c r="W290" s="13"/>
      <c r="X290" s="13"/>
      <c r="Y290" s="13"/>
      <c r="Z290" s="97"/>
      <c r="AA290" s="13"/>
      <c r="AB290" s="13"/>
      <c r="AC290" s="13"/>
      <c r="AD290" s="97"/>
      <c r="AE290" s="13"/>
      <c r="AF290" s="13"/>
      <c r="AG290" s="13"/>
      <c r="AH290" s="97"/>
      <c r="AI290" s="13"/>
      <c r="AJ290" s="13"/>
      <c r="AK290" s="13"/>
      <c r="AL290" s="97"/>
      <c r="AM290" s="13"/>
      <c r="AN290" s="13"/>
      <c r="AO290" s="13"/>
      <c r="AP290" s="48"/>
      <c r="AQ290" s="13"/>
      <c r="AR290" s="13"/>
      <c r="AS290" s="13"/>
      <c r="AT290" s="48"/>
      <c r="AU290" s="13"/>
      <c r="AV290" s="13"/>
      <c r="AW290" s="13"/>
      <c r="AX290" s="48"/>
    </row>
    <row r="291" spans="1:50" ht="10.199999999999999" customHeight="1" x14ac:dyDescent="0.25">
      <c r="A291" s="14">
        <f t="shared" si="89"/>
        <v>40</v>
      </c>
      <c r="B291" s="102">
        <f t="shared" si="90"/>
        <v>37537</v>
      </c>
      <c r="C291" s="103">
        <v>37534</v>
      </c>
      <c r="D291" s="13"/>
      <c r="E291" s="13"/>
      <c r="F291" s="48"/>
      <c r="G291" s="13"/>
      <c r="H291" s="13"/>
      <c r="I291" s="13"/>
      <c r="J291" s="48"/>
      <c r="K291" s="13"/>
      <c r="L291" s="13"/>
      <c r="M291" s="13"/>
      <c r="N291" s="97"/>
      <c r="O291" s="13"/>
      <c r="P291" s="13"/>
      <c r="Q291" s="13"/>
      <c r="R291" s="97"/>
      <c r="S291" s="13"/>
      <c r="T291" s="13"/>
      <c r="U291" s="13"/>
      <c r="V291" s="97"/>
      <c r="W291" s="13"/>
      <c r="X291" s="13"/>
      <c r="Y291" s="13"/>
      <c r="Z291" s="97"/>
      <c r="AA291" s="13"/>
      <c r="AB291" s="13"/>
      <c r="AC291" s="13"/>
      <c r="AD291" s="97"/>
      <c r="AE291" s="13"/>
      <c r="AF291" s="13"/>
      <c r="AG291" s="13"/>
      <c r="AH291" s="97"/>
      <c r="AI291" s="13"/>
      <c r="AJ291" s="13"/>
      <c r="AK291" s="13"/>
      <c r="AL291" s="97"/>
      <c r="AM291" s="13"/>
      <c r="AN291" s="13"/>
      <c r="AO291" s="13"/>
      <c r="AP291" s="48"/>
      <c r="AQ291" s="13"/>
      <c r="AR291" s="13"/>
      <c r="AS291" s="13"/>
      <c r="AT291" s="48"/>
      <c r="AU291" s="13"/>
      <c r="AV291" s="13"/>
      <c r="AW291" s="13"/>
      <c r="AX291" s="48"/>
    </row>
    <row r="292" spans="1:50" ht="10.199999999999999" customHeight="1" x14ac:dyDescent="0.25">
      <c r="A292" s="14">
        <f t="shared" si="89"/>
        <v>41</v>
      </c>
      <c r="B292" s="102">
        <f t="shared" si="90"/>
        <v>37544</v>
      </c>
      <c r="C292" s="103">
        <v>37541</v>
      </c>
      <c r="D292" s="13">
        <v>-3</v>
      </c>
      <c r="E292" s="13">
        <v>-5</v>
      </c>
      <c r="F292" s="48">
        <f t="shared" ref="F292:F305" si="91">AVERAGE(D292,E292)</f>
        <v>-4</v>
      </c>
      <c r="G292" s="13"/>
      <c r="H292" s="13">
        <v>-5</v>
      </c>
      <c r="I292" s="13">
        <v>-5</v>
      </c>
      <c r="J292" s="48">
        <f t="shared" ref="J292:J310" si="92">AVERAGE(H292,I292)</f>
        <v>-5</v>
      </c>
      <c r="K292" s="13"/>
      <c r="L292" s="13">
        <v>-5</v>
      </c>
      <c r="M292" s="13">
        <v>-5</v>
      </c>
      <c r="N292" s="48">
        <f t="shared" ref="N292:N314" si="93">AVERAGE(L292,M292)</f>
        <v>-5</v>
      </c>
      <c r="O292" s="13"/>
      <c r="P292" s="13"/>
      <c r="Q292" s="13"/>
      <c r="R292" s="97"/>
      <c r="S292" s="13"/>
      <c r="T292" s="13"/>
      <c r="U292" s="13"/>
      <c r="V292" s="97"/>
      <c r="W292" s="13"/>
      <c r="X292" s="13"/>
      <c r="Y292" s="13"/>
      <c r="Z292" s="97"/>
      <c r="AA292" s="13"/>
      <c r="AB292" s="13"/>
      <c r="AC292" s="13"/>
      <c r="AD292" s="97"/>
      <c r="AE292" s="13"/>
      <c r="AF292" s="13"/>
      <c r="AG292" s="13"/>
      <c r="AH292" s="97"/>
      <c r="AI292" s="13"/>
      <c r="AJ292" s="13"/>
      <c r="AK292" s="13"/>
      <c r="AL292" s="97"/>
      <c r="AM292" s="13"/>
      <c r="AN292" s="13">
        <v>0</v>
      </c>
      <c r="AO292" s="13">
        <v>0</v>
      </c>
      <c r="AP292" s="48">
        <f>AVERAGE(AN292,AO292)</f>
        <v>0</v>
      </c>
      <c r="AQ292" s="13"/>
      <c r="AR292" s="13">
        <v>4</v>
      </c>
      <c r="AS292" s="13">
        <v>-5</v>
      </c>
      <c r="AT292" s="48">
        <f t="shared" ref="AT292:AT298" si="94">AVERAGE(AR292,AS292)</f>
        <v>-0.5</v>
      </c>
      <c r="AU292" s="13"/>
      <c r="AV292" s="13">
        <v>3</v>
      </c>
      <c r="AW292" s="13">
        <v>-13</v>
      </c>
      <c r="AX292" s="48">
        <f t="shared" ref="AX292:AX301" si="95">AVERAGE(AV292,AW292)</f>
        <v>-5</v>
      </c>
    </row>
    <row r="293" spans="1:50" ht="10.199999999999999" customHeight="1" x14ac:dyDescent="0.25">
      <c r="A293" s="14">
        <f t="shared" si="89"/>
        <v>42</v>
      </c>
      <c r="B293" s="102">
        <f t="shared" si="90"/>
        <v>37551</v>
      </c>
      <c r="C293" s="103">
        <v>37548</v>
      </c>
      <c r="D293" s="13">
        <v>-6</v>
      </c>
      <c r="E293" s="13">
        <v>-8</v>
      </c>
      <c r="F293" s="48">
        <f t="shared" si="91"/>
        <v>-7</v>
      </c>
      <c r="G293" s="13"/>
      <c r="H293" s="13">
        <v>-6</v>
      </c>
      <c r="I293" s="13">
        <v>-8</v>
      </c>
      <c r="J293" s="48">
        <f t="shared" si="92"/>
        <v>-7</v>
      </c>
      <c r="K293" s="13"/>
      <c r="L293" s="13">
        <v>-6</v>
      </c>
      <c r="M293" s="13">
        <v>-8</v>
      </c>
      <c r="N293" s="48">
        <f t="shared" si="93"/>
        <v>-7</v>
      </c>
      <c r="O293" s="13"/>
      <c r="P293" s="13">
        <v>-4</v>
      </c>
      <c r="Q293" s="13">
        <v>0</v>
      </c>
      <c r="R293" s="48">
        <f t="shared" ref="R293:R318" si="96">AVERAGE(P293,Q293)</f>
        <v>-2</v>
      </c>
      <c r="S293" s="13"/>
      <c r="T293" s="13"/>
      <c r="U293" s="13"/>
      <c r="V293" s="97"/>
      <c r="W293" s="13"/>
      <c r="X293" s="13"/>
      <c r="Y293" s="13"/>
      <c r="Z293" s="97"/>
      <c r="AA293" s="13"/>
      <c r="AB293" s="13"/>
      <c r="AC293" s="13"/>
      <c r="AD293" s="97"/>
      <c r="AE293" s="13"/>
      <c r="AF293" s="13"/>
      <c r="AG293" s="13"/>
      <c r="AH293" s="97"/>
      <c r="AI293" s="13"/>
      <c r="AJ293" s="13"/>
      <c r="AK293" s="13"/>
      <c r="AL293" s="97"/>
      <c r="AM293" s="13"/>
      <c r="AN293" s="13"/>
      <c r="AO293" s="13"/>
      <c r="AP293" s="97"/>
      <c r="AQ293" s="13"/>
      <c r="AR293" s="13">
        <v>-1</v>
      </c>
      <c r="AS293" s="13">
        <v>1</v>
      </c>
      <c r="AT293" s="48">
        <f t="shared" si="94"/>
        <v>0</v>
      </c>
      <c r="AU293" s="13"/>
      <c r="AV293" s="13">
        <v>-4</v>
      </c>
      <c r="AW293" s="13">
        <v>-8</v>
      </c>
      <c r="AX293" s="48">
        <f t="shared" si="95"/>
        <v>-6</v>
      </c>
    </row>
    <row r="294" spans="1:50" ht="10.199999999999999" customHeight="1" x14ac:dyDescent="0.25">
      <c r="A294" s="14">
        <f t="shared" si="89"/>
        <v>43</v>
      </c>
      <c r="B294" s="102">
        <f t="shared" si="90"/>
        <v>37558</v>
      </c>
      <c r="C294" s="103">
        <v>37555</v>
      </c>
      <c r="D294" s="13">
        <v>-11</v>
      </c>
      <c r="E294" s="13">
        <v>-3</v>
      </c>
      <c r="F294" s="48">
        <f t="shared" si="91"/>
        <v>-7</v>
      </c>
      <c r="G294" s="13"/>
      <c r="H294" s="13">
        <v>-5</v>
      </c>
      <c r="I294" s="13">
        <v>-3</v>
      </c>
      <c r="J294" s="48">
        <f t="shared" si="92"/>
        <v>-4</v>
      </c>
      <c r="K294" s="13"/>
      <c r="L294" s="13">
        <v>-5</v>
      </c>
      <c r="M294" s="13">
        <v>-3</v>
      </c>
      <c r="N294" s="48">
        <f t="shared" si="93"/>
        <v>-4</v>
      </c>
      <c r="O294" s="13"/>
      <c r="P294" s="13">
        <v>-4</v>
      </c>
      <c r="Q294" s="13">
        <v>-3</v>
      </c>
      <c r="R294" s="48">
        <f t="shared" si="96"/>
        <v>-3.5</v>
      </c>
      <c r="S294" s="13"/>
      <c r="T294" s="13"/>
      <c r="U294" s="13"/>
      <c r="V294" s="97"/>
      <c r="W294" s="13"/>
      <c r="X294" s="13"/>
      <c r="Y294" s="13"/>
      <c r="Z294" s="97"/>
      <c r="AA294" s="13"/>
      <c r="AB294" s="13"/>
      <c r="AC294" s="13"/>
      <c r="AD294" s="97"/>
      <c r="AE294" s="13"/>
      <c r="AF294" s="13"/>
      <c r="AG294" s="13"/>
      <c r="AH294" s="97"/>
      <c r="AI294" s="13"/>
      <c r="AJ294" s="13"/>
      <c r="AK294" s="13"/>
      <c r="AL294" s="97"/>
      <c r="AM294" s="13"/>
      <c r="AN294" s="13"/>
      <c r="AO294" s="13"/>
      <c r="AP294" s="97"/>
      <c r="AQ294" s="13"/>
      <c r="AR294" s="13">
        <v>9</v>
      </c>
      <c r="AS294" s="13">
        <v>23</v>
      </c>
      <c r="AT294" s="48">
        <f t="shared" si="94"/>
        <v>16</v>
      </c>
      <c r="AU294" s="13"/>
      <c r="AV294" s="13">
        <v>-3</v>
      </c>
      <c r="AW294" s="13">
        <v>11</v>
      </c>
      <c r="AX294" s="48">
        <f t="shared" si="95"/>
        <v>4</v>
      </c>
    </row>
    <row r="295" spans="1:50" ht="10.199999999999999" customHeight="1" x14ac:dyDescent="0.25">
      <c r="A295" s="14">
        <f t="shared" si="89"/>
        <v>44</v>
      </c>
      <c r="B295" s="102">
        <f t="shared" si="90"/>
        <v>37565</v>
      </c>
      <c r="C295" s="103">
        <v>37562</v>
      </c>
      <c r="D295" s="13">
        <v>-4</v>
      </c>
      <c r="E295" s="13">
        <v>33</v>
      </c>
      <c r="F295" s="48">
        <f t="shared" si="91"/>
        <v>14.5</v>
      </c>
      <c r="G295" s="13"/>
      <c r="H295" s="13">
        <v>-4</v>
      </c>
      <c r="I295" s="13">
        <v>19</v>
      </c>
      <c r="J295" s="48">
        <f t="shared" si="92"/>
        <v>7.5</v>
      </c>
      <c r="K295" s="13"/>
      <c r="L295" s="13">
        <v>-4</v>
      </c>
      <c r="M295" s="13">
        <v>16</v>
      </c>
      <c r="N295" s="48">
        <f t="shared" si="93"/>
        <v>6</v>
      </c>
      <c r="O295" s="13"/>
      <c r="P295" s="13">
        <v>-3</v>
      </c>
      <c r="Q295" s="13">
        <v>0</v>
      </c>
      <c r="R295" s="48">
        <f t="shared" si="96"/>
        <v>-1.5</v>
      </c>
      <c r="S295" s="13"/>
      <c r="T295" s="13"/>
      <c r="U295" s="13"/>
      <c r="V295" s="97"/>
      <c r="W295" s="13"/>
      <c r="X295" s="13"/>
      <c r="Y295" s="13"/>
      <c r="Z295" s="97"/>
      <c r="AA295" s="13"/>
      <c r="AB295" s="13"/>
      <c r="AC295" s="13"/>
      <c r="AD295" s="97"/>
      <c r="AE295" s="13"/>
      <c r="AF295" s="13"/>
      <c r="AG295" s="13"/>
      <c r="AH295" s="97"/>
      <c r="AI295" s="13"/>
      <c r="AJ295" s="13"/>
      <c r="AK295" s="13"/>
      <c r="AL295" s="97"/>
      <c r="AM295" s="13"/>
      <c r="AN295" s="13"/>
      <c r="AO295" s="13"/>
      <c r="AP295" s="97"/>
      <c r="AQ295" s="13"/>
      <c r="AR295" s="13">
        <v>-3</v>
      </c>
      <c r="AS295" s="13">
        <v>41</v>
      </c>
      <c r="AT295" s="48">
        <f t="shared" si="94"/>
        <v>19</v>
      </c>
      <c r="AU295" s="13"/>
      <c r="AV295" s="13">
        <v>-1</v>
      </c>
      <c r="AW295" s="13">
        <v>54</v>
      </c>
      <c r="AX295" s="48">
        <f t="shared" si="95"/>
        <v>26.5</v>
      </c>
    </row>
    <row r="296" spans="1:50" ht="10.199999999999999" customHeight="1" x14ac:dyDescent="0.25">
      <c r="A296" s="14">
        <f t="shared" si="89"/>
        <v>45</v>
      </c>
      <c r="B296" s="102">
        <f t="shared" si="90"/>
        <v>37572</v>
      </c>
      <c r="C296" s="103">
        <v>37569</v>
      </c>
      <c r="D296" s="13">
        <v>-4</v>
      </c>
      <c r="E296" s="13">
        <v>19</v>
      </c>
      <c r="F296" s="48">
        <f t="shared" si="91"/>
        <v>7.5</v>
      </c>
      <c r="G296" s="13"/>
      <c r="H296" s="13">
        <v>-4</v>
      </c>
      <c r="I296" s="13">
        <v>14</v>
      </c>
      <c r="J296" s="48">
        <f t="shared" si="92"/>
        <v>5</v>
      </c>
      <c r="K296" s="13"/>
      <c r="L296" s="13">
        <v>-4</v>
      </c>
      <c r="M296" s="13">
        <v>13</v>
      </c>
      <c r="N296" s="48">
        <f t="shared" si="93"/>
        <v>4.5</v>
      </c>
      <c r="O296" s="13"/>
      <c r="P296" s="13">
        <v>-1</v>
      </c>
      <c r="Q296" s="13">
        <v>-2</v>
      </c>
      <c r="R296" s="48">
        <f t="shared" si="96"/>
        <v>-1.5</v>
      </c>
      <c r="S296" s="13"/>
      <c r="T296" s="13"/>
      <c r="U296" s="13"/>
      <c r="V296" s="97"/>
      <c r="W296" s="13"/>
      <c r="X296" s="13"/>
      <c r="Y296" s="13"/>
      <c r="Z296" s="97"/>
      <c r="AA296" s="13"/>
      <c r="AB296" s="13"/>
      <c r="AC296" s="13"/>
      <c r="AD296" s="97"/>
      <c r="AE296" s="13"/>
      <c r="AF296" s="13"/>
      <c r="AG296" s="13"/>
      <c r="AH296" s="97"/>
      <c r="AI296" s="13"/>
      <c r="AJ296" s="13"/>
      <c r="AK296" s="13"/>
      <c r="AL296" s="97"/>
      <c r="AM296" s="13"/>
      <c r="AN296" s="13"/>
      <c r="AO296" s="13"/>
      <c r="AP296" s="97"/>
      <c r="AQ296" s="13"/>
      <c r="AR296" s="13">
        <v>7</v>
      </c>
      <c r="AS296" s="13">
        <v>9</v>
      </c>
      <c r="AT296" s="48">
        <f t="shared" si="94"/>
        <v>8</v>
      </c>
      <c r="AU296" s="13"/>
      <c r="AV296" s="13">
        <v>1</v>
      </c>
      <c r="AW296" s="13">
        <v>41</v>
      </c>
      <c r="AX296" s="48">
        <f t="shared" si="95"/>
        <v>21</v>
      </c>
    </row>
    <row r="297" spans="1:50" ht="10.199999999999999" customHeight="1" x14ac:dyDescent="0.25">
      <c r="A297" s="14">
        <f t="shared" si="89"/>
        <v>46</v>
      </c>
      <c r="B297" s="102">
        <f t="shared" si="90"/>
        <v>37579</v>
      </c>
      <c r="C297" s="103">
        <v>37576</v>
      </c>
      <c r="D297" s="13">
        <v>0</v>
      </c>
      <c r="E297" s="13">
        <v>26</v>
      </c>
      <c r="F297" s="48">
        <f t="shared" si="91"/>
        <v>13</v>
      </c>
      <c r="G297" s="13"/>
      <c r="H297" s="13">
        <v>-1</v>
      </c>
      <c r="I297" s="13">
        <v>20</v>
      </c>
      <c r="J297" s="48">
        <f t="shared" si="92"/>
        <v>9.5</v>
      </c>
      <c r="K297" s="13"/>
      <c r="L297" s="13">
        <v>-3</v>
      </c>
      <c r="M297" s="13">
        <v>16</v>
      </c>
      <c r="N297" s="48">
        <f t="shared" si="93"/>
        <v>6.5</v>
      </c>
      <c r="O297" s="13"/>
      <c r="P297" s="13">
        <v>-1</v>
      </c>
      <c r="Q297" s="13">
        <v>0</v>
      </c>
      <c r="R297" s="48">
        <f t="shared" si="96"/>
        <v>-0.5</v>
      </c>
      <c r="S297" s="13"/>
      <c r="T297" s="13"/>
      <c r="U297" s="13"/>
      <c r="V297" s="97"/>
      <c r="W297" s="13"/>
      <c r="X297" s="13"/>
      <c r="Y297" s="13"/>
      <c r="Z297" s="97"/>
      <c r="AA297" s="13"/>
      <c r="AB297" s="13"/>
      <c r="AC297" s="13"/>
      <c r="AD297" s="97"/>
      <c r="AE297" s="13"/>
      <c r="AF297" s="13"/>
      <c r="AG297" s="13"/>
      <c r="AH297" s="97"/>
      <c r="AI297" s="13"/>
      <c r="AJ297" s="13"/>
      <c r="AK297" s="13"/>
      <c r="AL297" s="97"/>
      <c r="AM297" s="13"/>
      <c r="AN297" s="13"/>
      <c r="AO297" s="13"/>
      <c r="AP297" s="97"/>
      <c r="AQ297" s="13"/>
      <c r="AR297" s="13">
        <v>29</v>
      </c>
      <c r="AS297" s="13">
        <v>0</v>
      </c>
      <c r="AT297" s="48">
        <f t="shared" si="94"/>
        <v>14.5</v>
      </c>
      <c r="AU297" s="13"/>
      <c r="AV297" s="13">
        <v>17</v>
      </c>
      <c r="AW297" s="13">
        <v>33</v>
      </c>
      <c r="AX297" s="48">
        <f t="shared" si="95"/>
        <v>25</v>
      </c>
    </row>
    <row r="298" spans="1:50" ht="10.199999999999999" customHeight="1" x14ac:dyDescent="0.25">
      <c r="A298" s="14">
        <f t="shared" si="89"/>
        <v>47</v>
      </c>
      <c r="B298" s="102">
        <f t="shared" si="90"/>
        <v>37586</v>
      </c>
      <c r="C298" s="103">
        <v>37583</v>
      </c>
      <c r="D298" s="13">
        <v>1</v>
      </c>
      <c r="E298" s="13">
        <v>36</v>
      </c>
      <c r="F298" s="48">
        <f t="shared" si="91"/>
        <v>18.5</v>
      </c>
      <c r="G298" s="13"/>
      <c r="H298" s="13">
        <v>-1</v>
      </c>
      <c r="I298" s="13">
        <v>20</v>
      </c>
      <c r="J298" s="48">
        <f t="shared" si="92"/>
        <v>9.5</v>
      </c>
      <c r="K298" s="13"/>
      <c r="L298" s="13">
        <v>-3</v>
      </c>
      <c r="M298" s="13">
        <v>15</v>
      </c>
      <c r="N298" s="48">
        <f t="shared" si="93"/>
        <v>6</v>
      </c>
      <c r="O298" s="13"/>
      <c r="P298" s="13">
        <v>-1</v>
      </c>
      <c r="Q298" s="13"/>
      <c r="R298" s="48">
        <f t="shared" si="96"/>
        <v>-1</v>
      </c>
      <c r="S298" s="13"/>
      <c r="T298" s="13"/>
      <c r="U298" s="13"/>
      <c r="V298" s="97"/>
      <c r="W298" s="13"/>
      <c r="X298" s="13"/>
      <c r="Y298" s="13"/>
      <c r="Z298" s="97"/>
      <c r="AA298" s="13"/>
      <c r="AB298" s="13"/>
      <c r="AC298" s="13"/>
      <c r="AD298" s="97"/>
      <c r="AE298" s="13"/>
      <c r="AF298" s="13"/>
      <c r="AG298" s="13"/>
      <c r="AH298" s="97"/>
      <c r="AI298" s="13"/>
      <c r="AJ298" s="13"/>
      <c r="AK298" s="13"/>
      <c r="AL298" s="97"/>
      <c r="AM298" s="13"/>
      <c r="AN298" s="13"/>
      <c r="AO298" s="13"/>
      <c r="AP298" s="97"/>
      <c r="AQ298" s="13"/>
      <c r="AR298" s="13">
        <v>8</v>
      </c>
      <c r="AS298" s="13">
        <v>0</v>
      </c>
      <c r="AT298" s="48">
        <f t="shared" si="94"/>
        <v>4</v>
      </c>
      <c r="AU298" s="13"/>
      <c r="AV298" s="13">
        <v>14</v>
      </c>
      <c r="AW298" s="13">
        <v>34</v>
      </c>
      <c r="AX298" s="48">
        <f t="shared" si="95"/>
        <v>24</v>
      </c>
    </row>
    <row r="299" spans="1:50" ht="10.199999999999999" customHeight="1" x14ac:dyDescent="0.25">
      <c r="A299" s="14">
        <f t="shared" si="89"/>
        <v>48</v>
      </c>
      <c r="B299" s="102">
        <f t="shared" si="90"/>
        <v>37593</v>
      </c>
      <c r="C299" s="103">
        <v>37590</v>
      </c>
      <c r="D299" s="13">
        <v>4</v>
      </c>
      <c r="E299" s="13">
        <v>25</v>
      </c>
      <c r="F299" s="48">
        <f t="shared" si="91"/>
        <v>14.5</v>
      </c>
      <c r="G299" s="13"/>
      <c r="H299" s="13">
        <v>-1</v>
      </c>
      <c r="I299" s="13">
        <v>15</v>
      </c>
      <c r="J299" s="48">
        <f t="shared" si="92"/>
        <v>7</v>
      </c>
      <c r="K299" s="13"/>
      <c r="L299" s="13">
        <v>-3</v>
      </c>
      <c r="M299" s="13">
        <v>12</v>
      </c>
      <c r="N299" s="48">
        <f t="shared" si="93"/>
        <v>4.5</v>
      </c>
      <c r="O299" s="13"/>
      <c r="P299" s="13">
        <v>-1</v>
      </c>
      <c r="Q299" s="13">
        <v>-8</v>
      </c>
      <c r="R299" s="48">
        <f t="shared" si="96"/>
        <v>-4.5</v>
      </c>
      <c r="S299" s="13"/>
      <c r="T299" s="13">
        <v>-1</v>
      </c>
      <c r="U299" s="13">
        <v>-10</v>
      </c>
      <c r="V299" s="48">
        <f t="shared" ref="V299:V323" si="97">AVERAGE(T299,U299)</f>
        <v>-5.5</v>
      </c>
      <c r="W299" s="13"/>
      <c r="X299" s="13"/>
      <c r="Y299" s="13"/>
      <c r="Z299" s="97"/>
      <c r="AA299" s="13"/>
      <c r="AB299" s="13"/>
      <c r="AC299" s="13"/>
      <c r="AD299" s="97"/>
      <c r="AE299" s="13"/>
      <c r="AF299" s="13"/>
      <c r="AG299" s="13"/>
      <c r="AH299" s="97"/>
      <c r="AI299" s="13"/>
      <c r="AJ299" s="13"/>
      <c r="AK299" s="13"/>
      <c r="AL299" s="97"/>
      <c r="AM299" s="13"/>
      <c r="AN299" s="13"/>
      <c r="AO299" s="13"/>
      <c r="AP299" s="97"/>
      <c r="AQ299" s="13"/>
      <c r="AR299" s="13"/>
      <c r="AS299" s="13"/>
      <c r="AT299" s="97"/>
      <c r="AU299" s="13"/>
      <c r="AV299" s="13">
        <v>28</v>
      </c>
      <c r="AW299" s="13">
        <v>96</v>
      </c>
      <c r="AX299" s="48">
        <f t="shared" si="95"/>
        <v>62</v>
      </c>
    </row>
    <row r="300" spans="1:50" ht="10.199999999999999" customHeight="1" x14ac:dyDescent="0.25">
      <c r="A300" s="14">
        <f t="shared" si="89"/>
        <v>49</v>
      </c>
      <c r="B300" s="102">
        <f t="shared" si="90"/>
        <v>37600</v>
      </c>
      <c r="C300" s="103">
        <v>37597</v>
      </c>
      <c r="D300" s="13">
        <v>5</v>
      </c>
      <c r="E300" s="13">
        <v>36</v>
      </c>
      <c r="F300" s="48">
        <f t="shared" si="91"/>
        <v>20.5</v>
      </c>
      <c r="G300" s="13"/>
      <c r="H300" s="13">
        <v>-1</v>
      </c>
      <c r="I300" s="13">
        <v>16</v>
      </c>
      <c r="J300" s="48">
        <f t="shared" si="92"/>
        <v>7.5</v>
      </c>
      <c r="K300" s="13"/>
      <c r="L300" s="13">
        <v>-1</v>
      </c>
      <c r="M300" s="13">
        <v>15</v>
      </c>
      <c r="N300" s="48">
        <f t="shared" si="93"/>
        <v>7</v>
      </c>
      <c r="O300" s="13"/>
      <c r="P300" s="13">
        <v>-1</v>
      </c>
      <c r="Q300" s="13">
        <v>-5</v>
      </c>
      <c r="R300" s="48">
        <f t="shared" si="96"/>
        <v>-3</v>
      </c>
      <c r="S300" s="13"/>
      <c r="T300" s="13">
        <v>-1</v>
      </c>
      <c r="U300" s="13">
        <v>-5</v>
      </c>
      <c r="V300" s="48">
        <f t="shared" si="97"/>
        <v>-3</v>
      </c>
      <c r="W300" s="13"/>
      <c r="X300" s="13"/>
      <c r="Y300" s="13"/>
      <c r="Z300" s="97"/>
      <c r="AA300" s="13"/>
      <c r="AB300" s="13"/>
      <c r="AC300" s="13"/>
      <c r="AD300" s="97"/>
      <c r="AE300" s="13"/>
      <c r="AF300" s="13"/>
      <c r="AG300" s="13"/>
      <c r="AH300" s="97"/>
      <c r="AI300" s="13"/>
      <c r="AJ300" s="13"/>
      <c r="AK300" s="13"/>
      <c r="AL300" s="97"/>
      <c r="AM300" s="13"/>
      <c r="AN300" s="13"/>
      <c r="AO300" s="13"/>
      <c r="AP300" s="97"/>
      <c r="AQ300" s="13"/>
      <c r="AR300" s="13"/>
      <c r="AS300" s="13"/>
      <c r="AT300" s="97"/>
      <c r="AU300" s="13"/>
      <c r="AV300" s="13">
        <v>9</v>
      </c>
      <c r="AW300" s="13">
        <v>33</v>
      </c>
      <c r="AX300" s="48">
        <f t="shared" si="95"/>
        <v>21</v>
      </c>
    </row>
    <row r="301" spans="1:50" ht="10.199999999999999" customHeight="1" x14ac:dyDescent="0.25">
      <c r="A301" s="14">
        <f t="shared" si="89"/>
        <v>50</v>
      </c>
      <c r="B301" s="102">
        <f t="shared" si="90"/>
        <v>37607</v>
      </c>
      <c r="C301" s="103">
        <v>37604</v>
      </c>
      <c r="D301" s="13">
        <v>8</v>
      </c>
      <c r="E301" s="13">
        <v>35</v>
      </c>
      <c r="F301" s="48">
        <f t="shared" si="91"/>
        <v>21.5</v>
      </c>
      <c r="G301" s="13"/>
      <c r="H301" s="13">
        <v>0</v>
      </c>
      <c r="I301" s="13">
        <v>18</v>
      </c>
      <c r="J301" s="48">
        <f t="shared" si="92"/>
        <v>9</v>
      </c>
      <c r="K301" s="13"/>
      <c r="L301" s="13">
        <v>0</v>
      </c>
      <c r="M301" s="13">
        <v>11</v>
      </c>
      <c r="N301" s="48">
        <f t="shared" si="93"/>
        <v>5.5</v>
      </c>
      <c r="O301" s="13"/>
      <c r="P301" s="13">
        <v>-7</v>
      </c>
      <c r="Q301" s="13">
        <v>-8</v>
      </c>
      <c r="R301" s="48">
        <f t="shared" si="96"/>
        <v>-7.5</v>
      </c>
      <c r="S301" s="13"/>
      <c r="T301" s="13">
        <v>-7</v>
      </c>
      <c r="U301" s="13">
        <v>-8</v>
      </c>
      <c r="V301" s="48">
        <f t="shared" si="97"/>
        <v>-7.5</v>
      </c>
      <c r="W301" s="13"/>
      <c r="X301" s="13"/>
      <c r="Y301" s="13"/>
      <c r="Z301" s="97"/>
      <c r="AA301" s="13"/>
      <c r="AB301" s="13"/>
      <c r="AC301" s="13"/>
      <c r="AD301" s="97"/>
      <c r="AE301" s="13"/>
      <c r="AF301" s="13"/>
      <c r="AG301" s="13"/>
      <c r="AH301" s="97"/>
      <c r="AI301" s="13"/>
      <c r="AJ301" s="13"/>
      <c r="AK301" s="13"/>
      <c r="AL301" s="97"/>
      <c r="AM301" s="13"/>
      <c r="AN301" s="13"/>
      <c r="AO301" s="13"/>
      <c r="AP301" s="97"/>
      <c r="AQ301" s="13"/>
      <c r="AR301" s="13"/>
      <c r="AS301" s="13"/>
      <c r="AT301" s="97"/>
      <c r="AU301" s="13"/>
      <c r="AV301" s="13">
        <v>5</v>
      </c>
      <c r="AW301" s="13">
        <v>0</v>
      </c>
      <c r="AX301" s="48">
        <f t="shared" si="95"/>
        <v>2.5</v>
      </c>
    </row>
    <row r="302" spans="1:50" ht="10.199999999999999" customHeight="1" x14ac:dyDescent="0.25">
      <c r="A302" s="14">
        <f t="shared" si="89"/>
        <v>51</v>
      </c>
      <c r="B302" s="102">
        <f t="shared" si="90"/>
        <v>37614</v>
      </c>
      <c r="C302" s="103">
        <v>37611</v>
      </c>
      <c r="D302" s="15">
        <v>5</v>
      </c>
      <c r="E302" s="15">
        <v>51</v>
      </c>
      <c r="F302" s="98">
        <f t="shared" si="91"/>
        <v>28</v>
      </c>
      <c r="G302" s="15"/>
      <c r="H302" s="15">
        <v>4</v>
      </c>
      <c r="I302" s="15">
        <v>26</v>
      </c>
      <c r="J302" s="98">
        <f t="shared" si="92"/>
        <v>15</v>
      </c>
      <c r="K302" s="15"/>
      <c r="L302" s="15">
        <v>1</v>
      </c>
      <c r="M302" s="15">
        <v>15</v>
      </c>
      <c r="N302" s="98">
        <f t="shared" si="93"/>
        <v>8</v>
      </c>
      <c r="O302" s="15"/>
      <c r="P302" s="15">
        <v>-8</v>
      </c>
      <c r="Q302" s="15">
        <v>-6</v>
      </c>
      <c r="R302" s="98">
        <f t="shared" si="96"/>
        <v>-7</v>
      </c>
      <c r="S302" s="15"/>
      <c r="T302" s="15">
        <v>-8</v>
      </c>
      <c r="U302" s="15">
        <v>-6</v>
      </c>
      <c r="V302" s="98">
        <f t="shared" si="97"/>
        <v>-7</v>
      </c>
      <c r="W302" s="15"/>
      <c r="X302" s="15">
        <v>0</v>
      </c>
      <c r="Y302" s="15">
        <v>-3</v>
      </c>
      <c r="Z302" s="98">
        <f t="shared" ref="Z302:Z327" si="98">AVERAGE(X302,Y302)</f>
        <v>-1.5</v>
      </c>
      <c r="AA302" s="15"/>
      <c r="AB302" s="13"/>
      <c r="AC302" s="13"/>
      <c r="AD302" s="97"/>
      <c r="AE302" s="13"/>
      <c r="AF302" s="13"/>
      <c r="AG302" s="13"/>
      <c r="AH302" s="97"/>
      <c r="AI302" s="13"/>
      <c r="AJ302" s="13"/>
      <c r="AK302" s="13"/>
      <c r="AL302" s="97"/>
      <c r="AM302" s="13"/>
      <c r="AN302" s="13"/>
      <c r="AO302" s="13"/>
      <c r="AP302" s="97"/>
      <c r="AQ302" s="13"/>
      <c r="AR302" s="13"/>
      <c r="AS302" s="13"/>
      <c r="AT302" s="97"/>
      <c r="AU302" s="13"/>
      <c r="AV302" s="13"/>
      <c r="AW302" s="13"/>
      <c r="AX302" s="49"/>
    </row>
    <row r="303" spans="1:50" ht="10.199999999999999" customHeight="1" x14ac:dyDescent="0.25">
      <c r="A303" s="14">
        <f t="shared" si="89"/>
        <v>52</v>
      </c>
      <c r="B303" s="102">
        <f t="shared" si="90"/>
        <v>37621</v>
      </c>
      <c r="C303" s="103">
        <v>37618</v>
      </c>
      <c r="D303" s="15">
        <v>9</v>
      </c>
      <c r="E303" s="15">
        <v>26</v>
      </c>
      <c r="F303" s="98">
        <f t="shared" si="91"/>
        <v>17.5</v>
      </c>
      <c r="G303" s="15"/>
      <c r="H303" s="15">
        <v>5</v>
      </c>
      <c r="I303" s="15">
        <v>20</v>
      </c>
      <c r="J303" s="98">
        <f t="shared" si="92"/>
        <v>12.5</v>
      </c>
      <c r="K303" s="15"/>
      <c r="L303" s="15">
        <v>3</v>
      </c>
      <c r="M303" s="15">
        <v>13</v>
      </c>
      <c r="N303" s="98">
        <f t="shared" si="93"/>
        <v>8</v>
      </c>
      <c r="O303" s="15"/>
      <c r="P303" s="15">
        <v>-13</v>
      </c>
      <c r="Q303" s="15">
        <v>-6</v>
      </c>
      <c r="R303" s="98">
        <f t="shared" si="96"/>
        <v>-9.5</v>
      </c>
      <c r="S303" s="15"/>
      <c r="T303" s="15">
        <v>-12</v>
      </c>
      <c r="U303" s="15">
        <v>-6</v>
      </c>
      <c r="V303" s="98">
        <f t="shared" si="97"/>
        <v>-9</v>
      </c>
      <c r="W303" s="15"/>
      <c r="X303" s="15">
        <v>0</v>
      </c>
      <c r="Y303" s="15">
        <v>-3</v>
      </c>
      <c r="Z303" s="98">
        <f t="shared" si="98"/>
        <v>-1.5</v>
      </c>
      <c r="AA303" s="15"/>
      <c r="AB303" s="13"/>
      <c r="AC303" s="13"/>
      <c r="AD303" s="97"/>
      <c r="AE303" s="13"/>
      <c r="AF303" s="13"/>
      <c r="AG303" s="13"/>
      <c r="AH303" s="97"/>
      <c r="AI303" s="13"/>
      <c r="AJ303" s="13"/>
      <c r="AK303" s="13"/>
      <c r="AL303" s="97"/>
      <c r="AM303" s="13"/>
      <c r="AN303" s="13"/>
      <c r="AO303" s="13"/>
      <c r="AP303" s="97"/>
      <c r="AQ303" s="13"/>
      <c r="AR303" s="13"/>
      <c r="AS303" s="13"/>
      <c r="AT303" s="97"/>
      <c r="AU303" s="13"/>
      <c r="AV303" s="13"/>
      <c r="AW303" s="13"/>
      <c r="AX303" s="49"/>
    </row>
    <row r="304" spans="1:50" ht="10.199999999999999" customHeight="1" x14ac:dyDescent="0.25">
      <c r="A304" s="14">
        <v>1</v>
      </c>
      <c r="B304" s="102">
        <f t="shared" si="90"/>
        <v>37628</v>
      </c>
      <c r="C304" s="103">
        <v>37623</v>
      </c>
      <c r="D304" s="15">
        <v>8</v>
      </c>
      <c r="E304" s="15">
        <v>14</v>
      </c>
      <c r="F304" s="98">
        <f t="shared" si="91"/>
        <v>11</v>
      </c>
      <c r="G304" s="15"/>
      <c r="H304" s="15">
        <v>6</v>
      </c>
      <c r="I304" s="15">
        <v>14</v>
      </c>
      <c r="J304" s="98">
        <f t="shared" si="92"/>
        <v>10</v>
      </c>
      <c r="K304" s="15"/>
      <c r="L304" s="15">
        <v>3</v>
      </c>
      <c r="M304" s="15">
        <v>11</v>
      </c>
      <c r="N304" s="98">
        <f t="shared" si="93"/>
        <v>7</v>
      </c>
      <c r="O304" s="15"/>
      <c r="P304" s="15">
        <v>-16</v>
      </c>
      <c r="Q304" s="15">
        <v>-13</v>
      </c>
      <c r="R304" s="98">
        <f t="shared" si="96"/>
        <v>-14.5</v>
      </c>
      <c r="S304" s="15"/>
      <c r="T304" s="15">
        <v>-15</v>
      </c>
      <c r="U304" s="15">
        <v>-13</v>
      </c>
      <c r="V304" s="98">
        <f t="shared" si="97"/>
        <v>-14</v>
      </c>
      <c r="W304" s="15"/>
      <c r="X304" s="15">
        <v>0</v>
      </c>
      <c r="Y304" s="15">
        <v>-3</v>
      </c>
      <c r="Z304" s="98">
        <f t="shared" si="98"/>
        <v>-1.5</v>
      </c>
      <c r="AA304" s="15"/>
      <c r="AB304" s="13"/>
      <c r="AC304" s="13"/>
      <c r="AD304" s="97"/>
      <c r="AE304" s="13"/>
      <c r="AF304" s="13"/>
      <c r="AG304" s="13"/>
      <c r="AH304" s="97"/>
      <c r="AI304" s="13"/>
      <c r="AJ304" s="13"/>
      <c r="AK304" s="13"/>
      <c r="AL304" s="97"/>
      <c r="AM304" s="13"/>
      <c r="AN304" s="13"/>
      <c r="AO304" s="13"/>
      <c r="AP304" s="97"/>
      <c r="AQ304" s="13"/>
      <c r="AR304" s="13"/>
      <c r="AS304" s="13"/>
      <c r="AT304" s="97"/>
      <c r="AU304" s="13"/>
      <c r="AV304" s="13"/>
      <c r="AW304" s="13"/>
      <c r="AX304" s="49"/>
    </row>
    <row r="305" spans="1:50" ht="10.199999999999999" customHeight="1" x14ac:dyDescent="0.25">
      <c r="A305" s="14">
        <f t="shared" ref="A305:A336" si="99">+A304+1</f>
        <v>2</v>
      </c>
      <c r="B305" s="102">
        <f t="shared" si="90"/>
        <v>37635</v>
      </c>
      <c r="C305" s="103">
        <v>37630</v>
      </c>
      <c r="D305" s="15">
        <v>5</v>
      </c>
      <c r="E305" s="15">
        <v>0</v>
      </c>
      <c r="F305" s="98">
        <f t="shared" si="91"/>
        <v>2.5</v>
      </c>
      <c r="G305" s="15"/>
      <c r="H305" s="15">
        <v>5</v>
      </c>
      <c r="I305" s="15">
        <v>6</v>
      </c>
      <c r="J305" s="98">
        <f t="shared" si="92"/>
        <v>5.5</v>
      </c>
      <c r="K305" s="15"/>
      <c r="L305" s="15">
        <v>4</v>
      </c>
      <c r="M305" s="15">
        <v>-3</v>
      </c>
      <c r="N305" s="98">
        <f t="shared" si="93"/>
        <v>0.5</v>
      </c>
      <c r="O305" s="15"/>
      <c r="P305" s="15">
        <v>-18</v>
      </c>
      <c r="Q305" s="15">
        <v>-14</v>
      </c>
      <c r="R305" s="98">
        <f t="shared" si="96"/>
        <v>-16</v>
      </c>
      <c r="S305" s="15"/>
      <c r="T305" s="15">
        <v>-16</v>
      </c>
      <c r="U305" s="15">
        <v>-14</v>
      </c>
      <c r="V305" s="98">
        <f t="shared" si="97"/>
        <v>-15</v>
      </c>
      <c r="W305" s="15"/>
      <c r="X305" s="15">
        <v>0</v>
      </c>
      <c r="Y305" s="15">
        <v>-3</v>
      </c>
      <c r="Z305" s="98">
        <f t="shared" si="98"/>
        <v>-1.5</v>
      </c>
      <c r="AA305" s="15"/>
      <c r="AB305" s="13"/>
      <c r="AC305" s="13"/>
      <c r="AD305" s="97"/>
      <c r="AE305" s="13"/>
      <c r="AF305" s="13"/>
      <c r="AG305" s="13"/>
      <c r="AH305" s="97"/>
      <c r="AI305" s="13"/>
      <c r="AJ305" s="13"/>
      <c r="AK305" s="13"/>
      <c r="AL305" s="97"/>
      <c r="AM305" s="13"/>
      <c r="AN305" s="13"/>
      <c r="AO305" s="13"/>
      <c r="AP305" s="97"/>
      <c r="AQ305" s="13"/>
      <c r="AR305" s="13"/>
      <c r="AS305" s="13"/>
      <c r="AT305" s="97"/>
      <c r="AU305" s="13"/>
      <c r="AV305" s="13"/>
      <c r="AW305" s="13"/>
      <c r="AX305" s="49"/>
    </row>
    <row r="306" spans="1:50" ht="10.199999999999999" customHeight="1" x14ac:dyDescent="0.25">
      <c r="A306" s="14">
        <f t="shared" si="99"/>
        <v>3</v>
      </c>
      <c r="B306" s="102">
        <f t="shared" si="90"/>
        <v>37642</v>
      </c>
      <c r="C306" s="103">
        <v>37637</v>
      </c>
      <c r="D306" s="34"/>
      <c r="E306" s="34"/>
      <c r="F306" s="98"/>
      <c r="G306" s="34"/>
      <c r="H306" s="15">
        <v>10</v>
      </c>
      <c r="I306" s="15">
        <v>43</v>
      </c>
      <c r="J306" s="98">
        <f t="shared" si="92"/>
        <v>26.5</v>
      </c>
      <c r="K306" s="15"/>
      <c r="L306" s="15">
        <v>5</v>
      </c>
      <c r="M306" s="15">
        <v>21</v>
      </c>
      <c r="N306" s="98">
        <f t="shared" si="93"/>
        <v>13</v>
      </c>
      <c r="O306" s="15"/>
      <c r="P306" s="15">
        <v>-11</v>
      </c>
      <c r="Q306" s="15">
        <v>-11</v>
      </c>
      <c r="R306" s="98">
        <f t="shared" si="96"/>
        <v>-11</v>
      </c>
      <c r="S306" s="15"/>
      <c r="T306" s="15">
        <v>-10</v>
      </c>
      <c r="U306" s="15">
        <v>-11</v>
      </c>
      <c r="V306" s="98">
        <f t="shared" si="97"/>
        <v>-10.5</v>
      </c>
      <c r="W306" s="15"/>
      <c r="X306" s="15">
        <v>-3</v>
      </c>
      <c r="Y306" s="15">
        <v>5</v>
      </c>
      <c r="Z306" s="98">
        <f t="shared" si="98"/>
        <v>1</v>
      </c>
      <c r="AA306" s="15"/>
      <c r="AB306" s="15">
        <v>0</v>
      </c>
      <c r="AC306" s="15">
        <v>17</v>
      </c>
      <c r="AD306" s="48">
        <f t="shared" ref="AD306:AD331" si="100">AVERAGE(AB306,AC306)</f>
        <v>8.5</v>
      </c>
      <c r="AE306" s="15"/>
      <c r="AF306" s="15"/>
      <c r="AG306" s="15"/>
      <c r="AH306" s="99"/>
      <c r="AI306" s="15"/>
      <c r="AJ306" s="13"/>
      <c r="AK306" s="13"/>
      <c r="AL306" s="97"/>
      <c r="AM306" s="13"/>
      <c r="AN306" s="13"/>
      <c r="AO306" s="13"/>
      <c r="AP306" s="97"/>
      <c r="AQ306" s="13"/>
      <c r="AR306" s="13"/>
      <c r="AS306" s="13"/>
      <c r="AT306" s="97"/>
      <c r="AU306" s="13"/>
      <c r="AV306" s="13"/>
      <c r="AW306" s="13"/>
      <c r="AX306" s="49"/>
    </row>
    <row r="307" spans="1:50" ht="10.199999999999999" customHeight="1" x14ac:dyDescent="0.25">
      <c r="A307" s="14">
        <f t="shared" si="99"/>
        <v>4</v>
      </c>
      <c r="B307" s="102">
        <v>37649</v>
      </c>
      <c r="C307" s="103">
        <v>37644</v>
      </c>
      <c r="D307" s="15"/>
      <c r="E307" s="15"/>
      <c r="F307" s="99"/>
      <c r="G307" s="15"/>
      <c r="H307" s="15">
        <v>25</v>
      </c>
      <c r="I307" s="15">
        <v>14</v>
      </c>
      <c r="J307" s="98">
        <f t="shared" si="92"/>
        <v>19.5</v>
      </c>
      <c r="K307" s="15"/>
      <c r="L307" s="15">
        <v>7</v>
      </c>
      <c r="M307" s="15">
        <v>14</v>
      </c>
      <c r="N307" s="98">
        <f t="shared" si="93"/>
        <v>10.5</v>
      </c>
      <c r="O307" s="15"/>
      <c r="P307" s="15">
        <v>-10</v>
      </c>
      <c r="Q307" s="15">
        <v>-11</v>
      </c>
      <c r="R307" s="98">
        <f t="shared" si="96"/>
        <v>-10.5</v>
      </c>
      <c r="S307" s="15"/>
      <c r="T307" s="15">
        <v>-9</v>
      </c>
      <c r="U307" s="15">
        <v>-11</v>
      </c>
      <c r="V307" s="98">
        <f t="shared" si="97"/>
        <v>-10</v>
      </c>
      <c r="W307" s="15"/>
      <c r="X307" s="15">
        <v>-6</v>
      </c>
      <c r="Y307" s="15">
        <v>5</v>
      </c>
      <c r="Z307" s="98">
        <f t="shared" si="98"/>
        <v>-0.5</v>
      </c>
      <c r="AA307" s="15"/>
      <c r="AB307" s="15">
        <v>-5</v>
      </c>
      <c r="AC307" s="15">
        <v>12</v>
      </c>
      <c r="AD307" s="48">
        <f t="shared" si="100"/>
        <v>3.5</v>
      </c>
      <c r="AE307" s="15"/>
      <c r="AF307" s="15"/>
      <c r="AG307" s="15"/>
      <c r="AH307" s="99"/>
      <c r="AI307" s="15"/>
      <c r="AJ307" s="13"/>
      <c r="AK307" s="13"/>
      <c r="AL307" s="97"/>
      <c r="AM307" s="13"/>
      <c r="AN307" s="13"/>
      <c r="AO307" s="13"/>
      <c r="AP307" s="97"/>
      <c r="AQ307" s="13"/>
      <c r="AR307" s="13"/>
      <c r="AS307" s="13"/>
      <c r="AT307" s="97"/>
      <c r="AU307" s="13"/>
      <c r="AV307" s="13"/>
      <c r="AW307" s="13"/>
      <c r="AX307" s="49"/>
    </row>
    <row r="308" spans="1:50" ht="10.199999999999999" customHeight="1" x14ac:dyDescent="0.25">
      <c r="A308" s="14">
        <f t="shared" si="99"/>
        <v>5</v>
      </c>
      <c r="B308" s="102">
        <v>37658</v>
      </c>
      <c r="C308" s="103">
        <v>37651</v>
      </c>
      <c r="D308" s="15"/>
      <c r="E308" s="15"/>
      <c r="F308" s="99"/>
      <c r="G308" s="15"/>
      <c r="H308" s="15">
        <v>19</v>
      </c>
      <c r="I308" s="15">
        <v>9</v>
      </c>
      <c r="J308" s="98">
        <f t="shared" si="92"/>
        <v>14</v>
      </c>
      <c r="K308" s="15"/>
      <c r="L308" s="15">
        <v>2</v>
      </c>
      <c r="M308" s="15">
        <v>10</v>
      </c>
      <c r="N308" s="98">
        <f t="shared" si="93"/>
        <v>6</v>
      </c>
      <c r="O308" s="15"/>
      <c r="P308" s="15">
        <v>-25</v>
      </c>
      <c r="Q308" s="15">
        <v>-11</v>
      </c>
      <c r="R308" s="98">
        <f t="shared" si="96"/>
        <v>-18</v>
      </c>
      <c r="S308" s="15"/>
      <c r="T308" s="15">
        <v>-26</v>
      </c>
      <c r="U308" s="15">
        <v>-11</v>
      </c>
      <c r="V308" s="98">
        <f t="shared" si="97"/>
        <v>-18.5</v>
      </c>
      <c r="W308" s="15"/>
      <c r="X308" s="15">
        <v>-13</v>
      </c>
      <c r="Y308" s="15">
        <v>5</v>
      </c>
      <c r="Z308" s="98">
        <f t="shared" si="98"/>
        <v>-4</v>
      </c>
      <c r="AA308" s="15"/>
      <c r="AB308" s="15">
        <v>-6</v>
      </c>
      <c r="AC308" s="15">
        <v>12</v>
      </c>
      <c r="AD308" s="48">
        <f t="shared" si="100"/>
        <v>3</v>
      </c>
      <c r="AE308" s="15"/>
      <c r="AF308" s="15"/>
      <c r="AG308" s="15"/>
      <c r="AH308" s="99"/>
      <c r="AI308" s="15"/>
      <c r="AJ308" s="13"/>
      <c r="AK308" s="13"/>
      <c r="AL308" s="97"/>
      <c r="AM308" s="13"/>
      <c r="AN308" s="13"/>
      <c r="AO308" s="13"/>
      <c r="AP308" s="97"/>
      <c r="AQ308" s="13"/>
      <c r="AR308" s="13"/>
      <c r="AS308" s="13"/>
      <c r="AT308" s="97"/>
      <c r="AU308" s="13"/>
      <c r="AV308" s="13"/>
      <c r="AW308" s="13"/>
      <c r="AX308" s="49"/>
    </row>
    <row r="309" spans="1:50" ht="10.199999999999999" customHeight="1" x14ac:dyDescent="0.25">
      <c r="A309" s="14">
        <f t="shared" si="99"/>
        <v>6</v>
      </c>
      <c r="B309" s="102">
        <f t="shared" ref="B309:B340" si="101">+B308+7</f>
        <v>37665</v>
      </c>
      <c r="C309" s="103">
        <v>37658</v>
      </c>
      <c r="D309" s="15"/>
      <c r="E309" s="15"/>
      <c r="F309" s="99"/>
      <c r="G309" s="15"/>
      <c r="H309" s="15">
        <v>17</v>
      </c>
      <c r="I309" s="15">
        <v>-8</v>
      </c>
      <c r="J309" s="98">
        <f t="shared" si="92"/>
        <v>4.5</v>
      </c>
      <c r="K309" s="15"/>
      <c r="L309" s="15">
        <v>-20</v>
      </c>
      <c r="M309" s="15">
        <v>-9</v>
      </c>
      <c r="N309" s="98">
        <f t="shared" si="93"/>
        <v>-14.5</v>
      </c>
      <c r="O309" s="15"/>
      <c r="P309" s="15">
        <v>-34</v>
      </c>
      <c r="Q309" s="15">
        <v>-13</v>
      </c>
      <c r="R309" s="98">
        <f t="shared" si="96"/>
        <v>-23.5</v>
      </c>
      <c r="S309" s="15"/>
      <c r="T309" s="15">
        <v>-34</v>
      </c>
      <c r="U309" s="15">
        <v>-13</v>
      </c>
      <c r="V309" s="98">
        <f t="shared" si="97"/>
        <v>-23.5</v>
      </c>
      <c r="W309" s="15"/>
      <c r="X309" s="15">
        <v>-16</v>
      </c>
      <c r="Y309" s="15">
        <v>3</v>
      </c>
      <c r="Z309" s="98">
        <f t="shared" si="98"/>
        <v>-6.5</v>
      </c>
      <c r="AA309" s="15"/>
      <c r="AB309" s="15">
        <v>-8</v>
      </c>
      <c r="AC309" s="15">
        <v>11</v>
      </c>
      <c r="AD309" s="48">
        <f t="shared" si="100"/>
        <v>1.5</v>
      </c>
      <c r="AE309" s="15"/>
      <c r="AF309" s="15"/>
      <c r="AG309" s="15"/>
      <c r="AH309" s="99"/>
      <c r="AI309" s="15"/>
      <c r="AJ309" s="13"/>
      <c r="AK309" s="13"/>
      <c r="AL309" s="97"/>
      <c r="AM309" s="13"/>
      <c r="AN309" s="13"/>
      <c r="AO309" s="13"/>
      <c r="AP309" s="97"/>
      <c r="AQ309" s="13"/>
      <c r="AR309" s="13"/>
      <c r="AS309" s="13"/>
      <c r="AT309" s="97"/>
      <c r="AU309" s="13"/>
      <c r="AV309" s="13"/>
      <c r="AW309" s="13"/>
      <c r="AX309" s="49"/>
    </row>
    <row r="310" spans="1:50" ht="10.199999999999999" customHeight="1" x14ac:dyDescent="0.25">
      <c r="A310" s="14">
        <f t="shared" si="99"/>
        <v>7</v>
      </c>
      <c r="B310" s="102">
        <f t="shared" si="101"/>
        <v>37672</v>
      </c>
      <c r="C310" s="103">
        <v>37665</v>
      </c>
      <c r="D310" s="15"/>
      <c r="E310" s="15"/>
      <c r="F310" s="99"/>
      <c r="G310" s="15"/>
      <c r="H310" s="15">
        <v>24</v>
      </c>
      <c r="I310" s="15">
        <v>0</v>
      </c>
      <c r="J310" s="98">
        <f t="shared" si="92"/>
        <v>12</v>
      </c>
      <c r="K310" s="15"/>
      <c r="L310" s="15">
        <v>-16</v>
      </c>
      <c r="M310" s="15">
        <v>-9</v>
      </c>
      <c r="N310" s="98">
        <f t="shared" si="93"/>
        <v>-12.5</v>
      </c>
      <c r="O310" s="15"/>
      <c r="P310" s="15">
        <v>-24</v>
      </c>
      <c r="Q310" s="15">
        <v>-14</v>
      </c>
      <c r="R310" s="98">
        <f t="shared" si="96"/>
        <v>-19</v>
      </c>
      <c r="S310" s="15"/>
      <c r="T310" s="15">
        <v>-24</v>
      </c>
      <c r="U310" s="15">
        <v>-14</v>
      </c>
      <c r="V310" s="98">
        <f t="shared" si="97"/>
        <v>-19</v>
      </c>
      <c r="W310" s="15"/>
      <c r="X310" s="15">
        <v>-16</v>
      </c>
      <c r="Y310" s="15">
        <v>3</v>
      </c>
      <c r="Z310" s="98">
        <f t="shared" si="98"/>
        <v>-6.5</v>
      </c>
      <c r="AA310" s="15"/>
      <c r="AB310" s="15">
        <v>-8</v>
      </c>
      <c r="AC310" s="15">
        <v>11</v>
      </c>
      <c r="AD310" s="48">
        <f t="shared" si="100"/>
        <v>1.5</v>
      </c>
      <c r="AE310" s="15"/>
      <c r="AF310" s="15"/>
      <c r="AG310" s="15"/>
      <c r="AH310" s="99"/>
      <c r="AI310" s="15"/>
      <c r="AJ310" s="13"/>
      <c r="AK310" s="13"/>
      <c r="AL310" s="97"/>
      <c r="AM310" s="13"/>
      <c r="AN310" s="13"/>
      <c r="AO310" s="13"/>
      <c r="AP310" s="97"/>
      <c r="AQ310" s="13"/>
      <c r="AR310" s="13"/>
      <c r="AS310" s="13"/>
      <c r="AT310" s="97"/>
      <c r="AU310" s="13"/>
      <c r="AV310" s="13"/>
      <c r="AW310" s="13"/>
      <c r="AX310" s="49"/>
    </row>
    <row r="311" spans="1:50" ht="10.199999999999999" customHeight="1" x14ac:dyDescent="0.25">
      <c r="A311" s="14">
        <f t="shared" si="99"/>
        <v>8</v>
      </c>
      <c r="B311" s="102">
        <f t="shared" si="101"/>
        <v>37679</v>
      </c>
      <c r="C311" s="103">
        <v>37672</v>
      </c>
      <c r="D311" s="15"/>
      <c r="E311" s="15"/>
      <c r="F311" s="99"/>
      <c r="G311" s="15"/>
      <c r="H311" s="15"/>
      <c r="I311" s="15"/>
      <c r="J311" s="99"/>
      <c r="K311" s="15"/>
      <c r="L311" s="15">
        <v>-12</v>
      </c>
      <c r="M311" s="15">
        <v>-15</v>
      </c>
      <c r="N311" s="98">
        <f t="shared" si="93"/>
        <v>-13.5</v>
      </c>
      <c r="O311" s="15"/>
      <c r="P311" s="15">
        <v>-30</v>
      </c>
      <c r="Q311" s="15">
        <v>-14</v>
      </c>
      <c r="R311" s="98">
        <f t="shared" si="96"/>
        <v>-22</v>
      </c>
      <c r="S311" s="15"/>
      <c r="T311" s="15">
        <v>-30</v>
      </c>
      <c r="U311" s="15">
        <v>-15</v>
      </c>
      <c r="V311" s="98">
        <f t="shared" si="97"/>
        <v>-22.5</v>
      </c>
      <c r="W311" s="15"/>
      <c r="X311" s="15">
        <v>-15</v>
      </c>
      <c r="Y311" s="15">
        <v>3</v>
      </c>
      <c r="Z311" s="98">
        <f t="shared" si="98"/>
        <v>-6</v>
      </c>
      <c r="AA311" s="15"/>
      <c r="AB311" s="15">
        <v>-8</v>
      </c>
      <c r="AC311" s="15">
        <v>11</v>
      </c>
      <c r="AD311" s="48">
        <f t="shared" si="100"/>
        <v>1.5</v>
      </c>
      <c r="AE311" s="15"/>
      <c r="AF311" s="15">
        <v>7</v>
      </c>
      <c r="AG311" s="15">
        <v>18</v>
      </c>
      <c r="AH311" s="48">
        <f t="shared" ref="AH311:AH335" si="102">AVERAGE(AF311,AG311)</f>
        <v>12.5</v>
      </c>
      <c r="AI311" s="15"/>
      <c r="AJ311" s="13"/>
      <c r="AK311" s="13"/>
      <c r="AL311" s="97"/>
      <c r="AM311" s="13"/>
      <c r="AN311" s="13"/>
      <c r="AO311" s="13"/>
      <c r="AP311" s="97"/>
      <c r="AQ311" s="13"/>
      <c r="AR311" s="13"/>
      <c r="AS311" s="13"/>
      <c r="AT311" s="97"/>
      <c r="AU311" s="13"/>
      <c r="AV311" s="13"/>
      <c r="AW311" s="13"/>
      <c r="AX311" s="49"/>
    </row>
    <row r="312" spans="1:50" ht="10.199999999999999" customHeight="1" x14ac:dyDescent="0.25">
      <c r="A312" s="14">
        <f t="shared" si="99"/>
        <v>9</v>
      </c>
      <c r="B312" s="102">
        <f t="shared" si="101"/>
        <v>37686</v>
      </c>
      <c r="C312" s="103">
        <v>37679</v>
      </c>
      <c r="D312" s="15"/>
      <c r="E312" s="15"/>
      <c r="F312" s="99"/>
      <c r="G312" s="15"/>
      <c r="H312" s="15"/>
      <c r="I312" s="15"/>
      <c r="J312" s="99"/>
      <c r="K312" s="15"/>
      <c r="L312" s="15">
        <v>-13</v>
      </c>
      <c r="M312" s="15">
        <v>-28</v>
      </c>
      <c r="N312" s="98">
        <f t="shared" si="93"/>
        <v>-20.5</v>
      </c>
      <c r="O312" s="15"/>
      <c r="P312" s="15">
        <v>-16</v>
      </c>
      <c r="Q312" s="15">
        <v>-21</v>
      </c>
      <c r="R312" s="98">
        <f t="shared" si="96"/>
        <v>-18.5</v>
      </c>
      <c r="S312" s="15"/>
      <c r="T312" s="15">
        <v>-29</v>
      </c>
      <c r="U312" s="15">
        <v>-23</v>
      </c>
      <c r="V312" s="98">
        <f t="shared" si="97"/>
        <v>-26</v>
      </c>
      <c r="W312" s="15"/>
      <c r="X312" s="15">
        <v>-10</v>
      </c>
      <c r="Y312" s="15">
        <v>3</v>
      </c>
      <c r="Z312" s="98">
        <f t="shared" si="98"/>
        <v>-3.5</v>
      </c>
      <c r="AA312" s="15"/>
      <c r="AB312" s="15">
        <v>-7</v>
      </c>
      <c r="AC312" s="15">
        <v>8</v>
      </c>
      <c r="AD312" s="48">
        <f t="shared" si="100"/>
        <v>0.5</v>
      </c>
      <c r="AE312" s="15"/>
      <c r="AF312" s="15">
        <v>10</v>
      </c>
      <c r="AG312" s="15">
        <v>17</v>
      </c>
      <c r="AH312" s="48">
        <f t="shared" si="102"/>
        <v>13.5</v>
      </c>
      <c r="AI312" s="15"/>
      <c r="AJ312" s="13"/>
      <c r="AK312" s="13"/>
      <c r="AL312" s="97"/>
      <c r="AM312" s="13"/>
      <c r="AN312" s="13"/>
      <c r="AO312" s="13"/>
      <c r="AP312" s="97"/>
      <c r="AQ312" s="13"/>
      <c r="AR312" s="13"/>
      <c r="AS312" s="13"/>
      <c r="AT312" s="97"/>
      <c r="AU312" s="13"/>
      <c r="AV312" s="13"/>
      <c r="AW312" s="13"/>
      <c r="AX312" s="49"/>
    </row>
    <row r="313" spans="1:50" ht="10.199999999999999" customHeight="1" x14ac:dyDescent="0.25">
      <c r="A313" s="14">
        <f t="shared" si="99"/>
        <v>10</v>
      </c>
      <c r="B313" s="102">
        <f t="shared" si="101"/>
        <v>37693</v>
      </c>
      <c r="C313" s="103">
        <v>37686</v>
      </c>
      <c r="D313" s="15"/>
      <c r="E313" s="15"/>
      <c r="F313" s="99"/>
      <c r="G313" s="15"/>
      <c r="H313" s="15"/>
      <c r="I313" s="15"/>
      <c r="J313" s="99"/>
      <c r="K313" s="15"/>
      <c r="L313" s="15">
        <v>-13</v>
      </c>
      <c r="M313" s="15">
        <v>-3</v>
      </c>
      <c r="N313" s="98">
        <f t="shared" si="93"/>
        <v>-8</v>
      </c>
      <c r="O313" s="15"/>
      <c r="P313" s="15">
        <v>-16</v>
      </c>
      <c r="Q313" s="15">
        <v>-24</v>
      </c>
      <c r="R313" s="98">
        <f t="shared" si="96"/>
        <v>-20</v>
      </c>
      <c r="S313" s="15"/>
      <c r="T313" s="15">
        <v>-26</v>
      </c>
      <c r="U313" s="15">
        <v>-24</v>
      </c>
      <c r="V313" s="98">
        <f t="shared" si="97"/>
        <v>-25</v>
      </c>
      <c r="W313" s="15"/>
      <c r="X313" s="15">
        <v>-10</v>
      </c>
      <c r="Y313" s="15">
        <v>3</v>
      </c>
      <c r="Z313" s="98">
        <f t="shared" si="98"/>
        <v>-3.5</v>
      </c>
      <c r="AA313" s="15"/>
      <c r="AB313" s="15">
        <v>-7</v>
      </c>
      <c r="AC313" s="15">
        <v>8</v>
      </c>
      <c r="AD313" s="48">
        <f t="shared" si="100"/>
        <v>0.5</v>
      </c>
      <c r="AE313" s="15"/>
      <c r="AF313" s="15">
        <v>10</v>
      </c>
      <c r="AG313" s="15">
        <v>17</v>
      </c>
      <c r="AH313" s="48">
        <f t="shared" si="102"/>
        <v>13.5</v>
      </c>
      <c r="AI313" s="15"/>
      <c r="AJ313" s="13"/>
      <c r="AK313" s="13"/>
      <c r="AL313" s="97"/>
      <c r="AM313" s="13"/>
      <c r="AN313" s="13"/>
      <c r="AO313" s="13"/>
      <c r="AP313" s="97"/>
      <c r="AQ313" s="13"/>
      <c r="AR313" s="13"/>
      <c r="AS313" s="13"/>
      <c r="AT313" s="97"/>
      <c r="AU313" s="13"/>
      <c r="AV313" s="13"/>
      <c r="AW313" s="13"/>
      <c r="AX313" s="49"/>
    </row>
    <row r="314" spans="1:50" ht="10.199999999999999" customHeight="1" x14ac:dyDescent="0.25">
      <c r="A314" s="14">
        <f t="shared" si="99"/>
        <v>11</v>
      </c>
      <c r="B314" s="102">
        <f t="shared" si="101"/>
        <v>37700</v>
      </c>
      <c r="C314" s="103">
        <v>37693</v>
      </c>
      <c r="D314" s="15"/>
      <c r="E314" s="15"/>
      <c r="F314" s="99"/>
      <c r="G314" s="15"/>
      <c r="H314" s="15"/>
      <c r="I314" s="15"/>
      <c r="J314" s="99"/>
      <c r="K314" s="15"/>
      <c r="L314" s="15">
        <v>-9</v>
      </c>
      <c r="M314" s="15">
        <v>0</v>
      </c>
      <c r="N314" s="98">
        <f t="shared" si="93"/>
        <v>-4.5</v>
      </c>
      <c r="O314" s="15"/>
      <c r="P314" s="15">
        <v>-12</v>
      </c>
      <c r="Q314" s="15">
        <v>-18</v>
      </c>
      <c r="R314" s="98">
        <f t="shared" si="96"/>
        <v>-15</v>
      </c>
      <c r="S314" s="15"/>
      <c r="T314" s="15">
        <v>-16</v>
      </c>
      <c r="U314" s="15">
        <v>-24</v>
      </c>
      <c r="V314" s="98">
        <f t="shared" si="97"/>
        <v>-20</v>
      </c>
      <c r="W314" s="15"/>
      <c r="X314" s="15">
        <v>-9</v>
      </c>
      <c r="Y314" s="15">
        <v>3</v>
      </c>
      <c r="Z314" s="98">
        <f t="shared" si="98"/>
        <v>-3</v>
      </c>
      <c r="AA314" s="15"/>
      <c r="AB314" s="15">
        <v>-6</v>
      </c>
      <c r="AC314" s="15">
        <v>8</v>
      </c>
      <c r="AD314" s="48">
        <f t="shared" si="100"/>
        <v>1</v>
      </c>
      <c r="AE314" s="15"/>
      <c r="AF314" s="15">
        <v>8</v>
      </c>
      <c r="AG314" s="15">
        <v>17</v>
      </c>
      <c r="AH314" s="48">
        <f t="shared" si="102"/>
        <v>12.5</v>
      </c>
      <c r="AI314" s="15"/>
      <c r="AJ314" s="13"/>
      <c r="AK314" s="13"/>
      <c r="AL314" s="97"/>
      <c r="AM314" s="13"/>
      <c r="AN314" s="13"/>
      <c r="AO314" s="13"/>
      <c r="AP314" s="97"/>
      <c r="AQ314" s="13"/>
      <c r="AR314" s="13"/>
      <c r="AS314" s="13"/>
      <c r="AT314" s="97"/>
      <c r="AU314" s="13"/>
      <c r="AV314" s="13"/>
      <c r="AW314" s="13"/>
      <c r="AX314" s="49"/>
    </row>
    <row r="315" spans="1:50" ht="10.199999999999999" customHeight="1" x14ac:dyDescent="0.25">
      <c r="A315" s="14">
        <f t="shared" si="99"/>
        <v>12</v>
      </c>
      <c r="B315" s="102">
        <f t="shared" si="101"/>
        <v>37707</v>
      </c>
      <c r="C315" s="103">
        <v>37700</v>
      </c>
      <c r="D315" s="15"/>
      <c r="E315" s="15"/>
      <c r="F315" s="99"/>
      <c r="G315" s="15"/>
      <c r="H315" s="15"/>
      <c r="I315" s="15"/>
      <c r="J315" s="99"/>
      <c r="K315" s="15"/>
      <c r="L315" s="15"/>
      <c r="M315" s="15"/>
      <c r="N315" s="99"/>
      <c r="O315" s="15"/>
      <c r="P315" s="15">
        <v>-10</v>
      </c>
      <c r="Q315" s="15">
        <v>-11</v>
      </c>
      <c r="R315" s="98">
        <f t="shared" si="96"/>
        <v>-10.5</v>
      </c>
      <c r="S315" s="15"/>
      <c r="T315" s="15">
        <v>-15</v>
      </c>
      <c r="U315" s="15">
        <v>-18</v>
      </c>
      <c r="V315" s="98">
        <f t="shared" si="97"/>
        <v>-16.5</v>
      </c>
      <c r="W315" s="15"/>
      <c r="X315" s="15">
        <v>-9</v>
      </c>
      <c r="Y315" s="15">
        <v>3</v>
      </c>
      <c r="Z315" s="98">
        <f t="shared" si="98"/>
        <v>-3</v>
      </c>
      <c r="AA315" s="15"/>
      <c r="AB315" s="15">
        <v>-6</v>
      </c>
      <c r="AC315" s="15">
        <v>8</v>
      </c>
      <c r="AD315" s="48">
        <f t="shared" si="100"/>
        <v>1</v>
      </c>
      <c r="AE315" s="15"/>
      <c r="AF315" s="15">
        <v>8</v>
      </c>
      <c r="AG315" s="15">
        <v>17</v>
      </c>
      <c r="AH315" s="48">
        <f t="shared" si="102"/>
        <v>12.5</v>
      </c>
      <c r="AI315" s="15"/>
      <c r="AJ315" s="15">
        <v>8</v>
      </c>
      <c r="AK315" s="15">
        <v>25</v>
      </c>
      <c r="AL315" s="48">
        <f t="shared" ref="AL315:AL336" si="103">AVERAGE(AJ315,AK315)</f>
        <v>16.5</v>
      </c>
      <c r="AM315" s="15"/>
      <c r="AN315" s="15"/>
      <c r="AO315" s="15"/>
      <c r="AP315" s="99"/>
      <c r="AQ315" s="15"/>
      <c r="AR315" s="13"/>
      <c r="AS315" s="13"/>
      <c r="AT315" s="97"/>
      <c r="AU315" s="13"/>
      <c r="AV315" s="13"/>
      <c r="AW315" s="13"/>
      <c r="AX315" s="49"/>
    </row>
    <row r="316" spans="1:50" ht="10.199999999999999" customHeight="1" x14ac:dyDescent="0.25">
      <c r="A316" s="14">
        <f t="shared" si="99"/>
        <v>13</v>
      </c>
      <c r="B316" s="102">
        <f t="shared" si="101"/>
        <v>37714</v>
      </c>
      <c r="C316" s="103">
        <v>37707</v>
      </c>
      <c r="D316" s="15"/>
      <c r="E316" s="15"/>
      <c r="F316" s="99"/>
      <c r="G316" s="15"/>
      <c r="H316" s="15"/>
      <c r="I316" s="15"/>
      <c r="J316" s="99"/>
      <c r="K316" s="15"/>
      <c r="L316" s="15"/>
      <c r="M316" s="15"/>
      <c r="N316" s="99"/>
      <c r="O316" s="15"/>
      <c r="P316" s="15">
        <v>-7</v>
      </c>
      <c r="Q316" s="15">
        <v>-14</v>
      </c>
      <c r="R316" s="98">
        <f t="shared" si="96"/>
        <v>-10.5</v>
      </c>
      <c r="S316" s="15"/>
      <c r="T316" s="15">
        <v>-14</v>
      </c>
      <c r="U316" s="15">
        <v>-14</v>
      </c>
      <c r="V316" s="98">
        <f t="shared" si="97"/>
        <v>-14</v>
      </c>
      <c r="W316" s="15"/>
      <c r="X316" s="15">
        <v>-6</v>
      </c>
      <c r="Y316" s="15">
        <v>0</v>
      </c>
      <c r="Z316" s="98">
        <f t="shared" si="98"/>
        <v>-3</v>
      </c>
      <c r="AA316" s="15"/>
      <c r="AB316" s="15">
        <v>-3</v>
      </c>
      <c r="AC316" s="15">
        <v>6</v>
      </c>
      <c r="AD316" s="48">
        <f t="shared" si="100"/>
        <v>1.5</v>
      </c>
      <c r="AE316" s="15"/>
      <c r="AF316" s="15">
        <v>8</v>
      </c>
      <c r="AG316" s="15">
        <v>17</v>
      </c>
      <c r="AH316" s="48">
        <f t="shared" si="102"/>
        <v>12.5</v>
      </c>
      <c r="AI316" s="15"/>
      <c r="AJ316" s="15">
        <v>8</v>
      </c>
      <c r="AK316" s="15">
        <v>25</v>
      </c>
      <c r="AL316" s="48">
        <f t="shared" si="103"/>
        <v>16.5</v>
      </c>
      <c r="AM316" s="15"/>
      <c r="AN316" s="15"/>
      <c r="AO316" s="15"/>
      <c r="AP316" s="99"/>
      <c r="AQ316" s="15"/>
      <c r="AR316" s="13"/>
      <c r="AS316" s="13"/>
      <c r="AT316" s="97"/>
      <c r="AU316" s="13"/>
      <c r="AV316" s="13"/>
      <c r="AW316" s="13"/>
      <c r="AX316" s="49"/>
    </row>
    <row r="317" spans="1:50" ht="10.199999999999999" customHeight="1" x14ac:dyDescent="0.25">
      <c r="A317" s="14">
        <f t="shared" si="99"/>
        <v>14</v>
      </c>
      <c r="B317" s="102">
        <f t="shared" si="101"/>
        <v>37721</v>
      </c>
      <c r="C317" s="103">
        <v>37714</v>
      </c>
      <c r="D317" s="15"/>
      <c r="E317" s="15"/>
      <c r="F317" s="99"/>
      <c r="G317" s="15"/>
      <c r="H317" s="15"/>
      <c r="I317" s="15"/>
      <c r="J317" s="99"/>
      <c r="K317" s="15"/>
      <c r="L317" s="15"/>
      <c r="M317" s="15"/>
      <c r="N317" s="99"/>
      <c r="O317" s="15"/>
      <c r="P317" s="15">
        <v>-8</v>
      </c>
      <c r="Q317" s="15">
        <v>-3</v>
      </c>
      <c r="R317" s="98">
        <f t="shared" si="96"/>
        <v>-5.5</v>
      </c>
      <c r="S317" s="15"/>
      <c r="T317" s="15">
        <v>-15</v>
      </c>
      <c r="U317" s="15">
        <v>-8</v>
      </c>
      <c r="V317" s="98">
        <f t="shared" si="97"/>
        <v>-11.5</v>
      </c>
      <c r="W317" s="15"/>
      <c r="X317" s="15">
        <v>-7</v>
      </c>
      <c r="Y317" s="15">
        <v>0</v>
      </c>
      <c r="Z317" s="98">
        <f t="shared" si="98"/>
        <v>-3.5</v>
      </c>
      <c r="AA317" s="15"/>
      <c r="AB317" s="15">
        <v>-4</v>
      </c>
      <c r="AC317" s="15">
        <v>6</v>
      </c>
      <c r="AD317" s="98">
        <f t="shared" si="100"/>
        <v>1</v>
      </c>
      <c r="AE317" s="15"/>
      <c r="AF317" s="15">
        <v>6</v>
      </c>
      <c r="AG317" s="15">
        <v>17</v>
      </c>
      <c r="AH317" s="98">
        <f t="shared" si="102"/>
        <v>11.5</v>
      </c>
      <c r="AI317" s="15"/>
      <c r="AJ317" s="15">
        <v>15</v>
      </c>
      <c r="AK317" s="15">
        <v>25</v>
      </c>
      <c r="AL317" s="98">
        <f t="shared" si="103"/>
        <v>20</v>
      </c>
      <c r="AM317" s="15"/>
      <c r="AN317" s="15"/>
      <c r="AO317" s="15"/>
      <c r="AP317" s="99"/>
      <c r="AQ317" s="15"/>
      <c r="AR317" s="15"/>
      <c r="AS317" s="15"/>
      <c r="AT317" s="99"/>
      <c r="AU317" s="15"/>
      <c r="AV317" s="15"/>
      <c r="AW317" s="15"/>
      <c r="AX317" s="101"/>
    </row>
    <row r="318" spans="1:50" ht="10.199999999999999" customHeight="1" x14ac:dyDescent="0.25">
      <c r="A318" s="14">
        <f t="shared" si="99"/>
        <v>15</v>
      </c>
      <c r="B318" s="102">
        <f t="shared" si="101"/>
        <v>37728</v>
      </c>
      <c r="C318" s="103">
        <v>37721</v>
      </c>
      <c r="D318" s="15"/>
      <c r="E318" s="15"/>
      <c r="F318" s="99"/>
      <c r="G318" s="15"/>
      <c r="H318" s="15"/>
      <c r="I318" s="15"/>
      <c r="J318" s="99"/>
      <c r="K318" s="15"/>
      <c r="L318" s="15"/>
      <c r="M318" s="15"/>
      <c r="N318" s="99"/>
      <c r="O318" s="15"/>
      <c r="P318" s="15">
        <v>-11</v>
      </c>
      <c r="Q318" s="15">
        <v>0</v>
      </c>
      <c r="R318" s="98">
        <f t="shared" si="96"/>
        <v>-5.5</v>
      </c>
      <c r="S318" s="15"/>
      <c r="T318" s="15">
        <v>-16</v>
      </c>
      <c r="U318" s="15">
        <v>-5</v>
      </c>
      <c r="V318" s="98">
        <f t="shared" si="97"/>
        <v>-10.5</v>
      </c>
      <c r="W318" s="15"/>
      <c r="X318" s="15">
        <v>-13</v>
      </c>
      <c r="Y318" s="15">
        <v>2</v>
      </c>
      <c r="Z318" s="98">
        <f t="shared" si="98"/>
        <v>-5.5</v>
      </c>
      <c r="AA318" s="15"/>
      <c r="AB318" s="15">
        <v>-6</v>
      </c>
      <c r="AC318" s="15">
        <v>7</v>
      </c>
      <c r="AD318" s="98">
        <f t="shared" si="100"/>
        <v>0.5</v>
      </c>
      <c r="AE318" s="15"/>
      <c r="AF318" s="15">
        <v>5</v>
      </c>
      <c r="AG318" s="15">
        <v>17</v>
      </c>
      <c r="AH318" s="98">
        <f t="shared" si="102"/>
        <v>11</v>
      </c>
      <c r="AI318" s="15"/>
      <c r="AJ318" s="15">
        <v>15</v>
      </c>
      <c r="AK318" s="15">
        <v>25</v>
      </c>
      <c r="AL318" s="98">
        <f t="shared" si="103"/>
        <v>20</v>
      </c>
      <c r="AM318" s="15"/>
      <c r="AN318" s="15"/>
      <c r="AO318" s="15"/>
      <c r="AP318" s="99"/>
      <c r="AQ318" s="15"/>
      <c r="AR318" s="15"/>
      <c r="AS318" s="15"/>
      <c r="AT318" s="99"/>
      <c r="AU318" s="15"/>
      <c r="AV318" s="15"/>
      <c r="AW318" s="15"/>
      <c r="AX318" s="101"/>
    </row>
    <row r="319" spans="1:50" ht="10.199999999999999" customHeight="1" x14ac:dyDescent="0.25">
      <c r="A319" s="14">
        <f t="shared" si="99"/>
        <v>16</v>
      </c>
      <c r="B319" s="102">
        <f t="shared" si="101"/>
        <v>37735</v>
      </c>
      <c r="C319" s="103">
        <v>37728</v>
      </c>
      <c r="D319" s="15"/>
      <c r="E319" s="15"/>
      <c r="F319" s="99"/>
      <c r="G319" s="15"/>
      <c r="H319" s="15"/>
      <c r="I319" s="15"/>
      <c r="J319" s="99"/>
      <c r="K319" s="15"/>
      <c r="L319" s="15"/>
      <c r="M319" s="15"/>
      <c r="N319" s="99"/>
      <c r="O319" s="15"/>
      <c r="P319" s="15"/>
      <c r="Q319" s="15"/>
      <c r="R319" s="99"/>
      <c r="S319" s="15"/>
      <c r="T319" s="15">
        <v>-16</v>
      </c>
      <c r="U319" s="15">
        <v>-5</v>
      </c>
      <c r="V319" s="98">
        <f t="shared" si="97"/>
        <v>-10.5</v>
      </c>
      <c r="W319" s="15"/>
      <c r="X319" s="15">
        <v>-12</v>
      </c>
      <c r="Y319" s="15">
        <v>0</v>
      </c>
      <c r="Z319" s="98">
        <f t="shared" si="98"/>
        <v>-6</v>
      </c>
      <c r="AA319" s="15"/>
      <c r="AB319" s="15">
        <v>-6</v>
      </c>
      <c r="AC319" s="15">
        <v>7</v>
      </c>
      <c r="AD319" s="98">
        <f t="shared" si="100"/>
        <v>0.5</v>
      </c>
      <c r="AE319" s="15"/>
      <c r="AF319" s="15">
        <v>5</v>
      </c>
      <c r="AG319" s="15">
        <v>17</v>
      </c>
      <c r="AH319" s="98">
        <f t="shared" si="102"/>
        <v>11</v>
      </c>
      <c r="AI319" s="15"/>
      <c r="AJ319" s="15">
        <v>13</v>
      </c>
      <c r="AK319" s="15">
        <v>25</v>
      </c>
      <c r="AL319" s="98">
        <f t="shared" si="103"/>
        <v>19</v>
      </c>
      <c r="AM319" s="15"/>
      <c r="AN319" s="15">
        <v>23</v>
      </c>
      <c r="AO319" s="15">
        <v>30</v>
      </c>
      <c r="AP319" s="98">
        <f t="shared" ref="AP319:AP340" si="104">AVERAGE(AN319,AO319)</f>
        <v>26.5</v>
      </c>
      <c r="AQ319" s="15"/>
      <c r="AR319" s="15"/>
      <c r="AS319" s="15"/>
      <c r="AT319" s="99"/>
      <c r="AU319" s="15"/>
      <c r="AV319" s="15"/>
      <c r="AW319" s="15"/>
      <c r="AX319" s="101"/>
    </row>
    <row r="320" spans="1:50" ht="10.199999999999999" customHeight="1" x14ac:dyDescent="0.25">
      <c r="A320" s="14">
        <f t="shared" si="99"/>
        <v>17</v>
      </c>
      <c r="B320" s="102">
        <f t="shared" si="101"/>
        <v>37742</v>
      </c>
      <c r="C320" s="103">
        <v>37735</v>
      </c>
      <c r="D320" s="15"/>
      <c r="E320" s="15"/>
      <c r="F320" s="99"/>
      <c r="G320" s="15"/>
      <c r="H320" s="15"/>
      <c r="I320" s="15"/>
      <c r="J320" s="99"/>
      <c r="K320" s="15"/>
      <c r="L320" s="15"/>
      <c r="M320" s="15"/>
      <c r="N320" s="99"/>
      <c r="O320" s="15"/>
      <c r="P320" s="15"/>
      <c r="Q320" s="15"/>
      <c r="R320" s="99"/>
      <c r="S320" s="15"/>
      <c r="T320" s="15">
        <v>-19</v>
      </c>
      <c r="U320" s="15">
        <v>-5</v>
      </c>
      <c r="V320" s="98">
        <f t="shared" si="97"/>
        <v>-12</v>
      </c>
      <c r="W320" s="15"/>
      <c r="X320" s="15">
        <v>-13</v>
      </c>
      <c r="Y320" s="15">
        <v>-1</v>
      </c>
      <c r="Z320" s="98">
        <f t="shared" si="98"/>
        <v>-7</v>
      </c>
      <c r="AA320" s="15"/>
      <c r="AB320" s="15">
        <v>-6</v>
      </c>
      <c r="AC320" s="15">
        <v>6</v>
      </c>
      <c r="AD320" s="98">
        <f t="shared" si="100"/>
        <v>0</v>
      </c>
      <c r="AE320" s="15"/>
      <c r="AF320" s="15">
        <v>5</v>
      </c>
      <c r="AG320" s="15">
        <v>17</v>
      </c>
      <c r="AH320" s="98">
        <f t="shared" si="102"/>
        <v>11</v>
      </c>
      <c r="AI320" s="15"/>
      <c r="AJ320" s="15">
        <v>12</v>
      </c>
      <c r="AK320" s="15">
        <v>25</v>
      </c>
      <c r="AL320" s="98">
        <f t="shared" si="103"/>
        <v>18.5</v>
      </c>
      <c r="AM320" s="15"/>
      <c r="AN320" s="15">
        <v>23</v>
      </c>
      <c r="AO320" s="15">
        <v>30</v>
      </c>
      <c r="AP320" s="98">
        <f t="shared" si="104"/>
        <v>26.5</v>
      </c>
      <c r="AQ320" s="15"/>
      <c r="AR320" s="15"/>
      <c r="AS320" s="15"/>
      <c r="AT320" s="99"/>
      <c r="AU320" s="15"/>
      <c r="AV320" s="15"/>
      <c r="AW320" s="15"/>
      <c r="AX320" s="101"/>
    </row>
    <row r="321" spans="1:50" ht="10.199999999999999" customHeight="1" x14ac:dyDescent="0.25">
      <c r="A321" s="14">
        <f t="shared" si="99"/>
        <v>18</v>
      </c>
      <c r="B321" s="102">
        <f t="shared" si="101"/>
        <v>37749</v>
      </c>
      <c r="C321" s="103">
        <v>37742</v>
      </c>
      <c r="D321" s="15"/>
      <c r="E321" s="15"/>
      <c r="F321" s="99"/>
      <c r="G321" s="15"/>
      <c r="H321" s="15"/>
      <c r="I321" s="15"/>
      <c r="J321" s="99"/>
      <c r="K321" s="15"/>
      <c r="L321" s="15"/>
      <c r="M321" s="15"/>
      <c r="N321" s="99"/>
      <c r="O321" s="15"/>
      <c r="P321" s="15"/>
      <c r="Q321" s="15"/>
      <c r="R321" s="99"/>
      <c r="S321" s="15"/>
      <c r="T321" s="15">
        <v>-16</v>
      </c>
      <c r="U321" s="15">
        <v>-3</v>
      </c>
      <c r="V321" s="98">
        <f t="shared" si="97"/>
        <v>-9.5</v>
      </c>
      <c r="W321" s="15"/>
      <c r="X321" s="15">
        <v>-17</v>
      </c>
      <c r="Y321" s="15">
        <v>-1</v>
      </c>
      <c r="Z321" s="98">
        <f t="shared" si="98"/>
        <v>-9</v>
      </c>
      <c r="AA321" s="15"/>
      <c r="AB321" s="15">
        <v>-10</v>
      </c>
      <c r="AC321" s="15">
        <v>6</v>
      </c>
      <c r="AD321" s="98">
        <f t="shared" si="100"/>
        <v>-2</v>
      </c>
      <c r="AE321" s="15"/>
      <c r="AF321" s="15">
        <v>0</v>
      </c>
      <c r="AG321" s="15">
        <v>17</v>
      </c>
      <c r="AH321" s="98">
        <f t="shared" si="102"/>
        <v>8.5</v>
      </c>
      <c r="AI321" s="15"/>
      <c r="AJ321" s="15">
        <v>13</v>
      </c>
      <c r="AK321" s="15">
        <v>25</v>
      </c>
      <c r="AL321" s="98">
        <f t="shared" si="103"/>
        <v>19</v>
      </c>
      <c r="AM321" s="15"/>
      <c r="AN321" s="15">
        <v>25</v>
      </c>
      <c r="AO321" s="15">
        <v>30</v>
      </c>
      <c r="AP321" s="98">
        <f t="shared" si="104"/>
        <v>27.5</v>
      </c>
      <c r="AQ321" s="15"/>
      <c r="AR321" s="15"/>
      <c r="AS321" s="15"/>
      <c r="AT321" s="99"/>
      <c r="AU321" s="15"/>
      <c r="AV321" s="15"/>
      <c r="AW321" s="15"/>
      <c r="AX321" s="101"/>
    </row>
    <row r="322" spans="1:50" ht="10.199999999999999" customHeight="1" x14ac:dyDescent="0.25">
      <c r="A322" s="14">
        <f t="shared" si="99"/>
        <v>19</v>
      </c>
      <c r="B322" s="102">
        <f t="shared" si="101"/>
        <v>37756</v>
      </c>
      <c r="C322" s="103">
        <v>37749</v>
      </c>
      <c r="D322" s="15"/>
      <c r="E322" s="15"/>
      <c r="F322" s="99"/>
      <c r="G322" s="15"/>
      <c r="H322" s="15"/>
      <c r="I322" s="15"/>
      <c r="J322" s="99"/>
      <c r="K322" s="15"/>
      <c r="L322" s="15"/>
      <c r="M322" s="15"/>
      <c r="N322" s="99"/>
      <c r="O322" s="15"/>
      <c r="P322" s="15"/>
      <c r="Q322" s="15"/>
      <c r="R322" s="99"/>
      <c r="S322" s="15"/>
      <c r="T322" s="15">
        <v>-6</v>
      </c>
      <c r="U322" s="15">
        <v>0</v>
      </c>
      <c r="V322" s="98">
        <f t="shared" si="97"/>
        <v>-3</v>
      </c>
      <c r="W322" s="15"/>
      <c r="X322" s="15">
        <v>-13</v>
      </c>
      <c r="Y322" s="15">
        <v>5</v>
      </c>
      <c r="Z322" s="98">
        <f t="shared" si="98"/>
        <v>-4</v>
      </c>
      <c r="AA322" s="15"/>
      <c r="AB322" s="15">
        <v>-6</v>
      </c>
      <c r="AC322" s="15">
        <v>6</v>
      </c>
      <c r="AD322" s="98">
        <f t="shared" si="100"/>
        <v>0</v>
      </c>
      <c r="AE322" s="15"/>
      <c r="AF322" s="15">
        <v>-1</v>
      </c>
      <c r="AG322" s="15">
        <v>17</v>
      </c>
      <c r="AH322" s="98">
        <f t="shared" si="102"/>
        <v>8</v>
      </c>
      <c r="AI322" s="15"/>
      <c r="AJ322" s="15">
        <v>18</v>
      </c>
      <c r="AK322" s="15">
        <v>25</v>
      </c>
      <c r="AL322" s="98">
        <f t="shared" si="103"/>
        <v>21.5</v>
      </c>
      <c r="AM322" s="15"/>
      <c r="AN322" s="15">
        <v>14</v>
      </c>
      <c r="AO322" s="15">
        <v>30</v>
      </c>
      <c r="AP322" s="98">
        <f t="shared" si="104"/>
        <v>22</v>
      </c>
      <c r="AQ322" s="15"/>
      <c r="AR322" s="15"/>
      <c r="AS322" s="15"/>
      <c r="AT322" s="99"/>
      <c r="AU322" s="15"/>
      <c r="AV322" s="15"/>
      <c r="AW322" s="15"/>
      <c r="AX322" s="101"/>
    </row>
    <row r="323" spans="1:50" ht="10.199999999999999" customHeight="1" x14ac:dyDescent="0.25">
      <c r="A323" s="14">
        <f t="shared" si="99"/>
        <v>20</v>
      </c>
      <c r="B323" s="102">
        <f t="shared" si="101"/>
        <v>37763</v>
      </c>
      <c r="C323" s="103">
        <v>37756</v>
      </c>
      <c r="D323" s="15"/>
      <c r="E323" s="15"/>
      <c r="F323" s="99"/>
      <c r="G323" s="15"/>
      <c r="H323" s="15"/>
      <c r="I323" s="15"/>
      <c r="J323" s="99"/>
      <c r="K323" s="15"/>
      <c r="L323" s="15"/>
      <c r="M323" s="15"/>
      <c r="N323" s="99"/>
      <c r="O323" s="15"/>
      <c r="P323" s="15"/>
      <c r="Q323" s="15"/>
      <c r="R323" s="99"/>
      <c r="S323" s="15"/>
      <c r="T323" s="15">
        <v>0</v>
      </c>
      <c r="U323" s="15">
        <v>0</v>
      </c>
      <c r="V323" s="98">
        <f t="shared" si="97"/>
        <v>0</v>
      </c>
      <c r="W323" s="15"/>
      <c r="X323" s="15">
        <v>-6</v>
      </c>
      <c r="Y323" s="15">
        <v>5</v>
      </c>
      <c r="Z323" s="98">
        <f t="shared" si="98"/>
        <v>-0.5</v>
      </c>
      <c r="AA323" s="15"/>
      <c r="AB323" s="15">
        <v>-5</v>
      </c>
      <c r="AC323" s="15">
        <v>6</v>
      </c>
      <c r="AD323" s="98">
        <f t="shared" si="100"/>
        <v>0.5</v>
      </c>
      <c r="AE323" s="15"/>
      <c r="AF323" s="15">
        <v>-1</v>
      </c>
      <c r="AG323" s="15">
        <v>15</v>
      </c>
      <c r="AH323" s="98">
        <f t="shared" si="102"/>
        <v>7</v>
      </c>
      <c r="AI323" s="15"/>
      <c r="AJ323" s="15">
        <v>16</v>
      </c>
      <c r="AK323" s="15">
        <v>25</v>
      </c>
      <c r="AL323" s="98">
        <f t="shared" si="103"/>
        <v>20.5</v>
      </c>
      <c r="AM323" s="15"/>
      <c r="AN323" s="15">
        <v>15</v>
      </c>
      <c r="AO323" s="15">
        <v>30</v>
      </c>
      <c r="AP323" s="98">
        <f t="shared" si="104"/>
        <v>22.5</v>
      </c>
      <c r="AQ323" s="15"/>
      <c r="AR323" s="15"/>
      <c r="AS323" s="15"/>
      <c r="AT323" s="99"/>
      <c r="AU323" s="15"/>
      <c r="AV323" s="15"/>
      <c r="AW323" s="15"/>
      <c r="AX323" s="101"/>
    </row>
    <row r="324" spans="1:50" ht="10.199999999999999" customHeight="1" x14ac:dyDescent="0.25">
      <c r="A324" s="14">
        <f t="shared" si="99"/>
        <v>21</v>
      </c>
      <c r="B324" s="102">
        <f t="shared" si="101"/>
        <v>37770</v>
      </c>
      <c r="C324" s="103">
        <v>37763</v>
      </c>
      <c r="D324" s="15"/>
      <c r="E324" s="15"/>
      <c r="F324" s="99"/>
      <c r="G324" s="15"/>
      <c r="H324" s="15"/>
      <c r="I324" s="15"/>
      <c r="J324" s="99"/>
      <c r="K324" s="15"/>
      <c r="L324" s="15"/>
      <c r="M324" s="15"/>
      <c r="N324" s="99"/>
      <c r="O324" s="15"/>
      <c r="P324" s="15"/>
      <c r="Q324" s="15"/>
      <c r="R324" s="99"/>
      <c r="S324" s="15"/>
      <c r="T324" s="15"/>
      <c r="U324" s="15"/>
      <c r="V324" s="99"/>
      <c r="W324" s="15"/>
      <c r="X324" s="15">
        <v>-1</v>
      </c>
      <c r="Y324" s="15">
        <v>-10</v>
      </c>
      <c r="Z324" s="98">
        <f t="shared" si="98"/>
        <v>-5.5</v>
      </c>
      <c r="AA324" s="15"/>
      <c r="AB324" s="15">
        <v>-1</v>
      </c>
      <c r="AC324" s="15">
        <v>3</v>
      </c>
      <c r="AD324" s="98">
        <f t="shared" si="100"/>
        <v>1</v>
      </c>
      <c r="AE324" s="15"/>
      <c r="AF324" s="15">
        <v>1</v>
      </c>
      <c r="AG324" s="15">
        <v>17</v>
      </c>
      <c r="AH324" s="98">
        <f t="shared" si="102"/>
        <v>9</v>
      </c>
      <c r="AI324" s="15"/>
      <c r="AJ324" s="15">
        <v>16</v>
      </c>
      <c r="AK324" s="15">
        <v>27</v>
      </c>
      <c r="AL324" s="98">
        <f t="shared" si="103"/>
        <v>21.5</v>
      </c>
      <c r="AM324" s="15"/>
      <c r="AN324" s="15">
        <v>15</v>
      </c>
      <c r="AO324" s="15">
        <v>31</v>
      </c>
      <c r="AP324" s="98">
        <f t="shared" si="104"/>
        <v>23</v>
      </c>
      <c r="AQ324" s="15"/>
      <c r="AR324" s="15">
        <v>0</v>
      </c>
      <c r="AS324" s="15">
        <v>10</v>
      </c>
      <c r="AT324" s="98">
        <f t="shared" ref="AT324:AT344" si="105">AVERAGE(AR324,AS324)</f>
        <v>5</v>
      </c>
      <c r="AU324" s="15"/>
      <c r="AV324" s="15"/>
      <c r="AW324" s="15"/>
      <c r="AX324" s="101"/>
    </row>
    <row r="325" spans="1:50" ht="10.199999999999999" customHeight="1" x14ac:dyDescent="0.25">
      <c r="A325" s="14">
        <f t="shared" si="99"/>
        <v>22</v>
      </c>
      <c r="B325" s="102">
        <f t="shared" si="101"/>
        <v>37777</v>
      </c>
      <c r="C325" s="103">
        <v>37770</v>
      </c>
      <c r="D325" s="15"/>
      <c r="E325" s="15"/>
      <c r="F325" s="99"/>
      <c r="G325" s="15"/>
      <c r="H325" s="15"/>
      <c r="I325" s="15"/>
      <c r="J325" s="99"/>
      <c r="K325" s="15"/>
      <c r="L325" s="15"/>
      <c r="M325" s="15"/>
      <c r="N325" s="99"/>
      <c r="O325" s="15"/>
      <c r="P325" s="15"/>
      <c r="Q325" s="15"/>
      <c r="R325" s="99"/>
      <c r="S325" s="15"/>
      <c r="T325" s="15"/>
      <c r="U325" s="15"/>
      <c r="V325" s="99"/>
      <c r="W325" s="15"/>
      <c r="X325" s="15">
        <v>-3</v>
      </c>
      <c r="Y325" s="15">
        <v>-10</v>
      </c>
      <c r="Z325" s="98">
        <f t="shared" si="98"/>
        <v>-6.5</v>
      </c>
      <c r="AA325" s="15"/>
      <c r="AB325" s="15">
        <v>0</v>
      </c>
      <c r="AC325" s="15">
        <v>5</v>
      </c>
      <c r="AD325" s="98">
        <f t="shared" si="100"/>
        <v>2.5</v>
      </c>
      <c r="AE325" s="15"/>
      <c r="AF325" s="15">
        <v>3</v>
      </c>
      <c r="AG325" s="15">
        <v>15</v>
      </c>
      <c r="AH325" s="98">
        <f t="shared" si="102"/>
        <v>9</v>
      </c>
      <c r="AI325" s="15"/>
      <c r="AJ325" s="15">
        <v>17</v>
      </c>
      <c r="AK325" s="15">
        <v>25</v>
      </c>
      <c r="AL325" s="98">
        <f t="shared" si="103"/>
        <v>21</v>
      </c>
      <c r="AM325" s="15"/>
      <c r="AN325" s="15">
        <v>15</v>
      </c>
      <c r="AO325" s="15">
        <v>30</v>
      </c>
      <c r="AP325" s="98">
        <f t="shared" si="104"/>
        <v>22.5</v>
      </c>
      <c r="AQ325" s="15"/>
      <c r="AR325" s="15">
        <v>0</v>
      </c>
      <c r="AS325" s="15">
        <v>8</v>
      </c>
      <c r="AT325" s="98">
        <f t="shared" si="105"/>
        <v>4</v>
      </c>
      <c r="AU325" s="15"/>
      <c r="AV325" s="15"/>
      <c r="AW325" s="15"/>
      <c r="AX325" s="101"/>
    </row>
    <row r="326" spans="1:50" ht="10.199999999999999" customHeight="1" x14ac:dyDescent="0.25">
      <c r="A326" s="14">
        <f t="shared" si="99"/>
        <v>23</v>
      </c>
      <c r="B326" s="102">
        <f t="shared" si="101"/>
        <v>37784</v>
      </c>
      <c r="C326" s="103">
        <v>37777</v>
      </c>
      <c r="D326" s="15"/>
      <c r="E326" s="15"/>
      <c r="F326" s="99"/>
      <c r="G326" s="15"/>
      <c r="H326" s="15"/>
      <c r="I326" s="15"/>
      <c r="J326" s="99"/>
      <c r="K326" s="15"/>
      <c r="L326" s="15"/>
      <c r="M326" s="15"/>
      <c r="N326" s="99"/>
      <c r="O326" s="15"/>
      <c r="P326" s="15"/>
      <c r="Q326" s="15"/>
      <c r="R326" s="99"/>
      <c r="S326" s="15"/>
      <c r="T326" s="15"/>
      <c r="U326" s="15"/>
      <c r="V326" s="99"/>
      <c r="W326" s="15"/>
      <c r="X326" s="15">
        <v>-6</v>
      </c>
      <c r="Y326" s="15">
        <v>-10</v>
      </c>
      <c r="Z326" s="98">
        <f t="shared" si="98"/>
        <v>-8</v>
      </c>
      <c r="AA326" s="15"/>
      <c r="AB326" s="15">
        <v>-5</v>
      </c>
      <c r="AC326" s="15">
        <v>3</v>
      </c>
      <c r="AD326" s="98">
        <f t="shared" si="100"/>
        <v>-1</v>
      </c>
      <c r="AE326" s="15"/>
      <c r="AF326" s="15">
        <v>1</v>
      </c>
      <c r="AG326" s="15">
        <v>10</v>
      </c>
      <c r="AH326" s="98">
        <f t="shared" si="102"/>
        <v>5.5</v>
      </c>
      <c r="AI326" s="15"/>
      <c r="AJ326" s="15">
        <v>13</v>
      </c>
      <c r="AK326" s="15">
        <v>15</v>
      </c>
      <c r="AL326" s="98">
        <f t="shared" si="103"/>
        <v>14</v>
      </c>
      <c r="AM326" s="15"/>
      <c r="AN326" s="15">
        <v>21</v>
      </c>
      <c r="AO326" s="15">
        <v>29</v>
      </c>
      <c r="AP326" s="98">
        <f t="shared" si="104"/>
        <v>25</v>
      </c>
      <c r="AQ326" s="15"/>
      <c r="AR326" s="15">
        <v>0</v>
      </c>
      <c r="AS326" s="15">
        <v>11</v>
      </c>
      <c r="AT326" s="98">
        <f t="shared" si="105"/>
        <v>5.5</v>
      </c>
      <c r="AU326" s="15"/>
      <c r="AV326" s="15"/>
      <c r="AW326" s="15"/>
      <c r="AX326" s="101"/>
    </row>
    <row r="327" spans="1:50" ht="10.199999999999999" customHeight="1" x14ac:dyDescent="0.25">
      <c r="A327" s="14">
        <f t="shared" si="99"/>
        <v>24</v>
      </c>
      <c r="B327" s="102">
        <f t="shared" si="101"/>
        <v>37791</v>
      </c>
      <c r="C327" s="103">
        <v>37784</v>
      </c>
      <c r="D327" s="15"/>
      <c r="E327" s="15"/>
      <c r="F327" s="99"/>
      <c r="G327" s="15"/>
      <c r="H327" s="15"/>
      <c r="I327" s="15"/>
      <c r="J327" s="99"/>
      <c r="K327" s="15"/>
      <c r="L327" s="15"/>
      <c r="M327" s="15"/>
      <c r="N327" s="99"/>
      <c r="O327" s="15"/>
      <c r="P327" s="15"/>
      <c r="Q327" s="15"/>
      <c r="R327" s="99"/>
      <c r="S327" s="15"/>
      <c r="T327" s="15"/>
      <c r="U327" s="15"/>
      <c r="V327" s="99"/>
      <c r="W327" s="15"/>
      <c r="X327" s="15">
        <v>3</v>
      </c>
      <c r="Y327" s="15">
        <v>0</v>
      </c>
      <c r="Z327" s="98">
        <f t="shared" si="98"/>
        <v>1.5</v>
      </c>
      <c r="AA327" s="15"/>
      <c r="AB327" s="15">
        <v>3</v>
      </c>
      <c r="AC327" s="15">
        <v>3</v>
      </c>
      <c r="AD327" s="98">
        <f t="shared" si="100"/>
        <v>3</v>
      </c>
      <c r="AE327" s="15"/>
      <c r="AF327" s="15">
        <v>5</v>
      </c>
      <c r="AG327" s="15">
        <v>7</v>
      </c>
      <c r="AH327" s="98">
        <f t="shared" si="102"/>
        <v>6</v>
      </c>
      <c r="AI327" s="15"/>
      <c r="AJ327" s="15">
        <v>13</v>
      </c>
      <c r="AK327" s="15">
        <v>12</v>
      </c>
      <c r="AL327" s="98">
        <f t="shared" si="103"/>
        <v>12.5</v>
      </c>
      <c r="AM327" s="15"/>
      <c r="AN327" s="15">
        <v>21</v>
      </c>
      <c r="AO327" s="15">
        <v>26</v>
      </c>
      <c r="AP327" s="98">
        <f t="shared" si="104"/>
        <v>23.5</v>
      </c>
      <c r="AQ327" s="15"/>
      <c r="AR327" s="15">
        <v>0</v>
      </c>
      <c r="AS327" s="15">
        <v>10</v>
      </c>
      <c r="AT327" s="98">
        <f t="shared" si="105"/>
        <v>5</v>
      </c>
      <c r="AU327" s="15"/>
      <c r="AV327" s="15"/>
      <c r="AW327" s="15"/>
      <c r="AX327" s="101"/>
    </row>
    <row r="328" spans="1:50" ht="10.199999999999999" customHeight="1" x14ac:dyDescent="0.25">
      <c r="A328" s="14">
        <f t="shared" si="99"/>
        <v>25</v>
      </c>
      <c r="B328" s="102">
        <f t="shared" si="101"/>
        <v>37798</v>
      </c>
      <c r="C328" s="103">
        <v>37791</v>
      </c>
      <c r="D328" s="15"/>
      <c r="E328" s="15"/>
      <c r="F328" s="99"/>
      <c r="G328" s="15"/>
      <c r="H328" s="15"/>
      <c r="I328" s="15"/>
      <c r="J328" s="99"/>
      <c r="K328" s="15"/>
      <c r="L328" s="15"/>
      <c r="M328" s="15"/>
      <c r="N328" s="99"/>
      <c r="O328" s="15"/>
      <c r="P328" s="15"/>
      <c r="Q328" s="15"/>
      <c r="R328" s="99"/>
      <c r="S328" s="15"/>
      <c r="T328" s="15"/>
      <c r="U328" s="15"/>
      <c r="V328" s="99"/>
      <c r="W328" s="15"/>
      <c r="X328" s="15"/>
      <c r="Y328" s="15"/>
      <c r="Z328" s="99"/>
      <c r="AA328" s="15"/>
      <c r="AB328" s="15">
        <v>5</v>
      </c>
      <c r="AC328" s="15">
        <v>15</v>
      </c>
      <c r="AD328" s="98">
        <f t="shared" si="100"/>
        <v>10</v>
      </c>
      <c r="AE328" s="15"/>
      <c r="AF328" s="15">
        <v>11</v>
      </c>
      <c r="AG328" s="15">
        <v>13</v>
      </c>
      <c r="AH328" s="98">
        <f t="shared" si="102"/>
        <v>12</v>
      </c>
      <c r="AI328" s="15"/>
      <c r="AJ328" s="15">
        <v>14</v>
      </c>
      <c r="AK328" s="15">
        <v>17</v>
      </c>
      <c r="AL328" s="98">
        <f t="shared" si="103"/>
        <v>15.5</v>
      </c>
      <c r="AM328" s="15"/>
      <c r="AN328" s="15">
        <v>21</v>
      </c>
      <c r="AO328" s="15">
        <v>26</v>
      </c>
      <c r="AP328" s="98">
        <f t="shared" si="104"/>
        <v>23.5</v>
      </c>
      <c r="AQ328" s="15"/>
      <c r="AR328" s="15">
        <v>3</v>
      </c>
      <c r="AS328" s="15">
        <v>10</v>
      </c>
      <c r="AT328" s="98">
        <f t="shared" si="105"/>
        <v>6.5</v>
      </c>
      <c r="AU328" s="15"/>
      <c r="AV328" s="15">
        <v>1</v>
      </c>
      <c r="AW328" s="15">
        <v>7</v>
      </c>
      <c r="AX328" s="98">
        <f t="shared" ref="AX328:AX349" si="106">AVERAGE(AV328,AW328)</f>
        <v>4</v>
      </c>
    </row>
    <row r="329" spans="1:50" ht="10.199999999999999" customHeight="1" x14ac:dyDescent="0.25">
      <c r="A329" s="14">
        <f t="shared" si="99"/>
        <v>26</v>
      </c>
      <c r="B329" s="102">
        <f t="shared" si="101"/>
        <v>37805</v>
      </c>
      <c r="C329" s="103">
        <v>37798</v>
      </c>
      <c r="D329" s="15"/>
      <c r="E329" s="15"/>
      <c r="F329" s="99"/>
      <c r="G329" s="15"/>
      <c r="H329" s="15"/>
      <c r="I329" s="15"/>
      <c r="J329" s="99"/>
      <c r="K329" s="15"/>
      <c r="L329" s="15"/>
      <c r="M329" s="15"/>
      <c r="N329" s="99"/>
      <c r="O329" s="15"/>
      <c r="P329" s="15"/>
      <c r="Q329" s="15"/>
      <c r="R329" s="99"/>
      <c r="S329" s="15"/>
      <c r="T329" s="15"/>
      <c r="U329" s="15"/>
      <c r="V329" s="99"/>
      <c r="W329" s="15"/>
      <c r="X329" s="15"/>
      <c r="Y329" s="15"/>
      <c r="Z329" s="99"/>
      <c r="AA329" s="15"/>
      <c r="AB329" s="15">
        <v>20</v>
      </c>
      <c r="AC329" s="15">
        <v>9</v>
      </c>
      <c r="AD329" s="98">
        <f t="shared" si="100"/>
        <v>14.5</v>
      </c>
      <c r="AE329" s="15"/>
      <c r="AF329" s="15">
        <v>20</v>
      </c>
      <c r="AG329" s="15">
        <v>11</v>
      </c>
      <c r="AH329" s="98">
        <f t="shared" si="102"/>
        <v>15.5</v>
      </c>
      <c r="AI329" s="15"/>
      <c r="AJ329" s="15">
        <v>26</v>
      </c>
      <c r="AK329" s="15">
        <v>15</v>
      </c>
      <c r="AL329" s="98">
        <f t="shared" si="103"/>
        <v>20.5</v>
      </c>
      <c r="AM329" s="15"/>
      <c r="AN329" s="15">
        <v>30</v>
      </c>
      <c r="AO329" s="15">
        <v>25</v>
      </c>
      <c r="AP329" s="98">
        <f t="shared" si="104"/>
        <v>27.5</v>
      </c>
      <c r="AQ329" s="15"/>
      <c r="AR329" s="15">
        <v>15</v>
      </c>
      <c r="AS329" s="15">
        <v>21</v>
      </c>
      <c r="AT329" s="98">
        <f t="shared" si="105"/>
        <v>18</v>
      </c>
      <c r="AU329" s="15"/>
      <c r="AV329" s="15">
        <v>8</v>
      </c>
      <c r="AW329" s="15">
        <v>13</v>
      </c>
      <c r="AX329" s="98">
        <f t="shared" si="106"/>
        <v>10.5</v>
      </c>
    </row>
    <row r="330" spans="1:50" ht="10.199999999999999" customHeight="1" x14ac:dyDescent="0.25">
      <c r="A330" s="14">
        <f t="shared" si="99"/>
        <v>27</v>
      </c>
      <c r="B330" s="102">
        <f t="shared" si="101"/>
        <v>37812</v>
      </c>
      <c r="C330" s="103">
        <v>37805</v>
      </c>
      <c r="D330" s="13"/>
      <c r="E330" s="13"/>
      <c r="F330" s="97"/>
      <c r="G330" s="13"/>
      <c r="H330" s="13"/>
      <c r="I330" s="13"/>
      <c r="J330" s="97"/>
      <c r="K330" s="13"/>
      <c r="L330" s="13"/>
      <c r="M330" s="13"/>
      <c r="N330" s="97"/>
      <c r="O330" s="13"/>
      <c r="P330" s="13"/>
      <c r="Q330" s="13"/>
      <c r="R330" s="97"/>
      <c r="S330" s="13"/>
      <c r="T330" s="13"/>
      <c r="U330" s="13"/>
      <c r="V330" s="97"/>
      <c r="W330" s="13"/>
      <c r="X330" s="13"/>
      <c r="Y330" s="13"/>
      <c r="Z330" s="97"/>
      <c r="AA330" s="13"/>
      <c r="AB330" s="15">
        <v>40</v>
      </c>
      <c r="AC330" s="15">
        <v>14</v>
      </c>
      <c r="AD330" s="98">
        <f t="shared" si="100"/>
        <v>27</v>
      </c>
      <c r="AE330" s="15"/>
      <c r="AF330" s="15">
        <v>46</v>
      </c>
      <c r="AG330" s="15">
        <v>25</v>
      </c>
      <c r="AH330" s="98">
        <f t="shared" si="102"/>
        <v>35.5</v>
      </c>
      <c r="AI330" s="15"/>
      <c r="AJ330" s="15">
        <v>48</v>
      </c>
      <c r="AK330" s="15">
        <v>24</v>
      </c>
      <c r="AL330" s="98">
        <f t="shared" si="103"/>
        <v>36</v>
      </c>
      <c r="AM330" s="15"/>
      <c r="AN330" s="15">
        <v>47</v>
      </c>
      <c r="AO330" s="15">
        <v>32</v>
      </c>
      <c r="AP330" s="98">
        <f t="shared" si="104"/>
        <v>39.5</v>
      </c>
      <c r="AQ330" s="15"/>
      <c r="AR330" s="15">
        <v>25</v>
      </c>
      <c r="AS330" s="15">
        <v>20</v>
      </c>
      <c r="AT330" s="98">
        <f t="shared" si="105"/>
        <v>22.5</v>
      </c>
      <c r="AU330" s="15"/>
      <c r="AV330" s="15">
        <v>15</v>
      </c>
      <c r="AW330" s="15">
        <v>12</v>
      </c>
      <c r="AX330" s="98">
        <f t="shared" si="106"/>
        <v>13.5</v>
      </c>
    </row>
    <row r="331" spans="1:50" ht="10.199999999999999" customHeight="1" x14ac:dyDescent="0.25">
      <c r="A331" s="14">
        <f t="shared" si="99"/>
        <v>28</v>
      </c>
      <c r="B331" s="102">
        <f t="shared" si="101"/>
        <v>37819</v>
      </c>
      <c r="C331" s="103">
        <v>37812</v>
      </c>
      <c r="D331" s="13"/>
      <c r="E331" s="13"/>
      <c r="F331" s="97"/>
      <c r="G331" s="13"/>
      <c r="H331" s="13"/>
      <c r="I331" s="13"/>
      <c r="J331" s="97"/>
      <c r="K331" s="13"/>
      <c r="L331" s="13"/>
      <c r="M331" s="13"/>
      <c r="N331" s="97"/>
      <c r="O331" s="13"/>
      <c r="P331" s="13"/>
      <c r="Q331" s="13"/>
      <c r="R331" s="97"/>
      <c r="S331" s="13"/>
      <c r="T331" s="13"/>
      <c r="U331" s="13"/>
      <c r="V331" s="97"/>
      <c r="W331" s="13"/>
      <c r="X331" s="13"/>
      <c r="Y331" s="13"/>
      <c r="Z331" s="97"/>
      <c r="AA331" s="13"/>
      <c r="AB331" s="15">
        <v>94</v>
      </c>
      <c r="AC331" s="15">
        <v>0</v>
      </c>
      <c r="AD331" s="98">
        <f t="shared" si="100"/>
        <v>47</v>
      </c>
      <c r="AE331" s="15"/>
      <c r="AF331" s="15">
        <v>67</v>
      </c>
      <c r="AG331" s="15">
        <v>33</v>
      </c>
      <c r="AH331" s="98">
        <f t="shared" si="102"/>
        <v>50</v>
      </c>
      <c r="AI331" s="15"/>
      <c r="AJ331" s="15">
        <v>65</v>
      </c>
      <c r="AK331" s="15">
        <v>31</v>
      </c>
      <c r="AL331" s="98">
        <f t="shared" si="103"/>
        <v>48</v>
      </c>
      <c r="AM331" s="15"/>
      <c r="AN331" s="15">
        <v>64</v>
      </c>
      <c r="AO331" s="15">
        <v>35</v>
      </c>
      <c r="AP331" s="98">
        <f t="shared" si="104"/>
        <v>49.5</v>
      </c>
      <c r="AQ331" s="15"/>
      <c r="AR331" s="15">
        <v>23</v>
      </c>
      <c r="AS331" s="15">
        <v>21</v>
      </c>
      <c r="AT331" s="98">
        <f t="shared" si="105"/>
        <v>22</v>
      </c>
      <c r="AU331" s="15"/>
      <c r="AV331" s="15">
        <v>14</v>
      </c>
      <c r="AW331" s="15">
        <v>11</v>
      </c>
      <c r="AX331" s="98">
        <f t="shared" si="106"/>
        <v>12.5</v>
      </c>
    </row>
    <row r="332" spans="1:50" ht="10.199999999999999" customHeight="1" x14ac:dyDescent="0.25">
      <c r="A332" s="14">
        <f t="shared" si="99"/>
        <v>29</v>
      </c>
      <c r="B332" s="102">
        <f t="shared" si="101"/>
        <v>37826</v>
      </c>
      <c r="C332" s="103">
        <v>37819</v>
      </c>
      <c r="D332" s="13">
        <v>6</v>
      </c>
      <c r="E332" s="13">
        <v>5</v>
      </c>
      <c r="F332" s="48">
        <f t="shared" ref="F332:F353" si="107">AVERAGE(D332,E332)</f>
        <v>5.5</v>
      </c>
      <c r="G332" s="13"/>
      <c r="H332" s="13"/>
      <c r="I332" s="13"/>
      <c r="J332" s="97"/>
      <c r="K332" s="13"/>
      <c r="L332" s="13"/>
      <c r="M332" s="13"/>
      <c r="N332" s="97"/>
      <c r="O332" s="13"/>
      <c r="P332" s="13"/>
      <c r="Q332" s="13"/>
      <c r="R332" s="97"/>
      <c r="S332" s="13"/>
      <c r="T332" s="13"/>
      <c r="U332" s="13"/>
      <c r="V332" s="97"/>
      <c r="W332" s="13"/>
      <c r="X332" s="13"/>
      <c r="Y332" s="13"/>
      <c r="Z332" s="97"/>
      <c r="AA332" s="13"/>
      <c r="AB332" s="15"/>
      <c r="AC332" s="15"/>
      <c r="AD332" s="99"/>
      <c r="AE332" s="15"/>
      <c r="AF332" s="15">
        <v>97</v>
      </c>
      <c r="AG332" s="15">
        <v>33</v>
      </c>
      <c r="AH332" s="98">
        <f t="shared" si="102"/>
        <v>65</v>
      </c>
      <c r="AI332" s="15"/>
      <c r="AJ332" s="15">
        <v>86</v>
      </c>
      <c r="AK332" s="15">
        <v>31</v>
      </c>
      <c r="AL332" s="98">
        <f t="shared" si="103"/>
        <v>58.5</v>
      </c>
      <c r="AM332" s="15"/>
      <c r="AN332" s="15">
        <v>84</v>
      </c>
      <c r="AO332" s="15">
        <v>35</v>
      </c>
      <c r="AP332" s="98">
        <f t="shared" si="104"/>
        <v>59.5</v>
      </c>
      <c r="AQ332" s="15"/>
      <c r="AR332" s="15">
        <v>28</v>
      </c>
      <c r="AS332" s="15">
        <v>25</v>
      </c>
      <c r="AT332" s="98">
        <f t="shared" si="105"/>
        <v>26.5</v>
      </c>
      <c r="AU332" s="15"/>
      <c r="AV332" s="15">
        <v>15</v>
      </c>
      <c r="AW332" s="15">
        <v>13</v>
      </c>
      <c r="AX332" s="98">
        <f t="shared" si="106"/>
        <v>14</v>
      </c>
    </row>
    <row r="333" spans="1:50" ht="10.199999999999999" customHeight="1" x14ac:dyDescent="0.25">
      <c r="A333" s="14">
        <f t="shared" si="99"/>
        <v>30</v>
      </c>
      <c r="B333" s="102">
        <f t="shared" si="101"/>
        <v>37833</v>
      </c>
      <c r="C333" s="103">
        <v>37826</v>
      </c>
      <c r="D333" s="13">
        <v>6</v>
      </c>
      <c r="E333" s="13">
        <v>5</v>
      </c>
      <c r="F333" s="48">
        <f t="shared" si="107"/>
        <v>5.5</v>
      </c>
      <c r="G333" s="13"/>
      <c r="H333" s="13"/>
      <c r="I333" s="13"/>
      <c r="J333" s="97"/>
      <c r="K333" s="13"/>
      <c r="L333" s="13"/>
      <c r="M333" s="13"/>
      <c r="N333" s="97"/>
      <c r="O333" s="13"/>
      <c r="P333" s="13"/>
      <c r="Q333" s="13"/>
      <c r="R333" s="97"/>
      <c r="S333" s="13"/>
      <c r="T333" s="13"/>
      <c r="U333" s="13"/>
      <c r="V333" s="97"/>
      <c r="W333" s="13"/>
      <c r="X333" s="13"/>
      <c r="Y333" s="13"/>
      <c r="Z333" s="97"/>
      <c r="AA333" s="13"/>
      <c r="AB333" s="15"/>
      <c r="AC333" s="15"/>
      <c r="AD333" s="99"/>
      <c r="AE333" s="15"/>
      <c r="AF333" s="15">
        <v>102</v>
      </c>
      <c r="AG333" s="15">
        <v>9</v>
      </c>
      <c r="AH333" s="98">
        <f t="shared" si="102"/>
        <v>55.5</v>
      </c>
      <c r="AI333" s="15"/>
      <c r="AJ333" s="15">
        <v>88</v>
      </c>
      <c r="AK333" s="15">
        <v>29</v>
      </c>
      <c r="AL333" s="98">
        <f t="shared" si="103"/>
        <v>58.5</v>
      </c>
      <c r="AM333" s="15"/>
      <c r="AN333" s="15">
        <v>90</v>
      </c>
      <c r="AO333" s="15">
        <v>38</v>
      </c>
      <c r="AP333" s="98">
        <f t="shared" si="104"/>
        <v>64</v>
      </c>
      <c r="AQ333" s="15"/>
      <c r="AR333" s="15">
        <v>36</v>
      </c>
      <c r="AS333" s="15">
        <v>26</v>
      </c>
      <c r="AT333" s="98">
        <f t="shared" si="105"/>
        <v>31</v>
      </c>
      <c r="AU333" s="15"/>
      <c r="AV333" s="15">
        <v>15</v>
      </c>
      <c r="AW333" s="15">
        <v>13</v>
      </c>
      <c r="AX333" s="98">
        <f t="shared" si="106"/>
        <v>14</v>
      </c>
    </row>
    <row r="334" spans="1:50" ht="10.199999999999999" customHeight="1" x14ac:dyDescent="0.25">
      <c r="A334" s="14">
        <f t="shared" si="99"/>
        <v>31</v>
      </c>
      <c r="B334" s="102">
        <f t="shared" si="101"/>
        <v>37840</v>
      </c>
      <c r="C334" s="103">
        <v>37833</v>
      </c>
      <c r="D334" s="13">
        <v>6</v>
      </c>
      <c r="E334" s="13">
        <v>5</v>
      </c>
      <c r="F334" s="48">
        <f t="shared" si="107"/>
        <v>5.5</v>
      </c>
      <c r="G334" s="13"/>
      <c r="H334" s="13"/>
      <c r="I334" s="13"/>
      <c r="J334" s="97"/>
      <c r="K334" s="13"/>
      <c r="L334" s="13"/>
      <c r="M334" s="13"/>
      <c r="N334" s="97"/>
      <c r="O334" s="13"/>
      <c r="P334" s="13"/>
      <c r="Q334" s="13"/>
      <c r="R334" s="97"/>
      <c r="S334" s="13"/>
      <c r="T334" s="13"/>
      <c r="U334" s="13"/>
      <c r="V334" s="97"/>
      <c r="W334" s="13"/>
      <c r="X334" s="13"/>
      <c r="Y334" s="13"/>
      <c r="Z334" s="97"/>
      <c r="AA334" s="13"/>
      <c r="AB334" s="15"/>
      <c r="AC334" s="15"/>
      <c r="AD334" s="99"/>
      <c r="AE334" s="15"/>
      <c r="AF334" s="15">
        <v>125</v>
      </c>
      <c r="AG334" s="15">
        <v>6</v>
      </c>
      <c r="AH334" s="98">
        <f t="shared" si="102"/>
        <v>65.5</v>
      </c>
      <c r="AI334" s="15"/>
      <c r="AJ334" s="15">
        <v>98</v>
      </c>
      <c r="AK334" s="15">
        <v>12</v>
      </c>
      <c r="AL334" s="98">
        <f t="shared" si="103"/>
        <v>55</v>
      </c>
      <c r="AM334" s="15"/>
      <c r="AN334" s="15">
        <v>77</v>
      </c>
      <c r="AO334" s="15">
        <v>33</v>
      </c>
      <c r="AP334" s="98">
        <f t="shared" si="104"/>
        <v>55</v>
      </c>
      <c r="AQ334" s="15"/>
      <c r="AR334" s="15">
        <v>38</v>
      </c>
      <c r="AS334" s="15">
        <v>21</v>
      </c>
      <c r="AT334" s="98">
        <f t="shared" si="105"/>
        <v>29.5</v>
      </c>
      <c r="AU334" s="15"/>
      <c r="AV334" s="15">
        <v>15</v>
      </c>
      <c r="AW334" s="15">
        <v>13</v>
      </c>
      <c r="AX334" s="98">
        <f t="shared" si="106"/>
        <v>14</v>
      </c>
    </row>
    <row r="335" spans="1:50" ht="10.199999999999999" customHeight="1" x14ac:dyDescent="0.25">
      <c r="A335" s="14">
        <f t="shared" si="99"/>
        <v>32</v>
      </c>
      <c r="B335" s="102">
        <f t="shared" si="101"/>
        <v>37847</v>
      </c>
      <c r="C335" s="103">
        <v>37840</v>
      </c>
      <c r="D335" s="13">
        <v>6</v>
      </c>
      <c r="E335" s="13">
        <v>5</v>
      </c>
      <c r="F335" s="48">
        <f t="shared" si="107"/>
        <v>5.5</v>
      </c>
      <c r="G335" s="13"/>
      <c r="H335" s="13"/>
      <c r="I335" s="13"/>
      <c r="J335" s="97"/>
      <c r="K335" s="13"/>
      <c r="L335" s="13"/>
      <c r="M335" s="13"/>
      <c r="N335" s="97"/>
      <c r="O335" s="13"/>
      <c r="P335" s="13"/>
      <c r="Q335" s="13"/>
      <c r="R335" s="97"/>
      <c r="S335" s="13"/>
      <c r="T335" s="13"/>
      <c r="U335" s="13"/>
      <c r="V335" s="97"/>
      <c r="W335" s="13"/>
      <c r="X335" s="13"/>
      <c r="Y335" s="13"/>
      <c r="Z335" s="97"/>
      <c r="AA335" s="13"/>
      <c r="AB335" s="15"/>
      <c r="AC335" s="15"/>
      <c r="AD335" s="99"/>
      <c r="AE335" s="15"/>
      <c r="AF335" s="15">
        <v>125</v>
      </c>
      <c r="AG335" s="15">
        <v>0</v>
      </c>
      <c r="AH335" s="98">
        <f t="shared" si="102"/>
        <v>62.5</v>
      </c>
      <c r="AI335" s="15"/>
      <c r="AJ335" s="15">
        <v>120</v>
      </c>
      <c r="AK335" s="15">
        <v>10</v>
      </c>
      <c r="AL335" s="98">
        <f t="shared" si="103"/>
        <v>65</v>
      </c>
      <c r="AM335" s="15"/>
      <c r="AN335" s="15">
        <v>84</v>
      </c>
      <c r="AO335" s="15">
        <v>31</v>
      </c>
      <c r="AP335" s="98">
        <f t="shared" si="104"/>
        <v>57.5</v>
      </c>
      <c r="AQ335" s="15"/>
      <c r="AR335" s="15">
        <v>31</v>
      </c>
      <c r="AS335" s="15">
        <v>21</v>
      </c>
      <c r="AT335" s="98">
        <f t="shared" si="105"/>
        <v>26</v>
      </c>
      <c r="AU335" s="15"/>
      <c r="AV335" s="15">
        <v>13</v>
      </c>
      <c r="AW335" s="15">
        <v>13</v>
      </c>
      <c r="AX335" s="98">
        <f t="shared" si="106"/>
        <v>13</v>
      </c>
    </row>
    <row r="336" spans="1:50" ht="10.199999999999999" customHeight="1" x14ac:dyDescent="0.25">
      <c r="A336" s="14">
        <f t="shared" si="99"/>
        <v>33</v>
      </c>
      <c r="B336" s="102">
        <f t="shared" si="101"/>
        <v>37854</v>
      </c>
      <c r="C336" s="103">
        <v>37847</v>
      </c>
      <c r="D336" s="14">
        <v>6</v>
      </c>
      <c r="E336" s="14">
        <v>5</v>
      </c>
      <c r="F336" s="48">
        <f t="shared" si="107"/>
        <v>5.5</v>
      </c>
      <c r="G336" s="14"/>
      <c r="H336" s="14">
        <v>6</v>
      </c>
      <c r="I336" s="14">
        <v>5</v>
      </c>
      <c r="J336" s="48">
        <f t="shared" ref="J336:J358" si="108">AVERAGE(H336,I336)</f>
        <v>5.5</v>
      </c>
      <c r="K336" s="14"/>
      <c r="L336" s="14"/>
      <c r="M336" s="14"/>
      <c r="N336" s="48"/>
      <c r="O336" s="14"/>
      <c r="P336" s="14"/>
      <c r="Q336" s="14"/>
      <c r="R336" s="48"/>
      <c r="S336" s="14"/>
      <c r="T336" s="14"/>
      <c r="U336" s="14"/>
      <c r="V336" s="48"/>
      <c r="W336" s="14"/>
      <c r="X336" s="14"/>
      <c r="Y336" s="14"/>
      <c r="Z336" s="48"/>
      <c r="AA336" s="14"/>
      <c r="AB336" s="47"/>
      <c r="AC336" s="47"/>
      <c r="AD336" s="98"/>
      <c r="AE336" s="47"/>
      <c r="AF336" s="47"/>
      <c r="AG336" s="47"/>
      <c r="AH336" s="98"/>
      <c r="AI336" s="47"/>
      <c r="AJ336" s="47">
        <v>132</v>
      </c>
      <c r="AK336" s="47">
        <v>16</v>
      </c>
      <c r="AL336" s="98">
        <f t="shared" si="103"/>
        <v>74</v>
      </c>
      <c r="AM336" s="47"/>
      <c r="AN336" s="47">
        <v>109</v>
      </c>
      <c r="AO336" s="47">
        <v>23</v>
      </c>
      <c r="AP336" s="98">
        <f t="shared" si="104"/>
        <v>66</v>
      </c>
      <c r="AQ336" s="47"/>
      <c r="AR336" s="47">
        <v>32</v>
      </c>
      <c r="AS336" s="47">
        <v>15</v>
      </c>
      <c r="AT336" s="98">
        <f t="shared" si="105"/>
        <v>23.5</v>
      </c>
      <c r="AU336" s="47"/>
      <c r="AV336" s="47">
        <v>16</v>
      </c>
      <c r="AW336" s="47">
        <v>12</v>
      </c>
      <c r="AX336" s="98">
        <f t="shared" si="106"/>
        <v>14</v>
      </c>
    </row>
    <row r="337" spans="1:50" ht="10.199999999999999" customHeight="1" x14ac:dyDescent="0.25">
      <c r="A337" s="14">
        <f t="shared" ref="A337:A355" si="109">+A336+1</f>
        <v>34</v>
      </c>
      <c r="B337" s="102">
        <f t="shared" si="101"/>
        <v>37861</v>
      </c>
      <c r="C337" s="103">
        <v>37854</v>
      </c>
      <c r="D337" s="14">
        <v>6</v>
      </c>
      <c r="E337" s="14">
        <v>5</v>
      </c>
      <c r="F337" s="48">
        <f t="shared" si="107"/>
        <v>5.5</v>
      </c>
      <c r="G337" s="14"/>
      <c r="H337" s="14">
        <v>6</v>
      </c>
      <c r="I337" s="14">
        <v>5</v>
      </c>
      <c r="J337" s="48">
        <f t="shared" si="108"/>
        <v>5.5</v>
      </c>
      <c r="K337" s="14"/>
      <c r="L337" s="14">
        <v>6</v>
      </c>
      <c r="M337" s="14">
        <v>5</v>
      </c>
      <c r="N337" s="48">
        <f t="shared" ref="N337:N362" si="110">AVERAGE(L337,M337)</f>
        <v>5.5</v>
      </c>
      <c r="O337" s="14"/>
      <c r="P337" s="14"/>
      <c r="Q337" s="14"/>
      <c r="R337" s="48"/>
      <c r="S337" s="14"/>
      <c r="T337" s="14"/>
      <c r="U337" s="14"/>
      <c r="V337" s="48"/>
      <c r="W337" s="14"/>
      <c r="X337" s="14"/>
      <c r="Y337" s="14"/>
      <c r="Z337" s="48"/>
      <c r="AA337" s="14"/>
      <c r="AB337" s="47"/>
      <c r="AC337" s="47"/>
      <c r="AD337" s="98"/>
      <c r="AE337" s="47"/>
      <c r="AF337" s="47"/>
      <c r="AG337" s="47"/>
      <c r="AH337" s="98"/>
      <c r="AI337" s="47"/>
      <c r="AJ337" s="47"/>
      <c r="AK337" s="47"/>
      <c r="AL337" s="98"/>
      <c r="AM337" s="47"/>
      <c r="AN337" s="47">
        <v>101</v>
      </c>
      <c r="AO337" s="47">
        <v>30</v>
      </c>
      <c r="AP337" s="98">
        <f t="shared" si="104"/>
        <v>65.5</v>
      </c>
      <c r="AQ337" s="47"/>
      <c r="AR337" s="47">
        <v>26</v>
      </c>
      <c r="AS337" s="47">
        <v>17</v>
      </c>
      <c r="AT337" s="98">
        <f t="shared" si="105"/>
        <v>21.5</v>
      </c>
      <c r="AU337" s="47"/>
      <c r="AV337" s="47">
        <v>16</v>
      </c>
      <c r="AW337" s="47">
        <v>14</v>
      </c>
      <c r="AX337" s="98">
        <f t="shared" si="106"/>
        <v>15</v>
      </c>
    </row>
    <row r="338" spans="1:50" ht="10.199999999999999" customHeight="1" x14ac:dyDescent="0.25">
      <c r="A338" s="14">
        <f t="shared" si="109"/>
        <v>35</v>
      </c>
      <c r="B338" s="102">
        <f t="shared" si="101"/>
        <v>37868</v>
      </c>
      <c r="C338" s="103">
        <v>37861</v>
      </c>
      <c r="D338" s="14">
        <v>5</v>
      </c>
      <c r="E338" s="14">
        <v>5</v>
      </c>
      <c r="F338" s="48">
        <f t="shared" si="107"/>
        <v>5</v>
      </c>
      <c r="G338" s="14"/>
      <c r="H338" s="14">
        <v>5</v>
      </c>
      <c r="I338" s="14">
        <v>5</v>
      </c>
      <c r="J338" s="48">
        <f t="shared" si="108"/>
        <v>5</v>
      </c>
      <c r="K338" s="14"/>
      <c r="L338" s="14">
        <v>5</v>
      </c>
      <c r="M338" s="14">
        <v>5</v>
      </c>
      <c r="N338" s="48">
        <f t="shared" si="110"/>
        <v>5</v>
      </c>
      <c r="O338" s="14"/>
      <c r="P338" s="14"/>
      <c r="Q338" s="14"/>
      <c r="R338" s="48"/>
      <c r="S338" s="14"/>
      <c r="T338" s="14"/>
      <c r="U338" s="14"/>
      <c r="V338" s="48"/>
      <c r="W338" s="14"/>
      <c r="X338" s="14"/>
      <c r="Y338" s="14"/>
      <c r="Z338" s="48"/>
      <c r="AA338" s="14"/>
      <c r="AB338" s="47"/>
      <c r="AC338" s="47"/>
      <c r="AD338" s="98"/>
      <c r="AE338" s="47"/>
      <c r="AF338" s="47"/>
      <c r="AG338" s="47"/>
      <c r="AH338" s="98"/>
      <c r="AI338" s="47"/>
      <c r="AJ338" s="47"/>
      <c r="AK338" s="47"/>
      <c r="AL338" s="98"/>
      <c r="AM338" s="47"/>
      <c r="AN338" s="47">
        <v>116</v>
      </c>
      <c r="AO338" s="47">
        <v>43</v>
      </c>
      <c r="AP338" s="98">
        <f t="shared" si="104"/>
        <v>79.5</v>
      </c>
      <c r="AQ338" s="47"/>
      <c r="AR338" s="47">
        <v>35</v>
      </c>
      <c r="AS338" s="47">
        <v>20</v>
      </c>
      <c r="AT338" s="98">
        <f t="shared" si="105"/>
        <v>27.5</v>
      </c>
      <c r="AU338" s="47"/>
      <c r="AV338" s="47">
        <v>16</v>
      </c>
      <c r="AW338" s="47">
        <v>16</v>
      </c>
      <c r="AX338" s="98">
        <f t="shared" si="106"/>
        <v>16</v>
      </c>
    </row>
    <row r="339" spans="1:50" ht="10.199999999999999" customHeight="1" x14ac:dyDescent="0.25">
      <c r="A339" s="14">
        <f t="shared" si="109"/>
        <v>36</v>
      </c>
      <c r="B339" s="102">
        <f t="shared" si="101"/>
        <v>37875</v>
      </c>
      <c r="C339" s="103">
        <v>37868</v>
      </c>
      <c r="D339" s="47">
        <v>6</v>
      </c>
      <c r="E339" s="47">
        <v>5</v>
      </c>
      <c r="F339" s="98">
        <f t="shared" si="107"/>
        <v>5.5</v>
      </c>
      <c r="G339" s="47"/>
      <c r="H339" s="47">
        <v>5</v>
      </c>
      <c r="I339" s="47">
        <v>5</v>
      </c>
      <c r="J339" s="98">
        <f t="shared" si="108"/>
        <v>5</v>
      </c>
      <c r="K339" s="47"/>
      <c r="L339" s="47">
        <v>5</v>
      </c>
      <c r="M339" s="47">
        <v>5</v>
      </c>
      <c r="N339" s="98">
        <f t="shared" si="110"/>
        <v>5</v>
      </c>
      <c r="O339" s="47"/>
      <c r="P339" s="47"/>
      <c r="Q339" s="47"/>
      <c r="R339" s="98"/>
      <c r="S339" s="47"/>
      <c r="T339" s="47"/>
      <c r="U339" s="47"/>
      <c r="V339" s="98"/>
      <c r="W339" s="47"/>
      <c r="X339" s="47"/>
      <c r="Y339" s="47"/>
      <c r="Z339" s="98"/>
      <c r="AA339" s="14"/>
      <c r="AB339" s="47"/>
      <c r="AC339" s="47"/>
      <c r="AD339" s="98"/>
      <c r="AE339" s="47"/>
      <c r="AF339" s="47"/>
      <c r="AG339" s="47"/>
      <c r="AH339" s="98"/>
      <c r="AI339" s="47"/>
      <c r="AJ339" s="47"/>
      <c r="AK339" s="47"/>
      <c r="AL339" s="98"/>
      <c r="AM339" s="47"/>
      <c r="AN339" s="47">
        <v>73</v>
      </c>
      <c r="AO339" s="47">
        <v>30</v>
      </c>
      <c r="AP339" s="98">
        <f t="shared" si="104"/>
        <v>51.5</v>
      </c>
      <c r="AQ339" s="47"/>
      <c r="AR339" s="47">
        <v>26</v>
      </c>
      <c r="AS339" s="47">
        <v>15</v>
      </c>
      <c r="AT339" s="98">
        <f t="shared" si="105"/>
        <v>20.5</v>
      </c>
      <c r="AU339" s="47"/>
      <c r="AV339" s="47">
        <v>16</v>
      </c>
      <c r="AW339" s="47">
        <v>11</v>
      </c>
      <c r="AX339" s="98">
        <f t="shared" si="106"/>
        <v>13.5</v>
      </c>
    </row>
    <row r="340" spans="1:50" ht="10.199999999999999" customHeight="1" x14ac:dyDescent="0.25">
      <c r="A340" s="14">
        <f t="shared" si="109"/>
        <v>37</v>
      </c>
      <c r="B340" s="102">
        <f t="shared" si="101"/>
        <v>37882</v>
      </c>
      <c r="C340" s="103">
        <v>37875</v>
      </c>
      <c r="D340" s="47">
        <v>13</v>
      </c>
      <c r="E340" s="47">
        <v>10</v>
      </c>
      <c r="F340" s="98">
        <f t="shared" si="107"/>
        <v>11.5</v>
      </c>
      <c r="G340" s="47"/>
      <c r="H340" s="47">
        <v>5</v>
      </c>
      <c r="I340" s="47">
        <v>5</v>
      </c>
      <c r="J340" s="98">
        <f t="shared" si="108"/>
        <v>5</v>
      </c>
      <c r="K340" s="47"/>
      <c r="L340" s="47">
        <v>5</v>
      </c>
      <c r="M340" s="47">
        <v>5</v>
      </c>
      <c r="N340" s="98">
        <f t="shared" si="110"/>
        <v>5</v>
      </c>
      <c r="O340" s="47"/>
      <c r="P340" s="47"/>
      <c r="Q340" s="47"/>
      <c r="R340" s="98"/>
      <c r="S340" s="47"/>
      <c r="T340" s="47"/>
      <c r="U340" s="47"/>
      <c r="V340" s="98"/>
      <c r="W340" s="47"/>
      <c r="X340" s="47"/>
      <c r="Y340" s="47"/>
      <c r="Z340" s="98"/>
      <c r="AA340" s="14"/>
      <c r="AB340" s="47"/>
      <c r="AC340" s="47"/>
      <c r="AD340" s="98"/>
      <c r="AE340" s="47"/>
      <c r="AF340" s="47"/>
      <c r="AG340" s="47"/>
      <c r="AH340" s="98"/>
      <c r="AI340" s="47"/>
      <c r="AJ340" s="47"/>
      <c r="AK340" s="47"/>
      <c r="AL340" s="98"/>
      <c r="AM340" s="47"/>
      <c r="AN340" s="47">
        <v>46</v>
      </c>
      <c r="AO340" s="47">
        <v>43</v>
      </c>
      <c r="AP340" s="98">
        <f t="shared" si="104"/>
        <v>44.5</v>
      </c>
      <c r="AQ340" s="47"/>
      <c r="AR340" s="47">
        <v>22</v>
      </c>
      <c r="AS340" s="47">
        <v>13</v>
      </c>
      <c r="AT340" s="98">
        <f t="shared" si="105"/>
        <v>17.5</v>
      </c>
      <c r="AU340" s="47"/>
      <c r="AV340" s="47">
        <v>14</v>
      </c>
      <c r="AW340" s="47">
        <v>11</v>
      </c>
      <c r="AX340" s="98">
        <f t="shared" si="106"/>
        <v>12.5</v>
      </c>
    </row>
    <row r="341" spans="1:50" ht="10.199999999999999" customHeight="1" x14ac:dyDescent="0.25">
      <c r="A341" s="14">
        <f t="shared" si="109"/>
        <v>38</v>
      </c>
      <c r="B341" s="102">
        <f t="shared" ref="B341:B372" si="111">+B340+7</f>
        <v>37889</v>
      </c>
      <c r="C341" s="103">
        <v>37882</v>
      </c>
      <c r="D341" s="47">
        <v>13</v>
      </c>
      <c r="E341" s="47">
        <v>10</v>
      </c>
      <c r="F341" s="98">
        <f t="shared" si="107"/>
        <v>11.5</v>
      </c>
      <c r="G341" s="47"/>
      <c r="H341" s="47">
        <v>6</v>
      </c>
      <c r="I341" s="47">
        <v>5</v>
      </c>
      <c r="J341" s="98">
        <f t="shared" si="108"/>
        <v>5.5</v>
      </c>
      <c r="K341" s="47"/>
      <c r="L341" s="47">
        <v>6</v>
      </c>
      <c r="M341" s="47">
        <v>5</v>
      </c>
      <c r="N341" s="98">
        <f t="shared" si="110"/>
        <v>5.5</v>
      </c>
      <c r="O341" s="47"/>
      <c r="P341" s="47">
        <v>3</v>
      </c>
      <c r="Q341" s="47"/>
      <c r="R341" s="98">
        <f t="shared" ref="R341:R366" si="112">AVERAGE(P341,Q341)</f>
        <v>3</v>
      </c>
      <c r="S341" s="47"/>
      <c r="T341" s="47"/>
      <c r="U341" s="47"/>
      <c r="V341" s="98"/>
      <c r="W341" s="47"/>
      <c r="X341" s="47"/>
      <c r="Y341" s="47"/>
      <c r="Z341" s="98"/>
      <c r="AA341" s="14"/>
      <c r="AB341" s="47"/>
      <c r="AC341" s="47"/>
      <c r="AD341" s="98"/>
      <c r="AE341" s="47"/>
      <c r="AF341" s="47"/>
      <c r="AG341" s="47"/>
      <c r="AH341" s="98"/>
      <c r="AI341" s="47"/>
      <c r="AJ341" s="47"/>
      <c r="AK341" s="47"/>
      <c r="AL341" s="98"/>
      <c r="AM341" s="47"/>
      <c r="AN341" s="47"/>
      <c r="AO341" s="47"/>
      <c r="AP341" s="98"/>
      <c r="AQ341" s="47"/>
      <c r="AR341" s="47">
        <v>14</v>
      </c>
      <c r="AS341" s="47">
        <v>21</v>
      </c>
      <c r="AT341" s="98">
        <f t="shared" si="105"/>
        <v>17.5</v>
      </c>
      <c r="AU341" s="47"/>
      <c r="AV341" s="47">
        <v>13</v>
      </c>
      <c r="AW341" s="47">
        <v>11</v>
      </c>
      <c r="AX341" s="98">
        <f t="shared" si="106"/>
        <v>12</v>
      </c>
    </row>
    <row r="342" spans="1:50" ht="10.199999999999999" customHeight="1" x14ac:dyDescent="0.25">
      <c r="A342" s="14">
        <f t="shared" si="109"/>
        <v>39</v>
      </c>
      <c r="B342" s="102">
        <f t="shared" si="111"/>
        <v>37896</v>
      </c>
      <c r="C342" s="103">
        <v>37889</v>
      </c>
      <c r="D342" s="47">
        <v>3</v>
      </c>
      <c r="E342" s="47">
        <v>8</v>
      </c>
      <c r="F342" s="98">
        <f t="shared" si="107"/>
        <v>5.5</v>
      </c>
      <c r="G342" s="47"/>
      <c r="H342" s="47">
        <v>-3</v>
      </c>
      <c r="I342" s="47">
        <v>3</v>
      </c>
      <c r="J342" s="98">
        <f t="shared" si="108"/>
        <v>0</v>
      </c>
      <c r="K342" s="47"/>
      <c r="L342" s="47">
        <v>-3</v>
      </c>
      <c r="M342" s="47">
        <v>3</v>
      </c>
      <c r="N342" s="98">
        <f t="shared" si="110"/>
        <v>0</v>
      </c>
      <c r="O342" s="47"/>
      <c r="P342" s="47">
        <v>-5</v>
      </c>
      <c r="Q342" s="47"/>
      <c r="R342" s="98">
        <f t="shared" si="112"/>
        <v>-5</v>
      </c>
      <c r="S342" s="47"/>
      <c r="T342" s="47"/>
      <c r="U342" s="47"/>
      <c r="V342" s="98"/>
      <c r="W342" s="47"/>
      <c r="X342" s="47"/>
      <c r="Y342" s="47"/>
      <c r="Z342" s="98"/>
      <c r="AA342" s="14"/>
      <c r="AB342" s="47"/>
      <c r="AC342" s="47"/>
      <c r="AD342" s="98"/>
      <c r="AE342" s="47"/>
      <c r="AF342" s="47"/>
      <c r="AG342" s="47"/>
      <c r="AH342" s="98"/>
      <c r="AI342" s="47"/>
      <c r="AJ342" s="47"/>
      <c r="AK342" s="47"/>
      <c r="AL342" s="98"/>
      <c r="AM342" s="47"/>
      <c r="AN342" s="47"/>
      <c r="AO342" s="47"/>
      <c r="AP342" s="98"/>
      <c r="AQ342" s="47"/>
      <c r="AR342" s="47">
        <v>1</v>
      </c>
      <c r="AS342" s="47">
        <v>11</v>
      </c>
      <c r="AT342" s="98">
        <f t="shared" si="105"/>
        <v>6</v>
      </c>
      <c r="AU342" s="47"/>
      <c r="AV342" s="47">
        <v>1</v>
      </c>
      <c r="AW342" s="47">
        <v>8</v>
      </c>
      <c r="AX342" s="98">
        <f t="shared" si="106"/>
        <v>4.5</v>
      </c>
    </row>
    <row r="343" spans="1:50" ht="10.199999999999999" customHeight="1" x14ac:dyDescent="0.25">
      <c r="A343" s="14">
        <f t="shared" si="109"/>
        <v>40</v>
      </c>
      <c r="B343" s="102">
        <f t="shared" si="111"/>
        <v>37903</v>
      </c>
      <c r="C343" s="103">
        <v>37896</v>
      </c>
      <c r="D343" s="47">
        <v>-4</v>
      </c>
      <c r="E343" s="47">
        <v>5</v>
      </c>
      <c r="F343" s="98">
        <f t="shared" si="107"/>
        <v>0.5</v>
      </c>
      <c r="G343" s="47"/>
      <c r="H343" s="47">
        <v>-4</v>
      </c>
      <c r="I343" s="47">
        <v>3</v>
      </c>
      <c r="J343" s="98">
        <f t="shared" si="108"/>
        <v>-0.5</v>
      </c>
      <c r="K343" s="47"/>
      <c r="L343" s="47">
        <v>-4</v>
      </c>
      <c r="M343" s="47">
        <v>3</v>
      </c>
      <c r="N343" s="98">
        <f t="shared" si="110"/>
        <v>-0.5</v>
      </c>
      <c r="O343" s="47"/>
      <c r="P343" s="47">
        <v>-6</v>
      </c>
      <c r="Q343" s="47"/>
      <c r="R343" s="98">
        <f t="shared" si="112"/>
        <v>-6</v>
      </c>
      <c r="S343" s="47"/>
      <c r="T343" s="47"/>
      <c r="U343" s="47"/>
      <c r="V343" s="98"/>
      <c r="W343" s="47"/>
      <c r="X343" s="47"/>
      <c r="Y343" s="47"/>
      <c r="Z343" s="98"/>
      <c r="AA343" s="14"/>
      <c r="AB343" s="47"/>
      <c r="AC343" s="47"/>
      <c r="AD343" s="98"/>
      <c r="AE343" s="47"/>
      <c r="AF343" s="47"/>
      <c r="AG343" s="47"/>
      <c r="AH343" s="98"/>
      <c r="AI343" s="47"/>
      <c r="AJ343" s="47"/>
      <c r="AK343" s="47"/>
      <c r="AL343" s="98"/>
      <c r="AM343" s="47"/>
      <c r="AN343" s="47"/>
      <c r="AO343" s="47"/>
      <c r="AP343" s="98"/>
      <c r="AQ343" s="47"/>
      <c r="AR343" s="47">
        <v>-11</v>
      </c>
      <c r="AS343" s="47">
        <v>6</v>
      </c>
      <c r="AT343" s="98">
        <f t="shared" si="105"/>
        <v>-2.5</v>
      </c>
      <c r="AU343" s="47"/>
      <c r="AV343" s="47">
        <v>-4</v>
      </c>
      <c r="AW343" s="47">
        <v>5</v>
      </c>
      <c r="AX343" s="98">
        <f t="shared" si="106"/>
        <v>0.5</v>
      </c>
    </row>
    <row r="344" spans="1:50" ht="10.199999999999999" customHeight="1" x14ac:dyDescent="0.25">
      <c r="A344" s="14">
        <f t="shared" si="109"/>
        <v>41</v>
      </c>
      <c r="B344" s="102">
        <f t="shared" si="111"/>
        <v>37910</v>
      </c>
      <c r="C344" s="103">
        <v>37903</v>
      </c>
      <c r="D344" s="47">
        <v>-9</v>
      </c>
      <c r="E344" s="47">
        <v>4</v>
      </c>
      <c r="F344" s="98">
        <f t="shared" si="107"/>
        <v>-2.5</v>
      </c>
      <c r="G344" s="47"/>
      <c r="H344" s="47">
        <v>-9</v>
      </c>
      <c r="I344" s="47">
        <v>1</v>
      </c>
      <c r="J344" s="98">
        <f t="shared" si="108"/>
        <v>-4</v>
      </c>
      <c r="K344" s="47"/>
      <c r="L344" s="47">
        <v>-9</v>
      </c>
      <c r="M344" s="47">
        <v>1</v>
      </c>
      <c r="N344" s="98">
        <f t="shared" si="110"/>
        <v>-4</v>
      </c>
      <c r="O344" s="47"/>
      <c r="P344" s="47">
        <v>-6</v>
      </c>
      <c r="Q344" s="47"/>
      <c r="R344" s="98">
        <f t="shared" si="112"/>
        <v>-6</v>
      </c>
      <c r="S344" s="47"/>
      <c r="T344" s="47"/>
      <c r="U344" s="47"/>
      <c r="V344" s="98"/>
      <c r="W344" s="47"/>
      <c r="X344" s="47"/>
      <c r="Y344" s="47"/>
      <c r="Z344" s="98"/>
      <c r="AA344" s="14"/>
      <c r="AB344" s="47"/>
      <c r="AC344" s="47"/>
      <c r="AD344" s="98"/>
      <c r="AE344" s="47"/>
      <c r="AF344" s="47"/>
      <c r="AG344" s="47"/>
      <c r="AH344" s="98"/>
      <c r="AI344" s="47"/>
      <c r="AJ344" s="47"/>
      <c r="AK344" s="47"/>
      <c r="AL344" s="98"/>
      <c r="AM344" s="47"/>
      <c r="AN344" s="47"/>
      <c r="AO344" s="47"/>
      <c r="AP344" s="98"/>
      <c r="AQ344" s="47"/>
      <c r="AR344" s="47">
        <v>-11</v>
      </c>
      <c r="AS344" s="47">
        <v>5</v>
      </c>
      <c r="AT344" s="98">
        <f t="shared" si="105"/>
        <v>-3</v>
      </c>
      <c r="AU344" s="47"/>
      <c r="AV344" s="47">
        <v>-14</v>
      </c>
      <c r="AW344" s="47">
        <v>4</v>
      </c>
      <c r="AX344" s="98">
        <f t="shared" si="106"/>
        <v>-5</v>
      </c>
    </row>
    <row r="345" spans="1:50" ht="10.199999999999999" customHeight="1" x14ac:dyDescent="0.25">
      <c r="A345" s="14">
        <f t="shared" si="109"/>
        <v>42</v>
      </c>
      <c r="B345" s="102">
        <f t="shared" si="111"/>
        <v>37917</v>
      </c>
      <c r="C345" s="103">
        <v>37910</v>
      </c>
      <c r="D345" s="47">
        <v>-5</v>
      </c>
      <c r="E345" s="47">
        <v>-3</v>
      </c>
      <c r="F345" s="98">
        <f t="shared" si="107"/>
        <v>-4</v>
      </c>
      <c r="G345" s="47"/>
      <c r="H345" s="47">
        <v>-5</v>
      </c>
      <c r="I345" s="47">
        <v>1</v>
      </c>
      <c r="J345" s="98">
        <f t="shared" si="108"/>
        <v>-2</v>
      </c>
      <c r="K345" s="47"/>
      <c r="L345" s="47">
        <v>-5</v>
      </c>
      <c r="M345" s="47">
        <v>1</v>
      </c>
      <c r="N345" s="98">
        <f t="shared" si="110"/>
        <v>-2</v>
      </c>
      <c r="O345" s="47"/>
      <c r="P345" s="47">
        <v>-4</v>
      </c>
      <c r="Q345" s="47"/>
      <c r="R345" s="98">
        <f t="shared" si="112"/>
        <v>-4</v>
      </c>
      <c r="S345" s="47"/>
      <c r="T345" s="47"/>
      <c r="U345" s="47"/>
      <c r="V345" s="98"/>
      <c r="W345" s="47"/>
      <c r="X345" s="47"/>
      <c r="Y345" s="47"/>
      <c r="Z345" s="98"/>
      <c r="AA345" s="14"/>
      <c r="AB345" s="47"/>
      <c r="AC345" s="47"/>
      <c r="AD345" s="98"/>
      <c r="AE345" s="47"/>
      <c r="AF345" s="47"/>
      <c r="AG345" s="47"/>
      <c r="AH345" s="98"/>
      <c r="AI345" s="47"/>
      <c r="AJ345" s="47"/>
      <c r="AK345" s="47"/>
      <c r="AL345" s="98"/>
      <c r="AM345" s="47"/>
      <c r="AN345" s="47"/>
      <c r="AO345" s="47"/>
      <c r="AP345" s="98"/>
      <c r="AQ345" s="47"/>
      <c r="AR345" s="47"/>
      <c r="AS345" s="47"/>
      <c r="AT345" s="98"/>
      <c r="AU345" s="47"/>
      <c r="AV345" s="47">
        <v>3</v>
      </c>
      <c r="AW345" s="47">
        <v>0</v>
      </c>
      <c r="AX345" s="98">
        <f t="shared" si="106"/>
        <v>1.5</v>
      </c>
    </row>
    <row r="346" spans="1:50" ht="10.199999999999999" customHeight="1" x14ac:dyDescent="0.25">
      <c r="A346" s="14">
        <f t="shared" si="109"/>
        <v>43</v>
      </c>
      <c r="B346" s="102">
        <f t="shared" si="111"/>
        <v>37924</v>
      </c>
      <c r="C346" s="103">
        <v>37917</v>
      </c>
      <c r="D346" s="47">
        <v>4</v>
      </c>
      <c r="E346" s="47">
        <v>6</v>
      </c>
      <c r="F346" s="98">
        <f t="shared" si="107"/>
        <v>5</v>
      </c>
      <c r="G346" s="47"/>
      <c r="H346" s="47">
        <v>4</v>
      </c>
      <c r="I346" s="47">
        <v>3</v>
      </c>
      <c r="J346" s="98">
        <f t="shared" si="108"/>
        <v>3.5</v>
      </c>
      <c r="K346" s="47"/>
      <c r="L346" s="47">
        <v>4</v>
      </c>
      <c r="M346" s="47">
        <v>3</v>
      </c>
      <c r="N346" s="98">
        <f t="shared" si="110"/>
        <v>3.5</v>
      </c>
      <c r="O346" s="47"/>
      <c r="P346" s="47">
        <v>0</v>
      </c>
      <c r="Q346" s="47"/>
      <c r="R346" s="98">
        <f t="shared" si="112"/>
        <v>0</v>
      </c>
      <c r="S346" s="47"/>
      <c r="T346" s="47"/>
      <c r="U346" s="47"/>
      <c r="V346" s="98"/>
      <c r="W346" s="47"/>
      <c r="X346" s="47"/>
      <c r="Y346" s="47"/>
      <c r="Z346" s="98"/>
      <c r="AA346" s="14"/>
      <c r="AB346" s="47"/>
      <c r="AC346" s="47"/>
      <c r="AD346" s="98"/>
      <c r="AE346" s="47"/>
      <c r="AF346" s="47"/>
      <c r="AG346" s="47"/>
      <c r="AH346" s="98"/>
      <c r="AI346" s="47"/>
      <c r="AJ346" s="47"/>
      <c r="AK346" s="47"/>
      <c r="AL346" s="98"/>
      <c r="AM346" s="47"/>
      <c r="AN346" s="47"/>
      <c r="AO346" s="47"/>
      <c r="AP346" s="98"/>
      <c r="AQ346" s="47"/>
      <c r="AR346" s="47"/>
      <c r="AS346" s="47"/>
      <c r="AT346" s="98"/>
      <c r="AU346" s="47"/>
      <c r="AV346" s="47">
        <v>46</v>
      </c>
      <c r="AW346" s="47">
        <v>19</v>
      </c>
      <c r="AX346" s="98">
        <f t="shared" si="106"/>
        <v>32.5</v>
      </c>
    </row>
    <row r="347" spans="1:50" ht="10.199999999999999" customHeight="1" x14ac:dyDescent="0.25">
      <c r="A347" s="14">
        <f t="shared" si="109"/>
        <v>44</v>
      </c>
      <c r="B347" s="102">
        <f t="shared" si="111"/>
        <v>37931</v>
      </c>
      <c r="C347" s="103">
        <v>37924</v>
      </c>
      <c r="D347" s="47">
        <v>45</v>
      </c>
      <c r="E347" s="47">
        <v>42</v>
      </c>
      <c r="F347" s="98">
        <f t="shared" si="107"/>
        <v>43.5</v>
      </c>
      <c r="G347" s="47"/>
      <c r="H347" s="47">
        <v>27</v>
      </c>
      <c r="I347" s="47">
        <v>15</v>
      </c>
      <c r="J347" s="98">
        <f t="shared" si="108"/>
        <v>21</v>
      </c>
      <c r="K347" s="47"/>
      <c r="L347" s="47">
        <v>6</v>
      </c>
      <c r="M347" s="47">
        <v>8</v>
      </c>
      <c r="N347" s="98">
        <f t="shared" si="110"/>
        <v>7</v>
      </c>
      <c r="O347" s="47"/>
      <c r="P347" s="47">
        <v>-5</v>
      </c>
      <c r="Q347" s="47"/>
      <c r="R347" s="98">
        <f t="shared" si="112"/>
        <v>-5</v>
      </c>
      <c r="S347" s="47"/>
      <c r="T347" s="47">
        <v>1</v>
      </c>
      <c r="U347" s="47"/>
      <c r="V347" s="98">
        <f t="shared" ref="V347:V371" si="113">AVERAGE(T347,U347)</f>
        <v>1</v>
      </c>
      <c r="W347" s="47"/>
      <c r="X347" s="47"/>
      <c r="Y347" s="47"/>
      <c r="Z347" s="98"/>
      <c r="AA347" s="14"/>
      <c r="AB347" s="47"/>
      <c r="AC347" s="47"/>
      <c r="AD347" s="98"/>
      <c r="AE347" s="47"/>
      <c r="AF347" s="47"/>
      <c r="AG347" s="47"/>
      <c r="AH347" s="98"/>
      <c r="AI347" s="47"/>
      <c r="AJ347" s="47"/>
      <c r="AK347" s="47"/>
      <c r="AL347" s="98"/>
      <c r="AM347" s="47"/>
      <c r="AN347" s="47"/>
      <c r="AO347" s="47"/>
      <c r="AP347" s="98"/>
      <c r="AQ347" s="47"/>
      <c r="AR347" s="47"/>
      <c r="AS347" s="47"/>
      <c r="AT347" s="98"/>
      <c r="AU347" s="47"/>
      <c r="AV347" s="47">
        <v>135</v>
      </c>
      <c r="AW347" s="47">
        <v>100</v>
      </c>
      <c r="AX347" s="98">
        <f t="shared" si="106"/>
        <v>117.5</v>
      </c>
    </row>
    <row r="348" spans="1:50" ht="10.199999999999999" customHeight="1" x14ac:dyDescent="0.25">
      <c r="A348" s="14">
        <f t="shared" si="109"/>
        <v>45</v>
      </c>
      <c r="B348" s="102">
        <f t="shared" si="111"/>
        <v>37938</v>
      </c>
      <c r="C348" s="103">
        <v>37931</v>
      </c>
      <c r="D348" s="47">
        <v>52</v>
      </c>
      <c r="E348" s="47">
        <v>42</v>
      </c>
      <c r="F348" s="98">
        <f t="shared" si="107"/>
        <v>47</v>
      </c>
      <c r="G348" s="47"/>
      <c r="H348" s="47">
        <v>31</v>
      </c>
      <c r="I348" s="47">
        <v>13</v>
      </c>
      <c r="J348" s="98">
        <f t="shared" si="108"/>
        <v>22</v>
      </c>
      <c r="K348" s="47"/>
      <c r="L348" s="47">
        <v>6</v>
      </c>
      <c r="M348" s="47">
        <v>8</v>
      </c>
      <c r="N348" s="98">
        <f t="shared" si="110"/>
        <v>7</v>
      </c>
      <c r="O348" s="47"/>
      <c r="P348" s="47">
        <v>-5</v>
      </c>
      <c r="Q348" s="47"/>
      <c r="R348" s="98">
        <f t="shared" si="112"/>
        <v>-5</v>
      </c>
      <c r="S348" s="47"/>
      <c r="T348" s="47">
        <v>1</v>
      </c>
      <c r="U348" s="47"/>
      <c r="V348" s="98">
        <f t="shared" si="113"/>
        <v>1</v>
      </c>
      <c r="W348" s="47"/>
      <c r="X348" s="47"/>
      <c r="Y348" s="47"/>
      <c r="Z348" s="98"/>
      <c r="AA348" s="14"/>
      <c r="AB348" s="14"/>
      <c r="AC348" s="14"/>
      <c r="AD348" s="48"/>
      <c r="AE348" s="14"/>
      <c r="AF348" s="14"/>
      <c r="AG348" s="14"/>
      <c r="AH348" s="48"/>
      <c r="AI348" s="14"/>
      <c r="AJ348" s="14"/>
      <c r="AK348" s="14"/>
      <c r="AL348" s="48"/>
      <c r="AM348" s="14"/>
      <c r="AN348" s="14"/>
      <c r="AO348" s="14"/>
      <c r="AP348" s="48"/>
      <c r="AQ348" s="14"/>
      <c r="AR348" s="14"/>
      <c r="AS348" s="14"/>
      <c r="AT348" s="48"/>
      <c r="AU348" s="14"/>
      <c r="AV348" s="14">
        <v>155</v>
      </c>
      <c r="AW348" s="14">
        <v>91</v>
      </c>
      <c r="AX348" s="48">
        <f t="shared" si="106"/>
        <v>123</v>
      </c>
    </row>
    <row r="349" spans="1:50" ht="10.199999999999999" customHeight="1" x14ac:dyDescent="0.25">
      <c r="A349" s="14">
        <f t="shared" si="109"/>
        <v>46</v>
      </c>
      <c r="B349" s="102">
        <f t="shared" si="111"/>
        <v>37945</v>
      </c>
      <c r="C349" s="103">
        <v>37938</v>
      </c>
      <c r="D349" s="47">
        <v>185</v>
      </c>
      <c r="E349" s="47">
        <v>84</v>
      </c>
      <c r="F349" s="98">
        <f t="shared" si="107"/>
        <v>134.5</v>
      </c>
      <c r="G349" s="47"/>
      <c r="H349" s="47">
        <v>89</v>
      </c>
      <c r="I349" s="47">
        <v>34</v>
      </c>
      <c r="J349" s="98">
        <f t="shared" si="108"/>
        <v>61.5</v>
      </c>
      <c r="K349" s="47"/>
      <c r="L349" s="47">
        <v>55</v>
      </c>
      <c r="M349" s="47">
        <v>31</v>
      </c>
      <c r="N349" s="98">
        <f t="shared" si="110"/>
        <v>43</v>
      </c>
      <c r="O349" s="47"/>
      <c r="P349" s="47">
        <v>-1</v>
      </c>
      <c r="Q349" s="47">
        <v>6</v>
      </c>
      <c r="R349" s="98">
        <f t="shared" si="112"/>
        <v>2.5</v>
      </c>
      <c r="S349" s="47"/>
      <c r="T349" s="47">
        <v>1</v>
      </c>
      <c r="U349" s="47">
        <v>6</v>
      </c>
      <c r="V349" s="98">
        <f t="shared" si="113"/>
        <v>3.5</v>
      </c>
      <c r="W349" s="47"/>
      <c r="X349" s="47"/>
      <c r="Y349" s="47"/>
      <c r="Z349" s="98"/>
      <c r="AA349" s="14"/>
      <c r="AB349" s="14"/>
      <c r="AC349" s="14"/>
      <c r="AD349" s="48"/>
      <c r="AE349" s="14"/>
      <c r="AF349" s="14"/>
      <c r="AG349" s="14"/>
      <c r="AH349" s="48"/>
      <c r="AI349" s="14"/>
      <c r="AJ349" s="14"/>
      <c r="AK349" s="14"/>
      <c r="AL349" s="48"/>
      <c r="AM349" s="14"/>
      <c r="AN349" s="14"/>
      <c r="AO349" s="14"/>
      <c r="AP349" s="48"/>
      <c r="AQ349" s="14"/>
      <c r="AR349" s="14"/>
      <c r="AS349" s="14"/>
      <c r="AT349" s="48"/>
      <c r="AU349" s="14"/>
      <c r="AV349" s="14">
        <v>334</v>
      </c>
      <c r="AW349" s="14">
        <v>126</v>
      </c>
      <c r="AX349" s="48">
        <f t="shared" si="106"/>
        <v>230</v>
      </c>
    </row>
    <row r="350" spans="1:50" ht="10.199999999999999" customHeight="1" x14ac:dyDescent="0.25">
      <c r="A350" s="14">
        <f t="shared" si="109"/>
        <v>47</v>
      </c>
      <c r="B350" s="102">
        <f t="shared" si="111"/>
        <v>37952</v>
      </c>
      <c r="C350" s="103">
        <v>37945</v>
      </c>
      <c r="D350" s="47">
        <v>203</v>
      </c>
      <c r="E350" s="47">
        <v>96</v>
      </c>
      <c r="F350" s="98">
        <f t="shared" si="107"/>
        <v>149.5</v>
      </c>
      <c r="G350" s="47"/>
      <c r="H350" s="47">
        <v>108</v>
      </c>
      <c r="I350" s="47">
        <v>60</v>
      </c>
      <c r="J350" s="98">
        <f t="shared" si="108"/>
        <v>84</v>
      </c>
      <c r="K350" s="47"/>
      <c r="L350" s="47">
        <v>71</v>
      </c>
      <c r="M350" s="47">
        <v>41</v>
      </c>
      <c r="N350" s="98">
        <f t="shared" si="110"/>
        <v>56</v>
      </c>
      <c r="O350" s="47"/>
      <c r="P350" s="47">
        <v>6</v>
      </c>
      <c r="Q350" s="47">
        <v>3</v>
      </c>
      <c r="R350" s="98">
        <f t="shared" si="112"/>
        <v>4.5</v>
      </c>
      <c r="S350" s="47"/>
      <c r="T350" s="47">
        <v>6</v>
      </c>
      <c r="U350" s="47">
        <v>3</v>
      </c>
      <c r="V350" s="98">
        <f t="shared" si="113"/>
        <v>4.5</v>
      </c>
      <c r="W350" s="47"/>
      <c r="X350" s="47">
        <v>6</v>
      </c>
      <c r="Y350" s="47">
        <v>3</v>
      </c>
      <c r="Z350" s="98">
        <f t="shared" ref="Z350:Z375" si="114">AVERAGE(X350,Y350)</f>
        <v>4.5</v>
      </c>
      <c r="AA350" s="14"/>
      <c r="AB350" s="14"/>
      <c r="AC350" s="14"/>
      <c r="AD350" s="48"/>
      <c r="AE350" s="14"/>
      <c r="AF350" s="14"/>
      <c r="AG350" s="14"/>
      <c r="AH350" s="48"/>
      <c r="AI350" s="14"/>
      <c r="AJ350" s="14"/>
      <c r="AK350" s="14"/>
      <c r="AL350" s="48"/>
      <c r="AM350" s="14"/>
      <c r="AN350" s="14"/>
      <c r="AO350" s="14"/>
      <c r="AP350" s="48"/>
      <c r="AQ350" s="14"/>
      <c r="AR350" s="14"/>
      <c r="AS350" s="14"/>
      <c r="AT350" s="48"/>
      <c r="AU350" s="14"/>
      <c r="AV350" s="14"/>
      <c r="AW350" s="14"/>
      <c r="AX350" s="49"/>
    </row>
    <row r="351" spans="1:50" ht="10.199999999999999" customHeight="1" x14ac:dyDescent="0.25">
      <c r="A351" s="14">
        <f t="shared" si="109"/>
        <v>48</v>
      </c>
      <c r="B351" s="102">
        <f t="shared" si="111"/>
        <v>37959</v>
      </c>
      <c r="C351" s="103">
        <v>37952</v>
      </c>
      <c r="D351" s="47">
        <v>223</v>
      </c>
      <c r="E351" s="47">
        <v>128</v>
      </c>
      <c r="F351" s="98">
        <f t="shared" si="107"/>
        <v>175.5</v>
      </c>
      <c r="G351" s="47"/>
      <c r="H351" s="47">
        <v>140</v>
      </c>
      <c r="I351" s="47">
        <v>70</v>
      </c>
      <c r="J351" s="98">
        <f t="shared" si="108"/>
        <v>105</v>
      </c>
      <c r="K351" s="47"/>
      <c r="L351" s="47">
        <v>70</v>
      </c>
      <c r="M351" s="47">
        <v>51</v>
      </c>
      <c r="N351" s="98">
        <f t="shared" si="110"/>
        <v>60.5</v>
      </c>
      <c r="O351" s="47"/>
      <c r="P351" s="47">
        <v>19</v>
      </c>
      <c r="Q351" s="47">
        <v>6</v>
      </c>
      <c r="R351" s="98">
        <f t="shared" si="112"/>
        <v>12.5</v>
      </c>
      <c r="S351" s="47"/>
      <c r="T351" s="47">
        <v>19</v>
      </c>
      <c r="U351" s="47">
        <v>6</v>
      </c>
      <c r="V351" s="98">
        <f t="shared" si="113"/>
        <v>12.5</v>
      </c>
      <c r="W351" s="47"/>
      <c r="X351" s="47">
        <v>6</v>
      </c>
      <c r="Y351" s="47">
        <v>6</v>
      </c>
      <c r="Z351" s="98">
        <f t="shared" si="114"/>
        <v>6</v>
      </c>
      <c r="AA351" s="14"/>
      <c r="AB351" s="14"/>
      <c r="AC351" s="14"/>
      <c r="AD351" s="48"/>
      <c r="AE351" s="14"/>
      <c r="AF351" s="14"/>
      <c r="AG351" s="14"/>
      <c r="AH351" s="48"/>
      <c r="AI351" s="14"/>
      <c r="AJ351" s="14"/>
      <c r="AK351" s="14"/>
      <c r="AL351" s="48"/>
      <c r="AM351" s="14"/>
      <c r="AN351" s="14"/>
      <c r="AO351" s="14"/>
      <c r="AP351" s="48"/>
      <c r="AQ351" s="14"/>
      <c r="AR351" s="14"/>
      <c r="AS351" s="14"/>
      <c r="AT351" s="48"/>
      <c r="AU351" s="14"/>
      <c r="AV351" s="14"/>
      <c r="AW351" s="14"/>
      <c r="AX351" s="49"/>
    </row>
    <row r="352" spans="1:50" ht="10.199999999999999" customHeight="1" x14ac:dyDescent="0.25">
      <c r="A352" s="14">
        <f t="shared" si="109"/>
        <v>49</v>
      </c>
      <c r="B352" s="102">
        <f t="shared" si="111"/>
        <v>37966</v>
      </c>
      <c r="C352" s="103">
        <v>37959</v>
      </c>
      <c r="D352" s="47">
        <v>225</v>
      </c>
      <c r="E352" s="47">
        <v>165</v>
      </c>
      <c r="F352" s="98">
        <f t="shared" si="107"/>
        <v>195</v>
      </c>
      <c r="G352" s="47"/>
      <c r="H352" s="47">
        <v>138</v>
      </c>
      <c r="I352" s="47">
        <v>71</v>
      </c>
      <c r="J352" s="98">
        <f t="shared" si="108"/>
        <v>104.5</v>
      </c>
      <c r="K352" s="47"/>
      <c r="L352" s="47">
        <v>72</v>
      </c>
      <c r="M352" s="47">
        <v>48</v>
      </c>
      <c r="N352" s="98">
        <f t="shared" si="110"/>
        <v>60</v>
      </c>
      <c r="O352" s="47"/>
      <c r="P352" s="47">
        <v>15</v>
      </c>
      <c r="Q352" s="47">
        <v>4</v>
      </c>
      <c r="R352" s="98">
        <f t="shared" si="112"/>
        <v>9.5</v>
      </c>
      <c r="S352" s="47"/>
      <c r="T352" s="47">
        <v>7</v>
      </c>
      <c r="U352" s="47">
        <v>5</v>
      </c>
      <c r="V352" s="98">
        <f t="shared" si="113"/>
        <v>6</v>
      </c>
      <c r="W352" s="47"/>
      <c r="X352" s="47">
        <v>5</v>
      </c>
      <c r="Y352" s="47">
        <v>6</v>
      </c>
      <c r="Z352" s="98">
        <f t="shared" si="114"/>
        <v>5.5</v>
      </c>
      <c r="AA352" s="14"/>
      <c r="AB352" s="14"/>
      <c r="AC352" s="14"/>
      <c r="AD352" s="48"/>
      <c r="AE352" s="14"/>
      <c r="AF352" s="14"/>
      <c r="AG352" s="14"/>
      <c r="AH352" s="48"/>
      <c r="AI352" s="14"/>
      <c r="AJ352" s="14"/>
      <c r="AK352" s="14"/>
      <c r="AL352" s="48"/>
      <c r="AM352" s="14"/>
      <c r="AN352" s="14"/>
      <c r="AO352" s="14"/>
      <c r="AP352" s="48"/>
      <c r="AQ352" s="14"/>
      <c r="AR352" s="14"/>
      <c r="AS352" s="14"/>
      <c r="AT352" s="48"/>
      <c r="AU352" s="14"/>
      <c r="AV352" s="14"/>
      <c r="AW352" s="14"/>
      <c r="AX352" s="49"/>
    </row>
    <row r="353" spans="1:50" ht="10.199999999999999" customHeight="1" x14ac:dyDescent="0.25">
      <c r="A353" s="14">
        <f t="shared" si="109"/>
        <v>50</v>
      </c>
      <c r="B353" s="102">
        <f t="shared" si="111"/>
        <v>37973</v>
      </c>
      <c r="C353" s="103">
        <v>37966</v>
      </c>
      <c r="D353" s="47">
        <v>140</v>
      </c>
      <c r="E353" s="47">
        <v>120</v>
      </c>
      <c r="F353" s="98">
        <f t="shared" si="107"/>
        <v>130</v>
      </c>
      <c r="G353" s="47"/>
      <c r="H353" s="47">
        <v>88</v>
      </c>
      <c r="I353" s="47">
        <v>69</v>
      </c>
      <c r="J353" s="98">
        <f t="shared" si="108"/>
        <v>78.5</v>
      </c>
      <c r="K353" s="47"/>
      <c r="L353" s="47">
        <v>53</v>
      </c>
      <c r="M353" s="47">
        <v>30</v>
      </c>
      <c r="N353" s="98">
        <f t="shared" si="110"/>
        <v>41.5</v>
      </c>
      <c r="O353" s="47"/>
      <c r="P353" s="47">
        <v>10</v>
      </c>
      <c r="Q353" s="47">
        <v>10</v>
      </c>
      <c r="R353" s="98">
        <f t="shared" si="112"/>
        <v>10</v>
      </c>
      <c r="S353" s="47"/>
      <c r="T353" s="47">
        <v>6</v>
      </c>
      <c r="U353" s="47">
        <v>3</v>
      </c>
      <c r="V353" s="98">
        <f t="shared" si="113"/>
        <v>4.5</v>
      </c>
      <c r="W353" s="47"/>
      <c r="X353" s="47">
        <v>4</v>
      </c>
      <c r="Y353" s="47">
        <v>5</v>
      </c>
      <c r="Z353" s="98">
        <f t="shared" si="114"/>
        <v>4.5</v>
      </c>
      <c r="AA353" s="14"/>
      <c r="AB353" s="14"/>
      <c r="AC353" s="14"/>
      <c r="AD353" s="48"/>
      <c r="AE353" s="14"/>
      <c r="AF353" s="14"/>
      <c r="AG353" s="14"/>
      <c r="AH353" s="48"/>
      <c r="AI353" s="14"/>
      <c r="AJ353" s="14"/>
      <c r="AK353" s="14"/>
      <c r="AL353" s="48"/>
      <c r="AM353" s="14"/>
      <c r="AN353" s="14"/>
      <c r="AO353" s="14"/>
      <c r="AP353" s="48"/>
      <c r="AQ353" s="14"/>
      <c r="AR353" s="14"/>
      <c r="AS353" s="14"/>
      <c r="AT353" s="48"/>
      <c r="AU353" s="14"/>
      <c r="AV353" s="14"/>
      <c r="AW353" s="14"/>
      <c r="AX353" s="49"/>
    </row>
    <row r="354" spans="1:50" ht="10.199999999999999" customHeight="1" x14ac:dyDescent="0.25">
      <c r="A354" s="14">
        <f t="shared" si="109"/>
        <v>51</v>
      </c>
      <c r="B354" s="102">
        <f t="shared" si="111"/>
        <v>37980</v>
      </c>
      <c r="C354" s="103">
        <v>37973</v>
      </c>
      <c r="D354" s="47"/>
      <c r="E354" s="47"/>
      <c r="F354" s="98"/>
      <c r="G354" s="47"/>
      <c r="H354" s="47">
        <v>131</v>
      </c>
      <c r="I354" s="47">
        <v>53</v>
      </c>
      <c r="J354" s="98">
        <f t="shared" si="108"/>
        <v>92</v>
      </c>
      <c r="K354" s="47"/>
      <c r="L354" s="47">
        <v>46</v>
      </c>
      <c r="M354" s="47">
        <v>35</v>
      </c>
      <c r="N354" s="98">
        <f t="shared" si="110"/>
        <v>40.5</v>
      </c>
      <c r="O354" s="47"/>
      <c r="P354" s="47">
        <v>4</v>
      </c>
      <c r="Q354" s="47">
        <v>9</v>
      </c>
      <c r="R354" s="98">
        <f t="shared" si="112"/>
        <v>6.5</v>
      </c>
      <c r="S354" s="47"/>
      <c r="T354" s="47">
        <v>3</v>
      </c>
      <c r="U354" s="47">
        <v>3</v>
      </c>
      <c r="V354" s="98">
        <f t="shared" si="113"/>
        <v>3</v>
      </c>
      <c r="W354" s="47"/>
      <c r="X354" s="47">
        <v>3</v>
      </c>
      <c r="Y354" s="47">
        <v>3</v>
      </c>
      <c r="Z354" s="98">
        <f t="shared" si="114"/>
        <v>3</v>
      </c>
      <c r="AA354" s="14"/>
      <c r="AB354" s="14"/>
      <c r="AC354" s="14"/>
      <c r="AD354" s="48"/>
      <c r="AE354" s="14"/>
      <c r="AF354" s="14"/>
      <c r="AG354" s="14"/>
      <c r="AH354" s="48"/>
      <c r="AI354" s="14"/>
      <c r="AJ354" s="14"/>
      <c r="AK354" s="14"/>
      <c r="AL354" s="48"/>
      <c r="AM354" s="14"/>
      <c r="AN354" s="14"/>
      <c r="AO354" s="14"/>
      <c r="AP354" s="48"/>
      <c r="AQ354" s="14"/>
      <c r="AR354" s="14"/>
      <c r="AS354" s="14"/>
      <c r="AT354" s="48"/>
      <c r="AU354" s="14"/>
      <c r="AV354" s="14"/>
      <c r="AW354" s="14"/>
      <c r="AX354" s="49"/>
    </row>
    <row r="355" spans="1:50" ht="10.199999999999999" customHeight="1" x14ac:dyDescent="0.25">
      <c r="A355" s="14">
        <f t="shared" si="109"/>
        <v>52</v>
      </c>
      <c r="B355" s="102">
        <f t="shared" si="111"/>
        <v>37987</v>
      </c>
      <c r="C355" s="103">
        <v>37980</v>
      </c>
      <c r="D355" s="47"/>
      <c r="E355" s="47"/>
      <c r="F355" s="98"/>
      <c r="G355" s="47"/>
      <c r="H355" s="47">
        <v>96</v>
      </c>
      <c r="I355" s="47">
        <v>65</v>
      </c>
      <c r="J355" s="98">
        <f t="shared" si="108"/>
        <v>80.5</v>
      </c>
      <c r="K355" s="47"/>
      <c r="L355" s="47">
        <v>56</v>
      </c>
      <c r="M355" s="47">
        <v>40</v>
      </c>
      <c r="N355" s="98">
        <f t="shared" si="110"/>
        <v>48</v>
      </c>
      <c r="O355" s="47"/>
      <c r="P355" s="47">
        <v>4</v>
      </c>
      <c r="Q355" s="47">
        <v>9</v>
      </c>
      <c r="R355" s="98">
        <f t="shared" si="112"/>
        <v>6.5</v>
      </c>
      <c r="S355" s="47"/>
      <c r="T355" s="47">
        <v>3</v>
      </c>
      <c r="U355" s="47">
        <v>3</v>
      </c>
      <c r="V355" s="98">
        <f t="shared" si="113"/>
        <v>3</v>
      </c>
      <c r="W355" s="47"/>
      <c r="X355" s="47">
        <v>3</v>
      </c>
      <c r="Y355" s="47">
        <v>4</v>
      </c>
      <c r="Z355" s="98">
        <f t="shared" si="114"/>
        <v>3.5</v>
      </c>
      <c r="AA355" s="14"/>
      <c r="AB355" s="14"/>
      <c r="AC355" s="14">
        <v>5</v>
      </c>
      <c r="AD355" s="48">
        <f t="shared" ref="AD355:AD379" si="115">AVERAGE(AB355,AC355)</f>
        <v>5</v>
      </c>
      <c r="AE355" s="14"/>
      <c r="AF355" s="14"/>
      <c r="AG355" s="14"/>
      <c r="AH355" s="48"/>
      <c r="AI355" s="14"/>
      <c r="AJ355" s="14"/>
      <c r="AK355" s="14"/>
      <c r="AL355" s="48"/>
      <c r="AM355" s="14"/>
      <c r="AN355" s="14"/>
      <c r="AO355" s="14"/>
      <c r="AP355" s="48"/>
      <c r="AQ355" s="14"/>
      <c r="AR355" s="14"/>
      <c r="AS355" s="14"/>
      <c r="AT355" s="48"/>
      <c r="AU355" s="14"/>
      <c r="AV355" s="14"/>
      <c r="AW355" s="14"/>
      <c r="AX355" s="49"/>
    </row>
    <row r="356" spans="1:50" ht="10.199999999999999" customHeight="1" x14ac:dyDescent="0.25">
      <c r="A356" s="14">
        <v>1</v>
      </c>
      <c r="B356" s="102">
        <f t="shared" si="111"/>
        <v>37994</v>
      </c>
      <c r="C356" s="103">
        <v>37987</v>
      </c>
      <c r="D356" s="47"/>
      <c r="E356" s="47"/>
      <c r="F356" s="98"/>
      <c r="G356" s="47"/>
      <c r="H356" s="47">
        <v>99</v>
      </c>
      <c r="I356" s="47">
        <v>64</v>
      </c>
      <c r="J356" s="98">
        <f t="shared" si="108"/>
        <v>81.5</v>
      </c>
      <c r="K356" s="47"/>
      <c r="L356" s="47">
        <v>56</v>
      </c>
      <c r="M356" s="47">
        <v>41</v>
      </c>
      <c r="N356" s="98">
        <f t="shared" si="110"/>
        <v>48.5</v>
      </c>
      <c r="O356" s="47"/>
      <c r="P356" s="47">
        <v>4</v>
      </c>
      <c r="Q356" s="47">
        <v>9</v>
      </c>
      <c r="R356" s="98">
        <f t="shared" si="112"/>
        <v>6.5</v>
      </c>
      <c r="S356" s="47"/>
      <c r="T356" s="47">
        <v>3</v>
      </c>
      <c r="U356" s="47">
        <v>3</v>
      </c>
      <c r="V356" s="98">
        <f t="shared" si="113"/>
        <v>3</v>
      </c>
      <c r="W356" s="47"/>
      <c r="X356" s="47">
        <v>3</v>
      </c>
      <c r="Y356" s="47">
        <v>4</v>
      </c>
      <c r="Z356" s="98">
        <f t="shared" si="114"/>
        <v>3.5</v>
      </c>
      <c r="AA356" s="14"/>
      <c r="AB356" s="14"/>
      <c r="AC356" s="14">
        <v>5</v>
      </c>
      <c r="AD356" s="48">
        <f t="shared" si="115"/>
        <v>5</v>
      </c>
      <c r="AE356" s="14"/>
      <c r="AF356" s="14"/>
      <c r="AG356" s="14"/>
      <c r="AH356" s="48"/>
      <c r="AI356" s="14"/>
      <c r="AJ356" s="14"/>
      <c r="AK356" s="14"/>
      <c r="AL356" s="48"/>
      <c r="AM356" s="14"/>
      <c r="AN356" s="14"/>
      <c r="AO356" s="14"/>
      <c r="AP356" s="48"/>
      <c r="AQ356" s="14"/>
      <c r="AR356" s="14"/>
      <c r="AS356" s="14"/>
      <c r="AT356" s="48"/>
      <c r="AU356" s="14"/>
      <c r="AV356" s="14"/>
      <c r="AW356" s="14"/>
      <c r="AX356" s="49"/>
    </row>
    <row r="357" spans="1:50" ht="10.199999999999999" customHeight="1" x14ac:dyDescent="0.25">
      <c r="A357" s="14">
        <f t="shared" ref="A357:A388" si="116">+A356+1</f>
        <v>2</v>
      </c>
      <c r="B357" s="102">
        <f t="shared" si="111"/>
        <v>38001</v>
      </c>
      <c r="C357" s="103">
        <v>37994</v>
      </c>
      <c r="D357" s="47"/>
      <c r="E357" s="47"/>
      <c r="F357" s="98"/>
      <c r="G357" s="47"/>
      <c r="H357" s="47">
        <v>35</v>
      </c>
      <c r="I357" s="47">
        <v>30</v>
      </c>
      <c r="J357" s="98">
        <f t="shared" si="108"/>
        <v>32.5</v>
      </c>
      <c r="K357" s="47"/>
      <c r="L357" s="47">
        <v>10</v>
      </c>
      <c r="M357" s="47">
        <v>18</v>
      </c>
      <c r="N357" s="98">
        <f t="shared" si="110"/>
        <v>14</v>
      </c>
      <c r="O357" s="47"/>
      <c r="P357" s="47">
        <v>-6</v>
      </c>
      <c r="Q357" s="47">
        <v>-5</v>
      </c>
      <c r="R357" s="98">
        <f t="shared" si="112"/>
        <v>-5.5</v>
      </c>
      <c r="S357" s="47"/>
      <c r="T357" s="47">
        <v>-8</v>
      </c>
      <c r="U357" s="47">
        <v>-5</v>
      </c>
      <c r="V357" s="98">
        <f t="shared" si="113"/>
        <v>-6.5</v>
      </c>
      <c r="W357" s="47"/>
      <c r="X357" s="47">
        <v>3</v>
      </c>
      <c r="Y357" s="47">
        <v>1</v>
      </c>
      <c r="Z357" s="98">
        <f t="shared" si="114"/>
        <v>2</v>
      </c>
      <c r="AA357" s="14"/>
      <c r="AB357" s="14"/>
      <c r="AC357" s="14">
        <v>10</v>
      </c>
      <c r="AD357" s="48">
        <f t="shared" si="115"/>
        <v>10</v>
      </c>
      <c r="AE357" s="14"/>
      <c r="AF357" s="14"/>
      <c r="AG357" s="14"/>
      <c r="AH357" s="48"/>
      <c r="AI357" s="14"/>
      <c r="AJ357" s="14"/>
      <c r="AK357" s="14"/>
      <c r="AL357" s="48"/>
      <c r="AM357" s="14"/>
      <c r="AN357" s="14"/>
      <c r="AO357" s="14"/>
      <c r="AP357" s="48"/>
      <c r="AQ357" s="14"/>
      <c r="AR357" s="14"/>
      <c r="AS357" s="14"/>
      <c r="AT357" s="48"/>
      <c r="AU357" s="14"/>
      <c r="AV357" s="14"/>
      <c r="AW357" s="14"/>
      <c r="AX357" s="49"/>
    </row>
    <row r="358" spans="1:50" ht="10.199999999999999" customHeight="1" x14ac:dyDescent="0.25">
      <c r="A358" s="14">
        <f t="shared" si="116"/>
        <v>3</v>
      </c>
      <c r="B358" s="102">
        <f t="shared" si="111"/>
        <v>38008</v>
      </c>
      <c r="C358" s="103">
        <v>38001</v>
      </c>
      <c r="D358" s="47"/>
      <c r="E358" s="47"/>
      <c r="F358" s="98"/>
      <c r="G358" s="47"/>
      <c r="H358" s="47">
        <v>156</v>
      </c>
      <c r="I358" s="47">
        <v>108</v>
      </c>
      <c r="J358" s="98">
        <f t="shared" si="108"/>
        <v>132</v>
      </c>
      <c r="K358" s="47"/>
      <c r="L358" s="47">
        <v>30</v>
      </c>
      <c r="M358" s="47">
        <v>25</v>
      </c>
      <c r="N358" s="98">
        <f t="shared" si="110"/>
        <v>27.5</v>
      </c>
      <c r="O358" s="47"/>
      <c r="P358" s="47">
        <v>-7</v>
      </c>
      <c r="Q358" s="47">
        <v>-5</v>
      </c>
      <c r="R358" s="98">
        <f t="shared" si="112"/>
        <v>-6</v>
      </c>
      <c r="S358" s="47"/>
      <c r="T358" s="47">
        <v>-6</v>
      </c>
      <c r="U358" s="47">
        <v>-5</v>
      </c>
      <c r="V358" s="98">
        <f t="shared" si="113"/>
        <v>-5.5</v>
      </c>
      <c r="W358" s="47"/>
      <c r="X358" s="47">
        <v>1</v>
      </c>
      <c r="Y358" s="47">
        <v>0</v>
      </c>
      <c r="Z358" s="98">
        <f t="shared" si="114"/>
        <v>0.5</v>
      </c>
      <c r="AA358" s="14"/>
      <c r="AB358" s="14">
        <v>3</v>
      </c>
      <c r="AC358" s="14">
        <v>9</v>
      </c>
      <c r="AD358" s="48">
        <f t="shared" si="115"/>
        <v>6</v>
      </c>
      <c r="AE358" s="14"/>
      <c r="AF358" s="14"/>
      <c r="AG358" s="14"/>
      <c r="AH358" s="48"/>
      <c r="AI358" s="14"/>
      <c r="AJ358" s="14"/>
      <c r="AK358" s="14"/>
      <c r="AL358" s="48"/>
      <c r="AM358" s="14"/>
      <c r="AN358" s="14"/>
      <c r="AO358" s="14"/>
      <c r="AP358" s="48"/>
      <c r="AQ358" s="14"/>
      <c r="AR358" s="14"/>
      <c r="AS358" s="14"/>
      <c r="AT358" s="48"/>
      <c r="AU358" s="14"/>
      <c r="AV358" s="14"/>
      <c r="AW358" s="14"/>
      <c r="AX358" s="49"/>
    </row>
    <row r="359" spans="1:50" ht="10.199999999999999" customHeight="1" x14ac:dyDescent="0.25">
      <c r="A359" s="14">
        <f t="shared" si="116"/>
        <v>4</v>
      </c>
      <c r="B359" s="102">
        <f t="shared" si="111"/>
        <v>38015</v>
      </c>
      <c r="C359" s="103">
        <v>38008</v>
      </c>
      <c r="D359" s="47"/>
      <c r="E359" s="47"/>
      <c r="F359" s="98"/>
      <c r="G359" s="47"/>
      <c r="H359" s="34"/>
      <c r="I359" s="34"/>
      <c r="J359" s="101"/>
      <c r="K359" s="34"/>
      <c r="L359" s="47">
        <v>76</v>
      </c>
      <c r="M359" s="47">
        <v>65</v>
      </c>
      <c r="N359" s="98">
        <f t="shared" si="110"/>
        <v>70.5</v>
      </c>
      <c r="O359" s="47"/>
      <c r="P359" s="47">
        <v>8</v>
      </c>
      <c r="Q359" s="47">
        <v>10</v>
      </c>
      <c r="R359" s="98">
        <f t="shared" si="112"/>
        <v>9</v>
      </c>
      <c r="S359" s="47"/>
      <c r="T359" s="47">
        <v>-8</v>
      </c>
      <c r="U359" s="47">
        <v>5</v>
      </c>
      <c r="V359" s="98">
        <f t="shared" si="113"/>
        <v>-1.5</v>
      </c>
      <c r="W359" s="47"/>
      <c r="X359" s="47">
        <v>3</v>
      </c>
      <c r="Y359" s="47">
        <v>6</v>
      </c>
      <c r="Z359" s="98">
        <f t="shared" si="114"/>
        <v>4.5</v>
      </c>
      <c r="AA359" s="14"/>
      <c r="AB359" s="14">
        <v>3</v>
      </c>
      <c r="AC359" s="14">
        <v>15</v>
      </c>
      <c r="AD359" s="48">
        <f t="shared" si="115"/>
        <v>9</v>
      </c>
      <c r="AE359" s="14"/>
      <c r="AF359" s="14"/>
      <c r="AG359" s="14">
        <v>18</v>
      </c>
      <c r="AH359" s="48">
        <f t="shared" ref="AH359:AH383" si="117">AVERAGE(AF359,AG359)</f>
        <v>18</v>
      </c>
      <c r="AI359" s="14"/>
      <c r="AJ359" s="14"/>
      <c r="AK359" s="14"/>
      <c r="AL359" s="48"/>
      <c r="AM359" s="14"/>
      <c r="AN359" s="14"/>
      <c r="AO359" s="14"/>
      <c r="AP359" s="48"/>
      <c r="AQ359" s="14"/>
      <c r="AR359" s="14"/>
      <c r="AS359" s="14"/>
      <c r="AT359" s="48"/>
      <c r="AU359" s="14"/>
      <c r="AV359" s="14"/>
      <c r="AW359" s="14"/>
      <c r="AX359" s="49"/>
    </row>
    <row r="360" spans="1:50" ht="10.199999999999999" customHeight="1" x14ac:dyDescent="0.25">
      <c r="A360" s="14">
        <f t="shared" si="116"/>
        <v>5</v>
      </c>
      <c r="B360" s="102">
        <f t="shared" si="111"/>
        <v>38022</v>
      </c>
      <c r="C360" s="103">
        <v>38015</v>
      </c>
      <c r="D360" s="47"/>
      <c r="E360" s="47"/>
      <c r="F360" s="98"/>
      <c r="G360" s="47"/>
      <c r="H360" s="47"/>
      <c r="I360" s="47"/>
      <c r="J360" s="98"/>
      <c r="K360" s="47"/>
      <c r="L360" s="47">
        <v>125</v>
      </c>
      <c r="M360" s="47">
        <v>150</v>
      </c>
      <c r="N360" s="98">
        <f t="shared" si="110"/>
        <v>137.5</v>
      </c>
      <c r="O360" s="47"/>
      <c r="P360" s="47">
        <v>55</v>
      </c>
      <c r="Q360" s="47">
        <v>35</v>
      </c>
      <c r="R360" s="98">
        <f t="shared" si="112"/>
        <v>45</v>
      </c>
      <c r="S360" s="47"/>
      <c r="T360" s="47">
        <v>21</v>
      </c>
      <c r="U360" s="47">
        <v>15</v>
      </c>
      <c r="V360" s="98">
        <f t="shared" si="113"/>
        <v>18</v>
      </c>
      <c r="W360" s="47"/>
      <c r="X360" s="47">
        <v>17</v>
      </c>
      <c r="Y360" s="47">
        <v>30</v>
      </c>
      <c r="Z360" s="98">
        <f t="shared" si="114"/>
        <v>23.5</v>
      </c>
      <c r="AA360" s="14"/>
      <c r="AB360" s="14">
        <v>23</v>
      </c>
      <c r="AC360" s="14">
        <v>32</v>
      </c>
      <c r="AD360" s="48">
        <f t="shared" si="115"/>
        <v>27.5</v>
      </c>
      <c r="AE360" s="14"/>
      <c r="AF360" s="14">
        <v>9</v>
      </c>
      <c r="AG360" s="14">
        <v>25</v>
      </c>
      <c r="AH360" s="48">
        <f t="shared" si="117"/>
        <v>17</v>
      </c>
      <c r="AI360" s="14"/>
      <c r="AJ360" s="14"/>
      <c r="AK360" s="14"/>
      <c r="AL360" s="48"/>
      <c r="AM360" s="14"/>
      <c r="AN360" s="14"/>
      <c r="AO360" s="14"/>
      <c r="AP360" s="48"/>
      <c r="AQ360" s="14"/>
      <c r="AR360" s="14"/>
      <c r="AS360" s="14"/>
      <c r="AT360" s="48"/>
      <c r="AU360" s="14"/>
      <c r="AV360" s="14"/>
      <c r="AW360" s="14"/>
      <c r="AX360" s="49"/>
    </row>
    <row r="361" spans="1:50" ht="10.199999999999999" customHeight="1" x14ac:dyDescent="0.25">
      <c r="A361" s="14">
        <f t="shared" si="116"/>
        <v>6</v>
      </c>
      <c r="B361" s="102">
        <f t="shared" si="111"/>
        <v>38029</v>
      </c>
      <c r="C361" s="103">
        <v>38022</v>
      </c>
      <c r="D361" s="47"/>
      <c r="E361" s="47"/>
      <c r="F361" s="98"/>
      <c r="G361" s="47"/>
      <c r="H361" s="47"/>
      <c r="I361" s="47"/>
      <c r="J361" s="98"/>
      <c r="K361" s="47"/>
      <c r="L361" s="47">
        <v>176</v>
      </c>
      <c r="M361" s="47">
        <v>224</v>
      </c>
      <c r="N361" s="98">
        <f t="shared" si="110"/>
        <v>200</v>
      </c>
      <c r="O361" s="47"/>
      <c r="P361" s="47">
        <v>63</v>
      </c>
      <c r="Q361" s="47">
        <v>113</v>
      </c>
      <c r="R361" s="98">
        <f t="shared" si="112"/>
        <v>88</v>
      </c>
      <c r="S361" s="47"/>
      <c r="T361" s="47">
        <v>31</v>
      </c>
      <c r="U361" s="47">
        <v>60</v>
      </c>
      <c r="V361" s="98">
        <f t="shared" si="113"/>
        <v>45.5</v>
      </c>
      <c r="W361" s="47"/>
      <c r="X361" s="47">
        <v>32</v>
      </c>
      <c r="Y361" s="47">
        <v>41</v>
      </c>
      <c r="Z361" s="98">
        <f t="shared" si="114"/>
        <v>36.5</v>
      </c>
      <c r="AA361" s="14"/>
      <c r="AB361" s="14">
        <v>28</v>
      </c>
      <c r="AC361" s="14">
        <v>49</v>
      </c>
      <c r="AD361" s="48">
        <f t="shared" si="115"/>
        <v>38.5</v>
      </c>
      <c r="AE361" s="14"/>
      <c r="AF361" s="14"/>
      <c r="AG361" s="14">
        <v>55</v>
      </c>
      <c r="AH361" s="48">
        <f t="shared" si="117"/>
        <v>55</v>
      </c>
      <c r="AI361" s="14"/>
      <c r="AJ361" s="14"/>
      <c r="AK361" s="14"/>
      <c r="AL361" s="48"/>
      <c r="AM361" s="14"/>
      <c r="AN361" s="14"/>
      <c r="AO361" s="14"/>
      <c r="AP361" s="48"/>
      <c r="AQ361" s="14"/>
      <c r="AR361" s="14"/>
      <c r="AS361" s="14"/>
      <c r="AT361" s="48"/>
      <c r="AU361" s="14"/>
      <c r="AV361" s="14"/>
      <c r="AW361" s="14"/>
      <c r="AX361" s="49"/>
    </row>
    <row r="362" spans="1:50" ht="10.199999999999999" customHeight="1" x14ac:dyDescent="0.25">
      <c r="A362" s="14">
        <f t="shared" si="116"/>
        <v>7</v>
      </c>
      <c r="B362" s="102">
        <f t="shared" si="111"/>
        <v>38036</v>
      </c>
      <c r="C362" s="103">
        <v>38029</v>
      </c>
      <c r="D362" s="47"/>
      <c r="E362" s="47"/>
      <c r="F362" s="98"/>
      <c r="G362" s="47"/>
      <c r="H362" s="47"/>
      <c r="I362" s="47"/>
      <c r="J362" s="98"/>
      <c r="K362" s="47"/>
      <c r="L362" s="47">
        <v>179</v>
      </c>
      <c r="M362" s="47">
        <v>257</v>
      </c>
      <c r="N362" s="98">
        <f t="shared" si="110"/>
        <v>218</v>
      </c>
      <c r="O362" s="47"/>
      <c r="P362" s="47">
        <v>85</v>
      </c>
      <c r="Q362" s="47">
        <v>138</v>
      </c>
      <c r="R362" s="98">
        <f t="shared" si="112"/>
        <v>111.5</v>
      </c>
      <c r="S362" s="47"/>
      <c r="T362" s="47">
        <v>46</v>
      </c>
      <c r="U362" s="47">
        <v>65</v>
      </c>
      <c r="V362" s="98">
        <f t="shared" si="113"/>
        <v>55.5</v>
      </c>
      <c r="W362" s="47"/>
      <c r="X362" s="47">
        <v>39</v>
      </c>
      <c r="Y362" s="47">
        <v>50</v>
      </c>
      <c r="Z362" s="98">
        <f t="shared" si="114"/>
        <v>44.5</v>
      </c>
      <c r="AA362" s="47"/>
      <c r="AB362" s="14">
        <v>39</v>
      </c>
      <c r="AC362" s="14">
        <v>41</v>
      </c>
      <c r="AD362" s="48">
        <f t="shared" si="115"/>
        <v>40</v>
      </c>
      <c r="AE362" s="14"/>
      <c r="AF362" s="14"/>
      <c r="AG362" s="14">
        <v>50</v>
      </c>
      <c r="AH362" s="48">
        <f t="shared" si="117"/>
        <v>50</v>
      </c>
      <c r="AI362" s="14"/>
      <c r="AJ362" s="14"/>
      <c r="AK362" s="14"/>
      <c r="AL362" s="48"/>
      <c r="AM362" s="14"/>
      <c r="AN362" s="14"/>
      <c r="AO362" s="14"/>
      <c r="AP362" s="48"/>
      <c r="AQ362" s="14"/>
      <c r="AR362" s="14"/>
      <c r="AS362" s="14"/>
      <c r="AT362" s="48"/>
      <c r="AU362" s="14"/>
      <c r="AV362" s="14"/>
      <c r="AW362" s="14"/>
      <c r="AX362" s="49"/>
    </row>
    <row r="363" spans="1:50" ht="10.199999999999999" customHeight="1" x14ac:dyDescent="0.25">
      <c r="A363" s="14">
        <f t="shared" si="116"/>
        <v>8</v>
      </c>
      <c r="B363" s="102">
        <f t="shared" si="111"/>
        <v>38043</v>
      </c>
      <c r="C363" s="103">
        <v>38036</v>
      </c>
      <c r="D363" s="47"/>
      <c r="E363" s="47"/>
      <c r="F363" s="98"/>
      <c r="G363" s="47"/>
      <c r="H363" s="47"/>
      <c r="I363" s="47"/>
      <c r="J363" s="98"/>
      <c r="K363" s="47"/>
      <c r="L363" s="47"/>
      <c r="M363" s="47"/>
      <c r="N363" s="98"/>
      <c r="O363" s="47"/>
      <c r="P363" s="47">
        <v>63</v>
      </c>
      <c r="Q363" s="47">
        <v>148</v>
      </c>
      <c r="R363" s="98">
        <f t="shared" si="112"/>
        <v>105.5</v>
      </c>
      <c r="S363" s="47"/>
      <c r="T363" s="47">
        <v>45</v>
      </c>
      <c r="U363" s="47">
        <v>68</v>
      </c>
      <c r="V363" s="98">
        <f t="shared" si="113"/>
        <v>56.5</v>
      </c>
      <c r="W363" s="47"/>
      <c r="X363" s="47">
        <v>35</v>
      </c>
      <c r="Y363" s="47">
        <v>56</v>
      </c>
      <c r="Z363" s="98">
        <f t="shared" si="114"/>
        <v>45.5</v>
      </c>
      <c r="AA363" s="14"/>
      <c r="AB363" s="14">
        <v>38</v>
      </c>
      <c r="AC363" s="14">
        <v>55</v>
      </c>
      <c r="AD363" s="48">
        <f t="shared" si="115"/>
        <v>46.5</v>
      </c>
      <c r="AE363" s="14"/>
      <c r="AF363" s="14">
        <v>55</v>
      </c>
      <c r="AG363" s="14">
        <v>45</v>
      </c>
      <c r="AH363" s="48">
        <f t="shared" si="117"/>
        <v>50</v>
      </c>
      <c r="AI363" s="14"/>
      <c r="AJ363" s="14">
        <v>37</v>
      </c>
      <c r="AK363" s="14">
        <v>78</v>
      </c>
      <c r="AL363" s="48">
        <f t="shared" ref="AL363:AL388" si="118">AVERAGE(AJ363,AK363)</f>
        <v>57.5</v>
      </c>
      <c r="AM363" s="14"/>
      <c r="AN363" s="14"/>
      <c r="AO363" s="14"/>
      <c r="AP363" s="48"/>
      <c r="AQ363" s="14"/>
      <c r="AR363" s="14"/>
      <c r="AS363" s="14"/>
      <c r="AT363" s="48"/>
      <c r="AU363" s="14"/>
      <c r="AV363" s="14"/>
      <c r="AW363" s="14"/>
      <c r="AX363" s="49"/>
    </row>
    <row r="364" spans="1:50" ht="10.199999999999999" customHeight="1" x14ac:dyDescent="0.25">
      <c r="A364" s="14">
        <f t="shared" si="116"/>
        <v>9</v>
      </c>
      <c r="B364" s="102">
        <f t="shared" si="111"/>
        <v>38050</v>
      </c>
      <c r="C364" s="103">
        <v>38043</v>
      </c>
      <c r="D364" s="47"/>
      <c r="E364" s="47"/>
      <c r="F364" s="98"/>
      <c r="G364" s="47"/>
      <c r="H364" s="47"/>
      <c r="I364" s="47"/>
      <c r="J364" s="98"/>
      <c r="K364" s="47"/>
      <c r="L364" s="47"/>
      <c r="M364" s="47"/>
      <c r="N364" s="98"/>
      <c r="O364" s="47"/>
      <c r="P364" s="47">
        <v>62</v>
      </c>
      <c r="Q364" s="47">
        <v>197</v>
      </c>
      <c r="R364" s="98">
        <f t="shared" si="112"/>
        <v>129.5</v>
      </c>
      <c r="S364" s="47"/>
      <c r="T364" s="47">
        <v>51</v>
      </c>
      <c r="U364" s="47">
        <v>110</v>
      </c>
      <c r="V364" s="98">
        <f t="shared" si="113"/>
        <v>80.5</v>
      </c>
      <c r="W364" s="47"/>
      <c r="X364" s="47">
        <v>34</v>
      </c>
      <c r="Y364" s="47">
        <v>113</v>
      </c>
      <c r="Z364" s="98">
        <f t="shared" si="114"/>
        <v>73.5</v>
      </c>
      <c r="AA364" s="14"/>
      <c r="AB364" s="14">
        <v>37</v>
      </c>
      <c r="AC364" s="14">
        <v>113</v>
      </c>
      <c r="AD364" s="48">
        <f t="shared" si="115"/>
        <v>75</v>
      </c>
      <c r="AE364" s="14"/>
      <c r="AF364" s="14">
        <v>51</v>
      </c>
      <c r="AG364" s="14">
        <v>85</v>
      </c>
      <c r="AH364" s="48">
        <f t="shared" si="117"/>
        <v>68</v>
      </c>
      <c r="AI364" s="14"/>
      <c r="AJ364" s="14">
        <v>61</v>
      </c>
      <c r="AK364" s="14">
        <v>80</v>
      </c>
      <c r="AL364" s="48">
        <f t="shared" si="118"/>
        <v>70.5</v>
      </c>
      <c r="AM364" s="14"/>
      <c r="AN364" s="14"/>
      <c r="AO364" s="14"/>
      <c r="AP364" s="48"/>
      <c r="AQ364" s="14"/>
      <c r="AR364" s="14"/>
      <c r="AS364" s="14"/>
      <c r="AT364" s="48"/>
      <c r="AU364" s="14"/>
      <c r="AV364" s="14"/>
      <c r="AW364" s="14"/>
      <c r="AX364" s="49"/>
    </row>
    <row r="365" spans="1:50" ht="10.199999999999999" customHeight="1" x14ac:dyDescent="0.25">
      <c r="A365" s="14">
        <f t="shared" si="116"/>
        <v>10</v>
      </c>
      <c r="B365" s="102">
        <f t="shared" si="111"/>
        <v>38057</v>
      </c>
      <c r="C365" s="103">
        <v>38050</v>
      </c>
      <c r="D365" s="47"/>
      <c r="E365" s="47"/>
      <c r="F365" s="98"/>
      <c r="G365" s="47"/>
      <c r="H365" s="47"/>
      <c r="I365" s="47"/>
      <c r="J365" s="98"/>
      <c r="K365" s="47"/>
      <c r="L365" s="47"/>
      <c r="M365" s="47"/>
      <c r="N365" s="98"/>
      <c r="O365" s="47"/>
      <c r="P365" s="47">
        <v>100</v>
      </c>
      <c r="Q365" s="47">
        <v>207</v>
      </c>
      <c r="R365" s="98">
        <f t="shared" si="112"/>
        <v>153.5</v>
      </c>
      <c r="S365" s="47"/>
      <c r="T365" s="47">
        <v>68</v>
      </c>
      <c r="U365" s="47">
        <v>122</v>
      </c>
      <c r="V365" s="98">
        <f t="shared" si="113"/>
        <v>95</v>
      </c>
      <c r="W365" s="47"/>
      <c r="X365" s="47">
        <v>55</v>
      </c>
      <c r="Y365" s="47">
        <v>98</v>
      </c>
      <c r="Z365" s="98">
        <f t="shared" si="114"/>
        <v>76.5</v>
      </c>
      <c r="AA365" s="14"/>
      <c r="AB365" s="14">
        <v>60</v>
      </c>
      <c r="AC365" s="14">
        <v>83</v>
      </c>
      <c r="AD365" s="48">
        <f t="shared" si="115"/>
        <v>71.5</v>
      </c>
      <c r="AE365" s="14"/>
      <c r="AF365" s="14">
        <v>55</v>
      </c>
      <c r="AG365" s="14">
        <v>75</v>
      </c>
      <c r="AH365" s="48">
        <f t="shared" si="117"/>
        <v>65</v>
      </c>
      <c r="AI365" s="14"/>
      <c r="AJ365" s="14">
        <v>40</v>
      </c>
      <c r="AK365" s="14"/>
      <c r="AL365" s="48">
        <f t="shared" si="118"/>
        <v>40</v>
      </c>
      <c r="AM365" s="14"/>
      <c r="AN365" s="14"/>
      <c r="AO365" s="14"/>
      <c r="AP365" s="48"/>
      <c r="AQ365" s="14"/>
      <c r="AR365" s="14"/>
      <c r="AS365" s="14"/>
      <c r="AT365" s="48"/>
      <c r="AU365" s="14"/>
      <c r="AV365" s="14"/>
      <c r="AW365" s="14"/>
      <c r="AX365" s="49"/>
    </row>
    <row r="366" spans="1:50" ht="10.199999999999999" customHeight="1" x14ac:dyDescent="0.25">
      <c r="A366" s="14">
        <f t="shared" si="116"/>
        <v>11</v>
      </c>
      <c r="B366" s="102">
        <f t="shared" si="111"/>
        <v>38064</v>
      </c>
      <c r="C366" s="103">
        <v>38057</v>
      </c>
      <c r="D366" s="47"/>
      <c r="E366" s="47"/>
      <c r="F366" s="98"/>
      <c r="G366" s="47"/>
      <c r="H366" s="47"/>
      <c r="I366" s="47"/>
      <c r="J366" s="98"/>
      <c r="K366" s="47"/>
      <c r="L366" s="47"/>
      <c r="M366" s="47"/>
      <c r="N366" s="98"/>
      <c r="O366" s="47"/>
      <c r="P366" s="47">
        <v>87</v>
      </c>
      <c r="Q366" s="47">
        <v>163</v>
      </c>
      <c r="R366" s="98">
        <f t="shared" si="112"/>
        <v>125</v>
      </c>
      <c r="S366" s="47"/>
      <c r="T366" s="47">
        <v>46</v>
      </c>
      <c r="U366" s="47">
        <v>119</v>
      </c>
      <c r="V366" s="98">
        <f t="shared" si="113"/>
        <v>82.5</v>
      </c>
      <c r="W366" s="47"/>
      <c r="X366" s="47">
        <v>48</v>
      </c>
      <c r="Y366" s="47">
        <v>83</v>
      </c>
      <c r="Z366" s="98">
        <f t="shared" si="114"/>
        <v>65.5</v>
      </c>
      <c r="AA366" s="14"/>
      <c r="AB366" s="14">
        <v>54</v>
      </c>
      <c r="AC366" s="14">
        <v>83</v>
      </c>
      <c r="AD366" s="48">
        <f t="shared" si="115"/>
        <v>68.5</v>
      </c>
      <c r="AE366" s="14"/>
      <c r="AF366" s="14">
        <v>66</v>
      </c>
      <c r="AG366" s="14">
        <v>82</v>
      </c>
      <c r="AH366" s="48">
        <f t="shared" si="117"/>
        <v>74</v>
      </c>
      <c r="AI366" s="14"/>
      <c r="AJ366" s="14">
        <v>80</v>
      </c>
      <c r="AK366" s="14"/>
      <c r="AL366" s="48">
        <f t="shared" si="118"/>
        <v>80</v>
      </c>
      <c r="AM366" s="14"/>
      <c r="AN366" s="14"/>
      <c r="AO366" s="14"/>
      <c r="AP366" s="48"/>
      <c r="AQ366" s="14"/>
      <c r="AR366" s="14"/>
      <c r="AS366" s="14"/>
      <c r="AT366" s="48"/>
      <c r="AU366" s="14"/>
      <c r="AV366" s="14"/>
      <c r="AW366" s="14"/>
      <c r="AX366" s="49"/>
    </row>
    <row r="367" spans="1:50" ht="10.199999999999999" customHeight="1" x14ac:dyDescent="0.25">
      <c r="A367" s="14">
        <f t="shared" si="116"/>
        <v>12</v>
      </c>
      <c r="B367" s="102">
        <f t="shared" si="111"/>
        <v>38071</v>
      </c>
      <c r="C367" s="103">
        <v>38064</v>
      </c>
      <c r="D367" s="47"/>
      <c r="E367" s="47"/>
      <c r="F367" s="98"/>
      <c r="G367" s="47"/>
      <c r="H367" s="47"/>
      <c r="I367" s="47"/>
      <c r="J367" s="98"/>
      <c r="K367" s="47"/>
      <c r="L367" s="47"/>
      <c r="M367" s="47"/>
      <c r="N367" s="98"/>
      <c r="O367" s="47"/>
      <c r="P367" s="47"/>
      <c r="Q367" s="47"/>
      <c r="R367" s="98"/>
      <c r="S367" s="47"/>
      <c r="T367" s="47">
        <v>58</v>
      </c>
      <c r="U367" s="47">
        <v>122</v>
      </c>
      <c r="V367" s="98">
        <f t="shared" si="113"/>
        <v>90</v>
      </c>
      <c r="W367" s="47"/>
      <c r="X367" s="47">
        <v>61</v>
      </c>
      <c r="Y367" s="47">
        <v>83</v>
      </c>
      <c r="Z367" s="98">
        <f t="shared" si="114"/>
        <v>72</v>
      </c>
      <c r="AA367" s="14"/>
      <c r="AB367" s="14">
        <v>60</v>
      </c>
      <c r="AC367" s="14">
        <v>83</v>
      </c>
      <c r="AD367" s="48">
        <f t="shared" si="115"/>
        <v>71.5</v>
      </c>
      <c r="AE367" s="14"/>
      <c r="AF367" s="14">
        <v>89</v>
      </c>
      <c r="AG367" s="14">
        <v>92</v>
      </c>
      <c r="AH367" s="48">
        <f t="shared" si="117"/>
        <v>90.5</v>
      </c>
      <c r="AI367" s="14"/>
      <c r="AJ367" s="14">
        <v>95</v>
      </c>
      <c r="AK367" s="14">
        <v>98</v>
      </c>
      <c r="AL367" s="48">
        <f t="shared" si="118"/>
        <v>96.5</v>
      </c>
      <c r="AM367" s="14"/>
      <c r="AN367" s="14">
        <v>70</v>
      </c>
      <c r="AO367" s="14"/>
      <c r="AP367" s="48">
        <f t="shared" ref="AP367:AP392" si="119">AVERAGE(AN367,AO367)</f>
        <v>70</v>
      </c>
      <c r="AQ367" s="14"/>
      <c r="AR367" s="14"/>
      <c r="AS367" s="14"/>
      <c r="AT367" s="48"/>
      <c r="AU367" s="14"/>
      <c r="AV367" s="14"/>
      <c r="AW367" s="14"/>
      <c r="AX367" s="49"/>
    </row>
    <row r="368" spans="1:50" ht="10.199999999999999" customHeight="1" x14ac:dyDescent="0.25">
      <c r="A368" s="14">
        <f t="shared" si="116"/>
        <v>13</v>
      </c>
      <c r="B368" s="102">
        <f t="shared" si="111"/>
        <v>38078</v>
      </c>
      <c r="C368" s="103">
        <v>38071</v>
      </c>
      <c r="D368" s="14"/>
      <c r="E368" s="14"/>
      <c r="F368" s="48"/>
      <c r="G368" s="14"/>
      <c r="H368" s="14"/>
      <c r="I368" s="14"/>
      <c r="J368" s="48"/>
      <c r="K368" s="14"/>
      <c r="L368" s="14"/>
      <c r="M368" s="14"/>
      <c r="N368" s="48"/>
      <c r="O368" s="14"/>
      <c r="P368" s="14"/>
      <c r="Q368" s="14"/>
      <c r="R368" s="48"/>
      <c r="S368" s="14"/>
      <c r="T368" s="14">
        <v>86</v>
      </c>
      <c r="U368" s="14">
        <v>122</v>
      </c>
      <c r="V368" s="48">
        <f t="shared" si="113"/>
        <v>104</v>
      </c>
      <c r="W368" s="14"/>
      <c r="X368" s="14">
        <v>90</v>
      </c>
      <c r="Y368" s="14">
        <v>99</v>
      </c>
      <c r="Z368" s="48">
        <f t="shared" si="114"/>
        <v>94.5</v>
      </c>
      <c r="AA368" s="14"/>
      <c r="AB368" s="14">
        <v>101</v>
      </c>
      <c r="AC368" s="14">
        <v>98</v>
      </c>
      <c r="AD368" s="48">
        <f t="shared" si="115"/>
        <v>99.5</v>
      </c>
      <c r="AE368" s="14"/>
      <c r="AF368" s="14">
        <v>100</v>
      </c>
      <c r="AG368" s="14">
        <v>95</v>
      </c>
      <c r="AH368" s="48">
        <f t="shared" si="117"/>
        <v>97.5</v>
      </c>
      <c r="AI368" s="14"/>
      <c r="AJ368" s="14">
        <v>108</v>
      </c>
      <c r="AK368" s="14">
        <v>100</v>
      </c>
      <c r="AL368" s="48">
        <f t="shared" si="118"/>
        <v>104</v>
      </c>
      <c r="AM368" s="14"/>
      <c r="AN368" s="14">
        <v>100</v>
      </c>
      <c r="AO368" s="14"/>
      <c r="AP368" s="48">
        <f t="shared" si="119"/>
        <v>100</v>
      </c>
      <c r="AQ368" s="14"/>
      <c r="AR368" s="14"/>
      <c r="AS368" s="14"/>
      <c r="AT368" s="48"/>
      <c r="AU368" s="14"/>
      <c r="AV368" s="14"/>
      <c r="AW368" s="14"/>
      <c r="AX368" s="49"/>
    </row>
    <row r="369" spans="1:50" ht="10.199999999999999" customHeight="1" x14ac:dyDescent="0.25">
      <c r="A369" s="14">
        <f t="shared" si="116"/>
        <v>14</v>
      </c>
      <c r="B369" s="102">
        <f t="shared" si="111"/>
        <v>38085</v>
      </c>
      <c r="C369" s="103">
        <v>38078</v>
      </c>
      <c r="D369" s="14"/>
      <c r="E369" s="14"/>
      <c r="F369" s="48"/>
      <c r="G369" s="14"/>
      <c r="H369" s="14"/>
      <c r="I369" s="14"/>
      <c r="J369" s="48"/>
      <c r="K369" s="14"/>
      <c r="L369" s="14"/>
      <c r="M369" s="14"/>
      <c r="N369" s="48"/>
      <c r="O369" s="14"/>
      <c r="P369" s="14"/>
      <c r="Q369" s="14"/>
      <c r="R369" s="48"/>
      <c r="S369" s="14"/>
      <c r="T369" s="14">
        <v>78</v>
      </c>
      <c r="U369" s="14">
        <v>130</v>
      </c>
      <c r="V369" s="48">
        <f t="shared" si="113"/>
        <v>104</v>
      </c>
      <c r="W369" s="14"/>
      <c r="X369" s="14">
        <v>87</v>
      </c>
      <c r="Y369" s="14">
        <v>101</v>
      </c>
      <c r="Z369" s="48">
        <f t="shared" si="114"/>
        <v>94</v>
      </c>
      <c r="AA369" s="14"/>
      <c r="AB369" s="14">
        <v>89</v>
      </c>
      <c r="AC369" s="14">
        <v>98</v>
      </c>
      <c r="AD369" s="48">
        <f t="shared" si="115"/>
        <v>93.5</v>
      </c>
      <c r="AE369" s="14"/>
      <c r="AF369" s="14">
        <v>102</v>
      </c>
      <c r="AG369" s="14">
        <v>70</v>
      </c>
      <c r="AH369" s="48">
        <f t="shared" si="117"/>
        <v>86</v>
      </c>
      <c r="AI369" s="14"/>
      <c r="AJ369" s="14">
        <v>138</v>
      </c>
      <c r="AK369" s="14">
        <v>57</v>
      </c>
      <c r="AL369" s="48">
        <f t="shared" si="118"/>
        <v>97.5</v>
      </c>
      <c r="AM369" s="14"/>
      <c r="AN369" s="14">
        <v>158</v>
      </c>
      <c r="AO369" s="14"/>
      <c r="AP369" s="48">
        <f t="shared" si="119"/>
        <v>158</v>
      </c>
      <c r="AQ369" s="14"/>
      <c r="AR369" s="14"/>
      <c r="AS369" s="14"/>
      <c r="AT369" s="48"/>
      <c r="AU369" s="14"/>
      <c r="AV369" s="14"/>
      <c r="AW369" s="14"/>
      <c r="AX369" s="49"/>
    </row>
    <row r="370" spans="1:50" ht="10.199999999999999" customHeight="1" x14ac:dyDescent="0.25">
      <c r="A370" s="14">
        <f t="shared" si="116"/>
        <v>15</v>
      </c>
      <c r="B370" s="102">
        <f t="shared" si="111"/>
        <v>38092</v>
      </c>
      <c r="C370" s="103">
        <v>38085</v>
      </c>
      <c r="D370" s="14"/>
      <c r="E370" s="14"/>
      <c r="F370" s="48"/>
      <c r="G370" s="14"/>
      <c r="H370" s="14"/>
      <c r="I370" s="14"/>
      <c r="J370" s="48"/>
      <c r="K370" s="14"/>
      <c r="L370" s="14"/>
      <c r="M370" s="14"/>
      <c r="N370" s="48"/>
      <c r="O370" s="14"/>
      <c r="P370" s="14"/>
      <c r="Q370" s="14"/>
      <c r="R370" s="48"/>
      <c r="S370" s="14"/>
      <c r="T370" s="14">
        <v>46</v>
      </c>
      <c r="U370" s="14">
        <v>136</v>
      </c>
      <c r="V370" s="48">
        <f t="shared" si="113"/>
        <v>91</v>
      </c>
      <c r="W370" s="14"/>
      <c r="X370" s="14">
        <v>51</v>
      </c>
      <c r="Y370" s="14">
        <v>129</v>
      </c>
      <c r="Z370" s="48">
        <f t="shared" si="114"/>
        <v>90</v>
      </c>
      <c r="AA370" s="14"/>
      <c r="AB370" s="14">
        <v>58</v>
      </c>
      <c r="AC370" s="14">
        <v>131</v>
      </c>
      <c r="AD370" s="48">
        <f t="shared" si="115"/>
        <v>94.5</v>
      </c>
      <c r="AE370" s="14"/>
      <c r="AF370" s="14">
        <v>101</v>
      </c>
      <c r="AG370" s="14">
        <v>138</v>
      </c>
      <c r="AH370" s="48">
        <f t="shared" si="117"/>
        <v>119.5</v>
      </c>
      <c r="AI370" s="14"/>
      <c r="AJ370" s="14">
        <v>135</v>
      </c>
      <c r="AK370" s="14">
        <v>156</v>
      </c>
      <c r="AL370" s="48">
        <f t="shared" si="118"/>
        <v>145.5</v>
      </c>
      <c r="AM370" s="14"/>
      <c r="AN370" s="14">
        <v>150</v>
      </c>
      <c r="AO370" s="14"/>
      <c r="AP370" s="48">
        <f t="shared" si="119"/>
        <v>150</v>
      </c>
      <c r="AQ370" s="14"/>
      <c r="AR370" s="14"/>
      <c r="AS370" s="14"/>
      <c r="AT370" s="48"/>
      <c r="AU370" s="14"/>
      <c r="AV370" s="14"/>
      <c r="AW370" s="14"/>
      <c r="AX370" s="49"/>
    </row>
    <row r="371" spans="1:50" ht="10.199999999999999" customHeight="1" x14ac:dyDescent="0.25">
      <c r="A371" s="14">
        <f t="shared" si="116"/>
        <v>16</v>
      </c>
      <c r="B371" s="102">
        <f t="shared" si="111"/>
        <v>38099</v>
      </c>
      <c r="C371" s="103">
        <v>38092</v>
      </c>
      <c r="D371" s="14"/>
      <c r="E371" s="14"/>
      <c r="F371" s="48"/>
      <c r="G371" s="14"/>
      <c r="H371" s="14"/>
      <c r="I371" s="14"/>
      <c r="J371" s="48"/>
      <c r="K371" s="14"/>
      <c r="L371" s="14"/>
      <c r="M371" s="14"/>
      <c r="N371" s="48"/>
      <c r="O371" s="14"/>
      <c r="P371" s="14"/>
      <c r="Q371" s="14"/>
      <c r="R371" s="48"/>
      <c r="S371" s="14"/>
      <c r="T371" s="14">
        <v>63</v>
      </c>
      <c r="U371" s="14">
        <v>138</v>
      </c>
      <c r="V371" s="48">
        <f t="shared" si="113"/>
        <v>100.5</v>
      </c>
      <c r="W371" s="14"/>
      <c r="X371" s="14">
        <v>65</v>
      </c>
      <c r="Y371" s="14">
        <v>118</v>
      </c>
      <c r="Z371" s="48">
        <f t="shared" si="114"/>
        <v>91.5</v>
      </c>
      <c r="AA371" s="14"/>
      <c r="AB371" s="14">
        <v>76</v>
      </c>
      <c r="AC371" s="14">
        <v>138</v>
      </c>
      <c r="AD371" s="48">
        <f t="shared" si="115"/>
        <v>107</v>
      </c>
      <c r="AE371" s="14"/>
      <c r="AF371" s="14">
        <v>105</v>
      </c>
      <c r="AG371" s="14">
        <v>150</v>
      </c>
      <c r="AH371" s="48">
        <f t="shared" si="117"/>
        <v>127.5</v>
      </c>
      <c r="AI371" s="14"/>
      <c r="AJ371" s="14">
        <v>148</v>
      </c>
      <c r="AK371" s="14">
        <v>156</v>
      </c>
      <c r="AL371" s="48">
        <f t="shared" si="118"/>
        <v>152</v>
      </c>
      <c r="AM371" s="14"/>
      <c r="AN371" s="14">
        <v>154</v>
      </c>
      <c r="AO371" s="14"/>
      <c r="AP371" s="48">
        <f t="shared" si="119"/>
        <v>154</v>
      </c>
      <c r="AQ371" s="14"/>
      <c r="AR371" s="14"/>
      <c r="AS371" s="14"/>
      <c r="AT371" s="48"/>
      <c r="AU371" s="14"/>
      <c r="AV371" s="14"/>
      <c r="AW371" s="14"/>
      <c r="AX371" s="49"/>
    </row>
    <row r="372" spans="1:50" ht="10.199999999999999" customHeight="1" x14ac:dyDescent="0.25">
      <c r="A372" s="14">
        <f t="shared" si="116"/>
        <v>17</v>
      </c>
      <c r="B372" s="102">
        <f t="shared" si="111"/>
        <v>38106</v>
      </c>
      <c r="C372" s="103">
        <v>38099</v>
      </c>
      <c r="D372" s="14"/>
      <c r="E372" s="14"/>
      <c r="F372" s="48"/>
      <c r="G372" s="14"/>
      <c r="H372" s="14"/>
      <c r="I372" s="14"/>
      <c r="J372" s="48"/>
      <c r="K372" s="14"/>
      <c r="L372" s="14"/>
      <c r="M372" s="14"/>
      <c r="N372" s="48"/>
      <c r="O372" s="14"/>
      <c r="P372" s="14"/>
      <c r="Q372" s="14"/>
      <c r="R372" s="48"/>
      <c r="S372" s="14"/>
      <c r="T372" s="14"/>
      <c r="U372" s="14"/>
      <c r="V372" s="48"/>
      <c r="W372" s="14"/>
      <c r="X372" s="14">
        <v>61</v>
      </c>
      <c r="Y372" s="14">
        <v>93</v>
      </c>
      <c r="Z372" s="48">
        <f t="shared" si="114"/>
        <v>77</v>
      </c>
      <c r="AA372" s="14"/>
      <c r="AB372" s="14">
        <v>79</v>
      </c>
      <c r="AC372" s="14">
        <v>104</v>
      </c>
      <c r="AD372" s="48">
        <f t="shared" si="115"/>
        <v>91.5</v>
      </c>
      <c r="AE372" s="14"/>
      <c r="AF372" s="14">
        <v>129</v>
      </c>
      <c r="AG372" s="14">
        <v>144</v>
      </c>
      <c r="AH372" s="48">
        <f t="shared" si="117"/>
        <v>136.5</v>
      </c>
      <c r="AI372" s="14"/>
      <c r="AJ372" s="14">
        <v>154</v>
      </c>
      <c r="AK372" s="14">
        <v>155</v>
      </c>
      <c r="AL372" s="48">
        <f t="shared" si="118"/>
        <v>154.5</v>
      </c>
      <c r="AM372" s="14"/>
      <c r="AN372" s="14">
        <v>163</v>
      </c>
      <c r="AO372" s="14">
        <v>194</v>
      </c>
      <c r="AP372" s="48">
        <f t="shared" si="119"/>
        <v>178.5</v>
      </c>
      <c r="AQ372" s="14"/>
      <c r="AR372" s="14">
        <v>143</v>
      </c>
      <c r="AS372" s="14">
        <v>182</v>
      </c>
      <c r="AT372" s="48">
        <f t="shared" ref="AT372:AT397" si="120">AVERAGE(AR372,AS372)</f>
        <v>162.5</v>
      </c>
      <c r="AU372" s="14"/>
      <c r="AV372" s="14"/>
      <c r="AW372" s="14"/>
      <c r="AX372" s="49"/>
    </row>
    <row r="373" spans="1:50" ht="10.199999999999999" customHeight="1" x14ac:dyDescent="0.25">
      <c r="A373" s="14">
        <f t="shared" si="116"/>
        <v>18</v>
      </c>
      <c r="B373" s="102">
        <f t="shared" ref="B373:B404" si="121">+B372+7</f>
        <v>38113</v>
      </c>
      <c r="C373" s="103">
        <v>38106</v>
      </c>
      <c r="D373" s="14"/>
      <c r="E373" s="14"/>
      <c r="F373" s="48"/>
      <c r="G373" s="14"/>
      <c r="H373" s="14"/>
      <c r="I373" s="14"/>
      <c r="J373" s="48"/>
      <c r="K373" s="14"/>
      <c r="L373" s="14"/>
      <c r="M373" s="14"/>
      <c r="N373" s="48"/>
      <c r="O373" s="14"/>
      <c r="P373" s="14"/>
      <c r="Q373" s="14"/>
      <c r="R373" s="48"/>
      <c r="S373" s="14"/>
      <c r="T373" s="14"/>
      <c r="U373" s="14"/>
      <c r="V373" s="48"/>
      <c r="W373" s="14"/>
      <c r="X373" s="14">
        <v>33</v>
      </c>
      <c r="Y373" s="14">
        <v>52</v>
      </c>
      <c r="Z373" s="48">
        <f t="shared" si="114"/>
        <v>42.5</v>
      </c>
      <c r="AA373" s="14"/>
      <c r="AB373" s="14">
        <v>60</v>
      </c>
      <c r="AC373" s="14">
        <v>68</v>
      </c>
      <c r="AD373" s="48">
        <f t="shared" si="115"/>
        <v>64</v>
      </c>
      <c r="AE373" s="14"/>
      <c r="AF373" s="14">
        <v>106</v>
      </c>
      <c r="AG373" s="14">
        <v>119</v>
      </c>
      <c r="AH373" s="48">
        <f t="shared" si="117"/>
        <v>112.5</v>
      </c>
      <c r="AI373" s="14"/>
      <c r="AJ373" s="14">
        <v>150</v>
      </c>
      <c r="AK373" s="14">
        <v>144</v>
      </c>
      <c r="AL373" s="48">
        <f t="shared" si="118"/>
        <v>147</v>
      </c>
      <c r="AM373" s="14"/>
      <c r="AN373" s="14">
        <v>156</v>
      </c>
      <c r="AO373" s="14">
        <v>188</v>
      </c>
      <c r="AP373" s="48">
        <f t="shared" si="119"/>
        <v>172</v>
      </c>
      <c r="AQ373" s="14"/>
      <c r="AR373" s="14">
        <v>138</v>
      </c>
      <c r="AS373" s="14">
        <v>175</v>
      </c>
      <c r="AT373" s="48">
        <f t="shared" si="120"/>
        <v>156.5</v>
      </c>
      <c r="AU373" s="14"/>
      <c r="AV373" s="14"/>
      <c r="AW373" s="14"/>
      <c r="AX373" s="49"/>
    </row>
    <row r="374" spans="1:50" ht="10.199999999999999" customHeight="1" x14ac:dyDescent="0.25">
      <c r="A374" s="14">
        <f t="shared" si="116"/>
        <v>19</v>
      </c>
      <c r="B374" s="102">
        <f t="shared" si="121"/>
        <v>38120</v>
      </c>
      <c r="C374" s="103">
        <v>38113</v>
      </c>
      <c r="D374" s="14"/>
      <c r="E374" s="14"/>
      <c r="F374" s="48"/>
      <c r="G374" s="14"/>
      <c r="H374" s="14"/>
      <c r="I374" s="14"/>
      <c r="J374" s="48"/>
      <c r="K374" s="14"/>
      <c r="L374" s="14"/>
      <c r="M374" s="14"/>
      <c r="N374" s="48"/>
      <c r="O374" s="14"/>
      <c r="P374" s="14"/>
      <c r="Q374" s="14"/>
      <c r="R374" s="48"/>
      <c r="S374" s="14"/>
      <c r="T374" s="14"/>
      <c r="U374" s="14"/>
      <c r="V374" s="48"/>
      <c r="W374" s="14"/>
      <c r="X374" s="14">
        <v>-13</v>
      </c>
      <c r="Y374" s="14">
        <v>9</v>
      </c>
      <c r="Z374" s="48">
        <f t="shared" si="114"/>
        <v>-2</v>
      </c>
      <c r="AA374" s="14"/>
      <c r="AB374" s="14">
        <v>11</v>
      </c>
      <c r="AC374" s="14">
        <v>16</v>
      </c>
      <c r="AD374" s="48">
        <f t="shared" si="115"/>
        <v>13.5</v>
      </c>
      <c r="AE374" s="14"/>
      <c r="AF374" s="14">
        <v>39</v>
      </c>
      <c r="AG374" s="14">
        <v>66</v>
      </c>
      <c r="AH374" s="48">
        <f t="shared" si="117"/>
        <v>52.5</v>
      </c>
      <c r="AI374" s="14"/>
      <c r="AJ374" s="14">
        <v>76</v>
      </c>
      <c r="AK374" s="14">
        <v>102</v>
      </c>
      <c r="AL374" s="48">
        <f t="shared" si="118"/>
        <v>89</v>
      </c>
      <c r="AM374" s="14"/>
      <c r="AN374" s="14">
        <v>138</v>
      </c>
      <c r="AO374" s="14">
        <v>138</v>
      </c>
      <c r="AP374" s="48">
        <f t="shared" si="119"/>
        <v>138</v>
      </c>
      <c r="AQ374" s="14"/>
      <c r="AR374" s="14">
        <v>138</v>
      </c>
      <c r="AS374" s="14">
        <v>125</v>
      </c>
      <c r="AT374" s="48">
        <f t="shared" si="120"/>
        <v>131.5</v>
      </c>
      <c r="AU374" s="14"/>
      <c r="AV374" s="14"/>
      <c r="AW374" s="14"/>
      <c r="AX374" s="49"/>
    </row>
    <row r="375" spans="1:50" ht="10.199999999999999" customHeight="1" x14ac:dyDescent="0.25">
      <c r="A375" s="14">
        <f t="shared" si="116"/>
        <v>20</v>
      </c>
      <c r="B375" s="102">
        <f t="shared" si="121"/>
        <v>38127</v>
      </c>
      <c r="C375" s="103">
        <v>38120</v>
      </c>
      <c r="D375" s="14"/>
      <c r="E375" s="14"/>
      <c r="F375" s="48"/>
      <c r="G375" s="14"/>
      <c r="H375" s="14"/>
      <c r="I375" s="14"/>
      <c r="J375" s="48"/>
      <c r="K375" s="14"/>
      <c r="L375" s="14"/>
      <c r="M375" s="14"/>
      <c r="N375" s="48"/>
      <c r="O375" s="14"/>
      <c r="P375" s="14"/>
      <c r="Q375" s="14"/>
      <c r="R375" s="48"/>
      <c r="S375" s="14"/>
      <c r="T375" s="14"/>
      <c r="U375" s="14"/>
      <c r="V375" s="48"/>
      <c r="W375" s="14"/>
      <c r="X375" s="14">
        <v>-1</v>
      </c>
      <c r="Y375" s="14">
        <v>-8</v>
      </c>
      <c r="Z375" s="48">
        <f t="shared" si="114"/>
        <v>-4.5</v>
      </c>
      <c r="AA375" s="14"/>
      <c r="AB375" s="14">
        <v>13</v>
      </c>
      <c r="AC375" s="14">
        <v>14</v>
      </c>
      <c r="AD375" s="48">
        <f t="shared" si="115"/>
        <v>13.5</v>
      </c>
      <c r="AE375" s="14"/>
      <c r="AF375" s="14">
        <v>37</v>
      </c>
      <c r="AG375" s="14">
        <v>23</v>
      </c>
      <c r="AH375" s="48">
        <f t="shared" si="117"/>
        <v>30</v>
      </c>
      <c r="AI375" s="14"/>
      <c r="AJ375" s="14">
        <v>98</v>
      </c>
      <c r="AK375" s="14">
        <v>54</v>
      </c>
      <c r="AL375" s="48">
        <f t="shared" si="118"/>
        <v>76</v>
      </c>
      <c r="AM375" s="14"/>
      <c r="AN375" s="14">
        <v>145</v>
      </c>
      <c r="AO375" s="14">
        <v>125</v>
      </c>
      <c r="AP375" s="48">
        <f t="shared" si="119"/>
        <v>135</v>
      </c>
      <c r="AQ375" s="14"/>
      <c r="AR375" s="14">
        <v>129</v>
      </c>
      <c r="AS375" s="14">
        <v>113</v>
      </c>
      <c r="AT375" s="48">
        <f t="shared" si="120"/>
        <v>121</v>
      </c>
      <c r="AU375" s="14"/>
      <c r="AV375" s="14"/>
      <c r="AW375" s="14"/>
      <c r="AX375" s="49"/>
    </row>
    <row r="376" spans="1:50" ht="10.199999999999999" customHeight="1" x14ac:dyDescent="0.25">
      <c r="A376" s="14">
        <f t="shared" si="116"/>
        <v>21</v>
      </c>
      <c r="B376" s="102">
        <f t="shared" si="121"/>
        <v>38134</v>
      </c>
      <c r="C376" s="103">
        <v>38127</v>
      </c>
      <c r="D376" s="14"/>
      <c r="E376" s="14"/>
      <c r="F376" s="48"/>
      <c r="G376" s="14"/>
      <c r="H376" s="14"/>
      <c r="I376" s="14"/>
      <c r="J376" s="48"/>
      <c r="K376" s="14"/>
      <c r="L376" s="14"/>
      <c r="M376" s="14"/>
      <c r="N376" s="48"/>
      <c r="O376" s="14"/>
      <c r="P376" s="14"/>
      <c r="Q376" s="14"/>
      <c r="R376" s="48"/>
      <c r="S376" s="14"/>
      <c r="T376" s="14"/>
      <c r="U376" s="14"/>
      <c r="V376" s="48"/>
      <c r="W376" s="14"/>
      <c r="X376" s="14"/>
      <c r="Y376" s="14"/>
      <c r="Z376" s="48"/>
      <c r="AA376" s="14"/>
      <c r="AB376" s="14">
        <v>10</v>
      </c>
      <c r="AC376" s="14">
        <v>-10</v>
      </c>
      <c r="AD376" s="48">
        <f t="shared" si="115"/>
        <v>0</v>
      </c>
      <c r="AE376" s="14"/>
      <c r="AF376" s="14">
        <v>34</v>
      </c>
      <c r="AG376" s="14">
        <v>10</v>
      </c>
      <c r="AH376" s="48">
        <f t="shared" si="117"/>
        <v>22</v>
      </c>
      <c r="AI376" s="14"/>
      <c r="AJ376" s="14">
        <v>96</v>
      </c>
      <c r="AK376" s="14">
        <v>48</v>
      </c>
      <c r="AL376" s="48">
        <f t="shared" si="118"/>
        <v>72</v>
      </c>
      <c r="AM376" s="14"/>
      <c r="AN376" s="14">
        <v>144</v>
      </c>
      <c r="AO376" s="14">
        <v>125</v>
      </c>
      <c r="AP376" s="48">
        <f t="shared" si="119"/>
        <v>134.5</v>
      </c>
      <c r="AQ376" s="14"/>
      <c r="AR376" s="14">
        <v>126</v>
      </c>
      <c r="AS376" s="14">
        <v>63</v>
      </c>
      <c r="AT376" s="48">
        <f t="shared" si="120"/>
        <v>94.5</v>
      </c>
      <c r="AU376" s="14"/>
      <c r="AV376" s="14">
        <v>88</v>
      </c>
      <c r="AW376" s="14"/>
      <c r="AX376" s="49"/>
    </row>
    <row r="377" spans="1:50" ht="10.199999999999999" customHeight="1" x14ac:dyDescent="0.25">
      <c r="A377" s="14">
        <f t="shared" si="116"/>
        <v>22</v>
      </c>
      <c r="B377" s="102">
        <f t="shared" si="121"/>
        <v>38141</v>
      </c>
      <c r="C377" s="103">
        <v>38134</v>
      </c>
      <c r="D377" s="14"/>
      <c r="E377" s="14"/>
      <c r="F377" s="48"/>
      <c r="G377" s="14"/>
      <c r="H377" s="14"/>
      <c r="I377" s="14"/>
      <c r="J377" s="48"/>
      <c r="K377" s="14"/>
      <c r="L377" s="14"/>
      <c r="M377" s="14"/>
      <c r="N377" s="48"/>
      <c r="O377" s="14"/>
      <c r="P377" s="14"/>
      <c r="Q377" s="14"/>
      <c r="R377" s="48"/>
      <c r="S377" s="14"/>
      <c r="T377" s="14"/>
      <c r="U377" s="14"/>
      <c r="V377" s="48"/>
      <c r="W377" s="14"/>
      <c r="X377" s="14"/>
      <c r="Y377" s="14"/>
      <c r="Z377" s="48"/>
      <c r="AA377" s="14"/>
      <c r="AB377" s="14">
        <v>5</v>
      </c>
      <c r="AC377" s="14">
        <v>-28</v>
      </c>
      <c r="AD377" s="48">
        <f t="shared" si="115"/>
        <v>-11.5</v>
      </c>
      <c r="AE377" s="14"/>
      <c r="AF377" s="14">
        <v>29</v>
      </c>
      <c r="AG377" s="14">
        <v>5</v>
      </c>
      <c r="AH377" s="48">
        <f t="shared" si="117"/>
        <v>17</v>
      </c>
      <c r="AI377" s="14"/>
      <c r="AJ377" s="14">
        <v>96</v>
      </c>
      <c r="AK377" s="14">
        <v>44</v>
      </c>
      <c r="AL377" s="48">
        <f t="shared" si="118"/>
        <v>70</v>
      </c>
      <c r="AM377" s="14"/>
      <c r="AN377" s="14">
        <v>154</v>
      </c>
      <c r="AO377" s="14">
        <v>125</v>
      </c>
      <c r="AP377" s="48">
        <f t="shared" si="119"/>
        <v>139.5</v>
      </c>
      <c r="AQ377" s="14"/>
      <c r="AR377" s="14">
        <v>134</v>
      </c>
      <c r="AS377" s="14">
        <v>115</v>
      </c>
      <c r="AT377" s="48">
        <f t="shared" si="120"/>
        <v>124.5</v>
      </c>
      <c r="AU377" s="14"/>
      <c r="AV377" s="14">
        <v>88</v>
      </c>
      <c r="AW377" s="14"/>
      <c r="AX377" s="49"/>
    </row>
    <row r="378" spans="1:50" ht="10.199999999999999" customHeight="1" x14ac:dyDescent="0.25">
      <c r="A378" s="14">
        <f t="shared" si="116"/>
        <v>23</v>
      </c>
      <c r="B378" s="102">
        <f t="shared" si="121"/>
        <v>38148</v>
      </c>
      <c r="C378" s="103">
        <v>38141</v>
      </c>
      <c r="D378" s="14"/>
      <c r="E378" s="14"/>
      <c r="F378" s="48"/>
      <c r="G378" s="14"/>
      <c r="H378" s="14"/>
      <c r="I378" s="14"/>
      <c r="J378" s="48"/>
      <c r="K378" s="14"/>
      <c r="L378" s="14"/>
      <c r="M378" s="14"/>
      <c r="N378" s="48"/>
      <c r="O378" s="14"/>
      <c r="P378" s="14"/>
      <c r="Q378" s="14"/>
      <c r="R378" s="48"/>
      <c r="S378" s="14"/>
      <c r="T378" s="14"/>
      <c r="U378" s="14"/>
      <c r="V378" s="48"/>
      <c r="W378" s="14"/>
      <c r="X378" s="14"/>
      <c r="Y378" s="14"/>
      <c r="Z378" s="48"/>
      <c r="AA378" s="14"/>
      <c r="AB378" s="14">
        <v>3</v>
      </c>
      <c r="AC378" s="14">
        <v>-3</v>
      </c>
      <c r="AD378" s="48">
        <f t="shared" si="115"/>
        <v>0</v>
      </c>
      <c r="AE378" s="14"/>
      <c r="AF378" s="14">
        <v>65</v>
      </c>
      <c r="AG378" s="14">
        <v>13</v>
      </c>
      <c r="AH378" s="48">
        <f t="shared" si="117"/>
        <v>39</v>
      </c>
      <c r="AI378" s="14"/>
      <c r="AJ378" s="14">
        <v>138</v>
      </c>
      <c r="AK378" s="14">
        <v>48</v>
      </c>
      <c r="AL378" s="48">
        <f t="shared" si="118"/>
        <v>93</v>
      </c>
      <c r="AM378" s="14"/>
      <c r="AN378" s="14">
        <v>125</v>
      </c>
      <c r="AO378" s="14"/>
      <c r="AP378" s="48">
        <f t="shared" si="119"/>
        <v>125</v>
      </c>
      <c r="AQ378" s="14"/>
      <c r="AR378" s="14">
        <v>100</v>
      </c>
      <c r="AS378" s="14"/>
      <c r="AT378" s="48">
        <f t="shared" si="120"/>
        <v>100</v>
      </c>
      <c r="AU378" s="14"/>
      <c r="AV378" s="14">
        <v>75</v>
      </c>
      <c r="AW378" s="14"/>
      <c r="AX378" s="49"/>
    </row>
    <row r="379" spans="1:50" ht="10.199999999999999" customHeight="1" x14ac:dyDescent="0.25">
      <c r="A379" s="14">
        <f t="shared" si="116"/>
        <v>24</v>
      </c>
      <c r="B379" s="102">
        <f t="shared" si="121"/>
        <v>38155</v>
      </c>
      <c r="C379" s="103">
        <v>38148</v>
      </c>
      <c r="D379" s="14"/>
      <c r="E379" s="14"/>
      <c r="F379" s="48"/>
      <c r="G379" s="14"/>
      <c r="H379" s="14"/>
      <c r="I379" s="14"/>
      <c r="J379" s="48"/>
      <c r="K379" s="14"/>
      <c r="L379" s="14"/>
      <c r="M379" s="14"/>
      <c r="N379" s="48"/>
      <c r="O379" s="14"/>
      <c r="P379" s="14"/>
      <c r="Q379" s="14"/>
      <c r="R379" s="48"/>
      <c r="S379" s="14"/>
      <c r="T379" s="14"/>
      <c r="U379" s="14"/>
      <c r="V379" s="48"/>
      <c r="W379" s="14"/>
      <c r="X379" s="14"/>
      <c r="Y379" s="14"/>
      <c r="Z379" s="48"/>
      <c r="AA379" s="14"/>
      <c r="AB379" s="14">
        <v>0</v>
      </c>
      <c r="AC379" s="14">
        <v>-2</v>
      </c>
      <c r="AD379" s="48">
        <f t="shared" si="115"/>
        <v>-1</v>
      </c>
      <c r="AE379" s="14"/>
      <c r="AF379" s="14">
        <v>54</v>
      </c>
      <c r="AG379" s="14">
        <v>8</v>
      </c>
      <c r="AH379" s="48">
        <f t="shared" si="117"/>
        <v>31</v>
      </c>
      <c r="AI379" s="14"/>
      <c r="AJ379" s="14">
        <v>125</v>
      </c>
      <c r="AK379" s="14">
        <v>48</v>
      </c>
      <c r="AL379" s="48">
        <f t="shared" si="118"/>
        <v>86.5</v>
      </c>
      <c r="AM379" s="14"/>
      <c r="AN379" s="14">
        <v>124</v>
      </c>
      <c r="AO379" s="14">
        <v>108</v>
      </c>
      <c r="AP379" s="48">
        <f t="shared" si="119"/>
        <v>116</v>
      </c>
      <c r="AQ379" s="14"/>
      <c r="AR379" s="14">
        <v>113</v>
      </c>
      <c r="AS379" s="14">
        <v>100</v>
      </c>
      <c r="AT379" s="48">
        <f t="shared" si="120"/>
        <v>106.5</v>
      </c>
      <c r="AU379" s="14"/>
      <c r="AV379" s="14">
        <v>100</v>
      </c>
      <c r="AW379" s="14">
        <v>60</v>
      </c>
      <c r="AX379" s="48">
        <f t="shared" ref="AX379:AX402" si="122">AVERAGE(AV379,AW379)</f>
        <v>80</v>
      </c>
    </row>
    <row r="380" spans="1:50" ht="10.199999999999999" customHeight="1" x14ac:dyDescent="0.25">
      <c r="A380" s="14">
        <f t="shared" si="116"/>
        <v>25</v>
      </c>
      <c r="B380" s="102">
        <f t="shared" si="121"/>
        <v>38162</v>
      </c>
      <c r="C380" s="103">
        <v>38155</v>
      </c>
      <c r="D380" s="14">
        <v>75</v>
      </c>
      <c r="E380" s="14"/>
      <c r="F380" s="48">
        <f>AVERAGE(D380,E380)</f>
        <v>75</v>
      </c>
      <c r="G380" s="14"/>
      <c r="H380" s="14"/>
      <c r="I380" s="14"/>
      <c r="J380" s="48"/>
      <c r="K380" s="14"/>
      <c r="L380" s="14"/>
      <c r="M380" s="14"/>
      <c r="N380" s="48"/>
      <c r="O380" s="14"/>
      <c r="P380" s="14"/>
      <c r="Q380" s="14"/>
      <c r="R380" s="48"/>
      <c r="S380" s="14"/>
      <c r="T380" s="14"/>
      <c r="U380" s="14"/>
      <c r="V380" s="48"/>
      <c r="W380" s="14"/>
      <c r="X380" s="14"/>
      <c r="Y380" s="14"/>
      <c r="Z380" s="48"/>
      <c r="AA380" s="14"/>
      <c r="AB380" s="14"/>
      <c r="AC380" s="14"/>
      <c r="AD380" s="48"/>
      <c r="AE380" s="14"/>
      <c r="AF380" s="14">
        <v>45</v>
      </c>
      <c r="AG380" s="14">
        <v>-1</v>
      </c>
      <c r="AH380" s="48">
        <f t="shared" si="117"/>
        <v>22</v>
      </c>
      <c r="AI380" s="14"/>
      <c r="AJ380" s="14">
        <v>106</v>
      </c>
      <c r="AK380" s="14">
        <v>30</v>
      </c>
      <c r="AL380" s="48">
        <f t="shared" si="118"/>
        <v>68</v>
      </c>
      <c r="AM380" s="14"/>
      <c r="AN380" s="14">
        <v>181</v>
      </c>
      <c r="AO380" s="14">
        <v>83</v>
      </c>
      <c r="AP380" s="48">
        <f t="shared" si="119"/>
        <v>132</v>
      </c>
      <c r="AQ380" s="14"/>
      <c r="AR380" s="14">
        <v>115</v>
      </c>
      <c r="AS380" s="14">
        <v>73</v>
      </c>
      <c r="AT380" s="48">
        <f t="shared" si="120"/>
        <v>94</v>
      </c>
      <c r="AU380" s="14"/>
      <c r="AV380" s="14">
        <v>117</v>
      </c>
      <c r="AW380" s="14">
        <v>68</v>
      </c>
      <c r="AX380" s="48">
        <f t="shared" si="122"/>
        <v>92.5</v>
      </c>
    </row>
    <row r="381" spans="1:50" ht="10.199999999999999" customHeight="1" x14ac:dyDescent="0.25">
      <c r="A381" s="14">
        <f t="shared" si="116"/>
        <v>26</v>
      </c>
      <c r="B381" s="102">
        <f t="shared" si="121"/>
        <v>38169</v>
      </c>
      <c r="C381" s="103">
        <v>38162</v>
      </c>
      <c r="D381" s="14"/>
      <c r="E381" s="14"/>
      <c r="F381" s="48"/>
      <c r="G381" s="14"/>
      <c r="H381" s="14"/>
      <c r="I381" s="14"/>
      <c r="J381" s="48"/>
      <c r="K381" s="14"/>
      <c r="L381" s="14"/>
      <c r="M381" s="14"/>
      <c r="N381" s="48"/>
      <c r="O381" s="14"/>
      <c r="P381" s="14"/>
      <c r="Q381" s="14"/>
      <c r="R381" s="48"/>
      <c r="S381" s="14"/>
      <c r="T381" s="14"/>
      <c r="U381" s="14"/>
      <c r="V381" s="48"/>
      <c r="W381" s="14"/>
      <c r="X381" s="14"/>
      <c r="Y381" s="14"/>
      <c r="Z381" s="48"/>
      <c r="AA381" s="14"/>
      <c r="AB381" s="14"/>
      <c r="AC381" s="14"/>
      <c r="AD381" s="48"/>
      <c r="AE381" s="14"/>
      <c r="AF381" s="14">
        <v>0</v>
      </c>
      <c r="AG381" s="14">
        <v>-25</v>
      </c>
      <c r="AH381" s="48">
        <f t="shared" si="117"/>
        <v>-12.5</v>
      </c>
      <c r="AI381" s="14"/>
      <c r="AJ381" s="14">
        <v>50</v>
      </c>
      <c r="AK381" s="14">
        <v>-20</v>
      </c>
      <c r="AL381" s="48">
        <f t="shared" si="118"/>
        <v>15</v>
      </c>
      <c r="AM381" s="14"/>
      <c r="AN381" s="14">
        <v>145</v>
      </c>
      <c r="AO381" s="14">
        <v>75</v>
      </c>
      <c r="AP381" s="48">
        <f t="shared" si="119"/>
        <v>110</v>
      </c>
      <c r="AQ381" s="14"/>
      <c r="AR381" s="14">
        <v>80</v>
      </c>
      <c r="AS381" s="14">
        <v>70</v>
      </c>
      <c r="AT381" s="48">
        <f t="shared" si="120"/>
        <v>75</v>
      </c>
      <c r="AU381" s="14"/>
      <c r="AV381" s="14">
        <v>75</v>
      </c>
      <c r="AW381" s="14">
        <v>60</v>
      </c>
      <c r="AX381" s="48">
        <f t="shared" si="122"/>
        <v>67.5</v>
      </c>
    </row>
    <row r="382" spans="1:50" ht="10.199999999999999" customHeight="1" x14ac:dyDescent="0.25">
      <c r="A382" s="14">
        <f t="shared" si="116"/>
        <v>27</v>
      </c>
      <c r="B382" s="102">
        <f t="shared" si="121"/>
        <v>38176</v>
      </c>
      <c r="C382" s="103">
        <v>38169</v>
      </c>
      <c r="D382" s="14"/>
      <c r="E382" s="14"/>
      <c r="F382" s="48"/>
      <c r="G382" s="14"/>
      <c r="H382" s="14"/>
      <c r="I382" s="14"/>
      <c r="J382" s="48"/>
      <c r="K382" s="14"/>
      <c r="L382" s="14"/>
      <c r="M382" s="14"/>
      <c r="N382" s="48"/>
      <c r="O382" s="14"/>
      <c r="P382" s="14"/>
      <c r="Q382" s="14"/>
      <c r="R382" s="48"/>
      <c r="S382" s="14"/>
      <c r="T382" s="14"/>
      <c r="U382" s="14"/>
      <c r="V382" s="48"/>
      <c r="W382" s="14"/>
      <c r="X382" s="14"/>
      <c r="Y382" s="14"/>
      <c r="Z382" s="48"/>
      <c r="AA382" s="14"/>
      <c r="AB382" s="14"/>
      <c r="AC382" s="14"/>
      <c r="AD382" s="48"/>
      <c r="AE382" s="14"/>
      <c r="AF382" s="14">
        <v>-43</v>
      </c>
      <c r="AG382" s="14">
        <v>-71</v>
      </c>
      <c r="AH382" s="48">
        <f t="shared" si="117"/>
        <v>-57</v>
      </c>
      <c r="AI382" s="14"/>
      <c r="AJ382" s="14">
        <v>26</v>
      </c>
      <c r="AK382" s="14">
        <v>-25</v>
      </c>
      <c r="AL382" s="48">
        <f t="shared" si="118"/>
        <v>0.5</v>
      </c>
      <c r="AM382" s="14"/>
      <c r="AN382" s="14">
        <v>100</v>
      </c>
      <c r="AO382" s="14">
        <v>63</v>
      </c>
      <c r="AP382" s="48">
        <f t="shared" si="119"/>
        <v>81.5</v>
      </c>
      <c r="AQ382" s="14"/>
      <c r="AR382" s="14">
        <v>75</v>
      </c>
      <c r="AS382" s="14">
        <v>85</v>
      </c>
      <c r="AT382" s="48">
        <f t="shared" si="120"/>
        <v>80</v>
      </c>
      <c r="AU382" s="14"/>
      <c r="AV382" s="14">
        <v>63</v>
      </c>
      <c r="AW382" s="14">
        <v>74</v>
      </c>
      <c r="AX382" s="48">
        <f t="shared" si="122"/>
        <v>68.5</v>
      </c>
    </row>
    <row r="383" spans="1:50" ht="10.199999999999999" customHeight="1" x14ac:dyDescent="0.25">
      <c r="A383" s="14">
        <f t="shared" si="116"/>
        <v>28</v>
      </c>
      <c r="B383" s="102">
        <f t="shared" si="121"/>
        <v>38183</v>
      </c>
      <c r="C383" s="103">
        <v>38176</v>
      </c>
      <c r="D383" s="14"/>
      <c r="E383" s="14"/>
      <c r="F383" s="48"/>
      <c r="G383" s="14"/>
      <c r="H383" s="14"/>
      <c r="I383" s="14"/>
      <c r="J383" s="48"/>
      <c r="K383" s="14"/>
      <c r="L383" s="14"/>
      <c r="M383" s="14"/>
      <c r="N383" s="48"/>
      <c r="O383" s="14"/>
      <c r="P383" s="14"/>
      <c r="Q383" s="14"/>
      <c r="R383" s="48"/>
      <c r="S383" s="14"/>
      <c r="T383" s="14"/>
      <c r="U383" s="14"/>
      <c r="V383" s="48"/>
      <c r="W383" s="14"/>
      <c r="X383" s="14"/>
      <c r="Y383" s="14"/>
      <c r="Z383" s="48"/>
      <c r="AA383" s="14"/>
      <c r="AB383" s="14"/>
      <c r="AC383" s="14"/>
      <c r="AD383" s="48"/>
      <c r="AE383" s="14"/>
      <c r="AF383" s="14">
        <v>-73</v>
      </c>
      <c r="AG383" s="14">
        <v>-42</v>
      </c>
      <c r="AH383" s="48">
        <f t="shared" si="117"/>
        <v>-57.5</v>
      </c>
      <c r="AI383" s="14"/>
      <c r="AJ383" s="14">
        <v>-2</v>
      </c>
      <c r="AK383" s="14">
        <v>-5</v>
      </c>
      <c r="AL383" s="48">
        <f t="shared" si="118"/>
        <v>-3.5</v>
      </c>
      <c r="AM383" s="14"/>
      <c r="AN383" s="14">
        <v>67</v>
      </c>
      <c r="AO383" s="14">
        <v>82</v>
      </c>
      <c r="AP383" s="48">
        <f t="shared" si="119"/>
        <v>74.5</v>
      </c>
      <c r="AQ383" s="14"/>
      <c r="AR383" s="14">
        <v>51</v>
      </c>
      <c r="AS383" s="14">
        <v>60</v>
      </c>
      <c r="AT383" s="48">
        <f t="shared" si="120"/>
        <v>55.5</v>
      </c>
      <c r="AU383" s="14"/>
      <c r="AV383" s="14">
        <v>60</v>
      </c>
      <c r="AW383" s="14">
        <v>60</v>
      </c>
      <c r="AX383" s="48">
        <f t="shared" si="122"/>
        <v>60</v>
      </c>
    </row>
    <row r="384" spans="1:50" ht="10.199999999999999" customHeight="1" x14ac:dyDescent="0.25">
      <c r="A384" s="14">
        <f t="shared" si="116"/>
        <v>29</v>
      </c>
      <c r="B384" s="102">
        <f t="shared" si="121"/>
        <v>38190</v>
      </c>
      <c r="C384" s="103">
        <v>38183</v>
      </c>
      <c r="D384" s="14">
        <v>50</v>
      </c>
      <c r="E384" s="14"/>
      <c r="F384" s="48">
        <f>AVERAGE(D384,E384)</f>
        <v>50</v>
      </c>
      <c r="G384" s="14"/>
      <c r="H384" s="14">
        <v>40</v>
      </c>
      <c r="I384" s="14"/>
      <c r="J384" s="48">
        <f>AVERAGE(H384,I384)</f>
        <v>40</v>
      </c>
      <c r="K384" s="14"/>
      <c r="L384" s="14"/>
      <c r="M384" s="14"/>
      <c r="N384" s="48"/>
      <c r="O384" s="14"/>
      <c r="P384" s="14"/>
      <c r="Q384" s="14"/>
      <c r="R384" s="48"/>
      <c r="S384" s="14"/>
      <c r="T384" s="14"/>
      <c r="U384" s="14"/>
      <c r="V384" s="48"/>
      <c r="W384" s="14"/>
      <c r="X384" s="14"/>
      <c r="Y384" s="14"/>
      <c r="Z384" s="48"/>
      <c r="AA384" s="14"/>
      <c r="AB384" s="14"/>
      <c r="AC384" s="14"/>
      <c r="AD384" s="48"/>
      <c r="AE384" s="14"/>
      <c r="AF384" s="14"/>
      <c r="AG384" s="14"/>
      <c r="AH384" s="48"/>
      <c r="AI384" s="14"/>
      <c r="AJ384" s="14">
        <v>6</v>
      </c>
      <c r="AK384" s="14">
        <v>-2</v>
      </c>
      <c r="AL384" s="48">
        <f t="shared" si="118"/>
        <v>2</v>
      </c>
      <c r="AM384" s="14"/>
      <c r="AN384" s="14">
        <v>78</v>
      </c>
      <c r="AO384" s="14">
        <v>88</v>
      </c>
      <c r="AP384" s="48">
        <f t="shared" si="119"/>
        <v>83</v>
      </c>
      <c r="AQ384" s="14"/>
      <c r="AR384" s="14">
        <v>52</v>
      </c>
      <c r="AS384" s="14">
        <v>53</v>
      </c>
      <c r="AT384" s="48">
        <f t="shared" si="120"/>
        <v>52.5</v>
      </c>
      <c r="AU384" s="14"/>
      <c r="AV384" s="14">
        <v>60</v>
      </c>
      <c r="AW384" s="14">
        <v>35</v>
      </c>
      <c r="AX384" s="48">
        <f t="shared" si="122"/>
        <v>47.5</v>
      </c>
    </row>
    <row r="385" spans="1:50" ht="10.199999999999999" customHeight="1" x14ac:dyDescent="0.25">
      <c r="A385" s="14">
        <f t="shared" si="116"/>
        <v>30</v>
      </c>
      <c r="B385" s="102">
        <f t="shared" si="121"/>
        <v>38197</v>
      </c>
      <c r="C385" s="103">
        <v>38190</v>
      </c>
      <c r="D385" s="14"/>
      <c r="E385" s="14"/>
      <c r="F385" s="48"/>
      <c r="G385" s="14"/>
      <c r="H385" s="14"/>
      <c r="I385" s="14"/>
      <c r="J385" s="48"/>
      <c r="K385" s="14"/>
      <c r="L385" s="14"/>
      <c r="M385" s="14"/>
      <c r="N385" s="48"/>
      <c r="O385" s="14"/>
      <c r="P385" s="14"/>
      <c r="Q385" s="14"/>
      <c r="R385" s="48"/>
      <c r="S385" s="14"/>
      <c r="T385" s="14"/>
      <c r="U385" s="14"/>
      <c r="V385" s="48"/>
      <c r="W385" s="14"/>
      <c r="X385" s="14"/>
      <c r="Y385" s="14"/>
      <c r="Z385" s="48"/>
      <c r="AA385" s="14"/>
      <c r="AB385" s="14"/>
      <c r="AC385" s="14"/>
      <c r="AD385" s="48"/>
      <c r="AE385" s="14"/>
      <c r="AF385" s="14"/>
      <c r="AG385" s="14"/>
      <c r="AH385" s="48"/>
      <c r="AI385" s="14"/>
      <c r="AJ385" s="14">
        <v>25</v>
      </c>
      <c r="AK385" s="14">
        <v>36</v>
      </c>
      <c r="AL385" s="48">
        <f t="shared" si="118"/>
        <v>30.5</v>
      </c>
      <c r="AM385" s="14"/>
      <c r="AN385" s="14">
        <v>50</v>
      </c>
      <c r="AO385" s="14">
        <v>65</v>
      </c>
      <c r="AP385" s="48">
        <f t="shared" si="119"/>
        <v>57.5</v>
      </c>
      <c r="AQ385" s="14"/>
      <c r="AR385" s="14">
        <v>36</v>
      </c>
      <c r="AS385" s="14">
        <v>55</v>
      </c>
      <c r="AT385" s="48">
        <f t="shared" si="120"/>
        <v>45.5</v>
      </c>
      <c r="AU385" s="14"/>
      <c r="AV385" s="14">
        <v>70</v>
      </c>
      <c r="AW385" s="14">
        <v>47</v>
      </c>
      <c r="AX385" s="48">
        <f t="shared" si="122"/>
        <v>58.5</v>
      </c>
    </row>
    <row r="386" spans="1:50" ht="10.199999999999999" customHeight="1" x14ac:dyDescent="0.25">
      <c r="A386" s="14">
        <f t="shared" si="116"/>
        <v>31</v>
      </c>
      <c r="B386" s="102">
        <f t="shared" si="121"/>
        <v>38204</v>
      </c>
      <c r="C386" s="103">
        <v>38197</v>
      </c>
      <c r="D386" s="14"/>
      <c r="E386" s="14"/>
      <c r="F386" s="48"/>
      <c r="G386" s="14"/>
      <c r="H386" s="14"/>
      <c r="I386" s="14"/>
      <c r="J386" s="48"/>
      <c r="K386" s="14"/>
      <c r="L386" s="14"/>
      <c r="M386" s="14"/>
      <c r="N386" s="48"/>
      <c r="O386" s="14"/>
      <c r="P386" s="14"/>
      <c r="Q386" s="14"/>
      <c r="R386" s="48"/>
      <c r="S386" s="14"/>
      <c r="T386" s="14"/>
      <c r="U386" s="14"/>
      <c r="V386" s="48"/>
      <c r="W386" s="14"/>
      <c r="X386" s="14"/>
      <c r="Y386" s="14"/>
      <c r="Z386" s="48"/>
      <c r="AA386" s="14"/>
      <c r="AB386" s="14"/>
      <c r="AC386" s="14"/>
      <c r="AD386" s="48"/>
      <c r="AE386" s="14"/>
      <c r="AF386" s="14"/>
      <c r="AG386" s="14"/>
      <c r="AH386" s="48"/>
      <c r="AI386" s="14"/>
      <c r="AJ386" s="14">
        <v>94</v>
      </c>
      <c r="AK386" s="14">
        <v>116</v>
      </c>
      <c r="AL386" s="48">
        <f t="shared" si="118"/>
        <v>105</v>
      </c>
      <c r="AM386" s="14"/>
      <c r="AN386" s="14">
        <v>108</v>
      </c>
      <c r="AO386" s="14">
        <v>138</v>
      </c>
      <c r="AP386" s="48">
        <f t="shared" si="119"/>
        <v>123</v>
      </c>
      <c r="AQ386" s="14"/>
      <c r="AR386" s="14">
        <v>75</v>
      </c>
      <c r="AS386" s="14">
        <v>122</v>
      </c>
      <c r="AT386" s="48">
        <f t="shared" si="120"/>
        <v>98.5</v>
      </c>
      <c r="AU386" s="14"/>
      <c r="AV386" s="14">
        <v>88</v>
      </c>
      <c r="AW386" s="14">
        <v>92</v>
      </c>
      <c r="AX386" s="48">
        <f t="shared" si="122"/>
        <v>90</v>
      </c>
    </row>
    <row r="387" spans="1:50" ht="10.199999999999999" customHeight="1" x14ac:dyDescent="0.25">
      <c r="A387" s="14">
        <f t="shared" si="116"/>
        <v>32</v>
      </c>
      <c r="B387" s="102">
        <f t="shared" si="121"/>
        <v>38211</v>
      </c>
      <c r="C387" s="103">
        <v>38204</v>
      </c>
      <c r="D387" s="14"/>
      <c r="E387" s="14"/>
      <c r="F387" s="48"/>
      <c r="G387" s="14"/>
      <c r="H387" s="14"/>
      <c r="I387" s="14"/>
      <c r="J387" s="48"/>
      <c r="K387" s="14"/>
      <c r="L387" s="14"/>
      <c r="M387" s="14"/>
      <c r="N387" s="48"/>
      <c r="O387" s="14"/>
      <c r="P387" s="14"/>
      <c r="Q387" s="14"/>
      <c r="R387" s="48"/>
      <c r="S387" s="14"/>
      <c r="T387" s="14"/>
      <c r="U387" s="14"/>
      <c r="V387" s="48"/>
      <c r="W387" s="14"/>
      <c r="X387" s="14"/>
      <c r="Y387" s="14"/>
      <c r="Z387" s="48"/>
      <c r="AA387" s="14"/>
      <c r="AB387" s="14"/>
      <c r="AC387" s="14"/>
      <c r="AD387" s="48"/>
      <c r="AE387" s="14"/>
      <c r="AF387" s="14"/>
      <c r="AG387" s="14"/>
      <c r="AH387" s="48"/>
      <c r="AI387" s="14"/>
      <c r="AJ387" s="14">
        <v>55</v>
      </c>
      <c r="AK387" s="14">
        <v>60</v>
      </c>
      <c r="AL387" s="48">
        <f t="shared" si="118"/>
        <v>57.5</v>
      </c>
      <c r="AM387" s="14"/>
      <c r="AN387" s="14">
        <v>91</v>
      </c>
      <c r="AO387" s="14">
        <v>103</v>
      </c>
      <c r="AP387" s="48">
        <f t="shared" si="119"/>
        <v>97</v>
      </c>
      <c r="AQ387" s="14"/>
      <c r="AR387" s="14">
        <v>75</v>
      </c>
      <c r="AS387" s="14">
        <v>120</v>
      </c>
      <c r="AT387" s="48">
        <f t="shared" si="120"/>
        <v>97.5</v>
      </c>
      <c r="AU387" s="14"/>
      <c r="AV387" s="14">
        <v>113</v>
      </c>
      <c r="AW387" s="14">
        <v>100</v>
      </c>
      <c r="AX387" s="48">
        <f t="shared" si="122"/>
        <v>106.5</v>
      </c>
    </row>
    <row r="388" spans="1:50" ht="10.199999999999999" customHeight="1" x14ac:dyDescent="0.25">
      <c r="A388" s="14">
        <f t="shared" si="116"/>
        <v>33</v>
      </c>
      <c r="B388" s="102">
        <f t="shared" si="121"/>
        <v>38218</v>
      </c>
      <c r="C388" s="103">
        <v>38211</v>
      </c>
      <c r="D388" s="14"/>
      <c r="E388" s="14"/>
      <c r="F388" s="48"/>
      <c r="G388" s="14"/>
      <c r="H388" s="14"/>
      <c r="I388" s="14"/>
      <c r="J388" s="48"/>
      <c r="K388" s="14"/>
      <c r="L388" s="14"/>
      <c r="M388" s="14"/>
      <c r="N388" s="48"/>
      <c r="O388" s="14"/>
      <c r="P388" s="14"/>
      <c r="Q388" s="14"/>
      <c r="R388" s="48"/>
      <c r="S388" s="14"/>
      <c r="T388" s="14"/>
      <c r="U388" s="14"/>
      <c r="V388" s="48"/>
      <c r="W388" s="14"/>
      <c r="X388" s="14"/>
      <c r="Y388" s="14"/>
      <c r="Z388" s="48"/>
      <c r="AA388" s="14"/>
      <c r="AB388" s="14"/>
      <c r="AC388" s="14"/>
      <c r="AD388" s="48"/>
      <c r="AE388" s="14"/>
      <c r="AF388" s="14"/>
      <c r="AG388" s="14"/>
      <c r="AH388" s="48"/>
      <c r="AI388" s="14"/>
      <c r="AJ388" s="14">
        <v>47</v>
      </c>
      <c r="AK388" s="14">
        <v>73</v>
      </c>
      <c r="AL388" s="48">
        <f t="shared" si="118"/>
        <v>60</v>
      </c>
      <c r="AM388" s="14"/>
      <c r="AN388" s="14">
        <v>94</v>
      </c>
      <c r="AO388" s="14">
        <v>116</v>
      </c>
      <c r="AP388" s="48">
        <f t="shared" si="119"/>
        <v>105</v>
      </c>
      <c r="AQ388" s="14"/>
      <c r="AR388" s="14">
        <v>88</v>
      </c>
      <c r="AS388" s="14">
        <v>110</v>
      </c>
      <c r="AT388" s="48">
        <f t="shared" si="120"/>
        <v>99</v>
      </c>
      <c r="AU388" s="14"/>
      <c r="AV388" s="14">
        <v>113</v>
      </c>
      <c r="AW388" s="14">
        <v>100</v>
      </c>
      <c r="AX388" s="48">
        <f t="shared" si="122"/>
        <v>106.5</v>
      </c>
    </row>
    <row r="389" spans="1:50" ht="10.199999999999999" customHeight="1" x14ac:dyDescent="0.25">
      <c r="A389" s="14">
        <f t="shared" ref="A389:A407" si="123">+A388+1</f>
        <v>34</v>
      </c>
      <c r="B389" s="102">
        <f t="shared" si="121"/>
        <v>38225</v>
      </c>
      <c r="C389" s="103">
        <v>38218</v>
      </c>
      <c r="D389" s="14"/>
      <c r="E389" s="14"/>
      <c r="F389" s="48"/>
      <c r="G389" s="14"/>
      <c r="H389" s="14"/>
      <c r="I389" s="14"/>
      <c r="J389" s="48"/>
      <c r="K389" s="14"/>
      <c r="L389" s="14"/>
      <c r="M389" s="14"/>
      <c r="N389" s="48"/>
      <c r="O389" s="14"/>
      <c r="P389" s="14"/>
      <c r="Q389" s="14"/>
      <c r="R389" s="48"/>
      <c r="S389" s="14"/>
      <c r="T389" s="14"/>
      <c r="U389" s="14"/>
      <c r="V389" s="48"/>
      <c r="W389" s="14"/>
      <c r="X389" s="14"/>
      <c r="Y389" s="14"/>
      <c r="Z389" s="48"/>
      <c r="AA389" s="14"/>
      <c r="AB389" s="14"/>
      <c r="AC389" s="14"/>
      <c r="AD389" s="48"/>
      <c r="AE389" s="14"/>
      <c r="AF389" s="14"/>
      <c r="AG389" s="14"/>
      <c r="AH389" s="48"/>
      <c r="AI389" s="14"/>
      <c r="AJ389" s="14"/>
      <c r="AK389" s="14"/>
      <c r="AL389" s="48"/>
      <c r="AM389" s="14"/>
      <c r="AN389" s="14">
        <v>64</v>
      </c>
      <c r="AO389" s="14">
        <v>54</v>
      </c>
      <c r="AP389" s="48">
        <f t="shared" si="119"/>
        <v>59</v>
      </c>
      <c r="AQ389" s="14"/>
      <c r="AR389" s="14">
        <v>53</v>
      </c>
      <c r="AS389" s="14">
        <v>46</v>
      </c>
      <c r="AT389" s="48">
        <f t="shared" si="120"/>
        <v>49.5</v>
      </c>
      <c r="AU389" s="14"/>
      <c r="AV389" s="14">
        <v>38</v>
      </c>
      <c r="AW389" s="14">
        <v>33</v>
      </c>
      <c r="AX389" s="48">
        <f t="shared" si="122"/>
        <v>35.5</v>
      </c>
    </row>
    <row r="390" spans="1:50" ht="10.199999999999999" customHeight="1" x14ac:dyDescent="0.25">
      <c r="A390" s="14">
        <f t="shared" si="123"/>
        <v>35</v>
      </c>
      <c r="B390" s="102">
        <f t="shared" si="121"/>
        <v>38232</v>
      </c>
      <c r="C390" s="103">
        <v>38225</v>
      </c>
      <c r="D390" s="14"/>
      <c r="E390" s="14"/>
      <c r="F390" s="48"/>
      <c r="G390" s="14"/>
      <c r="H390" s="14"/>
      <c r="I390" s="14"/>
      <c r="J390" s="48"/>
      <c r="K390" s="14"/>
      <c r="L390" s="14"/>
      <c r="M390" s="14"/>
      <c r="N390" s="48"/>
      <c r="O390" s="14"/>
      <c r="P390" s="14"/>
      <c r="Q390" s="14"/>
      <c r="R390" s="48"/>
      <c r="S390" s="14"/>
      <c r="T390" s="14"/>
      <c r="U390" s="14"/>
      <c r="V390" s="48"/>
      <c r="W390" s="14"/>
      <c r="X390" s="14"/>
      <c r="Y390" s="14"/>
      <c r="Z390" s="48"/>
      <c r="AA390" s="14"/>
      <c r="AB390" s="14"/>
      <c r="AC390" s="14"/>
      <c r="AD390" s="48"/>
      <c r="AE390" s="14"/>
      <c r="AF390" s="14"/>
      <c r="AG390" s="14"/>
      <c r="AH390" s="48"/>
      <c r="AI390" s="14"/>
      <c r="AJ390" s="14"/>
      <c r="AK390" s="14"/>
      <c r="AL390" s="48"/>
      <c r="AM390" s="14"/>
      <c r="AN390" s="14">
        <v>33</v>
      </c>
      <c r="AO390" s="14">
        <v>28</v>
      </c>
      <c r="AP390" s="48">
        <f t="shared" si="119"/>
        <v>30.5</v>
      </c>
      <c r="AQ390" s="14"/>
      <c r="AR390" s="14">
        <v>25</v>
      </c>
      <c r="AS390" s="14">
        <v>27</v>
      </c>
      <c r="AT390" s="48">
        <f t="shared" si="120"/>
        <v>26</v>
      </c>
      <c r="AU390" s="14"/>
      <c r="AV390" s="14">
        <v>25</v>
      </c>
      <c r="AW390" s="14">
        <v>20</v>
      </c>
      <c r="AX390" s="48">
        <f t="shared" si="122"/>
        <v>22.5</v>
      </c>
    </row>
    <row r="391" spans="1:50" ht="10.199999999999999" customHeight="1" x14ac:dyDescent="0.25">
      <c r="A391" s="14">
        <f t="shared" si="123"/>
        <v>36</v>
      </c>
      <c r="B391" s="102">
        <f t="shared" si="121"/>
        <v>38239</v>
      </c>
      <c r="C391" s="103">
        <v>38232</v>
      </c>
      <c r="D391" s="14"/>
      <c r="E391" s="14"/>
      <c r="F391" s="48"/>
      <c r="G391" s="14"/>
      <c r="H391" s="14"/>
      <c r="I391" s="14"/>
      <c r="J391" s="48"/>
      <c r="K391" s="14"/>
      <c r="L391" s="14"/>
      <c r="M391" s="14"/>
      <c r="N391" s="48"/>
      <c r="O391" s="14"/>
      <c r="P391" s="14"/>
      <c r="Q391" s="14"/>
      <c r="R391" s="48"/>
      <c r="S391" s="14"/>
      <c r="T391" s="14"/>
      <c r="U391" s="14"/>
      <c r="V391" s="48"/>
      <c r="W391" s="14"/>
      <c r="X391" s="14"/>
      <c r="Y391" s="14"/>
      <c r="Z391" s="48"/>
      <c r="AA391" s="14"/>
      <c r="AB391" s="14"/>
      <c r="AC391" s="14"/>
      <c r="AD391" s="48"/>
      <c r="AE391" s="14"/>
      <c r="AF391" s="14"/>
      <c r="AG391" s="14"/>
      <c r="AH391" s="48"/>
      <c r="AI391" s="14"/>
      <c r="AJ391" s="14"/>
      <c r="AK391" s="14"/>
      <c r="AL391" s="48"/>
      <c r="AM391" s="14"/>
      <c r="AN391" s="14">
        <v>-16</v>
      </c>
      <c r="AO391" s="14">
        <v>16</v>
      </c>
      <c r="AP391" s="48">
        <f t="shared" si="119"/>
        <v>0</v>
      </c>
      <c r="AQ391" s="14"/>
      <c r="AR391" s="14">
        <v>0</v>
      </c>
      <c r="AS391" s="14">
        <v>28</v>
      </c>
      <c r="AT391" s="48">
        <f t="shared" si="120"/>
        <v>14</v>
      </c>
      <c r="AU391" s="14"/>
      <c r="AV391" s="14">
        <v>2</v>
      </c>
      <c r="AW391" s="14">
        <v>15</v>
      </c>
      <c r="AX391" s="48">
        <f t="shared" si="122"/>
        <v>8.5</v>
      </c>
    </row>
    <row r="392" spans="1:50" ht="10.199999999999999" customHeight="1" x14ac:dyDescent="0.25">
      <c r="A392" s="14">
        <f t="shared" si="123"/>
        <v>37</v>
      </c>
      <c r="B392" s="102">
        <f t="shared" si="121"/>
        <v>38246</v>
      </c>
      <c r="C392" s="103">
        <v>38239</v>
      </c>
      <c r="D392" s="14"/>
      <c r="E392" s="14"/>
      <c r="F392" s="48"/>
      <c r="G392" s="14"/>
      <c r="H392" s="14"/>
      <c r="I392" s="14"/>
      <c r="J392" s="48"/>
      <c r="K392" s="14"/>
      <c r="L392" s="14"/>
      <c r="M392" s="14"/>
      <c r="N392" s="48"/>
      <c r="O392" s="14"/>
      <c r="P392" s="14"/>
      <c r="Q392" s="14"/>
      <c r="R392" s="48"/>
      <c r="S392" s="14"/>
      <c r="T392" s="14"/>
      <c r="U392" s="14"/>
      <c r="V392" s="48"/>
      <c r="W392" s="14"/>
      <c r="X392" s="14"/>
      <c r="Y392" s="14"/>
      <c r="Z392" s="48"/>
      <c r="AA392" s="14"/>
      <c r="AB392" s="14"/>
      <c r="AC392" s="14"/>
      <c r="AD392" s="48"/>
      <c r="AE392" s="14"/>
      <c r="AF392" s="14"/>
      <c r="AG392" s="14"/>
      <c r="AH392" s="48"/>
      <c r="AI392" s="14"/>
      <c r="AJ392" s="14"/>
      <c r="AK392" s="14"/>
      <c r="AL392" s="48"/>
      <c r="AM392" s="14"/>
      <c r="AN392" s="14">
        <v>52</v>
      </c>
      <c r="AO392" s="14">
        <v>51</v>
      </c>
      <c r="AP392" s="48">
        <f t="shared" si="119"/>
        <v>51.5</v>
      </c>
      <c r="AQ392" s="14"/>
      <c r="AR392" s="14">
        <v>31</v>
      </c>
      <c r="AS392" s="14">
        <v>55</v>
      </c>
      <c r="AT392" s="48">
        <f t="shared" si="120"/>
        <v>43</v>
      </c>
      <c r="AU392" s="14"/>
      <c r="AV392" s="14">
        <v>28</v>
      </c>
      <c r="AW392" s="14">
        <v>30</v>
      </c>
      <c r="AX392" s="48">
        <f t="shared" si="122"/>
        <v>29</v>
      </c>
    </row>
    <row r="393" spans="1:50" ht="10.199999999999999" customHeight="1" x14ac:dyDescent="0.25">
      <c r="A393" s="14">
        <f t="shared" si="123"/>
        <v>38</v>
      </c>
      <c r="B393" s="102">
        <f t="shared" si="121"/>
        <v>38253</v>
      </c>
      <c r="C393" s="103">
        <v>38246</v>
      </c>
      <c r="D393" s="14"/>
      <c r="E393" s="14"/>
      <c r="F393" s="48"/>
      <c r="G393" s="14"/>
      <c r="H393" s="14"/>
      <c r="I393" s="14"/>
      <c r="J393" s="48"/>
      <c r="K393" s="14"/>
      <c r="L393" s="14"/>
      <c r="M393" s="14"/>
      <c r="N393" s="48"/>
      <c r="O393" s="14"/>
      <c r="P393" s="14"/>
      <c r="Q393" s="14"/>
      <c r="R393" s="48"/>
      <c r="S393" s="14"/>
      <c r="T393" s="14"/>
      <c r="U393" s="14"/>
      <c r="V393" s="48"/>
      <c r="W393" s="14"/>
      <c r="X393" s="14"/>
      <c r="Y393" s="14"/>
      <c r="Z393" s="48"/>
      <c r="AA393" s="14"/>
      <c r="AB393" s="14"/>
      <c r="AC393" s="14"/>
      <c r="AD393" s="48"/>
      <c r="AE393" s="14"/>
      <c r="AF393" s="14"/>
      <c r="AG393" s="14"/>
      <c r="AH393" s="48"/>
      <c r="AI393" s="14"/>
      <c r="AJ393" s="14"/>
      <c r="AK393" s="14"/>
      <c r="AL393" s="48"/>
      <c r="AM393" s="14"/>
      <c r="AN393" s="14"/>
      <c r="AO393" s="14"/>
      <c r="AP393" s="48"/>
      <c r="AQ393" s="14"/>
      <c r="AR393" s="14">
        <v>73</v>
      </c>
      <c r="AS393" s="14">
        <v>106</v>
      </c>
      <c r="AT393" s="48">
        <f t="shared" si="120"/>
        <v>89.5</v>
      </c>
      <c r="AU393" s="14"/>
      <c r="AV393" s="14">
        <v>32</v>
      </c>
      <c r="AW393" s="14">
        <v>69</v>
      </c>
      <c r="AX393" s="48">
        <f t="shared" si="122"/>
        <v>50.5</v>
      </c>
    </row>
    <row r="394" spans="1:50" ht="10.199999999999999" customHeight="1" x14ac:dyDescent="0.25">
      <c r="A394" s="14">
        <f t="shared" si="123"/>
        <v>39</v>
      </c>
      <c r="B394" s="102">
        <f t="shared" si="121"/>
        <v>38260</v>
      </c>
      <c r="C394" s="103">
        <v>38253</v>
      </c>
      <c r="D394" s="14"/>
      <c r="E394" s="14"/>
      <c r="F394" s="48"/>
      <c r="G394" s="14"/>
      <c r="H394" s="14"/>
      <c r="I394" s="14"/>
      <c r="J394" s="48"/>
      <c r="K394" s="14"/>
      <c r="L394" s="14"/>
      <c r="M394" s="14"/>
      <c r="N394" s="48"/>
      <c r="O394" s="14"/>
      <c r="P394" s="14"/>
      <c r="Q394" s="14"/>
      <c r="R394" s="48"/>
      <c r="S394" s="14"/>
      <c r="T394" s="14"/>
      <c r="U394" s="14"/>
      <c r="V394" s="48"/>
      <c r="W394" s="14"/>
      <c r="X394" s="14"/>
      <c r="Y394" s="14"/>
      <c r="Z394" s="48"/>
      <c r="AA394" s="14"/>
      <c r="AB394" s="14"/>
      <c r="AC394" s="14"/>
      <c r="AD394" s="48"/>
      <c r="AE394" s="14"/>
      <c r="AF394" s="14"/>
      <c r="AG394" s="14"/>
      <c r="AH394" s="48"/>
      <c r="AI394" s="14"/>
      <c r="AJ394" s="14"/>
      <c r="AK394" s="14"/>
      <c r="AL394" s="48"/>
      <c r="AM394" s="14"/>
      <c r="AN394" s="14"/>
      <c r="AO394" s="14"/>
      <c r="AP394" s="48"/>
      <c r="AQ394" s="14"/>
      <c r="AR394" s="14">
        <v>120</v>
      </c>
      <c r="AS394" s="14">
        <v>97</v>
      </c>
      <c r="AT394" s="48">
        <f t="shared" si="120"/>
        <v>108.5</v>
      </c>
      <c r="AU394" s="14"/>
      <c r="AV394" s="14">
        <v>61</v>
      </c>
      <c r="AW394" s="14">
        <v>75</v>
      </c>
      <c r="AX394" s="48">
        <f t="shared" si="122"/>
        <v>68</v>
      </c>
    </row>
    <row r="395" spans="1:50" ht="10.199999999999999" customHeight="1" x14ac:dyDescent="0.25">
      <c r="A395" s="14">
        <f t="shared" si="123"/>
        <v>40</v>
      </c>
      <c r="B395" s="102">
        <f t="shared" si="121"/>
        <v>38267</v>
      </c>
      <c r="C395" s="103">
        <v>38260</v>
      </c>
      <c r="D395" s="14"/>
      <c r="E395" s="14"/>
      <c r="F395" s="48"/>
      <c r="G395" s="14"/>
      <c r="H395" s="14"/>
      <c r="I395" s="14"/>
      <c r="J395" s="48"/>
      <c r="K395" s="14"/>
      <c r="L395" s="14"/>
      <c r="M395" s="14"/>
      <c r="N395" s="48"/>
      <c r="O395" s="14"/>
      <c r="P395" s="14"/>
      <c r="Q395" s="14"/>
      <c r="R395" s="48"/>
      <c r="S395" s="14"/>
      <c r="T395" s="14"/>
      <c r="U395" s="14"/>
      <c r="V395" s="48"/>
      <c r="W395" s="14"/>
      <c r="X395" s="14"/>
      <c r="Y395" s="14"/>
      <c r="Z395" s="48"/>
      <c r="AA395" s="14"/>
      <c r="AB395" s="14"/>
      <c r="AC395" s="14"/>
      <c r="AD395" s="48"/>
      <c r="AE395" s="14"/>
      <c r="AF395" s="14"/>
      <c r="AG395" s="14"/>
      <c r="AH395" s="48"/>
      <c r="AI395" s="14"/>
      <c r="AJ395" s="14"/>
      <c r="AK395" s="14"/>
      <c r="AL395" s="48"/>
      <c r="AM395" s="14"/>
      <c r="AN395" s="14"/>
      <c r="AO395" s="14"/>
      <c r="AP395" s="48"/>
      <c r="AQ395" s="14"/>
      <c r="AR395" s="14">
        <v>138</v>
      </c>
      <c r="AS395" s="14">
        <v>125</v>
      </c>
      <c r="AT395" s="48">
        <f t="shared" si="120"/>
        <v>131.5</v>
      </c>
      <c r="AU395" s="14"/>
      <c r="AV395" s="14">
        <v>79</v>
      </c>
      <c r="AW395" s="14">
        <v>81</v>
      </c>
      <c r="AX395" s="48">
        <f t="shared" si="122"/>
        <v>80</v>
      </c>
    </row>
    <row r="396" spans="1:50" ht="10.199999999999999" customHeight="1" x14ac:dyDescent="0.25">
      <c r="A396" s="14">
        <f t="shared" si="123"/>
        <v>41</v>
      </c>
      <c r="B396" s="102">
        <f t="shared" si="121"/>
        <v>38274</v>
      </c>
      <c r="C396" s="103">
        <v>38267</v>
      </c>
      <c r="D396" s="14"/>
      <c r="E396" s="14"/>
      <c r="F396" s="48"/>
      <c r="G396" s="14"/>
      <c r="H396" s="14"/>
      <c r="I396" s="14"/>
      <c r="J396" s="48"/>
      <c r="K396" s="14"/>
      <c r="L396" s="14"/>
      <c r="M396" s="14"/>
      <c r="N396" s="48"/>
      <c r="O396" s="14"/>
      <c r="P396" s="14"/>
      <c r="Q396" s="14"/>
      <c r="R396" s="48"/>
      <c r="S396" s="14"/>
      <c r="T396" s="14"/>
      <c r="U396" s="14"/>
      <c r="V396" s="48"/>
      <c r="W396" s="14"/>
      <c r="X396" s="14"/>
      <c r="Y396" s="14"/>
      <c r="Z396" s="48"/>
      <c r="AA396" s="14"/>
      <c r="AB396" s="14"/>
      <c r="AC396" s="14"/>
      <c r="AD396" s="48"/>
      <c r="AE396" s="14"/>
      <c r="AF396" s="14"/>
      <c r="AG396" s="14"/>
      <c r="AH396" s="48"/>
      <c r="AI396" s="14"/>
      <c r="AJ396" s="14"/>
      <c r="AK396" s="14"/>
      <c r="AL396" s="48"/>
      <c r="AM396" s="14"/>
      <c r="AN396" s="14"/>
      <c r="AO396" s="14"/>
      <c r="AP396" s="48"/>
      <c r="AQ396" s="14"/>
      <c r="AR396" s="14">
        <v>100</v>
      </c>
      <c r="AS396" s="14">
        <v>113</v>
      </c>
      <c r="AT396" s="48">
        <f t="shared" si="120"/>
        <v>106.5</v>
      </c>
      <c r="AU396" s="14"/>
      <c r="AV396" s="14">
        <v>72</v>
      </c>
      <c r="AW396" s="14">
        <v>81</v>
      </c>
      <c r="AX396" s="48">
        <f t="shared" si="122"/>
        <v>76.5</v>
      </c>
    </row>
    <row r="397" spans="1:50" ht="10.199999999999999" customHeight="1" x14ac:dyDescent="0.25">
      <c r="A397" s="14">
        <f t="shared" si="123"/>
        <v>42</v>
      </c>
      <c r="B397" s="102">
        <f t="shared" si="121"/>
        <v>38281</v>
      </c>
      <c r="C397" s="103">
        <v>38274</v>
      </c>
      <c r="D397" s="14">
        <v>125</v>
      </c>
      <c r="E397" s="14"/>
      <c r="F397" s="48">
        <f t="shared" ref="F397:F406" si="124">AVERAGE(D397,E397)</f>
        <v>125</v>
      </c>
      <c r="G397" s="14"/>
      <c r="H397" s="14">
        <v>125</v>
      </c>
      <c r="I397" s="14"/>
      <c r="J397" s="48">
        <f t="shared" ref="J397:J410" si="125">AVERAGE(H397,I397)</f>
        <v>125</v>
      </c>
      <c r="K397" s="14"/>
      <c r="L397" s="14">
        <v>125</v>
      </c>
      <c r="M397" s="14"/>
      <c r="N397" s="48">
        <f t="shared" ref="N397:N415" si="126">AVERAGE(L397,M397)</f>
        <v>125</v>
      </c>
      <c r="O397" s="14"/>
      <c r="P397" s="14"/>
      <c r="Q397" s="14"/>
      <c r="R397" s="48"/>
      <c r="S397" s="14"/>
      <c r="T397" s="14"/>
      <c r="U397" s="14"/>
      <c r="V397" s="48"/>
      <c r="W397" s="14"/>
      <c r="X397" s="14"/>
      <c r="Y397" s="14"/>
      <c r="Z397" s="48"/>
      <c r="AA397" s="14"/>
      <c r="AB397" s="14"/>
      <c r="AC397" s="14"/>
      <c r="AD397" s="48"/>
      <c r="AE397" s="14"/>
      <c r="AF397" s="14"/>
      <c r="AG397" s="14"/>
      <c r="AH397" s="48"/>
      <c r="AI397" s="14"/>
      <c r="AJ397" s="14"/>
      <c r="AK397" s="14"/>
      <c r="AL397" s="48"/>
      <c r="AM397" s="14"/>
      <c r="AN397" s="14"/>
      <c r="AO397" s="14"/>
      <c r="AP397" s="48"/>
      <c r="AQ397" s="14"/>
      <c r="AR397" s="14">
        <v>181</v>
      </c>
      <c r="AS397" s="14">
        <v>187</v>
      </c>
      <c r="AT397" s="48">
        <f t="shared" si="120"/>
        <v>184</v>
      </c>
      <c r="AU397" s="14"/>
      <c r="AV397" s="14">
        <v>106</v>
      </c>
      <c r="AW397" s="14">
        <v>155</v>
      </c>
      <c r="AX397" s="48">
        <f t="shared" si="122"/>
        <v>130.5</v>
      </c>
    </row>
    <row r="398" spans="1:50" ht="10.199999999999999" customHeight="1" x14ac:dyDescent="0.25">
      <c r="A398" s="14">
        <f t="shared" si="123"/>
        <v>43</v>
      </c>
      <c r="B398" s="102">
        <f t="shared" si="121"/>
        <v>38288</v>
      </c>
      <c r="C398" s="103">
        <v>38281</v>
      </c>
      <c r="D398" s="14">
        <v>150</v>
      </c>
      <c r="E398" s="14">
        <v>167</v>
      </c>
      <c r="F398" s="48">
        <f t="shared" si="124"/>
        <v>158.5</v>
      </c>
      <c r="G398" s="14"/>
      <c r="H398" s="14">
        <v>150</v>
      </c>
      <c r="I398" s="14">
        <v>188</v>
      </c>
      <c r="J398" s="48">
        <f t="shared" si="125"/>
        <v>169</v>
      </c>
      <c r="K398" s="14"/>
      <c r="L398" s="14">
        <v>150</v>
      </c>
      <c r="M398" s="14">
        <v>188</v>
      </c>
      <c r="N398" s="48">
        <f t="shared" si="126"/>
        <v>169</v>
      </c>
      <c r="O398" s="14"/>
      <c r="P398" s="14"/>
      <c r="Q398" s="14">
        <v>100</v>
      </c>
      <c r="R398" s="48">
        <f t="shared" ref="R398:R419" si="127">AVERAGE(P398,Q398)</f>
        <v>100</v>
      </c>
      <c r="S398" s="14"/>
      <c r="T398" s="14"/>
      <c r="U398" s="14">
        <v>100</v>
      </c>
      <c r="V398" s="48">
        <f t="shared" ref="V398:V424" si="128">AVERAGE(T398,U398)</f>
        <v>100</v>
      </c>
      <c r="W398" s="14"/>
      <c r="X398" s="14"/>
      <c r="Y398" s="14"/>
      <c r="Z398" s="48"/>
      <c r="AA398" s="14"/>
      <c r="AB398" s="14"/>
      <c r="AC398" s="14"/>
      <c r="AD398" s="48"/>
      <c r="AE398" s="14"/>
      <c r="AF398" s="14"/>
      <c r="AG398" s="14"/>
      <c r="AH398" s="48"/>
      <c r="AI398" s="14"/>
      <c r="AJ398" s="14"/>
      <c r="AK398" s="14"/>
      <c r="AL398" s="48"/>
      <c r="AM398" s="14"/>
      <c r="AN398" s="14"/>
      <c r="AO398" s="14"/>
      <c r="AP398" s="48"/>
      <c r="AQ398" s="14"/>
      <c r="AR398" s="14"/>
      <c r="AS398" s="14"/>
      <c r="AT398" s="48"/>
      <c r="AU398" s="14"/>
      <c r="AV398" s="14">
        <v>106</v>
      </c>
      <c r="AW398" s="14">
        <v>181</v>
      </c>
      <c r="AX398" s="48">
        <f t="shared" si="122"/>
        <v>143.5</v>
      </c>
    </row>
    <row r="399" spans="1:50" ht="10.199999999999999" customHeight="1" x14ac:dyDescent="0.25">
      <c r="A399" s="14">
        <f t="shared" si="123"/>
        <v>44</v>
      </c>
      <c r="B399" s="102">
        <f t="shared" si="121"/>
        <v>38295</v>
      </c>
      <c r="C399" s="103">
        <v>38288</v>
      </c>
      <c r="D399" s="14">
        <v>175</v>
      </c>
      <c r="E399" s="14">
        <v>175</v>
      </c>
      <c r="F399" s="48">
        <f t="shared" si="124"/>
        <v>175</v>
      </c>
      <c r="G399" s="14"/>
      <c r="H399" s="14">
        <v>100</v>
      </c>
      <c r="I399" s="14">
        <v>200</v>
      </c>
      <c r="J399" s="48">
        <f t="shared" si="125"/>
        <v>150</v>
      </c>
      <c r="K399" s="14"/>
      <c r="L399" s="14">
        <v>100</v>
      </c>
      <c r="M399" s="14">
        <v>200</v>
      </c>
      <c r="N399" s="48">
        <f t="shared" si="126"/>
        <v>150</v>
      </c>
      <c r="O399" s="14"/>
      <c r="P399" s="14">
        <v>50</v>
      </c>
      <c r="Q399" s="14">
        <v>100</v>
      </c>
      <c r="R399" s="48">
        <f t="shared" si="127"/>
        <v>75</v>
      </c>
      <c r="S399" s="14"/>
      <c r="T399" s="14">
        <v>50</v>
      </c>
      <c r="U399" s="14">
        <v>100</v>
      </c>
      <c r="V399" s="48">
        <f t="shared" si="128"/>
        <v>75</v>
      </c>
      <c r="W399" s="14"/>
      <c r="X399" s="14"/>
      <c r="Y399" s="14"/>
      <c r="Z399" s="48"/>
      <c r="AA399" s="14"/>
      <c r="AB399" s="14"/>
      <c r="AC399" s="14"/>
      <c r="AD399" s="48"/>
      <c r="AE399" s="14"/>
      <c r="AF399" s="14"/>
      <c r="AG399" s="14"/>
      <c r="AH399" s="48"/>
      <c r="AI399" s="14"/>
      <c r="AJ399" s="14"/>
      <c r="AK399" s="14"/>
      <c r="AL399" s="48"/>
      <c r="AM399" s="14"/>
      <c r="AN399" s="14"/>
      <c r="AO399" s="14"/>
      <c r="AP399" s="48"/>
      <c r="AQ399" s="14"/>
      <c r="AR399" s="14"/>
      <c r="AS399" s="14"/>
      <c r="AT399" s="48"/>
      <c r="AU399" s="14"/>
      <c r="AV399" s="14">
        <v>206</v>
      </c>
      <c r="AW399" s="14">
        <v>233</v>
      </c>
      <c r="AX399" s="48">
        <f t="shared" si="122"/>
        <v>219.5</v>
      </c>
    </row>
    <row r="400" spans="1:50" ht="10.199999999999999" customHeight="1" x14ac:dyDescent="0.25">
      <c r="A400" s="14">
        <f t="shared" si="123"/>
        <v>45</v>
      </c>
      <c r="B400" s="102">
        <f t="shared" si="121"/>
        <v>38302</v>
      </c>
      <c r="C400" s="103">
        <v>38295</v>
      </c>
      <c r="D400" s="14">
        <v>188</v>
      </c>
      <c r="E400" s="14">
        <v>256</v>
      </c>
      <c r="F400" s="48">
        <f t="shared" si="124"/>
        <v>222</v>
      </c>
      <c r="G400" s="14"/>
      <c r="H400" s="14">
        <v>225</v>
      </c>
      <c r="I400" s="14">
        <v>254</v>
      </c>
      <c r="J400" s="48">
        <f t="shared" si="125"/>
        <v>239.5</v>
      </c>
      <c r="K400" s="14"/>
      <c r="L400" s="14">
        <v>200</v>
      </c>
      <c r="M400" s="14">
        <v>215</v>
      </c>
      <c r="N400" s="48">
        <f t="shared" si="126"/>
        <v>207.5</v>
      </c>
      <c r="O400" s="14"/>
      <c r="P400" s="14">
        <v>50</v>
      </c>
      <c r="Q400" s="14">
        <v>142</v>
      </c>
      <c r="R400" s="48">
        <f t="shared" si="127"/>
        <v>96</v>
      </c>
      <c r="S400" s="14"/>
      <c r="T400" s="14">
        <v>50</v>
      </c>
      <c r="U400" s="14">
        <v>150</v>
      </c>
      <c r="V400" s="48">
        <f t="shared" si="128"/>
        <v>100</v>
      </c>
      <c r="W400" s="14"/>
      <c r="X400" s="14"/>
      <c r="Y400" s="14"/>
      <c r="Z400" s="48"/>
      <c r="AA400" s="14"/>
      <c r="AB400" s="14"/>
      <c r="AC400" s="14"/>
      <c r="AD400" s="48"/>
      <c r="AE400" s="14"/>
      <c r="AF400" s="14"/>
      <c r="AG400" s="14"/>
      <c r="AH400" s="48"/>
      <c r="AI400" s="14"/>
      <c r="AJ400" s="14"/>
      <c r="AK400" s="14"/>
      <c r="AL400" s="48"/>
      <c r="AM400" s="14"/>
      <c r="AN400" s="14"/>
      <c r="AO400" s="14"/>
      <c r="AP400" s="48"/>
      <c r="AQ400" s="14"/>
      <c r="AR400" s="14"/>
      <c r="AS400" s="14"/>
      <c r="AT400" s="48"/>
      <c r="AU400" s="14"/>
      <c r="AV400" s="14">
        <v>242</v>
      </c>
      <c r="AW400" s="14">
        <v>294</v>
      </c>
      <c r="AX400" s="48">
        <f t="shared" si="122"/>
        <v>268</v>
      </c>
    </row>
    <row r="401" spans="1:50" ht="10.199999999999999" customHeight="1" x14ac:dyDescent="0.25">
      <c r="A401" s="14">
        <f t="shared" si="123"/>
        <v>46</v>
      </c>
      <c r="B401" s="102">
        <f t="shared" si="121"/>
        <v>38309</v>
      </c>
      <c r="C401" s="103">
        <v>38302</v>
      </c>
      <c r="D401" s="14">
        <v>217</v>
      </c>
      <c r="E401" s="14">
        <v>263</v>
      </c>
      <c r="F401" s="48">
        <f t="shared" si="124"/>
        <v>240</v>
      </c>
      <c r="G401" s="14"/>
      <c r="H401" s="14">
        <v>213</v>
      </c>
      <c r="I401" s="14">
        <v>283</v>
      </c>
      <c r="J401" s="48">
        <f t="shared" si="125"/>
        <v>248</v>
      </c>
      <c r="K401" s="14"/>
      <c r="L401" s="14">
        <v>192</v>
      </c>
      <c r="M401" s="14">
        <v>231</v>
      </c>
      <c r="N401" s="48">
        <f t="shared" si="126"/>
        <v>211.5</v>
      </c>
      <c r="O401" s="14"/>
      <c r="P401" s="14">
        <v>95</v>
      </c>
      <c r="Q401" s="14">
        <v>163</v>
      </c>
      <c r="R401" s="48">
        <f t="shared" si="127"/>
        <v>129</v>
      </c>
      <c r="S401" s="14"/>
      <c r="T401" s="14">
        <v>95</v>
      </c>
      <c r="U401" s="14">
        <v>175</v>
      </c>
      <c r="V401" s="48">
        <f t="shared" si="128"/>
        <v>135</v>
      </c>
      <c r="W401" s="14"/>
      <c r="X401" s="14"/>
      <c r="Y401" s="14"/>
      <c r="Z401" s="48"/>
      <c r="AA401" s="14"/>
      <c r="AB401" s="14"/>
      <c r="AC401" s="14"/>
      <c r="AD401" s="48"/>
      <c r="AE401" s="14"/>
      <c r="AF401" s="14"/>
      <c r="AG401" s="14"/>
      <c r="AH401" s="48"/>
      <c r="AI401" s="14"/>
      <c r="AJ401" s="14"/>
      <c r="AK401" s="14"/>
      <c r="AL401" s="48"/>
      <c r="AM401" s="14"/>
      <c r="AN401" s="14"/>
      <c r="AO401" s="14"/>
      <c r="AP401" s="48"/>
      <c r="AQ401" s="14"/>
      <c r="AR401" s="14"/>
      <c r="AS401" s="14"/>
      <c r="AT401" s="48"/>
      <c r="AU401" s="14"/>
      <c r="AV401" s="14">
        <v>289</v>
      </c>
      <c r="AW401" s="14">
        <v>294</v>
      </c>
      <c r="AX401" s="48">
        <f t="shared" si="122"/>
        <v>291.5</v>
      </c>
    </row>
    <row r="402" spans="1:50" ht="10.199999999999999" customHeight="1" x14ac:dyDescent="0.25">
      <c r="A402" s="14">
        <f t="shared" si="123"/>
        <v>47</v>
      </c>
      <c r="B402" s="102">
        <f t="shared" si="121"/>
        <v>38316</v>
      </c>
      <c r="C402" s="103">
        <v>38309</v>
      </c>
      <c r="D402" s="14">
        <v>217</v>
      </c>
      <c r="E402" s="14">
        <v>256</v>
      </c>
      <c r="F402" s="48">
        <f t="shared" si="124"/>
        <v>236.5</v>
      </c>
      <c r="G402" s="14"/>
      <c r="H402" s="14">
        <v>183</v>
      </c>
      <c r="I402" s="14">
        <v>267</v>
      </c>
      <c r="J402" s="48">
        <f t="shared" si="125"/>
        <v>225</v>
      </c>
      <c r="K402" s="14"/>
      <c r="L402" s="14">
        <v>158</v>
      </c>
      <c r="M402" s="14">
        <v>228</v>
      </c>
      <c r="N402" s="48">
        <f t="shared" si="126"/>
        <v>193</v>
      </c>
      <c r="O402" s="14"/>
      <c r="P402" s="14">
        <v>75</v>
      </c>
      <c r="Q402" s="14">
        <v>158</v>
      </c>
      <c r="R402" s="48">
        <f t="shared" si="127"/>
        <v>116.5</v>
      </c>
      <c r="S402" s="14"/>
      <c r="T402" s="14">
        <v>75</v>
      </c>
      <c r="U402" s="14">
        <v>163</v>
      </c>
      <c r="V402" s="48">
        <f t="shared" si="128"/>
        <v>119</v>
      </c>
      <c r="W402" s="14"/>
      <c r="X402" s="14"/>
      <c r="Y402" s="14"/>
      <c r="Z402" s="48"/>
      <c r="AA402" s="14"/>
      <c r="AB402" s="14"/>
      <c r="AC402" s="14"/>
      <c r="AD402" s="48"/>
      <c r="AE402" s="14"/>
      <c r="AF402" s="14"/>
      <c r="AG402" s="14"/>
      <c r="AH402" s="48"/>
      <c r="AI402" s="14"/>
      <c r="AJ402" s="14"/>
      <c r="AK402" s="14"/>
      <c r="AL402" s="48"/>
      <c r="AM402" s="14"/>
      <c r="AN402" s="14"/>
      <c r="AO402" s="14"/>
      <c r="AP402" s="48"/>
      <c r="AQ402" s="14"/>
      <c r="AR402" s="14"/>
      <c r="AS402" s="14"/>
      <c r="AT402" s="48"/>
      <c r="AU402" s="14"/>
      <c r="AV402" s="14">
        <v>278</v>
      </c>
      <c r="AW402" s="14">
        <v>291</v>
      </c>
      <c r="AX402" s="48">
        <f t="shared" si="122"/>
        <v>284.5</v>
      </c>
    </row>
    <row r="403" spans="1:50" ht="10.199999999999999" customHeight="1" x14ac:dyDescent="0.25">
      <c r="A403" s="14">
        <f t="shared" si="123"/>
        <v>48</v>
      </c>
      <c r="B403" s="102">
        <f t="shared" si="121"/>
        <v>38323</v>
      </c>
      <c r="C403" s="103">
        <v>38316</v>
      </c>
      <c r="D403" s="14">
        <v>217</v>
      </c>
      <c r="E403" s="14">
        <v>266</v>
      </c>
      <c r="F403" s="48">
        <f t="shared" si="124"/>
        <v>241.5</v>
      </c>
      <c r="G403" s="14"/>
      <c r="H403" s="14">
        <v>167</v>
      </c>
      <c r="I403" s="14">
        <v>275</v>
      </c>
      <c r="J403" s="48">
        <f t="shared" si="125"/>
        <v>221</v>
      </c>
      <c r="K403" s="14"/>
      <c r="L403" s="14">
        <v>150</v>
      </c>
      <c r="M403" s="14">
        <v>228</v>
      </c>
      <c r="N403" s="48">
        <f t="shared" si="126"/>
        <v>189</v>
      </c>
      <c r="O403" s="14"/>
      <c r="P403" s="14">
        <v>75</v>
      </c>
      <c r="Q403" s="14">
        <v>158</v>
      </c>
      <c r="R403" s="48">
        <f t="shared" si="127"/>
        <v>116.5</v>
      </c>
      <c r="S403" s="14"/>
      <c r="T403" s="14">
        <v>75</v>
      </c>
      <c r="U403" s="14">
        <v>163</v>
      </c>
      <c r="V403" s="48">
        <f t="shared" si="128"/>
        <v>119</v>
      </c>
      <c r="W403" s="14"/>
      <c r="X403" s="14">
        <v>75</v>
      </c>
      <c r="Y403" s="14">
        <v>150</v>
      </c>
      <c r="Z403" s="48">
        <f t="shared" ref="Z403:Z428" si="129">AVERAGE(X403,Y403)</f>
        <v>112.5</v>
      </c>
      <c r="AA403" s="14"/>
      <c r="AB403" s="14"/>
      <c r="AC403" s="14"/>
      <c r="AD403" s="48"/>
      <c r="AE403" s="14"/>
      <c r="AF403" s="14"/>
      <c r="AG403" s="14"/>
      <c r="AH403" s="48"/>
      <c r="AI403" s="14"/>
      <c r="AJ403" s="14"/>
      <c r="AK403" s="14"/>
      <c r="AL403" s="48"/>
      <c r="AM403" s="14"/>
      <c r="AN403" s="14"/>
      <c r="AO403" s="14"/>
      <c r="AP403" s="48"/>
      <c r="AQ403" s="14"/>
      <c r="AR403" s="14"/>
      <c r="AS403" s="14"/>
      <c r="AT403" s="48"/>
      <c r="AU403" s="14"/>
      <c r="AV403" s="14"/>
      <c r="AW403" s="14"/>
      <c r="AX403" s="48"/>
    </row>
    <row r="404" spans="1:50" ht="10.199999999999999" customHeight="1" x14ac:dyDescent="0.25">
      <c r="A404" s="14">
        <f t="shared" si="123"/>
        <v>49</v>
      </c>
      <c r="B404" s="102">
        <f t="shared" si="121"/>
        <v>38330</v>
      </c>
      <c r="C404" s="103">
        <v>38323</v>
      </c>
      <c r="D404" s="14">
        <v>250</v>
      </c>
      <c r="E404" s="14">
        <v>269</v>
      </c>
      <c r="F404" s="48">
        <f t="shared" si="124"/>
        <v>259.5</v>
      </c>
      <c r="G404" s="14"/>
      <c r="H404" s="14">
        <v>175</v>
      </c>
      <c r="I404" s="14">
        <v>272</v>
      </c>
      <c r="J404" s="48">
        <f t="shared" si="125"/>
        <v>223.5</v>
      </c>
      <c r="K404" s="14"/>
      <c r="L404" s="14">
        <v>158</v>
      </c>
      <c r="M404" s="14">
        <v>233</v>
      </c>
      <c r="N404" s="48">
        <f t="shared" si="126"/>
        <v>195.5</v>
      </c>
      <c r="O404" s="14"/>
      <c r="P404" s="14">
        <v>75</v>
      </c>
      <c r="Q404" s="14">
        <v>158</v>
      </c>
      <c r="R404" s="48">
        <f t="shared" si="127"/>
        <v>116.5</v>
      </c>
      <c r="S404" s="14"/>
      <c r="T404" s="14">
        <v>75</v>
      </c>
      <c r="U404" s="14">
        <v>163</v>
      </c>
      <c r="V404" s="48">
        <f t="shared" si="128"/>
        <v>119</v>
      </c>
      <c r="W404" s="14"/>
      <c r="X404" s="14">
        <v>75</v>
      </c>
      <c r="Y404" s="14">
        <v>150</v>
      </c>
      <c r="Z404" s="48">
        <f t="shared" si="129"/>
        <v>112.5</v>
      </c>
      <c r="AA404" s="14"/>
      <c r="AB404" s="14"/>
      <c r="AC404" s="14"/>
      <c r="AD404" s="48"/>
      <c r="AE404" s="14"/>
      <c r="AF404" s="14"/>
      <c r="AG404" s="14"/>
      <c r="AH404" s="48"/>
      <c r="AI404" s="14"/>
      <c r="AJ404" s="14"/>
      <c r="AK404" s="14"/>
      <c r="AL404" s="48"/>
      <c r="AM404" s="14"/>
      <c r="AN404" s="14"/>
      <c r="AO404" s="14"/>
      <c r="AP404" s="48"/>
      <c r="AQ404" s="14"/>
      <c r="AR404" s="14"/>
      <c r="AS404" s="14"/>
      <c r="AT404" s="48"/>
      <c r="AU404" s="14"/>
      <c r="AV404" s="14"/>
      <c r="AW404" s="14"/>
      <c r="AX404" s="49"/>
    </row>
    <row r="405" spans="1:50" ht="10.199999999999999" customHeight="1" x14ac:dyDescent="0.25">
      <c r="A405" s="14">
        <f t="shared" si="123"/>
        <v>50</v>
      </c>
      <c r="B405" s="102">
        <f t="shared" ref="B405:B436" si="130">+B404+7</f>
        <v>38337</v>
      </c>
      <c r="C405" s="103">
        <v>38330</v>
      </c>
      <c r="D405" s="14">
        <v>238</v>
      </c>
      <c r="E405" s="14">
        <v>225</v>
      </c>
      <c r="F405" s="48">
        <f t="shared" si="124"/>
        <v>231.5</v>
      </c>
      <c r="G405" s="14"/>
      <c r="H405" s="14">
        <v>200</v>
      </c>
      <c r="I405" s="14">
        <v>208</v>
      </c>
      <c r="J405" s="48">
        <f t="shared" si="125"/>
        <v>204</v>
      </c>
      <c r="K405" s="14"/>
      <c r="L405" s="14">
        <v>183</v>
      </c>
      <c r="M405" s="14">
        <v>192</v>
      </c>
      <c r="N405" s="48">
        <f t="shared" si="126"/>
        <v>187.5</v>
      </c>
      <c r="O405" s="14"/>
      <c r="P405" s="14">
        <v>63</v>
      </c>
      <c r="Q405" s="14">
        <v>125</v>
      </c>
      <c r="R405" s="48">
        <f t="shared" si="127"/>
        <v>94</v>
      </c>
      <c r="S405" s="14"/>
      <c r="T405" s="14">
        <v>50</v>
      </c>
      <c r="U405" s="14">
        <v>150</v>
      </c>
      <c r="V405" s="48">
        <f t="shared" si="128"/>
        <v>100</v>
      </c>
      <c r="W405" s="14"/>
      <c r="X405" s="14">
        <v>50</v>
      </c>
      <c r="Y405" s="14">
        <v>138</v>
      </c>
      <c r="Z405" s="48">
        <f t="shared" si="129"/>
        <v>94</v>
      </c>
      <c r="AA405" s="14"/>
      <c r="AB405" s="14"/>
      <c r="AC405" s="14"/>
      <c r="AD405" s="48"/>
      <c r="AE405" s="14"/>
      <c r="AF405" s="14"/>
      <c r="AG405" s="14"/>
      <c r="AH405" s="48"/>
      <c r="AI405" s="14"/>
      <c r="AJ405" s="14"/>
      <c r="AK405" s="14"/>
      <c r="AL405" s="48"/>
      <c r="AM405" s="14"/>
      <c r="AN405" s="14"/>
      <c r="AO405" s="14"/>
      <c r="AP405" s="48"/>
      <c r="AQ405" s="14"/>
      <c r="AR405" s="14"/>
      <c r="AS405" s="14"/>
      <c r="AT405" s="48"/>
      <c r="AU405" s="14"/>
      <c r="AV405" s="14"/>
      <c r="AW405" s="14"/>
      <c r="AX405" s="49"/>
    </row>
    <row r="406" spans="1:50" ht="10.199999999999999" customHeight="1" x14ac:dyDescent="0.25">
      <c r="A406" s="14">
        <f t="shared" si="123"/>
        <v>51</v>
      </c>
      <c r="B406" s="102">
        <f t="shared" si="130"/>
        <v>38344</v>
      </c>
      <c r="C406" s="103">
        <v>38337</v>
      </c>
      <c r="D406" s="14">
        <v>183</v>
      </c>
      <c r="E406" s="14">
        <v>179</v>
      </c>
      <c r="F406" s="48">
        <f t="shared" si="124"/>
        <v>181</v>
      </c>
      <c r="G406" s="14"/>
      <c r="H406" s="14">
        <v>175</v>
      </c>
      <c r="I406" s="14">
        <v>160</v>
      </c>
      <c r="J406" s="48">
        <f t="shared" si="125"/>
        <v>167.5</v>
      </c>
      <c r="K406" s="14"/>
      <c r="L406" s="14">
        <v>150</v>
      </c>
      <c r="M406" s="14">
        <v>128</v>
      </c>
      <c r="N406" s="48">
        <f t="shared" si="126"/>
        <v>139</v>
      </c>
      <c r="O406" s="14"/>
      <c r="P406" s="14">
        <v>20</v>
      </c>
      <c r="Q406" s="14">
        <v>138</v>
      </c>
      <c r="R406" s="48">
        <f t="shared" si="127"/>
        <v>79</v>
      </c>
      <c r="S406" s="14"/>
      <c r="T406" s="14">
        <v>20</v>
      </c>
      <c r="U406" s="14">
        <v>125</v>
      </c>
      <c r="V406" s="48">
        <f t="shared" si="128"/>
        <v>72.5</v>
      </c>
      <c r="W406" s="14"/>
      <c r="X406" s="14">
        <v>15</v>
      </c>
      <c r="Y406" s="14">
        <v>113</v>
      </c>
      <c r="Z406" s="48">
        <f t="shared" si="129"/>
        <v>64</v>
      </c>
      <c r="AA406" s="14"/>
      <c r="AB406" s="14"/>
      <c r="AC406" s="14"/>
      <c r="AD406" s="48"/>
      <c r="AE406" s="14"/>
      <c r="AF406" s="14"/>
      <c r="AG406" s="14"/>
      <c r="AH406" s="48"/>
      <c r="AI406" s="14"/>
      <c r="AJ406" s="14"/>
      <c r="AK406" s="14"/>
      <c r="AL406" s="48"/>
      <c r="AM406" s="14"/>
      <c r="AN406" s="14"/>
      <c r="AO406" s="14"/>
      <c r="AP406" s="48"/>
      <c r="AQ406" s="14"/>
      <c r="AR406" s="14"/>
      <c r="AS406" s="14"/>
      <c r="AT406" s="48"/>
      <c r="AU406" s="14"/>
      <c r="AV406" s="14"/>
      <c r="AW406" s="14"/>
      <c r="AX406" s="49"/>
    </row>
    <row r="407" spans="1:50" ht="10.199999999999999" customHeight="1" x14ac:dyDescent="0.25">
      <c r="A407" s="14">
        <f t="shared" si="123"/>
        <v>52</v>
      </c>
      <c r="B407" s="102">
        <f t="shared" si="130"/>
        <v>38351</v>
      </c>
      <c r="C407" s="103">
        <v>38344</v>
      </c>
      <c r="D407" s="14"/>
      <c r="E407" s="14"/>
      <c r="F407" s="48"/>
      <c r="G407" s="14"/>
      <c r="H407" s="14">
        <v>188</v>
      </c>
      <c r="I407" s="14">
        <v>169</v>
      </c>
      <c r="J407" s="48">
        <f t="shared" si="125"/>
        <v>178.5</v>
      </c>
      <c r="K407" s="14"/>
      <c r="L407" s="14">
        <v>150</v>
      </c>
      <c r="M407" s="14">
        <v>135</v>
      </c>
      <c r="N407" s="48">
        <f t="shared" si="126"/>
        <v>142.5</v>
      </c>
      <c r="O407" s="14"/>
      <c r="P407" s="14">
        <v>20</v>
      </c>
      <c r="Q407" s="14">
        <v>138</v>
      </c>
      <c r="R407" s="48">
        <f t="shared" si="127"/>
        <v>79</v>
      </c>
      <c r="S407" s="14"/>
      <c r="T407" s="14">
        <v>20</v>
      </c>
      <c r="U407" s="14">
        <v>125</v>
      </c>
      <c r="V407" s="48">
        <f t="shared" si="128"/>
        <v>72.5</v>
      </c>
      <c r="W407" s="14"/>
      <c r="X407" s="14">
        <v>15</v>
      </c>
      <c r="Y407" s="14">
        <v>113</v>
      </c>
      <c r="Z407" s="48">
        <f t="shared" si="129"/>
        <v>64</v>
      </c>
      <c r="AA407" s="14"/>
      <c r="AB407" s="14">
        <v>23</v>
      </c>
      <c r="AC407" s="14">
        <v>113</v>
      </c>
      <c r="AD407" s="48">
        <f t="shared" ref="AD407:AD432" si="131">AVERAGE(AB407,AC407)</f>
        <v>68</v>
      </c>
      <c r="AE407" s="14"/>
      <c r="AF407" s="14"/>
      <c r="AG407" s="14"/>
      <c r="AH407" s="48"/>
      <c r="AI407" s="14"/>
      <c r="AJ407" s="14"/>
      <c r="AK407" s="14"/>
      <c r="AL407" s="48"/>
      <c r="AM407" s="14"/>
      <c r="AN407" s="14"/>
      <c r="AO407" s="14"/>
      <c r="AP407" s="48"/>
      <c r="AQ407" s="14"/>
      <c r="AR407" s="14"/>
      <c r="AS407" s="14"/>
      <c r="AT407" s="48"/>
      <c r="AU407" s="14"/>
      <c r="AV407" s="14"/>
      <c r="AW407" s="14"/>
      <c r="AX407" s="49"/>
    </row>
    <row r="408" spans="1:50" ht="10.199999999999999" customHeight="1" x14ac:dyDescent="0.25">
      <c r="A408" s="14">
        <v>1</v>
      </c>
      <c r="B408" s="102">
        <f t="shared" si="130"/>
        <v>38358</v>
      </c>
      <c r="C408" s="103">
        <v>38351</v>
      </c>
      <c r="D408" s="14"/>
      <c r="E408" s="14"/>
      <c r="F408" s="48"/>
      <c r="G408" s="14"/>
      <c r="H408" s="14">
        <v>175</v>
      </c>
      <c r="I408" s="14">
        <v>163</v>
      </c>
      <c r="J408" s="48">
        <f t="shared" si="125"/>
        <v>169</v>
      </c>
      <c r="K408" s="14"/>
      <c r="L408" s="14">
        <v>150</v>
      </c>
      <c r="M408" s="14">
        <v>131</v>
      </c>
      <c r="N408" s="48">
        <f t="shared" si="126"/>
        <v>140.5</v>
      </c>
      <c r="O408" s="14"/>
      <c r="P408" s="14">
        <v>28</v>
      </c>
      <c r="Q408" s="14">
        <v>150</v>
      </c>
      <c r="R408" s="48">
        <f t="shared" si="127"/>
        <v>89</v>
      </c>
      <c r="S408" s="14"/>
      <c r="T408" s="14">
        <v>28</v>
      </c>
      <c r="U408" s="14">
        <v>138</v>
      </c>
      <c r="V408" s="48">
        <f t="shared" si="128"/>
        <v>83</v>
      </c>
      <c r="W408" s="14"/>
      <c r="X408" s="14">
        <v>23</v>
      </c>
      <c r="Y408" s="14">
        <v>125</v>
      </c>
      <c r="Z408" s="48">
        <f t="shared" si="129"/>
        <v>74</v>
      </c>
      <c r="AA408" s="14"/>
      <c r="AB408" s="14">
        <v>27</v>
      </c>
      <c r="AC408" s="14">
        <v>125</v>
      </c>
      <c r="AD408" s="48">
        <f t="shared" si="131"/>
        <v>76</v>
      </c>
      <c r="AE408" s="14"/>
      <c r="AF408" s="14"/>
      <c r="AG408" s="14"/>
      <c r="AH408" s="48"/>
      <c r="AI408" s="14"/>
      <c r="AJ408" s="14"/>
      <c r="AK408" s="14"/>
      <c r="AL408" s="48"/>
      <c r="AM408" s="14"/>
      <c r="AN408" s="14"/>
      <c r="AO408" s="14"/>
      <c r="AP408" s="48"/>
      <c r="AQ408" s="14"/>
      <c r="AR408" s="14"/>
      <c r="AS408" s="14"/>
      <c r="AT408" s="48"/>
      <c r="AU408" s="14"/>
      <c r="AV408" s="14"/>
      <c r="AW408" s="14"/>
      <c r="AX408" s="49"/>
    </row>
    <row r="409" spans="1:50" ht="10.199999999999999" customHeight="1" x14ac:dyDescent="0.25">
      <c r="A409" s="14">
        <v>2</v>
      </c>
      <c r="B409" s="102">
        <f t="shared" si="130"/>
        <v>38365</v>
      </c>
      <c r="C409" s="103">
        <v>38358</v>
      </c>
      <c r="D409" s="14"/>
      <c r="E409" s="14"/>
      <c r="F409" s="48"/>
      <c r="G409" s="14"/>
      <c r="H409" s="14">
        <v>175</v>
      </c>
      <c r="I409" s="14">
        <v>163</v>
      </c>
      <c r="J409" s="48">
        <f t="shared" si="125"/>
        <v>169</v>
      </c>
      <c r="K409" s="14"/>
      <c r="L409" s="14">
        <v>150</v>
      </c>
      <c r="M409" s="14">
        <v>131</v>
      </c>
      <c r="N409" s="48">
        <f t="shared" si="126"/>
        <v>140.5</v>
      </c>
      <c r="O409" s="14"/>
      <c r="P409" s="14">
        <v>28</v>
      </c>
      <c r="Q409" s="14">
        <v>150</v>
      </c>
      <c r="R409" s="48">
        <f t="shared" si="127"/>
        <v>89</v>
      </c>
      <c r="S409" s="14"/>
      <c r="T409" s="14">
        <v>28</v>
      </c>
      <c r="U409" s="14">
        <v>138</v>
      </c>
      <c r="V409" s="48">
        <f t="shared" si="128"/>
        <v>83</v>
      </c>
      <c r="W409" s="14"/>
      <c r="X409" s="14">
        <v>23</v>
      </c>
      <c r="Y409" s="14">
        <v>125</v>
      </c>
      <c r="Z409" s="48">
        <f t="shared" si="129"/>
        <v>74</v>
      </c>
      <c r="AA409" s="14"/>
      <c r="AB409" s="14">
        <v>27</v>
      </c>
      <c r="AC409" s="14">
        <v>125</v>
      </c>
      <c r="AD409" s="48">
        <f t="shared" si="131"/>
        <v>76</v>
      </c>
      <c r="AE409" s="14"/>
      <c r="AF409" s="14"/>
      <c r="AG409" s="14"/>
      <c r="AH409" s="48"/>
      <c r="AI409" s="14"/>
      <c r="AJ409" s="14"/>
      <c r="AK409" s="14"/>
      <c r="AL409" s="48"/>
      <c r="AM409" s="14"/>
      <c r="AN409" s="14"/>
      <c r="AO409" s="14"/>
      <c r="AP409" s="48"/>
      <c r="AQ409" s="14"/>
      <c r="AR409" s="14"/>
      <c r="AS409" s="14"/>
      <c r="AT409" s="48"/>
      <c r="AU409" s="14"/>
      <c r="AV409" s="14"/>
      <c r="AW409" s="14"/>
      <c r="AX409" s="49"/>
    </row>
    <row r="410" spans="1:50" ht="10.199999999999999" customHeight="1" x14ac:dyDescent="0.25">
      <c r="A410" s="14">
        <v>3</v>
      </c>
      <c r="B410" s="102">
        <f t="shared" si="130"/>
        <v>38372</v>
      </c>
      <c r="C410" s="103">
        <v>38365</v>
      </c>
      <c r="D410" s="14"/>
      <c r="E410" s="14"/>
      <c r="F410" s="48"/>
      <c r="G410" s="14"/>
      <c r="H410" s="14">
        <v>180</v>
      </c>
      <c r="I410" s="14">
        <v>194</v>
      </c>
      <c r="J410" s="48">
        <f t="shared" si="125"/>
        <v>187</v>
      </c>
      <c r="K410" s="14"/>
      <c r="L410" s="14">
        <v>150</v>
      </c>
      <c r="M410" s="14">
        <v>113</v>
      </c>
      <c r="N410" s="48">
        <f t="shared" si="126"/>
        <v>131.5</v>
      </c>
      <c r="O410" s="14"/>
      <c r="P410" s="14">
        <v>35</v>
      </c>
      <c r="Q410" s="14">
        <v>88</v>
      </c>
      <c r="R410" s="48">
        <f t="shared" si="127"/>
        <v>61.5</v>
      </c>
      <c r="S410" s="14"/>
      <c r="T410" s="14">
        <v>35</v>
      </c>
      <c r="U410" s="14">
        <v>92</v>
      </c>
      <c r="V410" s="48">
        <f t="shared" si="128"/>
        <v>63.5</v>
      </c>
      <c r="W410" s="14"/>
      <c r="X410" s="14">
        <v>32</v>
      </c>
      <c r="Y410" s="14">
        <v>92</v>
      </c>
      <c r="Z410" s="48">
        <f t="shared" si="129"/>
        <v>62</v>
      </c>
      <c r="AA410" s="14"/>
      <c r="AB410" s="14">
        <v>35</v>
      </c>
      <c r="AC410" s="14">
        <v>100</v>
      </c>
      <c r="AD410" s="48">
        <f t="shared" si="131"/>
        <v>67.5</v>
      </c>
      <c r="AE410" s="14"/>
      <c r="AF410" s="14"/>
      <c r="AG410" s="14"/>
      <c r="AH410" s="48"/>
      <c r="AI410" s="14"/>
      <c r="AJ410" s="14"/>
      <c r="AK410" s="14"/>
      <c r="AL410" s="48"/>
      <c r="AM410" s="14"/>
      <c r="AN410" s="14"/>
      <c r="AO410" s="14"/>
      <c r="AP410" s="48"/>
      <c r="AQ410" s="14"/>
      <c r="AR410" s="14"/>
      <c r="AS410" s="14"/>
      <c r="AT410" s="48"/>
      <c r="AU410" s="14"/>
      <c r="AV410" s="14"/>
      <c r="AW410" s="14"/>
      <c r="AX410" s="49"/>
    </row>
    <row r="411" spans="1:50" ht="10.199999999999999" customHeight="1" x14ac:dyDescent="0.25">
      <c r="A411" s="14">
        <v>4</v>
      </c>
      <c r="B411" s="102">
        <f t="shared" si="130"/>
        <v>38379</v>
      </c>
      <c r="C411" s="103">
        <v>38372</v>
      </c>
      <c r="D411" s="14"/>
      <c r="E411" s="14"/>
      <c r="F411" s="48"/>
      <c r="G411" s="14"/>
      <c r="H411" s="14"/>
      <c r="I411" s="14"/>
      <c r="J411" s="48"/>
      <c r="K411" s="14"/>
      <c r="L411" s="14">
        <v>147</v>
      </c>
      <c r="M411" s="14">
        <v>113</v>
      </c>
      <c r="N411" s="48">
        <f t="shared" si="126"/>
        <v>130</v>
      </c>
      <c r="O411" s="14"/>
      <c r="P411" s="14">
        <v>50</v>
      </c>
      <c r="Q411" s="14">
        <v>83</v>
      </c>
      <c r="R411" s="48">
        <f t="shared" si="127"/>
        <v>66.5</v>
      </c>
      <c r="S411" s="14"/>
      <c r="T411" s="14">
        <v>63</v>
      </c>
      <c r="U411" s="14">
        <v>83</v>
      </c>
      <c r="V411" s="48">
        <f t="shared" si="128"/>
        <v>73</v>
      </c>
      <c r="W411" s="14"/>
      <c r="X411" s="14">
        <v>50</v>
      </c>
      <c r="Y411" s="14">
        <v>100</v>
      </c>
      <c r="Z411" s="48">
        <f t="shared" si="129"/>
        <v>75</v>
      </c>
      <c r="AA411" s="14"/>
      <c r="AB411" s="14">
        <v>50</v>
      </c>
      <c r="AC411" s="14">
        <v>100</v>
      </c>
      <c r="AD411" s="48">
        <f t="shared" si="131"/>
        <v>75</v>
      </c>
      <c r="AE411" s="14"/>
      <c r="AF411" s="14"/>
      <c r="AG411" s="14"/>
      <c r="AH411" s="48"/>
      <c r="AI411" s="14"/>
      <c r="AJ411" s="14"/>
      <c r="AK411" s="14"/>
      <c r="AL411" s="48"/>
      <c r="AM411" s="14"/>
      <c r="AN411" s="14"/>
      <c r="AO411" s="14"/>
      <c r="AP411" s="48"/>
      <c r="AQ411" s="14"/>
      <c r="AR411" s="14"/>
      <c r="AS411" s="14"/>
      <c r="AT411" s="48"/>
      <c r="AU411" s="14"/>
      <c r="AV411" s="14"/>
      <c r="AW411" s="14"/>
      <c r="AX411" s="49"/>
    </row>
    <row r="412" spans="1:50" ht="10.199999999999999" customHeight="1" x14ac:dyDescent="0.25">
      <c r="A412" s="14">
        <v>5</v>
      </c>
      <c r="B412" s="102">
        <f t="shared" si="130"/>
        <v>38386</v>
      </c>
      <c r="C412" s="103">
        <v>38379</v>
      </c>
      <c r="D412" s="14"/>
      <c r="E412" s="14"/>
      <c r="F412" s="48"/>
      <c r="G412" s="14"/>
      <c r="H412" s="14"/>
      <c r="I412" s="14"/>
      <c r="J412" s="48"/>
      <c r="K412" s="14"/>
      <c r="L412" s="14">
        <v>183</v>
      </c>
      <c r="M412" s="14">
        <v>139</v>
      </c>
      <c r="N412" s="48">
        <f t="shared" si="126"/>
        <v>161</v>
      </c>
      <c r="O412" s="14"/>
      <c r="P412" s="14">
        <v>22</v>
      </c>
      <c r="Q412" s="14">
        <v>83</v>
      </c>
      <c r="R412" s="48">
        <f t="shared" si="127"/>
        <v>52.5</v>
      </c>
      <c r="S412" s="14"/>
      <c r="T412" s="14">
        <v>28</v>
      </c>
      <c r="U412" s="14">
        <v>83</v>
      </c>
      <c r="V412" s="48">
        <f t="shared" si="128"/>
        <v>55.5</v>
      </c>
      <c r="W412" s="14"/>
      <c r="X412" s="14">
        <v>30</v>
      </c>
      <c r="Y412" s="14">
        <v>100</v>
      </c>
      <c r="Z412" s="48">
        <f t="shared" si="129"/>
        <v>65</v>
      </c>
      <c r="AA412" s="14"/>
      <c r="AB412" s="14">
        <v>38</v>
      </c>
      <c r="AC412" s="14">
        <v>113</v>
      </c>
      <c r="AD412" s="48">
        <f t="shared" si="131"/>
        <v>75.5</v>
      </c>
      <c r="AE412" s="14"/>
      <c r="AF412" s="14"/>
      <c r="AG412" s="14">
        <v>75</v>
      </c>
      <c r="AH412" s="48">
        <f>AVERAGE(AF412,AG412)</f>
        <v>75</v>
      </c>
      <c r="AI412" s="14"/>
      <c r="AJ412" s="14"/>
      <c r="AK412" s="14"/>
      <c r="AL412" s="48"/>
      <c r="AM412" s="14"/>
      <c r="AN412" s="14"/>
      <c r="AO412" s="14"/>
      <c r="AP412" s="48"/>
      <c r="AQ412" s="14"/>
      <c r="AR412" s="14"/>
      <c r="AS412" s="14"/>
      <c r="AT412" s="48"/>
      <c r="AU412" s="14"/>
      <c r="AV412" s="14"/>
      <c r="AW412" s="14"/>
      <c r="AX412" s="49"/>
    </row>
    <row r="413" spans="1:50" ht="10.199999999999999" customHeight="1" x14ac:dyDescent="0.25">
      <c r="A413" s="14">
        <v>6</v>
      </c>
      <c r="B413" s="102">
        <f t="shared" si="130"/>
        <v>38393</v>
      </c>
      <c r="C413" s="103">
        <v>38386</v>
      </c>
      <c r="D413" s="14"/>
      <c r="E413" s="14"/>
      <c r="F413" s="48"/>
      <c r="G413" s="14"/>
      <c r="H413" s="14"/>
      <c r="I413" s="14"/>
      <c r="J413" s="48"/>
      <c r="K413" s="14"/>
      <c r="L413" s="14">
        <v>175</v>
      </c>
      <c r="M413" s="14">
        <v>148</v>
      </c>
      <c r="N413" s="48">
        <f t="shared" si="126"/>
        <v>161.5</v>
      </c>
      <c r="O413" s="14"/>
      <c r="P413" s="14">
        <v>33</v>
      </c>
      <c r="Q413" s="14">
        <v>83</v>
      </c>
      <c r="R413" s="48">
        <f t="shared" si="127"/>
        <v>58</v>
      </c>
      <c r="S413" s="14"/>
      <c r="T413" s="14">
        <v>45</v>
      </c>
      <c r="U413" s="14">
        <v>83</v>
      </c>
      <c r="V413" s="48">
        <f t="shared" si="128"/>
        <v>64</v>
      </c>
      <c r="W413" s="14"/>
      <c r="X413" s="14">
        <v>47</v>
      </c>
      <c r="Y413" s="14">
        <v>100</v>
      </c>
      <c r="Z413" s="48">
        <f t="shared" si="129"/>
        <v>73.5</v>
      </c>
      <c r="AA413" s="14"/>
      <c r="AB413" s="14">
        <v>63</v>
      </c>
      <c r="AC413" s="14">
        <v>113</v>
      </c>
      <c r="AD413" s="48">
        <f t="shared" si="131"/>
        <v>88</v>
      </c>
      <c r="AE413" s="14"/>
      <c r="AF413" s="14"/>
      <c r="AG413" s="14">
        <v>100</v>
      </c>
      <c r="AH413" s="48">
        <f>AVERAGE(AF413,AG413)</f>
        <v>100</v>
      </c>
      <c r="AI413" s="14"/>
      <c r="AJ413" s="14"/>
      <c r="AK413" s="14"/>
      <c r="AL413" s="48"/>
      <c r="AM413" s="14"/>
      <c r="AN413" s="14"/>
      <c r="AO413" s="14"/>
      <c r="AP413" s="48"/>
      <c r="AQ413" s="14"/>
      <c r="AR413" s="14"/>
      <c r="AS413" s="14"/>
      <c r="AT413" s="48"/>
      <c r="AU413" s="14"/>
      <c r="AV413" s="14"/>
      <c r="AW413" s="14"/>
      <c r="AX413" s="49"/>
    </row>
    <row r="414" spans="1:50" ht="10.199999999999999" customHeight="1" x14ac:dyDescent="0.25">
      <c r="A414" s="14">
        <v>7</v>
      </c>
      <c r="B414" s="102">
        <f t="shared" si="130"/>
        <v>38400</v>
      </c>
      <c r="C414" s="103">
        <v>38393</v>
      </c>
      <c r="D414" s="14"/>
      <c r="E414" s="14"/>
      <c r="F414" s="48"/>
      <c r="G414" s="14"/>
      <c r="H414" s="14"/>
      <c r="I414" s="14"/>
      <c r="J414" s="48"/>
      <c r="K414" s="14"/>
      <c r="L414" s="14">
        <v>50</v>
      </c>
      <c r="M414" s="14">
        <v>83</v>
      </c>
      <c r="N414" s="48">
        <f t="shared" si="126"/>
        <v>66.5</v>
      </c>
      <c r="O414" s="14"/>
      <c r="P414" s="14">
        <v>6</v>
      </c>
      <c r="Q414" s="14">
        <v>50</v>
      </c>
      <c r="R414" s="48">
        <f t="shared" si="127"/>
        <v>28</v>
      </c>
      <c r="S414" s="14"/>
      <c r="T414" s="14">
        <v>13</v>
      </c>
      <c r="U414" s="14">
        <v>50</v>
      </c>
      <c r="V414" s="48">
        <f t="shared" si="128"/>
        <v>31.5</v>
      </c>
      <c r="W414" s="14"/>
      <c r="X414" s="14">
        <v>18</v>
      </c>
      <c r="Y414" s="14">
        <v>63</v>
      </c>
      <c r="Z414" s="48">
        <f t="shared" si="129"/>
        <v>40.5</v>
      </c>
      <c r="AA414" s="14"/>
      <c r="AB414" s="14">
        <v>42</v>
      </c>
      <c r="AC414" s="14">
        <v>75</v>
      </c>
      <c r="AD414" s="48">
        <f t="shared" si="131"/>
        <v>58.5</v>
      </c>
      <c r="AE414" s="14"/>
      <c r="AF414" s="14"/>
      <c r="AG414" s="14">
        <v>125</v>
      </c>
      <c r="AH414" s="48">
        <f>AVERAGE(AF414,AG414)</f>
        <v>125</v>
      </c>
      <c r="AI414" s="14"/>
      <c r="AJ414" s="14"/>
      <c r="AK414" s="14"/>
      <c r="AL414" s="48"/>
      <c r="AM414" s="14"/>
      <c r="AN414" s="14"/>
      <c r="AO414" s="14"/>
      <c r="AP414" s="48"/>
      <c r="AQ414" s="14"/>
      <c r="AR414" s="14"/>
      <c r="AS414" s="14"/>
      <c r="AT414" s="48"/>
      <c r="AU414" s="14"/>
      <c r="AV414" s="14"/>
      <c r="AW414" s="14"/>
      <c r="AX414" s="49"/>
    </row>
    <row r="415" spans="1:50" ht="10.199999999999999" customHeight="1" x14ac:dyDescent="0.25">
      <c r="A415" s="14">
        <v>8</v>
      </c>
      <c r="B415" s="102">
        <f t="shared" si="130"/>
        <v>38407</v>
      </c>
      <c r="C415" s="103">
        <v>38400</v>
      </c>
      <c r="D415" s="14"/>
      <c r="E415" s="14"/>
      <c r="F415" s="48"/>
      <c r="G415" s="14"/>
      <c r="H415" s="14"/>
      <c r="I415" s="14"/>
      <c r="J415" s="48"/>
      <c r="K415" s="14"/>
      <c r="L415" s="14">
        <v>40</v>
      </c>
      <c r="M415" s="14">
        <v>-17</v>
      </c>
      <c r="N415" s="48">
        <f t="shared" si="126"/>
        <v>11.5</v>
      </c>
      <c r="O415" s="14"/>
      <c r="P415" s="14">
        <v>15</v>
      </c>
      <c r="Q415" s="14">
        <v>-10</v>
      </c>
      <c r="R415" s="48">
        <f t="shared" si="127"/>
        <v>2.5</v>
      </c>
      <c r="S415" s="14"/>
      <c r="T415" s="14">
        <v>18</v>
      </c>
      <c r="U415" s="14">
        <v>0</v>
      </c>
      <c r="V415" s="48">
        <f t="shared" si="128"/>
        <v>9</v>
      </c>
      <c r="W415" s="14"/>
      <c r="X415" s="14">
        <v>23</v>
      </c>
      <c r="Y415" s="14">
        <v>13</v>
      </c>
      <c r="Z415" s="48">
        <f t="shared" si="129"/>
        <v>18</v>
      </c>
      <c r="AA415" s="14"/>
      <c r="AB415" s="14">
        <v>33</v>
      </c>
      <c r="AC415" s="14">
        <v>45</v>
      </c>
      <c r="AD415" s="48">
        <f t="shared" si="131"/>
        <v>39</v>
      </c>
      <c r="AE415" s="14"/>
      <c r="AF415" s="14"/>
      <c r="AG415" s="14"/>
      <c r="AH415" s="48"/>
      <c r="AI415" s="14"/>
      <c r="AJ415" s="14"/>
      <c r="AK415" s="14"/>
      <c r="AL415" s="48"/>
      <c r="AM415" s="14"/>
      <c r="AN415" s="14"/>
      <c r="AO415" s="14"/>
      <c r="AP415" s="48"/>
      <c r="AQ415" s="14"/>
      <c r="AR415" s="14"/>
      <c r="AS415" s="14"/>
      <c r="AT415" s="48"/>
      <c r="AU415" s="14"/>
      <c r="AV415" s="14"/>
      <c r="AW415" s="14"/>
      <c r="AX415" s="49"/>
    </row>
    <row r="416" spans="1:50" ht="10.199999999999999" customHeight="1" x14ac:dyDescent="0.25">
      <c r="A416" s="14">
        <v>9</v>
      </c>
      <c r="B416" s="102">
        <f t="shared" si="130"/>
        <v>38414</v>
      </c>
      <c r="C416" s="103">
        <v>38407</v>
      </c>
      <c r="D416" s="14"/>
      <c r="E416" s="14"/>
      <c r="F416" s="48"/>
      <c r="G416" s="14"/>
      <c r="H416" s="14"/>
      <c r="I416" s="14"/>
      <c r="J416" s="48"/>
      <c r="K416" s="14"/>
      <c r="N416" s="49"/>
      <c r="P416" s="14">
        <v>10</v>
      </c>
      <c r="Q416" s="14">
        <v>-10</v>
      </c>
      <c r="R416" s="48">
        <f t="shared" si="127"/>
        <v>0</v>
      </c>
      <c r="S416" s="14"/>
      <c r="T416" s="14">
        <v>10</v>
      </c>
      <c r="U416" s="14">
        <v>0</v>
      </c>
      <c r="V416" s="48">
        <f t="shared" si="128"/>
        <v>5</v>
      </c>
      <c r="W416" s="14"/>
      <c r="X416" s="14">
        <v>12</v>
      </c>
      <c r="Y416" s="14">
        <v>13</v>
      </c>
      <c r="Z416" s="48">
        <f t="shared" si="129"/>
        <v>12.5</v>
      </c>
      <c r="AA416" s="14"/>
      <c r="AB416" s="14">
        <v>23</v>
      </c>
      <c r="AC416" s="14">
        <v>45</v>
      </c>
      <c r="AD416" s="48">
        <f t="shared" si="131"/>
        <v>34</v>
      </c>
      <c r="AE416" s="14"/>
      <c r="AF416" s="14"/>
      <c r="AG416" s="14"/>
      <c r="AH416" s="48"/>
      <c r="AI416" s="14"/>
      <c r="AJ416" s="14"/>
      <c r="AK416" s="14"/>
      <c r="AL416" s="48"/>
      <c r="AM416" s="14"/>
      <c r="AN416" s="14"/>
      <c r="AO416" s="14"/>
      <c r="AP416" s="48"/>
      <c r="AQ416" s="14"/>
      <c r="AR416" s="14"/>
      <c r="AS416" s="14"/>
      <c r="AT416" s="48"/>
      <c r="AU416" s="14"/>
      <c r="AV416" s="14"/>
      <c r="AW416" s="14"/>
      <c r="AX416" s="49"/>
    </row>
    <row r="417" spans="1:50" ht="10.199999999999999" customHeight="1" x14ac:dyDescent="0.25">
      <c r="A417" s="14">
        <v>10</v>
      </c>
      <c r="B417" s="102">
        <f t="shared" si="130"/>
        <v>38421</v>
      </c>
      <c r="C417" s="103">
        <v>38414</v>
      </c>
      <c r="D417" s="14"/>
      <c r="E417" s="14"/>
      <c r="F417" s="48"/>
      <c r="G417" s="14"/>
      <c r="H417" s="14"/>
      <c r="I417" s="14"/>
      <c r="J417" s="48"/>
      <c r="K417" s="14"/>
      <c r="L417" s="14"/>
      <c r="M417" s="14"/>
      <c r="N417" s="48"/>
      <c r="O417" s="14"/>
      <c r="P417" s="14">
        <v>5</v>
      </c>
      <c r="Q417" s="14">
        <v>-19</v>
      </c>
      <c r="R417" s="48">
        <f t="shared" si="127"/>
        <v>-7</v>
      </c>
      <c r="S417" s="14"/>
      <c r="T417" s="14">
        <v>5</v>
      </c>
      <c r="U417" s="14">
        <v>0</v>
      </c>
      <c r="V417" s="48">
        <f t="shared" si="128"/>
        <v>2.5</v>
      </c>
      <c r="W417" s="14"/>
      <c r="X417" s="14">
        <v>20</v>
      </c>
      <c r="Y417" s="14">
        <v>13</v>
      </c>
      <c r="Z417" s="48">
        <f t="shared" si="129"/>
        <v>16.5</v>
      </c>
      <c r="AA417" s="14"/>
      <c r="AB417" s="14">
        <v>18</v>
      </c>
      <c r="AC417" s="14">
        <v>43</v>
      </c>
      <c r="AD417" s="48">
        <f t="shared" si="131"/>
        <v>30.5</v>
      </c>
      <c r="AE417" s="14"/>
      <c r="AF417" s="14">
        <v>23</v>
      </c>
      <c r="AG417" s="14"/>
      <c r="AH417" s="48">
        <f t="shared" ref="AH417:AH436" si="132">AVERAGE(AF417,AG417)</f>
        <v>23</v>
      </c>
      <c r="AI417" s="14"/>
      <c r="AJ417" s="14"/>
      <c r="AK417" s="14"/>
      <c r="AL417" s="48"/>
      <c r="AM417" s="14"/>
      <c r="AN417" s="14"/>
      <c r="AO417" s="14"/>
      <c r="AP417" s="48"/>
      <c r="AQ417" s="14"/>
      <c r="AR417" s="14"/>
      <c r="AS417" s="14"/>
      <c r="AT417" s="48"/>
      <c r="AU417" s="14"/>
      <c r="AV417" s="14"/>
      <c r="AW417" s="14"/>
      <c r="AX417" s="49"/>
    </row>
    <row r="418" spans="1:50" ht="10.199999999999999" customHeight="1" x14ac:dyDescent="0.25">
      <c r="A418" s="14">
        <v>11</v>
      </c>
      <c r="B418" s="102">
        <f t="shared" si="130"/>
        <v>38428</v>
      </c>
      <c r="C418" s="103">
        <v>38421</v>
      </c>
      <c r="D418" s="14"/>
      <c r="E418" s="14"/>
      <c r="F418" s="48"/>
      <c r="G418" s="14"/>
      <c r="H418" s="14"/>
      <c r="I418" s="14"/>
      <c r="J418" s="48"/>
      <c r="K418" s="14"/>
      <c r="L418" s="14"/>
      <c r="M418" s="14"/>
      <c r="N418" s="48"/>
      <c r="O418" s="14"/>
      <c r="P418" s="14">
        <v>-13</v>
      </c>
      <c r="Q418" s="14">
        <v>-28</v>
      </c>
      <c r="R418" s="48">
        <f t="shared" si="127"/>
        <v>-20.5</v>
      </c>
      <c r="S418" s="14"/>
      <c r="T418" s="14">
        <v>-10</v>
      </c>
      <c r="U418" s="14">
        <v>-18</v>
      </c>
      <c r="V418" s="48">
        <f t="shared" si="128"/>
        <v>-14</v>
      </c>
      <c r="W418" s="14"/>
      <c r="X418" s="14">
        <v>-6</v>
      </c>
      <c r="Y418" s="14">
        <v>0</v>
      </c>
      <c r="Z418" s="48">
        <f t="shared" si="129"/>
        <v>-3</v>
      </c>
      <c r="AA418" s="14"/>
      <c r="AB418" s="14">
        <v>13</v>
      </c>
      <c r="AC418" s="14">
        <v>38</v>
      </c>
      <c r="AD418" s="48">
        <f t="shared" si="131"/>
        <v>25.5</v>
      </c>
      <c r="AE418" s="14"/>
      <c r="AF418" s="14">
        <v>25</v>
      </c>
      <c r="AG418" s="14">
        <v>80</v>
      </c>
      <c r="AH418" s="48">
        <f t="shared" si="132"/>
        <v>52.5</v>
      </c>
      <c r="AI418" s="14"/>
      <c r="AJ418" s="14"/>
      <c r="AK418" s="14">
        <v>80</v>
      </c>
      <c r="AL418" s="48">
        <f t="shared" ref="AL418:AL440" si="133">AVERAGE(AJ418,AK418)</f>
        <v>80</v>
      </c>
      <c r="AM418" s="14"/>
      <c r="AN418" s="14"/>
      <c r="AO418" s="14"/>
      <c r="AP418" s="48"/>
      <c r="AQ418" s="14"/>
      <c r="AR418" s="14"/>
      <c r="AS418" s="14"/>
      <c r="AT418" s="48"/>
      <c r="AU418" s="14"/>
      <c r="AV418" s="14"/>
      <c r="AW418" s="14"/>
      <c r="AX418" s="49"/>
    </row>
    <row r="419" spans="1:50" ht="10.199999999999999" customHeight="1" x14ac:dyDescent="0.25">
      <c r="A419" s="14">
        <v>12</v>
      </c>
      <c r="B419" s="102">
        <f t="shared" si="130"/>
        <v>38435</v>
      </c>
      <c r="C419" s="103">
        <v>38428</v>
      </c>
      <c r="D419" s="14"/>
      <c r="E419" s="14"/>
      <c r="F419" s="48"/>
      <c r="G419" s="14"/>
      <c r="H419" s="14"/>
      <c r="I419" s="14"/>
      <c r="J419" s="48"/>
      <c r="K419" s="14"/>
      <c r="L419" s="14"/>
      <c r="M419" s="14"/>
      <c r="N419" s="48"/>
      <c r="O419" s="14"/>
      <c r="P419" s="14">
        <v>133</v>
      </c>
      <c r="Q419" s="14">
        <v>-35</v>
      </c>
      <c r="R419" s="48">
        <f t="shared" si="127"/>
        <v>49</v>
      </c>
      <c r="S419" s="14"/>
      <c r="T419" s="14">
        <v>43</v>
      </c>
      <c r="U419" s="14">
        <v>-18</v>
      </c>
      <c r="V419" s="48">
        <f t="shared" si="128"/>
        <v>12.5</v>
      </c>
      <c r="W419" s="14"/>
      <c r="X419" s="14">
        <v>36</v>
      </c>
      <c r="Y419" s="14">
        <v>0</v>
      </c>
      <c r="Z419" s="48">
        <f t="shared" si="129"/>
        <v>18</v>
      </c>
      <c r="AA419" s="14"/>
      <c r="AB419" s="14">
        <v>49</v>
      </c>
      <c r="AC419" s="14">
        <v>43</v>
      </c>
      <c r="AD419" s="48">
        <f t="shared" si="131"/>
        <v>46</v>
      </c>
      <c r="AE419" s="14"/>
      <c r="AF419" s="14">
        <v>150</v>
      </c>
      <c r="AG419" s="14">
        <v>80</v>
      </c>
      <c r="AH419" s="48">
        <f t="shared" si="132"/>
        <v>115</v>
      </c>
      <c r="AI419" s="14"/>
      <c r="AJ419" s="14"/>
      <c r="AK419" s="14">
        <v>93</v>
      </c>
      <c r="AL419" s="48">
        <f t="shared" si="133"/>
        <v>93</v>
      </c>
      <c r="AM419" s="14"/>
      <c r="AN419" s="14"/>
      <c r="AO419" s="14"/>
      <c r="AP419" s="48"/>
      <c r="AQ419" s="14"/>
      <c r="AR419" s="14"/>
      <c r="AS419" s="14"/>
      <c r="AT419" s="48"/>
      <c r="AU419" s="14"/>
      <c r="AV419" s="14"/>
      <c r="AW419" s="14"/>
      <c r="AX419" s="49"/>
    </row>
    <row r="420" spans="1:50" ht="10.199999999999999" customHeight="1" x14ac:dyDescent="0.25">
      <c r="A420" s="14">
        <v>13</v>
      </c>
      <c r="B420" s="102">
        <f t="shared" si="130"/>
        <v>38442</v>
      </c>
      <c r="C420" s="103">
        <v>38435</v>
      </c>
      <c r="D420" s="14"/>
      <c r="E420" s="14"/>
      <c r="F420" s="48"/>
      <c r="G420" s="14"/>
      <c r="H420" s="14"/>
      <c r="I420" s="14"/>
      <c r="J420" s="48"/>
      <c r="K420" s="14"/>
      <c r="L420" s="14"/>
      <c r="M420" s="14"/>
      <c r="N420" s="48"/>
      <c r="O420" s="14"/>
      <c r="P420" s="14"/>
      <c r="Q420" s="14"/>
      <c r="R420" s="48"/>
      <c r="S420" s="14"/>
      <c r="T420" s="14">
        <v>56</v>
      </c>
      <c r="U420" s="14">
        <v>-28</v>
      </c>
      <c r="V420" s="48">
        <f t="shared" si="128"/>
        <v>14</v>
      </c>
      <c r="W420" s="14"/>
      <c r="X420" s="14">
        <v>45</v>
      </c>
      <c r="Y420" s="14">
        <v>-13</v>
      </c>
      <c r="Z420" s="48">
        <f t="shared" si="129"/>
        <v>16</v>
      </c>
      <c r="AA420" s="14"/>
      <c r="AB420" s="14">
        <v>55</v>
      </c>
      <c r="AC420" s="14">
        <v>43</v>
      </c>
      <c r="AD420" s="48">
        <f t="shared" si="131"/>
        <v>49</v>
      </c>
      <c r="AE420" s="14"/>
      <c r="AF420" s="14">
        <v>115</v>
      </c>
      <c r="AG420" s="14">
        <v>93</v>
      </c>
      <c r="AH420" s="48">
        <f t="shared" si="132"/>
        <v>104</v>
      </c>
      <c r="AI420" s="14"/>
      <c r="AJ420" s="14">
        <v>70</v>
      </c>
      <c r="AK420" s="14">
        <v>93</v>
      </c>
      <c r="AL420" s="48">
        <f t="shared" si="133"/>
        <v>81.5</v>
      </c>
      <c r="AM420" s="14"/>
      <c r="AN420" s="14"/>
      <c r="AO420" s="14"/>
      <c r="AP420" s="48"/>
      <c r="AQ420" s="14"/>
      <c r="AR420" s="14"/>
      <c r="AS420" s="14"/>
      <c r="AT420" s="48"/>
      <c r="AU420" s="14"/>
      <c r="AV420" s="14"/>
      <c r="AW420" s="14"/>
      <c r="AX420" s="49"/>
    </row>
    <row r="421" spans="1:50" ht="10.199999999999999" customHeight="1" x14ac:dyDescent="0.25">
      <c r="A421" s="14">
        <v>14</v>
      </c>
      <c r="B421" s="102">
        <f t="shared" si="130"/>
        <v>38449</v>
      </c>
      <c r="C421" s="103">
        <v>38442</v>
      </c>
      <c r="D421" s="14"/>
      <c r="E421" s="14"/>
      <c r="F421" s="48"/>
      <c r="G421" s="14"/>
      <c r="H421" s="14"/>
      <c r="I421" s="14"/>
      <c r="J421" s="48"/>
      <c r="K421" s="14"/>
      <c r="L421" s="14"/>
      <c r="M421" s="14"/>
      <c r="N421" s="48"/>
      <c r="O421" s="14"/>
      <c r="P421" s="14"/>
      <c r="Q421" s="14"/>
      <c r="R421" s="48"/>
      <c r="S421" s="14"/>
      <c r="T421" s="14">
        <v>26</v>
      </c>
      <c r="U421" s="14">
        <v>-73</v>
      </c>
      <c r="V421" s="48">
        <f t="shared" si="128"/>
        <v>-23.5</v>
      </c>
      <c r="W421" s="14"/>
      <c r="X421" s="14">
        <v>25</v>
      </c>
      <c r="Y421" s="14">
        <v>-5</v>
      </c>
      <c r="Z421" s="48">
        <f t="shared" si="129"/>
        <v>10</v>
      </c>
      <c r="AA421" s="14"/>
      <c r="AB421" s="14">
        <v>42</v>
      </c>
      <c r="AC421" s="14">
        <v>21</v>
      </c>
      <c r="AD421" s="48">
        <f t="shared" si="131"/>
        <v>31.5</v>
      </c>
      <c r="AE421" s="14"/>
      <c r="AF421" s="14">
        <v>94</v>
      </c>
      <c r="AG421" s="14">
        <v>68</v>
      </c>
      <c r="AH421" s="48">
        <f t="shared" si="132"/>
        <v>81</v>
      </c>
      <c r="AI421" s="14"/>
      <c r="AJ421" s="14">
        <v>70</v>
      </c>
      <c r="AK421" s="14">
        <v>80</v>
      </c>
      <c r="AL421" s="48">
        <f t="shared" si="133"/>
        <v>75</v>
      </c>
      <c r="AM421" s="14"/>
      <c r="AN421" s="14"/>
      <c r="AO421" s="14"/>
      <c r="AP421" s="48"/>
      <c r="AQ421" s="14"/>
      <c r="AR421" s="14"/>
      <c r="AS421" s="14"/>
      <c r="AT421" s="48"/>
      <c r="AU421" s="14"/>
      <c r="AV421" s="14"/>
      <c r="AW421" s="14"/>
      <c r="AX421" s="49"/>
    </row>
    <row r="422" spans="1:50" ht="10.199999999999999" customHeight="1" x14ac:dyDescent="0.25">
      <c r="A422" s="14">
        <v>15</v>
      </c>
      <c r="B422" s="102">
        <f t="shared" si="130"/>
        <v>38456</v>
      </c>
      <c r="C422" s="103">
        <v>38449</v>
      </c>
      <c r="D422" s="14"/>
      <c r="E422" s="14"/>
      <c r="F422" s="48"/>
      <c r="G422" s="14"/>
      <c r="H422" s="14"/>
      <c r="I422" s="14"/>
      <c r="J422" s="48"/>
      <c r="K422" s="14"/>
      <c r="L422" s="14"/>
      <c r="M422" s="14"/>
      <c r="N422" s="48"/>
      <c r="O422" s="14"/>
      <c r="P422" s="14"/>
      <c r="Q422" s="14"/>
      <c r="R422" s="48"/>
      <c r="S422" s="14"/>
      <c r="T422" s="14">
        <v>13</v>
      </c>
      <c r="U422" s="14">
        <v>-92</v>
      </c>
      <c r="V422" s="48">
        <f t="shared" si="128"/>
        <v>-39.5</v>
      </c>
      <c r="W422" s="14"/>
      <c r="X422" s="14">
        <v>19</v>
      </c>
      <c r="Y422" s="14">
        <v>-8</v>
      </c>
      <c r="Z422" s="48">
        <f t="shared" si="129"/>
        <v>5.5</v>
      </c>
      <c r="AA422" s="14"/>
      <c r="AB422" s="14">
        <v>34</v>
      </c>
      <c r="AC422" s="14">
        <v>22</v>
      </c>
      <c r="AD422" s="48">
        <f t="shared" si="131"/>
        <v>28</v>
      </c>
      <c r="AE422" s="14"/>
      <c r="AF422" s="14">
        <v>92</v>
      </c>
      <c r="AG422" s="14">
        <v>69</v>
      </c>
      <c r="AH422" s="48">
        <f t="shared" si="132"/>
        <v>80.5</v>
      </c>
      <c r="AI422" s="14"/>
      <c r="AJ422" s="14">
        <v>70</v>
      </c>
      <c r="AK422" s="14">
        <v>90</v>
      </c>
      <c r="AL422" s="48">
        <f t="shared" si="133"/>
        <v>80</v>
      </c>
      <c r="AM422" s="14"/>
      <c r="AN422" s="14"/>
      <c r="AO422" s="14"/>
      <c r="AP422" s="48"/>
      <c r="AQ422" s="14"/>
      <c r="AR422" s="14"/>
      <c r="AS422" s="14"/>
      <c r="AT422" s="48"/>
      <c r="AU422" s="14"/>
      <c r="AV422" s="14"/>
      <c r="AW422" s="14"/>
      <c r="AX422" s="49"/>
    </row>
    <row r="423" spans="1:50" ht="10.199999999999999" customHeight="1" x14ac:dyDescent="0.25">
      <c r="A423" s="14">
        <v>16</v>
      </c>
      <c r="B423" s="102">
        <f t="shared" si="130"/>
        <v>38463</v>
      </c>
      <c r="C423" s="103">
        <v>38456</v>
      </c>
      <c r="D423" s="14"/>
      <c r="E423" s="14"/>
      <c r="F423" s="48"/>
      <c r="G423" s="14"/>
      <c r="H423" s="14"/>
      <c r="I423" s="14"/>
      <c r="J423" s="48"/>
      <c r="K423" s="14"/>
      <c r="L423" s="14"/>
      <c r="M423" s="14"/>
      <c r="N423" s="48"/>
      <c r="O423" s="14"/>
      <c r="P423" s="14"/>
      <c r="Q423" s="14"/>
      <c r="R423" s="48"/>
      <c r="S423" s="14"/>
      <c r="T423" s="14">
        <v>-29</v>
      </c>
      <c r="U423" s="14">
        <v>-90</v>
      </c>
      <c r="V423" s="48">
        <f t="shared" si="128"/>
        <v>-59.5</v>
      </c>
      <c r="W423" s="14"/>
      <c r="X423" s="14">
        <v>6</v>
      </c>
      <c r="Y423" s="14">
        <v>-25</v>
      </c>
      <c r="Z423" s="48">
        <f t="shared" si="129"/>
        <v>-9.5</v>
      </c>
      <c r="AA423" s="14"/>
      <c r="AB423" s="14">
        <v>25</v>
      </c>
      <c r="AC423" s="14">
        <v>0</v>
      </c>
      <c r="AD423" s="48">
        <f t="shared" si="131"/>
        <v>12.5</v>
      </c>
      <c r="AE423" s="14"/>
      <c r="AF423" s="14">
        <v>92</v>
      </c>
      <c r="AG423" s="14">
        <v>58</v>
      </c>
      <c r="AH423" s="48">
        <f t="shared" si="132"/>
        <v>75</v>
      </c>
      <c r="AI423" s="14"/>
      <c r="AJ423" s="14">
        <v>50</v>
      </c>
      <c r="AK423" s="14">
        <v>94</v>
      </c>
      <c r="AL423" s="48">
        <f t="shared" si="133"/>
        <v>72</v>
      </c>
      <c r="AM423" s="14"/>
      <c r="AN423" s="14"/>
      <c r="AO423" s="14"/>
      <c r="AP423" s="48"/>
      <c r="AQ423" s="14"/>
      <c r="AR423" s="14"/>
      <c r="AS423" s="14"/>
      <c r="AT423" s="48"/>
      <c r="AU423" s="14"/>
      <c r="AV423" s="14"/>
      <c r="AW423" s="14"/>
      <c r="AX423" s="49"/>
    </row>
    <row r="424" spans="1:50" ht="10.199999999999999" customHeight="1" x14ac:dyDescent="0.25">
      <c r="A424" s="14">
        <v>17</v>
      </c>
      <c r="B424" s="102">
        <f t="shared" si="130"/>
        <v>38470</v>
      </c>
      <c r="C424" s="103">
        <v>38463</v>
      </c>
      <c r="D424" s="14"/>
      <c r="E424" s="14"/>
      <c r="F424" s="48"/>
      <c r="G424" s="14"/>
      <c r="H424" s="14"/>
      <c r="I424" s="14"/>
      <c r="J424" s="48"/>
      <c r="K424" s="14"/>
      <c r="L424" s="14"/>
      <c r="M424" s="14"/>
      <c r="N424" s="48"/>
      <c r="O424" s="14"/>
      <c r="P424" s="14"/>
      <c r="Q424" s="14"/>
      <c r="R424" s="48"/>
      <c r="S424" s="14"/>
      <c r="T424" s="14">
        <v>-24</v>
      </c>
      <c r="U424" s="14">
        <v>-50</v>
      </c>
      <c r="V424" s="48">
        <f t="shared" si="128"/>
        <v>-37</v>
      </c>
      <c r="W424" s="14"/>
      <c r="X424" s="14">
        <v>3</v>
      </c>
      <c r="Y424" s="14">
        <v>-44</v>
      </c>
      <c r="Z424" s="48">
        <f t="shared" si="129"/>
        <v>-20.5</v>
      </c>
      <c r="AA424" s="14"/>
      <c r="AB424" s="14">
        <v>30</v>
      </c>
      <c r="AC424" s="14">
        <v>13</v>
      </c>
      <c r="AD424" s="48">
        <f t="shared" si="131"/>
        <v>21.5</v>
      </c>
      <c r="AE424" s="14"/>
      <c r="AF424" s="14">
        <v>81</v>
      </c>
      <c r="AG424" s="14">
        <v>64</v>
      </c>
      <c r="AH424" s="48">
        <f t="shared" si="132"/>
        <v>72.5</v>
      </c>
      <c r="AI424" s="14"/>
      <c r="AJ424" s="14">
        <v>92</v>
      </c>
      <c r="AK424" s="14">
        <v>94</v>
      </c>
      <c r="AL424" s="48">
        <f t="shared" si="133"/>
        <v>93</v>
      </c>
      <c r="AM424" s="14"/>
      <c r="AN424" s="14"/>
      <c r="AO424" s="14"/>
      <c r="AP424" s="48"/>
      <c r="AQ424" s="14"/>
      <c r="AR424" s="14"/>
      <c r="AS424" s="14"/>
      <c r="AT424" s="48"/>
      <c r="AU424" s="14"/>
      <c r="AV424" s="14"/>
      <c r="AW424" s="14"/>
      <c r="AX424" s="49"/>
    </row>
    <row r="425" spans="1:50" ht="10.199999999999999" customHeight="1" x14ac:dyDescent="0.25">
      <c r="A425" s="14">
        <v>18</v>
      </c>
      <c r="B425" s="102">
        <f t="shared" si="130"/>
        <v>38477</v>
      </c>
      <c r="C425" s="103">
        <v>38470</v>
      </c>
      <c r="D425" s="14"/>
      <c r="E425" s="14"/>
      <c r="F425" s="48"/>
      <c r="G425" s="14"/>
      <c r="H425" s="14"/>
      <c r="I425" s="14"/>
      <c r="J425" s="48"/>
      <c r="K425" s="14"/>
      <c r="L425" s="14"/>
      <c r="M425" s="14"/>
      <c r="N425" s="48"/>
      <c r="O425" s="14"/>
      <c r="P425" s="14"/>
      <c r="Q425" s="14"/>
      <c r="R425" s="48"/>
      <c r="S425" s="14"/>
      <c r="T425" s="14"/>
      <c r="U425" s="14"/>
      <c r="V425" s="48"/>
      <c r="W425" s="14"/>
      <c r="X425" s="14">
        <v>5</v>
      </c>
      <c r="Y425" s="14">
        <v>-28</v>
      </c>
      <c r="Z425" s="48">
        <f t="shared" si="129"/>
        <v>-11.5</v>
      </c>
      <c r="AA425" s="14"/>
      <c r="AB425" s="14">
        <v>38</v>
      </c>
      <c r="AC425" s="14">
        <v>33</v>
      </c>
      <c r="AD425" s="48">
        <f t="shared" si="131"/>
        <v>35.5</v>
      </c>
      <c r="AE425" s="14"/>
      <c r="AF425" s="14">
        <v>88</v>
      </c>
      <c r="AG425" s="14">
        <v>85</v>
      </c>
      <c r="AH425" s="48">
        <f t="shared" si="132"/>
        <v>86.5</v>
      </c>
      <c r="AI425" s="14"/>
      <c r="AJ425" s="14">
        <v>75</v>
      </c>
      <c r="AK425" s="14">
        <v>113</v>
      </c>
      <c r="AL425" s="48">
        <f t="shared" si="133"/>
        <v>94</v>
      </c>
      <c r="AM425" s="14"/>
      <c r="AN425" s="14"/>
      <c r="AO425" s="14"/>
      <c r="AP425" s="48"/>
      <c r="AQ425" s="14"/>
      <c r="AR425" s="14"/>
      <c r="AS425" s="14"/>
      <c r="AT425" s="48"/>
      <c r="AU425" s="14"/>
      <c r="AV425" s="14"/>
      <c r="AW425" s="14"/>
      <c r="AX425" s="49"/>
    </row>
    <row r="426" spans="1:50" ht="10.199999999999999" customHeight="1" x14ac:dyDescent="0.25">
      <c r="A426" s="14">
        <v>19</v>
      </c>
      <c r="B426" s="102">
        <f t="shared" si="130"/>
        <v>38484</v>
      </c>
      <c r="C426" s="103">
        <v>38477</v>
      </c>
      <c r="D426" s="14"/>
      <c r="E426" s="14"/>
      <c r="F426" s="48"/>
      <c r="G426" s="14"/>
      <c r="H426" s="14"/>
      <c r="I426" s="14"/>
      <c r="J426" s="48"/>
      <c r="K426" s="14"/>
      <c r="L426" s="14"/>
      <c r="M426" s="14"/>
      <c r="N426" s="48"/>
      <c r="O426" s="14"/>
      <c r="P426" s="14"/>
      <c r="Q426" s="14"/>
      <c r="R426" s="48"/>
      <c r="S426" s="14"/>
      <c r="T426" s="14"/>
      <c r="U426" s="14"/>
      <c r="V426" s="48"/>
      <c r="W426" s="14"/>
      <c r="X426" s="14">
        <v>20</v>
      </c>
      <c r="Y426" s="14">
        <v>-48</v>
      </c>
      <c r="Z426" s="48">
        <f t="shared" si="129"/>
        <v>-14</v>
      </c>
      <c r="AA426" s="14"/>
      <c r="AB426" s="14">
        <v>59</v>
      </c>
      <c r="AC426" s="14">
        <v>17</v>
      </c>
      <c r="AD426" s="48">
        <f t="shared" si="131"/>
        <v>38</v>
      </c>
      <c r="AE426" s="14"/>
      <c r="AF426" s="14">
        <v>92</v>
      </c>
      <c r="AG426" s="14">
        <v>95</v>
      </c>
      <c r="AH426" s="48">
        <f t="shared" si="132"/>
        <v>93.5</v>
      </c>
      <c r="AI426" s="14"/>
      <c r="AJ426" s="14">
        <v>100</v>
      </c>
      <c r="AK426" s="14">
        <v>113</v>
      </c>
      <c r="AL426" s="48">
        <f t="shared" si="133"/>
        <v>106.5</v>
      </c>
      <c r="AM426" s="14"/>
      <c r="AN426" s="14"/>
      <c r="AO426" s="14"/>
      <c r="AP426" s="48"/>
      <c r="AQ426" s="14"/>
      <c r="AR426" s="14"/>
      <c r="AS426" s="14"/>
      <c r="AT426" s="48"/>
      <c r="AU426" s="14"/>
      <c r="AV426" s="14"/>
      <c r="AW426" s="14"/>
      <c r="AX426" s="49"/>
    </row>
    <row r="427" spans="1:50" ht="10.199999999999999" customHeight="1" x14ac:dyDescent="0.25">
      <c r="A427" s="14">
        <v>20</v>
      </c>
      <c r="B427" s="102">
        <f t="shared" si="130"/>
        <v>38491</v>
      </c>
      <c r="C427" s="103">
        <v>38484</v>
      </c>
      <c r="D427" s="14"/>
      <c r="E427" s="14"/>
      <c r="F427" s="48"/>
      <c r="G427" s="14"/>
      <c r="H427" s="14"/>
      <c r="I427" s="14"/>
      <c r="J427" s="48"/>
      <c r="K427" s="14"/>
      <c r="L427" s="14"/>
      <c r="M427" s="14"/>
      <c r="N427" s="48"/>
      <c r="O427" s="14"/>
      <c r="P427" s="14"/>
      <c r="Q427" s="14"/>
      <c r="R427" s="48"/>
      <c r="S427" s="14"/>
      <c r="T427" s="14"/>
      <c r="U427" s="14"/>
      <c r="V427" s="48"/>
      <c r="W427" s="14"/>
      <c r="X427" s="14">
        <v>21</v>
      </c>
      <c r="Y427" s="14">
        <v>-57</v>
      </c>
      <c r="Z427" s="48">
        <f t="shared" si="129"/>
        <v>-18</v>
      </c>
      <c r="AA427" s="14"/>
      <c r="AB427" s="14">
        <v>59</v>
      </c>
      <c r="AC427" s="14">
        <v>35</v>
      </c>
      <c r="AD427" s="48">
        <f t="shared" si="131"/>
        <v>47</v>
      </c>
      <c r="AE427" s="14"/>
      <c r="AF427" s="14">
        <v>98</v>
      </c>
      <c r="AG427" s="14">
        <v>83</v>
      </c>
      <c r="AH427" s="48">
        <f t="shared" si="132"/>
        <v>90.5</v>
      </c>
      <c r="AI427" s="14"/>
      <c r="AJ427" s="14">
        <v>100</v>
      </c>
      <c r="AK427" s="14">
        <v>113</v>
      </c>
      <c r="AL427" s="48">
        <f t="shared" si="133"/>
        <v>106.5</v>
      </c>
      <c r="AM427" s="14"/>
      <c r="AN427" s="14"/>
      <c r="AO427" s="14">
        <v>167</v>
      </c>
      <c r="AP427" s="48">
        <f t="shared" ref="AP427:AP445" si="134">AVERAGE(AN427,AO427)</f>
        <v>167</v>
      </c>
      <c r="AQ427" s="14"/>
      <c r="AR427" s="14"/>
      <c r="AS427" s="14"/>
      <c r="AT427" s="48"/>
      <c r="AU427" s="14"/>
      <c r="AV427" s="14"/>
      <c r="AW427" s="14"/>
      <c r="AX427" s="49"/>
    </row>
    <row r="428" spans="1:50" ht="10.199999999999999" customHeight="1" x14ac:dyDescent="0.25">
      <c r="A428" s="14">
        <v>21</v>
      </c>
      <c r="B428" s="102">
        <f t="shared" si="130"/>
        <v>38498</v>
      </c>
      <c r="C428" s="103">
        <v>38491</v>
      </c>
      <c r="D428" s="14"/>
      <c r="E428" s="14"/>
      <c r="F428" s="48"/>
      <c r="G428" s="14"/>
      <c r="H428" s="14"/>
      <c r="I428" s="14"/>
      <c r="J428" s="48"/>
      <c r="K428" s="14"/>
      <c r="L428" s="14"/>
      <c r="M428" s="14"/>
      <c r="N428" s="48"/>
      <c r="O428" s="14"/>
      <c r="P428" s="14"/>
      <c r="Q428" s="14"/>
      <c r="R428" s="48"/>
      <c r="S428" s="14"/>
      <c r="T428" s="14"/>
      <c r="U428" s="14"/>
      <c r="V428" s="48"/>
      <c r="W428" s="14"/>
      <c r="X428" s="14">
        <v>-23</v>
      </c>
      <c r="Y428" s="14">
        <v>-81</v>
      </c>
      <c r="Z428" s="48">
        <f t="shared" si="129"/>
        <v>-52</v>
      </c>
      <c r="AA428" s="14"/>
      <c r="AB428" s="14">
        <v>46</v>
      </c>
      <c r="AC428" s="14">
        <v>32</v>
      </c>
      <c r="AD428" s="48">
        <f t="shared" si="131"/>
        <v>39</v>
      </c>
      <c r="AE428" s="14"/>
      <c r="AF428" s="14">
        <v>97</v>
      </c>
      <c r="AG428" s="14">
        <v>88</v>
      </c>
      <c r="AH428" s="48">
        <f t="shared" si="132"/>
        <v>92.5</v>
      </c>
      <c r="AI428" s="14"/>
      <c r="AJ428" s="14">
        <v>119</v>
      </c>
      <c r="AK428" s="14">
        <v>106</v>
      </c>
      <c r="AL428" s="48">
        <f t="shared" si="133"/>
        <v>112.5</v>
      </c>
      <c r="AM428" s="14"/>
      <c r="AN428" s="14"/>
      <c r="AO428" s="14">
        <v>167</v>
      </c>
      <c r="AP428" s="48">
        <f t="shared" si="134"/>
        <v>167</v>
      </c>
      <c r="AQ428" s="14"/>
      <c r="AR428" s="14"/>
      <c r="AS428" s="14"/>
      <c r="AT428" s="48"/>
      <c r="AU428" s="14"/>
      <c r="AV428" s="14"/>
      <c r="AW428" s="14"/>
      <c r="AX428" s="49"/>
    </row>
    <row r="429" spans="1:50" ht="10.199999999999999" customHeight="1" x14ac:dyDescent="0.25">
      <c r="A429" s="14">
        <v>22</v>
      </c>
      <c r="B429" s="102">
        <f t="shared" si="130"/>
        <v>38505</v>
      </c>
      <c r="C429" s="103">
        <v>38498</v>
      </c>
      <c r="D429" s="14"/>
      <c r="E429" s="14"/>
      <c r="F429" s="48"/>
      <c r="G429" s="14"/>
      <c r="H429" s="14"/>
      <c r="I429" s="14"/>
      <c r="J429" s="48"/>
      <c r="K429" s="14"/>
      <c r="L429" s="14"/>
      <c r="M429" s="14"/>
      <c r="N429" s="48"/>
      <c r="O429" s="14"/>
      <c r="P429" s="14"/>
      <c r="Q429" s="14"/>
      <c r="R429" s="48"/>
      <c r="S429" s="14"/>
      <c r="T429" s="14"/>
      <c r="U429" s="14"/>
      <c r="V429" s="48"/>
      <c r="W429" s="14"/>
      <c r="X429" s="14"/>
      <c r="Y429" s="14"/>
      <c r="Z429" s="48"/>
      <c r="AA429" s="14"/>
      <c r="AB429" s="14">
        <v>50</v>
      </c>
      <c r="AC429" s="14">
        <v>6</v>
      </c>
      <c r="AD429" s="48">
        <f t="shared" si="131"/>
        <v>28</v>
      </c>
      <c r="AE429" s="14"/>
      <c r="AF429" s="14">
        <v>88</v>
      </c>
      <c r="AG429" s="14">
        <v>66</v>
      </c>
      <c r="AH429" s="48">
        <f t="shared" si="132"/>
        <v>77</v>
      </c>
      <c r="AI429" s="14"/>
      <c r="AJ429" s="14">
        <v>125</v>
      </c>
      <c r="AK429" s="14">
        <v>110</v>
      </c>
      <c r="AL429" s="48">
        <f t="shared" si="133"/>
        <v>117.5</v>
      </c>
      <c r="AM429" s="14"/>
      <c r="AN429" s="14"/>
      <c r="AO429" s="14">
        <v>142</v>
      </c>
      <c r="AP429" s="48">
        <f t="shared" si="134"/>
        <v>142</v>
      </c>
      <c r="AQ429" s="14"/>
      <c r="AR429" s="14"/>
      <c r="AS429" s="14"/>
      <c r="AT429" s="48"/>
      <c r="AU429" s="14"/>
      <c r="AV429" s="14"/>
      <c r="AW429" s="14"/>
      <c r="AX429" s="49"/>
    </row>
    <row r="430" spans="1:50" ht="10.199999999999999" customHeight="1" x14ac:dyDescent="0.25">
      <c r="A430" s="14">
        <v>23</v>
      </c>
      <c r="B430" s="102">
        <f t="shared" si="130"/>
        <v>38512</v>
      </c>
      <c r="C430" s="103">
        <v>38505</v>
      </c>
      <c r="D430" s="14"/>
      <c r="E430" s="14"/>
      <c r="F430" s="48"/>
      <c r="G430" s="14"/>
      <c r="H430" s="14"/>
      <c r="I430" s="14"/>
      <c r="J430" s="48"/>
      <c r="K430" s="14"/>
      <c r="L430" s="14"/>
      <c r="M430" s="14"/>
      <c r="N430" s="48"/>
      <c r="O430" s="14"/>
      <c r="P430" s="14"/>
      <c r="Q430" s="14"/>
      <c r="R430" s="48"/>
      <c r="S430" s="14"/>
      <c r="T430" s="14"/>
      <c r="U430" s="14"/>
      <c r="V430" s="48"/>
      <c r="W430" s="14"/>
      <c r="X430" s="14"/>
      <c r="Y430" s="14"/>
      <c r="Z430" s="48"/>
      <c r="AA430" s="14"/>
      <c r="AB430" s="14">
        <v>0</v>
      </c>
      <c r="AC430" s="14">
        <v>-50</v>
      </c>
      <c r="AD430" s="48">
        <f t="shared" si="131"/>
        <v>-25</v>
      </c>
      <c r="AE430" s="14"/>
      <c r="AF430" s="14">
        <v>54</v>
      </c>
      <c r="AG430" s="14">
        <v>33</v>
      </c>
      <c r="AH430" s="48">
        <f t="shared" si="132"/>
        <v>43.5</v>
      </c>
      <c r="AI430" s="14"/>
      <c r="AJ430" s="14">
        <v>96</v>
      </c>
      <c r="AK430" s="14">
        <v>104</v>
      </c>
      <c r="AL430" s="48">
        <f t="shared" si="133"/>
        <v>100</v>
      </c>
      <c r="AM430" s="14"/>
      <c r="AN430" s="14">
        <v>88</v>
      </c>
      <c r="AO430" s="14">
        <v>138</v>
      </c>
      <c r="AP430" s="48">
        <f t="shared" si="134"/>
        <v>113</v>
      </c>
      <c r="AQ430" s="14"/>
      <c r="AR430" s="14">
        <v>88</v>
      </c>
      <c r="AS430" s="14"/>
      <c r="AT430" s="48">
        <f t="shared" ref="AT430:AT449" si="135">AVERAGE(AR430,AS430)</f>
        <v>88</v>
      </c>
      <c r="AU430" s="14"/>
      <c r="AV430" s="14">
        <v>88</v>
      </c>
      <c r="AW430" s="14"/>
      <c r="AX430" s="48">
        <f t="shared" ref="AX430:AX454" si="136">AVERAGE(AV430,AW430)</f>
        <v>88</v>
      </c>
    </row>
    <row r="431" spans="1:50" ht="10.199999999999999" customHeight="1" x14ac:dyDescent="0.25">
      <c r="A431" s="14">
        <v>24</v>
      </c>
      <c r="B431" s="102">
        <f t="shared" si="130"/>
        <v>38519</v>
      </c>
      <c r="C431" s="103">
        <v>38512</v>
      </c>
      <c r="D431" s="14"/>
      <c r="E431" s="14"/>
      <c r="F431" s="48"/>
      <c r="G431" s="14"/>
      <c r="H431" s="14"/>
      <c r="I431" s="14"/>
      <c r="J431" s="48"/>
      <c r="K431" s="14"/>
      <c r="L431" s="14"/>
      <c r="M431" s="14"/>
      <c r="N431" s="48"/>
      <c r="O431" s="14"/>
      <c r="P431" s="14"/>
      <c r="Q431" s="14"/>
      <c r="R431" s="48"/>
      <c r="S431" s="14"/>
      <c r="T431" s="14"/>
      <c r="U431" s="14"/>
      <c r="V431" s="48"/>
      <c r="W431" s="14"/>
      <c r="X431" s="14"/>
      <c r="Y431" s="14"/>
      <c r="Z431" s="48"/>
      <c r="AA431" s="14"/>
      <c r="AB431" s="14">
        <v>-50</v>
      </c>
      <c r="AC431" s="14">
        <v>-130</v>
      </c>
      <c r="AD431" s="48">
        <f t="shared" si="131"/>
        <v>-90</v>
      </c>
      <c r="AE431" s="14"/>
      <c r="AF431" s="14">
        <v>46</v>
      </c>
      <c r="AG431" s="14">
        <v>4</v>
      </c>
      <c r="AH431" s="48">
        <f t="shared" si="132"/>
        <v>25</v>
      </c>
      <c r="AI431" s="14"/>
      <c r="AJ431" s="14">
        <v>84</v>
      </c>
      <c r="AK431" s="14">
        <v>57</v>
      </c>
      <c r="AL431" s="48">
        <f t="shared" si="133"/>
        <v>70.5</v>
      </c>
      <c r="AM431" s="14"/>
      <c r="AN431" s="14">
        <v>100</v>
      </c>
      <c r="AO431" s="14">
        <v>125</v>
      </c>
      <c r="AP431" s="48">
        <f t="shared" si="134"/>
        <v>112.5</v>
      </c>
      <c r="AQ431" s="14"/>
      <c r="AR431" s="14">
        <v>111</v>
      </c>
      <c r="AS431" s="14"/>
      <c r="AT431" s="48">
        <f t="shared" si="135"/>
        <v>111</v>
      </c>
      <c r="AU431" s="14"/>
      <c r="AV431" s="14">
        <v>100</v>
      </c>
      <c r="AW431" s="14"/>
      <c r="AX431" s="48">
        <f t="shared" si="136"/>
        <v>100</v>
      </c>
    </row>
    <row r="432" spans="1:50" ht="10.199999999999999" customHeight="1" x14ac:dyDescent="0.25">
      <c r="A432" s="14">
        <v>25</v>
      </c>
      <c r="B432" s="102">
        <f t="shared" si="130"/>
        <v>38526</v>
      </c>
      <c r="C432" s="103">
        <v>38519</v>
      </c>
      <c r="D432" s="14"/>
      <c r="E432" s="14"/>
      <c r="F432" s="48"/>
      <c r="G432" s="14"/>
      <c r="H432" s="14"/>
      <c r="I432" s="14"/>
      <c r="J432" s="48"/>
      <c r="K432" s="14"/>
      <c r="L432" s="14"/>
      <c r="M432" s="14"/>
      <c r="N432" s="48"/>
      <c r="O432" s="14"/>
      <c r="P432" s="14"/>
      <c r="Q432" s="14"/>
      <c r="R432" s="48"/>
      <c r="S432" s="14"/>
      <c r="T432" s="14"/>
      <c r="U432" s="14"/>
      <c r="V432" s="48"/>
      <c r="W432" s="14"/>
      <c r="X432" s="14"/>
      <c r="Y432" s="14"/>
      <c r="Z432" s="48"/>
      <c r="AA432" s="14"/>
      <c r="AB432" s="14">
        <v>8</v>
      </c>
      <c r="AC432" s="14">
        <v>-172</v>
      </c>
      <c r="AD432" s="48">
        <f t="shared" si="131"/>
        <v>-82</v>
      </c>
      <c r="AE432" s="14"/>
      <c r="AF432" s="14">
        <v>38</v>
      </c>
      <c r="AG432" s="14">
        <v>8</v>
      </c>
      <c r="AH432" s="48">
        <f t="shared" si="132"/>
        <v>23</v>
      </c>
      <c r="AI432" s="14"/>
      <c r="AJ432" s="14">
        <v>88</v>
      </c>
      <c r="AK432" s="14">
        <v>63</v>
      </c>
      <c r="AL432" s="48">
        <f t="shared" si="133"/>
        <v>75.5</v>
      </c>
      <c r="AM432" s="14"/>
      <c r="AN432" s="14">
        <v>118</v>
      </c>
      <c r="AO432" s="14">
        <v>125</v>
      </c>
      <c r="AP432" s="48">
        <f t="shared" si="134"/>
        <v>121.5</v>
      </c>
      <c r="AQ432" s="14"/>
      <c r="AR432" s="14">
        <v>100</v>
      </c>
      <c r="AS432" s="14"/>
      <c r="AT432" s="48">
        <f t="shared" si="135"/>
        <v>100</v>
      </c>
      <c r="AU432" s="14"/>
      <c r="AV432" s="14">
        <v>83</v>
      </c>
      <c r="AW432" s="14"/>
      <c r="AX432" s="48">
        <f t="shared" si="136"/>
        <v>83</v>
      </c>
    </row>
    <row r="433" spans="1:50" ht="10.199999999999999" customHeight="1" x14ac:dyDescent="0.25">
      <c r="A433" s="14">
        <v>26</v>
      </c>
      <c r="B433" s="102">
        <f t="shared" si="130"/>
        <v>38533</v>
      </c>
      <c r="C433" s="103">
        <v>38526</v>
      </c>
      <c r="D433" s="14"/>
      <c r="E433" s="14"/>
      <c r="F433" s="48"/>
      <c r="G433" s="14"/>
      <c r="H433" s="14"/>
      <c r="I433" s="14"/>
      <c r="J433" s="48"/>
      <c r="K433" s="14"/>
      <c r="L433" s="14"/>
      <c r="M433" s="14"/>
      <c r="N433" s="48"/>
      <c r="O433" s="14"/>
      <c r="P433" s="14"/>
      <c r="Q433" s="14"/>
      <c r="R433" s="48"/>
      <c r="S433" s="14"/>
      <c r="T433" s="14"/>
      <c r="U433" s="14"/>
      <c r="V433" s="48"/>
      <c r="W433" s="14"/>
      <c r="X433" s="14"/>
      <c r="Y433" s="14"/>
      <c r="Z433" s="48"/>
      <c r="AA433" s="14"/>
      <c r="AB433" s="14"/>
      <c r="AC433" s="14"/>
      <c r="AD433" s="48"/>
      <c r="AE433" s="14"/>
      <c r="AF433" s="14">
        <v>75</v>
      </c>
      <c r="AG433" s="14">
        <v>9</v>
      </c>
      <c r="AH433" s="48">
        <f t="shared" si="132"/>
        <v>42</v>
      </c>
      <c r="AI433" s="14"/>
      <c r="AJ433" s="14">
        <v>113</v>
      </c>
      <c r="AK433" s="14">
        <v>113</v>
      </c>
      <c r="AL433" s="48">
        <f t="shared" si="133"/>
        <v>113</v>
      </c>
      <c r="AM433" s="14"/>
      <c r="AN433" s="14">
        <v>143</v>
      </c>
      <c r="AO433" s="14">
        <v>175</v>
      </c>
      <c r="AP433" s="48">
        <f t="shared" si="134"/>
        <v>159</v>
      </c>
      <c r="AQ433" s="14"/>
      <c r="AR433" s="14">
        <v>113</v>
      </c>
      <c r="AS433" s="14"/>
      <c r="AT433" s="48">
        <f t="shared" si="135"/>
        <v>113</v>
      </c>
      <c r="AU433" s="14"/>
      <c r="AV433" s="14">
        <v>83</v>
      </c>
      <c r="AW433" s="14"/>
      <c r="AX433" s="48">
        <f t="shared" si="136"/>
        <v>83</v>
      </c>
    </row>
    <row r="434" spans="1:50" ht="10.199999999999999" customHeight="1" x14ac:dyDescent="0.25">
      <c r="A434" s="14">
        <v>27</v>
      </c>
      <c r="B434" s="102">
        <f t="shared" si="130"/>
        <v>38540</v>
      </c>
      <c r="C434" s="103">
        <v>38533</v>
      </c>
      <c r="D434" s="14">
        <v>63</v>
      </c>
      <c r="E434" s="14"/>
      <c r="F434" s="48">
        <f t="shared" ref="F434:F458" si="137">AVERAGE(D434,E434)</f>
        <v>63</v>
      </c>
      <c r="G434" s="14"/>
      <c r="H434" s="14"/>
      <c r="I434" s="14"/>
      <c r="J434" s="48"/>
      <c r="K434" s="14"/>
      <c r="L434" s="14"/>
      <c r="M434" s="14"/>
      <c r="N434" s="48"/>
      <c r="O434" s="14"/>
      <c r="P434" s="14"/>
      <c r="Q434" s="14"/>
      <c r="R434" s="48"/>
      <c r="S434" s="14"/>
      <c r="T434" s="14"/>
      <c r="U434" s="14"/>
      <c r="V434" s="48"/>
      <c r="W434" s="14"/>
      <c r="X434" s="14"/>
      <c r="Y434" s="14"/>
      <c r="Z434" s="48"/>
      <c r="AA434" s="14"/>
      <c r="AB434" s="14"/>
      <c r="AC434" s="14"/>
      <c r="AD434" s="48"/>
      <c r="AE434" s="14"/>
      <c r="AF434" s="14">
        <v>198</v>
      </c>
      <c r="AG434" s="14">
        <v>47</v>
      </c>
      <c r="AH434" s="48">
        <f t="shared" si="132"/>
        <v>122.5</v>
      </c>
      <c r="AI434" s="14"/>
      <c r="AJ434" s="14">
        <v>200</v>
      </c>
      <c r="AK434" s="14">
        <v>113</v>
      </c>
      <c r="AL434" s="48">
        <f t="shared" si="133"/>
        <v>156.5</v>
      </c>
      <c r="AM434" s="14"/>
      <c r="AN434" s="14">
        <v>200</v>
      </c>
      <c r="AO434" s="14">
        <v>200</v>
      </c>
      <c r="AP434" s="48">
        <f t="shared" si="134"/>
        <v>200</v>
      </c>
      <c r="AQ434" s="14"/>
      <c r="AR434" s="14">
        <v>142</v>
      </c>
      <c r="AS434" s="14"/>
      <c r="AT434" s="48">
        <f t="shared" si="135"/>
        <v>142</v>
      </c>
      <c r="AU434" s="14"/>
      <c r="AV434" s="14">
        <v>108</v>
      </c>
      <c r="AW434" s="14"/>
      <c r="AX434" s="48">
        <f t="shared" si="136"/>
        <v>108</v>
      </c>
    </row>
    <row r="435" spans="1:50" ht="10.199999999999999" customHeight="1" x14ac:dyDescent="0.25">
      <c r="A435" s="14">
        <v>28</v>
      </c>
      <c r="B435" s="102">
        <f t="shared" si="130"/>
        <v>38547</v>
      </c>
      <c r="C435" s="103">
        <v>38540</v>
      </c>
      <c r="D435" s="14">
        <v>113</v>
      </c>
      <c r="E435" s="14"/>
      <c r="F435" s="48">
        <f t="shared" si="137"/>
        <v>113</v>
      </c>
      <c r="G435" s="14"/>
      <c r="H435" s="14"/>
      <c r="I435" s="14"/>
      <c r="J435" s="48"/>
      <c r="K435" s="14"/>
      <c r="L435" s="14"/>
      <c r="M435" s="14"/>
      <c r="N435" s="48"/>
      <c r="O435" s="14"/>
      <c r="P435" s="14"/>
      <c r="Q435" s="14"/>
      <c r="R435" s="48"/>
      <c r="S435" s="14"/>
      <c r="T435" s="14"/>
      <c r="U435" s="14"/>
      <c r="V435" s="48"/>
      <c r="W435" s="14"/>
      <c r="X435" s="14"/>
      <c r="Y435" s="14"/>
      <c r="Z435" s="48"/>
      <c r="AA435" s="14"/>
      <c r="AB435" s="14"/>
      <c r="AC435" s="14"/>
      <c r="AD435" s="48"/>
      <c r="AE435" s="14"/>
      <c r="AF435" s="14">
        <v>228</v>
      </c>
      <c r="AG435" s="14">
        <v>44</v>
      </c>
      <c r="AH435" s="48">
        <f t="shared" si="132"/>
        <v>136</v>
      </c>
      <c r="AI435" s="14"/>
      <c r="AJ435" s="14">
        <v>213</v>
      </c>
      <c r="AK435" s="14">
        <v>115</v>
      </c>
      <c r="AL435" s="48">
        <f t="shared" si="133"/>
        <v>164</v>
      </c>
      <c r="AM435" s="14"/>
      <c r="AN435" s="14">
        <v>213</v>
      </c>
      <c r="AO435" s="14">
        <v>200</v>
      </c>
      <c r="AP435" s="48">
        <f t="shared" si="134"/>
        <v>206.5</v>
      </c>
      <c r="AQ435" s="14"/>
      <c r="AR435" s="14">
        <v>213</v>
      </c>
      <c r="AS435" s="14"/>
      <c r="AT435" s="48">
        <f t="shared" si="135"/>
        <v>213</v>
      </c>
      <c r="AU435" s="14"/>
      <c r="AV435" s="14">
        <v>175</v>
      </c>
      <c r="AW435" s="14"/>
      <c r="AX435" s="48">
        <f t="shared" si="136"/>
        <v>175</v>
      </c>
    </row>
    <row r="436" spans="1:50" ht="10.199999999999999" customHeight="1" x14ac:dyDescent="0.25">
      <c r="A436" s="14">
        <v>29</v>
      </c>
      <c r="B436" s="102">
        <f t="shared" si="130"/>
        <v>38554</v>
      </c>
      <c r="C436" s="103">
        <v>38547</v>
      </c>
      <c r="D436" s="14">
        <v>192</v>
      </c>
      <c r="E436" s="14"/>
      <c r="F436" s="48">
        <f t="shared" si="137"/>
        <v>192</v>
      </c>
      <c r="G436" s="14"/>
      <c r="H436" s="14"/>
      <c r="I436" s="14"/>
      <c r="J436" s="48"/>
      <c r="K436" s="14"/>
      <c r="L436" s="14"/>
      <c r="M436" s="14"/>
      <c r="N436" s="48"/>
      <c r="O436" s="14"/>
      <c r="P436" s="14"/>
      <c r="Q436" s="14"/>
      <c r="R436" s="48"/>
      <c r="S436" s="14"/>
      <c r="T436" s="14"/>
      <c r="U436" s="14"/>
      <c r="V436" s="48"/>
      <c r="W436" s="14"/>
      <c r="X436" s="14"/>
      <c r="Y436" s="14"/>
      <c r="Z436" s="48"/>
      <c r="AA436" s="14"/>
      <c r="AB436" s="14"/>
      <c r="AC436" s="14"/>
      <c r="AD436" s="48"/>
      <c r="AE436" s="14"/>
      <c r="AF436" s="14">
        <v>335</v>
      </c>
      <c r="AG436" s="14">
        <v>63</v>
      </c>
      <c r="AH436" s="48">
        <f t="shared" si="132"/>
        <v>199</v>
      </c>
      <c r="AI436" s="14"/>
      <c r="AJ436" s="14">
        <v>300</v>
      </c>
      <c r="AK436" s="14">
        <v>144</v>
      </c>
      <c r="AL436" s="48">
        <f t="shared" si="133"/>
        <v>222</v>
      </c>
      <c r="AM436" s="14"/>
      <c r="AN436" s="14">
        <v>308</v>
      </c>
      <c r="AO436" s="14">
        <v>225</v>
      </c>
      <c r="AP436" s="48">
        <f t="shared" si="134"/>
        <v>266.5</v>
      </c>
      <c r="AQ436" s="14"/>
      <c r="AR436" s="14">
        <v>275</v>
      </c>
      <c r="AS436" s="14"/>
      <c r="AT436" s="48">
        <f t="shared" si="135"/>
        <v>275</v>
      </c>
      <c r="AU436" s="14"/>
      <c r="AV436" s="14">
        <v>267</v>
      </c>
      <c r="AW436" s="14"/>
      <c r="AX436" s="48">
        <f t="shared" si="136"/>
        <v>267</v>
      </c>
    </row>
    <row r="437" spans="1:50" ht="10.199999999999999" customHeight="1" x14ac:dyDescent="0.25">
      <c r="A437" s="14">
        <v>30</v>
      </c>
      <c r="B437" s="102">
        <f t="shared" ref="B437:B459" si="138">+B436+7</f>
        <v>38561</v>
      </c>
      <c r="C437" s="103">
        <v>38554</v>
      </c>
      <c r="D437" s="14">
        <v>213</v>
      </c>
      <c r="E437" s="14"/>
      <c r="F437" s="48">
        <f t="shared" si="137"/>
        <v>213</v>
      </c>
      <c r="G437" s="14"/>
      <c r="H437" s="14">
        <v>188</v>
      </c>
      <c r="I437" s="14"/>
      <c r="J437" s="48">
        <f t="shared" ref="J437:J462" si="139">AVERAGE(H437,I437)</f>
        <v>188</v>
      </c>
      <c r="K437" s="14"/>
      <c r="L437" s="14"/>
      <c r="M437" s="14"/>
      <c r="N437" s="48"/>
      <c r="O437" s="14"/>
      <c r="P437" s="14"/>
      <c r="Q437" s="14"/>
      <c r="R437" s="48"/>
      <c r="S437" s="14"/>
      <c r="T437" s="14"/>
      <c r="U437" s="14"/>
      <c r="V437" s="48"/>
      <c r="W437" s="14"/>
      <c r="X437" s="14"/>
      <c r="Y437" s="14"/>
      <c r="Z437" s="48"/>
      <c r="AA437" s="14"/>
      <c r="AB437" s="14"/>
      <c r="AC437" s="14"/>
      <c r="AD437" s="48"/>
      <c r="AE437" s="14"/>
      <c r="AF437" s="14"/>
      <c r="AG437" s="14"/>
      <c r="AH437" s="48"/>
      <c r="AI437" s="14"/>
      <c r="AJ437" s="14">
        <v>303</v>
      </c>
      <c r="AK437" s="14">
        <v>203</v>
      </c>
      <c r="AL437" s="48">
        <f t="shared" si="133"/>
        <v>253</v>
      </c>
      <c r="AM437" s="14"/>
      <c r="AN437" s="14">
        <v>267</v>
      </c>
      <c r="AO437" s="14">
        <v>242</v>
      </c>
      <c r="AP437" s="48">
        <f t="shared" si="134"/>
        <v>254.5</v>
      </c>
      <c r="AQ437" s="14"/>
      <c r="AR437" s="14">
        <v>254</v>
      </c>
      <c r="AS437" s="14"/>
      <c r="AT437" s="48">
        <f t="shared" si="135"/>
        <v>254</v>
      </c>
      <c r="AU437" s="14"/>
      <c r="AV437" s="14">
        <v>275</v>
      </c>
      <c r="AW437" s="14"/>
      <c r="AX437" s="48">
        <f t="shared" si="136"/>
        <v>275</v>
      </c>
    </row>
    <row r="438" spans="1:50" ht="10.199999999999999" customHeight="1" x14ac:dyDescent="0.25">
      <c r="A438" s="14">
        <v>31</v>
      </c>
      <c r="B438" s="102">
        <f t="shared" si="138"/>
        <v>38568</v>
      </c>
      <c r="C438" s="103">
        <v>38561</v>
      </c>
      <c r="D438" s="14">
        <v>213</v>
      </c>
      <c r="E438" s="14"/>
      <c r="F438" s="48">
        <f t="shared" si="137"/>
        <v>213</v>
      </c>
      <c r="G438" s="14"/>
      <c r="H438" s="14">
        <v>188</v>
      </c>
      <c r="I438" s="14"/>
      <c r="J438" s="48">
        <f t="shared" si="139"/>
        <v>188</v>
      </c>
      <c r="K438" s="14"/>
      <c r="L438" s="14"/>
      <c r="M438" s="14"/>
      <c r="N438" s="48"/>
      <c r="O438" s="14"/>
      <c r="P438" s="14"/>
      <c r="Q438" s="14"/>
      <c r="R438" s="48"/>
      <c r="S438" s="14"/>
      <c r="T438" s="14"/>
      <c r="U438" s="14"/>
      <c r="V438" s="48"/>
      <c r="W438" s="14"/>
      <c r="X438" s="14"/>
      <c r="Y438" s="14"/>
      <c r="Z438" s="48"/>
      <c r="AA438" s="14"/>
      <c r="AB438" s="14"/>
      <c r="AC438" s="14"/>
      <c r="AD438" s="48"/>
      <c r="AE438" s="14"/>
      <c r="AF438" s="14"/>
      <c r="AG438" s="14"/>
      <c r="AH438" s="48"/>
      <c r="AI438" s="14"/>
      <c r="AJ438" s="14">
        <v>311</v>
      </c>
      <c r="AK438" s="14">
        <v>242</v>
      </c>
      <c r="AL438" s="48">
        <f t="shared" si="133"/>
        <v>276.5</v>
      </c>
      <c r="AM438" s="14"/>
      <c r="AN438" s="14">
        <v>288</v>
      </c>
      <c r="AO438" s="14">
        <v>287</v>
      </c>
      <c r="AP438" s="48">
        <f t="shared" si="134"/>
        <v>287.5</v>
      </c>
      <c r="AQ438" s="14"/>
      <c r="AR438" s="14">
        <v>275</v>
      </c>
      <c r="AS438" s="14">
        <v>250</v>
      </c>
      <c r="AT438" s="48">
        <f t="shared" si="135"/>
        <v>262.5</v>
      </c>
      <c r="AU438" s="14"/>
      <c r="AV438" s="14">
        <v>300</v>
      </c>
      <c r="AW438" s="14"/>
      <c r="AX438" s="48">
        <f t="shared" si="136"/>
        <v>300</v>
      </c>
    </row>
    <row r="439" spans="1:50" ht="10.199999999999999" customHeight="1" x14ac:dyDescent="0.25">
      <c r="A439" s="14">
        <v>32</v>
      </c>
      <c r="B439" s="102">
        <f t="shared" si="138"/>
        <v>38575</v>
      </c>
      <c r="C439" s="103">
        <v>38568</v>
      </c>
      <c r="D439" s="14">
        <v>238</v>
      </c>
      <c r="E439" s="14"/>
      <c r="F439" s="48">
        <f t="shared" si="137"/>
        <v>238</v>
      </c>
      <c r="G439" s="14"/>
      <c r="H439" s="14">
        <v>188</v>
      </c>
      <c r="I439" s="14"/>
      <c r="J439" s="48">
        <f t="shared" si="139"/>
        <v>188</v>
      </c>
      <c r="K439" s="14"/>
      <c r="L439" s="14"/>
      <c r="M439" s="14"/>
      <c r="N439" s="48"/>
      <c r="O439" s="14"/>
      <c r="P439" s="14"/>
      <c r="Q439" s="14"/>
      <c r="R439" s="48"/>
      <c r="S439" s="14"/>
      <c r="T439" s="14"/>
      <c r="U439" s="14"/>
      <c r="V439" s="48"/>
      <c r="W439" s="14"/>
      <c r="X439" s="14"/>
      <c r="Y439" s="14"/>
      <c r="Z439" s="48"/>
      <c r="AA439" s="14"/>
      <c r="AB439" s="14"/>
      <c r="AC439" s="14"/>
      <c r="AD439" s="48"/>
      <c r="AE439" s="14"/>
      <c r="AF439" s="14"/>
      <c r="AG439" s="14"/>
      <c r="AH439" s="48"/>
      <c r="AI439" s="14"/>
      <c r="AJ439" s="14">
        <v>363</v>
      </c>
      <c r="AK439" s="14">
        <v>285</v>
      </c>
      <c r="AL439" s="48">
        <f t="shared" si="133"/>
        <v>324</v>
      </c>
      <c r="AM439" s="14"/>
      <c r="AN439" s="14">
        <v>350</v>
      </c>
      <c r="AO439" s="14">
        <v>321</v>
      </c>
      <c r="AP439" s="48">
        <f t="shared" si="134"/>
        <v>335.5</v>
      </c>
      <c r="AQ439" s="14"/>
      <c r="AR439" s="14">
        <v>300</v>
      </c>
      <c r="AS439" s="14">
        <v>275</v>
      </c>
      <c r="AT439" s="48">
        <f t="shared" si="135"/>
        <v>287.5</v>
      </c>
      <c r="AU439" s="14"/>
      <c r="AV439" s="14">
        <v>300</v>
      </c>
      <c r="AW439" s="14">
        <v>275</v>
      </c>
      <c r="AX439" s="48">
        <f t="shared" si="136"/>
        <v>287.5</v>
      </c>
    </row>
    <row r="440" spans="1:50" ht="10.199999999999999" customHeight="1" x14ac:dyDescent="0.25">
      <c r="A440" s="14">
        <v>33</v>
      </c>
      <c r="B440" s="102">
        <f t="shared" si="138"/>
        <v>38582</v>
      </c>
      <c r="C440" s="103">
        <v>38575</v>
      </c>
      <c r="D440" s="14">
        <v>238</v>
      </c>
      <c r="E440" s="14"/>
      <c r="F440" s="48">
        <f t="shared" si="137"/>
        <v>238</v>
      </c>
      <c r="G440" s="14"/>
      <c r="H440" s="14">
        <v>188</v>
      </c>
      <c r="I440" s="14"/>
      <c r="J440" s="48">
        <f t="shared" si="139"/>
        <v>188</v>
      </c>
      <c r="K440" s="14"/>
      <c r="L440" s="14"/>
      <c r="M440" s="14"/>
      <c r="N440" s="48"/>
      <c r="O440" s="14"/>
      <c r="P440" s="14"/>
      <c r="Q440" s="14"/>
      <c r="R440" s="48"/>
      <c r="S440" s="14"/>
      <c r="T440" s="14"/>
      <c r="U440" s="14"/>
      <c r="V440" s="48"/>
      <c r="W440" s="14"/>
      <c r="X440" s="14"/>
      <c r="Y440" s="14"/>
      <c r="Z440" s="48"/>
      <c r="AA440" s="14"/>
      <c r="AB440" s="14"/>
      <c r="AC440" s="14"/>
      <c r="AD440" s="48"/>
      <c r="AE440" s="14"/>
      <c r="AF440" s="14"/>
      <c r="AG440" s="14"/>
      <c r="AH440" s="48"/>
      <c r="AI440" s="14"/>
      <c r="AJ440" s="14">
        <v>425</v>
      </c>
      <c r="AK440" s="14">
        <v>294</v>
      </c>
      <c r="AL440" s="48">
        <f t="shared" si="133"/>
        <v>359.5</v>
      </c>
      <c r="AM440" s="14"/>
      <c r="AN440" s="14">
        <v>425</v>
      </c>
      <c r="AO440" s="14">
        <v>325</v>
      </c>
      <c r="AP440" s="48">
        <f t="shared" si="134"/>
        <v>375</v>
      </c>
      <c r="AQ440" s="14"/>
      <c r="AR440" s="14">
        <v>354</v>
      </c>
      <c r="AS440" s="14">
        <v>275</v>
      </c>
      <c r="AT440" s="48">
        <f t="shared" si="135"/>
        <v>314.5</v>
      </c>
      <c r="AU440" s="14"/>
      <c r="AV440" s="14">
        <v>308</v>
      </c>
      <c r="AW440" s="14">
        <v>275</v>
      </c>
      <c r="AX440" s="48">
        <f t="shared" si="136"/>
        <v>291.5</v>
      </c>
    </row>
    <row r="441" spans="1:50" ht="10.199999999999999" customHeight="1" x14ac:dyDescent="0.25">
      <c r="A441" s="14">
        <v>34</v>
      </c>
      <c r="B441" s="102">
        <f t="shared" si="138"/>
        <v>38589</v>
      </c>
      <c r="C441" s="103">
        <v>38582</v>
      </c>
      <c r="D441" s="14">
        <v>238</v>
      </c>
      <c r="E441" s="14"/>
      <c r="F441" s="48">
        <f t="shared" si="137"/>
        <v>238</v>
      </c>
      <c r="G441" s="14"/>
      <c r="H441" s="14">
        <v>188</v>
      </c>
      <c r="I441" s="14"/>
      <c r="J441" s="48">
        <f t="shared" si="139"/>
        <v>188</v>
      </c>
      <c r="K441" s="14"/>
      <c r="L441" s="14">
        <v>250</v>
      </c>
      <c r="M441" s="14"/>
      <c r="N441" s="48">
        <f t="shared" ref="N441:N471" si="140">AVERAGE(L441,M441)</f>
        <v>250</v>
      </c>
      <c r="O441" s="14"/>
      <c r="P441" s="14"/>
      <c r="Q441" s="14"/>
      <c r="R441" s="48"/>
      <c r="S441" s="14"/>
      <c r="T441" s="14"/>
      <c r="U441" s="14"/>
      <c r="V441" s="48"/>
      <c r="W441" s="14"/>
      <c r="X441" s="14"/>
      <c r="Y441" s="14"/>
      <c r="Z441" s="48"/>
      <c r="AA441" s="14"/>
      <c r="AB441" s="14"/>
      <c r="AC441" s="14"/>
      <c r="AD441" s="48"/>
      <c r="AE441" s="14"/>
      <c r="AF441" s="14"/>
      <c r="AG441" s="14"/>
      <c r="AH441" s="48"/>
      <c r="AI441" s="14"/>
      <c r="AJ441" s="14"/>
      <c r="AK441" s="14"/>
      <c r="AL441" s="48"/>
      <c r="AM441" s="14"/>
      <c r="AN441" s="14">
        <v>450</v>
      </c>
      <c r="AO441" s="14">
        <v>350</v>
      </c>
      <c r="AP441" s="48">
        <f t="shared" si="134"/>
        <v>400</v>
      </c>
      <c r="AQ441" s="14"/>
      <c r="AR441" s="14">
        <v>398</v>
      </c>
      <c r="AS441" s="14">
        <v>300</v>
      </c>
      <c r="AT441" s="48">
        <f t="shared" si="135"/>
        <v>349</v>
      </c>
      <c r="AU441" s="14"/>
      <c r="AV441" s="14">
        <v>350</v>
      </c>
      <c r="AW441" s="14">
        <v>275</v>
      </c>
      <c r="AX441" s="48">
        <f t="shared" si="136"/>
        <v>312.5</v>
      </c>
    </row>
    <row r="442" spans="1:50" ht="10.199999999999999" customHeight="1" x14ac:dyDescent="0.25">
      <c r="A442" s="14">
        <v>35</v>
      </c>
      <c r="B442" s="102">
        <f t="shared" si="138"/>
        <v>38596</v>
      </c>
      <c r="C442" s="103">
        <v>38589</v>
      </c>
      <c r="D442" s="14">
        <v>250</v>
      </c>
      <c r="E442" s="14">
        <v>275</v>
      </c>
      <c r="F442" s="48">
        <f t="shared" si="137"/>
        <v>262.5</v>
      </c>
      <c r="G442" s="14"/>
      <c r="H442" s="14">
        <v>250</v>
      </c>
      <c r="I442" s="14">
        <v>250</v>
      </c>
      <c r="J442" s="48">
        <f t="shared" si="139"/>
        <v>250</v>
      </c>
      <c r="K442" s="14"/>
      <c r="L442" s="14">
        <v>213</v>
      </c>
      <c r="M442" s="14">
        <v>213</v>
      </c>
      <c r="N442" s="48">
        <f t="shared" si="140"/>
        <v>213</v>
      </c>
      <c r="O442" s="14"/>
      <c r="P442" s="14"/>
      <c r="Q442" s="14"/>
      <c r="R442" s="48"/>
      <c r="S442" s="14"/>
      <c r="T442" s="14"/>
      <c r="U442" s="14"/>
      <c r="V442" s="48"/>
      <c r="W442" s="14"/>
      <c r="X442" s="14"/>
      <c r="Y442" s="14"/>
      <c r="Z442" s="48"/>
      <c r="AA442" s="14"/>
      <c r="AB442" s="14"/>
      <c r="AC442" s="14"/>
      <c r="AD442" s="48"/>
      <c r="AE442" s="14"/>
      <c r="AF442" s="14"/>
      <c r="AG442" s="14"/>
      <c r="AH442" s="48"/>
      <c r="AI442" s="14"/>
      <c r="AJ442" s="14"/>
      <c r="AK442" s="14"/>
      <c r="AL442" s="48"/>
      <c r="AM442" s="14"/>
      <c r="AN442" s="14">
        <v>544</v>
      </c>
      <c r="AO442" s="14">
        <v>508</v>
      </c>
      <c r="AP442" s="48">
        <f t="shared" si="134"/>
        <v>526</v>
      </c>
      <c r="AQ442" s="14"/>
      <c r="AR442" s="14">
        <v>447</v>
      </c>
      <c r="AS442" s="14">
        <v>400</v>
      </c>
      <c r="AT442" s="48">
        <f t="shared" si="135"/>
        <v>423.5</v>
      </c>
      <c r="AU442" s="14"/>
      <c r="AV442" s="14">
        <v>444</v>
      </c>
      <c r="AW442" s="14">
        <v>363</v>
      </c>
      <c r="AX442" s="48">
        <f t="shared" si="136"/>
        <v>403.5</v>
      </c>
    </row>
    <row r="443" spans="1:50" ht="10.199999999999999" customHeight="1" x14ac:dyDescent="0.25">
      <c r="A443" s="14">
        <v>36</v>
      </c>
      <c r="B443" s="102">
        <f t="shared" si="138"/>
        <v>38603</v>
      </c>
      <c r="C443" s="103">
        <v>38596</v>
      </c>
      <c r="D443" s="14">
        <v>200</v>
      </c>
      <c r="E443" s="14">
        <v>275</v>
      </c>
      <c r="F443" s="48">
        <f t="shared" si="137"/>
        <v>237.5</v>
      </c>
      <c r="G443" s="14"/>
      <c r="H443" s="14">
        <v>200</v>
      </c>
      <c r="I443" s="14">
        <v>250</v>
      </c>
      <c r="J443" s="48">
        <f t="shared" si="139"/>
        <v>225</v>
      </c>
      <c r="K443" s="14"/>
      <c r="L443" s="14">
        <v>175</v>
      </c>
      <c r="M443" s="14">
        <v>213</v>
      </c>
      <c r="N443" s="48">
        <f t="shared" si="140"/>
        <v>194</v>
      </c>
      <c r="O443" s="14"/>
      <c r="P443" s="14"/>
      <c r="Q443" s="14"/>
      <c r="R443" s="48"/>
      <c r="S443" s="14"/>
      <c r="T443" s="14"/>
      <c r="U443" s="14"/>
      <c r="V443" s="48"/>
      <c r="W443" s="14"/>
      <c r="X443" s="14"/>
      <c r="Y443" s="14"/>
      <c r="Z443" s="48"/>
      <c r="AA443" s="14"/>
      <c r="AB443" s="14"/>
      <c r="AC443" s="14"/>
      <c r="AD443" s="48"/>
      <c r="AE443" s="14"/>
      <c r="AF443" s="14"/>
      <c r="AG443" s="14"/>
      <c r="AH443" s="48"/>
      <c r="AI443" s="14"/>
      <c r="AJ443" s="14"/>
      <c r="AK443" s="14"/>
      <c r="AL443" s="48"/>
      <c r="AM443" s="14"/>
      <c r="AN443" s="14">
        <v>600</v>
      </c>
      <c r="AO443" s="14">
        <v>600</v>
      </c>
      <c r="AP443" s="48">
        <f t="shared" si="134"/>
        <v>600</v>
      </c>
      <c r="AQ443" s="14"/>
      <c r="AR443" s="14">
        <v>469</v>
      </c>
      <c r="AS443" s="14">
        <v>492</v>
      </c>
      <c r="AT443" s="48">
        <f t="shared" si="135"/>
        <v>480.5</v>
      </c>
      <c r="AU443" s="14"/>
      <c r="AV443" s="14">
        <v>450</v>
      </c>
      <c r="AW443" s="14">
        <v>433</v>
      </c>
      <c r="AX443" s="48">
        <f t="shared" si="136"/>
        <v>441.5</v>
      </c>
    </row>
    <row r="444" spans="1:50" ht="10.199999999999999" customHeight="1" x14ac:dyDescent="0.25">
      <c r="A444" s="14">
        <v>37</v>
      </c>
      <c r="B444" s="102">
        <f t="shared" si="138"/>
        <v>38610</v>
      </c>
      <c r="C444" s="103">
        <v>38603</v>
      </c>
      <c r="D444" s="14">
        <v>275</v>
      </c>
      <c r="E444" s="14">
        <v>275</v>
      </c>
      <c r="F444" s="48">
        <f t="shared" si="137"/>
        <v>275</v>
      </c>
      <c r="G444" s="14"/>
      <c r="H444" s="14">
        <v>250</v>
      </c>
      <c r="I444" s="14">
        <v>250</v>
      </c>
      <c r="J444" s="48">
        <f t="shared" si="139"/>
        <v>250</v>
      </c>
      <c r="K444" s="14"/>
      <c r="L444" s="14">
        <v>213</v>
      </c>
      <c r="M444" s="14">
        <v>213</v>
      </c>
      <c r="N444" s="48">
        <f t="shared" si="140"/>
        <v>213</v>
      </c>
      <c r="O444" s="14"/>
      <c r="P444" s="14"/>
      <c r="Q444" s="14"/>
      <c r="R444" s="48"/>
      <c r="S444" s="14"/>
      <c r="T444" s="14"/>
      <c r="U444" s="14"/>
      <c r="V444" s="48"/>
      <c r="W444" s="14"/>
      <c r="X444" s="14"/>
      <c r="Y444" s="14"/>
      <c r="Z444" s="48"/>
      <c r="AA444" s="14"/>
      <c r="AB444" s="14"/>
      <c r="AC444" s="14"/>
      <c r="AD444" s="48"/>
      <c r="AE444" s="14"/>
      <c r="AF444" s="14"/>
      <c r="AG444" s="14"/>
      <c r="AH444" s="48"/>
      <c r="AI444" s="14"/>
      <c r="AJ444" s="14"/>
      <c r="AK444" s="14"/>
      <c r="AL444" s="48"/>
      <c r="AM444" s="14"/>
      <c r="AN444" s="14">
        <v>756</v>
      </c>
      <c r="AO444" s="14">
        <v>691</v>
      </c>
      <c r="AP444" s="48">
        <f t="shared" si="134"/>
        <v>723.5</v>
      </c>
      <c r="AQ444" s="14"/>
      <c r="AR444" s="14">
        <v>475</v>
      </c>
      <c r="AS444" s="14">
        <v>438</v>
      </c>
      <c r="AT444" s="48">
        <f t="shared" si="135"/>
        <v>456.5</v>
      </c>
      <c r="AU444" s="14"/>
      <c r="AV444" s="14">
        <v>425</v>
      </c>
      <c r="AW444" s="14">
        <v>350</v>
      </c>
      <c r="AX444" s="48">
        <f t="shared" si="136"/>
        <v>387.5</v>
      </c>
    </row>
    <row r="445" spans="1:50" ht="10.199999999999999" customHeight="1" x14ac:dyDescent="0.25">
      <c r="A445" s="14">
        <v>38</v>
      </c>
      <c r="B445" s="102">
        <f t="shared" si="138"/>
        <v>38617</v>
      </c>
      <c r="C445" s="103">
        <v>38610</v>
      </c>
      <c r="D445" s="14">
        <v>400</v>
      </c>
      <c r="E445" s="14">
        <v>275</v>
      </c>
      <c r="F445" s="48">
        <f t="shared" si="137"/>
        <v>337.5</v>
      </c>
      <c r="G445" s="14"/>
      <c r="H445" s="14">
        <v>338</v>
      </c>
      <c r="I445" s="14">
        <v>250</v>
      </c>
      <c r="J445" s="48">
        <f t="shared" si="139"/>
        <v>294</v>
      </c>
      <c r="K445" s="14"/>
      <c r="L445" s="14">
        <v>263</v>
      </c>
      <c r="M445" s="14">
        <v>213</v>
      </c>
      <c r="N445" s="48">
        <f t="shared" si="140"/>
        <v>238</v>
      </c>
      <c r="O445" s="14"/>
      <c r="P445" s="14"/>
      <c r="Q445" s="14"/>
      <c r="R445" s="48"/>
      <c r="S445" s="14"/>
      <c r="T445" s="14"/>
      <c r="U445" s="14"/>
      <c r="V445" s="48"/>
      <c r="W445" s="14"/>
      <c r="X445" s="14"/>
      <c r="Y445" s="14"/>
      <c r="Z445" s="48"/>
      <c r="AA445" s="14"/>
      <c r="AB445" s="14"/>
      <c r="AC445" s="14"/>
      <c r="AD445" s="48"/>
      <c r="AE445" s="14"/>
      <c r="AF445" s="14"/>
      <c r="AG445" s="14"/>
      <c r="AH445" s="48"/>
      <c r="AI445" s="14"/>
      <c r="AJ445" s="14"/>
      <c r="AK445" s="14"/>
      <c r="AL445" s="48"/>
      <c r="AM445" s="14"/>
      <c r="AN445" s="14">
        <v>913</v>
      </c>
      <c r="AO445" s="14">
        <v>913</v>
      </c>
      <c r="AP445" s="48">
        <f t="shared" si="134"/>
        <v>913</v>
      </c>
      <c r="AQ445" s="14"/>
      <c r="AR445" s="14">
        <v>675</v>
      </c>
      <c r="AS445" s="14">
        <v>675</v>
      </c>
      <c r="AT445" s="48">
        <f t="shared" si="135"/>
        <v>675</v>
      </c>
      <c r="AU445" s="14"/>
      <c r="AV445" s="14">
        <v>650</v>
      </c>
      <c r="AW445" s="14">
        <v>583</v>
      </c>
      <c r="AX445" s="48">
        <f t="shared" si="136"/>
        <v>616.5</v>
      </c>
    </row>
    <row r="446" spans="1:50" ht="10.199999999999999" customHeight="1" x14ac:dyDescent="0.25">
      <c r="A446" s="14">
        <v>39</v>
      </c>
      <c r="B446" s="102">
        <f t="shared" si="138"/>
        <v>38624</v>
      </c>
      <c r="C446" s="103">
        <v>38617</v>
      </c>
      <c r="D446" s="14">
        <v>400</v>
      </c>
      <c r="E446" s="14">
        <v>275</v>
      </c>
      <c r="F446" s="48">
        <f t="shared" si="137"/>
        <v>337.5</v>
      </c>
      <c r="G446" s="14"/>
      <c r="H446" s="14">
        <v>338</v>
      </c>
      <c r="I446" s="14">
        <v>250</v>
      </c>
      <c r="J446" s="48">
        <f t="shared" si="139"/>
        <v>294</v>
      </c>
      <c r="K446" s="14"/>
      <c r="L446" s="14">
        <v>263</v>
      </c>
      <c r="M446" s="14">
        <v>213</v>
      </c>
      <c r="N446" s="48">
        <f t="shared" si="140"/>
        <v>238</v>
      </c>
      <c r="O446" s="14"/>
      <c r="P446" s="14">
        <v>125</v>
      </c>
      <c r="Q446" s="14"/>
      <c r="R446" s="48">
        <f t="shared" ref="R446:R476" si="141">AVERAGE(P446,Q446)</f>
        <v>125</v>
      </c>
      <c r="S446" s="14"/>
      <c r="T446" s="14"/>
      <c r="U446" s="14"/>
      <c r="V446" s="48"/>
      <c r="W446" s="14"/>
      <c r="X446" s="14"/>
      <c r="Y446" s="14"/>
      <c r="Z446" s="48"/>
      <c r="AA446" s="14"/>
      <c r="AB446" s="14"/>
      <c r="AC446" s="14"/>
      <c r="AD446" s="48"/>
      <c r="AE446" s="14"/>
      <c r="AF446" s="14"/>
      <c r="AG446" s="14"/>
      <c r="AH446" s="48"/>
      <c r="AI446" s="14"/>
      <c r="AJ446" s="14"/>
      <c r="AK446" s="14"/>
      <c r="AL446" s="48"/>
      <c r="AM446" s="14"/>
      <c r="AN446" s="14"/>
      <c r="AO446" s="14"/>
      <c r="AP446" s="48"/>
      <c r="AQ446" s="14"/>
      <c r="AR446" s="14">
        <v>817</v>
      </c>
      <c r="AS446" s="14">
        <v>767</v>
      </c>
      <c r="AT446" s="48">
        <f t="shared" si="135"/>
        <v>792</v>
      </c>
      <c r="AU446" s="14"/>
      <c r="AV446" s="14">
        <v>650</v>
      </c>
      <c r="AW446" s="14">
        <v>600</v>
      </c>
      <c r="AX446" s="48">
        <f t="shared" si="136"/>
        <v>625</v>
      </c>
    </row>
    <row r="447" spans="1:50" ht="10.199999999999999" customHeight="1" x14ac:dyDescent="0.25">
      <c r="A447" s="14">
        <v>40</v>
      </c>
      <c r="B447" s="102">
        <f t="shared" si="138"/>
        <v>38631</v>
      </c>
      <c r="C447" s="103">
        <v>38624</v>
      </c>
      <c r="D447" s="14">
        <v>536</v>
      </c>
      <c r="E447" s="14">
        <v>450</v>
      </c>
      <c r="F447" s="48">
        <f t="shared" si="137"/>
        <v>493</v>
      </c>
      <c r="G447" s="14"/>
      <c r="H447" s="14">
        <v>400</v>
      </c>
      <c r="I447" s="14">
        <v>250</v>
      </c>
      <c r="J447" s="48">
        <f t="shared" si="139"/>
        <v>325</v>
      </c>
      <c r="K447" s="14"/>
      <c r="L447" s="14">
        <v>288</v>
      </c>
      <c r="M447" s="14">
        <v>213</v>
      </c>
      <c r="N447" s="48">
        <f t="shared" si="140"/>
        <v>250.5</v>
      </c>
      <c r="O447" s="14"/>
      <c r="P447" s="14">
        <v>138</v>
      </c>
      <c r="Q447" s="14"/>
      <c r="R447" s="48">
        <f t="shared" si="141"/>
        <v>138</v>
      </c>
      <c r="S447" s="14"/>
      <c r="T447" s="14"/>
      <c r="U447" s="14"/>
      <c r="V447" s="48"/>
      <c r="W447" s="14"/>
      <c r="X447" s="14"/>
      <c r="Y447" s="14"/>
      <c r="Z447" s="48"/>
      <c r="AA447" s="14"/>
      <c r="AB447" s="14"/>
      <c r="AC447" s="14"/>
      <c r="AD447" s="48"/>
      <c r="AE447" s="14"/>
      <c r="AF447" s="14"/>
      <c r="AG447" s="14"/>
      <c r="AH447" s="48"/>
      <c r="AI447" s="14"/>
      <c r="AJ447" s="14"/>
      <c r="AK447" s="14"/>
      <c r="AL447" s="48"/>
      <c r="AM447" s="14"/>
      <c r="AN447" s="14"/>
      <c r="AO447" s="14"/>
      <c r="AP447" s="48"/>
      <c r="AQ447" s="14"/>
      <c r="AR447" s="14">
        <v>779</v>
      </c>
      <c r="AS447" s="14">
        <v>833</v>
      </c>
      <c r="AT447" s="48">
        <f t="shared" si="135"/>
        <v>806</v>
      </c>
      <c r="AU447" s="14"/>
      <c r="AV447" s="14">
        <v>650</v>
      </c>
      <c r="AW447" s="14">
        <v>692</v>
      </c>
      <c r="AX447" s="48">
        <f t="shared" si="136"/>
        <v>671</v>
      </c>
    </row>
    <row r="448" spans="1:50" ht="10.199999999999999" customHeight="1" x14ac:dyDescent="0.25">
      <c r="A448" s="14">
        <v>41</v>
      </c>
      <c r="B448" s="102">
        <f t="shared" si="138"/>
        <v>38638</v>
      </c>
      <c r="C448" s="103">
        <v>38631</v>
      </c>
      <c r="D448" s="14">
        <v>600</v>
      </c>
      <c r="E448" s="14">
        <v>300</v>
      </c>
      <c r="F448" s="48">
        <f t="shared" si="137"/>
        <v>450</v>
      </c>
      <c r="G448" s="14"/>
      <c r="H448" s="14">
        <v>400</v>
      </c>
      <c r="I448" s="14">
        <v>225</v>
      </c>
      <c r="J448" s="48">
        <f t="shared" si="139"/>
        <v>312.5</v>
      </c>
      <c r="K448" s="14"/>
      <c r="L448" s="14">
        <v>288</v>
      </c>
      <c r="M448" s="14">
        <v>175</v>
      </c>
      <c r="N448" s="48">
        <f t="shared" si="140"/>
        <v>231.5</v>
      </c>
      <c r="O448" s="14"/>
      <c r="P448" s="14">
        <v>113</v>
      </c>
      <c r="Q448" s="14"/>
      <c r="R448" s="48">
        <f t="shared" si="141"/>
        <v>113</v>
      </c>
      <c r="S448" s="14"/>
      <c r="T448" s="14"/>
      <c r="U448" s="14"/>
      <c r="V448" s="48"/>
      <c r="W448" s="14"/>
      <c r="X448" s="14"/>
      <c r="Y448" s="14"/>
      <c r="Z448" s="48"/>
      <c r="AA448" s="14"/>
      <c r="AB448" s="14"/>
      <c r="AC448" s="14"/>
      <c r="AD448" s="48"/>
      <c r="AE448" s="14"/>
      <c r="AF448" s="14"/>
      <c r="AG448" s="14"/>
      <c r="AH448" s="48"/>
      <c r="AI448" s="14"/>
      <c r="AJ448" s="14"/>
      <c r="AK448" s="14"/>
      <c r="AL448" s="48"/>
      <c r="AM448" s="14"/>
      <c r="AN448" s="14"/>
      <c r="AO448" s="14"/>
      <c r="AP448" s="48"/>
      <c r="AQ448" s="14"/>
      <c r="AR448" s="14">
        <v>667</v>
      </c>
      <c r="AS448" s="14">
        <v>550</v>
      </c>
      <c r="AT448" s="48">
        <f t="shared" si="135"/>
        <v>608.5</v>
      </c>
      <c r="AU448" s="14"/>
      <c r="AV448" s="14">
        <v>550</v>
      </c>
      <c r="AW448" s="14">
        <v>500</v>
      </c>
      <c r="AX448" s="48">
        <f t="shared" si="136"/>
        <v>525</v>
      </c>
    </row>
    <row r="449" spans="1:50" ht="10.199999999999999" customHeight="1" x14ac:dyDescent="0.25">
      <c r="A449" s="14">
        <v>42</v>
      </c>
      <c r="B449" s="102">
        <f t="shared" si="138"/>
        <v>38645</v>
      </c>
      <c r="C449" s="103">
        <v>38638</v>
      </c>
      <c r="D449" s="14">
        <v>350</v>
      </c>
      <c r="E449" s="14"/>
      <c r="F449" s="48">
        <f t="shared" si="137"/>
        <v>350</v>
      </c>
      <c r="G449" s="14"/>
      <c r="H449" s="14">
        <v>375</v>
      </c>
      <c r="I449" s="14"/>
      <c r="J449" s="48">
        <f t="shared" si="139"/>
        <v>375</v>
      </c>
      <c r="K449" s="14"/>
      <c r="L449" s="14">
        <v>288</v>
      </c>
      <c r="M449" s="14"/>
      <c r="N449" s="48">
        <f t="shared" si="140"/>
        <v>288</v>
      </c>
      <c r="O449" s="14"/>
      <c r="P449" s="14">
        <v>113</v>
      </c>
      <c r="Q449" s="14"/>
      <c r="R449" s="48">
        <f t="shared" si="141"/>
        <v>113</v>
      </c>
      <c r="S449" s="14"/>
      <c r="T449" s="14"/>
      <c r="U449" s="14"/>
      <c r="V449" s="48"/>
      <c r="W449" s="14"/>
      <c r="X449" s="14"/>
      <c r="Y449" s="14"/>
      <c r="Z449" s="48"/>
      <c r="AA449" s="14"/>
      <c r="AB449" s="14"/>
      <c r="AC449" s="14"/>
      <c r="AD449" s="48"/>
      <c r="AE449" s="14"/>
      <c r="AF449" s="14"/>
      <c r="AG449" s="14"/>
      <c r="AH449" s="48"/>
      <c r="AI449" s="14"/>
      <c r="AJ449" s="14"/>
      <c r="AK449" s="14"/>
      <c r="AL449" s="48"/>
      <c r="AM449" s="14"/>
      <c r="AN449" s="14"/>
      <c r="AO449" s="14"/>
      <c r="AP449" s="48"/>
      <c r="AQ449" s="14"/>
      <c r="AR449" s="14">
        <v>1006</v>
      </c>
      <c r="AS449" s="14">
        <v>917</v>
      </c>
      <c r="AT449" s="48">
        <f t="shared" si="135"/>
        <v>961.5</v>
      </c>
      <c r="AU449" s="14"/>
      <c r="AV449" s="14">
        <v>788</v>
      </c>
      <c r="AW449" s="14">
        <v>767</v>
      </c>
      <c r="AX449" s="48">
        <f t="shared" si="136"/>
        <v>777.5</v>
      </c>
    </row>
    <row r="450" spans="1:50" ht="10.199999999999999" customHeight="1" x14ac:dyDescent="0.25">
      <c r="A450" s="14">
        <v>43</v>
      </c>
      <c r="B450" s="102">
        <f t="shared" si="138"/>
        <v>38652</v>
      </c>
      <c r="C450" s="103">
        <v>38645</v>
      </c>
      <c r="D450" s="14">
        <v>300</v>
      </c>
      <c r="E450" s="14">
        <v>300</v>
      </c>
      <c r="F450" s="48">
        <f t="shared" si="137"/>
        <v>300</v>
      </c>
      <c r="G450" s="14"/>
      <c r="H450" s="14">
        <v>375</v>
      </c>
      <c r="I450" s="14">
        <v>250</v>
      </c>
      <c r="J450" s="48">
        <f t="shared" si="139"/>
        <v>312.5</v>
      </c>
      <c r="K450" s="14"/>
      <c r="L450" s="14">
        <v>288</v>
      </c>
      <c r="M450" s="14">
        <v>150</v>
      </c>
      <c r="N450" s="48">
        <f t="shared" si="140"/>
        <v>219</v>
      </c>
      <c r="O450" s="14"/>
      <c r="P450" s="14">
        <v>113</v>
      </c>
      <c r="Q450" s="14"/>
      <c r="R450" s="48">
        <f t="shared" si="141"/>
        <v>113</v>
      </c>
      <c r="S450" s="14"/>
      <c r="T450" s="14">
        <v>125</v>
      </c>
      <c r="U450" s="14"/>
      <c r="V450" s="48">
        <f t="shared" ref="V450:V480" si="142">AVERAGE(T450,U450)</f>
        <v>125</v>
      </c>
      <c r="W450" s="14"/>
      <c r="X450" s="14"/>
      <c r="Y450" s="14"/>
      <c r="Z450" s="48"/>
      <c r="AA450" s="14"/>
      <c r="AB450" s="14"/>
      <c r="AC450" s="14"/>
      <c r="AD450" s="48"/>
      <c r="AE450" s="14"/>
      <c r="AF450" s="14"/>
      <c r="AG450" s="14"/>
      <c r="AH450" s="48"/>
      <c r="AI450" s="14"/>
      <c r="AJ450" s="14"/>
      <c r="AK450" s="14"/>
      <c r="AL450" s="48"/>
      <c r="AM450" s="14"/>
      <c r="AN450" s="14"/>
      <c r="AO450" s="14"/>
      <c r="AP450" s="48"/>
      <c r="AQ450" s="14"/>
      <c r="AR450" s="14"/>
      <c r="AS450" s="14"/>
      <c r="AT450" s="48"/>
      <c r="AU450" s="14"/>
      <c r="AV450" s="14">
        <v>613</v>
      </c>
      <c r="AW450" s="14">
        <v>550</v>
      </c>
      <c r="AX450" s="48">
        <f t="shared" si="136"/>
        <v>581.5</v>
      </c>
    </row>
    <row r="451" spans="1:50" ht="10.199999999999999" customHeight="1" x14ac:dyDescent="0.25">
      <c r="A451" s="14">
        <v>44</v>
      </c>
      <c r="B451" s="102">
        <f t="shared" si="138"/>
        <v>38659</v>
      </c>
      <c r="C451" s="103">
        <v>38652</v>
      </c>
      <c r="D451" s="14">
        <v>325</v>
      </c>
      <c r="E451" s="14">
        <v>325</v>
      </c>
      <c r="F451" s="48">
        <f t="shared" si="137"/>
        <v>325</v>
      </c>
      <c r="G451" s="14"/>
      <c r="H451" s="14">
        <v>325</v>
      </c>
      <c r="I451" s="14">
        <v>250</v>
      </c>
      <c r="J451" s="48">
        <f t="shared" si="139"/>
        <v>287.5</v>
      </c>
      <c r="K451" s="14"/>
      <c r="L451" s="14">
        <v>238</v>
      </c>
      <c r="M451" s="14">
        <v>200</v>
      </c>
      <c r="N451" s="48">
        <f t="shared" si="140"/>
        <v>219</v>
      </c>
      <c r="O451" s="14"/>
      <c r="P451" s="14">
        <v>100</v>
      </c>
      <c r="Q451" s="14"/>
      <c r="R451" s="48">
        <f t="shared" si="141"/>
        <v>100</v>
      </c>
      <c r="S451" s="14"/>
      <c r="T451" s="14">
        <v>113</v>
      </c>
      <c r="U451" s="14"/>
      <c r="V451" s="48">
        <f t="shared" si="142"/>
        <v>113</v>
      </c>
      <c r="W451" s="14"/>
      <c r="X451" s="14"/>
      <c r="Y451" s="14"/>
      <c r="Z451" s="48"/>
      <c r="AA451" s="14"/>
      <c r="AB451" s="14"/>
      <c r="AC451" s="14"/>
      <c r="AD451" s="48"/>
      <c r="AE451" s="14"/>
      <c r="AF451" s="14"/>
      <c r="AG451" s="14"/>
      <c r="AH451" s="48"/>
      <c r="AI451" s="14"/>
      <c r="AJ451" s="14"/>
      <c r="AK451" s="14"/>
      <c r="AL451" s="48"/>
      <c r="AM451" s="14"/>
      <c r="AN451" s="14"/>
      <c r="AO451" s="14"/>
      <c r="AP451" s="48"/>
      <c r="AQ451" s="14"/>
      <c r="AR451" s="14"/>
      <c r="AS451" s="14"/>
      <c r="AT451" s="48"/>
      <c r="AU451" s="14"/>
      <c r="AV451" s="14">
        <v>467</v>
      </c>
      <c r="AW451" s="14">
        <v>417</v>
      </c>
      <c r="AX451" s="48">
        <f t="shared" si="136"/>
        <v>442</v>
      </c>
    </row>
    <row r="452" spans="1:50" ht="10.199999999999999" customHeight="1" x14ac:dyDescent="0.25">
      <c r="A452" s="14">
        <v>45</v>
      </c>
      <c r="B452" s="102">
        <f t="shared" si="138"/>
        <v>38666</v>
      </c>
      <c r="C452" s="103">
        <v>38659</v>
      </c>
      <c r="D452" s="14">
        <v>325</v>
      </c>
      <c r="E452" s="14">
        <v>325</v>
      </c>
      <c r="F452" s="48">
        <f t="shared" si="137"/>
        <v>325</v>
      </c>
      <c r="G452" s="14"/>
      <c r="H452" s="14">
        <v>325</v>
      </c>
      <c r="I452" s="14">
        <v>250</v>
      </c>
      <c r="J452" s="48">
        <f t="shared" si="139"/>
        <v>287.5</v>
      </c>
      <c r="K452" s="14"/>
      <c r="L452" s="14">
        <v>238</v>
      </c>
      <c r="M452" s="14">
        <v>200</v>
      </c>
      <c r="N452" s="48">
        <f t="shared" si="140"/>
        <v>219</v>
      </c>
      <c r="O452" s="14"/>
      <c r="P452" s="14">
        <v>100</v>
      </c>
      <c r="Q452" s="14"/>
      <c r="R452" s="48">
        <f t="shared" si="141"/>
        <v>100</v>
      </c>
      <c r="S452" s="14"/>
      <c r="T452" s="14">
        <v>113</v>
      </c>
      <c r="U452" s="14"/>
      <c r="V452" s="48">
        <f t="shared" si="142"/>
        <v>113</v>
      </c>
      <c r="W452" s="14"/>
      <c r="X452" s="14"/>
      <c r="Y452" s="14"/>
      <c r="Z452" s="48"/>
      <c r="AA452" s="14"/>
      <c r="AB452" s="14"/>
      <c r="AC452" s="14"/>
      <c r="AD452" s="48"/>
      <c r="AE452" s="14"/>
      <c r="AF452" s="14"/>
      <c r="AG452" s="14"/>
      <c r="AH452" s="48"/>
      <c r="AI452" s="14"/>
      <c r="AJ452" s="14"/>
      <c r="AK452" s="14"/>
      <c r="AL452" s="48"/>
      <c r="AM452" s="14"/>
      <c r="AN452" s="14"/>
      <c r="AO452" s="14"/>
      <c r="AP452" s="48"/>
      <c r="AQ452" s="14"/>
      <c r="AR452" s="14"/>
      <c r="AS452" s="14"/>
      <c r="AT452" s="48"/>
      <c r="AU452" s="14"/>
      <c r="AV452" s="14">
        <v>333</v>
      </c>
      <c r="AW452" s="14">
        <v>350</v>
      </c>
      <c r="AX452" s="48">
        <f t="shared" si="136"/>
        <v>341.5</v>
      </c>
    </row>
    <row r="453" spans="1:50" ht="10.199999999999999" customHeight="1" x14ac:dyDescent="0.25">
      <c r="A453" s="14">
        <v>46</v>
      </c>
      <c r="B453" s="102">
        <f t="shared" si="138"/>
        <v>38673</v>
      </c>
      <c r="C453" s="103">
        <v>38666</v>
      </c>
      <c r="D453" s="14">
        <v>313</v>
      </c>
      <c r="E453" s="14">
        <v>350</v>
      </c>
      <c r="F453" s="48">
        <f t="shared" si="137"/>
        <v>331.5</v>
      </c>
      <c r="G453" s="14"/>
      <c r="H453" s="14">
        <v>225</v>
      </c>
      <c r="I453" s="14">
        <v>250</v>
      </c>
      <c r="J453" s="48">
        <f t="shared" si="139"/>
        <v>237.5</v>
      </c>
      <c r="K453" s="14"/>
      <c r="L453" s="14">
        <v>175</v>
      </c>
      <c r="M453" s="14">
        <v>200</v>
      </c>
      <c r="N453" s="48">
        <f t="shared" si="140"/>
        <v>187.5</v>
      </c>
      <c r="O453" s="14"/>
      <c r="P453" s="14">
        <v>65</v>
      </c>
      <c r="Q453" s="14">
        <v>20</v>
      </c>
      <c r="R453" s="48">
        <f t="shared" si="141"/>
        <v>42.5</v>
      </c>
      <c r="S453" s="14"/>
      <c r="T453" s="14">
        <v>65</v>
      </c>
      <c r="U453" s="14">
        <v>20</v>
      </c>
      <c r="V453" s="48">
        <f t="shared" si="142"/>
        <v>42.5</v>
      </c>
      <c r="W453" s="14"/>
      <c r="X453" s="14"/>
      <c r="Y453" s="14"/>
      <c r="Z453" s="48"/>
      <c r="AA453" s="14"/>
      <c r="AB453" s="14"/>
      <c r="AC453" s="14"/>
      <c r="AD453" s="48"/>
      <c r="AE453" s="14"/>
      <c r="AF453" s="14"/>
      <c r="AG453" s="14"/>
      <c r="AH453" s="48"/>
      <c r="AI453" s="14"/>
      <c r="AJ453" s="14"/>
      <c r="AK453" s="14"/>
      <c r="AL453" s="48"/>
      <c r="AM453" s="14"/>
      <c r="AN453" s="14"/>
      <c r="AO453" s="14"/>
      <c r="AP453" s="48"/>
      <c r="AQ453" s="14"/>
      <c r="AR453" s="14"/>
      <c r="AS453" s="14"/>
      <c r="AT453" s="48"/>
      <c r="AU453" s="14"/>
      <c r="AV453" s="14">
        <v>300</v>
      </c>
      <c r="AW453" s="14">
        <v>356</v>
      </c>
      <c r="AX453" s="48">
        <f t="shared" si="136"/>
        <v>328</v>
      </c>
    </row>
    <row r="454" spans="1:50" ht="10.199999999999999" customHeight="1" x14ac:dyDescent="0.25">
      <c r="A454" s="14">
        <v>47</v>
      </c>
      <c r="B454" s="102">
        <f t="shared" si="138"/>
        <v>38680</v>
      </c>
      <c r="C454" s="103">
        <v>38673</v>
      </c>
      <c r="D454" s="14">
        <v>138</v>
      </c>
      <c r="E454" s="14">
        <v>250</v>
      </c>
      <c r="F454" s="48">
        <f t="shared" si="137"/>
        <v>194</v>
      </c>
      <c r="G454" s="14"/>
      <c r="H454" s="14">
        <v>100</v>
      </c>
      <c r="I454" s="14">
        <v>194</v>
      </c>
      <c r="J454" s="48">
        <f t="shared" si="139"/>
        <v>147</v>
      </c>
      <c r="K454" s="14"/>
      <c r="L454" s="14">
        <v>75</v>
      </c>
      <c r="M454" s="14">
        <v>156</v>
      </c>
      <c r="N454" s="48">
        <f t="shared" si="140"/>
        <v>115.5</v>
      </c>
      <c r="O454" s="14"/>
      <c r="P454" s="14">
        <v>50</v>
      </c>
      <c r="Q454" s="14">
        <v>-5</v>
      </c>
      <c r="R454" s="48">
        <f t="shared" si="141"/>
        <v>22.5</v>
      </c>
      <c r="S454" s="14"/>
      <c r="T454" s="14">
        <v>43</v>
      </c>
      <c r="U454" s="14">
        <v>-5</v>
      </c>
      <c r="V454" s="48">
        <f t="shared" si="142"/>
        <v>19</v>
      </c>
      <c r="W454" s="14"/>
      <c r="X454" s="14"/>
      <c r="Y454" s="14"/>
      <c r="Z454" s="48"/>
      <c r="AA454" s="14"/>
      <c r="AB454" s="14"/>
      <c r="AC454" s="14"/>
      <c r="AD454" s="48"/>
      <c r="AE454" s="14"/>
      <c r="AF454" s="14"/>
      <c r="AG454" s="14"/>
      <c r="AH454" s="48"/>
      <c r="AI454" s="14"/>
      <c r="AJ454" s="14"/>
      <c r="AK454" s="14"/>
      <c r="AL454" s="48"/>
      <c r="AM454" s="14"/>
      <c r="AN454" s="14"/>
      <c r="AO454" s="14"/>
      <c r="AP454" s="48"/>
      <c r="AQ454" s="14"/>
      <c r="AR454" s="14"/>
      <c r="AS454" s="14"/>
      <c r="AT454" s="48"/>
      <c r="AU454" s="14"/>
      <c r="AV454" s="14">
        <v>225</v>
      </c>
      <c r="AW454" s="14">
        <v>234</v>
      </c>
      <c r="AX454" s="48">
        <f t="shared" si="136"/>
        <v>229.5</v>
      </c>
    </row>
    <row r="455" spans="1:50" ht="10.199999999999999" customHeight="1" x14ac:dyDescent="0.25">
      <c r="A455" s="14">
        <v>48</v>
      </c>
      <c r="B455" s="102">
        <f t="shared" si="138"/>
        <v>38687</v>
      </c>
      <c r="C455" s="103">
        <v>38680</v>
      </c>
      <c r="D455" s="14">
        <v>150</v>
      </c>
      <c r="E455" s="14">
        <v>200</v>
      </c>
      <c r="F455" s="48">
        <f t="shared" si="137"/>
        <v>175</v>
      </c>
      <c r="G455" s="14"/>
      <c r="H455" s="14">
        <v>100</v>
      </c>
      <c r="I455" s="14">
        <v>167</v>
      </c>
      <c r="J455" s="48">
        <f t="shared" si="139"/>
        <v>133.5</v>
      </c>
      <c r="K455" s="14"/>
      <c r="L455" s="14">
        <v>75</v>
      </c>
      <c r="M455" s="14">
        <v>142</v>
      </c>
      <c r="N455" s="48">
        <f t="shared" si="140"/>
        <v>108.5</v>
      </c>
      <c r="O455" s="14"/>
      <c r="P455" s="14">
        <v>50</v>
      </c>
      <c r="Q455" s="14">
        <v>40</v>
      </c>
      <c r="R455" s="48">
        <f t="shared" si="141"/>
        <v>45</v>
      </c>
      <c r="S455" s="14"/>
      <c r="T455" s="14">
        <v>43</v>
      </c>
      <c r="U455" s="14">
        <v>45</v>
      </c>
      <c r="V455" s="48">
        <f t="shared" si="142"/>
        <v>44</v>
      </c>
      <c r="W455" s="14"/>
      <c r="X455" s="14">
        <v>43</v>
      </c>
      <c r="Y455" s="14">
        <v>65</v>
      </c>
      <c r="Z455" s="48">
        <f t="shared" ref="Z455:Z484" si="143">AVERAGE(X455,Y455)</f>
        <v>54</v>
      </c>
      <c r="AA455" s="14"/>
      <c r="AB455" s="14"/>
      <c r="AC455" s="14"/>
      <c r="AD455" s="48"/>
      <c r="AE455" s="14"/>
      <c r="AF455" s="14"/>
      <c r="AG455" s="14"/>
      <c r="AH455" s="48"/>
      <c r="AI455" s="14"/>
      <c r="AJ455" s="14"/>
      <c r="AK455" s="14"/>
      <c r="AL455" s="48"/>
      <c r="AM455" s="14"/>
      <c r="AN455" s="14"/>
      <c r="AO455" s="14"/>
      <c r="AP455" s="48"/>
      <c r="AQ455" s="14"/>
      <c r="AR455" s="14"/>
      <c r="AS455" s="14"/>
      <c r="AT455" s="48"/>
      <c r="AU455" s="14"/>
      <c r="AV455" s="14"/>
      <c r="AW455" s="14"/>
      <c r="AX455" s="49"/>
    </row>
    <row r="456" spans="1:50" ht="10.199999999999999" customHeight="1" x14ac:dyDescent="0.25">
      <c r="A456" s="14">
        <v>49</v>
      </c>
      <c r="B456" s="102">
        <f t="shared" si="138"/>
        <v>38694</v>
      </c>
      <c r="C456" s="103">
        <v>38687</v>
      </c>
      <c r="D456" s="14">
        <v>175</v>
      </c>
      <c r="E456" s="14">
        <v>192</v>
      </c>
      <c r="F456" s="48">
        <f t="shared" si="137"/>
        <v>183.5</v>
      </c>
      <c r="G456" s="14"/>
      <c r="H456" s="14">
        <v>138</v>
      </c>
      <c r="I456" s="14">
        <v>154</v>
      </c>
      <c r="J456" s="48">
        <f t="shared" si="139"/>
        <v>146</v>
      </c>
      <c r="K456" s="14"/>
      <c r="L456" s="14">
        <v>88</v>
      </c>
      <c r="M456" s="14">
        <v>129</v>
      </c>
      <c r="N456" s="48">
        <f t="shared" si="140"/>
        <v>108.5</v>
      </c>
      <c r="O456" s="14"/>
      <c r="P456" s="14">
        <v>50</v>
      </c>
      <c r="Q456" s="14">
        <v>40</v>
      </c>
      <c r="R456" s="48">
        <f t="shared" si="141"/>
        <v>45</v>
      </c>
      <c r="S456" s="14"/>
      <c r="T456" s="14">
        <v>43</v>
      </c>
      <c r="U456" s="14">
        <v>45</v>
      </c>
      <c r="V456" s="48">
        <f t="shared" si="142"/>
        <v>44</v>
      </c>
      <c r="W456" s="14"/>
      <c r="X456" s="14">
        <v>43</v>
      </c>
      <c r="Y456" s="14">
        <v>65</v>
      </c>
      <c r="Z456" s="48">
        <f t="shared" si="143"/>
        <v>54</v>
      </c>
      <c r="AA456" s="14"/>
      <c r="AB456" s="14"/>
      <c r="AC456" s="14"/>
      <c r="AD456" s="48"/>
      <c r="AE456" s="14"/>
      <c r="AF456" s="14"/>
      <c r="AG456" s="14"/>
      <c r="AH456" s="48"/>
      <c r="AI456" s="14"/>
      <c r="AJ456" s="14"/>
      <c r="AK456" s="14"/>
      <c r="AL456" s="48"/>
      <c r="AM456" s="14"/>
      <c r="AN456" s="14"/>
      <c r="AO456" s="14"/>
      <c r="AP456" s="48"/>
      <c r="AQ456" s="14"/>
      <c r="AR456" s="14"/>
      <c r="AS456" s="14"/>
      <c r="AT456" s="48"/>
      <c r="AU456" s="14"/>
      <c r="AV456" s="14"/>
      <c r="AW456" s="14"/>
      <c r="AX456" s="49"/>
    </row>
    <row r="457" spans="1:50" ht="10.199999999999999" customHeight="1" x14ac:dyDescent="0.25">
      <c r="A457" s="14">
        <v>50</v>
      </c>
      <c r="B457" s="102">
        <f t="shared" si="138"/>
        <v>38701</v>
      </c>
      <c r="C457" s="103">
        <v>38694</v>
      </c>
      <c r="D457" s="14">
        <v>275</v>
      </c>
      <c r="E457" s="14">
        <v>260</v>
      </c>
      <c r="F457" s="48">
        <f t="shared" si="137"/>
        <v>267.5</v>
      </c>
      <c r="G457" s="14"/>
      <c r="H457" s="14">
        <v>163</v>
      </c>
      <c r="I457" s="14">
        <v>200</v>
      </c>
      <c r="J457" s="48">
        <f t="shared" si="139"/>
        <v>181.5</v>
      </c>
      <c r="K457" s="14"/>
      <c r="L457" s="14">
        <v>113</v>
      </c>
      <c r="M457" s="14">
        <v>150</v>
      </c>
      <c r="N457" s="48">
        <f t="shared" si="140"/>
        <v>131.5</v>
      </c>
      <c r="O457" s="14"/>
      <c r="P457" s="14">
        <v>50</v>
      </c>
      <c r="Q457" s="14">
        <v>40</v>
      </c>
      <c r="R457" s="48">
        <f t="shared" si="141"/>
        <v>45</v>
      </c>
      <c r="S457" s="14"/>
      <c r="T457" s="14">
        <v>43</v>
      </c>
      <c r="U457" s="14">
        <v>45</v>
      </c>
      <c r="V457" s="48">
        <f t="shared" si="142"/>
        <v>44</v>
      </c>
      <c r="W457" s="14"/>
      <c r="X457" s="14">
        <v>43</v>
      </c>
      <c r="Y457" s="14">
        <v>65</v>
      </c>
      <c r="Z457" s="48">
        <f t="shared" si="143"/>
        <v>54</v>
      </c>
      <c r="AA457" s="14"/>
      <c r="AB457" s="14"/>
      <c r="AC457" s="14"/>
      <c r="AD457" s="48"/>
      <c r="AE457" s="14"/>
      <c r="AF457" s="14"/>
      <c r="AG457" s="14"/>
      <c r="AH457" s="48"/>
      <c r="AI457" s="14"/>
      <c r="AJ457" s="14"/>
      <c r="AK457" s="14"/>
      <c r="AL457" s="48"/>
      <c r="AM457" s="14"/>
      <c r="AN457" s="14"/>
      <c r="AO457" s="14"/>
      <c r="AP457" s="48"/>
      <c r="AQ457" s="14"/>
      <c r="AR457" s="14"/>
      <c r="AS457" s="14"/>
      <c r="AT457" s="48"/>
      <c r="AU457" s="14"/>
      <c r="AV457" s="14"/>
      <c r="AW457" s="14"/>
      <c r="AX457" s="49"/>
    </row>
    <row r="458" spans="1:50" ht="10.199999999999999" customHeight="1" x14ac:dyDescent="0.25">
      <c r="A458" s="14">
        <v>51</v>
      </c>
      <c r="B458" s="102">
        <f t="shared" si="138"/>
        <v>38708</v>
      </c>
      <c r="C458" s="103">
        <v>38701</v>
      </c>
      <c r="D458" s="14">
        <v>303</v>
      </c>
      <c r="E458" s="14">
        <v>354</v>
      </c>
      <c r="F458" s="48">
        <f t="shared" si="137"/>
        <v>328.5</v>
      </c>
      <c r="G458" s="14"/>
      <c r="H458" s="14">
        <v>250</v>
      </c>
      <c r="I458" s="14">
        <v>204</v>
      </c>
      <c r="J458" s="48">
        <f t="shared" si="139"/>
        <v>227</v>
      </c>
      <c r="K458" s="14"/>
      <c r="L458" s="14">
        <v>192</v>
      </c>
      <c r="M458" s="14">
        <v>104</v>
      </c>
      <c r="N458" s="48">
        <f t="shared" si="140"/>
        <v>148</v>
      </c>
      <c r="O458" s="14"/>
      <c r="P458" s="14">
        <v>50</v>
      </c>
      <c r="Q458" s="14">
        <v>100</v>
      </c>
      <c r="R458" s="48">
        <f t="shared" si="141"/>
        <v>75</v>
      </c>
      <c r="S458" s="14"/>
      <c r="T458" s="14">
        <v>43</v>
      </c>
      <c r="U458" s="14">
        <v>100</v>
      </c>
      <c r="V458" s="48">
        <f t="shared" si="142"/>
        <v>71.5</v>
      </c>
      <c r="W458" s="14"/>
      <c r="X458" s="14">
        <v>43</v>
      </c>
      <c r="Y458" s="14">
        <v>100</v>
      </c>
      <c r="Z458" s="48">
        <f t="shared" si="143"/>
        <v>71.5</v>
      </c>
      <c r="AA458" s="14"/>
      <c r="AB458" s="14"/>
      <c r="AC458" s="14"/>
      <c r="AD458" s="48"/>
      <c r="AE458" s="14"/>
      <c r="AF458" s="14"/>
      <c r="AG458" s="14"/>
      <c r="AH458" s="48"/>
      <c r="AI458" s="14"/>
      <c r="AJ458" s="14"/>
      <c r="AK458" s="14"/>
      <c r="AL458" s="48"/>
      <c r="AM458" s="14"/>
      <c r="AN458" s="14"/>
      <c r="AO458" s="14"/>
      <c r="AP458" s="48"/>
      <c r="AQ458" s="14"/>
      <c r="AR458" s="14"/>
      <c r="AS458" s="14"/>
      <c r="AT458" s="48"/>
      <c r="AU458" s="14"/>
      <c r="AV458" s="14"/>
      <c r="AW458" s="14"/>
      <c r="AX458" s="49"/>
    </row>
    <row r="459" spans="1:50" ht="10.199999999999999" customHeight="1" x14ac:dyDescent="0.25">
      <c r="A459" s="14">
        <v>52</v>
      </c>
      <c r="B459" s="102">
        <f t="shared" si="138"/>
        <v>38715</v>
      </c>
      <c r="C459" s="103">
        <v>38708</v>
      </c>
      <c r="D459" s="14"/>
      <c r="E459" s="14"/>
      <c r="F459" s="48"/>
      <c r="G459" s="14"/>
      <c r="H459" s="14">
        <v>300</v>
      </c>
      <c r="I459" s="14">
        <v>328</v>
      </c>
      <c r="J459" s="48">
        <f t="shared" si="139"/>
        <v>314</v>
      </c>
      <c r="K459" s="14"/>
      <c r="L459" s="14">
        <v>250</v>
      </c>
      <c r="M459" s="14">
        <v>183</v>
      </c>
      <c r="N459" s="48">
        <f t="shared" si="140"/>
        <v>216.5</v>
      </c>
      <c r="O459" s="14"/>
      <c r="P459" s="14">
        <v>50</v>
      </c>
      <c r="Q459" s="14">
        <v>100</v>
      </c>
      <c r="R459" s="48">
        <f t="shared" si="141"/>
        <v>75</v>
      </c>
      <c r="S459" s="14"/>
      <c r="T459" s="14">
        <v>43</v>
      </c>
      <c r="U459" s="14">
        <v>100</v>
      </c>
      <c r="V459" s="48">
        <f t="shared" si="142"/>
        <v>71.5</v>
      </c>
      <c r="W459" s="14"/>
      <c r="X459" s="14">
        <v>43</v>
      </c>
      <c r="Y459" s="14">
        <v>100</v>
      </c>
      <c r="Z459" s="48">
        <f t="shared" si="143"/>
        <v>71.5</v>
      </c>
      <c r="AA459" s="14"/>
      <c r="AB459" s="14">
        <v>50</v>
      </c>
      <c r="AC459" s="14">
        <v>100</v>
      </c>
      <c r="AD459" s="48">
        <f t="shared" ref="AD459:AD488" si="144">AVERAGE(AB459,AC459)</f>
        <v>75</v>
      </c>
      <c r="AE459" s="14"/>
      <c r="AF459" s="14"/>
      <c r="AG459" s="14"/>
      <c r="AH459" s="48"/>
      <c r="AI459" s="14"/>
      <c r="AJ459" s="14"/>
      <c r="AK459" s="14"/>
      <c r="AL459" s="48"/>
      <c r="AM459" s="14"/>
      <c r="AN459" s="14"/>
      <c r="AO459" s="14"/>
      <c r="AP459" s="48"/>
      <c r="AQ459" s="14"/>
      <c r="AR459" s="14"/>
      <c r="AS459" s="14"/>
      <c r="AT459" s="48"/>
      <c r="AU459" s="14"/>
      <c r="AV459" s="14"/>
      <c r="AW459" s="14"/>
      <c r="AX459" s="49"/>
    </row>
    <row r="460" spans="1:50" ht="10.199999999999999" customHeight="1" x14ac:dyDescent="0.25">
      <c r="A460" s="14">
        <v>1</v>
      </c>
      <c r="B460" s="102">
        <v>38722</v>
      </c>
      <c r="C460" s="103">
        <v>38715</v>
      </c>
      <c r="D460" s="14"/>
      <c r="E460" s="14"/>
      <c r="F460" s="48"/>
      <c r="G460" s="14"/>
      <c r="H460" s="14">
        <v>275</v>
      </c>
      <c r="I460" s="14">
        <v>306</v>
      </c>
      <c r="J460" s="48">
        <f t="shared" si="139"/>
        <v>290.5</v>
      </c>
      <c r="K460" s="14"/>
      <c r="L460" s="14">
        <v>225</v>
      </c>
      <c r="M460" s="14">
        <v>213</v>
      </c>
      <c r="N460" s="48">
        <f t="shared" si="140"/>
        <v>219</v>
      </c>
      <c r="O460" s="14"/>
      <c r="P460" s="14">
        <v>50</v>
      </c>
      <c r="Q460" s="14">
        <v>100</v>
      </c>
      <c r="R460" s="48">
        <f t="shared" si="141"/>
        <v>75</v>
      </c>
      <c r="S460" s="14"/>
      <c r="T460" s="14">
        <v>43</v>
      </c>
      <c r="U460" s="14">
        <v>100</v>
      </c>
      <c r="V460" s="48">
        <f t="shared" si="142"/>
        <v>71.5</v>
      </c>
      <c r="W460" s="14"/>
      <c r="X460" s="14">
        <v>43</v>
      </c>
      <c r="Y460" s="14">
        <v>100</v>
      </c>
      <c r="Z460" s="48">
        <f t="shared" si="143"/>
        <v>71.5</v>
      </c>
      <c r="AA460" s="14"/>
      <c r="AB460" s="14">
        <v>50</v>
      </c>
      <c r="AC460" s="14">
        <v>100</v>
      </c>
      <c r="AD460" s="48">
        <f t="shared" si="144"/>
        <v>75</v>
      </c>
      <c r="AE460" s="14"/>
      <c r="AF460" s="14"/>
      <c r="AG460" s="14"/>
      <c r="AH460" s="48"/>
      <c r="AI460" s="14"/>
      <c r="AJ460" s="14"/>
      <c r="AK460" s="14"/>
      <c r="AL460" s="48"/>
      <c r="AM460" s="14"/>
      <c r="AN460" s="14"/>
      <c r="AO460" s="14"/>
      <c r="AP460" s="48"/>
      <c r="AQ460" s="14"/>
      <c r="AR460" s="14"/>
      <c r="AS460" s="14"/>
      <c r="AT460" s="48"/>
      <c r="AU460" s="14"/>
      <c r="AV460" s="14"/>
      <c r="AW460" s="14"/>
      <c r="AX460" s="49"/>
    </row>
    <row r="461" spans="1:50" ht="10.199999999999999" customHeight="1" x14ac:dyDescent="0.25">
      <c r="A461" s="14">
        <v>2</v>
      </c>
      <c r="B461" s="102">
        <v>38729</v>
      </c>
      <c r="C461" s="103">
        <v>38722</v>
      </c>
      <c r="D461" s="14"/>
      <c r="E461" s="14"/>
      <c r="F461" s="48"/>
      <c r="G461" s="14"/>
      <c r="H461" s="14">
        <v>208</v>
      </c>
      <c r="I461" s="14">
        <v>217</v>
      </c>
      <c r="J461" s="48">
        <f t="shared" si="139"/>
        <v>212.5</v>
      </c>
      <c r="K461" s="14"/>
      <c r="L461" s="14">
        <v>167</v>
      </c>
      <c r="M461" s="14">
        <v>138</v>
      </c>
      <c r="N461" s="48">
        <f t="shared" si="140"/>
        <v>152.5</v>
      </c>
      <c r="O461" s="14"/>
      <c r="P461" s="14">
        <v>50</v>
      </c>
      <c r="Q461" s="14">
        <v>100</v>
      </c>
      <c r="R461" s="48">
        <f t="shared" si="141"/>
        <v>75</v>
      </c>
      <c r="S461" s="14"/>
      <c r="T461" s="14">
        <v>43</v>
      </c>
      <c r="U461" s="14">
        <v>100</v>
      </c>
      <c r="V461" s="48">
        <f t="shared" si="142"/>
        <v>71.5</v>
      </c>
      <c r="W461" s="14"/>
      <c r="X461" s="14">
        <v>43</v>
      </c>
      <c r="Y461" s="14">
        <v>100</v>
      </c>
      <c r="Z461" s="48">
        <f t="shared" si="143"/>
        <v>71.5</v>
      </c>
      <c r="AA461" s="14"/>
      <c r="AB461" s="14">
        <v>50</v>
      </c>
      <c r="AC461" s="14">
        <v>100</v>
      </c>
      <c r="AD461" s="48">
        <f t="shared" si="144"/>
        <v>75</v>
      </c>
      <c r="AE461" s="14"/>
      <c r="AF461" s="14"/>
      <c r="AG461" s="14"/>
      <c r="AH461" s="48"/>
      <c r="AI461" s="14"/>
      <c r="AJ461" s="14"/>
      <c r="AK461" s="14"/>
      <c r="AL461" s="48"/>
      <c r="AM461" s="14"/>
      <c r="AN461" s="14"/>
      <c r="AO461" s="14"/>
      <c r="AP461" s="48"/>
      <c r="AQ461" s="14"/>
      <c r="AR461" s="14"/>
      <c r="AS461" s="14"/>
      <c r="AT461" s="48"/>
      <c r="AU461" s="14"/>
      <c r="AV461" s="14"/>
      <c r="AW461" s="14"/>
      <c r="AX461" s="49"/>
    </row>
    <row r="462" spans="1:50" ht="10.199999999999999" customHeight="1" x14ac:dyDescent="0.25">
      <c r="A462" s="14">
        <v>3</v>
      </c>
      <c r="B462" s="102">
        <v>38736</v>
      </c>
      <c r="C462" s="103">
        <v>38729</v>
      </c>
      <c r="D462" s="14"/>
      <c r="E462" s="14"/>
      <c r="F462" s="48"/>
      <c r="G462" s="14"/>
      <c r="H462" s="14">
        <v>8</v>
      </c>
      <c r="I462" s="14">
        <v>19</v>
      </c>
      <c r="J462" s="48">
        <f t="shared" si="139"/>
        <v>13.5</v>
      </c>
      <c r="K462" s="14"/>
      <c r="L462" s="14">
        <v>19</v>
      </c>
      <c r="M462" s="14">
        <v>0</v>
      </c>
      <c r="N462" s="48">
        <f t="shared" si="140"/>
        <v>9.5</v>
      </c>
      <c r="O462" s="14"/>
      <c r="P462" s="14">
        <v>-25</v>
      </c>
      <c r="Q462" s="14">
        <v>0</v>
      </c>
      <c r="R462" s="48">
        <f t="shared" si="141"/>
        <v>-12.5</v>
      </c>
      <c r="S462" s="14"/>
      <c r="T462" s="14">
        <v>-25</v>
      </c>
      <c r="U462" s="14">
        <v>0</v>
      </c>
      <c r="V462" s="48">
        <f t="shared" si="142"/>
        <v>-12.5</v>
      </c>
      <c r="W462" s="14"/>
      <c r="X462" s="14">
        <v>8</v>
      </c>
      <c r="Y462" s="14">
        <v>-38</v>
      </c>
      <c r="Z462" s="48">
        <f t="shared" si="143"/>
        <v>-15</v>
      </c>
      <c r="AA462" s="14"/>
      <c r="AB462" s="14">
        <v>-8</v>
      </c>
      <c r="AC462" s="14">
        <v>-38</v>
      </c>
      <c r="AD462" s="48">
        <f t="shared" si="144"/>
        <v>-23</v>
      </c>
      <c r="AE462" s="14"/>
      <c r="AF462" s="14"/>
      <c r="AG462" s="14"/>
      <c r="AH462" s="48"/>
      <c r="AI462" s="14"/>
      <c r="AJ462" s="14"/>
      <c r="AK462" s="14"/>
      <c r="AL462" s="48"/>
      <c r="AM462" s="14"/>
      <c r="AN462" s="14"/>
      <c r="AO462" s="14"/>
      <c r="AP462" s="48"/>
      <c r="AQ462" s="14"/>
      <c r="AR462" s="14"/>
      <c r="AS462" s="14"/>
      <c r="AT462" s="48"/>
      <c r="AU462" s="14"/>
      <c r="AV462" s="14"/>
      <c r="AW462" s="14"/>
      <c r="AX462" s="49"/>
    </row>
    <row r="463" spans="1:50" ht="10.199999999999999" customHeight="1" x14ac:dyDescent="0.25">
      <c r="A463" s="14">
        <v>4</v>
      </c>
      <c r="B463" s="102">
        <v>38743</v>
      </c>
      <c r="C463" s="103">
        <v>38736</v>
      </c>
      <c r="D463" s="14"/>
      <c r="E463" s="14"/>
      <c r="F463" s="48"/>
      <c r="G463" s="14"/>
      <c r="H463" s="14"/>
      <c r="I463" s="14"/>
      <c r="J463" s="48"/>
      <c r="K463" s="14"/>
      <c r="L463" s="14">
        <v>0</v>
      </c>
      <c r="M463" s="14">
        <v>-17</v>
      </c>
      <c r="N463" s="48">
        <f t="shared" si="140"/>
        <v>-8.5</v>
      </c>
      <c r="O463" s="14"/>
      <c r="P463" s="14">
        <v>-25</v>
      </c>
      <c r="Q463" s="14">
        <v>0</v>
      </c>
      <c r="R463" s="48">
        <f t="shared" si="141"/>
        <v>-12.5</v>
      </c>
      <c r="S463" s="14"/>
      <c r="T463" s="14">
        <v>-42</v>
      </c>
      <c r="U463" s="14">
        <v>-38</v>
      </c>
      <c r="V463" s="48">
        <f t="shared" si="142"/>
        <v>-40</v>
      </c>
      <c r="W463" s="14"/>
      <c r="X463" s="14">
        <v>-25</v>
      </c>
      <c r="Y463" s="14">
        <v>-38</v>
      </c>
      <c r="Z463" s="48">
        <f t="shared" si="143"/>
        <v>-31.5</v>
      </c>
      <c r="AA463" s="14"/>
      <c r="AB463" s="14">
        <v>-8</v>
      </c>
      <c r="AC463" s="14">
        <v>-38</v>
      </c>
      <c r="AD463" s="48">
        <f t="shared" si="144"/>
        <v>-23</v>
      </c>
      <c r="AE463" s="14"/>
      <c r="AF463" s="14">
        <v>63</v>
      </c>
      <c r="AG463" s="14">
        <v>85</v>
      </c>
      <c r="AH463" s="48">
        <f t="shared" ref="AH463:AH493" si="145">AVERAGE(AF463,AG463)</f>
        <v>74</v>
      </c>
      <c r="AI463" s="14"/>
      <c r="AJ463" s="14"/>
      <c r="AK463" s="14"/>
      <c r="AL463" s="48"/>
      <c r="AM463" s="14"/>
      <c r="AN463" s="14"/>
      <c r="AO463" s="14"/>
      <c r="AP463" s="48"/>
      <c r="AQ463" s="14"/>
      <c r="AR463" s="14"/>
      <c r="AS463" s="14"/>
      <c r="AT463" s="48"/>
      <c r="AU463" s="14"/>
      <c r="AV463" s="14"/>
      <c r="AW463" s="14"/>
      <c r="AX463" s="49"/>
    </row>
    <row r="464" spans="1:50" ht="10.199999999999999" customHeight="1" x14ac:dyDescent="0.25">
      <c r="A464" s="14">
        <v>5</v>
      </c>
      <c r="B464" s="102">
        <v>38750</v>
      </c>
      <c r="C464" s="103">
        <v>38743</v>
      </c>
      <c r="D464" s="14"/>
      <c r="E464" s="14"/>
      <c r="F464" s="48"/>
      <c r="G464" s="14"/>
      <c r="H464" s="14"/>
      <c r="I464" s="14"/>
      <c r="J464" s="48"/>
      <c r="K464" s="14"/>
      <c r="L464" s="14">
        <v>-31</v>
      </c>
      <c r="M464" s="14">
        <v>0</v>
      </c>
      <c r="N464" s="48">
        <f t="shared" si="140"/>
        <v>-15.5</v>
      </c>
      <c r="O464" s="14"/>
      <c r="P464" s="14">
        <v>-25</v>
      </c>
      <c r="Q464" s="14">
        <v>-50</v>
      </c>
      <c r="R464" s="48">
        <f t="shared" si="141"/>
        <v>-37.5</v>
      </c>
      <c r="S464" s="14"/>
      <c r="T464" s="14">
        <v>-25</v>
      </c>
      <c r="U464" s="14">
        <v>-38</v>
      </c>
      <c r="V464" s="48">
        <f t="shared" si="142"/>
        <v>-31.5</v>
      </c>
      <c r="W464" s="14"/>
      <c r="X464" s="14">
        <v>-13</v>
      </c>
      <c r="Y464" s="14">
        <v>-38</v>
      </c>
      <c r="Z464" s="48">
        <f t="shared" si="143"/>
        <v>-25.5</v>
      </c>
      <c r="AA464" s="14"/>
      <c r="AB464" s="14">
        <v>25</v>
      </c>
      <c r="AC464" s="14">
        <v>50</v>
      </c>
      <c r="AD464" s="48">
        <f t="shared" si="144"/>
        <v>37.5</v>
      </c>
      <c r="AE464" s="14"/>
      <c r="AF464" s="14">
        <v>83</v>
      </c>
      <c r="AG464" s="14">
        <v>83</v>
      </c>
      <c r="AH464" s="48">
        <f t="shared" si="145"/>
        <v>83</v>
      </c>
      <c r="AI464" s="14"/>
      <c r="AJ464" s="14"/>
      <c r="AK464" s="14"/>
      <c r="AL464" s="48"/>
      <c r="AM464" s="14"/>
      <c r="AN464" s="14"/>
      <c r="AO464" s="14"/>
      <c r="AP464" s="48"/>
      <c r="AQ464" s="14"/>
      <c r="AR464" s="14"/>
      <c r="AS464" s="14"/>
      <c r="AT464" s="48"/>
      <c r="AU464" s="14"/>
      <c r="AV464" s="14"/>
      <c r="AW464" s="14"/>
      <c r="AX464" s="49"/>
    </row>
    <row r="465" spans="1:50" ht="10.199999999999999" customHeight="1" x14ac:dyDescent="0.25">
      <c r="A465" s="14">
        <v>6</v>
      </c>
      <c r="B465" s="102">
        <v>38757</v>
      </c>
      <c r="C465" s="103">
        <v>38750</v>
      </c>
      <c r="D465" s="14"/>
      <c r="E465" s="14"/>
      <c r="F465" s="48"/>
      <c r="G465" s="14"/>
      <c r="H465" s="14">
        <v>-20</v>
      </c>
      <c r="I465" s="14">
        <v>-30</v>
      </c>
      <c r="J465" s="48">
        <f>AVERAGE(H465,I465)</f>
        <v>-25</v>
      </c>
      <c r="K465" s="14"/>
      <c r="L465" s="14">
        <v>-41</v>
      </c>
      <c r="M465" s="14">
        <v>-17</v>
      </c>
      <c r="N465" s="48">
        <f t="shared" si="140"/>
        <v>-29</v>
      </c>
      <c r="O465" s="14"/>
      <c r="P465" s="14">
        <v>-35</v>
      </c>
      <c r="Q465" s="14">
        <v>-50</v>
      </c>
      <c r="R465" s="48">
        <f t="shared" si="141"/>
        <v>-42.5</v>
      </c>
      <c r="S465" s="14"/>
      <c r="T465" s="14">
        <v>-38</v>
      </c>
      <c r="U465" s="14">
        <v>-38</v>
      </c>
      <c r="V465" s="48">
        <f t="shared" si="142"/>
        <v>-38</v>
      </c>
      <c r="W465" s="14"/>
      <c r="X465" s="14">
        <v>-19</v>
      </c>
      <c r="Y465" s="14">
        <v>-38</v>
      </c>
      <c r="Z465" s="48">
        <f t="shared" si="143"/>
        <v>-28.5</v>
      </c>
      <c r="AA465" s="14"/>
      <c r="AB465" s="14">
        <v>17</v>
      </c>
      <c r="AC465" s="14">
        <v>50</v>
      </c>
      <c r="AD465" s="48">
        <f t="shared" si="144"/>
        <v>33.5</v>
      </c>
      <c r="AE465" s="14"/>
      <c r="AF465" s="14">
        <v>81</v>
      </c>
      <c r="AG465" s="14">
        <v>100</v>
      </c>
      <c r="AH465" s="48">
        <f t="shared" si="145"/>
        <v>90.5</v>
      </c>
      <c r="AI465" s="14"/>
      <c r="AJ465" s="14"/>
      <c r="AK465" s="14"/>
      <c r="AL465" s="48"/>
      <c r="AM465" s="14"/>
      <c r="AN465" s="14"/>
      <c r="AO465" s="14"/>
      <c r="AP465" s="48"/>
      <c r="AQ465" s="14"/>
      <c r="AR465" s="14"/>
      <c r="AS465" s="14"/>
      <c r="AT465" s="48"/>
      <c r="AU465" s="14"/>
      <c r="AV465" s="14"/>
      <c r="AW465" s="14"/>
      <c r="AX465" s="49"/>
    </row>
    <row r="466" spans="1:50" ht="10.199999999999999" customHeight="1" x14ac:dyDescent="0.25">
      <c r="A466" s="14">
        <v>7</v>
      </c>
      <c r="B466" s="103">
        <v>38764</v>
      </c>
      <c r="C466" s="103">
        <v>38757</v>
      </c>
      <c r="D466" s="14"/>
      <c r="E466" s="14"/>
      <c r="F466" s="48"/>
      <c r="G466" s="14"/>
      <c r="H466" s="14">
        <v>-25</v>
      </c>
      <c r="I466" s="14"/>
      <c r="J466" s="48">
        <f>AVERAGE(H466,I466)</f>
        <v>-25</v>
      </c>
      <c r="K466" s="14"/>
      <c r="L466" s="14">
        <v>-21</v>
      </c>
      <c r="M466" s="14">
        <v>-42</v>
      </c>
      <c r="N466" s="48">
        <f t="shared" si="140"/>
        <v>-31.5</v>
      </c>
      <c r="O466" s="14"/>
      <c r="P466" s="14">
        <v>-25</v>
      </c>
      <c r="Q466" s="14">
        <v>-70</v>
      </c>
      <c r="R466" s="48">
        <f t="shared" si="141"/>
        <v>-47.5</v>
      </c>
      <c r="S466" s="14"/>
      <c r="T466" s="14">
        <v>-44</v>
      </c>
      <c r="U466" s="14">
        <v>-70</v>
      </c>
      <c r="V466" s="48">
        <f t="shared" si="142"/>
        <v>-57</v>
      </c>
      <c r="W466" s="14"/>
      <c r="X466" s="14">
        <v>-31</v>
      </c>
      <c r="Y466" s="14">
        <v>-70</v>
      </c>
      <c r="Z466" s="48">
        <f t="shared" si="143"/>
        <v>-50.5</v>
      </c>
      <c r="AA466" s="14"/>
      <c r="AB466" s="14">
        <v>11</v>
      </c>
      <c r="AC466" s="14">
        <v>0</v>
      </c>
      <c r="AD466" s="48">
        <f t="shared" si="144"/>
        <v>5.5</v>
      </c>
      <c r="AE466" s="14"/>
      <c r="AF466" s="14">
        <v>81</v>
      </c>
      <c r="AG466" s="14">
        <v>100</v>
      </c>
      <c r="AH466" s="48">
        <f t="shared" si="145"/>
        <v>90.5</v>
      </c>
      <c r="AI466" s="14"/>
      <c r="AJ466" s="14"/>
      <c r="AK466" s="14"/>
      <c r="AL466" s="48"/>
      <c r="AM466" s="14"/>
      <c r="AN466" s="14"/>
      <c r="AO466" s="14"/>
      <c r="AP466" s="48"/>
      <c r="AQ466" s="14"/>
      <c r="AR466" s="14"/>
      <c r="AS466" s="14"/>
      <c r="AT466" s="48"/>
      <c r="AU466" s="14"/>
      <c r="AV466" s="14"/>
      <c r="AW466" s="14"/>
      <c r="AX466" s="49"/>
    </row>
    <row r="467" spans="1:50" ht="10.199999999999999" customHeight="1" x14ac:dyDescent="0.25">
      <c r="A467" s="14">
        <v>8</v>
      </c>
      <c r="B467" s="103">
        <v>38771</v>
      </c>
      <c r="C467" s="103">
        <v>38764</v>
      </c>
      <c r="D467" s="14"/>
      <c r="E467" s="14"/>
      <c r="F467" s="48"/>
      <c r="G467" s="14"/>
      <c r="H467" s="14">
        <v>67</v>
      </c>
      <c r="I467" s="14">
        <v>50</v>
      </c>
      <c r="J467" s="48">
        <f>AVERAGE(H467,I467)</f>
        <v>58.5</v>
      </c>
      <c r="K467" s="14"/>
      <c r="L467" s="14">
        <v>28</v>
      </c>
      <c r="M467" s="14">
        <v>-58</v>
      </c>
      <c r="N467" s="48">
        <f t="shared" si="140"/>
        <v>-15</v>
      </c>
      <c r="O467" s="14"/>
      <c r="P467" s="14">
        <v>-19</v>
      </c>
      <c r="Q467" s="14">
        <v>-50</v>
      </c>
      <c r="R467" s="48">
        <f t="shared" si="141"/>
        <v>-34.5</v>
      </c>
      <c r="S467" s="14"/>
      <c r="T467" s="14">
        <v>-23</v>
      </c>
      <c r="U467" s="14">
        <v>-58</v>
      </c>
      <c r="V467" s="48">
        <f t="shared" si="142"/>
        <v>-40.5</v>
      </c>
      <c r="W467" s="14"/>
      <c r="X467" s="14">
        <v>-15</v>
      </c>
      <c r="Y467" s="14">
        <v>-38</v>
      </c>
      <c r="Z467" s="48">
        <f t="shared" si="143"/>
        <v>-26.5</v>
      </c>
      <c r="AA467" s="14"/>
      <c r="AB467" s="14">
        <v>23</v>
      </c>
      <c r="AC467" s="14">
        <v>-16</v>
      </c>
      <c r="AD467" s="48">
        <f t="shared" si="144"/>
        <v>3.5</v>
      </c>
      <c r="AE467" s="14"/>
      <c r="AF467" s="14">
        <v>81</v>
      </c>
      <c r="AG467" s="14">
        <v>100</v>
      </c>
      <c r="AH467" s="48">
        <f t="shared" si="145"/>
        <v>90.5</v>
      </c>
      <c r="AI467" s="14"/>
      <c r="AJ467" s="14"/>
      <c r="AK467" s="14"/>
      <c r="AL467" s="48"/>
      <c r="AM467" s="14"/>
      <c r="AN467" s="14"/>
      <c r="AO467" s="14"/>
      <c r="AP467" s="48"/>
      <c r="AQ467" s="14"/>
      <c r="AR467" s="14"/>
      <c r="AS467" s="14"/>
      <c r="AT467" s="48"/>
      <c r="AU467" s="14"/>
      <c r="AV467" s="14"/>
      <c r="AW467" s="14"/>
      <c r="AX467" s="49"/>
    </row>
    <row r="468" spans="1:50" ht="10.199999999999999" customHeight="1" x14ac:dyDescent="0.25">
      <c r="A468" s="14">
        <v>9</v>
      </c>
      <c r="B468" s="103">
        <v>38778</v>
      </c>
      <c r="C468" s="103">
        <v>38771</v>
      </c>
      <c r="D468" s="14"/>
      <c r="E468" s="14"/>
      <c r="F468" s="48"/>
      <c r="G468" s="14"/>
      <c r="H468" s="14"/>
      <c r="I468" s="14"/>
      <c r="J468" s="48"/>
      <c r="K468" s="14"/>
      <c r="L468" s="14">
        <v>16</v>
      </c>
      <c r="M468" s="14">
        <v>-50</v>
      </c>
      <c r="N468" s="48">
        <f t="shared" si="140"/>
        <v>-17</v>
      </c>
      <c r="O468" s="14"/>
      <c r="P468" s="14">
        <v>-21</v>
      </c>
      <c r="Q468" s="14">
        <v>-50</v>
      </c>
      <c r="R468" s="48">
        <f t="shared" si="141"/>
        <v>-35.5</v>
      </c>
      <c r="S468" s="14"/>
      <c r="T468" s="14">
        <v>-20</v>
      </c>
      <c r="U468" s="14">
        <v>-50</v>
      </c>
      <c r="V468" s="48">
        <f t="shared" si="142"/>
        <v>-35</v>
      </c>
      <c r="W468" s="14"/>
      <c r="X468" s="14">
        <v>-6</v>
      </c>
      <c r="Y468" s="14">
        <v>-25</v>
      </c>
      <c r="Z468" s="48">
        <f t="shared" si="143"/>
        <v>-15.5</v>
      </c>
      <c r="AA468" s="14"/>
      <c r="AB468" s="14">
        <v>23</v>
      </c>
      <c r="AC468" s="14">
        <v>-13</v>
      </c>
      <c r="AD468" s="48">
        <f t="shared" si="144"/>
        <v>5</v>
      </c>
      <c r="AE468" s="14"/>
      <c r="AF468" s="14">
        <v>81</v>
      </c>
      <c r="AG468" s="14">
        <v>100</v>
      </c>
      <c r="AH468" s="48">
        <f t="shared" si="145"/>
        <v>90.5</v>
      </c>
      <c r="AI468" s="14"/>
      <c r="AJ468" s="14">
        <v>100</v>
      </c>
      <c r="AK468" s="14">
        <v>146</v>
      </c>
      <c r="AL468" s="48">
        <f t="shared" ref="AL468:AL497" si="146">AVERAGE(AJ468,AK468)</f>
        <v>123</v>
      </c>
      <c r="AM468" s="14"/>
      <c r="AN468" s="14"/>
      <c r="AO468" s="14"/>
      <c r="AP468" s="48"/>
      <c r="AQ468" s="14"/>
      <c r="AR468" s="14"/>
      <c r="AS468" s="14"/>
      <c r="AT468" s="48"/>
      <c r="AU468" s="14"/>
      <c r="AV468" s="14"/>
      <c r="AW468" s="14"/>
      <c r="AX468" s="49"/>
    </row>
    <row r="469" spans="1:50" ht="10.199999999999999" customHeight="1" x14ac:dyDescent="0.25">
      <c r="A469" s="14">
        <v>10</v>
      </c>
      <c r="B469" s="103">
        <v>38785</v>
      </c>
      <c r="C469" s="103">
        <v>38778</v>
      </c>
      <c r="D469" s="14"/>
      <c r="E469" s="14"/>
      <c r="F469" s="48"/>
      <c r="G469" s="14"/>
      <c r="H469" s="14"/>
      <c r="I469" s="14"/>
      <c r="J469" s="48"/>
      <c r="K469" s="14"/>
      <c r="L469" s="14">
        <v>-8</v>
      </c>
      <c r="M469" s="14">
        <v>-100</v>
      </c>
      <c r="N469" s="48">
        <f t="shared" si="140"/>
        <v>-54</v>
      </c>
      <c r="O469" s="14"/>
      <c r="P469" s="14">
        <v>-26</v>
      </c>
      <c r="Q469" s="14">
        <v>-125</v>
      </c>
      <c r="R469" s="48">
        <f t="shared" si="141"/>
        <v>-75.5</v>
      </c>
      <c r="S469" s="14"/>
      <c r="T469" s="14">
        <v>-35</v>
      </c>
      <c r="U469" s="14">
        <v>-125</v>
      </c>
      <c r="V469" s="48">
        <f t="shared" si="142"/>
        <v>-80</v>
      </c>
      <c r="W469" s="14"/>
      <c r="X469" s="14">
        <v>-6</v>
      </c>
      <c r="Y469" s="14">
        <v>-33</v>
      </c>
      <c r="Z469" s="48">
        <f t="shared" si="143"/>
        <v>-19.5</v>
      </c>
      <c r="AA469" s="14"/>
      <c r="AB469" s="14">
        <v>23</v>
      </c>
      <c r="AC469" s="14">
        <v>-16</v>
      </c>
      <c r="AD469" s="48">
        <f t="shared" si="144"/>
        <v>3.5</v>
      </c>
      <c r="AE469" s="14"/>
      <c r="AF469" s="14">
        <v>81</v>
      </c>
      <c r="AG469" s="14">
        <v>113</v>
      </c>
      <c r="AH469" s="48">
        <f t="shared" si="145"/>
        <v>97</v>
      </c>
      <c r="AI469" s="14"/>
      <c r="AJ469" s="14">
        <v>108</v>
      </c>
      <c r="AK469" s="14">
        <v>166</v>
      </c>
      <c r="AL469" s="48">
        <f t="shared" si="146"/>
        <v>137</v>
      </c>
      <c r="AM469" s="14"/>
      <c r="AN469" s="14"/>
      <c r="AO469" s="14"/>
      <c r="AP469" s="48"/>
      <c r="AQ469" s="14"/>
      <c r="AR469" s="14"/>
      <c r="AS469" s="14"/>
      <c r="AT469" s="48"/>
      <c r="AU469" s="14"/>
      <c r="AV469" s="14"/>
      <c r="AW469" s="14"/>
      <c r="AX469" s="49"/>
    </row>
    <row r="470" spans="1:50" ht="10.199999999999999" customHeight="1" x14ac:dyDescent="0.25">
      <c r="A470" s="14">
        <v>11</v>
      </c>
      <c r="B470" s="103">
        <v>38792</v>
      </c>
      <c r="C470" s="103">
        <v>38785</v>
      </c>
      <c r="D470" s="14"/>
      <c r="E470" s="14"/>
      <c r="F470" s="48"/>
      <c r="G470" s="14"/>
      <c r="H470" s="14"/>
      <c r="I470" s="14"/>
      <c r="J470" s="48"/>
      <c r="K470" s="14"/>
      <c r="L470" s="14">
        <v>-63</v>
      </c>
      <c r="M470" s="14"/>
      <c r="N470" s="48">
        <f t="shared" si="140"/>
        <v>-63</v>
      </c>
      <c r="O470" s="14"/>
      <c r="P470" s="14">
        <v>-63</v>
      </c>
      <c r="Q470" s="14">
        <v>-175</v>
      </c>
      <c r="R470" s="48">
        <f t="shared" si="141"/>
        <v>-119</v>
      </c>
      <c r="S470" s="14"/>
      <c r="T470" s="14">
        <v>-63</v>
      </c>
      <c r="U470" s="14">
        <v>-142</v>
      </c>
      <c r="V470" s="48">
        <f t="shared" si="142"/>
        <v>-102.5</v>
      </c>
      <c r="W470" s="14"/>
      <c r="X470" s="14">
        <v>-25</v>
      </c>
      <c r="Y470" s="14">
        <v>-33</v>
      </c>
      <c r="Z470" s="48">
        <f t="shared" si="143"/>
        <v>-29</v>
      </c>
      <c r="AA470" s="14"/>
      <c r="AB470" s="14">
        <v>17</v>
      </c>
      <c r="AC470" s="14">
        <v>16</v>
      </c>
      <c r="AD470" s="48">
        <f t="shared" si="144"/>
        <v>16.5</v>
      </c>
      <c r="AE470" s="14"/>
      <c r="AF470" s="14">
        <v>81</v>
      </c>
      <c r="AG470" s="14">
        <v>113</v>
      </c>
      <c r="AH470" s="48">
        <f t="shared" si="145"/>
        <v>97</v>
      </c>
      <c r="AI470" s="14"/>
      <c r="AJ470" s="14">
        <v>108</v>
      </c>
      <c r="AK470" s="14">
        <v>166</v>
      </c>
      <c r="AL470" s="48">
        <f t="shared" si="146"/>
        <v>137</v>
      </c>
      <c r="AM470" s="14"/>
      <c r="AN470" s="14"/>
      <c r="AO470" s="14"/>
      <c r="AP470" s="48"/>
      <c r="AQ470" s="14"/>
      <c r="AR470" s="14"/>
      <c r="AS470" s="14"/>
      <c r="AT470" s="48"/>
      <c r="AU470" s="14"/>
      <c r="AV470" s="14"/>
      <c r="AW470" s="14"/>
      <c r="AX470" s="49"/>
    </row>
    <row r="471" spans="1:50" ht="10.199999999999999" customHeight="1" x14ac:dyDescent="0.25">
      <c r="A471" s="14">
        <v>12</v>
      </c>
      <c r="B471" s="103">
        <v>38799</v>
      </c>
      <c r="C471" s="103">
        <v>38792</v>
      </c>
      <c r="D471" s="14"/>
      <c r="E471" s="14"/>
      <c r="F471" s="48"/>
      <c r="G471" s="14"/>
      <c r="H471" s="14"/>
      <c r="I471" s="14"/>
      <c r="J471" s="48"/>
      <c r="K471" s="14"/>
      <c r="L471" s="14">
        <v>-50</v>
      </c>
      <c r="M471" s="14"/>
      <c r="N471" s="48">
        <f t="shared" si="140"/>
        <v>-50</v>
      </c>
      <c r="O471" s="14"/>
      <c r="P471" s="14">
        <v>-81</v>
      </c>
      <c r="Q471" s="14">
        <v>-169</v>
      </c>
      <c r="R471" s="48">
        <f t="shared" si="141"/>
        <v>-125</v>
      </c>
      <c r="S471" s="14"/>
      <c r="T471" s="14">
        <v>-62</v>
      </c>
      <c r="U471" s="14">
        <v>-163</v>
      </c>
      <c r="V471" s="48">
        <f t="shared" si="142"/>
        <v>-112.5</v>
      </c>
      <c r="W471" s="14"/>
      <c r="X471" s="14">
        <v>-13</v>
      </c>
      <c r="Y471" s="14">
        <v>-50</v>
      </c>
      <c r="Z471" s="48">
        <f t="shared" si="143"/>
        <v>-31.5</v>
      </c>
      <c r="AA471" s="14"/>
      <c r="AB471" s="14">
        <v>23</v>
      </c>
      <c r="AC471" s="14">
        <v>22</v>
      </c>
      <c r="AD471" s="48">
        <f t="shared" si="144"/>
        <v>22.5</v>
      </c>
      <c r="AE471" s="14"/>
      <c r="AF471" s="14">
        <v>81</v>
      </c>
      <c r="AG471" s="14">
        <v>129</v>
      </c>
      <c r="AH471" s="48">
        <f t="shared" si="145"/>
        <v>105</v>
      </c>
      <c r="AI471" s="14"/>
      <c r="AJ471" s="14">
        <v>108</v>
      </c>
      <c r="AK471" s="14">
        <v>175</v>
      </c>
      <c r="AL471" s="48">
        <f t="shared" si="146"/>
        <v>141.5</v>
      </c>
      <c r="AM471" s="14"/>
      <c r="AN471" s="14"/>
      <c r="AO471" s="14"/>
      <c r="AP471" s="48"/>
      <c r="AQ471" s="14"/>
      <c r="AR471" s="14"/>
      <c r="AS471" s="14"/>
      <c r="AT471" s="48"/>
      <c r="AU471" s="14"/>
      <c r="AV471" s="14"/>
      <c r="AW471" s="14"/>
      <c r="AX471" s="49"/>
    </row>
    <row r="472" spans="1:50" ht="10.199999999999999" customHeight="1" x14ac:dyDescent="0.25">
      <c r="A472" s="14">
        <v>13</v>
      </c>
      <c r="B472" s="103">
        <v>38806</v>
      </c>
      <c r="C472" s="103">
        <v>38799</v>
      </c>
      <c r="D472" s="14"/>
      <c r="E472" s="14"/>
      <c r="F472" s="48"/>
      <c r="G472" s="14"/>
      <c r="H472" s="14"/>
      <c r="I472" s="14"/>
      <c r="J472" s="48"/>
      <c r="K472" s="14"/>
      <c r="L472" s="14"/>
      <c r="M472" s="14"/>
      <c r="N472" s="48"/>
      <c r="O472" s="14"/>
      <c r="P472" s="14">
        <v>-150</v>
      </c>
      <c r="Q472" s="14">
        <v>-150</v>
      </c>
      <c r="R472" s="48">
        <f t="shared" si="141"/>
        <v>-150</v>
      </c>
      <c r="S472" s="14"/>
      <c r="T472" s="14">
        <v>-88</v>
      </c>
      <c r="U472" s="14">
        <v>-169</v>
      </c>
      <c r="V472" s="48">
        <f t="shared" si="142"/>
        <v>-128.5</v>
      </c>
      <c r="W472" s="14"/>
      <c r="X472" s="14">
        <v>-8</v>
      </c>
      <c r="Y472" s="14">
        <v>-46</v>
      </c>
      <c r="Z472" s="48">
        <f t="shared" si="143"/>
        <v>-27</v>
      </c>
      <c r="AA472" s="14"/>
      <c r="AB472" s="14">
        <v>38</v>
      </c>
      <c r="AC472" s="14">
        <v>28</v>
      </c>
      <c r="AD472" s="48">
        <f t="shared" si="144"/>
        <v>33</v>
      </c>
      <c r="AE472" s="14"/>
      <c r="AF472" s="14">
        <v>85</v>
      </c>
      <c r="AG472" s="14">
        <v>129</v>
      </c>
      <c r="AH472" s="48">
        <f t="shared" si="145"/>
        <v>107</v>
      </c>
      <c r="AI472" s="14"/>
      <c r="AJ472" s="14">
        <v>204</v>
      </c>
      <c r="AK472" s="14">
        <v>238</v>
      </c>
      <c r="AL472" s="48">
        <f t="shared" si="146"/>
        <v>221</v>
      </c>
      <c r="AM472" s="14"/>
      <c r="AN472" s="14"/>
      <c r="AO472" s="14">
        <v>300</v>
      </c>
      <c r="AP472" s="48">
        <f t="shared" ref="AP472:AP501" si="147">AVERAGE(AN472,AO472)</f>
        <v>300</v>
      </c>
      <c r="AQ472" s="14"/>
      <c r="AR472" s="14"/>
      <c r="AS472" s="14"/>
      <c r="AT472" s="48"/>
      <c r="AU472" s="14"/>
      <c r="AV472" s="14"/>
      <c r="AW472" s="14"/>
      <c r="AX472" s="49"/>
    </row>
    <row r="473" spans="1:50" ht="10.199999999999999" customHeight="1" x14ac:dyDescent="0.25">
      <c r="A473" s="14">
        <v>14</v>
      </c>
      <c r="B473" s="103">
        <v>38813</v>
      </c>
      <c r="C473" s="103">
        <v>38806</v>
      </c>
      <c r="D473" s="14"/>
      <c r="E473" s="14"/>
      <c r="F473" s="48"/>
      <c r="G473" s="14"/>
      <c r="H473" s="14"/>
      <c r="I473" s="14"/>
      <c r="J473" s="48"/>
      <c r="K473" s="14"/>
      <c r="L473" s="14"/>
      <c r="M473" s="14"/>
      <c r="N473" s="48"/>
      <c r="O473" s="14"/>
      <c r="P473" s="14">
        <v>-113</v>
      </c>
      <c r="Q473" s="14">
        <v>-169</v>
      </c>
      <c r="R473" s="48">
        <f t="shared" si="141"/>
        <v>-141</v>
      </c>
      <c r="S473" s="14"/>
      <c r="T473" s="14">
        <v>-117</v>
      </c>
      <c r="U473" s="14">
        <v>-169</v>
      </c>
      <c r="V473" s="48">
        <f t="shared" si="142"/>
        <v>-143</v>
      </c>
      <c r="W473" s="14"/>
      <c r="X473" s="14">
        <v>-8</v>
      </c>
      <c r="Y473" s="14">
        <v>-46</v>
      </c>
      <c r="Z473" s="48">
        <f t="shared" si="143"/>
        <v>-27</v>
      </c>
      <c r="AA473" s="14"/>
      <c r="AB473" s="14">
        <v>38</v>
      </c>
      <c r="AC473" s="14">
        <v>28</v>
      </c>
      <c r="AD473" s="48">
        <f t="shared" si="144"/>
        <v>33</v>
      </c>
      <c r="AE473" s="14"/>
      <c r="AF473" s="14">
        <v>85</v>
      </c>
      <c r="AG473" s="14">
        <v>129</v>
      </c>
      <c r="AH473" s="48">
        <f t="shared" si="145"/>
        <v>107</v>
      </c>
      <c r="AI473" s="14"/>
      <c r="AJ473" s="14">
        <v>204</v>
      </c>
      <c r="AK473" s="14">
        <v>250</v>
      </c>
      <c r="AL473" s="48">
        <f t="shared" si="146"/>
        <v>227</v>
      </c>
      <c r="AM473" s="14"/>
      <c r="AN473" s="14"/>
      <c r="AO473" s="14">
        <v>300</v>
      </c>
      <c r="AP473" s="48">
        <f t="shared" si="147"/>
        <v>300</v>
      </c>
      <c r="AQ473" s="14"/>
      <c r="AR473" s="14"/>
      <c r="AS473" s="14"/>
      <c r="AT473" s="48"/>
      <c r="AU473" s="14"/>
      <c r="AV473" s="14"/>
      <c r="AW473" s="14"/>
      <c r="AX473" s="49"/>
    </row>
    <row r="474" spans="1:50" ht="10.199999999999999" customHeight="1" x14ac:dyDescent="0.25">
      <c r="A474" s="14">
        <v>15</v>
      </c>
      <c r="B474" s="103">
        <v>38820</v>
      </c>
      <c r="C474" s="103">
        <v>38813</v>
      </c>
      <c r="D474" s="14"/>
      <c r="E474" s="14"/>
      <c r="F474" s="48"/>
      <c r="G474" s="14"/>
      <c r="H474" s="14"/>
      <c r="I474" s="14"/>
      <c r="J474" s="48"/>
      <c r="K474" s="14"/>
      <c r="L474" s="14"/>
      <c r="M474" s="14"/>
      <c r="N474" s="48"/>
      <c r="O474" s="14"/>
      <c r="P474" s="14">
        <v>-169</v>
      </c>
      <c r="Q474" s="14">
        <v>-150</v>
      </c>
      <c r="R474" s="48">
        <f t="shared" si="141"/>
        <v>-159.5</v>
      </c>
      <c r="S474" s="14"/>
      <c r="T474" s="14">
        <v>-142</v>
      </c>
      <c r="U474" s="14">
        <v>-104</v>
      </c>
      <c r="V474" s="48">
        <f t="shared" si="142"/>
        <v>-123</v>
      </c>
      <c r="W474" s="14"/>
      <c r="X474" s="14">
        <v>-22</v>
      </c>
      <c r="Y474" s="14">
        <v>-13</v>
      </c>
      <c r="Z474" s="48">
        <f t="shared" si="143"/>
        <v>-17.5</v>
      </c>
      <c r="AA474" s="14"/>
      <c r="AB474" s="14">
        <v>38</v>
      </c>
      <c r="AC474" s="14">
        <v>34</v>
      </c>
      <c r="AD474" s="48">
        <f t="shared" si="144"/>
        <v>36</v>
      </c>
      <c r="AE474" s="14"/>
      <c r="AF474" s="14">
        <v>98</v>
      </c>
      <c r="AG474" s="14">
        <v>110</v>
      </c>
      <c r="AH474" s="48">
        <f t="shared" si="145"/>
        <v>104</v>
      </c>
      <c r="AI474" s="14"/>
      <c r="AJ474" s="14">
        <v>172</v>
      </c>
      <c r="AK474" s="14">
        <v>263</v>
      </c>
      <c r="AL474" s="48">
        <f t="shared" si="146"/>
        <v>217.5</v>
      </c>
      <c r="AM474" s="14"/>
      <c r="AN474" s="14"/>
      <c r="AO474" s="14">
        <v>300</v>
      </c>
      <c r="AP474" s="48">
        <f t="shared" si="147"/>
        <v>300</v>
      </c>
      <c r="AQ474" s="14"/>
      <c r="AR474" s="14"/>
      <c r="AS474" s="14"/>
      <c r="AT474" s="48"/>
      <c r="AU474" s="14"/>
      <c r="AV474" s="14"/>
      <c r="AW474" s="14"/>
      <c r="AX474" s="49"/>
    </row>
    <row r="475" spans="1:50" ht="10.199999999999999" customHeight="1" x14ac:dyDescent="0.25">
      <c r="A475" s="14">
        <v>16</v>
      </c>
      <c r="B475" s="103">
        <v>38827</v>
      </c>
      <c r="C475" s="103">
        <v>38820</v>
      </c>
      <c r="D475" s="14"/>
      <c r="E475" s="14"/>
      <c r="F475" s="48"/>
      <c r="G475" s="14"/>
      <c r="H475" s="14"/>
      <c r="I475" s="14"/>
      <c r="J475" s="48"/>
      <c r="K475" s="14"/>
      <c r="L475" s="14"/>
      <c r="M475" s="14"/>
      <c r="N475" s="48"/>
      <c r="O475" s="14"/>
      <c r="P475" s="14">
        <v>-150</v>
      </c>
      <c r="Q475" s="14">
        <v>-25</v>
      </c>
      <c r="R475" s="48">
        <f t="shared" si="141"/>
        <v>-87.5</v>
      </c>
      <c r="S475" s="14"/>
      <c r="T475" s="14">
        <v>-126</v>
      </c>
      <c r="U475" s="14">
        <v>1</v>
      </c>
      <c r="V475" s="48">
        <f t="shared" si="142"/>
        <v>-62.5</v>
      </c>
      <c r="W475" s="14"/>
      <c r="X475" s="14">
        <v>0</v>
      </c>
      <c r="Y475" s="14">
        <v>17</v>
      </c>
      <c r="Z475" s="48">
        <f t="shared" si="143"/>
        <v>8.5</v>
      </c>
      <c r="AA475" s="14"/>
      <c r="AB475" s="14">
        <v>75</v>
      </c>
      <c r="AC475" s="14">
        <v>56</v>
      </c>
      <c r="AD475" s="48">
        <f t="shared" si="144"/>
        <v>65.5</v>
      </c>
      <c r="AE475" s="14"/>
      <c r="AF475" s="14">
        <v>156</v>
      </c>
      <c r="AG475" s="14">
        <v>135</v>
      </c>
      <c r="AH475" s="48">
        <f t="shared" si="145"/>
        <v>145.5</v>
      </c>
      <c r="AI475" s="14"/>
      <c r="AJ475" s="14">
        <v>189</v>
      </c>
      <c r="AK475" s="14">
        <v>267</v>
      </c>
      <c r="AL475" s="48">
        <f t="shared" si="146"/>
        <v>228</v>
      </c>
      <c r="AM475" s="14"/>
      <c r="AN475" s="14"/>
      <c r="AO475" s="14">
        <v>400</v>
      </c>
      <c r="AP475" s="48">
        <f t="shared" si="147"/>
        <v>400</v>
      </c>
      <c r="AQ475" s="14"/>
      <c r="AR475" s="14"/>
      <c r="AS475" s="14"/>
      <c r="AT475" s="48"/>
      <c r="AU475" s="14"/>
      <c r="AV475" s="14"/>
      <c r="AW475" s="14"/>
      <c r="AX475" s="49"/>
    </row>
    <row r="476" spans="1:50" ht="10.199999999999999" customHeight="1" x14ac:dyDescent="0.25">
      <c r="A476" s="14">
        <v>17</v>
      </c>
      <c r="B476" s="103">
        <v>38834</v>
      </c>
      <c r="C476" s="103">
        <v>38827</v>
      </c>
      <c r="D476" s="14"/>
      <c r="E476" s="14"/>
      <c r="F476" s="48"/>
      <c r="G476" s="14"/>
      <c r="H476" s="14"/>
      <c r="I476" s="14"/>
      <c r="J476" s="48"/>
      <c r="K476" s="14"/>
      <c r="L476" s="14"/>
      <c r="M476" s="14"/>
      <c r="N476" s="48"/>
      <c r="O476" s="14"/>
      <c r="P476" s="14">
        <v>-150</v>
      </c>
      <c r="Q476" s="14">
        <v>-75</v>
      </c>
      <c r="R476" s="48">
        <f t="shared" si="141"/>
        <v>-112.5</v>
      </c>
      <c r="S476" s="14"/>
      <c r="T476" s="14">
        <v>-129</v>
      </c>
      <c r="U476" s="14">
        <v>4</v>
      </c>
      <c r="V476" s="48">
        <f t="shared" si="142"/>
        <v>-62.5</v>
      </c>
      <c r="W476" s="14"/>
      <c r="X476" s="14">
        <v>17</v>
      </c>
      <c r="Y476" s="14">
        <v>6</v>
      </c>
      <c r="Z476" s="48">
        <f t="shared" si="143"/>
        <v>11.5</v>
      </c>
      <c r="AA476" s="14"/>
      <c r="AB476" s="14">
        <v>83</v>
      </c>
      <c r="AC476" s="14">
        <v>56</v>
      </c>
      <c r="AD476" s="48">
        <f t="shared" si="144"/>
        <v>69.5</v>
      </c>
      <c r="AE476" s="14"/>
      <c r="AF476" s="14">
        <v>156</v>
      </c>
      <c r="AG476" s="14">
        <v>153</v>
      </c>
      <c r="AH476" s="48">
        <f t="shared" si="145"/>
        <v>154.5</v>
      </c>
      <c r="AI476" s="14"/>
      <c r="AJ476" s="14">
        <v>133</v>
      </c>
      <c r="AK476" s="14">
        <v>258</v>
      </c>
      <c r="AL476" s="48">
        <f t="shared" si="146"/>
        <v>195.5</v>
      </c>
      <c r="AM476" s="14"/>
      <c r="AN476" s="14"/>
      <c r="AO476" s="14">
        <v>400</v>
      </c>
      <c r="AP476" s="48">
        <f t="shared" si="147"/>
        <v>400</v>
      </c>
      <c r="AQ476" s="14"/>
      <c r="AR476" s="14"/>
      <c r="AS476" s="14"/>
      <c r="AT476" s="48"/>
      <c r="AU476" s="14"/>
      <c r="AV476" s="14"/>
      <c r="AW476" s="14"/>
      <c r="AX476" s="49"/>
    </row>
    <row r="477" spans="1:50" ht="10.199999999999999" customHeight="1" x14ac:dyDescent="0.25">
      <c r="A477" s="14">
        <v>18</v>
      </c>
      <c r="B477" s="103">
        <v>38841</v>
      </c>
      <c r="C477" s="103">
        <v>38834</v>
      </c>
      <c r="D477" s="14"/>
      <c r="E477" s="14"/>
      <c r="F477" s="48"/>
      <c r="G477" s="14"/>
      <c r="H477" s="14"/>
      <c r="I477" s="14"/>
      <c r="J477" s="48"/>
      <c r="K477" s="14"/>
      <c r="L477" s="14"/>
      <c r="M477" s="14"/>
      <c r="N477" s="48"/>
      <c r="O477" s="14"/>
      <c r="P477" s="14"/>
      <c r="Q477" s="14"/>
      <c r="R477" s="48"/>
      <c r="S477" s="14"/>
      <c r="T477" s="14">
        <v>-149</v>
      </c>
      <c r="U477" s="14">
        <v>-2</v>
      </c>
      <c r="V477" s="48">
        <f t="shared" si="142"/>
        <v>-75.5</v>
      </c>
      <c r="W477" s="14"/>
      <c r="X477" s="14">
        <v>-13</v>
      </c>
      <c r="Y477" s="14">
        <v>3</v>
      </c>
      <c r="Z477" s="48">
        <f t="shared" si="143"/>
        <v>-5</v>
      </c>
      <c r="AA477" s="14"/>
      <c r="AB477" s="14">
        <v>69</v>
      </c>
      <c r="AC477" s="14">
        <v>56</v>
      </c>
      <c r="AD477" s="48">
        <f t="shared" si="144"/>
        <v>62.5</v>
      </c>
      <c r="AE477" s="14"/>
      <c r="AF477" s="14">
        <v>150</v>
      </c>
      <c r="AG477" s="14">
        <v>153</v>
      </c>
      <c r="AH477" s="48">
        <f t="shared" si="145"/>
        <v>151.5</v>
      </c>
      <c r="AI477" s="14"/>
      <c r="AJ477" s="14">
        <v>221</v>
      </c>
      <c r="AK477" s="14">
        <v>258</v>
      </c>
      <c r="AL477" s="48">
        <f t="shared" si="146"/>
        <v>239.5</v>
      </c>
      <c r="AM477" s="14"/>
      <c r="AN477" s="14"/>
      <c r="AO477" s="14">
        <v>425</v>
      </c>
      <c r="AP477" s="48">
        <f t="shared" si="147"/>
        <v>425</v>
      </c>
      <c r="AQ477" s="14"/>
      <c r="AR477" s="14"/>
      <c r="AS477" s="14">
        <v>263</v>
      </c>
      <c r="AT477" s="48">
        <f t="shared" ref="AT477:AT505" si="148">AVERAGE(AR477,AS477)</f>
        <v>263</v>
      </c>
      <c r="AU477" s="14"/>
      <c r="AV477" s="14"/>
      <c r="AW477" s="14"/>
      <c r="AX477" s="49"/>
    </row>
    <row r="478" spans="1:50" ht="10.199999999999999" customHeight="1" x14ac:dyDescent="0.25">
      <c r="A478" s="14">
        <v>19</v>
      </c>
      <c r="B478" s="103">
        <v>38848</v>
      </c>
      <c r="C478" s="103">
        <v>38841</v>
      </c>
      <c r="D478" s="14"/>
      <c r="E478" s="14"/>
      <c r="F478" s="48"/>
      <c r="G478" s="14"/>
      <c r="H478" s="14"/>
      <c r="I478" s="14"/>
      <c r="J478" s="48"/>
      <c r="K478" s="14"/>
      <c r="L478" s="14"/>
      <c r="M478" s="14"/>
      <c r="N478" s="48"/>
      <c r="O478" s="14"/>
      <c r="P478" s="14"/>
      <c r="Q478" s="14"/>
      <c r="R478" s="48"/>
      <c r="S478" s="14"/>
      <c r="T478" s="14">
        <v>-150</v>
      </c>
      <c r="U478" s="14">
        <v>38</v>
      </c>
      <c r="V478" s="48">
        <f t="shared" si="142"/>
        <v>-56</v>
      </c>
      <c r="W478" s="14"/>
      <c r="X478" s="14">
        <v>-45</v>
      </c>
      <c r="Y478" s="14">
        <v>19</v>
      </c>
      <c r="Z478" s="48">
        <f t="shared" si="143"/>
        <v>-13</v>
      </c>
      <c r="AA478" s="14"/>
      <c r="AB478" s="14">
        <v>69</v>
      </c>
      <c r="AC478" s="14">
        <v>63</v>
      </c>
      <c r="AD478" s="48">
        <f t="shared" si="144"/>
        <v>66</v>
      </c>
      <c r="AE478" s="14"/>
      <c r="AF478" s="14">
        <v>167</v>
      </c>
      <c r="AG478" s="14">
        <v>172</v>
      </c>
      <c r="AH478" s="48">
        <f t="shared" si="145"/>
        <v>169.5</v>
      </c>
      <c r="AI478" s="14"/>
      <c r="AJ478" s="14">
        <v>217</v>
      </c>
      <c r="AK478" s="14">
        <v>269</v>
      </c>
      <c r="AL478" s="48">
        <f t="shared" si="146"/>
        <v>243</v>
      </c>
      <c r="AM478" s="14"/>
      <c r="AN478" s="14"/>
      <c r="AO478" s="14">
        <v>425</v>
      </c>
      <c r="AP478" s="48">
        <f t="shared" si="147"/>
        <v>425</v>
      </c>
      <c r="AQ478" s="14"/>
      <c r="AR478" s="14"/>
      <c r="AS478" s="14">
        <v>263</v>
      </c>
      <c r="AT478" s="48">
        <f t="shared" si="148"/>
        <v>263</v>
      </c>
      <c r="AU478" s="14"/>
      <c r="AV478" s="14"/>
      <c r="AW478" s="14"/>
      <c r="AX478" s="49"/>
    </row>
    <row r="479" spans="1:50" ht="10.199999999999999" customHeight="1" x14ac:dyDescent="0.25">
      <c r="A479" s="14">
        <v>20</v>
      </c>
      <c r="B479" s="103">
        <v>38855</v>
      </c>
      <c r="C479" s="103">
        <v>38848</v>
      </c>
      <c r="D479" s="14"/>
      <c r="E479" s="14"/>
      <c r="F479" s="48"/>
      <c r="G479" s="14"/>
      <c r="H479" s="14"/>
      <c r="I479" s="14"/>
      <c r="J479" s="48"/>
      <c r="K479" s="14"/>
      <c r="L479" s="14"/>
      <c r="M479" s="14"/>
      <c r="N479" s="48"/>
      <c r="O479" s="14"/>
      <c r="P479" s="14"/>
      <c r="Q479" s="14"/>
      <c r="R479" s="48"/>
      <c r="S479" s="14"/>
      <c r="T479" s="14">
        <v>-158</v>
      </c>
      <c r="U479" s="14"/>
      <c r="V479" s="48">
        <f t="shared" si="142"/>
        <v>-158</v>
      </c>
      <c r="W479" s="14"/>
      <c r="X479" s="14">
        <v>-81</v>
      </c>
      <c r="Y479" s="14">
        <v>33</v>
      </c>
      <c r="Z479" s="48">
        <f t="shared" si="143"/>
        <v>-24</v>
      </c>
      <c r="AA479" s="14"/>
      <c r="AB479" s="14">
        <v>69</v>
      </c>
      <c r="AC479" s="14">
        <v>85</v>
      </c>
      <c r="AD479" s="48">
        <f t="shared" si="144"/>
        <v>77</v>
      </c>
      <c r="AE479" s="14"/>
      <c r="AF479" s="14">
        <v>154</v>
      </c>
      <c r="AG479" s="14">
        <v>181</v>
      </c>
      <c r="AH479" s="48">
        <f t="shared" si="145"/>
        <v>167.5</v>
      </c>
      <c r="AI479" s="14"/>
      <c r="AJ479" s="14">
        <v>263</v>
      </c>
      <c r="AK479" s="14">
        <v>281</v>
      </c>
      <c r="AL479" s="48">
        <f t="shared" si="146"/>
        <v>272</v>
      </c>
      <c r="AM479" s="14"/>
      <c r="AN479" s="14"/>
      <c r="AO479" s="14">
        <v>425</v>
      </c>
      <c r="AP479" s="48">
        <f t="shared" si="147"/>
        <v>425</v>
      </c>
      <c r="AQ479" s="14"/>
      <c r="AR479" s="14"/>
      <c r="AS479" s="14">
        <v>263</v>
      </c>
      <c r="AT479" s="48">
        <f t="shared" si="148"/>
        <v>263</v>
      </c>
      <c r="AU479" s="14"/>
      <c r="AV479" s="14"/>
      <c r="AW479" s="14"/>
      <c r="AX479" s="49"/>
    </row>
    <row r="480" spans="1:50" ht="10.199999999999999" customHeight="1" x14ac:dyDescent="0.25">
      <c r="A480" s="14">
        <v>21</v>
      </c>
      <c r="B480" s="103">
        <v>38862</v>
      </c>
      <c r="C480" s="103">
        <v>38855</v>
      </c>
      <c r="D480" s="14"/>
      <c r="E480" s="14"/>
      <c r="F480" s="48"/>
      <c r="G480" s="14"/>
      <c r="H480" s="14"/>
      <c r="I480" s="14"/>
      <c r="J480" s="48"/>
      <c r="K480" s="14"/>
      <c r="L480" s="14"/>
      <c r="M480" s="14"/>
      <c r="N480" s="48"/>
      <c r="O480" s="14"/>
      <c r="P480" s="14"/>
      <c r="Q480" s="14"/>
      <c r="R480" s="48"/>
      <c r="S480" s="14"/>
      <c r="T480" s="14">
        <v>0</v>
      </c>
      <c r="U480" s="14"/>
      <c r="V480" s="48">
        <f t="shared" si="142"/>
        <v>0</v>
      </c>
      <c r="W480" s="14"/>
      <c r="X480" s="14">
        <v>24</v>
      </c>
      <c r="Y480" s="14">
        <v>-8</v>
      </c>
      <c r="Z480" s="48">
        <f t="shared" si="143"/>
        <v>8</v>
      </c>
      <c r="AA480" s="14"/>
      <c r="AB480" s="14">
        <v>78</v>
      </c>
      <c r="AC480" s="14">
        <v>82</v>
      </c>
      <c r="AD480" s="48">
        <f t="shared" si="144"/>
        <v>80</v>
      </c>
      <c r="AE480" s="14"/>
      <c r="AF480" s="14">
        <v>250</v>
      </c>
      <c r="AG480" s="14">
        <v>213</v>
      </c>
      <c r="AH480" s="48">
        <f t="shared" si="145"/>
        <v>231.5</v>
      </c>
      <c r="AI480" s="14"/>
      <c r="AJ480" s="14">
        <v>400</v>
      </c>
      <c r="AK480" s="14">
        <v>321</v>
      </c>
      <c r="AL480" s="48">
        <f t="shared" si="146"/>
        <v>360.5</v>
      </c>
      <c r="AM480" s="14"/>
      <c r="AN480" s="14"/>
      <c r="AO480" s="14">
        <v>350</v>
      </c>
      <c r="AP480" s="48">
        <f t="shared" si="147"/>
        <v>350</v>
      </c>
      <c r="AQ480" s="14"/>
      <c r="AR480" s="14"/>
      <c r="AS480" s="14">
        <v>238</v>
      </c>
      <c r="AT480" s="48">
        <f t="shared" si="148"/>
        <v>238</v>
      </c>
      <c r="AU480" s="14"/>
      <c r="AV480" s="14"/>
      <c r="AW480" s="14"/>
      <c r="AX480" s="49"/>
    </row>
    <row r="481" spans="1:50" ht="10.199999999999999" customHeight="1" x14ac:dyDescent="0.25">
      <c r="A481" s="14">
        <v>22</v>
      </c>
      <c r="B481" s="103">
        <v>38869</v>
      </c>
      <c r="C481" s="103">
        <v>38862</v>
      </c>
      <c r="D481" s="14"/>
      <c r="E481" s="14"/>
      <c r="F481" s="48"/>
      <c r="G481" s="14"/>
      <c r="H481" s="14"/>
      <c r="I481" s="14"/>
      <c r="J481" s="48"/>
      <c r="K481" s="14"/>
      <c r="L481" s="14"/>
      <c r="M481" s="14"/>
      <c r="N481" s="48"/>
      <c r="O481" s="14"/>
      <c r="P481" s="14"/>
      <c r="Q481" s="14"/>
      <c r="R481" s="48"/>
      <c r="S481" s="14"/>
      <c r="T481" s="14"/>
      <c r="U481" s="14"/>
      <c r="V481" s="48"/>
      <c r="W481" s="14"/>
      <c r="X481" s="14">
        <v>13</v>
      </c>
      <c r="Y481" s="14">
        <v>-31</v>
      </c>
      <c r="Z481" s="48">
        <f t="shared" si="143"/>
        <v>-9</v>
      </c>
      <c r="AA481" s="14"/>
      <c r="AB481" s="14">
        <v>75</v>
      </c>
      <c r="AC481" s="14">
        <v>71</v>
      </c>
      <c r="AD481" s="48">
        <f t="shared" si="144"/>
        <v>73</v>
      </c>
      <c r="AE481" s="14"/>
      <c r="AF481" s="14">
        <v>253</v>
      </c>
      <c r="AG481" s="14">
        <v>191</v>
      </c>
      <c r="AH481" s="48">
        <f t="shared" si="145"/>
        <v>222</v>
      </c>
      <c r="AI481" s="14"/>
      <c r="AJ481" s="14">
        <v>425</v>
      </c>
      <c r="AK481" s="14">
        <v>308</v>
      </c>
      <c r="AL481" s="48">
        <f t="shared" si="146"/>
        <v>366.5</v>
      </c>
      <c r="AM481" s="14"/>
      <c r="AN481" s="14"/>
      <c r="AO481" s="14">
        <v>325</v>
      </c>
      <c r="AP481" s="48">
        <f t="shared" si="147"/>
        <v>325</v>
      </c>
      <c r="AQ481" s="14"/>
      <c r="AR481" s="14"/>
      <c r="AS481" s="14">
        <v>238</v>
      </c>
      <c r="AT481" s="48">
        <f t="shared" si="148"/>
        <v>238</v>
      </c>
      <c r="AU481" s="14"/>
      <c r="AV481" s="14"/>
      <c r="AW481" s="14"/>
      <c r="AX481" s="49"/>
    </row>
    <row r="482" spans="1:50" ht="10.199999999999999" customHeight="1" x14ac:dyDescent="0.25">
      <c r="A482" s="14">
        <v>23</v>
      </c>
      <c r="B482" s="103">
        <v>38876</v>
      </c>
      <c r="C482" s="103">
        <v>38869</v>
      </c>
      <c r="D482" s="14"/>
      <c r="E482" s="14"/>
      <c r="F482" s="48"/>
      <c r="G482" s="14"/>
      <c r="H482" s="14"/>
      <c r="I482" s="14"/>
      <c r="J482" s="48"/>
      <c r="K482" s="14"/>
      <c r="L482" s="14"/>
      <c r="M482" s="14"/>
      <c r="N482" s="48"/>
      <c r="O482" s="14"/>
      <c r="P482" s="14"/>
      <c r="Q482" s="14"/>
      <c r="R482" s="48"/>
      <c r="S482" s="14"/>
      <c r="T482" s="14"/>
      <c r="U482" s="14"/>
      <c r="V482" s="48"/>
      <c r="W482" s="14"/>
      <c r="X482" s="14">
        <v>-54</v>
      </c>
      <c r="Y482" s="14">
        <v>-69</v>
      </c>
      <c r="Z482" s="48">
        <f t="shared" si="143"/>
        <v>-61.5</v>
      </c>
      <c r="AA482" s="14"/>
      <c r="AB482" s="14">
        <v>100</v>
      </c>
      <c r="AC482" s="14">
        <v>29</v>
      </c>
      <c r="AD482" s="48">
        <f t="shared" si="144"/>
        <v>64.5</v>
      </c>
      <c r="AE482" s="14"/>
      <c r="AF482" s="14">
        <v>150</v>
      </c>
      <c r="AG482" s="14">
        <v>171</v>
      </c>
      <c r="AH482" s="48">
        <f t="shared" si="145"/>
        <v>160.5</v>
      </c>
      <c r="AI482" s="14"/>
      <c r="AJ482" s="14">
        <v>350</v>
      </c>
      <c r="AK482" s="14">
        <v>219</v>
      </c>
      <c r="AL482" s="48">
        <f t="shared" si="146"/>
        <v>284.5</v>
      </c>
      <c r="AM482" s="14"/>
      <c r="AN482" s="14">
        <v>400</v>
      </c>
      <c r="AO482" s="14">
        <v>300</v>
      </c>
      <c r="AP482" s="48">
        <f t="shared" si="147"/>
        <v>350</v>
      </c>
      <c r="AQ482" s="14"/>
      <c r="AR482" s="14"/>
      <c r="AS482" s="14">
        <v>238</v>
      </c>
      <c r="AT482" s="48">
        <f t="shared" si="148"/>
        <v>238</v>
      </c>
      <c r="AU482" s="14"/>
      <c r="AV482" s="14"/>
      <c r="AW482" s="14"/>
      <c r="AX482" s="49"/>
    </row>
    <row r="483" spans="1:50" ht="10.199999999999999" customHeight="1" x14ac:dyDescent="0.25">
      <c r="A483" s="14">
        <v>24</v>
      </c>
      <c r="B483" s="103">
        <v>38883</v>
      </c>
      <c r="C483" s="103">
        <v>38876</v>
      </c>
      <c r="D483" s="14"/>
      <c r="E483" s="14"/>
      <c r="F483" s="48"/>
      <c r="G483" s="14"/>
      <c r="H483" s="14"/>
      <c r="I483" s="14"/>
      <c r="J483" s="48"/>
      <c r="K483" s="14"/>
      <c r="L483" s="14"/>
      <c r="M483" s="14"/>
      <c r="N483" s="48"/>
      <c r="O483" s="14"/>
      <c r="P483" s="14"/>
      <c r="Q483" s="14"/>
      <c r="R483" s="48"/>
      <c r="S483" s="14"/>
      <c r="T483" s="14"/>
      <c r="U483" s="14"/>
      <c r="V483" s="48"/>
      <c r="W483" s="14"/>
      <c r="X483" s="14">
        <v>-121</v>
      </c>
      <c r="Y483" s="14">
        <v>-25</v>
      </c>
      <c r="Z483" s="48">
        <f t="shared" si="143"/>
        <v>-73</v>
      </c>
      <c r="AA483" s="14"/>
      <c r="AB483" s="14">
        <v>13</v>
      </c>
      <c r="AC483" s="14">
        <v>-84</v>
      </c>
      <c r="AD483" s="48">
        <f t="shared" si="144"/>
        <v>-35.5</v>
      </c>
      <c r="AE483" s="14"/>
      <c r="AF483" s="14">
        <v>200</v>
      </c>
      <c r="AG483" s="14">
        <v>79</v>
      </c>
      <c r="AH483" s="48">
        <f t="shared" si="145"/>
        <v>139.5</v>
      </c>
      <c r="AI483" s="14"/>
      <c r="AJ483" s="14">
        <v>238</v>
      </c>
      <c r="AK483" s="14">
        <v>183</v>
      </c>
      <c r="AL483" s="48">
        <f t="shared" si="146"/>
        <v>210.5</v>
      </c>
      <c r="AM483" s="14"/>
      <c r="AN483" s="14">
        <v>250</v>
      </c>
      <c r="AO483" s="14">
        <v>300</v>
      </c>
      <c r="AP483" s="48">
        <f t="shared" si="147"/>
        <v>275</v>
      </c>
      <c r="AQ483" s="14"/>
      <c r="AR483" s="14"/>
      <c r="AS483" s="14">
        <v>213</v>
      </c>
      <c r="AT483" s="48">
        <f t="shared" si="148"/>
        <v>213</v>
      </c>
      <c r="AU483" s="14"/>
      <c r="AV483" s="14"/>
      <c r="AW483" s="14"/>
      <c r="AX483" s="49"/>
    </row>
    <row r="484" spans="1:50" ht="10.199999999999999" customHeight="1" x14ac:dyDescent="0.25">
      <c r="A484" s="14">
        <v>25</v>
      </c>
      <c r="B484" s="103">
        <v>38890</v>
      </c>
      <c r="C484" s="103">
        <v>38883</v>
      </c>
      <c r="D484" s="14"/>
      <c r="E484" s="14"/>
      <c r="F484" s="48"/>
      <c r="G484" s="14"/>
      <c r="H484" s="14"/>
      <c r="I484" s="14"/>
      <c r="J484" s="48"/>
      <c r="K484" s="14"/>
      <c r="L484" s="14"/>
      <c r="M484" s="14"/>
      <c r="N484" s="48"/>
      <c r="O484" s="14"/>
      <c r="P484" s="14"/>
      <c r="Q484" s="14"/>
      <c r="R484" s="48"/>
      <c r="S484" s="14"/>
      <c r="T484" s="14"/>
      <c r="U484" s="14"/>
      <c r="V484" s="48"/>
      <c r="W484" s="14"/>
      <c r="X484" s="14">
        <v>-138</v>
      </c>
      <c r="Y484" s="14"/>
      <c r="Z484" s="48">
        <f t="shared" si="143"/>
        <v>-138</v>
      </c>
      <c r="AA484" s="14"/>
      <c r="AB484" s="14">
        <v>-98</v>
      </c>
      <c r="AC484" s="14">
        <v>-117</v>
      </c>
      <c r="AD484" s="48">
        <f t="shared" si="144"/>
        <v>-107.5</v>
      </c>
      <c r="AE484" s="14"/>
      <c r="AF484" s="14">
        <v>100</v>
      </c>
      <c r="AG484" s="14">
        <v>57</v>
      </c>
      <c r="AH484" s="48">
        <f t="shared" si="145"/>
        <v>78.5</v>
      </c>
      <c r="AI484" s="14"/>
      <c r="AJ484" s="14">
        <v>188</v>
      </c>
      <c r="AK484" s="14">
        <v>138</v>
      </c>
      <c r="AL484" s="48">
        <f t="shared" si="146"/>
        <v>163</v>
      </c>
      <c r="AM484" s="14"/>
      <c r="AN484" s="14">
        <v>250</v>
      </c>
      <c r="AO484" s="14">
        <v>250</v>
      </c>
      <c r="AP484" s="48">
        <f t="shared" si="147"/>
        <v>250</v>
      </c>
      <c r="AQ484" s="14"/>
      <c r="AR484" s="14"/>
      <c r="AS484" s="14">
        <v>200</v>
      </c>
      <c r="AT484" s="48">
        <f t="shared" si="148"/>
        <v>200</v>
      </c>
      <c r="AU484" s="14"/>
      <c r="AV484" s="14"/>
      <c r="AW484" s="14"/>
      <c r="AX484" s="49"/>
    </row>
    <row r="485" spans="1:50" ht="10.199999999999999" customHeight="1" x14ac:dyDescent="0.25">
      <c r="A485" s="14">
        <v>26</v>
      </c>
      <c r="B485" s="103">
        <v>38897</v>
      </c>
      <c r="C485" s="103">
        <v>38890</v>
      </c>
      <c r="D485" s="14"/>
      <c r="E485" s="14"/>
      <c r="F485" s="48"/>
      <c r="G485" s="14"/>
      <c r="H485" s="14"/>
      <c r="I485" s="14"/>
      <c r="J485" s="48"/>
      <c r="K485" s="14"/>
      <c r="L485" s="14"/>
      <c r="M485" s="14"/>
      <c r="N485" s="48"/>
      <c r="O485" s="14"/>
      <c r="P485" s="14"/>
      <c r="Q485" s="14"/>
      <c r="R485" s="48"/>
      <c r="S485" s="14"/>
      <c r="T485" s="14"/>
      <c r="U485" s="14"/>
      <c r="V485" s="48"/>
      <c r="W485" s="14"/>
      <c r="X485" s="14"/>
      <c r="Y485" s="14"/>
      <c r="Z485" s="48"/>
      <c r="AA485" s="14"/>
      <c r="AB485" s="14">
        <v>47</v>
      </c>
      <c r="AC485" s="14">
        <v>-56</v>
      </c>
      <c r="AD485" s="48">
        <f t="shared" si="144"/>
        <v>-4.5</v>
      </c>
      <c r="AE485" s="14"/>
      <c r="AF485" s="14">
        <v>75</v>
      </c>
      <c r="AG485" s="14">
        <v>50</v>
      </c>
      <c r="AH485" s="48">
        <f t="shared" si="145"/>
        <v>62.5</v>
      </c>
      <c r="AI485" s="14"/>
      <c r="AJ485" s="14">
        <v>188</v>
      </c>
      <c r="AK485" s="14">
        <v>163</v>
      </c>
      <c r="AL485" s="48">
        <f t="shared" si="146"/>
        <v>175.5</v>
      </c>
      <c r="AM485" s="14"/>
      <c r="AN485" s="14">
        <v>325</v>
      </c>
      <c r="AO485" s="14">
        <v>317</v>
      </c>
      <c r="AP485" s="48">
        <f t="shared" si="147"/>
        <v>321</v>
      </c>
      <c r="AQ485" s="14"/>
      <c r="AR485" s="14">
        <v>400</v>
      </c>
      <c r="AS485" s="14">
        <v>175</v>
      </c>
      <c r="AT485" s="48">
        <f t="shared" si="148"/>
        <v>287.5</v>
      </c>
      <c r="AU485" s="14"/>
      <c r="AV485" s="14"/>
      <c r="AW485" s="14"/>
      <c r="AX485" s="49"/>
    </row>
    <row r="486" spans="1:50" ht="10.199999999999999" customHeight="1" x14ac:dyDescent="0.25">
      <c r="A486" s="14">
        <v>27</v>
      </c>
      <c r="B486" s="103">
        <v>38904</v>
      </c>
      <c r="C486" s="103">
        <v>38897</v>
      </c>
      <c r="D486" s="14"/>
      <c r="E486" s="14"/>
      <c r="F486" s="48"/>
      <c r="G486" s="14"/>
      <c r="H486" s="14"/>
      <c r="I486" s="14"/>
      <c r="J486" s="48"/>
      <c r="K486" s="14"/>
      <c r="L486" s="14"/>
      <c r="M486" s="14"/>
      <c r="N486" s="48"/>
      <c r="O486" s="14"/>
      <c r="P486" s="14"/>
      <c r="Q486" s="14"/>
      <c r="R486" s="48"/>
      <c r="S486" s="14"/>
      <c r="T486" s="14"/>
      <c r="U486" s="14"/>
      <c r="V486" s="48"/>
      <c r="W486" s="14"/>
      <c r="X486" s="14"/>
      <c r="Y486" s="14"/>
      <c r="Z486" s="48"/>
      <c r="AA486" s="14"/>
      <c r="AB486" s="14">
        <v>-39</v>
      </c>
      <c r="AC486" s="14">
        <v>25</v>
      </c>
      <c r="AD486" s="48">
        <f t="shared" si="144"/>
        <v>-7</v>
      </c>
      <c r="AE486" s="14"/>
      <c r="AF486" s="14">
        <v>144</v>
      </c>
      <c r="AG486" s="14">
        <v>113</v>
      </c>
      <c r="AH486" s="48">
        <f t="shared" si="145"/>
        <v>128.5</v>
      </c>
      <c r="AI486" s="14"/>
      <c r="AJ486" s="14">
        <v>200</v>
      </c>
      <c r="AK486" s="14">
        <v>200</v>
      </c>
      <c r="AL486" s="48">
        <f t="shared" si="146"/>
        <v>200</v>
      </c>
      <c r="AM486" s="14"/>
      <c r="AN486" s="14">
        <v>375</v>
      </c>
      <c r="AO486" s="14">
        <v>325</v>
      </c>
      <c r="AP486" s="48">
        <f t="shared" si="147"/>
        <v>350</v>
      </c>
      <c r="AQ486" s="14"/>
      <c r="AR486" s="14">
        <v>400</v>
      </c>
      <c r="AS486" s="14">
        <v>175</v>
      </c>
      <c r="AT486" s="48">
        <f t="shared" si="148"/>
        <v>287.5</v>
      </c>
      <c r="AU486" s="14"/>
      <c r="AV486" s="14"/>
      <c r="AW486" s="14"/>
      <c r="AX486" s="49"/>
    </row>
    <row r="487" spans="1:50" ht="10.199999999999999" customHeight="1" x14ac:dyDescent="0.25">
      <c r="A487" s="14">
        <v>28</v>
      </c>
      <c r="B487" s="103">
        <v>38911</v>
      </c>
      <c r="C487" s="103">
        <v>38904</v>
      </c>
      <c r="D487" s="14"/>
      <c r="E487" s="14"/>
      <c r="F487" s="48"/>
      <c r="G487" s="14"/>
      <c r="H487" s="14"/>
      <c r="I487" s="14"/>
      <c r="J487" s="48"/>
      <c r="K487" s="14"/>
      <c r="L487" s="14"/>
      <c r="M487" s="14"/>
      <c r="N487" s="48"/>
      <c r="O487" s="14"/>
      <c r="P487" s="14"/>
      <c r="Q487" s="14"/>
      <c r="R487" s="48"/>
      <c r="S487" s="14"/>
      <c r="T487" s="14"/>
      <c r="U487" s="14"/>
      <c r="V487" s="48"/>
      <c r="W487" s="14"/>
      <c r="X487" s="14"/>
      <c r="Y487" s="14"/>
      <c r="Z487" s="48"/>
      <c r="AA487" s="14"/>
      <c r="AB487" s="14">
        <v>-22</v>
      </c>
      <c r="AC487" s="14">
        <v>29</v>
      </c>
      <c r="AD487" s="48">
        <f t="shared" si="144"/>
        <v>3.5</v>
      </c>
      <c r="AE487" s="14"/>
      <c r="AF487" s="14">
        <v>131</v>
      </c>
      <c r="AG487" s="14">
        <v>129</v>
      </c>
      <c r="AH487" s="48">
        <f t="shared" si="145"/>
        <v>130</v>
      </c>
      <c r="AI487" s="14"/>
      <c r="AJ487" s="14">
        <v>200</v>
      </c>
      <c r="AK487" s="14">
        <v>200</v>
      </c>
      <c r="AL487" s="48">
        <f t="shared" si="146"/>
        <v>200</v>
      </c>
      <c r="AM487" s="14"/>
      <c r="AN487" s="14">
        <v>375</v>
      </c>
      <c r="AO487" s="14">
        <v>325</v>
      </c>
      <c r="AP487" s="48">
        <f t="shared" si="147"/>
        <v>350</v>
      </c>
      <c r="AQ487" s="14"/>
      <c r="AR487" s="14">
        <v>400</v>
      </c>
      <c r="AS487" s="14">
        <v>175</v>
      </c>
      <c r="AT487" s="48">
        <f t="shared" si="148"/>
        <v>287.5</v>
      </c>
      <c r="AU487" s="14"/>
      <c r="AV487" s="14"/>
      <c r="AW487" s="14"/>
      <c r="AX487" s="49"/>
    </row>
    <row r="488" spans="1:50" ht="10.199999999999999" customHeight="1" x14ac:dyDescent="0.25">
      <c r="A488" s="14">
        <v>29</v>
      </c>
      <c r="B488" s="103">
        <v>38918</v>
      </c>
      <c r="C488" s="103">
        <v>38911</v>
      </c>
      <c r="D488" s="14"/>
      <c r="E488" s="14"/>
      <c r="F488" s="48"/>
      <c r="G488" s="14"/>
      <c r="H488" s="14"/>
      <c r="I488" s="14"/>
      <c r="J488" s="48"/>
      <c r="K488" s="14"/>
      <c r="L488" s="14"/>
      <c r="M488" s="14"/>
      <c r="N488" s="48"/>
      <c r="O488" s="14"/>
      <c r="P488" s="14"/>
      <c r="Q488" s="14"/>
      <c r="R488" s="48"/>
      <c r="S488" s="14"/>
      <c r="T488" s="14"/>
      <c r="U488" s="14"/>
      <c r="V488" s="48"/>
      <c r="W488" s="14"/>
      <c r="X488" s="14"/>
      <c r="Y488" s="14"/>
      <c r="Z488" s="48"/>
      <c r="AA488" s="14"/>
      <c r="AB488" s="14">
        <v>-42</v>
      </c>
      <c r="AC488" s="14"/>
      <c r="AD488" s="48">
        <f t="shared" si="144"/>
        <v>-42</v>
      </c>
      <c r="AE488" s="14"/>
      <c r="AF488" s="14">
        <v>28</v>
      </c>
      <c r="AG488" s="14">
        <v>-6</v>
      </c>
      <c r="AH488" s="48">
        <f t="shared" si="145"/>
        <v>11</v>
      </c>
      <c r="AI488" s="14"/>
      <c r="AJ488" s="14">
        <v>217</v>
      </c>
      <c r="AK488" s="14">
        <v>163</v>
      </c>
      <c r="AL488" s="48">
        <f t="shared" si="146"/>
        <v>190</v>
      </c>
      <c r="AM488" s="14"/>
      <c r="AN488" s="14">
        <v>325</v>
      </c>
      <c r="AO488" s="14">
        <v>292</v>
      </c>
      <c r="AP488" s="48">
        <f t="shared" si="147"/>
        <v>308.5</v>
      </c>
      <c r="AQ488" s="14"/>
      <c r="AR488" s="14">
        <v>300</v>
      </c>
      <c r="AS488" s="14"/>
      <c r="AT488" s="48">
        <f t="shared" si="148"/>
        <v>300</v>
      </c>
      <c r="AU488" s="14"/>
      <c r="AV488" s="14">
        <v>300</v>
      </c>
      <c r="AW488" s="14"/>
      <c r="AX488" s="48">
        <f t="shared" ref="AX488:AX511" si="149">AVERAGE(AV488,AW488)</f>
        <v>300</v>
      </c>
    </row>
    <row r="489" spans="1:50" ht="10.199999999999999" customHeight="1" x14ac:dyDescent="0.25">
      <c r="A489" s="14">
        <v>30</v>
      </c>
      <c r="B489" s="103">
        <v>38925</v>
      </c>
      <c r="C489" s="103">
        <v>38918</v>
      </c>
      <c r="D489" s="14"/>
      <c r="E489" s="14"/>
      <c r="F489" s="48"/>
      <c r="G489" s="14"/>
      <c r="H489" s="14"/>
      <c r="I489" s="14"/>
      <c r="J489" s="48"/>
      <c r="K489" s="14"/>
      <c r="L489" s="14"/>
      <c r="M489" s="14"/>
      <c r="N489" s="48"/>
      <c r="O489" s="14"/>
      <c r="P489" s="14"/>
      <c r="Q489" s="14"/>
      <c r="R489" s="48"/>
      <c r="S489" s="14"/>
      <c r="T489" s="14"/>
      <c r="U489" s="14"/>
      <c r="V489" s="48"/>
      <c r="W489" s="14"/>
      <c r="X489" s="14"/>
      <c r="Y489" s="14"/>
      <c r="Z489" s="48"/>
      <c r="AA489" s="14"/>
      <c r="AB489" s="14"/>
      <c r="AC489" s="14"/>
      <c r="AD489" s="48"/>
      <c r="AE489" s="14"/>
      <c r="AF489" s="14">
        <v>-5</v>
      </c>
      <c r="AG489" s="14">
        <v>-103</v>
      </c>
      <c r="AH489" s="48">
        <f t="shared" si="145"/>
        <v>-54</v>
      </c>
      <c r="AI489" s="14"/>
      <c r="AJ489" s="14">
        <v>88</v>
      </c>
      <c r="AK489" s="14">
        <v>125</v>
      </c>
      <c r="AL489" s="48">
        <f t="shared" si="146"/>
        <v>106.5</v>
      </c>
      <c r="AM489" s="14"/>
      <c r="AN489" s="14">
        <v>325</v>
      </c>
      <c r="AO489" s="14">
        <v>325</v>
      </c>
      <c r="AP489" s="48">
        <f t="shared" si="147"/>
        <v>325</v>
      </c>
      <c r="AQ489" s="14"/>
      <c r="AR489" s="14">
        <v>300</v>
      </c>
      <c r="AS489" s="14"/>
      <c r="AT489" s="48">
        <f t="shared" si="148"/>
        <v>300</v>
      </c>
      <c r="AU489" s="14"/>
      <c r="AV489" s="14">
        <v>300</v>
      </c>
      <c r="AW489" s="14"/>
      <c r="AX489" s="48">
        <f t="shared" si="149"/>
        <v>300</v>
      </c>
    </row>
    <row r="490" spans="1:50" ht="10.199999999999999" customHeight="1" x14ac:dyDescent="0.25">
      <c r="A490" s="14">
        <v>31</v>
      </c>
      <c r="B490" s="103">
        <v>38932</v>
      </c>
      <c r="C490" s="103">
        <v>38925</v>
      </c>
      <c r="D490" s="14"/>
      <c r="E490" s="14"/>
      <c r="F490" s="48"/>
      <c r="G490" s="14"/>
      <c r="H490" s="14"/>
      <c r="I490" s="14"/>
      <c r="J490" s="48"/>
      <c r="K490" s="14"/>
      <c r="L490" s="14"/>
      <c r="M490" s="14"/>
      <c r="N490" s="48"/>
      <c r="O490" s="14"/>
      <c r="P490" s="14"/>
      <c r="Q490" s="14"/>
      <c r="R490" s="48"/>
      <c r="S490" s="14"/>
      <c r="T490" s="14"/>
      <c r="U490" s="14"/>
      <c r="V490" s="48"/>
      <c r="W490" s="14"/>
      <c r="X490" s="14"/>
      <c r="Y490" s="14"/>
      <c r="Z490" s="48"/>
      <c r="AA490" s="14"/>
      <c r="AB490" s="14"/>
      <c r="AC490" s="14"/>
      <c r="AD490" s="48"/>
      <c r="AE490" s="14"/>
      <c r="AF490" s="14">
        <v>-53</v>
      </c>
      <c r="AG490" s="14">
        <v>-6</v>
      </c>
      <c r="AH490" s="48">
        <f t="shared" si="145"/>
        <v>-29.5</v>
      </c>
      <c r="AI490" s="14"/>
      <c r="AJ490" s="14">
        <v>42</v>
      </c>
      <c r="AK490" s="14">
        <v>138</v>
      </c>
      <c r="AL490" s="48">
        <f t="shared" si="146"/>
        <v>90</v>
      </c>
      <c r="AM490" s="14"/>
      <c r="AN490" s="14">
        <v>325</v>
      </c>
      <c r="AO490" s="14">
        <v>338</v>
      </c>
      <c r="AP490" s="48">
        <f t="shared" si="147"/>
        <v>331.5</v>
      </c>
      <c r="AQ490" s="14"/>
      <c r="AR490" s="14">
        <v>300</v>
      </c>
      <c r="AS490" s="14"/>
      <c r="AT490" s="48">
        <f t="shared" si="148"/>
        <v>300</v>
      </c>
      <c r="AU490" s="14"/>
      <c r="AV490" s="14">
        <v>300</v>
      </c>
      <c r="AW490" s="14"/>
      <c r="AX490" s="48">
        <f t="shared" si="149"/>
        <v>300</v>
      </c>
    </row>
    <row r="491" spans="1:50" ht="10.199999999999999" customHeight="1" x14ac:dyDescent="0.25">
      <c r="A491" s="14">
        <v>32</v>
      </c>
      <c r="B491" s="103">
        <v>38939</v>
      </c>
      <c r="C491" s="103">
        <v>38932</v>
      </c>
      <c r="D491" s="14"/>
      <c r="E491" s="14"/>
      <c r="F491" s="48"/>
      <c r="G491" s="14"/>
      <c r="H491" s="14"/>
      <c r="I491" s="14"/>
      <c r="J491" s="48"/>
      <c r="K491" s="14"/>
      <c r="L491" s="14"/>
      <c r="M491" s="14"/>
      <c r="N491" s="48"/>
      <c r="O491" s="14"/>
      <c r="P491" s="14"/>
      <c r="Q491" s="14"/>
      <c r="R491" s="48"/>
      <c r="S491" s="14"/>
      <c r="T491" s="14"/>
      <c r="U491" s="14"/>
      <c r="V491" s="48"/>
      <c r="W491" s="14"/>
      <c r="X491" s="14"/>
      <c r="Y491" s="14"/>
      <c r="Z491" s="48"/>
      <c r="AA491" s="14"/>
      <c r="AB491" s="14"/>
      <c r="AC491" s="14"/>
      <c r="AD491" s="48"/>
      <c r="AE491" s="14"/>
      <c r="AF491" s="14">
        <v>33</v>
      </c>
      <c r="AG491" s="14">
        <v>100</v>
      </c>
      <c r="AH491" s="48">
        <f t="shared" si="145"/>
        <v>66.5</v>
      </c>
      <c r="AI491" s="14"/>
      <c r="AJ491" s="14">
        <v>101</v>
      </c>
      <c r="AK491" s="14">
        <v>192</v>
      </c>
      <c r="AL491" s="48">
        <f t="shared" si="146"/>
        <v>146.5</v>
      </c>
      <c r="AM491" s="14"/>
      <c r="AN491" s="14">
        <v>300</v>
      </c>
      <c r="AO491" s="14">
        <v>375</v>
      </c>
      <c r="AP491" s="48">
        <f t="shared" si="147"/>
        <v>337.5</v>
      </c>
      <c r="AQ491" s="14"/>
      <c r="AR491" s="14">
        <v>275</v>
      </c>
      <c r="AS491" s="14"/>
      <c r="AT491" s="48">
        <f t="shared" si="148"/>
        <v>275</v>
      </c>
      <c r="AU491" s="14"/>
      <c r="AV491" s="14">
        <v>250</v>
      </c>
      <c r="AW491" s="14"/>
      <c r="AX491" s="48">
        <f t="shared" si="149"/>
        <v>250</v>
      </c>
    </row>
    <row r="492" spans="1:50" ht="10.199999999999999" customHeight="1" x14ac:dyDescent="0.25">
      <c r="A492" s="14">
        <v>33</v>
      </c>
      <c r="B492" s="103">
        <v>38946</v>
      </c>
      <c r="C492" s="103">
        <v>38939</v>
      </c>
      <c r="D492" s="14"/>
      <c r="E492" s="14"/>
      <c r="F492" s="48"/>
      <c r="G492" s="14"/>
      <c r="H492" s="14"/>
      <c r="I492" s="14"/>
      <c r="J492" s="48"/>
      <c r="K492" s="14"/>
      <c r="L492" s="14"/>
      <c r="M492" s="14"/>
      <c r="N492" s="48"/>
      <c r="O492" s="14"/>
      <c r="P492" s="14"/>
      <c r="Q492" s="14"/>
      <c r="R492" s="48"/>
      <c r="S492" s="14"/>
      <c r="T492" s="14"/>
      <c r="U492" s="14"/>
      <c r="V492" s="48"/>
      <c r="W492" s="14"/>
      <c r="X492" s="14"/>
      <c r="Y492" s="14"/>
      <c r="Z492" s="48"/>
      <c r="AA492" s="14"/>
      <c r="AB492" s="14"/>
      <c r="AC492" s="14"/>
      <c r="AD492" s="48"/>
      <c r="AE492" s="14"/>
      <c r="AF492" s="14">
        <v>-8</v>
      </c>
      <c r="AG492" s="14"/>
      <c r="AH492" s="48">
        <f t="shared" si="145"/>
        <v>-8</v>
      </c>
      <c r="AI492" s="14"/>
      <c r="AJ492" s="14">
        <v>86</v>
      </c>
      <c r="AK492" s="14">
        <v>263</v>
      </c>
      <c r="AL492" s="48">
        <f t="shared" si="146"/>
        <v>174.5</v>
      </c>
      <c r="AM492" s="14"/>
      <c r="AN492" s="14">
        <v>300</v>
      </c>
      <c r="AO492" s="14">
        <v>415</v>
      </c>
      <c r="AP492" s="48">
        <f t="shared" si="147"/>
        <v>357.5</v>
      </c>
      <c r="AQ492" s="14"/>
      <c r="AR492" s="14">
        <v>200</v>
      </c>
      <c r="AS492" s="14">
        <v>225</v>
      </c>
      <c r="AT492" s="48">
        <f t="shared" si="148"/>
        <v>212.5</v>
      </c>
      <c r="AU492" s="14"/>
      <c r="AV492" s="14">
        <v>125</v>
      </c>
      <c r="AW492" s="14">
        <v>225</v>
      </c>
      <c r="AX492" s="51">
        <f t="shared" si="149"/>
        <v>175</v>
      </c>
    </row>
    <row r="493" spans="1:50" ht="10.199999999999999" customHeight="1" x14ac:dyDescent="0.25">
      <c r="A493" s="14">
        <v>34</v>
      </c>
      <c r="B493" s="103">
        <v>38953</v>
      </c>
      <c r="C493" s="103">
        <v>38946</v>
      </c>
      <c r="D493" s="14"/>
      <c r="E493" s="14"/>
      <c r="F493" s="48"/>
      <c r="G493" s="14"/>
      <c r="H493" s="14"/>
      <c r="I493" s="14"/>
      <c r="J493" s="48"/>
      <c r="K493" s="14"/>
      <c r="L493" s="14"/>
      <c r="M493" s="14"/>
      <c r="N493" s="48"/>
      <c r="O493" s="14"/>
      <c r="P493" s="14"/>
      <c r="Q493" s="14"/>
      <c r="R493" s="48"/>
      <c r="S493" s="14"/>
      <c r="T493" s="14"/>
      <c r="U493" s="14"/>
      <c r="V493" s="48"/>
      <c r="W493" s="14"/>
      <c r="X493" s="14"/>
      <c r="Y493" s="14"/>
      <c r="Z493" s="48"/>
      <c r="AA493" s="14"/>
      <c r="AB493" s="14"/>
      <c r="AC493" s="14"/>
      <c r="AD493" s="48"/>
      <c r="AE493" s="14"/>
      <c r="AF493" s="14">
        <v>50</v>
      </c>
      <c r="AG493" s="14"/>
      <c r="AH493" s="48">
        <f t="shared" si="145"/>
        <v>50</v>
      </c>
      <c r="AI493" s="14"/>
      <c r="AJ493" s="14">
        <v>192</v>
      </c>
      <c r="AK493" s="14">
        <v>429</v>
      </c>
      <c r="AL493" s="48">
        <f t="shared" si="146"/>
        <v>310.5</v>
      </c>
      <c r="AM493" s="14"/>
      <c r="AN493" s="14">
        <v>300</v>
      </c>
      <c r="AO493" s="14">
        <v>517</v>
      </c>
      <c r="AP493" s="48">
        <f t="shared" si="147"/>
        <v>408.5</v>
      </c>
      <c r="AQ493" s="14"/>
      <c r="AR493" s="14">
        <v>200</v>
      </c>
      <c r="AS493" s="14">
        <v>250</v>
      </c>
      <c r="AT493" s="48">
        <f t="shared" si="148"/>
        <v>225</v>
      </c>
      <c r="AU493" s="14"/>
      <c r="AV493" s="14">
        <v>138</v>
      </c>
      <c r="AW493" s="14">
        <v>250</v>
      </c>
      <c r="AX493" s="51">
        <f t="shared" si="149"/>
        <v>194</v>
      </c>
    </row>
    <row r="494" spans="1:50" ht="10.199999999999999" customHeight="1" x14ac:dyDescent="0.25">
      <c r="A494" s="14">
        <v>35</v>
      </c>
      <c r="B494" s="103">
        <v>38960</v>
      </c>
      <c r="C494" s="103">
        <v>38953</v>
      </c>
      <c r="D494" s="14"/>
      <c r="E494" s="14"/>
      <c r="F494" s="48"/>
      <c r="G494" s="14"/>
      <c r="H494" s="14"/>
      <c r="I494" s="14"/>
      <c r="J494" s="48"/>
      <c r="K494" s="14"/>
      <c r="L494" s="14"/>
      <c r="M494" s="14"/>
      <c r="N494" s="48"/>
      <c r="O494" s="14"/>
      <c r="P494" s="14"/>
      <c r="Q494" s="14"/>
      <c r="R494" s="48"/>
      <c r="S494" s="14"/>
      <c r="T494" s="14"/>
      <c r="U494" s="14"/>
      <c r="V494" s="48"/>
      <c r="W494" s="14"/>
      <c r="X494" s="14"/>
      <c r="Y494" s="14"/>
      <c r="Z494" s="48"/>
      <c r="AA494" s="14"/>
      <c r="AB494" s="14"/>
      <c r="AC494" s="14"/>
      <c r="AD494" s="48"/>
      <c r="AE494" s="14"/>
      <c r="AF494" s="14"/>
      <c r="AG494" s="14"/>
      <c r="AH494" s="48"/>
      <c r="AI494" s="14"/>
      <c r="AJ494" s="14">
        <v>317</v>
      </c>
      <c r="AK494" s="14">
        <v>438</v>
      </c>
      <c r="AL494" s="48">
        <f t="shared" si="146"/>
        <v>377.5</v>
      </c>
      <c r="AM494" s="14"/>
      <c r="AN494" s="14">
        <v>350</v>
      </c>
      <c r="AO494" s="14">
        <v>542</v>
      </c>
      <c r="AP494" s="48">
        <f t="shared" si="147"/>
        <v>446</v>
      </c>
      <c r="AQ494" s="14"/>
      <c r="AR494" s="14">
        <v>200</v>
      </c>
      <c r="AS494" s="14">
        <v>300</v>
      </c>
      <c r="AT494" s="48">
        <f t="shared" si="148"/>
        <v>250</v>
      </c>
      <c r="AU494" s="14"/>
      <c r="AV494" s="14">
        <v>138</v>
      </c>
      <c r="AW494" s="14">
        <v>300</v>
      </c>
      <c r="AX494" s="51">
        <f t="shared" si="149"/>
        <v>219</v>
      </c>
    </row>
    <row r="495" spans="1:50" ht="10.199999999999999" customHeight="1" x14ac:dyDescent="0.25">
      <c r="A495" s="14">
        <v>36</v>
      </c>
      <c r="B495" s="103">
        <v>38967</v>
      </c>
      <c r="C495" s="103">
        <v>38960</v>
      </c>
      <c r="D495" s="14"/>
      <c r="E495" s="14"/>
      <c r="F495" s="48"/>
      <c r="G495" s="14"/>
      <c r="H495" s="14"/>
      <c r="I495" s="14"/>
      <c r="J495" s="48"/>
      <c r="K495" s="14"/>
      <c r="L495" s="14"/>
      <c r="M495" s="14"/>
      <c r="N495" s="48"/>
      <c r="O495" s="14"/>
      <c r="P495" s="14"/>
      <c r="Q495" s="14"/>
      <c r="R495" s="48"/>
      <c r="S495" s="14"/>
      <c r="T495" s="14"/>
      <c r="U495" s="14"/>
      <c r="V495" s="48"/>
      <c r="W495" s="14"/>
      <c r="X495" s="14"/>
      <c r="Y495" s="14"/>
      <c r="Z495" s="48"/>
      <c r="AA495" s="14"/>
      <c r="AB495" s="14"/>
      <c r="AC495" s="14"/>
      <c r="AD495" s="48"/>
      <c r="AE495" s="14"/>
      <c r="AF495" s="14"/>
      <c r="AG495" s="14"/>
      <c r="AH495" s="48"/>
      <c r="AI495" s="14"/>
      <c r="AJ495" s="14">
        <v>267</v>
      </c>
      <c r="AK495" s="14">
        <v>525</v>
      </c>
      <c r="AL495" s="48">
        <f t="shared" si="146"/>
        <v>396</v>
      </c>
      <c r="AM495" s="14"/>
      <c r="AN495" s="14">
        <v>400</v>
      </c>
      <c r="AO495" s="14">
        <v>567</v>
      </c>
      <c r="AP495" s="48">
        <f t="shared" si="147"/>
        <v>483.5</v>
      </c>
      <c r="AQ495" s="14"/>
      <c r="AR495" s="14">
        <v>275</v>
      </c>
      <c r="AS495" s="14">
        <v>250</v>
      </c>
      <c r="AT495" s="48">
        <f t="shared" si="148"/>
        <v>262.5</v>
      </c>
      <c r="AU495" s="14"/>
      <c r="AV495" s="14">
        <v>200</v>
      </c>
      <c r="AW495" s="14">
        <v>200</v>
      </c>
      <c r="AX495" s="48">
        <f t="shared" si="149"/>
        <v>200</v>
      </c>
    </row>
    <row r="496" spans="1:50" ht="10.199999999999999" customHeight="1" x14ac:dyDescent="0.25">
      <c r="A496" s="14">
        <v>37</v>
      </c>
      <c r="B496" s="103">
        <v>38974</v>
      </c>
      <c r="C496" s="103">
        <v>38967</v>
      </c>
      <c r="D496" s="14"/>
      <c r="E496" s="14"/>
      <c r="F496" s="48"/>
      <c r="G496" s="14"/>
      <c r="H496" s="14"/>
      <c r="I496" s="14"/>
      <c r="J496" s="48"/>
      <c r="K496" s="14"/>
      <c r="L496" s="14"/>
      <c r="M496" s="14"/>
      <c r="N496" s="48"/>
      <c r="O496" s="14"/>
      <c r="P496" s="14"/>
      <c r="Q496" s="14"/>
      <c r="R496" s="48"/>
      <c r="S496" s="14"/>
      <c r="T496" s="14"/>
      <c r="U496" s="14"/>
      <c r="V496" s="48"/>
      <c r="W496" s="14"/>
      <c r="X496" s="14"/>
      <c r="Y496" s="14"/>
      <c r="Z496" s="48"/>
      <c r="AA496" s="14"/>
      <c r="AB496" s="14"/>
      <c r="AC496" s="14"/>
      <c r="AD496" s="48"/>
      <c r="AE496" s="14"/>
      <c r="AF496" s="14"/>
      <c r="AG496" s="14"/>
      <c r="AH496" s="48"/>
      <c r="AI496" s="14"/>
      <c r="AJ496" s="14">
        <v>50</v>
      </c>
      <c r="AK496" s="14"/>
      <c r="AL496" s="48">
        <f t="shared" si="146"/>
        <v>50</v>
      </c>
      <c r="AM496" s="14"/>
      <c r="AN496" s="14">
        <v>175</v>
      </c>
      <c r="AO496" s="14">
        <v>500</v>
      </c>
      <c r="AP496" s="48">
        <f t="shared" si="147"/>
        <v>337.5</v>
      </c>
      <c r="AQ496" s="14"/>
      <c r="AR496" s="14">
        <v>100</v>
      </c>
      <c r="AS496" s="14">
        <v>250</v>
      </c>
      <c r="AT496" s="48">
        <f t="shared" si="148"/>
        <v>175</v>
      </c>
      <c r="AU496" s="14"/>
      <c r="AV496" s="14">
        <v>50</v>
      </c>
      <c r="AW496" s="14">
        <v>200</v>
      </c>
      <c r="AX496" s="48">
        <f t="shared" si="149"/>
        <v>125</v>
      </c>
    </row>
    <row r="497" spans="1:50" ht="10.199999999999999" customHeight="1" x14ac:dyDescent="0.25">
      <c r="A497" s="14">
        <v>38</v>
      </c>
      <c r="B497" s="103">
        <v>38981</v>
      </c>
      <c r="C497" s="103">
        <v>38974</v>
      </c>
      <c r="D497" s="14"/>
      <c r="E497" s="14"/>
      <c r="F497" s="48"/>
      <c r="G497" s="14"/>
      <c r="H497" s="14"/>
      <c r="I497" s="14"/>
      <c r="J497" s="48"/>
      <c r="K497" s="14"/>
      <c r="L497" s="14"/>
      <c r="M497" s="14"/>
      <c r="N497" s="48"/>
      <c r="O497" s="14"/>
      <c r="P497" s="14"/>
      <c r="Q497" s="14"/>
      <c r="R497" s="48"/>
      <c r="S497" s="14"/>
      <c r="T497" s="14"/>
      <c r="U497" s="14"/>
      <c r="V497" s="48"/>
      <c r="W497" s="14"/>
      <c r="X497" s="14"/>
      <c r="Y497" s="14"/>
      <c r="Z497" s="48"/>
      <c r="AA497" s="14"/>
      <c r="AB497" s="14"/>
      <c r="AC497" s="14"/>
      <c r="AD497" s="48"/>
      <c r="AE497" s="14"/>
      <c r="AF497" s="14"/>
      <c r="AG497" s="14"/>
      <c r="AH497" s="48"/>
      <c r="AI497" s="14"/>
      <c r="AJ497" s="14">
        <v>-75</v>
      </c>
      <c r="AK497" s="14"/>
      <c r="AL497" s="48">
        <f t="shared" si="146"/>
        <v>-75</v>
      </c>
      <c r="AM497" s="14"/>
      <c r="AN497" s="14">
        <v>50</v>
      </c>
      <c r="AO497" s="14">
        <v>375</v>
      </c>
      <c r="AP497" s="48">
        <f t="shared" si="147"/>
        <v>212.5</v>
      </c>
      <c r="AQ497" s="14"/>
      <c r="AR497" s="14">
        <v>-75</v>
      </c>
      <c r="AS497" s="14">
        <v>225</v>
      </c>
      <c r="AT497" s="48">
        <f t="shared" si="148"/>
        <v>75</v>
      </c>
      <c r="AU497" s="14"/>
      <c r="AV497" s="14">
        <v>-75</v>
      </c>
      <c r="AW497" s="14">
        <v>150</v>
      </c>
      <c r="AX497" s="48">
        <f t="shared" si="149"/>
        <v>37.5</v>
      </c>
    </row>
    <row r="498" spans="1:50" ht="10.199999999999999" customHeight="1" x14ac:dyDescent="0.25">
      <c r="A498" s="14">
        <v>39</v>
      </c>
      <c r="B498" s="103">
        <v>38988</v>
      </c>
      <c r="C498" s="103">
        <v>38981</v>
      </c>
      <c r="D498" s="14">
        <v>0</v>
      </c>
      <c r="E498" s="14">
        <v>0</v>
      </c>
      <c r="F498" s="48">
        <f>(D498+E498)/2</f>
        <v>0</v>
      </c>
      <c r="G498" s="14"/>
      <c r="H498" s="14"/>
      <c r="I498" s="14"/>
      <c r="J498" s="48"/>
      <c r="K498" s="14"/>
      <c r="L498" s="14"/>
      <c r="M498" s="14"/>
      <c r="N498" s="48"/>
      <c r="O498" s="14"/>
      <c r="P498" s="14"/>
      <c r="Q498" s="14"/>
      <c r="R498" s="48"/>
      <c r="S498" s="14"/>
      <c r="T498" s="14"/>
      <c r="U498" s="14"/>
      <c r="V498" s="48"/>
      <c r="W498" s="14"/>
      <c r="X498" s="14"/>
      <c r="Y498" s="14"/>
      <c r="Z498" s="48"/>
      <c r="AA498" s="14"/>
      <c r="AB498" s="14"/>
      <c r="AC498" s="14"/>
      <c r="AD498" s="48"/>
      <c r="AE498" s="14"/>
      <c r="AF498" s="14"/>
      <c r="AG498" s="14"/>
      <c r="AH498" s="48"/>
      <c r="AI498" s="14"/>
      <c r="AJ498" s="14"/>
      <c r="AK498" s="14"/>
      <c r="AL498" s="48"/>
      <c r="AM498" s="14"/>
      <c r="AN498" s="14">
        <v>-29</v>
      </c>
      <c r="AO498" s="14">
        <v>125</v>
      </c>
      <c r="AP498" s="48">
        <f t="shared" si="147"/>
        <v>48</v>
      </c>
      <c r="AQ498" s="14"/>
      <c r="AR498" s="14">
        <v>-42</v>
      </c>
      <c r="AS498" s="14">
        <v>67</v>
      </c>
      <c r="AT498" s="48">
        <f t="shared" si="148"/>
        <v>12.5</v>
      </c>
      <c r="AU498" s="14"/>
      <c r="AV498" s="14">
        <v>-42</v>
      </c>
      <c r="AW498" s="14">
        <v>67</v>
      </c>
      <c r="AX498" s="48">
        <f t="shared" si="149"/>
        <v>12.5</v>
      </c>
    </row>
    <row r="499" spans="1:50" ht="10.199999999999999" customHeight="1" x14ac:dyDescent="0.25">
      <c r="A499" s="14">
        <v>40</v>
      </c>
      <c r="B499" s="103">
        <v>38995</v>
      </c>
      <c r="C499" s="103">
        <v>38988</v>
      </c>
      <c r="D499" s="14"/>
      <c r="E499" s="14">
        <v>-38</v>
      </c>
      <c r="F499" s="48">
        <f t="shared" ref="F499:F514" si="150">AVERAGE(D499,E499)</f>
        <v>-38</v>
      </c>
      <c r="G499" s="14"/>
      <c r="H499" s="14"/>
      <c r="I499" s="14"/>
      <c r="J499" s="48"/>
      <c r="K499" s="14"/>
      <c r="L499" s="14"/>
      <c r="M499" s="14"/>
      <c r="N499" s="48"/>
      <c r="O499" s="14"/>
      <c r="P499" s="14"/>
      <c r="Q499" s="14"/>
      <c r="R499" s="48"/>
      <c r="S499" s="14"/>
      <c r="T499" s="14"/>
      <c r="U499" s="14"/>
      <c r="V499" s="48"/>
      <c r="W499" s="14"/>
      <c r="X499" s="14"/>
      <c r="Y499" s="14"/>
      <c r="Z499" s="48"/>
      <c r="AA499" s="14"/>
      <c r="AB499" s="14"/>
      <c r="AC499" s="14"/>
      <c r="AD499" s="48"/>
      <c r="AE499" s="14"/>
      <c r="AF499" s="14"/>
      <c r="AG499" s="14"/>
      <c r="AH499" s="48"/>
      <c r="AI499" s="14"/>
      <c r="AJ499" s="14"/>
      <c r="AK499" s="14"/>
      <c r="AL499" s="48"/>
      <c r="AM499" s="14"/>
      <c r="AN499" s="14">
        <v>-57</v>
      </c>
      <c r="AO499" s="14">
        <v>183</v>
      </c>
      <c r="AP499" s="48">
        <f t="shared" si="147"/>
        <v>63</v>
      </c>
      <c r="AQ499" s="14"/>
      <c r="AR499" s="14">
        <v>-50</v>
      </c>
      <c r="AS499" s="14">
        <v>75</v>
      </c>
      <c r="AT499" s="48">
        <f t="shared" si="148"/>
        <v>12.5</v>
      </c>
      <c r="AU499" s="14"/>
      <c r="AV499" s="14">
        <v>-50</v>
      </c>
      <c r="AW499" s="14">
        <v>50</v>
      </c>
      <c r="AX499" s="48">
        <f t="shared" si="149"/>
        <v>0</v>
      </c>
    </row>
    <row r="500" spans="1:50" ht="10.199999999999999" customHeight="1" x14ac:dyDescent="0.25">
      <c r="A500" s="14">
        <v>41</v>
      </c>
      <c r="B500" s="103">
        <v>39002</v>
      </c>
      <c r="C500" s="103">
        <v>38995</v>
      </c>
      <c r="D500" s="14"/>
      <c r="E500" s="14">
        <v>-50</v>
      </c>
      <c r="F500" s="48">
        <f t="shared" si="150"/>
        <v>-50</v>
      </c>
      <c r="G500" s="14"/>
      <c r="H500" s="14"/>
      <c r="I500" s="14"/>
      <c r="J500" s="48"/>
      <c r="K500" s="14"/>
      <c r="L500" s="14"/>
      <c r="M500" s="14"/>
      <c r="N500" s="48"/>
      <c r="O500" s="14"/>
      <c r="P500" s="14"/>
      <c r="Q500" s="14"/>
      <c r="R500" s="48"/>
      <c r="S500" s="14"/>
      <c r="T500" s="14"/>
      <c r="U500" s="14"/>
      <c r="V500" s="48"/>
      <c r="W500" s="14"/>
      <c r="X500" s="14"/>
      <c r="Y500" s="14"/>
      <c r="Z500" s="48"/>
      <c r="AA500" s="14"/>
      <c r="AB500" s="14"/>
      <c r="AC500" s="14"/>
      <c r="AD500" s="48"/>
      <c r="AE500" s="14"/>
      <c r="AF500" s="14"/>
      <c r="AG500" s="14"/>
      <c r="AH500" s="48"/>
      <c r="AI500" s="14"/>
      <c r="AJ500" s="14"/>
      <c r="AK500" s="14"/>
      <c r="AL500" s="48"/>
      <c r="AM500" s="14"/>
      <c r="AN500" s="14">
        <v>-121</v>
      </c>
      <c r="AO500" s="14">
        <v>33</v>
      </c>
      <c r="AP500" s="48">
        <f t="shared" si="147"/>
        <v>-44</v>
      </c>
      <c r="AQ500" s="14"/>
      <c r="AR500" s="14">
        <v>-67</v>
      </c>
      <c r="AS500" s="14">
        <v>-25</v>
      </c>
      <c r="AT500" s="48">
        <f t="shared" si="148"/>
        <v>-46</v>
      </c>
      <c r="AU500" s="14"/>
      <c r="AV500" s="14">
        <v>-25</v>
      </c>
      <c r="AW500" s="14">
        <v>-33</v>
      </c>
      <c r="AX500" s="48">
        <f t="shared" si="149"/>
        <v>-29</v>
      </c>
    </row>
    <row r="501" spans="1:50" ht="10.199999999999999" customHeight="1" x14ac:dyDescent="0.25">
      <c r="A501" s="14">
        <v>42</v>
      </c>
      <c r="B501" s="103">
        <v>39009</v>
      </c>
      <c r="C501" s="103">
        <v>39002</v>
      </c>
      <c r="D501" s="14"/>
      <c r="E501" s="14">
        <v>-63</v>
      </c>
      <c r="F501" s="48">
        <f t="shared" si="150"/>
        <v>-63</v>
      </c>
      <c r="G501" s="14"/>
      <c r="H501" s="14"/>
      <c r="I501" s="14"/>
      <c r="J501" s="48"/>
      <c r="K501" s="14"/>
      <c r="L501" s="14"/>
      <c r="M501" s="14"/>
      <c r="N501" s="48"/>
      <c r="O501" s="14"/>
      <c r="P501" s="14"/>
      <c r="Q501" s="14"/>
      <c r="R501" s="48"/>
      <c r="S501" s="14"/>
      <c r="T501" s="14"/>
      <c r="U501" s="14"/>
      <c r="V501" s="48"/>
      <c r="W501" s="14"/>
      <c r="X501" s="14"/>
      <c r="Y501" s="14"/>
      <c r="Z501" s="48"/>
      <c r="AA501" s="14"/>
      <c r="AB501" s="14"/>
      <c r="AC501" s="14"/>
      <c r="AD501" s="48"/>
      <c r="AE501" s="14"/>
      <c r="AF501" s="14"/>
      <c r="AG501" s="14"/>
      <c r="AH501" s="48"/>
      <c r="AI501" s="14"/>
      <c r="AJ501" s="14"/>
      <c r="AK501" s="14"/>
      <c r="AL501" s="48"/>
      <c r="AM501" s="14"/>
      <c r="AN501" s="14">
        <v>-138</v>
      </c>
      <c r="AO501" s="14">
        <v>-100</v>
      </c>
      <c r="AP501" s="48">
        <f t="shared" si="147"/>
        <v>-119</v>
      </c>
      <c r="AQ501" s="14"/>
      <c r="AR501" s="14">
        <v>-83</v>
      </c>
      <c r="AS501" s="14">
        <v>-42</v>
      </c>
      <c r="AT501" s="48">
        <f t="shared" si="148"/>
        <v>-62.5</v>
      </c>
      <c r="AU501" s="14"/>
      <c r="AV501" s="14">
        <v>-50</v>
      </c>
      <c r="AW501" s="14">
        <v>-58</v>
      </c>
      <c r="AX501" s="48">
        <f t="shared" si="149"/>
        <v>-54</v>
      </c>
    </row>
    <row r="502" spans="1:50" ht="10.199999999999999" customHeight="1" x14ac:dyDescent="0.25">
      <c r="A502" s="14">
        <v>43</v>
      </c>
      <c r="B502" s="103">
        <v>39016</v>
      </c>
      <c r="C502" s="103">
        <v>39009</v>
      </c>
      <c r="D502" s="14"/>
      <c r="E502" s="14">
        <v>-50</v>
      </c>
      <c r="F502" s="48">
        <f t="shared" si="150"/>
        <v>-50</v>
      </c>
      <c r="G502" s="14"/>
      <c r="H502" s="14"/>
      <c r="I502" s="14"/>
      <c r="J502" s="48"/>
      <c r="K502" s="14"/>
      <c r="L502" s="14"/>
      <c r="M502" s="14"/>
      <c r="N502" s="48"/>
      <c r="O502" s="14"/>
      <c r="P502" s="14"/>
      <c r="Q502" s="14"/>
      <c r="R502" s="48"/>
      <c r="S502" s="14"/>
      <c r="T502" s="14"/>
      <c r="U502" s="14"/>
      <c r="V502" s="48"/>
      <c r="W502" s="14"/>
      <c r="X502" s="14"/>
      <c r="Y502" s="14"/>
      <c r="Z502" s="48"/>
      <c r="AA502" s="14"/>
      <c r="AB502" s="14"/>
      <c r="AC502" s="14"/>
      <c r="AD502" s="48"/>
      <c r="AE502" s="14"/>
      <c r="AF502" s="14"/>
      <c r="AG502" s="14"/>
      <c r="AH502" s="48"/>
      <c r="AI502" s="14"/>
      <c r="AJ502" s="14"/>
      <c r="AK502" s="14"/>
      <c r="AL502" s="48"/>
      <c r="AM502" s="14"/>
      <c r="AN502" s="14"/>
      <c r="AO502" s="14"/>
      <c r="AP502" s="48"/>
      <c r="AQ502" s="14"/>
      <c r="AR502" s="14">
        <v>-127</v>
      </c>
      <c r="AS502" s="14">
        <v>-150</v>
      </c>
      <c r="AT502" s="48">
        <f t="shared" si="148"/>
        <v>-138.5</v>
      </c>
      <c r="AU502" s="14"/>
      <c r="AV502" s="14">
        <v>-119</v>
      </c>
      <c r="AW502" s="14">
        <v>-75</v>
      </c>
      <c r="AX502" s="48">
        <f t="shared" si="149"/>
        <v>-97</v>
      </c>
    </row>
    <row r="503" spans="1:50" ht="10.199999999999999" customHeight="1" x14ac:dyDescent="0.25">
      <c r="A503" s="14">
        <v>44</v>
      </c>
      <c r="B503" s="103">
        <v>39023</v>
      </c>
      <c r="C503" s="103">
        <v>39016</v>
      </c>
      <c r="D503" s="14">
        <v>-75</v>
      </c>
      <c r="E503" s="14">
        <v>-50</v>
      </c>
      <c r="F503" s="48">
        <f t="shared" si="150"/>
        <v>-62.5</v>
      </c>
      <c r="G503" s="14"/>
      <c r="H503" s="14"/>
      <c r="I503" s="14"/>
      <c r="J503" s="48"/>
      <c r="K503" s="14"/>
      <c r="L503" s="14"/>
      <c r="M503" s="14"/>
      <c r="N503" s="48"/>
      <c r="O503" s="14"/>
      <c r="P503" s="14"/>
      <c r="Q503" s="14"/>
      <c r="R503" s="48"/>
      <c r="S503" s="14"/>
      <c r="T503" s="14"/>
      <c r="U503" s="14"/>
      <c r="V503" s="48"/>
      <c r="W503" s="14"/>
      <c r="X503" s="14"/>
      <c r="Y503" s="14"/>
      <c r="Z503" s="48"/>
      <c r="AA503" s="14"/>
      <c r="AB503" s="14"/>
      <c r="AC503" s="14"/>
      <c r="AD503" s="48"/>
      <c r="AE503" s="14"/>
      <c r="AF503" s="14"/>
      <c r="AG503" s="14"/>
      <c r="AH503" s="48"/>
      <c r="AI503" s="14"/>
      <c r="AJ503" s="14"/>
      <c r="AK503" s="14"/>
      <c r="AL503" s="48"/>
      <c r="AM503" s="14"/>
      <c r="AN503" s="14"/>
      <c r="AO503" s="14"/>
      <c r="AP503" s="48"/>
      <c r="AQ503" s="14"/>
      <c r="AR503" s="14">
        <v>-110</v>
      </c>
      <c r="AS503" s="14">
        <v>-133</v>
      </c>
      <c r="AT503" s="48">
        <f t="shared" si="148"/>
        <v>-121.5</v>
      </c>
      <c r="AU503" s="14"/>
      <c r="AV503" s="14">
        <v>-125</v>
      </c>
      <c r="AW503" s="14">
        <v>-138</v>
      </c>
      <c r="AX503" s="48">
        <f t="shared" si="149"/>
        <v>-131.5</v>
      </c>
    </row>
    <row r="504" spans="1:50" ht="10.199999999999999" customHeight="1" x14ac:dyDescent="0.25">
      <c r="A504" s="14">
        <v>45</v>
      </c>
      <c r="B504" s="103">
        <v>39030</v>
      </c>
      <c r="C504" s="103">
        <v>39023</v>
      </c>
      <c r="D504" s="14">
        <v>-100</v>
      </c>
      <c r="E504" s="14">
        <v>-100</v>
      </c>
      <c r="F504" s="48">
        <f t="shared" si="150"/>
        <v>-100</v>
      </c>
      <c r="G504" s="14"/>
      <c r="H504" s="14"/>
      <c r="I504" s="14">
        <v>-100</v>
      </c>
      <c r="J504" s="48">
        <f t="shared" ref="J504:J519" si="151">AVERAGE(H504,I504)</f>
        <v>-100</v>
      </c>
      <c r="K504" s="14"/>
      <c r="L504" s="14"/>
      <c r="M504" s="14">
        <v>-100</v>
      </c>
      <c r="N504" s="48">
        <f t="shared" ref="N504:N522" si="152">AVERAGE(L504,M504)</f>
        <v>-100</v>
      </c>
      <c r="O504" s="14"/>
      <c r="P504" s="14"/>
      <c r="Q504" s="14"/>
      <c r="R504" s="48"/>
      <c r="S504" s="14"/>
      <c r="T504" s="14"/>
      <c r="U504" s="14"/>
      <c r="V504" s="48"/>
      <c r="W504" s="14"/>
      <c r="X504" s="14"/>
      <c r="Y504" s="14"/>
      <c r="Z504" s="48"/>
      <c r="AA504" s="14"/>
      <c r="AB504" s="14"/>
      <c r="AC504" s="14"/>
      <c r="AD504" s="48"/>
      <c r="AE504" s="14"/>
      <c r="AF504" s="14"/>
      <c r="AG504" s="14"/>
      <c r="AH504" s="48"/>
      <c r="AI504" s="14"/>
      <c r="AJ504" s="14"/>
      <c r="AK504" s="14"/>
      <c r="AL504" s="48"/>
      <c r="AM504" s="14"/>
      <c r="AN504" s="14"/>
      <c r="AO504" s="14"/>
      <c r="AP504" s="48"/>
      <c r="AQ504" s="14"/>
      <c r="AR504" s="14">
        <v>-153</v>
      </c>
      <c r="AS504" s="14">
        <v>-144</v>
      </c>
      <c r="AT504" s="48">
        <f t="shared" si="148"/>
        <v>-148.5</v>
      </c>
      <c r="AU504" s="14"/>
      <c r="AV504" s="14">
        <v>-131</v>
      </c>
      <c r="AW504" s="14">
        <v>-150</v>
      </c>
      <c r="AX504" s="48">
        <f t="shared" si="149"/>
        <v>-140.5</v>
      </c>
    </row>
    <row r="505" spans="1:50" ht="10.199999999999999" customHeight="1" x14ac:dyDescent="0.25">
      <c r="A505" s="14">
        <v>46</v>
      </c>
      <c r="B505" s="103">
        <v>39037</v>
      </c>
      <c r="C505" s="103">
        <v>39030</v>
      </c>
      <c r="D505" s="14">
        <v>-88</v>
      </c>
      <c r="E505" s="14">
        <v>-138</v>
      </c>
      <c r="F505" s="48">
        <f t="shared" si="150"/>
        <v>-113</v>
      </c>
      <c r="G505" s="14"/>
      <c r="H505" s="14">
        <v>-50</v>
      </c>
      <c r="I505" s="14">
        <v>-100</v>
      </c>
      <c r="J505" s="48">
        <f t="shared" si="151"/>
        <v>-75</v>
      </c>
      <c r="K505" s="14"/>
      <c r="L505" s="14">
        <v>-50</v>
      </c>
      <c r="M505" s="14">
        <v>-100</v>
      </c>
      <c r="N505" s="48">
        <f t="shared" si="152"/>
        <v>-75</v>
      </c>
      <c r="O505" s="14"/>
      <c r="P505" s="14"/>
      <c r="Q505" s="14"/>
      <c r="R505" s="48"/>
      <c r="S505" s="14"/>
      <c r="T505" s="14"/>
      <c r="U505" s="14"/>
      <c r="V505" s="48"/>
      <c r="W505" s="14"/>
      <c r="X505" s="14"/>
      <c r="Y505" s="14"/>
      <c r="Z505" s="48"/>
      <c r="AA505" s="14"/>
      <c r="AB505" s="14"/>
      <c r="AC505" s="14"/>
      <c r="AD505" s="48"/>
      <c r="AE505" s="14"/>
      <c r="AF505" s="14"/>
      <c r="AG505" s="14"/>
      <c r="AH505" s="48"/>
      <c r="AI505" s="14"/>
      <c r="AJ505" s="14"/>
      <c r="AK505" s="14"/>
      <c r="AL505" s="48"/>
      <c r="AM505" s="14"/>
      <c r="AN505" s="14"/>
      <c r="AO505" s="14"/>
      <c r="AP505" s="48"/>
      <c r="AQ505" s="14"/>
      <c r="AR505" s="14">
        <v>-81</v>
      </c>
      <c r="AS505" s="14">
        <v>-100</v>
      </c>
      <c r="AT505" s="48">
        <f t="shared" si="148"/>
        <v>-90.5</v>
      </c>
      <c r="AU505" s="14"/>
      <c r="AV505" s="14">
        <v>-81</v>
      </c>
      <c r="AW505" s="14">
        <v>-158</v>
      </c>
      <c r="AX505" s="48">
        <f t="shared" si="149"/>
        <v>-119.5</v>
      </c>
    </row>
    <row r="506" spans="1:50" ht="10.199999999999999" customHeight="1" x14ac:dyDescent="0.25">
      <c r="A506" s="14">
        <v>47</v>
      </c>
      <c r="B506" s="103">
        <v>39044</v>
      </c>
      <c r="C506" s="103">
        <v>39037</v>
      </c>
      <c r="D506" s="14">
        <v>-42</v>
      </c>
      <c r="E506" s="14">
        <v>-125</v>
      </c>
      <c r="F506" s="48">
        <f t="shared" si="150"/>
        <v>-83.5</v>
      </c>
      <c r="G506" s="14"/>
      <c r="H506" s="14"/>
      <c r="I506" s="14">
        <v>-50</v>
      </c>
      <c r="J506" s="48">
        <f t="shared" si="151"/>
        <v>-50</v>
      </c>
      <c r="K506" s="14"/>
      <c r="L506" s="14"/>
      <c r="M506" s="14">
        <v>-50</v>
      </c>
      <c r="N506" s="48">
        <f t="shared" si="152"/>
        <v>-50</v>
      </c>
      <c r="O506" s="14"/>
      <c r="P506" s="14"/>
      <c r="Q506" s="14"/>
      <c r="R506" s="48"/>
      <c r="S506" s="14"/>
      <c r="T506" s="14"/>
      <c r="U506" s="14"/>
      <c r="V506" s="48"/>
      <c r="W506" s="14"/>
      <c r="X506" s="14"/>
      <c r="Y506" s="14"/>
      <c r="Z506" s="48"/>
      <c r="AA506" s="14"/>
      <c r="AB506" s="14"/>
      <c r="AC506" s="14"/>
      <c r="AD506" s="48"/>
      <c r="AE506" s="14"/>
      <c r="AF506" s="14"/>
      <c r="AG506" s="14"/>
      <c r="AH506" s="48"/>
      <c r="AI506" s="14"/>
      <c r="AJ506" s="14"/>
      <c r="AK506" s="14"/>
      <c r="AL506" s="48"/>
      <c r="AM506" s="14"/>
      <c r="AN506" s="14"/>
      <c r="AO506" s="14"/>
      <c r="AP506" s="48"/>
      <c r="AQ506" s="14"/>
      <c r="AR506" s="14"/>
      <c r="AS506" s="14"/>
      <c r="AT506" s="48"/>
      <c r="AU506" s="14"/>
      <c r="AV506" s="14">
        <v>-86</v>
      </c>
      <c r="AW506" s="14">
        <v>-181</v>
      </c>
      <c r="AX506" s="48">
        <f t="shared" si="149"/>
        <v>-133.5</v>
      </c>
    </row>
    <row r="507" spans="1:50" ht="10.199999999999999" customHeight="1" x14ac:dyDescent="0.25">
      <c r="A507" s="14">
        <v>48</v>
      </c>
      <c r="B507" s="103">
        <v>39051</v>
      </c>
      <c r="C507" s="103">
        <v>39044</v>
      </c>
      <c r="D507" s="14">
        <v>-38</v>
      </c>
      <c r="E507" s="14">
        <v>-125</v>
      </c>
      <c r="F507" s="48">
        <f t="shared" si="150"/>
        <v>-81.5</v>
      </c>
      <c r="G507" s="14"/>
      <c r="H507" s="14"/>
      <c r="I507" s="14">
        <v>-50</v>
      </c>
      <c r="J507" s="48">
        <f t="shared" si="151"/>
        <v>-50</v>
      </c>
      <c r="K507" s="14"/>
      <c r="L507" s="14"/>
      <c r="M507" s="14">
        <v>-50</v>
      </c>
      <c r="N507" s="48">
        <f t="shared" si="152"/>
        <v>-50</v>
      </c>
      <c r="O507" s="14"/>
      <c r="P507" s="14"/>
      <c r="Q507" s="14"/>
      <c r="R507" s="48"/>
      <c r="S507" s="14"/>
      <c r="T507" s="14"/>
      <c r="U507" s="14"/>
      <c r="V507" s="48"/>
      <c r="W507" s="14"/>
      <c r="X507" s="14"/>
      <c r="Y507" s="14"/>
      <c r="Z507" s="48"/>
      <c r="AA507" s="14"/>
      <c r="AB507" s="14"/>
      <c r="AC507" s="14"/>
      <c r="AD507" s="48"/>
      <c r="AE507" s="14"/>
      <c r="AF507" s="14"/>
      <c r="AG507" s="14"/>
      <c r="AH507" s="48"/>
      <c r="AI507" s="14"/>
      <c r="AJ507" s="14"/>
      <c r="AK507" s="14"/>
      <c r="AL507" s="48"/>
      <c r="AM507" s="14"/>
      <c r="AN507" s="14"/>
      <c r="AO507" s="14"/>
      <c r="AP507" s="48"/>
      <c r="AQ507" s="14"/>
      <c r="AR507" s="14"/>
      <c r="AS507" s="14"/>
      <c r="AT507" s="48"/>
      <c r="AU507" s="14"/>
      <c r="AV507" s="14">
        <v>3</v>
      </c>
      <c r="AW507" s="14">
        <v>-125</v>
      </c>
      <c r="AX507" s="48">
        <f t="shared" si="149"/>
        <v>-61</v>
      </c>
    </row>
    <row r="508" spans="1:50" ht="10.199999999999999" customHeight="1" x14ac:dyDescent="0.25">
      <c r="A508" s="14">
        <v>49</v>
      </c>
      <c r="B508" s="103">
        <v>39058</v>
      </c>
      <c r="C508" s="103">
        <v>39051</v>
      </c>
      <c r="D508" s="14">
        <v>0</v>
      </c>
      <c r="E508" s="14">
        <v>-100</v>
      </c>
      <c r="F508" s="48">
        <f t="shared" si="150"/>
        <v>-50</v>
      </c>
      <c r="G508" s="14"/>
      <c r="H508" s="14"/>
      <c r="I508" s="14">
        <v>-50</v>
      </c>
      <c r="J508" s="48">
        <f t="shared" si="151"/>
        <v>-50</v>
      </c>
      <c r="K508" s="14"/>
      <c r="L508" s="14"/>
      <c r="M508" s="14">
        <v>-50</v>
      </c>
      <c r="N508" s="48">
        <f t="shared" si="152"/>
        <v>-50</v>
      </c>
      <c r="O508" s="14"/>
      <c r="P508" s="14"/>
      <c r="Q508" s="14"/>
      <c r="R508" s="48"/>
      <c r="S508" s="14"/>
      <c r="T508" s="14"/>
      <c r="U508" s="14"/>
      <c r="V508" s="48"/>
      <c r="W508" s="14"/>
      <c r="X508" s="14"/>
      <c r="Y508" s="14"/>
      <c r="Z508" s="48"/>
      <c r="AA508" s="14"/>
      <c r="AB508" s="14"/>
      <c r="AC508" s="14"/>
      <c r="AD508" s="48"/>
      <c r="AE508" s="14"/>
      <c r="AF508" s="14"/>
      <c r="AG508" s="14"/>
      <c r="AH508" s="48"/>
      <c r="AI508" s="14"/>
      <c r="AJ508" s="14"/>
      <c r="AK508" s="14"/>
      <c r="AL508" s="48"/>
      <c r="AM508" s="14"/>
      <c r="AN508" s="47"/>
      <c r="AO508" s="14"/>
      <c r="AP508" s="48"/>
      <c r="AQ508" s="14"/>
      <c r="AR508" s="14"/>
      <c r="AS508" s="14"/>
      <c r="AT508" s="48"/>
      <c r="AU508" s="14"/>
      <c r="AV508" s="14">
        <v>23</v>
      </c>
      <c r="AW508" s="14">
        <v>-150</v>
      </c>
      <c r="AX508" s="48">
        <f t="shared" si="149"/>
        <v>-63.5</v>
      </c>
    </row>
    <row r="509" spans="1:50" ht="10.199999999999999" customHeight="1" x14ac:dyDescent="0.25">
      <c r="A509" s="14">
        <v>50</v>
      </c>
      <c r="B509" s="103">
        <v>39065</v>
      </c>
      <c r="C509" s="103">
        <v>39058</v>
      </c>
      <c r="D509" s="14">
        <v>-8</v>
      </c>
      <c r="E509" s="14">
        <v>-109</v>
      </c>
      <c r="F509" s="48">
        <f t="shared" si="150"/>
        <v>-58.5</v>
      </c>
      <c r="G509" s="14"/>
      <c r="H509" s="14">
        <v>0</v>
      </c>
      <c r="I509" s="14">
        <v>-90</v>
      </c>
      <c r="J509" s="48">
        <f t="shared" si="151"/>
        <v>-45</v>
      </c>
      <c r="K509" s="14"/>
      <c r="L509" s="14"/>
      <c r="M509" s="14">
        <v>-90</v>
      </c>
      <c r="N509" s="48">
        <f t="shared" si="152"/>
        <v>-90</v>
      </c>
      <c r="O509" s="14"/>
      <c r="P509" s="14"/>
      <c r="Q509" s="14"/>
      <c r="R509" s="48"/>
      <c r="S509" s="14"/>
      <c r="T509" s="14"/>
      <c r="U509" s="14"/>
      <c r="V509" s="48"/>
      <c r="W509" s="14"/>
      <c r="X509" s="14"/>
      <c r="Y509" s="14"/>
      <c r="Z509" s="48"/>
      <c r="AA509" s="14"/>
      <c r="AB509" s="14"/>
      <c r="AC509" s="14"/>
      <c r="AD509" s="48"/>
      <c r="AE509" s="14"/>
      <c r="AF509" s="14"/>
      <c r="AG509" s="14"/>
      <c r="AH509" s="48"/>
      <c r="AI509" s="14"/>
      <c r="AJ509" s="14"/>
      <c r="AK509" s="14"/>
      <c r="AL509" s="48"/>
      <c r="AM509" s="14"/>
      <c r="AN509" s="14"/>
      <c r="AO509" s="14"/>
      <c r="AP509" s="48"/>
      <c r="AQ509" s="14"/>
      <c r="AR509" s="14"/>
      <c r="AS509" s="14"/>
      <c r="AT509" s="48"/>
      <c r="AU509" s="14"/>
      <c r="AV509" s="14">
        <v>-21</v>
      </c>
      <c r="AW509" s="14"/>
      <c r="AX509" s="48">
        <f t="shared" si="149"/>
        <v>-21</v>
      </c>
    </row>
    <row r="510" spans="1:50" ht="10.199999999999999" customHeight="1" x14ac:dyDescent="0.25">
      <c r="A510" s="14">
        <v>51</v>
      </c>
      <c r="B510" s="103">
        <v>39072</v>
      </c>
      <c r="C510" s="103">
        <v>39065</v>
      </c>
      <c r="D510" s="14">
        <v>-19</v>
      </c>
      <c r="E510" s="14">
        <v>-94</v>
      </c>
      <c r="F510" s="48">
        <f t="shared" si="150"/>
        <v>-56.5</v>
      </c>
      <c r="G510" s="14"/>
      <c r="H510" s="14">
        <v>-19</v>
      </c>
      <c r="I510" s="14">
        <v>-100</v>
      </c>
      <c r="J510" s="48">
        <f t="shared" si="151"/>
        <v>-59.5</v>
      </c>
      <c r="K510" s="14"/>
      <c r="L510" s="14">
        <v>-19</v>
      </c>
      <c r="M510" s="14">
        <v>-106</v>
      </c>
      <c r="N510" s="48">
        <f t="shared" si="152"/>
        <v>-62.5</v>
      </c>
      <c r="O510" s="14"/>
      <c r="P510" s="14"/>
      <c r="Q510" s="14"/>
      <c r="R510" s="48"/>
      <c r="S510" s="14"/>
      <c r="T510" s="14"/>
      <c r="U510" s="14"/>
      <c r="V510" s="48"/>
      <c r="W510" s="14"/>
      <c r="X510" s="14"/>
      <c r="Y510" s="14"/>
      <c r="Z510" s="48"/>
      <c r="AA510" s="14"/>
      <c r="AB510" s="14"/>
      <c r="AC510" s="14"/>
      <c r="AD510" s="48"/>
      <c r="AE510" s="14"/>
      <c r="AF510" s="14"/>
      <c r="AG510" s="14"/>
      <c r="AH510" s="48"/>
      <c r="AI510" s="14"/>
      <c r="AJ510" s="14"/>
      <c r="AK510" s="14"/>
      <c r="AL510" s="48"/>
      <c r="AM510" s="14"/>
      <c r="AN510" s="14"/>
      <c r="AO510" s="14"/>
      <c r="AP510" s="48"/>
      <c r="AQ510" s="14"/>
      <c r="AR510" s="14"/>
      <c r="AS510" s="14"/>
      <c r="AT510" s="48"/>
      <c r="AU510" s="14"/>
      <c r="AV510" s="14">
        <v>25</v>
      </c>
      <c r="AW510" s="14"/>
      <c r="AX510" s="48">
        <f t="shared" si="149"/>
        <v>25</v>
      </c>
    </row>
    <row r="511" spans="1:50" ht="10.199999999999999" customHeight="1" x14ac:dyDescent="0.25">
      <c r="A511" s="14">
        <v>52</v>
      </c>
      <c r="B511" s="103">
        <v>39079</v>
      </c>
      <c r="C511" s="103">
        <v>39072</v>
      </c>
      <c r="D511" s="14">
        <v>-27</v>
      </c>
      <c r="E511" s="14">
        <v>-133</v>
      </c>
      <c r="F511" s="48">
        <f t="shared" si="150"/>
        <v>-80</v>
      </c>
      <c r="G511" s="14"/>
      <c r="H511" s="14">
        <v>-31</v>
      </c>
      <c r="I511" s="14">
        <v>-117</v>
      </c>
      <c r="J511" s="48">
        <f t="shared" si="151"/>
        <v>-74</v>
      </c>
      <c r="K511" s="14"/>
      <c r="L511" s="14">
        <v>-31</v>
      </c>
      <c r="M511" s="14">
        <v>-125</v>
      </c>
      <c r="N511" s="48">
        <f t="shared" si="152"/>
        <v>-78</v>
      </c>
      <c r="O511" s="14"/>
      <c r="P511" s="14"/>
      <c r="Q511" s="14">
        <v>-125</v>
      </c>
      <c r="R511" s="48">
        <f t="shared" ref="R511:R527" si="153">AVERAGE(P511,Q511)</f>
        <v>-125</v>
      </c>
      <c r="S511" s="14"/>
      <c r="T511" s="14"/>
      <c r="U511" s="14"/>
      <c r="V511" s="48"/>
      <c r="W511" s="14"/>
      <c r="X511" s="14"/>
      <c r="Y511" s="14"/>
      <c r="Z511" s="48"/>
      <c r="AA511" s="14"/>
      <c r="AB511" s="14"/>
      <c r="AC511" s="14"/>
      <c r="AD511" s="48"/>
      <c r="AE511" s="14"/>
      <c r="AF511" s="14"/>
      <c r="AG511" s="14"/>
      <c r="AH511" s="48"/>
      <c r="AI511" s="14"/>
      <c r="AJ511" s="14"/>
      <c r="AK511" s="14"/>
      <c r="AL511" s="48"/>
      <c r="AM511" s="14"/>
      <c r="AN511" s="14"/>
      <c r="AO511" s="14"/>
      <c r="AP511" s="48"/>
      <c r="AQ511" s="14"/>
      <c r="AR511" s="14"/>
      <c r="AS511" s="14"/>
      <c r="AT511" s="48"/>
      <c r="AU511" s="14"/>
      <c r="AV511" s="14">
        <v>0</v>
      </c>
      <c r="AW511" s="14"/>
      <c r="AX511" s="48">
        <f t="shared" si="149"/>
        <v>0</v>
      </c>
    </row>
    <row r="512" spans="1:50" ht="10.199999999999999" customHeight="1" x14ac:dyDescent="0.25">
      <c r="A512" s="14">
        <v>1</v>
      </c>
      <c r="B512" s="103">
        <v>39086</v>
      </c>
      <c r="C512" s="103">
        <v>39079</v>
      </c>
      <c r="D512" s="14">
        <v>-12</v>
      </c>
      <c r="E512" s="14">
        <v>-138</v>
      </c>
      <c r="F512" s="48">
        <f t="shared" si="150"/>
        <v>-75</v>
      </c>
      <c r="G512" s="14"/>
      <c r="H512" s="14">
        <v>-31</v>
      </c>
      <c r="I512" s="14">
        <v>-125</v>
      </c>
      <c r="J512" s="48">
        <f t="shared" si="151"/>
        <v>-78</v>
      </c>
      <c r="K512" s="14"/>
      <c r="L512" s="14">
        <v>-31</v>
      </c>
      <c r="M512" s="14">
        <v>-125</v>
      </c>
      <c r="N512" s="48">
        <f t="shared" si="152"/>
        <v>-78</v>
      </c>
      <c r="O512" s="14"/>
      <c r="P512" s="14"/>
      <c r="Q512" s="14">
        <v>-138</v>
      </c>
      <c r="R512" s="48">
        <f t="shared" si="153"/>
        <v>-138</v>
      </c>
      <c r="S512" s="14"/>
      <c r="T512" s="14"/>
      <c r="U512" s="14"/>
      <c r="V512" s="48"/>
      <c r="W512" s="14"/>
      <c r="X512" s="14"/>
      <c r="Y512" s="14"/>
      <c r="Z512" s="48"/>
      <c r="AA512" s="14"/>
      <c r="AB512" s="14"/>
      <c r="AC512" s="14"/>
      <c r="AD512" s="48"/>
      <c r="AE512" s="14"/>
      <c r="AF512" s="14"/>
      <c r="AG512" s="14"/>
      <c r="AH512" s="48"/>
      <c r="AI512" s="14"/>
      <c r="AJ512" s="14"/>
      <c r="AK512" s="14"/>
      <c r="AL512" s="48"/>
      <c r="AM512" s="14"/>
      <c r="AN512" s="14"/>
      <c r="AO512" s="14"/>
      <c r="AP512" s="48"/>
      <c r="AQ512" s="14"/>
      <c r="AR512" s="14"/>
      <c r="AS512" s="14"/>
      <c r="AT512" s="48"/>
      <c r="AU512" s="14"/>
      <c r="AV512" s="14"/>
      <c r="AW512" s="14"/>
      <c r="AX512" s="48"/>
    </row>
    <row r="513" spans="1:50" ht="10.199999999999999" customHeight="1" x14ac:dyDescent="0.25">
      <c r="A513" s="14">
        <v>2</v>
      </c>
      <c r="B513" s="103">
        <v>39093</v>
      </c>
      <c r="C513" s="103">
        <v>39086</v>
      </c>
      <c r="D513" s="14">
        <v>32</v>
      </c>
      <c r="E513" s="14">
        <v>-175</v>
      </c>
      <c r="F513" s="48">
        <f t="shared" si="150"/>
        <v>-71.5</v>
      </c>
      <c r="G513" s="14"/>
      <c r="H513" s="14">
        <v>-19</v>
      </c>
      <c r="I513" s="14">
        <v>-150</v>
      </c>
      <c r="J513" s="48">
        <f t="shared" si="151"/>
        <v>-84.5</v>
      </c>
      <c r="K513" s="14"/>
      <c r="L513" s="14">
        <v>-19</v>
      </c>
      <c r="M513" s="14">
        <v>-144</v>
      </c>
      <c r="N513" s="48">
        <f t="shared" si="152"/>
        <v>-81.5</v>
      </c>
      <c r="O513" s="14"/>
      <c r="P513" s="14"/>
      <c r="Q513" s="14">
        <v>-100</v>
      </c>
      <c r="R513" s="48">
        <f t="shared" si="153"/>
        <v>-100</v>
      </c>
      <c r="S513" s="14"/>
      <c r="T513" s="14"/>
      <c r="U513" s="14"/>
      <c r="V513" s="48"/>
      <c r="W513" s="14"/>
      <c r="X513" s="14"/>
      <c r="Y513" s="14"/>
      <c r="Z513" s="48"/>
      <c r="AA513" s="14"/>
      <c r="AB513" s="14"/>
      <c r="AC513" s="14"/>
      <c r="AD513" s="48"/>
      <c r="AE513" s="14"/>
      <c r="AF513" s="14"/>
      <c r="AG513" s="14"/>
      <c r="AH513" s="48"/>
      <c r="AI513" s="14"/>
      <c r="AJ513" s="14"/>
      <c r="AK513" s="14"/>
      <c r="AL513" s="48"/>
      <c r="AM513" s="14"/>
      <c r="AN513" s="14"/>
      <c r="AO513" s="14"/>
      <c r="AP513" s="48"/>
      <c r="AQ513" s="14"/>
      <c r="AR513" s="14"/>
      <c r="AS513" s="14"/>
      <c r="AT513" s="48"/>
      <c r="AU513" s="14"/>
      <c r="AV513" s="14"/>
      <c r="AW513" s="14"/>
      <c r="AX513" s="104"/>
    </row>
    <row r="514" spans="1:50" ht="10.199999999999999" customHeight="1" x14ac:dyDescent="0.25">
      <c r="A514" s="14">
        <v>3</v>
      </c>
      <c r="B514" s="103">
        <v>39100</v>
      </c>
      <c r="C514" s="103">
        <v>39093</v>
      </c>
      <c r="D514" s="14">
        <v>-38</v>
      </c>
      <c r="E514" s="14"/>
      <c r="F514" s="48">
        <f t="shared" si="150"/>
        <v>-38</v>
      </c>
      <c r="G514" s="14"/>
      <c r="H514" s="14">
        <v>-29</v>
      </c>
      <c r="I514" s="14">
        <v>-175</v>
      </c>
      <c r="J514" s="48">
        <f t="shared" si="151"/>
        <v>-102</v>
      </c>
      <c r="K514" s="14"/>
      <c r="L514" s="14">
        <v>-44</v>
      </c>
      <c r="M514" s="14">
        <v>-133</v>
      </c>
      <c r="N514" s="48">
        <f t="shared" si="152"/>
        <v>-88.5</v>
      </c>
      <c r="O514" s="14"/>
      <c r="P514" s="14">
        <v>0</v>
      </c>
      <c r="Q514" s="14">
        <v>-100</v>
      </c>
      <c r="R514" s="48">
        <f t="shared" si="153"/>
        <v>-50</v>
      </c>
      <c r="S514" s="14"/>
      <c r="T514" s="14">
        <v>0</v>
      </c>
      <c r="U514" s="14"/>
      <c r="V514" s="48">
        <f t="shared" ref="V514:V531" si="154">AVERAGE(T514,U514)</f>
        <v>0</v>
      </c>
      <c r="W514" s="14"/>
      <c r="X514" s="14">
        <v>0</v>
      </c>
      <c r="Y514" s="14"/>
      <c r="Z514" s="48">
        <f t="shared" ref="Z514:Z536" si="155">AVERAGE(X514,Y514)</f>
        <v>0</v>
      </c>
      <c r="AA514" s="14"/>
      <c r="AB514" s="14">
        <v>0</v>
      </c>
      <c r="AC514" s="14"/>
      <c r="AD514" s="48">
        <f t="shared" ref="AD514:AD540" si="156">AVERAGE(AB514,AC514)</f>
        <v>0</v>
      </c>
      <c r="AE514" s="14"/>
      <c r="AF514" s="14"/>
      <c r="AG514" s="14"/>
      <c r="AH514" s="48"/>
      <c r="AI514" s="14"/>
      <c r="AJ514" s="14"/>
      <c r="AK514" s="14"/>
      <c r="AL514" s="48"/>
      <c r="AM514" s="14"/>
      <c r="AN514" s="14"/>
      <c r="AO514" s="14"/>
      <c r="AP514" s="48"/>
      <c r="AQ514" s="14"/>
      <c r="AR514" s="14"/>
      <c r="AS514" s="14"/>
      <c r="AT514" s="48"/>
      <c r="AU514" s="14"/>
      <c r="AV514" s="14"/>
      <c r="AW514" s="14"/>
      <c r="AX514" s="49"/>
    </row>
    <row r="515" spans="1:50" ht="10.199999999999999" customHeight="1" x14ac:dyDescent="0.25">
      <c r="A515" s="14">
        <v>4</v>
      </c>
      <c r="B515" s="103">
        <v>39107</v>
      </c>
      <c r="C515" s="103">
        <v>39100</v>
      </c>
      <c r="D515" s="14"/>
      <c r="E515" s="14"/>
      <c r="F515" s="48"/>
      <c r="G515" s="14"/>
      <c r="H515" s="14">
        <v>-38</v>
      </c>
      <c r="I515" s="14">
        <v>-144</v>
      </c>
      <c r="J515" s="48">
        <f t="shared" si="151"/>
        <v>-91</v>
      </c>
      <c r="K515" s="14"/>
      <c r="L515" s="14">
        <v>-38</v>
      </c>
      <c r="M515" s="14">
        <v>-133</v>
      </c>
      <c r="N515" s="48">
        <f t="shared" si="152"/>
        <v>-85.5</v>
      </c>
      <c r="O515" s="14"/>
      <c r="P515" s="14">
        <v>0</v>
      </c>
      <c r="Q515" s="14">
        <v>-100</v>
      </c>
      <c r="R515" s="48">
        <f t="shared" si="153"/>
        <v>-50</v>
      </c>
      <c r="S515" s="14"/>
      <c r="T515" s="14">
        <v>0</v>
      </c>
      <c r="U515" s="14"/>
      <c r="V515" s="48">
        <f t="shared" si="154"/>
        <v>0</v>
      </c>
      <c r="W515" s="14"/>
      <c r="X515" s="14">
        <v>0</v>
      </c>
      <c r="Y515" s="14"/>
      <c r="Z515" s="48">
        <f t="shared" si="155"/>
        <v>0</v>
      </c>
      <c r="AA515" s="14"/>
      <c r="AB515" s="14">
        <v>0</v>
      </c>
      <c r="AC515" s="14"/>
      <c r="AD515" s="48">
        <f t="shared" si="156"/>
        <v>0</v>
      </c>
      <c r="AE515" s="14"/>
      <c r="AF515" s="14">
        <v>0</v>
      </c>
      <c r="AG515" s="14"/>
      <c r="AH515" s="48">
        <f>AVERAGE(AF515,AG515)</f>
        <v>0</v>
      </c>
      <c r="AI515" s="14"/>
      <c r="AJ515" s="14"/>
      <c r="AK515" s="14"/>
      <c r="AL515" s="48"/>
      <c r="AM515" s="14"/>
      <c r="AN515" s="14"/>
      <c r="AO515" s="14"/>
      <c r="AP515" s="48"/>
      <c r="AQ515" s="14"/>
      <c r="AR515" s="14"/>
      <c r="AS515" s="14"/>
      <c r="AT515" s="48"/>
      <c r="AU515" s="14"/>
      <c r="AV515" s="14"/>
      <c r="AW515" s="14"/>
      <c r="AX515" s="49"/>
    </row>
    <row r="516" spans="1:50" ht="10.199999999999999" customHeight="1" x14ac:dyDescent="0.25">
      <c r="A516" s="14">
        <v>5</v>
      </c>
      <c r="B516" s="103">
        <v>39114</v>
      </c>
      <c r="C516" s="103">
        <v>39107</v>
      </c>
      <c r="D516" s="14"/>
      <c r="E516" s="14"/>
      <c r="F516" s="48"/>
      <c r="G516" s="14"/>
      <c r="H516" s="14">
        <v>-16</v>
      </c>
      <c r="I516" s="14">
        <v>-192</v>
      </c>
      <c r="J516" s="48">
        <f t="shared" si="151"/>
        <v>-104</v>
      </c>
      <c r="K516" s="14"/>
      <c r="L516" s="14">
        <v>-31</v>
      </c>
      <c r="M516" s="14">
        <v>-194</v>
      </c>
      <c r="N516" s="48">
        <f t="shared" si="152"/>
        <v>-112.5</v>
      </c>
      <c r="O516" s="14"/>
      <c r="P516" s="14"/>
      <c r="Q516" s="14">
        <v>-100</v>
      </c>
      <c r="R516" s="48">
        <f t="shared" si="153"/>
        <v>-100</v>
      </c>
      <c r="S516" s="14"/>
      <c r="T516" s="14">
        <v>-40</v>
      </c>
      <c r="U516" s="14">
        <v>-100</v>
      </c>
      <c r="V516" s="48">
        <f t="shared" si="154"/>
        <v>-70</v>
      </c>
      <c r="W516" s="14"/>
      <c r="X516" s="14">
        <v>-45</v>
      </c>
      <c r="Y516" s="14">
        <v>-100</v>
      </c>
      <c r="Z516" s="48">
        <f t="shared" si="155"/>
        <v>-72.5</v>
      </c>
      <c r="AA516" s="14"/>
      <c r="AB516" s="14"/>
      <c r="AC516" s="14">
        <v>-50</v>
      </c>
      <c r="AD516" s="48">
        <f t="shared" si="156"/>
        <v>-50</v>
      </c>
      <c r="AE516" s="14"/>
      <c r="AF516" s="14"/>
      <c r="AG516" s="14"/>
      <c r="AH516" s="48"/>
      <c r="AI516" s="14"/>
      <c r="AJ516" s="14"/>
      <c r="AK516" s="14"/>
      <c r="AL516" s="48"/>
      <c r="AM516" s="14"/>
      <c r="AN516" s="14"/>
      <c r="AO516" s="14"/>
      <c r="AP516" s="48"/>
      <c r="AQ516" s="14"/>
      <c r="AR516" s="14"/>
      <c r="AS516" s="14"/>
      <c r="AT516" s="48"/>
      <c r="AU516" s="14"/>
      <c r="AV516" s="14"/>
      <c r="AW516" s="14"/>
      <c r="AX516" s="49"/>
    </row>
    <row r="517" spans="1:50" ht="10.199999999999999" customHeight="1" x14ac:dyDescent="0.25">
      <c r="A517" s="14">
        <v>6</v>
      </c>
      <c r="B517" s="103">
        <v>39121</v>
      </c>
      <c r="C517" s="103">
        <v>39114</v>
      </c>
      <c r="D517" s="14"/>
      <c r="E517" s="14"/>
      <c r="F517" s="48"/>
      <c r="G517" s="14"/>
      <c r="H517" s="14">
        <v>-32</v>
      </c>
      <c r="I517" s="14">
        <v>-192</v>
      </c>
      <c r="J517" s="48">
        <f t="shared" si="151"/>
        <v>-112</v>
      </c>
      <c r="K517" s="14"/>
      <c r="L517" s="14">
        <v>-38</v>
      </c>
      <c r="M517" s="14">
        <v>-197</v>
      </c>
      <c r="N517" s="48">
        <f t="shared" si="152"/>
        <v>-117.5</v>
      </c>
      <c r="O517" s="14"/>
      <c r="P517" s="14">
        <v>-58</v>
      </c>
      <c r="Q517" s="14">
        <v>-188</v>
      </c>
      <c r="R517" s="48">
        <f t="shared" si="153"/>
        <v>-123</v>
      </c>
      <c r="S517" s="14"/>
      <c r="T517" s="14">
        <v>-55</v>
      </c>
      <c r="U517" s="14">
        <v>-188</v>
      </c>
      <c r="V517" s="48">
        <f t="shared" si="154"/>
        <v>-121.5</v>
      </c>
      <c r="W517" s="14"/>
      <c r="X517" s="14">
        <v>-45</v>
      </c>
      <c r="Y517" s="14">
        <v>-125</v>
      </c>
      <c r="Z517" s="48">
        <f t="shared" si="155"/>
        <v>-85</v>
      </c>
      <c r="AA517" s="14"/>
      <c r="AB517" s="14"/>
      <c r="AC517" s="14">
        <v>-83</v>
      </c>
      <c r="AD517" s="48">
        <f t="shared" si="156"/>
        <v>-83</v>
      </c>
      <c r="AE517" s="14"/>
      <c r="AF517" s="14"/>
      <c r="AG517" s="14"/>
      <c r="AH517" s="48"/>
      <c r="AI517" s="14"/>
      <c r="AJ517" s="14"/>
      <c r="AK517" s="14"/>
      <c r="AL517" s="48"/>
      <c r="AM517" s="14"/>
      <c r="AN517" s="14"/>
      <c r="AO517" s="14"/>
      <c r="AP517" s="48"/>
      <c r="AQ517" s="14"/>
      <c r="AR517" s="14"/>
      <c r="AS517" s="14"/>
      <c r="AT517" s="48"/>
      <c r="AU517" s="14"/>
      <c r="AV517" s="14"/>
      <c r="AW517" s="14"/>
      <c r="AX517" s="49"/>
    </row>
    <row r="518" spans="1:50" ht="10.199999999999999" customHeight="1" x14ac:dyDescent="0.25">
      <c r="A518" s="14">
        <v>7</v>
      </c>
      <c r="B518" s="103">
        <v>39128</v>
      </c>
      <c r="C518" s="103">
        <v>39121</v>
      </c>
      <c r="D518" s="14"/>
      <c r="E518" s="14"/>
      <c r="F518" s="48"/>
      <c r="G518" s="14"/>
      <c r="H518" s="14">
        <v>-50</v>
      </c>
      <c r="I518" s="14"/>
      <c r="J518" s="48">
        <f t="shared" si="151"/>
        <v>-50</v>
      </c>
      <c r="K518" s="14"/>
      <c r="L518" s="14">
        <v>-53</v>
      </c>
      <c r="M518" s="14">
        <v>-206</v>
      </c>
      <c r="N518" s="48">
        <f t="shared" si="152"/>
        <v>-129.5</v>
      </c>
      <c r="O518" s="14"/>
      <c r="P518" s="14">
        <v>-63</v>
      </c>
      <c r="Q518" s="14">
        <v>-200</v>
      </c>
      <c r="R518" s="48">
        <f t="shared" si="153"/>
        <v>-131.5</v>
      </c>
      <c r="S518" s="14"/>
      <c r="T518" s="14">
        <v>-50</v>
      </c>
      <c r="U518" s="14">
        <v>-200</v>
      </c>
      <c r="V518" s="48">
        <f t="shared" si="154"/>
        <v>-125</v>
      </c>
      <c r="W518" s="14"/>
      <c r="X518" s="14">
        <v>-45</v>
      </c>
      <c r="Y518" s="14">
        <v>-125</v>
      </c>
      <c r="Z518" s="48">
        <f t="shared" si="155"/>
        <v>-85</v>
      </c>
      <c r="AA518" s="14"/>
      <c r="AB518" s="14"/>
      <c r="AC518" s="14">
        <v>-83</v>
      </c>
      <c r="AD518" s="48">
        <f t="shared" si="156"/>
        <v>-83</v>
      </c>
      <c r="AE518" s="14"/>
      <c r="AF518" s="14"/>
      <c r="AG518" s="14"/>
      <c r="AH518" s="48"/>
      <c r="AI518" s="14"/>
      <c r="AJ518" s="14"/>
      <c r="AK518" s="14"/>
      <c r="AL518" s="48"/>
      <c r="AM518" s="14"/>
      <c r="AN518" s="14"/>
      <c r="AO518" s="14"/>
      <c r="AP518" s="48"/>
      <c r="AQ518" s="14"/>
      <c r="AR518" s="14"/>
      <c r="AS518" s="14"/>
      <c r="AT518" s="48"/>
      <c r="AU518" s="14"/>
      <c r="AV518" s="14"/>
      <c r="AW518" s="14"/>
      <c r="AX518" s="49"/>
    </row>
    <row r="519" spans="1:50" ht="10.199999999999999" customHeight="1" x14ac:dyDescent="0.25">
      <c r="A519" s="14">
        <v>8</v>
      </c>
      <c r="B519" s="103">
        <v>39135</v>
      </c>
      <c r="C519" s="103">
        <v>39128</v>
      </c>
      <c r="D519" s="14"/>
      <c r="E519" s="14"/>
      <c r="F519" s="48"/>
      <c r="G519" s="14"/>
      <c r="H519" s="14">
        <v>-45</v>
      </c>
      <c r="I519" s="14"/>
      <c r="J519" s="48">
        <f t="shared" si="151"/>
        <v>-45</v>
      </c>
      <c r="K519" s="14"/>
      <c r="L519" s="14">
        <v>-45</v>
      </c>
      <c r="M519" s="14">
        <v>-194</v>
      </c>
      <c r="N519" s="48">
        <f t="shared" si="152"/>
        <v>-119.5</v>
      </c>
      <c r="O519" s="14"/>
      <c r="P519" s="14">
        <v>-67</v>
      </c>
      <c r="Q519" s="14">
        <v>-200</v>
      </c>
      <c r="R519" s="48">
        <f t="shared" si="153"/>
        <v>-133.5</v>
      </c>
      <c r="S519" s="14"/>
      <c r="T519" s="14">
        <v>-75</v>
      </c>
      <c r="U519" s="14">
        <v>-200</v>
      </c>
      <c r="V519" s="48">
        <f t="shared" si="154"/>
        <v>-137.5</v>
      </c>
      <c r="W519" s="14"/>
      <c r="X519" s="14">
        <v>-45</v>
      </c>
      <c r="Y519" s="14">
        <v>-142</v>
      </c>
      <c r="Z519" s="48">
        <f t="shared" si="155"/>
        <v>-93.5</v>
      </c>
      <c r="AA519" s="14"/>
      <c r="AB519" s="14">
        <v>-5</v>
      </c>
      <c r="AC519" s="14">
        <v>-100</v>
      </c>
      <c r="AD519" s="48">
        <f t="shared" si="156"/>
        <v>-52.5</v>
      </c>
      <c r="AE519" s="14"/>
      <c r="AF519" s="14">
        <v>-25</v>
      </c>
      <c r="AG519" s="14"/>
      <c r="AH519" s="48">
        <f t="shared" ref="AH519:AH544" si="157">AVERAGE(AF519,AG519)</f>
        <v>-25</v>
      </c>
      <c r="AI519" s="14"/>
      <c r="AJ519" s="14"/>
      <c r="AK519" s="14"/>
      <c r="AL519" s="48"/>
      <c r="AM519" s="14"/>
      <c r="AN519" s="14"/>
      <c r="AO519" s="14"/>
      <c r="AP519" s="48"/>
      <c r="AQ519" s="14"/>
      <c r="AR519" s="14"/>
      <c r="AS519" s="14"/>
      <c r="AT519" s="48"/>
      <c r="AU519" s="14"/>
      <c r="AV519" s="14"/>
      <c r="AW519" s="14"/>
      <c r="AX519" s="49"/>
    </row>
    <row r="520" spans="1:50" ht="10.199999999999999" customHeight="1" x14ac:dyDescent="0.25">
      <c r="A520" s="14">
        <v>9</v>
      </c>
      <c r="B520" s="103">
        <v>39142</v>
      </c>
      <c r="C520" s="103">
        <v>39135</v>
      </c>
      <c r="D520" s="14"/>
      <c r="E520" s="14"/>
      <c r="F520" s="48"/>
      <c r="G520" s="14"/>
      <c r="H520" s="14"/>
      <c r="I520" s="14"/>
      <c r="J520" s="48"/>
      <c r="K520" s="14"/>
      <c r="L520" s="14">
        <v>-25</v>
      </c>
      <c r="M520" s="14">
        <v>-207</v>
      </c>
      <c r="N520" s="48">
        <f t="shared" si="152"/>
        <v>-116</v>
      </c>
      <c r="O520" s="14"/>
      <c r="P520" s="14">
        <v>-58</v>
      </c>
      <c r="Q520" s="14">
        <v>-188</v>
      </c>
      <c r="R520" s="48">
        <f t="shared" si="153"/>
        <v>-123</v>
      </c>
      <c r="S520" s="14"/>
      <c r="T520" s="14">
        <v>-44</v>
      </c>
      <c r="U520" s="14">
        <v>-188</v>
      </c>
      <c r="V520" s="48">
        <f t="shared" si="154"/>
        <v>-116</v>
      </c>
      <c r="W520" s="14"/>
      <c r="X520" s="14">
        <v>-42</v>
      </c>
      <c r="Y520" s="14">
        <v>-167</v>
      </c>
      <c r="Z520" s="48">
        <f t="shared" si="155"/>
        <v>-104.5</v>
      </c>
      <c r="AA520" s="14"/>
      <c r="AB520" s="14">
        <v>-25</v>
      </c>
      <c r="AC520" s="14">
        <v>-113</v>
      </c>
      <c r="AD520" s="48">
        <f t="shared" si="156"/>
        <v>-69</v>
      </c>
      <c r="AE520" s="14"/>
      <c r="AF520" s="14">
        <v>0</v>
      </c>
      <c r="AG520" s="14"/>
      <c r="AH520" s="48">
        <f t="shared" si="157"/>
        <v>0</v>
      </c>
      <c r="AI520" s="14"/>
      <c r="AJ520" s="14">
        <v>38</v>
      </c>
      <c r="AK520" s="14"/>
      <c r="AL520" s="48">
        <f t="shared" ref="AL520:AL549" si="158">AVERAGE(AJ520,AK520)</f>
        <v>38</v>
      </c>
      <c r="AM520" s="14"/>
      <c r="AN520" s="14"/>
      <c r="AO520" s="14"/>
      <c r="AP520" s="48"/>
      <c r="AQ520" s="14"/>
      <c r="AR520" s="14"/>
      <c r="AS520" s="14"/>
      <c r="AT520" s="48"/>
      <c r="AU520" s="14"/>
      <c r="AV520" s="14"/>
      <c r="AW520" s="14"/>
      <c r="AX520" s="49"/>
    </row>
    <row r="521" spans="1:50" ht="10.199999999999999" customHeight="1" x14ac:dyDescent="0.25">
      <c r="A521" s="14">
        <v>10</v>
      </c>
      <c r="B521" s="103">
        <v>39149</v>
      </c>
      <c r="C521" s="103">
        <v>39142</v>
      </c>
      <c r="D521" s="14"/>
      <c r="E521" s="14"/>
      <c r="F521" s="48"/>
      <c r="G521" s="14"/>
      <c r="H521" s="14"/>
      <c r="I521" s="14"/>
      <c r="J521" s="48"/>
      <c r="K521" s="14"/>
      <c r="L521" s="14">
        <v>-25</v>
      </c>
      <c r="M521" s="14">
        <v>-225</v>
      </c>
      <c r="N521" s="48">
        <f t="shared" si="152"/>
        <v>-125</v>
      </c>
      <c r="O521" s="14"/>
      <c r="P521" s="14">
        <v>-37</v>
      </c>
      <c r="Q521" s="14">
        <v>-188</v>
      </c>
      <c r="R521" s="48">
        <f t="shared" si="153"/>
        <v>-112.5</v>
      </c>
      <c r="S521" s="14"/>
      <c r="T521" s="14">
        <v>-36</v>
      </c>
      <c r="U521" s="14">
        <v>-188</v>
      </c>
      <c r="V521" s="48">
        <f t="shared" si="154"/>
        <v>-112</v>
      </c>
      <c r="W521" s="14"/>
      <c r="X521" s="14">
        <v>-27</v>
      </c>
      <c r="Y521" s="14">
        <v>-163</v>
      </c>
      <c r="Z521" s="48">
        <f t="shared" si="155"/>
        <v>-95</v>
      </c>
      <c r="AA521" s="14"/>
      <c r="AB521" s="14">
        <v>-25</v>
      </c>
      <c r="AC521" s="14">
        <v>-113</v>
      </c>
      <c r="AD521" s="48">
        <f t="shared" si="156"/>
        <v>-69</v>
      </c>
      <c r="AE521" s="14"/>
      <c r="AF521" s="14">
        <v>0</v>
      </c>
      <c r="AG521" s="14"/>
      <c r="AH521" s="48">
        <f t="shared" si="157"/>
        <v>0</v>
      </c>
      <c r="AI521" s="14"/>
      <c r="AJ521" s="14">
        <v>38</v>
      </c>
      <c r="AK521" s="14"/>
      <c r="AL521" s="48">
        <f t="shared" si="158"/>
        <v>38</v>
      </c>
      <c r="AM521" s="14"/>
      <c r="AN521" s="14"/>
      <c r="AO521" s="14"/>
      <c r="AP521" s="48"/>
      <c r="AQ521" s="14"/>
      <c r="AR521" s="14"/>
      <c r="AS521" s="14"/>
      <c r="AT521" s="48"/>
      <c r="AU521" s="14"/>
      <c r="AV521" s="14"/>
      <c r="AW521" s="14"/>
      <c r="AX521" s="49"/>
    </row>
    <row r="522" spans="1:50" ht="10.199999999999999" customHeight="1" x14ac:dyDescent="0.25">
      <c r="A522" s="14">
        <v>11</v>
      </c>
      <c r="B522" s="103">
        <v>39156</v>
      </c>
      <c r="C522" s="103">
        <v>39149</v>
      </c>
      <c r="D522" s="14"/>
      <c r="E522" s="14"/>
      <c r="F522" s="48"/>
      <c r="G522" s="14"/>
      <c r="H522" s="14"/>
      <c r="I522" s="14"/>
      <c r="J522" s="48"/>
      <c r="K522" s="14"/>
      <c r="L522" s="14">
        <v>-6</v>
      </c>
      <c r="M522" s="14"/>
      <c r="N522" s="48">
        <f t="shared" si="152"/>
        <v>-6</v>
      </c>
      <c r="O522" s="14"/>
      <c r="P522" s="14">
        <v>-30</v>
      </c>
      <c r="Q522" s="14">
        <v>-200</v>
      </c>
      <c r="R522" s="48">
        <f t="shared" si="153"/>
        <v>-115</v>
      </c>
      <c r="S522" s="14"/>
      <c r="T522" s="14">
        <v>-28</v>
      </c>
      <c r="U522" s="14">
        <v>-188</v>
      </c>
      <c r="V522" s="48">
        <f t="shared" si="154"/>
        <v>-108</v>
      </c>
      <c r="W522" s="14"/>
      <c r="X522" s="14">
        <v>-22</v>
      </c>
      <c r="Y522" s="14">
        <v>-163</v>
      </c>
      <c r="Z522" s="48">
        <f t="shared" si="155"/>
        <v>-92.5</v>
      </c>
      <c r="AA522" s="14"/>
      <c r="AB522" s="14">
        <v>-25</v>
      </c>
      <c r="AC522" s="14">
        <v>-113</v>
      </c>
      <c r="AD522" s="48">
        <f t="shared" si="156"/>
        <v>-69</v>
      </c>
      <c r="AE522" s="14"/>
      <c r="AF522" s="14">
        <v>0</v>
      </c>
      <c r="AG522" s="14"/>
      <c r="AH522" s="48">
        <f t="shared" si="157"/>
        <v>0</v>
      </c>
      <c r="AI522" s="14"/>
      <c r="AJ522" s="14">
        <v>25</v>
      </c>
      <c r="AK522" s="14"/>
      <c r="AL522" s="48">
        <f t="shared" si="158"/>
        <v>25</v>
      </c>
      <c r="AM522" s="14"/>
      <c r="AN522" s="14"/>
      <c r="AO522" s="14"/>
      <c r="AP522" s="48"/>
      <c r="AQ522" s="14"/>
      <c r="AR522" s="14"/>
      <c r="AS522" s="14"/>
      <c r="AT522" s="48"/>
      <c r="AU522" s="14"/>
      <c r="AV522" s="14"/>
      <c r="AW522" s="14"/>
      <c r="AX522" s="49"/>
    </row>
    <row r="523" spans="1:50" ht="10.199999999999999" customHeight="1" x14ac:dyDescent="0.25">
      <c r="A523" s="14">
        <v>12</v>
      </c>
      <c r="B523" s="103">
        <v>39163</v>
      </c>
      <c r="C523" s="103">
        <v>39156</v>
      </c>
      <c r="D523" s="14"/>
      <c r="E523" s="14"/>
      <c r="F523" s="48"/>
      <c r="G523" s="14"/>
      <c r="H523" s="14"/>
      <c r="I523" s="14"/>
      <c r="J523" s="48"/>
      <c r="K523" s="14"/>
      <c r="L523" s="14"/>
      <c r="M523" s="14"/>
      <c r="N523" s="48"/>
      <c r="O523" s="14"/>
      <c r="P523" s="14">
        <v>-22</v>
      </c>
      <c r="Q523" s="14">
        <v>-207</v>
      </c>
      <c r="R523" s="48">
        <f t="shared" si="153"/>
        <v>-114.5</v>
      </c>
      <c r="S523" s="14"/>
      <c r="T523" s="14">
        <v>-28</v>
      </c>
      <c r="U523" s="14">
        <v>-175</v>
      </c>
      <c r="V523" s="48">
        <f t="shared" si="154"/>
        <v>-101.5</v>
      </c>
      <c r="W523" s="14"/>
      <c r="X523" s="14">
        <v>-22</v>
      </c>
      <c r="Y523" s="14">
        <v>-163</v>
      </c>
      <c r="Z523" s="48">
        <f t="shared" si="155"/>
        <v>-92.5</v>
      </c>
      <c r="AA523" s="14"/>
      <c r="AB523" s="14">
        <v>-18</v>
      </c>
      <c r="AC523" s="14">
        <v>-113</v>
      </c>
      <c r="AD523" s="48">
        <f t="shared" si="156"/>
        <v>-65.5</v>
      </c>
      <c r="AE523" s="14"/>
      <c r="AF523" s="14">
        <v>12</v>
      </c>
      <c r="AG523" s="14">
        <v>-150</v>
      </c>
      <c r="AH523" s="48">
        <f t="shared" si="157"/>
        <v>-69</v>
      </c>
      <c r="AI523" s="14"/>
      <c r="AJ523" s="14">
        <v>33</v>
      </c>
      <c r="AK523" s="14"/>
      <c r="AL523" s="48">
        <f t="shared" si="158"/>
        <v>33</v>
      </c>
      <c r="AM523" s="14"/>
      <c r="AN523" s="14"/>
      <c r="AO523" s="14"/>
      <c r="AP523" s="48"/>
      <c r="AQ523" s="14"/>
      <c r="AR523" s="14"/>
      <c r="AS523" s="14"/>
      <c r="AT523" s="48"/>
      <c r="AU523" s="14"/>
      <c r="AV523" s="14"/>
      <c r="AW523" s="14"/>
      <c r="AX523" s="49"/>
    </row>
    <row r="524" spans="1:50" ht="10.199999999999999" customHeight="1" x14ac:dyDescent="0.25">
      <c r="A524" s="14">
        <v>13</v>
      </c>
      <c r="B524" s="103">
        <v>39170</v>
      </c>
      <c r="C524" s="103">
        <v>39163</v>
      </c>
      <c r="D524" s="14"/>
      <c r="E524" s="14"/>
      <c r="F524" s="48"/>
      <c r="G524" s="14"/>
      <c r="H524" s="14"/>
      <c r="I524" s="14"/>
      <c r="J524" s="48"/>
      <c r="K524" s="14"/>
      <c r="L524" s="14"/>
      <c r="M524" s="14"/>
      <c r="N524" s="48"/>
      <c r="O524" s="14"/>
      <c r="P524" s="14">
        <v>-36</v>
      </c>
      <c r="Q524" s="14">
        <v>-213</v>
      </c>
      <c r="R524" s="48">
        <f t="shared" si="153"/>
        <v>-124.5</v>
      </c>
      <c r="S524" s="14"/>
      <c r="T524" s="14">
        <v>-41</v>
      </c>
      <c r="U524" s="14">
        <v>-200</v>
      </c>
      <c r="V524" s="48">
        <f t="shared" si="154"/>
        <v>-120.5</v>
      </c>
      <c r="W524" s="14"/>
      <c r="X524" s="14">
        <v>-27</v>
      </c>
      <c r="Y524" s="14">
        <v>-188</v>
      </c>
      <c r="Z524" s="48">
        <f t="shared" si="155"/>
        <v>-107.5</v>
      </c>
      <c r="AA524" s="14"/>
      <c r="AB524" s="14">
        <v>-14</v>
      </c>
      <c r="AC524" s="14">
        <v>-150</v>
      </c>
      <c r="AD524" s="48">
        <f t="shared" si="156"/>
        <v>-82</v>
      </c>
      <c r="AE524" s="14"/>
      <c r="AF524" s="14">
        <v>12</v>
      </c>
      <c r="AG524" s="14">
        <v>-100</v>
      </c>
      <c r="AH524" s="48">
        <f t="shared" si="157"/>
        <v>-44</v>
      </c>
      <c r="AI524" s="14"/>
      <c r="AJ524" s="14">
        <v>33</v>
      </c>
      <c r="AK524" s="14">
        <v>-50</v>
      </c>
      <c r="AL524" s="48">
        <f t="shared" si="158"/>
        <v>-8.5</v>
      </c>
      <c r="AM524" s="14"/>
      <c r="AN524" s="14"/>
      <c r="AO524" s="14">
        <v>200</v>
      </c>
      <c r="AP524" s="48">
        <f t="shared" ref="AP524:AP535" si="159">AVERAGE(AN524,AO524)</f>
        <v>200</v>
      </c>
      <c r="AQ524" s="14"/>
      <c r="AR524" s="14"/>
      <c r="AS524" s="14"/>
      <c r="AT524" s="48"/>
      <c r="AU524" s="14"/>
      <c r="AV524" s="14"/>
      <c r="AW524" s="14"/>
      <c r="AX524" s="49"/>
    </row>
    <row r="525" spans="1:50" ht="10.199999999999999" customHeight="1" x14ac:dyDescent="0.25">
      <c r="A525" s="14">
        <v>14</v>
      </c>
      <c r="B525" s="103">
        <v>39177</v>
      </c>
      <c r="C525" s="103">
        <v>39170</v>
      </c>
      <c r="D525" s="14"/>
      <c r="E525" s="14"/>
      <c r="F525" s="48"/>
      <c r="G525" s="14"/>
      <c r="H525" s="14"/>
      <c r="I525" s="14"/>
      <c r="J525" s="48"/>
      <c r="K525" s="14"/>
      <c r="L525" s="14"/>
      <c r="M525" s="14"/>
      <c r="N525" s="48"/>
      <c r="O525" s="14"/>
      <c r="P525" s="14">
        <v>-30</v>
      </c>
      <c r="Q525" s="14">
        <v>-225</v>
      </c>
      <c r="R525" s="48">
        <f t="shared" si="153"/>
        <v>-127.5</v>
      </c>
      <c r="S525" s="14"/>
      <c r="T525" s="14">
        <v>-31</v>
      </c>
      <c r="U525" s="14">
        <v>-200</v>
      </c>
      <c r="V525" s="48">
        <f t="shared" si="154"/>
        <v>-115.5</v>
      </c>
      <c r="W525" s="14"/>
      <c r="X525" s="14">
        <v>-18</v>
      </c>
      <c r="Y525" s="14">
        <v>-200</v>
      </c>
      <c r="Z525" s="48">
        <f t="shared" si="155"/>
        <v>-109</v>
      </c>
      <c r="AA525" s="14"/>
      <c r="AB525" s="14">
        <v>-13</v>
      </c>
      <c r="AC525" s="14">
        <v>-175</v>
      </c>
      <c r="AD525" s="48">
        <f t="shared" si="156"/>
        <v>-94</v>
      </c>
      <c r="AE525" s="14"/>
      <c r="AF525" s="14">
        <v>18</v>
      </c>
      <c r="AG525" s="14">
        <v>-100</v>
      </c>
      <c r="AH525" s="48">
        <f t="shared" si="157"/>
        <v>-41</v>
      </c>
      <c r="AI525" s="14"/>
      <c r="AJ525" s="14">
        <v>50</v>
      </c>
      <c r="AK525" s="14">
        <v>-63</v>
      </c>
      <c r="AL525" s="48">
        <f t="shared" si="158"/>
        <v>-6.5</v>
      </c>
      <c r="AM525" s="14"/>
      <c r="AN525" s="14"/>
      <c r="AO525" s="14">
        <v>200</v>
      </c>
      <c r="AP525" s="48">
        <f t="shared" si="159"/>
        <v>200</v>
      </c>
      <c r="AQ525" s="14"/>
      <c r="AR525" s="14"/>
      <c r="AS525" s="14"/>
      <c r="AT525" s="48"/>
      <c r="AU525" s="14"/>
      <c r="AV525" s="14"/>
      <c r="AW525" s="14"/>
      <c r="AX525" s="49"/>
    </row>
    <row r="526" spans="1:50" ht="10.199999999999999" customHeight="1" x14ac:dyDescent="0.25">
      <c r="A526" s="14">
        <v>15</v>
      </c>
      <c r="B526" s="103">
        <v>39184</v>
      </c>
      <c r="C526" s="103">
        <v>39177</v>
      </c>
      <c r="D526" s="14"/>
      <c r="E526" s="14"/>
      <c r="F526" s="48"/>
      <c r="G526" s="14"/>
      <c r="H526" s="14"/>
      <c r="I526" s="14"/>
      <c r="J526" s="48"/>
      <c r="K526" s="14"/>
      <c r="L526" s="14"/>
      <c r="M526" s="14"/>
      <c r="N526" s="48"/>
      <c r="O526" s="14"/>
      <c r="P526" s="14">
        <v>-45</v>
      </c>
      <c r="Q526" s="14">
        <v>-225</v>
      </c>
      <c r="R526" s="48">
        <f t="shared" si="153"/>
        <v>-135</v>
      </c>
      <c r="S526" s="14"/>
      <c r="T526" s="14">
        <v>-32</v>
      </c>
      <c r="U526" s="14">
        <v>-208</v>
      </c>
      <c r="V526" s="48">
        <f t="shared" si="154"/>
        <v>-120</v>
      </c>
      <c r="W526" s="14"/>
      <c r="X526" s="14">
        <v>-23</v>
      </c>
      <c r="Y526" s="14">
        <v>-200</v>
      </c>
      <c r="Z526" s="48">
        <f t="shared" si="155"/>
        <v>-111.5</v>
      </c>
      <c r="AA526" s="14"/>
      <c r="AB526" s="14">
        <v>-23</v>
      </c>
      <c r="AC526" s="14">
        <v>-175</v>
      </c>
      <c r="AD526" s="48">
        <f t="shared" si="156"/>
        <v>-99</v>
      </c>
      <c r="AE526" s="14"/>
      <c r="AF526" s="14">
        <v>8</v>
      </c>
      <c r="AG526" s="14">
        <v>-100</v>
      </c>
      <c r="AH526" s="48">
        <f t="shared" si="157"/>
        <v>-46</v>
      </c>
      <c r="AI526" s="14"/>
      <c r="AJ526" s="14">
        <v>50</v>
      </c>
      <c r="AK526" s="14">
        <v>-63</v>
      </c>
      <c r="AL526" s="48">
        <f t="shared" si="158"/>
        <v>-6.5</v>
      </c>
      <c r="AM526" s="14"/>
      <c r="AN526" s="14"/>
      <c r="AO526" s="14">
        <v>200</v>
      </c>
      <c r="AP526" s="48">
        <f t="shared" si="159"/>
        <v>200</v>
      </c>
      <c r="AQ526" s="14"/>
      <c r="AR526" s="14"/>
      <c r="AS526" s="14"/>
      <c r="AT526" s="48"/>
      <c r="AU526" s="14"/>
      <c r="AV526" s="14"/>
      <c r="AW526" s="14"/>
      <c r="AX526" s="49"/>
    </row>
    <row r="527" spans="1:50" ht="10.199999999999999" customHeight="1" x14ac:dyDescent="0.25">
      <c r="A527" s="14">
        <v>16</v>
      </c>
      <c r="B527" s="103">
        <v>39191</v>
      </c>
      <c r="C527" s="103">
        <v>39184</v>
      </c>
      <c r="D527" s="14"/>
      <c r="E527" s="14"/>
      <c r="F527" s="48"/>
      <c r="G527" s="14"/>
      <c r="H527" s="14"/>
      <c r="I527" s="14"/>
      <c r="J527" s="48"/>
      <c r="K527" s="14"/>
      <c r="L527" s="14"/>
      <c r="M527" s="14"/>
      <c r="N527" s="48"/>
      <c r="O527" s="14"/>
      <c r="P527" s="14">
        <v>-75</v>
      </c>
      <c r="Q527" s="14"/>
      <c r="R527" s="48">
        <f t="shared" si="153"/>
        <v>-75</v>
      </c>
      <c r="S527" s="14"/>
      <c r="T527" s="14">
        <v>-3</v>
      </c>
      <c r="U527" s="14">
        <v>-205</v>
      </c>
      <c r="V527" s="48">
        <f t="shared" si="154"/>
        <v>-104</v>
      </c>
      <c r="W527" s="14"/>
      <c r="X527" s="14">
        <v>-31</v>
      </c>
      <c r="Y527" s="14">
        <v>-200</v>
      </c>
      <c r="Z527" s="48">
        <f t="shared" si="155"/>
        <v>-115.5</v>
      </c>
      <c r="AA527" s="14"/>
      <c r="AB527" s="14">
        <v>-30</v>
      </c>
      <c r="AC527" s="14">
        <v>-168</v>
      </c>
      <c r="AD527" s="48">
        <f t="shared" si="156"/>
        <v>-99</v>
      </c>
      <c r="AE527" s="14"/>
      <c r="AF527" s="14">
        <v>8</v>
      </c>
      <c r="AG527" s="14">
        <v>-100</v>
      </c>
      <c r="AH527" s="48">
        <f t="shared" si="157"/>
        <v>-46</v>
      </c>
      <c r="AI527" s="14"/>
      <c r="AJ527" s="14">
        <v>46</v>
      </c>
      <c r="AK527" s="14">
        <v>-75</v>
      </c>
      <c r="AL527" s="48">
        <f t="shared" si="158"/>
        <v>-14.5</v>
      </c>
      <c r="AM527" s="14"/>
      <c r="AN527" s="14">
        <v>100</v>
      </c>
      <c r="AO527" s="14">
        <v>200</v>
      </c>
      <c r="AP527" s="48">
        <f t="shared" si="159"/>
        <v>150</v>
      </c>
      <c r="AQ527" s="14"/>
      <c r="AR527" s="14"/>
      <c r="AS527" s="14"/>
      <c r="AT527" s="48"/>
      <c r="AU527" s="14"/>
      <c r="AV527" s="14"/>
      <c r="AW527" s="14"/>
      <c r="AX527" s="49"/>
    </row>
    <row r="528" spans="1:50" ht="10.199999999999999" customHeight="1" x14ac:dyDescent="0.25">
      <c r="A528" s="14">
        <v>17</v>
      </c>
      <c r="B528" s="103">
        <v>39198</v>
      </c>
      <c r="C528" s="103">
        <v>39191</v>
      </c>
      <c r="D528" s="14"/>
      <c r="E528" s="14"/>
      <c r="F528" s="48"/>
      <c r="G528" s="14"/>
      <c r="H528" s="14"/>
      <c r="I528" s="14"/>
      <c r="J528" s="48"/>
      <c r="K528" s="14"/>
      <c r="L528" s="14"/>
      <c r="M528" s="14"/>
      <c r="N528" s="48"/>
      <c r="O528" s="14"/>
      <c r="P528" s="14"/>
      <c r="Q528" s="14"/>
      <c r="R528" s="48"/>
      <c r="S528" s="14"/>
      <c r="T528" s="14">
        <v>-50</v>
      </c>
      <c r="U528" s="14">
        <v>-175</v>
      </c>
      <c r="V528" s="48">
        <f t="shared" si="154"/>
        <v>-112.5</v>
      </c>
      <c r="W528" s="14"/>
      <c r="X528" s="14">
        <v>-23</v>
      </c>
      <c r="Y528" s="14">
        <v>-200</v>
      </c>
      <c r="Z528" s="48">
        <f t="shared" si="155"/>
        <v>-111.5</v>
      </c>
      <c r="AA528" s="14"/>
      <c r="AB528" s="14">
        <v>-28</v>
      </c>
      <c r="AC528" s="14">
        <v>-143</v>
      </c>
      <c r="AD528" s="48">
        <f t="shared" si="156"/>
        <v>-85.5</v>
      </c>
      <c r="AE528" s="14"/>
      <c r="AF528" s="14">
        <v>8</v>
      </c>
      <c r="AG528" s="14">
        <v>-88</v>
      </c>
      <c r="AH528" s="48">
        <f t="shared" si="157"/>
        <v>-40</v>
      </c>
      <c r="AI528" s="14"/>
      <c r="AJ528" s="14">
        <v>46</v>
      </c>
      <c r="AK528" s="14">
        <v>-44</v>
      </c>
      <c r="AL528" s="48">
        <f t="shared" si="158"/>
        <v>1</v>
      </c>
      <c r="AM528" s="14"/>
      <c r="AN528" s="14">
        <v>100</v>
      </c>
      <c r="AO528" s="14">
        <v>200</v>
      </c>
      <c r="AP528" s="48">
        <f t="shared" si="159"/>
        <v>150</v>
      </c>
      <c r="AQ528" s="14"/>
      <c r="AR528" s="14"/>
      <c r="AS528" s="14"/>
      <c r="AT528" s="48"/>
      <c r="AU528" s="14"/>
      <c r="AV528" s="14"/>
      <c r="AW528" s="14"/>
      <c r="AX528" s="49"/>
    </row>
    <row r="529" spans="1:50" ht="10.199999999999999" customHeight="1" x14ac:dyDescent="0.25">
      <c r="A529" s="14">
        <v>18</v>
      </c>
      <c r="B529" s="103">
        <v>39205</v>
      </c>
      <c r="C529" s="103">
        <v>39198</v>
      </c>
      <c r="D529" s="14"/>
      <c r="E529" s="14"/>
      <c r="F529" s="48"/>
      <c r="G529" s="14"/>
      <c r="H529" s="14"/>
      <c r="I529" s="14"/>
      <c r="J529" s="48"/>
      <c r="K529" s="14"/>
      <c r="L529" s="14"/>
      <c r="M529" s="14"/>
      <c r="N529" s="48"/>
      <c r="O529" s="14"/>
      <c r="P529" s="14"/>
      <c r="Q529" s="14"/>
      <c r="R529" s="48"/>
      <c r="S529" s="14"/>
      <c r="T529" s="14">
        <v>-50</v>
      </c>
      <c r="U529" s="14">
        <v>-220</v>
      </c>
      <c r="V529" s="48">
        <f t="shared" si="154"/>
        <v>-135</v>
      </c>
      <c r="W529" s="14"/>
      <c r="X529" s="14">
        <v>-21</v>
      </c>
      <c r="Y529" s="14">
        <v>-200</v>
      </c>
      <c r="Z529" s="48">
        <f t="shared" si="155"/>
        <v>-110.5</v>
      </c>
      <c r="AA529" s="14"/>
      <c r="AB529" s="14">
        <v>-25</v>
      </c>
      <c r="AC529" s="14">
        <v>-113</v>
      </c>
      <c r="AD529" s="48">
        <f t="shared" si="156"/>
        <v>-69</v>
      </c>
      <c r="AE529" s="14"/>
      <c r="AF529" s="14">
        <v>10</v>
      </c>
      <c r="AG529" s="14">
        <v>-88</v>
      </c>
      <c r="AH529" s="48">
        <f t="shared" si="157"/>
        <v>-39</v>
      </c>
      <c r="AI529" s="14"/>
      <c r="AJ529" s="14">
        <v>46</v>
      </c>
      <c r="AK529" s="14">
        <v>-44</v>
      </c>
      <c r="AL529" s="48">
        <f t="shared" si="158"/>
        <v>1</v>
      </c>
      <c r="AM529" s="14"/>
      <c r="AN529" s="14">
        <v>100</v>
      </c>
      <c r="AO529" s="47">
        <v>200</v>
      </c>
      <c r="AP529" s="48">
        <f t="shared" si="159"/>
        <v>150</v>
      </c>
      <c r="AQ529" s="14"/>
      <c r="AR529" s="14"/>
      <c r="AS529" s="14"/>
      <c r="AT529" s="48"/>
      <c r="AU529" s="14"/>
      <c r="AV529" s="14"/>
      <c r="AW529" s="14"/>
      <c r="AX529" s="49"/>
    </row>
    <row r="530" spans="1:50" ht="10.199999999999999" customHeight="1" x14ac:dyDescent="0.25">
      <c r="A530" s="14">
        <v>19</v>
      </c>
      <c r="B530" s="103">
        <v>39212</v>
      </c>
      <c r="C530" s="103">
        <v>39205</v>
      </c>
      <c r="D530" s="14"/>
      <c r="E530" s="14"/>
      <c r="F530" s="48"/>
      <c r="G530" s="14"/>
      <c r="H530" s="14"/>
      <c r="I530" s="14"/>
      <c r="J530" s="48"/>
      <c r="K530" s="14"/>
      <c r="L530" s="14"/>
      <c r="M530" s="14"/>
      <c r="N530" s="48"/>
      <c r="O530" s="14"/>
      <c r="P530" s="14"/>
      <c r="Q530" s="14"/>
      <c r="R530" s="48"/>
      <c r="S530" s="14"/>
      <c r="T530" s="14">
        <v>-38</v>
      </c>
      <c r="U530" s="14">
        <v>-230</v>
      </c>
      <c r="V530" s="48">
        <f t="shared" si="154"/>
        <v>-134</v>
      </c>
      <c r="W530" s="14"/>
      <c r="X530" s="14">
        <v>-18</v>
      </c>
      <c r="Y530" s="14">
        <v>-188</v>
      </c>
      <c r="Z530" s="48">
        <f t="shared" si="155"/>
        <v>-103</v>
      </c>
      <c r="AA530" s="14"/>
      <c r="AB530" s="14">
        <v>-22</v>
      </c>
      <c r="AC530" s="14">
        <v>-113</v>
      </c>
      <c r="AD530" s="48">
        <f t="shared" si="156"/>
        <v>-67.5</v>
      </c>
      <c r="AE530" s="14"/>
      <c r="AF530" s="14">
        <v>10</v>
      </c>
      <c r="AG530" s="14">
        <v>-88</v>
      </c>
      <c r="AH530" s="48">
        <f t="shared" si="157"/>
        <v>-39</v>
      </c>
      <c r="AI530" s="14"/>
      <c r="AJ530" s="14">
        <v>46</v>
      </c>
      <c r="AK530" s="14">
        <v>-44</v>
      </c>
      <c r="AL530" s="48">
        <f t="shared" si="158"/>
        <v>1</v>
      </c>
      <c r="AM530" s="14"/>
      <c r="AN530" s="14">
        <v>100</v>
      </c>
      <c r="AO530" s="14">
        <v>200</v>
      </c>
      <c r="AP530" s="48">
        <f t="shared" si="159"/>
        <v>150</v>
      </c>
      <c r="AQ530" s="14"/>
      <c r="AR530" s="14"/>
      <c r="AS530" s="14"/>
      <c r="AT530" s="48"/>
      <c r="AU530" s="14"/>
      <c r="AV530" s="14"/>
      <c r="AW530" s="14"/>
      <c r="AX530" s="49"/>
    </row>
    <row r="531" spans="1:50" ht="10.199999999999999" customHeight="1" x14ac:dyDescent="0.25">
      <c r="A531" s="14">
        <v>20</v>
      </c>
      <c r="B531" s="103">
        <v>39219</v>
      </c>
      <c r="C531" s="103">
        <v>39212</v>
      </c>
      <c r="D531" s="14"/>
      <c r="E531" s="14"/>
      <c r="F531" s="48"/>
      <c r="G531" s="14"/>
      <c r="H531" s="14"/>
      <c r="I531" s="14"/>
      <c r="J531" s="48"/>
      <c r="K531" s="14"/>
      <c r="L531" s="14"/>
      <c r="M531" s="14"/>
      <c r="N531" s="48"/>
      <c r="O531" s="14"/>
      <c r="P531" s="14"/>
      <c r="Q531" s="14"/>
      <c r="R531" s="48"/>
      <c r="S531" s="14"/>
      <c r="T531" s="14">
        <v>-13</v>
      </c>
      <c r="U531" s="14"/>
      <c r="V531" s="48">
        <f t="shared" si="154"/>
        <v>-13</v>
      </c>
      <c r="W531" s="14"/>
      <c r="X531" s="14">
        <v>-13</v>
      </c>
      <c r="Y531" s="14">
        <v>-135</v>
      </c>
      <c r="Z531" s="48">
        <f t="shared" si="155"/>
        <v>-74</v>
      </c>
      <c r="AA531" s="14"/>
      <c r="AB531" s="14">
        <v>-13</v>
      </c>
      <c r="AC531" s="14">
        <v>-103</v>
      </c>
      <c r="AD531" s="48">
        <f t="shared" si="156"/>
        <v>-58</v>
      </c>
      <c r="AE531" s="14"/>
      <c r="AF531" s="14">
        <v>8</v>
      </c>
      <c r="AG531" s="14">
        <v>-38</v>
      </c>
      <c r="AH531" s="48">
        <f t="shared" si="157"/>
        <v>-15</v>
      </c>
      <c r="AI531" s="14"/>
      <c r="AJ531" s="14">
        <v>38</v>
      </c>
      <c r="AK531" s="14">
        <v>-13</v>
      </c>
      <c r="AL531" s="48">
        <f t="shared" si="158"/>
        <v>12.5</v>
      </c>
      <c r="AM531" s="14"/>
      <c r="AN531" s="14">
        <v>100</v>
      </c>
      <c r="AO531" s="14">
        <v>200</v>
      </c>
      <c r="AP531" s="48">
        <f t="shared" si="159"/>
        <v>150</v>
      </c>
      <c r="AQ531" s="14"/>
      <c r="AR531" s="14"/>
      <c r="AS531" s="14"/>
      <c r="AT531" s="48"/>
      <c r="AU531" s="14"/>
      <c r="AV531" s="14"/>
      <c r="AW531" s="14"/>
      <c r="AX531" s="49"/>
    </row>
    <row r="532" spans="1:50" ht="10.199999999999999" customHeight="1" x14ac:dyDescent="0.25">
      <c r="A532" s="14">
        <v>21</v>
      </c>
      <c r="B532" s="103">
        <v>39226</v>
      </c>
      <c r="C532" s="103">
        <v>39219</v>
      </c>
      <c r="D532" s="14"/>
      <c r="E532" s="14"/>
      <c r="F532" s="48"/>
      <c r="G532" s="14"/>
      <c r="H532" s="14"/>
      <c r="I532" s="14"/>
      <c r="J532" s="48"/>
      <c r="K532" s="14"/>
      <c r="L532" s="14"/>
      <c r="M532" s="14"/>
      <c r="N532" s="48"/>
      <c r="O532" s="14"/>
      <c r="P532" s="14"/>
      <c r="Q532" s="14"/>
      <c r="R532" s="48"/>
      <c r="S532" s="14"/>
      <c r="T532" s="14"/>
      <c r="U532" s="14"/>
      <c r="V532" s="48"/>
      <c r="W532" s="14"/>
      <c r="X532" s="14">
        <v>-11</v>
      </c>
      <c r="Y532" s="14">
        <v>-33</v>
      </c>
      <c r="Z532" s="48">
        <f t="shared" si="155"/>
        <v>-22</v>
      </c>
      <c r="AA532" s="14"/>
      <c r="AB532" s="14">
        <v>-13</v>
      </c>
      <c r="AC532" s="14">
        <v>16</v>
      </c>
      <c r="AD532" s="48">
        <f t="shared" si="156"/>
        <v>1.5</v>
      </c>
      <c r="AE532" s="14"/>
      <c r="AF532" s="14">
        <v>8</v>
      </c>
      <c r="AG532" s="14">
        <v>38</v>
      </c>
      <c r="AH532" s="48">
        <f t="shared" si="157"/>
        <v>23</v>
      </c>
      <c r="AI532" s="14"/>
      <c r="AJ532" s="14">
        <v>38</v>
      </c>
      <c r="AK532" s="14">
        <v>69</v>
      </c>
      <c r="AL532" s="48">
        <f t="shared" si="158"/>
        <v>53.5</v>
      </c>
      <c r="AM532" s="14"/>
      <c r="AN532" s="14">
        <v>100</v>
      </c>
      <c r="AO532" s="14">
        <v>150</v>
      </c>
      <c r="AP532" s="48">
        <f t="shared" si="159"/>
        <v>125</v>
      </c>
      <c r="AQ532" s="14"/>
      <c r="AR532" s="14"/>
      <c r="AS532" s="14">
        <v>50</v>
      </c>
      <c r="AT532" s="48">
        <f>AVERAGE(AR532,AS532)</f>
        <v>50</v>
      </c>
      <c r="AU532" s="14"/>
      <c r="AV532" s="14"/>
      <c r="AW532" s="14"/>
      <c r="AX532" s="49"/>
    </row>
    <row r="533" spans="1:50" ht="10.199999999999999" customHeight="1" x14ac:dyDescent="0.25">
      <c r="A533" s="14">
        <v>22</v>
      </c>
      <c r="B533" s="103">
        <v>39233</v>
      </c>
      <c r="C533" s="103">
        <v>39226</v>
      </c>
      <c r="D533" s="14"/>
      <c r="E533" s="14"/>
      <c r="F533" s="48"/>
      <c r="G533" s="14"/>
      <c r="H533" s="14"/>
      <c r="I533" s="14"/>
      <c r="J533" s="48"/>
      <c r="K533" s="14"/>
      <c r="L533" s="14"/>
      <c r="M533" s="14"/>
      <c r="N533" s="48"/>
      <c r="O533" s="14"/>
      <c r="P533" s="14"/>
      <c r="Q533" s="14"/>
      <c r="R533" s="48"/>
      <c r="S533" s="14"/>
      <c r="T533" s="14"/>
      <c r="U533" s="14"/>
      <c r="V533" s="48"/>
      <c r="W533" s="14"/>
      <c r="X533" s="14">
        <v>-6</v>
      </c>
      <c r="Y533" s="14">
        <v>3</v>
      </c>
      <c r="Z533" s="48">
        <f t="shared" si="155"/>
        <v>-1.5</v>
      </c>
      <c r="AA533" s="14"/>
      <c r="AB533" s="14">
        <v>-13</v>
      </c>
      <c r="AC533" s="14">
        <v>13</v>
      </c>
      <c r="AD533" s="48">
        <f t="shared" si="156"/>
        <v>0</v>
      </c>
      <c r="AE533" s="14"/>
      <c r="AF533" s="14">
        <v>0</v>
      </c>
      <c r="AG533" s="14">
        <v>44</v>
      </c>
      <c r="AH533" s="48">
        <f t="shared" si="157"/>
        <v>22</v>
      </c>
      <c r="AI533" s="14"/>
      <c r="AJ533" s="14">
        <v>25</v>
      </c>
      <c r="AK533" s="14">
        <v>113</v>
      </c>
      <c r="AL533" s="48">
        <f t="shared" si="158"/>
        <v>69</v>
      </c>
      <c r="AM533" s="14"/>
      <c r="AN533" s="14">
        <v>100</v>
      </c>
      <c r="AO533" s="14">
        <v>150</v>
      </c>
      <c r="AP533" s="48">
        <f t="shared" si="159"/>
        <v>125</v>
      </c>
      <c r="AQ533" s="14"/>
      <c r="AR533" s="14"/>
      <c r="AS533" s="14">
        <v>50</v>
      </c>
      <c r="AT533" s="48">
        <f>AVERAGE(AR533,AS533)</f>
        <v>50</v>
      </c>
      <c r="AU533" s="14"/>
      <c r="AV533" s="14"/>
      <c r="AW533" s="14"/>
      <c r="AX533" s="49"/>
    </row>
    <row r="534" spans="1:50" ht="10.199999999999999" customHeight="1" x14ac:dyDescent="0.25">
      <c r="A534" s="14">
        <v>23</v>
      </c>
      <c r="B534" s="103">
        <v>39240</v>
      </c>
      <c r="C534" s="103">
        <v>39233</v>
      </c>
      <c r="D534" s="14"/>
      <c r="E534" s="14"/>
      <c r="F534" s="48"/>
      <c r="G534" s="14"/>
      <c r="H534" s="14"/>
      <c r="I534" s="14"/>
      <c r="J534" s="48"/>
      <c r="K534" s="14"/>
      <c r="L534" s="14"/>
      <c r="M534" s="14"/>
      <c r="N534" s="48"/>
      <c r="O534" s="14"/>
      <c r="P534" s="14"/>
      <c r="Q534" s="14"/>
      <c r="R534" s="48"/>
      <c r="S534" s="14"/>
      <c r="T534" s="14"/>
      <c r="U534" s="14"/>
      <c r="V534" s="48"/>
      <c r="W534" s="14"/>
      <c r="X534" s="14">
        <v>0</v>
      </c>
      <c r="Y534" s="14">
        <v>-17</v>
      </c>
      <c r="Z534" s="48">
        <f t="shared" si="155"/>
        <v>-8.5</v>
      </c>
      <c r="AA534" s="14"/>
      <c r="AB534" s="14">
        <v>-13</v>
      </c>
      <c r="AC534" s="14">
        <v>19</v>
      </c>
      <c r="AD534" s="48">
        <f t="shared" si="156"/>
        <v>3</v>
      </c>
      <c r="AE534" s="14"/>
      <c r="AF534" s="14">
        <v>0</v>
      </c>
      <c r="AG534" s="14">
        <v>44</v>
      </c>
      <c r="AH534" s="48">
        <f t="shared" si="157"/>
        <v>22</v>
      </c>
      <c r="AI534" s="14"/>
      <c r="AJ534" s="14">
        <v>25</v>
      </c>
      <c r="AK534" s="14">
        <v>94</v>
      </c>
      <c r="AL534" s="48">
        <f t="shared" si="158"/>
        <v>59.5</v>
      </c>
      <c r="AM534" s="14"/>
      <c r="AN534" s="14">
        <v>100</v>
      </c>
      <c r="AO534" s="14">
        <v>150</v>
      </c>
      <c r="AP534" s="48">
        <f t="shared" si="159"/>
        <v>125</v>
      </c>
      <c r="AQ534" s="14"/>
      <c r="AR534" s="14"/>
      <c r="AS534" s="14">
        <v>50</v>
      </c>
      <c r="AT534" s="48">
        <f>AVERAGE(AR534,AS534)</f>
        <v>50</v>
      </c>
      <c r="AU534" s="14"/>
      <c r="AV534" s="14"/>
      <c r="AW534" s="14"/>
      <c r="AX534" s="49"/>
    </row>
    <row r="535" spans="1:50" ht="10.199999999999999" customHeight="1" x14ac:dyDescent="0.25">
      <c r="A535" s="14">
        <v>24</v>
      </c>
      <c r="B535" s="103">
        <v>39247</v>
      </c>
      <c r="C535" s="103">
        <v>39240</v>
      </c>
      <c r="D535" s="14"/>
      <c r="E535" s="14"/>
      <c r="F535" s="48"/>
      <c r="G535" s="14"/>
      <c r="H535" s="14"/>
      <c r="I535" s="14"/>
      <c r="J535" s="48"/>
      <c r="K535" s="14"/>
      <c r="L535" s="14"/>
      <c r="M535" s="14"/>
      <c r="N535" s="48"/>
      <c r="O535" s="14"/>
      <c r="P535" s="14"/>
      <c r="Q535" s="14"/>
      <c r="R535" s="48"/>
      <c r="S535" s="14"/>
      <c r="T535" s="14"/>
      <c r="U535" s="14"/>
      <c r="V535" s="48"/>
      <c r="W535" s="14"/>
      <c r="X535" s="14">
        <v>-13</v>
      </c>
      <c r="Y535" s="14"/>
      <c r="Z535" s="48">
        <f t="shared" si="155"/>
        <v>-13</v>
      </c>
      <c r="AA535" s="14"/>
      <c r="AB535" s="14">
        <v>4</v>
      </c>
      <c r="AC535" s="14">
        <v>-6</v>
      </c>
      <c r="AD535" s="48">
        <f t="shared" si="156"/>
        <v>-1</v>
      </c>
      <c r="AE535" s="14"/>
      <c r="AF535" s="14">
        <v>25</v>
      </c>
      <c r="AG535" s="14">
        <v>42</v>
      </c>
      <c r="AH535" s="48">
        <f t="shared" si="157"/>
        <v>33.5</v>
      </c>
      <c r="AI535" s="14"/>
      <c r="AJ535" s="14">
        <v>50</v>
      </c>
      <c r="AK535" s="14">
        <v>88</v>
      </c>
      <c r="AL535" s="48">
        <f t="shared" si="158"/>
        <v>69</v>
      </c>
      <c r="AM535" s="14"/>
      <c r="AN535" s="14"/>
      <c r="AO535" s="14">
        <v>138</v>
      </c>
      <c r="AP535" s="48">
        <f t="shared" si="159"/>
        <v>138</v>
      </c>
      <c r="AQ535" s="14"/>
      <c r="AR535" s="14"/>
      <c r="AS535" s="14"/>
      <c r="AT535" s="48"/>
      <c r="AU535" s="14"/>
      <c r="AV535" s="14"/>
      <c r="AW535" s="14"/>
      <c r="AX535" s="49"/>
    </row>
    <row r="536" spans="1:50" ht="10.199999999999999" customHeight="1" x14ac:dyDescent="0.25">
      <c r="A536" s="14">
        <v>25</v>
      </c>
      <c r="B536" s="103">
        <v>39254</v>
      </c>
      <c r="C536" s="103">
        <v>39247</v>
      </c>
      <c r="D536" s="14"/>
      <c r="E536" s="14"/>
      <c r="F536" s="48"/>
      <c r="G536" s="14"/>
      <c r="H536" s="14"/>
      <c r="I536" s="14"/>
      <c r="J536" s="48"/>
      <c r="K536" s="14"/>
      <c r="L536" s="14"/>
      <c r="M536" s="14"/>
      <c r="N536" s="48"/>
      <c r="O536" s="14"/>
      <c r="P536" s="14"/>
      <c r="Q536" s="14"/>
      <c r="R536" s="48"/>
      <c r="S536" s="14"/>
      <c r="T536" s="14"/>
      <c r="U536" s="14"/>
      <c r="V536" s="48"/>
      <c r="W536" s="14"/>
      <c r="X536" s="14"/>
      <c r="Y536" s="14">
        <v>-25</v>
      </c>
      <c r="Z536" s="48">
        <f t="shared" si="155"/>
        <v>-25</v>
      </c>
      <c r="AA536" s="14"/>
      <c r="AB536" s="14">
        <v>-10</v>
      </c>
      <c r="AC536" s="14">
        <v>-59</v>
      </c>
      <c r="AD536" s="48">
        <f t="shared" si="156"/>
        <v>-34.5</v>
      </c>
      <c r="AE536" s="14"/>
      <c r="AF536" s="14">
        <v>25</v>
      </c>
      <c r="AG536" s="14">
        <v>50</v>
      </c>
      <c r="AH536" s="48">
        <f t="shared" si="157"/>
        <v>37.5</v>
      </c>
      <c r="AI536" s="14"/>
      <c r="AJ536" s="14">
        <v>20</v>
      </c>
      <c r="AK536" s="14">
        <v>132</v>
      </c>
      <c r="AL536" s="48">
        <f t="shared" si="158"/>
        <v>76</v>
      </c>
      <c r="AM536" s="14"/>
      <c r="AN536" s="14"/>
      <c r="AO536" s="14"/>
      <c r="AP536" s="48"/>
      <c r="AQ536" s="14"/>
      <c r="AR536" s="14"/>
      <c r="AS536" s="14"/>
      <c r="AT536" s="48"/>
      <c r="AU536" s="14"/>
      <c r="AV536" s="14"/>
      <c r="AW536" s="14"/>
      <c r="AX536" s="49"/>
    </row>
    <row r="537" spans="1:50" ht="10.199999999999999" customHeight="1" x14ac:dyDescent="0.25">
      <c r="A537" s="14">
        <v>26</v>
      </c>
      <c r="B537" s="103">
        <v>39261</v>
      </c>
      <c r="C537" s="103">
        <v>39254</v>
      </c>
      <c r="D537" s="14"/>
      <c r="E537" s="14"/>
      <c r="F537" s="48"/>
      <c r="G537" s="14"/>
      <c r="H537" s="14"/>
      <c r="I537" s="14"/>
      <c r="J537" s="48"/>
      <c r="K537" s="14"/>
      <c r="L537" s="14"/>
      <c r="M537" s="14"/>
      <c r="N537" s="48"/>
      <c r="O537" s="14"/>
      <c r="P537" s="14"/>
      <c r="Q537" s="14"/>
      <c r="R537" s="48"/>
      <c r="S537" s="14"/>
      <c r="T537" s="14"/>
      <c r="U537" s="14"/>
      <c r="V537" s="48"/>
      <c r="W537" s="14"/>
      <c r="X537" s="14"/>
      <c r="Y537" s="14"/>
      <c r="Z537" s="48"/>
      <c r="AA537" s="14"/>
      <c r="AB537" s="14">
        <v>-13</v>
      </c>
      <c r="AC537" s="14">
        <v>-69</v>
      </c>
      <c r="AD537" s="48">
        <f t="shared" si="156"/>
        <v>-41</v>
      </c>
      <c r="AE537" s="14"/>
      <c r="AF537" s="14">
        <v>25</v>
      </c>
      <c r="AG537" s="14">
        <v>25</v>
      </c>
      <c r="AH537" s="48">
        <f t="shared" si="157"/>
        <v>25</v>
      </c>
      <c r="AI537" s="14"/>
      <c r="AJ537" s="14">
        <v>20</v>
      </c>
      <c r="AK537" s="14">
        <v>113</v>
      </c>
      <c r="AL537" s="48">
        <f t="shared" si="158"/>
        <v>66.5</v>
      </c>
      <c r="AM537" s="14"/>
      <c r="AN537" s="14"/>
      <c r="AO537" s="14"/>
      <c r="AP537" s="48"/>
      <c r="AQ537" s="14"/>
      <c r="AR537" s="14"/>
      <c r="AS537" s="14"/>
      <c r="AT537" s="48"/>
      <c r="AU537" s="14"/>
      <c r="AV537" s="14"/>
      <c r="AW537" s="14"/>
      <c r="AX537" s="49"/>
    </row>
    <row r="538" spans="1:50" ht="10.199999999999999" customHeight="1" x14ac:dyDescent="0.25">
      <c r="A538" s="14">
        <v>27</v>
      </c>
      <c r="B538" s="103">
        <v>39268</v>
      </c>
      <c r="C538" s="103">
        <v>39261</v>
      </c>
      <c r="D538" s="14"/>
      <c r="E538" s="14"/>
      <c r="F538" s="48"/>
      <c r="G538" s="14"/>
      <c r="H538" s="14"/>
      <c r="I538" s="14"/>
      <c r="J538" s="48"/>
      <c r="K538" s="14"/>
      <c r="L538" s="14"/>
      <c r="M538" s="14"/>
      <c r="N538" s="48"/>
      <c r="O538" s="14"/>
      <c r="P538" s="14"/>
      <c r="Q538" s="14"/>
      <c r="R538" s="48"/>
      <c r="S538" s="14"/>
      <c r="T538" s="14"/>
      <c r="U538" s="14"/>
      <c r="V538" s="48"/>
      <c r="W538" s="14"/>
      <c r="X538" s="14"/>
      <c r="Y538" s="14"/>
      <c r="Z538" s="48"/>
      <c r="AA538" s="14"/>
      <c r="AB538" s="14">
        <v>-9</v>
      </c>
      <c r="AC538" s="14">
        <v>-108</v>
      </c>
      <c r="AD538" s="48">
        <f t="shared" si="156"/>
        <v>-58.5</v>
      </c>
      <c r="AE538" s="14"/>
      <c r="AF538" s="14">
        <v>25</v>
      </c>
      <c r="AG538" s="14">
        <v>-42</v>
      </c>
      <c r="AH538" s="48">
        <f t="shared" si="157"/>
        <v>-8.5</v>
      </c>
      <c r="AI538" s="14"/>
      <c r="AJ538" s="14">
        <v>20</v>
      </c>
      <c r="AK538" s="14">
        <v>13</v>
      </c>
      <c r="AL538" s="48">
        <f t="shared" si="158"/>
        <v>16.5</v>
      </c>
      <c r="AM538" s="14"/>
      <c r="AN538" s="14"/>
      <c r="AO538" s="14"/>
      <c r="AP538" s="48"/>
      <c r="AQ538" s="14"/>
      <c r="AR538" s="14"/>
      <c r="AS538" s="14"/>
      <c r="AT538" s="48"/>
      <c r="AU538" s="14"/>
      <c r="AV538" s="14"/>
      <c r="AW538" s="14"/>
      <c r="AX538" s="49"/>
    </row>
    <row r="539" spans="1:50" ht="10.199999999999999" customHeight="1" x14ac:dyDescent="0.25">
      <c r="A539" s="14">
        <v>28</v>
      </c>
      <c r="B539" s="103">
        <v>39275</v>
      </c>
      <c r="C539" s="103">
        <v>39268</v>
      </c>
      <c r="D539" s="14"/>
      <c r="E539" s="14"/>
      <c r="F539" s="48"/>
      <c r="G539" s="14"/>
      <c r="H539" s="14"/>
      <c r="I539" s="14"/>
      <c r="J539" s="48"/>
      <c r="K539" s="14"/>
      <c r="L539" s="14"/>
      <c r="M539" s="14"/>
      <c r="N539" s="48"/>
      <c r="O539" s="14"/>
      <c r="P539" s="14"/>
      <c r="Q539" s="14"/>
      <c r="R539" s="48"/>
      <c r="S539" s="14"/>
      <c r="T539" s="14"/>
      <c r="U539" s="14"/>
      <c r="V539" s="48"/>
      <c r="W539" s="14"/>
      <c r="X539" s="14"/>
      <c r="Y539" s="14"/>
      <c r="Z539" s="48"/>
      <c r="AA539" s="14"/>
      <c r="AB539" s="14">
        <v>-3</v>
      </c>
      <c r="AC539" s="14">
        <v>-63</v>
      </c>
      <c r="AD539" s="48">
        <f t="shared" si="156"/>
        <v>-33</v>
      </c>
      <c r="AE539" s="14"/>
      <c r="AF539" s="14">
        <v>25</v>
      </c>
      <c r="AG539" s="14">
        <v>38</v>
      </c>
      <c r="AH539" s="48">
        <f t="shared" si="157"/>
        <v>31.5</v>
      </c>
      <c r="AI539" s="14"/>
      <c r="AJ539" s="14">
        <v>20</v>
      </c>
      <c r="AK539" s="14">
        <v>54</v>
      </c>
      <c r="AL539" s="48">
        <f t="shared" si="158"/>
        <v>37</v>
      </c>
      <c r="AM539" s="14"/>
      <c r="AN539" s="14"/>
      <c r="AO539" s="14"/>
      <c r="AP539" s="48"/>
      <c r="AQ539" s="14"/>
      <c r="AR539" s="14"/>
      <c r="AS539" s="14"/>
      <c r="AT539" s="48"/>
      <c r="AU539" s="14"/>
      <c r="AV539" s="14"/>
      <c r="AW539" s="14"/>
      <c r="AX539" s="49"/>
    </row>
    <row r="540" spans="1:50" ht="10.199999999999999" customHeight="1" x14ac:dyDescent="0.25">
      <c r="A540" s="14">
        <v>29</v>
      </c>
      <c r="B540" s="103">
        <v>39282</v>
      </c>
      <c r="C540" s="103">
        <v>39275</v>
      </c>
      <c r="D540" s="14"/>
      <c r="E540" s="14"/>
      <c r="F540" s="48"/>
      <c r="G540" s="14"/>
      <c r="H540" s="14"/>
      <c r="I540" s="14"/>
      <c r="J540" s="48"/>
      <c r="K540" s="14"/>
      <c r="L540" s="14"/>
      <c r="M540" s="14"/>
      <c r="N540" s="48"/>
      <c r="O540" s="14"/>
      <c r="P540" s="14"/>
      <c r="Q540" s="14"/>
      <c r="R540" s="48"/>
      <c r="S540" s="14"/>
      <c r="T540" s="14"/>
      <c r="U540" s="14"/>
      <c r="V540" s="48"/>
      <c r="W540" s="14"/>
      <c r="X540" s="14"/>
      <c r="Y540" s="14"/>
      <c r="Z540" s="48"/>
      <c r="AA540" s="14"/>
      <c r="AB540" s="14">
        <v>38</v>
      </c>
      <c r="AC540" s="14"/>
      <c r="AD540" s="48">
        <f t="shared" si="156"/>
        <v>38</v>
      </c>
      <c r="AE540" s="14"/>
      <c r="AF540" s="14">
        <v>25</v>
      </c>
      <c r="AG540" s="14">
        <v>19</v>
      </c>
      <c r="AH540" s="48">
        <f t="shared" si="157"/>
        <v>22</v>
      </c>
      <c r="AI540" s="14"/>
      <c r="AJ540" s="14">
        <v>30</v>
      </c>
      <c r="AK540" s="14">
        <v>67</v>
      </c>
      <c r="AL540" s="48">
        <f t="shared" si="158"/>
        <v>48.5</v>
      </c>
      <c r="AM540" s="14"/>
      <c r="AN540" s="14"/>
      <c r="AO540" s="14"/>
      <c r="AP540" s="48"/>
      <c r="AQ540" s="14"/>
      <c r="AR540" s="14"/>
      <c r="AS540" s="14"/>
      <c r="AT540" s="48"/>
      <c r="AU540" s="14"/>
      <c r="AV540" s="14"/>
      <c r="AW540" s="14"/>
      <c r="AX540" s="49"/>
    </row>
    <row r="541" spans="1:50" ht="10.199999999999999" customHeight="1" x14ac:dyDescent="0.25">
      <c r="A541" s="14">
        <v>30</v>
      </c>
      <c r="B541" s="103">
        <v>39289</v>
      </c>
      <c r="C541" s="103">
        <v>39282</v>
      </c>
      <c r="D541" s="14"/>
      <c r="E541" s="14"/>
      <c r="F541" s="48"/>
      <c r="G541" s="14"/>
      <c r="H541" s="14"/>
      <c r="I541" s="14"/>
      <c r="J541" s="48"/>
      <c r="K541" s="14"/>
      <c r="L541" s="14"/>
      <c r="M541" s="14"/>
      <c r="N541" s="48"/>
      <c r="O541" s="14"/>
      <c r="P541" s="14"/>
      <c r="Q541" s="14"/>
      <c r="R541" s="48"/>
      <c r="S541" s="14"/>
      <c r="T541" s="14"/>
      <c r="U541" s="14"/>
      <c r="V541" s="48"/>
      <c r="W541" s="14"/>
      <c r="X541" s="14"/>
      <c r="Y541" s="14"/>
      <c r="Z541" s="48"/>
      <c r="AA541" s="14"/>
      <c r="AB541" s="14"/>
      <c r="AC541" s="14"/>
      <c r="AD541" s="48"/>
      <c r="AE541" s="14"/>
      <c r="AF541" s="14">
        <v>279</v>
      </c>
      <c r="AG541" s="14">
        <v>10</v>
      </c>
      <c r="AH541" s="48">
        <f t="shared" si="157"/>
        <v>144.5</v>
      </c>
      <c r="AI541" s="14"/>
      <c r="AJ541" s="14">
        <v>256</v>
      </c>
      <c r="AK541" s="14">
        <v>50</v>
      </c>
      <c r="AL541" s="48">
        <f t="shared" si="158"/>
        <v>153</v>
      </c>
      <c r="AM541" s="14"/>
      <c r="AN541" s="14">
        <v>175</v>
      </c>
      <c r="AO541" s="14"/>
      <c r="AP541" s="48">
        <f>AVERAGE(AN541,AO541)</f>
        <v>175</v>
      </c>
      <c r="AQ541" s="14"/>
      <c r="AR541" s="14"/>
      <c r="AS541" s="14"/>
      <c r="AT541" s="48"/>
      <c r="AU541" s="14"/>
      <c r="AV541" s="14"/>
      <c r="AW541" s="14"/>
      <c r="AX541" s="49"/>
    </row>
    <row r="542" spans="1:50" ht="10.199999999999999" customHeight="1" x14ac:dyDescent="0.25">
      <c r="A542" s="14">
        <v>31</v>
      </c>
      <c r="B542" s="103">
        <v>39296</v>
      </c>
      <c r="C542" s="103">
        <v>39289</v>
      </c>
      <c r="D542" s="14"/>
      <c r="E542" s="14"/>
      <c r="F542" s="48"/>
      <c r="G542" s="14"/>
      <c r="H542" s="14"/>
      <c r="I542" s="14"/>
      <c r="J542" s="48"/>
      <c r="K542" s="14"/>
      <c r="L542" s="14"/>
      <c r="M542" s="14"/>
      <c r="N542" s="48"/>
      <c r="O542" s="14"/>
      <c r="P542" s="14"/>
      <c r="Q542" s="14"/>
      <c r="R542" s="48"/>
      <c r="S542" s="14"/>
      <c r="T542" s="14"/>
      <c r="U542" s="14"/>
      <c r="V542" s="48"/>
      <c r="W542" s="14"/>
      <c r="X542" s="14"/>
      <c r="Y542" s="14"/>
      <c r="Z542" s="48"/>
      <c r="AA542" s="14"/>
      <c r="AB542" s="14"/>
      <c r="AC542" s="14"/>
      <c r="AD542" s="48"/>
      <c r="AE542" s="14"/>
      <c r="AF542" s="14">
        <v>371</v>
      </c>
      <c r="AG542" s="14">
        <v>33</v>
      </c>
      <c r="AH542" s="48">
        <f t="shared" si="157"/>
        <v>202</v>
      </c>
      <c r="AI542" s="14"/>
      <c r="AJ542" s="14">
        <v>358</v>
      </c>
      <c r="AK542" s="14">
        <v>46</v>
      </c>
      <c r="AL542" s="48">
        <f t="shared" si="158"/>
        <v>202</v>
      </c>
      <c r="AM542" s="14"/>
      <c r="AN542" s="14"/>
      <c r="AO542" s="14"/>
      <c r="AP542" s="48"/>
      <c r="AQ542" s="14"/>
      <c r="AR542" s="14"/>
      <c r="AS542" s="14"/>
      <c r="AT542" s="48"/>
      <c r="AU542" s="14"/>
      <c r="AV542" s="14"/>
      <c r="AW542" s="14"/>
      <c r="AX542" s="49"/>
    </row>
    <row r="543" spans="1:50" ht="10.199999999999999" customHeight="1" x14ac:dyDescent="0.25">
      <c r="A543" s="14">
        <v>32</v>
      </c>
      <c r="B543" s="103">
        <v>39303</v>
      </c>
      <c r="C543" s="103">
        <v>39296</v>
      </c>
      <c r="D543" s="14"/>
      <c r="E543" s="14"/>
      <c r="F543" s="48"/>
      <c r="G543" s="14"/>
      <c r="H543" s="14"/>
      <c r="I543" s="14"/>
      <c r="J543" s="48"/>
      <c r="K543" s="14"/>
      <c r="L543" s="14"/>
      <c r="M543" s="14"/>
      <c r="N543" s="48"/>
      <c r="O543" s="14"/>
      <c r="P543" s="14"/>
      <c r="Q543" s="14"/>
      <c r="R543" s="48"/>
      <c r="S543" s="14"/>
      <c r="T543" s="14"/>
      <c r="U543" s="14"/>
      <c r="V543" s="48"/>
      <c r="W543" s="14"/>
      <c r="X543" s="14"/>
      <c r="Y543" s="14"/>
      <c r="Z543" s="48"/>
      <c r="AA543" s="14"/>
      <c r="AB543" s="14"/>
      <c r="AC543" s="14"/>
      <c r="AD543" s="48"/>
      <c r="AE543" s="14"/>
      <c r="AF543" s="14">
        <v>388</v>
      </c>
      <c r="AG543" s="14">
        <v>35</v>
      </c>
      <c r="AH543" s="48">
        <f t="shared" si="157"/>
        <v>211.5</v>
      </c>
      <c r="AI543" s="14"/>
      <c r="AJ543" s="14">
        <v>397</v>
      </c>
      <c r="AK543" s="14">
        <v>117</v>
      </c>
      <c r="AL543" s="48">
        <f t="shared" si="158"/>
        <v>257</v>
      </c>
      <c r="AM543" s="14"/>
      <c r="AN543" s="14"/>
      <c r="AO543" s="14"/>
      <c r="AP543" s="48"/>
      <c r="AQ543" s="14"/>
      <c r="AR543" s="14"/>
      <c r="AS543" s="14"/>
      <c r="AT543" s="48"/>
      <c r="AU543" s="14"/>
      <c r="AV543" s="14"/>
      <c r="AW543" s="14"/>
      <c r="AX543" s="49"/>
    </row>
    <row r="544" spans="1:50" ht="10.199999999999999" customHeight="1" x14ac:dyDescent="0.25">
      <c r="A544" s="14">
        <v>33</v>
      </c>
      <c r="B544" s="103">
        <v>39310</v>
      </c>
      <c r="C544" s="103">
        <v>39303</v>
      </c>
      <c r="D544" s="14"/>
      <c r="E544" s="14"/>
      <c r="F544" s="48"/>
      <c r="G544" s="14"/>
      <c r="H544" s="14"/>
      <c r="I544" s="14"/>
      <c r="J544" s="48"/>
      <c r="K544" s="14"/>
      <c r="L544" s="14"/>
      <c r="M544" s="14"/>
      <c r="N544" s="48"/>
      <c r="O544" s="14"/>
      <c r="P544" s="14"/>
      <c r="Q544" s="14"/>
      <c r="R544" s="48"/>
      <c r="S544" s="14"/>
      <c r="T544" s="14"/>
      <c r="U544" s="14"/>
      <c r="V544" s="48"/>
      <c r="W544" s="14"/>
      <c r="X544" s="14"/>
      <c r="Y544" s="14"/>
      <c r="Z544" s="48"/>
      <c r="AA544" s="14"/>
      <c r="AB544" s="14"/>
      <c r="AC544" s="14"/>
      <c r="AD544" s="48"/>
      <c r="AE544" s="14"/>
      <c r="AF544" s="14">
        <v>675</v>
      </c>
      <c r="AG544" s="14">
        <v>150</v>
      </c>
      <c r="AH544" s="48">
        <f t="shared" si="157"/>
        <v>412.5</v>
      </c>
      <c r="AI544" s="14"/>
      <c r="AJ544" s="14">
        <v>600</v>
      </c>
      <c r="AK544" s="14">
        <v>263</v>
      </c>
      <c r="AL544" s="48">
        <f t="shared" si="158"/>
        <v>431.5</v>
      </c>
      <c r="AM544" s="14"/>
      <c r="AN544" s="14">
        <v>625</v>
      </c>
      <c r="AO544" s="14"/>
      <c r="AP544" s="48">
        <f t="shared" ref="AP544:AP553" si="160">AVERAGE(AN544,AO544)</f>
        <v>625</v>
      </c>
      <c r="AQ544" s="14"/>
      <c r="AR544" s="14"/>
      <c r="AS544" s="14"/>
      <c r="AT544" s="48"/>
      <c r="AU544" s="14"/>
      <c r="AV544" s="14"/>
      <c r="AW544" s="14"/>
      <c r="AX544" s="49"/>
    </row>
    <row r="545" spans="1:50" ht="10.199999999999999" customHeight="1" x14ac:dyDescent="0.25">
      <c r="A545" s="14">
        <v>34</v>
      </c>
      <c r="B545" s="103">
        <v>39317</v>
      </c>
      <c r="C545" s="103">
        <v>39310</v>
      </c>
      <c r="D545" s="14"/>
      <c r="E545" s="14"/>
      <c r="F545" s="48"/>
      <c r="G545" s="14"/>
      <c r="H545" s="14"/>
      <c r="I545" s="14"/>
      <c r="J545" s="48"/>
      <c r="K545" s="14"/>
      <c r="L545" s="14"/>
      <c r="M545" s="14"/>
      <c r="N545" s="48"/>
      <c r="O545" s="14"/>
      <c r="P545" s="14"/>
      <c r="Q545" s="14"/>
      <c r="R545" s="48"/>
      <c r="S545" s="14"/>
      <c r="T545" s="14"/>
      <c r="U545" s="14"/>
      <c r="V545" s="48"/>
      <c r="W545" s="14"/>
      <c r="X545" s="14"/>
      <c r="Y545" s="14"/>
      <c r="Z545" s="48"/>
      <c r="AA545" s="14"/>
      <c r="AB545" s="14"/>
      <c r="AC545" s="14"/>
      <c r="AD545" s="48"/>
      <c r="AE545" s="14"/>
      <c r="AF545" s="14"/>
      <c r="AG545" s="14"/>
      <c r="AH545" s="48"/>
      <c r="AI545" s="14"/>
      <c r="AJ545" s="14">
        <v>709</v>
      </c>
      <c r="AK545" s="14">
        <v>300</v>
      </c>
      <c r="AL545" s="48">
        <f t="shared" si="158"/>
        <v>504.5</v>
      </c>
      <c r="AM545" s="14"/>
      <c r="AN545" s="14">
        <v>750</v>
      </c>
      <c r="AO545" s="14"/>
      <c r="AP545" s="48">
        <f t="shared" si="160"/>
        <v>750</v>
      </c>
      <c r="AQ545" s="14"/>
      <c r="AR545" s="14"/>
      <c r="AS545" s="14"/>
      <c r="AT545" s="48"/>
      <c r="AU545" s="14"/>
      <c r="AV545" s="14"/>
      <c r="AW545" s="14"/>
      <c r="AX545" s="49"/>
    </row>
    <row r="546" spans="1:50" ht="10.199999999999999" customHeight="1" x14ac:dyDescent="0.25">
      <c r="A546" s="14">
        <v>35</v>
      </c>
      <c r="B546" s="103">
        <v>39324</v>
      </c>
      <c r="C546" s="103">
        <v>39317</v>
      </c>
      <c r="D546" s="14"/>
      <c r="E546" s="14"/>
      <c r="F546" s="48"/>
      <c r="G546" s="14"/>
      <c r="H546" s="14"/>
      <c r="I546" s="14"/>
      <c r="J546" s="48"/>
      <c r="K546" s="14"/>
      <c r="L546" s="14"/>
      <c r="M546" s="14"/>
      <c r="N546" s="48"/>
      <c r="O546" s="14"/>
      <c r="P546" s="14"/>
      <c r="Q546" s="14"/>
      <c r="R546" s="48"/>
      <c r="S546" s="14"/>
      <c r="T546" s="14"/>
      <c r="U546" s="14"/>
      <c r="V546" s="48"/>
      <c r="W546" s="14"/>
      <c r="X546" s="14"/>
      <c r="Y546" s="14"/>
      <c r="Z546" s="48"/>
      <c r="AA546" s="14"/>
      <c r="AB546" s="14"/>
      <c r="AC546" s="14"/>
      <c r="AD546" s="48"/>
      <c r="AE546" s="14"/>
      <c r="AF546" s="14"/>
      <c r="AG546" s="14"/>
      <c r="AH546" s="48"/>
      <c r="AI546" s="14"/>
      <c r="AJ546" s="14">
        <v>867</v>
      </c>
      <c r="AK546" s="14">
        <v>407</v>
      </c>
      <c r="AL546" s="48">
        <f t="shared" si="158"/>
        <v>637</v>
      </c>
      <c r="AM546" s="14"/>
      <c r="AN546" s="14">
        <v>750</v>
      </c>
      <c r="AO546" s="14"/>
      <c r="AP546" s="48">
        <f t="shared" si="160"/>
        <v>750</v>
      </c>
      <c r="AQ546" s="14"/>
      <c r="AR546" s="14">
        <v>500</v>
      </c>
      <c r="AS546" s="14"/>
      <c r="AT546" s="48">
        <f t="shared" ref="AT546:AT557" si="161">AVERAGE(AR546,AS546)</f>
        <v>500</v>
      </c>
      <c r="AU546" s="14"/>
      <c r="AV546" s="14"/>
      <c r="AW546" s="14"/>
      <c r="AX546" s="49"/>
    </row>
    <row r="547" spans="1:50" ht="10.199999999999999" customHeight="1" x14ac:dyDescent="0.25">
      <c r="A547" s="14">
        <v>36</v>
      </c>
      <c r="B547" s="103">
        <v>39331</v>
      </c>
      <c r="C547" s="103">
        <v>39324</v>
      </c>
      <c r="D547" s="14"/>
      <c r="E547" s="14"/>
      <c r="F547" s="48"/>
      <c r="G547" s="14"/>
      <c r="H547" s="14"/>
      <c r="I547" s="14"/>
      <c r="J547" s="48"/>
      <c r="K547" s="14"/>
      <c r="L547" s="14"/>
      <c r="M547" s="14"/>
      <c r="N547" s="48"/>
      <c r="O547" s="14"/>
      <c r="P547" s="14"/>
      <c r="Q547" s="14"/>
      <c r="R547" s="48"/>
      <c r="S547" s="14"/>
      <c r="T547" s="14"/>
      <c r="U547" s="14"/>
      <c r="V547" s="48"/>
      <c r="W547" s="14"/>
      <c r="X547" s="14"/>
      <c r="Y547" s="14"/>
      <c r="Z547" s="48"/>
      <c r="AA547" s="14"/>
      <c r="AB547" s="14"/>
      <c r="AC547" s="14"/>
      <c r="AD547" s="48"/>
      <c r="AE547" s="14"/>
      <c r="AF547" s="14"/>
      <c r="AG547" s="14"/>
      <c r="AH547" s="48"/>
      <c r="AI547" s="14"/>
      <c r="AJ547" s="14">
        <v>706</v>
      </c>
      <c r="AK547" s="14">
        <v>538</v>
      </c>
      <c r="AL547" s="48">
        <f t="shared" si="158"/>
        <v>622</v>
      </c>
      <c r="AM547" s="14"/>
      <c r="AN547" s="14">
        <v>650</v>
      </c>
      <c r="AO547" s="14"/>
      <c r="AP547" s="48">
        <f t="shared" si="160"/>
        <v>650</v>
      </c>
      <c r="AQ547" s="14"/>
      <c r="AR547" s="14">
        <v>350</v>
      </c>
      <c r="AS547" s="14"/>
      <c r="AT547" s="48">
        <f t="shared" si="161"/>
        <v>350</v>
      </c>
      <c r="AU547" s="14"/>
      <c r="AV547" s="14">
        <v>250</v>
      </c>
      <c r="AW547" s="14"/>
      <c r="AX547" s="48">
        <f t="shared" ref="AX547:AX562" si="162">AVERAGE(AV547,AW547)</f>
        <v>250</v>
      </c>
    </row>
    <row r="548" spans="1:50" ht="10.199999999999999" customHeight="1" x14ac:dyDescent="0.25">
      <c r="A548" s="14">
        <v>37</v>
      </c>
      <c r="B548" s="103">
        <v>39338</v>
      </c>
      <c r="C548" s="103">
        <v>39331</v>
      </c>
      <c r="D548" s="14"/>
      <c r="E548" s="14"/>
      <c r="F548" s="48"/>
      <c r="G548" s="14"/>
      <c r="H548" s="14"/>
      <c r="I548" s="14"/>
      <c r="J548" s="48"/>
      <c r="K548" s="14"/>
      <c r="L548" s="14"/>
      <c r="M548" s="14"/>
      <c r="N548" s="48"/>
      <c r="O548" s="14"/>
      <c r="P548" s="14"/>
      <c r="Q548" s="14"/>
      <c r="R548" s="48"/>
      <c r="S548" s="14"/>
      <c r="T548" s="14"/>
      <c r="U548" s="14"/>
      <c r="V548" s="48"/>
      <c r="W548" s="14"/>
      <c r="X548" s="14"/>
      <c r="Y548" s="14"/>
      <c r="Z548" s="48"/>
      <c r="AA548" s="14"/>
      <c r="AB548" s="14"/>
      <c r="AC548" s="14"/>
      <c r="AD548" s="48"/>
      <c r="AE548" s="14"/>
      <c r="AF548" s="14"/>
      <c r="AG548" s="14"/>
      <c r="AH548" s="48"/>
      <c r="AI548" s="14"/>
      <c r="AJ548" s="14">
        <v>700</v>
      </c>
      <c r="AK548" s="14">
        <v>550</v>
      </c>
      <c r="AL548" s="48">
        <f t="shared" si="158"/>
        <v>625</v>
      </c>
      <c r="AM548" s="14"/>
      <c r="AN548" s="14">
        <v>700</v>
      </c>
      <c r="AO548" s="14">
        <v>650</v>
      </c>
      <c r="AP548" s="48">
        <f t="shared" si="160"/>
        <v>675</v>
      </c>
      <c r="AQ548" s="14"/>
      <c r="AR548" s="14">
        <v>400</v>
      </c>
      <c r="AS548" s="14"/>
      <c r="AT548" s="48">
        <f t="shared" si="161"/>
        <v>400</v>
      </c>
      <c r="AU548" s="14"/>
      <c r="AV548" s="14">
        <v>250</v>
      </c>
      <c r="AW548" s="14"/>
      <c r="AX548" s="48">
        <f t="shared" si="162"/>
        <v>250</v>
      </c>
    </row>
    <row r="549" spans="1:50" ht="10.199999999999999" customHeight="1" x14ac:dyDescent="0.25">
      <c r="A549" s="14">
        <v>38</v>
      </c>
      <c r="B549" s="103">
        <v>39345</v>
      </c>
      <c r="C549" s="103">
        <v>39338</v>
      </c>
      <c r="D549" s="14"/>
      <c r="E549" s="14"/>
      <c r="F549" s="48"/>
      <c r="G549" s="14"/>
      <c r="H549" s="14"/>
      <c r="I549" s="14"/>
      <c r="J549" s="48"/>
      <c r="K549" s="14"/>
      <c r="L549" s="14"/>
      <c r="M549" s="14"/>
      <c r="N549" s="48"/>
      <c r="O549" s="14"/>
      <c r="P549" s="14"/>
      <c r="Q549" s="14"/>
      <c r="R549" s="48"/>
      <c r="S549" s="14"/>
      <c r="T549" s="14"/>
      <c r="U549" s="14"/>
      <c r="V549" s="48"/>
      <c r="W549" s="14"/>
      <c r="X549" s="14"/>
      <c r="Y549" s="14"/>
      <c r="Z549" s="48"/>
      <c r="AA549" s="14"/>
      <c r="AB549" s="14"/>
      <c r="AC549" s="14"/>
      <c r="AD549" s="48"/>
      <c r="AE549" s="14"/>
      <c r="AF549" s="14"/>
      <c r="AG549" s="14"/>
      <c r="AH549" s="48"/>
      <c r="AI549" s="14"/>
      <c r="AJ549" s="14">
        <v>800</v>
      </c>
      <c r="AK549" s="14"/>
      <c r="AL549" s="48">
        <f t="shared" si="158"/>
        <v>800</v>
      </c>
      <c r="AM549" s="14"/>
      <c r="AN549" s="14">
        <v>992</v>
      </c>
      <c r="AO549" s="14">
        <v>733</v>
      </c>
      <c r="AP549" s="48">
        <f t="shared" si="160"/>
        <v>862.5</v>
      </c>
      <c r="AQ549" s="14"/>
      <c r="AR549" s="14">
        <v>450</v>
      </c>
      <c r="AS549" s="14"/>
      <c r="AT549" s="48">
        <f t="shared" si="161"/>
        <v>450</v>
      </c>
      <c r="AU549" s="14"/>
      <c r="AV549" s="14">
        <v>300</v>
      </c>
      <c r="AW549" s="14"/>
      <c r="AX549" s="48">
        <f t="shared" si="162"/>
        <v>300</v>
      </c>
    </row>
    <row r="550" spans="1:50" ht="10.199999999999999" customHeight="1" x14ac:dyDescent="0.25">
      <c r="A550" s="14">
        <v>39</v>
      </c>
      <c r="B550" s="103">
        <v>39352</v>
      </c>
      <c r="C550" s="103">
        <v>39345</v>
      </c>
      <c r="D550" s="14"/>
      <c r="E550" s="14"/>
      <c r="F550" s="48"/>
      <c r="G550" s="14"/>
      <c r="H550" s="14"/>
      <c r="I550" s="14"/>
      <c r="J550" s="48"/>
      <c r="K550" s="14"/>
      <c r="L550" s="14"/>
      <c r="M550" s="14"/>
      <c r="N550" s="48"/>
      <c r="O550" s="14"/>
      <c r="P550" s="14"/>
      <c r="Q550" s="14"/>
      <c r="R550" s="48"/>
      <c r="S550" s="14"/>
      <c r="T550" s="14"/>
      <c r="U550" s="14"/>
      <c r="V550" s="48"/>
      <c r="W550" s="14"/>
      <c r="X550" s="14"/>
      <c r="Y550" s="14"/>
      <c r="Z550" s="48"/>
      <c r="AA550" s="14"/>
      <c r="AB550" s="14"/>
      <c r="AC550" s="14"/>
      <c r="AD550" s="48"/>
      <c r="AE550" s="14"/>
      <c r="AF550" s="14"/>
      <c r="AG550" s="14"/>
      <c r="AH550" s="48"/>
      <c r="AI550" s="14"/>
      <c r="AJ550" s="14"/>
      <c r="AK550" s="14"/>
      <c r="AL550" s="48"/>
      <c r="AM550" s="14"/>
      <c r="AN550" s="14">
        <v>875</v>
      </c>
      <c r="AO550" s="14">
        <v>633</v>
      </c>
      <c r="AP550" s="48">
        <f t="shared" si="160"/>
        <v>754</v>
      </c>
      <c r="AQ550" s="14"/>
      <c r="AR550" s="14">
        <v>233</v>
      </c>
      <c r="AS550" s="14"/>
      <c r="AT550" s="48">
        <f t="shared" si="161"/>
        <v>233</v>
      </c>
      <c r="AU550" s="14"/>
      <c r="AV550" s="14">
        <v>400</v>
      </c>
      <c r="AW550" s="14"/>
      <c r="AX550" s="48">
        <f t="shared" si="162"/>
        <v>400</v>
      </c>
    </row>
    <row r="551" spans="1:50" ht="10.199999999999999" customHeight="1" x14ac:dyDescent="0.25">
      <c r="A551" s="14">
        <v>40</v>
      </c>
      <c r="B551" s="103">
        <v>39359</v>
      </c>
      <c r="C551" s="103">
        <v>39352</v>
      </c>
      <c r="D551" s="14"/>
      <c r="E551" s="14"/>
      <c r="F551" s="48"/>
      <c r="G551" s="14"/>
      <c r="H551" s="14"/>
      <c r="I551" s="14"/>
      <c r="J551" s="48"/>
      <c r="K551" s="14"/>
      <c r="L551" s="14"/>
      <c r="M551" s="14"/>
      <c r="N551" s="48"/>
      <c r="O551" s="14"/>
      <c r="P551" s="14"/>
      <c r="Q551" s="14"/>
      <c r="R551" s="48"/>
      <c r="S551" s="14"/>
      <c r="T551" s="14"/>
      <c r="U551" s="14"/>
      <c r="V551" s="48"/>
      <c r="W551" s="14"/>
      <c r="X551" s="14"/>
      <c r="Y551" s="14"/>
      <c r="Z551" s="48"/>
      <c r="AA551" s="14"/>
      <c r="AB551" s="14"/>
      <c r="AC551" s="14"/>
      <c r="AD551" s="48"/>
      <c r="AE551" s="14"/>
      <c r="AF551" s="14"/>
      <c r="AG551" s="14"/>
      <c r="AH551" s="48"/>
      <c r="AI551" s="14"/>
      <c r="AJ551" s="14"/>
      <c r="AK551" s="14"/>
      <c r="AL551" s="48"/>
      <c r="AM551" s="14"/>
      <c r="AN551" s="14">
        <v>400</v>
      </c>
      <c r="AO551" s="14">
        <v>350</v>
      </c>
      <c r="AP551" s="48">
        <f t="shared" si="160"/>
        <v>375</v>
      </c>
      <c r="AQ551" s="14"/>
      <c r="AR551" s="14">
        <v>261</v>
      </c>
      <c r="AS551" s="14"/>
      <c r="AT551" s="48">
        <f t="shared" si="161"/>
        <v>261</v>
      </c>
      <c r="AU551" s="14"/>
      <c r="AV551" s="14">
        <v>263</v>
      </c>
      <c r="AW551" s="14"/>
      <c r="AX551" s="48">
        <f t="shared" si="162"/>
        <v>263</v>
      </c>
    </row>
    <row r="552" spans="1:50" ht="10.199999999999999" customHeight="1" x14ac:dyDescent="0.25">
      <c r="A552" s="14">
        <v>41</v>
      </c>
      <c r="B552" s="103">
        <v>39366</v>
      </c>
      <c r="C552" s="103">
        <v>39359</v>
      </c>
      <c r="D552" s="14"/>
      <c r="E552" s="14"/>
      <c r="F552" s="48"/>
      <c r="G552" s="14"/>
      <c r="H552" s="14"/>
      <c r="I552" s="14"/>
      <c r="J552" s="48"/>
      <c r="K552" s="14"/>
      <c r="L552" s="14"/>
      <c r="M552" s="14"/>
      <c r="N552" s="48"/>
      <c r="O552" s="14"/>
      <c r="P552" s="14"/>
      <c r="Q552" s="14"/>
      <c r="R552" s="48"/>
      <c r="S552" s="14"/>
      <c r="T552" s="14"/>
      <c r="U552" s="14"/>
      <c r="V552" s="48"/>
      <c r="W552" s="14"/>
      <c r="X552" s="14"/>
      <c r="Y552" s="14"/>
      <c r="Z552" s="48"/>
      <c r="AA552" s="14"/>
      <c r="AB552" s="14"/>
      <c r="AC552" s="14"/>
      <c r="AD552" s="48"/>
      <c r="AE552" s="14"/>
      <c r="AF552" s="14"/>
      <c r="AG552" s="14"/>
      <c r="AH552" s="48"/>
      <c r="AI552" s="14"/>
      <c r="AJ552" s="14"/>
      <c r="AK552" s="14"/>
      <c r="AL552" s="48"/>
      <c r="AM552" s="14"/>
      <c r="AN552" s="14">
        <v>350</v>
      </c>
      <c r="AO552" s="14">
        <v>313</v>
      </c>
      <c r="AP552" s="48">
        <f t="shared" si="160"/>
        <v>331.5</v>
      </c>
      <c r="AQ552" s="14"/>
      <c r="AR552" s="14">
        <v>294</v>
      </c>
      <c r="AS552" s="14">
        <v>363</v>
      </c>
      <c r="AT552" s="48">
        <f t="shared" si="161"/>
        <v>328.5</v>
      </c>
      <c r="AU552" s="14"/>
      <c r="AV552" s="14">
        <v>150</v>
      </c>
      <c r="AW552" s="14"/>
      <c r="AX552" s="48">
        <f t="shared" si="162"/>
        <v>150</v>
      </c>
    </row>
    <row r="553" spans="1:50" ht="10.199999999999999" customHeight="1" x14ac:dyDescent="0.25">
      <c r="A553" s="14">
        <v>42</v>
      </c>
      <c r="B553" s="103">
        <v>39373</v>
      </c>
      <c r="C553" s="103">
        <v>39366</v>
      </c>
      <c r="D553" s="14"/>
      <c r="E553" s="14"/>
      <c r="F553" s="48"/>
      <c r="G553" s="14"/>
      <c r="H553" s="14"/>
      <c r="I553" s="14"/>
      <c r="J553" s="48"/>
      <c r="K553" s="14"/>
      <c r="L553" s="14"/>
      <c r="M553" s="14"/>
      <c r="N553" s="48"/>
      <c r="O553" s="14"/>
      <c r="P553" s="14"/>
      <c r="Q553" s="14"/>
      <c r="R553" s="48"/>
      <c r="S553" s="14"/>
      <c r="T553" s="14"/>
      <c r="U553" s="14"/>
      <c r="V553" s="48"/>
      <c r="W553" s="14"/>
      <c r="X553" s="14"/>
      <c r="Y553" s="14"/>
      <c r="Z553" s="48"/>
      <c r="AA553" s="14"/>
      <c r="AB553" s="14"/>
      <c r="AC553" s="14"/>
      <c r="AD553" s="48"/>
      <c r="AE553" s="14"/>
      <c r="AF553" s="14"/>
      <c r="AG553" s="14"/>
      <c r="AH553" s="48"/>
      <c r="AI553" s="14"/>
      <c r="AJ553" s="14"/>
      <c r="AK553" s="14"/>
      <c r="AL553" s="48"/>
      <c r="AM553" s="14"/>
      <c r="AN553" s="14">
        <v>338</v>
      </c>
      <c r="AO553" s="14"/>
      <c r="AP553" s="48">
        <f t="shared" si="160"/>
        <v>338</v>
      </c>
      <c r="AQ553" s="14"/>
      <c r="AR553" s="14">
        <v>338</v>
      </c>
      <c r="AS553" s="14">
        <v>325</v>
      </c>
      <c r="AT553" s="48">
        <f t="shared" si="161"/>
        <v>331.5</v>
      </c>
      <c r="AU553" s="14"/>
      <c r="AV553" s="14">
        <v>300</v>
      </c>
      <c r="AW553" s="14"/>
      <c r="AX553" s="48">
        <f t="shared" si="162"/>
        <v>300</v>
      </c>
    </row>
    <row r="554" spans="1:50" ht="10.199999999999999" customHeight="1" x14ac:dyDescent="0.25">
      <c r="A554" s="14">
        <v>43</v>
      </c>
      <c r="B554" s="103">
        <v>39380</v>
      </c>
      <c r="C554" s="103">
        <v>39373</v>
      </c>
      <c r="D554" s="14"/>
      <c r="E554" s="14"/>
      <c r="F554" s="48"/>
      <c r="G554" s="14"/>
      <c r="H554" s="14"/>
      <c r="I554" s="14"/>
      <c r="J554" s="48"/>
      <c r="K554" s="14"/>
      <c r="L554" s="14"/>
      <c r="M554" s="14"/>
      <c r="N554" s="48"/>
      <c r="O554" s="14"/>
      <c r="P554" s="14"/>
      <c r="Q554" s="14"/>
      <c r="R554" s="48"/>
      <c r="S554" s="14"/>
      <c r="T554" s="14"/>
      <c r="U554" s="14"/>
      <c r="V554" s="48"/>
      <c r="W554" s="14"/>
      <c r="X554" s="14"/>
      <c r="Y554" s="14"/>
      <c r="Z554" s="48"/>
      <c r="AA554" s="14"/>
      <c r="AB554" s="14"/>
      <c r="AC554" s="14"/>
      <c r="AD554" s="48"/>
      <c r="AE554" s="14"/>
      <c r="AF554" s="14"/>
      <c r="AG554" s="14"/>
      <c r="AH554" s="48"/>
      <c r="AI554" s="14"/>
      <c r="AJ554" s="14"/>
      <c r="AK554" s="14"/>
      <c r="AL554" s="48"/>
      <c r="AM554" s="14"/>
      <c r="AN554" s="14"/>
      <c r="AO554" s="14"/>
      <c r="AP554" s="48"/>
      <c r="AQ554" s="14"/>
      <c r="AR554" s="14">
        <v>133</v>
      </c>
      <c r="AS554" s="14">
        <v>88</v>
      </c>
      <c r="AT554" s="48">
        <f t="shared" si="161"/>
        <v>110.5</v>
      </c>
      <c r="AU554" s="14"/>
      <c r="AV554" s="14">
        <v>67</v>
      </c>
      <c r="AW554" s="14">
        <v>50</v>
      </c>
      <c r="AX554" s="48">
        <f t="shared" si="162"/>
        <v>58.5</v>
      </c>
    </row>
    <row r="555" spans="1:50" ht="10.199999999999999" customHeight="1" x14ac:dyDescent="0.25">
      <c r="A555" s="14">
        <v>44</v>
      </c>
      <c r="B555" s="103">
        <v>39387</v>
      </c>
      <c r="C555" s="103">
        <v>39380</v>
      </c>
      <c r="D555" s="14">
        <v>-50</v>
      </c>
      <c r="E555" s="14"/>
      <c r="F555" s="48">
        <f t="shared" ref="F555:F566" si="163">AVERAGE(D555,E555)</f>
        <v>-50</v>
      </c>
      <c r="G555" s="14"/>
      <c r="H555" s="14">
        <v>-50</v>
      </c>
      <c r="I555" s="14"/>
      <c r="J555" s="48">
        <f>AVERAGE(H555,I555)</f>
        <v>-50</v>
      </c>
      <c r="K555" s="14"/>
      <c r="L555" s="14">
        <v>-50</v>
      </c>
      <c r="M555" s="14"/>
      <c r="N555" s="48">
        <f>AVERAGE(L555,M555)</f>
        <v>-50</v>
      </c>
      <c r="O555" s="14"/>
      <c r="P555" s="14"/>
      <c r="Q555" s="14"/>
      <c r="R555" s="48"/>
      <c r="S555" s="14"/>
      <c r="T555" s="14"/>
      <c r="U555" s="14"/>
      <c r="V555" s="48"/>
      <c r="W555" s="14"/>
      <c r="X555" s="14"/>
      <c r="Y555" s="14"/>
      <c r="Z555" s="48"/>
      <c r="AA555" s="14"/>
      <c r="AB555" s="14"/>
      <c r="AC555" s="14"/>
      <c r="AD555" s="48"/>
      <c r="AE555" s="14"/>
      <c r="AF555" s="14"/>
      <c r="AG555" s="14"/>
      <c r="AH555" s="48"/>
      <c r="AI555" s="14"/>
      <c r="AJ555" s="14"/>
      <c r="AK555" s="14"/>
      <c r="AL555" s="48"/>
      <c r="AM555" s="14"/>
      <c r="AN555" s="14"/>
      <c r="AO555" s="14"/>
      <c r="AP555" s="48"/>
      <c r="AQ555" s="14"/>
      <c r="AR555" s="14">
        <v>50</v>
      </c>
      <c r="AS555" s="14">
        <v>25</v>
      </c>
      <c r="AT555" s="48">
        <f t="shared" si="161"/>
        <v>37.5</v>
      </c>
      <c r="AU555" s="14"/>
      <c r="AV555" s="14">
        <v>-17</v>
      </c>
      <c r="AW555" s="14">
        <v>0</v>
      </c>
      <c r="AX555" s="48">
        <f t="shared" si="162"/>
        <v>-8.5</v>
      </c>
    </row>
    <row r="556" spans="1:50" ht="10.199999999999999" customHeight="1" x14ac:dyDescent="0.25">
      <c r="A556" s="14">
        <v>45</v>
      </c>
      <c r="B556" s="103">
        <v>39394</v>
      </c>
      <c r="C556" s="103">
        <v>39387</v>
      </c>
      <c r="D556" s="14">
        <v>-50</v>
      </c>
      <c r="E556" s="14">
        <v>0</v>
      </c>
      <c r="F556" s="48">
        <f t="shared" si="163"/>
        <v>-25</v>
      </c>
      <c r="G556" s="14"/>
      <c r="H556" s="14"/>
      <c r="I556" s="14"/>
      <c r="J556" s="48"/>
      <c r="K556" s="14"/>
      <c r="L556" s="14"/>
      <c r="M556" s="14"/>
      <c r="N556" s="48"/>
      <c r="O556" s="14"/>
      <c r="P556" s="14"/>
      <c r="Q556" s="14"/>
      <c r="R556" s="48"/>
      <c r="S556" s="14"/>
      <c r="T556" s="14"/>
      <c r="U556" s="14"/>
      <c r="V556" s="48"/>
      <c r="W556" s="14"/>
      <c r="X556" s="14"/>
      <c r="Y556" s="14"/>
      <c r="Z556" s="48"/>
      <c r="AA556" s="14"/>
      <c r="AB556" s="14"/>
      <c r="AC556" s="14"/>
      <c r="AD556" s="48"/>
      <c r="AE556" s="14"/>
      <c r="AF556" s="14"/>
      <c r="AG556" s="14"/>
      <c r="AH556" s="48"/>
      <c r="AI556" s="14"/>
      <c r="AJ556" s="14"/>
      <c r="AK556" s="14"/>
      <c r="AL556" s="48"/>
      <c r="AM556" s="14"/>
      <c r="AN556" s="14"/>
      <c r="AO556" s="14"/>
      <c r="AP556" s="48"/>
      <c r="AQ556" s="14"/>
      <c r="AR556" s="14">
        <v>8</v>
      </c>
      <c r="AS556" s="14">
        <v>-88</v>
      </c>
      <c r="AT556" s="48">
        <f t="shared" si="161"/>
        <v>-40</v>
      </c>
      <c r="AU556" s="14"/>
      <c r="AV556" s="14">
        <v>-29</v>
      </c>
      <c r="AW556" s="14">
        <v>-25</v>
      </c>
      <c r="AX556" s="48">
        <f t="shared" si="162"/>
        <v>-27</v>
      </c>
    </row>
    <row r="557" spans="1:50" ht="10.199999999999999" customHeight="1" x14ac:dyDescent="0.25">
      <c r="A557" s="14">
        <v>46</v>
      </c>
      <c r="B557" s="103">
        <v>39401</v>
      </c>
      <c r="C557" s="103">
        <v>39394</v>
      </c>
      <c r="D557" s="14">
        <v>25</v>
      </c>
      <c r="E557" s="14">
        <v>-50</v>
      </c>
      <c r="F557" s="48">
        <f t="shared" si="163"/>
        <v>-12.5</v>
      </c>
      <c r="G557" s="14"/>
      <c r="H557" s="14">
        <v>25</v>
      </c>
      <c r="I557" s="14"/>
      <c r="J557" s="48">
        <f>AVERAGE(H557,I557)</f>
        <v>25</v>
      </c>
      <c r="K557" s="14"/>
      <c r="L557" s="14">
        <v>0</v>
      </c>
      <c r="M557" s="14"/>
      <c r="N557" s="48">
        <f t="shared" ref="N557:N574" si="164">AVERAGE(L557,M557)</f>
        <v>0</v>
      </c>
      <c r="O557" s="14"/>
      <c r="P557" s="14"/>
      <c r="Q557" s="14"/>
      <c r="R557" s="48"/>
      <c r="S557" s="14"/>
      <c r="T557" s="14"/>
      <c r="U557" s="14"/>
      <c r="V557" s="48"/>
      <c r="W557" s="14"/>
      <c r="X557" s="14"/>
      <c r="Y557" s="14"/>
      <c r="Z557" s="48"/>
      <c r="AA557" s="14"/>
      <c r="AB557" s="14"/>
      <c r="AC557" s="14"/>
      <c r="AD557" s="48"/>
      <c r="AE557" s="14"/>
      <c r="AF557" s="14"/>
      <c r="AG557" s="14"/>
      <c r="AH557" s="48"/>
      <c r="AI557" s="14"/>
      <c r="AJ557" s="14"/>
      <c r="AK557" s="14"/>
      <c r="AL557" s="48"/>
      <c r="AM557" s="14"/>
      <c r="AN557" s="14"/>
      <c r="AO557" s="14"/>
      <c r="AP557" s="48"/>
      <c r="AQ557" s="14"/>
      <c r="AR557" s="14">
        <v>22</v>
      </c>
      <c r="AS557" s="14"/>
      <c r="AT557" s="48">
        <f t="shared" si="161"/>
        <v>22</v>
      </c>
      <c r="AU557" s="14"/>
      <c r="AV557" s="14">
        <v>25</v>
      </c>
      <c r="AW557" s="14">
        <v>-150</v>
      </c>
      <c r="AX557" s="48">
        <f t="shared" si="162"/>
        <v>-62.5</v>
      </c>
    </row>
    <row r="558" spans="1:50" ht="10.199999999999999" customHeight="1" x14ac:dyDescent="0.25">
      <c r="A558" s="14">
        <v>47</v>
      </c>
      <c r="B558" s="103">
        <v>39408</v>
      </c>
      <c r="C558" s="103">
        <v>39401</v>
      </c>
      <c r="D558" s="14">
        <v>25</v>
      </c>
      <c r="E558" s="14">
        <v>-50</v>
      </c>
      <c r="F558" s="48">
        <f t="shared" si="163"/>
        <v>-12.5</v>
      </c>
      <c r="G558" s="14"/>
      <c r="H558" s="14"/>
      <c r="I558" s="14"/>
      <c r="J558" s="48"/>
      <c r="K558" s="14"/>
      <c r="L558" s="14">
        <v>-25</v>
      </c>
      <c r="M558" s="14"/>
      <c r="N558" s="48">
        <f t="shared" si="164"/>
        <v>-25</v>
      </c>
      <c r="O558" s="14"/>
      <c r="P558" s="14"/>
      <c r="Q558" s="14"/>
      <c r="R558" s="48"/>
      <c r="S558" s="14"/>
      <c r="T558" s="14"/>
      <c r="U558" s="14"/>
      <c r="V558" s="48"/>
      <c r="W558" s="14"/>
      <c r="X558" s="14"/>
      <c r="Y558" s="14"/>
      <c r="Z558" s="48"/>
      <c r="AA558" s="14"/>
      <c r="AB558" s="14"/>
      <c r="AC558" s="14"/>
      <c r="AD558" s="48"/>
      <c r="AE558" s="14"/>
      <c r="AF558" s="14"/>
      <c r="AG558" s="14"/>
      <c r="AH558" s="48"/>
      <c r="AI558" s="14"/>
      <c r="AJ558" s="14"/>
      <c r="AK558" s="14"/>
      <c r="AL558" s="48"/>
      <c r="AM558" s="14"/>
      <c r="AN558" s="14"/>
      <c r="AO558" s="14"/>
      <c r="AP558" s="48"/>
      <c r="AQ558" s="14"/>
      <c r="AR558" s="14"/>
      <c r="AS558" s="14"/>
      <c r="AT558" s="48"/>
      <c r="AU558" s="14"/>
      <c r="AV558" s="14">
        <v>30</v>
      </c>
      <c r="AW558" s="14">
        <v>-169</v>
      </c>
      <c r="AX558" s="48">
        <f t="shared" si="162"/>
        <v>-69.5</v>
      </c>
    </row>
    <row r="559" spans="1:50" ht="10.199999999999999" customHeight="1" x14ac:dyDescent="0.25">
      <c r="A559" s="14">
        <v>48</v>
      </c>
      <c r="B559" s="103">
        <v>39415</v>
      </c>
      <c r="C559" s="103">
        <v>39408</v>
      </c>
      <c r="D559" s="14">
        <v>13</v>
      </c>
      <c r="E559" s="14">
        <v>-100</v>
      </c>
      <c r="F559" s="48">
        <f t="shared" si="163"/>
        <v>-43.5</v>
      </c>
      <c r="G559" s="14"/>
      <c r="H559" s="14"/>
      <c r="I559" s="14"/>
      <c r="J559" s="48"/>
      <c r="K559" s="14"/>
      <c r="L559" s="14">
        <v>-25</v>
      </c>
      <c r="M559" s="14"/>
      <c r="N559" s="48">
        <f t="shared" si="164"/>
        <v>-25</v>
      </c>
      <c r="O559" s="14"/>
      <c r="P559" s="14"/>
      <c r="Q559" s="14"/>
      <c r="R559" s="48"/>
      <c r="S559" s="14"/>
      <c r="T559" s="14"/>
      <c r="U559" s="14"/>
      <c r="V559" s="48"/>
      <c r="W559" s="14"/>
      <c r="X559" s="14"/>
      <c r="Y559" s="14"/>
      <c r="Z559" s="48"/>
      <c r="AA559" s="14"/>
      <c r="AB559" s="14"/>
      <c r="AC559" s="14"/>
      <c r="AD559" s="48"/>
      <c r="AE559" s="14"/>
      <c r="AF559" s="14"/>
      <c r="AG559" s="14"/>
      <c r="AH559" s="48"/>
      <c r="AI559" s="14"/>
      <c r="AJ559" s="14"/>
      <c r="AK559" s="14"/>
      <c r="AL559" s="48"/>
      <c r="AM559" s="14"/>
      <c r="AN559" s="14"/>
      <c r="AO559" s="14"/>
      <c r="AP559" s="48"/>
      <c r="AQ559" s="14"/>
      <c r="AR559" s="14"/>
      <c r="AS559" s="14"/>
      <c r="AT559" s="48"/>
      <c r="AU559" s="14"/>
      <c r="AV559" s="14">
        <v>29</v>
      </c>
      <c r="AW559" s="14">
        <v>-206</v>
      </c>
      <c r="AX559" s="48">
        <f t="shared" si="162"/>
        <v>-88.5</v>
      </c>
    </row>
    <row r="560" spans="1:50" ht="10.199999999999999" customHeight="1" x14ac:dyDescent="0.25">
      <c r="A560" s="14">
        <v>49</v>
      </c>
      <c r="B560" s="103">
        <v>39422</v>
      </c>
      <c r="C560" s="103">
        <v>39415</v>
      </c>
      <c r="D560" s="14">
        <v>25</v>
      </c>
      <c r="E560" s="14">
        <v>-125</v>
      </c>
      <c r="F560" s="48">
        <f t="shared" si="163"/>
        <v>-50</v>
      </c>
      <c r="G560" s="14"/>
      <c r="H560" s="14">
        <v>-25</v>
      </c>
      <c r="I560" s="14"/>
      <c r="J560" s="48">
        <f t="shared" ref="J560:J570" si="165">AVERAGE(H560,I560)</f>
        <v>-25</v>
      </c>
      <c r="K560" s="14"/>
      <c r="L560" s="14">
        <v>-25</v>
      </c>
      <c r="M560" s="14"/>
      <c r="N560" s="48">
        <f t="shared" si="164"/>
        <v>-25</v>
      </c>
      <c r="O560" s="14"/>
      <c r="P560" s="14"/>
      <c r="Q560" s="14"/>
      <c r="R560" s="48"/>
      <c r="S560" s="14"/>
      <c r="T560" s="14"/>
      <c r="U560" s="14"/>
      <c r="V560" s="48"/>
      <c r="W560" s="14"/>
      <c r="X560" s="14"/>
      <c r="Y560" s="14"/>
      <c r="Z560" s="48"/>
      <c r="AA560" s="14"/>
      <c r="AB560" s="14"/>
      <c r="AC560" s="14"/>
      <c r="AD560" s="48"/>
      <c r="AE560" s="14"/>
      <c r="AF560" s="14"/>
      <c r="AG560" s="14"/>
      <c r="AH560" s="48"/>
      <c r="AI560" s="14"/>
      <c r="AJ560" s="14"/>
      <c r="AK560" s="14"/>
      <c r="AL560" s="48"/>
      <c r="AM560" s="14"/>
      <c r="AN560" s="14"/>
      <c r="AO560" s="14"/>
      <c r="AP560" s="48"/>
      <c r="AQ560" s="14"/>
      <c r="AR560" s="14"/>
      <c r="AS560" s="14"/>
      <c r="AT560" s="48"/>
      <c r="AU560" s="14"/>
      <c r="AV560" s="14">
        <v>25</v>
      </c>
      <c r="AW560" s="14">
        <v>-213</v>
      </c>
      <c r="AX560" s="48">
        <f t="shared" si="162"/>
        <v>-94</v>
      </c>
    </row>
    <row r="561" spans="1:50" ht="10.199999999999999" customHeight="1" x14ac:dyDescent="0.25">
      <c r="A561" s="14">
        <v>50</v>
      </c>
      <c r="B561" s="103">
        <v>39429</v>
      </c>
      <c r="C561" s="103">
        <v>39422</v>
      </c>
      <c r="D561" s="14">
        <v>13</v>
      </c>
      <c r="E561" s="14">
        <v>-150</v>
      </c>
      <c r="F561" s="48">
        <f t="shared" si="163"/>
        <v>-68.5</v>
      </c>
      <c r="G561" s="14"/>
      <c r="H561" s="14">
        <v>-50</v>
      </c>
      <c r="I561" s="14"/>
      <c r="J561" s="48">
        <f t="shared" si="165"/>
        <v>-50</v>
      </c>
      <c r="K561" s="14"/>
      <c r="L561" s="14">
        <v>-25</v>
      </c>
      <c r="M561" s="14"/>
      <c r="N561" s="48">
        <f t="shared" si="164"/>
        <v>-25</v>
      </c>
      <c r="O561" s="14"/>
      <c r="P561" s="14"/>
      <c r="Q561" s="14"/>
      <c r="R561" s="48"/>
      <c r="S561" s="14"/>
      <c r="T561" s="14"/>
      <c r="U561" s="14"/>
      <c r="V561" s="48"/>
      <c r="W561" s="14"/>
      <c r="X561" s="14"/>
      <c r="Y561" s="14"/>
      <c r="Z561" s="48"/>
      <c r="AA561" s="14"/>
      <c r="AB561" s="14"/>
      <c r="AC561" s="14"/>
      <c r="AD561" s="48"/>
      <c r="AE561" s="14"/>
      <c r="AF561" s="14"/>
      <c r="AG561" s="14"/>
      <c r="AH561" s="48"/>
      <c r="AI561" s="14"/>
      <c r="AJ561" s="14"/>
      <c r="AK561" s="14"/>
      <c r="AL561" s="48"/>
      <c r="AM561" s="14"/>
      <c r="AN561" s="14"/>
      <c r="AO561" s="14"/>
      <c r="AP561" s="48"/>
      <c r="AQ561" s="14"/>
      <c r="AR561" s="14"/>
      <c r="AS561" s="14"/>
      <c r="AT561" s="48"/>
      <c r="AU561" s="14"/>
      <c r="AV561" s="14">
        <v>7</v>
      </c>
      <c r="AW561" s="14">
        <v>-200</v>
      </c>
      <c r="AX561" s="48">
        <f t="shared" si="162"/>
        <v>-96.5</v>
      </c>
    </row>
    <row r="562" spans="1:50" ht="10.199999999999999" customHeight="1" x14ac:dyDescent="0.25">
      <c r="A562" s="14">
        <v>51</v>
      </c>
      <c r="B562" s="103">
        <v>39436</v>
      </c>
      <c r="C562" s="103">
        <v>39429</v>
      </c>
      <c r="D562" s="14">
        <v>18</v>
      </c>
      <c r="E562" s="14">
        <v>-200</v>
      </c>
      <c r="F562" s="48">
        <f t="shared" si="163"/>
        <v>-91</v>
      </c>
      <c r="G562" s="14"/>
      <c r="H562" s="14">
        <v>17</v>
      </c>
      <c r="I562" s="14"/>
      <c r="J562" s="48">
        <f t="shared" si="165"/>
        <v>17</v>
      </c>
      <c r="K562" s="14"/>
      <c r="L562" s="14">
        <v>-25</v>
      </c>
      <c r="M562" s="14"/>
      <c r="N562" s="48">
        <f t="shared" si="164"/>
        <v>-25</v>
      </c>
      <c r="O562" s="14"/>
      <c r="P562" s="14"/>
      <c r="Q562" s="14"/>
      <c r="R562" s="48"/>
      <c r="S562" s="14"/>
      <c r="T562" s="14"/>
      <c r="U562" s="14"/>
      <c r="V562" s="48"/>
      <c r="W562" s="14"/>
      <c r="X562" s="14"/>
      <c r="Y562" s="14"/>
      <c r="Z562" s="48"/>
      <c r="AA562" s="14"/>
      <c r="AB562" s="14"/>
      <c r="AC562" s="14"/>
      <c r="AD562" s="48"/>
      <c r="AE562" s="14"/>
      <c r="AF562" s="14"/>
      <c r="AG562" s="14"/>
      <c r="AH562" s="48"/>
      <c r="AI562" s="14"/>
      <c r="AJ562" s="14"/>
      <c r="AK562" s="14"/>
      <c r="AL562" s="48"/>
      <c r="AM562" s="14"/>
      <c r="AN562" s="14"/>
      <c r="AO562" s="14"/>
      <c r="AP562" s="48"/>
      <c r="AQ562" s="14"/>
      <c r="AR562" s="14"/>
      <c r="AS562" s="14"/>
      <c r="AT562" s="48"/>
      <c r="AU562" s="14"/>
      <c r="AV562" s="14">
        <v>-6</v>
      </c>
      <c r="AW562" s="14"/>
      <c r="AX562" s="48">
        <f t="shared" si="162"/>
        <v>-6</v>
      </c>
    </row>
    <row r="563" spans="1:50" ht="10.199999999999999" customHeight="1" x14ac:dyDescent="0.25">
      <c r="A563" s="14">
        <v>52</v>
      </c>
      <c r="B563" s="103">
        <v>39443</v>
      </c>
      <c r="C563" s="103">
        <v>39436</v>
      </c>
      <c r="D563" s="14">
        <v>39</v>
      </c>
      <c r="E563" s="14">
        <v>-181</v>
      </c>
      <c r="F563" s="48">
        <f t="shared" si="163"/>
        <v>-71</v>
      </c>
      <c r="G563" s="14"/>
      <c r="H563" s="14">
        <v>-17</v>
      </c>
      <c r="I563" s="14">
        <v>-163</v>
      </c>
      <c r="J563" s="48">
        <f t="shared" si="165"/>
        <v>-90</v>
      </c>
      <c r="K563" s="14"/>
      <c r="L563" s="14">
        <v>-25</v>
      </c>
      <c r="M563" s="14"/>
      <c r="N563" s="48">
        <f t="shared" si="164"/>
        <v>-25</v>
      </c>
      <c r="O563" s="14"/>
      <c r="P563" s="14"/>
      <c r="Q563" s="14"/>
      <c r="R563" s="48"/>
      <c r="S563" s="14"/>
      <c r="T563" s="14"/>
      <c r="U563" s="14"/>
      <c r="V563" s="48"/>
      <c r="W563" s="14"/>
      <c r="X563" s="14"/>
      <c r="Y563" s="14"/>
      <c r="Z563" s="48"/>
      <c r="AA563" s="14"/>
      <c r="AB563" s="14"/>
      <c r="AC563" s="14"/>
      <c r="AD563" s="48"/>
      <c r="AE563" s="14"/>
      <c r="AF563" s="14"/>
      <c r="AG563" s="14"/>
      <c r="AH563" s="48"/>
      <c r="AI563" s="14"/>
      <c r="AJ563" s="14"/>
      <c r="AK563" s="14"/>
      <c r="AL563" s="48"/>
      <c r="AM563" s="14"/>
      <c r="AN563" s="14"/>
      <c r="AO563" s="14"/>
      <c r="AP563" s="48"/>
      <c r="AQ563" s="14"/>
      <c r="AR563" s="14"/>
      <c r="AS563" s="14"/>
      <c r="AT563" s="48"/>
      <c r="AU563" s="14"/>
      <c r="AV563" s="14"/>
      <c r="AW563" s="14"/>
      <c r="AX563" s="48"/>
    </row>
    <row r="564" spans="1:50" ht="10.199999999999999" customHeight="1" x14ac:dyDescent="0.25">
      <c r="A564" s="14">
        <v>1</v>
      </c>
      <c r="B564" s="103">
        <v>39450</v>
      </c>
      <c r="C564" s="103">
        <v>39443</v>
      </c>
      <c r="D564" s="14">
        <v>49</v>
      </c>
      <c r="E564" s="14">
        <v>-150</v>
      </c>
      <c r="F564" s="48">
        <f t="shared" si="163"/>
        <v>-50.5</v>
      </c>
      <c r="G564" s="14"/>
      <c r="H564" s="14">
        <v>38</v>
      </c>
      <c r="I564" s="14">
        <v>-225</v>
      </c>
      <c r="J564" s="48">
        <f t="shared" si="165"/>
        <v>-93.5</v>
      </c>
      <c r="K564" s="14"/>
      <c r="L564" s="14">
        <v>-25</v>
      </c>
      <c r="M564" s="14">
        <v>-225</v>
      </c>
      <c r="N564" s="48">
        <f t="shared" si="164"/>
        <v>-125</v>
      </c>
      <c r="O564" s="14"/>
      <c r="P564" s="14"/>
      <c r="Q564" s="14"/>
      <c r="R564" s="48"/>
      <c r="S564" s="14"/>
      <c r="T564" s="14"/>
      <c r="U564" s="14"/>
      <c r="V564" s="48"/>
      <c r="W564" s="14"/>
      <c r="X564" s="14"/>
      <c r="Y564" s="14"/>
      <c r="Z564" s="48"/>
      <c r="AA564" s="14"/>
      <c r="AB564" s="14"/>
      <c r="AC564" s="14"/>
      <c r="AD564" s="48"/>
      <c r="AE564" s="14"/>
      <c r="AF564" s="14"/>
      <c r="AG564" s="14"/>
      <c r="AH564" s="48"/>
      <c r="AI564" s="14"/>
      <c r="AJ564" s="14"/>
      <c r="AK564" s="14"/>
      <c r="AL564" s="48"/>
      <c r="AM564" s="14"/>
      <c r="AN564" s="14"/>
      <c r="AO564" s="14"/>
      <c r="AP564" s="48"/>
      <c r="AQ564" s="14"/>
      <c r="AR564" s="14"/>
      <c r="AS564" s="14"/>
      <c r="AT564" s="48"/>
      <c r="AU564" s="14"/>
      <c r="AV564" s="14"/>
      <c r="AW564" s="14"/>
      <c r="AX564" s="49"/>
    </row>
    <row r="565" spans="1:50" ht="10.199999999999999" customHeight="1" x14ac:dyDescent="0.25">
      <c r="A565" s="14">
        <v>2</v>
      </c>
      <c r="B565" s="103">
        <v>39457</v>
      </c>
      <c r="C565" s="103">
        <v>39450</v>
      </c>
      <c r="D565" s="14">
        <v>25</v>
      </c>
      <c r="E565" s="14">
        <v>-158</v>
      </c>
      <c r="F565" s="48">
        <f t="shared" si="163"/>
        <v>-66.5</v>
      </c>
      <c r="G565" s="14"/>
      <c r="H565" s="14">
        <v>42</v>
      </c>
      <c r="I565" s="14">
        <v>-225</v>
      </c>
      <c r="J565" s="48">
        <f t="shared" si="165"/>
        <v>-91.5</v>
      </c>
      <c r="K565" s="14"/>
      <c r="L565" s="14">
        <v>-25</v>
      </c>
      <c r="M565" s="14">
        <v>-225</v>
      </c>
      <c r="N565" s="48">
        <f t="shared" si="164"/>
        <v>-125</v>
      </c>
      <c r="O565" s="14"/>
      <c r="P565" s="14"/>
      <c r="Q565" s="14"/>
      <c r="R565" s="48"/>
      <c r="S565" s="14"/>
      <c r="T565" s="14"/>
      <c r="U565" s="14"/>
      <c r="V565" s="48"/>
      <c r="W565" s="14"/>
      <c r="X565" s="14"/>
      <c r="Y565" s="14"/>
      <c r="Z565" s="48"/>
      <c r="AA565" s="14"/>
      <c r="AB565" s="14"/>
      <c r="AC565" s="14"/>
      <c r="AD565" s="48"/>
      <c r="AE565" s="14"/>
      <c r="AF565" s="14"/>
      <c r="AG565" s="14"/>
      <c r="AH565" s="48"/>
      <c r="AI565" s="14"/>
      <c r="AJ565" s="14"/>
      <c r="AK565" s="14"/>
      <c r="AL565" s="48"/>
      <c r="AM565" s="14"/>
      <c r="AN565" s="14"/>
      <c r="AO565" s="14"/>
      <c r="AP565" s="48"/>
      <c r="AQ565" s="14"/>
      <c r="AR565" s="14"/>
      <c r="AS565" s="14"/>
      <c r="AT565" s="48"/>
      <c r="AU565" s="14"/>
      <c r="AV565" s="14"/>
      <c r="AW565" s="14"/>
      <c r="AX565" s="49"/>
    </row>
    <row r="566" spans="1:50" ht="10.199999999999999" customHeight="1" x14ac:dyDescent="0.25">
      <c r="A566" s="14">
        <v>3</v>
      </c>
      <c r="B566" s="103">
        <v>39464</v>
      </c>
      <c r="C566" s="103">
        <v>39457</v>
      </c>
      <c r="D566" s="14">
        <v>50</v>
      </c>
      <c r="E566" s="14"/>
      <c r="F566" s="48">
        <f t="shared" si="163"/>
        <v>50</v>
      </c>
      <c r="G566" s="14"/>
      <c r="H566" s="14">
        <v>25</v>
      </c>
      <c r="I566" s="14">
        <v>-63</v>
      </c>
      <c r="J566" s="48">
        <f t="shared" si="165"/>
        <v>-19</v>
      </c>
      <c r="K566" s="14"/>
      <c r="L566" s="14">
        <v>-8</v>
      </c>
      <c r="M566" s="14">
        <v>-75</v>
      </c>
      <c r="N566" s="48">
        <f t="shared" si="164"/>
        <v>-41.5</v>
      </c>
      <c r="O566" s="14"/>
      <c r="P566" s="14">
        <v>0</v>
      </c>
      <c r="Q566" s="14"/>
      <c r="R566" s="48">
        <f t="shared" ref="R566:R579" si="166">AVERAGE(P566,Q566)</f>
        <v>0</v>
      </c>
      <c r="S566" s="14"/>
      <c r="T566" s="14">
        <v>0</v>
      </c>
      <c r="U566" s="14"/>
      <c r="V566" s="48">
        <f t="shared" ref="V566:V583" si="167">AVERAGE(T566,U566)</f>
        <v>0</v>
      </c>
      <c r="W566" s="14"/>
      <c r="X566" s="14"/>
      <c r="Y566" s="14"/>
      <c r="Z566" s="48"/>
      <c r="AA566" s="14"/>
      <c r="AB566" s="14"/>
      <c r="AC566" s="14"/>
      <c r="AD566" s="48"/>
      <c r="AE566" s="14"/>
      <c r="AF566" s="14"/>
      <c r="AG566" s="14"/>
      <c r="AH566" s="48"/>
      <c r="AI566" s="14"/>
      <c r="AJ566" s="14"/>
      <c r="AK566" s="14"/>
      <c r="AL566" s="48"/>
      <c r="AM566" s="14"/>
      <c r="AN566" s="14"/>
      <c r="AO566" s="14"/>
      <c r="AP566" s="48"/>
      <c r="AQ566" s="14"/>
      <c r="AR566" s="14"/>
      <c r="AS566" s="14"/>
      <c r="AT566" s="48"/>
      <c r="AU566" s="14"/>
      <c r="AV566" s="14"/>
      <c r="AW566" s="14"/>
      <c r="AX566" s="49"/>
    </row>
    <row r="567" spans="1:50" ht="10.199999999999999" customHeight="1" x14ac:dyDescent="0.25">
      <c r="A567" s="14">
        <v>4</v>
      </c>
      <c r="B567" s="103">
        <v>39471</v>
      </c>
      <c r="C567" s="103">
        <v>39464</v>
      </c>
      <c r="D567" s="14"/>
      <c r="E567" s="14"/>
      <c r="F567" s="48"/>
      <c r="G567" s="14"/>
      <c r="H567" s="14">
        <v>38</v>
      </c>
      <c r="I567" s="14">
        <v>-106</v>
      </c>
      <c r="J567" s="48">
        <f t="shared" si="165"/>
        <v>-34</v>
      </c>
      <c r="K567" s="14"/>
      <c r="L567" s="14">
        <v>0</v>
      </c>
      <c r="M567" s="14">
        <v>-75</v>
      </c>
      <c r="N567" s="48">
        <f t="shared" si="164"/>
        <v>-37.5</v>
      </c>
      <c r="O567" s="14"/>
      <c r="P567" s="14">
        <v>0</v>
      </c>
      <c r="Q567" s="14"/>
      <c r="R567" s="48">
        <f t="shared" si="166"/>
        <v>0</v>
      </c>
      <c r="S567" s="14"/>
      <c r="T567" s="14">
        <v>0</v>
      </c>
      <c r="U567" s="14"/>
      <c r="V567" s="48">
        <f t="shared" si="167"/>
        <v>0</v>
      </c>
      <c r="W567" s="14"/>
      <c r="X567" s="14"/>
      <c r="Y567" s="14"/>
      <c r="Z567" s="48"/>
      <c r="AA567" s="14"/>
      <c r="AB567" s="14"/>
      <c r="AC567" s="14"/>
      <c r="AD567" s="48"/>
      <c r="AE567" s="14"/>
      <c r="AF567" s="14"/>
      <c r="AG567" s="14"/>
      <c r="AH567" s="48"/>
      <c r="AI567" s="14"/>
      <c r="AJ567" s="14"/>
      <c r="AK567" s="14"/>
      <c r="AL567" s="48"/>
      <c r="AM567" s="14"/>
      <c r="AN567" s="14"/>
      <c r="AO567" s="14"/>
      <c r="AP567" s="48"/>
      <c r="AQ567" s="14"/>
      <c r="AR567" s="14"/>
      <c r="AS567" s="14"/>
      <c r="AT567" s="48"/>
      <c r="AU567" s="14"/>
      <c r="AV567" s="14"/>
      <c r="AW567" s="14"/>
      <c r="AX567" s="49"/>
    </row>
    <row r="568" spans="1:50" ht="10.199999999999999" customHeight="1" x14ac:dyDescent="0.25">
      <c r="A568" s="14">
        <v>5</v>
      </c>
      <c r="B568" s="103">
        <v>39478</v>
      </c>
      <c r="C568" s="103">
        <v>39471</v>
      </c>
      <c r="D568" s="14"/>
      <c r="E568" s="14"/>
      <c r="F568" s="48"/>
      <c r="G568" s="14"/>
      <c r="H568" s="14">
        <v>82</v>
      </c>
      <c r="I568" s="14">
        <v>-88</v>
      </c>
      <c r="J568" s="48">
        <f t="shared" si="165"/>
        <v>-3</v>
      </c>
      <c r="K568" s="14"/>
      <c r="L568" s="14">
        <v>13</v>
      </c>
      <c r="M568" s="14">
        <v>-88</v>
      </c>
      <c r="N568" s="48">
        <f t="shared" si="164"/>
        <v>-37.5</v>
      </c>
      <c r="O568" s="14"/>
      <c r="P568" s="14">
        <v>-10</v>
      </c>
      <c r="Q568" s="14"/>
      <c r="R568" s="48">
        <f t="shared" si="166"/>
        <v>-10</v>
      </c>
      <c r="S568" s="14"/>
      <c r="T568" s="14">
        <v>-10</v>
      </c>
      <c r="U568" s="14"/>
      <c r="V568" s="48">
        <f t="shared" si="167"/>
        <v>-10</v>
      </c>
      <c r="W568" s="14"/>
      <c r="X568" s="14"/>
      <c r="Y568" s="14"/>
      <c r="Z568" s="48"/>
      <c r="AA568" s="14"/>
      <c r="AB568" s="14"/>
      <c r="AC568" s="14"/>
      <c r="AD568" s="48"/>
      <c r="AE568" s="14"/>
      <c r="AF568" s="14"/>
      <c r="AG568" s="14"/>
      <c r="AH568" s="48"/>
      <c r="AI568" s="14"/>
      <c r="AJ568" s="14"/>
      <c r="AK568" s="14"/>
      <c r="AL568" s="48"/>
      <c r="AM568" s="14"/>
      <c r="AN568" s="14"/>
      <c r="AO568" s="14"/>
      <c r="AP568" s="48"/>
      <c r="AQ568" s="14"/>
      <c r="AR568" s="14"/>
      <c r="AS568" s="14"/>
      <c r="AT568" s="48"/>
      <c r="AU568" s="14"/>
      <c r="AV568" s="14"/>
      <c r="AW568" s="14"/>
      <c r="AX568" s="49"/>
    </row>
    <row r="569" spans="1:50" ht="10.199999999999999" customHeight="1" x14ac:dyDescent="0.25">
      <c r="A569" s="14">
        <v>6</v>
      </c>
      <c r="B569" s="103">
        <v>39485</v>
      </c>
      <c r="C569" s="103">
        <v>39478</v>
      </c>
      <c r="D569" s="14"/>
      <c r="E569" s="14"/>
      <c r="F569" s="48"/>
      <c r="G569" s="14"/>
      <c r="H569" s="14">
        <v>47</v>
      </c>
      <c r="I569" s="14">
        <v>-158</v>
      </c>
      <c r="J569" s="48">
        <f t="shared" si="165"/>
        <v>-55.5</v>
      </c>
      <c r="K569" s="14"/>
      <c r="L569" s="14">
        <v>-13</v>
      </c>
      <c r="M569" s="14">
        <v>-160</v>
      </c>
      <c r="N569" s="48">
        <f t="shared" si="164"/>
        <v>-86.5</v>
      </c>
      <c r="O569" s="14"/>
      <c r="P569" s="14">
        <v>-10</v>
      </c>
      <c r="Q569" s="14"/>
      <c r="R569" s="48">
        <f t="shared" si="166"/>
        <v>-10</v>
      </c>
      <c r="S569" s="14"/>
      <c r="T569" s="14">
        <v>-10</v>
      </c>
      <c r="U569" s="14"/>
      <c r="V569" s="48">
        <f t="shared" si="167"/>
        <v>-10</v>
      </c>
      <c r="W569" s="14"/>
      <c r="X569" s="14"/>
      <c r="Y569" s="14"/>
      <c r="Z569" s="48"/>
      <c r="AA569" s="14"/>
      <c r="AB569" s="14"/>
      <c r="AC569" s="14"/>
      <c r="AD569" s="48"/>
      <c r="AE569" s="14"/>
      <c r="AF569" s="14"/>
      <c r="AG569" s="14"/>
      <c r="AH569" s="48"/>
      <c r="AI569" s="14"/>
      <c r="AJ569" s="14"/>
      <c r="AK569" s="14"/>
      <c r="AL569" s="48"/>
      <c r="AM569" s="14"/>
      <c r="AN569" s="14"/>
      <c r="AO569" s="14"/>
      <c r="AP569" s="48"/>
      <c r="AQ569" s="14"/>
      <c r="AR569" s="14"/>
      <c r="AS569" s="14"/>
      <c r="AT569" s="48"/>
      <c r="AU569" s="14"/>
      <c r="AV569" s="14"/>
      <c r="AW569" s="14"/>
      <c r="AX569" s="49"/>
    </row>
    <row r="570" spans="1:50" ht="10.199999999999999" customHeight="1" x14ac:dyDescent="0.25">
      <c r="A570" s="14">
        <v>7</v>
      </c>
      <c r="B570" s="103">
        <v>39492</v>
      </c>
      <c r="C570" s="103">
        <v>39485</v>
      </c>
      <c r="D570" s="14"/>
      <c r="E570" s="14"/>
      <c r="F570" s="48"/>
      <c r="G570" s="14"/>
      <c r="H570" s="14">
        <v>18</v>
      </c>
      <c r="I570" s="14"/>
      <c r="J570" s="48">
        <f t="shared" si="165"/>
        <v>18</v>
      </c>
      <c r="K570" s="14"/>
      <c r="L570" s="14">
        <v>-11</v>
      </c>
      <c r="M570" s="14">
        <v>-150</v>
      </c>
      <c r="N570" s="48">
        <f t="shared" si="164"/>
        <v>-80.5</v>
      </c>
      <c r="O570" s="14"/>
      <c r="P570" s="14">
        <v>-13</v>
      </c>
      <c r="Q570" s="14">
        <v>-150</v>
      </c>
      <c r="R570" s="48">
        <f t="shared" si="166"/>
        <v>-81.5</v>
      </c>
      <c r="S570" s="14"/>
      <c r="T570" s="14">
        <v>-13</v>
      </c>
      <c r="U570" s="14"/>
      <c r="V570" s="48">
        <f t="shared" si="167"/>
        <v>-13</v>
      </c>
      <c r="W570" s="14"/>
      <c r="X570" s="14"/>
      <c r="Y570" s="14"/>
      <c r="Z570" s="48"/>
      <c r="AA570" s="14"/>
      <c r="AB570" s="14"/>
      <c r="AC570" s="14"/>
      <c r="AD570" s="48"/>
      <c r="AE570" s="14"/>
      <c r="AF570" s="14"/>
      <c r="AG570" s="14"/>
      <c r="AH570" s="48"/>
      <c r="AI570" s="14"/>
      <c r="AJ570" s="14"/>
      <c r="AK570" s="14"/>
      <c r="AL570" s="48"/>
      <c r="AM570" s="14"/>
      <c r="AN570" s="14"/>
      <c r="AO570" s="14"/>
      <c r="AP570" s="48"/>
      <c r="AQ570" s="14"/>
      <c r="AR570" s="14"/>
      <c r="AS570" s="14"/>
      <c r="AT570" s="48"/>
      <c r="AU570" s="14"/>
      <c r="AV570" s="14"/>
      <c r="AW570" s="14"/>
      <c r="AX570" s="49"/>
    </row>
    <row r="571" spans="1:50" ht="10.199999999999999" customHeight="1" x14ac:dyDescent="0.25">
      <c r="A571" s="14">
        <v>8</v>
      </c>
      <c r="B571" s="103">
        <v>39499</v>
      </c>
      <c r="C571" s="103">
        <v>39492</v>
      </c>
      <c r="D571" s="14"/>
      <c r="E571" s="14"/>
      <c r="F571" s="48"/>
      <c r="G571" s="14"/>
      <c r="H571" s="14"/>
      <c r="I571" s="14"/>
      <c r="J571" s="48"/>
      <c r="K571" s="14"/>
      <c r="L571" s="14">
        <v>17</v>
      </c>
      <c r="M571" s="14">
        <v>-94</v>
      </c>
      <c r="N571" s="48">
        <f t="shared" si="164"/>
        <v>-38.5</v>
      </c>
      <c r="O571" s="14"/>
      <c r="P571" s="14">
        <v>-17</v>
      </c>
      <c r="Q571" s="14">
        <v>-150</v>
      </c>
      <c r="R571" s="48">
        <f t="shared" si="166"/>
        <v>-83.5</v>
      </c>
      <c r="S571" s="14"/>
      <c r="T571" s="14">
        <v>-10</v>
      </c>
      <c r="U571" s="14"/>
      <c r="V571" s="48">
        <f t="shared" si="167"/>
        <v>-10</v>
      </c>
      <c r="W571" s="14"/>
      <c r="X571" s="14"/>
      <c r="Y571" s="14"/>
      <c r="Z571" s="48"/>
      <c r="AA571" s="14"/>
      <c r="AB571" s="14"/>
      <c r="AC571" s="14"/>
      <c r="AD571" s="48"/>
      <c r="AE571" s="14"/>
      <c r="AF571" s="14"/>
      <c r="AG571" s="14"/>
      <c r="AH571" s="48"/>
      <c r="AI571" s="14"/>
      <c r="AJ571" s="14"/>
      <c r="AK571" s="14"/>
      <c r="AL571" s="48"/>
      <c r="AM571" s="14"/>
      <c r="AN571" s="14"/>
      <c r="AO571" s="14"/>
      <c r="AP571" s="48"/>
      <c r="AQ571" s="14"/>
      <c r="AR571" s="14"/>
      <c r="AS571" s="14"/>
      <c r="AT571" s="48"/>
      <c r="AU571" s="14"/>
      <c r="AV571" s="14"/>
      <c r="AW571" s="14"/>
      <c r="AX571" s="49"/>
    </row>
    <row r="572" spans="1:50" ht="10.199999999999999" customHeight="1" x14ac:dyDescent="0.25">
      <c r="A572" s="14">
        <v>9</v>
      </c>
      <c r="B572" s="103">
        <v>39506</v>
      </c>
      <c r="C572" s="103">
        <v>39499</v>
      </c>
      <c r="D572" s="14"/>
      <c r="E572" s="14"/>
      <c r="F572" s="48"/>
      <c r="G572" s="14"/>
      <c r="H572" s="14"/>
      <c r="I572" s="14"/>
      <c r="J572" s="48"/>
      <c r="K572" s="14"/>
      <c r="L572" s="14">
        <v>81</v>
      </c>
      <c r="M572" s="14">
        <v>-83</v>
      </c>
      <c r="N572" s="48">
        <f t="shared" si="164"/>
        <v>-1</v>
      </c>
      <c r="O572" s="14"/>
      <c r="P572" s="14">
        <v>-18</v>
      </c>
      <c r="Q572" s="14">
        <v>-150</v>
      </c>
      <c r="R572" s="48">
        <f t="shared" si="166"/>
        <v>-84</v>
      </c>
      <c r="S572" s="14"/>
      <c r="T572" s="14">
        <v>-23</v>
      </c>
      <c r="U572" s="14"/>
      <c r="V572" s="48">
        <f t="shared" si="167"/>
        <v>-23</v>
      </c>
      <c r="W572" s="14"/>
      <c r="X572" s="14"/>
      <c r="Y572" s="14"/>
      <c r="Z572" s="48"/>
      <c r="AA572" s="14"/>
      <c r="AB572" s="14"/>
      <c r="AC572" s="14"/>
      <c r="AD572" s="48"/>
      <c r="AE572" s="14"/>
      <c r="AF572" s="14"/>
      <c r="AG572" s="14"/>
      <c r="AH572" s="48"/>
      <c r="AI572" s="14"/>
      <c r="AJ572" s="14"/>
      <c r="AK572" s="14"/>
      <c r="AL572" s="48"/>
      <c r="AM572" s="14"/>
      <c r="AN572" s="14"/>
      <c r="AO572" s="14"/>
      <c r="AP572" s="48"/>
      <c r="AQ572" s="14"/>
      <c r="AR572" s="14"/>
      <c r="AS572" s="14"/>
      <c r="AT572" s="48"/>
      <c r="AU572" s="14"/>
      <c r="AV572" s="14"/>
      <c r="AW572" s="14"/>
      <c r="AX572" s="49"/>
    </row>
    <row r="573" spans="1:50" ht="10.199999999999999" customHeight="1" x14ac:dyDescent="0.25">
      <c r="A573" s="14">
        <v>10</v>
      </c>
      <c r="B573" s="103">
        <v>39513</v>
      </c>
      <c r="C573" s="103">
        <v>39506</v>
      </c>
      <c r="D573" s="14"/>
      <c r="E573" s="14"/>
      <c r="F573" s="48"/>
      <c r="G573" s="14"/>
      <c r="H573" s="14"/>
      <c r="I573" s="14"/>
      <c r="J573" s="48"/>
      <c r="K573" s="14"/>
      <c r="L573" s="14">
        <v>88</v>
      </c>
      <c r="M573" s="14">
        <v>-106</v>
      </c>
      <c r="N573" s="48">
        <f t="shared" si="164"/>
        <v>-9</v>
      </c>
      <c r="O573" s="14"/>
      <c r="P573" s="14">
        <v>3</v>
      </c>
      <c r="Q573" s="14">
        <v>-150</v>
      </c>
      <c r="R573" s="48">
        <f t="shared" si="166"/>
        <v>-73.5</v>
      </c>
      <c r="S573" s="14"/>
      <c r="T573" s="14">
        <v>-23</v>
      </c>
      <c r="U573" s="14"/>
      <c r="V573" s="48">
        <f t="shared" si="167"/>
        <v>-23</v>
      </c>
      <c r="W573" s="14"/>
      <c r="X573" s="14"/>
      <c r="Y573" s="14"/>
      <c r="Z573" s="48"/>
      <c r="AA573" s="14"/>
      <c r="AB573" s="14"/>
      <c r="AC573" s="14"/>
      <c r="AD573" s="48"/>
      <c r="AE573" s="14"/>
      <c r="AF573" s="14"/>
      <c r="AG573" s="14"/>
      <c r="AH573" s="48"/>
      <c r="AI573" s="14"/>
      <c r="AJ573" s="14"/>
      <c r="AK573" s="14"/>
      <c r="AL573" s="48"/>
      <c r="AM573" s="14"/>
      <c r="AN573" s="14"/>
      <c r="AO573" s="14"/>
      <c r="AP573" s="48"/>
      <c r="AQ573" s="14"/>
      <c r="AR573" s="14"/>
      <c r="AS573" s="14"/>
      <c r="AT573" s="48"/>
      <c r="AU573" s="14"/>
      <c r="AV573" s="14"/>
      <c r="AW573" s="14"/>
      <c r="AX573" s="49"/>
    </row>
    <row r="574" spans="1:50" ht="10.199999999999999" customHeight="1" x14ac:dyDescent="0.25">
      <c r="A574" s="14">
        <v>11</v>
      </c>
      <c r="B574" s="103">
        <v>39520</v>
      </c>
      <c r="C574" s="103">
        <v>39513</v>
      </c>
      <c r="D574" s="14"/>
      <c r="E574" s="14"/>
      <c r="F574" s="48"/>
      <c r="G574" s="14"/>
      <c r="H574" s="14"/>
      <c r="I574" s="14"/>
      <c r="J574" s="48"/>
      <c r="K574" s="14"/>
      <c r="L574" s="14">
        <v>63</v>
      </c>
      <c r="M574" s="14"/>
      <c r="N574" s="48">
        <f t="shared" si="164"/>
        <v>63</v>
      </c>
      <c r="O574" s="14"/>
      <c r="P574" s="14">
        <v>1</v>
      </c>
      <c r="Q574" s="14">
        <v>-92</v>
      </c>
      <c r="R574" s="48">
        <f t="shared" si="166"/>
        <v>-45.5</v>
      </c>
      <c r="S574" s="14"/>
      <c r="T574" s="14">
        <v>-8</v>
      </c>
      <c r="U574" s="14">
        <v>-138</v>
      </c>
      <c r="V574" s="48">
        <f t="shared" si="167"/>
        <v>-73</v>
      </c>
      <c r="W574" s="14"/>
      <c r="X574" s="14">
        <v>-13</v>
      </c>
      <c r="Y574" s="14">
        <v>-25</v>
      </c>
      <c r="Z574" s="48">
        <f t="shared" ref="Z574:Z588" si="168">AVERAGE(X574,Y574)</f>
        <v>-19</v>
      </c>
      <c r="AA574" s="14"/>
      <c r="AB574" s="14"/>
      <c r="AC574" s="14"/>
      <c r="AD574" s="48"/>
      <c r="AE574" s="14"/>
      <c r="AF574" s="14"/>
      <c r="AG574" s="14"/>
      <c r="AH574" s="48"/>
      <c r="AI574" s="14"/>
      <c r="AJ574" s="14"/>
      <c r="AK574" s="14"/>
      <c r="AL574" s="48"/>
      <c r="AM574" s="14"/>
      <c r="AN574" s="14"/>
      <c r="AO574" s="14"/>
      <c r="AP574" s="48"/>
      <c r="AQ574" s="14"/>
      <c r="AR574" s="14"/>
      <c r="AS574" s="14"/>
      <c r="AT574" s="48"/>
      <c r="AU574" s="14"/>
      <c r="AV574" s="14"/>
      <c r="AW574" s="14"/>
      <c r="AX574" s="49"/>
    </row>
    <row r="575" spans="1:50" ht="10.199999999999999" customHeight="1" x14ac:dyDescent="0.25">
      <c r="A575" s="14">
        <v>12</v>
      </c>
      <c r="B575" s="103">
        <v>39527</v>
      </c>
      <c r="C575" s="103">
        <v>39520</v>
      </c>
      <c r="D575" s="14"/>
      <c r="E575" s="14"/>
      <c r="F575" s="48"/>
      <c r="G575" s="14"/>
      <c r="H575" s="14"/>
      <c r="I575" s="14"/>
      <c r="J575" s="48"/>
      <c r="K575" s="14"/>
      <c r="L575" s="14"/>
      <c r="M575" s="14"/>
      <c r="N575" s="48"/>
      <c r="O575" s="14"/>
      <c r="P575" s="14">
        <v>-2</v>
      </c>
      <c r="Q575" s="14">
        <v>-88</v>
      </c>
      <c r="R575" s="48">
        <f t="shared" si="166"/>
        <v>-45</v>
      </c>
      <c r="S575" s="14"/>
      <c r="T575" s="14">
        <v>-7</v>
      </c>
      <c r="U575" s="14">
        <v>-113</v>
      </c>
      <c r="V575" s="48">
        <f t="shared" si="167"/>
        <v>-60</v>
      </c>
      <c r="W575" s="14"/>
      <c r="X575" s="14">
        <v>-13</v>
      </c>
      <c r="Y575" s="14"/>
      <c r="Z575" s="48">
        <f t="shared" si="168"/>
        <v>-13</v>
      </c>
      <c r="AA575" s="14"/>
      <c r="AB575" s="14"/>
      <c r="AC575" s="14"/>
      <c r="AD575" s="48"/>
      <c r="AE575" s="14"/>
      <c r="AF575" s="14"/>
      <c r="AG575" s="14"/>
      <c r="AH575" s="48"/>
      <c r="AI575" s="14"/>
      <c r="AJ575" s="14"/>
      <c r="AK575" s="14"/>
      <c r="AL575" s="48"/>
      <c r="AM575" s="14"/>
      <c r="AN575" s="14"/>
      <c r="AO575" s="14"/>
      <c r="AP575" s="48"/>
      <c r="AQ575" s="14"/>
      <c r="AR575" s="14"/>
      <c r="AS575" s="14"/>
      <c r="AT575" s="48"/>
      <c r="AU575" s="14"/>
      <c r="AV575" s="14"/>
      <c r="AW575" s="14"/>
      <c r="AX575" s="49"/>
    </row>
    <row r="576" spans="1:50" ht="10.199999999999999" customHeight="1" x14ac:dyDescent="0.25">
      <c r="A576" s="14">
        <v>13</v>
      </c>
      <c r="B576" s="103">
        <v>39534</v>
      </c>
      <c r="C576" s="103">
        <v>39527</v>
      </c>
      <c r="D576" s="14"/>
      <c r="E576" s="14"/>
      <c r="F576" s="48"/>
      <c r="G576" s="14"/>
      <c r="H576" s="14"/>
      <c r="I576" s="14"/>
      <c r="J576" s="48"/>
      <c r="K576" s="14"/>
      <c r="L576" s="14"/>
      <c r="M576" s="14"/>
      <c r="N576" s="48"/>
      <c r="O576" s="14"/>
      <c r="P576" s="14">
        <v>-5</v>
      </c>
      <c r="Q576" s="14">
        <v>-82</v>
      </c>
      <c r="R576" s="48">
        <f t="shared" si="166"/>
        <v>-43.5</v>
      </c>
      <c r="S576" s="14"/>
      <c r="T576" s="14">
        <v>-8</v>
      </c>
      <c r="U576" s="14">
        <v>-117</v>
      </c>
      <c r="V576" s="48">
        <f t="shared" si="167"/>
        <v>-62.5</v>
      </c>
      <c r="W576" s="14"/>
      <c r="X576" s="14">
        <v>-13</v>
      </c>
      <c r="Y576" s="14"/>
      <c r="Z576" s="48">
        <f t="shared" si="168"/>
        <v>-13</v>
      </c>
      <c r="AA576" s="14"/>
      <c r="AB576" s="14"/>
      <c r="AC576" s="14">
        <v>-25</v>
      </c>
      <c r="AD576" s="48">
        <f t="shared" ref="AD576:AD592" si="169">AVERAGE(AB576,AC576)</f>
        <v>-25</v>
      </c>
      <c r="AE576" s="14"/>
      <c r="AF576" s="14"/>
      <c r="AG576" s="14"/>
      <c r="AH576" s="48"/>
      <c r="AI576" s="14"/>
      <c r="AJ576" s="14"/>
      <c r="AK576" s="14"/>
      <c r="AL576" s="48"/>
      <c r="AM576" s="14"/>
      <c r="AN576" s="14"/>
      <c r="AO576" s="14"/>
      <c r="AP576" s="48"/>
      <c r="AQ576" s="14"/>
      <c r="AR576" s="14"/>
      <c r="AS576" s="14"/>
      <c r="AT576" s="48"/>
      <c r="AU576" s="14"/>
      <c r="AV576" s="14"/>
      <c r="AW576" s="14"/>
      <c r="AX576" s="49"/>
    </row>
    <row r="577" spans="1:50" ht="10.199999999999999" customHeight="1" x14ac:dyDescent="0.25">
      <c r="A577" s="14">
        <v>14</v>
      </c>
      <c r="B577" s="103">
        <v>39541</v>
      </c>
      <c r="C577" s="103">
        <v>39534</v>
      </c>
      <c r="D577" s="14"/>
      <c r="E577" s="14"/>
      <c r="F577" s="48"/>
      <c r="G577" s="14"/>
      <c r="H577" s="14"/>
      <c r="I577" s="14"/>
      <c r="J577" s="48"/>
      <c r="K577" s="14"/>
      <c r="L577" s="14"/>
      <c r="M577" s="14"/>
      <c r="N577" s="48"/>
      <c r="O577" s="14"/>
      <c r="P577" s="14">
        <v>-12</v>
      </c>
      <c r="Q577" s="14">
        <v>-125</v>
      </c>
      <c r="R577" s="48">
        <f t="shared" si="166"/>
        <v>-68.5</v>
      </c>
      <c r="S577" s="14"/>
      <c r="T577" s="14">
        <v>-23</v>
      </c>
      <c r="U577" s="14">
        <v>-113</v>
      </c>
      <c r="V577" s="48">
        <f t="shared" si="167"/>
        <v>-68</v>
      </c>
      <c r="W577" s="14"/>
      <c r="X577" s="14">
        <v>-25</v>
      </c>
      <c r="Y577" s="14"/>
      <c r="Z577" s="48">
        <f t="shared" si="168"/>
        <v>-25</v>
      </c>
      <c r="AA577" s="14"/>
      <c r="AB577" s="14"/>
      <c r="AC577" s="14">
        <v>-25</v>
      </c>
      <c r="AD577" s="48">
        <f t="shared" si="169"/>
        <v>-25</v>
      </c>
      <c r="AE577" s="14"/>
      <c r="AF577" s="14"/>
      <c r="AG577" s="14"/>
      <c r="AH577" s="48"/>
      <c r="AI577" s="14"/>
      <c r="AJ577" s="14"/>
      <c r="AK577" s="14"/>
      <c r="AL577" s="48"/>
      <c r="AM577" s="14"/>
      <c r="AN577" s="14"/>
      <c r="AO577" s="14"/>
      <c r="AP577" s="48"/>
      <c r="AQ577" s="14"/>
      <c r="AR577" s="14"/>
      <c r="AS577" s="14"/>
      <c r="AT577" s="48"/>
      <c r="AU577" s="14"/>
      <c r="AV577" s="14"/>
      <c r="AW577" s="14"/>
      <c r="AX577" s="49"/>
    </row>
    <row r="578" spans="1:50" ht="10.199999999999999" customHeight="1" x14ac:dyDescent="0.25">
      <c r="A578" s="14">
        <v>15</v>
      </c>
      <c r="B578" s="103">
        <v>39548</v>
      </c>
      <c r="C578" s="103">
        <v>39541</v>
      </c>
      <c r="D578" s="14"/>
      <c r="E578" s="14"/>
      <c r="F578" s="48"/>
      <c r="G578" s="14"/>
      <c r="H578" s="14"/>
      <c r="I578" s="14"/>
      <c r="J578" s="48"/>
      <c r="K578" s="14"/>
      <c r="L578" s="14"/>
      <c r="M578" s="14"/>
      <c r="N578" s="48"/>
      <c r="O578" s="14"/>
      <c r="P578" s="14">
        <v>-5</v>
      </c>
      <c r="Q578" s="14">
        <v>-151</v>
      </c>
      <c r="R578" s="48">
        <f t="shared" si="166"/>
        <v>-78</v>
      </c>
      <c r="S578" s="14"/>
      <c r="T578" s="14">
        <v>-10</v>
      </c>
      <c r="U578" s="14">
        <v>-150</v>
      </c>
      <c r="V578" s="48">
        <f t="shared" si="167"/>
        <v>-80</v>
      </c>
      <c r="W578" s="14"/>
      <c r="X578" s="14">
        <v>0</v>
      </c>
      <c r="Y578" s="14">
        <v>-75</v>
      </c>
      <c r="Z578" s="48">
        <f t="shared" si="168"/>
        <v>-37.5</v>
      </c>
      <c r="AA578" s="14"/>
      <c r="AB578" s="14">
        <v>0</v>
      </c>
      <c r="AC578" s="14">
        <v>-50</v>
      </c>
      <c r="AD578" s="48">
        <f t="shared" si="169"/>
        <v>-25</v>
      </c>
      <c r="AE578" s="14"/>
      <c r="AF578" s="14">
        <v>125</v>
      </c>
      <c r="AG578" s="14"/>
      <c r="AH578" s="48">
        <f t="shared" ref="AH578:AH596" si="170">AVERAGE(AF578,AG578)</f>
        <v>125</v>
      </c>
      <c r="AI578" s="14"/>
      <c r="AJ578" s="14">
        <v>125</v>
      </c>
      <c r="AK578" s="14"/>
      <c r="AL578" s="48">
        <f>AVERAGE(AJ578,AK578)</f>
        <v>125</v>
      </c>
      <c r="AM578" s="14"/>
      <c r="AN578" s="14"/>
      <c r="AO578" s="14"/>
      <c r="AP578" s="48"/>
      <c r="AQ578" s="14"/>
      <c r="AR578" s="14"/>
      <c r="AS578" s="14"/>
      <c r="AT578" s="48"/>
      <c r="AU578" s="14"/>
      <c r="AV578" s="14"/>
      <c r="AW578" s="14"/>
      <c r="AX578" s="49"/>
    </row>
    <row r="579" spans="1:50" ht="10.199999999999999" customHeight="1" x14ac:dyDescent="0.25">
      <c r="A579" s="14">
        <v>16</v>
      </c>
      <c r="B579" s="103">
        <v>39555</v>
      </c>
      <c r="C579" s="103">
        <v>39548</v>
      </c>
      <c r="D579" s="14"/>
      <c r="E579" s="14"/>
      <c r="F579" s="48"/>
      <c r="G579" s="14"/>
      <c r="H579" s="14"/>
      <c r="I579" s="14"/>
      <c r="J579" s="48"/>
      <c r="K579" s="14"/>
      <c r="L579" s="14"/>
      <c r="M579" s="14"/>
      <c r="N579" s="48"/>
      <c r="O579" s="14"/>
      <c r="P579" s="14">
        <v>-7</v>
      </c>
      <c r="Q579" s="14">
        <v>-175</v>
      </c>
      <c r="R579" s="48">
        <f t="shared" si="166"/>
        <v>-91</v>
      </c>
      <c r="S579" s="14"/>
      <c r="T579" s="14">
        <v>-30</v>
      </c>
      <c r="U579" s="14">
        <v>-150</v>
      </c>
      <c r="V579" s="48">
        <f t="shared" si="167"/>
        <v>-90</v>
      </c>
      <c r="W579" s="14"/>
      <c r="X579" s="14">
        <v>7</v>
      </c>
      <c r="Y579" s="14">
        <v>-33</v>
      </c>
      <c r="Z579" s="48">
        <f t="shared" si="168"/>
        <v>-13</v>
      </c>
      <c r="AA579" s="14"/>
      <c r="AB579" s="14">
        <v>0</v>
      </c>
      <c r="AC579" s="14">
        <v>-25</v>
      </c>
      <c r="AD579" s="48">
        <f t="shared" si="169"/>
        <v>-12.5</v>
      </c>
      <c r="AE579" s="14"/>
      <c r="AF579" s="14">
        <v>175</v>
      </c>
      <c r="AG579" s="14">
        <v>-25</v>
      </c>
      <c r="AH579" s="48">
        <f t="shared" si="170"/>
        <v>75</v>
      </c>
      <c r="AI579" s="14"/>
      <c r="AJ579" s="14">
        <v>175</v>
      </c>
      <c r="AK579" s="14"/>
      <c r="AL579" s="48">
        <f>AVERAGE(AJ579,AK579)</f>
        <v>175</v>
      </c>
      <c r="AM579" s="14"/>
      <c r="AN579" s="14"/>
      <c r="AO579" s="14"/>
      <c r="AP579" s="48"/>
      <c r="AQ579" s="14"/>
      <c r="AR579" s="14"/>
      <c r="AS579" s="14"/>
      <c r="AT579" s="48"/>
      <c r="AU579" s="14"/>
      <c r="AV579" s="14"/>
      <c r="AW579" s="14"/>
      <c r="AX579" s="49"/>
    </row>
    <row r="580" spans="1:50" ht="10.199999999999999" customHeight="1" x14ac:dyDescent="0.25">
      <c r="A580" s="14">
        <v>17</v>
      </c>
      <c r="B580" s="103">
        <v>39562</v>
      </c>
      <c r="C580" s="103">
        <v>39555</v>
      </c>
      <c r="D580" s="14"/>
      <c r="E580" s="14"/>
      <c r="F580" s="48"/>
      <c r="G580" s="14"/>
      <c r="H580" s="14"/>
      <c r="I580" s="14"/>
      <c r="J580" s="48"/>
      <c r="K580" s="14"/>
      <c r="L580" s="14"/>
      <c r="M580" s="14"/>
      <c r="N580" s="48"/>
      <c r="O580" s="14"/>
      <c r="R580" s="49"/>
      <c r="S580" s="14"/>
      <c r="T580" s="14">
        <v>-32</v>
      </c>
      <c r="U580" s="14">
        <v>-175</v>
      </c>
      <c r="V580" s="48">
        <f t="shared" si="167"/>
        <v>-103.5</v>
      </c>
      <c r="W580" s="14"/>
      <c r="X580" s="14">
        <v>7</v>
      </c>
      <c r="Y580" s="14">
        <v>-16</v>
      </c>
      <c r="Z580" s="48">
        <f t="shared" si="168"/>
        <v>-4.5</v>
      </c>
      <c r="AA580" s="14"/>
      <c r="AB580" s="14">
        <v>100</v>
      </c>
      <c r="AC580" s="14">
        <v>-25</v>
      </c>
      <c r="AD580" s="48">
        <f t="shared" si="169"/>
        <v>37.5</v>
      </c>
      <c r="AE580" s="14"/>
      <c r="AF580" s="14">
        <v>175</v>
      </c>
      <c r="AG580" s="14">
        <v>-25</v>
      </c>
      <c r="AH580" s="48">
        <f t="shared" si="170"/>
        <v>75</v>
      </c>
      <c r="AI580" s="14"/>
      <c r="AJ580" s="14">
        <v>175</v>
      </c>
      <c r="AK580" s="14"/>
      <c r="AL580" s="48">
        <f>AVERAGE(AJ580,AK580)</f>
        <v>175</v>
      </c>
      <c r="AM580" s="14"/>
      <c r="AN580" s="14"/>
      <c r="AO580" s="14"/>
      <c r="AP580" s="48"/>
      <c r="AQ580" s="14"/>
      <c r="AR580" s="14"/>
      <c r="AS580" s="14"/>
      <c r="AT580" s="48"/>
      <c r="AU580" s="14"/>
      <c r="AV580" s="14"/>
      <c r="AW580" s="14"/>
      <c r="AX580" s="49"/>
    </row>
    <row r="581" spans="1:50" ht="10.199999999999999" customHeight="1" x14ac:dyDescent="0.25">
      <c r="A581" s="14">
        <v>18</v>
      </c>
      <c r="B581" s="103">
        <v>39569</v>
      </c>
      <c r="C581" s="103">
        <v>39562</v>
      </c>
      <c r="D581" s="14"/>
      <c r="E581" s="14"/>
      <c r="F581" s="48"/>
      <c r="G581" s="14"/>
      <c r="H581" s="14"/>
      <c r="I581" s="14"/>
      <c r="J581" s="48"/>
      <c r="K581" s="14"/>
      <c r="L581" s="14"/>
      <c r="M581" s="14"/>
      <c r="N581" s="48"/>
      <c r="O581" s="14"/>
      <c r="P581" s="14"/>
      <c r="Q581" s="14"/>
      <c r="R581" s="48"/>
      <c r="S581" s="14"/>
      <c r="T581" s="14">
        <v>-71</v>
      </c>
      <c r="U581" s="14">
        <v>-169</v>
      </c>
      <c r="V581" s="48">
        <f t="shared" si="167"/>
        <v>-120</v>
      </c>
      <c r="W581" s="14"/>
      <c r="X581" s="14">
        <v>7</v>
      </c>
      <c r="Y581" s="14">
        <v>-10</v>
      </c>
      <c r="Z581" s="48">
        <f t="shared" si="168"/>
        <v>-1.5</v>
      </c>
      <c r="AA581" s="14"/>
      <c r="AB581" s="14">
        <v>125</v>
      </c>
      <c r="AC581" s="14">
        <v>25</v>
      </c>
      <c r="AD581" s="48">
        <f t="shared" si="169"/>
        <v>75</v>
      </c>
      <c r="AE581" s="14"/>
      <c r="AF581" s="14">
        <v>150</v>
      </c>
      <c r="AG581" s="14">
        <v>0</v>
      </c>
      <c r="AH581" s="48">
        <f t="shared" si="170"/>
        <v>75</v>
      </c>
      <c r="AI581" s="14"/>
      <c r="AJ581" s="14"/>
      <c r="AK581" s="14">
        <v>0</v>
      </c>
      <c r="AL581" s="48">
        <f>AVERAGE(AJ581,AK581)</f>
        <v>0</v>
      </c>
      <c r="AM581" s="14"/>
      <c r="AN581" s="14"/>
      <c r="AO581" s="14"/>
      <c r="AP581" s="48"/>
      <c r="AQ581" s="14"/>
      <c r="AR581" s="14"/>
      <c r="AS581" s="14"/>
      <c r="AT581" s="48"/>
      <c r="AU581" s="14"/>
      <c r="AV581" s="14"/>
      <c r="AW581" s="14"/>
      <c r="AX581" s="49"/>
    </row>
    <row r="582" spans="1:50" ht="10.199999999999999" customHeight="1" x14ac:dyDescent="0.25">
      <c r="A582" s="14">
        <v>19</v>
      </c>
      <c r="B582" s="103">
        <v>39576</v>
      </c>
      <c r="C582" s="103">
        <v>39569</v>
      </c>
      <c r="D582" s="14"/>
      <c r="E582" s="14"/>
      <c r="F582" s="48"/>
      <c r="G582" s="14"/>
      <c r="H582" s="14"/>
      <c r="I582" s="14"/>
      <c r="J582" s="48"/>
      <c r="K582" s="14"/>
      <c r="L582" s="14"/>
      <c r="M582" s="14"/>
      <c r="N582" s="48"/>
      <c r="O582" s="14"/>
      <c r="P582" s="14"/>
      <c r="Q582" s="14"/>
      <c r="R582" s="48"/>
      <c r="S582" s="14"/>
      <c r="T582" s="14">
        <v>-110</v>
      </c>
      <c r="U582" s="14">
        <v>-150</v>
      </c>
      <c r="V582" s="48">
        <f t="shared" si="167"/>
        <v>-130</v>
      </c>
      <c r="W582" s="14"/>
      <c r="X582" s="14">
        <v>0</v>
      </c>
      <c r="Y582" s="14">
        <v>-9</v>
      </c>
      <c r="Z582" s="48">
        <f t="shared" si="168"/>
        <v>-4.5</v>
      </c>
      <c r="AA582" s="14"/>
      <c r="AB582" s="14">
        <v>100</v>
      </c>
      <c r="AC582" s="14">
        <v>38</v>
      </c>
      <c r="AD582" s="48">
        <f t="shared" si="169"/>
        <v>69</v>
      </c>
      <c r="AE582" s="14"/>
      <c r="AF582" s="14">
        <v>150</v>
      </c>
      <c r="AG582" s="14">
        <v>75</v>
      </c>
      <c r="AH582" s="48">
        <f t="shared" si="170"/>
        <v>112.5</v>
      </c>
      <c r="AI582" s="14"/>
      <c r="AJ582" s="14"/>
      <c r="AK582" s="14"/>
      <c r="AL582" s="48"/>
      <c r="AM582" s="14"/>
      <c r="AN582" s="14"/>
      <c r="AO582" s="14"/>
      <c r="AP582" s="48"/>
      <c r="AQ582" s="14"/>
      <c r="AR582" s="14"/>
      <c r="AS582" s="14"/>
      <c r="AT582" s="48"/>
      <c r="AU582" s="14"/>
      <c r="AV582" s="14"/>
      <c r="AW582" s="14"/>
      <c r="AX582" s="49"/>
    </row>
    <row r="583" spans="1:50" ht="10.199999999999999" customHeight="1" x14ac:dyDescent="0.25">
      <c r="A583" s="14">
        <v>20</v>
      </c>
      <c r="B583" s="103">
        <v>39583</v>
      </c>
      <c r="C583" s="103">
        <v>39576</v>
      </c>
      <c r="D583" s="14"/>
      <c r="E583" s="14"/>
      <c r="F583" s="48"/>
      <c r="G583" s="14"/>
      <c r="H583" s="14"/>
      <c r="I583" s="14"/>
      <c r="J583" s="48"/>
      <c r="K583" s="14"/>
      <c r="L583" s="14"/>
      <c r="M583" s="14"/>
      <c r="N583" s="48"/>
      <c r="O583" s="14"/>
      <c r="P583" s="14"/>
      <c r="Q583" s="14"/>
      <c r="R583" s="48"/>
      <c r="S583" s="14"/>
      <c r="T583" s="14">
        <v>-25</v>
      </c>
      <c r="U583" s="14">
        <v>-75</v>
      </c>
      <c r="V583" s="48">
        <f t="shared" si="167"/>
        <v>-50</v>
      </c>
      <c r="W583" s="14"/>
      <c r="X583" s="14">
        <v>-5</v>
      </c>
      <c r="Y583" s="14">
        <v>-6</v>
      </c>
      <c r="Z583" s="48">
        <f t="shared" si="168"/>
        <v>-5.5</v>
      </c>
      <c r="AA583" s="14"/>
      <c r="AB583" s="14">
        <v>88</v>
      </c>
      <c r="AC583" s="14">
        <v>38</v>
      </c>
      <c r="AD583" s="48">
        <f t="shared" si="169"/>
        <v>63</v>
      </c>
      <c r="AE583" s="14"/>
      <c r="AF583" s="14">
        <v>150</v>
      </c>
      <c r="AG583" s="14">
        <v>75</v>
      </c>
      <c r="AH583" s="48">
        <f t="shared" si="170"/>
        <v>112.5</v>
      </c>
      <c r="AI583" s="14"/>
      <c r="AJ583" s="14">
        <v>250</v>
      </c>
      <c r="AK583" s="14"/>
      <c r="AL583" s="48">
        <f t="shared" ref="AL583:AL601" si="171">AVERAGE(AJ583,AK583)</f>
        <v>250</v>
      </c>
      <c r="AM583" s="14"/>
      <c r="AN583" s="14"/>
      <c r="AO583" s="14"/>
      <c r="AP583" s="48"/>
      <c r="AQ583" s="14"/>
      <c r="AR583" s="14"/>
      <c r="AS583" s="14"/>
      <c r="AT583" s="48"/>
      <c r="AU583" s="14"/>
      <c r="AV583" s="14"/>
      <c r="AW583" s="14"/>
      <c r="AX583" s="49"/>
    </row>
    <row r="584" spans="1:50" ht="10.199999999999999" customHeight="1" x14ac:dyDescent="0.25">
      <c r="A584" s="14">
        <v>21</v>
      </c>
      <c r="B584" s="103">
        <v>39590</v>
      </c>
      <c r="C584" s="103">
        <v>39583</v>
      </c>
      <c r="D584" s="14"/>
      <c r="E584" s="14"/>
      <c r="F584" s="48"/>
      <c r="G584" s="14"/>
      <c r="H584" s="14"/>
      <c r="I584" s="14"/>
      <c r="J584" s="48"/>
      <c r="K584" s="14"/>
      <c r="L584" s="14"/>
      <c r="M584" s="14"/>
      <c r="N584" s="48"/>
      <c r="O584" s="14"/>
      <c r="P584" s="14"/>
      <c r="Q584" s="14"/>
      <c r="R584" s="48"/>
      <c r="S584" s="14"/>
      <c r="T584" s="14"/>
      <c r="U584" s="14"/>
      <c r="V584" s="48"/>
      <c r="W584" s="14"/>
      <c r="X584" s="14">
        <v>35</v>
      </c>
      <c r="Y584" s="14">
        <v>38</v>
      </c>
      <c r="Z584" s="48">
        <f t="shared" si="168"/>
        <v>36.5</v>
      </c>
      <c r="AA584" s="14"/>
      <c r="AB584" s="14">
        <v>67</v>
      </c>
      <c r="AC584" s="14">
        <v>63</v>
      </c>
      <c r="AD584" s="48">
        <f t="shared" si="169"/>
        <v>65</v>
      </c>
      <c r="AE584" s="14"/>
      <c r="AF584" s="14">
        <v>125</v>
      </c>
      <c r="AG584" s="14">
        <v>88</v>
      </c>
      <c r="AH584" s="48">
        <f t="shared" si="170"/>
        <v>106.5</v>
      </c>
      <c r="AI584" s="14"/>
      <c r="AJ584" s="14">
        <v>250</v>
      </c>
      <c r="AK584" s="14"/>
      <c r="AL584" s="48">
        <f t="shared" si="171"/>
        <v>250</v>
      </c>
      <c r="AM584" s="14"/>
      <c r="AN584" s="14"/>
      <c r="AO584" s="14"/>
      <c r="AP584" s="48"/>
      <c r="AQ584" s="14"/>
      <c r="AR584" s="14"/>
      <c r="AS584" s="14"/>
      <c r="AT584" s="48"/>
      <c r="AU584" s="14"/>
      <c r="AV584" s="14"/>
      <c r="AW584" s="14"/>
      <c r="AX584" s="49"/>
    </row>
    <row r="585" spans="1:50" ht="10.199999999999999" customHeight="1" x14ac:dyDescent="0.25">
      <c r="A585" s="14">
        <v>22</v>
      </c>
      <c r="B585" s="103">
        <v>39597</v>
      </c>
      <c r="C585" s="103">
        <v>39590</v>
      </c>
      <c r="D585" s="14"/>
      <c r="E585" s="14"/>
      <c r="F585" s="48"/>
      <c r="G585" s="14"/>
      <c r="H585" s="14"/>
      <c r="I585" s="14"/>
      <c r="J585" s="48"/>
      <c r="K585" s="14"/>
      <c r="L585" s="14"/>
      <c r="M585" s="14"/>
      <c r="N585" s="48"/>
      <c r="O585" s="14"/>
      <c r="P585" s="14"/>
      <c r="Q585" s="14"/>
      <c r="R585" s="48"/>
      <c r="S585" s="14"/>
      <c r="T585" s="14"/>
      <c r="U585" s="14"/>
      <c r="V585" s="48"/>
      <c r="W585" s="14"/>
      <c r="X585" s="14">
        <v>75</v>
      </c>
      <c r="Y585" s="14">
        <v>97</v>
      </c>
      <c r="Z585" s="48">
        <f t="shared" si="168"/>
        <v>86</v>
      </c>
      <c r="AA585" s="14"/>
      <c r="AB585" s="14">
        <v>75</v>
      </c>
      <c r="AC585" s="14">
        <v>113</v>
      </c>
      <c r="AD585" s="48">
        <f t="shared" si="169"/>
        <v>94</v>
      </c>
      <c r="AE585" s="14"/>
      <c r="AF585" s="14">
        <v>150</v>
      </c>
      <c r="AG585" s="14">
        <v>125</v>
      </c>
      <c r="AH585" s="48">
        <f t="shared" si="170"/>
        <v>137.5</v>
      </c>
      <c r="AI585" s="14"/>
      <c r="AJ585" s="14">
        <v>250</v>
      </c>
      <c r="AK585" s="14"/>
      <c r="AL585" s="48">
        <f t="shared" si="171"/>
        <v>250</v>
      </c>
      <c r="AM585" s="14"/>
      <c r="AN585" s="14"/>
      <c r="AO585" s="14"/>
      <c r="AP585" s="48"/>
      <c r="AQ585" s="14"/>
      <c r="AR585" s="14"/>
      <c r="AS585" s="14"/>
      <c r="AT585" s="48"/>
      <c r="AU585" s="14"/>
      <c r="AV585" s="14"/>
      <c r="AW585" s="14"/>
      <c r="AX585" s="49"/>
    </row>
    <row r="586" spans="1:50" ht="10.199999999999999" customHeight="1" x14ac:dyDescent="0.25">
      <c r="A586" s="14">
        <v>23</v>
      </c>
      <c r="B586" s="103">
        <v>39604</v>
      </c>
      <c r="C586" s="103">
        <v>39597</v>
      </c>
      <c r="D586" s="14"/>
      <c r="E586" s="14"/>
      <c r="F586" s="48"/>
      <c r="G586" s="14"/>
      <c r="H586" s="14"/>
      <c r="I586" s="14"/>
      <c r="J586" s="48"/>
      <c r="K586" s="14"/>
      <c r="L586" s="14"/>
      <c r="M586" s="14"/>
      <c r="N586" s="48"/>
      <c r="O586" s="14"/>
      <c r="P586" s="14"/>
      <c r="Q586" s="14"/>
      <c r="R586" s="48"/>
      <c r="S586" s="14"/>
      <c r="T586" s="14"/>
      <c r="U586" s="14"/>
      <c r="V586" s="48"/>
      <c r="W586" s="14"/>
      <c r="X586" s="14">
        <v>75</v>
      </c>
      <c r="Y586" s="14">
        <v>84</v>
      </c>
      <c r="Z586" s="48">
        <f t="shared" si="168"/>
        <v>79.5</v>
      </c>
      <c r="AA586" s="14"/>
      <c r="AB586" s="14">
        <v>75</v>
      </c>
      <c r="AC586" s="14">
        <v>94</v>
      </c>
      <c r="AD586" s="48">
        <f t="shared" si="169"/>
        <v>84.5</v>
      </c>
      <c r="AE586" s="14"/>
      <c r="AF586" s="14">
        <v>167</v>
      </c>
      <c r="AG586" s="14">
        <v>100</v>
      </c>
      <c r="AH586" s="48">
        <f t="shared" si="170"/>
        <v>133.5</v>
      </c>
      <c r="AI586" s="14"/>
      <c r="AJ586" s="14">
        <v>250</v>
      </c>
      <c r="AK586" s="14"/>
      <c r="AL586" s="48">
        <f t="shared" si="171"/>
        <v>250</v>
      </c>
      <c r="AM586" s="14"/>
      <c r="AN586" s="14"/>
      <c r="AO586" s="14"/>
      <c r="AP586" s="48"/>
      <c r="AQ586" s="14"/>
      <c r="AR586" s="14"/>
      <c r="AS586" s="14"/>
      <c r="AT586" s="48"/>
      <c r="AU586" s="14"/>
      <c r="AV586" s="14"/>
      <c r="AW586" s="14"/>
      <c r="AX586" s="49"/>
    </row>
    <row r="587" spans="1:50" ht="10.199999999999999" customHeight="1" x14ac:dyDescent="0.25">
      <c r="A587" s="14">
        <v>24</v>
      </c>
      <c r="B587" s="103">
        <v>39611</v>
      </c>
      <c r="C587" s="103">
        <v>39604</v>
      </c>
      <c r="D587" s="14"/>
      <c r="E587" s="14"/>
      <c r="F587" s="48"/>
      <c r="G587" s="14"/>
      <c r="H587" s="14"/>
      <c r="I587" s="14"/>
      <c r="J587" s="48"/>
      <c r="K587" s="14"/>
      <c r="L587" s="14"/>
      <c r="M587" s="14"/>
      <c r="N587" s="48"/>
      <c r="O587" s="14"/>
      <c r="P587" s="14"/>
      <c r="Q587" s="14"/>
      <c r="R587" s="48"/>
      <c r="S587" s="14"/>
      <c r="T587" s="14"/>
      <c r="U587" s="14"/>
      <c r="V587" s="48"/>
      <c r="W587" s="14"/>
      <c r="X587" s="14">
        <v>67</v>
      </c>
      <c r="Y587" s="14">
        <v>100</v>
      </c>
      <c r="Z587" s="48">
        <f t="shared" si="168"/>
        <v>83.5</v>
      </c>
      <c r="AA587" s="14"/>
      <c r="AB587" s="14">
        <v>47</v>
      </c>
      <c r="AC587" s="14">
        <v>75</v>
      </c>
      <c r="AD587" s="48">
        <f t="shared" si="169"/>
        <v>61</v>
      </c>
      <c r="AE587" s="14"/>
      <c r="AF587" s="14">
        <v>150</v>
      </c>
      <c r="AG587" s="14">
        <v>94</v>
      </c>
      <c r="AH587" s="48">
        <f t="shared" si="170"/>
        <v>122</v>
      </c>
      <c r="AI587" s="14"/>
      <c r="AJ587" s="14">
        <v>250</v>
      </c>
      <c r="AK587" s="14"/>
      <c r="AL587" s="48">
        <f t="shared" si="171"/>
        <v>250</v>
      </c>
      <c r="AM587" s="14"/>
      <c r="AN587" s="14"/>
      <c r="AO587" s="14"/>
      <c r="AP587" s="48"/>
      <c r="AQ587" s="14"/>
      <c r="AR587" s="14"/>
      <c r="AS587" s="14"/>
      <c r="AT587" s="48"/>
      <c r="AU587" s="14"/>
      <c r="AV587" s="14"/>
      <c r="AW587" s="14"/>
      <c r="AX587" s="49"/>
    </row>
    <row r="588" spans="1:50" ht="10.199999999999999" customHeight="1" x14ac:dyDescent="0.25">
      <c r="A588" s="14">
        <v>25</v>
      </c>
      <c r="B588" s="103">
        <v>39618</v>
      </c>
      <c r="C588" s="103">
        <v>39611</v>
      </c>
      <c r="D588" s="14"/>
      <c r="E588" s="14"/>
      <c r="F588" s="48"/>
      <c r="G588" s="14"/>
      <c r="H588" s="14"/>
      <c r="I588" s="14"/>
      <c r="J588" s="48"/>
      <c r="K588" s="14"/>
      <c r="L588" s="14"/>
      <c r="M588" s="14"/>
      <c r="N588" s="48"/>
      <c r="O588" s="14"/>
      <c r="P588" s="14"/>
      <c r="Q588" s="14"/>
      <c r="R588" s="48"/>
      <c r="S588" s="14"/>
      <c r="T588" s="14"/>
      <c r="U588" s="14"/>
      <c r="V588" s="48"/>
      <c r="W588" s="14"/>
      <c r="X588" s="14">
        <v>50</v>
      </c>
      <c r="Y588" s="14"/>
      <c r="Z588" s="48">
        <f t="shared" si="168"/>
        <v>50</v>
      </c>
      <c r="AA588" s="14"/>
      <c r="AB588" s="14">
        <v>72</v>
      </c>
      <c r="AC588" s="14">
        <v>94</v>
      </c>
      <c r="AD588" s="48">
        <f t="shared" si="169"/>
        <v>83</v>
      </c>
      <c r="AE588" s="14"/>
      <c r="AF588" s="14">
        <v>158</v>
      </c>
      <c r="AG588" s="14">
        <v>82</v>
      </c>
      <c r="AH588" s="48">
        <f t="shared" si="170"/>
        <v>120</v>
      </c>
      <c r="AI588" s="14"/>
      <c r="AJ588" s="14">
        <v>250</v>
      </c>
      <c r="AK588" s="14">
        <v>94</v>
      </c>
      <c r="AL588" s="48">
        <f t="shared" si="171"/>
        <v>172</v>
      </c>
      <c r="AM588" s="14"/>
      <c r="AN588" s="14"/>
      <c r="AO588" s="14"/>
      <c r="AP588" s="48"/>
      <c r="AQ588" s="14"/>
      <c r="AR588" s="14"/>
      <c r="AS588" s="14"/>
      <c r="AT588" s="48"/>
      <c r="AU588" s="14"/>
      <c r="AV588" s="14"/>
      <c r="AW588" s="14"/>
      <c r="AX588" s="49"/>
    </row>
    <row r="589" spans="1:50" ht="10.199999999999999" customHeight="1" x14ac:dyDescent="0.25">
      <c r="A589" s="14">
        <v>26</v>
      </c>
      <c r="B589" s="103">
        <v>39625</v>
      </c>
      <c r="C589" s="103">
        <v>39618</v>
      </c>
      <c r="D589" s="14"/>
      <c r="E589" s="14"/>
      <c r="F589" s="48"/>
      <c r="G589" s="14"/>
      <c r="H589" s="14"/>
      <c r="I589" s="14"/>
      <c r="J589" s="48"/>
      <c r="K589" s="14"/>
      <c r="L589" s="14"/>
      <c r="M589" s="14"/>
      <c r="N589" s="48"/>
      <c r="O589" s="14"/>
      <c r="P589" s="14"/>
      <c r="Q589" s="14"/>
      <c r="R589" s="48"/>
      <c r="S589" s="14"/>
      <c r="T589" s="14"/>
      <c r="U589" s="14"/>
      <c r="V589" s="48"/>
      <c r="W589" s="14"/>
      <c r="X589" s="14"/>
      <c r="Y589" s="14"/>
      <c r="Z589" s="48"/>
      <c r="AA589" s="14"/>
      <c r="AB589" s="14">
        <v>68</v>
      </c>
      <c r="AC589" s="14">
        <v>104</v>
      </c>
      <c r="AD589" s="48">
        <f t="shared" si="169"/>
        <v>86</v>
      </c>
      <c r="AE589" s="14"/>
      <c r="AF589" s="14">
        <v>180</v>
      </c>
      <c r="AG589" s="14">
        <v>88</v>
      </c>
      <c r="AH589" s="48">
        <f t="shared" si="170"/>
        <v>134</v>
      </c>
      <c r="AI589" s="14"/>
      <c r="AJ589" s="14">
        <v>200</v>
      </c>
      <c r="AK589" s="14">
        <v>94</v>
      </c>
      <c r="AL589" s="48">
        <f t="shared" si="171"/>
        <v>147</v>
      </c>
      <c r="AM589" s="14"/>
      <c r="AN589" s="14"/>
      <c r="AO589" s="14"/>
      <c r="AP589" s="48"/>
      <c r="AQ589" s="14"/>
      <c r="AR589" s="14"/>
      <c r="AS589" s="14"/>
      <c r="AT589" s="48"/>
      <c r="AU589" s="14"/>
      <c r="AV589" s="14"/>
      <c r="AW589" s="14"/>
      <c r="AX589" s="49"/>
    </row>
    <row r="590" spans="1:50" ht="10.199999999999999" customHeight="1" x14ac:dyDescent="0.25">
      <c r="A590" s="14">
        <v>27</v>
      </c>
      <c r="B590" s="103">
        <v>39632</v>
      </c>
      <c r="C590" s="103">
        <v>39625</v>
      </c>
      <c r="D590" s="14"/>
      <c r="E590" s="14"/>
      <c r="F590" s="48"/>
      <c r="G590" s="14"/>
      <c r="H590" s="14"/>
      <c r="I590" s="14"/>
      <c r="J590" s="48"/>
      <c r="K590" s="14"/>
      <c r="L590" s="14"/>
      <c r="M590" s="14"/>
      <c r="N590" s="48"/>
      <c r="O590" s="14"/>
      <c r="P590" s="14"/>
      <c r="Q590" s="14"/>
      <c r="R590" s="48"/>
      <c r="S590" s="14"/>
      <c r="T590" s="14"/>
      <c r="U590" s="14"/>
      <c r="V590" s="48"/>
      <c r="W590" s="14"/>
      <c r="X590" s="14"/>
      <c r="Y590" s="14"/>
      <c r="Z590" s="48"/>
      <c r="AA590" s="14"/>
      <c r="AB590" s="14">
        <v>44</v>
      </c>
      <c r="AC590" s="14">
        <v>150</v>
      </c>
      <c r="AD590" s="48">
        <f t="shared" si="169"/>
        <v>97</v>
      </c>
      <c r="AE590" s="14"/>
      <c r="AF590" s="14">
        <v>175</v>
      </c>
      <c r="AG590" s="14">
        <v>125</v>
      </c>
      <c r="AH590" s="48">
        <f t="shared" si="170"/>
        <v>150</v>
      </c>
      <c r="AI590" s="14"/>
      <c r="AJ590" s="14">
        <v>225</v>
      </c>
      <c r="AK590" s="14">
        <v>125</v>
      </c>
      <c r="AL590" s="48">
        <f t="shared" si="171"/>
        <v>175</v>
      </c>
      <c r="AM590" s="14"/>
      <c r="AN590" s="14"/>
      <c r="AO590" s="14"/>
      <c r="AP590" s="48"/>
      <c r="AQ590" s="14"/>
      <c r="AR590" s="14"/>
      <c r="AS590" s="14"/>
      <c r="AT590" s="48"/>
      <c r="AU590" s="14"/>
      <c r="AV590" s="14"/>
      <c r="AW590" s="14"/>
      <c r="AX590" s="49"/>
    </row>
    <row r="591" spans="1:50" ht="10.199999999999999" customHeight="1" x14ac:dyDescent="0.25">
      <c r="A591" s="14">
        <v>28</v>
      </c>
      <c r="B591" s="103">
        <v>39639</v>
      </c>
      <c r="C591" s="103">
        <v>39632</v>
      </c>
      <c r="D591" s="14"/>
      <c r="E591" s="14"/>
      <c r="F591" s="48"/>
      <c r="G591" s="14"/>
      <c r="H591" s="14"/>
      <c r="I591" s="14"/>
      <c r="J591" s="48"/>
      <c r="K591" s="14"/>
      <c r="L591" s="14"/>
      <c r="M591" s="14"/>
      <c r="N591" s="48"/>
      <c r="O591" s="14"/>
      <c r="P591" s="14"/>
      <c r="Q591" s="14"/>
      <c r="R591" s="48"/>
      <c r="S591" s="14"/>
      <c r="T591" s="14"/>
      <c r="U591" s="14"/>
      <c r="V591" s="48"/>
      <c r="W591" s="14"/>
      <c r="X591" s="14"/>
      <c r="Y591" s="14"/>
      <c r="Z591" s="48"/>
      <c r="AA591" s="14"/>
      <c r="AB591" s="14">
        <v>6</v>
      </c>
      <c r="AC591" s="14">
        <v>150</v>
      </c>
      <c r="AD591" s="48">
        <f t="shared" si="169"/>
        <v>78</v>
      </c>
      <c r="AE591" s="14"/>
      <c r="AF591" s="14">
        <v>150</v>
      </c>
      <c r="AG591" s="14">
        <v>150</v>
      </c>
      <c r="AH591" s="48">
        <f t="shared" si="170"/>
        <v>150</v>
      </c>
      <c r="AI591" s="14"/>
      <c r="AJ591" s="14">
        <v>175</v>
      </c>
      <c r="AK591" s="14">
        <v>150</v>
      </c>
      <c r="AL591" s="48">
        <f t="shared" si="171"/>
        <v>162.5</v>
      </c>
      <c r="AM591" s="14"/>
      <c r="AN591" s="14">
        <v>300</v>
      </c>
      <c r="AO591" s="14"/>
      <c r="AP591" s="48">
        <f>AVERAGE(AN591,AO591)</f>
        <v>300</v>
      </c>
      <c r="AQ591" s="14"/>
      <c r="AR591" s="14">
        <v>300</v>
      </c>
      <c r="AS591" s="14"/>
      <c r="AT591" s="48">
        <f>AVERAGE(AR591,AS591)</f>
        <v>300</v>
      </c>
      <c r="AU591" s="14"/>
      <c r="AV591" s="14"/>
      <c r="AW591" s="14"/>
      <c r="AX591" s="49"/>
    </row>
    <row r="592" spans="1:50" ht="10.199999999999999" customHeight="1" x14ac:dyDescent="0.25">
      <c r="A592" s="14">
        <v>29</v>
      </c>
      <c r="B592" s="103">
        <v>39646</v>
      </c>
      <c r="C592" s="103">
        <v>39639</v>
      </c>
      <c r="D592" s="14"/>
      <c r="E592" s="14"/>
      <c r="F592" s="48"/>
      <c r="G592" s="14"/>
      <c r="H592" s="14"/>
      <c r="I592" s="14"/>
      <c r="J592" s="48"/>
      <c r="K592" s="14"/>
      <c r="L592" s="14"/>
      <c r="M592" s="14"/>
      <c r="N592" s="48"/>
      <c r="O592" s="14"/>
      <c r="P592" s="14"/>
      <c r="Q592" s="14"/>
      <c r="R592" s="48"/>
      <c r="S592" s="14"/>
      <c r="T592" s="14"/>
      <c r="U592" s="14"/>
      <c r="V592" s="48"/>
      <c r="W592" s="14"/>
      <c r="X592" s="14"/>
      <c r="Y592" s="14"/>
      <c r="Z592" s="48"/>
      <c r="AA592" s="14"/>
      <c r="AB592" s="14">
        <v>-63</v>
      </c>
      <c r="AC592" s="14"/>
      <c r="AD592" s="48">
        <f t="shared" si="169"/>
        <v>-63</v>
      </c>
      <c r="AE592" s="14"/>
      <c r="AF592" s="14">
        <v>46</v>
      </c>
      <c r="AG592" s="14">
        <v>69</v>
      </c>
      <c r="AH592" s="48">
        <f t="shared" si="170"/>
        <v>57.5</v>
      </c>
      <c r="AI592" s="14"/>
      <c r="AJ592" s="14">
        <v>175</v>
      </c>
      <c r="AK592" s="14">
        <v>163</v>
      </c>
      <c r="AL592" s="48">
        <f t="shared" si="171"/>
        <v>169</v>
      </c>
      <c r="AM592" s="14"/>
      <c r="AN592" s="14">
        <v>250</v>
      </c>
      <c r="AO592" s="14"/>
      <c r="AP592" s="48">
        <f>AVERAGE(AN592,AO592)</f>
        <v>250</v>
      </c>
      <c r="AQ592" s="14"/>
      <c r="AR592" s="14">
        <v>225</v>
      </c>
      <c r="AS592" s="14"/>
      <c r="AT592" s="48">
        <f>AVERAGE(AR592,AS592)</f>
        <v>225</v>
      </c>
      <c r="AU592" s="14"/>
      <c r="AV592" s="14"/>
      <c r="AW592" s="14"/>
      <c r="AX592" s="49"/>
    </row>
    <row r="593" spans="1:50" ht="10.199999999999999" customHeight="1" x14ac:dyDescent="0.25">
      <c r="A593" s="14">
        <v>30</v>
      </c>
      <c r="B593" s="103">
        <v>39653</v>
      </c>
      <c r="C593" s="103">
        <v>39646</v>
      </c>
      <c r="D593" s="14"/>
      <c r="E593" s="14"/>
      <c r="F593" s="48"/>
      <c r="G593" s="14"/>
      <c r="H593" s="14"/>
      <c r="I593" s="14"/>
      <c r="J593" s="48"/>
      <c r="K593" s="14"/>
      <c r="L593" s="14"/>
      <c r="M593" s="14"/>
      <c r="N593" s="48"/>
      <c r="O593" s="14"/>
      <c r="P593" s="14"/>
      <c r="Q593" s="14"/>
      <c r="R593" s="48"/>
      <c r="S593" s="14"/>
      <c r="T593" s="14"/>
      <c r="U593" s="14"/>
      <c r="V593" s="48"/>
      <c r="W593" s="14"/>
      <c r="X593" s="14"/>
      <c r="Y593" s="14"/>
      <c r="Z593" s="48"/>
      <c r="AA593" s="14"/>
      <c r="AB593" s="14"/>
      <c r="AC593" s="14"/>
      <c r="AD593" s="48"/>
      <c r="AE593" s="14"/>
      <c r="AF593" s="14">
        <v>50</v>
      </c>
      <c r="AG593" s="14">
        <v>92</v>
      </c>
      <c r="AH593" s="48">
        <f t="shared" si="170"/>
        <v>71</v>
      </c>
      <c r="AI593" s="14"/>
      <c r="AJ593" s="14">
        <v>175</v>
      </c>
      <c r="AK593" s="14">
        <v>150</v>
      </c>
      <c r="AL593" s="48">
        <f t="shared" si="171"/>
        <v>162.5</v>
      </c>
      <c r="AM593" s="14"/>
      <c r="AN593" s="14">
        <v>250</v>
      </c>
      <c r="AO593" s="14"/>
      <c r="AP593" s="48">
        <f>AVERAGE(AN593,AO593)</f>
        <v>250</v>
      </c>
      <c r="AQ593" s="14"/>
      <c r="AR593" s="14">
        <v>225</v>
      </c>
      <c r="AS593" s="14"/>
      <c r="AT593" s="48">
        <f>AVERAGE(AR593,AS593)</f>
        <v>225</v>
      </c>
      <c r="AU593" s="14"/>
      <c r="AV593" s="14"/>
      <c r="AW593" s="14"/>
      <c r="AX593" s="49"/>
    </row>
    <row r="594" spans="1:50" ht="10.199999999999999" customHeight="1" x14ac:dyDescent="0.25">
      <c r="A594" s="14">
        <v>31</v>
      </c>
      <c r="B594" s="103">
        <v>39660</v>
      </c>
      <c r="C594" s="103">
        <v>39653</v>
      </c>
      <c r="D594" s="14"/>
      <c r="E594" s="14"/>
      <c r="F594" s="48"/>
      <c r="G594" s="14"/>
      <c r="H594" s="14"/>
      <c r="I594" s="14"/>
      <c r="J594" s="48"/>
      <c r="K594" s="14"/>
      <c r="L594" s="14"/>
      <c r="M594" s="14"/>
      <c r="N594" s="48"/>
      <c r="O594" s="14"/>
      <c r="P594" s="14"/>
      <c r="Q594" s="14"/>
      <c r="R594" s="48"/>
      <c r="S594" s="14"/>
      <c r="T594" s="14"/>
      <c r="U594" s="14"/>
      <c r="V594" s="48"/>
      <c r="W594" s="14"/>
      <c r="X594" s="14"/>
      <c r="Y594" s="14"/>
      <c r="Z594" s="48"/>
      <c r="AA594" s="14"/>
      <c r="AB594" s="14"/>
      <c r="AC594" s="14"/>
      <c r="AD594" s="48"/>
      <c r="AE594" s="14"/>
      <c r="AF594" s="14">
        <v>87</v>
      </c>
      <c r="AG594" s="14">
        <v>67</v>
      </c>
      <c r="AH594" s="48">
        <f t="shared" si="170"/>
        <v>77</v>
      </c>
      <c r="AI594" s="14"/>
      <c r="AJ594" s="14">
        <v>125</v>
      </c>
      <c r="AK594" s="14">
        <v>138</v>
      </c>
      <c r="AL594" s="48">
        <f t="shared" si="171"/>
        <v>131.5</v>
      </c>
      <c r="AM594" s="14"/>
      <c r="AN594" s="14"/>
      <c r="AO594" s="14"/>
      <c r="AP594" s="48"/>
      <c r="AQ594" s="14"/>
      <c r="AR594" s="14"/>
      <c r="AS594" s="14"/>
      <c r="AT594" s="48"/>
      <c r="AU594" s="14"/>
      <c r="AV594" s="14"/>
      <c r="AW594" s="14"/>
      <c r="AX594" s="49"/>
    </row>
    <row r="595" spans="1:50" ht="10.199999999999999" customHeight="1" x14ac:dyDescent="0.25">
      <c r="A595" s="14">
        <v>32</v>
      </c>
      <c r="B595" s="103">
        <v>39667</v>
      </c>
      <c r="C595" s="103">
        <v>39660</v>
      </c>
      <c r="D595" s="14"/>
      <c r="E595" s="14"/>
      <c r="F595" s="48"/>
      <c r="G595" s="14"/>
      <c r="H595" s="14"/>
      <c r="I595" s="14"/>
      <c r="J595" s="48"/>
      <c r="K595" s="14"/>
      <c r="L595" s="14"/>
      <c r="M595" s="14"/>
      <c r="N595" s="48"/>
      <c r="O595" s="14"/>
      <c r="P595" s="14"/>
      <c r="Q595" s="14"/>
      <c r="R595" s="48"/>
      <c r="S595" s="14"/>
      <c r="T595" s="14"/>
      <c r="U595" s="14"/>
      <c r="V595" s="48"/>
      <c r="W595" s="14"/>
      <c r="X595" s="14"/>
      <c r="Y595" s="14"/>
      <c r="Z595" s="48"/>
      <c r="AA595" s="14"/>
      <c r="AB595" s="14"/>
      <c r="AC595" s="14"/>
      <c r="AD595" s="48"/>
      <c r="AE595" s="14"/>
      <c r="AF595" s="14">
        <v>158</v>
      </c>
      <c r="AG595" s="14">
        <v>50</v>
      </c>
      <c r="AH595" s="48">
        <f t="shared" si="170"/>
        <v>104</v>
      </c>
      <c r="AI595" s="14"/>
      <c r="AJ595" s="14">
        <v>169</v>
      </c>
      <c r="AK595" s="14">
        <v>113</v>
      </c>
      <c r="AL595" s="48">
        <f t="shared" si="171"/>
        <v>141</v>
      </c>
      <c r="AM595" s="14"/>
      <c r="AN595" s="14">
        <v>150</v>
      </c>
      <c r="AO595" s="14"/>
      <c r="AP595" s="48">
        <f t="shared" ref="AP595:AP605" si="172">AVERAGE(AN595,AO595)</f>
        <v>150</v>
      </c>
      <c r="AQ595" s="14"/>
      <c r="AR595" s="14"/>
      <c r="AS595" s="14"/>
      <c r="AT595" s="48"/>
      <c r="AU595" s="14"/>
      <c r="AV595" s="14"/>
      <c r="AW595" s="14"/>
      <c r="AX595" s="49"/>
    </row>
    <row r="596" spans="1:50" ht="10.199999999999999" customHeight="1" x14ac:dyDescent="0.25">
      <c r="A596" s="14">
        <v>33</v>
      </c>
      <c r="B596" s="103">
        <v>39674</v>
      </c>
      <c r="C596" s="103">
        <v>39667</v>
      </c>
      <c r="D596" s="14"/>
      <c r="E596" s="14"/>
      <c r="F596" s="48"/>
      <c r="G596" s="14"/>
      <c r="H596" s="14"/>
      <c r="I596" s="14"/>
      <c r="J596" s="48"/>
      <c r="K596" s="14"/>
      <c r="L596" s="14"/>
      <c r="M596" s="14"/>
      <c r="N596" s="48"/>
      <c r="O596" s="14"/>
      <c r="P596" s="14"/>
      <c r="Q596" s="14"/>
      <c r="R596" s="48"/>
      <c r="S596" s="14"/>
      <c r="T596" s="14"/>
      <c r="U596" s="14"/>
      <c r="V596" s="48"/>
      <c r="W596" s="14"/>
      <c r="X596" s="14"/>
      <c r="Y596" s="14"/>
      <c r="Z596" s="48"/>
      <c r="AA596" s="14"/>
      <c r="AB596" s="14"/>
      <c r="AC596" s="14"/>
      <c r="AD596" s="48"/>
      <c r="AE596" s="14"/>
      <c r="AF596" s="14">
        <v>8</v>
      </c>
      <c r="AG596" s="14">
        <v>-125</v>
      </c>
      <c r="AH596" s="48">
        <f t="shared" si="170"/>
        <v>-58.5</v>
      </c>
      <c r="AI596" s="14"/>
      <c r="AJ596" s="14">
        <v>50</v>
      </c>
      <c r="AK596" s="14">
        <v>0</v>
      </c>
      <c r="AL596" s="48">
        <f t="shared" si="171"/>
        <v>25</v>
      </c>
      <c r="AM596" s="14"/>
      <c r="AN596" s="14">
        <v>125</v>
      </c>
      <c r="AO596" s="14">
        <v>100</v>
      </c>
      <c r="AP596" s="48">
        <f t="shared" si="172"/>
        <v>112.5</v>
      </c>
      <c r="AQ596" s="14"/>
      <c r="AR596" s="14"/>
      <c r="AS596" s="14"/>
      <c r="AT596" s="48"/>
      <c r="AU596" s="14"/>
      <c r="AV596" s="14"/>
      <c r="AW596" s="14"/>
      <c r="AX596" s="49"/>
    </row>
    <row r="597" spans="1:50" ht="10.199999999999999" customHeight="1" x14ac:dyDescent="0.25">
      <c r="A597" s="14">
        <v>34</v>
      </c>
      <c r="B597" s="103">
        <v>39681</v>
      </c>
      <c r="C597" s="103">
        <v>39674</v>
      </c>
      <c r="D597" s="14"/>
      <c r="E597" s="14"/>
      <c r="F597" s="48"/>
      <c r="G597" s="14"/>
      <c r="H597" s="14"/>
      <c r="I597" s="14"/>
      <c r="J597" s="48"/>
      <c r="K597" s="14"/>
      <c r="L597" s="14"/>
      <c r="M597" s="14"/>
      <c r="N597" s="48"/>
      <c r="O597" s="14"/>
      <c r="P597" s="14"/>
      <c r="Q597" s="14"/>
      <c r="R597" s="48"/>
      <c r="S597" s="14"/>
      <c r="T597" s="14"/>
      <c r="U597" s="14"/>
      <c r="V597" s="48"/>
      <c r="W597" s="14"/>
      <c r="X597" s="14"/>
      <c r="Y597" s="14"/>
      <c r="Z597" s="48"/>
      <c r="AA597" s="14"/>
      <c r="AB597" s="14"/>
      <c r="AC597" s="14"/>
      <c r="AD597" s="48"/>
      <c r="AE597" s="14"/>
      <c r="AF597" s="14"/>
      <c r="AG597" s="14"/>
      <c r="AH597" s="48"/>
      <c r="AI597" s="14"/>
      <c r="AJ597" s="14">
        <v>41</v>
      </c>
      <c r="AK597" s="14">
        <v>-25</v>
      </c>
      <c r="AL597" s="48">
        <f t="shared" si="171"/>
        <v>8</v>
      </c>
      <c r="AM597" s="14"/>
      <c r="AN597" s="14">
        <v>125</v>
      </c>
      <c r="AO597" s="14">
        <v>100</v>
      </c>
      <c r="AP597" s="48">
        <f t="shared" si="172"/>
        <v>112.5</v>
      </c>
      <c r="AQ597" s="14"/>
      <c r="AR597" s="14">
        <v>150</v>
      </c>
      <c r="AS597" s="14"/>
      <c r="AT597" s="48">
        <f t="shared" ref="AT597:AT610" si="173">AVERAGE(AR597,AS597)</f>
        <v>150</v>
      </c>
      <c r="AU597" s="14"/>
      <c r="AV597" s="14"/>
      <c r="AW597" s="14"/>
      <c r="AX597" s="49"/>
    </row>
    <row r="598" spans="1:50" ht="10.199999999999999" customHeight="1" x14ac:dyDescent="0.25">
      <c r="A598" s="14">
        <v>35</v>
      </c>
      <c r="B598" s="103">
        <v>39688</v>
      </c>
      <c r="C598" s="103">
        <v>39681</v>
      </c>
      <c r="D598" s="14"/>
      <c r="E598" s="14"/>
      <c r="F598" s="48"/>
      <c r="G598" s="14"/>
      <c r="H598" s="14"/>
      <c r="I598" s="14"/>
      <c r="J598" s="48"/>
      <c r="K598" s="14"/>
      <c r="L598" s="14"/>
      <c r="M598" s="14"/>
      <c r="N598" s="48"/>
      <c r="O598" s="14"/>
      <c r="P598" s="14"/>
      <c r="Q598" s="14"/>
      <c r="R598" s="48"/>
      <c r="S598" s="14"/>
      <c r="T598" s="14"/>
      <c r="U598" s="14"/>
      <c r="V598" s="48"/>
      <c r="W598" s="14"/>
      <c r="X598" s="14"/>
      <c r="Y598" s="14"/>
      <c r="Z598" s="48"/>
      <c r="AA598" s="14"/>
      <c r="AB598" s="14"/>
      <c r="AC598" s="14"/>
      <c r="AD598" s="48"/>
      <c r="AE598" s="14"/>
      <c r="AF598" s="14"/>
      <c r="AG598" s="14"/>
      <c r="AH598" s="48"/>
      <c r="AI598" s="14"/>
      <c r="AJ598" s="14">
        <v>100</v>
      </c>
      <c r="AK598" s="14">
        <v>-101</v>
      </c>
      <c r="AL598" s="48">
        <f t="shared" si="171"/>
        <v>-0.5</v>
      </c>
      <c r="AM598" s="14"/>
      <c r="AN598" s="14">
        <v>150</v>
      </c>
      <c r="AO598" s="14">
        <v>100</v>
      </c>
      <c r="AP598" s="48">
        <f t="shared" si="172"/>
        <v>125</v>
      </c>
      <c r="AQ598" s="14"/>
      <c r="AR598" s="14">
        <v>100</v>
      </c>
      <c r="AS598" s="14"/>
      <c r="AT598" s="48">
        <f t="shared" si="173"/>
        <v>100</v>
      </c>
      <c r="AU598" s="14"/>
      <c r="AV598" s="14"/>
      <c r="AW598" s="14"/>
      <c r="AX598" s="49"/>
    </row>
    <row r="599" spans="1:50" ht="10.199999999999999" customHeight="1" x14ac:dyDescent="0.25">
      <c r="A599" s="14">
        <v>36</v>
      </c>
      <c r="B599" s="103">
        <v>39695</v>
      </c>
      <c r="C599" s="103">
        <v>39688</v>
      </c>
      <c r="D599" s="14"/>
      <c r="E599" s="14"/>
      <c r="F599" s="48"/>
      <c r="G599" s="14"/>
      <c r="H599" s="14"/>
      <c r="I599" s="14"/>
      <c r="J599" s="48"/>
      <c r="K599" s="14"/>
      <c r="L599" s="14"/>
      <c r="M599" s="14"/>
      <c r="N599" s="48"/>
      <c r="O599" s="14"/>
      <c r="P599" s="14"/>
      <c r="Q599" s="14"/>
      <c r="R599" s="48"/>
      <c r="S599" s="14"/>
      <c r="T599" s="14"/>
      <c r="U599" s="14"/>
      <c r="V599" s="48"/>
      <c r="W599" s="14"/>
      <c r="X599" s="14"/>
      <c r="Y599" s="14"/>
      <c r="Z599" s="48"/>
      <c r="AA599" s="14"/>
      <c r="AB599" s="14"/>
      <c r="AC599" s="14"/>
      <c r="AD599" s="48"/>
      <c r="AE599" s="14"/>
      <c r="AF599" s="14"/>
      <c r="AG599" s="14"/>
      <c r="AH599" s="48"/>
      <c r="AI599" s="14"/>
      <c r="AJ599" s="14">
        <v>192</v>
      </c>
      <c r="AK599" s="14">
        <v>-100</v>
      </c>
      <c r="AL599" s="48">
        <f t="shared" si="171"/>
        <v>46</v>
      </c>
      <c r="AM599" s="14"/>
      <c r="AN599" s="14">
        <v>217</v>
      </c>
      <c r="AO599" s="14">
        <v>100</v>
      </c>
      <c r="AP599" s="48">
        <f t="shared" si="172"/>
        <v>158.5</v>
      </c>
      <c r="AQ599" s="14"/>
      <c r="AR599" s="14"/>
      <c r="AS599" s="14">
        <v>75</v>
      </c>
      <c r="AT599" s="48">
        <f t="shared" si="173"/>
        <v>75</v>
      </c>
      <c r="AU599" s="14"/>
      <c r="AV599" s="14"/>
      <c r="AW599" s="14">
        <v>50</v>
      </c>
      <c r="AX599" s="48">
        <f t="shared" ref="AX599:AX614" si="174">AVERAGE(AV599,AW599)</f>
        <v>50</v>
      </c>
    </row>
    <row r="600" spans="1:50" ht="10.199999999999999" customHeight="1" x14ac:dyDescent="0.25">
      <c r="A600" s="14">
        <v>37</v>
      </c>
      <c r="B600" s="103">
        <v>39702</v>
      </c>
      <c r="C600" s="103">
        <v>39695</v>
      </c>
      <c r="D600" s="14"/>
      <c r="E600" s="14"/>
      <c r="F600" s="48"/>
      <c r="G600" s="14"/>
      <c r="H600" s="14"/>
      <c r="I600" s="14"/>
      <c r="J600" s="48"/>
      <c r="K600" s="14"/>
      <c r="L600" s="14"/>
      <c r="M600" s="14"/>
      <c r="N600" s="48"/>
      <c r="O600" s="14"/>
      <c r="P600" s="14"/>
      <c r="Q600" s="14"/>
      <c r="R600" s="48"/>
      <c r="S600" s="14"/>
      <c r="T600" s="14"/>
      <c r="U600" s="14"/>
      <c r="V600" s="48"/>
      <c r="W600" s="14"/>
      <c r="X600" s="14"/>
      <c r="Y600" s="14"/>
      <c r="Z600" s="48"/>
      <c r="AA600" s="14"/>
      <c r="AB600" s="14"/>
      <c r="AC600" s="14"/>
      <c r="AD600" s="48"/>
      <c r="AE600" s="14"/>
      <c r="AF600" s="14"/>
      <c r="AG600" s="14"/>
      <c r="AH600" s="48"/>
      <c r="AI600" s="14"/>
      <c r="AJ600" s="14">
        <v>213</v>
      </c>
      <c r="AK600" s="14">
        <v>-117</v>
      </c>
      <c r="AL600" s="48">
        <f t="shared" si="171"/>
        <v>48</v>
      </c>
      <c r="AM600" s="14"/>
      <c r="AN600" s="14">
        <v>197</v>
      </c>
      <c r="AO600" s="14">
        <v>67</v>
      </c>
      <c r="AP600" s="48">
        <f t="shared" si="172"/>
        <v>132</v>
      </c>
      <c r="AQ600" s="14"/>
      <c r="AR600" s="14">
        <v>100</v>
      </c>
      <c r="AS600" s="14">
        <v>75</v>
      </c>
      <c r="AT600" s="48">
        <f t="shared" si="173"/>
        <v>87.5</v>
      </c>
      <c r="AU600" s="14"/>
      <c r="AV600" s="14"/>
      <c r="AW600" s="14">
        <v>50</v>
      </c>
      <c r="AX600" s="48">
        <f t="shared" si="174"/>
        <v>50</v>
      </c>
    </row>
    <row r="601" spans="1:50" ht="10.199999999999999" customHeight="1" x14ac:dyDescent="0.25">
      <c r="A601" s="14">
        <v>38</v>
      </c>
      <c r="B601" s="103">
        <v>39709</v>
      </c>
      <c r="C601" s="103">
        <v>39702</v>
      </c>
      <c r="D601" s="14"/>
      <c r="E601" s="14"/>
      <c r="F601" s="48"/>
      <c r="G601" s="14"/>
      <c r="H601" s="14"/>
      <c r="I601" s="14"/>
      <c r="J601" s="48"/>
      <c r="K601" s="14"/>
      <c r="L601" s="14"/>
      <c r="M601" s="14"/>
      <c r="N601" s="48"/>
      <c r="O601" s="14"/>
      <c r="P601" s="14"/>
      <c r="Q601" s="14"/>
      <c r="R601" s="48"/>
      <c r="S601" s="14"/>
      <c r="T601" s="14"/>
      <c r="U601" s="14"/>
      <c r="V601" s="48"/>
      <c r="W601" s="14"/>
      <c r="X601" s="14"/>
      <c r="Y601" s="14"/>
      <c r="Z601" s="48"/>
      <c r="AA601" s="14"/>
      <c r="AB601" s="14"/>
      <c r="AC601" s="14"/>
      <c r="AD601" s="48"/>
      <c r="AE601" s="14"/>
      <c r="AF601" s="14"/>
      <c r="AG601" s="14"/>
      <c r="AH601" s="48"/>
      <c r="AI601" s="14"/>
      <c r="AJ601" s="14">
        <v>113</v>
      </c>
      <c r="AK601" s="14"/>
      <c r="AL601" s="48">
        <f t="shared" si="171"/>
        <v>113</v>
      </c>
      <c r="AM601" s="14"/>
      <c r="AN601" s="14">
        <v>150</v>
      </c>
      <c r="AO601" s="14">
        <v>63</v>
      </c>
      <c r="AP601" s="48">
        <f t="shared" si="172"/>
        <v>106.5</v>
      </c>
      <c r="AQ601" s="14"/>
      <c r="AR601" s="14">
        <v>75</v>
      </c>
      <c r="AS601" s="14">
        <v>50</v>
      </c>
      <c r="AT601" s="48">
        <f t="shared" si="173"/>
        <v>62.5</v>
      </c>
      <c r="AU601" s="14"/>
      <c r="AV601" s="14"/>
      <c r="AW601" s="14">
        <v>50</v>
      </c>
      <c r="AX601" s="48">
        <f t="shared" si="174"/>
        <v>50</v>
      </c>
    </row>
    <row r="602" spans="1:50" ht="10.199999999999999" customHeight="1" x14ac:dyDescent="0.25">
      <c r="A602" s="14">
        <v>39</v>
      </c>
      <c r="B602" s="103">
        <v>39716</v>
      </c>
      <c r="C602" s="103">
        <v>39709</v>
      </c>
      <c r="D602" s="14"/>
      <c r="E602" s="14"/>
      <c r="F602" s="48"/>
      <c r="G602" s="14"/>
      <c r="H602" s="14"/>
      <c r="I602" s="14"/>
      <c r="J602" s="48"/>
      <c r="K602" s="14"/>
      <c r="L602" s="14"/>
      <c r="M602" s="14"/>
      <c r="N602" s="48"/>
      <c r="O602" s="14"/>
      <c r="P602" s="14"/>
      <c r="Q602" s="14"/>
      <c r="R602" s="48"/>
      <c r="S602" s="14"/>
      <c r="T602" s="14"/>
      <c r="U602" s="14"/>
      <c r="V602" s="48"/>
      <c r="W602" s="14"/>
      <c r="X602" s="14"/>
      <c r="Y602" s="14"/>
      <c r="Z602" s="48"/>
      <c r="AA602" s="14"/>
      <c r="AB602" s="14"/>
      <c r="AC602" s="14"/>
      <c r="AD602" s="48"/>
      <c r="AE602" s="14"/>
      <c r="AF602" s="14"/>
      <c r="AG602" s="14"/>
      <c r="AH602" s="48"/>
      <c r="AI602" s="14"/>
      <c r="AJ602" s="14"/>
      <c r="AK602" s="14"/>
      <c r="AL602" s="48"/>
      <c r="AM602" s="14"/>
      <c r="AN602" s="14">
        <v>0</v>
      </c>
      <c r="AO602" s="14">
        <v>-88</v>
      </c>
      <c r="AP602" s="48">
        <f t="shared" si="172"/>
        <v>-44</v>
      </c>
      <c r="AQ602" s="14"/>
      <c r="AR602" s="14">
        <v>25</v>
      </c>
      <c r="AS602" s="14">
        <v>50</v>
      </c>
      <c r="AT602" s="48">
        <f t="shared" si="173"/>
        <v>37.5</v>
      </c>
      <c r="AU602" s="14"/>
      <c r="AV602" s="14"/>
      <c r="AW602" s="14">
        <v>50</v>
      </c>
      <c r="AX602" s="48">
        <f t="shared" si="174"/>
        <v>50</v>
      </c>
    </row>
    <row r="603" spans="1:50" ht="10.199999999999999" customHeight="1" x14ac:dyDescent="0.25">
      <c r="A603" s="14">
        <v>40</v>
      </c>
      <c r="B603" s="103">
        <v>39723</v>
      </c>
      <c r="C603" s="103">
        <v>39716</v>
      </c>
      <c r="D603" s="14"/>
      <c r="E603" s="14"/>
      <c r="F603" s="48"/>
      <c r="G603" s="14"/>
      <c r="H603" s="14"/>
      <c r="I603" s="14"/>
      <c r="J603" s="48"/>
      <c r="K603" s="14"/>
      <c r="L603" s="14"/>
      <c r="M603" s="14"/>
      <c r="N603" s="48"/>
      <c r="O603" s="14"/>
      <c r="P603" s="14"/>
      <c r="Q603" s="14"/>
      <c r="R603" s="48"/>
      <c r="S603" s="14"/>
      <c r="T603" s="14"/>
      <c r="U603" s="14"/>
      <c r="V603" s="48"/>
      <c r="W603" s="14"/>
      <c r="X603" s="14"/>
      <c r="Y603" s="14"/>
      <c r="Z603" s="48"/>
      <c r="AA603" s="14"/>
      <c r="AB603" s="14"/>
      <c r="AC603" s="14"/>
      <c r="AD603" s="48"/>
      <c r="AE603" s="14"/>
      <c r="AF603" s="14"/>
      <c r="AG603" s="14"/>
      <c r="AH603" s="48"/>
      <c r="AI603" s="14"/>
      <c r="AJ603" s="14"/>
      <c r="AK603" s="14"/>
      <c r="AL603" s="48"/>
      <c r="AM603" s="14"/>
      <c r="AN603" s="14">
        <v>38</v>
      </c>
      <c r="AO603" s="14">
        <v>-31</v>
      </c>
      <c r="AP603" s="48">
        <f t="shared" si="172"/>
        <v>3.5</v>
      </c>
      <c r="AQ603" s="14"/>
      <c r="AR603" s="14">
        <v>-13</v>
      </c>
      <c r="AS603" s="14">
        <v>-38</v>
      </c>
      <c r="AT603" s="48">
        <f t="shared" si="173"/>
        <v>-25.5</v>
      </c>
      <c r="AU603" s="14"/>
      <c r="AV603" s="14"/>
      <c r="AW603" s="14">
        <v>-38</v>
      </c>
      <c r="AX603" s="48">
        <f t="shared" si="174"/>
        <v>-38</v>
      </c>
    </row>
    <row r="604" spans="1:50" ht="10.199999999999999" customHeight="1" x14ac:dyDescent="0.25">
      <c r="A604" s="14">
        <v>41</v>
      </c>
      <c r="B604" s="103">
        <v>39730</v>
      </c>
      <c r="C604" s="103">
        <v>39723</v>
      </c>
      <c r="D604" s="14"/>
      <c r="E604" s="14"/>
      <c r="F604" s="48"/>
      <c r="G604" s="14"/>
      <c r="H604" s="14"/>
      <c r="I604" s="14"/>
      <c r="J604" s="48"/>
      <c r="K604" s="14"/>
      <c r="L604" s="14"/>
      <c r="M604" s="14"/>
      <c r="N604" s="48"/>
      <c r="O604" s="14"/>
      <c r="P604" s="14"/>
      <c r="Q604" s="14"/>
      <c r="R604" s="48"/>
      <c r="S604" s="14"/>
      <c r="T604" s="14"/>
      <c r="U604" s="14"/>
      <c r="V604" s="48"/>
      <c r="W604" s="14"/>
      <c r="X604" s="14"/>
      <c r="Y604" s="14"/>
      <c r="Z604" s="48"/>
      <c r="AA604" s="14"/>
      <c r="AB604" s="14"/>
      <c r="AC604" s="14"/>
      <c r="AD604" s="48"/>
      <c r="AE604" s="14"/>
      <c r="AF604" s="14"/>
      <c r="AG604" s="14"/>
      <c r="AH604" s="48"/>
      <c r="AI604" s="14"/>
      <c r="AJ604" s="14"/>
      <c r="AK604" s="14"/>
      <c r="AL604" s="48"/>
      <c r="AM604" s="14"/>
      <c r="AN604" s="14">
        <v>0</v>
      </c>
      <c r="AO604" s="14">
        <v>13</v>
      </c>
      <c r="AP604" s="48">
        <f t="shared" si="172"/>
        <v>6.5</v>
      </c>
      <c r="AQ604" s="14"/>
      <c r="AR604" s="14">
        <v>25</v>
      </c>
      <c r="AS604" s="14">
        <v>17</v>
      </c>
      <c r="AT604" s="48">
        <f t="shared" si="173"/>
        <v>21</v>
      </c>
      <c r="AU604" s="14"/>
      <c r="AV604" s="14">
        <v>25</v>
      </c>
      <c r="AW604" s="14">
        <v>17</v>
      </c>
      <c r="AX604" s="48">
        <f t="shared" si="174"/>
        <v>21</v>
      </c>
    </row>
    <row r="605" spans="1:50" ht="10.199999999999999" customHeight="1" x14ac:dyDescent="0.25">
      <c r="A605" s="14">
        <v>42</v>
      </c>
      <c r="B605" s="103">
        <v>39737</v>
      </c>
      <c r="C605" s="103">
        <v>39730</v>
      </c>
      <c r="D605" s="14"/>
      <c r="E605" s="14"/>
      <c r="F605" s="48"/>
      <c r="G605" s="14"/>
      <c r="H605" s="14"/>
      <c r="I605" s="14"/>
      <c r="J605" s="48"/>
      <c r="K605" s="14"/>
      <c r="L605" s="14"/>
      <c r="M605" s="14"/>
      <c r="N605" s="48"/>
      <c r="O605" s="14"/>
      <c r="P605" s="14"/>
      <c r="Q605" s="14"/>
      <c r="R605" s="48"/>
      <c r="S605" s="14"/>
      <c r="T605" s="14"/>
      <c r="U605" s="14"/>
      <c r="V605" s="48"/>
      <c r="W605" s="14"/>
      <c r="X605" s="14"/>
      <c r="Y605" s="14"/>
      <c r="Z605" s="48"/>
      <c r="AA605" s="14"/>
      <c r="AB605" s="14"/>
      <c r="AC605" s="14"/>
      <c r="AD605" s="48"/>
      <c r="AE605" s="14"/>
      <c r="AF605" s="14"/>
      <c r="AG605" s="14"/>
      <c r="AH605" s="48"/>
      <c r="AI605" s="14"/>
      <c r="AJ605" s="14"/>
      <c r="AK605" s="14"/>
      <c r="AL605" s="48"/>
      <c r="AM605" s="14"/>
      <c r="AN605" s="14">
        <v>-38</v>
      </c>
      <c r="AO605" s="14">
        <v>-5</v>
      </c>
      <c r="AP605" s="48">
        <f t="shared" si="172"/>
        <v>-21.5</v>
      </c>
      <c r="AQ605" s="14"/>
      <c r="AR605" s="14">
        <v>13</v>
      </c>
      <c r="AS605" s="14">
        <v>0</v>
      </c>
      <c r="AT605" s="48">
        <f t="shared" si="173"/>
        <v>6.5</v>
      </c>
      <c r="AU605" s="14"/>
      <c r="AV605" s="14">
        <v>13</v>
      </c>
      <c r="AW605" s="14">
        <v>0</v>
      </c>
      <c r="AX605" s="48">
        <f t="shared" si="174"/>
        <v>6.5</v>
      </c>
    </row>
    <row r="606" spans="1:50" ht="10.199999999999999" customHeight="1" x14ac:dyDescent="0.25">
      <c r="A606" s="14">
        <v>43</v>
      </c>
      <c r="B606" s="103">
        <v>39744</v>
      </c>
      <c r="C606" s="103">
        <v>39737</v>
      </c>
      <c r="D606" s="14"/>
      <c r="E606" s="14"/>
      <c r="F606" s="48"/>
      <c r="G606" s="14"/>
      <c r="H606" s="14"/>
      <c r="I606" s="14"/>
      <c r="J606" s="48"/>
      <c r="K606" s="14"/>
      <c r="L606" s="14"/>
      <c r="M606" s="14"/>
      <c r="N606" s="48"/>
      <c r="O606" s="14"/>
      <c r="P606" s="14"/>
      <c r="Q606" s="14"/>
      <c r="R606" s="48"/>
      <c r="S606" s="14"/>
      <c r="T606" s="14"/>
      <c r="U606" s="14"/>
      <c r="V606" s="48"/>
      <c r="W606" s="14"/>
      <c r="X606" s="14"/>
      <c r="Y606" s="14"/>
      <c r="Z606" s="48"/>
      <c r="AA606" s="14"/>
      <c r="AB606" s="14"/>
      <c r="AC606" s="14"/>
      <c r="AD606" s="48"/>
      <c r="AE606" s="14"/>
      <c r="AF606" s="14"/>
      <c r="AG606" s="14"/>
      <c r="AH606" s="48"/>
      <c r="AI606" s="14"/>
      <c r="AJ606" s="14"/>
      <c r="AK606" s="14"/>
      <c r="AL606" s="48"/>
      <c r="AM606" s="14"/>
      <c r="AN606" s="14"/>
      <c r="AO606" s="14"/>
      <c r="AP606" s="48"/>
      <c r="AQ606" s="14"/>
      <c r="AR606" s="14">
        <v>-9</v>
      </c>
      <c r="AS606" s="14">
        <v>-13</v>
      </c>
      <c r="AT606" s="48">
        <f t="shared" si="173"/>
        <v>-11</v>
      </c>
      <c r="AU606" s="14"/>
      <c r="AV606" s="14">
        <v>13</v>
      </c>
      <c r="AW606" s="14">
        <v>-17</v>
      </c>
      <c r="AX606" s="48">
        <f t="shared" si="174"/>
        <v>-2</v>
      </c>
    </row>
    <row r="607" spans="1:50" ht="10.199999999999999" customHeight="1" x14ac:dyDescent="0.25">
      <c r="A607" s="14">
        <v>44</v>
      </c>
      <c r="B607" s="103">
        <v>39751</v>
      </c>
      <c r="C607" s="103">
        <v>39744</v>
      </c>
      <c r="D607" s="14"/>
      <c r="E607" s="14"/>
      <c r="F607" s="48"/>
      <c r="G607" s="14"/>
      <c r="H607" s="14"/>
      <c r="I607" s="14"/>
      <c r="J607" s="48"/>
      <c r="K607" s="14"/>
      <c r="L607" s="14"/>
      <c r="M607" s="14"/>
      <c r="N607" s="48"/>
      <c r="O607" s="14"/>
      <c r="P607" s="14"/>
      <c r="Q607" s="14"/>
      <c r="R607" s="48"/>
      <c r="S607" s="14"/>
      <c r="T607" s="14"/>
      <c r="U607" s="14"/>
      <c r="V607" s="48"/>
      <c r="W607" s="14"/>
      <c r="X607" s="14"/>
      <c r="Y607" s="14"/>
      <c r="Z607" s="48"/>
      <c r="AA607" s="14"/>
      <c r="AB607" s="14"/>
      <c r="AC607" s="14"/>
      <c r="AD607" s="48"/>
      <c r="AE607" s="14"/>
      <c r="AF607" s="14"/>
      <c r="AG607" s="14"/>
      <c r="AH607" s="48"/>
      <c r="AI607" s="14"/>
      <c r="AJ607" s="14"/>
      <c r="AK607" s="14"/>
      <c r="AL607" s="48"/>
      <c r="AM607" s="14"/>
      <c r="AN607" s="14"/>
      <c r="AO607" s="14"/>
      <c r="AP607" s="48"/>
      <c r="AQ607" s="14"/>
      <c r="AR607" s="14">
        <v>-94</v>
      </c>
      <c r="AS607" s="14">
        <v>0</v>
      </c>
      <c r="AT607" s="48">
        <f t="shared" si="173"/>
        <v>-47</v>
      </c>
      <c r="AU607" s="14"/>
      <c r="AV607" s="14">
        <v>-58</v>
      </c>
      <c r="AW607" s="14">
        <v>0</v>
      </c>
      <c r="AX607" s="48">
        <f t="shared" si="174"/>
        <v>-29</v>
      </c>
    </row>
    <row r="608" spans="1:50" ht="10.199999999999999" customHeight="1" x14ac:dyDescent="0.25">
      <c r="A608" s="14">
        <v>45</v>
      </c>
      <c r="B608" s="103">
        <v>39758</v>
      </c>
      <c r="C608" s="103">
        <v>39751</v>
      </c>
      <c r="D608" s="14"/>
      <c r="E608" s="14"/>
      <c r="F608" s="48"/>
      <c r="G608" s="14"/>
      <c r="H608" s="14"/>
      <c r="I608" s="14"/>
      <c r="J608" s="48"/>
      <c r="K608" s="14"/>
      <c r="L608" s="14"/>
      <c r="M608" s="14"/>
      <c r="N608" s="48"/>
      <c r="O608" s="14"/>
      <c r="P608" s="14"/>
      <c r="Q608" s="14"/>
      <c r="R608" s="48"/>
      <c r="S608" s="14"/>
      <c r="T608" s="14"/>
      <c r="U608" s="14"/>
      <c r="V608" s="48"/>
      <c r="W608" s="14"/>
      <c r="X608" s="14"/>
      <c r="Y608" s="14"/>
      <c r="Z608" s="48"/>
      <c r="AA608" s="14"/>
      <c r="AB608" s="14"/>
      <c r="AC608" s="14"/>
      <c r="AD608" s="48"/>
      <c r="AE608" s="14"/>
      <c r="AF608" s="14"/>
      <c r="AG608" s="14"/>
      <c r="AH608" s="48"/>
      <c r="AI608" s="14"/>
      <c r="AJ608" s="14"/>
      <c r="AK608" s="14"/>
      <c r="AL608" s="48"/>
      <c r="AM608" s="14"/>
      <c r="AN608" s="14"/>
      <c r="AO608" s="14"/>
      <c r="AP608" s="48"/>
      <c r="AQ608" s="14"/>
      <c r="AR608" s="14">
        <v>-113</v>
      </c>
      <c r="AS608" s="14">
        <v>-20</v>
      </c>
      <c r="AT608" s="48">
        <f t="shared" si="173"/>
        <v>-66.5</v>
      </c>
      <c r="AU608" s="14"/>
      <c r="AV608" s="14">
        <v>-106</v>
      </c>
      <c r="AW608" s="14">
        <v>-44</v>
      </c>
      <c r="AX608" s="48">
        <f t="shared" si="174"/>
        <v>-75</v>
      </c>
    </row>
    <row r="609" spans="1:50" ht="10.199999999999999" customHeight="1" x14ac:dyDescent="0.25">
      <c r="A609" s="14">
        <v>46</v>
      </c>
      <c r="B609" s="103">
        <v>39765</v>
      </c>
      <c r="C609" s="103">
        <v>39758</v>
      </c>
      <c r="D609" s="14">
        <v>-30</v>
      </c>
      <c r="E609" s="14"/>
      <c r="F609" s="48">
        <f t="shared" ref="F609:F619" si="175">AVERAGE(D609:E609)</f>
        <v>-30</v>
      </c>
      <c r="G609" s="14"/>
      <c r="H609" s="14"/>
      <c r="I609" s="14"/>
      <c r="J609" s="48"/>
      <c r="K609" s="14"/>
      <c r="L609" s="14"/>
      <c r="M609" s="14"/>
      <c r="N609" s="48"/>
      <c r="O609" s="14"/>
      <c r="P609" s="14"/>
      <c r="Q609" s="14"/>
      <c r="R609" s="48"/>
      <c r="S609" s="14"/>
      <c r="T609" s="14"/>
      <c r="U609" s="14"/>
      <c r="V609" s="48"/>
      <c r="W609" s="14"/>
      <c r="X609" s="14"/>
      <c r="Y609" s="14"/>
      <c r="Z609" s="48"/>
      <c r="AA609" s="14"/>
      <c r="AB609" s="14"/>
      <c r="AC609" s="14"/>
      <c r="AD609" s="48"/>
      <c r="AE609" s="14"/>
      <c r="AF609" s="14"/>
      <c r="AG609" s="14"/>
      <c r="AH609" s="48"/>
      <c r="AI609" s="14"/>
      <c r="AJ609" s="14"/>
      <c r="AK609" s="14"/>
      <c r="AL609" s="48"/>
      <c r="AM609" s="14"/>
      <c r="AN609" s="14"/>
      <c r="AO609" s="14"/>
      <c r="AP609" s="48"/>
      <c r="AQ609" s="14"/>
      <c r="AR609" s="14">
        <v>-119</v>
      </c>
      <c r="AS609" s="14">
        <v>-8</v>
      </c>
      <c r="AT609" s="48">
        <f t="shared" si="173"/>
        <v>-63.5</v>
      </c>
      <c r="AU609" s="14"/>
      <c r="AV609" s="14">
        <v>-114</v>
      </c>
      <c r="AW609" s="14">
        <v>-44</v>
      </c>
      <c r="AX609" s="48">
        <f t="shared" si="174"/>
        <v>-79</v>
      </c>
    </row>
    <row r="610" spans="1:50" ht="10.199999999999999" customHeight="1" x14ac:dyDescent="0.25">
      <c r="A610" s="14">
        <v>47</v>
      </c>
      <c r="B610" s="103">
        <v>39772</v>
      </c>
      <c r="C610" s="103">
        <v>39765</v>
      </c>
      <c r="D610" s="14">
        <v>-15</v>
      </c>
      <c r="E610" s="14"/>
      <c r="F610" s="48">
        <f t="shared" si="175"/>
        <v>-15</v>
      </c>
      <c r="G610" s="14"/>
      <c r="H610" s="14"/>
      <c r="I610" s="14"/>
      <c r="J610" s="48"/>
      <c r="K610" s="14"/>
      <c r="L610" s="14"/>
      <c r="M610" s="14"/>
      <c r="N610" s="48"/>
      <c r="O610" s="14"/>
      <c r="P610" s="14"/>
      <c r="Q610" s="14"/>
      <c r="R610" s="48"/>
      <c r="S610" s="14"/>
      <c r="T610" s="14"/>
      <c r="U610" s="14"/>
      <c r="V610" s="48"/>
      <c r="W610" s="14"/>
      <c r="X610" s="14"/>
      <c r="Y610" s="14"/>
      <c r="Z610" s="48"/>
      <c r="AA610" s="14"/>
      <c r="AB610" s="14"/>
      <c r="AC610" s="14"/>
      <c r="AD610" s="48"/>
      <c r="AE610" s="14"/>
      <c r="AF610" s="14"/>
      <c r="AG610" s="14"/>
      <c r="AH610" s="48"/>
      <c r="AI610" s="14"/>
      <c r="AJ610" s="14"/>
      <c r="AK610" s="14"/>
      <c r="AL610" s="48"/>
      <c r="AM610" s="14"/>
      <c r="AN610" s="14"/>
      <c r="AO610" s="14"/>
      <c r="AP610" s="48"/>
      <c r="AQ610" s="14"/>
      <c r="AR610" s="14">
        <v>-175</v>
      </c>
      <c r="AS610" s="14"/>
      <c r="AT610" s="48">
        <f t="shared" si="173"/>
        <v>-175</v>
      </c>
      <c r="AU610" s="14"/>
      <c r="AV610" s="14">
        <v>-125</v>
      </c>
      <c r="AW610" s="14">
        <v>-32</v>
      </c>
      <c r="AX610" s="48">
        <f t="shared" si="174"/>
        <v>-78.5</v>
      </c>
    </row>
    <row r="611" spans="1:50" ht="10.199999999999999" customHeight="1" x14ac:dyDescent="0.25">
      <c r="A611" s="14">
        <v>48</v>
      </c>
      <c r="B611" s="103">
        <v>39779</v>
      </c>
      <c r="C611" s="103">
        <v>39772</v>
      </c>
      <c r="D611" s="14">
        <v>-63</v>
      </c>
      <c r="E611" s="14">
        <v>0</v>
      </c>
      <c r="F611" s="48">
        <f t="shared" si="175"/>
        <v>-31.5</v>
      </c>
      <c r="G611" s="14"/>
      <c r="H611" s="14"/>
      <c r="I611" s="14"/>
      <c r="J611" s="48"/>
      <c r="K611" s="14"/>
      <c r="L611" s="14"/>
      <c r="M611" s="14"/>
      <c r="N611" s="48"/>
      <c r="O611" s="14"/>
      <c r="P611" s="14"/>
      <c r="Q611" s="14"/>
      <c r="R611" s="48"/>
      <c r="S611" s="14"/>
      <c r="T611" s="14"/>
      <c r="U611" s="14"/>
      <c r="V611" s="48"/>
      <c r="W611" s="14"/>
      <c r="X611" s="14"/>
      <c r="Y611" s="14"/>
      <c r="Z611" s="48"/>
      <c r="AA611" s="14"/>
      <c r="AB611" s="14"/>
      <c r="AC611" s="14"/>
      <c r="AD611" s="48"/>
      <c r="AE611" s="14"/>
      <c r="AF611" s="14"/>
      <c r="AG611" s="14"/>
      <c r="AH611" s="48"/>
      <c r="AI611" s="14"/>
      <c r="AJ611" s="14"/>
      <c r="AK611" s="14"/>
      <c r="AL611" s="48"/>
      <c r="AM611" s="14"/>
      <c r="AN611" s="14"/>
      <c r="AO611" s="14"/>
      <c r="AP611" s="48"/>
      <c r="AQ611" s="14"/>
      <c r="AR611" s="14"/>
      <c r="AS611" s="14"/>
      <c r="AT611" s="48"/>
      <c r="AU611" s="14"/>
      <c r="AV611" s="14">
        <v>-138</v>
      </c>
      <c r="AW611" s="14">
        <v>-50</v>
      </c>
      <c r="AX611" s="48">
        <f t="shared" si="174"/>
        <v>-94</v>
      </c>
    </row>
    <row r="612" spans="1:50" ht="10.199999999999999" customHeight="1" x14ac:dyDescent="0.25">
      <c r="A612" s="14">
        <v>49</v>
      </c>
      <c r="B612" s="103">
        <v>39786</v>
      </c>
      <c r="C612" s="103">
        <v>39779</v>
      </c>
      <c r="D612" s="14"/>
      <c r="E612" s="14">
        <v>0</v>
      </c>
      <c r="F612" s="48">
        <f t="shared" si="175"/>
        <v>0</v>
      </c>
      <c r="G612" s="14"/>
      <c r="H612" s="14"/>
      <c r="I612" s="14"/>
      <c r="J612" s="48"/>
      <c r="K612" s="14"/>
      <c r="L612" s="14"/>
      <c r="M612" s="14"/>
      <c r="N612" s="48"/>
      <c r="O612" s="14"/>
      <c r="P612" s="14"/>
      <c r="Q612" s="14"/>
      <c r="R612" s="48"/>
      <c r="S612" s="14"/>
      <c r="T612" s="14"/>
      <c r="U612" s="14"/>
      <c r="V612" s="48"/>
      <c r="W612" s="14"/>
      <c r="X612" s="14"/>
      <c r="Y612" s="14"/>
      <c r="Z612" s="48"/>
      <c r="AA612" s="14"/>
      <c r="AB612" s="14"/>
      <c r="AC612" s="14"/>
      <c r="AD612" s="48"/>
      <c r="AE612" s="14"/>
      <c r="AF612" s="14"/>
      <c r="AG612" s="14"/>
      <c r="AH612" s="48"/>
      <c r="AI612" s="14"/>
      <c r="AJ612" s="14"/>
      <c r="AK612" s="14"/>
      <c r="AL612" s="48"/>
      <c r="AM612" s="14"/>
      <c r="AN612" s="14"/>
      <c r="AO612" s="14"/>
      <c r="AP612" s="48"/>
      <c r="AQ612" s="14"/>
      <c r="AR612" s="14"/>
      <c r="AS612" s="14"/>
      <c r="AT612" s="48"/>
      <c r="AU612" s="14"/>
      <c r="AV612" s="14">
        <v>-150</v>
      </c>
      <c r="AW612" s="14">
        <v>-42</v>
      </c>
      <c r="AX612" s="48">
        <f t="shared" si="174"/>
        <v>-96</v>
      </c>
    </row>
    <row r="613" spans="1:50" ht="10.199999999999999" customHeight="1" x14ac:dyDescent="0.25">
      <c r="A613" s="14">
        <v>50</v>
      </c>
      <c r="B613" s="103">
        <v>39793</v>
      </c>
      <c r="C613" s="103">
        <v>39786</v>
      </c>
      <c r="D613" s="14">
        <v>-75</v>
      </c>
      <c r="E613" s="14">
        <v>-88</v>
      </c>
      <c r="F613" s="48">
        <f t="shared" si="175"/>
        <v>-81.5</v>
      </c>
      <c r="G613" s="14"/>
      <c r="H613" s="14"/>
      <c r="I613" s="14"/>
      <c r="J613" s="48"/>
      <c r="K613" s="14"/>
      <c r="L613" s="14"/>
      <c r="M613" s="14"/>
      <c r="N613" s="48"/>
      <c r="O613" s="14"/>
      <c r="P613" s="14"/>
      <c r="Q613" s="14"/>
      <c r="R613" s="48"/>
      <c r="S613" s="14"/>
      <c r="T613" s="14"/>
      <c r="U613" s="14"/>
      <c r="V613" s="48"/>
      <c r="W613" s="14"/>
      <c r="X613" s="14"/>
      <c r="Y613" s="14"/>
      <c r="Z613" s="48"/>
      <c r="AA613" s="14"/>
      <c r="AB613" s="14"/>
      <c r="AC613" s="14"/>
      <c r="AD613" s="48"/>
      <c r="AE613" s="14"/>
      <c r="AF613" s="14"/>
      <c r="AG613" s="14"/>
      <c r="AH613" s="48"/>
      <c r="AI613" s="14"/>
      <c r="AJ613" s="14"/>
      <c r="AK613" s="14"/>
      <c r="AL613" s="48"/>
      <c r="AM613" s="14"/>
      <c r="AN613" s="14"/>
      <c r="AO613" s="14"/>
      <c r="AP613" s="48"/>
      <c r="AQ613" s="14"/>
      <c r="AR613" s="14"/>
      <c r="AS613" s="14"/>
      <c r="AT613" s="48"/>
      <c r="AU613" s="14"/>
      <c r="AV613" s="14">
        <v>-150</v>
      </c>
      <c r="AW613" s="14">
        <v>-113</v>
      </c>
      <c r="AX613" s="48">
        <f t="shared" si="174"/>
        <v>-131.5</v>
      </c>
    </row>
    <row r="614" spans="1:50" ht="10.199999999999999" customHeight="1" x14ac:dyDescent="0.25">
      <c r="A614" s="14">
        <v>51</v>
      </c>
      <c r="B614" s="103">
        <v>39800</v>
      </c>
      <c r="C614" s="103">
        <v>39793</v>
      </c>
      <c r="D614" s="14">
        <v>-68</v>
      </c>
      <c r="E614" s="14">
        <v>-132</v>
      </c>
      <c r="F614" s="48">
        <f t="shared" si="175"/>
        <v>-100</v>
      </c>
      <c r="G614" s="14"/>
      <c r="H614" s="14"/>
      <c r="I614" s="14"/>
      <c r="J614" s="48"/>
      <c r="K614" s="14"/>
      <c r="L614" s="14"/>
      <c r="M614" s="14"/>
      <c r="N614" s="48"/>
      <c r="O614" s="14"/>
      <c r="P614" s="14"/>
      <c r="Q614" s="14"/>
      <c r="R614" s="48"/>
      <c r="S614" s="14"/>
      <c r="T614" s="14"/>
      <c r="U614" s="14"/>
      <c r="V614" s="48"/>
      <c r="W614" s="14"/>
      <c r="X614" s="14"/>
      <c r="Y614" s="14"/>
      <c r="Z614" s="48"/>
      <c r="AA614" s="14"/>
      <c r="AB614" s="14"/>
      <c r="AC614" s="14"/>
      <c r="AD614" s="48"/>
      <c r="AE614" s="14"/>
      <c r="AF614" s="14"/>
      <c r="AG614" s="14"/>
      <c r="AH614" s="48"/>
      <c r="AI614" s="14"/>
      <c r="AJ614" s="14"/>
      <c r="AK614" s="14"/>
      <c r="AL614" s="48"/>
      <c r="AM614" s="14"/>
      <c r="AN614" s="14"/>
      <c r="AO614" s="14"/>
      <c r="AP614" s="48"/>
      <c r="AQ614" s="14"/>
      <c r="AR614" s="14"/>
      <c r="AS614" s="14"/>
      <c r="AT614" s="48"/>
      <c r="AU614" s="14"/>
      <c r="AV614" s="14">
        <v>-153</v>
      </c>
      <c r="AW614" s="14"/>
      <c r="AX614" s="48">
        <f t="shared" si="174"/>
        <v>-153</v>
      </c>
    </row>
    <row r="615" spans="1:50" ht="10.199999999999999" customHeight="1" x14ac:dyDescent="0.25">
      <c r="A615" s="14">
        <v>52</v>
      </c>
      <c r="B615" s="103">
        <v>39807</v>
      </c>
      <c r="C615" s="103">
        <v>39800</v>
      </c>
      <c r="D615" s="14">
        <v>-24</v>
      </c>
      <c r="E615" s="14">
        <v>-100</v>
      </c>
      <c r="F615" s="48">
        <f t="shared" si="175"/>
        <v>-62</v>
      </c>
      <c r="G615" s="14"/>
      <c r="H615" s="14"/>
      <c r="I615" s="14"/>
      <c r="J615" s="48"/>
      <c r="K615" s="14"/>
      <c r="L615" s="14"/>
      <c r="M615" s="14"/>
      <c r="N615" s="48"/>
      <c r="O615" s="14"/>
      <c r="P615" s="14"/>
      <c r="Q615" s="14"/>
      <c r="R615" s="48"/>
      <c r="S615" s="14"/>
      <c r="T615" s="14"/>
      <c r="U615" s="14"/>
      <c r="V615" s="48"/>
      <c r="W615" s="14"/>
      <c r="X615" s="14"/>
      <c r="Y615" s="14"/>
      <c r="Z615" s="48"/>
      <c r="AA615" s="14"/>
      <c r="AB615" s="14"/>
      <c r="AC615" s="14"/>
      <c r="AD615" s="48"/>
      <c r="AE615" s="14"/>
      <c r="AF615" s="14"/>
      <c r="AG615" s="14"/>
      <c r="AH615" s="48"/>
      <c r="AI615" s="14"/>
      <c r="AJ615" s="14"/>
      <c r="AK615" s="14"/>
      <c r="AL615" s="48"/>
      <c r="AM615" s="14"/>
      <c r="AN615" s="14"/>
      <c r="AO615" s="14"/>
      <c r="AP615" s="48"/>
      <c r="AQ615" s="14"/>
      <c r="AR615" s="14"/>
      <c r="AS615" s="14"/>
      <c r="AT615" s="48"/>
      <c r="AU615" s="14"/>
      <c r="AV615" s="14"/>
      <c r="AW615" s="14"/>
      <c r="AX615" s="49"/>
    </row>
    <row r="616" spans="1:50" ht="10.199999999999999" customHeight="1" x14ac:dyDescent="0.25">
      <c r="A616" s="14">
        <v>53</v>
      </c>
      <c r="B616" s="103">
        <v>39814</v>
      </c>
      <c r="C616" s="103">
        <v>39807</v>
      </c>
      <c r="D616" s="14">
        <v>-29</v>
      </c>
      <c r="E616" s="14">
        <v>-96</v>
      </c>
      <c r="F616" s="48">
        <f t="shared" si="175"/>
        <v>-62.5</v>
      </c>
      <c r="G616" s="14"/>
      <c r="H616" s="14">
        <v>-43</v>
      </c>
      <c r="I616" s="14"/>
      <c r="J616" s="48">
        <f t="shared" ref="J616:J623" si="176">AVERAGE(H616:I616)</f>
        <v>-43</v>
      </c>
      <c r="K616" s="14"/>
      <c r="L616" s="14"/>
      <c r="M616" s="14"/>
      <c r="N616" s="48"/>
      <c r="O616" s="14"/>
      <c r="P616" s="14"/>
      <c r="Q616" s="14"/>
      <c r="R616" s="48"/>
      <c r="S616" s="14"/>
      <c r="T616" s="14"/>
      <c r="U616" s="14"/>
      <c r="V616" s="48"/>
      <c r="W616" s="14"/>
      <c r="X616" s="14"/>
      <c r="Y616" s="14"/>
      <c r="Z616" s="48"/>
      <c r="AA616" s="14"/>
      <c r="AB616" s="14"/>
      <c r="AC616" s="14"/>
      <c r="AD616" s="48"/>
      <c r="AE616" s="14"/>
      <c r="AF616" s="14"/>
      <c r="AG616" s="14"/>
      <c r="AH616" s="48"/>
      <c r="AI616" s="14"/>
      <c r="AJ616" s="14"/>
      <c r="AK616" s="14"/>
      <c r="AL616" s="48"/>
      <c r="AM616" s="14"/>
      <c r="AN616" s="14"/>
      <c r="AO616" s="14"/>
      <c r="AP616" s="48"/>
      <c r="AQ616" s="14"/>
      <c r="AR616" s="14"/>
      <c r="AS616" s="14"/>
      <c r="AT616" s="48"/>
      <c r="AU616" s="14"/>
      <c r="AV616" s="14"/>
      <c r="AW616" s="14"/>
      <c r="AX616" s="49"/>
    </row>
    <row r="617" spans="1:50" ht="10.199999999999999" customHeight="1" x14ac:dyDescent="0.25">
      <c r="A617" s="14">
        <v>1</v>
      </c>
      <c r="B617" s="103">
        <v>39821</v>
      </c>
      <c r="C617" s="103">
        <v>39814</v>
      </c>
      <c r="D617" s="14">
        <v>-42</v>
      </c>
      <c r="E617" s="14">
        <v>-125</v>
      </c>
      <c r="F617" s="48">
        <f t="shared" si="175"/>
        <v>-83.5</v>
      </c>
      <c r="G617" s="14"/>
      <c r="H617" s="14">
        <v>-43</v>
      </c>
      <c r="I617" s="14">
        <v>-25</v>
      </c>
      <c r="J617" s="48">
        <f t="shared" si="176"/>
        <v>-34</v>
      </c>
      <c r="K617" s="14"/>
      <c r="L617" s="14"/>
      <c r="M617" s="14"/>
      <c r="N617" s="48"/>
      <c r="O617" s="14"/>
      <c r="P617" s="14"/>
      <c r="Q617" s="14"/>
      <c r="R617" s="48"/>
      <c r="S617" s="14"/>
      <c r="T617" s="14"/>
      <c r="U617" s="14"/>
      <c r="V617" s="48"/>
      <c r="W617" s="14"/>
      <c r="X617" s="14"/>
      <c r="Y617" s="14"/>
      <c r="Z617" s="48"/>
      <c r="AA617" s="14"/>
      <c r="AB617" s="14"/>
      <c r="AC617" s="14"/>
      <c r="AD617" s="48"/>
      <c r="AE617" s="14"/>
      <c r="AF617" s="14"/>
      <c r="AG617" s="14"/>
      <c r="AH617" s="48"/>
      <c r="AI617" s="14"/>
      <c r="AJ617" s="14"/>
      <c r="AK617" s="14"/>
      <c r="AL617" s="48"/>
      <c r="AM617" s="14"/>
      <c r="AN617" s="14"/>
      <c r="AO617" s="14"/>
      <c r="AP617" s="48"/>
      <c r="AQ617" s="14"/>
      <c r="AR617" s="14"/>
      <c r="AS617" s="14"/>
      <c r="AT617" s="48"/>
      <c r="AU617" s="14"/>
      <c r="AV617" s="14"/>
      <c r="AW617" s="14"/>
      <c r="AX617" s="49"/>
    </row>
    <row r="618" spans="1:50" ht="10.199999999999999" customHeight="1" x14ac:dyDescent="0.25">
      <c r="A618" s="14">
        <v>2</v>
      </c>
      <c r="B618" s="103">
        <v>39828</v>
      </c>
      <c r="C618" s="103">
        <v>39821</v>
      </c>
      <c r="D618" s="14">
        <v>-42</v>
      </c>
      <c r="E618" s="14">
        <v>-25</v>
      </c>
      <c r="F618" s="48">
        <f t="shared" si="175"/>
        <v>-33.5</v>
      </c>
      <c r="G618" s="14"/>
      <c r="H618" s="14">
        <v>-17</v>
      </c>
      <c r="I618" s="14">
        <v>-42</v>
      </c>
      <c r="J618" s="48">
        <f t="shared" si="176"/>
        <v>-29.5</v>
      </c>
      <c r="K618" s="14"/>
      <c r="L618" s="14">
        <v>0</v>
      </c>
      <c r="M618" s="14">
        <v>-75</v>
      </c>
      <c r="N618" s="48">
        <f t="shared" ref="N618:N627" si="177">AVERAGE(L618:M618)</f>
        <v>-37.5</v>
      </c>
      <c r="O618" s="14"/>
      <c r="P618" s="14"/>
      <c r="Q618" s="14"/>
      <c r="R618" s="48"/>
      <c r="S618" s="14"/>
      <c r="T618" s="14"/>
      <c r="U618" s="14"/>
      <c r="V618" s="48"/>
      <c r="W618" s="14"/>
      <c r="X618" s="14"/>
      <c r="Y618" s="14"/>
      <c r="Z618" s="48"/>
      <c r="AA618" s="14"/>
      <c r="AB618" s="14"/>
      <c r="AC618" s="14"/>
      <c r="AD618" s="48"/>
      <c r="AE618" s="14"/>
      <c r="AF618" s="14"/>
      <c r="AG618" s="14"/>
      <c r="AH618" s="48"/>
      <c r="AI618" s="14"/>
      <c r="AJ618" s="14"/>
      <c r="AK618" s="14"/>
      <c r="AL618" s="48"/>
      <c r="AM618" s="14"/>
      <c r="AN618" s="14"/>
      <c r="AO618" s="14"/>
      <c r="AP618" s="48"/>
      <c r="AQ618" s="14"/>
      <c r="AR618" s="14"/>
      <c r="AS618" s="14"/>
      <c r="AT618" s="48"/>
      <c r="AU618" s="14"/>
      <c r="AV618" s="14"/>
      <c r="AW618" s="14"/>
      <c r="AX618" s="49"/>
    </row>
    <row r="619" spans="1:50" ht="10.199999999999999" customHeight="1" x14ac:dyDescent="0.25">
      <c r="A619" s="14">
        <v>3</v>
      </c>
      <c r="B619" s="103">
        <v>39835</v>
      </c>
      <c r="C619" s="103">
        <v>39828</v>
      </c>
      <c r="D619" s="14">
        <v>-50</v>
      </c>
      <c r="E619" s="14"/>
      <c r="F619" s="48">
        <f t="shared" si="175"/>
        <v>-50</v>
      </c>
      <c r="G619" s="14"/>
      <c r="H619" s="14">
        <v>-20</v>
      </c>
      <c r="I619" s="14">
        <v>-72</v>
      </c>
      <c r="J619" s="48">
        <f t="shared" si="176"/>
        <v>-46</v>
      </c>
      <c r="K619" s="14"/>
      <c r="L619" s="14">
        <v>0</v>
      </c>
      <c r="M619" s="14">
        <v>-92</v>
      </c>
      <c r="N619" s="48">
        <f t="shared" si="177"/>
        <v>-46</v>
      </c>
      <c r="O619" s="14"/>
      <c r="P619" s="14"/>
      <c r="Q619" s="14"/>
      <c r="R619" s="48"/>
      <c r="S619" s="14"/>
      <c r="T619" s="14"/>
      <c r="U619" s="14"/>
      <c r="V619" s="48"/>
      <c r="W619" s="14"/>
      <c r="X619" s="14"/>
      <c r="Y619" s="14"/>
      <c r="Z619" s="48"/>
      <c r="AA619" s="14"/>
      <c r="AB619" s="14"/>
      <c r="AC619" s="14"/>
      <c r="AD619" s="48"/>
      <c r="AE619" s="14"/>
      <c r="AF619" s="14"/>
      <c r="AG619" s="14"/>
      <c r="AH619" s="48"/>
      <c r="AI619" s="14"/>
      <c r="AJ619" s="14"/>
      <c r="AK619" s="14"/>
      <c r="AL619" s="48"/>
      <c r="AM619" s="14"/>
      <c r="AN619" s="14"/>
      <c r="AO619" s="14"/>
      <c r="AP619" s="48"/>
      <c r="AQ619" s="14"/>
      <c r="AR619" s="14"/>
      <c r="AS619" s="14"/>
      <c r="AT619" s="48"/>
      <c r="AU619" s="14"/>
      <c r="AV619" s="14"/>
      <c r="AW619" s="14"/>
      <c r="AX619" s="49"/>
    </row>
    <row r="620" spans="1:50" ht="10.199999999999999" customHeight="1" x14ac:dyDescent="0.25">
      <c r="A620" s="14">
        <v>4</v>
      </c>
      <c r="B620" s="103">
        <v>39842</v>
      </c>
      <c r="C620" s="103">
        <v>39835</v>
      </c>
      <c r="D620" s="14"/>
      <c r="E620" s="14"/>
      <c r="F620" s="48"/>
      <c r="G620" s="14"/>
      <c r="H620" s="14">
        <v>-35</v>
      </c>
      <c r="I620" s="14">
        <v>-52</v>
      </c>
      <c r="J620" s="48">
        <f t="shared" si="176"/>
        <v>-43.5</v>
      </c>
      <c r="K620" s="14"/>
      <c r="L620" s="14">
        <v>-20</v>
      </c>
      <c r="M620" s="14">
        <v>-83</v>
      </c>
      <c r="N620" s="48">
        <f t="shared" si="177"/>
        <v>-51.5</v>
      </c>
      <c r="O620" s="14"/>
      <c r="P620" s="14"/>
      <c r="Q620" s="14"/>
      <c r="R620" s="48"/>
      <c r="S620" s="14"/>
      <c r="T620" s="14"/>
      <c r="U620" s="14"/>
      <c r="V620" s="48"/>
      <c r="W620" s="14"/>
      <c r="X620" s="14"/>
      <c r="Y620" s="14"/>
      <c r="Z620" s="48"/>
      <c r="AA620" s="14"/>
      <c r="AB620" s="14"/>
      <c r="AC620" s="14"/>
      <c r="AD620" s="48"/>
      <c r="AE620" s="14"/>
      <c r="AF620" s="14"/>
      <c r="AG620" s="14"/>
      <c r="AH620" s="48"/>
      <c r="AI620" s="14"/>
      <c r="AJ620" s="14"/>
      <c r="AK620" s="14"/>
      <c r="AL620" s="48"/>
      <c r="AM620" s="14"/>
      <c r="AN620" s="14"/>
      <c r="AO620" s="14"/>
      <c r="AP620" s="48"/>
      <c r="AQ620" s="14"/>
      <c r="AR620" s="14"/>
      <c r="AS620" s="14"/>
      <c r="AT620" s="48"/>
      <c r="AU620" s="14"/>
      <c r="AV620" s="14"/>
      <c r="AW620" s="14"/>
      <c r="AX620" s="49"/>
    </row>
    <row r="621" spans="1:50" ht="10.199999999999999" customHeight="1" x14ac:dyDescent="0.25">
      <c r="A621" s="14">
        <v>5</v>
      </c>
      <c r="B621" s="103">
        <v>39849</v>
      </c>
      <c r="C621" s="103">
        <v>39842</v>
      </c>
      <c r="D621" s="14"/>
      <c r="E621" s="14"/>
      <c r="F621" s="48"/>
      <c r="G621" s="14"/>
      <c r="H621" s="14">
        <v>-11</v>
      </c>
      <c r="I621" s="14">
        <v>-63</v>
      </c>
      <c r="J621" s="48">
        <f t="shared" si="176"/>
        <v>-37</v>
      </c>
      <c r="K621" s="14"/>
      <c r="L621" s="14">
        <v>-9</v>
      </c>
      <c r="M621" s="14">
        <v>-56</v>
      </c>
      <c r="N621" s="48">
        <f t="shared" si="177"/>
        <v>-32.5</v>
      </c>
      <c r="O621" s="14"/>
      <c r="P621" s="14"/>
      <c r="Q621" s="14">
        <v>0</v>
      </c>
      <c r="R621" s="48">
        <f t="shared" ref="R621:R631" si="178">AVERAGE(P621:Q621)</f>
        <v>0</v>
      </c>
      <c r="S621" s="14"/>
      <c r="T621" s="14"/>
      <c r="U621" s="14"/>
      <c r="V621" s="48"/>
      <c r="W621" s="14"/>
      <c r="X621" s="14"/>
      <c r="Y621" s="14"/>
      <c r="Z621" s="48"/>
      <c r="AA621" s="14"/>
      <c r="AB621" s="14"/>
      <c r="AC621" s="14"/>
      <c r="AD621" s="48"/>
      <c r="AE621" s="14"/>
      <c r="AF621" s="14"/>
      <c r="AG621" s="14"/>
      <c r="AH621" s="48"/>
      <c r="AI621" s="14"/>
      <c r="AJ621" s="14"/>
      <c r="AK621" s="14"/>
      <c r="AL621" s="48"/>
      <c r="AM621" s="14"/>
      <c r="AN621" s="14"/>
      <c r="AO621" s="14"/>
      <c r="AP621" s="48"/>
      <c r="AQ621" s="14"/>
      <c r="AR621" s="14"/>
      <c r="AS621" s="14"/>
      <c r="AT621" s="48"/>
      <c r="AU621" s="14"/>
      <c r="AV621" s="14"/>
      <c r="AW621" s="14"/>
      <c r="AX621" s="49"/>
    </row>
    <row r="622" spans="1:50" ht="10.199999999999999" customHeight="1" x14ac:dyDescent="0.25">
      <c r="A622" s="14">
        <v>6</v>
      </c>
      <c r="B622" s="103">
        <v>39856</v>
      </c>
      <c r="C622" s="103">
        <v>39849</v>
      </c>
      <c r="D622" s="14"/>
      <c r="E622" s="14"/>
      <c r="F622" s="48"/>
      <c r="G622" s="14"/>
      <c r="H622" s="14">
        <v>0</v>
      </c>
      <c r="I622" s="14">
        <v>-58</v>
      </c>
      <c r="J622" s="48">
        <f t="shared" si="176"/>
        <v>-29</v>
      </c>
      <c r="K622" s="14"/>
      <c r="L622" s="14">
        <v>-10</v>
      </c>
      <c r="M622" s="14">
        <v>-44</v>
      </c>
      <c r="N622" s="48">
        <f t="shared" si="177"/>
        <v>-27</v>
      </c>
      <c r="O622" s="14"/>
      <c r="P622" s="14"/>
      <c r="Q622" s="14">
        <v>0</v>
      </c>
      <c r="R622" s="48">
        <f t="shared" si="178"/>
        <v>0</v>
      </c>
      <c r="S622" s="14"/>
      <c r="T622" s="14"/>
      <c r="U622" s="14"/>
      <c r="V622" s="48"/>
      <c r="W622" s="14"/>
      <c r="X622" s="14"/>
      <c r="Y622" s="14"/>
      <c r="Z622" s="48"/>
      <c r="AA622" s="14"/>
      <c r="AB622" s="14"/>
      <c r="AC622" s="14"/>
      <c r="AD622" s="48"/>
      <c r="AE622" s="14"/>
      <c r="AF622" s="14"/>
      <c r="AG622" s="14"/>
      <c r="AH622" s="48"/>
      <c r="AI622" s="14"/>
      <c r="AJ622" s="14"/>
      <c r="AK622" s="14"/>
      <c r="AL622" s="48"/>
      <c r="AM622" s="14"/>
      <c r="AN622" s="14"/>
      <c r="AO622" s="14"/>
      <c r="AP622" s="48"/>
      <c r="AQ622" s="14"/>
      <c r="AR622" s="14"/>
      <c r="AS622" s="14"/>
      <c r="AT622" s="48"/>
      <c r="AU622" s="14"/>
      <c r="AV622" s="14"/>
      <c r="AW622" s="14"/>
      <c r="AX622" s="49"/>
    </row>
    <row r="623" spans="1:50" ht="10.199999999999999" customHeight="1" x14ac:dyDescent="0.25">
      <c r="A623" s="14">
        <v>7</v>
      </c>
      <c r="B623" s="103">
        <v>39863</v>
      </c>
      <c r="C623" s="103">
        <v>39856</v>
      </c>
      <c r="D623" s="14"/>
      <c r="E623" s="14"/>
      <c r="F623" s="48"/>
      <c r="G623" s="14"/>
      <c r="H623" s="14">
        <v>-25</v>
      </c>
      <c r="I623" s="14"/>
      <c r="J623" s="48">
        <f t="shared" si="176"/>
        <v>-25</v>
      </c>
      <c r="K623" s="14"/>
      <c r="L623" s="14">
        <v>-8</v>
      </c>
      <c r="M623" s="14">
        <v>-33</v>
      </c>
      <c r="N623" s="48">
        <f t="shared" si="177"/>
        <v>-20.5</v>
      </c>
      <c r="O623" s="14"/>
      <c r="P623" s="14"/>
      <c r="Q623" s="14">
        <v>0</v>
      </c>
      <c r="R623" s="48">
        <f t="shared" si="178"/>
        <v>0</v>
      </c>
      <c r="S623" s="14"/>
      <c r="T623" s="14"/>
      <c r="U623" s="14">
        <v>0</v>
      </c>
      <c r="V623" s="48">
        <f t="shared" ref="V623:V636" si="179">AVERAGE(T623:U623)</f>
        <v>0</v>
      </c>
      <c r="W623" s="14"/>
      <c r="X623" s="14"/>
      <c r="Y623" s="14"/>
      <c r="Z623" s="48"/>
      <c r="AA623" s="14"/>
      <c r="AB623" s="14"/>
      <c r="AC623" s="14"/>
      <c r="AD623" s="48"/>
      <c r="AE623" s="14"/>
      <c r="AF623" s="14"/>
      <c r="AG623" s="14"/>
      <c r="AH623" s="48"/>
      <c r="AI623" s="14"/>
      <c r="AJ623" s="14"/>
      <c r="AK623" s="14"/>
      <c r="AL623" s="48"/>
      <c r="AM623" s="14"/>
      <c r="AN623" s="14"/>
      <c r="AO623" s="14"/>
      <c r="AP623" s="48"/>
      <c r="AQ623" s="14"/>
      <c r="AR623" s="14"/>
      <c r="AS623" s="14"/>
      <c r="AT623" s="48"/>
      <c r="AU623" s="14"/>
      <c r="AV623" s="14"/>
      <c r="AW623" s="14"/>
      <c r="AX623" s="49"/>
    </row>
    <row r="624" spans="1:50" ht="10.199999999999999" customHeight="1" x14ac:dyDescent="0.25">
      <c r="A624" s="14">
        <v>8</v>
      </c>
      <c r="B624" s="103">
        <v>39870</v>
      </c>
      <c r="C624" s="103">
        <v>39863</v>
      </c>
      <c r="D624" s="14"/>
      <c r="E624" s="14"/>
      <c r="F624" s="48"/>
      <c r="G624" s="14"/>
      <c r="H624" s="14"/>
      <c r="I624" s="14"/>
      <c r="J624" s="48"/>
      <c r="K624" s="14"/>
      <c r="L624" s="14">
        <v>-8</v>
      </c>
      <c r="M624" s="14">
        <v>-44</v>
      </c>
      <c r="N624" s="48">
        <f t="shared" si="177"/>
        <v>-26</v>
      </c>
      <c r="O624" s="14"/>
      <c r="P624" s="14">
        <v>0</v>
      </c>
      <c r="Q624" s="14">
        <v>-13</v>
      </c>
      <c r="R624" s="48">
        <f t="shared" si="178"/>
        <v>-6.5</v>
      </c>
      <c r="S624" s="14"/>
      <c r="T624" s="14">
        <v>0</v>
      </c>
      <c r="U624" s="14">
        <v>-25</v>
      </c>
      <c r="V624" s="48">
        <f t="shared" si="179"/>
        <v>-12.5</v>
      </c>
      <c r="W624" s="14"/>
      <c r="X624" s="14"/>
      <c r="Y624" s="14"/>
      <c r="Z624" s="48"/>
      <c r="AA624" s="14"/>
      <c r="AB624" s="14"/>
      <c r="AC624" s="14"/>
      <c r="AD624" s="48"/>
      <c r="AE624" s="14"/>
      <c r="AF624" s="14"/>
      <c r="AG624" s="14"/>
      <c r="AH624" s="48"/>
      <c r="AI624" s="14"/>
      <c r="AJ624" s="14"/>
      <c r="AK624" s="14"/>
      <c r="AL624" s="48"/>
      <c r="AM624" s="14"/>
      <c r="AN624" s="14"/>
      <c r="AO624" s="14"/>
      <c r="AP624" s="48"/>
      <c r="AQ624" s="14"/>
      <c r="AR624" s="14"/>
      <c r="AS624" s="14"/>
      <c r="AT624" s="48"/>
      <c r="AU624" s="14"/>
      <c r="AV624" s="14"/>
      <c r="AW624" s="14"/>
      <c r="AX624" s="49"/>
    </row>
    <row r="625" spans="1:50" ht="10.199999999999999" customHeight="1" x14ac:dyDescent="0.25">
      <c r="A625" s="14">
        <v>9</v>
      </c>
      <c r="B625" s="103">
        <v>39877</v>
      </c>
      <c r="C625" s="103">
        <v>39870</v>
      </c>
      <c r="D625" s="14"/>
      <c r="E625" s="14"/>
      <c r="F625" s="48"/>
      <c r="G625" s="14"/>
      <c r="H625" s="14"/>
      <c r="I625" s="14"/>
      <c r="J625" s="48"/>
      <c r="K625" s="14"/>
      <c r="L625" s="14">
        <v>-7</v>
      </c>
      <c r="M625" s="14">
        <v>-25</v>
      </c>
      <c r="N625" s="48">
        <f t="shared" si="177"/>
        <v>-16</v>
      </c>
      <c r="O625" s="14"/>
      <c r="P625" s="14">
        <v>0</v>
      </c>
      <c r="Q625" s="14">
        <v>-33</v>
      </c>
      <c r="R625" s="48">
        <f t="shared" si="178"/>
        <v>-16.5</v>
      </c>
      <c r="S625" s="14"/>
      <c r="T625" s="14">
        <v>0</v>
      </c>
      <c r="U625" s="14">
        <v>0</v>
      </c>
      <c r="V625" s="48">
        <f t="shared" si="179"/>
        <v>0</v>
      </c>
      <c r="W625" s="14"/>
      <c r="X625" s="14"/>
      <c r="Y625" s="14"/>
      <c r="Z625" s="48"/>
      <c r="AA625" s="14"/>
      <c r="AB625" s="14"/>
      <c r="AC625" s="14"/>
      <c r="AD625" s="48"/>
      <c r="AE625" s="14"/>
      <c r="AF625" s="14"/>
      <c r="AG625" s="14"/>
      <c r="AH625" s="48"/>
      <c r="AI625" s="14"/>
      <c r="AJ625" s="14"/>
      <c r="AK625" s="14"/>
      <c r="AL625" s="48"/>
      <c r="AM625" s="14"/>
      <c r="AN625" s="14"/>
      <c r="AO625" s="14"/>
      <c r="AP625" s="48"/>
      <c r="AQ625" s="14"/>
      <c r="AR625" s="14"/>
      <c r="AS625" s="14"/>
      <c r="AT625" s="48"/>
      <c r="AU625" s="14"/>
      <c r="AV625" s="14"/>
      <c r="AW625" s="14"/>
      <c r="AX625" s="49"/>
    </row>
    <row r="626" spans="1:50" ht="10.199999999999999" customHeight="1" x14ac:dyDescent="0.25">
      <c r="A626" s="14">
        <v>10</v>
      </c>
      <c r="B626" s="103">
        <v>39884</v>
      </c>
      <c r="C626" s="103">
        <v>39877</v>
      </c>
      <c r="D626" s="14"/>
      <c r="E626" s="14"/>
      <c r="F626" s="48"/>
      <c r="G626" s="14"/>
      <c r="H626" s="14"/>
      <c r="I626" s="14"/>
      <c r="J626" s="48"/>
      <c r="K626" s="14"/>
      <c r="L626" s="14">
        <v>-3</v>
      </c>
      <c r="M626" s="14">
        <v>-25</v>
      </c>
      <c r="N626" s="48">
        <f t="shared" si="177"/>
        <v>-14</v>
      </c>
      <c r="O626" s="14"/>
      <c r="P626" s="14">
        <v>0</v>
      </c>
      <c r="Q626" s="14">
        <v>-43</v>
      </c>
      <c r="R626" s="48">
        <f t="shared" si="178"/>
        <v>-21.5</v>
      </c>
      <c r="S626" s="14"/>
      <c r="T626" s="14">
        <v>0</v>
      </c>
      <c r="U626" s="14">
        <v>-25</v>
      </c>
      <c r="V626" s="48">
        <f t="shared" si="179"/>
        <v>-12.5</v>
      </c>
      <c r="W626" s="14"/>
      <c r="X626" s="14"/>
      <c r="Y626" s="14"/>
      <c r="Z626" s="48"/>
      <c r="AA626" s="14"/>
      <c r="AB626" s="14"/>
      <c r="AC626" s="14"/>
      <c r="AD626" s="48"/>
      <c r="AE626" s="14"/>
      <c r="AF626" s="14"/>
      <c r="AG626" s="14"/>
      <c r="AH626" s="48"/>
      <c r="AI626" s="14"/>
      <c r="AJ626" s="14"/>
      <c r="AK626" s="14"/>
      <c r="AL626" s="48"/>
      <c r="AM626" s="14"/>
      <c r="AN626" s="14"/>
      <c r="AO626" s="14"/>
      <c r="AP626" s="48"/>
      <c r="AQ626" s="14"/>
      <c r="AR626" s="14"/>
      <c r="AS626" s="14"/>
      <c r="AT626" s="48"/>
      <c r="AU626" s="14"/>
      <c r="AV626" s="14"/>
      <c r="AW626" s="14"/>
      <c r="AX626" s="49"/>
    </row>
    <row r="627" spans="1:50" ht="10.199999999999999" customHeight="1" x14ac:dyDescent="0.25">
      <c r="A627" s="14">
        <v>11</v>
      </c>
      <c r="B627" s="103">
        <v>39891</v>
      </c>
      <c r="C627" s="103">
        <v>39884</v>
      </c>
      <c r="D627" s="14"/>
      <c r="E627" s="14"/>
      <c r="F627" s="48"/>
      <c r="G627" s="14"/>
      <c r="H627" s="14"/>
      <c r="I627" s="14"/>
      <c r="J627" s="48"/>
      <c r="K627" s="14"/>
      <c r="L627" s="14"/>
      <c r="M627" s="14">
        <v>0</v>
      </c>
      <c r="N627" s="48">
        <f t="shared" si="177"/>
        <v>0</v>
      </c>
      <c r="O627" s="14"/>
      <c r="P627" s="14">
        <v>-10</v>
      </c>
      <c r="Q627" s="14">
        <v>-24</v>
      </c>
      <c r="R627" s="48">
        <f t="shared" si="178"/>
        <v>-17</v>
      </c>
      <c r="S627" s="14"/>
      <c r="T627" s="14">
        <v>0</v>
      </c>
      <c r="U627" s="14">
        <v>-25</v>
      </c>
      <c r="V627" s="48">
        <f t="shared" si="179"/>
        <v>-12.5</v>
      </c>
      <c r="W627" s="14"/>
      <c r="X627" s="14"/>
      <c r="Y627" s="14"/>
      <c r="Z627" s="48"/>
      <c r="AA627" s="14"/>
      <c r="AB627" s="14"/>
      <c r="AC627" s="14"/>
      <c r="AD627" s="48"/>
      <c r="AE627" s="14"/>
      <c r="AF627" s="14"/>
      <c r="AG627" s="14"/>
      <c r="AH627" s="48"/>
      <c r="AI627" s="14"/>
      <c r="AJ627" s="14"/>
      <c r="AK627" s="14"/>
      <c r="AL627" s="48"/>
      <c r="AM627" s="14"/>
      <c r="AN627" s="14"/>
      <c r="AO627" s="14"/>
      <c r="AP627" s="48"/>
      <c r="AQ627" s="14"/>
      <c r="AR627" s="14"/>
      <c r="AS627" s="14"/>
      <c r="AT627" s="48"/>
      <c r="AU627" s="14"/>
      <c r="AV627" s="14"/>
      <c r="AW627" s="14"/>
      <c r="AX627" s="49"/>
    </row>
    <row r="628" spans="1:50" ht="10.199999999999999" customHeight="1" x14ac:dyDescent="0.25">
      <c r="A628" s="14">
        <v>12</v>
      </c>
      <c r="B628" s="103">
        <v>39898</v>
      </c>
      <c r="C628" s="103">
        <v>39891</v>
      </c>
      <c r="D628" s="14"/>
      <c r="E628" s="14"/>
      <c r="F628" s="48"/>
      <c r="G628" s="14"/>
      <c r="H628" s="14"/>
      <c r="I628" s="14"/>
      <c r="J628" s="48"/>
      <c r="K628" s="14"/>
      <c r="L628" s="14"/>
      <c r="M628" s="14"/>
      <c r="N628" s="48"/>
      <c r="O628" s="14"/>
      <c r="P628" s="14">
        <v>-4</v>
      </c>
      <c r="Q628" s="14">
        <v>-38</v>
      </c>
      <c r="R628" s="48">
        <f t="shared" si="178"/>
        <v>-21</v>
      </c>
      <c r="S628" s="14"/>
      <c r="T628" s="14">
        <v>0</v>
      </c>
      <c r="U628" s="14">
        <v>-33</v>
      </c>
      <c r="V628" s="48">
        <f t="shared" si="179"/>
        <v>-16.5</v>
      </c>
      <c r="W628" s="14"/>
      <c r="X628" s="14">
        <v>25</v>
      </c>
      <c r="Y628" s="14"/>
      <c r="Z628" s="48">
        <f t="shared" ref="Z628:Z640" si="180">AVERAGE(X628:Y628)</f>
        <v>25</v>
      </c>
      <c r="AA628" s="14"/>
      <c r="AB628" s="14">
        <v>25</v>
      </c>
      <c r="AC628" s="14"/>
      <c r="AD628" s="48">
        <f t="shared" ref="AD628:AD644" si="181">AVERAGE(AB628:AC628)</f>
        <v>25</v>
      </c>
      <c r="AE628" s="14"/>
      <c r="AF628" s="14"/>
      <c r="AG628" s="14"/>
      <c r="AH628" s="48"/>
      <c r="AI628" s="14"/>
      <c r="AJ628" s="14"/>
      <c r="AK628" s="14"/>
      <c r="AL628" s="48"/>
      <c r="AM628" s="14"/>
      <c r="AN628" s="14"/>
      <c r="AO628" s="14"/>
      <c r="AP628" s="48"/>
      <c r="AQ628" s="14"/>
      <c r="AR628" s="14"/>
      <c r="AS628" s="14"/>
      <c r="AT628" s="48"/>
      <c r="AU628" s="14"/>
      <c r="AV628" s="14"/>
      <c r="AW628" s="14"/>
      <c r="AX628" s="49"/>
    </row>
    <row r="629" spans="1:50" ht="10.199999999999999" customHeight="1" x14ac:dyDescent="0.25">
      <c r="A629" s="14">
        <v>13</v>
      </c>
      <c r="B629" s="103">
        <v>39905</v>
      </c>
      <c r="C629" s="103">
        <v>39898</v>
      </c>
      <c r="D629" s="14"/>
      <c r="E629" s="14"/>
      <c r="F629" s="48"/>
      <c r="G629" s="14"/>
      <c r="H629" s="14"/>
      <c r="I629" s="14"/>
      <c r="J629" s="48"/>
      <c r="K629" s="14"/>
      <c r="L629" s="14"/>
      <c r="M629" s="14"/>
      <c r="N629" s="48"/>
      <c r="O629" s="14"/>
      <c r="P629" s="14">
        <v>-10</v>
      </c>
      <c r="Q629" s="14">
        <v>-33</v>
      </c>
      <c r="R629" s="48">
        <f t="shared" si="178"/>
        <v>-21.5</v>
      </c>
      <c r="S629" s="14"/>
      <c r="T629" s="14">
        <v>0</v>
      </c>
      <c r="U629" s="14">
        <v>-33</v>
      </c>
      <c r="V629" s="48">
        <f t="shared" si="179"/>
        <v>-16.5</v>
      </c>
      <c r="W629" s="14"/>
      <c r="X629" s="14">
        <v>25</v>
      </c>
      <c r="Y629" s="14"/>
      <c r="Z629" s="48">
        <f t="shared" si="180"/>
        <v>25</v>
      </c>
      <c r="AA629" s="14"/>
      <c r="AB629" s="14">
        <v>25</v>
      </c>
      <c r="AC629" s="14"/>
      <c r="AD629" s="48">
        <f t="shared" si="181"/>
        <v>25</v>
      </c>
      <c r="AE629" s="14"/>
      <c r="AF629" s="14"/>
      <c r="AG629" s="14"/>
      <c r="AH629" s="48"/>
      <c r="AI629" s="14"/>
      <c r="AJ629" s="14"/>
      <c r="AK629" s="14"/>
      <c r="AL629" s="48"/>
      <c r="AM629" s="14"/>
      <c r="AN629" s="14"/>
      <c r="AO629" s="14"/>
      <c r="AP629" s="48"/>
      <c r="AQ629" s="14"/>
      <c r="AR629" s="14"/>
      <c r="AS629" s="14"/>
      <c r="AT629" s="48"/>
      <c r="AU629" s="14"/>
      <c r="AV629" s="14"/>
      <c r="AW629" s="14"/>
      <c r="AX629" s="49"/>
    </row>
    <row r="630" spans="1:50" ht="10.199999999999999" customHeight="1" x14ac:dyDescent="0.25">
      <c r="A630" s="14">
        <v>14</v>
      </c>
      <c r="B630" s="103">
        <v>39912</v>
      </c>
      <c r="C630" s="103">
        <v>39905</v>
      </c>
      <c r="D630" s="14"/>
      <c r="E630" s="14"/>
      <c r="F630" s="48"/>
      <c r="G630" s="14"/>
      <c r="H630" s="14"/>
      <c r="I630" s="14"/>
      <c r="J630" s="48"/>
      <c r="K630" s="14"/>
      <c r="L630" s="14"/>
      <c r="M630" s="14"/>
      <c r="N630" s="48"/>
      <c r="O630" s="14"/>
      <c r="P630" s="14">
        <v>-3</v>
      </c>
      <c r="Q630" s="14">
        <v>-17</v>
      </c>
      <c r="R630" s="48">
        <f t="shared" si="178"/>
        <v>-10</v>
      </c>
      <c r="S630" s="14"/>
      <c r="T630" s="14">
        <v>-12</v>
      </c>
      <c r="U630" s="14">
        <v>-33</v>
      </c>
      <c r="V630" s="48">
        <f t="shared" si="179"/>
        <v>-22.5</v>
      </c>
      <c r="W630" s="14"/>
      <c r="X630" s="14">
        <v>25</v>
      </c>
      <c r="Y630" s="14"/>
      <c r="Z630" s="48">
        <f t="shared" si="180"/>
        <v>25</v>
      </c>
      <c r="AA630" s="14"/>
      <c r="AB630" s="14">
        <v>25</v>
      </c>
      <c r="AC630" s="14"/>
      <c r="AD630" s="48">
        <f t="shared" si="181"/>
        <v>25</v>
      </c>
      <c r="AE630" s="14"/>
      <c r="AF630" s="14"/>
      <c r="AG630" s="14"/>
      <c r="AH630" s="48"/>
      <c r="AI630" s="14"/>
      <c r="AJ630" s="14"/>
      <c r="AK630" s="14"/>
      <c r="AL630" s="48"/>
      <c r="AM630" s="14"/>
      <c r="AN630" s="14"/>
      <c r="AO630" s="14"/>
      <c r="AP630" s="48"/>
      <c r="AQ630" s="14"/>
      <c r="AR630" s="14"/>
      <c r="AS630" s="14"/>
      <c r="AT630" s="48"/>
      <c r="AU630" s="14"/>
      <c r="AV630" s="14"/>
      <c r="AW630" s="14"/>
      <c r="AX630" s="49"/>
    </row>
    <row r="631" spans="1:50" ht="10.199999999999999" customHeight="1" x14ac:dyDescent="0.25">
      <c r="A631" s="14">
        <v>15</v>
      </c>
      <c r="B631" s="103">
        <v>39919</v>
      </c>
      <c r="C631" s="103">
        <v>39912</v>
      </c>
      <c r="D631" s="14"/>
      <c r="E631" s="14"/>
      <c r="F631" s="48"/>
      <c r="G631" s="14"/>
      <c r="H631" s="14"/>
      <c r="I631" s="14"/>
      <c r="J631" s="48"/>
      <c r="K631" s="14"/>
      <c r="L631" s="14"/>
      <c r="M631" s="14"/>
      <c r="N631" s="48"/>
      <c r="O631" s="14"/>
      <c r="P631" s="14">
        <v>0</v>
      </c>
      <c r="Q631" s="14"/>
      <c r="R631" s="48">
        <f t="shared" si="178"/>
        <v>0</v>
      </c>
      <c r="S631" s="14"/>
      <c r="T631" s="14">
        <v>-11</v>
      </c>
      <c r="U631" s="14">
        <v>-17</v>
      </c>
      <c r="V631" s="48">
        <f t="shared" si="179"/>
        <v>-14</v>
      </c>
      <c r="W631" s="14"/>
      <c r="X631" s="14">
        <v>25</v>
      </c>
      <c r="Y631" s="14"/>
      <c r="Z631" s="48">
        <f t="shared" si="180"/>
        <v>25</v>
      </c>
      <c r="AA631" s="14"/>
      <c r="AB631" s="14">
        <v>25</v>
      </c>
      <c r="AC631" s="14"/>
      <c r="AD631" s="48">
        <f t="shared" si="181"/>
        <v>25</v>
      </c>
      <c r="AE631" s="14"/>
      <c r="AF631" s="14"/>
      <c r="AG631" s="14"/>
      <c r="AH631" s="48"/>
      <c r="AI631" s="14"/>
      <c r="AJ631" s="14"/>
      <c r="AK631" s="14"/>
      <c r="AL631" s="48"/>
      <c r="AM631" s="14"/>
      <c r="AN631" s="14"/>
      <c r="AO631" s="14"/>
      <c r="AP631" s="48"/>
      <c r="AQ631" s="14"/>
      <c r="AR631" s="14"/>
      <c r="AS631" s="14"/>
      <c r="AT631" s="48"/>
      <c r="AU631" s="14"/>
      <c r="AV631" s="14"/>
      <c r="AW631" s="14"/>
      <c r="AX631" s="49"/>
    </row>
    <row r="632" spans="1:50" ht="10.199999999999999" customHeight="1" x14ac:dyDescent="0.25">
      <c r="A632" s="14">
        <v>16</v>
      </c>
      <c r="B632" s="103">
        <v>39926</v>
      </c>
      <c r="C632" s="103">
        <v>39919</v>
      </c>
      <c r="D632" s="14"/>
      <c r="E632" s="14"/>
      <c r="F632" s="48"/>
      <c r="G632" s="14"/>
      <c r="H632" s="14"/>
      <c r="I632" s="14"/>
      <c r="J632" s="48"/>
      <c r="K632" s="14"/>
      <c r="L632" s="14"/>
      <c r="M632" s="14"/>
      <c r="N632" s="48"/>
      <c r="O632" s="14"/>
      <c r="P632" s="14"/>
      <c r="Q632" s="14"/>
      <c r="R632" s="48"/>
      <c r="S632" s="14"/>
      <c r="T632" s="14">
        <v>-22</v>
      </c>
      <c r="U632" s="14">
        <v>-22</v>
      </c>
      <c r="V632" s="48">
        <f t="shared" si="179"/>
        <v>-22</v>
      </c>
      <c r="W632" s="14"/>
      <c r="X632" s="14">
        <v>-8</v>
      </c>
      <c r="Y632" s="14">
        <v>-10</v>
      </c>
      <c r="Z632" s="48">
        <f t="shared" si="180"/>
        <v>-9</v>
      </c>
      <c r="AA632" s="14"/>
      <c r="AB632" s="14">
        <v>25</v>
      </c>
      <c r="AC632" s="14">
        <v>50</v>
      </c>
      <c r="AD632" s="48">
        <f t="shared" si="181"/>
        <v>37.5</v>
      </c>
      <c r="AE632" s="14"/>
      <c r="AF632" s="14"/>
      <c r="AG632" s="14"/>
      <c r="AH632" s="48"/>
      <c r="AI632" s="14"/>
      <c r="AJ632" s="14"/>
      <c r="AK632" s="14"/>
      <c r="AL632" s="48"/>
      <c r="AM632" s="14"/>
      <c r="AN632" s="14"/>
      <c r="AO632" s="14"/>
      <c r="AP632" s="48"/>
      <c r="AQ632" s="14"/>
      <c r="AR632" s="14"/>
      <c r="AS632" s="14"/>
      <c r="AT632" s="48"/>
      <c r="AU632" s="14"/>
      <c r="AV632" s="14"/>
      <c r="AW632" s="14"/>
      <c r="AX632" s="49"/>
    </row>
    <row r="633" spans="1:50" ht="10.199999999999999" customHeight="1" x14ac:dyDescent="0.25">
      <c r="A633" s="14">
        <v>17</v>
      </c>
      <c r="B633" s="103">
        <v>39933</v>
      </c>
      <c r="C633" s="103">
        <v>39926</v>
      </c>
      <c r="D633" s="14"/>
      <c r="E633" s="14"/>
      <c r="F633" s="48"/>
      <c r="G633" s="14"/>
      <c r="H633" s="14"/>
      <c r="I633" s="14"/>
      <c r="J633" s="48"/>
      <c r="K633" s="14"/>
      <c r="L633" s="14"/>
      <c r="M633" s="14"/>
      <c r="N633" s="48"/>
      <c r="O633" s="14"/>
      <c r="P633" s="14"/>
      <c r="Q633" s="14"/>
      <c r="R633" s="48"/>
      <c r="S633" s="14"/>
      <c r="T633" s="14">
        <v>-27</v>
      </c>
      <c r="U633" s="14">
        <v>-18</v>
      </c>
      <c r="V633" s="48">
        <f t="shared" si="179"/>
        <v>-22.5</v>
      </c>
      <c r="W633" s="14"/>
      <c r="X633" s="14">
        <v>-9</v>
      </c>
      <c r="Y633" s="14">
        <v>-10</v>
      </c>
      <c r="Z633" s="48">
        <f t="shared" si="180"/>
        <v>-9.5</v>
      </c>
      <c r="AA633" s="14"/>
      <c r="AB633" s="14">
        <v>25</v>
      </c>
      <c r="AC633" s="14">
        <v>50</v>
      </c>
      <c r="AD633" s="48">
        <f t="shared" si="181"/>
        <v>37.5</v>
      </c>
      <c r="AE633" s="14"/>
      <c r="AF633" s="14"/>
      <c r="AG633" s="14"/>
      <c r="AH633" s="48"/>
      <c r="AI633" s="14"/>
      <c r="AJ633" s="14"/>
      <c r="AK633" s="14"/>
      <c r="AL633" s="48"/>
      <c r="AM633" s="14"/>
      <c r="AN633" s="14"/>
      <c r="AO633" s="14"/>
      <c r="AP633" s="48"/>
      <c r="AQ633" s="14"/>
      <c r="AR633" s="14"/>
      <c r="AS633" s="14"/>
      <c r="AT633" s="48"/>
      <c r="AU633" s="14"/>
      <c r="AV633" s="14"/>
      <c r="AW633" s="14"/>
      <c r="AX633" s="49"/>
    </row>
    <row r="634" spans="1:50" ht="10.199999999999999" customHeight="1" x14ac:dyDescent="0.25">
      <c r="A634" s="14">
        <v>18</v>
      </c>
      <c r="B634" s="103">
        <v>39940</v>
      </c>
      <c r="C634" s="103">
        <v>39933</v>
      </c>
      <c r="D634" s="14"/>
      <c r="E634" s="14"/>
      <c r="F634" s="48"/>
      <c r="G634" s="14"/>
      <c r="H634" s="14"/>
      <c r="I634" s="14"/>
      <c r="J634" s="48"/>
      <c r="K634" s="14"/>
      <c r="L634" s="14"/>
      <c r="M634" s="14"/>
      <c r="N634" s="48"/>
      <c r="O634" s="14"/>
      <c r="P634" s="14"/>
      <c r="Q634" s="14"/>
      <c r="R634" s="48"/>
      <c r="S634" s="14"/>
      <c r="T634" s="14">
        <v>-48</v>
      </c>
      <c r="U634" s="14">
        <v>-38</v>
      </c>
      <c r="V634" s="48">
        <f t="shared" si="179"/>
        <v>-43</v>
      </c>
      <c r="W634" s="14"/>
      <c r="X634" s="14">
        <v>-18</v>
      </c>
      <c r="Y634" s="14">
        <v>-17</v>
      </c>
      <c r="Z634" s="48">
        <f t="shared" si="180"/>
        <v>-17.5</v>
      </c>
      <c r="AA634" s="14"/>
      <c r="AB634" s="14">
        <v>25</v>
      </c>
      <c r="AC634" s="14">
        <v>50</v>
      </c>
      <c r="AD634" s="48">
        <f t="shared" si="181"/>
        <v>37.5</v>
      </c>
      <c r="AE634" s="14"/>
      <c r="AF634" s="14"/>
      <c r="AG634" s="14"/>
      <c r="AH634" s="48"/>
      <c r="AI634" s="14"/>
      <c r="AJ634" s="14"/>
      <c r="AK634" s="14"/>
      <c r="AL634" s="48"/>
      <c r="AM634" s="14"/>
      <c r="AN634" s="14"/>
      <c r="AO634" s="14"/>
      <c r="AP634" s="48"/>
      <c r="AQ634" s="14"/>
      <c r="AR634" s="14"/>
      <c r="AS634" s="14"/>
      <c r="AT634" s="48"/>
      <c r="AU634" s="14"/>
      <c r="AV634" s="14"/>
      <c r="AW634" s="14"/>
      <c r="AX634" s="49"/>
    </row>
    <row r="635" spans="1:50" ht="10.199999999999999" customHeight="1" x14ac:dyDescent="0.25">
      <c r="A635" s="14">
        <v>19</v>
      </c>
      <c r="B635" s="103">
        <v>39947</v>
      </c>
      <c r="C635" s="103">
        <v>39940</v>
      </c>
      <c r="D635" s="14"/>
      <c r="E635" s="14"/>
      <c r="F635" s="48"/>
      <c r="G635" s="14"/>
      <c r="H635" s="14"/>
      <c r="I635" s="14"/>
      <c r="J635" s="48"/>
      <c r="K635" s="14"/>
      <c r="L635" s="14"/>
      <c r="M635" s="14"/>
      <c r="N635" s="48"/>
      <c r="O635" s="14"/>
      <c r="P635" s="14"/>
      <c r="Q635" s="14"/>
      <c r="R635" s="48"/>
      <c r="S635" s="14"/>
      <c r="T635" s="14">
        <v>-50</v>
      </c>
      <c r="U635" s="14">
        <v>-5</v>
      </c>
      <c r="V635" s="48">
        <f t="shared" si="179"/>
        <v>-27.5</v>
      </c>
      <c r="W635" s="14"/>
      <c r="X635" s="14">
        <v>-18</v>
      </c>
      <c r="Y635" s="14">
        <v>-8</v>
      </c>
      <c r="Z635" s="48">
        <f t="shared" si="180"/>
        <v>-13</v>
      </c>
      <c r="AA635" s="14"/>
      <c r="AB635" s="14">
        <v>25</v>
      </c>
      <c r="AC635" s="14">
        <v>50</v>
      </c>
      <c r="AD635" s="48">
        <f t="shared" si="181"/>
        <v>37.5</v>
      </c>
      <c r="AE635" s="14"/>
      <c r="AF635" s="14"/>
      <c r="AG635" s="14"/>
      <c r="AH635" s="48"/>
      <c r="AI635" s="14"/>
      <c r="AJ635" s="14"/>
      <c r="AK635" s="14"/>
      <c r="AL635" s="48"/>
      <c r="AM635" s="14"/>
      <c r="AN635" s="14"/>
      <c r="AO635" s="14"/>
      <c r="AP635" s="48"/>
      <c r="AQ635" s="14"/>
      <c r="AR635" s="14"/>
      <c r="AS635" s="14"/>
      <c r="AT635" s="48"/>
      <c r="AU635" s="14"/>
      <c r="AV635" s="14"/>
      <c r="AW635" s="14"/>
      <c r="AX635" s="49"/>
    </row>
    <row r="636" spans="1:50" ht="10.199999999999999" customHeight="1" x14ac:dyDescent="0.25">
      <c r="A636" s="14">
        <v>20</v>
      </c>
      <c r="B636" s="103">
        <v>39954</v>
      </c>
      <c r="C636" s="103">
        <v>39947</v>
      </c>
      <c r="D636" s="14"/>
      <c r="E636" s="14"/>
      <c r="F636" s="48"/>
      <c r="G636" s="14"/>
      <c r="H636" s="14"/>
      <c r="I636" s="14"/>
      <c r="J636" s="48"/>
      <c r="K636" s="14"/>
      <c r="L636" s="14"/>
      <c r="M636" s="14"/>
      <c r="N636" s="48"/>
      <c r="O636" s="14"/>
      <c r="P636" s="14"/>
      <c r="Q636" s="14"/>
      <c r="R636" s="48"/>
      <c r="S636" s="14"/>
      <c r="T636" s="14">
        <v>0</v>
      </c>
      <c r="U636" s="14"/>
      <c r="V636" s="48">
        <f t="shared" si="179"/>
        <v>0</v>
      </c>
      <c r="W636" s="14"/>
      <c r="X636" s="14">
        <v>-7</v>
      </c>
      <c r="Y636" s="14">
        <v>0</v>
      </c>
      <c r="Z636" s="48">
        <f t="shared" si="180"/>
        <v>-3.5</v>
      </c>
      <c r="AA636" s="14"/>
      <c r="AB636" s="14">
        <v>25</v>
      </c>
      <c r="AC636" s="14">
        <v>13</v>
      </c>
      <c r="AD636" s="48">
        <f t="shared" si="181"/>
        <v>19</v>
      </c>
      <c r="AE636" s="14"/>
      <c r="AF636" s="14"/>
      <c r="AG636" s="14"/>
      <c r="AH636" s="48"/>
      <c r="AI636" s="14"/>
      <c r="AJ636" s="14"/>
      <c r="AK636" s="14"/>
      <c r="AL636" s="48"/>
      <c r="AM636" s="14"/>
      <c r="AN636" s="14"/>
      <c r="AO636" s="14"/>
      <c r="AP636" s="48"/>
      <c r="AQ636" s="14"/>
      <c r="AR636" s="14"/>
      <c r="AS636" s="14"/>
      <c r="AT636" s="48"/>
      <c r="AU636" s="14"/>
      <c r="AV636" s="14"/>
      <c r="AW636" s="14"/>
      <c r="AX636" s="49"/>
    </row>
    <row r="637" spans="1:50" ht="10.199999999999999" customHeight="1" x14ac:dyDescent="0.25">
      <c r="A637" s="14">
        <v>21</v>
      </c>
      <c r="B637" s="103">
        <v>39961</v>
      </c>
      <c r="C637" s="103">
        <v>39954</v>
      </c>
      <c r="D637" s="14"/>
      <c r="E637" s="14"/>
      <c r="F637" s="48"/>
      <c r="G637" s="14"/>
      <c r="H637" s="14"/>
      <c r="I637" s="14"/>
      <c r="J637" s="48"/>
      <c r="K637" s="14"/>
      <c r="L637" s="14"/>
      <c r="M637" s="14"/>
      <c r="N637" s="48"/>
      <c r="O637" s="14"/>
      <c r="P637" s="14"/>
      <c r="Q637" s="14"/>
      <c r="R637" s="48"/>
      <c r="S637" s="14"/>
      <c r="T637" s="14"/>
      <c r="U637" s="14"/>
      <c r="V637" s="48"/>
      <c r="W637" s="14"/>
      <c r="X637" s="14">
        <v>-7</v>
      </c>
      <c r="Y637" s="14">
        <v>-12</v>
      </c>
      <c r="Z637" s="48">
        <f t="shared" si="180"/>
        <v>-9.5</v>
      </c>
      <c r="AA637" s="14"/>
      <c r="AB637" s="14">
        <v>0</v>
      </c>
      <c r="AC637" s="14">
        <v>8</v>
      </c>
      <c r="AD637" s="48">
        <f t="shared" si="181"/>
        <v>4</v>
      </c>
      <c r="AE637" s="14"/>
      <c r="AF637" s="14"/>
      <c r="AG637" s="14"/>
      <c r="AH637" s="48"/>
      <c r="AI637" s="14"/>
      <c r="AJ637" s="14"/>
      <c r="AK637" s="14"/>
      <c r="AL637" s="48"/>
      <c r="AM637" s="14"/>
      <c r="AN637" s="14"/>
      <c r="AO637" s="14"/>
      <c r="AP637" s="48"/>
      <c r="AQ637" s="14"/>
      <c r="AR637" s="14"/>
      <c r="AS637" s="14"/>
      <c r="AT637" s="48"/>
      <c r="AU637" s="14"/>
      <c r="AV637" s="14"/>
      <c r="AW637" s="14"/>
      <c r="AX637" s="49"/>
    </row>
    <row r="638" spans="1:50" ht="10.199999999999999" customHeight="1" x14ac:dyDescent="0.25">
      <c r="A638" s="14">
        <v>22</v>
      </c>
      <c r="B638" s="103">
        <v>39968</v>
      </c>
      <c r="C638" s="103">
        <v>39961</v>
      </c>
      <c r="D638" s="14"/>
      <c r="E638" s="14"/>
      <c r="F638" s="48"/>
      <c r="G638" s="14"/>
      <c r="H638" s="14"/>
      <c r="I638" s="14"/>
      <c r="J638" s="48"/>
      <c r="K638" s="14"/>
      <c r="L638" s="14"/>
      <c r="M638" s="14"/>
      <c r="N638" s="48"/>
      <c r="O638" s="14"/>
      <c r="P638" s="14"/>
      <c r="Q638" s="14"/>
      <c r="R638" s="48"/>
      <c r="S638" s="14"/>
      <c r="T638" s="14"/>
      <c r="U638" s="14"/>
      <c r="V638" s="48"/>
      <c r="W638" s="14"/>
      <c r="X638" s="14">
        <v>-7</v>
      </c>
      <c r="Y638" s="14">
        <v>-7</v>
      </c>
      <c r="Z638" s="48">
        <f t="shared" si="180"/>
        <v>-7</v>
      </c>
      <c r="AA638" s="14"/>
      <c r="AB638" s="14">
        <v>3</v>
      </c>
      <c r="AC638" s="14">
        <v>4</v>
      </c>
      <c r="AD638" s="48">
        <f t="shared" si="181"/>
        <v>3.5</v>
      </c>
      <c r="AE638" s="14"/>
      <c r="AF638" s="14"/>
      <c r="AG638" s="14"/>
      <c r="AH638" s="48"/>
      <c r="AI638" s="14"/>
      <c r="AJ638" s="14"/>
      <c r="AK638" s="14"/>
      <c r="AL638" s="48"/>
      <c r="AM638" s="14"/>
      <c r="AN638" s="14"/>
      <c r="AO638" s="14"/>
      <c r="AP638" s="48"/>
      <c r="AQ638" s="14"/>
      <c r="AR638" s="14"/>
      <c r="AS638" s="14"/>
      <c r="AT638" s="48"/>
      <c r="AU638" s="14"/>
      <c r="AV638" s="14"/>
      <c r="AW638" s="14"/>
      <c r="AX638" s="49"/>
    </row>
    <row r="639" spans="1:50" ht="10.199999999999999" customHeight="1" x14ac:dyDescent="0.25">
      <c r="A639" s="14">
        <v>23</v>
      </c>
      <c r="B639" s="103">
        <v>39975</v>
      </c>
      <c r="C639" s="103">
        <v>39968</v>
      </c>
      <c r="D639" s="14"/>
      <c r="E639" s="14"/>
      <c r="F639" s="48"/>
      <c r="G639" s="14"/>
      <c r="H639" s="14"/>
      <c r="I639" s="14"/>
      <c r="J639" s="48"/>
      <c r="K639" s="14"/>
      <c r="L639" s="14"/>
      <c r="M639" s="14"/>
      <c r="N639" s="48"/>
      <c r="O639" s="14"/>
      <c r="P639" s="14"/>
      <c r="Q639" s="14"/>
      <c r="R639" s="48"/>
      <c r="S639" s="14"/>
      <c r="T639" s="14"/>
      <c r="U639" s="14"/>
      <c r="V639" s="48"/>
      <c r="W639" s="14"/>
      <c r="X639" s="14">
        <v>-26</v>
      </c>
      <c r="Y639" s="14">
        <v>3</v>
      </c>
      <c r="Z639" s="48">
        <f t="shared" si="180"/>
        <v>-11.5</v>
      </c>
      <c r="AA639" s="14"/>
      <c r="AB639" s="14">
        <v>-26</v>
      </c>
      <c r="AC639" s="14">
        <v>2</v>
      </c>
      <c r="AD639" s="48">
        <f t="shared" si="181"/>
        <v>-12</v>
      </c>
      <c r="AE639" s="14"/>
      <c r="AF639" s="14"/>
      <c r="AG639" s="14"/>
      <c r="AH639" s="48"/>
      <c r="AI639" s="14"/>
      <c r="AJ639" s="14"/>
      <c r="AK639" s="14"/>
      <c r="AL639" s="48"/>
      <c r="AM639" s="14"/>
      <c r="AN639" s="14"/>
      <c r="AO639" s="14"/>
      <c r="AP639" s="48"/>
      <c r="AQ639" s="14"/>
      <c r="AR639" s="14"/>
      <c r="AS639" s="14"/>
      <c r="AT639" s="48"/>
      <c r="AU639" s="14"/>
      <c r="AV639" s="14"/>
      <c r="AW639" s="14"/>
      <c r="AX639" s="49"/>
    </row>
    <row r="640" spans="1:50" ht="10.199999999999999" customHeight="1" x14ac:dyDescent="0.25">
      <c r="A640" s="14">
        <v>24</v>
      </c>
      <c r="B640" s="103">
        <v>39982</v>
      </c>
      <c r="C640" s="103">
        <v>39975</v>
      </c>
      <c r="D640" s="14"/>
      <c r="E640" s="14"/>
      <c r="F640" s="48"/>
      <c r="G640" s="14"/>
      <c r="H640" s="14"/>
      <c r="I640" s="14"/>
      <c r="J640" s="48"/>
      <c r="K640" s="14"/>
      <c r="L640" s="14"/>
      <c r="M640" s="14"/>
      <c r="N640" s="48"/>
      <c r="O640" s="14"/>
      <c r="P640" s="14"/>
      <c r="Q640" s="14"/>
      <c r="R640" s="48"/>
      <c r="S640" s="14"/>
      <c r="T640" s="14"/>
      <c r="U640" s="14"/>
      <c r="V640" s="48"/>
      <c r="W640" s="14"/>
      <c r="X640" s="14">
        <v>-34</v>
      </c>
      <c r="Y640" s="14"/>
      <c r="Z640" s="48">
        <f t="shared" si="180"/>
        <v>-34</v>
      </c>
      <c r="AA640" s="14"/>
      <c r="AB640" s="14">
        <v>-21</v>
      </c>
      <c r="AC640" s="14">
        <v>6</v>
      </c>
      <c r="AD640" s="48">
        <f t="shared" si="181"/>
        <v>-7.5</v>
      </c>
      <c r="AE640" s="14"/>
      <c r="AF640" s="14"/>
      <c r="AG640" s="14">
        <v>8</v>
      </c>
      <c r="AH640" s="48">
        <f t="shared" ref="AH640:AH649" si="182">AVERAGE(AF640:AG640)</f>
        <v>8</v>
      </c>
      <c r="AI640" s="14"/>
      <c r="AJ640" s="14"/>
      <c r="AK640" s="14"/>
      <c r="AL640" s="48"/>
      <c r="AM640" s="14"/>
      <c r="AN640" s="14"/>
      <c r="AO640" s="14"/>
      <c r="AP640" s="48"/>
      <c r="AQ640" s="14"/>
      <c r="AR640" s="14"/>
      <c r="AS640" s="14"/>
      <c r="AT640" s="48"/>
      <c r="AU640" s="14"/>
      <c r="AV640" s="14"/>
      <c r="AW640" s="14"/>
      <c r="AX640" s="49"/>
    </row>
    <row r="641" spans="1:50" ht="10.199999999999999" customHeight="1" x14ac:dyDescent="0.25">
      <c r="A641" s="14">
        <v>25</v>
      </c>
      <c r="B641" s="103">
        <v>39989</v>
      </c>
      <c r="C641" s="103">
        <v>39982</v>
      </c>
      <c r="D641" s="14"/>
      <c r="E641" s="14"/>
      <c r="F641" s="48"/>
      <c r="G641" s="14"/>
      <c r="H641" s="14"/>
      <c r="I641" s="14"/>
      <c r="J641" s="48"/>
      <c r="K641" s="14"/>
      <c r="L641" s="14"/>
      <c r="M641" s="14"/>
      <c r="N641" s="48"/>
      <c r="O641" s="14"/>
      <c r="P641" s="14"/>
      <c r="Q641" s="14"/>
      <c r="R641" s="48"/>
      <c r="S641" s="14"/>
      <c r="T641" s="14"/>
      <c r="U641" s="14"/>
      <c r="V641" s="48"/>
      <c r="W641" s="14"/>
      <c r="X641" s="14"/>
      <c r="Y641" s="14"/>
      <c r="Z641" s="48"/>
      <c r="AA641" s="14"/>
      <c r="AB641" s="14">
        <v>-17</v>
      </c>
      <c r="AC641" s="14">
        <v>14</v>
      </c>
      <c r="AD641" s="48">
        <f t="shared" si="181"/>
        <v>-1.5</v>
      </c>
      <c r="AE641" s="14"/>
      <c r="AF641" s="14"/>
      <c r="AG641" s="14">
        <v>13</v>
      </c>
      <c r="AH641" s="48">
        <f t="shared" si="182"/>
        <v>13</v>
      </c>
      <c r="AI641" s="14"/>
      <c r="AJ641" s="14"/>
      <c r="AK641" s="14">
        <v>50</v>
      </c>
      <c r="AL641" s="48">
        <f t="shared" ref="AL641:AL653" si="183">AVERAGE(AJ641:AK641)</f>
        <v>50</v>
      </c>
      <c r="AM641" s="14"/>
      <c r="AN641" s="14"/>
      <c r="AO641" s="14"/>
      <c r="AP641" s="48"/>
      <c r="AQ641" s="14"/>
      <c r="AR641" s="14"/>
      <c r="AS641" s="14"/>
      <c r="AT641" s="48"/>
      <c r="AU641" s="14"/>
      <c r="AV641" s="14"/>
      <c r="AW641" s="14"/>
      <c r="AX641" s="49"/>
    </row>
    <row r="642" spans="1:50" ht="10.199999999999999" customHeight="1" x14ac:dyDescent="0.25">
      <c r="A642" s="14">
        <v>26</v>
      </c>
      <c r="B642" s="103">
        <v>39996</v>
      </c>
      <c r="C642" s="103">
        <v>39989</v>
      </c>
      <c r="D642" s="14"/>
      <c r="E642" s="14"/>
      <c r="F642" s="48"/>
      <c r="G642" s="14"/>
      <c r="H642" s="14"/>
      <c r="I642" s="14"/>
      <c r="J642" s="48"/>
      <c r="K642" s="14"/>
      <c r="L642" s="14"/>
      <c r="M642" s="14"/>
      <c r="N642" s="48"/>
      <c r="O642" s="14"/>
      <c r="P642" s="14"/>
      <c r="Q642" s="14"/>
      <c r="R642" s="48"/>
      <c r="S642" s="14"/>
      <c r="T642" s="14"/>
      <c r="U642" s="14"/>
      <c r="V642" s="48"/>
      <c r="W642" s="14"/>
      <c r="X642" s="14"/>
      <c r="Y642" s="14"/>
      <c r="Z642" s="48"/>
      <c r="AA642" s="14"/>
      <c r="AB642" s="14">
        <v>-6</v>
      </c>
      <c r="AC642" s="14">
        <v>14</v>
      </c>
      <c r="AD642" s="48">
        <f t="shared" si="181"/>
        <v>4</v>
      </c>
      <c r="AE642" s="14"/>
      <c r="AF642" s="14">
        <v>0</v>
      </c>
      <c r="AG642" s="14">
        <v>35</v>
      </c>
      <c r="AH642" s="48">
        <f t="shared" si="182"/>
        <v>17.5</v>
      </c>
      <c r="AI642" s="14"/>
      <c r="AJ642" s="14"/>
      <c r="AK642" s="14">
        <v>50</v>
      </c>
      <c r="AL642" s="48">
        <f t="shared" si="183"/>
        <v>50</v>
      </c>
      <c r="AM642" s="14"/>
      <c r="AN642" s="14"/>
      <c r="AO642" s="14"/>
      <c r="AP642" s="48"/>
      <c r="AQ642" s="14"/>
      <c r="AR642" s="14"/>
      <c r="AS642" s="14"/>
      <c r="AT642" s="48"/>
      <c r="AU642" s="14"/>
      <c r="AV642" s="14"/>
      <c r="AW642" s="14"/>
      <c r="AX642" s="49"/>
    </row>
    <row r="643" spans="1:50" ht="10.199999999999999" customHeight="1" x14ac:dyDescent="0.25">
      <c r="A643" s="14">
        <v>27</v>
      </c>
      <c r="B643" s="103">
        <v>40003</v>
      </c>
      <c r="C643" s="103">
        <v>39996</v>
      </c>
      <c r="D643" s="14"/>
      <c r="E643" s="14"/>
      <c r="F643" s="48"/>
      <c r="G643" s="14"/>
      <c r="H643" s="14"/>
      <c r="I643" s="14"/>
      <c r="J643" s="48"/>
      <c r="K643" s="14"/>
      <c r="L643" s="14"/>
      <c r="M643" s="14"/>
      <c r="N643" s="48"/>
      <c r="O643" s="14"/>
      <c r="P643" s="14"/>
      <c r="Q643" s="14"/>
      <c r="R643" s="48"/>
      <c r="S643" s="14"/>
      <c r="T643" s="14"/>
      <c r="U643" s="14"/>
      <c r="V643" s="48"/>
      <c r="W643" s="14"/>
      <c r="X643" s="14"/>
      <c r="Y643" s="14"/>
      <c r="Z643" s="48"/>
      <c r="AA643" s="14"/>
      <c r="AB643" s="14">
        <v>18</v>
      </c>
      <c r="AC643" s="14">
        <v>20</v>
      </c>
      <c r="AD643" s="48">
        <f t="shared" si="181"/>
        <v>19</v>
      </c>
      <c r="AE643" s="14"/>
      <c r="AF643" s="14">
        <v>0</v>
      </c>
      <c r="AG643" s="14">
        <v>15</v>
      </c>
      <c r="AH643" s="48">
        <f t="shared" si="182"/>
        <v>7.5</v>
      </c>
      <c r="AI643" s="14"/>
      <c r="AJ643" s="14"/>
      <c r="AK643" s="14">
        <v>35</v>
      </c>
      <c r="AL643" s="48">
        <f t="shared" si="183"/>
        <v>35</v>
      </c>
      <c r="AM643" s="14"/>
      <c r="AN643" s="14"/>
      <c r="AO643" s="14"/>
      <c r="AP643" s="48"/>
      <c r="AQ643" s="14"/>
      <c r="AR643" s="14"/>
      <c r="AS643" s="14"/>
      <c r="AT643" s="48"/>
      <c r="AU643" s="14"/>
      <c r="AV643" s="14"/>
      <c r="AW643" s="14"/>
      <c r="AX643" s="49"/>
    </row>
    <row r="644" spans="1:50" ht="10.199999999999999" customHeight="1" x14ac:dyDescent="0.25">
      <c r="A644" s="14">
        <v>28</v>
      </c>
      <c r="B644" s="103">
        <v>40010</v>
      </c>
      <c r="C644" s="103">
        <v>40003</v>
      </c>
      <c r="D644" s="14"/>
      <c r="E644" s="14"/>
      <c r="F644" s="48"/>
      <c r="G644" s="14"/>
      <c r="H644" s="14"/>
      <c r="I644" s="14"/>
      <c r="J644" s="48"/>
      <c r="K644" s="14"/>
      <c r="L644" s="14"/>
      <c r="M644" s="14"/>
      <c r="N644" s="48"/>
      <c r="O644" s="14"/>
      <c r="P644" s="14"/>
      <c r="Q644" s="14"/>
      <c r="R644" s="48"/>
      <c r="S644" s="14"/>
      <c r="T644" s="14"/>
      <c r="U644" s="14"/>
      <c r="V644" s="48"/>
      <c r="W644" s="14"/>
      <c r="X644" s="14"/>
      <c r="Y644" s="14"/>
      <c r="Z644" s="48"/>
      <c r="AA644" s="14"/>
      <c r="AB644" s="14">
        <v>5</v>
      </c>
      <c r="AC644" s="14"/>
      <c r="AD644" s="48">
        <f t="shared" si="181"/>
        <v>5</v>
      </c>
      <c r="AE644" s="14"/>
      <c r="AF644" s="14">
        <v>8</v>
      </c>
      <c r="AG644" s="14">
        <v>18</v>
      </c>
      <c r="AH644" s="48">
        <f t="shared" si="182"/>
        <v>13</v>
      </c>
      <c r="AI644" s="14"/>
      <c r="AJ644" s="14">
        <v>-10</v>
      </c>
      <c r="AK644" s="14">
        <v>25</v>
      </c>
      <c r="AL644" s="48">
        <f t="shared" si="183"/>
        <v>7.5</v>
      </c>
      <c r="AM644" s="14"/>
      <c r="AN644" s="14"/>
      <c r="AO644" s="14"/>
      <c r="AP644" s="48"/>
      <c r="AQ644" s="14"/>
      <c r="AR644" s="14"/>
      <c r="AS644" s="14"/>
      <c r="AT644" s="48"/>
      <c r="AU644" s="14"/>
      <c r="AV644" s="14"/>
      <c r="AW644" s="14"/>
      <c r="AX644" s="49"/>
    </row>
    <row r="645" spans="1:50" ht="10.199999999999999" customHeight="1" x14ac:dyDescent="0.25">
      <c r="A645" s="14">
        <v>29</v>
      </c>
      <c r="B645" s="103">
        <v>40017</v>
      </c>
      <c r="C645" s="103">
        <v>40010</v>
      </c>
      <c r="D645" s="14"/>
      <c r="E645" s="14"/>
      <c r="F645" s="48"/>
      <c r="G645" s="14"/>
      <c r="H645" s="14"/>
      <c r="I645" s="14"/>
      <c r="J645" s="48"/>
      <c r="K645" s="14"/>
      <c r="L645" s="14"/>
      <c r="M645" s="14"/>
      <c r="N645" s="48"/>
      <c r="O645" s="14"/>
      <c r="P645" s="14"/>
      <c r="Q645" s="14"/>
      <c r="R645" s="48"/>
      <c r="S645" s="14"/>
      <c r="T645" s="14"/>
      <c r="U645" s="14"/>
      <c r="V645" s="48"/>
      <c r="W645" s="14"/>
      <c r="X645" s="14"/>
      <c r="Y645" s="14"/>
      <c r="Z645" s="48"/>
      <c r="AA645" s="14"/>
      <c r="AB645" s="14"/>
      <c r="AC645" s="14"/>
      <c r="AD645" s="48"/>
      <c r="AE645" s="14"/>
      <c r="AF645" s="14">
        <v>2</v>
      </c>
      <c r="AG645" s="14">
        <v>34</v>
      </c>
      <c r="AH645" s="48">
        <f t="shared" si="182"/>
        <v>18</v>
      </c>
      <c r="AI645" s="14"/>
      <c r="AJ645" s="14">
        <v>8</v>
      </c>
      <c r="AK645" s="14">
        <v>28</v>
      </c>
      <c r="AL645" s="48">
        <f t="shared" si="183"/>
        <v>18</v>
      </c>
      <c r="AM645" s="14"/>
      <c r="AN645" s="14"/>
      <c r="AO645" s="14"/>
      <c r="AP645" s="48"/>
      <c r="AQ645" s="14"/>
      <c r="AR645" s="14"/>
      <c r="AS645" s="14"/>
      <c r="AT645" s="48"/>
      <c r="AU645" s="14"/>
      <c r="AV645" s="14"/>
      <c r="AW645" s="14"/>
      <c r="AX645" s="49"/>
    </row>
    <row r="646" spans="1:50" ht="10.199999999999999" customHeight="1" x14ac:dyDescent="0.25">
      <c r="A646" s="14">
        <v>30</v>
      </c>
      <c r="B646" s="103">
        <v>40024</v>
      </c>
      <c r="C646" s="103">
        <v>40017</v>
      </c>
      <c r="D646" s="14"/>
      <c r="E646" s="14"/>
      <c r="F646" s="48"/>
      <c r="G646" s="14"/>
      <c r="H646" s="14"/>
      <c r="I646" s="14"/>
      <c r="J646" s="48"/>
      <c r="K646" s="14"/>
      <c r="L646" s="14"/>
      <c r="M646" s="14"/>
      <c r="N646" s="48"/>
      <c r="O646" s="14"/>
      <c r="P646" s="14"/>
      <c r="Q646" s="14"/>
      <c r="R646" s="48"/>
      <c r="S646" s="14"/>
      <c r="T646" s="14"/>
      <c r="U646" s="14"/>
      <c r="V646" s="48"/>
      <c r="W646" s="14"/>
      <c r="X646" s="14"/>
      <c r="Y646" s="14"/>
      <c r="Z646" s="48"/>
      <c r="AA646" s="14"/>
      <c r="AB646" s="14"/>
      <c r="AC646" s="14"/>
      <c r="AD646" s="48"/>
      <c r="AE646" s="14"/>
      <c r="AF646" s="14">
        <v>17</v>
      </c>
      <c r="AG646" s="14">
        <v>35</v>
      </c>
      <c r="AH646" s="48">
        <f t="shared" si="182"/>
        <v>26</v>
      </c>
      <c r="AI646" s="14"/>
      <c r="AJ646" s="14">
        <v>11</v>
      </c>
      <c r="AK646" s="14">
        <v>20</v>
      </c>
      <c r="AL646" s="48">
        <f t="shared" si="183"/>
        <v>15.5</v>
      </c>
      <c r="AM646" s="14"/>
      <c r="AN646" s="14"/>
      <c r="AO646" s="14"/>
      <c r="AP646" s="48"/>
      <c r="AQ646" s="14"/>
      <c r="AR646" s="14"/>
      <c r="AS646" s="14"/>
      <c r="AT646" s="48"/>
      <c r="AU646" s="14"/>
      <c r="AV646" s="14"/>
      <c r="AW646" s="14"/>
      <c r="AX646" s="49"/>
    </row>
    <row r="647" spans="1:50" ht="10.199999999999999" customHeight="1" x14ac:dyDescent="0.25">
      <c r="A647" s="14">
        <v>31</v>
      </c>
      <c r="B647" s="103">
        <v>40031</v>
      </c>
      <c r="C647" s="103">
        <v>40024</v>
      </c>
      <c r="D647" s="14"/>
      <c r="E647" s="14"/>
      <c r="F647" s="48"/>
      <c r="G647" s="14"/>
      <c r="H647" s="14"/>
      <c r="I647" s="14"/>
      <c r="J647" s="48"/>
      <c r="K647" s="14"/>
      <c r="L647" s="14"/>
      <c r="M647" s="14"/>
      <c r="N647" s="48"/>
      <c r="O647" s="14"/>
      <c r="P647" s="14"/>
      <c r="Q647" s="14"/>
      <c r="R647" s="48"/>
      <c r="S647" s="14"/>
      <c r="T647" s="14"/>
      <c r="U647" s="14"/>
      <c r="V647" s="48"/>
      <c r="W647" s="14"/>
      <c r="X647" s="14"/>
      <c r="Y647" s="14"/>
      <c r="Z647" s="48"/>
      <c r="AA647" s="14"/>
      <c r="AB647" s="14"/>
      <c r="AC647" s="14"/>
      <c r="AD647" s="48"/>
      <c r="AE647" s="14"/>
      <c r="AF647" s="14">
        <v>18</v>
      </c>
      <c r="AG647" s="14">
        <v>25</v>
      </c>
      <c r="AH647" s="48">
        <f t="shared" si="182"/>
        <v>21.5</v>
      </c>
      <c r="AI647" s="14"/>
      <c r="AJ647" s="14">
        <v>33</v>
      </c>
      <c r="AK647" s="14">
        <v>20</v>
      </c>
      <c r="AL647" s="48">
        <f t="shared" si="183"/>
        <v>26.5</v>
      </c>
      <c r="AM647" s="14"/>
      <c r="AN647" s="14"/>
      <c r="AO647" s="14">
        <v>20</v>
      </c>
      <c r="AP647" s="48">
        <f t="shared" ref="AP647:AP658" si="184">AVERAGE(AN647:AO647)</f>
        <v>20</v>
      </c>
      <c r="AQ647" s="14"/>
      <c r="AR647" s="14"/>
      <c r="AS647" s="14"/>
      <c r="AT647" s="48"/>
      <c r="AU647" s="14"/>
      <c r="AV647" s="14"/>
      <c r="AW647" s="14"/>
      <c r="AX647" s="49"/>
    </row>
    <row r="648" spans="1:50" ht="10.199999999999999" customHeight="1" x14ac:dyDescent="0.25">
      <c r="A648" s="14">
        <v>32</v>
      </c>
      <c r="B648" s="103">
        <v>40038</v>
      </c>
      <c r="C648" s="103">
        <v>40031</v>
      </c>
      <c r="D648" s="14"/>
      <c r="E648" s="14"/>
      <c r="F648" s="48"/>
      <c r="G648" s="14"/>
      <c r="H648" s="14"/>
      <c r="I648" s="14"/>
      <c r="J648" s="48"/>
      <c r="K648" s="14"/>
      <c r="L648" s="14"/>
      <c r="M648" s="14"/>
      <c r="N648" s="48"/>
      <c r="O648" s="14"/>
      <c r="P648" s="14"/>
      <c r="Q648" s="14"/>
      <c r="R648" s="48"/>
      <c r="S648" s="14"/>
      <c r="T648" s="14"/>
      <c r="U648" s="14"/>
      <c r="V648" s="48"/>
      <c r="W648" s="14"/>
      <c r="X648" s="14"/>
      <c r="Y648" s="14"/>
      <c r="Z648" s="48"/>
      <c r="AA648" s="14"/>
      <c r="AB648" s="14"/>
      <c r="AC648" s="14"/>
      <c r="AD648" s="48"/>
      <c r="AE648" s="14"/>
      <c r="AF648" s="14">
        <v>10</v>
      </c>
      <c r="AG648" s="14">
        <v>-37</v>
      </c>
      <c r="AH648" s="48">
        <f t="shared" si="182"/>
        <v>-13.5</v>
      </c>
      <c r="AI648" s="14"/>
      <c r="AJ648" s="14">
        <v>55</v>
      </c>
      <c r="AK648" s="14">
        <v>10</v>
      </c>
      <c r="AL648" s="48">
        <f t="shared" si="183"/>
        <v>32.5</v>
      </c>
      <c r="AM648" s="14"/>
      <c r="AN648" s="14"/>
      <c r="AO648" s="14">
        <v>35</v>
      </c>
      <c r="AP648" s="48">
        <f t="shared" si="184"/>
        <v>35</v>
      </c>
      <c r="AQ648" s="14"/>
      <c r="AR648" s="14"/>
      <c r="AS648" s="14">
        <v>35</v>
      </c>
      <c r="AT648" s="48">
        <f>AVERAGE(AR648:AS648)</f>
        <v>35</v>
      </c>
      <c r="AU648" s="14"/>
      <c r="AV648" s="14"/>
      <c r="AW648" s="14"/>
      <c r="AX648" s="49"/>
    </row>
    <row r="649" spans="1:50" ht="10.199999999999999" customHeight="1" x14ac:dyDescent="0.25">
      <c r="A649" s="14">
        <v>33</v>
      </c>
      <c r="B649" s="103">
        <v>40045</v>
      </c>
      <c r="C649" s="103">
        <v>40038</v>
      </c>
      <c r="D649" s="14"/>
      <c r="E649" s="14"/>
      <c r="F649" s="48"/>
      <c r="G649" s="14"/>
      <c r="H649" s="14"/>
      <c r="I649" s="14"/>
      <c r="J649" s="48"/>
      <c r="K649" s="14"/>
      <c r="L649" s="14"/>
      <c r="M649" s="14"/>
      <c r="N649" s="48"/>
      <c r="O649" s="14"/>
      <c r="P649" s="14"/>
      <c r="Q649" s="14"/>
      <c r="R649" s="48"/>
      <c r="S649" s="14"/>
      <c r="T649" s="14"/>
      <c r="U649" s="14"/>
      <c r="V649" s="48"/>
      <c r="W649" s="14"/>
      <c r="X649" s="14"/>
      <c r="Y649" s="14"/>
      <c r="Z649" s="48"/>
      <c r="AA649" s="14"/>
      <c r="AB649" s="14"/>
      <c r="AC649" s="14"/>
      <c r="AD649" s="48"/>
      <c r="AE649" s="14"/>
      <c r="AF649" s="14">
        <v>10</v>
      </c>
      <c r="AG649" s="14"/>
      <c r="AH649" s="48">
        <f t="shared" si="182"/>
        <v>10</v>
      </c>
      <c r="AI649" s="14"/>
      <c r="AJ649" s="14">
        <v>38</v>
      </c>
      <c r="AK649" s="14">
        <v>43</v>
      </c>
      <c r="AL649" s="48">
        <f t="shared" si="183"/>
        <v>40.5</v>
      </c>
      <c r="AM649" s="14"/>
      <c r="AN649" s="14"/>
      <c r="AO649" s="14">
        <v>25</v>
      </c>
      <c r="AP649" s="48">
        <f t="shared" si="184"/>
        <v>25</v>
      </c>
      <c r="AQ649" s="14"/>
      <c r="AR649" s="14"/>
      <c r="AS649" s="14"/>
      <c r="AT649" s="48"/>
      <c r="AU649" s="14"/>
      <c r="AV649" s="14"/>
      <c r="AW649" s="14"/>
      <c r="AX649" s="49"/>
    </row>
    <row r="650" spans="1:50" ht="10.199999999999999" customHeight="1" x14ac:dyDescent="0.25">
      <c r="A650" s="14">
        <v>34</v>
      </c>
      <c r="B650" s="103">
        <v>40052</v>
      </c>
      <c r="C650" s="103">
        <v>40045</v>
      </c>
      <c r="D650" s="14"/>
      <c r="E650" s="14"/>
      <c r="F650" s="48"/>
      <c r="G650" s="14"/>
      <c r="H650" s="14"/>
      <c r="I650" s="14"/>
      <c r="J650" s="48"/>
      <c r="K650" s="14"/>
      <c r="L650" s="14"/>
      <c r="M650" s="14"/>
      <c r="N650" s="48"/>
      <c r="O650" s="14"/>
      <c r="P650" s="14"/>
      <c r="Q650" s="14"/>
      <c r="R650" s="48"/>
      <c r="S650" s="14"/>
      <c r="T650" s="14"/>
      <c r="U650" s="14"/>
      <c r="V650" s="48"/>
      <c r="W650" s="14"/>
      <c r="X650" s="14"/>
      <c r="Y650" s="14"/>
      <c r="Z650" s="48"/>
      <c r="AA650" s="14"/>
      <c r="AB650" s="14"/>
      <c r="AC650" s="14"/>
      <c r="AD650" s="48"/>
      <c r="AE650" s="14"/>
      <c r="AF650" s="14"/>
      <c r="AG650" s="14"/>
      <c r="AH650" s="48"/>
      <c r="AI650" s="14"/>
      <c r="AJ650" s="14">
        <v>58</v>
      </c>
      <c r="AK650" s="14">
        <v>40</v>
      </c>
      <c r="AL650" s="48">
        <f t="shared" si="183"/>
        <v>49</v>
      </c>
      <c r="AM650" s="14"/>
      <c r="AN650" s="14">
        <v>23</v>
      </c>
      <c r="AO650" s="14">
        <v>15</v>
      </c>
      <c r="AP650" s="48">
        <f t="shared" si="184"/>
        <v>19</v>
      </c>
      <c r="AQ650" s="14"/>
      <c r="AR650" s="14"/>
      <c r="AS650" s="14">
        <v>0</v>
      </c>
      <c r="AT650" s="48">
        <f>AVERAGE(AR650:AS650)</f>
        <v>0</v>
      </c>
      <c r="AU650" s="14"/>
      <c r="AV650" s="14"/>
      <c r="AW650" s="14"/>
      <c r="AX650" s="49"/>
    </row>
    <row r="651" spans="1:50" ht="10.199999999999999" customHeight="1" x14ac:dyDescent="0.25">
      <c r="A651" s="14">
        <v>35</v>
      </c>
      <c r="B651" s="103">
        <v>40059</v>
      </c>
      <c r="C651" s="103">
        <v>40052</v>
      </c>
      <c r="D651" s="14"/>
      <c r="E651" s="14"/>
      <c r="F651" s="48"/>
      <c r="G651" s="14"/>
      <c r="H651" s="14"/>
      <c r="I651" s="14"/>
      <c r="J651" s="48"/>
      <c r="K651" s="14"/>
      <c r="L651" s="14"/>
      <c r="M651" s="14"/>
      <c r="N651" s="48"/>
      <c r="O651" s="14"/>
      <c r="P651" s="14"/>
      <c r="Q651" s="14"/>
      <c r="R651" s="48"/>
      <c r="S651" s="14"/>
      <c r="T651" s="14"/>
      <c r="U651" s="14"/>
      <c r="V651" s="48"/>
      <c r="W651" s="14"/>
      <c r="X651" s="14"/>
      <c r="Y651" s="14"/>
      <c r="Z651" s="48"/>
      <c r="AA651" s="14"/>
      <c r="AB651" s="14"/>
      <c r="AC651" s="14"/>
      <c r="AD651" s="48"/>
      <c r="AE651" s="14"/>
      <c r="AF651" s="14"/>
      <c r="AG651" s="14"/>
      <c r="AH651" s="48"/>
      <c r="AI651" s="14"/>
      <c r="AJ651" s="14">
        <v>-5</v>
      </c>
      <c r="AK651" s="14">
        <v>40</v>
      </c>
      <c r="AL651" s="48">
        <f t="shared" si="183"/>
        <v>17.5</v>
      </c>
      <c r="AM651" s="14"/>
      <c r="AN651" s="14">
        <v>108</v>
      </c>
      <c r="AO651" s="14">
        <v>40</v>
      </c>
      <c r="AP651" s="48">
        <f t="shared" si="184"/>
        <v>74</v>
      </c>
      <c r="AQ651" s="14"/>
      <c r="AR651" s="14"/>
      <c r="AS651" s="14"/>
      <c r="AT651" s="48"/>
      <c r="AU651" s="14"/>
      <c r="AV651" s="14"/>
      <c r="AW651" s="14"/>
      <c r="AX651" s="49"/>
    </row>
    <row r="652" spans="1:50" ht="10.199999999999999" customHeight="1" x14ac:dyDescent="0.25">
      <c r="A652" s="14">
        <v>36</v>
      </c>
      <c r="B652" s="103">
        <v>40066</v>
      </c>
      <c r="C652" s="103">
        <v>40059</v>
      </c>
      <c r="D652" s="14"/>
      <c r="E652" s="14"/>
      <c r="F652" s="48"/>
      <c r="G652" s="14"/>
      <c r="H652" s="14"/>
      <c r="I652" s="14"/>
      <c r="J652" s="48"/>
      <c r="K652" s="14"/>
      <c r="L652" s="14"/>
      <c r="M652" s="14"/>
      <c r="N652" s="48"/>
      <c r="O652" s="14"/>
      <c r="P652" s="14"/>
      <c r="Q652" s="14"/>
      <c r="R652" s="48"/>
      <c r="S652" s="14"/>
      <c r="T652" s="14"/>
      <c r="U652" s="14"/>
      <c r="V652" s="48"/>
      <c r="W652" s="14"/>
      <c r="X652" s="14"/>
      <c r="Y652" s="14"/>
      <c r="Z652" s="48"/>
      <c r="AA652" s="14"/>
      <c r="AB652" s="14"/>
      <c r="AC652" s="14"/>
      <c r="AD652" s="48"/>
      <c r="AE652" s="14"/>
      <c r="AF652" s="14"/>
      <c r="AG652" s="14"/>
      <c r="AH652" s="48"/>
      <c r="AI652" s="14"/>
      <c r="AJ652" s="14">
        <v>17</v>
      </c>
      <c r="AK652" s="14">
        <v>30</v>
      </c>
      <c r="AL652" s="48">
        <f t="shared" si="183"/>
        <v>23.5</v>
      </c>
      <c r="AM652" s="14"/>
      <c r="AN652" s="14">
        <v>0</v>
      </c>
      <c r="AO652" s="14">
        <v>241</v>
      </c>
      <c r="AP652" s="48">
        <f t="shared" si="184"/>
        <v>120.5</v>
      </c>
      <c r="AQ652" s="14"/>
      <c r="AR652" s="14"/>
      <c r="AS652" s="14"/>
      <c r="AT652" s="48"/>
      <c r="AU652" s="14"/>
      <c r="AV652" s="14"/>
      <c r="AW652" s="14"/>
      <c r="AX652" s="49"/>
    </row>
    <row r="653" spans="1:50" ht="10.199999999999999" customHeight="1" x14ac:dyDescent="0.25">
      <c r="A653" s="14">
        <v>37</v>
      </c>
      <c r="B653" s="103">
        <v>40073</v>
      </c>
      <c r="C653" s="103">
        <v>40066</v>
      </c>
      <c r="D653" s="14"/>
      <c r="E653" s="14"/>
      <c r="F653" s="48"/>
      <c r="G653" s="14"/>
      <c r="H653" s="14"/>
      <c r="I653" s="14"/>
      <c r="J653" s="48"/>
      <c r="K653" s="14"/>
      <c r="L653" s="14"/>
      <c r="M653" s="14"/>
      <c r="N653" s="48"/>
      <c r="O653" s="14"/>
      <c r="P653" s="14"/>
      <c r="Q653" s="14"/>
      <c r="R653" s="48"/>
      <c r="S653" s="14"/>
      <c r="T653" s="14"/>
      <c r="U653" s="14"/>
      <c r="V653" s="48"/>
      <c r="W653" s="14"/>
      <c r="X653" s="14"/>
      <c r="Y653" s="14"/>
      <c r="Z653" s="48"/>
      <c r="AA653" s="14"/>
      <c r="AB653" s="14"/>
      <c r="AC653" s="14"/>
      <c r="AD653" s="48"/>
      <c r="AE653" s="14"/>
      <c r="AF653" s="14"/>
      <c r="AG653" s="14"/>
      <c r="AH653" s="48"/>
      <c r="AI653" s="14"/>
      <c r="AJ653" s="14">
        <v>-15</v>
      </c>
      <c r="AK653" s="14">
        <v>40</v>
      </c>
      <c r="AL653" s="48">
        <f t="shared" si="183"/>
        <v>12.5</v>
      </c>
      <c r="AM653" s="14"/>
      <c r="AN653" s="14">
        <v>0</v>
      </c>
      <c r="AO653" s="14">
        <v>157</v>
      </c>
      <c r="AP653" s="48">
        <f t="shared" si="184"/>
        <v>78.5</v>
      </c>
      <c r="AQ653" s="14"/>
      <c r="AR653" s="14"/>
      <c r="AS653" s="14"/>
      <c r="AT653" s="48"/>
      <c r="AU653" s="14"/>
      <c r="AV653" s="14"/>
      <c r="AW653" s="14"/>
      <c r="AX653" s="49"/>
    </row>
    <row r="654" spans="1:50" ht="10.199999999999999" customHeight="1" x14ac:dyDescent="0.25">
      <c r="A654" s="14">
        <v>38</v>
      </c>
      <c r="B654" s="103">
        <v>40080</v>
      </c>
      <c r="C654" s="103">
        <v>40073</v>
      </c>
      <c r="D654" s="14"/>
      <c r="E654" s="14"/>
      <c r="F654" s="48"/>
      <c r="G654" s="14"/>
      <c r="H654" s="14"/>
      <c r="I654" s="14"/>
      <c r="J654" s="48"/>
      <c r="K654" s="14"/>
      <c r="L654" s="14"/>
      <c r="M654" s="14"/>
      <c r="N654" s="48"/>
      <c r="O654" s="14"/>
      <c r="P654" s="14"/>
      <c r="Q654" s="14"/>
      <c r="R654" s="48"/>
      <c r="S654" s="14"/>
      <c r="T654" s="14"/>
      <c r="U654" s="14"/>
      <c r="V654" s="48"/>
      <c r="W654" s="14"/>
      <c r="X654" s="14"/>
      <c r="Y654" s="14"/>
      <c r="Z654" s="48"/>
      <c r="AA654" s="14"/>
      <c r="AB654" s="14"/>
      <c r="AC654" s="14"/>
      <c r="AD654" s="48"/>
      <c r="AE654" s="14"/>
      <c r="AF654" s="14"/>
      <c r="AG654" s="14"/>
      <c r="AH654" s="48"/>
      <c r="AI654" s="14"/>
      <c r="AJ654" s="14"/>
      <c r="AK654" s="14"/>
      <c r="AL654" s="48"/>
      <c r="AM654" s="14"/>
      <c r="AN654" s="14">
        <v>100</v>
      </c>
      <c r="AO654" s="14">
        <v>221</v>
      </c>
      <c r="AP654" s="48">
        <f t="shared" si="184"/>
        <v>160.5</v>
      </c>
      <c r="AQ654" s="14"/>
      <c r="AR654" s="14"/>
      <c r="AS654" s="14">
        <v>300</v>
      </c>
      <c r="AT654" s="48">
        <f t="shared" ref="AT654:AT662" si="185">AVERAGE(AR654:AS654)</f>
        <v>300</v>
      </c>
      <c r="AU654" s="14"/>
      <c r="AV654" s="14"/>
      <c r="AW654" s="14"/>
      <c r="AX654" s="49"/>
    </row>
    <row r="655" spans="1:50" ht="10.199999999999999" customHeight="1" x14ac:dyDescent="0.25">
      <c r="A655" s="14">
        <v>39</v>
      </c>
      <c r="B655" s="103">
        <v>40087</v>
      </c>
      <c r="C655" s="103">
        <v>40080</v>
      </c>
      <c r="D655" s="14"/>
      <c r="E655" s="14"/>
      <c r="F655" s="48"/>
      <c r="G655" s="14"/>
      <c r="H655" s="14"/>
      <c r="I655" s="14"/>
      <c r="J655" s="48"/>
      <c r="K655" s="14"/>
      <c r="L655" s="14"/>
      <c r="M655" s="14"/>
      <c r="N655" s="48"/>
      <c r="O655" s="14"/>
      <c r="P655" s="14"/>
      <c r="Q655" s="14"/>
      <c r="R655" s="48"/>
      <c r="S655" s="14"/>
      <c r="T655" s="14"/>
      <c r="U655" s="14"/>
      <c r="V655" s="48"/>
      <c r="W655" s="14"/>
      <c r="X655" s="14"/>
      <c r="Y655" s="14"/>
      <c r="Z655" s="48"/>
      <c r="AA655" s="14"/>
      <c r="AB655" s="14"/>
      <c r="AC655" s="14"/>
      <c r="AD655" s="48"/>
      <c r="AE655" s="14"/>
      <c r="AF655" s="14"/>
      <c r="AG655" s="14"/>
      <c r="AH655" s="48"/>
      <c r="AI655" s="14"/>
      <c r="AJ655" s="14"/>
      <c r="AK655" s="14"/>
      <c r="AL655" s="48"/>
      <c r="AM655" s="14"/>
      <c r="AN655" s="14">
        <v>104</v>
      </c>
      <c r="AO655" s="14">
        <v>175</v>
      </c>
      <c r="AP655" s="48">
        <f t="shared" si="184"/>
        <v>139.5</v>
      </c>
      <c r="AQ655" s="14"/>
      <c r="AR655" s="14"/>
      <c r="AS655" s="14">
        <v>300</v>
      </c>
      <c r="AT655" s="48">
        <f t="shared" si="185"/>
        <v>300</v>
      </c>
      <c r="AU655" s="14"/>
      <c r="AV655" s="14">
        <v>0</v>
      </c>
      <c r="AW655" s="14"/>
      <c r="AX655" s="48">
        <f>AVERAGE(AV655:AW655)</f>
        <v>0</v>
      </c>
    </row>
    <row r="656" spans="1:50" ht="10.199999999999999" customHeight="1" x14ac:dyDescent="0.25">
      <c r="A656" s="14">
        <v>40</v>
      </c>
      <c r="B656" s="103">
        <v>40094</v>
      </c>
      <c r="C656" s="103">
        <v>40087</v>
      </c>
      <c r="D656" s="14"/>
      <c r="E656" s="14"/>
      <c r="F656" s="48"/>
      <c r="G656" s="14"/>
      <c r="H656" s="14"/>
      <c r="I656" s="14"/>
      <c r="J656" s="48"/>
      <c r="K656" s="14"/>
      <c r="L656" s="14"/>
      <c r="M656" s="14"/>
      <c r="N656" s="48"/>
      <c r="O656" s="14"/>
      <c r="P656" s="14"/>
      <c r="Q656" s="14"/>
      <c r="R656" s="48"/>
      <c r="S656" s="14"/>
      <c r="T656" s="14"/>
      <c r="U656" s="14"/>
      <c r="V656" s="48"/>
      <c r="W656" s="14"/>
      <c r="X656" s="14"/>
      <c r="Y656" s="14"/>
      <c r="Z656" s="48"/>
      <c r="AA656" s="14"/>
      <c r="AB656" s="14"/>
      <c r="AC656" s="14"/>
      <c r="AD656" s="48"/>
      <c r="AE656" s="14"/>
      <c r="AF656" s="14"/>
      <c r="AG656" s="14"/>
      <c r="AH656" s="48"/>
      <c r="AI656" s="14"/>
      <c r="AJ656" s="14"/>
      <c r="AK656" s="14"/>
      <c r="AL656" s="48"/>
      <c r="AM656" s="14"/>
      <c r="AN656" s="14">
        <v>113</v>
      </c>
      <c r="AO656" s="14">
        <v>88</v>
      </c>
      <c r="AP656" s="48">
        <f t="shared" si="184"/>
        <v>100.5</v>
      </c>
      <c r="AQ656" s="14"/>
      <c r="AR656" s="14">
        <v>125</v>
      </c>
      <c r="AS656" s="14">
        <v>100</v>
      </c>
      <c r="AT656" s="48">
        <f t="shared" si="185"/>
        <v>112.5</v>
      </c>
      <c r="AU656" s="14"/>
      <c r="AV656" s="14"/>
      <c r="AW656" s="14">
        <v>100</v>
      </c>
      <c r="AX656" s="48">
        <f>AVERAGE(AV656:AW656)</f>
        <v>100</v>
      </c>
    </row>
    <row r="657" spans="1:50" ht="10.199999999999999" customHeight="1" x14ac:dyDescent="0.25">
      <c r="A657" s="14">
        <v>41</v>
      </c>
      <c r="B657" s="103">
        <v>40101</v>
      </c>
      <c r="C657" s="103">
        <v>40094</v>
      </c>
      <c r="D657" s="14"/>
      <c r="E657" s="14"/>
      <c r="F657" s="48"/>
      <c r="G657" s="14"/>
      <c r="H657" s="14"/>
      <c r="I657" s="14"/>
      <c r="J657" s="48"/>
      <c r="K657" s="14"/>
      <c r="L657" s="14"/>
      <c r="M657" s="14"/>
      <c r="N657" s="48"/>
      <c r="O657" s="14"/>
      <c r="P657" s="14"/>
      <c r="Q657" s="14"/>
      <c r="R657" s="48"/>
      <c r="S657" s="14"/>
      <c r="T657" s="14"/>
      <c r="U657" s="14"/>
      <c r="V657" s="48"/>
      <c r="W657" s="14"/>
      <c r="X657" s="14"/>
      <c r="Y657" s="14"/>
      <c r="Z657" s="48"/>
      <c r="AA657" s="14"/>
      <c r="AB657" s="14"/>
      <c r="AC657" s="14"/>
      <c r="AD657" s="48"/>
      <c r="AE657" s="14"/>
      <c r="AF657" s="14"/>
      <c r="AG657" s="14"/>
      <c r="AH657" s="48"/>
      <c r="AI657" s="14"/>
      <c r="AJ657" s="14"/>
      <c r="AK657" s="14"/>
      <c r="AL657" s="48"/>
      <c r="AM657" s="14"/>
      <c r="AN657" s="14">
        <v>50</v>
      </c>
      <c r="AO657" s="14"/>
      <c r="AP657" s="48">
        <f t="shared" si="184"/>
        <v>50</v>
      </c>
      <c r="AQ657" s="14"/>
      <c r="AR657" s="14">
        <v>63</v>
      </c>
      <c r="AS657" s="14">
        <v>183</v>
      </c>
      <c r="AT657" s="48">
        <f t="shared" si="185"/>
        <v>123</v>
      </c>
      <c r="AU657" s="14"/>
      <c r="AV657" s="14"/>
      <c r="AW657" s="14"/>
      <c r="AX657" s="49"/>
    </row>
    <row r="658" spans="1:50" ht="10.199999999999999" customHeight="1" x14ac:dyDescent="0.25">
      <c r="A658" s="14">
        <v>42</v>
      </c>
      <c r="B658" s="103">
        <v>40108</v>
      </c>
      <c r="C658" s="103">
        <v>40101</v>
      </c>
      <c r="D658" s="14"/>
      <c r="E658" s="14"/>
      <c r="F658" s="48"/>
      <c r="G658" s="14"/>
      <c r="H658" s="14"/>
      <c r="I658" s="14"/>
      <c r="J658" s="48"/>
      <c r="K658" s="14"/>
      <c r="L658" s="14"/>
      <c r="M658" s="14"/>
      <c r="N658" s="48"/>
      <c r="O658" s="14"/>
      <c r="P658" s="14"/>
      <c r="Q658" s="14"/>
      <c r="R658" s="48"/>
      <c r="S658" s="14"/>
      <c r="T658" s="14"/>
      <c r="U658" s="14"/>
      <c r="V658" s="48"/>
      <c r="W658" s="14"/>
      <c r="X658" s="14"/>
      <c r="Y658" s="14"/>
      <c r="Z658" s="48"/>
      <c r="AA658" s="14"/>
      <c r="AB658" s="14"/>
      <c r="AC658" s="14"/>
      <c r="AD658" s="48"/>
      <c r="AE658" s="14"/>
      <c r="AF658" s="14"/>
      <c r="AG658" s="14"/>
      <c r="AH658" s="48"/>
      <c r="AI658" s="14"/>
      <c r="AJ658" s="14"/>
      <c r="AK658" s="14"/>
      <c r="AL658" s="48"/>
      <c r="AM658" s="14"/>
      <c r="AN658" s="14">
        <v>0</v>
      </c>
      <c r="AO658" s="14"/>
      <c r="AP658" s="48">
        <f t="shared" si="184"/>
        <v>0</v>
      </c>
      <c r="AQ658" s="14"/>
      <c r="AR658" s="14">
        <v>13</v>
      </c>
      <c r="AS658" s="14">
        <v>121</v>
      </c>
      <c r="AT658" s="48">
        <f t="shared" si="185"/>
        <v>67</v>
      </c>
      <c r="AU658" s="14"/>
      <c r="AV658" s="14"/>
      <c r="AW658" s="14"/>
      <c r="AX658" s="49"/>
    </row>
    <row r="659" spans="1:50" ht="10.199999999999999" customHeight="1" x14ac:dyDescent="0.25">
      <c r="A659" s="14">
        <v>43</v>
      </c>
      <c r="B659" s="103">
        <v>40115</v>
      </c>
      <c r="C659" s="103">
        <v>40108</v>
      </c>
      <c r="D659" s="14"/>
      <c r="E659" s="14"/>
      <c r="F659" s="48"/>
      <c r="G659" s="14"/>
      <c r="H659" s="14"/>
      <c r="I659" s="14"/>
      <c r="J659" s="48"/>
      <c r="K659" s="14"/>
      <c r="L659" s="14"/>
      <c r="M659" s="14"/>
      <c r="N659" s="48"/>
      <c r="O659" s="14"/>
      <c r="P659" s="14"/>
      <c r="Q659" s="14"/>
      <c r="R659" s="48"/>
      <c r="S659" s="14"/>
      <c r="T659" s="14"/>
      <c r="U659" s="14"/>
      <c r="V659" s="48"/>
      <c r="W659" s="14"/>
      <c r="X659" s="14"/>
      <c r="Y659" s="14"/>
      <c r="Z659" s="48"/>
      <c r="AA659" s="14"/>
      <c r="AB659" s="14"/>
      <c r="AC659" s="14"/>
      <c r="AD659" s="48"/>
      <c r="AE659" s="14"/>
      <c r="AF659" s="14"/>
      <c r="AG659" s="14"/>
      <c r="AH659" s="48"/>
      <c r="AI659" s="14"/>
      <c r="AJ659" s="14"/>
      <c r="AK659" s="14"/>
      <c r="AL659" s="48"/>
      <c r="AM659" s="14"/>
      <c r="AN659" s="14"/>
      <c r="AO659" s="14"/>
      <c r="AP659" s="48"/>
      <c r="AQ659" s="14"/>
      <c r="AR659" s="14">
        <v>25</v>
      </c>
      <c r="AS659" s="14">
        <v>33</v>
      </c>
      <c r="AT659" s="48">
        <f t="shared" si="185"/>
        <v>29</v>
      </c>
      <c r="AU659" s="14"/>
      <c r="AV659" s="14"/>
      <c r="AW659" s="14">
        <v>50</v>
      </c>
      <c r="AX659" s="48">
        <f t="shared" ref="AX659:AX666" si="186">AVERAGE(AV659:AW659)</f>
        <v>50</v>
      </c>
    </row>
    <row r="660" spans="1:50" ht="10.199999999999999" customHeight="1" x14ac:dyDescent="0.25">
      <c r="A660" s="14">
        <v>44</v>
      </c>
      <c r="B660" s="103">
        <v>40122</v>
      </c>
      <c r="C660" s="103">
        <v>40115</v>
      </c>
      <c r="D660" s="14"/>
      <c r="E660" s="14"/>
      <c r="F660" s="48"/>
      <c r="G660" s="14"/>
      <c r="H660" s="14"/>
      <c r="I660" s="14"/>
      <c r="J660" s="48"/>
      <c r="K660" s="14"/>
      <c r="L660" s="14"/>
      <c r="M660" s="14"/>
      <c r="N660" s="48"/>
      <c r="O660" s="14"/>
      <c r="P660" s="14"/>
      <c r="Q660" s="14"/>
      <c r="R660" s="48"/>
      <c r="S660" s="14"/>
      <c r="T660" s="14"/>
      <c r="U660" s="14"/>
      <c r="V660" s="48"/>
      <c r="W660" s="14"/>
      <c r="X660" s="14"/>
      <c r="Y660" s="14"/>
      <c r="Z660" s="48"/>
      <c r="AA660" s="14"/>
      <c r="AB660" s="14"/>
      <c r="AC660" s="14"/>
      <c r="AD660" s="48"/>
      <c r="AE660" s="14"/>
      <c r="AF660" s="14"/>
      <c r="AG660" s="14"/>
      <c r="AH660" s="48"/>
      <c r="AI660" s="14"/>
      <c r="AJ660" s="14"/>
      <c r="AK660" s="14"/>
      <c r="AL660" s="48"/>
      <c r="AM660" s="14"/>
      <c r="AN660" s="14"/>
      <c r="AO660" s="14"/>
      <c r="AP660" s="48"/>
      <c r="AQ660" s="14"/>
      <c r="AR660" s="14">
        <v>125</v>
      </c>
      <c r="AS660" s="14">
        <v>0</v>
      </c>
      <c r="AT660" s="48">
        <f t="shared" si="185"/>
        <v>62.5</v>
      </c>
      <c r="AU660" s="14"/>
      <c r="AV660" s="14">
        <v>0</v>
      </c>
      <c r="AW660" s="14">
        <v>50</v>
      </c>
      <c r="AX660" s="48">
        <f t="shared" si="186"/>
        <v>25</v>
      </c>
    </row>
    <row r="661" spans="1:50" ht="10.199999999999999" customHeight="1" x14ac:dyDescent="0.25">
      <c r="A661" s="14">
        <v>45</v>
      </c>
      <c r="B661" s="103">
        <v>40129</v>
      </c>
      <c r="C661" s="103">
        <v>40122</v>
      </c>
      <c r="D661" s="14"/>
      <c r="E661" s="14"/>
      <c r="F661" s="48"/>
      <c r="G661" s="14"/>
      <c r="H661" s="14"/>
      <c r="I661" s="14"/>
      <c r="J661" s="48"/>
      <c r="K661" s="14"/>
      <c r="L661" s="14"/>
      <c r="M661" s="14"/>
      <c r="N661" s="48"/>
      <c r="O661" s="14"/>
      <c r="P661" s="14"/>
      <c r="Q661" s="14"/>
      <c r="R661" s="48"/>
      <c r="S661" s="14"/>
      <c r="T661" s="14"/>
      <c r="U661" s="14"/>
      <c r="V661" s="48"/>
      <c r="W661" s="14"/>
      <c r="X661" s="14"/>
      <c r="Y661" s="14"/>
      <c r="Z661" s="48"/>
      <c r="AA661" s="14"/>
      <c r="AB661" s="14"/>
      <c r="AC661" s="14"/>
      <c r="AD661" s="48"/>
      <c r="AE661" s="14"/>
      <c r="AF661" s="14"/>
      <c r="AG661" s="14"/>
      <c r="AH661" s="48"/>
      <c r="AI661" s="14"/>
      <c r="AJ661" s="14"/>
      <c r="AK661" s="14"/>
      <c r="AL661" s="48"/>
      <c r="AM661" s="14"/>
      <c r="AN661" s="14"/>
      <c r="AO661" s="14"/>
      <c r="AP661" s="48"/>
      <c r="AQ661" s="14"/>
      <c r="AR661" s="14">
        <v>238</v>
      </c>
      <c r="AS661" s="14">
        <v>-5</v>
      </c>
      <c r="AT661" s="48">
        <f t="shared" si="185"/>
        <v>116.5</v>
      </c>
      <c r="AU661" s="14"/>
      <c r="AV661" s="14"/>
      <c r="AW661" s="14">
        <v>-8</v>
      </c>
      <c r="AX661" s="48">
        <f t="shared" si="186"/>
        <v>-8</v>
      </c>
    </row>
    <row r="662" spans="1:50" ht="10.199999999999999" customHeight="1" x14ac:dyDescent="0.25">
      <c r="A662" s="14">
        <v>46</v>
      </c>
      <c r="B662" s="103">
        <v>40136</v>
      </c>
      <c r="C662" s="103">
        <v>40129</v>
      </c>
      <c r="D662" s="14">
        <v>0</v>
      </c>
      <c r="E662" s="14"/>
      <c r="F662" s="48">
        <f>AVERAGE(D662:E662)</f>
        <v>0</v>
      </c>
      <c r="G662" s="14"/>
      <c r="H662" s="14"/>
      <c r="I662" s="14"/>
      <c r="J662" s="48"/>
      <c r="K662" s="14"/>
      <c r="L662" s="14"/>
      <c r="M662" s="14"/>
      <c r="N662" s="48"/>
      <c r="O662" s="14"/>
      <c r="P662" s="14"/>
      <c r="Q662" s="14"/>
      <c r="R662" s="48"/>
      <c r="S662" s="14"/>
      <c r="T662" s="14"/>
      <c r="U662" s="14"/>
      <c r="V662" s="48"/>
      <c r="W662" s="14"/>
      <c r="X662" s="14"/>
      <c r="Y662" s="14"/>
      <c r="Z662" s="48"/>
      <c r="AA662" s="14"/>
      <c r="AB662" s="14"/>
      <c r="AC662" s="14"/>
      <c r="AD662" s="48"/>
      <c r="AE662" s="14"/>
      <c r="AF662" s="14"/>
      <c r="AG662" s="14"/>
      <c r="AH662" s="48"/>
      <c r="AI662" s="14"/>
      <c r="AJ662" s="14"/>
      <c r="AK662" s="14"/>
      <c r="AL662" s="48"/>
      <c r="AM662" s="14"/>
      <c r="AN662" s="14"/>
      <c r="AO662" s="14"/>
      <c r="AP662" s="48"/>
      <c r="AQ662" s="14"/>
      <c r="AR662" s="14">
        <v>325</v>
      </c>
      <c r="AS662" s="14"/>
      <c r="AT662" s="48">
        <f t="shared" si="185"/>
        <v>325</v>
      </c>
      <c r="AU662" s="14"/>
      <c r="AV662" s="14">
        <v>175</v>
      </c>
      <c r="AW662" s="14">
        <v>50</v>
      </c>
      <c r="AX662" s="48">
        <f t="shared" si="186"/>
        <v>112.5</v>
      </c>
    </row>
    <row r="663" spans="1:50" ht="10.199999999999999" customHeight="1" x14ac:dyDescent="0.25">
      <c r="A663" s="14">
        <v>47</v>
      </c>
      <c r="B663" s="103">
        <v>40143</v>
      </c>
      <c r="C663" s="103">
        <v>40136</v>
      </c>
      <c r="D663" s="14"/>
      <c r="E663" s="14"/>
      <c r="F663" s="48"/>
      <c r="G663" s="14"/>
      <c r="H663" s="14"/>
      <c r="I663" s="14"/>
      <c r="J663" s="48"/>
      <c r="K663" s="14"/>
      <c r="L663" s="14"/>
      <c r="M663" s="14"/>
      <c r="N663" s="48"/>
      <c r="O663" s="14"/>
      <c r="P663" s="14"/>
      <c r="Q663" s="14"/>
      <c r="R663" s="48"/>
      <c r="S663" s="14"/>
      <c r="T663" s="14"/>
      <c r="U663" s="14"/>
      <c r="V663" s="48"/>
      <c r="W663" s="14"/>
      <c r="X663" s="14"/>
      <c r="Y663" s="14"/>
      <c r="Z663" s="48"/>
      <c r="AA663" s="14"/>
      <c r="AB663" s="14"/>
      <c r="AC663" s="14"/>
      <c r="AD663" s="48"/>
      <c r="AE663" s="14"/>
      <c r="AF663" s="14"/>
      <c r="AG663" s="14"/>
      <c r="AH663" s="48"/>
      <c r="AI663" s="14"/>
      <c r="AJ663" s="14"/>
      <c r="AK663" s="14"/>
      <c r="AL663" s="48"/>
      <c r="AM663" s="14"/>
      <c r="AN663" s="14"/>
      <c r="AO663" s="14"/>
      <c r="AP663" s="48"/>
      <c r="AQ663" s="14"/>
      <c r="AR663" s="14"/>
      <c r="AS663" s="14"/>
      <c r="AT663" s="48"/>
      <c r="AU663" s="14"/>
      <c r="AV663" s="14">
        <v>200</v>
      </c>
      <c r="AW663" s="14">
        <v>59</v>
      </c>
      <c r="AX663" s="48">
        <f t="shared" si="186"/>
        <v>129.5</v>
      </c>
    </row>
    <row r="664" spans="1:50" ht="10.199999999999999" customHeight="1" x14ac:dyDescent="0.25">
      <c r="A664" s="14">
        <v>48</v>
      </c>
      <c r="B664" s="103">
        <v>40150</v>
      </c>
      <c r="C664" s="103">
        <v>40143</v>
      </c>
      <c r="D664" s="14"/>
      <c r="E664" s="14"/>
      <c r="F664" s="48"/>
      <c r="G664" s="14"/>
      <c r="H664" s="14"/>
      <c r="I664" s="14"/>
      <c r="J664" s="48"/>
      <c r="K664" s="14"/>
      <c r="L664" s="14"/>
      <c r="M664" s="14"/>
      <c r="N664" s="48"/>
      <c r="O664" s="14"/>
      <c r="P664" s="14"/>
      <c r="Q664" s="14"/>
      <c r="R664" s="48"/>
      <c r="S664" s="14"/>
      <c r="T664" s="14"/>
      <c r="U664" s="14"/>
      <c r="V664" s="48"/>
      <c r="W664" s="14"/>
      <c r="X664" s="14"/>
      <c r="Y664" s="14"/>
      <c r="Z664" s="48"/>
      <c r="AA664" s="14"/>
      <c r="AB664" s="14"/>
      <c r="AC664" s="14"/>
      <c r="AD664" s="48"/>
      <c r="AE664" s="14"/>
      <c r="AF664" s="14"/>
      <c r="AG664" s="14"/>
      <c r="AH664" s="48"/>
      <c r="AI664" s="14"/>
      <c r="AJ664" s="14"/>
      <c r="AK664" s="14"/>
      <c r="AL664" s="48"/>
      <c r="AM664" s="14"/>
      <c r="AN664" s="14"/>
      <c r="AO664" s="14"/>
      <c r="AP664" s="48"/>
      <c r="AQ664" s="14"/>
      <c r="AR664" s="14"/>
      <c r="AS664" s="14"/>
      <c r="AT664" s="48"/>
      <c r="AU664" s="14"/>
      <c r="AV664" s="14">
        <v>325</v>
      </c>
      <c r="AW664" s="14">
        <v>45</v>
      </c>
      <c r="AX664" s="48">
        <f t="shared" si="186"/>
        <v>185</v>
      </c>
    </row>
    <row r="665" spans="1:50" ht="10.199999999999999" customHeight="1" x14ac:dyDescent="0.25">
      <c r="A665" s="14">
        <v>49</v>
      </c>
      <c r="B665" s="103">
        <v>40157</v>
      </c>
      <c r="C665" s="103">
        <v>40150</v>
      </c>
      <c r="D665" s="14">
        <v>-15</v>
      </c>
      <c r="E665" s="14">
        <v>-20</v>
      </c>
      <c r="F665" s="48">
        <f t="shared" ref="F665:F671" si="187">AVERAGE(D665:E665)</f>
        <v>-17.5</v>
      </c>
      <c r="G665" s="14"/>
      <c r="H665" s="14"/>
      <c r="I665" s="14"/>
      <c r="J665" s="48"/>
      <c r="K665" s="14"/>
      <c r="L665" s="14"/>
      <c r="M665" s="14"/>
      <c r="N665" s="48"/>
      <c r="O665" s="14"/>
      <c r="P665" s="14"/>
      <c r="Q665" s="14"/>
      <c r="R665" s="48"/>
      <c r="S665" s="14"/>
      <c r="T665" s="14"/>
      <c r="U665" s="14"/>
      <c r="V665" s="48"/>
      <c r="W665" s="14"/>
      <c r="X665" s="14"/>
      <c r="Y665" s="14"/>
      <c r="Z665" s="48"/>
      <c r="AA665" s="14"/>
      <c r="AB665" s="14"/>
      <c r="AC665" s="14"/>
      <c r="AD665" s="48"/>
      <c r="AE665" s="14"/>
      <c r="AF665" s="14"/>
      <c r="AG665" s="14"/>
      <c r="AH665" s="48"/>
      <c r="AI665" s="14"/>
      <c r="AJ665" s="14"/>
      <c r="AK665" s="14"/>
      <c r="AL665" s="48"/>
      <c r="AM665" s="14"/>
      <c r="AN665" s="14"/>
      <c r="AO665" s="14"/>
      <c r="AP665" s="48"/>
      <c r="AQ665" s="14"/>
      <c r="AR665" s="14"/>
      <c r="AS665" s="14"/>
      <c r="AT665" s="48"/>
      <c r="AU665" s="14"/>
      <c r="AV665" s="14">
        <v>21</v>
      </c>
      <c r="AW665" s="14">
        <v>10</v>
      </c>
      <c r="AX665" s="48">
        <f t="shared" si="186"/>
        <v>15.5</v>
      </c>
    </row>
    <row r="666" spans="1:50" ht="10.199999999999999" customHeight="1" x14ac:dyDescent="0.25">
      <c r="A666" s="14">
        <v>50</v>
      </c>
      <c r="B666" s="103">
        <v>40164</v>
      </c>
      <c r="C666" s="103">
        <v>40157</v>
      </c>
      <c r="D666" s="14">
        <v>-10</v>
      </c>
      <c r="E666" s="14">
        <v>10</v>
      </c>
      <c r="F666" s="48">
        <f t="shared" si="187"/>
        <v>0</v>
      </c>
      <c r="G666" s="14"/>
      <c r="H666" s="14"/>
      <c r="I666" s="14"/>
      <c r="J666" s="48"/>
      <c r="K666" s="14"/>
      <c r="L666" s="14"/>
      <c r="M666" s="14"/>
      <c r="N666" s="48"/>
      <c r="O666" s="14"/>
      <c r="P666" s="14"/>
      <c r="Q666" s="14"/>
      <c r="R666" s="48"/>
      <c r="S666" s="14"/>
      <c r="T666" s="14"/>
      <c r="U666" s="14"/>
      <c r="V666" s="48"/>
      <c r="W666" s="14"/>
      <c r="X666" s="14"/>
      <c r="Y666" s="14"/>
      <c r="Z666" s="48"/>
      <c r="AA666" s="14"/>
      <c r="AB666" s="14"/>
      <c r="AC666" s="14"/>
      <c r="AD666" s="48"/>
      <c r="AE666" s="14"/>
      <c r="AF666" s="14"/>
      <c r="AG666" s="14"/>
      <c r="AH666" s="48"/>
      <c r="AI666" s="14"/>
      <c r="AJ666" s="14"/>
      <c r="AK666" s="14"/>
      <c r="AL666" s="48"/>
      <c r="AM666" s="14"/>
      <c r="AN666" s="14"/>
      <c r="AO666" s="14"/>
      <c r="AP666" s="48"/>
      <c r="AQ666" s="14"/>
      <c r="AR666" s="14"/>
      <c r="AS666" s="14"/>
      <c r="AT666" s="48"/>
      <c r="AU666" s="14"/>
      <c r="AV666" s="14">
        <v>4</v>
      </c>
      <c r="AW666" s="14">
        <v>0</v>
      </c>
      <c r="AX666" s="48">
        <f t="shared" si="186"/>
        <v>2</v>
      </c>
    </row>
    <row r="667" spans="1:50" ht="10.199999999999999" customHeight="1" x14ac:dyDescent="0.25">
      <c r="A667" s="14">
        <v>51</v>
      </c>
      <c r="B667" s="103">
        <v>40171</v>
      </c>
      <c r="C667" s="103">
        <v>40164</v>
      </c>
      <c r="D667" s="14">
        <v>57</v>
      </c>
      <c r="E667" s="14">
        <v>-17</v>
      </c>
      <c r="F667" s="48">
        <f t="shared" si="187"/>
        <v>20</v>
      </c>
      <c r="G667" s="14"/>
      <c r="H667" s="14"/>
      <c r="I667" s="14">
        <v>-50</v>
      </c>
      <c r="J667" s="48">
        <f t="shared" ref="J667:J675" si="188">AVERAGE(H667:I667)</f>
        <v>-50</v>
      </c>
      <c r="K667" s="14"/>
      <c r="L667" s="14"/>
      <c r="M667" s="14"/>
      <c r="N667" s="48"/>
      <c r="O667" s="14"/>
      <c r="P667" s="14"/>
      <c r="Q667" s="14"/>
      <c r="R667" s="48"/>
      <c r="S667" s="14"/>
      <c r="T667" s="14"/>
      <c r="U667" s="14"/>
      <c r="V667" s="48"/>
      <c r="W667" s="14"/>
      <c r="X667" s="14"/>
      <c r="Y667" s="14"/>
      <c r="Z667" s="48"/>
      <c r="AA667" s="14"/>
      <c r="AB667" s="14"/>
      <c r="AC667" s="14"/>
      <c r="AD667" s="48"/>
      <c r="AE667" s="14"/>
      <c r="AF667" s="14"/>
      <c r="AG667" s="14"/>
      <c r="AH667" s="48"/>
      <c r="AI667" s="14"/>
      <c r="AJ667" s="14"/>
      <c r="AK667" s="14"/>
      <c r="AL667" s="48"/>
      <c r="AM667" s="14"/>
      <c r="AN667" s="14"/>
      <c r="AO667" s="14"/>
      <c r="AP667" s="48"/>
      <c r="AQ667" s="14"/>
      <c r="AR667" s="14"/>
      <c r="AS667" s="14"/>
      <c r="AT667" s="48"/>
      <c r="AU667" s="14"/>
      <c r="AV667" s="14"/>
      <c r="AW667" s="14"/>
      <c r="AX667" s="49"/>
    </row>
    <row r="668" spans="1:50" ht="10.199999999999999" customHeight="1" x14ac:dyDescent="0.25">
      <c r="A668" s="14">
        <v>52</v>
      </c>
      <c r="B668" s="103">
        <v>40178</v>
      </c>
      <c r="C668" s="103">
        <v>40171</v>
      </c>
      <c r="D668" s="14">
        <v>46</v>
      </c>
      <c r="E668" s="14">
        <v>-17</v>
      </c>
      <c r="F668" s="48">
        <f t="shared" si="187"/>
        <v>14.5</v>
      </c>
      <c r="G668" s="14"/>
      <c r="H668" s="14"/>
      <c r="I668" s="14">
        <v>-50</v>
      </c>
      <c r="J668" s="48">
        <f t="shared" si="188"/>
        <v>-50</v>
      </c>
      <c r="K668" s="14"/>
      <c r="L668" s="14"/>
      <c r="M668" s="14"/>
      <c r="N668" s="48"/>
      <c r="O668" s="14"/>
      <c r="P668" s="14"/>
      <c r="Q668" s="14"/>
      <c r="R668" s="48"/>
      <c r="S668" s="14"/>
      <c r="T668" s="14"/>
      <c r="U668" s="14"/>
      <c r="V668" s="48"/>
      <c r="W668" s="14"/>
      <c r="X668" s="14"/>
      <c r="Y668" s="14"/>
      <c r="Z668" s="48"/>
      <c r="AA668" s="14"/>
      <c r="AB668" s="14"/>
      <c r="AC668" s="14"/>
      <c r="AD668" s="48"/>
      <c r="AE668" s="14"/>
      <c r="AF668" s="14"/>
      <c r="AG668" s="14"/>
      <c r="AH668" s="48"/>
      <c r="AI668" s="14"/>
      <c r="AJ668" s="14"/>
      <c r="AK668" s="14"/>
      <c r="AL668" s="48"/>
      <c r="AM668" s="14"/>
      <c r="AN668" s="14"/>
      <c r="AO668" s="14"/>
      <c r="AP668" s="48"/>
      <c r="AQ668" s="14"/>
      <c r="AR668" s="14"/>
      <c r="AS668" s="14"/>
      <c r="AT668" s="48"/>
      <c r="AU668" s="14"/>
      <c r="AV668" s="14"/>
      <c r="AW668" s="14"/>
      <c r="AX668" s="49"/>
    </row>
    <row r="669" spans="1:50" ht="10.199999999999999" customHeight="1" x14ac:dyDescent="0.25">
      <c r="A669" s="14">
        <v>1</v>
      </c>
      <c r="B669" s="103">
        <v>40185</v>
      </c>
      <c r="C669" s="103">
        <v>40178</v>
      </c>
      <c r="D669" s="14">
        <v>38</v>
      </c>
      <c r="E669" s="14">
        <v>-17</v>
      </c>
      <c r="F669" s="48">
        <f t="shared" si="187"/>
        <v>10.5</v>
      </c>
      <c r="G669" s="14"/>
      <c r="H669" s="14">
        <v>50</v>
      </c>
      <c r="I669" s="14">
        <v>-50</v>
      </c>
      <c r="J669" s="48">
        <f t="shared" si="188"/>
        <v>0</v>
      </c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/>
      <c r="Y669" s="14"/>
      <c r="Z669" s="48"/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99999999999999" customHeight="1" x14ac:dyDescent="0.25">
      <c r="A670" s="14">
        <v>2</v>
      </c>
      <c r="B670" s="103">
        <v>40192</v>
      </c>
      <c r="C670" s="103">
        <v>40185</v>
      </c>
      <c r="D670" s="14">
        <v>0</v>
      </c>
      <c r="E670" s="14"/>
      <c r="F670" s="48">
        <f t="shared" si="187"/>
        <v>0</v>
      </c>
      <c r="G670" s="14"/>
      <c r="H670" s="14">
        <v>50</v>
      </c>
      <c r="I670" s="14">
        <v>-19</v>
      </c>
      <c r="J670" s="48">
        <f t="shared" si="188"/>
        <v>15.5</v>
      </c>
      <c r="K670" s="14"/>
      <c r="L670" s="14"/>
      <c r="M670" s="14"/>
      <c r="N670" s="48"/>
      <c r="O670" s="14"/>
      <c r="P670" s="14"/>
      <c r="Q670" s="14"/>
      <c r="R670" s="48"/>
      <c r="S670" s="14"/>
      <c r="T670" s="14"/>
      <c r="U670" s="14"/>
      <c r="V670" s="48"/>
      <c r="W670" s="14"/>
      <c r="X670" s="14"/>
      <c r="Y670" s="14"/>
      <c r="Z670" s="48"/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99999999999999" customHeight="1" x14ac:dyDescent="0.25">
      <c r="A671" s="14">
        <v>3</v>
      </c>
      <c r="B671" s="103">
        <v>40199</v>
      </c>
      <c r="C671" s="103">
        <v>40192</v>
      </c>
      <c r="D671" s="14">
        <v>0</v>
      </c>
      <c r="E671" s="14"/>
      <c r="F671" s="48">
        <f t="shared" si="187"/>
        <v>0</v>
      </c>
      <c r="G671" s="14"/>
      <c r="H671" s="14">
        <v>22</v>
      </c>
      <c r="I671" s="14">
        <v>-13</v>
      </c>
      <c r="J671" s="48">
        <f t="shared" si="188"/>
        <v>4.5</v>
      </c>
      <c r="K671" s="14"/>
      <c r="L671" s="14"/>
      <c r="M671" s="14">
        <v>-25</v>
      </c>
      <c r="N671" s="48">
        <f t="shared" ref="N671:N679" si="189">AVERAGE(L671:M671)</f>
        <v>-25</v>
      </c>
      <c r="O671" s="14"/>
      <c r="P671" s="14"/>
      <c r="Q671" s="14"/>
      <c r="R671" s="48"/>
      <c r="S671" s="14"/>
      <c r="T671" s="14"/>
      <c r="U671" s="14"/>
      <c r="V671" s="48"/>
      <c r="W671" s="14"/>
      <c r="X671" s="14"/>
      <c r="Y671" s="14"/>
      <c r="Z671" s="48"/>
      <c r="AA671" s="14"/>
      <c r="AB671" s="14"/>
      <c r="AC671" s="14"/>
      <c r="AD671" s="48"/>
      <c r="AE671" s="14"/>
      <c r="AF671" s="14"/>
      <c r="AG671" s="14"/>
      <c r="AH671" s="48"/>
      <c r="AI671" s="14"/>
      <c r="AJ671" s="14"/>
      <c r="AK671" s="14"/>
      <c r="AL671" s="48"/>
      <c r="AM671" s="14"/>
      <c r="AN671" s="14"/>
      <c r="AO671" s="14"/>
      <c r="AP671" s="48"/>
      <c r="AQ671" s="14"/>
      <c r="AR671" s="14"/>
      <c r="AS671" s="14"/>
      <c r="AT671" s="48"/>
      <c r="AU671" s="14"/>
      <c r="AV671" s="14"/>
      <c r="AW671" s="14"/>
      <c r="AX671" s="49"/>
    </row>
    <row r="672" spans="1:50" ht="10.199999999999999" customHeight="1" x14ac:dyDescent="0.25">
      <c r="A672" s="14">
        <v>4</v>
      </c>
      <c r="B672" s="103">
        <v>40206</v>
      </c>
      <c r="C672" s="103">
        <v>40199</v>
      </c>
      <c r="D672" s="14"/>
      <c r="E672" s="14"/>
      <c r="F672" s="48"/>
      <c r="G672" s="14"/>
      <c r="H672" s="14">
        <v>10</v>
      </c>
      <c r="I672" s="14">
        <v>1</v>
      </c>
      <c r="J672" s="48">
        <f t="shared" si="188"/>
        <v>5.5</v>
      </c>
      <c r="K672" s="14"/>
      <c r="L672" s="14">
        <v>-25</v>
      </c>
      <c r="M672" s="14">
        <v>-13</v>
      </c>
      <c r="N672" s="48">
        <f t="shared" si="189"/>
        <v>-19</v>
      </c>
      <c r="O672" s="14"/>
      <c r="P672" s="14"/>
      <c r="Q672" s="14"/>
      <c r="R672" s="48"/>
      <c r="S672" s="14"/>
      <c r="T672" s="14"/>
      <c r="U672" s="14"/>
      <c r="V672" s="48"/>
      <c r="W672" s="14"/>
      <c r="X672" s="14"/>
      <c r="Y672" s="14"/>
      <c r="Z672" s="48"/>
      <c r="AA672" s="14"/>
      <c r="AB672" s="14"/>
      <c r="AC672" s="14"/>
      <c r="AD672" s="48"/>
      <c r="AE672" s="14"/>
      <c r="AF672" s="14"/>
      <c r="AG672" s="14"/>
      <c r="AH672" s="48"/>
      <c r="AI672" s="14"/>
      <c r="AJ672" s="14"/>
      <c r="AK672" s="14"/>
      <c r="AL672" s="48"/>
      <c r="AM672" s="14"/>
      <c r="AN672" s="14"/>
      <c r="AO672" s="14"/>
      <c r="AP672" s="48"/>
      <c r="AQ672" s="14"/>
      <c r="AR672" s="14"/>
      <c r="AS672" s="14"/>
      <c r="AT672" s="48"/>
      <c r="AU672" s="14"/>
      <c r="AV672" s="14"/>
      <c r="AW672" s="14"/>
      <c r="AX672" s="49"/>
    </row>
    <row r="673" spans="1:50" ht="10.199999999999999" customHeight="1" x14ac:dyDescent="0.25">
      <c r="A673" s="14">
        <v>5</v>
      </c>
      <c r="B673" s="103">
        <v>40213</v>
      </c>
      <c r="C673" s="103">
        <v>40206</v>
      </c>
      <c r="D673" s="14"/>
      <c r="E673" s="14"/>
      <c r="F673" s="48"/>
      <c r="G673" s="14"/>
      <c r="H673" s="14">
        <v>13</v>
      </c>
      <c r="I673" s="14">
        <v>13</v>
      </c>
      <c r="J673" s="48">
        <f t="shared" si="188"/>
        <v>13</v>
      </c>
      <c r="K673" s="14"/>
      <c r="L673" s="14">
        <v>-10</v>
      </c>
      <c r="M673" s="14">
        <v>8</v>
      </c>
      <c r="N673" s="48">
        <f t="shared" si="189"/>
        <v>-1</v>
      </c>
      <c r="O673" s="14"/>
      <c r="P673" s="14"/>
      <c r="Q673" s="14"/>
      <c r="R673" s="48"/>
      <c r="S673" s="14"/>
      <c r="T673" s="14"/>
      <c r="U673" s="14"/>
      <c r="V673" s="48"/>
      <c r="W673" s="14"/>
      <c r="X673" s="14"/>
      <c r="Y673" s="14"/>
      <c r="Z673" s="48"/>
      <c r="AA673" s="14"/>
      <c r="AB673" s="14"/>
      <c r="AC673" s="14"/>
      <c r="AD673" s="48"/>
      <c r="AE673" s="14"/>
      <c r="AF673" s="14"/>
      <c r="AG673" s="14"/>
      <c r="AH673" s="48"/>
      <c r="AI673" s="14"/>
      <c r="AJ673" s="14"/>
      <c r="AK673" s="14"/>
      <c r="AL673" s="48"/>
      <c r="AM673" s="14"/>
      <c r="AN673" s="14"/>
      <c r="AO673" s="14"/>
      <c r="AP673" s="48"/>
      <c r="AQ673" s="14"/>
      <c r="AR673" s="14"/>
      <c r="AS673" s="14"/>
      <c r="AT673" s="48"/>
      <c r="AU673" s="14"/>
      <c r="AV673" s="14"/>
      <c r="AW673" s="14"/>
      <c r="AX673" s="49"/>
    </row>
    <row r="674" spans="1:50" ht="10.199999999999999" customHeight="1" x14ac:dyDescent="0.25">
      <c r="A674" s="14">
        <v>6</v>
      </c>
      <c r="B674" s="103">
        <v>40220</v>
      </c>
      <c r="C674" s="103">
        <v>40213</v>
      </c>
      <c r="D674" s="14"/>
      <c r="E674" s="14"/>
      <c r="F674" s="48"/>
      <c r="G674" s="14"/>
      <c r="H674" s="14">
        <v>44</v>
      </c>
      <c r="I674" s="14">
        <v>17</v>
      </c>
      <c r="J674" s="48">
        <f t="shared" si="188"/>
        <v>30.5</v>
      </c>
      <c r="K674" s="14"/>
      <c r="L674" s="14">
        <v>8</v>
      </c>
      <c r="M674" s="14">
        <v>6</v>
      </c>
      <c r="N674" s="48">
        <f t="shared" si="189"/>
        <v>7</v>
      </c>
      <c r="O674" s="14"/>
      <c r="P674" s="14"/>
      <c r="Q674" s="14"/>
      <c r="R674" s="48"/>
      <c r="S674" s="14"/>
      <c r="T674" s="14"/>
      <c r="U674" s="14"/>
      <c r="V674" s="48"/>
      <c r="W674" s="14"/>
      <c r="X674" s="14"/>
      <c r="Y674" s="14"/>
      <c r="Z674" s="48"/>
      <c r="AA674" s="14"/>
      <c r="AB674" s="14"/>
      <c r="AC674" s="14"/>
      <c r="AD674" s="48"/>
      <c r="AE674" s="14"/>
      <c r="AF674" s="14"/>
      <c r="AG674" s="14"/>
      <c r="AH674" s="48"/>
      <c r="AI674" s="14"/>
      <c r="AJ674" s="14"/>
      <c r="AK674" s="14"/>
      <c r="AL674" s="48"/>
      <c r="AM674" s="14"/>
      <c r="AN674" s="14"/>
      <c r="AO674" s="14"/>
      <c r="AP674" s="48"/>
      <c r="AQ674" s="14"/>
      <c r="AR674" s="14"/>
      <c r="AS674" s="14"/>
      <c r="AT674" s="48"/>
      <c r="AU674" s="14"/>
      <c r="AV674" s="14"/>
      <c r="AW674" s="14"/>
      <c r="AX674" s="49"/>
    </row>
    <row r="675" spans="1:50" ht="10.199999999999999" customHeight="1" x14ac:dyDescent="0.25">
      <c r="A675" s="14">
        <v>7</v>
      </c>
      <c r="B675" s="103">
        <v>40227</v>
      </c>
      <c r="C675" s="103">
        <v>40220</v>
      </c>
      <c r="D675" s="14"/>
      <c r="E675" s="14"/>
      <c r="F675" s="48"/>
      <c r="G675" s="14"/>
      <c r="H675" s="14">
        <v>82</v>
      </c>
      <c r="I675" s="14"/>
      <c r="J675" s="48">
        <f t="shared" si="188"/>
        <v>82</v>
      </c>
      <c r="K675" s="14"/>
      <c r="L675" s="14">
        <v>29</v>
      </c>
      <c r="M675" s="14">
        <v>25</v>
      </c>
      <c r="N675" s="48">
        <f t="shared" si="189"/>
        <v>27</v>
      </c>
      <c r="O675" s="14"/>
      <c r="P675" s="14"/>
      <c r="Q675" s="14"/>
      <c r="R675" s="48"/>
      <c r="S675" s="14"/>
      <c r="T675" s="14"/>
      <c r="U675" s="14"/>
      <c r="V675" s="48"/>
      <c r="W675" s="14"/>
      <c r="X675" s="14"/>
      <c r="Y675" s="14"/>
      <c r="Z675" s="48"/>
      <c r="AA675" s="14"/>
      <c r="AB675" s="14"/>
      <c r="AC675" s="14"/>
      <c r="AD675" s="48"/>
      <c r="AE675" s="14"/>
      <c r="AF675" s="14"/>
      <c r="AG675" s="14"/>
      <c r="AH675" s="48"/>
      <c r="AI675" s="14"/>
      <c r="AJ675" s="14"/>
      <c r="AK675" s="14"/>
      <c r="AL675" s="48"/>
      <c r="AM675" s="14"/>
      <c r="AN675" s="14"/>
      <c r="AO675" s="14"/>
      <c r="AP675" s="48"/>
      <c r="AQ675" s="14"/>
      <c r="AR675" s="14"/>
      <c r="AS675" s="14"/>
      <c r="AT675" s="48"/>
      <c r="AU675" s="14"/>
      <c r="AV675" s="14"/>
      <c r="AW675" s="14"/>
      <c r="AX675" s="49"/>
    </row>
    <row r="676" spans="1:50" ht="10.199999999999999" customHeight="1" x14ac:dyDescent="0.25">
      <c r="A676" s="14">
        <v>8</v>
      </c>
      <c r="B676" s="103">
        <v>40234</v>
      </c>
      <c r="C676" s="103">
        <v>40227</v>
      </c>
      <c r="D676" s="14"/>
      <c r="E676" s="14"/>
      <c r="F676" s="48"/>
      <c r="G676" s="14"/>
      <c r="H676" s="14"/>
      <c r="I676" s="14"/>
      <c r="J676" s="48"/>
      <c r="K676" s="14"/>
      <c r="L676" s="14">
        <v>38</v>
      </c>
      <c r="M676" s="14">
        <v>25</v>
      </c>
      <c r="N676" s="48">
        <f t="shared" si="189"/>
        <v>31.5</v>
      </c>
      <c r="O676" s="14"/>
      <c r="P676" s="14"/>
      <c r="Q676" s="14">
        <v>0</v>
      </c>
      <c r="R676" s="48">
        <f t="shared" ref="R676:R683" si="190">AVERAGE(P676:Q676)</f>
        <v>0</v>
      </c>
      <c r="S676" s="14"/>
      <c r="T676" s="14"/>
      <c r="U676" s="14"/>
      <c r="V676" s="48"/>
      <c r="W676" s="14"/>
      <c r="X676" s="14"/>
      <c r="Y676" s="14"/>
      <c r="Z676" s="48"/>
      <c r="AA676" s="14"/>
      <c r="AB676" s="14"/>
      <c r="AC676" s="14"/>
      <c r="AD676" s="48"/>
      <c r="AE676" s="14"/>
      <c r="AF676" s="14"/>
      <c r="AG676" s="14"/>
      <c r="AH676" s="48"/>
      <c r="AI676" s="14"/>
      <c r="AJ676" s="14"/>
      <c r="AK676" s="14"/>
      <c r="AL676" s="48"/>
      <c r="AM676" s="14"/>
      <c r="AN676" s="14"/>
      <c r="AO676" s="14"/>
      <c r="AP676" s="48"/>
      <c r="AQ676" s="14"/>
      <c r="AR676" s="14"/>
      <c r="AS676" s="14"/>
      <c r="AT676" s="48"/>
      <c r="AU676" s="14"/>
      <c r="AV676" s="14"/>
      <c r="AW676" s="14"/>
      <c r="AX676" s="49"/>
    </row>
    <row r="677" spans="1:50" ht="10.199999999999999" customHeight="1" x14ac:dyDescent="0.25">
      <c r="A677" s="14">
        <v>9</v>
      </c>
      <c r="B677" s="103">
        <v>40241</v>
      </c>
      <c r="C677" s="103">
        <v>40234</v>
      </c>
      <c r="D677" s="14"/>
      <c r="E677" s="14"/>
      <c r="F677" s="48"/>
      <c r="G677" s="14"/>
      <c r="H677" s="14"/>
      <c r="I677" s="14"/>
      <c r="J677" s="48"/>
      <c r="K677" s="14"/>
      <c r="L677" s="14">
        <v>12</v>
      </c>
      <c r="M677" s="14">
        <v>18</v>
      </c>
      <c r="N677" s="48">
        <f t="shared" si="189"/>
        <v>15</v>
      </c>
      <c r="O677" s="14"/>
      <c r="P677" s="14"/>
      <c r="Q677" s="14">
        <v>0</v>
      </c>
      <c r="R677" s="48">
        <f t="shared" si="190"/>
        <v>0</v>
      </c>
      <c r="S677" s="14"/>
      <c r="T677" s="14"/>
      <c r="U677" s="14"/>
      <c r="V677" s="48"/>
      <c r="W677" s="14"/>
      <c r="X677" s="14"/>
      <c r="Y677" s="14"/>
      <c r="Z677" s="48"/>
      <c r="AA677" s="14"/>
      <c r="AB677" s="14"/>
      <c r="AC677" s="14"/>
      <c r="AD677" s="48"/>
      <c r="AE677" s="14"/>
      <c r="AF677" s="14"/>
      <c r="AG677" s="14"/>
      <c r="AH677" s="48"/>
      <c r="AI677" s="14"/>
      <c r="AJ677" s="14"/>
      <c r="AK677" s="14"/>
      <c r="AL677" s="48"/>
      <c r="AM677" s="14"/>
      <c r="AN677" s="14"/>
      <c r="AO677" s="14"/>
      <c r="AP677" s="48"/>
      <c r="AQ677" s="14"/>
      <c r="AR677" s="14"/>
      <c r="AS677" s="14"/>
      <c r="AT677" s="48"/>
      <c r="AU677" s="14"/>
      <c r="AV677" s="14"/>
      <c r="AW677" s="14"/>
      <c r="AX677" s="49"/>
    </row>
    <row r="678" spans="1:50" ht="10.199999999999999" customHeight="1" x14ac:dyDescent="0.25">
      <c r="A678" s="14">
        <v>10</v>
      </c>
      <c r="B678" s="103">
        <v>40248</v>
      </c>
      <c r="C678" s="103">
        <v>40241</v>
      </c>
      <c r="D678" s="14"/>
      <c r="E678" s="14"/>
      <c r="F678" s="48"/>
      <c r="G678" s="14"/>
      <c r="H678" s="14"/>
      <c r="I678" s="14"/>
      <c r="J678" s="48"/>
      <c r="K678" s="14"/>
      <c r="L678" s="14">
        <v>38</v>
      </c>
      <c r="M678" s="14">
        <v>13</v>
      </c>
      <c r="N678" s="48">
        <f t="shared" si="189"/>
        <v>25.5</v>
      </c>
      <c r="O678" s="14"/>
      <c r="P678" s="14">
        <v>20</v>
      </c>
      <c r="Q678" s="14">
        <v>0</v>
      </c>
      <c r="R678" s="48">
        <f t="shared" si="190"/>
        <v>10</v>
      </c>
      <c r="S678" s="14"/>
      <c r="T678" s="14"/>
      <c r="U678" s="14"/>
      <c r="V678" s="48"/>
      <c r="W678" s="14"/>
      <c r="X678" s="14"/>
      <c r="Y678" s="14"/>
      <c r="Z678" s="48"/>
      <c r="AA678" s="14"/>
      <c r="AB678" s="14"/>
      <c r="AC678" s="14"/>
      <c r="AD678" s="48"/>
      <c r="AE678" s="14"/>
      <c r="AF678" s="14"/>
      <c r="AG678" s="14"/>
      <c r="AH678" s="48"/>
      <c r="AI678" s="14"/>
      <c r="AJ678" s="14"/>
      <c r="AK678" s="14"/>
      <c r="AL678" s="48"/>
      <c r="AM678" s="14"/>
      <c r="AN678" s="14"/>
      <c r="AO678" s="14"/>
      <c r="AP678" s="48"/>
      <c r="AQ678" s="14"/>
      <c r="AR678" s="14"/>
      <c r="AS678" s="14"/>
      <c r="AT678" s="48"/>
      <c r="AU678" s="14"/>
      <c r="AV678" s="14"/>
      <c r="AW678" s="14"/>
      <c r="AX678" s="49"/>
    </row>
    <row r="679" spans="1:50" ht="10.199999999999999" customHeight="1" x14ac:dyDescent="0.25">
      <c r="A679" s="14">
        <v>11</v>
      </c>
      <c r="B679" s="103">
        <v>40255</v>
      </c>
      <c r="C679" s="103">
        <v>40248</v>
      </c>
      <c r="D679" s="14"/>
      <c r="E679" s="14"/>
      <c r="F679" s="48"/>
      <c r="G679" s="14"/>
      <c r="H679" s="14"/>
      <c r="I679" s="14"/>
      <c r="J679" s="48"/>
      <c r="K679" s="14"/>
      <c r="L679" s="14">
        <v>150</v>
      </c>
      <c r="M679" s="14"/>
      <c r="N679" s="48">
        <f t="shared" si="189"/>
        <v>150</v>
      </c>
      <c r="O679" s="14"/>
      <c r="P679" s="14">
        <v>20</v>
      </c>
      <c r="Q679" s="14">
        <v>-5</v>
      </c>
      <c r="R679" s="48">
        <f t="shared" si="190"/>
        <v>7.5</v>
      </c>
      <c r="S679" s="14"/>
      <c r="T679" s="14"/>
      <c r="U679" s="14">
        <v>25</v>
      </c>
      <c r="V679" s="48">
        <f t="shared" ref="V679:V688" si="191">AVERAGE(T679:U679)</f>
        <v>25</v>
      </c>
      <c r="W679" s="14"/>
      <c r="X679" s="14"/>
      <c r="Y679" s="14"/>
      <c r="Z679" s="48"/>
      <c r="AA679" s="14"/>
      <c r="AB679" s="14"/>
      <c r="AC679" s="14"/>
      <c r="AD679" s="48"/>
      <c r="AE679" s="14"/>
      <c r="AF679" s="14"/>
      <c r="AG679" s="14"/>
      <c r="AH679" s="48"/>
      <c r="AI679" s="14"/>
      <c r="AJ679" s="14"/>
      <c r="AK679" s="14"/>
      <c r="AL679" s="48"/>
      <c r="AM679" s="14"/>
      <c r="AN679" s="14"/>
      <c r="AO679" s="14"/>
      <c r="AP679" s="48"/>
      <c r="AQ679" s="14"/>
      <c r="AR679" s="14"/>
      <c r="AS679" s="14"/>
      <c r="AT679" s="48"/>
      <c r="AU679" s="14"/>
      <c r="AV679" s="14"/>
      <c r="AW679" s="14"/>
      <c r="AX679" s="49"/>
    </row>
    <row r="680" spans="1:50" ht="10.199999999999999" customHeight="1" x14ac:dyDescent="0.25">
      <c r="A680" s="14">
        <v>12</v>
      </c>
      <c r="B680" s="103">
        <v>40262</v>
      </c>
      <c r="C680" s="103">
        <v>40255</v>
      </c>
      <c r="D680" s="14"/>
      <c r="E680" s="14"/>
      <c r="F680" s="48"/>
      <c r="G680" s="14"/>
      <c r="H680" s="14"/>
      <c r="I680" s="14"/>
      <c r="J680" s="48"/>
      <c r="K680" s="14"/>
      <c r="L680" s="14"/>
      <c r="M680" s="14"/>
      <c r="N680" s="48"/>
      <c r="O680" s="14"/>
      <c r="P680" s="14">
        <v>-10</v>
      </c>
      <c r="Q680" s="14">
        <v>-3</v>
      </c>
      <c r="R680" s="48">
        <f t="shared" si="190"/>
        <v>-6.5</v>
      </c>
      <c r="S680" s="14"/>
      <c r="T680" s="14"/>
      <c r="U680" s="14">
        <v>0</v>
      </c>
      <c r="V680" s="48">
        <f t="shared" si="191"/>
        <v>0</v>
      </c>
      <c r="W680" s="14"/>
      <c r="X680" s="14"/>
      <c r="Y680" s="14"/>
      <c r="Z680" s="48"/>
      <c r="AA680" s="14"/>
      <c r="AB680" s="14"/>
      <c r="AC680" s="14"/>
      <c r="AD680" s="48"/>
      <c r="AE680" s="14"/>
      <c r="AF680" s="14"/>
      <c r="AG680" s="14"/>
      <c r="AH680" s="48"/>
      <c r="AI680" s="14"/>
      <c r="AJ680" s="14"/>
      <c r="AK680" s="14"/>
      <c r="AL680" s="48"/>
      <c r="AM680" s="14"/>
      <c r="AN680" s="14"/>
      <c r="AO680" s="14"/>
      <c r="AP680" s="48"/>
      <c r="AQ680" s="14"/>
      <c r="AR680" s="14"/>
      <c r="AS680" s="14"/>
      <c r="AT680" s="48"/>
      <c r="AU680" s="14"/>
      <c r="AV680" s="14"/>
      <c r="AW680" s="14"/>
      <c r="AX680" s="49"/>
    </row>
    <row r="681" spans="1:50" ht="10.199999999999999" customHeight="1" x14ac:dyDescent="0.25">
      <c r="A681" s="14">
        <v>13</v>
      </c>
      <c r="B681" s="103">
        <v>40269</v>
      </c>
      <c r="C681" s="103">
        <v>40262</v>
      </c>
      <c r="D681" s="14"/>
      <c r="E681" s="14"/>
      <c r="F681" s="48"/>
      <c r="G681" s="14"/>
      <c r="H681" s="14"/>
      <c r="I681" s="14"/>
      <c r="J681" s="48"/>
      <c r="K681" s="14"/>
      <c r="L681" s="14"/>
      <c r="M681" s="14"/>
      <c r="N681" s="48"/>
      <c r="O681" s="14"/>
      <c r="P681" s="14">
        <v>-18</v>
      </c>
      <c r="Q681" s="14">
        <v>-25</v>
      </c>
      <c r="R681" s="48">
        <f t="shared" si="190"/>
        <v>-21.5</v>
      </c>
      <c r="S681" s="14"/>
      <c r="T681" s="14"/>
      <c r="U681" s="14">
        <v>0</v>
      </c>
      <c r="V681" s="48">
        <f t="shared" si="191"/>
        <v>0</v>
      </c>
      <c r="W681" s="14"/>
      <c r="X681" s="14"/>
      <c r="Y681" s="14"/>
      <c r="Z681" s="48"/>
      <c r="AA681" s="14"/>
      <c r="AB681" s="14"/>
      <c r="AC681" s="14"/>
      <c r="AD681" s="48"/>
      <c r="AE681" s="14"/>
      <c r="AF681" s="14"/>
      <c r="AG681" s="14"/>
      <c r="AH681" s="48"/>
      <c r="AI681" s="14"/>
      <c r="AJ681" s="14"/>
      <c r="AK681" s="14"/>
      <c r="AL681" s="48"/>
      <c r="AM681" s="14"/>
      <c r="AN681" s="14"/>
      <c r="AO681" s="14"/>
      <c r="AP681" s="48"/>
      <c r="AQ681" s="14"/>
      <c r="AR681" s="14"/>
      <c r="AS681" s="14"/>
      <c r="AT681" s="48"/>
      <c r="AU681" s="14"/>
      <c r="AV681" s="14"/>
      <c r="AW681" s="14"/>
      <c r="AX681" s="49"/>
    </row>
    <row r="682" spans="1:50" ht="10.199999999999999" customHeight="1" x14ac:dyDescent="0.25">
      <c r="A682" s="14">
        <v>14</v>
      </c>
      <c r="B682" s="103">
        <v>40276</v>
      </c>
      <c r="C682" s="103">
        <v>40269</v>
      </c>
      <c r="D682" s="14"/>
      <c r="E682" s="14"/>
      <c r="F682" s="48"/>
      <c r="G682" s="14"/>
      <c r="H682" s="14"/>
      <c r="I682" s="14"/>
      <c r="J682" s="48"/>
      <c r="K682" s="14"/>
      <c r="L682" s="14"/>
      <c r="M682" s="14"/>
      <c r="N682" s="48"/>
      <c r="O682" s="14"/>
      <c r="P682" s="14">
        <v>-13</v>
      </c>
      <c r="Q682" s="14">
        <v>-30</v>
      </c>
      <c r="R682" s="48">
        <f t="shared" si="190"/>
        <v>-21.5</v>
      </c>
      <c r="S682" s="14"/>
      <c r="T682" s="14">
        <v>-10</v>
      </c>
      <c r="U682" s="14">
        <v>-18</v>
      </c>
      <c r="V682" s="48">
        <f t="shared" si="191"/>
        <v>-14</v>
      </c>
      <c r="W682" s="14"/>
      <c r="X682" s="14"/>
      <c r="Y682" s="14"/>
      <c r="Z682" s="48"/>
      <c r="AA682" s="14"/>
      <c r="AB682" s="14"/>
      <c r="AC682" s="14"/>
      <c r="AD682" s="48"/>
      <c r="AE682" s="14"/>
      <c r="AF682" s="14"/>
      <c r="AG682" s="14"/>
      <c r="AH682" s="48"/>
      <c r="AI682" s="14"/>
      <c r="AJ682" s="14"/>
      <c r="AK682" s="14"/>
      <c r="AL682" s="48"/>
      <c r="AM682" s="14"/>
      <c r="AN682" s="14"/>
      <c r="AO682" s="14"/>
      <c r="AP682" s="48"/>
      <c r="AQ682" s="14"/>
      <c r="AR682" s="14"/>
      <c r="AS682" s="14"/>
      <c r="AT682" s="48"/>
      <c r="AU682" s="14"/>
      <c r="AV682" s="14"/>
      <c r="AW682" s="14"/>
      <c r="AX682" s="49"/>
    </row>
    <row r="683" spans="1:50" ht="10.199999999999999" customHeight="1" x14ac:dyDescent="0.25">
      <c r="A683" s="14">
        <v>15</v>
      </c>
      <c r="B683" s="103">
        <v>40283</v>
      </c>
      <c r="C683" s="103">
        <v>40276</v>
      </c>
      <c r="D683" s="14"/>
      <c r="E683" s="14"/>
      <c r="F683" s="48"/>
      <c r="G683" s="14"/>
      <c r="H683" s="14"/>
      <c r="I683" s="14"/>
      <c r="J683" s="48"/>
      <c r="K683" s="14"/>
      <c r="L683" s="14"/>
      <c r="M683" s="14"/>
      <c r="N683" s="48"/>
      <c r="O683" s="14"/>
      <c r="P683" s="14">
        <v>-18</v>
      </c>
      <c r="Q683" s="14">
        <v>-13</v>
      </c>
      <c r="R683" s="48">
        <f t="shared" si="190"/>
        <v>-15.5</v>
      </c>
      <c r="S683" s="14"/>
      <c r="T683" s="14">
        <v>-18</v>
      </c>
      <c r="U683" s="14">
        <v>-13</v>
      </c>
      <c r="V683" s="48">
        <f t="shared" si="191"/>
        <v>-15.5</v>
      </c>
      <c r="W683" s="14"/>
      <c r="X683" s="14"/>
      <c r="Y683" s="14"/>
      <c r="Z683" s="48"/>
      <c r="AA683" s="14"/>
      <c r="AB683" s="14"/>
      <c r="AC683" s="14"/>
      <c r="AD683" s="48"/>
      <c r="AE683" s="14"/>
      <c r="AF683" s="14"/>
      <c r="AG683" s="14"/>
      <c r="AH683" s="48"/>
      <c r="AI683" s="14"/>
      <c r="AJ683" s="14"/>
      <c r="AK683" s="14"/>
      <c r="AL683" s="48"/>
      <c r="AM683" s="14"/>
      <c r="AN683" s="14"/>
      <c r="AO683" s="14"/>
      <c r="AP683" s="48"/>
      <c r="AQ683" s="14"/>
      <c r="AR683" s="14"/>
      <c r="AS683" s="14"/>
      <c r="AT683" s="48"/>
      <c r="AU683" s="14"/>
      <c r="AV683" s="14"/>
      <c r="AW683" s="14"/>
      <c r="AX683" s="49"/>
    </row>
    <row r="684" spans="1:50" ht="10.199999999999999" customHeight="1" x14ac:dyDescent="0.25">
      <c r="A684" s="14">
        <v>16</v>
      </c>
      <c r="B684" s="103">
        <v>40290</v>
      </c>
      <c r="C684" s="103">
        <v>40283</v>
      </c>
      <c r="D684" s="14"/>
      <c r="E684" s="14"/>
      <c r="F684" s="48"/>
      <c r="G684" s="14"/>
      <c r="H684" s="14"/>
      <c r="I684" s="14"/>
      <c r="J684" s="48"/>
      <c r="K684" s="14"/>
      <c r="L684" s="14"/>
      <c r="M684" s="14"/>
      <c r="N684" s="48"/>
      <c r="O684" s="14"/>
      <c r="P684" s="14"/>
      <c r="Q684" s="14"/>
      <c r="R684" s="48"/>
      <c r="S684" s="14"/>
      <c r="T684" s="14">
        <v>-13</v>
      </c>
      <c r="U684" s="14">
        <v>-13</v>
      </c>
      <c r="V684" s="48">
        <f t="shared" si="191"/>
        <v>-13</v>
      </c>
      <c r="W684" s="14"/>
      <c r="X684" s="14"/>
      <c r="Y684" s="14">
        <v>-15</v>
      </c>
      <c r="Z684" s="48">
        <f t="shared" ref="Z684:Z692" si="192">AVERAGE(X684:Y684)</f>
        <v>-15</v>
      </c>
      <c r="AA684" s="14"/>
      <c r="AB684" s="14"/>
      <c r="AC684" s="14"/>
      <c r="AD684" s="48"/>
      <c r="AE684" s="14"/>
      <c r="AF684" s="14"/>
      <c r="AG684" s="14"/>
      <c r="AH684" s="48"/>
      <c r="AI684" s="14"/>
      <c r="AJ684" s="14"/>
      <c r="AK684" s="14"/>
      <c r="AL684" s="48"/>
      <c r="AM684" s="14"/>
      <c r="AN684" s="14"/>
      <c r="AO684" s="14"/>
      <c r="AP684" s="48"/>
      <c r="AQ684" s="14"/>
      <c r="AR684" s="14"/>
      <c r="AS684" s="14"/>
      <c r="AT684" s="48"/>
      <c r="AU684" s="14"/>
      <c r="AV684" s="14"/>
      <c r="AW684" s="14"/>
      <c r="AX684" s="49"/>
    </row>
    <row r="685" spans="1:50" ht="10.199999999999999" customHeight="1" x14ac:dyDescent="0.25">
      <c r="A685" s="14">
        <v>17</v>
      </c>
      <c r="B685" s="103">
        <v>40297</v>
      </c>
      <c r="C685" s="103">
        <v>40290</v>
      </c>
      <c r="D685" s="14"/>
      <c r="E685" s="14"/>
      <c r="F685" s="48"/>
      <c r="G685" s="14"/>
      <c r="H685" s="14"/>
      <c r="I685" s="14"/>
      <c r="J685" s="48"/>
      <c r="K685" s="14"/>
      <c r="L685" s="14"/>
      <c r="M685" s="14"/>
      <c r="N685" s="48"/>
      <c r="O685" s="14"/>
      <c r="P685" s="14"/>
      <c r="Q685" s="14"/>
      <c r="R685" s="48"/>
      <c r="S685" s="14"/>
      <c r="T685" s="14">
        <v>-9</v>
      </c>
      <c r="U685" s="14">
        <v>-13</v>
      </c>
      <c r="V685" s="48">
        <f t="shared" si="191"/>
        <v>-11</v>
      </c>
      <c r="W685" s="14"/>
      <c r="X685" s="14">
        <v>-8</v>
      </c>
      <c r="Y685" s="14">
        <v>-13</v>
      </c>
      <c r="Z685" s="48">
        <f t="shared" si="192"/>
        <v>-10.5</v>
      </c>
      <c r="AA685" s="14"/>
      <c r="AB685" s="14"/>
      <c r="AC685" s="14"/>
      <c r="AD685" s="48"/>
      <c r="AE685" s="14"/>
      <c r="AF685" s="14"/>
      <c r="AG685" s="14"/>
      <c r="AH685" s="48"/>
      <c r="AI685" s="14"/>
      <c r="AJ685" s="14"/>
      <c r="AK685" s="14"/>
      <c r="AL685" s="48"/>
      <c r="AM685" s="14"/>
      <c r="AN685" s="14"/>
      <c r="AO685" s="14"/>
      <c r="AP685" s="48"/>
      <c r="AQ685" s="14"/>
      <c r="AR685" s="14"/>
      <c r="AS685" s="14"/>
      <c r="AT685" s="48"/>
      <c r="AU685" s="14"/>
      <c r="AV685" s="14"/>
      <c r="AW685" s="14"/>
      <c r="AX685" s="49"/>
    </row>
    <row r="686" spans="1:50" ht="10.199999999999999" customHeight="1" x14ac:dyDescent="0.25">
      <c r="A686" s="14">
        <v>18</v>
      </c>
      <c r="B686" s="103">
        <v>40304</v>
      </c>
      <c r="C686" s="103">
        <v>40297</v>
      </c>
      <c r="D686" s="14"/>
      <c r="E686" s="14"/>
      <c r="F686" s="48"/>
      <c r="G686" s="14"/>
      <c r="H686" s="14"/>
      <c r="I686" s="14"/>
      <c r="J686" s="48"/>
      <c r="K686" s="14"/>
      <c r="L686" s="14"/>
      <c r="M686" s="14"/>
      <c r="N686" s="48"/>
      <c r="O686" s="14"/>
      <c r="P686" s="14"/>
      <c r="Q686" s="14"/>
      <c r="R686" s="48"/>
      <c r="S686" s="14"/>
      <c r="T686" s="14">
        <v>1</v>
      </c>
      <c r="U686" s="14">
        <v>-8</v>
      </c>
      <c r="V686" s="48">
        <f t="shared" si="191"/>
        <v>-3.5</v>
      </c>
      <c r="W686" s="14"/>
      <c r="X686" s="14">
        <v>-12</v>
      </c>
      <c r="Y686" s="14">
        <v>-13</v>
      </c>
      <c r="Z686" s="48">
        <f t="shared" si="192"/>
        <v>-12.5</v>
      </c>
      <c r="AA686" s="14"/>
      <c r="AB686" s="14"/>
      <c r="AC686" s="14">
        <v>-25</v>
      </c>
      <c r="AD686" s="48">
        <f t="shared" ref="AD686:AD696" si="193">AVERAGE(AB686:AC686)</f>
        <v>-25</v>
      </c>
      <c r="AE686" s="14"/>
      <c r="AF686" s="14"/>
      <c r="AG686" s="14"/>
      <c r="AH686" s="48"/>
      <c r="AI686" s="14"/>
      <c r="AJ686" s="14"/>
      <c r="AK686" s="14"/>
      <c r="AL686" s="48"/>
      <c r="AM686" s="14"/>
      <c r="AN686" s="14"/>
      <c r="AO686" s="14"/>
      <c r="AP686" s="48"/>
      <c r="AQ686" s="14"/>
      <c r="AR686" s="14"/>
      <c r="AS686" s="14"/>
      <c r="AT686" s="48"/>
      <c r="AU686" s="14"/>
      <c r="AV686" s="14"/>
      <c r="AW686" s="14"/>
      <c r="AX686" s="49"/>
    </row>
    <row r="687" spans="1:50" ht="10.199999999999999" customHeight="1" x14ac:dyDescent="0.25">
      <c r="A687" s="14">
        <v>19</v>
      </c>
      <c r="B687" s="103">
        <v>40311</v>
      </c>
      <c r="C687" s="103">
        <v>40304</v>
      </c>
      <c r="D687" s="14"/>
      <c r="E687" s="14"/>
      <c r="F687" s="48"/>
      <c r="G687" s="14"/>
      <c r="H687" s="14"/>
      <c r="I687" s="14"/>
      <c r="J687" s="48"/>
      <c r="K687" s="14"/>
      <c r="L687" s="14"/>
      <c r="M687" s="14"/>
      <c r="N687" s="48"/>
      <c r="O687" s="14"/>
      <c r="P687" s="14"/>
      <c r="Q687" s="14"/>
      <c r="R687" s="48"/>
      <c r="S687" s="14"/>
      <c r="T687" s="14">
        <v>0</v>
      </c>
      <c r="U687" s="14">
        <v>-10</v>
      </c>
      <c r="V687" s="48">
        <f t="shared" si="191"/>
        <v>-5</v>
      </c>
      <c r="W687" s="14"/>
      <c r="X687" s="14">
        <v>-10</v>
      </c>
      <c r="Y687" s="14">
        <v>-8</v>
      </c>
      <c r="Z687" s="48">
        <f t="shared" si="192"/>
        <v>-9</v>
      </c>
      <c r="AA687" s="14"/>
      <c r="AB687" s="14"/>
      <c r="AC687" s="14">
        <v>-25</v>
      </c>
      <c r="AD687" s="48">
        <f t="shared" si="193"/>
        <v>-25</v>
      </c>
      <c r="AE687" s="14"/>
      <c r="AF687" s="14"/>
      <c r="AG687" s="14"/>
      <c r="AH687" s="48"/>
      <c r="AI687" s="14"/>
      <c r="AJ687" s="14"/>
      <c r="AK687" s="14"/>
      <c r="AL687" s="48"/>
      <c r="AM687" s="14"/>
      <c r="AN687" s="14"/>
      <c r="AO687" s="14"/>
      <c r="AP687" s="48"/>
      <c r="AQ687" s="14"/>
      <c r="AR687" s="14"/>
      <c r="AS687" s="14"/>
      <c r="AT687" s="48"/>
      <c r="AU687" s="14"/>
      <c r="AV687" s="14"/>
      <c r="AW687" s="14"/>
      <c r="AX687" s="49"/>
    </row>
    <row r="688" spans="1:50" ht="10.199999999999999" customHeight="1" x14ac:dyDescent="0.25">
      <c r="A688" s="14">
        <v>20</v>
      </c>
      <c r="B688" s="103">
        <v>40318</v>
      </c>
      <c r="C688" s="103">
        <v>40311</v>
      </c>
      <c r="D688" s="14"/>
      <c r="E688" s="14"/>
      <c r="F688" s="48"/>
      <c r="G688" s="14"/>
      <c r="H688" s="14"/>
      <c r="I688" s="14"/>
      <c r="J688" s="48"/>
      <c r="K688" s="14"/>
      <c r="L688" s="14"/>
      <c r="M688" s="14"/>
      <c r="N688" s="48"/>
      <c r="O688" s="14"/>
      <c r="P688" s="14"/>
      <c r="Q688" s="14"/>
      <c r="R688" s="48"/>
      <c r="S688" s="14"/>
      <c r="T688" s="14">
        <v>0</v>
      </c>
      <c r="U688" s="14"/>
      <c r="V688" s="48">
        <f t="shared" si="191"/>
        <v>0</v>
      </c>
      <c r="W688" s="14"/>
      <c r="X688" s="14">
        <v>0</v>
      </c>
      <c r="Y688" s="14">
        <v>10</v>
      </c>
      <c r="Z688" s="48">
        <f t="shared" si="192"/>
        <v>5</v>
      </c>
      <c r="AA688" s="14"/>
      <c r="AB688" s="14"/>
      <c r="AC688" s="14">
        <v>-10</v>
      </c>
      <c r="AD688" s="48">
        <f t="shared" si="193"/>
        <v>-10</v>
      </c>
      <c r="AE688" s="14"/>
      <c r="AF688" s="14"/>
      <c r="AG688" s="14"/>
      <c r="AH688" s="48"/>
      <c r="AI688" s="14"/>
      <c r="AJ688" s="14"/>
      <c r="AK688" s="14"/>
      <c r="AL688" s="48"/>
      <c r="AM688" s="14"/>
      <c r="AN688" s="14"/>
      <c r="AO688" s="14"/>
      <c r="AP688" s="48"/>
      <c r="AQ688" s="14"/>
      <c r="AR688" s="14"/>
      <c r="AS688" s="14"/>
      <c r="AT688" s="48"/>
      <c r="AU688" s="14"/>
      <c r="AV688" s="14"/>
      <c r="AW688" s="14"/>
      <c r="AX688" s="49"/>
    </row>
    <row r="689" spans="1:50" ht="10.199999999999999" customHeight="1" x14ac:dyDescent="0.25">
      <c r="A689" s="14">
        <v>21</v>
      </c>
      <c r="B689" s="103">
        <v>40325</v>
      </c>
      <c r="C689" s="103">
        <v>40318</v>
      </c>
      <c r="D689" s="14"/>
      <c r="E689" s="14"/>
      <c r="F689" s="48"/>
      <c r="G689" s="14"/>
      <c r="H689" s="14"/>
      <c r="I689" s="14"/>
      <c r="J689" s="48"/>
      <c r="K689" s="14"/>
      <c r="L689" s="14"/>
      <c r="M689" s="14"/>
      <c r="N689" s="48"/>
      <c r="O689" s="14"/>
      <c r="P689" s="14"/>
      <c r="Q689" s="14"/>
      <c r="R689" s="48"/>
      <c r="S689" s="14"/>
      <c r="T689" s="14"/>
      <c r="U689" s="14"/>
      <c r="V689" s="48"/>
      <c r="W689" s="14"/>
      <c r="X689" s="14">
        <v>2</v>
      </c>
      <c r="Y689" s="14">
        <v>0</v>
      </c>
      <c r="Z689" s="48">
        <f t="shared" si="192"/>
        <v>1</v>
      </c>
      <c r="AA689" s="14"/>
      <c r="AB689" s="14">
        <v>2</v>
      </c>
      <c r="AC689" s="14">
        <v>8</v>
      </c>
      <c r="AD689" s="48">
        <f t="shared" si="193"/>
        <v>5</v>
      </c>
      <c r="AE689" s="14"/>
      <c r="AF689" s="14"/>
      <c r="AG689" s="14"/>
      <c r="AH689" s="48"/>
      <c r="AI689" s="14"/>
      <c r="AJ689" s="14"/>
      <c r="AK689" s="14"/>
      <c r="AL689" s="48"/>
      <c r="AM689" s="14"/>
      <c r="AN689" s="14"/>
      <c r="AO689" s="14"/>
      <c r="AP689" s="48"/>
      <c r="AQ689" s="14"/>
      <c r="AR689" s="14"/>
      <c r="AS689" s="14"/>
      <c r="AT689" s="48"/>
      <c r="AU689" s="14"/>
      <c r="AV689" s="14"/>
      <c r="AW689" s="14"/>
      <c r="AX689" s="49"/>
    </row>
    <row r="690" spans="1:50" ht="10.199999999999999" customHeight="1" x14ac:dyDescent="0.25">
      <c r="A690" s="14">
        <v>22</v>
      </c>
      <c r="B690" s="103">
        <v>40332</v>
      </c>
      <c r="C690" s="103">
        <v>40325</v>
      </c>
      <c r="D690" s="14"/>
      <c r="E690" s="14"/>
      <c r="F690" s="48"/>
      <c r="G690" s="14"/>
      <c r="H690" s="14"/>
      <c r="I690" s="14"/>
      <c r="J690" s="48"/>
      <c r="K690" s="14"/>
      <c r="L690" s="14"/>
      <c r="M690" s="14"/>
      <c r="N690" s="48"/>
      <c r="O690" s="14"/>
      <c r="P690" s="14"/>
      <c r="Q690" s="14"/>
      <c r="R690" s="48"/>
      <c r="S690" s="14"/>
      <c r="T690" s="14"/>
      <c r="U690" s="14"/>
      <c r="V690" s="48"/>
      <c r="W690" s="14"/>
      <c r="X690" s="14">
        <v>4</v>
      </c>
      <c r="Y690" s="14">
        <v>0</v>
      </c>
      <c r="Z690" s="48">
        <f t="shared" si="192"/>
        <v>2</v>
      </c>
      <c r="AA690" s="14"/>
      <c r="AB690" s="14">
        <v>0</v>
      </c>
      <c r="AC690" s="14">
        <v>8</v>
      </c>
      <c r="AD690" s="48">
        <f t="shared" si="193"/>
        <v>4</v>
      </c>
      <c r="AE690" s="14"/>
      <c r="AF690" s="14"/>
      <c r="AG690" s="14"/>
      <c r="AH690" s="48"/>
      <c r="AI690" s="14"/>
      <c r="AJ690" s="14"/>
      <c r="AK690" s="14"/>
      <c r="AL690" s="48"/>
      <c r="AM690" s="14"/>
      <c r="AN690" s="14"/>
      <c r="AO690" s="14"/>
      <c r="AP690" s="48"/>
      <c r="AQ690" s="14"/>
      <c r="AR690" s="14"/>
      <c r="AS690" s="14"/>
      <c r="AT690" s="48"/>
      <c r="AU690" s="14"/>
      <c r="AV690" s="14"/>
      <c r="AW690" s="14"/>
      <c r="AX690" s="49"/>
    </row>
    <row r="691" spans="1:50" ht="10.199999999999999" customHeight="1" x14ac:dyDescent="0.25">
      <c r="A691" s="14">
        <v>23</v>
      </c>
      <c r="B691" s="103">
        <v>40339</v>
      </c>
      <c r="C691" s="103">
        <v>40332</v>
      </c>
      <c r="D691" s="14"/>
      <c r="E691" s="14"/>
      <c r="F691" s="48"/>
      <c r="G691" s="14"/>
      <c r="H691" s="14"/>
      <c r="I691" s="14"/>
      <c r="J691" s="48"/>
      <c r="K691" s="14"/>
      <c r="L691" s="14"/>
      <c r="M691" s="14"/>
      <c r="N691" s="48"/>
      <c r="O691" s="14"/>
      <c r="P691" s="14"/>
      <c r="Q691" s="14"/>
      <c r="R691" s="48"/>
      <c r="S691" s="14"/>
      <c r="T691" s="14"/>
      <c r="U691" s="14"/>
      <c r="V691" s="48"/>
      <c r="W691" s="14"/>
      <c r="X691" s="14">
        <v>0</v>
      </c>
      <c r="Y691" s="14">
        <v>8</v>
      </c>
      <c r="Z691" s="48">
        <f t="shared" si="192"/>
        <v>4</v>
      </c>
      <c r="AA691" s="14"/>
      <c r="AB691" s="14">
        <v>2</v>
      </c>
      <c r="AC691" s="14">
        <v>8</v>
      </c>
      <c r="AD691" s="48">
        <f t="shared" si="193"/>
        <v>5</v>
      </c>
      <c r="AE691" s="14"/>
      <c r="AF691" s="14"/>
      <c r="AG691" s="14"/>
      <c r="AH691" s="48"/>
      <c r="AI691" s="14"/>
      <c r="AJ691" s="14"/>
      <c r="AK691" s="14"/>
      <c r="AL691" s="48"/>
      <c r="AM691" s="14"/>
      <c r="AN691" s="14"/>
      <c r="AO691" s="14"/>
      <c r="AP691" s="48"/>
      <c r="AQ691" s="14"/>
      <c r="AR691" s="14"/>
      <c r="AS691" s="14"/>
      <c r="AT691" s="48"/>
      <c r="AU691" s="14"/>
      <c r="AV691" s="14"/>
      <c r="AW691" s="14"/>
      <c r="AX691" s="49"/>
    </row>
    <row r="692" spans="1:50" ht="10.199999999999999" customHeight="1" x14ac:dyDescent="0.25">
      <c r="A692" s="14">
        <v>24</v>
      </c>
      <c r="B692" s="103">
        <v>40346</v>
      </c>
      <c r="C692" s="103">
        <v>40339</v>
      </c>
      <c r="D692" s="14"/>
      <c r="E692" s="14"/>
      <c r="F692" s="48"/>
      <c r="G692" s="14"/>
      <c r="H692" s="14"/>
      <c r="I692" s="14"/>
      <c r="J692" s="48"/>
      <c r="K692" s="14"/>
      <c r="L692" s="14"/>
      <c r="M692" s="14"/>
      <c r="N692" s="48"/>
      <c r="O692" s="14"/>
      <c r="P692" s="14"/>
      <c r="Q692" s="14"/>
      <c r="R692" s="48"/>
      <c r="S692" s="14"/>
      <c r="T692" s="14"/>
      <c r="U692" s="14"/>
      <c r="V692" s="48"/>
      <c r="W692" s="14"/>
      <c r="X692" s="14">
        <v>-63</v>
      </c>
      <c r="Y692" s="14"/>
      <c r="Z692" s="48">
        <f t="shared" si="192"/>
        <v>-63</v>
      </c>
      <c r="AA692" s="14"/>
      <c r="AB692" s="14">
        <v>-2</v>
      </c>
      <c r="AC692" s="14">
        <v>-3</v>
      </c>
      <c r="AD692" s="48">
        <f t="shared" si="193"/>
        <v>-2.5</v>
      </c>
      <c r="AE692" s="14"/>
      <c r="AF692" s="14">
        <v>25</v>
      </c>
      <c r="AG692" s="14">
        <v>19</v>
      </c>
      <c r="AH692" s="48">
        <f t="shared" ref="AH692:AH700" si="194">AVERAGE(AF692:AG692)</f>
        <v>22</v>
      </c>
      <c r="AI692" s="14"/>
      <c r="AJ692" s="14"/>
      <c r="AK692" s="14">
        <v>63</v>
      </c>
      <c r="AL692" s="48">
        <f t="shared" ref="AL692:AL705" si="195">AVERAGE(AJ692:AK692)</f>
        <v>63</v>
      </c>
      <c r="AM692" s="14"/>
      <c r="AN692" s="14"/>
      <c r="AO692" s="14"/>
      <c r="AP692" s="48"/>
      <c r="AQ692" s="14"/>
      <c r="AR692" s="14"/>
      <c r="AS692" s="14"/>
      <c r="AT692" s="48"/>
      <c r="AU692" s="14"/>
      <c r="AV692" s="14"/>
      <c r="AW692" s="14"/>
      <c r="AX692" s="49"/>
    </row>
    <row r="693" spans="1:50" ht="10.199999999999999" customHeight="1" x14ac:dyDescent="0.25">
      <c r="A693" s="14">
        <v>25</v>
      </c>
      <c r="B693" s="103">
        <v>40353</v>
      </c>
      <c r="C693" s="103">
        <v>40346</v>
      </c>
      <c r="D693" s="14"/>
      <c r="E693" s="14"/>
      <c r="F693" s="48"/>
      <c r="G693" s="14"/>
      <c r="H693" s="14"/>
      <c r="I693" s="14"/>
      <c r="J693" s="48"/>
      <c r="K693" s="14"/>
      <c r="L693" s="14"/>
      <c r="M693" s="14"/>
      <c r="N693" s="48"/>
      <c r="O693" s="14"/>
      <c r="P693" s="14"/>
      <c r="Q693" s="14"/>
      <c r="R693" s="48"/>
      <c r="S693" s="14"/>
      <c r="T693" s="14"/>
      <c r="U693" s="14"/>
      <c r="V693" s="48"/>
      <c r="W693" s="14"/>
      <c r="X693" s="14"/>
      <c r="Y693" s="14"/>
      <c r="Z693" s="48"/>
      <c r="AA693" s="14"/>
      <c r="AB693" s="14">
        <v>-3</v>
      </c>
      <c r="AC693" s="14">
        <v>-9</v>
      </c>
      <c r="AD693" s="48">
        <f t="shared" si="193"/>
        <v>-6</v>
      </c>
      <c r="AE693" s="14"/>
      <c r="AF693" s="14">
        <v>25</v>
      </c>
      <c r="AG693" s="14">
        <v>19</v>
      </c>
      <c r="AH693" s="48">
        <f t="shared" si="194"/>
        <v>22</v>
      </c>
      <c r="AI693" s="14"/>
      <c r="AJ693" s="14"/>
      <c r="AK693" s="14">
        <v>63</v>
      </c>
      <c r="AL693" s="48">
        <f t="shared" si="195"/>
        <v>63</v>
      </c>
      <c r="AM693" s="14"/>
      <c r="AN693" s="14"/>
      <c r="AO693" s="14"/>
      <c r="AP693" s="48"/>
      <c r="AQ693" s="14"/>
      <c r="AR693" s="14"/>
      <c r="AS693" s="14"/>
      <c r="AT693" s="48"/>
      <c r="AU693" s="14"/>
      <c r="AV693" s="14"/>
      <c r="AW693" s="14"/>
      <c r="AX693" s="49"/>
    </row>
    <row r="694" spans="1:50" ht="10.199999999999999" customHeight="1" x14ac:dyDescent="0.25">
      <c r="A694" s="14">
        <v>26</v>
      </c>
      <c r="B694" s="103">
        <v>40360</v>
      </c>
      <c r="C694" s="103">
        <v>40353</v>
      </c>
      <c r="D694" s="14"/>
      <c r="E694" s="14"/>
      <c r="F694" s="48"/>
      <c r="G694" s="14"/>
      <c r="H694" s="14"/>
      <c r="I694" s="14"/>
      <c r="J694" s="48"/>
      <c r="K694" s="14"/>
      <c r="L694" s="14"/>
      <c r="M694" s="14"/>
      <c r="N694" s="48"/>
      <c r="O694" s="14"/>
      <c r="P694" s="14"/>
      <c r="Q694" s="14"/>
      <c r="R694" s="48"/>
      <c r="S694" s="14"/>
      <c r="T694" s="14"/>
      <c r="U694" s="14"/>
      <c r="V694" s="48"/>
      <c r="W694" s="14"/>
      <c r="X694" s="14"/>
      <c r="Y694" s="14"/>
      <c r="Z694" s="48"/>
      <c r="AA694" s="14"/>
      <c r="AB694" s="14">
        <v>8</v>
      </c>
      <c r="AC694" s="14">
        <v>0</v>
      </c>
      <c r="AD694" s="48">
        <f t="shared" si="193"/>
        <v>4</v>
      </c>
      <c r="AE694" s="14"/>
      <c r="AF694" s="14">
        <v>25</v>
      </c>
      <c r="AG694" s="14">
        <v>5</v>
      </c>
      <c r="AH694" s="48">
        <f t="shared" si="194"/>
        <v>15</v>
      </c>
      <c r="AI694" s="14"/>
      <c r="AJ694" s="14"/>
      <c r="AK694" s="14">
        <v>63</v>
      </c>
      <c r="AL694" s="48">
        <f t="shared" si="195"/>
        <v>63</v>
      </c>
      <c r="AM694" s="14"/>
      <c r="AN694" s="14"/>
      <c r="AO694" s="14">
        <v>113</v>
      </c>
      <c r="AP694" s="48">
        <f t="shared" ref="AP694:AP710" si="196">AVERAGE(AN694:AO694)</f>
        <v>113</v>
      </c>
      <c r="AQ694" s="14"/>
      <c r="AR694" s="14"/>
      <c r="AS694" s="14"/>
      <c r="AT694" s="48"/>
      <c r="AU694" s="14"/>
      <c r="AV694" s="14"/>
      <c r="AW694" s="14"/>
      <c r="AX694" s="49"/>
    </row>
    <row r="695" spans="1:50" ht="10.199999999999999" customHeight="1" x14ac:dyDescent="0.25">
      <c r="A695" s="14">
        <v>27</v>
      </c>
      <c r="B695" s="103">
        <v>40367</v>
      </c>
      <c r="C695" s="103">
        <v>40360</v>
      </c>
      <c r="D695" s="14"/>
      <c r="E695" s="14"/>
      <c r="F695" s="48"/>
      <c r="G695" s="14"/>
      <c r="H695" s="14"/>
      <c r="I695" s="14"/>
      <c r="J695" s="48"/>
      <c r="K695" s="14"/>
      <c r="L695" s="14"/>
      <c r="M695" s="14"/>
      <c r="N695" s="48"/>
      <c r="O695" s="14"/>
      <c r="P695" s="14"/>
      <c r="Q695" s="14"/>
      <c r="R695" s="48"/>
      <c r="S695" s="14"/>
      <c r="T695" s="14"/>
      <c r="U695" s="14"/>
      <c r="V695" s="48"/>
      <c r="W695" s="14"/>
      <c r="X695" s="14"/>
      <c r="Y695" s="14"/>
      <c r="Z695" s="48"/>
      <c r="AA695" s="14"/>
      <c r="AB695" s="14">
        <v>3</v>
      </c>
      <c r="AC695" s="14">
        <v>0</v>
      </c>
      <c r="AD695" s="48">
        <f t="shared" si="193"/>
        <v>1.5</v>
      </c>
      <c r="AE695" s="14"/>
      <c r="AF695" s="14">
        <v>10</v>
      </c>
      <c r="AG695" s="14">
        <v>5</v>
      </c>
      <c r="AH695" s="48">
        <f t="shared" si="194"/>
        <v>7.5</v>
      </c>
      <c r="AI695" s="14"/>
      <c r="AJ695" s="14">
        <v>-5</v>
      </c>
      <c r="AK695" s="14">
        <v>76</v>
      </c>
      <c r="AL695" s="48">
        <f t="shared" si="195"/>
        <v>35.5</v>
      </c>
      <c r="AM695" s="14"/>
      <c r="AN695" s="14"/>
      <c r="AO695" s="14">
        <v>175</v>
      </c>
      <c r="AP695" s="48">
        <f t="shared" si="196"/>
        <v>175</v>
      </c>
      <c r="AQ695" s="14"/>
      <c r="AR695" s="14"/>
      <c r="AS695" s="14"/>
      <c r="AT695" s="48"/>
      <c r="AU695" s="14"/>
      <c r="AV695" s="14"/>
      <c r="AW695" s="14"/>
      <c r="AX695" s="49"/>
    </row>
    <row r="696" spans="1:50" ht="10.199999999999999" customHeight="1" x14ac:dyDescent="0.25">
      <c r="A696" s="14">
        <v>28</v>
      </c>
      <c r="B696" s="103">
        <v>40374</v>
      </c>
      <c r="C696" s="103">
        <v>40367</v>
      </c>
      <c r="D696" s="14"/>
      <c r="E696" s="14"/>
      <c r="F696" s="48"/>
      <c r="G696" s="14"/>
      <c r="H696" s="14"/>
      <c r="I696" s="14"/>
      <c r="J696" s="48"/>
      <c r="K696" s="14"/>
      <c r="L696" s="14"/>
      <c r="M696" s="14"/>
      <c r="N696" s="48"/>
      <c r="O696" s="14"/>
      <c r="P696" s="14"/>
      <c r="Q696" s="14"/>
      <c r="R696" s="48"/>
      <c r="S696" s="14"/>
      <c r="T696" s="14"/>
      <c r="U696" s="14"/>
      <c r="V696" s="48"/>
      <c r="W696" s="14"/>
      <c r="X696" s="14"/>
      <c r="Y696" s="14"/>
      <c r="Z696" s="48"/>
      <c r="AA696" s="14"/>
      <c r="AB696" s="14">
        <v>63</v>
      </c>
      <c r="AC696" s="14"/>
      <c r="AD696" s="48">
        <f t="shared" si="193"/>
        <v>63</v>
      </c>
      <c r="AE696" s="14"/>
      <c r="AF696" s="14">
        <v>84</v>
      </c>
      <c r="AG696" s="14">
        <v>0</v>
      </c>
      <c r="AH696" s="48">
        <f t="shared" si="194"/>
        <v>42</v>
      </c>
      <c r="AI696" s="14"/>
      <c r="AJ696" s="14">
        <v>138</v>
      </c>
      <c r="AK696" s="14">
        <v>88</v>
      </c>
      <c r="AL696" s="48">
        <f t="shared" si="195"/>
        <v>113</v>
      </c>
      <c r="AM696" s="14"/>
      <c r="AN696" s="14"/>
      <c r="AO696" s="14">
        <v>175</v>
      </c>
      <c r="AP696" s="48">
        <f t="shared" si="196"/>
        <v>175</v>
      </c>
      <c r="AQ696" s="14"/>
      <c r="AR696" s="14"/>
      <c r="AS696" s="14"/>
      <c r="AT696" s="48"/>
      <c r="AU696" s="14"/>
      <c r="AV696" s="14"/>
      <c r="AW696" s="14"/>
      <c r="AX696" s="49"/>
    </row>
    <row r="697" spans="1:50" ht="10.199999999999999" customHeight="1" x14ac:dyDescent="0.25">
      <c r="A697" s="14">
        <v>29</v>
      </c>
      <c r="B697" s="103">
        <v>40381</v>
      </c>
      <c r="C697" s="103">
        <v>40374</v>
      </c>
      <c r="D697" s="14"/>
      <c r="E697" s="14"/>
      <c r="F697" s="48"/>
      <c r="G697" s="14"/>
      <c r="H697" s="14"/>
      <c r="I697" s="14"/>
      <c r="J697" s="48"/>
      <c r="K697" s="14"/>
      <c r="L697" s="14"/>
      <c r="M697" s="14"/>
      <c r="N697" s="48"/>
      <c r="O697" s="14"/>
      <c r="P697" s="14"/>
      <c r="Q697" s="14"/>
      <c r="R697" s="48"/>
      <c r="S697" s="14"/>
      <c r="T697" s="14"/>
      <c r="U697" s="14"/>
      <c r="V697" s="48"/>
      <c r="W697" s="14"/>
      <c r="X697" s="14"/>
      <c r="Y697" s="14"/>
      <c r="Z697" s="48"/>
      <c r="AA697" s="14"/>
      <c r="AB697" s="14"/>
      <c r="AC697" s="14"/>
      <c r="AD697" s="48"/>
      <c r="AE697" s="14"/>
      <c r="AF697" s="14">
        <v>142</v>
      </c>
      <c r="AG697" s="14">
        <v>25</v>
      </c>
      <c r="AH697" s="48">
        <f t="shared" si="194"/>
        <v>83.5</v>
      </c>
      <c r="AI697" s="14"/>
      <c r="AJ697" s="14">
        <v>150</v>
      </c>
      <c r="AK697" s="14">
        <v>82</v>
      </c>
      <c r="AL697" s="48">
        <f t="shared" si="195"/>
        <v>116</v>
      </c>
      <c r="AM697" s="14"/>
      <c r="AN697" s="14"/>
      <c r="AO697" s="14">
        <v>175</v>
      </c>
      <c r="AP697" s="48">
        <f t="shared" si="196"/>
        <v>175</v>
      </c>
      <c r="AQ697" s="14"/>
      <c r="AR697" s="14"/>
      <c r="AS697" s="14"/>
      <c r="AT697" s="48"/>
      <c r="AU697" s="14"/>
      <c r="AV697" s="14"/>
      <c r="AW697" s="14"/>
      <c r="AX697" s="49"/>
    </row>
    <row r="698" spans="1:50" ht="10.199999999999999" customHeight="1" x14ac:dyDescent="0.25">
      <c r="A698" s="14">
        <v>30</v>
      </c>
      <c r="B698" s="103">
        <v>40388</v>
      </c>
      <c r="C698" s="103">
        <v>40381</v>
      </c>
      <c r="D698" s="14"/>
      <c r="E698" s="14"/>
      <c r="F698" s="48"/>
      <c r="G698" s="14"/>
      <c r="H698" s="14"/>
      <c r="I698" s="14"/>
      <c r="J698" s="48"/>
      <c r="K698" s="14"/>
      <c r="L698" s="14"/>
      <c r="M698" s="14"/>
      <c r="N698" s="48"/>
      <c r="O698" s="14"/>
      <c r="P698" s="14"/>
      <c r="Q698" s="14"/>
      <c r="R698" s="48"/>
      <c r="S698" s="14"/>
      <c r="T698" s="14"/>
      <c r="U698" s="14"/>
      <c r="V698" s="48"/>
      <c r="W698" s="14"/>
      <c r="X698" s="14"/>
      <c r="Y698" s="14"/>
      <c r="Z698" s="48"/>
      <c r="AA698" s="14"/>
      <c r="AB698" s="14"/>
      <c r="AC698" s="14"/>
      <c r="AD698" s="48"/>
      <c r="AE698" s="14"/>
      <c r="AF698" s="14">
        <v>379</v>
      </c>
      <c r="AG698" s="14">
        <v>19</v>
      </c>
      <c r="AH698" s="48">
        <f t="shared" si="194"/>
        <v>199</v>
      </c>
      <c r="AI698" s="14"/>
      <c r="AJ698" s="14">
        <v>400</v>
      </c>
      <c r="AK698" s="14">
        <v>81</v>
      </c>
      <c r="AL698" s="48">
        <f t="shared" si="195"/>
        <v>240.5</v>
      </c>
      <c r="AM698" s="14"/>
      <c r="AN698" s="14">
        <v>300</v>
      </c>
      <c r="AO698" s="14">
        <v>175</v>
      </c>
      <c r="AP698" s="48">
        <f t="shared" si="196"/>
        <v>237.5</v>
      </c>
      <c r="AQ698" s="14"/>
      <c r="AR698" s="14"/>
      <c r="AS698" s="14"/>
      <c r="AT698" s="48"/>
      <c r="AU698" s="14"/>
      <c r="AV698" s="14"/>
      <c r="AW698" s="14"/>
      <c r="AX698" s="49"/>
    </row>
    <row r="699" spans="1:50" ht="10.199999999999999" customHeight="1" x14ac:dyDescent="0.25">
      <c r="A699" s="14">
        <v>31</v>
      </c>
      <c r="B699" s="103">
        <v>40395</v>
      </c>
      <c r="C699" s="103">
        <v>40388</v>
      </c>
      <c r="D699" s="14"/>
      <c r="E699" s="14"/>
      <c r="F699" s="48"/>
      <c r="G699" s="14"/>
      <c r="H699" s="14"/>
      <c r="I699" s="14"/>
      <c r="J699" s="48"/>
      <c r="K699" s="14"/>
      <c r="L699" s="14"/>
      <c r="M699" s="14"/>
      <c r="N699" s="48"/>
      <c r="O699" s="14"/>
      <c r="P699" s="14"/>
      <c r="Q699" s="14"/>
      <c r="R699" s="48"/>
      <c r="S699" s="14"/>
      <c r="T699" s="14"/>
      <c r="U699" s="14"/>
      <c r="V699" s="48"/>
      <c r="W699" s="14"/>
      <c r="X699" s="14"/>
      <c r="Y699" s="14"/>
      <c r="Z699" s="48"/>
      <c r="AA699" s="14"/>
      <c r="AB699" s="14"/>
      <c r="AC699" s="14"/>
      <c r="AD699" s="48"/>
      <c r="AE699" s="14"/>
      <c r="AF699" s="14">
        <v>352</v>
      </c>
      <c r="AG699" s="14">
        <v>75</v>
      </c>
      <c r="AH699" s="48">
        <f t="shared" si="194"/>
        <v>213.5</v>
      </c>
      <c r="AI699" s="14"/>
      <c r="AJ699" s="14">
        <v>350</v>
      </c>
      <c r="AK699" s="14">
        <v>113</v>
      </c>
      <c r="AL699" s="48">
        <f t="shared" si="195"/>
        <v>231.5</v>
      </c>
      <c r="AM699" s="14"/>
      <c r="AN699" s="14">
        <v>375</v>
      </c>
      <c r="AO699" s="14">
        <v>350</v>
      </c>
      <c r="AP699" s="48">
        <f t="shared" si="196"/>
        <v>362.5</v>
      </c>
      <c r="AQ699" s="14"/>
      <c r="AR699" s="14"/>
      <c r="AS699" s="14"/>
      <c r="AT699" s="48"/>
      <c r="AU699" s="14"/>
      <c r="AV699" s="14"/>
      <c r="AW699" s="14"/>
      <c r="AX699" s="49"/>
    </row>
    <row r="700" spans="1:50" ht="10.199999999999999" customHeight="1" x14ac:dyDescent="0.25">
      <c r="A700" s="14">
        <v>32</v>
      </c>
      <c r="B700" s="103">
        <v>40402</v>
      </c>
      <c r="C700" s="103">
        <v>40395</v>
      </c>
      <c r="D700" s="14"/>
      <c r="E700" s="14"/>
      <c r="F700" s="48"/>
      <c r="G700" s="14"/>
      <c r="H700" s="14"/>
      <c r="I700" s="14"/>
      <c r="J700" s="48"/>
      <c r="K700" s="14"/>
      <c r="L700" s="14"/>
      <c r="M700" s="14"/>
      <c r="N700" s="48"/>
      <c r="O700" s="14"/>
      <c r="P700" s="14"/>
      <c r="Q700" s="14"/>
      <c r="R700" s="48"/>
      <c r="S700" s="14"/>
      <c r="T700" s="14"/>
      <c r="U700" s="14"/>
      <c r="V700" s="48"/>
      <c r="W700" s="14"/>
      <c r="X700" s="14"/>
      <c r="Y700" s="14"/>
      <c r="Z700" s="48"/>
      <c r="AA700" s="14"/>
      <c r="AB700" s="14"/>
      <c r="AC700" s="14"/>
      <c r="AD700" s="48"/>
      <c r="AE700" s="14"/>
      <c r="AF700" s="14">
        <v>475</v>
      </c>
      <c r="AG700" s="14">
        <v>75</v>
      </c>
      <c r="AH700" s="48">
        <f t="shared" si="194"/>
        <v>275</v>
      </c>
      <c r="AI700" s="14"/>
      <c r="AJ700" s="14">
        <v>488</v>
      </c>
      <c r="AK700" s="14">
        <v>250</v>
      </c>
      <c r="AL700" s="48">
        <f t="shared" si="195"/>
        <v>369</v>
      </c>
      <c r="AM700" s="14"/>
      <c r="AN700" s="14">
        <v>250</v>
      </c>
      <c r="AO700" s="14">
        <v>250</v>
      </c>
      <c r="AP700" s="48">
        <f t="shared" si="196"/>
        <v>250</v>
      </c>
      <c r="AQ700" s="14"/>
      <c r="AR700" s="14"/>
      <c r="AS700" s="14"/>
      <c r="AT700" s="48"/>
      <c r="AU700" s="14"/>
      <c r="AV700" s="14"/>
      <c r="AW700" s="14"/>
      <c r="AX700" s="49"/>
    </row>
    <row r="701" spans="1:50" ht="10.199999999999999" customHeight="1" x14ac:dyDescent="0.25">
      <c r="A701" s="14">
        <v>33</v>
      </c>
      <c r="B701" s="103">
        <v>40409</v>
      </c>
      <c r="C701" s="103">
        <v>40402</v>
      </c>
      <c r="D701" s="14"/>
      <c r="E701" s="14"/>
      <c r="F701" s="48"/>
      <c r="G701" s="14"/>
      <c r="H701" s="14"/>
      <c r="I701" s="14"/>
      <c r="J701" s="48"/>
      <c r="K701" s="14"/>
      <c r="L701" s="14"/>
      <c r="M701" s="14"/>
      <c r="N701" s="48"/>
      <c r="O701" s="14"/>
      <c r="P701" s="14"/>
      <c r="Q701" s="14"/>
      <c r="R701" s="48"/>
      <c r="S701" s="14"/>
      <c r="T701" s="14"/>
      <c r="U701" s="14"/>
      <c r="V701" s="48"/>
      <c r="W701" s="14"/>
      <c r="X701" s="14"/>
      <c r="Y701" s="14"/>
      <c r="Z701" s="48"/>
      <c r="AA701" s="14"/>
      <c r="AB701" s="14"/>
      <c r="AC701" s="14"/>
      <c r="AD701" s="48"/>
      <c r="AE701" s="14"/>
      <c r="AF701" s="14"/>
      <c r="AG701" s="14"/>
      <c r="AH701" s="48"/>
      <c r="AI701" s="14"/>
      <c r="AJ701" s="14">
        <v>654</v>
      </c>
      <c r="AK701" s="14">
        <v>508</v>
      </c>
      <c r="AL701" s="48">
        <f t="shared" si="195"/>
        <v>581</v>
      </c>
      <c r="AM701" s="14"/>
      <c r="AN701" s="14">
        <v>700</v>
      </c>
      <c r="AO701" s="14">
        <v>450</v>
      </c>
      <c r="AP701" s="48">
        <f t="shared" si="196"/>
        <v>575</v>
      </c>
      <c r="AQ701" s="14"/>
      <c r="AR701" s="14"/>
      <c r="AS701" s="14"/>
      <c r="AT701" s="48"/>
      <c r="AU701" s="14"/>
      <c r="AV701" s="14"/>
      <c r="AW701" s="14"/>
      <c r="AX701" s="49"/>
    </row>
    <row r="702" spans="1:50" ht="10.199999999999999" customHeight="1" x14ac:dyDescent="0.25">
      <c r="A702" s="14">
        <v>34</v>
      </c>
      <c r="B702" s="103">
        <v>40416</v>
      </c>
      <c r="C702" s="103">
        <v>40409</v>
      </c>
      <c r="D702" s="14"/>
      <c r="E702" s="14"/>
      <c r="F702" s="48"/>
      <c r="G702" s="14"/>
      <c r="H702" s="14"/>
      <c r="I702" s="14"/>
      <c r="J702" s="48"/>
      <c r="K702" s="14"/>
      <c r="L702" s="14"/>
      <c r="M702" s="14"/>
      <c r="N702" s="48"/>
      <c r="O702" s="14"/>
      <c r="P702" s="14"/>
      <c r="Q702" s="14"/>
      <c r="R702" s="48"/>
      <c r="S702" s="14"/>
      <c r="T702" s="14"/>
      <c r="U702" s="14"/>
      <c r="V702" s="48"/>
      <c r="W702" s="14"/>
      <c r="X702" s="14"/>
      <c r="Y702" s="14"/>
      <c r="Z702" s="48"/>
      <c r="AA702" s="14"/>
      <c r="AB702" s="14"/>
      <c r="AC702" s="14"/>
      <c r="AD702" s="48"/>
      <c r="AE702" s="14"/>
      <c r="AF702" s="14"/>
      <c r="AG702" s="14"/>
      <c r="AH702" s="48"/>
      <c r="AI702" s="14"/>
      <c r="AJ702" s="14">
        <v>792</v>
      </c>
      <c r="AK702" s="14">
        <v>625</v>
      </c>
      <c r="AL702" s="48">
        <f t="shared" si="195"/>
        <v>708.5</v>
      </c>
      <c r="AM702" s="14"/>
      <c r="AN702" s="14">
        <v>700</v>
      </c>
      <c r="AO702" s="14">
        <v>775</v>
      </c>
      <c r="AP702" s="48">
        <f t="shared" si="196"/>
        <v>737.5</v>
      </c>
      <c r="AQ702" s="14"/>
      <c r="AR702" s="14"/>
      <c r="AS702" s="14"/>
      <c r="AT702" s="48"/>
      <c r="AU702" s="14"/>
      <c r="AV702" s="14"/>
      <c r="AW702" s="14"/>
      <c r="AX702" s="49"/>
    </row>
    <row r="703" spans="1:50" ht="10.199999999999999" customHeight="1" x14ac:dyDescent="0.25">
      <c r="A703" s="14">
        <v>35</v>
      </c>
      <c r="B703" s="103">
        <v>40423</v>
      </c>
      <c r="C703" s="103">
        <v>40416</v>
      </c>
      <c r="D703" s="14"/>
      <c r="E703" s="14"/>
      <c r="F703" s="48"/>
      <c r="G703" s="14"/>
      <c r="H703" s="14"/>
      <c r="I703" s="14"/>
      <c r="J703" s="48"/>
      <c r="K703" s="14"/>
      <c r="L703" s="14"/>
      <c r="M703" s="14"/>
      <c r="N703" s="48"/>
      <c r="O703" s="14"/>
      <c r="P703" s="14"/>
      <c r="Q703" s="14"/>
      <c r="R703" s="48"/>
      <c r="S703" s="14"/>
      <c r="T703" s="14"/>
      <c r="U703" s="14"/>
      <c r="V703" s="48"/>
      <c r="W703" s="14"/>
      <c r="X703" s="14"/>
      <c r="Y703" s="14"/>
      <c r="Z703" s="48"/>
      <c r="AA703" s="14"/>
      <c r="AB703" s="14"/>
      <c r="AC703" s="14"/>
      <c r="AD703" s="48"/>
      <c r="AE703" s="14"/>
      <c r="AF703" s="14"/>
      <c r="AG703" s="14"/>
      <c r="AH703" s="48"/>
      <c r="AI703" s="14"/>
      <c r="AJ703" s="14">
        <v>1059</v>
      </c>
      <c r="AK703" s="14">
        <v>600</v>
      </c>
      <c r="AL703" s="48">
        <f t="shared" si="195"/>
        <v>829.5</v>
      </c>
      <c r="AM703" s="14"/>
      <c r="AN703" s="14">
        <v>1100</v>
      </c>
      <c r="AO703" s="14">
        <v>750</v>
      </c>
      <c r="AP703" s="48">
        <f t="shared" si="196"/>
        <v>925</v>
      </c>
      <c r="AQ703" s="14"/>
      <c r="AR703" s="14"/>
      <c r="AS703" s="14">
        <v>375</v>
      </c>
      <c r="AT703" s="48">
        <f t="shared" ref="AT703:AT714" si="197">AVERAGE(AR703:AS703)</f>
        <v>375</v>
      </c>
      <c r="AU703" s="14"/>
      <c r="AV703" s="14"/>
      <c r="AW703" s="14"/>
      <c r="AX703" s="49"/>
    </row>
    <row r="704" spans="1:50" ht="10.199999999999999" customHeight="1" x14ac:dyDescent="0.25">
      <c r="A704" s="14">
        <v>36</v>
      </c>
      <c r="B704" s="103">
        <v>40430</v>
      </c>
      <c r="C704" s="103">
        <v>40423</v>
      </c>
      <c r="D704" s="14"/>
      <c r="E704" s="14"/>
      <c r="F704" s="48"/>
      <c r="G704" s="14"/>
      <c r="H704" s="14"/>
      <c r="I704" s="14"/>
      <c r="J704" s="48"/>
      <c r="K704" s="14"/>
      <c r="L704" s="14"/>
      <c r="M704" s="14"/>
      <c r="N704" s="48"/>
      <c r="O704" s="14"/>
      <c r="P704" s="14"/>
      <c r="Q704" s="14"/>
      <c r="R704" s="48"/>
      <c r="S704" s="14"/>
      <c r="T704" s="14"/>
      <c r="U704" s="14"/>
      <c r="V704" s="48"/>
      <c r="W704" s="14"/>
      <c r="X704" s="14"/>
      <c r="Y704" s="14"/>
      <c r="Z704" s="48"/>
      <c r="AA704" s="14"/>
      <c r="AB704" s="14"/>
      <c r="AC704" s="14"/>
      <c r="AD704" s="48"/>
      <c r="AE704" s="14"/>
      <c r="AF704" s="14"/>
      <c r="AG704" s="14"/>
      <c r="AH704" s="48"/>
      <c r="AI704" s="14"/>
      <c r="AJ704" s="14">
        <v>750</v>
      </c>
      <c r="AK704" s="14"/>
      <c r="AL704" s="48">
        <f t="shared" si="195"/>
        <v>750</v>
      </c>
      <c r="AM704" s="14"/>
      <c r="AN704" s="14">
        <v>500</v>
      </c>
      <c r="AO704" s="14">
        <v>900</v>
      </c>
      <c r="AP704" s="48">
        <f t="shared" si="196"/>
        <v>700</v>
      </c>
      <c r="AQ704" s="14"/>
      <c r="AR704" s="14"/>
      <c r="AS704" s="14">
        <v>250</v>
      </c>
      <c r="AT704" s="48">
        <f t="shared" si="197"/>
        <v>250</v>
      </c>
      <c r="AU704" s="14"/>
      <c r="AV704" s="14"/>
      <c r="AW704" s="14"/>
      <c r="AX704" s="49"/>
    </row>
    <row r="705" spans="1:50" ht="10.199999999999999" customHeight="1" x14ac:dyDescent="0.25">
      <c r="A705" s="14">
        <v>37</v>
      </c>
      <c r="B705" s="103">
        <v>40437</v>
      </c>
      <c r="C705" s="103">
        <v>40430</v>
      </c>
      <c r="D705" s="14"/>
      <c r="E705" s="14"/>
      <c r="F705" s="48"/>
      <c r="G705" s="14"/>
      <c r="H705" s="14"/>
      <c r="I705" s="14"/>
      <c r="J705" s="48"/>
      <c r="K705" s="14"/>
      <c r="L705" s="14"/>
      <c r="M705" s="14"/>
      <c r="N705" s="48"/>
      <c r="O705" s="14"/>
      <c r="P705" s="14"/>
      <c r="Q705" s="14"/>
      <c r="R705" s="48"/>
      <c r="S705" s="14"/>
      <c r="T705" s="14"/>
      <c r="U705" s="14"/>
      <c r="V705" s="48"/>
      <c r="W705" s="14"/>
      <c r="X705" s="14"/>
      <c r="Y705" s="14"/>
      <c r="Z705" s="48"/>
      <c r="AA705" s="14"/>
      <c r="AB705" s="14"/>
      <c r="AC705" s="14"/>
      <c r="AD705" s="48"/>
      <c r="AE705" s="14"/>
      <c r="AF705" s="14"/>
      <c r="AG705" s="14"/>
      <c r="AH705" s="48"/>
      <c r="AI705" s="14"/>
      <c r="AJ705" s="14">
        <v>600</v>
      </c>
      <c r="AK705" s="14"/>
      <c r="AL705" s="48">
        <f t="shared" si="195"/>
        <v>600</v>
      </c>
      <c r="AM705" s="14"/>
      <c r="AN705" s="14">
        <v>875</v>
      </c>
      <c r="AO705" s="14"/>
      <c r="AP705" s="48">
        <f t="shared" si="196"/>
        <v>875</v>
      </c>
      <c r="AQ705" s="14"/>
      <c r="AR705" s="14">
        <v>525</v>
      </c>
      <c r="AS705" s="14">
        <v>50</v>
      </c>
      <c r="AT705" s="48">
        <f t="shared" si="197"/>
        <v>287.5</v>
      </c>
      <c r="AU705" s="14"/>
      <c r="AV705" s="14">
        <v>400</v>
      </c>
      <c r="AW705" s="14"/>
      <c r="AX705" s="48">
        <f t="shared" ref="AX705:AX718" si="198">AVERAGE(AV705:AW705)</f>
        <v>400</v>
      </c>
    </row>
    <row r="706" spans="1:50" ht="10.199999999999999" customHeight="1" x14ac:dyDescent="0.25">
      <c r="A706" s="14">
        <v>38</v>
      </c>
      <c r="B706" s="103">
        <v>40444</v>
      </c>
      <c r="C706" s="103">
        <v>40437</v>
      </c>
      <c r="D706" s="14"/>
      <c r="E706" s="14"/>
      <c r="F706" s="48"/>
      <c r="G706" s="14"/>
      <c r="H706" s="14"/>
      <c r="I706" s="14"/>
      <c r="J706" s="48"/>
      <c r="K706" s="14"/>
      <c r="L706" s="14"/>
      <c r="M706" s="14"/>
      <c r="N706" s="48"/>
      <c r="O706" s="14"/>
      <c r="P706" s="14"/>
      <c r="Q706" s="14"/>
      <c r="R706" s="48"/>
      <c r="S706" s="14"/>
      <c r="T706" s="14"/>
      <c r="U706" s="14"/>
      <c r="V706" s="48"/>
      <c r="W706" s="14"/>
      <c r="X706" s="14"/>
      <c r="Y706" s="14"/>
      <c r="Z706" s="48"/>
      <c r="AA706" s="14"/>
      <c r="AB706" s="14"/>
      <c r="AC706" s="14"/>
      <c r="AD706" s="48"/>
      <c r="AE706" s="14"/>
      <c r="AF706" s="14"/>
      <c r="AG706" s="14"/>
      <c r="AH706" s="48"/>
      <c r="AI706" s="14"/>
      <c r="AJ706" s="14"/>
      <c r="AK706" s="14"/>
      <c r="AL706" s="48"/>
      <c r="AM706" s="14"/>
      <c r="AN706" s="14">
        <v>783</v>
      </c>
      <c r="AO706" s="14">
        <v>358</v>
      </c>
      <c r="AP706" s="48">
        <f t="shared" si="196"/>
        <v>570.5</v>
      </c>
      <c r="AQ706" s="14"/>
      <c r="AR706" s="14">
        <v>433</v>
      </c>
      <c r="AS706" s="14">
        <v>225</v>
      </c>
      <c r="AT706" s="48">
        <f t="shared" si="197"/>
        <v>329</v>
      </c>
      <c r="AU706" s="14"/>
      <c r="AV706" s="14">
        <v>200</v>
      </c>
      <c r="AW706" s="14"/>
      <c r="AX706" s="48">
        <f t="shared" si="198"/>
        <v>200</v>
      </c>
    </row>
    <row r="707" spans="1:50" ht="10.199999999999999" customHeight="1" x14ac:dyDescent="0.25">
      <c r="A707" s="14">
        <v>39</v>
      </c>
      <c r="B707" s="103">
        <v>40451</v>
      </c>
      <c r="C707" s="103">
        <v>40444</v>
      </c>
      <c r="D707" s="14"/>
      <c r="E707" s="14"/>
      <c r="F707" s="48"/>
      <c r="G707" s="14"/>
      <c r="H707" s="14"/>
      <c r="I707" s="14"/>
      <c r="J707" s="48"/>
      <c r="K707" s="14"/>
      <c r="L707" s="14"/>
      <c r="M707" s="14"/>
      <c r="N707" s="48"/>
      <c r="O707" s="14"/>
      <c r="P707" s="14"/>
      <c r="Q707" s="14"/>
      <c r="R707" s="48"/>
      <c r="S707" s="14"/>
      <c r="T707" s="14"/>
      <c r="U707" s="14"/>
      <c r="V707" s="48"/>
      <c r="W707" s="14"/>
      <c r="X707" s="14"/>
      <c r="Y707" s="14"/>
      <c r="Z707" s="48"/>
      <c r="AA707" s="14"/>
      <c r="AB707" s="14"/>
      <c r="AC707" s="14"/>
      <c r="AD707" s="48"/>
      <c r="AE707" s="14"/>
      <c r="AF707" s="14"/>
      <c r="AG707" s="14"/>
      <c r="AH707" s="48"/>
      <c r="AI707" s="14"/>
      <c r="AJ707" s="14"/>
      <c r="AK707" s="14"/>
      <c r="AL707" s="48"/>
      <c r="AM707" s="14"/>
      <c r="AN707" s="14">
        <v>363</v>
      </c>
      <c r="AO707" s="14">
        <v>313</v>
      </c>
      <c r="AP707" s="48">
        <f t="shared" si="196"/>
        <v>338</v>
      </c>
      <c r="AQ707" s="14"/>
      <c r="AR707" s="14">
        <v>371</v>
      </c>
      <c r="AS707" s="14">
        <v>200</v>
      </c>
      <c r="AT707" s="48">
        <f t="shared" si="197"/>
        <v>285.5</v>
      </c>
      <c r="AU707" s="14"/>
      <c r="AV707" s="14">
        <v>250</v>
      </c>
      <c r="AW707" s="14"/>
      <c r="AX707" s="48">
        <f t="shared" si="198"/>
        <v>250</v>
      </c>
    </row>
    <row r="708" spans="1:50" ht="10.199999999999999" customHeight="1" x14ac:dyDescent="0.25">
      <c r="A708" s="14">
        <v>40</v>
      </c>
      <c r="B708" s="103">
        <v>40458</v>
      </c>
      <c r="C708" s="103">
        <v>40451</v>
      </c>
      <c r="D708" s="14"/>
      <c r="E708" s="14"/>
      <c r="F708" s="48"/>
      <c r="G708" s="14"/>
      <c r="H708" s="14"/>
      <c r="I708" s="14"/>
      <c r="J708" s="48"/>
      <c r="K708" s="14"/>
      <c r="L708" s="14"/>
      <c r="M708" s="14"/>
      <c r="N708" s="48"/>
      <c r="O708" s="14"/>
      <c r="P708" s="14"/>
      <c r="Q708" s="14"/>
      <c r="R708" s="48"/>
      <c r="S708" s="14"/>
      <c r="T708" s="14"/>
      <c r="U708" s="14"/>
      <c r="V708" s="48"/>
      <c r="W708" s="14"/>
      <c r="X708" s="14"/>
      <c r="Y708" s="14"/>
      <c r="Z708" s="48"/>
      <c r="AA708" s="14"/>
      <c r="AB708" s="14"/>
      <c r="AC708" s="14"/>
      <c r="AD708" s="48"/>
      <c r="AE708" s="14"/>
      <c r="AF708" s="14"/>
      <c r="AG708" s="14"/>
      <c r="AH708" s="48"/>
      <c r="AI708" s="14"/>
      <c r="AJ708" s="14"/>
      <c r="AK708" s="14"/>
      <c r="AL708" s="48"/>
      <c r="AM708" s="14"/>
      <c r="AN708" s="14">
        <v>688</v>
      </c>
      <c r="AO708" s="14">
        <v>200</v>
      </c>
      <c r="AP708" s="48">
        <f t="shared" si="196"/>
        <v>444</v>
      </c>
      <c r="AQ708" s="14"/>
      <c r="AR708" s="14">
        <v>467</v>
      </c>
      <c r="AS708" s="14">
        <v>200</v>
      </c>
      <c r="AT708" s="48">
        <f t="shared" si="197"/>
        <v>333.5</v>
      </c>
      <c r="AU708" s="14"/>
      <c r="AV708" s="14">
        <v>500</v>
      </c>
      <c r="AW708" s="14">
        <v>100</v>
      </c>
      <c r="AX708" s="48">
        <f t="shared" si="198"/>
        <v>300</v>
      </c>
    </row>
    <row r="709" spans="1:50" ht="10.199999999999999" customHeight="1" x14ac:dyDescent="0.25">
      <c r="A709" s="14">
        <v>41</v>
      </c>
      <c r="B709" s="103">
        <v>40465</v>
      </c>
      <c r="C709" s="103">
        <v>40458</v>
      </c>
      <c r="D709" s="14"/>
      <c r="E709" s="14"/>
      <c r="F709" s="48"/>
      <c r="G709" s="14"/>
      <c r="H709" s="14"/>
      <c r="I709" s="14"/>
      <c r="J709" s="48"/>
      <c r="K709" s="14"/>
      <c r="L709" s="14"/>
      <c r="M709" s="14"/>
      <c r="N709" s="48"/>
      <c r="O709" s="14"/>
      <c r="P709" s="14"/>
      <c r="Q709" s="14"/>
      <c r="R709" s="48"/>
      <c r="S709" s="14"/>
      <c r="T709" s="14"/>
      <c r="U709" s="14"/>
      <c r="V709" s="48"/>
      <c r="W709" s="14"/>
      <c r="X709" s="14"/>
      <c r="Y709" s="14"/>
      <c r="Z709" s="48"/>
      <c r="AA709" s="14"/>
      <c r="AB709" s="14"/>
      <c r="AC709" s="14"/>
      <c r="AD709" s="48"/>
      <c r="AE709" s="14"/>
      <c r="AF709" s="14"/>
      <c r="AG709" s="14"/>
      <c r="AH709" s="48"/>
      <c r="AI709" s="14"/>
      <c r="AJ709" s="14"/>
      <c r="AK709" s="14"/>
      <c r="AL709" s="48"/>
      <c r="AM709" s="14"/>
      <c r="AN709" s="14">
        <v>700</v>
      </c>
      <c r="AO709" s="14">
        <v>300</v>
      </c>
      <c r="AP709" s="48">
        <f t="shared" si="196"/>
        <v>500</v>
      </c>
      <c r="AQ709" s="14"/>
      <c r="AR709" s="14">
        <v>467</v>
      </c>
      <c r="AS709" s="14">
        <v>184</v>
      </c>
      <c r="AT709" s="48">
        <f t="shared" si="197"/>
        <v>325.5</v>
      </c>
      <c r="AU709" s="14"/>
      <c r="AV709" s="14">
        <v>500</v>
      </c>
      <c r="AW709" s="14">
        <v>100</v>
      </c>
      <c r="AX709" s="48">
        <f t="shared" si="198"/>
        <v>300</v>
      </c>
    </row>
    <row r="710" spans="1:50" ht="10.199999999999999" customHeight="1" x14ac:dyDescent="0.25">
      <c r="A710" s="14">
        <v>42</v>
      </c>
      <c r="B710" s="103">
        <v>40472</v>
      </c>
      <c r="C710" s="103">
        <v>40465</v>
      </c>
      <c r="D710" s="14"/>
      <c r="E710" s="14"/>
      <c r="F710" s="48"/>
      <c r="G710" s="14"/>
      <c r="H710" s="14"/>
      <c r="I710" s="14"/>
      <c r="J710" s="48"/>
      <c r="K710" s="14"/>
      <c r="L710" s="14"/>
      <c r="M710" s="14"/>
      <c r="N710" s="48"/>
      <c r="O710" s="14"/>
      <c r="P710" s="14"/>
      <c r="Q710" s="14"/>
      <c r="R710" s="48"/>
      <c r="S710" s="14"/>
      <c r="T710" s="14"/>
      <c r="U710" s="14"/>
      <c r="V710" s="48"/>
      <c r="W710" s="14"/>
      <c r="X710" s="14"/>
      <c r="Y710" s="14"/>
      <c r="Z710" s="48"/>
      <c r="AA710" s="14"/>
      <c r="AB710" s="14"/>
      <c r="AC710" s="14"/>
      <c r="AD710" s="48"/>
      <c r="AE710" s="14"/>
      <c r="AF710" s="14"/>
      <c r="AG710" s="14"/>
      <c r="AH710" s="48"/>
      <c r="AI710" s="14"/>
      <c r="AJ710" s="14"/>
      <c r="AK710" s="14"/>
      <c r="AL710" s="48"/>
      <c r="AM710" s="14"/>
      <c r="AN710" s="14">
        <v>700</v>
      </c>
      <c r="AO710" s="14">
        <v>275</v>
      </c>
      <c r="AP710" s="48">
        <f t="shared" si="196"/>
        <v>487.5</v>
      </c>
      <c r="AQ710" s="14"/>
      <c r="AR710" s="14">
        <v>384</v>
      </c>
      <c r="AS710" s="14">
        <v>150</v>
      </c>
      <c r="AT710" s="48">
        <f t="shared" si="197"/>
        <v>267</v>
      </c>
      <c r="AU710" s="14"/>
      <c r="AV710" s="14">
        <v>225</v>
      </c>
      <c r="AW710" s="14">
        <v>100</v>
      </c>
      <c r="AX710" s="48">
        <f t="shared" si="198"/>
        <v>162.5</v>
      </c>
    </row>
    <row r="711" spans="1:50" ht="10.199999999999999" customHeight="1" x14ac:dyDescent="0.25">
      <c r="A711" s="14">
        <v>43</v>
      </c>
      <c r="B711" s="103">
        <v>40479</v>
      </c>
      <c r="C711" s="103">
        <v>40472</v>
      </c>
      <c r="D711" s="14"/>
      <c r="E711" s="14"/>
      <c r="F711" s="48"/>
      <c r="G711" s="14"/>
      <c r="H711" s="14"/>
      <c r="I711" s="14"/>
      <c r="J711" s="48"/>
      <c r="K711" s="14"/>
      <c r="L711" s="14"/>
      <c r="M711" s="14"/>
      <c r="N711" s="48"/>
      <c r="O711" s="14"/>
      <c r="P711" s="14"/>
      <c r="Q711" s="14"/>
      <c r="R711" s="48"/>
      <c r="S711" s="14"/>
      <c r="T711" s="14"/>
      <c r="U711" s="14"/>
      <c r="V711" s="48"/>
      <c r="W711" s="14"/>
      <c r="X711" s="14"/>
      <c r="Y711" s="14"/>
      <c r="Z711" s="48"/>
      <c r="AA711" s="14"/>
      <c r="AB711" s="14"/>
      <c r="AC711" s="14"/>
      <c r="AD711" s="48"/>
      <c r="AE711" s="14"/>
      <c r="AF711" s="14"/>
      <c r="AG711" s="14"/>
      <c r="AH711" s="48"/>
      <c r="AI711" s="14"/>
      <c r="AJ711" s="14"/>
      <c r="AK711" s="14"/>
      <c r="AL711" s="48"/>
      <c r="AM711" s="14"/>
      <c r="AN711" s="14"/>
      <c r="AO711" s="14"/>
      <c r="AP711" s="48"/>
      <c r="AQ711" s="14"/>
      <c r="AR711" s="14">
        <v>333</v>
      </c>
      <c r="AS711" s="14">
        <v>25</v>
      </c>
      <c r="AT711" s="48">
        <f t="shared" si="197"/>
        <v>179</v>
      </c>
      <c r="AU711" s="14"/>
      <c r="AV711" s="14">
        <v>200</v>
      </c>
      <c r="AW711" s="14">
        <v>0</v>
      </c>
      <c r="AX711" s="48">
        <f t="shared" si="198"/>
        <v>100</v>
      </c>
    </row>
    <row r="712" spans="1:50" ht="10.199999999999999" customHeight="1" x14ac:dyDescent="0.25">
      <c r="A712" s="14">
        <v>44</v>
      </c>
      <c r="B712" s="103">
        <v>40486</v>
      </c>
      <c r="C712" s="103">
        <v>40479</v>
      </c>
      <c r="D712" s="14"/>
      <c r="E712" s="14"/>
      <c r="F712" s="48"/>
      <c r="G712" s="14"/>
      <c r="H712" s="14"/>
      <c r="I712" s="14"/>
      <c r="J712" s="48"/>
      <c r="K712" s="14"/>
      <c r="L712" s="14"/>
      <c r="M712" s="14"/>
      <c r="N712" s="48"/>
      <c r="O712" s="14"/>
      <c r="P712" s="14"/>
      <c r="Q712" s="14"/>
      <c r="R712" s="48"/>
      <c r="S712" s="14"/>
      <c r="T712" s="14"/>
      <c r="U712" s="14"/>
      <c r="V712" s="48"/>
      <c r="W712" s="14"/>
      <c r="X712" s="14"/>
      <c r="Y712" s="14"/>
      <c r="Z712" s="48"/>
      <c r="AA712" s="14"/>
      <c r="AB712" s="14"/>
      <c r="AC712" s="14"/>
      <c r="AD712" s="48"/>
      <c r="AE712" s="14"/>
      <c r="AF712" s="14"/>
      <c r="AG712" s="14"/>
      <c r="AH712" s="48"/>
      <c r="AI712" s="14"/>
      <c r="AJ712" s="14"/>
      <c r="AK712" s="14"/>
      <c r="AL712" s="48"/>
      <c r="AM712" s="14"/>
      <c r="AN712" s="14"/>
      <c r="AO712" s="14"/>
      <c r="AP712" s="48"/>
      <c r="AQ712" s="14"/>
      <c r="AR712" s="14">
        <v>25</v>
      </c>
      <c r="AS712" s="14">
        <v>-17</v>
      </c>
      <c r="AT712" s="48">
        <f t="shared" si="197"/>
        <v>4</v>
      </c>
      <c r="AU712" s="14"/>
      <c r="AV712" s="14">
        <v>50</v>
      </c>
      <c r="AW712" s="14">
        <v>-25</v>
      </c>
      <c r="AX712" s="48">
        <f t="shared" si="198"/>
        <v>12.5</v>
      </c>
    </row>
    <row r="713" spans="1:50" ht="10.199999999999999" customHeight="1" x14ac:dyDescent="0.25">
      <c r="A713" s="14">
        <v>45</v>
      </c>
      <c r="B713" s="103">
        <v>40493</v>
      </c>
      <c r="C713" s="103">
        <v>40486</v>
      </c>
      <c r="D713" s="14"/>
      <c r="E713" s="14"/>
      <c r="F713" s="48"/>
      <c r="G713" s="14"/>
      <c r="H713" s="14"/>
      <c r="I713" s="14"/>
      <c r="J713" s="48"/>
      <c r="K713" s="14"/>
      <c r="L713" s="14"/>
      <c r="M713" s="14"/>
      <c r="N713" s="48"/>
      <c r="O713" s="14"/>
      <c r="P713" s="14"/>
      <c r="Q713" s="14"/>
      <c r="R713" s="48"/>
      <c r="S713" s="14"/>
      <c r="T713" s="14"/>
      <c r="U713" s="14"/>
      <c r="V713" s="48"/>
      <c r="W713" s="14"/>
      <c r="X713" s="14"/>
      <c r="Y713" s="14"/>
      <c r="Z713" s="48"/>
      <c r="AA713" s="14"/>
      <c r="AB713" s="14"/>
      <c r="AC713" s="14"/>
      <c r="AD713" s="48"/>
      <c r="AE713" s="14"/>
      <c r="AF713" s="14"/>
      <c r="AG713" s="14"/>
      <c r="AH713" s="48"/>
      <c r="AI713" s="14"/>
      <c r="AJ713" s="14"/>
      <c r="AK713" s="14"/>
      <c r="AL713" s="48"/>
      <c r="AM713" s="14"/>
      <c r="AN713" s="14"/>
      <c r="AO713" s="14"/>
      <c r="AP713" s="48"/>
      <c r="AQ713" s="14"/>
      <c r="AR713" s="14">
        <v>0</v>
      </c>
      <c r="AS713" s="14">
        <v>-25</v>
      </c>
      <c r="AT713" s="48">
        <f t="shared" si="197"/>
        <v>-12.5</v>
      </c>
      <c r="AU713" s="14"/>
      <c r="AV713" s="14">
        <v>50</v>
      </c>
      <c r="AW713" s="14">
        <v>-25</v>
      </c>
      <c r="AX713" s="48">
        <f t="shared" si="198"/>
        <v>12.5</v>
      </c>
    </row>
    <row r="714" spans="1:50" ht="10.199999999999999" customHeight="1" x14ac:dyDescent="0.25">
      <c r="A714" s="14">
        <v>46</v>
      </c>
      <c r="B714" s="103">
        <v>40500</v>
      </c>
      <c r="C714" s="103">
        <v>40493</v>
      </c>
      <c r="D714" s="14"/>
      <c r="E714" s="14">
        <v>-50</v>
      </c>
      <c r="F714" s="48">
        <f t="shared" ref="F714:F723" si="199">AVERAGE(D714:E714)</f>
        <v>-50</v>
      </c>
      <c r="G714" s="14"/>
      <c r="H714" s="14"/>
      <c r="I714" s="14"/>
      <c r="J714" s="48"/>
      <c r="K714" s="14"/>
      <c r="L714" s="14"/>
      <c r="M714" s="14"/>
      <c r="N714" s="48"/>
      <c r="O714" s="14"/>
      <c r="P714" s="14"/>
      <c r="Q714" s="14"/>
      <c r="R714" s="48"/>
      <c r="S714" s="14"/>
      <c r="T714" s="14"/>
      <c r="U714" s="14"/>
      <c r="V714" s="48"/>
      <c r="W714" s="14"/>
      <c r="X714" s="14"/>
      <c r="Y714" s="14"/>
      <c r="Z714" s="48"/>
      <c r="AA714" s="14"/>
      <c r="AB714" s="14"/>
      <c r="AC714" s="14"/>
      <c r="AD714" s="48"/>
      <c r="AE714" s="14"/>
      <c r="AF714" s="14"/>
      <c r="AG714" s="14"/>
      <c r="AH714" s="48"/>
      <c r="AI714" s="14"/>
      <c r="AJ714" s="14"/>
      <c r="AK714" s="14"/>
      <c r="AL714" s="48"/>
      <c r="AM714" s="14"/>
      <c r="AN714" s="14"/>
      <c r="AO714" s="14"/>
      <c r="AP714" s="48"/>
      <c r="AQ714" s="14"/>
      <c r="AR714" s="14">
        <v>-67</v>
      </c>
      <c r="AS714" s="14">
        <v>-50</v>
      </c>
      <c r="AT714" s="48">
        <f t="shared" si="197"/>
        <v>-58.5</v>
      </c>
      <c r="AU714" s="14"/>
      <c r="AV714" s="14">
        <v>50</v>
      </c>
      <c r="AW714" s="14">
        <v>-32</v>
      </c>
      <c r="AX714" s="48">
        <f t="shared" si="198"/>
        <v>9</v>
      </c>
    </row>
    <row r="715" spans="1:50" ht="10.199999999999999" customHeight="1" x14ac:dyDescent="0.25">
      <c r="A715" s="14">
        <v>47</v>
      </c>
      <c r="B715" s="103">
        <v>40507</v>
      </c>
      <c r="C715" s="103">
        <v>40500</v>
      </c>
      <c r="D715" s="14">
        <v>25</v>
      </c>
      <c r="E715" s="14">
        <v>0</v>
      </c>
      <c r="F715" s="48">
        <f t="shared" si="199"/>
        <v>12.5</v>
      </c>
      <c r="G715" s="14"/>
      <c r="H715" s="14"/>
      <c r="I715" s="14"/>
      <c r="J715" s="48"/>
      <c r="K715" s="14"/>
      <c r="L715" s="14"/>
      <c r="M715" s="14"/>
      <c r="N715" s="48"/>
      <c r="O715" s="14"/>
      <c r="P715" s="14"/>
      <c r="Q715" s="14"/>
      <c r="R715" s="48"/>
      <c r="S715" s="14"/>
      <c r="T715" s="14"/>
      <c r="U715" s="14"/>
      <c r="V715" s="48"/>
      <c r="W715" s="14"/>
      <c r="X715" s="14"/>
      <c r="Y715" s="14"/>
      <c r="Z715" s="48"/>
      <c r="AA715" s="14"/>
      <c r="AB715" s="14"/>
      <c r="AC715" s="14"/>
      <c r="AD715" s="48"/>
      <c r="AE715" s="14"/>
      <c r="AF715" s="14"/>
      <c r="AG715" s="14"/>
      <c r="AH715" s="48"/>
      <c r="AI715" s="14"/>
      <c r="AJ715" s="14"/>
      <c r="AK715" s="14"/>
      <c r="AL715" s="48"/>
      <c r="AM715" s="14"/>
      <c r="AN715" s="14"/>
      <c r="AO715" s="14"/>
      <c r="AP715" s="48"/>
      <c r="AQ715" s="14"/>
      <c r="AR715" s="14"/>
      <c r="AS715" s="14"/>
      <c r="AT715" s="48"/>
      <c r="AU715" s="14"/>
      <c r="AV715" s="14">
        <v>-17</v>
      </c>
      <c r="AW715" s="14">
        <v>-44</v>
      </c>
      <c r="AX715" s="48">
        <f t="shared" si="198"/>
        <v>-30.5</v>
      </c>
    </row>
    <row r="716" spans="1:50" ht="10.199999999999999" customHeight="1" x14ac:dyDescent="0.25">
      <c r="A716" s="14">
        <v>48</v>
      </c>
      <c r="B716" s="103">
        <v>40514</v>
      </c>
      <c r="C716" s="103">
        <v>40507</v>
      </c>
      <c r="D716" s="14">
        <v>0</v>
      </c>
      <c r="E716" s="14">
        <v>-13</v>
      </c>
      <c r="F716" s="48">
        <f t="shared" si="199"/>
        <v>-6.5</v>
      </c>
      <c r="G716" s="14"/>
      <c r="H716" s="14"/>
      <c r="I716" s="14"/>
      <c r="J716" s="48"/>
      <c r="K716" s="14"/>
      <c r="L716" s="14"/>
      <c r="M716" s="14"/>
      <c r="N716" s="48"/>
      <c r="O716" s="14"/>
      <c r="P716" s="14"/>
      <c r="Q716" s="14"/>
      <c r="R716" s="48"/>
      <c r="S716" s="14"/>
      <c r="T716" s="14"/>
      <c r="U716" s="14"/>
      <c r="V716" s="48"/>
      <c r="W716" s="14"/>
      <c r="X716" s="14"/>
      <c r="Y716" s="14"/>
      <c r="Z716" s="48"/>
      <c r="AA716" s="14"/>
      <c r="AB716" s="14"/>
      <c r="AC716" s="14"/>
      <c r="AD716" s="48"/>
      <c r="AE716" s="14"/>
      <c r="AF716" s="14"/>
      <c r="AG716" s="14"/>
      <c r="AH716" s="48"/>
      <c r="AI716" s="14"/>
      <c r="AJ716" s="14"/>
      <c r="AK716" s="14"/>
      <c r="AL716" s="48"/>
      <c r="AM716" s="14"/>
      <c r="AN716" s="14"/>
      <c r="AO716" s="14"/>
      <c r="AP716" s="48"/>
      <c r="AQ716" s="14"/>
      <c r="AR716" s="14"/>
      <c r="AS716" s="14"/>
      <c r="AT716" s="48"/>
      <c r="AU716" s="14"/>
      <c r="AV716" s="14">
        <v>-58</v>
      </c>
      <c r="AW716" s="14">
        <v>-38</v>
      </c>
      <c r="AX716" s="48">
        <f t="shared" si="198"/>
        <v>-48</v>
      </c>
    </row>
    <row r="717" spans="1:50" ht="10.199999999999999" customHeight="1" x14ac:dyDescent="0.25">
      <c r="A717" s="14">
        <v>49</v>
      </c>
      <c r="B717" s="103">
        <v>40521</v>
      </c>
      <c r="C717" s="103">
        <v>40514</v>
      </c>
      <c r="D717" s="14">
        <v>-25</v>
      </c>
      <c r="E717" s="14">
        <v>-13</v>
      </c>
      <c r="F717" s="48">
        <f t="shared" si="199"/>
        <v>-19</v>
      </c>
      <c r="G717" s="14"/>
      <c r="H717" s="14"/>
      <c r="I717" s="14">
        <v>0</v>
      </c>
      <c r="J717" s="48">
        <f t="shared" ref="J717:J727" si="200">AVERAGE(H717:I717)</f>
        <v>0</v>
      </c>
      <c r="K717" s="14"/>
      <c r="L717" s="14"/>
      <c r="M717" s="14">
        <v>0</v>
      </c>
      <c r="N717" s="48">
        <f t="shared" ref="N717:N729" si="201">AVERAGE(L717:M717)</f>
        <v>0</v>
      </c>
      <c r="O717" s="14"/>
      <c r="P717" s="14"/>
      <c r="Q717" s="14"/>
      <c r="R717" s="48"/>
      <c r="S717" s="14"/>
      <c r="T717" s="14"/>
      <c r="U717" s="14"/>
      <c r="V717" s="48"/>
      <c r="W717" s="14"/>
      <c r="X717" s="14"/>
      <c r="Y717" s="14"/>
      <c r="Z717" s="48"/>
      <c r="AA717" s="14"/>
      <c r="AB717" s="14"/>
      <c r="AC717" s="14"/>
      <c r="AD717" s="48"/>
      <c r="AE717" s="14"/>
      <c r="AF717" s="14"/>
      <c r="AG717" s="14"/>
      <c r="AH717" s="48"/>
      <c r="AI717" s="14"/>
      <c r="AJ717" s="14"/>
      <c r="AK717" s="14"/>
      <c r="AL717" s="48"/>
      <c r="AM717" s="14"/>
      <c r="AN717" s="14"/>
      <c r="AO717" s="14"/>
      <c r="AP717" s="48"/>
      <c r="AQ717" s="14"/>
      <c r="AR717" s="14"/>
      <c r="AS717" s="14"/>
      <c r="AT717" s="48"/>
      <c r="AU717" s="14"/>
      <c r="AV717" s="14">
        <v>-75</v>
      </c>
      <c r="AW717" s="14">
        <v>-38</v>
      </c>
      <c r="AX717" s="48">
        <f t="shared" si="198"/>
        <v>-56.5</v>
      </c>
    </row>
    <row r="718" spans="1:50" ht="10.199999999999999" customHeight="1" x14ac:dyDescent="0.25">
      <c r="A718" s="14">
        <v>50</v>
      </c>
      <c r="B718" s="103">
        <v>40528</v>
      </c>
      <c r="C718" s="103">
        <v>40521</v>
      </c>
      <c r="D718" s="14">
        <v>-7</v>
      </c>
      <c r="E718" s="14">
        <v>-42</v>
      </c>
      <c r="F718" s="48">
        <f t="shared" si="199"/>
        <v>-24.5</v>
      </c>
      <c r="G718" s="14"/>
      <c r="H718" s="14">
        <v>-50</v>
      </c>
      <c r="I718" s="14">
        <v>0</v>
      </c>
      <c r="J718" s="48">
        <f t="shared" si="200"/>
        <v>-25</v>
      </c>
      <c r="K718" s="14"/>
      <c r="L718" s="14"/>
      <c r="M718" s="14">
        <v>0</v>
      </c>
      <c r="N718" s="48">
        <f t="shared" si="201"/>
        <v>0</v>
      </c>
      <c r="O718" s="14"/>
      <c r="P718" s="14"/>
      <c r="Q718" s="14"/>
      <c r="R718" s="48"/>
      <c r="S718" s="14"/>
      <c r="T718" s="14"/>
      <c r="U718" s="14"/>
      <c r="V718" s="48"/>
      <c r="W718" s="14"/>
      <c r="X718" s="14"/>
      <c r="Y718" s="14"/>
      <c r="Z718" s="48"/>
      <c r="AA718" s="14"/>
      <c r="AB718" s="14"/>
      <c r="AC718" s="14"/>
      <c r="AD718" s="48"/>
      <c r="AE718" s="14"/>
      <c r="AF718" s="14"/>
      <c r="AG718" s="14"/>
      <c r="AH718" s="48"/>
      <c r="AI718" s="14"/>
      <c r="AJ718" s="14"/>
      <c r="AK718" s="14"/>
      <c r="AL718" s="48"/>
      <c r="AM718" s="14"/>
      <c r="AN718" s="14"/>
      <c r="AO718" s="14"/>
      <c r="AP718" s="48"/>
      <c r="AQ718" s="14"/>
      <c r="AR718" s="14"/>
      <c r="AS718" s="14"/>
      <c r="AT718" s="48"/>
      <c r="AU718" s="14"/>
      <c r="AV718" s="14">
        <v>-88</v>
      </c>
      <c r="AW718" s="14">
        <v>-10</v>
      </c>
      <c r="AX718" s="48">
        <f t="shared" si="198"/>
        <v>-49</v>
      </c>
    </row>
    <row r="719" spans="1:50" ht="10.199999999999999" customHeight="1" x14ac:dyDescent="0.25">
      <c r="A719" s="14">
        <v>51</v>
      </c>
      <c r="B719" s="103">
        <v>40535</v>
      </c>
      <c r="C719" s="103">
        <v>40528</v>
      </c>
      <c r="D719" s="14">
        <v>50</v>
      </c>
      <c r="E719" s="14">
        <v>-25</v>
      </c>
      <c r="F719" s="48">
        <f t="shared" si="199"/>
        <v>12.5</v>
      </c>
      <c r="G719" s="14"/>
      <c r="H719" s="14">
        <v>-38</v>
      </c>
      <c r="I719" s="14">
        <v>0</v>
      </c>
      <c r="J719" s="48">
        <f t="shared" si="200"/>
        <v>-19</v>
      </c>
      <c r="K719" s="14"/>
      <c r="L719" s="14"/>
      <c r="M719" s="14">
        <v>0</v>
      </c>
      <c r="N719" s="48">
        <f t="shared" si="201"/>
        <v>0</v>
      </c>
      <c r="O719" s="14"/>
      <c r="P719" s="14"/>
      <c r="Q719" s="14"/>
      <c r="R719" s="48"/>
      <c r="S719" s="14"/>
      <c r="T719" s="14"/>
      <c r="U719" s="14"/>
      <c r="V719" s="48"/>
      <c r="W719" s="14"/>
      <c r="X719" s="14"/>
      <c r="Y719" s="14"/>
      <c r="Z719" s="48"/>
      <c r="AA719" s="14"/>
      <c r="AB719" s="14"/>
      <c r="AC719" s="14"/>
      <c r="AD719" s="48"/>
      <c r="AE719" s="14"/>
      <c r="AF719" s="14"/>
      <c r="AG719" s="14"/>
      <c r="AH719" s="48"/>
      <c r="AI719" s="14"/>
      <c r="AJ719" s="14"/>
      <c r="AK719" s="14"/>
      <c r="AL719" s="48"/>
      <c r="AM719" s="14"/>
      <c r="AN719" s="14"/>
      <c r="AO719" s="14"/>
      <c r="AP719" s="48"/>
      <c r="AQ719" s="14"/>
      <c r="AR719" s="14"/>
      <c r="AS719" s="14"/>
      <c r="AT719" s="48"/>
      <c r="AU719" s="14"/>
      <c r="AV719" s="14"/>
      <c r="AW719" s="14"/>
      <c r="AX719" s="48"/>
    </row>
    <row r="720" spans="1:50" ht="10.199999999999999" customHeight="1" x14ac:dyDescent="0.25">
      <c r="A720" s="14">
        <v>52</v>
      </c>
      <c r="B720" s="103">
        <v>40542</v>
      </c>
      <c r="C720" s="103">
        <v>40535</v>
      </c>
      <c r="D720" s="14">
        <v>13</v>
      </c>
      <c r="E720" s="14">
        <v>-25</v>
      </c>
      <c r="F720" s="48">
        <f t="shared" si="199"/>
        <v>-6</v>
      </c>
      <c r="G720" s="14"/>
      <c r="H720" s="14">
        <v>-38</v>
      </c>
      <c r="I720" s="14">
        <v>0</v>
      </c>
      <c r="J720" s="48">
        <f t="shared" si="200"/>
        <v>-19</v>
      </c>
      <c r="K720" s="14"/>
      <c r="L720" s="14">
        <v>25</v>
      </c>
      <c r="M720" s="14">
        <v>0</v>
      </c>
      <c r="N720" s="48">
        <f t="shared" si="201"/>
        <v>12.5</v>
      </c>
      <c r="O720" s="14"/>
      <c r="P720" s="14"/>
      <c r="Q720" s="14"/>
      <c r="R720" s="48"/>
      <c r="S720" s="14"/>
      <c r="T720" s="14"/>
      <c r="U720" s="14"/>
      <c r="V720" s="48"/>
      <c r="W720" s="14"/>
      <c r="X720" s="14"/>
      <c r="Y720" s="14"/>
      <c r="Z720" s="48"/>
      <c r="AA720" s="14"/>
      <c r="AB720" s="14"/>
      <c r="AC720" s="14"/>
      <c r="AD720" s="48"/>
      <c r="AE720" s="14"/>
      <c r="AF720" s="14"/>
      <c r="AG720" s="14"/>
      <c r="AH720" s="48"/>
      <c r="AI720" s="14"/>
      <c r="AJ720" s="14"/>
      <c r="AK720" s="14"/>
      <c r="AL720" s="48"/>
      <c r="AM720" s="14"/>
      <c r="AN720" s="14"/>
      <c r="AO720" s="14"/>
      <c r="AP720" s="48"/>
      <c r="AQ720" s="14"/>
      <c r="AR720" s="14"/>
      <c r="AS720" s="14"/>
      <c r="AT720" s="48"/>
      <c r="AU720" s="14"/>
      <c r="AV720" s="14"/>
      <c r="AW720" s="14"/>
      <c r="AX720" s="48"/>
    </row>
    <row r="721" spans="1:50" ht="10.199999999999999" customHeight="1" x14ac:dyDescent="0.25">
      <c r="A721" s="14">
        <v>1</v>
      </c>
      <c r="B721" s="103">
        <v>40549</v>
      </c>
      <c r="C721" s="103">
        <v>40542</v>
      </c>
      <c r="D721" s="14">
        <v>61</v>
      </c>
      <c r="E721" s="14">
        <v>38</v>
      </c>
      <c r="F721" s="48">
        <f t="shared" si="199"/>
        <v>49.5</v>
      </c>
      <c r="G721" s="14"/>
      <c r="H721" s="14">
        <v>100</v>
      </c>
      <c r="I721" s="14">
        <v>38</v>
      </c>
      <c r="J721" s="48">
        <f t="shared" si="200"/>
        <v>69</v>
      </c>
      <c r="K721" s="14"/>
      <c r="L721" s="14">
        <v>25</v>
      </c>
      <c r="M721" s="14">
        <v>0</v>
      </c>
      <c r="N721" s="48">
        <f t="shared" si="201"/>
        <v>12.5</v>
      </c>
      <c r="O721" s="14"/>
      <c r="P721" s="14"/>
      <c r="Q721" s="14"/>
      <c r="R721" s="48"/>
      <c r="S721" s="14"/>
      <c r="T721" s="14"/>
      <c r="U721" s="14"/>
      <c r="V721" s="48"/>
      <c r="W721" s="14"/>
      <c r="X721" s="14"/>
      <c r="Y721" s="14"/>
      <c r="Z721" s="48"/>
      <c r="AA721" s="14"/>
      <c r="AB721" s="14"/>
      <c r="AC721" s="14"/>
      <c r="AD721" s="48"/>
      <c r="AE721" s="14"/>
      <c r="AF721" s="14"/>
      <c r="AG721" s="14"/>
      <c r="AH721" s="48"/>
      <c r="AI721" s="14"/>
      <c r="AJ721" s="14"/>
      <c r="AK721" s="14"/>
      <c r="AL721" s="48"/>
      <c r="AM721" s="14"/>
      <c r="AN721" s="14"/>
      <c r="AO721" s="14"/>
      <c r="AP721" s="48"/>
      <c r="AQ721" s="14"/>
      <c r="AR721" s="14"/>
      <c r="AS721" s="14"/>
      <c r="AT721" s="48"/>
      <c r="AU721" s="14"/>
      <c r="AV721" s="14"/>
      <c r="AW721" s="14"/>
      <c r="AX721" s="48"/>
    </row>
    <row r="722" spans="1:50" ht="10.199999999999999" customHeight="1" x14ac:dyDescent="0.25">
      <c r="A722" s="14">
        <v>2</v>
      </c>
      <c r="B722" s="103">
        <v>40556</v>
      </c>
      <c r="C722" s="103">
        <v>40549</v>
      </c>
      <c r="D722" s="14">
        <v>57</v>
      </c>
      <c r="E722" s="14">
        <v>75</v>
      </c>
      <c r="F722" s="48">
        <f t="shared" si="199"/>
        <v>66</v>
      </c>
      <c r="G722" s="14"/>
      <c r="H722" s="14">
        <v>46</v>
      </c>
      <c r="I722" s="14">
        <v>38</v>
      </c>
      <c r="J722" s="48">
        <f t="shared" si="200"/>
        <v>42</v>
      </c>
      <c r="K722" s="14"/>
      <c r="L722" s="14">
        <v>17</v>
      </c>
      <c r="M722" s="14">
        <v>0</v>
      </c>
      <c r="N722" s="48">
        <f t="shared" si="201"/>
        <v>8.5</v>
      </c>
      <c r="O722" s="14"/>
      <c r="P722" s="14"/>
      <c r="Q722" s="14"/>
      <c r="R722" s="48"/>
      <c r="S722" s="14"/>
      <c r="T722" s="14"/>
      <c r="U722" s="14"/>
      <c r="V722" s="48"/>
      <c r="W722" s="14"/>
      <c r="X722" s="14"/>
      <c r="Y722" s="14"/>
      <c r="Z722" s="48"/>
      <c r="AA722" s="14"/>
      <c r="AB722" s="14"/>
      <c r="AC722" s="14"/>
      <c r="AD722" s="48"/>
      <c r="AE722" s="14"/>
      <c r="AF722" s="14"/>
      <c r="AG722" s="14"/>
      <c r="AH722" s="48"/>
      <c r="AI722" s="14"/>
      <c r="AJ722" s="14"/>
      <c r="AK722" s="14"/>
      <c r="AL722" s="48"/>
      <c r="AM722" s="14"/>
      <c r="AN722" s="14"/>
      <c r="AO722" s="14"/>
      <c r="AP722" s="48"/>
      <c r="AQ722" s="14"/>
      <c r="AR722" s="14"/>
      <c r="AS722" s="14"/>
      <c r="AT722" s="48"/>
      <c r="AU722" s="14"/>
      <c r="AV722" s="14"/>
      <c r="AW722" s="14"/>
      <c r="AX722" s="48"/>
    </row>
    <row r="723" spans="1:50" ht="9.6" customHeight="1" x14ac:dyDescent="0.25">
      <c r="A723" s="14">
        <v>3</v>
      </c>
      <c r="B723" s="103">
        <v>40563</v>
      </c>
      <c r="C723" s="103">
        <v>40556</v>
      </c>
      <c r="D723" s="14">
        <v>150</v>
      </c>
      <c r="E723" s="14">
        <v>75</v>
      </c>
      <c r="F723" s="48">
        <f t="shared" si="199"/>
        <v>112.5</v>
      </c>
      <c r="H723" s="14">
        <v>90</v>
      </c>
      <c r="I723" s="14">
        <v>25</v>
      </c>
      <c r="J723" s="48">
        <f t="shared" si="200"/>
        <v>57.5</v>
      </c>
      <c r="L723" s="14">
        <v>67</v>
      </c>
      <c r="M723" s="14">
        <v>0</v>
      </c>
      <c r="N723" s="48">
        <f t="shared" si="201"/>
        <v>33.5</v>
      </c>
      <c r="P723" s="14"/>
      <c r="Q723" s="14">
        <v>0</v>
      </c>
      <c r="R723" s="48">
        <f t="shared" ref="R723:R732" si="202">AVERAGE(P723:Q723)</f>
        <v>0</v>
      </c>
      <c r="T723" s="14"/>
      <c r="U723" s="14">
        <v>0</v>
      </c>
      <c r="V723" s="48">
        <f t="shared" ref="V723:V729" si="203">AVERAGE(T723:U723)</f>
        <v>0</v>
      </c>
      <c r="Z723" s="49"/>
      <c r="AD723" s="49"/>
      <c r="AH723" s="49"/>
      <c r="AL723" s="49"/>
      <c r="AP723" s="49"/>
      <c r="AT723" s="49"/>
      <c r="AX723" s="48"/>
    </row>
    <row r="724" spans="1:50" ht="9.6" customHeight="1" x14ac:dyDescent="0.25">
      <c r="A724" s="14">
        <v>4</v>
      </c>
      <c r="B724" s="103">
        <v>40570</v>
      </c>
      <c r="C724" s="103">
        <v>40563</v>
      </c>
      <c r="F724" s="49"/>
      <c r="H724" s="14">
        <v>82</v>
      </c>
      <c r="I724" s="14">
        <v>33</v>
      </c>
      <c r="J724" s="48">
        <f t="shared" si="200"/>
        <v>57.5</v>
      </c>
      <c r="L724" s="14">
        <v>58</v>
      </c>
      <c r="M724" s="14">
        <v>0</v>
      </c>
      <c r="N724" s="48">
        <f t="shared" si="201"/>
        <v>29</v>
      </c>
      <c r="P724" s="14">
        <v>75</v>
      </c>
      <c r="Q724" s="14">
        <v>0</v>
      </c>
      <c r="R724" s="48">
        <f t="shared" si="202"/>
        <v>37.5</v>
      </c>
      <c r="T724" s="14"/>
      <c r="U724" s="14"/>
      <c r="V724" s="48"/>
      <c r="Z724" s="49"/>
      <c r="AD724" s="49"/>
      <c r="AH724" s="49"/>
      <c r="AL724" s="49"/>
      <c r="AP724" s="49"/>
      <c r="AT724" s="49"/>
      <c r="AX724" s="49"/>
    </row>
    <row r="725" spans="1:50" ht="9.6" customHeight="1" x14ac:dyDescent="0.25">
      <c r="A725" s="14">
        <v>5</v>
      </c>
      <c r="B725" s="103">
        <v>40577</v>
      </c>
      <c r="C725" s="103">
        <v>40570</v>
      </c>
      <c r="F725" s="49"/>
      <c r="H725" s="14">
        <v>167</v>
      </c>
      <c r="I725" s="14">
        <v>12</v>
      </c>
      <c r="J725" s="48">
        <f t="shared" si="200"/>
        <v>89.5</v>
      </c>
      <c r="L725" s="14">
        <v>70</v>
      </c>
      <c r="M725" s="14">
        <v>0</v>
      </c>
      <c r="N725" s="48">
        <f t="shared" si="201"/>
        <v>35</v>
      </c>
      <c r="P725" s="14"/>
      <c r="Q725" s="14">
        <v>0</v>
      </c>
      <c r="R725" s="48">
        <f t="shared" si="202"/>
        <v>0</v>
      </c>
      <c r="T725" s="14"/>
      <c r="U725" s="14">
        <v>0</v>
      </c>
      <c r="V725" s="48">
        <f t="shared" si="203"/>
        <v>0</v>
      </c>
      <c r="Z725" s="49"/>
      <c r="AD725" s="49"/>
      <c r="AH725" s="49"/>
      <c r="AL725" s="49"/>
      <c r="AP725" s="49"/>
      <c r="AT725" s="49"/>
      <c r="AX725" s="49"/>
    </row>
    <row r="726" spans="1:50" ht="9.6" customHeight="1" x14ac:dyDescent="0.25">
      <c r="A726" s="14">
        <v>6</v>
      </c>
      <c r="B726" s="103">
        <v>40584</v>
      </c>
      <c r="C726" s="103">
        <v>40577</v>
      </c>
      <c r="F726" s="49"/>
      <c r="H726" s="14">
        <v>213</v>
      </c>
      <c r="I726" s="14">
        <v>54</v>
      </c>
      <c r="J726" s="48">
        <f t="shared" si="200"/>
        <v>133.5</v>
      </c>
      <c r="L726" s="14">
        <v>80</v>
      </c>
      <c r="M726" s="14">
        <v>0</v>
      </c>
      <c r="N726" s="48">
        <f t="shared" si="201"/>
        <v>40</v>
      </c>
      <c r="P726" s="14"/>
      <c r="Q726" s="14">
        <v>0</v>
      </c>
      <c r="R726" s="48">
        <f t="shared" si="202"/>
        <v>0</v>
      </c>
      <c r="T726" s="14"/>
      <c r="U726" s="14">
        <v>0</v>
      </c>
      <c r="V726" s="48">
        <f t="shared" si="203"/>
        <v>0</v>
      </c>
      <c r="Z726" s="49"/>
      <c r="AD726" s="49"/>
      <c r="AH726" s="49"/>
      <c r="AL726" s="49"/>
      <c r="AP726" s="49"/>
      <c r="AT726" s="49"/>
      <c r="AX726" s="49"/>
    </row>
    <row r="727" spans="1:50" ht="9.6" customHeight="1" x14ac:dyDescent="0.25">
      <c r="A727" s="14">
        <v>7</v>
      </c>
      <c r="B727" s="103">
        <v>40591</v>
      </c>
      <c r="C727" s="103">
        <v>40584</v>
      </c>
      <c r="F727" s="49"/>
      <c r="H727" s="14">
        <v>250</v>
      </c>
      <c r="I727" s="14">
        <v>-13</v>
      </c>
      <c r="J727" s="48">
        <f t="shared" si="200"/>
        <v>118.5</v>
      </c>
      <c r="L727" s="14">
        <v>175</v>
      </c>
      <c r="M727" s="14">
        <v>0</v>
      </c>
      <c r="N727" s="48">
        <f t="shared" si="201"/>
        <v>87.5</v>
      </c>
      <c r="P727" s="14"/>
      <c r="Q727" s="14">
        <v>0</v>
      </c>
      <c r="R727" s="48">
        <f t="shared" si="202"/>
        <v>0</v>
      </c>
      <c r="T727" s="14"/>
      <c r="U727" s="14">
        <v>-13</v>
      </c>
      <c r="V727" s="48">
        <f t="shared" si="203"/>
        <v>-13</v>
      </c>
      <c r="Z727" s="49"/>
      <c r="AD727" s="49"/>
      <c r="AH727" s="49"/>
      <c r="AL727" s="49"/>
      <c r="AP727" s="49"/>
      <c r="AT727" s="49"/>
      <c r="AX727" s="49"/>
    </row>
    <row r="728" spans="1:50" ht="9.6" customHeight="1" x14ac:dyDescent="0.25">
      <c r="A728" s="14">
        <v>8</v>
      </c>
      <c r="B728" s="103">
        <v>40598</v>
      </c>
      <c r="C728" s="103">
        <v>40591</v>
      </c>
      <c r="F728" s="49"/>
      <c r="H728" s="14"/>
      <c r="J728" s="48"/>
      <c r="L728" s="14">
        <v>288</v>
      </c>
      <c r="M728" s="14">
        <v>13</v>
      </c>
      <c r="N728" s="48">
        <f t="shared" si="201"/>
        <v>150.5</v>
      </c>
      <c r="P728" s="14">
        <v>25</v>
      </c>
      <c r="Q728" s="14">
        <v>-5</v>
      </c>
      <c r="R728" s="48">
        <f t="shared" si="202"/>
        <v>10</v>
      </c>
      <c r="T728" s="14">
        <v>25</v>
      </c>
      <c r="U728" s="14">
        <v>0</v>
      </c>
      <c r="V728" s="48">
        <f t="shared" si="203"/>
        <v>12.5</v>
      </c>
      <c r="Z728" s="49"/>
      <c r="AD728" s="49"/>
      <c r="AH728" s="49"/>
      <c r="AL728" s="49"/>
      <c r="AP728" s="49"/>
      <c r="AT728" s="49"/>
      <c r="AX728" s="49"/>
    </row>
    <row r="729" spans="1:50" ht="9.6" customHeight="1" x14ac:dyDescent="0.25">
      <c r="A729" s="14">
        <v>9</v>
      </c>
      <c r="B729" s="103">
        <v>40605</v>
      </c>
      <c r="C729" s="103">
        <v>40598</v>
      </c>
      <c r="F729" s="49"/>
      <c r="J729" s="48"/>
      <c r="L729" s="14">
        <v>325</v>
      </c>
      <c r="M729" s="14">
        <v>25</v>
      </c>
      <c r="N729" s="48">
        <f t="shared" si="201"/>
        <v>175</v>
      </c>
      <c r="P729" s="14">
        <v>92</v>
      </c>
      <c r="Q729" s="14">
        <v>0</v>
      </c>
      <c r="R729" s="48">
        <f>AVERAGE(P729:Q729)</f>
        <v>46</v>
      </c>
      <c r="T729" s="14">
        <v>25</v>
      </c>
      <c r="U729" s="14">
        <v>0</v>
      </c>
      <c r="V729" s="48">
        <f t="shared" si="203"/>
        <v>12.5</v>
      </c>
      <c r="Z729" s="49"/>
      <c r="AD729" s="49"/>
      <c r="AH729" s="49"/>
      <c r="AL729" s="49"/>
      <c r="AP729" s="49"/>
      <c r="AT729" s="49"/>
      <c r="AX729" s="49"/>
    </row>
    <row r="730" spans="1:50" ht="9.6" customHeight="1" x14ac:dyDescent="0.25">
      <c r="A730" s="14">
        <v>10</v>
      </c>
      <c r="B730" s="103">
        <v>40612</v>
      </c>
      <c r="C730" s="103">
        <v>40605</v>
      </c>
      <c r="F730" s="49"/>
      <c r="J730" s="48"/>
      <c r="L730" s="14">
        <v>338</v>
      </c>
      <c r="M730" s="14">
        <v>0</v>
      </c>
      <c r="N730" s="48">
        <f>AVERAGE(L730:M730)</f>
        <v>169</v>
      </c>
      <c r="P730" s="14">
        <v>100</v>
      </c>
      <c r="Q730" s="14">
        <v>0</v>
      </c>
      <c r="R730" s="48">
        <f t="shared" si="202"/>
        <v>50</v>
      </c>
      <c r="T730" s="14">
        <v>25</v>
      </c>
      <c r="U730" s="14">
        <v>0</v>
      </c>
      <c r="V730" s="48">
        <f t="shared" ref="V730:V740" si="204">AVERAGE(T730:U730)</f>
        <v>12.5</v>
      </c>
      <c r="Z730" s="49"/>
      <c r="AD730" s="49"/>
      <c r="AH730" s="49"/>
      <c r="AL730" s="49"/>
      <c r="AP730" s="49"/>
      <c r="AT730" s="49"/>
      <c r="AX730" s="49"/>
    </row>
    <row r="731" spans="1:50" ht="9.6" customHeight="1" x14ac:dyDescent="0.25">
      <c r="A731" s="14">
        <v>11</v>
      </c>
      <c r="B731" s="103">
        <v>40619</v>
      </c>
      <c r="C731" s="103">
        <v>40612</v>
      </c>
      <c r="F731" s="49"/>
      <c r="J731" s="48"/>
      <c r="L731" s="14">
        <v>325</v>
      </c>
      <c r="M731" s="14">
        <v>0</v>
      </c>
      <c r="N731" s="48">
        <f>AVERAGE(L731:M731)</f>
        <v>162.5</v>
      </c>
      <c r="P731" s="14">
        <v>200</v>
      </c>
      <c r="Q731" s="14">
        <v>0</v>
      </c>
      <c r="R731" s="48">
        <f t="shared" si="202"/>
        <v>100</v>
      </c>
      <c r="T731" s="14"/>
      <c r="U731" s="14">
        <v>0</v>
      </c>
      <c r="V731" s="48">
        <f t="shared" si="204"/>
        <v>0</v>
      </c>
      <c r="Z731" s="49"/>
      <c r="AD731" s="49"/>
      <c r="AH731" s="49"/>
      <c r="AL731" s="49"/>
      <c r="AP731" s="49"/>
      <c r="AT731" s="49"/>
      <c r="AX731" s="49"/>
    </row>
    <row r="732" spans="1:50" ht="10.199999999999999" customHeight="1" x14ac:dyDescent="0.25">
      <c r="A732" s="14">
        <v>12</v>
      </c>
      <c r="B732" s="103">
        <v>40626</v>
      </c>
      <c r="C732" s="103">
        <v>40619</v>
      </c>
      <c r="D732" s="14"/>
      <c r="E732" s="14"/>
      <c r="F732" s="48"/>
      <c r="G732" s="14"/>
      <c r="H732" s="14"/>
      <c r="I732" s="14"/>
      <c r="J732" s="48"/>
      <c r="K732" s="14"/>
      <c r="L732" s="14"/>
      <c r="M732" s="14"/>
      <c r="N732" s="48"/>
      <c r="O732" s="14"/>
      <c r="P732" s="14">
        <v>300</v>
      </c>
      <c r="Q732" s="14"/>
      <c r="R732" s="48">
        <f t="shared" si="202"/>
        <v>300</v>
      </c>
      <c r="S732" s="14"/>
      <c r="T732" s="14"/>
      <c r="U732" s="14">
        <v>0</v>
      </c>
      <c r="V732" s="48">
        <f t="shared" si="204"/>
        <v>0</v>
      </c>
      <c r="W732" s="14"/>
      <c r="X732" s="14"/>
      <c r="Y732" s="14"/>
      <c r="Z732" s="48"/>
      <c r="AA732" s="14"/>
      <c r="AB732" s="14"/>
      <c r="AC732" s="14"/>
      <c r="AD732" s="48"/>
      <c r="AE732" s="14"/>
      <c r="AF732" s="14"/>
      <c r="AG732" s="14"/>
      <c r="AH732" s="48"/>
      <c r="AI732" s="14"/>
      <c r="AJ732" s="47"/>
      <c r="AK732" s="47"/>
      <c r="AL732" s="98"/>
      <c r="AM732" s="47"/>
      <c r="AN732" s="47"/>
      <c r="AO732" s="14"/>
      <c r="AP732" s="48"/>
      <c r="AQ732" s="14"/>
      <c r="AR732" s="14"/>
      <c r="AS732" s="14"/>
      <c r="AT732" s="48"/>
      <c r="AU732" s="47"/>
      <c r="AV732" s="14"/>
      <c r="AW732" s="14"/>
      <c r="AX732" s="49"/>
    </row>
    <row r="733" spans="1:50" ht="10.199999999999999" customHeight="1" x14ac:dyDescent="0.25">
      <c r="A733" s="14">
        <v>13</v>
      </c>
      <c r="B733" s="103">
        <v>40633</v>
      </c>
      <c r="C733" s="103">
        <v>40626</v>
      </c>
      <c r="F733" s="49"/>
      <c r="J733" s="48"/>
      <c r="K733" s="14"/>
      <c r="N733" s="48"/>
      <c r="P733" s="14">
        <v>288</v>
      </c>
      <c r="Q733" s="14">
        <v>13</v>
      </c>
      <c r="R733" s="48">
        <f>AVERAGE(P733:Q733)</f>
        <v>150.5</v>
      </c>
      <c r="T733" s="14">
        <v>163</v>
      </c>
      <c r="U733" s="14">
        <v>0</v>
      </c>
      <c r="V733" s="48">
        <f t="shared" si="204"/>
        <v>81.5</v>
      </c>
      <c r="Y733" s="14">
        <v>0</v>
      </c>
      <c r="Z733" s="48">
        <f t="shared" ref="Z733:Z739" si="205">AVERAGE(X733:Y733)</f>
        <v>0</v>
      </c>
      <c r="AD733" s="49"/>
      <c r="AH733" s="49"/>
      <c r="AL733" s="49"/>
      <c r="AP733" s="49"/>
      <c r="AT733" s="49"/>
      <c r="AX733" s="49"/>
    </row>
    <row r="734" spans="1:50" ht="10.199999999999999" customHeight="1" x14ac:dyDescent="0.25">
      <c r="A734" s="14">
        <v>14</v>
      </c>
      <c r="B734" s="103">
        <v>40640</v>
      </c>
      <c r="C734" s="103">
        <v>40633</v>
      </c>
      <c r="D734" s="14"/>
      <c r="E734" s="14"/>
      <c r="F734" s="48"/>
      <c r="G734" s="14"/>
      <c r="H734" s="14"/>
      <c r="I734" s="14"/>
      <c r="J734" s="48"/>
      <c r="K734" s="14"/>
      <c r="L734" s="14"/>
      <c r="M734" s="14"/>
      <c r="N734" s="48"/>
      <c r="O734" s="14"/>
      <c r="P734" s="14">
        <v>225</v>
      </c>
      <c r="Q734" s="14">
        <v>13</v>
      </c>
      <c r="R734" s="48">
        <f>AVERAGE(P734:Q734)</f>
        <v>119</v>
      </c>
      <c r="S734" s="14"/>
      <c r="T734" s="14">
        <v>300</v>
      </c>
      <c r="U734" s="14">
        <v>25</v>
      </c>
      <c r="V734" s="48">
        <f t="shared" si="204"/>
        <v>162.5</v>
      </c>
      <c r="W734" s="14"/>
      <c r="X734" s="14"/>
      <c r="Y734" s="14">
        <v>25</v>
      </c>
      <c r="Z734" s="48">
        <f t="shared" si="205"/>
        <v>25</v>
      </c>
      <c r="AA734" s="14"/>
      <c r="AB734" s="14"/>
      <c r="AC734" s="14"/>
      <c r="AD734" s="48"/>
      <c r="AE734" s="14"/>
      <c r="AF734" s="14"/>
      <c r="AG734" s="14"/>
      <c r="AH734" s="48"/>
      <c r="AI734" s="14"/>
      <c r="AJ734" s="14"/>
      <c r="AK734" s="14"/>
      <c r="AL734" s="48"/>
      <c r="AM734" s="14"/>
      <c r="AN734" s="14"/>
      <c r="AO734" s="14"/>
      <c r="AP734" s="48"/>
      <c r="AQ734" s="14"/>
      <c r="AR734" s="14"/>
      <c r="AS734" s="14"/>
      <c r="AT734" s="48"/>
      <c r="AU734" s="14"/>
      <c r="AV734" s="14"/>
      <c r="AW734" s="14"/>
      <c r="AX734" s="49"/>
    </row>
    <row r="735" spans="1:50" ht="10.199999999999999" customHeight="1" x14ac:dyDescent="0.25">
      <c r="A735" s="14">
        <v>15</v>
      </c>
      <c r="B735" s="103">
        <v>40647</v>
      </c>
      <c r="C735" s="103">
        <v>40640</v>
      </c>
      <c r="D735" s="14"/>
      <c r="E735" s="14"/>
      <c r="F735" s="48"/>
      <c r="G735" s="14"/>
      <c r="H735" s="14"/>
      <c r="I735" s="14"/>
      <c r="J735" s="48"/>
      <c r="K735" s="14"/>
      <c r="L735" s="14"/>
      <c r="M735" s="14"/>
      <c r="N735" s="48"/>
      <c r="O735" s="14"/>
      <c r="P735" s="14">
        <v>350</v>
      </c>
      <c r="Q735" s="14">
        <v>1</v>
      </c>
      <c r="R735" s="48">
        <f>AVERAGE(P735:Q735)</f>
        <v>175.5</v>
      </c>
      <c r="S735" s="14"/>
      <c r="T735" s="14">
        <v>300</v>
      </c>
      <c r="U735" s="14">
        <v>17</v>
      </c>
      <c r="V735" s="48">
        <f t="shared" si="204"/>
        <v>158.5</v>
      </c>
      <c r="W735" s="14"/>
      <c r="X735" s="14"/>
      <c r="Y735" s="14">
        <v>25</v>
      </c>
      <c r="Z735" s="48">
        <f t="shared" si="205"/>
        <v>25</v>
      </c>
      <c r="AA735" s="14"/>
      <c r="AB735" s="14"/>
      <c r="AC735" s="14"/>
      <c r="AD735" s="48"/>
      <c r="AE735" s="14"/>
      <c r="AF735" s="14"/>
      <c r="AG735" s="14"/>
      <c r="AH735" s="48"/>
      <c r="AI735" s="14"/>
      <c r="AJ735" s="14"/>
      <c r="AK735" s="14"/>
      <c r="AL735" s="48"/>
      <c r="AM735" s="14"/>
      <c r="AN735" s="14"/>
      <c r="AO735" s="14"/>
      <c r="AP735" s="48"/>
      <c r="AQ735" s="14"/>
      <c r="AR735" s="14"/>
      <c r="AS735" s="14"/>
      <c r="AT735" s="48"/>
      <c r="AU735" s="14"/>
      <c r="AV735" s="14"/>
      <c r="AW735" s="14"/>
      <c r="AX735" s="49"/>
    </row>
    <row r="736" spans="1:50" ht="10.199999999999999" customHeight="1" x14ac:dyDescent="0.25">
      <c r="A736" s="14">
        <v>16</v>
      </c>
      <c r="B736" s="103">
        <v>40654</v>
      </c>
      <c r="C736" s="103">
        <v>40647</v>
      </c>
      <c r="D736" s="14"/>
      <c r="E736" s="14"/>
      <c r="F736" s="48"/>
      <c r="G736" s="14"/>
      <c r="H736" s="14"/>
      <c r="I736" s="14"/>
      <c r="J736" s="48"/>
      <c r="K736" s="14"/>
      <c r="L736" s="14"/>
      <c r="M736" s="14"/>
      <c r="N736" s="48"/>
      <c r="O736" s="14"/>
      <c r="P736" s="14">
        <v>300</v>
      </c>
      <c r="Q736" s="14">
        <v>-25</v>
      </c>
      <c r="R736" s="48">
        <f>AVERAGE(P736:Q736)</f>
        <v>137.5</v>
      </c>
      <c r="S736" s="14"/>
      <c r="T736" s="14">
        <v>67</v>
      </c>
      <c r="U736" s="14">
        <v>17</v>
      </c>
      <c r="V736" s="48">
        <f t="shared" si="204"/>
        <v>42</v>
      </c>
      <c r="W736" s="14"/>
      <c r="X736" s="14"/>
      <c r="Y736" s="14">
        <v>25</v>
      </c>
      <c r="Z736" s="48">
        <f t="shared" si="205"/>
        <v>25</v>
      </c>
      <c r="AA736" s="14"/>
      <c r="AB736" s="14"/>
      <c r="AC736" s="14"/>
      <c r="AD736" s="48"/>
      <c r="AE736" s="14"/>
      <c r="AF736" s="14"/>
      <c r="AG736" s="14"/>
      <c r="AH736" s="48"/>
      <c r="AI736" s="14"/>
      <c r="AJ736" s="14"/>
      <c r="AK736" s="14"/>
      <c r="AL736" s="48"/>
      <c r="AM736" s="14"/>
      <c r="AN736" s="14"/>
      <c r="AO736" s="14"/>
      <c r="AP736" s="48"/>
      <c r="AQ736" s="14"/>
      <c r="AR736" s="14"/>
      <c r="AS736" s="14"/>
      <c r="AT736" s="48"/>
      <c r="AU736" s="14"/>
      <c r="AV736" s="14"/>
      <c r="AW736" s="14"/>
      <c r="AX736" s="49"/>
    </row>
    <row r="737" spans="1:50" ht="10.199999999999999" customHeight="1" x14ac:dyDescent="0.25">
      <c r="A737" s="14">
        <v>17</v>
      </c>
      <c r="B737" s="103">
        <v>40661</v>
      </c>
      <c r="C737" s="103">
        <v>40654</v>
      </c>
      <c r="D737" s="14"/>
      <c r="E737" s="14"/>
      <c r="F737" s="48"/>
      <c r="G737" s="14"/>
      <c r="H737" s="14"/>
      <c r="I737" s="14"/>
      <c r="J737" s="48"/>
      <c r="K737" s="14"/>
      <c r="L737" s="14"/>
      <c r="M737" s="14"/>
      <c r="N737" s="48"/>
      <c r="O737" s="14"/>
      <c r="P737" s="14"/>
      <c r="Q737" s="14"/>
      <c r="R737" s="48"/>
      <c r="S737" s="14"/>
      <c r="T737" s="14">
        <v>58</v>
      </c>
      <c r="U737" s="14">
        <v>-13</v>
      </c>
      <c r="V737" s="48">
        <f t="shared" si="204"/>
        <v>22.5</v>
      </c>
      <c r="W737" s="14"/>
      <c r="X737" s="14">
        <v>100</v>
      </c>
      <c r="Y737" s="14">
        <v>25</v>
      </c>
      <c r="Z737" s="48">
        <f t="shared" si="205"/>
        <v>62.5</v>
      </c>
      <c r="AA737" s="14"/>
      <c r="AB737" s="14"/>
      <c r="AC737" s="14"/>
      <c r="AD737" s="48"/>
      <c r="AE737" s="14"/>
      <c r="AF737" s="14"/>
      <c r="AG737" s="14"/>
      <c r="AH737" s="48"/>
      <c r="AI737" s="14"/>
      <c r="AJ737" s="14"/>
      <c r="AK737" s="14"/>
      <c r="AL737" s="48"/>
      <c r="AM737" s="14"/>
      <c r="AN737" s="14"/>
      <c r="AO737" s="14"/>
      <c r="AP737" s="48"/>
      <c r="AQ737" s="14"/>
      <c r="AR737" s="14"/>
      <c r="AS737" s="14"/>
      <c r="AT737" s="48"/>
      <c r="AU737" s="14"/>
      <c r="AV737" s="14"/>
      <c r="AW737" s="14"/>
      <c r="AX737" s="49"/>
    </row>
    <row r="738" spans="1:50" ht="10.199999999999999" customHeight="1" x14ac:dyDescent="0.25">
      <c r="A738" s="14">
        <v>18</v>
      </c>
      <c r="B738" s="103">
        <v>40668</v>
      </c>
      <c r="C738" s="103">
        <v>40661</v>
      </c>
      <c r="D738" s="14"/>
      <c r="E738" s="14"/>
      <c r="F738" s="48"/>
      <c r="G738" s="14"/>
      <c r="H738" s="14"/>
      <c r="I738" s="14"/>
      <c r="J738" s="48"/>
      <c r="K738" s="14"/>
      <c r="L738" s="14"/>
      <c r="M738" s="14"/>
      <c r="N738" s="48"/>
      <c r="O738" s="14"/>
      <c r="P738" s="14"/>
      <c r="Q738" s="14"/>
      <c r="R738" s="48"/>
      <c r="S738" s="14"/>
      <c r="T738" s="14">
        <v>31</v>
      </c>
      <c r="U738" s="14">
        <v>-13</v>
      </c>
      <c r="V738" s="48">
        <f t="shared" si="204"/>
        <v>9</v>
      </c>
      <c r="W738" s="14"/>
      <c r="X738" s="14">
        <v>75</v>
      </c>
      <c r="Y738" s="14"/>
      <c r="Z738" s="48">
        <f t="shared" si="205"/>
        <v>75</v>
      </c>
      <c r="AA738" s="14"/>
      <c r="AB738" s="14">
        <v>100</v>
      </c>
      <c r="AC738" s="14"/>
      <c r="AD738" s="48">
        <f t="shared" ref="AD738:AD749" si="206">AVERAGE(AB738:AC738)</f>
        <v>100</v>
      </c>
      <c r="AE738" s="14"/>
      <c r="AF738" s="14"/>
      <c r="AG738" s="14"/>
      <c r="AH738" s="48"/>
      <c r="AI738" s="14"/>
      <c r="AJ738" s="14"/>
      <c r="AK738" s="14"/>
      <c r="AL738" s="48"/>
      <c r="AM738" s="14"/>
      <c r="AN738" s="14"/>
      <c r="AO738" s="14"/>
      <c r="AP738" s="48"/>
      <c r="AQ738" s="14"/>
      <c r="AR738" s="14"/>
      <c r="AS738" s="14"/>
      <c r="AT738" s="48"/>
      <c r="AU738" s="14"/>
      <c r="AV738" s="14"/>
      <c r="AW738" s="14"/>
      <c r="AX738" s="49"/>
    </row>
    <row r="739" spans="1:50" ht="10.199999999999999" customHeight="1" x14ac:dyDescent="0.25">
      <c r="A739" s="14">
        <v>19</v>
      </c>
      <c r="B739" s="103">
        <v>40675</v>
      </c>
      <c r="C739" s="103">
        <v>40668</v>
      </c>
      <c r="D739" s="14"/>
      <c r="E739" s="14"/>
      <c r="F739" s="48"/>
      <c r="G739" s="14"/>
      <c r="H739" s="14"/>
      <c r="I739" s="14"/>
      <c r="J739" s="48"/>
      <c r="K739" s="14"/>
      <c r="L739" s="14"/>
      <c r="M739" s="14"/>
      <c r="N739" s="48"/>
      <c r="O739" s="14"/>
      <c r="P739" s="14"/>
      <c r="Q739" s="14"/>
      <c r="R739" s="48"/>
      <c r="S739" s="14"/>
      <c r="T739" s="14">
        <v>25</v>
      </c>
      <c r="U739" s="14">
        <v>-8</v>
      </c>
      <c r="V739" s="48">
        <f t="shared" si="204"/>
        <v>8.5</v>
      </c>
      <c r="W739" s="14"/>
      <c r="X739" s="14">
        <v>75</v>
      </c>
      <c r="Y739" s="14">
        <v>0</v>
      </c>
      <c r="Z739" s="48">
        <f t="shared" si="205"/>
        <v>37.5</v>
      </c>
      <c r="AA739" s="14"/>
      <c r="AB739" s="14">
        <v>100</v>
      </c>
      <c r="AC739" s="14"/>
      <c r="AD739" s="48">
        <f t="shared" si="206"/>
        <v>100</v>
      </c>
      <c r="AE739" s="14"/>
      <c r="AF739" s="14"/>
      <c r="AG739" s="14"/>
      <c r="AH739" s="48"/>
      <c r="AI739" s="14"/>
      <c r="AJ739" s="14"/>
      <c r="AK739" s="14"/>
      <c r="AL739" s="48"/>
      <c r="AM739" s="14"/>
      <c r="AN739" s="14"/>
      <c r="AO739" s="14"/>
      <c r="AP739" s="48"/>
      <c r="AQ739" s="14"/>
      <c r="AR739" s="14"/>
      <c r="AS739" s="14"/>
      <c r="AT739" s="48"/>
      <c r="AU739" s="14"/>
      <c r="AV739" s="14"/>
      <c r="AW739" s="14"/>
      <c r="AX739" s="49"/>
    </row>
    <row r="740" spans="1:50" ht="10.199999999999999" customHeight="1" x14ac:dyDescent="0.25">
      <c r="A740" s="14">
        <v>20</v>
      </c>
      <c r="B740" s="103">
        <v>40682</v>
      </c>
      <c r="C740" s="103">
        <v>40675</v>
      </c>
      <c r="D740" s="14"/>
      <c r="E740" s="14"/>
      <c r="F740" s="48"/>
      <c r="G740" s="14"/>
      <c r="H740" s="14"/>
      <c r="I740" s="14"/>
      <c r="J740" s="48"/>
      <c r="K740" s="14"/>
      <c r="L740" s="14"/>
      <c r="M740" s="14"/>
      <c r="N740" s="48"/>
      <c r="O740" s="14"/>
      <c r="P740" s="14"/>
      <c r="Q740" s="14"/>
      <c r="R740" s="48"/>
      <c r="S740" s="14"/>
      <c r="T740" s="14">
        <v>25</v>
      </c>
      <c r="U740" s="14">
        <v>-13</v>
      </c>
      <c r="V740" s="48">
        <f t="shared" si="204"/>
        <v>6</v>
      </c>
      <c r="W740" s="14"/>
      <c r="X740" s="14">
        <v>67</v>
      </c>
      <c r="Y740" s="14">
        <v>0</v>
      </c>
      <c r="Z740" s="48">
        <f t="shared" ref="Z740:Z744" si="207">AVERAGE(X740:Y740)</f>
        <v>33.5</v>
      </c>
      <c r="AA740" s="14"/>
      <c r="AB740" s="14">
        <v>100</v>
      </c>
      <c r="AC740" s="14"/>
      <c r="AD740" s="48">
        <f t="shared" si="206"/>
        <v>100</v>
      </c>
      <c r="AE740" s="14"/>
      <c r="AF740" s="14"/>
      <c r="AG740" s="14"/>
      <c r="AH740" s="48"/>
      <c r="AI740" s="14"/>
      <c r="AJ740" s="14"/>
      <c r="AK740" s="14"/>
      <c r="AL740" s="48"/>
      <c r="AM740" s="14"/>
      <c r="AN740" s="14"/>
      <c r="AO740" s="14"/>
      <c r="AP740" s="48"/>
      <c r="AQ740" s="14"/>
      <c r="AR740" s="14"/>
      <c r="AS740" s="14"/>
      <c r="AT740" s="48"/>
      <c r="AU740" s="14"/>
      <c r="AV740" s="14"/>
      <c r="AW740" s="14"/>
      <c r="AX740" s="49"/>
    </row>
    <row r="741" spans="1:50" ht="10.199999999999999" customHeight="1" x14ac:dyDescent="0.25">
      <c r="A741" s="14">
        <v>21</v>
      </c>
      <c r="B741" s="103">
        <v>40689</v>
      </c>
      <c r="C741" s="103">
        <v>40682</v>
      </c>
      <c r="D741" s="14"/>
      <c r="E741" s="14"/>
      <c r="F741" s="48"/>
      <c r="G741" s="14"/>
      <c r="H741" s="14"/>
      <c r="I741" s="14"/>
      <c r="J741" s="48"/>
      <c r="K741" s="14"/>
      <c r="L741" s="14"/>
      <c r="M741" s="14"/>
      <c r="N741" s="48"/>
      <c r="O741" s="14"/>
      <c r="P741" s="14"/>
      <c r="Q741" s="14"/>
      <c r="R741" s="48"/>
      <c r="S741" s="14"/>
      <c r="T741" s="14"/>
      <c r="U741" s="14"/>
      <c r="V741" s="48"/>
      <c r="W741" s="14"/>
      <c r="X741" s="14">
        <v>31</v>
      </c>
      <c r="Y741" s="14">
        <v>8</v>
      </c>
      <c r="Z741" s="48">
        <f t="shared" si="207"/>
        <v>19.5</v>
      </c>
      <c r="AA741" s="14"/>
      <c r="AB741" s="14">
        <v>75</v>
      </c>
      <c r="AC741" s="14"/>
      <c r="AD741" s="48">
        <f t="shared" si="206"/>
        <v>75</v>
      </c>
      <c r="AE741" s="14"/>
      <c r="AF741" s="14"/>
      <c r="AG741" s="14"/>
      <c r="AH741" s="48"/>
      <c r="AI741" s="14"/>
      <c r="AJ741" s="14"/>
      <c r="AK741" s="14"/>
      <c r="AL741" s="48"/>
      <c r="AM741" s="14"/>
      <c r="AN741" s="14"/>
      <c r="AO741" s="14"/>
      <c r="AP741" s="48"/>
      <c r="AQ741" s="14"/>
      <c r="AR741" s="14"/>
      <c r="AS741" s="14"/>
      <c r="AT741" s="48"/>
      <c r="AU741" s="14"/>
      <c r="AV741" s="14"/>
      <c r="AW741" s="14"/>
      <c r="AX741" s="49"/>
    </row>
    <row r="742" spans="1:50" ht="10.199999999999999" customHeight="1" x14ac:dyDescent="0.25">
      <c r="A742" s="14">
        <v>22</v>
      </c>
      <c r="B742" s="103">
        <v>40696</v>
      </c>
      <c r="C742" s="103">
        <v>40689</v>
      </c>
      <c r="D742" s="14"/>
      <c r="E742" s="14"/>
      <c r="F742" s="48"/>
      <c r="G742" s="14"/>
      <c r="H742" s="14"/>
      <c r="I742" s="14"/>
      <c r="J742" s="48"/>
      <c r="K742" s="14"/>
      <c r="L742" s="14"/>
      <c r="M742" s="14"/>
      <c r="N742" s="48"/>
      <c r="O742" s="14"/>
      <c r="P742" s="14"/>
      <c r="Q742" s="14"/>
      <c r="R742" s="48"/>
      <c r="S742" s="14"/>
      <c r="T742" s="14"/>
      <c r="U742" s="14"/>
      <c r="V742" s="48"/>
      <c r="W742" s="14"/>
      <c r="X742" s="14">
        <v>38</v>
      </c>
      <c r="Y742" s="14">
        <v>25</v>
      </c>
      <c r="Z742" s="48">
        <f t="shared" si="207"/>
        <v>31.5</v>
      </c>
      <c r="AA742" s="14"/>
      <c r="AB742" s="14">
        <v>75</v>
      </c>
      <c r="AC742" s="14">
        <v>25</v>
      </c>
      <c r="AD742" s="48">
        <f t="shared" si="206"/>
        <v>50</v>
      </c>
      <c r="AE742" s="14"/>
      <c r="AF742" s="14"/>
      <c r="AG742" s="14"/>
      <c r="AH742" s="48"/>
      <c r="AI742" s="14"/>
      <c r="AJ742" s="14"/>
      <c r="AK742" s="14"/>
      <c r="AL742" s="48"/>
      <c r="AM742" s="14"/>
      <c r="AN742" s="14"/>
      <c r="AO742" s="14"/>
      <c r="AP742" s="48"/>
      <c r="AQ742" s="14"/>
      <c r="AR742" s="14"/>
      <c r="AS742" s="14"/>
      <c r="AT742" s="48"/>
      <c r="AU742" s="14"/>
      <c r="AV742" s="14"/>
      <c r="AW742" s="14"/>
      <c r="AX742" s="49"/>
    </row>
    <row r="743" spans="1:50" ht="10.199999999999999" customHeight="1" x14ac:dyDescent="0.25">
      <c r="A743" s="14">
        <v>23</v>
      </c>
      <c r="B743" s="103">
        <v>40703</v>
      </c>
      <c r="C743" s="103">
        <v>40696</v>
      </c>
      <c r="D743" s="14"/>
      <c r="E743" s="14"/>
      <c r="F743" s="48"/>
      <c r="G743" s="14"/>
      <c r="H743" s="14"/>
      <c r="I743" s="14"/>
      <c r="J743" s="48"/>
      <c r="K743" s="14"/>
      <c r="L743" s="14"/>
      <c r="M743" s="14"/>
      <c r="N743" s="48"/>
      <c r="O743" s="14"/>
      <c r="P743" s="14"/>
      <c r="Q743" s="14"/>
      <c r="R743" s="48"/>
      <c r="S743" s="14"/>
      <c r="T743" s="14"/>
      <c r="U743" s="14"/>
      <c r="V743" s="48"/>
      <c r="W743" s="14"/>
      <c r="X743" s="14">
        <v>21</v>
      </c>
      <c r="Y743" s="14">
        <v>25</v>
      </c>
      <c r="Z743" s="48">
        <f t="shared" si="207"/>
        <v>23</v>
      </c>
      <c r="AA743" s="14"/>
      <c r="AB743" s="14">
        <v>75</v>
      </c>
      <c r="AC743" s="14">
        <v>25</v>
      </c>
      <c r="AD743" s="48">
        <f t="shared" si="206"/>
        <v>50</v>
      </c>
      <c r="AE743" s="14"/>
      <c r="AF743" s="14"/>
      <c r="AG743" s="14"/>
      <c r="AH743" s="48"/>
      <c r="AI743" s="14"/>
      <c r="AJ743" s="14"/>
      <c r="AK743" s="14"/>
      <c r="AL743" s="48"/>
      <c r="AM743" s="14"/>
      <c r="AN743" s="14"/>
      <c r="AO743" s="14"/>
      <c r="AP743" s="48"/>
      <c r="AQ743" s="14"/>
      <c r="AR743" s="14"/>
      <c r="AS743" s="14"/>
      <c r="AT743" s="48"/>
      <c r="AU743" s="14"/>
      <c r="AV743" s="14"/>
      <c r="AW743" s="14"/>
      <c r="AX743" s="49"/>
    </row>
    <row r="744" spans="1:50" ht="10.199999999999999" customHeight="1" x14ac:dyDescent="0.25">
      <c r="A744" s="14">
        <v>24</v>
      </c>
      <c r="B744" s="103">
        <v>40710</v>
      </c>
      <c r="C744" s="103">
        <v>40703</v>
      </c>
      <c r="D744" s="14"/>
      <c r="E744" s="14"/>
      <c r="F744" s="48"/>
      <c r="G744" s="14"/>
      <c r="H744" s="14"/>
      <c r="I744" s="14"/>
      <c r="J744" s="48"/>
      <c r="K744" s="14"/>
      <c r="L744" s="14"/>
      <c r="M744" s="14"/>
      <c r="N744" s="48"/>
      <c r="O744" s="14"/>
      <c r="P744" s="14"/>
      <c r="Q744" s="14"/>
      <c r="R744" s="48"/>
      <c r="S744" s="14"/>
      <c r="T744" s="14"/>
      <c r="U744" s="14"/>
      <c r="V744" s="48"/>
      <c r="W744" s="14"/>
      <c r="X744" s="14">
        <v>13</v>
      </c>
      <c r="Y744" s="14">
        <v>15</v>
      </c>
      <c r="Z744" s="48">
        <f t="shared" si="207"/>
        <v>14</v>
      </c>
      <c r="AA744" s="14"/>
      <c r="AB744" s="14">
        <v>75</v>
      </c>
      <c r="AC744" s="14">
        <v>25</v>
      </c>
      <c r="AD744" s="48">
        <f t="shared" si="206"/>
        <v>50</v>
      </c>
      <c r="AE744" s="14"/>
      <c r="AF744" s="14"/>
      <c r="AG744" s="14"/>
      <c r="AH744" s="48"/>
      <c r="AI744" s="14"/>
      <c r="AJ744" s="14"/>
      <c r="AK744" s="14"/>
      <c r="AL744" s="48"/>
      <c r="AM744" s="14"/>
      <c r="AN744" s="14"/>
      <c r="AO744" s="14"/>
      <c r="AP744" s="48"/>
      <c r="AQ744" s="14"/>
      <c r="AR744" s="14"/>
      <c r="AS744" s="14"/>
      <c r="AT744" s="48"/>
      <c r="AU744" s="14"/>
      <c r="AV744" s="14"/>
      <c r="AW744" s="14"/>
      <c r="AX744" s="49"/>
    </row>
    <row r="745" spans="1:50" ht="10.199999999999999" customHeight="1" x14ac:dyDescent="0.25">
      <c r="A745" s="14">
        <v>25</v>
      </c>
      <c r="B745" s="103">
        <v>40717</v>
      </c>
      <c r="C745" s="103">
        <v>40710</v>
      </c>
      <c r="D745" s="14"/>
      <c r="E745" s="14"/>
      <c r="F745" s="48"/>
      <c r="G745" s="14"/>
      <c r="H745" s="14"/>
      <c r="I745" s="14"/>
      <c r="J745" s="48"/>
      <c r="K745" s="14"/>
      <c r="L745" s="14"/>
      <c r="M745" s="14"/>
      <c r="N745" s="48"/>
      <c r="O745" s="14"/>
      <c r="P745" s="14"/>
      <c r="Q745" s="14"/>
      <c r="R745" s="48"/>
      <c r="S745" s="14"/>
      <c r="T745" s="14"/>
      <c r="U745" s="14"/>
      <c r="V745" s="48"/>
      <c r="W745" s="14"/>
      <c r="X745" s="14"/>
      <c r="Y745" s="14"/>
      <c r="Z745" s="48"/>
      <c r="AA745" s="14"/>
      <c r="AB745" s="14">
        <v>50</v>
      </c>
      <c r="AC745" s="14">
        <v>25</v>
      </c>
      <c r="AD745" s="48">
        <f t="shared" si="206"/>
        <v>37.5</v>
      </c>
      <c r="AE745" s="14"/>
      <c r="AF745" s="14">
        <v>50</v>
      </c>
      <c r="AG745" s="14">
        <v>50</v>
      </c>
      <c r="AH745" s="48">
        <f t="shared" ref="AH745:AH805" si="208">AVERAGE(AF745:AG745)</f>
        <v>50</v>
      </c>
      <c r="AI745" s="14"/>
      <c r="AJ745" s="14"/>
      <c r="AK745" s="14"/>
      <c r="AL745" s="48"/>
      <c r="AM745" s="14"/>
      <c r="AN745" s="14"/>
      <c r="AO745" s="14"/>
      <c r="AP745" s="48"/>
      <c r="AQ745" s="14"/>
      <c r="AR745" s="14"/>
      <c r="AS745" s="14"/>
      <c r="AT745" s="48"/>
      <c r="AU745" s="14"/>
      <c r="AV745" s="14"/>
      <c r="AW745" s="14"/>
      <c r="AX745" s="49"/>
    </row>
    <row r="746" spans="1:50" ht="10.199999999999999" customHeight="1" x14ac:dyDescent="0.25">
      <c r="A746" s="14">
        <v>26</v>
      </c>
      <c r="B746" s="103">
        <v>40724</v>
      </c>
      <c r="C746" s="103">
        <v>40717</v>
      </c>
      <c r="D746" s="14"/>
      <c r="E746" s="14"/>
      <c r="F746" s="48"/>
      <c r="G746" s="14"/>
      <c r="H746" s="14"/>
      <c r="I746" s="14"/>
      <c r="J746" s="48"/>
      <c r="K746" s="14"/>
      <c r="L746" s="14"/>
      <c r="M746" s="14"/>
      <c r="N746" s="48"/>
      <c r="O746" s="14"/>
      <c r="P746" s="14"/>
      <c r="Q746" s="14"/>
      <c r="R746" s="48"/>
      <c r="S746" s="14"/>
      <c r="T746" s="14"/>
      <c r="U746" s="14"/>
      <c r="V746" s="48"/>
      <c r="W746" s="14"/>
      <c r="X746" s="14"/>
      <c r="Y746" s="14"/>
      <c r="Z746" s="48"/>
      <c r="AA746" s="14"/>
      <c r="AB746" s="14">
        <v>0</v>
      </c>
      <c r="AC746" s="14">
        <v>13</v>
      </c>
      <c r="AD746" s="48">
        <f t="shared" si="206"/>
        <v>6.5</v>
      </c>
      <c r="AE746" s="14"/>
      <c r="AF746" s="14">
        <v>0</v>
      </c>
      <c r="AG746" s="14">
        <v>50</v>
      </c>
      <c r="AH746" s="48">
        <f t="shared" si="208"/>
        <v>25</v>
      </c>
      <c r="AI746" s="14"/>
      <c r="AJ746" s="14"/>
      <c r="AK746" s="14"/>
      <c r="AL746" s="48"/>
      <c r="AM746" s="14"/>
      <c r="AN746" s="14"/>
      <c r="AO746" s="14"/>
      <c r="AP746" s="48"/>
      <c r="AQ746" s="14"/>
      <c r="AR746" s="14"/>
      <c r="AS746" s="14"/>
      <c r="AT746" s="48"/>
      <c r="AU746" s="14"/>
      <c r="AV746" s="14"/>
      <c r="AW746" s="14"/>
      <c r="AX746" s="49"/>
    </row>
    <row r="747" spans="1:50" ht="10.199999999999999" customHeight="1" x14ac:dyDescent="0.25">
      <c r="A747" s="14">
        <v>27</v>
      </c>
      <c r="B747" s="103">
        <v>40731</v>
      </c>
      <c r="C747" s="103">
        <v>40724</v>
      </c>
      <c r="D747" s="14"/>
      <c r="E747" s="14"/>
      <c r="F747" s="48"/>
      <c r="G747" s="14"/>
      <c r="H747" s="14"/>
      <c r="I747" s="14"/>
      <c r="J747" s="48"/>
      <c r="K747" s="14"/>
      <c r="L747" s="14"/>
      <c r="M747" s="14"/>
      <c r="N747" s="48"/>
      <c r="O747" s="14"/>
      <c r="P747" s="14"/>
      <c r="Q747" s="14"/>
      <c r="R747" s="48"/>
      <c r="S747" s="14"/>
      <c r="T747" s="14"/>
      <c r="U747" s="14"/>
      <c r="V747" s="48"/>
      <c r="W747" s="14"/>
      <c r="X747" s="14"/>
      <c r="Y747" s="14"/>
      <c r="Z747" s="48"/>
      <c r="AA747" s="14"/>
      <c r="AB747" s="14">
        <v>0</v>
      </c>
      <c r="AC747" s="14">
        <v>-13</v>
      </c>
      <c r="AD747" s="48">
        <f t="shared" si="206"/>
        <v>-6.5</v>
      </c>
      <c r="AE747" s="14"/>
      <c r="AF747" s="14">
        <v>0</v>
      </c>
      <c r="AG747" s="14">
        <v>13</v>
      </c>
      <c r="AH747" s="48">
        <f t="shared" si="208"/>
        <v>6.5</v>
      </c>
      <c r="AI747" s="14"/>
      <c r="AJ747" s="14"/>
      <c r="AK747" s="14"/>
      <c r="AL747" s="48"/>
      <c r="AM747" s="14"/>
      <c r="AN747" s="14"/>
      <c r="AO747" s="14"/>
      <c r="AP747" s="48"/>
      <c r="AQ747" s="14"/>
      <c r="AR747" s="14"/>
      <c r="AS747" s="14"/>
      <c r="AT747" s="48"/>
      <c r="AU747" s="14"/>
      <c r="AV747" s="14"/>
      <c r="AW747" s="14"/>
      <c r="AX747" s="49"/>
    </row>
    <row r="748" spans="1:50" ht="10.199999999999999" customHeight="1" x14ac:dyDescent="0.25">
      <c r="A748" s="14">
        <v>28</v>
      </c>
      <c r="B748" s="103">
        <v>40738</v>
      </c>
      <c r="C748" s="103">
        <v>40731</v>
      </c>
      <c r="D748" s="14"/>
      <c r="E748" s="14"/>
      <c r="F748" s="48"/>
      <c r="G748" s="14"/>
      <c r="H748" s="14"/>
      <c r="I748" s="14"/>
      <c r="J748" s="48"/>
      <c r="K748" s="14"/>
      <c r="L748" s="14"/>
      <c r="M748" s="14"/>
      <c r="N748" s="48"/>
      <c r="O748" s="14"/>
      <c r="P748" s="14"/>
      <c r="Q748" s="14"/>
      <c r="R748" s="48"/>
      <c r="S748" s="14"/>
      <c r="T748" s="14"/>
      <c r="U748" s="14"/>
      <c r="V748" s="48"/>
      <c r="W748" s="14"/>
      <c r="X748" s="14"/>
      <c r="Y748" s="14"/>
      <c r="Z748" s="48"/>
      <c r="AA748" s="14"/>
      <c r="AB748" s="14">
        <v>0</v>
      </c>
      <c r="AC748" s="14">
        <v>-13</v>
      </c>
      <c r="AD748" s="48">
        <f t="shared" si="206"/>
        <v>-6.5</v>
      </c>
      <c r="AE748" s="14"/>
      <c r="AF748" s="14">
        <v>13</v>
      </c>
      <c r="AG748" s="14">
        <v>13</v>
      </c>
      <c r="AH748" s="48">
        <f t="shared" si="208"/>
        <v>13</v>
      </c>
      <c r="AI748" s="14"/>
      <c r="AJ748" s="14">
        <v>100</v>
      </c>
      <c r="AK748" s="14"/>
      <c r="AL748" s="48">
        <f>AVERAGE(AJ748:AK748)</f>
        <v>100</v>
      </c>
      <c r="AM748" s="14"/>
      <c r="AN748" s="14">
        <v>400</v>
      </c>
      <c r="AO748" s="14"/>
      <c r="AP748" s="48">
        <f t="shared" ref="AP748:AP758" si="209">AVERAGE(AN748:AO748)</f>
        <v>400</v>
      </c>
      <c r="AQ748" s="14"/>
      <c r="AR748" s="14">
        <v>300</v>
      </c>
      <c r="AS748" s="14"/>
      <c r="AT748" s="48">
        <f t="shared" ref="AT748:AT766" si="210">AVERAGE(AR748:AS748)</f>
        <v>300</v>
      </c>
      <c r="AU748" s="14"/>
      <c r="AV748" s="14">
        <v>200</v>
      </c>
      <c r="AW748" s="14"/>
      <c r="AX748" s="48">
        <f t="shared" ref="AX748:AX753" si="211">AVERAGE(AV748:AW748)</f>
        <v>200</v>
      </c>
    </row>
    <row r="749" spans="1:50" ht="10.199999999999999" customHeight="1" x14ac:dyDescent="0.25">
      <c r="A749" s="14">
        <v>29</v>
      </c>
      <c r="B749" s="103">
        <v>40745</v>
      </c>
      <c r="C749" s="103">
        <v>40738</v>
      </c>
      <c r="D749" s="14"/>
      <c r="E749" s="14"/>
      <c r="F749" s="48"/>
      <c r="G749" s="14"/>
      <c r="H749" s="14"/>
      <c r="I749" s="14"/>
      <c r="J749" s="48"/>
      <c r="K749" s="14"/>
      <c r="L749" s="14"/>
      <c r="M749" s="14"/>
      <c r="N749" s="48"/>
      <c r="O749" s="14"/>
      <c r="P749" s="14"/>
      <c r="Q749" s="14"/>
      <c r="R749" s="48"/>
      <c r="S749" s="14"/>
      <c r="T749" s="14"/>
      <c r="U749" s="14"/>
      <c r="V749" s="48"/>
      <c r="W749" s="14"/>
      <c r="X749" s="14"/>
      <c r="Y749" s="14"/>
      <c r="Z749" s="48"/>
      <c r="AA749" s="14"/>
      <c r="AB749" s="14">
        <v>50</v>
      </c>
      <c r="AC749" s="14">
        <v>0</v>
      </c>
      <c r="AD749" s="48">
        <f t="shared" si="206"/>
        <v>25</v>
      </c>
      <c r="AE749" s="14"/>
      <c r="AF749" s="14">
        <v>25</v>
      </c>
      <c r="AG749" s="14">
        <v>19</v>
      </c>
      <c r="AH749" s="48">
        <f t="shared" si="208"/>
        <v>22</v>
      </c>
      <c r="AI749" s="14"/>
      <c r="AJ749" s="14">
        <v>150</v>
      </c>
      <c r="AK749" s="14">
        <v>56</v>
      </c>
      <c r="AL749" s="48">
        <f>AVERAGE(AJ749:AK749)</f>
        <v>103</v>
      </c>
      <c r="AM749" s="14"/>
      <c r="AN749" s="14">
        <v>400</v>
      </c>
      <c r="AO749" s="14"/>
      <c r="AP749" s="48">
        <f t="shared" si="209"/>
        <v>400</v>
      </c>
      <c r="AQ749" s="14"/>
      <c r="AR749" s="14">
        <v>300</v>
      </c>
      <c r="AS749" s="14"/>
      <c r="AT749" s="48">
        <f t="shared" si="210"/>
        <v>300</v>
      </c>
      <c r="AU749" s="14"/>
      <c r="AV749" s="14">
        <v>200</v>
      </c>
      <c r="AW749" s="14"/>
      <c r="AX749" s="48">
        <f t="shared" si="211"/>
        <v>200</v>
      </c>
    </row>
    <row r="750" spans="1:50" ht="10.199999999999999" customHeight="1" x14ac:dyDescent="0.25">
      <c r="A750" s="14">
        <v>30</v>
      </c>
      <c r="B750" s="103">
        <v>40752</v>
      </c>
      <c r="C750" s="103">
        <v>40745</v>
      </c>
      <c r="D750" s="14"/>
      <c r="E750" s="14"/>
      <c r="F750" s="48"/>
      <c r="G750" s="14"/>
      <c r="H750" s="14"/>
      <c r="I750" s="14"/>
      <c r="J750" s="48"/>
      <c r="K750" s="14"/>
      <c r="L750" s="14"/>
      <c r="M750" s="14"/>
      <c r="N750" s="48"/>
      <c r="O750" s="14"/>
      <c r="P750" s="14"/>
      <c r="Q750" s="14"/>
      <c r="R750" s="48"/>
      <c r="S750" s="14"/>
      <c r="T750" s="14"/>
      <c r="U750" s="14"/>
      <c r="V750" s="48"/>
      <c r="W750" s="14"/>
      <c r="X750" s="14"/>
      <c r="Y750" s="14"/>
      <c r="Z750" s="48"/>
      <c r="AA750" s="14"/>
      <c r="AB750" s="14"/>
      <c r="AC750" s="14"/>
      <c r="AD750" s="48"/>
      <c r="AE750" s="14"/>
      <c r="AF750" s="14">
        <v>38</v>
      </c>
      <c r="AG750" s="14">
        <v>14</v>
      </c>
      <c r="AH750" s="48">
        <f t="shared" si="208"/>
        <v>26</v>
      </c>
      <c r="AI750" s="14"/>
      <c r="AJ750" s="14">
        <v>117</v>
      </c>
      <c r="AK750" s="14">
        <v>56</v>
      </c>
      <c r="AL750" s="48">
        <f t="shared" ref="AL750:AL757" si="212">AVERAGE(AJ750:AK750)</f>
        <v>86.5</v>
      </c>
      <c r="AM750" s="14"/>
      <c r="AN750" s="14">
        <v>400</v>
      </c>
      <c r="AO750" s="14"/>
      <c r="AP750" s="48">
        <f t="shared" si="209"/>
        <v>400</v>
      </c>
      <c r="AQ750" s="14"/>
      <c r="AR750" s="14">
        <v>300</v>
      </c>
      <c r="AS750" s="14"/>
      <c r="AT750" s="48">
        <f t="shared" si="210"/>
        <v>300</v>
      </c>
      <c r="AU750" s="14"/>
      <c r="AV750" s="14">
        <v>200</v>
      </c>
      <c r="AW750" s="14"/>
      <c r="AX750" s="48">
        <f t="shared" si="211"/>
        <v>200</v>
      </c>
    </row>
    <row r="751" spans="1:50" ht="10.199999999999999" customHeight="1" x14ac:dyDescent="0.25">
      <c r="A751" s="14">
        <v>31</v>
      </c>
      <c r="B751" s="103">
        <v>40759</v>
      </c>
      <c r="C751" s="103">
        <v>40752</v>
      </c>
      <c r="D751" s="14"/>
      <c r="E751" s="14"/>
      <c r="F751" s="48"/>
      <c r="G751" s="14"/>
      <c r="H751" s="14"/>
      <c r="I751" s="14"/>
      <c r="J751" s="48"/>
      <c r="K751" s="14"/>
      <c r="L751" s="14"/>
      <c r="M751" s="14"/>
      <c r="N751" s="48"/>
      <c r="O751" s="14"/>
      <c r="P751" s="14"/>
      <c r="Q751" s="14"/>
      <c r="R751" s="48"/>
      <c r="S751" s="14"/>
      <c r="T751" s="14"/>
      <c r="U751" s="14"/>
      <c r="V751" s="48"/>
      <c r="W751" s="14"/>
      <c r="X751" s="14"/>
      <c r="Y751" s="14"/>
      <c r="Z751" s="48"/>
      <c r="AA751" s="14"/>
      <c r="AB751" s="14"/>
      <c r="AC751" s="14"/>
      <c r="AD751" s="48"/>
      <c r="AE751" s="14"/>
      <c r="AF751" s="14">
        <v>21</v>
      </c>
      <c r="AG751" s="14">
        <v>18</v>
      </c>
      <c r="AH751" s="48">
        <f t="shared" si="208"/>
        <v>19.5</v>
      </c>
      <c r="AI751" s="14"/>
      <c r="AJ751" s="14">
        <v>117</v>
      </c>
      <c r="AK751" s="14">
        <v>56</v>
      </c>
      <c r="AL751" s="48">
        <f t="shared" si="212"/>
        <v>86.5</v>
      </c>
      <c r="AM751" s="14"/>
      <c r="AN751" s="14">
        <v>400</v>
      </c>
      <c r="AO751" s="14"/>
      <c r="AP751" s="48">
        <f t="shared" si="209"/>
        <v>400</v>
      </c>
      <c r="AQ751" s="14"/>
      <c r="AR751" s="14">
        <v>300</v>
      </c>
      <c r="AS751" s="14"/>
      <c r="AT751" s="48">
        <f t="shared" si="210"/>
        <v>300</v>
      </c>
      <c r="AU751" s="14"/>
      <c r="AV751" s="14">
        <v>200</v>
      </c>
      <c r="AW751" s="14"/>
      <c r="AX751" s="48">
        <f t="shared" si="211"/>
        <v>200</v>
      </c>
    </row>
    <row r="752" spans="1:50" ht="10.199999999999999" customHeight="1" x14ac:dyDescent="0.25">
      <c r="A752" s="14">
        <v>32</v>
      </c>
      <c r="B752" s="103">
        <v>40766</v>
      </c>
      <c r="C752" s="103">
        <v>40759</v>
      </c>
      <c r="D752" s="14"/>
      <c r="E752" s="14"/>
      <c r="F752" s="48"/>
      <c r="G752" s="14"/>
      <c r="H752" s="14"/>
      <c r="I752" s="14"/>
      <c r="J752" s="48"/>
      <c r="K752" s="14"/>
      <c r="L752" s="14"/>
      <c r="M752" s="14"/>
      <c r="N752" s="48"/>
      <c r="O752" s="14"/>
      <c r="P752" s="14"/>
      <c r="Q752" s="14"/>
      <c r="R752" s="48"/>
      <c r="S752" s="14"/>
      <c r="T752" s="14"/>
      <c r="U752" s="14"/>
      <c r="V752" s="48"/>
      <c r="W752" s="14"/>
      <c r="X752" s="14"/>
      <c r="Y752" s="14"/>
      <c r="Z752" s="48"/>
      <c r="AA752" s="14"/>
      <c r="AB752" s="14"/>
      <c r="AC752" s="14"/>
      <c r="AD752" s="48"/>
      <c r="AE752" s="14"/>
      <c r="AF752" s="14">
        <v>38</v>
      </c>
      <c r="AG752" s="14">
        <v>8</v>
      </c>
      <c r="AH752" s="48">
        <f t="shared" si="208"/>
        <v>23</v>
      </c>
      <c r="AI752" s="14"/>
      <c r="AJ752" s="14">
        <v>114</v>
      </c>
      <c r="AK752" s="14">
        <v>63</v>
      </c>
      <c r="AL752" s="48">
        <f t="shared" si="212"/>
        <v>88.5</v>
      </c>
      <c r="AM752" s="14"/>
      <c r="AN752" s="14">
        <v>400</v>
      </c>
      <c r="AO752" s="14"/>
      <c r="AP752" s="48">
        <f t="shared" si="209"/>
        <v>400</v>
      </c>
      <c r="AQ752" s="14"/>
      <c r="AR752" s="14">
        <v>300</v>
      </c>
      <c r="AS752" s="14"/>
      <c r="AT752" s="48">
        <f t="shared" si="210"/>
        <v>300</v>
      </c>
      <c r="AU752" s="14"/>
      <c r="AV752" s="14">
        <v>200</v>
      </c>
      <c r="AW752" s="14"/>
      <c r="AX752" s="48">
        <f t="shared" si="211"/>
        <v>200</v>
      </c>
    </row>
    <row r="753" spans="1:50" ht="10.199999999999999" customHeight="1" x14ac:dyDescent="0.25">
      <c r="A753" s="14">
        <v>33</v>
      </c>
      <c r="B753" s="103">
        <v>40773</v>
      </c>
      <c r="C753" s="103">
        <v>40766</v>
      </c>
      <c r="D753" s="14"/>
      <c r="E753" s="14"/>
      <c r="F753" s="48"/>
      <c r="G753" s="14"/>
      <c r="H753" s="14"/>
      <c r="I753" s="14"/>
      <c r="J753" s="48"/>
      <c r="K753" s="14"/>
      <c r="L753" s="14"/>
      <c r="M753" s="14"/>
      <c r="N753" s="48"/>
      <c r="O753" s="14"/>
      <c r="P753" s="14"/>
      <c r="Q753" s="14"/>
      <c r="R753" s="48"/>
      <c r="S753" s="14"/>
      <c r="T753" s="14"/>
      <c r="U753" s="14"/>
      <c r="V753" s="48"/>
      <c r="W753" s="14"/>
      <c r="X753" s="14"/>
      <c r="Y753" s="14"/>
      <c r="Z753" s="48"/>
      <c r="AA753" s="14"/>
      <c r="AB753" s="14"/>
      <c r="AC753" s="14"/>
      <c r="AD753" s="48"/>
      <c r="AE753" s="14"/>
      <c r="AF753" s="14">
        <v>19</v>
      </c>
      <c r="AG753" s="14">
        <v>13</v>
      </c>
      <c r="AH753" s="48">
        <f t="shared" si="208"/>
        <v>16</v>
      </c>
      <c r="AI753" s="14"/>
      <c r="AJ753" s="14">
        <v>113</v>
      </c>
      <c r="AK753" s="14">
        <v>50</v>
      </c>
      <c r="AL753" s="48">
        <f t="shared" si="212"/>
        <v>81.5</v>
      </c>
      <c r="AM753" s="14"/>
      <c r="AN753" s="14">
        <v>400</v>
      </c>
      <c r="AO753" s="14"/>
      <c r="AP753" s="48">
        <f t="shared" si="209"/>
        <v>400</v>
      </c>
      <c r="AQ753" s="14"/>
      <c r="AR753" s="14">
        <v>300</v>
      </c>
      <c r="AS753" s="14"/>
      <c r="AT753" s="48">
        <f t="shared" si="210"/>
        <v>300</v>
      </c>
      <c r="AU753" s="14"/>
      <c r="AV753" s="14">
        <v>200</v>
      </c>
      <c r="AW753" s="14"/>
      <c r="AX753" s="48">
        <f t="shared" si="211"/>
        <v>200</v>
      </c>
    </row>
    <row r="754" spans="1:50" ht="10.199999999999999" customHeight="1" x14ac:dyDescent="0.25">
      <c r="A754" s="14">
        <v>34</v>
      </c>
      <c r="B754" s="103">
        <v>40780</v>
      </c>
      <c r="C754" s="103">
        <v>40773</v>
      </c>
      <c r="D754" s="14"/>
      <c r="E754" s="14"/>
      <c r="F754" s="48"/>
      <c r="G754" s="14"/>
      <c r="H754" s="14"/>
      <c r="I754" s="14"/>
      <c r="J754" s="48"/>
      <c r="K754" s="14"/>
      <c r="L754" s="14"/>
      <c r="M754" s="14"/>
      <c r="N754" s="48"/>
      <c r="O754" s="14"/>
      <c r="P754" s="14"/>
      <c r="Q754" s="14"/>
      <c r="R754" s="48"/>
      <c r="S754" s="14"/>
      <c r="T754" s="14"/>
      <c r="U754" s="14"/>
      <c r="V754" s="48"/>
      <c r="W754" s="14"/>
      <c r="X754" s="14"/>
      <c r="Y754" s="14"/>
      <c r="Z754" s="48"/>
      <c r="AA754" s="14"/>
      <c r="AB754" s="14"/>
      <c r="AC754" s="14"/>
      <c r="AD754" s="48"/>
      <c r="AE754" s="14"/>
      <c r="AF754" s="14"/>
      <c r="AG754" s="14"/>
      <c r="AH754" s="48"/>
      <c r="AI754" s="14"/>
      <c r="AJ754" s="14">
        <v>67</v>
      </c>
      <c r="AK754" s="14">
        <v>38</v>
      </c>
      <c r="AL754" s="48">
        <f t="shared" si="212"/>
        <v>52.5</v>
      </c>
      <c r="AM754" s="14"/>
      <c r="AN754" s="14">
        <v>183</v>
      </c>
      <c r="AO754" s="14"/>
      <c r="AP754" s="48">
        <f t="shared" si="209"/>
        <v>183</v>
      </c>
      <c r="AQ754" s="14"/>
      <c r="AR754" s="14"/>
      <c r="AS754" s="14"/>
      <c r="AT754" s="48"/>
      <c r="AU754" s="14"/>
      <c r="AV754" s="14"/>
      <c r="AW754" s="14"/>
      <c r="AX754" s="49"/>
    </row>
    <row r="755" spans="1:50" ht="10.199999999999999" customHeight="1" x14ac:dyDescent="0.25">
      <c r="A755" s="14">
        <v>35</v>
      </c>
      <c r="B755" s="103">
        <v>40787</v>
      </c>
      <c r="C755" s="103">
        <v>40780</v>
      </c>
      <c r="D755" s="14"/>
      <c r="E755" s="14"/>
      <c r="F755" s="14"/>
      <c r="G755" s="14"/>
      <c r="H755" s="14"/>
      <c r="I755" s="14"/>
      <c r="J755" s="48"/>
      <c r="K755" s="14"/>
      <c r="L755" s="14"/>
      <c r="M755" s="14"/>
      <c r="N755" s="48"/>
      <c r="O755" s="14"/>
      <c r="P755" s="14"/>
      <c r="Q755" s="14"/>
      <c r="R755" s="48"/>
      <c r="S755" s="14"/>
      <c r="T755" s="14"/>
      <c r="U755" s="14"/>
      <c r="V755" s="48"/>
      <c r="W755" s="14"/>
      <c r="X755" s="14"/>
      <c r="Y755" s="14"/>
      <c r="Z755" s="48"/>
      <c r="AA755" s="14"/>
      <c r="AB755" s="14"/>
      <c r="AC755" s="14"/>
      <c r="AD755" s="48"/>
      <c r="AE755" s="14"/>
      <c r="AF755" s="14"/>
      <c r="AG755" s="14"/>
      <c r="AH755" s="48"/>
      <c r="AI755" s="14"/>
      <c r="AJ755" s="14">
        <v>30</v>
      </c>
      <c r="AK755" s="14">
        <v>25</v>
      </c>
      <c r="AL755" s="48">
        <f t="shared" si="212"/>
        <v>27.5</v>
      </c>
      <c r="AM755" s="14"/>
      <c r="AN755" s="14">
        <v>175</v>
      </c>
      <c r="AO755" s="14"/>
      <c r="AP755" s="48">
        <f t="shared" si="209"/>
        <v>175</v>
      </c>
      <c r="AQ755" s="14"/>
      <c r="AR755" s="14"/>
      <c r="AS755" s="14"/>
      <c r="AT755" s="48"/>
      <c r="AU755" s="14"/>
      <c r="AV755" s="14"/>
      <c r="AW755" s="14"/>
      <c r="AX755" s="49"/>
    </row>
    <row r="756" spans="1:50" ht="10.199999999999999" customHeight="1" x14ac:dyDescent="0.25">
      <c r="A756" s="14">
        <v>36</v>
      </c>
      <c r="B756" s="103">
        <v>40794</v>
      </c>
      <c r="C756" s="103">
        <v>40787</v>
      </c>
      <c r="D756" s="14"/>
      <c r="E756" s="14"/>
      <c r="F756" s="14"/>
      <c r="G756" s="14"/>
      <c r="H756" s="14"/>
      <c r="I756" s="14"/>
      <c r="J756" s="48"/>
      <c r="K756" s="14"/>
      <c r="L756" s="14"/>
      <c r="M756" s="14"/>
      <c r="N756" s="48"/>
      <c r="O756" s="14"/>
      <c r="P756" s="14"/>
      <c r="Q756" s="14"/>
      <c r="R756" s="48"/>
      <c r="S756" s="14"/>
      <c r="T756" s="14"/>
      <c r="U756" s="14"/>
      <c r="V756" s="48"/>
      <c r="W756" s="14"/>
      <c r="X756" s="14"/>
      <c r="Y756" s="14"/>
      <c r="Z756" s="48"/>
      <c r="AA756" s="14"/>
      <c r="AB756" s="14"/>
      <c r="AC756" s="14"/>
      <c r="AD756" s="48"/>
      <c r="AE756" s="14"/>
      <c r="AF756" s="14"/>
      <c r="AG756" s="14"/>
      <c r="AH756" s="48"/>
      <c r="AI756" s="14"/>
      <c r="AJ756" s="14">
        <v>4</v>
      </c>
      <c r="AK756" s="14">
        <v>13</v>
      </c>
      <c r="AL756" s="48">
        <f t="shared" si="212"/>
        <v>8.5</v>
      </c>
      <c r="AM756" s="14"/>
      <c r="AN756" s="14">
        <v>175</v>
      </c>
      <c r="AO756" s="14"/>
      <c r="AP756" s="48">
        <f t="shared" si="209"/>
        <v>175</v>
      </c>
      <c r="AQ756" s="14"/>
      <c r="AR756" s="14"/>
      <c r="AS756" s="14"/>
      <c r="AT756" s="48"/>
      <c r="AU756" s="14"/>
      <c r="AV756" s="14"/>
      <c r="AW756" s="14"/>
      <c r="AX756" s="49"/>
    </row>
    <row r="757" spans="1:50" ht="10.199999999999999" customHeight="1" x14ac:dyDescent="0.25">
      <c r="A757" s="14">
        <v>37</v>
      </c>
      <c r="B757" s="103">
        <v>40801</v>
      </c>
      <c r="C757" s="103">
        <v>40794</v>
      </c>
      <c r="D757" s="14"/>
      <c r="E757" s="14"/>
      <c r="F757" s="14"/>
      <c r="G757" s="14"/>
      <c r="H757" s="14"/>
      <c r="I757" s="14"/>
      <c r="J757" s="48"/>
      <c r="K757" s="14"/>
      <c r="L757" s="14"/>
      <c r="M757" s="14"/>
      <c r="N757" s="48"/>
      <c r="O757" s="14"/>
      <c r="P757" s="14"/>
      <c r="Q757" s="14"/>
      <c r="R757" s="48"/>
      <c r="S757" s="14"/>
      <c r="T757" s="14"/>
      <c r="U757" s="14"/>
      <c r="V757" s="48"/>
      <c r="W757" s="14"/>
      <c r="X757" s="14"/>
      <c r="Y757" s="14"/>
      <c r="Z757" s="48"/>
      <c r="AA757" s="14"/>
      <c r="AB757" s="14"/>
      <c r="AC757" s="14"/>
      <c r="AD757" s="48"/>
      <c r="AE757" s="14"/>
      <c r="AF757" s="136"/>
      <c r="AG757" s="14"/>
      <c r="AH757" s="48"/>
      <c r="AI757" s="137"/>
      <c r="AJ757" s="14">
        <v>-13</v>
      </c>
      <c r="AK757" s="14">
        <v>13</v>
      </c>
      <c r="AL757" s="48">
        <f t="shared" si="212"/>
        <v>0</v>
      </c>
      <c r="AM757" s="14"/>
      <c r="AN757" s="14">
        <v>150</v>
      </c>
      <c r="AO757" s="14"/>
      <c r="AP757" s="48">
        <f t="shared" si="209"/>
        <v>150</v>
      </c>
      <c r="AQ757" s="14"/>
      <c r="AR757" s="14"/>
      <c r="AS757" s="14"/>
      <c r="AT757" s="48"/>
      <c r="AU757" s="14"/>
      <c r="AV757" s="14"/>
      <c r="AW757" s="14"/>
      <c r="AX757" s="49"/>
    </row>
    <row r="758" spans="1:50" ht="10.199999999999999" customHeight="1" x14ac:dyDescent="0.25">
      <c r="A758" s="14">
        <v>38</v>
      </c>
      <c r="B758" s="103">
        <v>40808</v>
      </c>
      <c r="C758" s="103">
        <v>40801</v>
      </c>
      <c r="D758" s="14"/>
      <c r="E758" s="14"/>
      <c r="F758" s="14"/>
      <c r="G758" s="14"/>
      <c r="H758" s="14"/>
      <c r="I758" s="14"/>
      <c r="J758" s="48"/>
      <c r="K758" s="14"/>
      <c r="L758" s="14"/>
      <c r="M758" s="14"/>
      <c r="N758" s="48"/>
      <c r="O758" s="14"/>
      <c r="P758" s="14"/>
      <c r="Q758" s="14"/>
      <c r="R758" s="48"/>
      <c r="S758" s="14"/>
      <c r="T758" s="14"/>
      <c r="U758" s="14"/>
      <c r="V758" s="48"/>
      <c r="W758" s="14"/>
      <c r="X758" s="14"/>
      <c r="Y758" s="14"/>
      <c r="Z758" s="48"/>
      <c r="AA758" s="14"/>
      <c r="AB758" s="14"/>
      <c r="AC758" s="14"/>
      <c r="AD758" s="48"/>
      <c r="AE758" s="14"/>
      <c r="AF758" s="138"/>
      <c r="AG758" s="48"/>
      <c r="AH758" s="48"/>
      <c r="AI758" s="139"/>
      <c r="AJ758" s="139"/>
      <c r="AK758" s="139"/>
      <c r="AL758" s="139"/>
      <c r="AM758" s="14"/>
      <c r="AN758" s="14">
        <v>100</v>
      </c>
      <c r="AO758" s="14">
        <v>150</v>
      </c>
      <c r="AP758" s="48">
        <f t="shared" si="209"/>
        <v>125</v>
      </c>
      <c r="AQ758" s="14"/>
      <c r="AR758" s="14">
        <v>100</v>
      </c>
      <c r="AS758" s="14"/>
      <c r="AT758" s="48">
        <f t="shared" si="210"/>
        <v>100</v>
      </c>
      <c r="AU758" s="14"/>
      <c r="AV758" s="14"/>
      <c r="AW758" s="14"/>
      <c r="AX758" s="49"/>
    </row>
    <row r="759" spans="1:50" ht="10.199999999999999" customHeight="1" x14ac:dyDescent="0.25">
      <c r="A759" s="14">
        <v>39</v>
      </c>
      <c r="B759" s="103">
        <v>40815</v>
      </c>
      <c r="C759" s="103">
        <v>40808</v>
      </c>
      <c r="D759" s="14"/>
      <c r="E759" s="14"/>
      <c r="F759" s="14"/>
      <c r="G759" s="14"/>
      <c r="H759" s="14"/>
      <c r="I759" s="14"/>
      <c r="J759" s="48"/>
      <c r="K759" s="14"/>
      <c r="L759" s="14"/>
      <c r="M759" s="14"/>
      <c r="N759" s="48"/>
      <c r="O759" s="14"/>
      <c r="P759" s="14"/>
      <c r="Q759" s="14"/>
      <c r="R759" s="48"/>
      <c r="S759" s="14"/>
      <c r="T759" s="14"/>
      <c r="U759" s="14"/>
      <c r="V759" s="48"/>
      <c r="W759" s="14"/>
      <c r="X759" s="14"/>
      <c r="Y759" s="14"/>
      <c r="Z759" s="48"/>
      <c r="AA759" s="14"/>
      <c r="AB759" s="14"/>
      <c r="AC759" s="14"/>
      <c r="AD759" s="48"/>
      <c r="AE759" s="14"/>
      <c r="AF759" s="138"/>
      <c r="AG759" s="139"/>
      <c r="AH759" s="48"/>
      <c r="AI759" s="139"/>
      <c r="AJ759" s="139"/>
      <c r="AK759" s="139"/>
      <c r="AL759" s="141"/>
      <c r="AM759" s="14"/>
      <c r="AN759" s="14">
        <v>85</v>
      </c>
      <c r="AO759" s="14">
        <v>150</v>
      </c>
      <c r="AP759" s="48">
        <f>AVERAGE(AN759:AO759)</f>
        <v>117.5</v>
      </c>
      <c r="AQ759" s="14"/>
      <c r="AR759" s="14">
        <v>50</v>
      </c>
      <c r="AS759" s="14"/>
      <c r="AT759" s="48">
        <f t="shared" si="210"/>
        <v>50</v>
      </c>
      <c r="AU759" s="14"/>
      <c r="AV759" s="14"/>
      <c r="AW759" s="14"/>
      <c r="AX759" s="49"/>
    </row>
    <row r="760" spans="1:50" ht="10.199999999999999" customHeight="1" x14ac:dyDescent="0.25">
      <c r="A760" s="14">
        <v>40</v>
      </c>
      <c r="B760" s="103">
        <v>40822</v>
      </c>
      <c r="C760" s="103">
        <v>40815</v>
      </c>
      <c r="D760" s="14"/>
      <c r="E760" s="14"/>
      <c r="F760" s="14"/>
      <c r="G760" s="14"/>
      <c r="H760" s="14"/>
      <c r="I760" s="14"/>
      <c r="J760" s="48"/>
      <c r="K760" s="14"/>
      <c r="L760" s="14"/>
      <c r="M760" s="14"/>
      <c r="N760" s="48"/>
      <c r="O760" s="14"/>
      <c r="P760" s="14"/>
      <c r="Q760" s="14"/>
      <c r="R760" s="48"/>
      <c r="S760" s="14"/>
      <c r="T760" s="14"/>
      <c r="U760" s="14"/>
      <c r="V760" s="48"/>
      <c r="W760" s="14"/>
      <c r="X760" s="14"/>
      <c r="Y760" s="14"/>
      <c r="Z760" s="48"/>
      <c r="AA760" s="14"/>
      <c r="AB760" s="14"/>
      <c r="AC760" s="14"/>
      <c r="AD760" s="48"/>
      <c r="AE760" s="14"/>
      <c r="AF760" s="14"/>
      <c r="AG760" s="14"/>
      <c r="AH760" s="48"/>
      <c r="AI760" s="14"/>
      <c r="AJ760" s="14"/>
      <c r="AK760" s="14"/>
      <c r="AL760" s="48"/>
      <c r="AM760" s="14"/>
      <c r="AN760" s="14">
        <v>-42</v>
      </c>
      <c r="AO760" s="14">
        <v>20</v>
      </c>
      <c r="AP760" s="48">
        <f>AVERAGE(AN760:AO760)</f>
        <v>-11</v>
      </c>
      <c r="AQ760" s="14"/>
      <c r="AR760" s="14">
        <v>0</v>
      </c>
      <c r="AS760" s="14"/>
      <c r="AT760" s="48">
        <f t="shared" si="210"/>
        <v>0</v>
      </c>
      <c r="AU760" s="14"/>
      <c r="AV760" s="14">
        <v>0</v>
      </c>
      <c r="AW760" s="14"/>
      <c r="AX760" s="48">
        <f t="shared" ref="AX760:AX770" si="213">AVERAGE(AV760:AW760)</f>
        <v>0</v>
      </c>
    </row>
    <row r="761" spans="1:50" ht="10.199999999999999" customHeight="1" x14ac:dyDescent="0.25">
      <c r="A761" s="14">
        <v>41</v>
      </c>
      <c r="B761" s="103">
        <v>40829</v>
      </c>
      <c r="C761" s="103">
        <v>40822</v>
      </c>
      <c r="D761" s="14"/>
      <c r="E761" s="14"/>
      <c r="F761" s="14"/>
      <c r="G761" s="14"/>
      <c r="H761" s="14"/>
      <c r="I761" s="14"/>
      <c r="J761" s="48"/>
      <c r="K761" s="14"/>
      <c r="L761" s="14"/>
      <c r="M761" s="14"/>
      <c r="N761" s="48"/>
      <c r="O761" s="14"/>
      <c r="P761" s="14"/>
      <c r="Q761" s="14"/>
      <c r="R761" s="48"/>
      <c r="S761" s="14"/>
      <c r="T761" s="14"/>
      <c r="U761" s="14"/>
      <c r="V761" s="48"/>
      <c r="W761" s="14"/>
      <c r="X761" s="14"/>
      <c r="Y761" s="14"/>
      <c r="Z761" s="48"/>
      <c r="AA761" s="14"/>
      <c r="AB761" s="14"/>
      <c r="AC761" s="14"/>
      <c r="AD761" s="48"/>
      <c r="AE761" s="14"/>
      <c r="AF761" s="14"/>
      <c r="AG761" s="14"/>
      <c r="AH761" s="48"/>
      <c r="AI761" s="14"/>
      <c r="AJ761" s="14"/>
      <c r="AK761" s="14"/>
      <c r="AL761" s="48"/>
      <c r="AM761" s="14"/>
      <c r="AN761" s="14">
        <v>-38</v>
      </c>
      <c r="AO761" s="14">
        <v>-18</v>
      </c>
      <c r="AP761" s="48">
        <f>AVERAGE(AN761:AO761)</f>
        <v>-28</v>
      </c>
      <c r="AQ761" s="14"/>
      <c r="AR761" s="14">
        <v>0</v>
      </c>
      <c r="AS761" s="14"/>
      <c r="AT761" s="48">
        <f t="shared" si="210"/>
        <v>0</v>
      </c>
      <c r="AU761" s="14"/>
      <c r="AV761" s="14">
        <v>0</v>
      </c>
      <c r="AW761" s="14"/>
      <c r="AX761" s="48">
        <f t="shared" si="213"/>
        <v>0</v>
      </c>
    </row>
    <row r="762" spans="1:50" ht="10.199999999999999" customHeight="1" x14ac:dyDescent="0.25">
      <c r="A762" s="14">
        <v>42</v>
      </c>
      <c r="B762" s="103">
        <v>40836</v>
      </c>
      <c r="C762" s="103">
        <v>40829</v>
      </c>
      <c r="D762" s="14"/>
      <c r="E762" s="14"/>
      <c r="F762" s="14"/>
      <c r="G762" s="14"/>
      <c r="H762" s="14"/>
      <c r="I762" s="14"/>
      <c r="J762" s="48"/>
      <c r="K762" s="14"/>
      <c r="L762" s="14"/>
      <c r="M762" s="14"/>
      <c r="N762" s="48"/>
      <c r="O762" s="14"/>
      <c r="P762" s="14"/>
      <c r="Q762" s="14"/>
      <c r="R762" s="48"/>
      <c r="S762" s="14"/>
      <c r="T762" s="14"/>
      <c r="U762" s="14"/>
      <c r="V762" s="48"/>
      <c r="W762" s="14"/>
      <c r="X762" s="14"/>
      <c r="Y762" s="14"/>
      <c r="Z762" s="48"/>
      <c r="AA762" s="14"/>
      <c r="AB762" s="14"/>
      <c r="AC762" s="14"/>
      <c r="AD762" s="48"/>
      <c r="AE762" s="14"/>
      <c r="AF762" s="14"/>
      <c r="AG762" s="14"/>
      <c r="AH762" s="48"/>
      <c r="AI762" s="14"/>
      <c r="AJ762" s="14"/>
      <c r="AK762" s="14"/>
      <c r="AL762" s="48"/>
      <c r="AM762" s="14"/>
      <c r="AN762" s="14">
        <v>-25</v>
      </c>
      <c r="AO762" s="14">
        <v>-25</v>
      </c>
      <c r="AP762" s="48">
        <f>AVERAGE(AN762:AO762)</f>
        <v>-25</v>
      </c>
      <c r="AQ762" s="14"/>
      <c r="AR762" s="14">
        <v>-33</v>
      </c>
      <c r="AS762" s="14">
        <v>-33</v>
      </c>
      <c r="AT762" s="48">
        <f t="shared" si="210"/>
        <v>-33</v>
      </c>
      <c r="AU762" s="14"/>
      <c r="AV762" s="14">
        <v>0</v>
      </c>
      <c r="AW762" s="14">
        <v>-33</v>
      </c>
      <c r="AX762" s="48">
        <f t="shared" si="213"/>
        <v>-16.5</v>
      </c>
    </row>
    <row r="763" spans="1:50" ht="10.199999999999999" customHeight="1" x14ac:dyDescent="0.25">
      <c r="A763" s="14">
        <v>43</v>
      </c>
      <c r="B763" s="103">
        <v>40843</v>
      </c>
      <c r="C763" s="103">
        <v>40836</v>
      </c>
      <c r="D763" s="14"/>
      <c r="E763" s="14"/>
      <c r="F763" s="14"/>
      <c r="G763" s="14"/>
      <c r="H763" s="14"/>
      <c r="I763" s="14"/>
      <c r="J763" s="48"/>
      <c r="K763" s="14"/>
      <c r="L763" s="14"/>
      <c r="M763" s="14"/>
      <c r="N763" s="48"/>
      <c r="O763" s="14"/>
      <c r="P763" s="14"/>
      <c r="Q763" s="14"/>
      <c r="R763" s="48"/>
      <c r="S763" s="14"/>
      <c r="T763" s="14"/>
      <c r="U763" s="14"/>
      <c r="V763" s="48"/>
      <c r="W763" s="14"/>
      <c r="X763" s="14"/>
      <c r="Y763" s="14"/>
      <c r="Z763" s="48"/>
      <c r="AA763" s="14"/>
      <c r="AB763" s="14"/>
      <c r="AC763" s="14"/>
      <c r="AD763" s="48"/>
      <c r="AE763" s="14"/>
      <c r="AF763" s="14"/>
      <c r="AG763" s="14"/>
      <c r="AH763" s="48"/>
      <c r="AI763" s="14"/>
      <c r="AJ763" s="14"/>
      <c r="AK763" s="14"/>
      <c r="AL763" s="48"/>
      <c r="AM763" s="14"/>
      <c r="AN763" s="14"/>
      <c r="AO763" s="14"/>
      <c r="AP763" s="48"/>
      <c r="AQ763" s="14"/>
      <c r="AR763" s="14">
        <v>-33</v>
      </c>
      <c r="AS763" s="14">
        <v>-33</v>
      </c>
      <c r="AT763" s="48">
        <f t="shared" si="210"/>
        <v>-33</v>
      </c>
      <c r="AU763" s="14"/>
      <c r="AV763" s="14">
        <v>0</v>
      </c>
      <c r="AW763" s="14">
        <v>-33</v>
      </c>
      <c r="AX763" s="48">
        <f t="shared" si="213"/>
        <v>-16.5</v>
      </c>
    </row>
    <row r="764" spans="1:50" ht="10.199999999999999" customHeight="1" x14ac:dyDescent="0.25">
      <c r="A764" s="14">
        <v>44</v>
      </c>
      <c r="B764" s="103">
        <v>40850</v>
      </c>
      <c r="C764" s="103">
        <v>40843</v>
      </c>
      <c r="D764" s="14">
        <v>-125</v>
      </c>
      <c r="E764" s="14"/>
      <c r="F764" s="48">
        <f t="shared" ref="F764:F769" si="214">AVERAGE(D764:E764)</f>
        <v>-125</v>
      </c>
      <c r="G764" s="14"/>
      <c r="H764" s="14"/>
      <c r="I764" s="14"/>
      <c r="J764" s="48"/>
      <c r="K764" s="14"/>
      <c r="L764" s="14"/>
      <c r="M764" s="14"/>
      <c r="N764" s="48"/>
      <c r="O764" s="14"/>
      <c r="P764" s="14"/>
      <c r="Q764" s="14"/>
      <c r="R764" s="48"/>
      <c r="S764" s="14"/>
      <c r="T764" s="14"/>
      <c r="U764" s="14"/>
      <c r="V764" s="48"/>
      <c r="W764" s="14"/>
      <c r="X764" s="14"/>
      <c r="Y764" s="14"/>
      <c r="Z764" s="48"/>
      <c r="AA764" s="14"/>
      <c r="AB764" s="14"/>
      <c r="AC764" s="14"/>
      <c r="AD764" s="48"/>
      <c r="AE764" s="14"/>
      <c r="AF764" s="14"/>
      <c r="AG764" s="14"/>
      <c r="AH764" s="48"/>
      <c r="AI764" s="14"/>
      <c r="AJ764" s="14"/>
      <c r="AK764" s="14"/>
      <c r="AL764" s="48"/>
      <c r="AM764" s="14"/>
      <c r="AN764" s="14"/>
      <c r="AO764" s="14"/>
      <c r="AP764" s="48"/>
      <c r="AQ764" s="14"/>
      <c r="AR764" s="14">
        <v>-33</v>
      </c>
      <c r="AS764" s="14">
        <v>-23</v>
      </c>
      <c r="AT764" s="48">
        <f t="shared" si="210"/>
        <v>-28</v>
      </c>
      <c r="AU764" s="14"/>
      <c r="AV764" s="14">
        <v>0</v>
      </c>
      <c r="AW764" s="14">
        <v>-33</v>
      </c>
      <c r="AX764" s="48">
        <f t="shared" si="213"/>
        <v>-16.5</v>
      </c>
    </row>
    <row r="765" spans="1:50" ht="10.199999999999999" customHeight="1" x14ac:dyDescent="0.25">
      <c r="A765" s="14">
        <v>45</v>
      </c>
      <c r="B765" s="103">
        <v>40857</v>
      </c>
      <c r="C765" s="103">
        <v>40850</v>
      </c>
      <c r="D765" s="14">
        <v>-125</v>
      </c>
      <c r="E765" s="14"/>
      <c r="F765" s="48">
        <f t="shared" si="214"/>
        <v>-125</v>
      </c>
      <c r="G765" s="14"/>
      <c r="H765" s="14"/>
      <c r="I765" s="14"/>
      <c r="J765" s="48"/>
      <c r="K765" s="14"/>
      <c r="L765" s="14"/>
      <c r="M765" s="14"/>
      <c r="N765" s="48"/>
      <c r="O765" s="14"/>
      <c r="P765" s="14"/>
      <c r="Q765" s="14"/>
      <c r="R765" s="48"/>
      <c r="S765" s="14"/>
      <c r="T765" s="14"/>
      <c r="U765" s="14"/>
      <c r="V765" s="48"/>
      <c r="W765" s="14"/>
      <c r="X765" s="14"/>
      <c r="Y765" s="14"/>
      <c r="Z765" s="48"/>
      <c r="AA765" s="14"/>
      <c r="AB765" s="14"/>
      <c r="AC765" s="14"/>
      <c r="AD765" s="48"/>
      <c r="AE765" s="14"/>
      <c r="AF765" s="14"/>
      <c r="AG765" s="14"/>
      <c r="AH765" s="48"/>
      <c r="AI765" s="14"/>
      <c r="AJ765" s="14"/>
      <c r="AK765" s="14"/>
      <c r="AL765" s="48"/>
      <c r="AM765" s="14"/>
      <c r="AN765" s="14"/>
      <c r="AO765" s="14"/>
      <c r="AP765" s="48"/>
      <c r="AQ765" s="14"/>
      <c r="AR765" s="14">
        <v>-69</v>
      </c>
      <c r="AS765" s="14">
        <v>-25</v>
      </c>
      <c r="AT765" s="48">
        <f t="shared" si="210"/>
        <v>-47</v>
      </c>
      <c r="AU765" s="14"/>
      <c r="AV765" s="14">
        <v>0</v>
      </c>
      <c r="AW765" s="14">
        <v>-75</v>
      </c>
      <c r="AX765" s="48">
        <f t="shared" si="213"/>
        <v>-37.5</v>
      </c>
    </row>
    <row r="766" spans="1:50" ht="10.199999999999999" customHeight="1" x14ac:dyDescent="0.25">
      <c r="A766" s="14">
        <v>46</v>
      </c>
      <c r="B766" s="103">
        <v>40864</v>
      </c>
      <c r="C766" s="103">
        <v>40857</v>
      </c>
      <c r="D766" s="14">
        <v>-125</v>
      </c>
      <c r="E766" s="14"/>
      <c r="F766" s="48">
        <f t="shared" si="214"/>
        <v>-125</v>
      </c>
      <c r="G766" s="14"/>
      <c r="H766" s="14"/>
      <c r="I766" s="14"/>
      <c r="J766" s="48"/>
      <c r="K766" s="14"/>
      <c r="L766" s="14"/>
      <c r="M766" s="14"/>
      <c r="N766" s="48"/>
      <c r="O766" s="14"/>
      <c r="P766" s="14"/>
      <c r="Q766" s="14"/>
      <c r="R766" s="48"/>
      <c r="S766" s="14"/>
      <c r="T766" s="14"/>
      <c r="U766" s="14"/>
      <c r="V766" s="48"/>
      <c r="W766" s="14"/>
      <c r="X766" s="14"/>
      <c r="Y766" s="14"/>
      <c r="Z766" s="48"/>
      <c r="AA766" s="14"/>
      <c r="AB766" s="14"/>
      <c r="AC766" s="14"/>
      <c r="AD766" s="48"/>
      <c r="AE766" s="14"/>
      <c r="AF766" s="14"/>
      <c r="AG766" s="14"/>
      <c r="AH766" s="48"/>
      <c r="AI766" s="14"/>
      <c r="AJ766" s="14"/>
      <c r="AK766" s="14"/>
      <c r="AL766" s="48"/>
      <c r="AM766" s="14"/>
      <c r="AN766" s="14"/>
      <c r="AO766" s="14"/>
      <c r="AP766" s="48"/>
      <c r="AQ766" s="14"/>
      <c r="AR766" s="14">
        <v>-63</v>
      </c>
      <c r="AS766" s="14">
        <v>-25</v>
      </c>
      <c r="AT766" s="48">
        <f t="shared" si="210"/>
        <v>-44</v>
      </c>
      <c r="AU766" s="14"/>
      <c r="AV766" s="14">
        <v>-8</v>
      </c>
      <c r="AW766" s="14">
        <v>-25</v>
      </c>
      <c r="AX766" s="48">
        <f t="shared" si="213"/>
        <v>-16.5</v>
      </c>
    </row>
    <row r="767" spans="1:50" ht="10.199999999999999" customHeight="1" x14ac:dyDescent="0.25">
      <c r="A767" s="14">
        <v>47</v>
      </c>
      <c r="B767" s="103">
        <v>40871</v>
      </c>
      <c r="C767" s="103">
        <v>40864</v>
      </c>
      <c r="D767" s="14">
        <v>-58</v>
      </c>
      <c r="E767" s="14"/>
      <c r="F767" s="48">
        <f>AVERAGE(D767:E767)</f>
        <v>-58</v>
      </c>
      <c r="G767" s="14"/>
      <c r="H767" s="14"/>
      <c r="I767" s="14"/>
      <c r="J767" s="48"/>
      <c r="K767" s="14"/>
      <c r="L767" s="14"/>
      <c r="M767" s="14"/>
      <c r="N767" s="48"/>
      <c r="O767" s="14"/>
      <c r="P767" s="14"/>
      <c r="Q767" s="14"/>
      <c r="R767" s="48"/>
      <c r="S767" s="14"/>
      <c r="T767" s="14"/>
      <c r="U767" s="14"/>
      <c r="V767" s="48"/>
      <c r="W767" s="14"/>
      <c r="X767" s="14"/>
      <c r="Y767" s="14"/>
      <c r="Z767" s="48"/>
      <c r="AA767" s="14"/>
      <c r="AB767" s="14"/>
      <c r="AC767" s="14"/>
      <c r="AD767" s="48"/>
      <c r="AE767" s="14"/>
      <c r="AF767" s="14"/>
      <c r="AG767" s="14"/>
      <c r="AH767" s="48"/>
      <c r="AI767" s="14"/>
      <c r="AJ767" s="14"/>
      <c r="AK767" s="14"/>
      <c r="AL767" s="48"/>
      <c r="AM767" s="14"/>
      <c r="AN767" s="14"/>
      <c r="AO767" s="14"/>
      <c r="AP767" s="48"/>
      <c r="AQ767" s="14"/>
      <c r="AR767" s="14"/>
      <c r="AS767" s="14"/>
      <c r="AT767" s="48"/>
      <c r="AU767" s="14"/>
      <c r="AV767" s="14">
        <v>-21</v>
      </c>
      <c r="AW767" s="14">
        <v>-8</v>
      </c>
      <c r="AX767" s="48">
        <f t="shared" si="213"/>
        <v>-14.5</v>
      </c>
    </row>
    <row r="768" spans="1:50" ht="10.199999999999999" customHeight="1" x14ac:dyDescent="0.25">
      <c r="A768" s="14">
        <v>48</v>
      </c>
      <c r="B768" s="103">
        <v>40878</v>
      </c>
      <c r="C768" s="103">
        <v>40871</v>
      </c>
      <c r="D768" s="14">
        <v>10</v>
      </c>
      <c r="E768" s="14"/>
      <c r="F768" s="48">
        <f t="shared" si="214"/>
        <v>10</v>
      </c>
      <c r="G768" s="14"/>
      <c r="H768" s="14"/>
      <c r="I768" s="14"/>
      <c r="J768" s="48"/>
      <c r="K768" s="14"/>
      <c r="L768" s="14"/>
      <c r="M768" s="14"/>
      <c r="N768" s="48"/>
      <c r="O768" s="14"/>
      <c r="P768" s="14"/>
      <c r="Q768" s="14"/>
      <c r="R768" s="48"/>
      <c r="S768" s="14"/>
      <c r="T768" s="14"/>
      <c r="U768" s="14"/>
      <c r="V768" s="48"/>
      <c r="W768" s="14"/>
      <c r="X768" s="14"/>
      <c r="Y768" s="14"/>
      <c r="Z768" s="48"/>
      <c r="AA768" s="14"/>
      <c r="AB768" s="14"/>
      <c r="AC768" s="14"/>
      <c r="AD768" s="48"/>
      <c r="AE768" s="14"/>
      <c r="AF768" s="14"/>
      <c r="AG768" s="14"/>
      <c r="AH768" s="48"/>
      <c r="AI768" s="14"/>
      <c r="AJ768" s="14"/>
      <c r="AK768" s="14"/>
      <c r="AL768" s="48"/>
      <c r="AM768" s="14"/>
      <c r="AN768" s="14"/>
      <c r="AO768" s="14"/>
      <c r="AP768" s="48"/>
      <c r="AQ768" s="14"/>
      <c r="AR768" s="14"/>
      <c r="AS768" s="14"/>
      <c r="AT768" s="48"/>
      <c r="AU768" s="14"/>
      <c r="AV768" s="14">
        <v>-25</v>
      </c>
      <c r="AW768" s="14">
        <v>-8</v>
      </c>
      <c r="AX768" s="48">
        <f t="shared" si="213"/>
        <v>-16.5</v>
      </c>
    </row>
    <row r="769" spans="1:50" ht="10.199999999999999" customHeight="1" x14ac:dyDescent="0.25">
      <c r="A769" s="14">
        <v>49</v>
      </c>
      <c r="B769" s="103">
        <v>40885</v>
      </c>
      <c r="C769" s="103">
        <v>40878</v>
      </c>
      <c r="D769" s="14">
        <v>0</v>
      </c>
      <c r="E769" s="14"/>
      <c r="F769" s="48">
        <f t="shared" si="214"/>
        <v>0</v>
      </c>
      <c r="G769" s="14"/>
      <c r="H769" s="14"/>
      <c r="I769" s="14"/>
      <c r="J769" s="48"/>
      <c r="K769" s="14"/>
      <c r="L769" s="14"/>
      <c r="M769" s="14"/>
      <c r="N769" s="48"/>
      <c r="O769" s="14"/>
      <c r="P769" s="14"/>
      <c r="Q769" s="14"/>
      <c r="R769" s="48"/>
      <c r="S769" s="14"/>
      <c r="T769" s="14"/>
      <c r="U769" s="14"/>
      <c r="V769" s="48"/>
      <c r="W769" s="14"/>
      <c r="X769" s="14"/>
      <c r="Y769" s="14"/>
      <c r="Z769" s="48"/>
      <c r="AA769" s="14"/>
      <c r="AB769" s="14"/>
      <c r="AC769" s="14"/>
      <c r="AD769" s="48"/>
      <c r="AE769" s="14"/>
      <c r="AF769" s="14"/>
      <c r="AG769" s="14"/>
      <c r="AH769" s="48"/>
      <c r="AI769" s="14"/>
      <c r="AJ769" s="14"/>
      <c r="AK769" s="14"/>
      <c r="AL769" s="48"/>
      <c r="AM769" s="14"/>
      <c r="AN769" s="14"/>
      <c r="AO769" s="14"/>
      <c r="AP769" s="48"/>
      <c r="AQ769" s="14"/>
      <c r="AR769" s="14"/>
      <c r="AS769" s="14"/>
      <c r="AT769" s="48"/>
      <c r="AU769" s="14"/>
      <c r="AV769" s="14">
        <v>-6</v>
      </c>
      <c r="AW769" s="14">
        <v>-25</v>
      </c>
      <c r="AX769" s="48">
        <f t="shared" si="213"/>
        <v>-15.5</v>
      </c>
    </row>
    <row r="770" spans="1:50" ht="10.199999999999999" customHeight="1" x14ac:dyDescent="0.25">
      <c r="A770" s="14">
        <v>50</v>
      </c>
      <c r="B770" s="103">
        <v>40892</v>
      </c>
      <c r="C770" s="103">
        <v>40885</v>
      </c>
      <c r="D770" s="14">
        <v>0</v>
      </c>
      <c r="E770" s="14">
        <v>-50</v>
      </c>
      <c r="F770" s="48">
        <f t="shared" ref="F770:F775" si="215">AVERAGE(D770:E770)</f>
        <v>-25</v>
      </c>
      <c r="G770" s="14"/>
      <c r="H770" s="14">
        <v>0</v>
      </c>
      <c r="I770" s="14"/>
      <c r="J770" s="48">
        <f t="shared" ref="J770:J779" si="216">AVERAGE(H770:I770)</f>
        <v>0</v>
      </c>
      <c r="K770" s="14"/>
      <c r="L770" s="14"/>
      <c r="M770" s="14"/>
      <c r="N770" s="48"/>
      <c r="O770" s="14"/>
      <c r="P770" s="14"/>
      <c r="Q770" s="14"/>
      <c r="R770" s="48"/>
      <c r="S770" s="14"/>
      <c r="T770" s="14"/>
      <c r="U770" s="14"/>
      <c r="V770" s="48"/>
      <c r="W770" s="14"/>
      <c r="X770" s="14"/>
      <c r="Y770" s="14"/>
      <c r="Z770" s="48"/>
      <c r="AA770" s="14"/>
      <c r="AB770" s="14"/>
      <c r="AC770" s="14"/>
      <c r="AD770" s="48"/>
      <c r="AE770" s="14"/>
      <c r="AF770" s="14"/>
      <c r="AG770" s="14"/>
      <c r="AH770" s="48"/>
      <c r="AI770" s="14"/>
      <c r="AJ770" s="14"/>
      <c r="AK770" s="14"/>
      <c r="AL770" s="48"/>
      <c r="AM770" s="14"/>
      <c r="AN770" s="14"/>
      <c r="AO770" s="14"/>
      <c r="AP770" s="48"/>
      <c r="AQ770" s="14"/>
      <c r="AR770" s="14"/>
      <c r="AS770" s="14"/>
      <c r="AT770" s="48"/>
      <c r="AU770" s="14"/>
      <c r="AV770" s="14">
        <v>5</v>
      </c>
      <c r="AW770" s="14">
        <v>0</v>
      </c>
      <c r="AX770" s="48">
        <f t="shared" si="213"/>
        <v>2.5</v>
      </c>
    </row>
    <row r="771" spans="1:50" ht="10.199999999999999" customHeight="1" x14ac:dyDescent="0.25">
      <c r="A771" s="14">
        <v>51</v>
      </c>
      <c r="B771" s="103">
        <v>40899</v>
      </c>
      <c r="C771" s="103">
        <v>40892</v>
      </c>
      <c r="D771" s="14">
        <v>-16</v>
      </c>
      <c r="E771" s="14">
        <v>-25</v>
      </c>
      <c r="F771" s="48">
        <f t="shared" si="215"/>
        <v>-20.5</v>
      </c>
      <c r="G771" s="14"/>
      <c r="H771" s="14">
        <v>0</v>
      </c>
      <c r="I771" s="14"/>
      <c r="J771" s="48">
        <f t="shared" si="216"/>
        <v>0</v>
      </c>
      <c r="K771" s="14"/>
      <c r="L771" s="14"/>
      <c r="M771" s="14"/>
      <c r="N771" s="48"/>
      <c r="O771" s="14"/>
      <c r="P771" s="14"/>
      <c r="Q771" s="14"/>
      <c r="R771" s="48"/>
      <c r="S771" s="14"/>
      <c r="T771" s="14"/>
      <c r="U771" s="14"/>
      <c r="V771" s="48"/>
      <c r="W771" s="14"/>
      <c r="X771" s="14"/>
      <c r="Y771" s="14"/>
      <c r="Z771" s="48"/>
      <c r="AA771" s="14"/>
      <c r="AB771" s="14"/>
      <c r="AC771" s="14"/>
      <c r="AD771" s="48"/>
      <c r="AE771" s="14"/>
      <c r="AF771" s="14"/>
      <c r="AG771" s="14"/>
      <c r="AH771" s="48"/>
      <c r="AI771" s="14"/>
      <c r="AJ771" s="14"/>
      <c r="AK771" s="14"/>
      <c r="AL771" s="48"/>
      <c r="AM771" s="14"/>
      <c r="AN771" s="14"/>
      <c r="AO771" s="14"/>
      <c r="AP771" s="48"/>
      <c r="AQ771" s="14"/>
      <c r="AR771" s="14"/>
      <c r="AS771" s="14"/>
      <c r="AT771" s="48"/>
      <c r="AU771" s="14"/>
      <c r="AV771" s="14"/>
      <c r="AW771" s="14"/>
      <c r="AX771" s="48"/>
    </row>
    <row r="772" spans="1:50" ht="10.199999999999999" customHeight="1" x14ac:dyDescent="0.25">
      <c r="A772" s="14">
        <v>52</v>
      </c>
      <c r="B772" s="103">
        <v>40906</v>
      </c>
      <c r="C772" s="103">
        <v>40899</v>
      </c>
      <c r="D772" s="14">
        <v>0</v>
      </c>
      <c r="E772" s="14">
        <v>25</v>
      </c>
      <c r="F772" s="48">
        <f t="shared" si="215"/>
        <v>12.5</v>
      </c>
      <c r="G772" s="14"/>
      <c r="H772" s="14">
        <v>0</v>
      </c>
      <c r="I772" s="14"/>
      <c r="J772" s="48">
        <f t="shared" si="216"/>
        <v>0</v>
      </c>
      <c r="K772" s="14"/>
      <c r="L772" s="14"/>
      <c r="M772" s="14"/>
      <c r="N772" s="48"/>
      <c r="O772" s="14"/>
      <c r="P772" s="14"/>
      <c r="Q772" s="14"/>
      <c r="R772" s="48"/>
      <c r="S772" s="14"/>
      <c r="T772" s="14"/>
      <c r="U772" s="14"/>
      <c r="V772" s="48"/>
      <c r="W772" s="14"/>
      <c r="X772" s="14"/>
      <c r="Y772" s="14"/>
      <c r="Z772" s="48"/>
      <c r="AA772" s="14"/>
      <c r="AB772" s="14"/>
      <c r="AC772" s="14"/>
      <c r="AD772" s="48"/>
      <c r="AE772" s="14"/>
      <c r="AF772" s="14"/>
      <c r="AG772" s="14"/>
      <c r="AH772" s="48"/>
      <c r="AI772" s="14"/>
      <c r="AJ772" s="14"/>
      <c r="AK772" s="14"/>
      <c r="AL772" s="48"/>
      <c r="AM772" s="14"/>
      <c r="AN772" s="14"/>
      <c r="AO772" s="14"/>
      <c r="AP772" s="48"/>
      <c r="AQ772" s="14"/>
      <c r="AR772" s="14"/>
      <c r="AS772" s="14"/>
      <c r="AT772" s="48"/>
      <c r="AU772" s="14"/>
      <c r="AV772" s="14"/>
      <c r="AW772" s="14"/>
      <c r="AX772" s="48"/>
    </row>
    <row r="773" spans="1:50" ht="10.199999999999999" customHeight="1" x14ac:dyDescent="0.25">
      <c r="A773" s="14">
        <v>1</v>
      </c>
      <c r="B773" s="103">
        <v>40913</v>
      </c>
      <c r="C773" s="103">
        <v>40906</v>
      </c>
      <c r="D773" s="14">
        <v>0</v>
      </c>
      <c r="E773" s="14">
        <v>13</v>
      </c>
      <c r="F773" s="48">
        <f t="shared" si="215"/>
        <v>6.5</v>
      </c>
      <c r="G773" s="14"/>
      <c r="H773" s="14">
        <v>0</v>
      </c>
      <c r="I773" s="14"/>
      <c r="J773" s="48">
        <f t="shared" si="216"/>
        <v>0</v>
      </c>
      <c r="K773" s="14"/>
      <c r="L773" s="14"/>
      <c r="M773" s="14"/>
      <c r="N773" s="48"/>
      <c r="O773" s="14"/>
      <c r="P773" s="14"/>
      <c r="Q773" s="14"/>
      <c r="R773" s="48"/>
      <c r="S773" s="14"/>
      <c r="T773" s="14"/>
      <c r="U773" s="14"/>
      <c r="V773" s="48"/>
      <c r="W773" s="14"/>
      <c r="X773" s="14"/>
      <c r="Y773" s="14"/>
      <c r="Z773" s="48"/>
      <c r="AA773" s="14"/>
      <c r="AB773" s="14"/>
      <c r="AC773" s="14"/>
      <c r="AD773" s="48"/>
      <c r="AE773" s="14"/>
      <c r="AF773" s="14"/>
      <c r="AG773" s="14"/>
      <c r="AH773" s="48"/>
      <c r="AI773" s="14"/>
      <c r="AJ773" s="14"/>
      <c r="AK773" s="14"/>
      <c r="AL773" s="48"/>
      <c r="AM773" s="14"/>
      <c r="AN773" s="14"/>
      <c r="AO773" s="14"/>
      <c r="AP773" s="48"/>
      <c r="AQ773" s="14"/>
      <c r="AR773" s="14"/>
      <c r="AS773" s="14"/>
      <c r="AT773" s="48"/>
      <c r="AU773" s="14"/>
      <c r="AV773" s="14"/>
      <c r="AW773" s="14"/>
      <c r="AX773" s="48"/>
    </row>
    <row r="774" spans="1:50" ht="10.199999999999999" customHeight="1" x14ac:dyDescent="0.25">
      <c r="A774" s="14">
        <v>2</v>
      </c>
      <c r="B774" s="103">
        <v>40920</v>
      </c>
      <c r="C774" s="103">
        <v>40913</v>
      </c>
      <c r="D774" s="14">
        <v>-13</v>
      </c>
      <c r="E774" s="14">
        <v>25</v>
      </c>
      <c r="F774" s="48">
        <f t="shared" si="215"/>
        <v>6</v>
      </c>
      <c r="G774" s="14"/>
      <c r="H774" s="14">
        <v>0</v>
      </c>
      <c r="I774" s="14">
        <v>25</v>
      </c>
      <c r="J774" s="48">
        <f t="shared" si="216"/>
        <v>12.5</v>
      </c>
      <c r="K774" s="14"/>
      <c r="L774" s="14"/>
      <c r="M774" s="14"/>
      <c r="N774" s="48"/>
      <c r="O774" s="14"/>
      <c r="P774" s="14"/>
      <c r="Q774" s="14"/>
      <c r="R774" s="48"/>
      <c r="S774" s="14"/>
      <c r="T774" s="14"/>
      <c r="U774" s="14"/>
      <c r="V774" s="48"/>
      <c r="W774" s="14"/>
      <c r="X774" s="14"/>
      <c r="Y774" s="14"/>
      <c r="Z774" s="48"/>
      <c r="AA774" s="14"/>
      <c r="AB774" s="14"/>
      <c r="AC774" s="14"/>
      <c r="AD774" s="48"/>
      <c r="AE774" s="14"/>
      <c r="AF774" s="14"/>
      <c r="AG774" s="14"/>
      <c r="AH774" s="48"/>
      <c r="AI774" s="14"/>
      <c r="AJ774" s="14"/>
      <c r="AK774" s="14"/>
      <c r="AL774" s="48"/>
      <c r="AM774" s="14"/>
      <c r="AN774" s="14"/>
      <c r="AO774" s="14"/>
      <c r="AP774" s="48"/>
      <c r="AQ774" s="14"/>
      <c r="AR774" s="14"/>
      <c r="AS774" s="14"/>
      <c r="AT774" s="48"/>
      <c r="AU774" s="14"/>
      <c r="AV774" s="14"/>
      <c r="AW774" s="14"/>
      <c r="AX774" s="48"/>
    </row>
    <row r="775" spans="1:50" ht="10.199999999999999" customHeight="1" x14ac:dyDescent="0.25">
      <c r="A775" s="14">
        <v>3</v>
      </c>
      <c r="B775" s="103">
        <v>40927</v>
      </c>
      <c r="C775" s="103">
        <v>40920</v>
      </c>
      <c r="D775" s="14">
        <v>-63</v>
      </c>
      <c r="E775" s="14">
        <v>0</v>
      </c>
      <c r="F775" s="48">
        <f t="shared" si="215"/>
        <v>-31.5</v>
      </c>
      <c r="G775" s="14"/>
      <c r="H775" s="14">
        <v>-50</v>
      </c>
      <c r="I775" s="14">
        <v>25</v>
      </c>
      <c r="J775" s="48">
        <f t="shared" si="216"/>
        <v>-12.5</v>
      </c>
      <c r="K775" s="14"/>
      <c r="L775" s="14"/>
      <c r="M775" s="14"/>
      <c r="N775" s="48"/>
      <c r="O775" s="14"/>
      <c r="P775" s="14"/>
      <c r="Q775" s="14"/>
      <c r="R775" s="48"/>
      <c r="S775" s="14"/>
      <c r="T775" s="14"/>
      <c r="U775" s="14"/>
      <c r="V775" s="48"/>
      <c r="W775" s="14"/>
      <c r="X775" s="14"/>
      <c r="Y775" s="14"/>
      <c r="Z775" s="48"/>
      <c r="AA775" s="14"/>
      <c r="AB775" s="14"/>
      <c r="AC775" s="14"/>
      <c r="AD775" s="48"/>
      <c r="AE775" s="14"/>
      <c r="AF775" s="14"/>
      <c r="AG775" s="14"/>
      <c r="AH775" s="48"/>
      <c r="AI775" s="14"/>
      <c r="AJ775" s="14"/>
      <c r="AK775" s="14"/>
      <c r="AL775" s="48"/>
      <c r="AM775" s="14"/>
      <c r="AN775" s="14"/>
      <c r="AO775" s="14"/>
      <c r="AP775" s="48"/>
      <c r="AQ775" s="14"/>
      <c r="AR775" s="14"/>
      <c r="AS775" s="14"/>
      <c r="AT775" s="48"/>
      <c r="AU775" s="14"/>
      <c r="AV775" s="14"/>
      <c r="AW775" s="14"/>
      <c r="AX775" s="48"/>
    </row>
    <row r="776" spans="1:50" ht="10.199999999999999" customHeight="1" x14ac:dyDescent="0.25">
      <c r="A776" s="14">
        <v>4</v>
      </c>
      <c r="B776" s="103">
        <v>40934</v>
      </c>
      <c r="C776" s="103">
        <v>40927</v>
      </c>
      <c r="D776" s="14"/>
      <c r="E776" s="14"/>
      <c r="F776" s="14"/>
      <c r="G776" s="14"/>
      <c r="H776" s="14">
        <v>-25</v>
      </c>
      <c r="I776" s="14">
        <v>18</v>
      </c>
      <c r="J776" s="48">
        <f t="shared" si="216"/>
        <v>-3.5</v>
      </c>
      <c r="K776" s="14"/>
      <c r="L776" s="14">
        <v>0</v>
      </c>
      <c r="M776" s="14"/>
      <c r="N776" s="48">
        <f t="shared" ref="N776:N782" si="217">AVERAGE(L776:M776)</f>
        <v>0</v>
      </c>
      <c r="O776" s="14"/>
      <c r="P776" s="14"/>
      <c r="Q776" s="14"/>
      <c r="R776" s="48"/>
      <c r="S776" s="14"/>
      <c r="T776" s="14"/>
      <c r="U776" s="14"/>
      <c r="V776" s="48"/>
      <c r="W776" s="14"/>
      <c r="X776" s="14"/>
      <c r="Y776" s="14"/>
      <c r="Z776" s="48"/>
      <c r="AA776" s="14"/>
      <c r="AB776" s="14"/>
      <c r="AC776" s="14"/>
      <c r="AD776" s="48"/>
      <c r="AE776" s="14"/>
      <c r="AF776" s="14"/>
      <c r="AG776" s="14"/>
      <c r="AH776" s="48"/>
      <c r="AI776" s="14"/>
      <c r="AJ776" s="14"/>
      <c r="AK776" s="14"/>
      <c r="AL776" s="48"/>
      <c r="AM776" s="14"/>
      <c r="AN776" s="14"/>
      <c r="AO776" s="14"/>
      <c r="AP776" s="48"/>
      <c r="AQ776" s="14"/>
      <c r="AR776" s="14"/>
      <c r="AS776" s="14"/>
      <c r="AT776" s="48"/>
      <c r="AU776" s="14"/>
      <c r="AV776" s="14"/>
      <c r="AW776" s="14"/>
      <c r="AX776" s="48"/>
    </row>
    <row r="777" spans="1:50" ht="10.199999999999999" customHeight="1" x14ac:dyDescent="0.25">
      <c r="A777" s="14">
        <v>5</v>
      </c>
      <c r="B777" s="103">
        <v>40941</v>
      </c>
      <c r="C777" s="103">
        <v>40934</v>
      </c>
      <c r="D777" s="14"/>
      <c r="E777" s="14"/>
      <c r="F777" s="14"/>
      <c r="G777" s="14"/>
      <c r="H777" s="14">
        <v>-25</v>
      </c>
      <c r="I777" s="14">
        <v>5</v>
      </c>
      <c r="J777" s="48">
        <f t="shared" si="216"/>
        <v>-10</v>
      </c>
      <c r="K777" s="14"/>
      <c r="L777" s="14">
        <v>0</v>
      </c>
      <c r="M777" s="14">
        <v>0</v>
      </c>
      <c r="N777" s="48">
        <f t="shared" si="217"/>
        <v>0</v>
      </c>
      <c r="O777" s="14"/>
      <c r="P777" s="14"/>
      <c r="Q777" s="14"/>
      <c r="R777" s="48"/>
      <c r="S777" s="14"/>
      <c r="T777" s="14"/>
      <c r="U777" s="14"/>
      <c r="V777" s="48"/>
      <c r="W777" s="14"/>
      <c r="X777" s="14"/>
      <c r="Y777" s="14"/>
      <c r="Z777" s="48"/>
      <c r="AA777" s="14"/>
      <c r="AB777" s="14"/>
      <c r="AC777" s="14"/>
      <c r="AD777" s="48"/>
      <c r="AE777" s="14"/>
      <c r="AF777" s="14"/>
      <c r="AG777" s="14"/>
      <c r="AH777" s="48"/>
      <c r="AI777" s="14"/>
      <c r="AJ777" s="14"/>
      <c r="AK777" s="14"/>
      <c r="AL777" s="48"/>
      <c r="AM777" s="14"/>
      <c r="AN777" s="14"/>
      <c r="AO777" s="14"/>
      <c r="AP777" s="48"/>
      <c r="AQ777" s="14"/>
      <c r="AR777" s="14"/>
      <c r="AS777" s="14"/>
      <c r="AT777" s="48"/>
      <c r="AU777" s="14"/>
      <c r="AV777" s="14"/>
      <c r="AW777" s="14"/>
      <c r="AX777" s="48"/>
    </row>
    <row r="778" spans="1:50" ht="10.199999999999999" customHeight="1" x14ac:dyDescent="0.25">
      <c r="A778" s="14">
        <v>6</v>
      </c>
      <c r="B778" s="103">
        <v>40948</v>
      </c>
      <c r="C778" s="103">
        <v>40941</v>
      </c>
      <c r="D778" s="14"/>
      <c r="E778" s="14"/>
      <c r="F778" s="14"/>
      <c r="G778" s="14"/>
      <c r="H778" s="14">
        <v>-13</v>
      </c>
      <c r="I778" s="14"/>
      <c r="J778" s="48">
        <f t="shared" si="216"/>
        <v>-13</v>
      </c>
      <c r="K778" s="14"/>
      <c r="L778" s="14">
        <v>-5</v>
      </c>
      <c r="M778" s="14">
        <v>0</v>
      </c>
      <c r="N778" s="48">
        <f t="shared" si="217"/>
        <v>-2.5</v>
      </c>
      <c r="O778" s="14"/>
      <c r="P778" s="14"/>
      <c r="Q778" s="14"/>
      <c r="R778" s="48"/>
      <c r="S778" s="14"/>
      <c r="T778" s="14"/>
      <c r="U778" s="14"/>
      <c r="V778" s="48"/>
      <c r="W778" s="14"/>
      <c r="X778" s="14"/>
      <c r="Y778" s="14"/>
      <c r="Z778" s="48"/>
      <c r="AA778" s="14"/>
      <c r="AB778" s="14"/>
      <c r="AC778" s="14"/>
      <c r="AD778" s="48"/>
      <c r="AE778" s="14"/>
      <c r="AF778" s="14"/>
      <c r="AG778" s="14"/>
      <c r="AH778" s="48"/>
      <c r="AI778" s="14"/>
      <c r="AJ778" s="14"/>
      <c r="AK778" s="14"/>
      <c r="AL778" s="48"/>
      <c r="AM778" s="14"/>
      <c r="AN778" s="14"/>
      <c r="AO778" s="14"/>
      <c r="AP778" s="48"/>
      <c r="AQ778" s="14"/>
      <c r="AR778" s="14"/>
      <c r="AS778" s="14"/>
      <c r="AT778" s="48"/>
      <c r="AU778" s="14"/>
      <c r="AV778" s="14"/>
      <c r="AW778" s="14"/>
      <c r="AX778" s="48"/>
    </row>
    <row r="779" spans="1:50" ht="10.199999999999999" customHeight="1" x14ac:dyDescent="0.25">
      <c r="A779" s="14">
        <v>7</v>
      </c>
      <c r="B779" s="103">
        <v>40955</v>
      </c>
      <c r="C779" s="103">
        <v>40948</v>
      </c>
      <c r="D779" s="14"/>
      <c r="E779" s="14"/>
      <c r="F779" s="14"/>
      <c r="G779" s="14"/>
      <c r="H779" s="14">
        <v>-13</v>
      </c>
      <c r="I779" s="14">
        <v>25</v>
      </c>
      <c r="J779" s="48">
        <f t="shared" si="216"/>
        <v>6</v>
      </c>
      <c r="K779" s="14"/>
      <c r="L779" s="14">
        <v>-5</v>
      </c>
      <c r="M779" s="14">
        <v>0</v>
      </c>
      <c r="N779" s="48">
        <f t="shared" si="217"/>
        <v>-2.5</v>
      </c>
      <c r="O779" s="14"/>
      <c r="P779" s="14"/>
      <c r="Q779" s="14"/>
      <c r="R779" s="48"/>
      <c r="S779" s="14"/>
      <c r="T779" s="14"/>
      <c r="U779" s="14"/>
      <c r="V779" s="48"/>
      <c r="W779" s="14"/>
      <c r="X779" s="14"/>
      <c r="Y779" s="14"/>
      <c r="Z779" s="48"/>
      <c r="AA779" s="14"/>
      <c r="AB779" s="14"/>
      <c r="AC779" s="14"/>
      <c r="AD779" s="48"/>
      <c r="AE779" s="14"/>
      <c r="AF779" s="14"/>
      <c r="AG779" s="14"/>
      <c r="AH779" s="48"/>
      <c r="AI779" s="14"/>
      <c r="AJ779" s="14"/>
      <c r="AK779" s="14"/>
      <c r="AL779" s="48"/>
      <c r="AM779" s="14"/>
      <c r="AN779" s="14"/>
      <c r="AO779" s="14"/>
      <c r="AP779" s="48"/>
      <c r="AQ779" s="14"/>
      <c r="AR779" s="14"/>
      <c r="AS779" s="14"/>
      <c r="AT779" s="48"/>
      <c r="AU779" s="14"/>
      <c r="AV779" s="14"/>
      <c r="AW779" s="14"/>
      <c r="AX779" s="48"/>
    </row>
    <row r="780" spans="1:50" ht="10.199999999999999" customHeight="1" x14ac:dyDescent="0.25">
      <c r="A780" s="14">
        <v>8</v>
      </c>
      <c r="B780" s="103">
        <v>40962</v>
      </c>
      <c r="C780" s="103">
        <v>40955</v>
      </c>
      <c r="D780" s="14"/>
      <c r="E780" s="14"/>
      <c r="F780" s="14"/>
      <c r="G780" s="14"/>
      <c r="H780" s="14"/>
      <c r="I780" s="14"/>
      <c r="J780" s="48"/>
      <c r="K780" s="14"/>
      <c r="L780" s="14">
        <v>13</v>
      </c>
      <c r="M780" s="14">
        <v>0</v>
      </c>
      <c r="N780" s="48">
        <f t="shared" si="217"/>
        <v>6.5</v>
      </c>
      <c r="O780" s="14"/>
      <c r="P780" s="14"/>
      <c r="Q780" s="14"/>
      <c r="R780" s="48"/>
      <c r="S780" s="14"/>
      <c r="T780" s="14"/>
      <c r="U780" s="14"/>
      <c r="V780" s="48"/>
      <c r="W780" s="14"/>
      <c r="X780" s="14"/>
      <c r="Y780" s="14"/>
      <c r="Z780" s="48"/>
      <c r="AA780" s="14"/>
      <c r="AB780" s="14"/>
      <c r="AC780" s="14"/>
      <c r="AD780" s="48"/>
      <c r="AE780" s="14"/>
      <c r="AF780" s="14"/>
      <c r="AG780" s="14"/>
      <c r="AH780" s="48"/>
      <c r="AI780" s="14"/>
      <c r="AJ780" s="14"/>
      <c r="AK780" s="14"/>
      <c r="AL780" s="48"/>
      <c r="AM780" s="14"/>
      <c r="AN780" s="14"/>
      <c r="AO780" s="14"/>
      <c r="AP780" s="48"/>
      <c r="AQ780" s="14"/>
      <c r="AR780" s="14"/>
      <c r="AS780" s="14"/>
      <c r="AT780" s="14"/>
      <c r="AU780" s="14"/>
      <c r="AV780" s="14"/>
      <c r="AW780" s="14"/>
      <c r="AX780" s="48"/>
    </row>
    <row r="781" spans="1:50" ht="10.199999999999999" customHeight="1" x14ac:dyDescent="0.25">
      <c r="A781" s="14">
        <v>9</v>
      </c>
      <c r="B781" s="103">
        <v>40969</v>
      </c>
      <c r="C781" s="103">
        <v>40962</v>
      </c>
      <c r="D781" s="14"/>
      <c r="E781" s="14"/>
      <c r="F781" s="14"/>
      <c r="G781" s="14"/>
      <c r="H781" s="14"/>
      <c r="I781" s="14"/>
      <c r="J781" s="48"/>
      <c r="K781" s="14"/>
      <c r="L781" s="14">
        <v>0</v>
      </c>
      <c r="M781" s="14">
        <v>0</v>
      </c>
      <c r="N781" s="48">
        <f t="shared" si="217"/>
        <v>0</v>
      </c>
      <c r="O781" s="14"/>
      <c r="P781" s="14"/>
      <c r="Q781" s="14"/>
      <c r="R781" s="48"/>
      <c r="S781" s="14"/>
      <c r="T781" s="14"/>
      <c r="U781" s="14"/>
      <c r="V781" s="48"/>
      <c r="W781" s="14"/>
      <c r="X781" s="14"/>
      <c r="Y781" s="14"/>
      <c r="Z781" s="48"/>
      <c r="AA781" s="14"/>
      <c r="AB781" s="14"/>
      <c r="AC781" s="14"/>
      <c r="AD781" s="48"/>
      <c r="AE781" s="14"/>
      <c r="AF781" s="14"/>
      <c r="AG781" s="14"/>
      <c r="AH781" s="48"/>
      <c r="AI781" s="14"/>
      <c r="AJ781" s="14"/>
      <c r="AK781" s="14"/>
      <c r="AL781" s="48"/>
      <c r="AM781" s="14"/>
      <c r="AN781" s="14"/>
      <c r="AO781" s="14"/>
      <c r="AP781" s="48"/>
      <c r="AQ781" s="14"/>
      <c r="AR781" s="14"/>
      <c r="AS781" s="14"/>
      <c r="AT781" s="14"/>
      <c r="AU781" s="14"/>
      <c r="AV781" s="14"/>
      <c r="AW781" s="14"/>
      <c r="AX781" s="48"/>
    </row>
    <row r="782" spans="1:50" ht="10.199999999999999" customHeight="1" x14ac:dyDescent="0.25">
      <c r="A782" s="14">
        <v>10</v>
      </c>
      <c r="B782" s="103">
        <v>40976</v>
      </c>
      <c r="C782" s="103">
        <v>40969</v>
      </c>
      <c r="D782" s="14"/>
      <c r="E782" s="14"/>
      <c r="F782" s="14"/>
      <c r="G782" s="14"/>
      <c r="H782" s="14"/>
      <c r="I782" s="14"/>
      <c r="J782" s="48"/>
      <c r="K782" s="14"/>
      <c r="L782" s="14">
        <v>-13</v>
      </c>
      <c r="M782" s="14">
        <v>0</v>
      </c>
      <c r="N782" s="48">
        <f t="shared" si="217"/>
        <v>-6.5</v>
      </c>
      <c r="O782" s="14"/>
      <c r="P782" s="14"/>
      <c r="Q782" s="14"/>
      <c r="R782" s="48"/>
      <c r="S782" s="14"/>
      <c r="T782" s="14"/>
      <c r="U782" s="14"/>
      <c r="V782" s="48"/>
      <c r="W782" s="14"/>
      <c r="X782" s="14"/>
      <c r="Y782" s="14"/>
      <c r="Z782" s="48"/>
      <c r="AA782" s="14"/>
      <c r="AB782" s="14"/>
      <c r="AC782" s="14"/>
      <c r="AD782" s="48"/>
      <c r="AE782" s="14"/>
      <c r="AF782" s="14"/>
      <c r="AG782" s="14"/>
      <c r="AH782" s="48"/>
      <c r="AI782" s="14"/>
      <c r="AJ782" s="14"/>
      <c r="AK782" s="14"/>
      <c r="AL782" s="48"/>
      <c r="AM782" s="14"/>
      <c r="AN782" s="14"/>
      <c r="AO782" s="14"/>
      <c r="AP782" s="48"/>
      <c r="AQ782" s="14"/>
      <c r="AR782" s="14"/>
      <c r="AS782" s="14"/>
      <c r="AT782" s="14"/>
      <c r="AU782" s="14"/>
      <c r="AV782" s="14"/>
      <c r="AW782" s="14"/>
      <c r="AX782" s="48"/>
    </row>
    <row r="783" spans="1:50" ht="10.199999999999999" customHeight="1" x14ac:dyDescent="0.25">
      <c r="A783" s="14">
        <v>11</v>
      </c>
      <c r="B783" s="103">
        <v>40983</v>
      </c>
      <c r="C783" s="103">
        <v>40976</v>
      </c>
      <c r="D783" s="14"/>
      <c r="E783" s="14"/>
      <c r="F783" s="14"/>
      <c r="G783" s="14"/>
      <c r="H783" s="14"/>
      <c r="I783" s="14"/>
      <c r="J783" s="48"/>
      <c r="K783" s="14"/>
      <c r="L783" s="14">
        <v>-4</v>
      </c>
      <c r="M783" s="14"/>
      <c r="N783" s="48">
        <f>AVERAGE(L783:M783)</f>
        <v>-4</v>
      </c>
      <c r="O783" s="14"/>
      <c r="P783" s="14"/>
      <c r="Q783" s="14"/>
      <c r="R783" s="48"/>
      <c r="S783" s="14"/>
      <c r="T783" s="14"/>
      <c r="U783" s="14"/>
      <c r="V783" s="48"/>
      <c r="W783" s="14"/>
      <c r="X783" s="14"/>
      <c r="Y783" s="14"/>
      <c r="Z783" s="48"/>
      <c r="AA783" s="14"/>
      <c r="AB783" s="14"/>
      <c r="AC783" s="14"/>
      <c r="AD783" s="48"/>
      <c r="AE783" s="14"/>
      <c r="AF783" s="14"/>
      <c r="AG783" s="14"/>
      <c r="AH783" s="48"/>
      <c r="AI783" s="14"/>
      <c r="AJ783" s="14"/>
      <c r="AK783" s="14"/>
      <c r="AL783" s="48"/>
      <c r="AM783" s="14"/>
      <c r="AN783" s="14"/>
      <c r="AO783" s="14"/>
      <c r="AP783" s="48"/>
      <c r="AQ783" s="14"/>
      <c r="AR783" s="14"/>
      <c r="AS783" s="14"/>
      <c r="AT783" s="14"/>
      <c r="AU783" s="14"/>
      <c r="AV783" s="14"/>
      <c r="AW783" s="14"/>
      <c r="AX783" s="48"/>
    </row>
    <row r="784" spans="1:50" ht="10.199999999999999" customHeight="1" x14ac:dyDescent="0.25">
      <c r="A784" s="14">
        <v>12</v>
      </c>
      <c r="B784" s="103">
        <v>40990</v>
      </c>
      <c r="C784" s="103">
        <v>40983</v>
      </c>
      <c r="D784" s="14"/>
      <c r="E784" s="14"/>
      <c r="F784" s="14"/>
      <c r="G784" s="14"/>
      <c r="H784" s="14"/>
      <c r="I784" s="14"/>
      <c r="J784" s="48"/>
      <c r="K784" s="14"/>
      <c r="L784" s="14"/>
      <c r="M784" s="14"/>
      <c r="N784" s="48"/>
      <c r="O784" s="14"/>
      <c r="S784" s="14"/>
      <c r="T784" s="14"/>
      <c r="U784" s="14"/>
      <c r="V784" s="48"/>
      <c r="W784" s="14"/>
      <c r="X784" s="14"/>
      <c r="Y784" s="14"/>
      <c r="Z784" s="48"/>
      <c r="AA784" s="14"/>
      <c r="AB784" s="14"/>
      <c r="AC784" s="14"/>
      <c r="AD784" s="48"/>
      <c r="AE784" s="14"/>
      <c r="AF784" s="14"/>
      <c r="AG784" s="14"/>
      <c r="AH784" s="48"/>
      <c r="AI784" s="14"/>
      <c r="AJ784" s="14"/>
      <c r="AK784" s="14"/>
      <c r="AL784" s="48"/>
      <c r="AM784" s="14"/>
      <c r="AN784" s="14"/>
      <c r="AO784" s="14"/>
      <c r="AP784" s="48"/>
      <c r="AQ784" s="14"/>
      <c r="AR784" s="14"/>
      <c r="AS784" s="14"/>
      <c r="AT784" s="14"/>
      <c r="AU784" s="14"/>
      <c r="AV784" s="14"/>
      <c r="AW784" s="14"/>
      <c r="AX784" s="48"/>
    </row>
    <row r="785" spans="1:50" ht="10.199999999999999" customHeight="1" x14ac:dyDescent="0.25">
      <c r="A785" s="14">
        <v>13</v>
      </c>
      <c r="B785" s="103">
        <v>40997</v>
      </c>
      <c r="C785" s="103">
        <v>40990</v>
      </c>
      <c r="D785" s="14"/>
      <c r="E785" s="14"/>
      <c r="F785" s="14"/>
      <c r="G785" s="14"/>
      <c r="H785" s="14"/>
      <c r="I785" s="14"/>
      <c r="J785" s="48"/>
      <c r="K785" s="14"/>
      <c r="L785" s="14"/>
      <c r="M785" s="14"/>
      <c r="N785" s="48"/>
      <c r="O785" s="14"/>
      <c r="P785" s="14">
        <v>10</v>
      </c>
      <c r="Q785" s="14">
        <v>25</v>
      </c>
      <c r="R785" s="48">
        <f>AVERAGE(P785:Q785)</f>
        <v>17.5</v>
      </c>
      <c r="S785" s="14"/>
      <c r="T785" s="14"/>
      <c r="U785" s="14"/>
      <c r="V785" s="48"/>
      <c r="W785" s="14"/>
      <c r="X785" s="14"/>
      <c r="Y785" s="14"/>
      <c r="Z785" s="48"/>
      <c r="AA785" s="14"/>
      <c r="AB785" s="14"/>
      <c r="AC785" s="14"/>
      <c r="AD785" s="48"/>
      <c r="AE785" s="14"/>
      <c r="AF785" s="14"/>
      <c r="AG785" s="14"/>
      <c r="AH785" s="48"/>
      <c r="AI785" s="14"/>
      <c r="AJ785" s="14"/>
      <c r="AK785" s="14"/>
      <c r="AL785" s="48"/>
      <c r="AM785" s="14"/>
      <c r="AN785" s="14"/>
      <c r="AO785" s="14"/>
      <c r="AP785" s="48"/>
      <c r="AQ785" s="14"/>
      <c r="AR785" s="14"/>
      <c r="AS785" s="14"/>
      <c r="AT785" s="14"/>
      <c r="AU785" s="14"/>
      <c r="AV785" s="14"/>
      <c r="AW785" s="14"/>
      <c r="AX785" s="48"/>
    </row>
    <row r="786" spans="1:50" ht="10.199999999999999" customHeight="1" x14ac:dyDescent="0.25">
      <c r="A786" s="14">
        <v>14</v>
      </c>
      <c r="B786" s="103">
        <v>41004</v>
      </c>
      <c r="C786" s="103">
        <v>40997</v>
      </c>
      <c r="D786" s="12"/>
      <c r="E786" s="12"/>
      <c r="F786" s="12"/>
      <c r="G786" s="12"/>
      <c r="H786" s="12"/>
      <c r="I786" s="12"/>
      <c r="J786" s="100"/>
      <c r="K786" s="12"/>
      <c r="L786" s="12"/>
      <c r="M786" s="12"/>
      <c r="N786" s="100"/>
      <c r="O786" s="12"/>
      <c r="P786" s="14">
        <v>10</v>
      </c>
      <c r="Q786" s="14">
        <v>25</v>
      </c>
      <c r="R786" s="48">
        <f>AVERAGE(P786:Q786)</f>
        <v>17.5</v>
      </c>
      <c r="S786" s="12"/>
      <c r="T786" s="12"/>
      <c r="U786" s="12"/>
      <c r="V786" s="100"/>
      <c r="W786" s="12"/>
      <c r="X786" s="12"/>
      <c r="Y786" s="12"/>
      <c r="Z786" s="100"/>
      <c r="AA786" s="12"/>
      <c r="AB786" s="12"/>
      <c r="AC786" s="12"/>
      <c r="AD786" s="100"/>
      <c r="AE786" s="12"/>
      <c r="AF786" s="12"/>
      <c r="AG786" s="12"/>
      <c r="AH786" s="48"/>
      <c r="AI786" s="12"/>
      <c r="AJ786" s="12"/>
      <c r="AK786" s="12"/>
      <c r="AL786" s="100"/>
      <c r="AM786" s="12"/>
      <c r="AN786" s="12"/>
      <c r="AO786" s="12"/>
      <c r="AP786" s="100"/>
      <c r="AQ786" s="12"/>
      <c r="AR786" s="12"/>
      <c r="AS786" s="12"/>
      <c r="AT786" s="12"/>
      <c r="AU786" s="12"/>
      <c r="AV786" s="12"/>
      <c r="AW786" s="12"/>
      <c r="AX786" s="48"/>
    </row>
    <row r="787" spans="1:50" ht="10.199999999999999" customHeight="1" x14ac:dyDescent="0.25">
      <c r="A787" s="14">
        <v>15</v>
      </c>
      <c r="B787" s="103">
        <v>41011</v>
      </c>
      <c r="C787" s="103">
        <v>41004</v>
      </c>
      <c r="D787" s="12"/>
      <c r="E787" s="12"/>
      <c r="F787" s="12"/>
      <c r="G787" s="12"/>
      <c r="H787" s="12"/>
      <c r="I787" s="12"/>
      <c r="J787" s="100"/>
      <c r="K787" s="12"/>
      <c r="L787" s="12"/>
      <c r="M787" s="12"/>
      <c r="N787" s="100"/>
      <c r="O787" s="12"/>
      <c r="P787" s="14">
        <v>10</v>
      </c>
      <c r="Q787" s="14">
        <v>18</v>
      </c>
      <c r="R787" s="48">
        <f>AVERAGE(P787:Q787)</f>
        <v>14</v>
      </c>
      <c r="S787" s="12"/>
      <c r="T787" s="12"/>
      <c r="U787" s="12"/>
      <c r="V787" s="100"/>
      <c r="W787" s="12"/>
      <c r="X787" s="12"/>
      <c r="Y787" s="12"/>
      <c r="Z787" s="100"/>
      <c r="AA787" s="12"/>
      <c r="AB787" s="12"/>
      <c r="AC787" s="12"/>
      <c r="AD787" s="100"/>
      <c r="AE787" s="12"/>
      <c r="AF787" s="12"/>
      <c r="AG787" s="12"/>
      <c r="AH787" s="48"/>
      <c r="AI787" s="12"/>
      <c r="AJ787" s="12"/>
      <c r="AK787" s="12"/>
      <c r="AL787" s="100"/>
      <c r="AM787" s="12"/>
      <c r="AN787" s="12"/>
      <c r="AO787" s="12"/>
      <c r="AP787" s="100"/>
      <c r="AQ787" s="12"/>
      <c r="AR787" s="12"/>
      <c r="AS787" s="12"/>
      <c r="AT787" s="12"/>
      <c r="AU787" s="12"/>
      <c r="AV787" s="12"/>
      <c r="AW787" s="12"/>
      <c r="AX787" s="48"/>
    </row>
    <row r="788" spans="1:50" ht="10.199999999999999" customHeight="1" x14ac:dyDescent="0.25">
      <c r="A788" s="14">
        <v>16</v>
      </c>
      <c r="B788" s="103">
        <v>41018</v>
      </c>
      <c r="C788" s="103">
        <v>41011</v>
      </c>
      <c r="D788" s="12"/>
      <c r="E788" s="12"/>
      <c r="F788" s="12"/>
      <c r="G788" s="12"/>
      <c r="H788" s="12"/>
      <c r="I788" s="12"/>
      <c r="J788" s="100"/>
      <c r="K788" s="12"/>
      <c r="L788" s="12"/>
      <c r="M788" s="12"/>
      <c r="N788" s="100"/>
      <c r="O788" s="12"/>
      <c r="P788" s="14">
        <v>-20</v>
      </c>
      <c r="Q788" s="14">
        <v>0</v>
      </c>
      <c r="R788" s="48">
        <f>AVERAGE(P788:Q788)</f>
        <v>-10</v>
      </c>
      <c r="S788" s="12"/>
      <c r="T788" s="12"/>
      <c r="U788" s="12"/>
      <c r="V788" s="100"/>
      <c r="W788" s="12"/>
      <c r="X788" s="12"/>
      <c r="Y788" s="12"/>
      <c r="Z788" s="100"/>
      <c r="AA788" s="12"/>
      <c r="AB788" s="12"/>
      <c r="AC788" s="12"/>
      <c r="AD788" s="100"/>
      <c r="AE788" s="12"/>
      <c r="AF788" s="12"/>
      <c r="AG788" s="12"/>
      <c r="AH788" s="48"/>
      <c r="AI788" s="12"/>
      <c r="AJ788" s="12"/>
      <c r="AK788" s="12"/>
      <c r="AL788" s="100"/>
      <c r="AM788" s="12"/>
      <c r="AN788" s="12"/>
      <c r="AO788" s="12"/>
      <c r="AP788" s="100"/>
      <c r="AQ788" s="12"/>
      <c r="AR788" s="12"/>
      <c r="AS788" s="12"/>
      <c r="AT788" s="12"/>
      <c r="AU788" s="12"/>
      <c r="AV788" s="12"/>
      <c r="AW788" s="12"/>
      <c r="AX788" s="48"/>
    </row>
    <row r="789" spans="1:50" ht="10.199999999999999" customHeight="1" x14ac:dyDescent="0.25">
      <c r="A789" s="14">
        <v>17</v>
      </c>
      <c r="B789" s="103">
        <v>41025</v>
      </c>
      <c r="C789" s="103">
        <v>41018</v>
      </c>
      <c r="D789" s="12"/>
      <c r="E789" s="12"/>
      <c r="F789" s="12"/>
      <c r="G789" s="12"/>
      <c r="H789" s="12"/>
      <c r="I789" s="12"/>
      <c r="J789" s="100"/>
      <c r="K789" s="12"/>
      <c r="L789" s="12"/>
      <c r="M789" s="12"/>
      <c r="N789" s="100"/>
      <c r="O789" s="12"/>
      <c r="P789" s="14"/>
      <c r="Q789" s="14"/>
      <c r="R789" s="100"/>
      <c r="S789" s="12"/>
      <c r="T789" s="12"/>
      <c r="U789" s="12"/>
      <c r="V789" s="100"/>
      <c r="W789" s="12"/>
      <c r="X789" s="12"/>
      <c r="Y789" s="12"/>
      <c r="Z789" s="100"/>
      <c r="AA789" s="12"/>
      <c r="AB789" s="12"/>
      <c r="AC789" s="12"/>
      <c r="AD789" s="100"/>
      <c r="AE789" s="12"/>
      <c r="AF789" s="12"/>
      <c r="AG789" s="12"/>
      <c r="AH789" s="48"/>
      <c r="AI789" s="12"/>
      <c r="AJ789" s="12"/>
      <c r="AK789" s="12"/>
      <c r="AL789" s="100"/>
      <c r="AM789" s="12"/>
      <c r="AN789" s="12"/>
      <c r="AO789" s="12"/>
      <c r="AP789" s="100"/>
      <c r="AQ789" s="12"/>
      <c r="AR789" s="12"/>
      <c r="AS789" s="12"/>
      <c r="AT789" s="12"/>
      <c r="AU789" s="12"/>
      <c r="AV789" s="12"/>
      <c r="AW789" s="12"/>
      <c r="AX789" s="48"/>
    </row>
    <row r="790" spans="1:50" ht="10.199999999999999" customHeight="1" x14ac:dyDescent="0.25">
      <c r="A790" s="14">
        <v>18</v>
      </c>
      <c r="B790" s="103">
        <v>41032</v>
      </c>
      <c r="C790" s="103">
        <v>41025</v>
      </c>
      <c r="D790" s="12"/>
      <c r="E790" s="12"/>
      <c r="F790" s="12"/>
      <c r="G790" s="12"/>
      <c r="H790" s="12"/>
      <c r="I790" s="12"/>
      <c r="J790" s="100"/>
      <c r="K790" s="12"/>
      <c r="L790" s="12"/>
      <c r="M790" s="12"/>
      <c r="N790" s="100"/>
      <c r="O790" s="12"/>
      <c r="P790" s="14"/>
      <c r="Q790" s="14"/>
      <c r="R790" s="100"/>
      <c r="S790" s="12"/>
      <c r="T790" s="14">
        <v>-10</v>
      </c>
      <c r="U790" s="14">
        <v>0</v>
      </c>
      <c r="V790" s="48">
        <f>AVERAGE(T790:U790)</f>
        <v>-5</v>
      </c>
      <c r="W790" s="12"/>
      <c r="X790" s="14"/>
      <c r="Y790" s="14">
        <v>15</v>
      </c>
      <c r="Z790" s="48">
        <f t="shared" ref="Z790:Z797" si="218">AVERAGE(X790:Y790)</f>
        <v>15</v>
      </c>
      <c r="AA790" s="12"/>
      <c r="AB790" s="12"/>
      <c r="AC790" s="12"/>
      <c r="AD790" s="100"/>
      <c r="AE790" s="12"/>
      <c r="AF790" s="12"/>
      <c r="AG790" s="12"/>
      <c r="AH790" s="48"/>
      <c r="AI790" s="12"/>
      <c r="AJ790" s="12"/>
      <c r="AK790" s="12"/>
      <c r="AL790" s="100"/>
      <c r="AM790" s="12"/>
      <c r="AN790" s="14"/>
      <c r="AO790" s="14">
        <v>93</v>
      </c>
      <c r="AP790" s="48">
        <f t="shared" ref="AP790:AP804" si="219">AVERAGE(AN790:AO790)</f>
        <v>93</v>
      </c>
      <c r="AQ790" s="12"/>
      <c r="AR790" s="12"/>
      <c r="AS790" s="12"/>
      <c r="AT790" s="12"/>
      <c r="AU790" s="12"/>
      <c r="AV790" s="12"/>
      <c r="AW790" s="12"/>
      <c r="AX790" s="48"/>
    </row>
    <row r="791" spans="1:50" ht="10.199999999999999" customHeight="1" x14ac:dyDescent="0.25">
      <c r="A791" s="14">
        <v>19</v>
      </c>
      <c r="B791" s="103">
        <v>41039</v>
      </c>
      <c r="C791" s="103">
        <v>41032</v>
      </c>
      <c r="D791" s="12"/>
      <c r="E791" s="12"/>
      <c r="F791" s="12"/>
      <c r="G791" s="12"/>
      <c r="H791" s="12"/>
      <c r="I791" s="12"/>
      <c r="J791" s="100"/>
      <c r="K791" s="12"/>
      <c r="L791" s="12"/>
      <c r="M791" s="12"/>
      <c r="N791" s="12"/>
      <c r="O791" s="12"/>
      <c r="P791" s="14"/>
      <c r="Q791" s="14"/>
      <c r="R791" s="100"/>
      <c r="S791" s="12"/>
      <c r="T791" s="14">
        <v>18</v>
      </c>
      <c r="U791" s="14">
        <v>20</v>
      </c>
      <c r="V791" s="48">
        <f>AVERAGE(T791:U791)</f>
        <v>19</v>
      </c>
      <c r="W791" s="12"/>
      <c r="X791" s="14">
        <v>0</v>
      </c>
      <c r="Y791" s="14">
        <v>13</v>
      </c>
      <c r="Z791" s="48">
        <f t="shared" si="218"/>
        <v>6.5</v>
      </c>
      <c r="AA791" s="12"/>
      <c r="AB791" s="12"/>
      <c r="AC791" s="12"/>
      <c r="AD791" s="100"/>
      <c r="AE791" s="12"/>
      <c r="AF791" s="12"/>
      <c r="AG791" s="12"/>
      <c r="AH791" s="48"/>
      <c r="AI791" s="12"/>
      <c r="AJ791" s="12"/>
      <c r="AK791" s="12"/>
      <c r="AL791" s="100"/>
      <c r="AM791" s="12"/>
      <c r="AN791" s="12"/>
      <c r="AO791" s="14">
        <v>93</v>
      </c>
      <c r="AP791" s="48">
        <f t="shared" si="219"/>
        <v>93</v>
      </c>
      <c r="AQ791" s="12"/>
      <c r="AR791" s="12"/>
      <c r="AS791" s="12"/>
      <c r="AT791" s="12"/>
      <c r="AU791" s="12"/>
      <c r="AV791" s="12"/>
      <c r="AW791" s="12"/>
      <c r="AX791" s="48"/>
    </row>
    <row r="792" spans="1:50" ht="10.199999999999999" customHeight="1" x14ac:dyDescent="0.25">
      <c r="A792" s="14">
        <v>20</v>
      </c>
      <c r="B792" s="103">
        <v>41046</v>
      </c>
      <c r="C792" s="103">
        <v>41039</v>
      </c>
      <c r="D792" s="12"/>
      <c r="E792" s="12"/>
      <c r="F792" s="12"/>
      <c r="G792" s="12"/>
      <c r="H792" s="12"/>
      <c r="I792" s="12"/>
      <c r="J792" s="100"/>
      <c r="K792" s="12"/>
      <c r="L792" s="12"/>
      <c r="M792" s="12"/>
      <c r="N792" s="12"/>
      <c r="O792" s="12"/>
      <c r="P792" s="14"/>
      <c r="Q792" s="14"/>
      <c r="R792" s="100"/>
      <c r="S792" s="12"/>
      <c r="T792" s="14">
        <v>22</v>
      </c>
      <c r="U792" s="14"/>
      <c r="V792" s="48">
        <f>AVERAGE(T792:U792)</f>
        <v>22</v>
      </c>
      <c r="W792" s="12"/>
      <c r="X792" s="14">
        <v>0</v>
      </c>
      <c r="Y792" s="14">
        <v>13</v>
      </c>
      <c r="Z792" s="48">
        <f t="shared" si="218"/>
        <v>6.5</v>
      </c>
      <c r="AA792" s="12"/>
      <c r="AB792" s="14">
        <v>0</v>
      </c>
      <c r="AC792" s="14"/>
      <c r="AD792" s="48">
        <f t="shared" ref="AD792:AD801" si="220">AVERAGE(AB792:AC792)</f>
        <v>0</v>
      </c>
      <c r="AE792" s="12"/>
      <c r="AF792" s="12"/>
      <c r="AG792" s="12"/>
      <c r="AH792" s="48"/>
      <c r="AI792" s="12"/>
      <c r="AJ792" s="12"/>
      <c r="AK792" s="12"/>
      <c r="AL792" s="100"/>
      <c r="AM792" s="12"/>
      <c r="AN792" s="12"/>
      <c r="AO792" s="14">
        <v>93</v>
      </c>
      <c r="AP792" s="48">
        <f t="shared" si="219"/>
        <v>93</v>
      </c>
      <c r="AQ792" s="12"/>
      <c r="AR792" s="12"/>
      <c r="AS792" s="12"/>
      <c r="AT792" s="12"/>
      <c r="AU792" s="12"/>
      <c r="AV792" s="12"/>
      <c r="AW792" s="12"/>
      <c r="AX792" s="48"/>
    </row>
    <row r="793" spans="1:50" ht="10.199999999999999" customHeight="1" x14ac:dyDescent="0.25">
      <c r="A793" s="14">
        <v>21</v>
      </c>
      <c r="B793" s="103">
        <v>41053</v>
      </c>
      <c r="C793" s="103">
        <v>41046</v>
      </c>
      <c r="D793" s="12"/>
      <c r="E793" s="12"/>
      <c r="F793" s="12"/>
      <c r="G793" s="12"/>
      <c r="H793" s="12"/>
      <c r="I793" s="12"/>
      <c r="J793" s="100"/>
      <c r="K793" s="12"/>
      <c r="L793" s="12"/>
      <c r="M793" s="12"/>
      <c r="N793" s="12"/>
      <c r="O793" s="12"/>
      <c r="P793" s="14"/>
      <c r="Q793" s="14"/>
      <c r="R793" s="100"/>
      <c r="S793" s="12"/>
      <c r="T793" s="14"/>
      <c r="U793" s="14"/>
      <c r="V793" s="48"/>
      <c r="W793" s="12"/>
      <c r="X793" s="14">
        <v>8</v>
      </c>
      <c r="Y793" s="14">
        <v>9</v>
      </c>
      <c r="Z793" s="48">
        <f t="shared" si="218"/>
        <v>8.5</v>
      </c>
      <c r="AA793" s="12"/>
      <c r="AB793" s="14">
        <v>0</v>
      </c>
      <c r="AC793" s="14"/>
      <c r="AD793" s="48">
        <f t="shared" si="220"/>
        <v>0</v>
      </c>
      <c r="AE793" s="12"/>
      <c r="AF793" s="12"/>
      <c r="AG793" s="12"/>
      <c r="AH793" s="48"/>
      <c r="AI793" s="12"/>
      <c r="AJ793" s="12"/>
      <c r="AK793" s="12"/>
      <c r="AL793" s="100"/>
      <c r="AM793" s="12"/>
      <c r="AN793" s="12"/>
      <c r="AO793" s="14">
        <v>93</v>
      </c>
      <c r="AP793" s="48">
        <f t="shared" si="219"/>
        <v>93</v>
      </c>
      <c r="AQ793" s="12"/>
      <c r="AR793" s="12"/>
      <c r="AU793" s="12"/>
      <c r="AV793" s="12"/>
      <c r="AW793" s="12"/>
      <c r="AX793" s="48"/>
    </row>
    <row r="794" spans="1:50" ht="10.199999999999999" customHeight="1" x14ac:dyDescent="0.25">
      <c r="A794" s="14">
        <v>22</v>
      </c>
      <c r="B794" s="103">
        <v>41060</v>
      </c>
      <c r="C794" s="103">
        <v>41053</v>
      </c>
      <c r="D794" s="12"/>
      <c r="E794" s="12"/>
      <c r="F794" s="12"/>
      <c r="G794" s="12"/>
      <c r="H794" s="12"/>
      <c r="I794" s="12"/>
      <c r="J794" s="100"/>
      <c r="K794" s="12"/>
      <c r="L794" s="12"/>
      <c r="M794" s="12"/>
      <c r="N794" s="12"/>
      <c r="O794" s="12"/>
      <c r="P794" s="14"/>
      <c r="Q794" s="14"/>
      <c r="R794" s="100"/>
      <c r="S794" s="12"/>
      <c r="T794" s="12"/>
      <c r="U794" s="12"/>
      <c r="V794" s="100"/>
      <c r="W794" s="12"/>
      <c r="X794" s="14">
        <v>8</v>
      </c>
      <c r="Y794" s="14">
        <v>10</v>
      </c>
      <c r="Z794" s="48">
        <f t="shared" si="218"/>
        <v>9</v>
      </c>
      <c r="AA794" s="12"/>
      <c r="AB794" s="14">
        <v>0</v>
      </c>
      <c r="AC794" s="12"/>
      <c r="AD794" s="48">
        <f t="shared" si="220"/>
        <v>0</v>
      </c>
      <c r="AE794" s="12"/>
      <c r="AF794" s="12"/>
      <c r="AG794" s="12"/>
      <c r="AH794" s="48"/>
      <c r="AI794" s="12"/>
      <c r="AJ794" s="12"/>
      <c r="AK794" s="12"/>
      <c r="AL794" s="100"/>
      <c r="AM794" s="12"/>
      <c r="AN794" s="12"/>
      <c r="AO794" s="14">
        <v>100</v>
      </c>
      <c r="AP794" s="48">
        <f t="shared" si="219"/>
        <v>100</v>
      </c>
      <c r="AQ794" s="12"/>
      <c r="AR794" s="12"/>
      <c r="AS794" s="12"/>
      <c r="AT794" s="12"/>
      <c r="AU794" s="12"/>
      <c r="AV794" s="12"/>
      <c r="AW794" s="12"/>
      <c r="AX794" s="48"/>
    </row>
    <row r="795" spans="1:50" ht="10.199999999999999" customHeight="1" x14ac:dyDescent="0.25">
      <c r="A795" s="14">
        <v>23</v>
      </c>
      <c r="B795" s="103">
        <v>41067</v>
      </c>
      <c r="C795" s="103">
        <v>41060</v>
      </c>
      <c r="D795" s="12"/>
      <c r="E795" s="12"/>
      <c r="F795" s="12"/>
      <c r="G795" s="12"/>
      <c r="H795" s="12"/>
      <c r="I795" s="12"/>
      <c r="J795" s="100"/>
      <c r="K795" s="12"/>
      <c r="L795" s="12"/>
      <c r="M795" s="12"/>
      <c r="N795" s="12"/>
      <c r="O795" s="12"/>
      <c r="P795" s="14"/>
      <c r="Q795" s="14"/>
      <c r="R795" s="100"/>
      <c r="S795" s="12"/>
      <c r="T795" s="12"/>
      <c r="U795" s="12"/>
      <c r="V795" s="100"/>
      <c r="W795" s="12"/>
      <c r="X795" s="14">
        <v>8</v>
      </c>
      <c r="Y795" s="14">
        <v>25</v>
      </c>
      <c r="Z795" s="48">
        <f t="shared" si="218"/>
        <v>16.5</v>
      </c>
      <c r="AA795" s="12"/>
      <c r="AB795" s="14">
        <v>0</v>
      </c>
      <c r="AC795" s="12"/>
      <c r="AD795" s="48">
        <f t="shared" si="220"/>
        <v>0</v>
      </c>
      <c r="AE795" s="12"/>
      <c r="AF795" s="12"/>
      <c r="AG795" s="12"/>
      <c r="AH795" s="48"/>
      <c r="AI795" s="12"/>
      <c r="AJ795" s="12"/>
      <c r="AK795" s="12"/>
      <c r="AL795" s="100"/>
      <c r="AM795" s="12"/>
      <c r="AN795" s="12"/>
      <c r="AO795" s="14">
        <v>100</v>
      </c>
      <c r="AP795" s="48">
        <f t="shared" si="219"/>
        <v>100</v>
      </c>
      <c r="AQ795" s="12"/>
      <c r="AR795" s="12"/>
      <c r="AS795" s="12"/>
      <c r="AT795" s="12"/>
      <c r="AU795" s="12"/>
      <c r="AV795" s="12"/>
      <c r="AW795" s="12"/>
      <c r="AX795" s="48"/>
    </row>
    <row r="796" spans="1:50" ht="10.199999999999999" customHeight="1" x14ac:dyDescent="0.25">
      <c r="A796" s="14">
        <v>24</v>
      </c>
      <c r="B796" s="103">
        <v>41074</v>
      </c>
      <c r="C796" s="103">
        <v>41067</v>
      </c>
      <c r="D796" s="12"/>
      <c r="E796" s="12"/>
      <c r="F796" s="12"/>
      <c r="G796" s="12"/>
      <c r="H796" s="12"/>
      <c r="I796" s="12"/>
      <c r="J796" s="100"/>
      <c r="K796" s="12"/>
      <c r="L796" s="12"/>
      <c r="M796" s="12"/>
      <c r="N796" s="12"/>
      <c r="O796" s="12"/>
      <c r="P796" s="14"/>
      <c r="Q796" s="14"/>
      <c r="R796" s="100"/>
      <c r="S796" s="12"/>
      <c r="T796" s="12"/>
      <c r="U796" s="12"/>
      <c r="V796" s="100"/>
      <c r="W796" s="12"/>
      <c r="X796" s="14">
        <v>10</v>
      </c>
      <c r="Y796" s="14">
        <v>0</v>
      </c>
      <c r="Z796" s="48">
        <f t="shared" si="218"/>
        <v>5</v>
      </c>
      <c r="AA796" s="12"/>
      <c r="AB796" s="14">
        <v>0</v>
      </c>
      <c r="AC796" s="14">
        <v>30</v>
      </c>
      <c r="AD796" s="48">
        <f t="shared" si="220"/>
        <v>15</v>
      </c>
      <c r="AE796" s="12"/>
      <c r="AF796" s="12"/>
      <c r="AG796" s="12"/>
      <c r="AH796" s="48"/>
      <c r="AI796" s="12"/>
      <c r="AJ796" s="12"/>
      <c r="AK796" s="12"/>
      <c r="AL796" s="100"/>
      <c r="AM796" s="12"/>
      <c r="AN796" s="12"/>
      <c r="AO796" s="14">
        <v>138</v>
      </c>
      <c r="AP796" s="48">
        <f t="shared" si="219"/>
        <v>138</v>
      </c>
      <c r="AQ796" s="12"/>
      <c r="AR796" s="12"/>
      <c r="AS796" s="12"/>
      <c r="AT796" s="12"/>
      <c r="AU796" s="12"/>
      <c r="AV796" s="12"/>
      <c r="AW796" s="12"/>
      <c r="AX796" s="48"/>
    </row>
    <row r="797" spans="1:50" ht="10.199999999999999" customHeight="1" x14ac:dyDescent="0.25">
      <c r="A797" s="14">
        <v>25</v>
      </c>
      <c r="B797" s="103">
        <v>41081</v>
      </c>
      <c r="C797" s="103">
        <v>41074</v>
      </c>
      <c r="D797" s="12"/>
      <c r="E797" s="12"/>
      <c r="F797" s="12"/>
      <c r="G797" s="12"/>
      <c r="H797" s="12"/>
      <c r="I797" s="12"/>
      <c r="J797" s="100"/>
      <c r="K797" s="12"/>
      <c r="L797" s="12"/>
      <c r="M797" s="12"/>
      <c r="N797" s="12"/>
      <c r="O797" s="12"/>
      <c r="P797" s="14"/>
      <c r="Q797" s="14"/>
      <c r="R797" s="100"/>
      <c r="S797" s="12"/>
      <c r="T797" s="12"/>
      <c r="U797" s="12"/>
      <c r="V797" s="12"/>
      <c r="W797" s="12"/>
      <c r="X797" s="14">
        <v>25</v>
      </c>
      <c r="Y797" s="14">
        <v>0</v>
      </c>
      <c r="Z797" s="48">
        <f t="shared" si="218"/>
        <v>12.5</v>
      </c>
      <c r="AA797" s="12"/>
      <c r="AB797" s="14">
        <v>0</v>
      </c>
      <c r="AC797" s="14">
        <v>18</v>
      </c>
      <c r="AD797" s="48">
        <f t="shared" si="220"/>
        <v>9</v>
      </c>
      <c r="AE797" s="12"/>
      <c r="AF797" s="12"/>
      <c r="AG797" s="12"/>
      <c r="AH797" s="48"/>
      <c r="AI797" s="12"/>
      <c r="AJ797" s="12"/>
      <c r="AK797" s="12"/>
      <c r="AL797" s="100"/>
      <c r="AM797" s="12"/>
      <c r="AN797" s="12"/>
      <c r="AO797" s="14">
        <v>100</v>
      </c>
      <c r="AP797" s="48">
        <f t="shared" si="219"/>
        <v>100</v>
      </c>
      <c r="AQ797" s="12"/>
      <c r="AR797" s="12"/>
      <c r="AS797" s="12"/>
      <c r="AT797" s="12"/>
      <c r="AU797" s="12"/>
      <c r="AV797" s="12"/>
      <c r="AW797" s="12"/>
      <c r="AX797" s="48"/>
    </row>
    <row r="798" spans="1:50" ht="10.199999999999999" customHeight="1" x14ac:dyDescent="0.25">
      <c r="A798" s="14">
        <v>26</v>
      </c>
      <c r="B798" s="103">
        <v>41088</v>
      </c>
      <c r="C798" s="103">
        <v>41081</v>
      </c>
      <c r="D798" s="12"/>
      <c r="E798" s="12"/>
      <c r="F798" s="12"/>
      <c r="G798" s="12"/>
      <c r="H798" s="12"/>
      <c r="I798" s="12"/>
      <c r="J798" s="100"/>
      <c r="K798" s="12"/>
      <c r="L798" s="12"/>
      <c r="M798" s="12"/>
      <c r="N798" s="12"/>
      <c r="O798" s="12"/>
      <c r="P798" s="14"/>
      <c r="Q798" s="14"/>
      <c r="R798" s="100"/>
      <c r="S798" s="12"/>
      <c r="T798" s="12"/>
      <c r="U798" s="12"/>
      <c r="V798" s="12"/>
      <c r="W798" s="12"/>
      <c r="X798" s="12"/>
      <c r="Y798" s="12"/>
      <c r="Z798" s="100"/>
      <c r="AA798" s="12"/>
      <c r="AB798" s="14">
        <v>3</v>
      </c>
      <c r="AC798" s="14">
        <v>13</v>
      </c>
      <c r="AD798" s="14">
        <f t="shared" si="220"/>
        <v>8</v>
      </c>
      <c r="AE798" s="14"/>
      <c r="AF798" s="14"/>
      <c r="AG798" s="14"/>
      <c r="AH798" s="48"/>
      <c r="AI798" s="14"/>
      <c r="AJ798" s="14"/>
      <c r="AK798" s="14"/>
      <c r="AL798" s="14"/>
      <c r="AM798" s="14"/>
      <c r="AN798" s="14"/>
      <c r="AO798" s="14">
        <v>100</v>
      </c>
      <c r="AP798" s="14">
        <f t="shared" si="219"/>
        <v>100</v>
      </c>
      <c r="AQ798" s="12"/>
      <c r="AR798" s="12"/>
      <c r="AS798" s="12"/>
      <c r="AT798" s="12"/>
      <c r="AU798" s="12"/>
      <c r="AV798" s="12"/>
      <c r="AW798" s="12"/>
      <c r="AX798" s="48"/>
    </row>
    <row r="799" spans="1:50" ht="10.199999999999999" customHeight="1" x14ac:dyDescent="0.25">
      <c r="A799" s="14">
        <v>27</v>
      </c>
      <c r="B799" s="103">
        <v>41095</v>
      </c>
      <c r="C799" s="103">
        <v>41088</v>
      </c>
      <c r="D799" s="12"/>
      <c r="E799" s="12"/>
      <c r="F799" s="12"/>
      <c r="G799" s="12"/>
      <c r="H799" s="12"/>
      <c r="I799" s="12"/>
      <c r="J799" s="100"/>
      <c r="K799" s="12"/>
      <c r="L799" s="12"/>
      <c r="M799" s="12"/>
      <c r="N799" s="12"/>
      <c r="O799" s="12"/>
      <c r="P799" s="14"/>
      <c r="Q799" s="14"/>
      <c r="R799" s="100"/>
      <c r="S799" s="12"/>
      <c r="T799" s="12"/>
      <c r="U799" s="12"/>
      <c r="V799" s="12"/>
      <c r="W799" s="12"/>
      <c r="X799" s="12"/>
      <c r="Y799" s="12"/>
      <c r="Z799" s="100"/>
      <c r="AA799" s="12"/>
      <c r="AB799" s="14">
        <v>-5</v>
      </c>
      <c r="AC799" s="14">
        <v>10</v>
      </c>
      <c r="AD799" s="14">
        <f t="shared" si="220"/>
        <v>2.5</v>
      </c>
      <c r="AE799" s="12"/>
      <c r="AF799" s="12"/>
      <c r="AG799" s="12"/>
      <c r="AH799" s="48"/>
      <c r="AI799" s="12"/>
      <c r="AJ799" s="12"/>
      <c r="AK799" s="12"/>
      <c r="AL799" s="100"/>
      <c r="AM799" s="12"/>
      <c r="AN799" s="12"/>
      <c r="AO799" s="14">
        <v>100</v>
      </c>
      <c r="AP799" s="14">
        <f t="shared" si="219"/>
        <v>100</v>
      </c>
      <c r="AQ799" s="12"/>
      <c r="AR799" s="12"/>
      <c r="AS799" s="12"/>
      <c r="AT799" s="12"/>
      <c r="AU799" s="12"/>
      <c r="AV799" s="12"/>
      <c r="AW799" s="12"/>
      <c r="AX799" s="48"/>
    </row>
    <row r="800" spans="1:50" ht="10.199999999999999" customHeight="1" x14ac:dyDescent="0.25">
      <c r="A800" s="14">
        <v>28</v>
      </c>
      <c r="B800" s="103">
        <v>41102</v>
      </c>
      <c r="C800" s="103">
        <v>41095</v>
      </c>
      <c r="D800" s="12"/>
      <c r="E800" s="12"/>
      <c r="F800" s="12"/>
      <c r="G800" s="12"/>
      <c r="H800" s="12"/>
      <c r="I800" s="12"/>
      <c r="J800" s="100"/>
      <c r="K800" s="12"/>
      <c r="L800" s="12"/>
      <c r="M800" s="12"/>
      <c r="N800" s="12"/>
      <c r="O800" s="12"/>
      <c r="P800" s="14"/>
      <c r="Q800" s="14"/>
      <c r="R800" s="100"/>
      <c r="S800" s="12"/>
      <c r="T800" s="12"/>
      <c r="U800" s="12"/>
      <c r="V800" s="12"/>
      <c r="W800" s="12"/>
      <c r="X800" s="12"/>
      <c r="Y800" s="12"/>
      <c r="Z800" s="100"/>
      <c r="AA800" s="12"/>
      <c r="AB800" s="14">
        <v>-13</v>
      </c>
      <c r="AC800" s="14">
        <v>0</v>
      </c>
      <c r="AD800" s="14">
        <f t="shared" si="220"/>
        <v>-6.5</v>
      </c>
      <c r="AE800" s="14"/>
      <c r="AF800" s="14"/>
      <c r="AG800" s="14"/>
      <c r="AH800" s="48"/>
      <c r="AI800" s="14"/>
      <c r="AJ800" s="14"/>
      <c r="AK800" s="14"/>
      <c r="AL800" s="14"/>
      <c r="AM800" s="14"/>
      <c r="AN800" s="14"/>
      <c r="AO800" s="14">
        <v>100</v>
      </c>
      <c r="AP800" s="14">
        <f t="shared" si="219"/>
        <v>100</v>
      </c>
      <c r="AQ800" s="12"/>
      <c r="AR800" s="12"/>
      <c r="AS800" s="12"/>
      <c r="AT800" s="12"/>
      <c r="AU800" s="12"/>
      <c r="AV800" s="12"/>
      <c r="AW800" s="12"/>
      <c r="AX800" s="48"/>
    </row>
    <row r="801" spans="1:50" ht="10.199999999999999" customHeight="1" x14ac:dyDescent="0.25">
      <c r="A801" s="14">
        <v>29</v>
      </c>
      <c r="B801" s="103">
        <v>41109</v>
      </c>
      <c r="C801" s="103">
        <v>41102</v>
      </c>
      <c r="D801" s="12"/>
      <c r="E801" s="12"/>
      <c r="F801" s="12"/>
      <c r="G801" s="12"/>
      <c r="H801" s="12"/>
      <c r="I801" s="12"/>
      <c r="J801" s="100"/>
      <c r="K801" s="12"/>
      <c r="L801" s="12"/>
      <c r="M801" s="12"/>
      <c r="N801" s="12"/>
      <c r="O801" s="12"/>
      <c r="P801" s="14"/>
      <c r="Q801" s="14"/>
      <c r="R801" s="100"/>
      <c r="S801" s="12"/>
      <c r="T801" s="12"/>
      <c r="U801" s="12"/>
      <c r="V801" s="12"/>
      <c r="W801" s="12"/>
      <c r="X801" s="12"/>
      <c r="Y801" s="12"/>
      <c r="Z801" s="100"/>
      <c r="AA801" s="12"/>
      <c r="AB801" s="14">
        <v>25</v>
      </c>
      <c r="AC801" s="14">
        <v>0</v>
      </c>
      <c r="AD801" s="14">
        <f t="shared" si="220"/>
        <v>12.5</v>
      </c>
      <c r="AE801" s="14"/>
      <c r="AF801" s="14">
        <v>25</v>
      </c>
      <c r="AG801" s="14">
        <v>15</v>
      </c>
      <c r="AH801" s="14">
        <f t="shared" si="208"/>
        <v>20</v>
      </c>
      <c r="AI801" s="14"/>
      <c r="AJ801" s="14"/>
      <c r="AK801" s="14"/>
      <c r="AL801" s="14"/>
      <c r="AM801" s="14"/>
      <c r="AN801" s="14"/>
      <c r="AO801" s="14">
        <v>100</v>
      </c>
      <c r="AP801" s="14">
        <f t="shared" si="219"/>
        <v>100</v>
      </c>
      <c r="AQ801" s="12"/>
      <c r="AR801" s="12"/>
      <c r="AS801" s="12"/>
      <c r="AT801" s="12"/>
      <c r="AU801" s="12"/>
      <c r="AV801" s="12"/>
      <c r="AW801" s="12"/>
      <c r="AX801" s="48"/>
    </row>
    <row r="802" spans="1:50" ht="10.199999999999999" customHeight="1" x14ac:dyDescent="0.25">
      <c r="A802" s="14">
        <v>30</v>
      </c>
      <c r="B802" s="103">
        <v>41116</v>
      </c>
      <c r="C802" s="103">
        <v>41109</v>
      </c>
      <c r="D802" s="12"/>
      <c r="E802" s="12"/>
      <c r="F802" s="12"/>
      <c r="G802" s="12"/>
      <c r="H802" s="12"/>
      <c r="I802" s="12"/>
      <c r="J802" s="100"/>
      <c r="K802" s="12"/>
      <c r="L802" s="12"/>
      <c r="M802" s="12"/>
      <c r="N802" s="12"/>
      <c r="O802" s="12"/>
      <c r="P802" s="14"/>
      <c r="Q802" s="14"/>
      <c r="R802" s="100"/>
      <c r="S802" s="12"/>
      <c r="T802" s="12"/>
      <c r="U802" s="12"/>
      <c r="V802" s="12"/>
      <c r="W802" s="12"/>
      <c r="X802" s="12"/>
      <c r="Y802" s="12"/>
      <c r="Z802" s="100"/>
      <c r="AA802" s="12"/>
      <c r="AB802" s="12"/>
      <c r="AC802" s="12"/>
      <c r="AD802" s="100"/>
      <c r="AE802" s="12"/>
      <c r="AF802" s="14">
        <v>25</v>
      </c>
      <c r="AG802" s="14">
        <v>15</v>
      </c>
      <c r="AH802" s="14">
        <f t="shared" si="208"/>
        <v>20</v>
      </c>
      <c r="AI802" s="14"/>
      <c r="AJ802" s="14"/>
      <c r="AK802" s="14"/>
      <c r="AL802" s="14"/>
      <c r="AM802" s="14"/>
      <c r="AN802" s="14"/>
      <c r="AO802" s="14">
        <v>100</v>
      </c>
      <c r="AP802" s="14">
        <f t="shared" si="219"/>
        <v>100</v>
      </c>
      <c r="AQ802" s="12"/>
      <c r="AR802" s="12"/>
      <c r="AS802" s="12"/>
      <c r="AT802" s="12"/>
      <c r="AU802" s="12"/>
      <c r="AV802" s="12"/>
      <c r="AW802" s="12"/>
    </row>
    <row r="803" spans="1:50" ht="10.199999999999999" customHeight="1" x14ac:dyDescent="0.25">
      <c r="A803" s="14">
        <v>31</v>
      </c>
      <c r="B803" s="103">
        <v>41123</v>
      </c>
      <c r="C803" s="103">
        <v>41116</v>
      </c>
      <c r="D803" s="12"/>
      <c r="E803" s="12"/>
      <c r="F803" s="12"/>
      <c r="G803" s="12"/>
      <c r="H803" s="12"/>
      <c r="I803" s="12"/>
      <c r="J803" s="100"/>
      <c r="K803" s="12"/>
      <c r="L803" s="12"/>
      <c r="M803" s="12"/>
      <c r="N803" s="12"/>
      <c r="O803" s="12"/>
      <c r="P803" s="14"/>
      <c r="Q803" s="14"/>
      <c r="R803" s="100"/>
      <c r="S803" s="12"/>
      <c r="T803" s="12"/>
      <c r="U803" s="12"/>
      <c r="V803" s="12"/>
      <c r="W803" s="12"/>
      <c r="X803" s="12"/>
      <c r="Y803" s="12"/>
      <c r="Z803" s="100"/>
      <c r="AA803" s="12"/>
      <c r="AB803" s="12"/>
      <c r="AC803" s="12"/>
      <c r="AD803" s="100"/>
      <c r="AE803" s="12"/>
      <c r="AF803" s="48">
        <v>-283</v>
      </c>
      <c r="AG803" s="48">
        <v>40</v>
      </c>
      <c r="AH803" s="48">
        <f t="shared" si="208"/>
        <v>-121.5</v>
      </c>
      <c r="AI803" s="48"/>
      <c r="AJ803" s="48">
        <v>-283</v>
      </c>
      <c r="AK803" s="48">
        <v>40</v>
      </c>
      <c r="AL803" s="48">
        <f t="shared" ref="AL803:AL810" si="221">AVERAGE(AJ803:AK803)</f>
        <v>-121.5</v>
      </c>
      <c r="AM803" s="12"/>
      <c r="AN803" s="12"/>
      <c r="AO803" s="14">
        <v>100</v>
      </c>
      <c r="AP803" s="14">
        <f t="shared" si="219"/>
        <v>100</v>
      </c>
      <c r="AQ803" s="12"/>
      <c r="AR803" s="12"/>
      <c r="AS803" s="12"/>
      <c r="AT803" s="12"/>
      <c r="AU803" s="12"/>
      <c r="AV803" s="12"/>
      <c r="AW803" s="12"/>
    </row>
    <row r="804" spans="1:50" ht="10.199999999999999" customHeight="1" x14ac:dyDescent="0.25">
      <c r="A804" s="14">
        <v>32</v>
      </c>
      <c r="B804" s="103">
        <v>41130</v>
      </c>
      <c r="C804" s="103">
        <v>41123</v>
      </c>
      <c r="D804" s="12"/>
      <c r="E804" s="12"/>
      <c r="F804" s="12"/>
      <c r="G804" s="12"/>
      <c r="H804" s="12"/>
      <c r="I804" s="12"/>
      <c r="J804" s="100"/>
      <c r="K804" s="12"/>
      <c r="L804" s="12"/>
      <c r="M804" s="12"/>
      <c r="N804" s="12"/>
      <c r="O804" s="12"/>
      <c r="P804" s="14"/>
      <c r="Q804" s="14"/>
      <c r="R804" s="100"/>
      <c r="S804" s="12"/>
      <c r="T804" s="12"/>
      <c r="U804" s="12"/>
      <c r="V804" s="12"/>
      <c r="W804" s="12"/>
      <c r="X804" s="12"/>
      <c r="Y804" s="12"/>
      <c r="Z804" s="100"/>
      <c r="AA804" s="12"/>
      <c r="AB804" s="12"/>
      <c r="AC804" s="12"/>
      <c r="AD804" s="100"/>
      <c r="AE804" s="12"/>
      <c r="AF804" s="14">
        <v>-283</v>
      </c>
      <c r="AG804" s="14">
        <v>40</v>
      </c>
      <c r="AH804" s="14">
        <f t="shared" si="208"/>
        <v>-121.5</v>
      </c>
      <c r="AI804" s="14"/>
      <c r="AJ804" s="14"/>
      <c r="AK804" s="14">
        <v>40</v>
      </c>
      <c r="AL804" s="48">
        <f t="shared" si="221"/>
        <v>40</v>
      </c>
      <c r="AM804" s="14"/>
      <c r="AN804" s="14"/>
      <c r="AO804" s="14">
        <v>100</v>
      </c>
      <c r="AP804" s="14">
        <f t="shared" si="219"/>
        <v>100</v>
      </c>
      <c r="AQ804" s="12"/>
      <c r="AR804" s="12"/>
      <c r="AS804" s="12"/>
      <c r="AT804" s="12"/>
      <c r="AU804" s="12"/>
      <c r="AV804" s="12"/>
      <c r="AW804" s="12"/>
    </row>
    <row r="805" spans="1:50" ht="10.199999999999999" customHeight="1" x14ac:dyDescent="0.25">
      <c r="A805" s="14">
        <v>33</v>
      </c>
      <c r="B805" s="103">
        <v>41137</v>
      </c>
      <c r="C805" s="103">
        <v>41130</v>
      </c>
      <c r="D805" s="12"/>
      <c r="E805" s="12"/>
      <c r="F805" s="12"/>
      <c r="G805" s="12"/>
      <c r="H805" s="12"/>
      <c r="I805" s="12"/>
      <c r="J805" s="100"/>
      <c r="K805" s="12"/>
      <c r="L805" s="12"/>
      <c r="M805" s="12"/>
      <c r="N805" s="12"/>
      <c r="O805" s="12"/>
      <c r="P805" s="14"/>
      <c r="Q805" s="14"/>
      <c r="R805" s="12"/>
      <c r="S805" s="12"/>
      <c r="T805" s="12"/>
      <c r="U805" s="12"/>
      <c r="V805" s="12"/>
      <c r="W805" s="12"/>
      <c r="X805" s="12"/>
      <c r="Y805" s="12"/>
      <c r="Z805" s="100"/>
      <c r="AA805" s="12"/>
      <c r="AB805" s="12"/>
      <c r="AC805" s="12"/>
      <c r="AD805" s="100"/>
      <c r="AE805" s="12"/>
      <c r="AF805" s="14">
        <v>-9</v>
      </c>
      <c r="AG805" s="14">
        <v>-50</v>
      </c>
      <c r="AH805" s="14">
        <f t="shared" si="208"/>
        <v>-29.5</v>
      </c>
      <c r="AI805" s="12"/>
      <c r="AJ805" s="12"/>
      <c r="AK805" s="14">
        <v>15</v>
      </c>
      <c r="AL805" s="48">
        <f t="shared" si="221"/>
        <v>15</v>
      </c>
      <c r="AM805" s="12"/>
      <c r="AN805" s="12"/>
      <c r="AO805" s="12"/>
      <c r="AP805" s="100"/>
      <c r="AQ805" s="12"/>
      <c r="AR805" s="12"/>
      <c r="AS805" s="12"/>
      <c r="AT805" s="12"/>
      <c r="AU805" s="12"/>
      <c r="AV805" s="12"/>
      <c r="AW805" s="12"/>
    </row>
    <row r="806" spans="1:50" ht="10.199999999999999" customHeight="1" x14ac:dyDescent="0.25">
      <c r="A806" s="14">
        <v>34</v>
      </c>
      <c r="B806" s="103">
        <v>41144</v>
      </c>
      <c r="C806" s="103">
        <v>41137</v>
      </c>
      <c r="D806" s="12"/>
      <c r="E806" s="12"/>
      <c r="F806" s="12"/>
      <c r="G806" s="12"/>
      <c r="H806" s="12"/>
      <c r="I806" s="12"/>
      <c r="J806" s="100"/>
      <c r="K806" s="12"/>
      <c r="L806" s="12"/>
      <c r="M806" s="12"/>
      <c r="N806" s="12"/>
      <c r="O806" s="12"/>
      <c r="P806" s="14"/>
      <c r="Q806" s="14"/>
      <c r="R806" s="12"/>
      <c r="S806" s="12"/>
      <c r="T806" s="12"/>
      <c r="U806" s="12"/>
      <c r="V806" s="12"/>
      <c r="W806" s="12"/>
      <c r="X806" s="12"/>
      <c r="Y806" s="12"/>
      <c r="Z806" s="100"/>
      <c r="AA806" s="12"/>
      <c r="AB806" s="12"/>
      <c r="AC806" s="12"/>
      <c r="AD806" s="100"/>
      <c r="AE806" s="12"/>
      <c r="AF806" s="12"/>
      <c r="AG806" s="12"/>
      <c r="AH806" s="100"/>
      <c r="AI806" s="12"/>
      <c r="AJ806" s="12"/>
      <c r="AK806" s="14">
        <v>15</v>
      </c>
      <c r="AL806" s="48">
        <f t="shared" si="221"/>
        <v>15</v>
      </c>
      <c r="AM806" s="12"/>
      <c r="AN806" s="12"/>
      <c r="AO806" s="12"/>
      <c r="AP806" s="100"/>
      <c r="AQ806" s="12"/>
      <c r="AR806" s="12"/>
      <c r="AS806" s="12"/>
      <c r="AT806" s="12"/>
      <c r="AU806" s="12"/>
      <c r="AV806" s="12"/>
      <c r="AW806" s="12"/>
    </row>
    <row r="807" spans="1:50" ht="10.199999999999999" customHeight="1" x14ac:dyDescent="0.25">
      <c r="A807" s="14">
        <v>35</v>
      </c>
      <c r="B807" s="103">
        <v>41151</v>
      </c>
      <c r="C807" s="103">
        <v>41144</v>
      </c>
      <c r="D807" s="12"/>
      <c r="E807" s="12"/>
      <c r="F807" s="12"/>
      <c r="G807" s="12"/>
      <c r="H807" s="12"/>
      <c r="I807" s="12"/>
      <c r="J807" s="100"/>
      <c r="K807" s="12"/>
      <c r="L807" s="12"/>
      <c r="M807" s="12"/>
      <c r="N807" s="12"/>
      <c r="O807" s="12"/>
      <c r="P807" s="14"/>
      <c r="Q807" s="14"/>
      <c r="R807" s="12"/>
      <c r="S807" s="12"/>
      <c r="T807" s="12"/>
      <c r="U807" s="12"/>
      <c r="V807" s="12"/>
      <c r="W807" s="12"/>
      <c r="X807" s="12"/>
      <c r="Y807" s="12"/>
      <c r="Z807" s="100"/>
      <c r="AA807" s="12"/>
      <c r="AB807" s="12"/>
      <c r="AC807" s="12"/>
      <c r="AD807" s="100"/>
      <c r="AE807" s="12"/>
      <c r="AF807" s="12"/>
      <c r="AG807" s="12"/>
      <c r="AH807" s="100"/>
      <c r="AI807" s="12"/>
      <c r="AJ807" s="48">
        <v>25</v>
      </c>
      <c r="AK807" s="48">
        <v>6</v>
      </c>
      <c r="AL807" s="48">
        <f t="shared" si="221"/>
        <v>15.5</v>
      </c>
      <c r="AM807" s="12"/>
      <c r="AN807" s="12"/>
      <c r="AO807" s="12"/>
      <c r="AP807" s="100"/>
      <c r="AQ807" s="12"/>
      <c r="AR807" s="12"/>
      <c r="AS807" s="12"/>
      <c r="AT807" s="12"/>
      <c r="AU807" s="12"/>
      <c r="AV807" s="12"/>
      <c r="AW807" s="12"/>
    </row>
    <row r="808" spans="1:50" ht="10.199999999999999" customHeight="1" x14ac:dyDescent="0.25">
      <c r="A808" s="14">
        <v>36</v>
      </c>
      <c r="B808" s="103">
        <v>41158</v>
      </c>
      <c r="C808" s="103">
        <v>41151</v>
      </c>
      <c r="D808" s="12"/>
      <c r="E808" s="12"/>
      <c r="F808" s="12"/>
      <c r="G808" s="12"/>
      <c r="H808" s="12"/>
      <c r="I808" s="12"/>
      <c r="J808" s="100"/>
      <c r="K808" s="12"/>
      <c r="L808" s="12"/>
      <c r="M808" s="12"/>
      <c r="N808" s="12"/>
      <c r="O808" s="12"/>
      <c r="P808" s="14"/>
      <c r="Q808" s="14"/>
      <c r="R808" s="12"/>
      <c r="S808" s="12"/>
      <c r="T808" s="12"/>
      <c r="U808" s="12"/>
      <c r="V808" s="12"/>
      <c r="W808" s="12"/>
      <c r="X808" s="12"/>
      <c r="Y808" s="12"/>
      <c r="Z808" s="100"/>
      <c r="AA808" s="12"/>
      <c r="AB808" s="12"/>
      <c r="AC808" s="12"/>
      <c r="AD808" s="100"/>
      <c r="AE808" s="12"/>
      <c r="AF808" s="12"/>
      <c r="AG808" s="12"/>
      <c r="AH808" s="100"/>
      <c r="AI808" s="12"/>
      <c r="AJ808" s="48">
        <v>37</v>
      </c>
      <c r="AK808" s="48">
        <v>0</v>
      </c>
      <c r="AL808" s="48">
        <f t="shared" si="221"/>
        <v>18.5</v>
      </c>
      <c r="AM808" s="12"/>
      <c r="AN808" s="12"/>
      <c r="AO808" s="12"/>
      <c r="AP808" s="100"/>
      <c r="AQ808" s="12"/>
      <c r="AR808" s="12"/>
      <c r="AS808" s="12"/>
      <c r="AT808" s="12"/>
      <c r="AU808" s="12"/>
      <c r="AV808" s="12"/>
      <c r="AW808" s="12"/>
    </row>
    <row r="809" spans="1:50" ht="10.199999999999999" customHeight="1" x14ac:dyDescent="0.25">
      <c r="A809" s="14">
        <v>37</v>
      </c>
      <c r="B809" s="103">
        <v>41165</v>
      </c>
      <c r="C809" s="103">
        <v>41158</v>
      </c>
      <c r="D809" s="12"/>
      <c r="E809" s="12"/>
      <c r="F809" s="12"/>
      <c r="G809" s="12"/>
      <c r="H809" s="12"/>
      <c r="I809" s="12"/>
      <c r="J809" s="100"/>
      <c r="K809" s="12"/>
      <c r="L809" s="12"/>
      <c r="M809" s="12"/>
      <c r="N809" s="12"/>
      <c r="O809" s="12"/>
      <c r="P809" s="14"/>
      <c r="Q809" s="14"/>
      <c r="R809" s="12"/>
      <c r="S809" s="12"/>
      <c r="T809" s="12"/>
      <c r="U809" s="12"/>
      <c r="V809" s="12"/>
      <c r="W809" s="12"/>
      <c r="X809" s="12"/>
      <c r="Y809" s="12"/>
      <c r="Z809" s="100"/>
      <c r="AA809" s="12"/>
      <c r="AB809" s="12"/>
      <c r="AC809" s="12"/>
      <c r="AD809" s="100"/>
      <c r="AE809" s="12"/>
      <c r="AF809" s="12"/>
      <c r="AG809" s="12"/>
      <c r="AH809" s="100"/>
      <c r="AI809" s="12"/>
      <c r="AJ809" s="48">
        <v>0</v>
      </c>
      <c r="AK809" s="48">
        <v>25</v>
      </c>
      <c r="AL809" s="48">
        <f t="shared" si="221"/>
        <v>12.5</v>
      </c>
      <c r="AM809" s="12"/>
      <c r="AN809" s="48">
        <v>25</v>
      </c>
      <c r="AO809" s="48">
        <v>0</v>
      </c>
      <c r="AP809" s="48">
        <f t="shared" ref="AP809:AP811" si="222">AVERAGE(AN809:AO809)</f>
        <v>12.5</v>
      </c>
      <c r="AQ809" s="12"/>
      <c r="AR809" s="12"/>
      <c r="AS809" s="12"/>
      <c r="AT809" s="12"/>
      <c r="AU809" s="12"/>
      <c r="AV809" s="12"/>
      <c r="AW809" s="12"/>
    </row>
    <row r="810" spans="1:50" ht="10.199999999999999" customHeight="1" x14ac:dyDescent="0.25">
      <c r="A810" s="14">
        <v>38</v>
      </c>
      <c r="B810" s="103">
        <v>41172</v>
      </c>
      <c r="C810" s="103">
        <v>41165</v>
      </c>
      <c r="D810" s="12"/>
      <c r="E810" s="12"/>
      <c r="F810" s="12"/>
      <c r="G810" s="12"/>
      <c r="H810" s="12"/>
      <c r="I810" s="12"/>
      <c r="J810" s="100"/>
      <c r="K810" s="12"/>
      <c r="L810" s="12"/>
      <c r="M810" s="12"/>
      <c r="N810" s="12"/>
      <c r="O810" s="12"/>
      <c r="P810" s="14"/>
      <c r="Q810" s="14"/>
      <c r="R810" s="12"/>
      <c r="S810" s="12"/>
      <c r="T810" s="12"/>
      <c r="U810" s="12"/>
      <c r="V810" s="12"/>
      <c r="W810" s="12"/>
      <c r="X810" s="12"/>
      <c r="Y810" s="12"/>
      <c r="Z810" s="100"/>
      <c r="AA810" s="12"/>
      <c r="AB810" s="12"/>
      <c r="AC810" s="12"/>
      <c r="AD810" s="12"/>
      <c r="AE810" s="12"/>
      <c r="AF810" s="12"/>
      <c r="AG810" s="12"/>
      <c r="AH810" s="100"/>
      <c r="AI810" s="12"/>
      <c r="AJ810" s="48">
        <v>0</v>
      </c>
      <c r="AK810" s="48">
        <v>-18</v>
      </c>
      <c r="AL810" s="48">
        <f t="shared" si="221"/>
        <v>-9</v>
      </c>
      <c r="AM810" s="12"/>
      <c r="AN810" s="48">
        <v>13</v>
      </c>
      <c r="AO810" s="48">
        <v>8</v>
      </c>
      <c r="AP810" s="48">
        <f t="shared" si="222"/>
        <v>10.5</v>
      </c>
      <c r="AQ810" s="12"/>
      <c r="AR810" s="12"/>
      <c r="AS810" s="12"/>
      <c r="AT810" s="12"/>
      <c r="AU810" s="12"/>
      <c r="AV810" s="12"/>
      <c r="AW810" s="12"/>
    </row>
    <row r="811" spans="1:50" ht="10.199999999999999" customHeight="1" x14ac:dyDescent="0.25">
      <c r="A811" s="14">
        <v>39</v>
      </c>
      <c r="B811" s="103">
        <v>41179</v>
      </c>
      <c r="C811" s="103">
        <v>41172</v>
      </c>
      <c r="D811" s="12"/>
      <c r="E811" s="12"/>
      <c r="F811" s="12"/>
      <c r="G811" s="12"/>
      <c r="H811" s="12"/>
      <c r="I811" s="12"/>
      <c r="J811" s="100"/>
      <c r="K811" s="12"/>
      <c r="L811" s="12"/>
      <c r="M811" s="12"/>
      <c r="N811" s="12"/>
      <c r="O811" s="12"/>
      <c r="P811" s="14"/>
      <c r="Q811" s="14"/>
      <c r="R811" s="12"/>
      <c r="S811" s="12"/>
      <c r="T811" s="12"/>
      <c r="U811" s="12"/>
      <c r="V811" s="12"/>
      <c r="W811" s="12"/>
      <c r="X811" s="12"/>
      <c r="Y811" s="12"/>
      <c r="Z811" s="100"/>
      <c r="AA811" s="12"/>
      <c r="AB811" s="12"/>
      <c r="AC811" s="12"/>
      <c r="AD811" s="12"/>
      <c r="AE811" s="12"/>
      <c r="AF811" s="12"/>
      <c r="AG811" s="12"/>
      <c r="AH811" s="100"/>
      <c r="AI811" s="12"/>
      <c r="AJ811" s="48"/>
      <c r="AK811" s="48"/>
      <c r="AL811" s="48"/>
      <c r="AM811" s="12"/>
      <c r="AN811" s="48">
        <v>25</v>
      </c>
      <c r="AO811" s="48">
        <v>9</v>
      </c>
      <c r="AP811" s="48">
        <f t="shared" si="222"/>
        <v>17</v>
      </c>
      <c r="AQ811" s="12"/>
      <c r="AR811" s="12"/>
      <c r="AS811" s="12"/>
      <c r="AT811" s="12"/>
      <c r="AU811" s="12"/>
      <c r="AV811" s="12"/>
      <c r="AW811" s="12"/>
    </row>
    <row r="812" spans="1:50" ht="10.199999999999999" customHeight="1" x14ac:dyDescent="0.25">
      <c r="A812" s="14">
        <v>40</v>
      </c>
      <c r="B812" s="103">
        <v>41186</v>
      </c>
      <c r="C812" s="103">
        <v>41179</v>
      </c>
      <c r="D812" s="12"/>
      <c r="E812" s="12"/>
      <c r="F812" s="12"/>
      <c r="G812" s="12"/>
      <c r="H812" s="12"/>
      <c r="I812" s="12"/>
      <c r="J812" s="100"/>
      <c r="K812" s="12"/>
      <c r="L812" s="12"/>
      <c r="M812" s="12"/>
      <c r="N812" s="12"/>
      <c r="O812" s="12"/>
      <c r="P812" s="14"/>
      <c r="Q812" s="14"/>
      <c r="R812" s="12"/>
      <c r="S812" s="12"/>
      <c r="T812" s="12"/>
      <c r="U812" s="12"/>
      <c r="V812" s="12"/>
      <c r="W812" s="12"/>
      <c r="X812" s="12"/>
      <c r="Y812" s="12"/>
      <c r="Z812" s="100"/>
      <c r="AA812" s="12"/>
      <c r="AB812" s="12"/>
      <c r="AC812" s="12"/>
      <c r="AD812" s="12"/>
      <c r="AE812" s="12"/>
      <c r="AF812" s="12"/>
      <c r="AG812" s="12"/>
      <c r="AH812" s="100"/>
      <c r="AI812" s="12"/>
      <c r="AJ812" s="48"/>
      <c r="AK812" s="48"/>
      <c r="AL812" s="48"/>
      <c r="AM812" s="12"/>
      <c r="AN812" s="48">
        <v>25</v>
      </c>
      <c r="AO812" s="48">
        <v>9</v>
      </c>
      <c r="AP812" s="48">
        <f t="shared" ref="AP812:AP814" si="223">AVERAGE(AN812:AO812)</f>
        <v>17</v>
      </c>
      <c r="AQ812" s="12"/>
      <c r="AR812" s="48">
        <v>0</v>
      </c>
      <c r="AS812" s="48"/>
      <c r="AT812" s="48">
        <f t="shared" ref="AT812:AT818" si="224">AVERAGE(AR812:AS812)</f>
        <v>0</v>
      </c>
      <c r="AU812" s="12"/>
      <c r="AV812" s="48">
        <v>0</v>
      </c>
      <c r="AW812" s="48"/>
      <c r="AX812" s="48">
        <f t="shared" ref="AX812:AX822" si="225">AVERAGE(AV812:AW812)</f>
        <v>0</v>
      </c>
    </row>
    <row r="813" spans="1:50" ht="10.199999999999999" customHeight="1" x14ac:dyDescent="0.25">
      <c r="A813" s="14">
        <v>41</v>
      </c>
      <c r="B813" s="103">
        <v>41193</v>
      </c>
      <c r="C813" s="103">
        <v>41186</v>
      </c>
      <c r="D813" s="12"/>
      <c r="E813" s="12"/>
      <c r="F813" s="12"/>
      <c r="G813" s="12"/>
      <c r="H813" s="12"/>
      <c r="I813" s="12"/>
      <c r="J813" s="100"/>
      <c r="K813" s="12"/>
      <c r="L813" s="12"/>
      <c r="M813" s="12"/>
      <c r="N813" s="12"/>
      <c r="O813" s="12"/>
      <c r="P813" s="14"/>
      <c r="Q813" s="14"/>
      <c r="R813" s="12"/>
      <c r="S813" s="12"/>
      <c r="T813" s="12"/>
      <c r="U813" s="12"/>
      <c r="V813" s="12"/>
      <c r="W813" s="12"/>
      <c r="X813" s="12"/>
      <c r="Y813" s="12"/>
      <c r="Z813" s="100"/>
      <c r="AA813" s="12"/>
      <c r="AB813" s="12"/>
      <c r="AC813" s="12"/>
      <c r="AD813" s="12"/>
      <c r="AE813" s="12"/>
      <c r="AF813" s="12"/>
      <c r="AG813" s="12"/>
      <c r="AH813" s="100"/>
      <c r="AI813" s="12"/>
      <c r="AJ813" s="48"/>
      <c r="AK813" s="48"/>
      <c r="AL813" s="48"/>
      <c r="AM813" s="12"/>
      <c r="AN813" s="48">
        <v>25</v>
      </c>
      <c r="AO813" s="48">
        <v>13</v>
      </c>
      <c r="AP813" s="48">
        <f t="shared" si="223"/>
        <v>19</v>
      </c>
      <c r="AQ813" s="12"/>
      <c r="AR813" s="48">
        <v>25</v>
      </c>
      <c r="AS813" s="48"/>
      <c r="AT813" s="48">
        <f t="shared" si="224"/>
        <v>25</v>
      </c>
      <c r="AU813" s="12"/>
      <c r="AV813" s="48">
        <v>0</v>
      </c>
      <c r="AW813" s="48"/>
      <c r="AX813" s="48">
        <f t="shared" si="225"/>
        <v>0</v>
      </c>
    </row>
    <row r="814" spans="1:50" ht="10.199999999999999" customHeight="1" x14ac:dyDescent="0.25">
      <c r="A814" s="14">
        <v>42</v>
      </c>
      <c r="B814" s="103">
        <v>41200</v>
      </c>
      <c r="C814" s="103">
        <v>41193</v>
      </c>
      <c r="D814" s="12"/>
      <c r="E814" s="12"/>
      <c r="F814" s="12"/>
      <c r="G814" s="12"/>
      <c r="H814" s="12"/>
      <c r="I814" s="12"/>
      <c r="J814" s="100"/>
      <c r="K814" s="12"/>
      <c r="L814" s="12"/>
      <c r="M814" s="12"/>
      <c r="N814" s="12"/>
      <c r="O814" s="12"/>
      <c r="P814" s="14"/>
      <c r="Q814" s="14"/>
      <c r="R814" s="12"/>
      <c r="S814" s="12"/>
      <c r="T814" s="12"/>
      <c r="U814" s="12"/>
      <c r="V814" s="12"/>
      <c r="W814" s="12"/>
      <c r="X814" s="12"/>
      <c r="Y814" s="12"/>
      <c r="Z814" s="100"/>
      <c r="AA814" s="12"/>
      <c r="AB814" s="12"/>
      <c r="AC814" s="12"/>
      <c r="AD814" s="12"/>
      <c r="AE814" s="12"/>
      <c r="AF814" s="12"/>
      <c r="AG814" s="12"/>
      <c r="AH814" s="100"/>
      <c r="AI814" s="12"/>
      <c r="AJ814" s="48"/>
      <c r="AK814" s="48"/>
      <c r="AL814" s="48"/>
      <c r="AM814" s="12"/>
      <c r="AN814" s="48">
        <v>0</v>
      </c>
      <c r="AO814" s="48">
        <v>0</v>
      </c>
      <c r="AP814" s="48">
        <f t="shared" si="223"/>
        <v>0</v>
      </c>
      <c r="AQ814" s="12"/>
      <c r="AR814" s="48">
        <v>0</v>
      </c>
      <c r="AS814" s="48">
        <v>0</v>
      </c>
      <c r="AT814" s="48">
        <f t="shared" si="224"/>
        <v>0</v>
      </c>
      <c r="AU814" s="12"/>
      <c r="AV814" s="48">
        <v>25</v>
      </c>
      <c r="AW814" s="48"/>
      <c r="AX814" s="48">
        <f t="shared" si="225"/>
        <v>25</v>
      </c>
    </row>
    <row r="815" spans="1:50" ht="10.199999999999999" customHeight="1" x14ac:dyDescent="0.25">
      <c r="A815" s="14">
        <v>43</v>
      </c>
      <c r="B815" s="103">
        <v>41207</v>
      </c>
      <c r="C815" s="103">
        <v>41200</v>
      </c>
      <c r="D815" s="12"/>
      <c r="E815" s="12"/>
      <c r="F815" s="12"/>
      <c r="G815" s="12"/>
      <c r="H815" s="12"/>
      <c r="I815" s="12"/>
      <c r="J815" s="100"/>
      <c r="K815" s="12"/>
      <c r="L815" s="12"/>
      <c r="M815" s="12"/>
      <c r="N815" s="12"/>
      <c r="O815" s="12"/>
      <c r="P815" s="14"/>
      <c r="Q815" s="14"/>
      <c r="R815" s="12"/>
      <c r="S815" s="12"/>
      <c r="T815" s="12"/>
      <c r="U815" s="12"/>
      <c r="V815" s="12"/>
      <c r="W815" s="12"/>
      <c r="X815" s="12"/>
      <c r="Y815" s="12"/>
      <c r="Z815" s="100"/>
      <c r="AA815" s="12"/>
      <c r="AB815" s="12"/>
      <c r="AC815" s="12"/>
      <c r="AD815" s="12"/>
      <c r="AE815" s="12"/>
      <c r="AF815" s="12"/>
      <c r="AG815" s="12"/>
      <c r="AH815" s="100"/>
      <c r="AI815" s="12"/>
      <c r="AJ815" s="48"/>
      <c r="AK815" s="48"/>
      <c r="AL815" s="48"/>
      <c r="AM815" s="12"/>
      <c r="AN815" s="12"/>
      <c r="AO815" s="12"/>
      <c r="AP815" s="12"/>
      <c r="AQ815" s="12"/>
      <c r="AR815" s="48">
        <v>0</v>
      </c>
      <c r="AS815" s="48">
        <v>0</v>
      </c>
      <c r="AT815" s="48">
        <f t="shared" si="224"/>
        <v>0</v>
      </c>
      <c r="AU815" s="12"/>
      <c r="AV815" s="48">
        <v>0</v>
      </c>
      <c r="AW815" s="12"/>
      <c r="AX815" s="48">
        <f t="shared" si="225"/>
        <v>0</v>
      </c>
    </row>
    <row r="816" spans="1:50" ht="10.199999999999999" customHeight="1" x14ac:dyDescent="0.25">
      <c r="A816" s="14">
        <v>44</v>
      </c>
      <c r="B816" s="103">
        <v>41214</v>
      </c>
      <c r="C816" s="103">
        <v>41207</v>
      </c>
      <c r="D816" s="12"/>
      <c r="E816" s="12"/>
      <c r="F816" s="12"/>
      <c r="G816" s="12"/>
      <c r="H816" s="12"/>
      <c r="I816" s="12"/>
      <c r="J816" s="100"/>
      <c r="K816" s="12"/>
      <c r="L816" s="12"/>
      <c r="M816" s="12"/>
      <c r="N816" s="12"/>
      <c r="O816" s="12"/>
      <c r="P816" s="14"/>
      <c r="Q816" s="14"/>
      <c r="R816" s="12"/>
      <c r="S816" s="12"/>
      <c r="T816" s="12"/>
      <c r="U816" s="12"/>
      <c r="V816" s="12"/>
      <c r="W816" s="12"/>
      <c r="X816" s="12"/>
      <c r="Y816" s="12"/>
      <c r="Z816" s="100"/>
      <c r="AA816" s="12"/>
      <c r="AB816" s="12"/>
      <c r="AC816" s="12"/>
      <c r="AD816" s="12"/>
      <c r="AE816" s="12"/>
      <c r="AF816" s="12"/>
      <c r="AG816" s="12"/>
      <c r="AH816" s="100"/>
      <c r="AI816" s="12"/>
      <c r="AJ816" s="48"/>
      <c r="AK816" s="48"/>
      <c r="AL816" s="48"/>
      <c r="AM816" s="12"/>
      <c r="AN816" s="12"/>
      <c r="AO816" s="12"/>
      <c r="AP816" s="12"/>
      <c r="AQ816" s="12"/>
      <c r="AR816" s="48">
        <v>-11</v>
      </c>
      <c r="AS816" s="48">
        <v>-13</v>
      </c>
      <c r="AT816" s="48">
        <f t="shared" si="224"/>
        <v>-12</v>
      </c>
      <c r="AU816" s="12"/>
      <c r="AV816" s="48">
        <v>0</v>
      </c>
      <c r="AW816" s="12"/>
      <c r="AX816" s="48">
        <f t="shared" si="225"/>
        <v>0</v>
      </c>
    </row>
    <row r="817" spans="1:50" ht="10.199999999999999" customHeight="1" x14ac:dyDescent="0.25">
      <c r="A817" s="14">
        <v>45</v>
      </c>
      <c r="B817" s="103">
        <v>41221</v>
      </c>
      <c r="C817" s="103">
        <v>41214</v>
      </c>
      <c r="D817" s="12"/>
      <c r="E817" s="12"/>
      <c r="F817" s="12"/>
      <c r="G817" s="12"/>
      <c r="H817" s="12"/>
      <c r="I817" s="12"/>
      <c r="J817" s="100"/>
      <c r="K817" s="12"/>
      <c r="L817" s="12"/>
      <c r="M817" s="12"/>
      <c r="N817" s="12"/>
      <c r="O817" s="12"/>
      <c r="P817" s="14"/>
      <c r="Q817" s="14"/>
      <c r="R817" s="12"/>
      <c r="S817" s="12"/>
      <c r="T817" s="12"/>
      <c r="U817" s="12"/>
      <c r="V817" s="12"/>
      <c r="W817" s="12"/>
      <c r="X817" s="12"/>
      <c r="Y817" s="12"/>
      <c r="Z817" s="100"/>
      <c r="AA817" s="12"/>
      <c r="AB817" s="12"/>
      <c r="AC817" s="12"/>
      <c r="AD817" s="12"/>
      <c r="AE817" s="12"/>
      <c r="AF817" s="12"/>
      <c r="AG817" s="12"/>
      <c r="AH817" s="100"/>
      <c r="AI817" s="12"/>
      <c r="AJ817" s="48"/>
      <c r="AK817" s="48"/>
      <c r="AL817" s="48"/>
      <c r="AM817" s="12"/>
      <c r="AN817" s="12"/>
      <c r="AO817" s="12"/>
      <c r="AP817" s="12"/>
      <c r="AQ817" s="12"/>
      <c r="AR817" s="48">
        <v>0</v>
      </c>
      <c r="AS817" s="48">
        <v>0</v>
      </c>
      <c r="AT817" s="48">
        <f t="shared" si="224"/>
        <v>0</v>
      </c>
      <c r="AU817" s="12"/>
      <c r="AV817" s="48">
        <v>0</v>
      </c>
      <c r="AW817" s="12"/>
      <c r="AX817" s="48">
        <f t="shared" si="225"/>
        <v>0</v>
      </c>
    </row>
    <row r="818" spans="1:50" ht="10.199999999999999" customHeight="1" x14ac:dyDescent="0.25">
      <c r="A818" s="14">
        <v>46</v>
      </c>
      <c r="B818" s="103">
        <v>41228</v>
      </c>
      <c r="C818" s="103">
        <v>41221</v>
      </c>
      <c r="D818" s="12"/>
      <c r="E818" s="12"/>
      <c r="F818" s="12"/>
      <c r="G818" s="12"/>
      <c r="H818" s="12"/>
      <c r="I818" s="12"/>
      <c r="J818" s="100"/>
      <c r="K818" s="12"/>
      <c r="L818" s="12"/>
      <c r="M818" s="12"/>
      <c r="N818" s="12"/>
      <c r="O818" s="12"/>
      <c r="P818" s="14"/>
      <c r="Q818" s="14"/>
      <c r="R818" s="12"/>
      <c r="S818" s="12"/>
      <c r="T818" s="12"/>
      <c r="U818" s="12"/>
      <c r="V818" s="12"/>
      <c r="W818" s="12"/>
      <c r="X818" s="12"/>
      <c r="Y818" s="12"/>
      <c r="Z818" s="100"/>
      <c r="AA818" s="12"/>
      <c r="AB818" s="12"/>
      <c r="AC818" s="12"/>
      <c r="AD818" s="12"/>
      <c r="AE818" s="12"/>
      <c r="AF818" s="12"/>
      <c r="AG818" s="12"/>
      <c r="AH818" s="100"/>
      <c r="AI818" s="12"/>
      <c r="AJ818" s="48"/>
      <c r="AK818" s="48"/>
      <c r="AL818" s="48"/>
      <c r="AM818" s="12"/>
      <c r="AN818" s="12"/>
      <c r="AO818" s="12"/>
      <c r="AP818" s="12"/>
      <c r="AQ818" s="12"/>
      <c r="AR818" s="48">
        <v>-11</v>
      </c>
      <c r="AS818" s="48">
        <v>0</v>
      </c>
      <c r="AT818" s="48">
        <f t="shared" si="224"/>
        <v>-5.5</v>
      </c>
      <c r="AU818" s="12"/>
      <c r="AV818" s="48">
        <v>0</v>
      </c>
      <c r="AW818" s="12"/>
      <c r="AX818" s="48">
        <f t="shared" si="225"/>
        <v>0</v>
      </c>
    </row>
    <row r="819" spans="1:50" ht="10.199999999999999" customHeight="1" x14ac:dyDescent="0.25">
      <c r="A819" s="14">
        <v>47</v>
      </c>
      <c r="B819" s="103">
        <v>41235</v>
      </c>
      <c r="C819" s="103">
        <v>41228</v>
      </c>
      <c r="D819" s="12"/>
      <c r="E819" s="12"/>
      <c r="F819" s="12"/>
      <c r="G819" s="12"/>
      <c r="H819" s="12"/>
      <c r="I819" s="12"/>
      <c r="J819" s="100"/>
      <c r="K819" s="12"/>
      <c r="L819" s="12"/>
      <c r="M819" s="12"/>
      <c r="N819" s="12"/>
      <c r="O819" s="12"/>
      <c r="P819" s="14"/>
      <c r="Q819" s="14"/>
      <c r="R819" s="12"/>
      <c r="S819" s="12"/>
      <c r="T819" s="12"/>
      <c r="U819" s="12"/>
      <c r="V819" s="12"/>
      <c r="W819" s="12"/>
      <c r="X819" s="12"/>
      <c r="Y819" s="12"/>
      <c r="Z819" s="100"/>
      <c r="AA819" s="12"/>
      <c r="AB819" s="12"/>
      <c r="AC819" s="12"/>
      <c r="AD819" s="12"/>
      <c r="AE819" s="12"/>
      <c r="AF819" s="12"/>
      <c r="AG819" s="12"/>
      <c r="AH819" s="12"/>
      <c r="AI819" s="12"/>
      <c r="AJ819" s="48"/>
      <c r="AK819" s="48"/>
      <c r="AL819" s="48"/>
      <c r="AM819" s="12"/>
      <c r="AN819" s="12"/>
      <c r="AO819" s="12"/>
      <c r="AP819" s="12"/>
      <c r="AQ819" s="12"/>
      <c r="AR819" s="12"/>
      <c r="AS819" s="12"/>
      <c r="AT819" s="12"/>
      <c r="AU819" s="12"/>
      <c r="AV819" s="48">
        <v>25</v>
      </c>
      <c r="AW819" s="48">
        <v>0</v>
      </c>
      <c r="AX819" s="48">
        <f t="shared" si="225"/>
        <v>12.5</v>
      </c>
    </row>
    <row r="820" spans="1:50" ht="10.199999999999999" customHeight="1" x14ac:dyDescent="0.25">
      <c r="A820" s="14">
        <v>48</v>
      </c>
      <c r="B820" s="103">
        <v>41242</v>
      </c>
      <c r="C820" s="103">
        <v>41235</v>
      </c>
      <c r="D820" s="12"/>
      <c r="E820" s="12"/>
      <c r="F820" s="12"/>
      <c r="G820" s="12"/>
      <c r="H820" s="12"/>
      <c r="I820" s="12"/>
      <c r="J820" s="100"/>
      <c r="K820" s="12"/>
      <c r="L820" s="12"/>
      <c r="M820" s="12"/>
      <c r="N820" s="12"/>
      <c r="O820" s="12"/>
      <c r="P820" s="14"/>
      <c r="Q820" s="14"/>
      <c r="R820" s="12"/>
      <c r="S820" s="12"/>
      <c r="T820" s="12"/>
      <c r="U820" s="12"/>
      <c r="V820" s="12"/>
      <c r="W820" s="12"/>
      <c r="X820" s="12"/>
      <c r="Y820" s="12"/>
      <c r="Z820" s="100"/>
      <c r="AA820" s="12"/>
      <c r="AB820" s="12"/>
      <c r="AC820" s="12"/>
      <c r="AD820" s="12"/>
      <c r="AE820" s="12"/>
      <c r="AF820" s="12"/>
      <c r="AG820" s="12"/>
      <c r="AH820" s="12"/>
      <c r="AI820" s="12"/>
      <c r="AJ820" s="48"/>
      <c r="AK820" s="48"/>
      <c r="AL820" s="48"/>
      <c r="AM820" s="12"/>
      <c r="AN820" s="12"/>
      <c r="AO820" s="12"/>
      <c r="AP820" s="12"/>
      <c r="AQ820" s="12"/>
      <c r="AR820" s="12"/>
      <c r="AS820" s="12"/>
      <c r="AT820" s="12"/>
      <c r="AU820" s="12"/>
      <c r="AV820" s="48">
        <v>-25</v>
      </c>
      <c r="AW820" s="48">
        <v>0</v>
      </c>
      <c r="AX820" s="48">
        <f t="shared" si="225"/>
        <v>-12.5</v>
      </c>
    </row>
    <row r="821" spans="1:50" ht="10.199999999999999" customHeight="1" x14ac:dyDescent="0.25">
      <c r="A821" s="14">
        <v>49</v>
      </c>
      <c r="B821" s="103">
        <v>41249</v>
      </c>
      <c r="C821" s="103">
        <v>41242</v>
      </c>
      <c r="D821" s="12"/>
      <c r="E821" s="12"/>
      <c r="F821" s="12"/>
      <c r="G821" s="12"/>
      <c r="H821" s="12"/>
      <c r="I821" s="12"/>
      <c r="J821" s="100"/>
      <c r="K821" s="12"/>
      <c r="L821" s="12"/>
      <c r="M821" s="12"/>
      <c r="N821" s="12"/>
      <c r="O821" s="12"/>
      <c r="P821" s="14"/>
      <c r="Q821" s="14"/>
      <c r="R821" s="12"/>
      <c r="S821" s="12"/>
      <c r="T821" s="12"/>
      <c r="U821" s="12"/>
      <c r="V821" s="12"/>
      <c r="W821" s="12"/>
      <c r="X821" s="12"/>
      <c r="Y821" s="12"/>
      <c r="Z821" s="100"/>
      <c r="AA821" s="12"/>
      <c r="AB821" s="12"/>
      <c r="AC821" s="12"/>
      <c r="AD821" s="12"/>
      <c r="AE821" s="12"/>
      <c r="AF821" s="12"/>
      <c r="AG821" s="12"/>
      <c r="AH821" s="12"/>
      <c r="AI821" s="12"/>
      <c r="AJ821" s="48"/>
      <c r="AK821" s="48"/>
      <c r="AL821" s="48"/>
      <c r="AM821" s="12"/>
      <c r="AN821" s="12"/>
      <c r="AO821" s="12"/>
      <c r="AP821" s="12"/>
      <c r="AQ821" s="12"/>
      <c r="AR821" s="12"/>
      <c r="AS821" s="12"/>
      <c r="AT821" s="12"/>
      <c r="AU821" s="12"/>
      <c r="AV821" s="48">
        <v>-25</v>
      </c>
      <c r="AW821" s="48">
        <v>0</v>
      </c>
      <c r="AX821" s="48">
        <f t="shared" si="225"/>
        <v>-12.5</v>
      </c>
    </row>
    <row r="822" spans="1:50" ht="10.199999999999999" customHeight="1" x14ac:dyDescent="0.25">
      <c r="A822" s="14">
        <v>50</v>
      </c>
      <c r="B822" s="103">
        <v>41256</v>
      </c>
      <c r="C822" s="103">
        <v>41249</v>
      </c>
      <c r="D822" s="14">
        <v>25</v>
      </c>
      <c r="E822" s="14"/>
      <c r="F822" s="48">
        <f t="shared" ref="F822:F827" si="226">AVERAGE(D822:E822)</f>
        <v>25</v>
      </c>
      <c r="G822" s="12"/>
      <c r="H822" s="12"/>
      <c r="I822" s="12"/>
      <c r="J822" s="100"/>
      <c r="K822" s="12"/>
      <c r="L822" s="12"/>
      <c r="M822" s="12"/>
      <c r="N822" s="12"/>
      <c r="O822" s="12"/>
      <c r="P822" s="14"/>
      <c r="Q822" s="14"/>
      <c r="R822" s="12"/>
      <c r="S822" s="12"/>
      <c r="T822" s="12"/>
      <c r="U822" s="12"/>
      <c r="V822" s="12"/>
      <c r="W822" s="12"/>
      <c r="X822" s="12"/>
      <c r="Y822" s="12"/>
      <c r="Z822" s="100"/>
      <c r="AA822" s="12"/>
      <c r="AB822" s="12"/>
      <c r="AC822" s="12"/>
      <c r="AD822" s="12"/>
      <c r="AE822" s="12"/>
      <c r="AF822" s="12"/>
      <c r="AG822" s="12"/>
      <c r="AH822" s="12"/>
      <c r="AI822" s="12"/>
      <c r="AJ822" s="48"/>
      <c r="AK822" s="48"/>
      <c r="AL822" s="48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48">
        <v>0</v>
      </c>
      <c r="AX822" s="48">
        <f t="shared" si="225"/>
        <v>0</v>
      </c>
    </row>
    <row r="823" spans="1:50" ht="10.199999999999999" customHeight="1" x14ac:dyDescent="0.25">
      <c r="A823" s="14">
        <v>51</v>
      </c>
      <c r="B823" s="103">
        <v>41263</v>
      </c>
      <c r="C823" s="103">
        <v>41256</v>
      </c>
      <c r="D823" s="14">
        <v>13</v>
      </c>
      <c r="E823" s="14"/>
      <c r="F823" s="48">
        <f t="shared" si="226"/>
        <v>13</v>
      </c>
      <c r="G823" s="12"/>
      <c r="H823" s="12"/>
      <c r="I823" s="12"/>
      <c r="J823" s="100"/>
      <c r="K823" s="12"/>
      <c r="L823" s="12"/>
      <c r="M823" s="12"/>
      <c r="N823" s="12"/>
      <c r="O823" s="12"/>
      <c r="P823" s="14"/>
      <c r="Q823" s="14"/>
      <c r="R823" s="12"/>
      <c r="S823" s="12"/>
      <c r="T823" s="12"/>
      <c r="U823" s="12"/>
      <c r="V823" s="12"/>
      <c r="W823" s="12"/>
      <c r="X823" s="12"/>
      <c r="Y823" s="12"/>
      <c r="Z823" s="100"/>
      <c r="AA823" s="12"/>
      <c r="AB823" s="12"/>
      <c r="AC823" s="12"/>
      <c r="AD823" s="12"/>
      <c r="AE823" s="12"/>
      <c r="AF823" s="12"/>
      <c r="AG823" s="12"/>
      <c r="AH823" s="12"/>
      <c r="AI823" s="12"/>
      <c r="AJ823" s="48"/>
      <c r="AK823" s="48"/>
      <c r="AL823" s="48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48">
        <v>0</v>
      </c>
      <c r="AX823" s="48">
        <f t="shared" ref="AX823" si="227">AVERAGE(AV823:AW823)</f>
        <v>0</v>
      </c>
    </row>
    <row r="824" spans="1:50" ht="10.199999999999999" customHeight="1" x14ac:dyDescent="0.25">
      <c r="A824" s="14">
        <v>52</v>
      </c>
      <c r="B824" s="103">
        <v>41270</v>
      </c>
      <c r="C824" s="103">
        <v>41263</v>
      </c>
      <c r="D824" s="14">
        <v>25</v>
      </c>
      <c r="E824" s="14">
        <v>0</v>
      </c>
      <c r="F824" s="48">
        <f t="shared" si="226"/>
        <v>12.5</v>
      </c>
      <c r="G824" s="12"/>
      <c r="H824" s="12"/>
      <c r="I824" s="12"/>
      <c r="J824" s="100"/>
      <c r="K824" s="12"/>
      <c r="L824" s="12"/>
      <c r="M824" s="12"/>
      <c r="N824" s="12"/>
      <c r="O824" s="12"/>
      <c r="P824" s="14"/>
      <c r="Q824" s="14"/>
      <c r="R824" s="12"/>
      <c r="S824" s="12"/>
      <c r="T824" s="12"/>
      <c r="U824" s="12"/>
      <c r="V824" s="12"/>
      <c r="W824" s="12"/>
      <c r="X824" s="12"/>
      <c r="Y824" s="12"/>
      <c r="Z824" s="100"/>
      <c r="AA824" s="12"/>
      <c r="AB824" s="12"/>
      <c r="AC824" s="12"/>
      <c r="AD824" s="12"/>
      <c r="AE824" s="12"/>
      <c r="AF824" s="12"/>
      <c r="AG824" s="12"/>
      <c r="AH824" s="12"/>
      <c r="AI824" s="12"/>
      <c r="AJ824" s="48"/>
      <c r="AK824" s="48"/>
      <c r="AL824" s="48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 spans="1:50" ht="10.199999999999999" customHeight="1" x14ac:dyDescent="0.25">
      <c r="A825" s="14">
        <v>1</v>
      </c>
      <c r="B825" s="103">
        <v>41277</v>
      </c>
      <c r="C825" s="103">
        <v>41270</v>
      </c>
      <c r="D825" s="14">
        <v>25</v>
      </c>
      <c r="E825" s="14">
        <v>0</v>
      </c>
      <c r="F825" s="48">
        <f t="shared" si="226"/>
        <v>12.5</v>
      </c>
      <c r="G825" s="12"/>
      <c r="H825" s="12"/>
      <c r="I825" s="12"/>
      <c r="J825" s="100"/>
      <c r="K825" s="12"/>
      <c r="L825" s="12"/>
      <c r="M825" s="12"/>
      <c r="N825" s="12"/>
      <c r="O825" s="12"/>
      <c r="P825" s="14"/>
      <c r="Q825" s="14"/>
      <c r="R825" s="12"/>
      <c r="S825" s="12"/>
      <c r="T825" s="12"/>
      <c r="U825" s="12"/>
      <c r="V825" s="12"/>
      <c r="W825" s="12"/>
      <c r="X825" s="12"/>
      <c r="Y825" s="12"/>
      <c r="Z825" s="100"/>
      <c r="AA825" s="12"/>
      <c r="AB825" s="12"/>
      <c r="AC825" s="12"/>
      <c r="AD825" s="12"/>
      <c r="AE825" s="12"/>
      <c r="AF825" s="12"/>
      <c r="AG825" s="12"/>
      <c r="AH825" s="12"/>
      <c r="AI825" s="12"/>
      <c r="AJ825" s="48"/>
      <c r="AK825" s="48"/>
      <c r="AL825" s="48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</row>
    <row r="826" spans="1:50" ht="10.199999999999999" customHeight="1" x14ac:dyDescent="0.25">
      <c r="A826" s="14">
        <v>2</v>
      </c>
      <c r="B826" s="103">
        <v>41284</v>
      </c>
      <c r="C826" s="103">
        <v>41277</v>
      </c>
      <c r="D826" s="14">
        <v>25</v>
      </c>
      <c r="E826" s="14">
        <v>0</v>
      </c>
      <c r="F826" s="48">
        <f t="shared" si="226"/>
        <v>12.5</v>
      </c>
      <c r="G826" s="12"/>
      <c r="H826" s="12"/>
      <c r="I826" s="12"/>
      <c r="J826" s="100"/>
      <c r="K826" s="12"/>
      <c r="L826" s="12"/>
      <c r="M826" s="12"/>
      <c r="N826" s="12"/>
      <c r="O826" s="12"/>
      <c r="P826" s="14"/>
      <c r="Q826" s="14"/>
      <c r="R826" s="12"/>
      <c r="S826" s="12"/>
      <c r="T826" s="12"/>
      <c r="U826" s="12"/>
      <c r="V826" s="12"/>
      <c r="W826" s="12"/>
      <c r="X826" s="12"/>
      <c r="Y826" s="12"/>
      <c r="Z826" s="100"/>
      <c r="AA826" s="12"/>
      <c r="AB826" s="12"/>
      <c r="AC826" s="12"/>
      <c r="AD826" s="12"/>
      <c r="AE826" s="12"/>
      <c r="AF826" s="12"/>
      <c r="AG826" s="12"/>
      <c r="AH826" s="12"/>
      <c r="AI826" s="12"/>
      <c r="AJ826" s="48"/>
      <c r="AK826" s="48"/>
      <c r="AL826" s="48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</row>
    <row r="827" spans="1:50" ht="10.199999999999999" customHeight="1" x14ac:dyDescent="0.25">
      <c r="A827" s="14">
        <v>3</v>
      </c>
      <c r="B827" s="103">
        <v>41291</v>
      </c>
      <c r="C827" s="103">
        <v>41284</v>
      </c>
      <c r="D827" s="14">
        <v>25</v>
      </c>
      <c r="E827" s="14">
        <v>0</v>
      </c>
      <c r="F827" s="48">
        <f t="shared" si="226"/>
        <v>12.5</v>
      </c>
      <c r="G827" s="12"/>
      <c r="H827" s="12"/>
      <c r="I827" s="12"/>
      <c r="J827" s="100"/>
      <c r="K827" s="12"/>
      <c r="L827" s="12"/>
      <c r="M827" s="12"/>
      <c r="N827" s="12"/>
      <c r="O827" s="12"/>
      <c r="P827" s="14"/>
      <c r="Q827" s="14"/>
      <c r="R827" s="12"/>
      <c r="S827" s="12"/>
      <c r="T827" s="12"/>
      <c r="U827" s="12"/>
      <c r="V827" s="12"/>
      <c r="W827" s="12"/>
      <c r="X827" s="12"/>
      <c r="Y827" s="12"/>
      <c r="Z827" s="100"/>
      <c r="AA827" s="12"/>
      <c r="AB827" s="12"/>
      <c r="AC827" s="12"/>
      <c r="AD827" s="12"/>
      <c r="AE827" s="12"/>
      <c r="AF827" s="12"/>
      <c r="AG827" s="12"/>
      <c r="AH827" s="12"/>
      <c r="AI827" s="12"/>
      <c r="AJ827" s="48"/>
      <c r="AK827" s="48"/>
      <c r="AL827" s="48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</row>
    <row r="828" spans="1:50" ht="10.199999999999999" customHeight="1" x14ac:dyDescent="0.25">
      <c r="A828" s="14">
        <v>4</v>
      </c>
      <c r="B828" s="103">
        <v>41298</v>
      </c>
      <c r="C828" s="103">
        <v>41291</v>
      </c>
      <c r="D828" s="12"/>
      <c r="E828" s="12"/>
      <c r="F828" s="12"/>
      <c r="G828" s="12"/>
      <c r="H828" s="14"/>
      <c r="K828" s="12"/>
      <c r="L828" s="12"/>
      <c r="M828" s="12"/>
      <c r="N828" s="12"/>
      <c r="O828" s="12"/>
      <c r="P828" s="14"/>
      <c r="Q828" s="14"/>
      <c r="R828" s="12"/>
      <c r="S828" s="12"/>
      <c r="T828" s="12"/>
      <c r="U828" s="12"/>
      <c r="V828" s="12"/>
      <c r="W828" s="12"/>
      <c r="X828" s="12"/>
      <c r="Y828" s="12"/>
      <c r="Z828" s="100"/>
      <c r="AA828" s="12"/>
      <c r="AB828" s="12"/>
      <c r="AC828" s="12"/>
      <c r="AD828" s="12"/>
      <c r="AE828" s="12"/>
      <c r="AF828" s="12"/>
      <c r="AG828" s="12"/>
      <c r="AH828" s="12"/>
      <c r="AI828" s="12"/>
      <c r="AJ828" s="48"/>
      <c r="AK828" s="48"/>
      <c r="AL828" s="48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</row>
    <row r="829" spans="1:50" ht="10.199999999999999" customHeight="1" x14ac:dyDescent="0.25">
      <c r="A829" s="14">
        <v>5</v>
      </c>
      <c r="B829" s="103">
        <v>41305</v>
      </c>
      <c r="C829" s="103">
        <v>41298</v>
      </c>
      <c r="D829" s="12"/>
      <c r="E829" s="12"/>
      <c r="F829" s="12"/>
      <c r="G829" s="12"/>
      <c r="H829" s="12"/>
      <c r="I829" s="14">
        <v>10</v>
      </c>
      <c r="J829" s="14">
        <f>AVERAGE(H829:I829)</f>
        <v>10</v>
      </c>
      <c r="K829" s="12"/>
      <c r="L829" s="12"/>
      <c r="M829" s="12"/>
      <c r="N829" s="12"/>
      <c r="O829" s="12"/>
      <c r="P829" s="14"/>
      <c r="Q829" s="14"/>
      <c r="R829" s="12"/>
      <c r="S829" s="12"/>
      <c r="T829" s="12"/>
      <c r="U829" s="12"/>
      <c r="V829" s="12"/>
      <c r="W829" s="12"/>
      <c r="X829" s="12"/>
      <c r="Y829" s="12"/>
      <c r="Z829" s="100"/>
      <c r="AA829" s="12"/>
      <c r="AB829" s="12"/>
      <c r="AC829" s="12"/>
      <c r="AD829" s="12"/>
      <c r="AE829" s="12"/>
      <c r="AF829" s="12"/>
      <c r="AG829" s="12"/>
      <c r="AH829" s="12"/>
      <c r="AI829" s="12"/>
      <c r="AJ829" s="48"/>
      <c r="AK829" s="48"/>
      <c r="AL829" s="48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</row>
    <row r="830" spans="1:50" ht="10.199999999999999" customHeight="1" x14ac:dyDescent="0.25">
      <c r="A830" s="14">
        <v>6</v>
      </c>
      <c r="B830" s="103">
        <v>41312</v>
      </c>
      <c r="C830" s="103">
        <v>41305</v>
      </c>
      <c r="D830" s="12"/>
      <c r="E830" s="12"/>
      <c r="F830" s="12"/>
      <c r="G830" s="12"/>
      <c r="H830" s="14">
        <v>-13</v>
      </c>
      <c r="I830" s="14">
        <v>0</v>
      </c>
      <c r="J830" s="14">
        <f>AVERAGE(H830:I830)</f>
        <v>-6.5</v>
      </c>
      <c r="K830" s="12"/>
      <c r="L830" s="12"/>
      <c r="M830" s="14">
        <v>0</v>
      </c>
      <c r="N830" s="14">
        <f t="shared" ref="N830:N836" si="228">AVERAGE(L830:M830)</f>
        <v>0</v>
      </c>
      <c r="O830" s="12"/>
      <c r="P830" s="14"/>
      <c r="Q830" s="14"/>
      <c r="R830" s="12"/>
      <c r="S830" s="12"/>
      <c r="T830" s="12"/>
      <c r="U830" s="12"/>
      <c r="V830" s="12"/>
      <c r="W830" s="12"/>
      <c r="X830" s="12"/>
      <c r="Y830" s="12"/>
      <c r="Z830" s="100"/>
      <c r="AA830" s="12"/>
      <c r="AB830" s="12"/>
      <c r="AC830" s="12"/>
      <c r="AD830" s="12"/>
      <c r="AE830" s="12"/>
      <c r="AF830" s="12"/>
      <c r="AG830" s="12"/>
      <c r="AH830" s="12"/>
      <c r="AI830" s="12"/>
      <c r="AJ830" s="48"/>
      <c r="AK830" s="48"/>
      <c r="AL830" s="48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</row>
    <row r="831" spans="1:50" ht="10.199999999999999" customHeight="1" x14ac:dyDescent="0.25">
      <c r="A831" s="14">
        <v>7</v>
      </c>
      <c r="B831" s="103">
        <v>41319</v>
      </c>
      <c r="C831" s="103">
        <v>41312</v>
      </c>
      <c r="D831" s="12"/>
      <c r="E831" s="12"/>
      <c r="F831" s="12"/>
      <c r="G831" s="12"/>
      <c r="H831" s="14">
        <v>-13</v>
      </c>
      <c r="I831" s="14">
        <v>13</v>
      </c>
      <c r="J831" s="14">
        <f>AVERAGE(H831:I831)</f>
        <v>0</v>
      </c>
      <c r="K831" s="12"/>
      <c r="L831" s="12"/>
      <c r="M831" s="14">
        <v>13</v>
      </c>
      <c r="N831" s="14">
        <f t="shared" si="228"/>
        <v>13</v>
      </c>
      <c r="O831" s="12"/>
      <c r="P831" s="14"/>
      <c r="Q831" s="14"/>
      <c r="R831" s="12"/>
      <c r="S831" s="12"/>
      <c r="T831" s="12"/>
      <c r="U831" s="12"/>
      <c r="V831" s="12"/>
      <c r="W831" s="12"/>
      <c r="X831" s="12"/>
      <c r="Y831" s="12"/>
      <c r="Z831" s="100"/>
      <c r="AA831" s="12"/>
      <c r="AB831" s="12"/>
      <c r="AC831" s="12"/>
      <c r="AD831" s="12"/>
      <c r="AE831" s="12"/>
      <c r="AF831" s="12"/>
      <c r="AG831" s="12"/>
      <c r="AH831" s="12"/>
      <c r="AI831" s="12"/>
      <c r="AJ831" s="48"/>
      <c r="AK831" s="48"/>
      <c r="AL831" s="48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</row>
    <row r="832" spans="1:50" ht="10.199999999999999" customHeight="1" x14ac:dyDescent="0.25">
      <c r="A832" s="14">
        <v>8</v>
      </c>
      <c r="B832" s="103">
        <v>41326</v>
      </c>
      <c r="C832" s="103">
        <v>41319</v>
      </c>
      <c r="D832" s="12"/>
      <c r="E832" s="12"/>
      <c r="F832" s="12"/>
      <c r="G832" s="12"/>
      <c r="H832" s="14">
        <v>0</v>
      </c>
      <c r="I832" s="14">
        <v>0</v>
      </c>
      <c r="J832" s="14">
        <f>AVERAGE(H832:I832)</f>
        <v>0</v>
      </c>
      <c r="K832" s="12"/>
      <c r="L832" s="12"/>
      <c r="M832" s="14">
        <v>5</v>
      </c>
      <c r="N832" s="14">
        <f t="shared" si="228"/>
        <v>5</v>
      </c>
      <c r="O832" s="12"/>
      <c r="P832" s="14"/>
      <c r="Q832" s="14"/>
      <c r="R832" s="12"/>
      <c r="S832" s="12"/>
      <c r="T832" s="12"/>
      <c r="U832" s="12"/>
      <c r="V832" s="12"/>
      <c r="W832" s="12"/>
      <c r="X832" s="12"/>
      <c r="Y832" s="12"/>
      <c r="Z832" s="100"/>
      <c r="AA832" s="12"/>
      <c r="AB832" s="12"/>
      <c r="AC832" s="12"/>
      <c r="AD832" s="12"/>
      <c r="AE832" s="12"/>
      <c r="AF832" s="12"/>
      <c r="AG832" s="12"/>
      <c r="AH832" s="12"/>
      <c r="AI832" s="12"/>
      <c r="AJ832" s="48"/>
      <c r="AK832" s="48"/>
      <c r="AL832" s="48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</row>
    <row r="833" spans="1:49" ht="10.199999999999999" customHeight="1" x14ac:dyDescent="0.25">
      <c r="A833" s="14">
        <v>9</v>
      </c>
      <c r="B833" s="103">
        <v>41333</v>
      </c>
      <c r="C833" s="103">
        <v>41326</v>
      </c>
      <c r="D833" s="12"/>
      <c r="E833" s="12"/>
      <c r="F833" s="12"/>
      <c r="G833" s="12"/>
      <c r="H833" s="12"/>
      <c r="I833" s="12"/>
      <c r="J833" s="100"/>
      <c r="K833" s="12"/>
      <c r="L833" s="14">
        <v>-50</v>
      </c>
      <c r="M833" s="14">
        <v>-5</v>
      </c>
      <c r="N833" s="14">
        <f t="shared" si="228"/>
        <v>-27.5</v>
      </c>
      <c r="O833" s="12"/>
      <c r="P833" s="14"/>
      <c r="Q833" s="14"/>
      <c r="R833" s="12"/>
      <c r="S833" s="12"/>
      <c r="T833" s="12"/>
      <c r="U833" s="12"/>
      <c r="V833" s="12"/>
      <c r="W833" s="12"/>
      <c r="X833" s="12"/>
      <c r="Y833" s="12"/>
      <c r="Z833" s="100"/>
      <c r="AA833" s="12"/>
      <c r="AB833" s="12"/>
      <c r="AC833" s="12"/>
      <c r="AD833" s="12"/>
      <c r="AE833" s="12"/>
      <c r="AF833" s="12"/>
      <c r="AG833" s="12"/>
      <c r="AH833" s="12"/>
      <c r="AI833" s="12"/>
      <c r="AJ833" s="48"/>
      <c r="AK833" s="48"/>
      <c r="AL833" s="48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</row>
    <row r="834" spans="1:49" ht="10.199999999999999" customHeight="1" x14ac:dyDescent="0.25">
      <c r="A834" s="14">
        <v>10</v>
      </c>
      <c r="B834" s="103">
        <v>41340</v>
      </c>
      <c r="C834" s="103">
        <v>41333</v>
      </c>
      <c r="D834" s="12"/>
      <c r="E834" s="12"/>
      <c r="F834" s="12"/>
      <c r="G834" s="12"/>
      <c r="H834" s="12"/>
      <c r="I834" s="12"/>
      <c r="J834" s="100"/>
      <c r="K834" s="12"/>
      <c r="L834" s="14">
        <v>-25</v>
      </c>
      <c r="M834" s="14">
        <v>-5</v>
      </c>
      <c r="N834" s="14">
        <f t="shared" si="228"/>
        <v>-15</v>
      </c>
      <c r="O834" s="12"/>
      <c r="P834" s="14"/>
      <c r="Q834" s="14"/>
      <c r="R834" s="12"/>
      <c r="S834" s="12"/>
      <c r="T834" s="12"/>
      <c r="U834" s="12"/>
      <c r="V834" s="12"/>
      <c r="W834" s="12"/>
      <c r="X834" s="12"/>
      <c r="Y834" s="12"/>
      <c r="Z834" s="100"/>
      <c r="AA834" s="12"/>
      <c r="AB834" s="12"/>
      <c r="AC834" s="12"/>
      <c r="AD834" s="12"/>
      <c r="AE834" s="12"/>
      <c r="AF834" s="12"/>
      <c r="AG834" s="12"/>
      <c r="AH834" s="12"/>
      <c r="AI834" s="12"/>
      <c r="AJ834" s="48"/>
      <c r="AK834" s="48"/>
      <c r="AL834" s="48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</row>
    <row r="835" spans="1:49" ht="10.199999999999999" customHeight="1" x14ac:dyDescent="0.25">
      <c r="A835" s="14">
        <v>11</v>
      </c>
      <c r="B835" s="103">
        <v>41347</v>
      </c>
      <c r="C835" s="103">
        <v>41340</v>
      </c>
      <c r="D835" s="12"/>
      <c r="E835" s="12"/>
      <c r="F835" s="12"/>
      <c r="G835" s="12"/>
      <c r="H835" s="12"/>
      <c r="I835" s="12"/>
      <c r="J835" s="100"/>
      <c r="K835" s="12"/>
      <c r="L835" s="14">
        <v>-13</v>
      </c>
      <c r="M835" s="14">
        <v>0</v>
      </c>
      <c r="N835" s="14">
        <f t="shared" si="228"/>
        <v>-6.5</v>
      </c>
      <c r="O835" s="12"/>
      <c r="P835" s="14">
        <v>0</v>
      </c>
      <c r="Q835" s="14"/>
      <c r="R835" s="14">
        <f>AVERAGE(P835:Q835)</f>
        <v>0</v>
      </c>
      <c r="S835" s="12"/>
      <c r="T835" s="12"/>
      <c r="U835" s="12"/>
      <c r="V835" s="12"/>
      <c r="W835" s="12"/>
      <c r="X835" s="12"/>
      <c r="Y835" s="12"/>
      <c r="Z835" s="100"/>
      <c r="AA835" s="12"/>
      <c r="AB835" s="12"/>
      <c r="AC835" s="12"/>
      <c r="AD835" s="12"/>
      <c r="AE835" s="12"/>
      <c r="AF835" s="12"/>
      <c r="AG835" s="12"/>
      <c r="AH835" s="12"/>
      <c r="AI835" s="12"/>
      <c r="AJ835" s="48"/>
      <c r="AK835" s="48"/>
      <c r="AL835" s="48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</row>
    <row r="836" spans="1:49" ht="10.199999999999999" customHeight="1" x14ac:dyDescent="0.25">
      <c r="A836" s="14">
        <v>12</v>
      </c>
      <c r="B836" s="103">
        <v>41354</v>
      </c>
      <c r="C836" s="103">
        <v>41347</v>
      </c>
      <c r="D836" s="12"/>
      <c r="E836" s="12"/>
      <c r="F836" s="12"/>
      <c r="G836" s="12"/>
      <c r="H836" s="12"/>
      <c r="I836" s="12"/>
      <c r="J836" s="100"/>
      <c r="K836" s="12"/>
      <c r="L836" s="14">
        <v>-25</v>
      </c>
      <c r="M836" s="14">
        <v>0</v>
      </c>
      <c r="N836" s="14">
        <f t="shared" si="228"/>
        <v>-12.5</v>
      </c>
      <c r="O836" s="12"/>
      <c r="P836" s="14"/>
      <c r="Q836" s="14"/>
      <c r="R836" s="14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48"/>
      <c r="AK836" s="48"/>
      <c r="AL836" s="48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 spans="1:49" ht="10.199999999999999" customHeight="1" x14ac:dyDescent="0.25">
      <c r="A837" s="14">
        <v>13</v>
      </c>
      <c r="B837" s="103">
        <v>41361</v>
      </c>
      <c r="C837" s="103">
        <v>41354</v>
      </c>
      <c r="D837" s="12"/>
      <c r="E837" s="12"/>
      <c r="F837" s="12"/>
      <c r="G837" s="12"/>
      <c r="H837" s="12"/>
      <c r="I837" s="12"/>
      <c r="J837" s="100"/>
      <c r="K837" s="12"/>
      <c r="L837" s="12"/>
      <c r="M837" s="12"/>
      <c r="N837" s="12"/>
      <c r="O837" s="12"/>
      <c r="P837" s="14">
        <v>0</v>
      </c>
      <c r="Q837" s="14"/>
      <c r="R837" s="14">
        <f t="shared" ref="R837" si="229">AVERAGE(P837:Q837)</f>
        <v>0</v>
      </c>
      <c r="S837" s="12"/>
      <c r="T837" s="14">
        <v>0</v>
      </c>
      <c r="U837" s="14"/>
      <c r="V837" s="14">
        <f t="shared" ref="V837:V844" si="230">AVERAGE(T837:U837)</f>
        <v>0</v>
      </c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48"/>
      <c r="AK837" s="48"/>
      <c r="AL837" s="48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</row>
    <row r="838" spans="1:49" ht="10.199999999999999" customHeight="1" x14ac:dyDescent="0.25">
      <c r="A838" s="14">
        <v>14</v>
      </c>
      <c r="B838" s="103">
        <v>41368</v>
      </c>
      <c r="C838" s="103">
        <v>41361</v>
      </c>
      <c r="D838" s="12"/>
      <c r="E838" s="12"/>
      <c r="F838" s="12"/>
      <c r="G838" s="12"/>
      <c r="H838" s="12"/>
      <c r="I838" s="12"/>
      <c r="J838" s="100"/>
      <c r="K838" s="12"/>
      <c r="L838" s="12"/>
      <c r="M838" s="12"/>
      <c r="N838" s="12"/>
      <c r="O838" s="12"/>
      <c r="P838" s="14">
        <v>-10</v>
      </c>
      <c r="Q838" s="14">
        <v>0</v>
      </c>
      <c r="R838" s="14">
        <f>AVERAGE(P838:Q838)</f>
        <v>-5</v>
      </c>
      <c r="S838" s="12"/>
      <c r="T838" s="14">
        <v>0</v>
      </c>
      <c r="U838" s="12"/>
      <c r="V838" s="14">
        <f t="shared" si="230"/>
        <v>0</v>
      </c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48"/>
      <c r="AK838" s="48"/>
      <c r="AL838" s="48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 spans="1:49" ht="10.199999999999999" customHeight="1" x14ac:dyDescent="0.25">
      <c r="A839" s="14">
        <v>15</v>
      </c>
      <c r="B839" s="103">
        <v>41375</v>
      </c>
      <c r="C839" s="103">
        <v>41368</v>
      </c>
      <c r="D839" s="12"/>
      <c r="E839" s="12"/>
      <c r="F839" s="12"/>
      <c r="G839" s="12"/>
      <c r="H839" s="12"/>
      <c r="I839" s="12"/>
      <c r="J839" s="100"/>
      <c r="K839" s="12"/>
      <c r="L839" s="12"/>
      <c r="M839" s="12"/>
      <c r="N839" s="12"/>
      <c r="O839" s="12"/>
      <c r="P839" s="14">
        <v>-6</v>
      </c>
      <c r="Q839" s="14">
        <v>0</v>
      </c>
      <c r="R839" s="14">
        <f>AVERAGE(P839:Q839)</f>
        <v>-3</v>
      </c>
      <c r="S839" s="12"/>
      <c r="T839" s="14">
        <v>0</v>
      </c>
      <c r="U839" s="12"/>
      <c r="V839" s="14">
        <f t="shared" si="230"/>
        <v>0</v>
      </c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48"/>
      <c r="AK839" s="48"/>
      <c r="AL839" s="48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</row>
    <row r="840" spans="1:49" ht="10.199999999999999" customHeight="1" x14ac:dyDescent="0.25">
      <c r="A840" s="14">
        <v>16</v>
      </c>
      <c r="B840" s="103">
        <v>41382</v>
      </c>
      <c r="C840" s="103">
        <v>41375</v>
      </c>
      <c r="D840" s="12"/>
      <c r="E840" s="12"/>
      <c r="F840" s="12"/>
      <c r="G840" s="12"/>
      <c r="H840" s="12"/>
      <c r="I840" s="12"/>
      <c r="J840" s="100"/>
      <c r="K840" s="12"/>
      <c r="L840" s="12"/>
      <c r="M840" s="12"/>
      <c r="N840" s="12"/>
      <c r="O840" s="12"/>
      <c r="P840" s="14">
        <v>-6</v>
      </c>
      <c r="Q840" s="14">
        <v>0</v>
      </c>
      <c r="R840" s="14">
        <f>AVERAGE(P840:Q840)</f>
        <v>-3</v>
      </c>
      <c r="S840" s="12"/>
      <c r="T840" s="14">
        <v>0</v>
      </c>
      <c r="U840" s="12"/>
      <c r="V840" s="14">
        <f t="shared" si="230"/>
        <v>0</v>
      </c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48"/>
      <c r="AK840" s="48"/>
      <c r="AL840" s="48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 spans="1:49" ht="10.199999999999999" customHeight="1" x14ac:dyDescent="0.25">
      <c r="A841" s="14">
        <v>17</v>
      </c>
      <c r="B841" s="103">
        <v>41389</v>
      </c>
      <c r="C841" s="103">
        <v>41382</v>
      </c>
      <c r="D841" s="12"/>
      <c r="E841" s="12"/>
      <c r="F841" s="12"/>
      <c r="G841" s="12"/>
      <c r="H841" s="12"/>
      <c r="I841" s="12"/>
      <c r="J841" s="100"/>
      <c r="K841" s="12"/>
      <c r="L841" s="12"/>
      <c r="M841" s="12"/>
      <c r="N841" s="12"/>
      <c r="O841" s="12"/>
      <c r="P841" s="14"/>
      <c r="Q841" s="14"/>
      <c r="R841" s="12"/>
      <c r="S841" s="12"/>
      <c r="T841" s="14">
        <v>0</v>
      </c>
      <c r="U841" s="14">
        <v>0</v>
      </c>
      <c r="V841" s="14">
        <f t="shared" si="230"/>
        <v>0</v>
      </c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48"/>
      <c r="AK841" s="48"/>
      <c r="AL841" s="48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</row>
    <row r="842" spans="1:49" ht="10.199999999999999" customHeight="1" x14ac:dyDescent="0.25">
      <c r="A842" s="14">
        <v>18</v>
      </c>
      <c r="B842" s="103">
        <v>41396</v>
      </c>
      <c r="C842" s="103">
        <v>41389</v>
      </c>
      <c r="D842" s="12"/>
      <c r="E842" s="12"/>
      <c r="F842" s="12"/>
      <c r="G842" s="12"/>
      <c r="H842" s="12"/>
      <c r="I842" s="12"/>
      <c r="J842" s="100"/>
      <c r="K842" s="12"/>
      <c r="L842" s="12"/>
      <c r="M842" s="12"/>
      <c r="N842" s="12"/>
      <c r="O842" s="12"/>
      <c r="P842" s="14"/>
      <c r="Q842" s="14"/>
      <c r="R842" s="12"/>
      <c r="S842" s="12"/>
      <c r="T842" s="14">
        <v>0</v>
      </c>
      <c r="U842" s="14">
        <v>0</v>
      </c>
      <c r="V842" s="14">
        <f t="shared" si="230"/>
        <v>0</v>
      </c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48"/>
      <c r="AK842" s="48"/>
      <c r="AL842" s="48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 spans="1:49" ht="10.199999999999999" customHeight="1" x14ac:dyDescent="0.25">
      <c r="A843" s="14">
        <v>19</v>
      </c>
      <c r="B843" s="103">
        <v>41403</v>
      </c>
      <c r="C843" s="103">
        <v>41396</v>
      </c>
      <c r="D843" s="12"/>
      <c r="E843" s="12"/>
      <c r="F843" s="12"/>
      <c r="G843" s="12"/>
      <c r="H843" s="12"/>
      <c r="I843" s="12"/>
      <c r="J843" s="100"/>
      <c r="K843" s="12"/>
      <c r="L843" s="12"/>
      <c r="M843" s="12"/>
      <c r="N843" s="12"/>
      <c r="O843" s="12"/>
      <c r="P843" s="14"/>
      <c r="Q843" s="14"/>
      <c r="R843" s="12"/>
      <c r="S843" s="12"/>
      <c r="T843" s="14">
        <v>0</v>
      </c>
      <c r="U843" s="14">
        <v>0</v>
      </c>
      <c r="V843" s="14">
        <f t="shared" si="230"/>
        <v>0</v>
      </c>
      <c r="W843" s="12"/>
      <c r="X843" s="14">
        <v>25</v>
      </c>
      <c r="Y843" s="12"/>
      <c r="Z843" s="14">
        <f t="shared" ref="Z843:Z845" si="231">AVERAGE(X843:Y843)</f>
        <v>25</v>
      </c>
      <c r="AA843" s="12"/>
      <c r="AB843" s="12"/>
      <c r="AC843" s="12"/>
      <c r="AD843" s="12"/>
      <c r="AE843" s="12"/>
      <c r="AF843" s="12"/>
      <c r="AG843" s="12"/>
      <c r="AH843" s="12"/>
      <c r="AI843" s="12"/>
      <c r="AJ843" s="48"/>
      <c r="AK843" s="48"/>
      <c r="AL843" s="48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</row>
    <row r="844" spans="1:49" ht="10.199999999999999" customHeight="1" x14ac:dyDescent="0.25">
      <c r="A844" s="14">
        <v>20</v>
      </c>
      <c r="B844" s="103">
        <v>41410</v>
      </c>
      <c r="C844" s="103">
        <v>41403</v>
      </c>
      <c r="D844" s="12"/>
      <c r="E844" s="12"/>
      <c r="F844" s="12"/>
      <c r="G844" s="12"/>
      <c r="H844" s="12"/>
      <c r="I844" s="12"/>
      <c r="J844" s="100"/>
      <c r="K844" s="12"/>
      <c r="L844" s="12"/>
      <c r="M844" s="12"/>
      <c r="N844" s="12"/>
      <c r="O844" s="12"/>
      <c r="P844" s="14"/>
      <c r="Q844" s="14"/>
      <c r="R844" s="12"/>
      <c r="S844" s="12"/>
      <c r="T844" s="14">
        <v>0</v>
      </c>
      <c r="U844" s="14">
        <v>0</v>
      </c>
      <c r="V844" s="14">
        <f t="shared" si="230"/>
        <v>0</v>
      </c>
      <c r="W844" s="12"/>
      <c r="X844" s="14">
        <v>25</v>
      </c>
      <c r="Y844" s="12"/>
      <c r="Z844" s="14">
        <f t="shared" si="231"/>
        <v>25</v>
      </c>
      <c r="AA844" s="12"/>
      <c r="AB844" s="12"/>
      <c r="AC844" s="12"/>
      <c r="AD844" s="12"/>
      <c r="AE844" s="12"/>
      <c r="AF844" s="12"/>
      <c r="AG844" s="12"/>
      <c r="AH844" s="12"/>
      <c r="AI844" s="12"/>
      <c r="AJ844" s="48"/>
      <c r="AK844" s="48"/>
      <c r="AL844" s="48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</row>
    <row r="845" spans="1:49" ht="10.199999999999999" customHeight="1" x14ac:dyDescent="0.25">
      <c r="A845" s="14">
        <v>21</v>
      </c>
      <c r="B845" s="103">
        <v>41417</v>
      </c>
      <c r="C845" s="103">
        <v>41410</v>
      </c>
      <c r="D845" s="12"/>
      <c r="E845" s="12"/>
      <c r="F845" s="12"/>
      <c r="G845" s="12"/>
      <c r="H845" s="12"/>
      <c r="I845" s="12"/>
      <c r="J845" s="100"/>
      <c r="K845" s="12"/>
      <c r="L845" s="12"/>
      <c r="M845" s="12"/>
      <c r="N845" s="12"/>
      <c r="O845" s="12"/>
      <c r="P845" s="14"/>
      <c r="Q845" s="14"/>
      <c r="R845" s="12"/>
      <c r="S845" s="12"/>
      <c r="T845" s="12"/>
      <c r="U845" s="12"/>
      <c r="V845" s="12"/>
      <c r="W845" s="12"/>
      <c r="X845" s="14">
        <v>17</v>
      </c>
      <c r="Y845" s="14">
        <v>0</v>
      </c>
      <c r="Z845" s="14">
        <f t="shared" si="231"/>
        <v>8.5</v>
      </c>
      <c r="AA845" s="12"/>
      <c r="AB845" s="14">
        <v>25</v>
      </c>
      <c r="AC845" s="12"/>
      <c r="AD845" s="14">
        <f t="shared" ref="AD845" si="232">AVERAGE(AB845:AC845)</f>
        <v>25</v>
      </c>
      <c r="AE845" s="12"/>
      <c r="AF845" s="12"/>
      <c r="AG845" s="12"/>
      <c r="AH845" s="12"/>
      <c r="AI845" s="12"/>
      <c r="AJ845" s="48"/>
      <c r="AK845" s="48"/>
      <c r="AL845" s="48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</row>
    <row r="846" spans="1:49" ht="10.199999999999999" customHeight="1" x14ac:dyDescent="0.25">
      <c r="A846" s="14">
        <v>22</v>
      </c>
      <c r="B846" s="103">
        <v>41424</v>
      </c>
      <c r="C846" s="103">
        <v>41417</v>
      </c>
      <c r="D846" s="12"/>
      <c r="E846" s="12"/>
      <c r="F846" s="12"/>
      <c r="G846" s="12"/>
      <c r="H846" s="12"/>
      <c r="I846" s="12"/>
      <c r="J846" s="100"/>
      <c r="K846" s="12"/>
      <c r="L846" s="12"/>
      <c r="M846" s="12"/>
      <c r="N846" s="12"/>
      <c r="O846" s="12"/>
      <c r="P846" s="14"/>
      <c r="Q846" s="14"/>
      <c r="R846" s="12"/>
      <c r="S846" s="12"/>
      <c r="T846" s="12"/>
      <c r="U846" s="12"/>
      <c r="V846" s="12"/>
      <c r="W846" s="12"/>
      <c r="X846" s="14">
        <v>17</v>
      </c>
      <c r="Y846" s="14">
        <v>0</v>
      </c>
      <c r="Z846" s="14">
        <f t="shared" ref="Z846:Z849" si="233">AVERAGE(X846:Y846)</f>
        <v>8.5</v>
      </c>
      <c r="AA846" s="12"/>
      <c r="AB846" s="14">
        <v>25</v>
      </c>
      <c r="AC846" s="12"/>
      <c r="AD846" s="14">
        <f t="shared" ref="AD846:AD853" si="234">AVERAGE(AB846:AC846)</f>
        <v>25</v>
      </c>
      <c r="AE846" s="12"/>
      <c r="AF846" s="12"/>
      <c r="AG846" s="12"/>
      <c r="AH846" s="12"/>
      <c r="AI846" s="12"/>
      <c r="AJ846" s="48"/>
      <c r="AK846" s="48"/>
      <c r="AL846" s="48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</row>
    <row r="847" spans="1:49" ht="10.199999999999999" customHeight="1" x14ac:dyDescent="0.25">
      <c r="A847" s="14">
        <v>23</v>
      </c>
      <c r="B847" s="103">
        <v>41431</v>
      </c>
      <c r="C847" s="103">
        <v>41424</v>
      </c>
      <c r="D847" s="12"/>
      <c r="E847" s="12"/>
      <c r="F847" s="12"/>
      <c r="G847" s="12"/>
      <c r="H847" s="12"/>
      <c r="I847" s="12"/>
      <c r="J847" s="100"/>
      <c r="K847" s="12"/>
      <c r="L847" s="12"/>
      <c r="M847" s="12"/>
      <c r="N847" s="12"/>
      <c r="O847" s="12"/>
      <c r="P847" s="14"/>
      <c r="Q847" s="14"/>
      <c r="R847" s="12"/>
      <c r="S847" s="12"/>
      <c r="T847" s="12"/>
      <c r="U847" s="12"/>
      <c r="V847" s="12"/>
      <c r="W847" s="12"/>
      <c r="X847" s="14">
        <v>13</v>
      </c>
      <c r="Y847" s="14">
        <v>0</v>
      </c>
      <c r="Z847" s="14">
        <f t="shared" si="233"/>
        <v>6.5</v>
      </c>
      <c r="AA847" s="12"/>
      <c r="AB847" s="14">
        <v>25</v>
      </c>
      <c r="AC847" s="14">
        <v>0</v>
      </c>
      <c r="AD847" s="14">
        <f t="shared" si="234"/>
        <v>12.5</v>
      </c>
      <c r="AE847" s="12"/>
      <c r="AF847" s="14"/>
      <c r="AG847" s="14">
        <v>25</v>
      </c>
      <c r="AH847" s="14">
        <f t="shared" ref="AH847:AH857" si="235">AVERAGE(AF847:AG847)</f>
        <v>25</v>
      </c>
      <c r="AI847" s="12"/>
      <c r="AJ847" s="48"/>
      <c r="AK847" s="48"/>
      <c r="AL847" s="48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</row>
    <row r="848" spans="1:49" ht="10.199999999999999" customHeight="1" x14ac:dyDescent="0.25">
      <c r="A848" s="14">
        <v>24</v>
      </c>
      <c r="B848" s="103">
        <v>41438</v>
      </c>
      <c r="C848" s="103">
        <v>41431</v>
      </c>
      <c r="D848" s="12"/>
      <c r="E848" s="12"/>
      <c r="F848" s="12"/>
      <c r="G848" s="12"/>
      <c r="H848" s="12"/>
      <c r="I848" s="12"/>
      <c r="J848" s="100"/>
      <c r="K848" s="12"/>
      <c r="L848" s="12"/>
      <c r="M848" s="12"/>
      <c r="N848" s="12"/>
      <c r="O848" s="12"/>
      <c r="P848" s="14"/>
      <c r="Q848" s="14"/>
      <c r="R848" s="12"/>
      <c r="S848" s="12"/>
      <c r="T848" s="12"/>
      <c r="U848" s="12"/>
      <c r="V848" s="12"/>
      <c r="W848" s="12"/>
      <c r="X848" s="14">
        <v>0</v>
      </c>
      <c r="Y848" s="14">
        <v>0</v>
      </c>
      <c r="Z848" s="14">
        <f t="shared" si="233"/>
        <v>0</v>
      </c>
      <c r="AA848" s="12"/>
      <c r="AB848" s="14">
        <v>25</v>
      </c>
      <c r="AC848" s="14">
        <v>0</v>
      </c>
      <c r="AD848" s="14">
        <f t="shared" si="234"/>
        <v>12.5</v>
      </c>
      <c r="AE848" s="12"/>
      <c r="AF848" s="14"/>
      <c r="AG848" s="14">
        <v>25</v>
      </c>
      <c r="AH848" s="14">
        <f t="shared" si="235"/>
        <v>25</v>
      </c>
      <c r="AI848" s="12"/>
      <c r="AJ848" s="48"/>
      <c r="AK848" s="48"/>
      <c r="AL848" s="48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</row>
    <row r="849" spans="1:49" ht="10.199999999999999" customHeight="1" x14ac:dyDescent="0.25">
      <c r="A849" s="14">
        <v>25</v>
      </c>
      <c r="B849" s="103">
        <v>41445</v>
      </c>
      <c r="C849" s="103">
        <v>41438</v>
      </c>
      <c r="D849" s="12"/>
      <c r="E849" s="12"/>
      <c r="F849" s="12"/>
      <c r="G849" s="12"/>
      <c r="H849" s="12"/>
      <c r="I849" s="12"/>
      <c r="J849" s="100"/>
      <c r="K849" s="12"/>
      <c r="L849" s="12"/>
      <c r="M849" s="12"/>
      <c r="N849" s="12"/>
      <c r="O849" s="12"/>
      <c r="P849" s="14"/>
      <c r="Q849" s="14"/>
      <c r="R849" s="12"/>
      <c r="S849" s="12"/>
      <c r="T849" s="12"/>
      <c r="U849" s="12"/>
      <c r="V849" s="12"/>
      <c r="W849" s="12"/>
      <c r="X849" s="14">
        <v>0</v>
      </c>
      <c r="Y849" s="14">
        <v>0</v>
      </c>
      <c r="Z849" s="14">
        <f t="shared" si="233"/>
        <v>0</v>
      </c>
      <c r="AA849" s="12"/>
      <c r="AB849" s="14">
        <v>-13</v>
      </c>
      <c r="AC849" s="14">
        <v>0</v>
      </c>
      <c r="AD849" s="14">
        <f t="shared" si="234"/>
        <v>-6.5</v>
      </c>
      <c r="AE849" s="12"/>
      <c r="AF849" s="14">
        <v>-200</v>
      </c>
      <c r="AG849" s="14">
        <v>25</v>
      </c>
      <c r="AH849" s="14">
        <f t="shared" si="235"/>
        <v>-87.5</v>
      </c>
      <c r="AI849" s="12"/>
      <c r="AJ849" s="48"/>
      <c r="AK849" s="48"/>
      <c r="AL849" s="48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</row>
    <row r="850" spans="1:49" ht="10.199999999999999" customHeight="1" x14ac:dyDescent="0.25">
      <c r="A850" s="14">
        <v>26</v>
      </c>
      <c r="B850" s="103">
        <v>41452</v>
      </c>
      <c r="C850" s="103">
        <v>41445</v>
      </c>
      <c r="D850" s="12"/>
      <c r="E850" s="12"/>
      <c r="F850" s="12"/>
      <c r="G850" s="12"/>
      <c r="H850" s="12"/>
      <c r="I850" s="12"/>
      <c r="J850" s="100"/>
      <c r="K850" s="12"/>
      <c r="L850" s="12"/>
      <c r="M850" s="12"/>
      <c r="N850" s="12"/>
      <c r="O850" s="12"/>
      <c r="P850" s="14"/>
      <c r="Q850" s="14"/>
      <c r="R850" s="12"/>
      <c r="S850" s="12"/>
      <c r="T850" s="12"/>
      <c r="U850" s="12"/>
      <c r="V850" s="12"/>
      <c r="W850" s="12"/>
      <c r="X850" s="14"/>
      <c r="Y850" s="14"/>
      <c r="Z850" s="14"/>
      <c r="AA850" s="12"/>
      <c r="AB850" s="14">
        <v>8</v>
      </c>
      <c r="AC850" s="14">
        <v>0</v>
      </c>
      <c r="AD850" s="14">
        <f t="shared" si="234"/>
        <v>4</v>
      </c>
      <c r="AE850" s="12"/>
      <c r="AF850" s="14"/>
      <c r="AG850" s="14">
        <v>25</v>
      </c>
      <c r="AH850" s="14">
        <f t="shared" si="235"/>
        <v>25</v>
      </c>
      <c r="AI850" s="12"/>
      <c r="AJ850" s="48"/>
      <c r="AK850" s="48"/>
      <c r="AL850" s="48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</row>
    <row r="851" spans="1:49" ht="10.199999999999999" customHeight="1" x14ac:dyDescent="0.25">
      <c r="A851" s="14">
        <v>27</v>
      </c>
      <c r="B851" s="103">
        <v>41459</v>
      </c>
      <c r="C851" s="103">
        <v>41452</v>
      </c>
      <c r="D851" s="12"/>
      <c r="E851" s="12"/>
      <c r="F851" s="12"/>
      <c r="G851" s="12"/>
      <c r="H851" s="12"/>
      <c r="I851" s="12"/>
      <c r="J851" s="100"/>
      <c r="K851" s="12"/>
      <c r="L851" s="12"/>
      <c r="M851" s="12"/>
      <c r="N851" s="12"/>
      <c r="O851" s="12"/>
      <c r="P851" s="14"/>
      <c r="Q851" s="14"/>
      <c r="R851" s="12"/>
      <c r="S851" s="12"/>
      <c r="T851" s="12"/>
      <c r="U851" s="12"/>
      <c r="V851" s="12"/>
      <c r="W851" s="12"/>
      <c r="X851" s="14"/>
      <c r="Y851" s="14"/>
      <c r="Z851" s="14"/>
      <c r="AA851" s="12"/>
      <c r="AB851" s="14">
        <v>8</v>
      </c>
      <c r="AC851" s="14">
        <v>0</v>
      </c>
      <c r="AD851" s="14">
        <f t="shared" si="234"/>
        <v>4</v>
      </c>
      <c r="AE851" s="12"/>
      <c r="AF851" s="14"/>
      <c r="AG851" s="14">
        <v>25</v>
      </c>
      <c r="AH851" s="14">
        <f t="shared" si="235"/>
        <v>25</v>
      </c>
      <c r="AI851" s="12"/>
      <c r="AJ851" s="48"/>
      <c r="AK851" s="48"/>
      <c r="AL851" s="48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</row>
    <row r="852" spans="1:49" ht="10.199999999999999" customHeight="1" x14ac:dyDescent="0.25">
      <c r="A852" s="14">
        <v>28</v>
      </c>
      <c r="B852" s="103">
        <v>41466</v>
      </c>
      <c r="C852" s="103">
        <v>41459</v>
      </c>
      <c r="D852" s="12"/>
      <c r="E852" s="12"/>
      <c r="F852" s="12"/>
      <c r="G852" s="12"/>
      <c r="H852" s="12"/>
      <c r="I852" s="12"/>
      <c r="J852" s="100"/>
      <c r="K852" s="12"/>
      <c r="L852" s="12"/>
      <c r="M852" s="12"/>
      <c r="N852" s="12"/>
      <c r="O852" s="12"/>
      <c r="P852" s="14"/>
      <c r="Q852" s="14"/>
      <c r="R852" s="12"/>
      <c r="S852" s="12"/>
      <c r="T852" s="12"/>
      <c r="U852" s="12"/>
      <c r="V852" s="12"/>
      <c r="W852" s="12"/>
      <c r="X852" s="14"/>
      <c r="Y852" s="14"/>
      <c r="Z852" s="14"/>
      <c r="AA852" s="12"/>
      <c r="AB852" s="14">
        <v>1</v>
      </c>
      <c r="AC852" s="14">
        <v>0</v>
      </c>
      <c r="AD852" s="14">
        <f t="shared" si="234"/>
        <v>0.5</v>
      </c>
      <c r="AE852" s="12"/>
      <c r="AF852" s="14"/>
      <c r="AG852" s="14">
        <v>25</v>
      </c>
      <c r="AH852" s="14">
        <f t="shared" si="235"/>
        <v>25</v>
      </c>
      <c r="AI852" s="12"/>
      <c r="AJ852" s="48"/>
      <c r="AK852" s="48"/>
      <c r="AL852" s="48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</row>
    <row r="853" spans="1:49" ht="10.199999999999999" customHeight="1" x14ac:dyDescent="0.25">
      <c r="A853" s="14">
        <v>29</v>
      </c>
      <c r="B853" s="103">
        <v>41473</v>
      </c>
      <c r="C853" s="103">
        <v>41466</v>
      </c>
      <c r="D853" s="12"/>
      <c r="E853" s="12"/>
      <c r="F853" s="12"/>
      <c r="G853" s="12"/>
      <c r="H853" s="12"/>
      <c r="I853" s="12"/>
      <c r="J853" s="100"/>
      <c r="K853" s="12"/>
      <c r="L853" s="12"/>
      <c r="M853" s="12"/>
      <c r="N853" s="12"/>
      <c r="O853" s="12"/>
      <c r="P853" s="14"/>
      <c r="Q853" s="14"/>
      <c r="R853" s="12"/>
      <c r="S853" s="12"/>
      <c r="T853" s="12"/>
      <c r="U853" s="12"/>
      <c r="V853" s="12"/>
      <c r="W853" s="12"/>
      <c r="X853" s="14"/>
      <c r="Y853" s="14"/>
      <c r="Z853" s="14"/>
      <c r="AA853" s="12"/>
      <c r="AB853" s="14">
        <v>1</v>
      </c>
      <c r="AC853" s="14">
        <v>0</v>
      </c>
      <c r="AD853" s="14">
        <f t="shared" si="234"/>
        <v>0.5</v>
      </c>
      <c r="AE853" s="12"/>
      <c r="AF853" s="14"/>
      <c r="AG853" s="14">
        <v>25</v>
      </c>
      <c r="AH853" s="14">
        <f t="shared" si="235"/>
        <v>25</v>
      </c>
      <c r="AI853" s="12"/>
      <c r="AJ853" s="48"/>
      <c r="AK853" s="48"/>
      <c r="AL853" s="48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</row>
    <row r="854" spans="1:49" ht="10.199999999999999" customHeight="1" x14ac:dyDescent="0.25">
      <c r="A854" s="14">
        <v>30</v>
      </c>
      <c r="B854" s="103">
        <v>41480</v>
      </c>
      <c r="C854" s="103">
        <v>41473</v>
      </c>
      <c r="D854" s="12"/>
      <c r="E854" s="12"/>
      <c r="F854" s="12"/>
      <c r="G854" s="12"/>
      <c r="H854" s="12"/>
      <c r="I854" s="12"/>
      <c r="J854" s="100"/>
      <c r="K854" s="12"/>
      <c r="L854" s="12"/>
      <c r="M854" s="12"/>
      <c r="N854" s="12"/>
      <c r="O854" s="12"/>
      <c r="P854" s="14"/>
      <c r="Q854" s="14"/>
      <c r="R854" s="12"/>
      <c r="S854" s="12"/>
      <c r="T854" s="12"/>
      <c r="U854" s="12"/>
      <c r="V854" s="12"/>
      <c r="W854" s="12"/>
      <c r="X854" s="14"/>
      <c r="Y854" s="14"/>
      <c r="Z854" s="14"/>
      <c r="AA854" s="12"/>
      <c r="AB854" s="14"/>
      <c r="AC854" s="14"/>
      <c r="AD854" s="14"/>
      <c r="AE854" s="12"/>
      <c r="AF854" s="14"/>
      <c r="AG854" s="14">
        <v>0</v>
      </c>
      <c r="AH854" s="14">
        <f t="shared" si="235"/>
        <v>0</v>
      </c>
      <c r="AI854" s="12"/>
      <c r="AJ854" s="48"/>
      <c r="AK854" s="48"/>
      <c r="AL854" s="48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 spans="1:49" ht="10.199999999999999" customHeight="1" x14ac:dyDescent="0.25">
      <c r="A855" s="14">
        <v>31</v>
      </c>
      <c r="B855" s="103">
        <v>41487</v>
      </c>
      <c r="C855" s="103">
        <v>41480</v>
      </c>
      <c r="D855" s="12"/>
      <c r="E855" s="12"/>
      <c r="F855" s="12"/>
      <c r="G855" s="12"/>
      <c r="H855" s="12"/>
      <c r="I855" s="12"/>
      <c r="J855" s="100"/>
      <c r="K855" s="12"/>
      <c r="L855" s="12"/>
      <c r="M855" s="12"/>
      <c r="N855" s="12"/>
      <c r="O855" s="12"/>
      <c r="P855" s="14"/>
      <c r="Q855" s="14"/>
      <c r="R855" s="12"/>
      <c r="S855" s="12"/>
      <c r="T855" s="12"/>
      <c r="U855" s="12"/>
      <c r="V855" s="12"/>
      <c r="W855" s="12"/>
      <c r="X855" s="14"/>
      <c r="Y855" s="14"/>
      <c r="Z855" s="14"/>
      <c r="AA855" s="12"/>
      <c r="AB855" s="14"/>
      <c r="AC855" s="14"/>
      <c r="AD855" s="14"/>
      <c r="AE855" s="12"/>
      <c r="AF855" s="14">
        <v>8</v>
      </c>
      <c r="AG855" s="14">
        <v>0</v>
      </c>
      <c r="AH855" s="14">
        <f t="shared" si="235"/>
        <v>4</v>
      </c>
      <c r="AI855" s="12"/>
      <c r="AJ855" s="48"/>
      <c r="AK855" s="48"/>
      <c r="AL855" s="48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</row>
    <row r="856" spans="1:49" ht="10.199999999999999" customHeight="1" x14ac:dyDescent="0.25">
      <c r="A856" s="14">
        <v>32</v>
      </c>
      <c r="B856" s="103">
        <v>41494</v>
      </c>
      <c r="C856" s="103">
        <v>41487</v>
      </c>
      <c r="D856" s="12"/>
      <c r="E856" s="12"/>
      <c r="F856" s="12"/>
      <c r="G856" s="12"/>
      <c r="H856" s="12"/>
      <c r="I856" s="12"/>
      <c r="J856" s="100"/>
      <c r="K856" s="12"/>
      <c r="L856" s="12"/>
      <c r="M856" s="12"/>
      <c r="N856" s="12"/>
      <c r="O856" s="12"/>
      <c r="P856" s="14"/>
      <c r="Q856" s="14"/>
      <c r="R856" s="12"/>
      <c r="S856" s="12"/>
      <c r="T856" s="12"/>
      <c r="U856" s="12"/>
      <c r="V856" s="12"/>
      <c r="W856" s="12"/>
      <c r="X856" s="14"/>
      <c r="Y856" s="14"/>
      <c r="Z856" s="14"/>
      <c r="AA856" s="12"/>
      <c r="AB856" s="14"/>
      <c r="AC856" s="14"/>
      <c r="AD856" s="14"/>
      <c r="AE856" s="12"/>
      <c r="AF856" s="14">
        <v>0</v>
      </c>
      <c r="AG856" s="14">
        <v>0</v>
      </c>
      <c r="AH856" s="14">
        <f t="shared" si="235"/>
        <v>0</v>
      </c>
      <c r="AI856" s="12"/>
      <c r="AJ856" s="48">
        <v>-10</v>
      </c>
      <c r="AK856" s="48"/>
      <c r="AL856" s="48">
        <f t="shared" ref="AL856:AL862" si="236">AVERAGE(AJ856:AK856)</f>
        <v>-10</v>
      </c>
      <c r="AM856" s="12"/>
      <c r="AN856" s="48">
        <v>-50</v>
      </c>
      <c r="AO856" s="12"/>
      <c r="AP856" s="48">
        <f t="shared" ref="AP856:AP865" si="237">AVERAGE(AN856:AO856)</f>
        <v>-50</v>
      </c>
      <c r="AQ856" s="12"/>
      <c r="AR856" s="12"/>
      <c r="AS856" s="12"/>
      <c r="AT856" s="12"/>
      <c r="AU856" s="12"/>
      <c r="AV856" s="12"/>
      <c r="AW856" s="12"/>
    </row>
    <row r="857" spans="1:49" ht="10.199999999999999" customHeight="1" x14ac:dyDescent="0.25">
      <c r="A857" s="14">
        <v>33</v>
      </c>
      <c r="B857" s="103">
        <v>41501</v>
      </c>
      <c r="C857" s="103">
        <v>41494</v>
      </c>
      <c r="D857" s="12"/>
      <c r="E857" s="12"/>
      <c r="F857" s="12"/>
      <c r="G857" s="12"/>
      <c r="H857" s="12"/>
      <c r="I857" s="12"/>
      <c r="J857" s="100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4"/>
      <c r="AG857" s="14">
        <v>0</v>
      </c>
      <c r="AH857" s="14">
        <f t="shared" si="235"/>
        <v>0</v>
      </c>
      <c r="AI857" s="12"/>
      <c r="AJ857" s="48">
        <v>-10</v>
      </c>
      <c r="AK857" s="48"/>
      <c r="AL857" s="48">
        <f t="shared" si="236"/>
        <v>-10</v>
      </c>
      <c r="AM857" s="12"/>
      <c r="AN857" s="48">
        <v>-50</v>
      </c>
      <c r="AO857" s="12"/>
      <c r="AP857" s="48">
        <f t="shared" si="237"/>
        <v>-50</v>
      </c>
      <c r="AQ857" s="12"/>
      <c r="AR857" s="12"/>
      <c r="AS857" s="12"/>
      <c r="AT857" s="12"/>
      <c r="AU857" s="12"/>
      <c r="AV857" s="12"/>
      <c r="AW857" s="12"/>
    </row>
    <row r="858" spans="1:49" ht="10.199999999999999" customHeight="1" x14ac:dyDescent="0.25">
      <c r="A858" s="14">
        <v>34</v>
      </c>
      <c r="B858" s="103">
        <v>41508</v>
      </c>
      <c r="C858" s="103">
        <v>41501</v>
      </c>
      <c r="D858" s="12"/>
      <c r="E858" s="12"/>
      <c r="F858" s="12"/>
      <c r="G858" s="12"/>
      <c r="H858" s="12"/>
      <c r="I858" s="12"/>
      <c r="J858" s="100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48">
        <v>0</v>
      </c>
      <c r="AK858" s="48"/>
      <c r="AL858" s="48">
        <f t="shared" si="236"/>
        <v>0</v>
      </c>
      <c r="AM858" s="12"/>
      <c r="AN858" s="48">
        <v>-50</v>
      </c>
      <c r="AO858" s="48"/>
      <c r="AP858" s="48">
        <f t="shared" si="237"/>
        <v>-50</v>
      </c>
      <c r="AQ858" s="12"/>
      <c r="AR858" s="12"/>
      <c r="AS858" s="12"/>
      <c r="AT858" s="12"/>
      <c r="AU858" s="12"/>
      <c r="AV858" s="12"/>
      <c r="AW858" s="12"/>
    </row>
    <row r="859" spans="1:49" ht="10.199999999999999" customHeight="1" x14ac:dyDescent="0.25">
      <c r="A859" s="14">
        <v>35</v>
      </c>
      <c r="B859" s="103">
        <v>41515</v>
      </c>
      <c r="C859" s="103">
        <v>41508</v>
      </c>
      <c r="D859" s="12"/>
      <c r="E859" s="12"/>
      <c r="F859" s="12"/>
      <c r="G859" s="12"/>
      <c r="H859" s="12"/>
      <c r="I859" s="12"/>
      <c r="J859" s="100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48">
        <v>87</v>
      </c>
      <c r="AK859" s="48">
        <v>25</v>
      </c>
      <c r="AL859" s="48">
        <f t="shared" si="236"/>
        <v>56</v>
      </c>
      <c r="AM859" s="12"/>
      <c r="AN859" s="48">
        <v>25</v>
      </c>
      <c r="AO859" s="48"/>
      <c r="AP859" s="48">
        <f t="shared" si="237"/>
        <v>25</v>
      </c>
      <c r="AQ859" s="12"/>
      <c r="AR859" s="12"/>
      <c r="AS859" s="12"/>
      <c r="AT859" s="12"/>
      <c r="AU859" s="12"/>
      <c r="AV859" s="12"/>
      <c r="AW859" s="12"/>
    </row>
    <row r="860" spans="1:49" ht="10.199999999999999" customHeight="1" x14ac:dyDescent="0.25">
      <c r="A860" s="14">
        <v>36</v>
      </c>
      <c r="B860" s="103">
        <v>41522</v>
      </c>
      <c r="C860" s="103">
        <v>41515</v>
      </c>
      <c r="D860" s="12"/>
      <c r="E860" s="12"/>
      <c r="F860" s="12"/>
      <c r="G860" s="12"/>
      <c r="H860" s="12"/>
      <c r="I860" s="12"/>
      <c r="J860" s="100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48">
        <v>267</v>
      </c>
      <c r="AK860" s="48">
        <v>75</v>
      </c>
      <c r="AL860" s="48">
        <f t="shared" si="236"/>
        <v>171</v>
      </c>
      <c r="AM860" s="12"/>
      <c r="AN860" s="48">
        <v>300</v>
      </c>
      <c r="AO860" s="48"/>
      <c r="AP860" s="48">
        <f t="shared" si="237"/>
        <v>300</v>
      </c>
      <c r="AQ860" s="12"/>
      <c r="AR860" s="12"/>
      <c r="AS860" s="12"/>
      <c r="AT860" s="12"/>
      <c r="AU860" s="12"/>
      <c r="AV860" s="12"/>
      <c r="AW860" s="12"/>
    </row>
    <row r="861" spans="1:49" ht="10.199999999999999" customHeight="1" x14ac:dyDescent="0.25">
      <c r="A861" s="14">
        <v>37</v>
      </c>
      <c r="B861" s="103">
        <v>41529</v>
      </c>
      <c r="C861" s="103">
        <v>41522</v>
      </c>
      <c r="D861" s="12"/>
      <c r="E861" s="12"/>
      <c r="F861" s="12"/>
      <c r="G861" s="12"/>
      <c r="H861" s="12"/>
      <c r="I861" s="12"/>
      <c r="J861" s="100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48"/>
      <c r="AK861" s="48">
        <v>75</v>
      </c>
      <c r="AL861" s="48">
        <f t="shared" si="236"/>
        <v>75</v>
      </c>
      <c r="AM861" s="12"/>
      <c r="AN861" s="48">
        <v>300</v>
      </c>
      <c r="AO861" s="48"/>
      <c r="AP861" s="48">
        <f t="shared" si="237"/>
        <v>300</v>
      </c>
      <c r="AQ861" s="12"/>
      <c r="AR861" s="12"/>
      <c r="AS861" s="12"/>
      <c r="AT861" s="12"/>
      <c r="AU861" s="12"/>
      <c r="AV861" s="12"/>
      <c r="AW861" s="12"/>
    </row>
    <row r="862" spans="1:49" ht="10.199999999999999" customHeight="1" x14ac:dyDescent="0.25">
      <c r="A862" s="14">
        <v>38</v>
      </c>
      <c r="B862" s="103">
        <v>41536</v>
      </c>
      <c r="C862" s="103">
        <v>41529</v>
      </c>
      <c r="D862" s="12"/>
      <c r="E862" s="12"/>
      <c r="F862" s="12"/>
      <c r="G862" s="12"/>
      <c r="H862" s="12"/>
      <c r="I862" s="12"/>
      <c r="J862" s="100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48">
        <v>500</v>
      </c>
      <c r="AK862" s="48">
        <v>113</v>
      </c>
      <c r="AL862" s="48">
        <f t="shared" si="236"/>
        <v>306.5</v>
      </c>
      <c r="AM862" s="12"/>
      <c r="AN862" s="48">
        <v>400</v>
      </c>
      <c r="AO862" s="48"/>
      <c r="AP862" s="48">
        <f t="shared" si="237"/>
        <v>400</v>
      </c>
      <c r="AQ862" s="12"/>
      <c r="AR862" s="12"/>
      <c r="AS862" s="12"/>
      <c r="AT862" s="12"/>
      <c r="AU862" s="12"/>
      <c r="AV862" s="12"/>
      <c r="AW862" s="12"/>
    </row>
    <row r="863" spans="1:49" ht="10.199999999999999" customHeight="1" x14ac:dyDescent="0.25">
      <c r="A863" s="14">
        <v>39</v>
      </c>
      <c r="B863" s="103">
        <v>41543</v>
      </c>
      <c r="C863" s="103">
        <v>41536</v>
      </c>
      <c r="D863" s="12"/>
      <c r="E863" s="12"/>
      <c r="F863" s="12"/>
      <c r="G863" s="12"/>
      <c r="H863" s="12"/>
      <c r="I863" s="12"/>
      <c r="J863" s="100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48"/>
      <c r="AK863" s="48"/>
      <c r="AL863" s="48"/>
      <c r="AM863" s="12"/>
      <c r="AN863" s="48">
        <v>200</v>
      </c>
      <c r="AO863" s="48"/>
      <c r="AP863" s="48">
        <f t="shared" si="237"/>
        <v>200</v>
      </c>
      <c r="AQ863" s="12"/>
      <c r="AR863" s="48">
        <v>0</v>
      </c>
      <c r="AS863" s="12"/>
      <c r="AT863" s="48">
        <f t="shared" ref="AT863:AT865" si="238">AVERAGE(AR863:AS863)</f>
        <v>0</v>
      </c>
      <c r="AU863" s="12"/>
      <c r="AV863" s="12"/>
      <c r="AW863" s="12"/>
    </row>
    <row r="864" spans="1:49" ht="10.199999999999999" customHeight="1" x14ac:dyDescent="0.25">
      <c r="A864" s="14">
        <v>40</v>
      </c>
      <c r="B864" s="103">
        <v>41550</v>
      </c>
      <c r="C864" s="103">
        <v>41543</v>
      </c>
      <c r="D864" s="12"/>
      <c r="E864" s="12"/>
      <c r="F864" s="12"/>
      <c r="G864" s="12"/>
      <c r="H864" s="12"/>
      <c r="I864" s="12"/>
      <c r="J864" s="100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48"/>
      <c r="AK864" s="48"/>
      <c r="AL864" s="48"/>
      <c r="AM864" s="12"/>
      <c r="AN864" s="48"/>
      <c r="AO864" s="48"/>
      <c r="AP864" s="48"/>
      <c r="AQ864" s="12"/>
      <c r="AR864" s="48">
        <v>25</v>
      </c>
      <c r="AS864" s="12"/>
      <c r="AT864" s="48">
        <f t="shared" si="238"/>
        <v>25</v>
      </c>
      <c r="AU864" s="12"/>
      <c r="AV864" s="12"/>
      <c r="AW864" s="12"/>
    </row>
    <row r="865" spans="1:50" ht="10.199999999999999" customHeight="1" x14ac:dyDescent="0.25">
      <c r="A865" s="14">
        <v>41</v>
      </c>
      <c r="B865" s="103">
        <v>41557</v>
      </c>
      <c r="C865" s="103">
        <v>41550</v>
      </c>
      <c r="D865" s="12"/>
      <c r="E865" s="12"/>
      <c r="F865" s="12"/>
      <c r="G865" s="12"/>
      <c r="H865" s="12"/>
      <c r="I865" s="12"/>
      <c r="J865" s="100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48"/>
      <c r="AK865" s="48"/>
      <c r="AL865" s="48"/>
      <c r="AM865" s="12"/>
      <c r="AN865" s="48">
        <v>750</v>
      </c>
      <c r="AO865" s="48">
        <v>100</v>
      </c>
      <c r="AP865" s="48">
        <f t="shared" si="237"/>
        <v>425</v>
      </c>
      <c r="AQ865" s="12"/>
      <c r="AR865" s="48">
        <v>200</v>
      </c>
      <c r="AS865" s="12"/>
      <c r="AT865" s="48">
        <f t="shared" si="238"/>
        <v>200</v>
      </c>
      <c r="AU865" s="12"/>
      <c r="AV865" s="12"/>
      <c r="AW865" s="12"/>
    </row>
    <row r="866" spans="1:50" ht="10.199999999999999" customHeight="1" x14ac:dyDescent="0.25">
      <c r="A866" s="14">
        <v>42</v>
      </c>
      <c r="B866" s="103">
        <v>41564</v>
      </c>
      <c r="C866" s="103">
        <v>41557</v>
      </c>
      <c r="D866" s="12"/>
      <c r="E866" s="12"/>
      <c r="F866" s="12"/>
      <c r="G866" s="12"/>
      <c r="H866" s="12"/>
      <c r="I866" s="12"/>
      <c r="J866" s="100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48"/>
      <c r="AK866" s="48"/>
      <c r="AL866" s="48"/>
      <c r="AM866" s="12"/>
      <c r="AN866" s="48">
        <v>617</v>
      </c>
      <c r="AO866" s="48">
        <v>0</v>
      </c>
      <c r="AP866" s="48">
        <f>AVERAGE(AN866:AO866)</f>
        <v>308.5</v>
      </c>
      <c r="AQ866" s="14"/>
      <c r="AR866" s="48">
        <v>550</v>
      </c>
      <c r="AS866" s="48"/>
      <c r="AT866" s="48">
        <f t="shared" ref="AT866:AT871" si="239">AVERAGE(AR866:AS866)</f>
        <v>550</v>
      </c>
      <c r="AU866" s="48"/>
      <c r="AV866" s="48">
        <v>263</v>
      </c>
      <c r="AW866" s="48"/>
      <c r="AX866" s="48">
        <f t="shared" ref="AX866:AX873" si="240">AVERAGE(AV866:AW866)</f>
        <v>263</v>
      </c>
    </row>
    <row r="867" spans="1:50" ht="10.199999999999999" customHeight="1" x14ac:dyDescent="0.25">
      <c r="A867" s="14">
        <v>43</v>
      </c>
      <c r="B867" s="103">
        <v>41571</v>
      </c>
      <c r="C867" s="103">
        <v>41564</v>
      </c>
      <c r="D867" s="12"/>
      <c r="E867" s="12"/>
      <c r="F867" s="12"/>
      <c r="G867" s="12"/>
      <c r="H867" s="12"/>
      <c r="I867" s="12"/>
      <c r="J867" s="100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48"/>
      <c r="AK867" s="48"/>
      <c r="AL867" s="48"/>
      <c r="AM867" s="12"/>
      <c r="AN867" s="48"/>
      <c r="AO867" s="48"/>
      <c r="AP867" s="48"/>
      <c r="AQ867" s="12"/>
      <c r="AR867" s="48">
        <v>400</v>
      </c>
      <c r="AS867" s="48">
        <v>100</v>
      </c>
      <c r="AT867" s="48">
        <f t="shared" si="239"/>
        <v>250</v>
      </c>
      <c r="AU867" s="48"/>
      <c r="AV867" s="48">
        <v>342</v>
      </c>
      <c r="AW867" s="12"/>
      <c r="AX867" s="48">
        <f t="shared" si="240"/>
        <v>342</v>
      </c>
    </row>
    <row r="868" spans="1:50" ht="10.199999999999999" customHeight="1" x14ac:dyDescent="0.25">
      <c r="A868" s="14">
        <v>44</v>
      </c>
      <c r="B868" s="103">
        <v>41578</v>
      </c>
      <c r="C868" s="103">
        <v>41571</v>
      </c>
      <c r="D868" s="14">
        <v>138</v>
      </c>
      <c r="E868" s="14"/>
      <c r="F868" s="48">
        <f>AVERAGE(D868:E868)</f>
        <v>138</v>
      </c>
      <c r="G868" s="12"/>
      <c r="H868" s="12"/>
      <c r="I868" s="12"/>
      <c r="J868" s="100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48"/>
      <c r="AK868" s="48"/>
      <c r="AL868" s="48"/>
      <c r="AM868" s="12"/>
      <c r="AN868" s="48"/>
      <c r="AO868" s="48"/>
      <c r="AP868" s="48"/>
      <c r="AQ868" s="12"/>
      <c r="AR868" s="48">
        <v>733</v>
      </c>
      <c r="AS868" s="48">
        <v>100</v>
      </c>
      <c r="AT868" s="48">
        <f t="shared" si="239"/>
        <v>416.5</v>
      </c>
      <c r="AU868" s="48"/>
      <c r="AV868" s="48">
        <v>250</v>
      </c>
      <c r="AW868" s="12"/>
      <c r="AX868" s="48">
        <f t="shared" si="240"/>
        <v>250</v>
      </c>
    </row>
    <row r="869" spans="1:50" ht="10.199999999999999" customHeight="1" x14ac:dyDescent="0.25">
      <c r="A869" s="14">
        <v>45</v>
      </c>
      <c r="B869" s="103">
        <v>41585</v>
      </c>
      <c r="C869" s="103">
        <v>41578</v>
      </c>
      <c r="D869" s="14">
        <v>250</v>
      </c>
      <c r="E869" s="14"/>
      <c r="F869" s="48">
        <f>AVERAGE(D869:E869)</f>
        <v>250</v>
      </c>
      <c r="G869" s="12"/>
      <c r="H869" s="12"/>
      <c r="I869" s="12"/>
      <c r="J869" s="100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48"/>
      <c r="AK869" s="48"/>
      <c r="AL869" s="48"/>
      <c r="AM869" s="12"/>
      <c r="AN869" s="48"/>
      <c r="AO869" s="48"/>
      <c r="AP869" s="48"/>
      <c r="AQ869" s="12"/>
      <c r="AR869" s="48">
        <v>1617</v>
      </c>
      <c r="AS869" s="48">
        <v>200</v>
      </c>
      <c r="AT869" s="48">
        <f t="shared" si="239"/>
        <v>908.5</v>
      </c>
      <c r="AU869" s="12"/>
      <c r="AV869" s="48">
        <v>1175</v>
      </c>
      <c r="AW869" s="48"/>
      <c r="AX869" s="48">
        <f t="shared" si="240"/>
        <v>1175</v>
      </c>
    </row>
    <row r="870" spans="1:50" ht="10.199999999999999" customHeight="1" x14ac:dyDescent="0.25">
      <c r="A870" s="14">
        <v>46</v>
      </c>
      <c r="B870" s="103">
        <v>41592</v>
      </c>
      <c r="C870" s="103">
        <v>41585</v>
      </c>
      <c r="D870" s="14">
        <v>250</v>
      </c>
      <c r="E870" s="14"/>
      <c r="F870" s="48">
        <f>AVERAGE(D870:E870)</f>
        <v>250</v>
      </c>
      <c r="G870" s="12"/>
      <c r="H870" s="12"/>
      <c r="I870" s="12"/>
      <c r="J870" s="100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48"/>
      <c r="AK870" s="48"/>
      <c r="AL870" s="48"/>
      <c r="AM870" s="12"/>
      <c r="AN870" s="48"/>
      <c r="AO870" s="48"/>
      <c r="AP870" s="48"/>
      <c r="AQ870" s="12"/>
      <c r="AR870" s="48">
        <v>700</v>
      </c>
      <c r="AS870" s="48">
        <v>350</v>
      </c>
      <c r="AT870" s="48">
        <f t="shared" si="239"/>
        <v>525</v>
      </c>
      <c r="AU870" s="12"/>
      <c r="AV870" s="48">
        <v>975</v>
      </c>
      <c r="AW870" s="48"/>
      <c r="AX870" s="48">
        <f t="shared" si="240"/>
        <v>975</v>
      </c>
    </row>
    <row r="871" spans="1:50" ht="10.199999999999999" customHeight="1" x14ac:dyDescent="0.25">
      <c r="A871" s="14">
        <v>47</v>
      </c>
      <c r="B871" s="103">
        <v>41599</v>
      </c>
      <c r="C871" s="103">
        <v>41592</v>
      </c>
      <c r="D871" s="14">
        <v>250</v>
      </c>
      <c r="E871" s="14"/>
      <c r="F871" s="48">
        <f>AVERAGE(D871:E871)</f>
        <v>250</v>
      </c>
      <c r="G871" s="12"/>
      <c r="H871" s="12"/>
      <c r="I871" s="12"/>
      <c r="J871" s="100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48"/>
      <c r="AK871" s="48"/>
      <c r="AL871" s="48"/>
      <c r="AM871" s="12"/>
      <c r="AN871" s="48"/>
      <c r="AO871" s="48"/>
      <c r="AP871" s="48"/>
      <c r="AQ871" s="12"/>
      <c r="AR871" s="48">
        <v>500</v>
      </c>
      <c r="AS871" s="48">
        <v>350</v>
      </c>
      <c r="AT871" s="48">
        <f t="shared" si="239"/>
        <v>425</v>
      </c>
      <c r="AU871" s="12"/>
      <c r="AV871" s="48">
        <v>300</v>
      </c>
      <c r="AW871" s="48"/>
      <c r="AX871" s="48">
        <f t="shared" si="240"/>
        <v>300</v>
      </c>
    </row>
    <row r="872" spans="1:50" ht="10.199999999999999" customHeight="1" x14ac:dyDescent="0.25">
      <c r="A872" s="14">
        <v>48</v>
      </c>
      <c r="B872" s="103">
        <v>41606</v>
      </c>
      <c r="C872" s="103">
        <v>41599</v>
      </c>
      <c r="D872" s="14">
        <v>250</v>
      </c>
      <c r="E872" s="14"/>
      <c r="F872" s="48">
        <f>AVERAGE(D872:E872)</f>
        <v>250</v>
      </c>
      <c r="G872" s="12"/>
      <c r="H872" s="12"/>
      <c r="I872" s="12"/>
      <c r="J872" s="100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48"/>
      <c r="AK872" s="48"/>
      <c r="AL872" s="48"/>
      <c r="AM872" s="12"/>
      <c r="AN872" s="48"/>
      <c r="AO872" s="48"/>
      <c r="AP872" s="48"/>
      <c r="AQ872" s="12"/>
      <c r="AR872" s="48"/>
      <c r="AS872" s="48"/>
      <c r="AT872" s="48"/>
      <c r="AU872" s="12"/>
      <c r="AV872" s="48">
        <v>300</v>
      </c>
      <c r="AW872" s="48">
        <v>50</v>
      </c>
      <c r="AX872" s="48">
        <f t="shared" si="240"/>
        <v>175</v>
      </c>
    </row>
    <row r="873" spans="1:50" ht="10.199999999999999" customHeight="1" x14ac:dyDescent="0.25">
      <c r="A873" s="14">
        <v>49</v>
      </c>
      <c r="B873" s="103">
        <v>41613</v>
      </c>
      <c r="C873" s="103">
        <v>41606</v>
      </c>
      <c r="D873" s="14">
        <v>350</v>
      </c>
      <c r="E873" s="14"/>
      <c r="F873" s="14">
        <f>AVERAGE(D873:E873)</f>
        <v>350</v>
      </c>
      <c r="G873" s="12"/>
      <c r="H873" s="12"/>
      <c r="I873" s="12"/>
      <c r="J873" s="100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48"/>
      <c r="AK873" s="48"/>
      <c r="AL873" s="48"/>
      <c r="AM873" s="12"/>
      <c r="AN873" s="48"/>
      <c r="AO873" s="48"/>
      <c r="AP873" s="48"/>
      <c r="AQ873" s="12"/>
      <c r="AR873" s="48"/>
      <c r="AS873" s="48"/>
      <c r="AT873" s="48"/>
      <c r="AU873" s="12"/>
      <c r="AV873" s="48">
        <v>300</v>
      </c>
      <c r="AW873" s="48">
        <v>50</v>
      </c>
      <c r="AX873" s="48">
        <f t="shared" si="240"/>
        <v>175</v>
      </c>
    </row>
    <row r="874" spans="1:50" ht="10.199999999999999" customHeight="1" x14ac:dyDescent="0.25">
      <c r="A874" s="14">
        <v>50</v>
      </c>
      <c r="B874" s="103">
        <v>41620</v>
      </c>
      <c r="C874" s="103">
        <v>41613</v>
      </c>
      <c r="D874" s="14"/>
      <c r="E874" s="14"/>
      <c r="F874" s="14"/>
      <c r="G874" s="12"/>
      <c r="H874" s="12"/>
      <c r="I874" s="12"/>
      <c r="J874" s="100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48"/>
      <c r="AK874" s="48"/>
      <c r="AL874" s="48"/>
      <c r="AM874" s="12"/>
      <c r="AN874" s="48"/>
      <c r="AO874" s="48"/>
      <c r="AP874" s="48"/>
      <c r="AQ874" s="12"/>
      <c r="AR874" s="48"/>
      <c r="AS874" s="48"/>
      <c r="AT874" s="48"/>
      <c r="AU874" s="12"/>
      <c r="AV874" s="48"/>
      <c r="AW874" s="48"/>
    </row>
    <row r="875" spans="1:50" ht="10.199999999999999" customHeight="1" x14ac:dyDescent="0.25">
      <c r="A875" s="14">
        <v>51</v>
      </c>
      <c r="B875" s="103">
        <v>41627</v>
      </c>
      <c r="C875" s="103">
        <v>41620</v>
      </c>
      <c r="D875" s="14"/>
      <c r="E875" s="14"/>
      <c r="F875" s="14"/>
      <c r="G875" s="12"/>
      <c r="H875" s="12"/>
      <c r="I875" s="12"/>
      <c r="J875" s="100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48"/>
      <c r="AK875" s="48"/>
      <c r="AL875" s="48"/>
      <c r="AM875" s="12"/>
      <c r="AN875" s="48"/>
      <c r="AO875" s="48"/>
      <c r="AP875" s="48"/>
      <c r="AQ875" s="12"/>
      <c r="AR875" s="48"/>
      <c r="AS875" s="48"/>
      <c r="AT875" s="48"/>
      <c r="AU875" s="12"/>
      <c r="AV875" s="48"/>
      <c r="AW875" s="48"/>
    </row>
    <row r="876" spans="1:50" ht="10.199999999999999" customHeight="1" x14ac:dyDescent="0.25">
      <c r="A876" s="14">
        <v>52</v>
      </c>
      <c r="B876" s="103">
        <v>41634</v>
      </c>
      <c r="C876" s="103">
        <v>41627</v>
      </c>
      <c r="D876" s="14"/>
      <c r="E876" s="14"/>
      <c r="F876" s="14"/>
      <c r="G876" s="12"/>
      <c r="H876" s="12"/>
      <c r="I876" s="12"/>
      <c r="J876" s="100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48"/>
      <c r="AK876" s="48"/>
      <c r="AL876" s="48"/>
      <c r="AM876" s="12"/>
      <c r="AN876" s="48"/>
      <c r="AO876" s="48"/>
      <c r="AP876" s="48"/>
      <c r="AQ876" s="12"/>
      <c r="AR876" s="48"/>
      <c r="AS876" s="48"/>
      <c r="AT876" s="48"/>
      <c r="AU876" s="12"/>
      <c r="AV876" s="48"/>
      <c r="AW876" s="48"/>
    </row>
    <row r="877" spans="1:50" ht="10.199999999999999" customHeight="1" x14ac:dyDescent="0.25">
      <c r="A877" s="14">
        <v>1</v>
      </c>
      <c r="B877" s="103">
        <v>41641</v>
      </c>
      <c r="C877" s="103">
        <v>41634</v>
      </c>
      <c r="D877" s="14"/>
      <c r="E877" s="14"/>
      <c r="F877" s="14"/>
      <c r="G877" s="12"/>
      <c r="H877" s="12"/>
      <c r="I877" s="12"/>
      <c r="J877" s="100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48"/>
      <c r="AK877" s="48"/>
      <c r="AL877" s="48"/>
      <c r="AM877" s="12"/>
      <c r="AN877" s="48"/>
      <c r="AO877" s="48"/>
      <c r="AP877" s="48"/>
      <c r="AQ877" s="12"/>
      <c r="AR877" s="48"/>
      <c r="AS877" s="48"/>
      <c r="AT877" s="48"/>
      <c r="AU877" s="12"/>
      <c r="AV877" s="48"/>
      <c r="AW877" s="48"/>
    </row>
    <row r="878" spans="1:50" ht="10.199999999999999" customHeight="1" x14ac:dyDescent="0.25">
      <c r="A878" s="14">
        <v>2</v>
      </c>
      <c r="B878" s="103">
        <v>41648</v>
      </c>
      <c r="C878" s="103">
        <v>41641</v>
      </c>
      <c r="D878" s="14"/>
      <c r="E878" s="14"/>
      <c r="F878" s="14"/>
      <c r="G878" s="12"/>
      <c r="H878" s="12"/>
      <c r="I878" s="12"/>
      <c r="J878" s="100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48"/>
      <c r="AK878" s="48"/>
      <c r="AL878" s="48"/>
      <c r="AM878" s="12"/>
      <c r="AN878" s="48"/>
      <c r="AO878" s="48"/>
      <c r="AP878" s="48"/>
      <c r="AQ878" s="12"/>
      <c r="AR878" s="48"/>
      <c r="AS878" s="48"/>
      <c r="AT878" s="48"/>
      <c r="AU878" s="12"/>
      <c r="AV878" s="48"/>
      <c r="AW878" s="48"/>
    </row>
    <row r="879" spans="1:50" ht="10.199999999999999" customHeight="1" x14ac:dyDescent="0.25">
      <c r="A879" s="14">
        <v>3</v>
      </c>
      <c r="B879" s="103">
        <v>41655</v>
      </c>
      <c r="C879" s="103">
        <v>41648</v>
      </c>
      <c r="D879" s="14"/>
      <c r="E879" s="14"/>
      <c r="F879" s="14"/>
      <c r="G879" s="12"/>
      <c r="H879" s="12"/>
      <c r="I879" s="12"/>
      <c r="J879" s="100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48"/>
      <c r="AK879" s="48"/>
      <c r="AL879" s="48"/>
      <c r="AM879" s="12"/>
      <c r="AN879" s="48"/>
      <c r="AO879" s="48"/>
      <c r="AP879" s="48"/>
      <c r="AQ879" s="12"/>
      <c r="AR879" s="48"/>
      <c r="AS879" s="48"/>
      <c r="AT879" s="48"/>
      <c r="AU879" s="12"/>
      <c r="AV879" s="48"/>
      <c r="AW879" s="48"/>
    </row>
    <row r="880" spans="1:50" ht="10.199999999999999" customHeight="1" x14ac:dyDescent="0.25">
      <c r="A880" s="14">
        <v>4</v>
      </c>
      <c r="B880" s="103">
        <v>41662</v>
      </c>
      <c r="C880" s="103">
        <v>41655</v>
      </c>
      <c r="D880" s="14"/>
      <c r="E880" s="14"/>
      <c r="F880" s="14"/>
      <c r="G880" s="12"/>
      <c r="H880" s="12"/>
      <c r="I880" s="12"/>
      <c r="J880" s="100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48"/>
      <c r="AK880" s="48"/>
      <c r="AL880" s="48"/>
      <c r="AM880" s="12"/>
      <c r="AN880" s="48"/>
      <c r="AO880" s="48"/>
      <c r="AP880" s="48"/>
      <c r="AQ880" s="12"/>
      <c r="AR880" s="48"/>
      <c r="AS880" s="48"/>
      <c r="AT880" s="12"/>
      <c r="AU880" s="12"/>
      <c r="AV880" s="48"/>
      <c r="AW880" s="48"/>
    </row>
    <row r="881" spans="1:49" ht="10.199999999999999" customHeight="1" x14ac:dyDescent="0.25">
      <c r="A881" s="14">
        <v>5</v>
      </c>
      <c r="B881" s="103">
        <v>41669</v>
      </c>
      <c r="C881" s="103">
        <v>41662</v>
      </c>
      <c r="D881" s="14"/>
      <c r="E881" s="14"/>
      <c r="F881" s="14"/>
      <c r="G881" s="12"/>
      <c r="H881" s="12"/>
      <c r="I881" s="12"/>
      <c r="J881" s="100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48"/>
      <c r="AK881" s="48"/>
      <c r="AL881" s="48"/>
      <c r="AM881" s="12"/>
      <c r="AN881" s="48"/>
      <c r="AO881" s="48"/>
      <c r="AP881" s="48"/>
      <c r="AQ881" s="12"/>
      <c r="AR881" s="48"/>
      <c r="AS881" s="48"/>
      <c r="AT881" s="12"/>
      <c r="AU881" s="12"/>
      <c r="AV881" s="12"/>
      <c r="AW881" s="12"/>
    </row>
    <row r="882" spans="1:49" ht="10.199999999999999" customHeight="1" x14ac:dyDescent="0.25">
      <c r="A882" s="14">
        <v>6</v>
      </c>
      <c r="B882" s="103">
        <v>41676</v>
      </c>
      <c r="C882" s="103">
        <v>41669</v>
      </c>
      <c r="D882" s="14"/>
      <c r="E882" s="14"/>
      <c r="F882" s="14"/>
      <c r="G882" s="12"/>
      <c r="H882" s="12"/>
      <c r="I882" s="12"/>
      <c r="J882" s="100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48"/>
      <c r="AK882" s="48"/>
      <c r="AL882" s="48"/>
      <c r="AM882" s="12"/>
      <c r="AN882" s="48"/>
      <c r="AO882" s="48"/>
      <c r="AP882" s="48"/>
      <c r="AQ882" s="12"/>
      <c r="AR882" s="48"/>
      <c r="AS882" s="48"/>
      <c r="AT882" s="12"/>
      <c r="AU882" s="12"/>
      <c r="AV882" s="12"/>
      <c r="AW882" s="12"/>
    </row>
    <row r="883" spans="1:49" ht="10.199999999999999" customHeight="1" x14ac:dyDescent="0.25">
      <c r="A883" s="14">
        <v>7</v>
      </c>
      <c r="B883" s="103">
        <v>41683</v>
      </c>
      <c r="C883" s="103">
        <v>41676</v>
      </c>
      <c r="D883" s="14"/>
      <c r="E883" s="14"/>
      <c r="F883" s="14"/>
      <c r="G883" s="12"/>
      <c r="H883" s="12"/>
      <c r="I883" s="12"/>
      <c r="J883" s="100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48"/>
      <c r="AK883" s="48"/>
      <c r="AL883" s="48"/>
      <c r="AM883" s="12"/>
      <c r="AN883" s="48"/>
      <c r="AO883" s="48"/>
      <c r="AP883" s="48"/>
      <c r="AQ883" s="12"/>
      <c r="AR883" s="48"/>
      <c r="AS883" s="48"/>
      <c r="AT883" s="12"/>
      <c r="AU883" s="12"/>
      <c r="AV883" s="12"/>
      <c r="AW883" s="12"/>
    </row>
    <row r="884" spans="1:49" ht="10.199999999999999" customHeight="1" x14ac:dyDescent="0.25">
      <c r="A884" s="14">
        <v>8</v>
      </c>
      <c r="B884" s="103">
        <v>41690</v>
      </c>
      <c r="C884" s="103">
        <v>41683</v>
      </c>
      <c r="D884" s="14"/>
      <c r="E884" s="14"/>
      <c r="F884" s="14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48"/>
      <c r="AK884" s="48"/>
      <c r="AL884" s="48"/>
      <c r="AM884" s="12"/>
      <c r="AN884" s="48"/>
      <c r="AO884" s="48"/>
      <c r="AP884" s="48"/>
      <c r="AQ884" s="12"/>
      <c r="AR884" s="48"/>
      <c r="AS884" s="48"/>
      <c r="AT884" s="12"/>
      <c r="AU884" s="12"/>
      <c r="AV884" s="12"/>
      <c r="AW884" s="12"/>
    </row>
    <row r="885" spans="1:49" ht="10.199999999999999" customHeight="1" x14ac:dyDescent="0.25">
      <c r="A885" s="14">
        <v>9</v>
      </c>
      <c r="B885" s="103">
        <v>41697</v>
      </c>
      <c r="C885" s="103">
        <v>41690</v>
      </c>
      <c r="D885" s="14"/>
      <c r="E885" s="14"/>
      <c r="F885" s="14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48"/>
      <c r="AK885" s="48"/>
      <c r="AL885" s="48"/>
      <c r="AM885" s="12"/>
      <c r="AN885" s="48"/>
      <c r="AO885" s="48"/>
      <c r="AP885" s="48"/>
      <c r="AQ885" s="12"/>
      <c r="AR885" s="48"/>
      <c r="AS885" s="48"/>
      <c r="AT885" s="12"/>
      <c r="AU885" s="12"/>
      <c r="AV885" s="12"/>
      <c r="AW885" s="12"/>
    </row>
    <row r="886" spans="1:49" ht="10.199999999999999" customHeight="1" x14ac:dyDescent="0.25">
      <c r="A886" s="14">
        <v>10</v>
      </c>
      <c r="B886" s="103">
        <v>41704</v>
      </c>
      <c r="C886" s="103">
        <v>41697</v>
      </c>
      <c r="D886" s="14"/>
      <c r="E886" s="14"/>
      <c r="F886" s="14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48"/>
      <c r="AK886" s="48"/>
      <c r="AL886" s="48"/>
      <c r="AM886" s="12"/>
      <c r="AN886" s="48"/>
      <c r="AO886" s="48"/>
      <c r="AP886" s="48"/>
      <c r="AQ886" s="12"/>
      <c r="AR886" s="48"/>
      <c r="AS886" s="48"/>
      <c r="AT886" s="12"/>
      <c r="AU886" s="12"/>
      <c r="AV886" s="12"/>
      <c r="AW886" s="12"/>
    </row>
    <row r="887" spans="1:49" ht="10.199999999999999" customHeight="1" x14ac:dyDescent="0.25">
      <c r="A887" s="14">
        <v>11</v>
      </c>
      <c r="B887" s="103">
        <v>41711</v>
      </c>
      <c r="C887" s="103">
        <v>41704</v>
      </c>
      <c r="D887" s="14"/>
      <c r="E887" s="14"/>
      <c r="F887" s="14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48"/>
      <c r="AK887" s="48"/>
      <c r="AL887" s="48"/>
      <c r="AM887" s="12"/>
      <c r="AN887" s="48"/>
      <c r="AO887" s="48"/>
      <c r="AP887" s="48"/>
      <c r="AQ887" s="12"/>
      <c r="AR887" s="12"/>
      <c r="AS887" s="12"/>
      <c r="AT887" s="12"/>
      <c r="AU887" s="12"/>
      <c r="AV887" s="12"/>
      <c r="AW887" s="12"/>
    </row>
    <row r="888" spans="1:49" ht="10.199999999999999" customHeight="1" x14ac:dyDescent="0.25">
      <c r="A888" s="14">
        <v>12</v>
      </c>
      <c r="B888" s="103">
        <v>41718</v>
      </c>
      <c r="C888" s="103">
        <v>41711</v>
      </c>
      <c r="D888" s="14"/>
      <c r="E888" s="14"/>
      <c r="F888" s="14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48"/>
      <c r="AK888" s="48"/>
      <c r="AL888" s="48"/>
      <c r="AM888" s="12"/>
      <c r="AN888" s="48"/>
      <c r="AO888" s="48"/>
      <c r="AP888" s="48"/>
      <c r="AQ888" s="12"/>
      <c r="AR888" s="12"/>
      <c r="AS888" s="12"/>
      <c r="AT888" s="12"/>
      <c r="AU888" s="12"/>
      <c r="AV888" s="12"/>
      <c r="AW888" s="12"/>
    </row>
    <row r="889" spans="1:49" ht="10.199999999999999" customHeight="1" x14ac:dyDescent="0.25">
      <c r="A889" s="14">
        <v>13</v>
      </c>
      <c r="B889" s="103">
        <v>41725</v>
      </c>
      <c r="C889" s="103">
        <v>41718</v>
      </c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48"/>
      <c r="AK889" s="48"/>
      <c r="AL889" s="48"/>
      <c r="AM889" s="12"/>
      <c r="AN889" s="48"/>
      <c r="AO889" s="48"/>
      <c r="AP889" s="48"/>
      <c r="AQ889" s="12"/>
      <c r="AR889" s="12"/>
      <c r="AS889" s="12"/>
      <c r="AT889" s="12"/>
      <c r="AU889" s="12"/>
      <c r="AV889" s="12"/>
      <c r="AW889" s="12"/>
    </row>
    <row r="890" spans="1:49" ht="10.199999999999999" customHeight="1" x14ac:dyDescent="0.25">
      <c r="A890" s="14">
        <v>14</v>
      </c>
      <c r="B890" s="103">
        <v>41732</v>
      </c>
      <c r="C890" s="103">
        <v>41725</v>
      </c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48"/>
      <c r="AK890" s="48"/>
      <c r="AL890" s="48"/>
      <c r="AM890" s="12"/>
      <c r="AN890" s="48"/>
      <c r="AO890" s="48"/>
      <c r="AP890" s="48"/>
      <c r="AQ890" s="12"/>
      <c r="AR890" s="12"/>
      <c r="AS890" s="12"/>
      <c r="AT890" s="12"/>
      <c r="AU890" s="12"/>
      <c r="AV890" s="12"/>
      <c r="AW890" s="12"/>
    </row>
    <row r="891" spans="1:49" ht="10.199999999999999" customHeight="1" x14ac:dyDescent="0.25">
      <c r="A891" s="14">
        <v>15</v>
      </c>
      <c r="B891" s="103">
        <v>41739</v>
      </c>
      <c r="C891" s="103">
        <v>41732</v>
      </c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48"/>
      <c r="AK891" s="48"/>
      <c r="AL891" s="48"/>
      <c r="AM891" s="12"/>
      <c r="AN891" s="48"/>
      <c r="AO891" s="48"/>
      <c r="AP891" s="48"/>
      <c r="AQ891" s="12"/>
      <c r="AR891" s="12"/>
      <c r="AS891" s="12"/>
      <c r="AT891" s="12"/>
      <c r="AU891" s="12"/>
      <c r="AV891" s="12"/>
      <c r="AW891" s="12"/>
    </row>
    <row r="892" spans="1:49" ht="10.199999999999999" customHeight="1" x14ac:dyDescent="0.25">
      <c r="A892" s="14">
        <v>16</v>
      </c>
      <c r="B892" s="103">
        <v>41746</v>
      </c>
      <c r="C892" s="103">
        <v>41739</v>
      </c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48"/>
      <c r="AK892" s="48"/>
      <c r="AL892" s="48"/>
      <c r="AM892" s="12"/>
      <c r="AN892" s="48"/>
      <c r="AO892" s="48"/>
      <c r="AP892" s="48"/>
      <c r="AQ892" s="12"/>
      <c r="AR892" s="12"/>
      <c r="AS892" s="12"/>
      <c r="AT892" s="12"/>
      <c r="AU892" s="12"/>
      <c r="AV892" s="12"/>
      <c r="AW892" s="12"/>
    </row>
    <row r="893" spans="1:49" ht="10.199999999999999" customHeight="1" x14ac:dyDescent="0.25">
      <c r="A893" s="14">
        <v>17</v>
      </c>
      <c r="B893" s="103">
        <v>41753</v>
      </c>
      <c r="C893" s="103">
        <v>41746</v>
      </c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48"/>
      <c r="AK893" s="48"/>
      <c r="AL893" s="48"/>
      <c r="AM893" s="12"/>
      <c r="AN893" s="48"/>
      <c r="AO893" s="48"/>
      <c r="AP893" s="48"/>
      <c r="AQ893" s="12"/>
      <c r="AR893" s="12"/>
      <c r="AS893" s="12"/>
      <c r="AT893" s="12"/>
      <c r="AU893" s="12"/>
      <c r="AV893" s="12"/>
      <c r="AW893" s="12"/>
    </row>
    <row r="894" spans="1:49" ht="10.199999999999999" customHeight="1" x14ac:dyDescent="0.25">
      <c r="A894" s="14">
        <v>18</v>
      </c>
      <c r="B894" s="103">
        <v>41760</v>
      </c>
      <c r="C894" s="103">
        <v>41753</v>
      </c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48"/>
      <c r="AK894" s="48"/>
      <c r="AL894" s="48"/>
      <c r="AM894" s="12"/>
      <c r="AN894" s="48"/>
      <c r="AO894" s="48"/>
      <c r="AP894" s="48"/>
      <c r="AQ894" s="12"/>
      <c r="AR894" s="12"/>
      <c r="AS894" s="12"/>
      <c r="AT894" s="12"/>
      <c r="AU894" s="12"/>
      <c r="AV894" s="12"/>
      <c r="AW894" s="12"/>
    </row>
    <row r="895" spans="1:49" ht="10.199999999999999" customHeight="1" x14ac:dyDescent="0.25">
      <c r="A895" s="14">
        <v>19</v>
      </c>
      <c r="B895" s="103">
        <v>41767</v>
      </c>
      <c r="C895" s="103">
        <v>41760</v>
      </c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48"/>
      <c r="AK895" s="48"/>
      <c r="AL895" s="48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</row>
    <row r="896" spans="1:49" ht="10.199999999999999" customHeight="1" x14ac:dyDescent="0.25">
      <c r="A896" s="14">
        <v>20</v>
      </c>
      <c r="B896" s="103">
        <v>41774</v>
      </c>
      <c r="C896" s="103">
        <v>41767</v>
      </c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48"/>
      <c r="AK896" s="48"/>
      <c r="AL896" s="48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 spans="1:49" ht="10.199999999999999" customHeight="1" x14ac:dyDescent="0.25">
      <c r="A897" s="14">
        <v>21</v>
      </c>
      <c r="B897" s="103">
        <v>41781</v>
      </c>
      <c r="C897" s="103">
        <v>41774</v>
      </c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48"/>
      <c r="AK897" s="48"/>
      <c r="AL897" s="48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</row>
    <row r="898" spans="1:49" ht="10.199999999999999" customHeight="1" x14ac:dyDescent="0.25">
      <c r="A898" s="14">
        <v>22</v>
      </c>
      <c r="B898" s="103">
        <v>41788</v>
      </c>
      <c r="C898" s="103">
        <v>41781</v>
      </c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48"/>
      <c r="AK898" s="48"/>
      <c r="AL898" s="48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</row>
    <row r="899" spans="1:49" ht="10.199999999999999" customHeight="1" x14ac:dyDescent="0.25">
      <c r="A899" s="14">
        <v>23</v>
      </c>
      <c r="B899" s="103">
        <v>41795</v>
      </c>
      <c r="C899" s="103">
        <v>41788</v>
      </c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48"/>
      <c r="AK899" s="48"/>
      <c r="AL899" s="48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</row>
    <row r="900" spans="1:49" ht="10.199999999999999" customHeight="1" x14ac:dyDescent="0.25">
      <c r="A900" s="14">
        <v>24</v>
      </c>
      <c r="B900" s="103">
        <v>41802</v>
      </c>
      <c r="C900" s="103">
        <v>41795</v>
      </c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48"/>
      <c r="AK900" s="48"/>
      <c r="AL900" s="48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</row>
    <row r="901" spans="1:49" ht="10.199999999999999" customHeight="1" x14ac:dyDescent="0.25">
      <c r="A901" s="14">
        <v>25</v>
      </c>
      <c r="B901" s="103">
        <v>41809</v>
      </c>
      <c r="C901" s="103">
        <v>41802</v>
      </c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48"/>
      <c r="AK901" s="48"/>
      <c r="AL901" s="48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</row>
    <row r="902" spans="1:49" ht="10.199999999999999" customHeight="1" x14ac:dyDescent="0.25">
      <c r="A902" s="14">
        <v>26</v>
      </c>
      <c r="B902" s="103">
        <v>41816</v>
      </c>
      <c r="C902" s="103">
        <v>41809</v>
      </c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48"/>
      <c r="AK902" s="48"/>
      <c r="AL902" s="48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</row>
    <row r="903" spans="1:49" ht="10.199999999999999" customHeight="1" x14ac:dyDescent="0.25">
      <c r="A903" s="14">
        <v>27</v>
      </c>
      <c r="B903" s="103">
        <v>41823</v>
      </c>
      <c r="C903" s="103">
        <v>41816</v>
      </c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48"/>
      <c r="AK903" s="48"/>
      <c r="AL903" s="48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</row>
    <row r="904" spans="1:49" ht="10.199999999999999" customHeight="1" x14ac:dyDescent="0.25">
      <c r="A904" s="14">
        <v>28</v>
      </c>
      <c r="B904" s="103">
        <v>41830</v>
      </c>
      <c r="C904" s="103">
        <v>41823</v>
      </c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48"/>
      <c r="AK904" s="48"/>
      <c r="AL904" s="48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</row>
    <row r="905" spans="1:49" ht="10.199999999999999" customHeight="1" x14ac:dyDescent="0.25">
      <c r="A905" s="14">
        <v>29</v>
      </c>
      <c r="B905" s="103">
        <v>41837</v>
      </c>
      <c r="C905" s="103">
        <v>41830</v>
      </c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48"/>
      <c r="AK905" s="48"/>
      <c r="AL905" s="48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</row>
    <row r="906" spans="1:49" ht="10.199999999999999" customHeight="1" x14ac:dyDescent="0.25">
      <c r="A906" s="14">
        <v>30</v>
      </c>
      <c r="B906" s="103">
        <v>41844</v>
      </c>
      <c r="C906" s="103">
        <v>41837</v>
      </c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48"/>
      <c r="AK906" s="48"/>
      <c r="AL906" s="48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</row>
    <row r="907" spans="1:49" ht="10.199999999999999" customHeight="1" x14ac:dyDescent="0.25">
      <c r="A907" s="14">
        <v>31</v>
      </c>
      <c r="B907" s="103">
        <v>41851</v>
      </c>
      <c r="C907" s="103">
        <v>41844</v>
      </c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48"/>
      <c r="AK907" s="48"/>
      <c r="AL907" s="48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</row>
    <row r="908" spans="1:49" ht="10.199999999999999" customHeight="1" x14ac:dyDescent="0.25">
      <c r="A908" s="14">
        <v>32</v>
      </c>
      <c r="B908" s="103">
        <v>41858</v>
      </c>
      <c r="C908" s="103">
        <v>41851</v>
      </c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48"/>
      <c r="AK908" s="48"/>
      <c r="AL908" s="48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 spans="1:49" ht="10.199999999999999" customHeight="1" x14ac:dyDescent="0.25">
      <c r="A909" s="14">
        <v>33</v>
      </c>
      <c r="B909" s="103">
        <v>41865</v>
      </c>
      <c r="C909" s="103">
        <v>41858</v>
      </c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48"/>
      <c r="AK909" s="48"/>
      <c r="AL909" s="48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</row>
    <row r="910" spans="1:49" ht="10.199999999999999" customHeight="1" x14ac:dyDescent="0.25">
      <c r="A910" s="14">
        <v>34</v>
      </c>
      <c r="B910" s="103">
        <v>41872</v>
      </c>
      <c r="C910" s="103">
        <v>41865</v>
      </c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48"/>
      <c r="AK910" s="48"/>
      <c r="AL910" s="48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 spans="1:49" ht="10.199999999999999" customHeight="1" x14ac:dyDescent="0.25">
      <c r="A911" s="14">
        <v>35</v>
      </c>
      <c r="B911" s="103">
        <v>41879</v>
      </c>
      <c r="C911" s="103">
        <v>41872</v>
      </c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48"/>
      <c r="AK911" s="48"/>
      <c r="AL911" s="48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</row>
    <row r="912" spans="1:49" ht="10.199999999999999" customHeight="1" x14ac:dyDescent="0.25">
      <c r="A912" s="14">
        <v>36</v>
      </c>
      <c r="B912" s="103">
        <v>41886</v>
      </c>
      <c r="C912" s="103">
        <v>41879</v>
      </c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48"/>
      <c r="AK912" s="48"/>
      <c r="AL912" s="48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 spans="1:49" ht="10.199999999999999" customHeight="1" x14ac:dyDescent="0.25">
      <c r="A913" s="14">
        <v>37</v>
      </c>
      <c r="B913" s="103">
        <v>41893</v>
      </c>
      <c r="C913" s="103">
        <v>41886</v>
      </c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48"/>
      <c r="AK913" s="48"/>
      <c r="AL913" s="48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</row>
    <row r="914" spans="1:49" ht="10.199999999999999" customHeight="1" x14ac:dyDescent="0.25">
      <c r="A914" s="14">
        <v>38</v>
      </c>
      <c r="B914" s="103">
        <v>41900</v>
      </c>
      <c r="C914" s="103">
        <v>41893</v>
      </c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48"/>
      <c r="AK914" s="48"/>
      <c r="AL914" s="48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 spans="1:49" ht="10.199999999999999" customHeight="1" x14ac:dyDescent="0.25">
      <c r="A915" s="14">
        <v>39</v>
      </c>
      <c r="B915" s="103">
        <v>41907</v>
      </c>
      <c r="C915" s="103">
        <v>41900</v>
      </c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48"/>
      <c r="AK915" s="48"/>
      <c r="AL915" s="48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</row>
    <row r="916" spans="1:49" ht="10.199999999999999" customHeight="1" x14ac:dyDescent="0.25">
      <c r="A916" s="14">
        <v>40</v>
      </c>
      <c r="B916" s="103">
        <v>41914</v>
      </c>
      <c r="C916" s="103">
        <v>41907</v>
      </c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48"/>
      <c r="AK916" s="48"/>
      <c r="AL916" s="48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</row>
    <row r="917" spans="1:49" ht="10.199999999999999" customHeight="1" x14ac:dyDescent="0.25">
      <c r="A917" s="14">
        <v>41</v>
      </c>
      <c r="B917" s="103">
        <v>41921</v>
      </c>
      <c r="C917" s="103">
        <v>41914</v>
      </c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48"/>
      <c r="AK917" s="48"/>
      <c r="AL917" s="48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</row>
    <row r="918" spans="1:49" ht="10.199999999999999" customHeight="1" x14ac:dyDescent="0.25">
      <c r="A918" s="14">
        <v>42</v>
      </c>
      <c r="B918" s="103">
        <v>41928</v>
      </c>
      <c r="C918" s="103">
        <v>41921</v>
      </c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48"/>
      <c r="AK918" s="48"/>
      <c r="AL918" s="48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</row>
    <row r="919" spans="1:49" ht="10.199999999999999" customHeight="1" x14ac:dyDescent="0.25">
      <c r="A919" s="14">
        <v>43</v>
      </c>
      <c r="B919" s="103">
        <v>41935</v>
      </c>
      <c r="C919" s="103">
        <v>41928</v>
      </c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48"/>
      <c r="AK919" s="48"/>
      <c r="AL919" s="48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</row>
    <row r="920" spans="1:49" ht="10.199999999999999" customHeight="1" x14ac:dyDescent="0.25">
      <c r="A920" s="14">
        <v>44</v>
      </c>
      <c r="B920" s="103">
        <v>41942</v>
      </c>
      <c r="C920" s="103">
        <v>41935</v>
      </c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48"/>
      <c r="AK920" s="48"/>
      <c r="AL920" s="48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</row>
    <row r="921" spans="1:49" ht="10.199999999999999" customHeight="1" x14ac:dyDescent="0.25">
      <c r="A921" s="14">
        <v>45</v>
      </c>
      <c r="B921" s="103">
        <v>41949</v>
      </c>
      <c r="C921" s="103">
        <v>41942</v>
      </c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48"/>
      <c r="AK921" s="48"/>
      <c r="AL921" s="48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</row>
    <row r="922" spans="1:49" ht="10.199999999999999" customHeight="1" x14ac:dyDescent="0.25">
      <c r="A922" s="14">
        <v>46</v>
      </c>
      <c r="B922" s="103">
        <v>41956</v>
      </c>
      <c r="C922" s="103">
        <v>41949</v>
      </c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48"/>
      <c r="AK922" s="48"/>
      <c r="AL922" s="48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</row>
    <row r="923" spans="1:49" ht="10.199999999999999" customHeight="1" x14ac:dyDescent="0.25">
      <c r="A923" s="14">
        <v>47</v>
      </c>
      <c r="B923" s="103">
        <v>41963</v>
      </c>
      <c r="C923" s="103">
        <v>41956</v>
      </c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48"/>
      <c r="AK923" s="48"/>
      <c r="AL923" s="48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</row>
    <row r="924" spans="1:49" ht="10.199999999999999" customHeight="1" x14ac:dyDescent="0.25">
      <c r="A924" s="14">
        <v>48</v>
      </c>
      <c r="B924" s="103">
        <v>41970</v>
      </c>
      <c r="C924" s="103">
        <v>41963</v>
      </c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48"/>
      <c r="AK924" s="48"/>
      <c r="AL924" s="48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</row>
    <row r="925" spans="1:49" ht="10.199999999999999" customHeight="1" x14ac:dyDescent="0.25">
      <c r="A925" s="14">
        <v>49</v>
      </c>
      <c r="B925" s="103">
        <v>41977</v>
      </c>
      <c r="C925" s="103">
        <v>41970</v>
      </c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48"/>
      <c r="AK925" s="48"/>
      <c r="AL925" s="48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</row>
    <row r="926" spans="1:49" ht="10.199999999999999" customHeight="1" x14ac:dyDescent="0.25">
      <c r="A926" s="14">
        <v>50</v>
      </c>
      <c r="B926" s="103">
        <v>41984</v>
      </c>
      <c r="C926" s="103">
        <v>41977</v>
      </c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48"/>
      <c r="AK926" s="48"/>
      <c r="AL926" s="48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</row>
    <row r="927" spans="1:49" ht="10.199999999999999" customHeight="1" x14ac:dyDescent="0.25">
      <c r="A927" s="14">
        <v>51</v>
      </c>
      <c r="B927" s="103">
        <v>41991</v>
      </c>
      <c r="C927" s="103">
        <v>41984</v>
      </c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48"/>
      <c r="AK927" s="48"/>
      <c r="AL927" s="48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</row>
    <row r="928" spans="1:49" ht="10.199999999999999" customHeight="1" x14ac:dyDescent="0.25">
      <c r="A928" s="14">
        <v>52</v>
      </c>
      <c r="B928" s="103">
        <v>41998</v>
      </c>
      <c r="C928" s="103">
        <v>41991</v>
      </c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48"/>
      <c r="AK928" s="48"/>
      <c r="AL928" s="48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</row>
    <row r="929" spans="1:49" ht="10.199999999999999" customHeight="1" x14ac:dyDescent="0.25">
      <c r="A929" s="14">
        <v>1</v>
      </c>
      <c r="B929" s="103">
        <v>42005</v>
      </c>
      <c r="C929" s="103">
        <v>41998</v>
      </c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48"/>
      <c r="AK929" s="48"/>
      <c r="AL929" s="48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</row>
    <row r="930" spans="1:49" ht="10.199999999999999" customHeight="1" x14ac:dyDescent="0.25">
      <c r="A930" s="14">
        <v>2</v>
      </c>
      <c r="B930" s="103">
        <v>42012</v>
      </c>
      <c r="C930" s="103">
        <v>42005</v>
      </c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48"/>
      <c r="AK930" s="48"/>
      <c r="AL930" s="48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</row>
    <row r="931" spans="1:49" ht="10.199999999999999" customHeight="1" x14ac:dyDescent="0.25">
      <c r="A931" s="14">
        <v>3</v>
      </c>
      <c r="B931" s="103">
        <v>42019</v>
      </c>
      <c r="C931" s="103">
        <v>42012</v>
      </c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48"/>
      <c r="AK931" s="48"/>
      <c r="AL931" s="48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</row>
    <row r="932" spans="1:49" ht="10.199999999999999" customHeight="1" x14ac:dyDescent="0.25">
      <c r="A932" s="14">
        <v>4</v>
      </c>
      <c r="B932" s="103">
        <v>42026</v>
      </c>
      <c r="C932" s="103">
        <v>42019</v>
      </c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48"/>
      <c r="AK932" s="48"/>
      <c r="AL932" s="48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</row>
    <row r="933" spans="1:49" ht="10.199999999999999" customHeight="1" x14ac:dyDescent="0.25">
      <c r="A933" s="14">
        <v>5</v>
      </c>
      <c r="B933" s="103">
        <v>42033</v>
      </c>
      <c r="C933" s="103">
        <v>42026</v>
      </c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48"/>
      <c r="AK933" s="48"/>
      <c r="AL933" s="48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</row>
    <row r="934" spans="1:49" ht="10.199999999999999" customHeight="1" x14ac:dyDescent="0.25">
      <c r="A934" s="14">
        <v>6</v>
      </c>
      <c r="B934" s="103">
        <v>42040</v>
      </c>
      <c r="C934" s="103">
        <v>42033</v>
      </c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48"/>
      <c r="AK934" s="48"/>
      <c r="AL934" s="48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</row>
    <row r="935" spans="1:49" ht="10.199999999999999" customHeight="1" x14ac:dyDescent="0.25">
      <c r="A935" s="14">
        <v>7</v>
      </c>
      <c r="B935" s="103">
        <v>42047</v>
      </c>
      <c r="C935" s="103">
        <v>42040</v>
      </c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48"/>
      <c r="AK935" s="48"/>
      <c r="AL935" s="48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</row>
    <row r="936" spans="1:49" ht="10.199999999999999" customHeight="1" x14ac:dyDescent="0.25">
      <c r="A936" s="14">
        <v>8</v>
      </c>
      <c r="B936" s="103">
        <v>42054</v>
      </c>
      <c r="C936" s="103">
        <v>42047</v>
      </c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48"/>
      <c r="AK936" s="48"/>
      <c r="AL936" s="48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</row>
    <row r="937" spans="1:49" ht="10.199999999999999" customHeight="1" x14ac:dyDescent="0.25">
      <c r="A937" s="14">
        <v>9</v>
      </c>
      <c r="B937" s="103">
        <v>42061</v>
      </c>
      <c r="C937" s="103">
        <v>42054</v>
      </c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48"/>
      <c r="AK937" s="48"/>
      <c r="AL937" s="48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</row>
    <row r="938" spans="1:49" ht="10.199999999999999" customHeight="1" x14ac:dyDescent="0.25">
      <c r="A938" s="14">
        <v>10</v>
      </c>
      <c r="B938" s="103">
        <v>42068</v>
      </c>
      <c r="C938" s="103">
        <v>42061</v>
      </c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48"/>
      <c r="AK938" s="48"/>
      <c r="AL938" s="48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</row>
    <row r="939" spans="1:49" ht="10.199999999999999" customHeight="1" x14ac:dyDescent="0.25">
      <c r="A939" s="14">
        <v>11</v>
      </c>
      <c r="B939" s="103">
        <v>42075</v>
      </c>
      <c r="C939" s="103">
        <v>42068</v>
      </c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48"/>
      <c r="AK939" s="48"/>
      <c r="AL939" s="48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</row>
    <row r="940" spans="1:49" ht="10.199999999999999" customHeight="1" x14ac:dyDescent="0.25">
      <c r="A940" s="14">
        <v>12</v>
      </c>
      <c r="B940" s="103">
        <v>42082</v>
      </c>
      <c r="C940" s="103">
        <v>42075</v>
      </c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48"/>
      <c r="AK940" s="48"/>
      <c r="AL940" s="48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</row>
    <row r="941" spans="1:49" ht="10.199999999999999" customHeight="1" x14ac:dyDescent="0.25">
      <c r="A941" s="14">
        <v>13</v>
      </c>
      <c r="B941" s="103">
        <v>42089</v>
      </c>
      <c r="C941" s="103">
        <v>42082</v>
      </c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48"/>
      <c r="AK941" s="48"/>
      <c r="AL941" s="48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</row>
    <row r="942" spans="1:49" ht="10.199999999999999" customHeight="1" x14ac:dyDescent="0.25">
      <c r="A942" s="14">
        <v>14</v>
      </c>
      <c r="B942" s="103">
        <v>42096</v>
      </c>
      <c r="C942" s="103">
        <v>42089</v>
      </c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48"/>
      <c r="AK942" s="48"/>
      <c r="AL942" s="48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</row>
    <row r="943" spans="1:49" ht="10.199999999999999" customHeight="1" x14ac:dyDescent="0.25">
      <c r="A943" s="14">
        <v>15</v>
      </c>
      <c r="B943" s="103">
        <v>42103</v>
      </c>
      <c r="C943" s="103">
        <v>42096</v>
      </c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48"/>
      <c r="AK943" s="48"/>
      <c r="AL943" s="48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</row>
    <row r="944" spans="1:49" ht="10.199999999999999" customHeight="1" x14ac:dyDescent="0.25">
      <c r="A944" s="14">
        <v>16</v>
      </c>
      <c r="B944" s="103">
        <v>42110</v>
      </c>
      <c r="C944" s="103">
        <v>42103</v>
      </c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48"/>
      <c r="AK944" s="48"/>
      <c r="AL944" s="48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</row>
    <row r="945" spans="1:49" ht="10.199999999999999" customHeight="1" x14ac:dyDescent="0.25">
      <c r="A945" s="14">
        <v>17</v>
      </c>
      <c r="B945" s="103">
        <v>42117</v>
      </c>
      <c r="C945" s="103">
        <v>42110</v>
      </c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48"/>
      <c r="AK945" s="48"/>
      <c r="AL945" s="48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</row>
    <row r="946" spans="1:49" ht="10.199999999999999" customHeight="1" x14ac:dyDescent="0.25">
      <c r="A946" s="14">
        <v>18</v>
      </c>
      <c r="B946" s="103">
        <v>42124</v>
      </c>
      <c r="C946" s="103">
        <v>42117</v>
      </c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48"/>
      <c r="AK946" s="48"/>
      <c r="AL946" s="48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</row>
    <row r="947" spans="1:49" ht="10.199999999999999" customHeight="1" x14ac:dyDescent="0.25">
      <c r="A947" s="14">
        <v>19</v>
      </c>
      <c r="B947" s="103">
        <v>42131</v>
      </c>
      <c r="C947" s="103">
        <v>42124</v>
      </c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48"/>
      <c r="AK947" s="48"/>
      <c r="AL947" s="48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</row>
    <row r="948" spans="1:49" ht="10.199999999999999" customHeight="1" x14ac:dyDescent="0.25">
      <c r="A948" s="14">
        <v>20</v>
      </c>
      <c r="B948" s="103">
        <v>42138</v>
      </c>
      <c r="C948" s="103">
        <v>42131</v>
      </c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48"/>
      <c r="AK948" s="48"/>
      <c r="AL948" s="48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</row>
    <row r="949" spans="1:49" ht="10.199999999999999" customHeight="1" x14ac:dyDescent="0.25">
      <c r="A949" s="14">
        <v>21</v>
      </c>
      <c r="B949" s="103">
        <v>42145</v>
      </c>
      <c r="C949" s="103">
        <v>42138</v>
      </c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48"/>
      <c r="AK949" s="48"/>
      <c r="AL949" s="48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</row>
    <row r="950" spans="1:49" ht="10.199999999999999" customHeight="1" x14ac:dyDescent="0.25">
      <c r="A950" s="14">
        <v>22</v>
      </c>
      <c r="B950" s="103">
        <v>42152</v>
      </c>
      <c r="C950" s="103">
        <v>42145</v>
      </c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48"/>
      <c r="AK950" s="48"/>
      <c r="AL950" s="48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</row>
    <row r="951" spans="1:49" ht="10.199999999999999" customHeight="1" x14ac:dyDescent="0.25">
      <c r="A951" s="14">
        <v>23</v>
      </c>
      <c r="B951" s="103">
        <v>42159</v>
      </c>
      <c r="C951" s="103">
        <v>42152</v>
      </c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48"/>
      <c r="AK951" s="48"/>
      <c r="AL951" s="48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</row>
    <row r="952" spans="1:49" ht="10.199999999999999" customHeight="1" x14ac:dyDescent="0.25">
      <c r="A952" s="14">
        <v>24</v>
      </c>
      <c r="B952" s="103">
        <v>42166</v>
      </c>
      <c r="C952" s="103">
        <v>42159</v>
      </c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48"/>
      <c r="AK952" s="48"/>
      <c r="AL952" s="48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</row>
    <row r="953" spans="1:49" ht="10.199999999999999" customHeight="1" x14ac:dyDescent="0.25">
      <c r="A953" s="14">
        <v>25</v>
      </c>
      <c r="B953" s="103">
        <v>42173</v>
      </c>
      <c r="C953" s="103">
        <v>42166</v>
      </c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48"/>
      <c r="AK953" s="48"/>
      <c r="AL953" s="48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</row>
    <row r="954" spans="1:49" ht="10.199999999999999" customHeight="1" x14ac:dyDescent="0.25">
      <c r="A954" s="14">
        <v>26</v>
      </c>
      <c r="B954" s="103">
        <v>42180</v>
      </c>
      <c r="C954" s="103">
        <v>42173</v>
      </c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48"/>
      <c r="AK954" s="48"/>
      <c r="AL954" s="48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</row>
    <row r="955" spans="1:49" ht="10.199999999999999" customHeight="1" x14ac:dyDescent="0.25">
      <c r="A955" s="14">
        <v>27</v>
      </c>
      <c r="B955" s="103">
        <v>42187</v>
      </c>
      <c r="C955" s="103">
        <v>42180</v>
      </c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48"/>
      <c r="AK955" s="48"/>
      <c r="AL955" s="48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</row>
    <row r="956" spans="1:49" ht="10.199999999999999" customHeight="1" x14ac:dyDescent="0.25">
      <c r="A956" s="14">
        <v>28</v>
      </c>
      <c r="B956" s="103">
        <v>42194</v>
      </c>
      <c r="C956" s="103">
        <v>42187</v>
      </c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48"/>
      <c r="AK956" s="48"/>
      <c r="AL956" s="48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</row>
    <row r="957" spans="1:49" ht="10.199999999999999" customHeight="1" x14ac:dyDescent="0.25">
      <c r="A957" s="14">
        <v>29</v>
      </c>
      <c r="B957" s="103">
        <v>42201</v>
      </c>
      <c r="C957" s="103">
        <v>42194</v>
      </c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48"/>
      <c r="AK957" s="48"/>
      <c r="AL957" s="48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</row>
    <row r="958" spans="1:49" ht="10.199999999999999" customHeight="1" x14ac:dyDescent="0.25">
      <c r="A958" s="14">
        <v>30</v>
      </c>
      <c r="B958" s="103">
        <v>42208</v>
      </c>
      <c r="C958" s="103">
        <v>42201</v>
      </c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48"/>
      <c r="AK958" s="48"/>
      <c r="AL958" s="48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</row>
    <row r="959" spans="1:49" ht="10.199999999999999" customHeight="1" x14ac:dyDescent="0.25">
      <c r="A959" s="14">
        <v>31</v>
      </c>
      <c r="B959" s="103">
        <v>42215</v>
      </c>
      <c r="C959" s="103">
        <v>42208</v>
      </c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48"/>
      <c r="AK959" s="48"/>
      <c r="AL959" s="48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</row>
    <row r="960" spans="1:49" ht="10.199999999999999" customHeight="1" x14ac:dyDescent="0.25">
      <c r="A960" s="14">
        <v>32</v>
      </c>
      <c r="B960" s="103">
        <v>42222</v>
      </c>
      <c r="C960" s="103">
        <v>42215</v>
      </c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48"/>
      <c r="AK960" s="48"/>
      <c r="AL960" s="48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</row>
    <row r="961" spans="1:49" ht="10.199999999999999" customHeight="1" x14ac:dyDescent="0.25">
      <c r="A961" s="14">
        <v>33</v>
      </c>
      <c r="B961" s="103">
        <v>42229</v>
      </c>
      <c r="C961" s="103">
        <v>42222</v>
      </c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48"/>
      <c r="AK961" s="48"/>
      <c r="AL961" s="48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</row>
    <row r="962" spans="1:49" ht="10.199999999999999" customHeight="1" x14ac:dyDescent="0.25">
      <c r="A962" s="14">
        <v>34</v>
      </c>
      <c r="B962" s="103">
        <v>42236</v>
      </c>
      <c r="C962" s="103">
        <v>42229</v>
      </c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48"/>
      <c r="AK962" s="48"/>
      <c r="AL962" s="48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 spans="1:49" ht="10.199999999999999" customHeight="1" x14ac:dyDescent="0.25">
      <c r="A963" s="14">
        <v>35</v>
      </c>
      <c r="B963" s="103">
        <v>42243</v>
      </c>
      <c r="C963" s="103">
        <v>42236</v>
      </c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48"/>
      <c r="AK963" s="48"/>
      <c r="AL963" s="48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</row>
    <row r="964" spans="1:49" ht="10.199999999999999" customHeight="1" x14ac:dyDescent="0.25">
      <c r="A964" s="14">
        <v>36</v>
      </c>
      <c r="B964" s="103">
        <v>42250</v>
      </c>
      <c r="C964" s="103">
        <v>42243</v>
      </c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48"/>
      <c r="AK964" s="48"/>
      <c r="AL964" s="48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 spans="1:49" ht="10.199999999999999" customHeight="1" x14ac:dyDescent="0.25">
      <c r="A965" s="14">
        <v>37</v>
      </c>
      <c r="B965" s="103">
        <v>42257</v>
      </c>
      <c r="C965" s="103">
        <v>42250</v>
      </c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48"/>
      <c r="AK965" s="48"/>
      <c r="AL965" s="48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</row>
    <row r="966" spans="1:49" ht="10.199999999999999" customHeight="1" x14ac:dyDescent="0.25">
      <c r="A966" s="14">
        <v>38</v>
      </c>
      <c r="B966" s="103">
        <v>42264</v>
      </c>
      <c r="C966" s="103">
        <v>42257</v>
      </c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48"/>
      <c r="AK966" s="48"/>
      <c r="AL966" s="48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 spans="1:49" ht="10.199999999999999" customHeight="1" x14ac:dyDescent="0.25">
      <c r="A967" s="14">
        <v>39</v>
      </c>
      <c r="B967" s="103">
        <v>42271</v>
      </c>
      <c r="C967" s="103">
        <v>42264</v>
      </c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48"/>
      <c r="AK967" s="48"/>
      <c r="AL967" s="48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</row>
    <row r="968" spans="1:49" ht="10.199999999999999" customHeight="1" x14ac:dyDescent="0.25">
      <c r="A968" s="14">
        <v>40</v>
      </c>
      <c r="B968" s="103">
        <v>42278</v>
      </c>
      <c r="C968" s="103">
        <v>42271</v>
      </c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48"/>
      <c r="AK968" s="48"/>
      <c r="AL968" s="48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 spans="1:49" ht="10.199999999999999" customHeight="1" x14ac:dyDescent="0.25">
      <c r="A969" s="14">
        <v>41</v>
      </c>
      <c r="B969" s="103">
        <v>42285</v>
      </c>
      <c r="C969" s="103">
        <v>42278</v>
      </c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48"/>
      <c r="AK969" s="48"/>
      <c r="AL969" s="48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</row>
    <row r="970" spans="1:49" ht="10.199999999999999" customHeight="1" x14ac:dyDescent="0.25">
      <c r="A970" s="14">
        <v>42</v>
      </c>
      <c r="B970" s="103">
        <v>42292</v>
      </c>
      <c r="C970" s="103">
        <v>42285</v>
      </c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48"/>
      <c r="AK970" s="48"/>
      <c r="AL970" s="48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</row>
    <row r="971" spans="1:49" ht="10.199999999999999" customHeight="1" x14ac:dyDescent="0.25">
      <c r="A971" s="14">
        <v>43</v>
      </c>
      <c r="B971" s="103">
        <v>42299</v>
      </c>
      <c r="C971" s="103">
        <v>42292</v>
      </c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48"/>
      <c r="AK971" s="48"/>
      <c r="AL971" s="48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</row>
    <row r="972" spans="1:49" ht="10.199999999999999" customHeight="1" x14ac:dyDescent="0.25">
      <c r="A972" s="14">
        <v>44</v>
      </c>
      <c r="B972" s="103">
        <v>42306</v>
      </c>
      <c r="C972" s="103">
        <v>42299</v>
      </c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48"/>
      <c r="AK972" s="48"/>
      <c r="AL972" s="48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</row>
    <row r="973" spans="1:49" ht="10.199999999999999" customHeight="1" x14ac:dyDescent="0.25">
      <c r="A973" s="14">
        <v>45</v>
      </c>
      <c r="B973" s="103">
        <v>42313</v>
      </c>
      <c r="C973" s="103">
        <v>42306</v>
      </c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48"/>
      <c r="AK973" s="48"/>
      <c r="AL973" s="48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</row>
    <row r="974" spans="1:49" ht="10.199999999999999" customHeight="1" x14ac:dyDescent="0.25">
      <c r="A974" s="14">
        <v>46</v>
      </c>
      <c r="B974" s="103">
        <v>42320</v>
      </c>
      <c r="C974" s="103">
        <v>42313</v>
      </c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48"/>
      <c r="AK974" s="48"/>
      <c r="AL974" s="48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</row>
    <row r="975" spans="1:49" ht="10.199999999999999" customHeight="1" x14ac:dyDescent="0.25">
      <c r="A975" s="14">
        <v>47</v>
      </c>
      <c r="B975" s="103">
        <v>42327</v>
      </c>
      <c r="C975" s="103">
        <v>42320</v>
      </c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48"/>
      <c r="AK975" s="48"/>
      <c r="AL975" s="48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</row>
    <row r="976" spans="1:49" ht="10.199999999999999" customHeight="1" x14ac:dyDescent="0.25">
      <c r="A976" s="14">
        <v>48</v>
      </c>
      <c r="B976" s="103">
        <v>42334</v>
      </c>
      <c r="C976" s="103">
        <v>42327</v>
      </c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48"/>
      <c r="AK976" s="48"/>
      <c r="AL976" s="48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</row>
    <row r="977" spans="1:49" ht="10.199999999999999" customHeight="1" x14ac:dyDescent="0.25">
      <c r="A977" s="14">
        <v>49</v>
      </c>
      <c r="B977" s="103">
        <v>42341</v>
      </c>
      <c r="C977" s="103">
        <v>42334</v>
      </c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48"/>
      <c r="AK977" s="48"/>
      <c r="AL977" s="48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</row>
    <row r="978" spans="1:49" ht="10.199999999999999" customHeight="1" x14ac:dyDescent="0.25">
      <c r="A978" s="14">
        <v>50</v>
      </c>
      <c r="B978" s="103">
        <v>42348</v>
      </c>
      <c r="C978" s="103">
        <v>42341</v>
      </c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48"/>
      <c r="AK978" s="48"/>
      <c r="AL978" s="48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</row>
    <row r="979" spans="1:49" ht="10.199999999999999" customHeight="1" x14ac:dyDescent="0.25">
      <c r="A979" s="14">
        <v>51</v>
      </c>
      <c r="B979" s="103">
        <v>42355</v>
      </c>
      <c r="C979" s="103">
        <v>42348</v>
      </c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48"/>
      <c r="AK979" s="48"/>
      <c r="AL979" s="48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</row>
    <row r="980" spans="1:49" ht="10.199999999999999" customHeight="1" x14ac:dyDescent="0.25">
      <c r="A980" s="14">
        <v>52</v>
      </c>
      <c r="B980" s="103">
        <v>42362</v>
      </c>
      <c r="C980" s="103">
        <v>42355</v>
      </c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48"/>
      <c r="AK980" s="48"/>
      <c r="AL980" s="48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 spans="1:49" ht="10.199999999999999" customHeight="1" x14ac:dyDescent="0.25">
      <c r="A981" s="14">
        <v>53</v>
      </c>
      <c r="B981" s="103">
        <v>42369</v>
      </c>
      <c r="C981" s="103">
        <v>42362</v>
      </c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48"/>
      <c r="AK981" s="48"/>
      <c r="AL981" s="48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</row>
    <row r="982" spans="1:49" ht="10.199999999999999" customHeight="1" x14ac:dyDescent="0.25">
      <c r="A982" s="14">
        <v>1</v>
      </c>
      <c r="B982" s="103">
        <v>42376</v>
      </c>
      <c r="C982" s="103">
        <v>42369</v>
      </c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48"/>
      <c r="AK982" s="48"/>
      <c r="AL982" s="48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 spans="1:49" ht="10.199999999999999" customHeight="1" x14ac:dyDescent="0.25">
      <c r="A983" s="14">
        <v>2</v>
      </c>
      <c r="B983" s="103">
        <v>42383</v>
      </c>
      <c r="C983" s="103">
        <v>42376</v>
      </c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48"/>
      <c r="AK983" s="48"/>
      <c r="AL983" s="48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</row>
    <row r="984" spans="1:49" ht="10.199999999999999" customHeight="1" x14ac:dyDescent="0.25">
      <c r="A984" s="14">
        <v>3</v>
      </c>
      <c r="B984" s="103">
        <v>42390</v>
      </c>
      <c r="C984" s="103">
        <v>42383</v>
      </c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48"/>
      <c r="AK984" s="48"/>
      <c r="AL984" s="48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 spans="1:49" ht="10.199999999999999" customHeight="1" x14ac:dyDescent="0.25">
      <c r="A985" s="14">
        <v>4</v>
      </c>
      <c r="B985" s="103">
        <v>42397</v>
      </c>
      <c r="C985" s="103">
        <v>42390</v>
      </c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48"/>
      <c r="AK985" s="48"/>
      <c r="AL985" s="48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</row>
    <row r="986" spans="1:49" ht="10.199999999999999" customHeight="1" x14ac:dyDescent="0.25">
      <c r="A986" s="14">
        <v>5</v>
      </c>
      <c r="B986" s="103">
        <v>42404</v>
      </c>
      <c r="C986" s="103">
        <v>42397</v>
      </c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48"/>
      <c r="AK986" s="48"/>
      <c r="AL986" s="48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 spans="1:49" ht="10.199999999999999" customHeight="1" x14ac:dyDescent="0.25">
      <c r="A987" s="14">
        <v>6</v>
      </c>
      <c r="B987" s="103">
        <v>42411</v>
      </c>
      <c r="C987" s="103">
        <v>42404</v>
      </c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48"/>
      <c r="AK987" s="48"/>
      <c r="AL987" s="48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</row>
    <row r="988" spans="1:49" ht="10.199999999999999" customHeight="1" x14ac:dyDescent="0.25">
      <c r="A988" s="14">
        <v>7</v>
      </c>
      <c r="B988" s="103">
        <v>42418</v>
      </c>
      <c r="C988" s="103">
        <v>42411</v>
      </c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48"/>
      <c r="AK988" s="48"/>
      <c r="AL988" s="48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</row>
    <row r="989" spans="1:49" ht="10.199999999999999" customHeight="1" x14ac:dyDescent="0.25">
      <c r="A989" s="14">
        <v>8</v>
      </c>
      <c r="B989" s="103">
        <v>42425</v>
      </c>
      <c r="C989" s="103">
        <v>42418</v>
      </c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48"/>
      <c r="AK989" s="48"/>
      <c r="AL989" s="48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</row>
    <row r="990" spans="1:49" ht="10.199999999999999" customHeight="1" x14ac:dyDescent="0.25">
      <c r="A990" s="14">
        <v>9</v>
      </c>
      <c r="B990" s="103">
        <v>42432</v>
      </c>
      <c r="C990" s="103">
        <v>42425</v>
      </c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48"/>
      <c r="AK990" s="48"/>
      <c r="AL990" s="48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</row>
    <row r="991" spans="1:49" ht="10.199999999999999" customHeight="1" x14ac:dyDescent="0.25">
      <c r="A991" s="14">
        <v>10</v>
      </c>
      <c r="B991" s="103">
        <v>42439</v>
      </c>
      <c r="C991" s="103">
        <v>42432</v>
      </c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48"/>
      <c r="AK991" s="48"/>
      <c r="AL991" s="48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</row>
    <row r="992" spans="1:49" ht="10.199999999999999" customHeight="1" x14ac:dyDescent="0.25">
      <c r="A992" s="14">
        <v>11</v>
      </c>
      <c r="B992" s="103">
        <v>42446</v>
      </c>
      <c r="C992" s="103">
        <v>42439</v>
      </c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48"/>
      <c r="AK992" s="48"/>
      <c r="AL992" s="48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</row>
    <row r="993" spans="1:49" ht="10.199999999999999" customHeight="1" x14ac:dyDescent="0.25">
      <c r="A993" s="14">
        <v>12</v>
      </c>
      <c r="B993" s="103">
        <v>42453</v>
      </c>
      <c r="C993" s="103">
        <v>42446</v>
      </c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48"/>
      <c r="AK993" s="48"/>
      <c r="AL993" s="48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</row>
    <row r="994" spans="1:49" ht="10.199999999999999" customHeight="1" x14ac:dyDescent="0.25">
      <c r="A994" s="14">
        <v>13</v>
      </c>
      <c r="B994" s="103">
        <v>42460</v>
      </c>
      <c r="C994" s="103">
        <v>42453</v>
      </c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48"/>
      <c r="AK994" s="48"/>
      <c r="AL994" s="48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</row>
    <row r="995" spans="1:49" ht="10.199999999999999" customHeight="1" x14ac:dyDescent="0.25">
      <c r="A995" s="14">
        <v>14</v>
      </c>
      <c r="B995" s="103">
        <v>42467</v>
      </c>
      <c r="C995" s="103">
        <v>42460</v>
      </c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48"/>
      <c r="AK995" s="48"/>
      <c r="AL995" s="48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</row>
    <row r="996" spans="1:49" ht="10.199999999999999" customHeight="1" x14ac:dyDescent="0.25">
      <c r="A996" s="14">
        <v>15</v>
      </c>
      <c r="B996" s="103">
        <v>42474</v>
      </c>
      <c r="C996" s="103">
        <v>42467</v>
      </c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48"/>
      <c r="AK996" s="48"/>
      <c r="AL996" s="48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</row>
    <row r="997" spans="1:49" ht="10.199999999999999" customHeight="1" x14ac:dyDescent="0.25">
      <c r="A997" s="14">
        <v>16</v>
      </c>
      <c r="B997" s="103">
        <v>42481</v>
      </c>
      <c r="C997" s="103">
        <v>42474</v>
      </c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48"/>
      <c r="AK997" s="48"/>
      <c r="AL997" s="48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</row>
    <row r="998" spans="1:49" ht="10.199999999999999" customHeight="1" x14ac:dyDescent="0.25">
      <c r="A998" s="14">
        <v>17</v>
      </c>
      <c r="B998" s="103">
        <v>42488</v>
      </c>
      <c r="C998" s="103">
        <v>42481</v>
      </c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48"/>
      <c r="AK998" s="48"/>
      <c r="AL998" s="48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 spans="1:49" ht="10.199999999999999" customHeight="1" x14ac:dyDescent="0.25">
      <c r="A999" s="14">
        <v>18</v>
      </c>
      <c r="B999" s="103">
        <v>42495</v>
      </c>
      <c r="C999" s="103">
        <v>42488</v>
      </c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48"/>
      <c r="AK999" s="48"/>
      <c r="AL999" s="48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</row>
    <row r="1000" spans="1:49" ht="10.199999999999999" customHeight="1" x14ac:dyDescent="0.25">
      <c r="A1000" s="14">
        <v>19</v>
      </c>
      <c r="B1000" s="103">
        <v>42502</v>
      </c>
      <c r="C1000" s="103">
        <v>42495</v>
      </c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48"/>
      <c r="AK1000" s="48"/>
      <c r="AL1000" s="48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  <row r="1001" spans="1:49" ht="10.199999999999999" customHeight="1" x14ac:dyDescent="0.25">
      <c r="A1001" s="14">
        <v>20</v>
      </c>
      <c r="B1001" s="103">
        <v>42509</v>
      </c>
      <c r="C1001" s="103">
        <v>42502</v>
      </c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48"/>
      <c r="AK1001" s="48"/>
      <c r="AL1001" s="48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</row>
    <row r="1002" spans="1:49" ht="10.199999999999999" customHeight="1" x14ac:dyDescent="0.25">
      <c r="A1002" s="14">
        <v>21</v>
      </c>
      <c r="B1002" s="103">
        <v>42516</v>
      </c>
      <c r="C1002" s="103">
        <v>42509</v>
      </c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48"/>
      <c r="AK1002" s="48"/>
      <c r="AL1002" s="48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</row>
    <row r="1003" spans="1:49" ht="10.199999999999999" customHeight="1" x14ac:dyDescent="0.25">
      <c r="A1003" s="14">
        <v>22</v>
      </c>
      <c r="B1003" s="103">
        <v>42523</v>
      </c>
      <c r="C1003" s="103">
        <v>42516</v>
      </c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48"/>
      <c r="AK1003" s="48"/>
      <c r="AL1003" s="48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</row>
    <row r="1004" spans="1:49" ht="10.199999999999999" customHeight="1" x14ac:dyDescent="0.25">
      <c r="A1004" s="14">
        <v>23</v>
      </c>
      <c r="B1004" s="103">
        <v>42530</v>
      </c>
      <c r="C1004" s="103">
        <v>42523</v>
      </c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48"/>
      <c r="AK1004" s="48"/>
      <c r="AL1004" s="48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</row>
    <row r="1005" spans="1:49" ht="10.199999999999999" customHeight="1" x14ac:dyDescent="0.25">
      <c r="A1005" s="14">
        <v>24</v>
      </c>
      <c r="B1005" s="103">
        <v>42537</v>
      </c>
      <c r="C1005" s="103">
        <v>42530</v>
      </c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48"/>
      <c r="AK1005" s="48"/>
      <c r="AL1005" s="48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</row>
    <row r="1006" spans="1:49" ht="10.199999999999999" customHeight="1" x14ac:dyDescent="0.25">
      <c r="A1006" s="14">
        <v>25</v>
      </c>
      <c r="B1006" s="103">
        <v>42544</v>
      </c>
      <c r="C1006" s="103">
        <v>42537</v>
      </c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48"/>
      <c r="AK1006" s="48"/>
      <c r="AL1006" s="48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</row>
    <row r="1007" spans="1:49" ht="10.199999999999999" customHeight="1" x14ac:dyDescent="0.25">
      <c r="A1007" s="14">
        <v>26</v>
      </c>
      <c r="B1007" s="103">
        <v>42551</v>
      </c>
      <c r="C1007" s="103">
        <v>42544</v>
      </c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48"/>
      <c r="AK1007" s="48"/>
      <c r="AL1007" s="48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</row>
    <row r="1008" spans="1:49" ht="10.199999999999999" customHeight="1" x14ac:dyDescent="0.25">
      <c r="A1008" s="14">
        <v>27</v>
      </c>
      <c r="B1008" s="103">
        <v>42558</v>
      </c>
      <c r="C1008" s="103">
        <v>42551</v>
      </c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48"/>
      <c r="AK1008" s="48"/>
      <c r="AL1008" s="48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</row>
    <row r="1009" spans="1:49" ht="10.199999999999999" customHeight="1" x14ac:dyDescent="0.25">
      <c r="A1009" s="14">
        <v>28</v>
      </c>
      <c r="B1009" s="103">
        <v>42565</v>
      </c>
      <c r="C1009" s="103">
        <v>42558</v>
      </c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48"/>
      <c r="AK1009" s="48"/>
      <c r="AL1009" s="48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</row>
    <row r="1010" spans="1:49" ht="10.199999999999999" customHeight="1" x14ac:dyDescent="0.25">
      <c r="A1010" s="14">
        <v>29</v>
      </c>
      <c r="B1010" s="103">
        <v>42572</v>
      </c>
      <c r="C1010" s="103">
        <v>42565</v>
      </c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48"/>
      <c r="AK1010" s="48"/>
      <c r="AL1010" s="48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</row>
    <row r="1011" spans="1:49" ht="10.199999999999999" customHeight="1" x14ac:dyDescent="0.25">
      <c r="A1011" s="14">
        <v>30</v>
      </c>
      <c r="B1011" s="103">
        <v>42579</v>
      </c>
      <c r="C1011" s="103">
        <v>42572</v>
      </c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48"/>
      <c r="AK1011" s="48"/>
      <c r="AL1011" s="48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</row>
    <row r="1012" spans="1:49" ht="10.199999999999999" customHeight="1" x14ac:dyDescent="0.25">
      <c r="A1012" s="14">
        <v>31</v>
      </c>
      <c r="B1012" s="103">
        <v>42586</v>
      </c>
      <c r="C1012" s="103">
        <v>42579</v>
      </c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48"/>
      <c r="AK1012" s="48"/>
      <c r="AL1012" s="48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</row>
    <row r="1013" spans="1:49" ht="10.199999999999999" customHeight="1" x14ac:dyDescent="0.25">
      <c r="A1013" s="14">
        <v>32</v>
      </c>
      <c r="B1013" s="103">
        <v>42593</v>
      </c>
      <c r="C1013" s="103">
        <v>42586</v>
      </c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48"/>
      <c r="AK1013" s="48"/>
      <c r="AL1013" s="48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</row>
    <row r="1014" spans="1:49" ht="10.199999999999999" customHeight="1" x14ac:dyDescent="0.25">
      <c r="A1014" s="14">
        <v>33</v>
      </c>
      <c r="B1014" s="103">
        <v>42600</v>
      </c>
      <c r="C1014" s="103">
        <v>42593</v>
      </c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48"/>
      <c r="AK1014" s="48"/>
      <c r="AL1014" s="48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</row>
    <row r="1015" spans="1:49" ht="10.199999999999999" customHeight="1" x14ac:dyDescent="0.25">
      <c r="A1015" s="14">
        <v>34</v>
      </c>
      <c r="B1015" s="103">
        <v>42607</v>
      </c>
      <c r="C1015" s="103">
        <v>42600</v>
      </c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48"/>
      <c r="AK1015" s="48"/>
      <c r="AL1015" s="48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</row>
    <row r="1016" spans="1:49" ht="10.199999999999999" customHeight="1" x14ac:dyDescent="0.25">
      <c r="A1016" s="14">
        <v>35</v>
      </c>
      <c r="B1016" s="103">
        <v>42614</v>
      </c>
      <c r="C1016" s="103">
        <v>42607</v>
      </c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48"/>
      <c r="AK1016" s="48"/>
      <c r="AL1016" s="48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</row>
    <row r="1017" spans="1:49" ht="10.199999999999999" customHeight="1" x14ac:dyDescent="0.25">
      <c r="A1017" s="14">
        <v>36</v>
      </c>
      <c r="B1017" s="103">
        <v>42621</v>
      </c>
      <c r="C1017" s="103">
        <v>42614</v>
      </c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48"/>
      <c r="AK1017" s="48"/>
      <c r="AL1017" s="48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</row>
    <row r="1018" spans="1:49" ht="10.199999999999999" customHeight="1" x14ac:dyDescent="0.25">
      <c r="A1018" s="14">
        <v>37</v>
      </c>
      <c r="B1018" s="103">
        <v>42628</v>
      </c>
      <c r="C1018" s="103">
        <v>42621</v>
      </c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48"/>
      <c r="AK1018" s="48"/>
      <c r="AL1018" s="48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</row>
    <row r="1019" spans="1:49" ht="10.199999999999999" customHeight="1" x14ac:dyDescent="0.25">
      <c r="A1019" s="14">
        <v>38</v>
      </c>
      <c r="B1019" s="103">
        <v>42635</v>
      </c>
      <c r="C1019" s="103">
        <v>42628</v>
      </c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48"/>
      <c r="AK1019" s="48"/>
      <c r="AL1019" s="48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</row>
    <row r="1020" spans="1:49" ht="10.199999999999999" customHeight="1" x14ac:dyDescent="0.25">
      <c r="A1020" s="14">
        <v>39</v>
      </c>
      <c r="B1020" s="103">
        <v>42642</v>
      </c>
      <c r="C1020" s="103">
        <v>42635</v>
      </c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48"/>
      <c r="AK1020" s="48"/>
      <c r="AL1020" s="48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</row>
    <row r="1021" spans="1:49" ht="10.199999999999999" customHeight="1" x14ac:dyDescent="0.25">
      <c r="A1021" s="14">
        <v>40</v>
      </c>
      <c r="B1021" s="103">
        <v>42649</v>
      </c>
      <c r="C1021" s="103">
        <v>42642</v>
      </c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48"/>
      <c r="AK1021" s="48"/>
      <c r="AL1021" s="48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</row>
    <row r="1022" spans="1:49" ht="10.199999999999999" customHeight="1" x14ac:dyDescent="0.25">
      <c r="A1022" s="14">
        <v>41</v>
      </c>
      <c r="B1022" s="103">
        <v>42656</v>
      </c>
      <c r="C1022" s="103">
        <v>42649</v>
      </c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48"/>
      <c r="AK1022" s="48"/>
      <c r="AL1022" s="48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</row>
    <row r="1023" spans="1:49" ht="10.199999999999999" customHeight="1" x14ac:dyDescent="0.25">
      <c r="A1023" s="14">
        <v>42</v>
      </c>
      <c r="B1023" s="103">
        <v>42663</v>
      </c>
      <c r="C1023" s="103">
        <v>42656</v>
      </c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48"/>
      <c r="AK1023" s="48"/>
      <c r="AL1023" s="48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</row>
    <row r="1024" spans="1:49" ht="10.199999999999999" customHeight="1" x14ac:dyDescent="0.25">
      <c r="A1024" s="14">
        <v>43</v>
      </c>
      <c r="B1024" s="103">
        <v>42670</v>
      </c>
      <c r="C1024" s="103">
        <v>42663</v>
      </c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48"/>
      <c r="AK1024" s="48"/>
      <c r="AL1024" s="48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</row>
    <row r="1025" spans="1:49" ht="10.199999999999999" customHeight="1" x14ac:dyDescent="0.25">
      <c r="A1025" s="14">
        <v>44</v>
      </c>
      <c r="B1025" s="103">
        <v>42677</v>
      </c>
      <c r="C1025" s="103">
        <v>42670</v>
      </c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48"/>
      <c r="AK1025" s="48"/>
      <c r="AL1025" s="48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</row>
    <row r="1026" spans="1:49" ht="10.199999999999999" customHeight="1" x14ac:dyDescent="0.25">
      <c r="A1026" s="14">
        <v>45</v>
      </c>
      <c r="B1026" s="103">
        <v>42684</v>
      </c>
      <c r="C1026" s="103">
        <v>42677</v>
      </c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48"/>
      <c r="AK1026" s="48"/>
      <c r="AL1026" s="48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</row>
    <row r="1027" spans="1:49" ht="10.199999999999999" customHeight="1" x14ac:dyDescent="0.25">
      <c r="A1027" s="14">
        <v>46</v>
      </c>
      <c r="B1027" s="103">
        <v>42691</v>
      </c>
      <c r="C1027" s="103">
        <v>42684</v>
      </c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48"/>
      <c r="AK1027" s="48"/>
      <c r="AL1027" s="48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</row>
    <row r="1028" spans="1:49" ht="10.199999999999999" customHeight="1" x14ac:dyDescent="0.25">
      <c r="A1028" s="14">
        <v>47</v>
      </c>
      <c r="B1028" s="103">
        <v>42698</v>
      </c>
      <c r="C1028" s="103">
        <v>42691</v>
      </c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48"/>
      <c r="AK1028" s="48"/>
      <c r="AL1028" s="48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</row>
    <row r="1029" spans="1:49" ht="10.199999999999999" customHeight="1" x14ac:dyDescent="0.25">
      <c r="A1029" s="14">
        <v>48</v>
      </c>
      <c r="B1029" s="103">
        <v>42705</v>
      </c>
      <c r="C1029" s="103">
        <v>42698</v>
      </c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48"/>
      <c r="AK1029" s="48"/>
      <c r="AL1029" s="48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</row>
    <row r="1030" spans="1:49" ht="10.199999999999999" customHeight="1" x14ac:dyDescent="0.25">
      <c r="A1030" s="14">
        <v>49</v>
      </c>
      <c r="B1030" s="103">
        <v>42712</v>
      </c>
      <c r="C1030" s="103">
        <v>42705</v>
      </c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48"/>
      <c r="AK1030" s="48"/>
      <c r="AL1030" s="48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</row>
    <row r="1031" spans="1:49" ht="10.199999999999999" customHeight="1" x14ac:dyDescent="0.25">
      <c r="A1031" s="14">
        <v>50</v>
      </c>
      <c r="B1031" s="103">
        <v>42719</v>
      </c>
      <c r="C1031" s="103">
        <v>42712</v>
      </c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48"/>
      <c r="AK1031" s="48"/>
      <c r="AL1031" s="48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</row>
    <row r="1032" spans="1:49" ht="10.199999999999999" customHeight="1" x14ac:dyDescent="0.25">
      <c r="A1032" s="14">
        <v>51</v>
      </c>
      <c r="B1032" s="103">
        <v>42726</v>
      </c>
      <c r="C1032" s="103">
        <v>42719</v>
      </c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48"/>
      <c r="AK1032" s="48"/>
      <c r="AL1032" s="48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</row>
    <row r="1033" spans="1:49" ht="10.199999999999999" customHeight="1" x14ac:dyDescent="0.25">
      <c r="A1033" s="14">
        <v>52</v>
      </c>
      <c r="B1033" s="103">
        <v>42733</v>
      </c>
      <c r="C1033" s="103">
        <v>42726</v>
      </c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48"/>
      <c r="AK1033" s="48"/>
      <c r="AL1033" s="48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</row>
    <row r="1034" spans="1:49" ht="10.199999999999999" customHeight="1" x14ac:dyDescent="0.25">
      <c r="A1034" s="14">
        <v>1</v>
      </c>
      <c r="B1034" s="103">
        <v>42740</v>
      </c>
      <c r="C1034" s="103">
        <v>42733</v>
      </c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48"/>
      <c r="AK1034" s="48"/>
      <c r="AL1034" s="48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</row>
    <row r="1035" spans="1:49" ht="10.199999999999999" customHeight="1" x14ac:dyDescent="0.25">
      <c r="A1035" s="14">
        <v>2</v>
      </c>
      <c r="B1035" s="103">
        <v>42747</v>
      </c>
      <c r="C1035" s="103">
        <v>42740</v>
      </c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48"/>
      <c r="AK1035" s="48"/>
      <c r="AL1035" s="48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</row>
    <row r="1036" spans="1:49" ht="10.199999999999999" customHeight="1" x14ac:dyDescent="0.25">
      <c r="A1036" s="14">
        <v>3</v>
      </c>
      <c r="B1036" s="103">
        <v>42754</v>
      </c>
      <c r="C1036" s="103">
        <v>42747</v>
      </c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48"/>
      <c r="AK1036" s="48"/>
      <c r="AL1036" s="48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</row>
    <row r="1037" spans="1:49" ht="10.199999999999999" customHeight="1" x14ac:dyDescent="0.25">
      <c r="A1037" s="14">
        <v>4</v>
      </c>
      <c r="B1037" s="103">
        <v>42761</v>
      </c>
      <c r="C1037" s="103">
        <v>42754</v>
      </c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48"/>
      <c r="AK1037" s="48"/>
      <c r="AL1037" s="48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</row>
    <row r="1038" spans="1:49" ht="10.199999999999999" customHeight="1" x14ac:dyDescent="0.25">
      <c r="A1038" s="14">
        <v>5</v>
      </c>
      <c r="B1038" s="103">
        <v>42768</v>
      </c>
      <c r="C1038" s="103">
        <v>42761</v>
      </c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48"/>
      <c r="AK1038" s="48"/>
      <c r="AL1038" s="48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</row>
    <row r="1039" spans="1:49" ht="10.199999999999999" customHeight="1" x14ac:dyDescent="0.25">
      <c r="A1039" s="14">
        <v>6</v>
      </c>
      <c r="B1039" s="103">
        <v>42775</v>
      </c>
      <c r="C1039" s="103">
        <v>42768</v>
      </c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48"/>
      <c r="AK1039" s="48"/>
      <c r="AL1039" s="48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</row>
    <row r="1040" spans="1:49" ht="10.199999999999999" customHeight="1" x14ac:dyDescent="0.25">
      <c r="A1040" s="14">
        <v>7</v>
      </c>
      <c r="B1040" s="103">
        <v>42782</v>
      </c>
      <c r="C1040" s="103">
        <v>42775</v>
      </c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48"/>
      <c r="AK1040" s="48"/>
      <c r="AL1040" s="48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</row>
    <row r="1041" spans="1:49" ht="10.199999999999999" customHeight="1" x14ac:dyDescent="0.25">
      <c r="A1041" s="14">
        <v>8</v>
      </c>
      <c r="B1041" s="103">
        <v>42789</v>
      </c>
      <c r="C1041" s="103">
        <v>42782</v>
      </c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48"/>
      <c r="AK1041" s="48"/>
      <c r="AL1041" s="48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</row>
    <row r="1042" spans="1:49" ht="10.199999999999999" customHeight="1" x14ac:dyDescent="0.25">
      <c r="A1042" s="14">
        <v>9</v>
      </c>
      <c r="B1042" s="103">
        <v>42796</v>
      </c>
      <c r="C1042" s="103">
        <v>42789</v>
      </c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48"/>
      <c r="AK1042" s="48"/>
      <c r="AL1042" s="48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</row>
    <row r="1043" spans="1:49" ht="10.199999999999999" customHeight="1" x14ac:dyDescent="0.25">
      <c r="A1043" s="14">
        <v>10</v>
      </c>
      <c r="B1043" s="103">
        <v>42803</v>
      </c>
      <c r="C1043" s="103">
        <v>42796</v>
      </c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48"/>
      <c r="AK1043" s="48"/>
      <c r="AL1043" s="48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</row>
    <row r="1044" spans="1:49" ht="10.199999999999999" customHeight="1" x14ac:dyDescent="0.25">
      <c r="A1044" s="14">
        <v>11</v>
      </c>
      <c r="B1044" s="103">
        <v>42810</v>
      </c>
      <c r="C1044" s="103">
        <v>42803</v>
      </c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48"/>
      <c r="AK1044" s="48"/>
      <c r="AL1044" s="48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</row>
    <row r="1045" spans="1:49" ht="10.199999999999999" customHeight="1" x14ac:dyDescent="0.25">
      <c r="A1045" s="14">
        <v>12</v>
      </c>
      <c r="B1045" s="103">
        <v>42817</v>
      </c>
      <c r="C1045" s="103">
        <v>42810</v>
      </c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48"/>
      <c r="AK1045" s="48"/>
      <c r="AL1045" s="48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</row>
    <row r="1046" spans="1:49" ht="10.199999999999999" customHeight="1" x14ac:dyDescent="0.25">
      <c r="A1046" s="14">
        <v>13</v>
      </c>
      <c r="B1046" s="103">
        <v>42824</v>
      </c>
      <c r="C1046" s="103">
        <v>42817</v>
      </c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48"/>
      <c r="AK1046" s="48"/>
      <c r="AL1046" s="48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</row>
    <row r="1047" spans="1:49" ht="10.199999999999999" customHeight="1" x14ac:dyDescent="0.25">
      <c r="A1047" s="14">
        <v>14</v>
      </c>
      <c r="B1047" s="103">
        <v>42831</v>
      </c>
      <c r="C1047" s="103">
        <v>42824</v>
      </c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48"/>
      <c r="AK1047" s="48"/>
      <c r="AL1047" s="48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</row>
    <row r="1048" spans="1:49" ht="10.199999999999999" customHeight="1" x14ac:dyDescent="0.25">
      <c r="A1048" s="14">
        <v>15</v>
      </c>
      <c r="B1048" s="103">
        <v>42838</v>
      </c>
      <c r="C1048" s="103">
        <v>42831</v>
      </c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48"/>
      <c r="AK1048" s="48"/>
      <c r="AL1048" s="48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</row>
    <row r="1049" spans="1:49" ht="10.199999999999999" customHeight="1" x14ac:dyDescent="0.25">
      <c r="A1049" s="14">
        <v>16</v>
      </c>
      <c r="B1049" s="103">
        <v>42845</v>
      </c>
      <c r="C1049" s="103">
        <v>42838</v>
      </c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48"/>
      <c r="AK1049" s="48"/>
      <c r="AL1049" s="48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</row>
    <row r="1050" spans="1:49" ht="10.199999999999999" customHeight="1" x14ac:dyDescent="0.25">
      <c r="A1050" s="14">
        <v>17</v>
      </c>
      <c r="B1050" s="103">
        <v>42852</v>
      </c>
      <c r="C1050" s="103">
        <v>42845</v>
      </c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48"/>
      <c r="AK1050" s="48"/>
      <c r="AL1050" s="48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</row>
    <row r="1051" spans="1:49" ht="10.199999999999999" customHeight="1" x14ac:dyDescent="0.25">
      <c r="A1051" s="14">
        <v>18</v>
      </c>
      <c r="B1051" s="103">
        <v>42859</v>
      </c>
      <c r="C1051" s="103">
        <v>42852</v>
      </c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48"/>
      <c r="AK1051" s="48"/>
      <c r="AL1051" s="48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</row>
    <row r="1052" spans="1:49" ht="10.199999999999999" customHeight="1" x14ac:dyDescent="0.25">
      <c r="A1052" s="14">
        <v>19</v>
      </c>
      <c r="B1052" s="103">
        <v>42866</v>
      </c>
      <c r="C1052" s="103">
        <v>42859</v>
      </c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48"/>
      <c r="AK1052" s="48"/>
      <c r="AL1052" s="48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</row>
    <row r="1053" spans="1:49" ht="10.199999999999999" customHeight="1" x14ac:dyDescent="0.25">
      <c r="A1053" s="14">
        <v>20</v>
      </c>
      <c r="B1053" s="103">
        <v>42873</v>
      </c>
      <c r="C1053" s="103">
        <v>42866</v>
      </c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48"/>
      <c r="AK1053" s="48"/>
      <c r="AL1053" s="48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</row>
    <row r="1054" spans="1:49" ht="10.199999999999999" customHeight="1" x14ac:dyDescent="0.25">
      <c r="A1054" s="14">
        <v>21</v>
      </c>
      <c r="B1054" s="103">
        <v>42880</v>
      </c>
      <c r="C1054" s="103">
        <v>42873</v>
      </c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48"/>
      <c r="AK1054" s="48"/>
      <c r="AL1054" s="48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</row>
    <row r="1055" spans="1:49" ht="10.199999999999999" customHeight="1" x14ac:dyDescent="0.25">
      <c r="A1055" s="14">
        <v>22</v>
      </c>
      <c r="B1055" s="103">
        <v>42887</v>
      </c>
      <c r="C1055" s="103">
        <v>42880</v>
      </c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48"/>
      <c r="AK1055" s="48"/>
      <c r="AL1055" s="48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</row>
    <row r="1056" spans="1:49" ht="10.199999999999999" customHeight="1" x14ac:dyDescent="0.25">
      <c r="A1056" s="14">
        <v>23</v>
      </c>
      <c r="B1056" s="103">
        <v>42894</v>
      </c>
      <c r="C1056" s="103">
        <v>42887</v>
      </c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48"/>
      <c r="AK1056" s="48"/>
      <c r="AL1056" s="48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</row>
    <row r="1057" spans="1:49" ht="10.199999999999999" customHeight="1" x14ac:dyDescent="0.25">
      <c r="A1057" s="14">
        <v>24</v>
      </c>
      <c r="B1057" s="103">
        <v>42901</v>
      </c>
      <c r="C1057" s="103">
        <v>42894</v>
      </c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48"/>
      <c r="AK1057" s="48"/>
      <c r="AL1057" s="48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</row>
    <row r="1058" spans="1:49" ht="10.199999999999999" customHeight="1" x14ac:dyDescent="0.25">
      <c r="A1058" s="14">
        <v>25</v>
      </c>
      <c r="B1058" s="103">
        <v>42908</v>
      </c>
      <c r="C1058" s="103">
        <v>42901</v>
      </c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48"/>
      <c r="AK1058" s="48"/>
      <c r="AL1058" s="48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</row>
    <row r="1059" spans="1:49" ht="10.199999999999999" customHeight="1" x14ac:dyDescent="0.25">
      <c r="A1059" s="14">
        <v>26</v>
      </c>
      <c r="B1059" s="103">
        <v>42915</v>
      </c>
      <c r="C1059" s="103">
        <v>42908</v>
      </c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48"/>
      <c r="AK1059" s="48"/>
      <c r="AL1059" s="48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</row>
    <row r="1060" spans="1:49" ht="10.199999999999999" customHeight="1" x14ac:dyDescent="0.25">
      <c r="A1060" s="14">
        <v>27</v>
      </c>
      <c r="B1060" s="103">
        <v>42922</v>
      </c>
      <c r="C1060" s="103">
        <v>42915</v>
      </c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48"/>
      <c r="AK1060" s="48"/>
      <c r="AL1060" s="48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</row>
    <row r="1061" spans="1:49" ht="10.199999999999999" customHeight="1" x14ac:dyDescent="0.25">
      <c r="A1061" s="14">
        <v>28</v>
      </c>
      <c r="B1061" s="103">
        <v>42929</v>
      </c>
      <c r="C1061" s="103">
        <v>42922</v>
      </c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48"/>
      <c r="AK1061" s="48"/>
      <c r="AL1061" s="48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</row>
    <row r="1062" spans="1:49" ht="10.199999999999999" customHeight="1" x14ac:dyDescent="0.25">
      <c r="A1062" s="14">
        <v>29</v>
      </c>
      <c r="B1062" s="103">
        <v>42936</v>
      </c>
      <c r="C1062" s="103">
        <v>42929</v>
      </c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48"/>
      <c r="AK1062" s="48"/>
      <c r="AL1062" s="48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</row>
    <row r="1063" spans="1:49" ht="10.199999999999999" customHeight="1" x14ac:dyDescent="0.25">
      <c r="A1063" s="14">
        <v>30</v>
      </c>
      <c r="B1063" s="103">
        <v>42943</v>
      </c>
      <c r="C1063" s="103">
        <v>42936</v>
      </c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48"/>
      <c r="AK1063" s="48"/>
      <c r="AL1063" s="48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</row>
    <row r="1064" spans="1:49" ht="10.199999999999999" customHeight="1" x14ac:dyDescent="0.25">
      <c r="A1064" s="14">
        <v>31</v>
      </c>
      <c r="B1064" s="103">
        <v>42950</v>
      </c>
      <c r="C1064" s="103">
        <v>42943</v>
      </c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48"/>
      <c r="AK1064" s="48"/>
      <c r="AL1064" s="48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</row>
    <row r="1065" spans="1:49" ht="10.199999999999999" customHeight="1" x14ac:dyDescent="0.25">
      <c r="A1065" s="14">
        <v>32</v>
      </c>
      <c r="B1065" s="103">
        <v>42957</v>
      </c>
      <c r="C1065" s="103">
        <v>42950</v>
      </c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48"/>
      <c r="AK1065" s="48"/>
      <c r="AL1065" s="48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</row>
    <row r="1066" spans="1:49" ht="10.199999999999999" customHeight="1" x14ac:dyDescent="0.25">
      <c r="A1066" s="14">
        <v>33</v>
      </c>
      <c r="B1066" s="103">
        <v>42964</v>
      </c>
      <c r="C1066" s="103">
        <v>42957</v>
      </c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48"/>
      <c r="AK1066" s="48"/>
      <c r="AL1066" s="48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</row>
    <row r="1067" spans="1:49" ht="10.199999999999999" customHeight="1" x14ac:dyDescent="0.25">
      <c r="A1067" s="14">
        <v>34</v>
      </c>
      <c r="B1067" s="103">
        <v>42971</v>
      </c>
      <c r="C1067" s="103">
        <v>42964</v>
      </c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48"/>
      <c r="AK1067" s="48"/>
      <c r="AL1067" s="48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</row>
    <row r="1068" spans="1:49" ht="10.199999999999999" customHeight="1" x14ac:dyDescent="0.25">
      <c r="A1068" s="14">
        <v>35</v>
      </c>
      <c r="B1068" s="103">
        <v>42978</v>
      </c>
      <c r="C1068" s="103">
        <v>42971</v>
      </c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48"/>
      <c r="AK1068" s="48"/>
      <c r="AL1068" s="48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</row>
    <row r="1069" spans="1:49" ht="10.199999999999999" customHeight="1" x14ac:dyDescent="0.25">
      <c r="A1069" s="14">
        <v>36</v>
      </c>
      <c r="B1069" s="103">
        <v>42985</v>
      </c>
      <c r="C1069" s="103">
        <v>42978</v>
      </c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48"/>
      <c r="AK1069" s="48"/>
      <c r="AL1069" s="48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</row>
    <row r="1070" spans="1:49" ht="10.199999999999999" customHeight="1" x14ac:dyDescent="0.25">
      <c r="A1070" s="14">
        <v>37</v>
      </c>
      <c r="B1070" s="103">
        <v>42992</v>
      </c>
      <c r="C1070" s="103">
        <v>42985</v>
      </c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48"/>
      <c r="AK1070" s="48"/>
      <c r="AL1070" s="48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</row>
    <row r="1071" spans="1:49" ht="10.199999999999999" customHeight="1" x14ac:dyDescent="0.25">
      <c r="A1071" s="14">
        <v>38</v>
      </c>
      <c r="B1071" s="103">
        <v>42999</v>
      </c>
      <c r="C1071" s="103">
        <v>42992</v>
      </c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48"/>
      <c r="AK1071" s="48"/>
      <c r="AL1071" s="48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</row>
    <row r="1072" spans="1:49" ht="10.199999999999999" customHeight="1" x14ac:dyDescent="0.25">
      <c r="A1072" s="14">
        <v>39</v>
      </c>
      <c r="B1072" s="103">
        <v>43006</v>
      </c>
      <c r="C1072" s="103">
        <v>42999</v>
      </c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48"/>
      <c r="AK1072" s="48"/>
      <c r="AL1072" s="48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</row>
    <row r="1073" spans="1:49" ht="10.199999999999999" customHeight="1" x14ac:dyDescent="0.25">
      <c r="A1073" s="14">
        <v>40</v>
      </c>
      <c r="B1073" s="103">
        <v>43013</v>
      </c>
      <c r="C1073" s="103">
        <v>43006</v>
      </c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48"/>
      <c r="AK1073" s="48"/>
      <c r="AL1073" s="48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</row>
    <row r="1074" spans="1:49" ht="10.199999999999999" customHeight="1" x14ac:dyDescent="0.25">
      <c r="A1074" s="14">
        <v>41</v>
      </c>
      <c r="B1074" s="103">
        <v>43020</v>
      </c>
      <c r="C1074" s="103">
        <v>43013</v>
      </c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48"/>
      <c r="AK1074" s="48"/>
      <c r="AL1074" s="48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</row>
    <row r="1075" spans="1:49" ht="10.199999999999999" customHeight="1" x14ac:dyDescent="0.25">
      <c r="A1075" s="14">
        <v>42</v>
      </c>
      <c r="B1075" s="103">
        <v>43027</v>
      </c>
      <c r="C1075" s="103">
        <v>43020</v>
      </c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48"/>
      <c r="AK1075" s="48"/>
      <c r="AL1075" s="48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</row>
    <row r="1076" spans="1:49" ht="10.199999999999999" customHeight="1" x14ac:dyDescent="0.25">
      <c r="A1076" s="14">
        <v>43</v>
      </c>
      <c r="B1076" s="103">
        <v>43034</v>
      </c>
      <c r="C1076" s="103">
        <v>43027</v>
      </c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48"/>
      <c r="AK1076" s="48"/>
      <c r="AL1076" s="48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</row>
    <row r="1077" spans="1:49" ht="10.199999999999999" customHeight="1" x14ac:dyDescent="0.25">
      <c r="A1077" s="14">
        <v>44</v>
      </c>
      <c r="B1077" s="103">
        <v>43041</v>
      </c>
      <c r="C1077" s="103">
        <v>43034</v>
      </c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48"/>
      <c r="AK1077" s="48"/>
      <c r="AL1077" s="48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</row>
    <row r="1078" spans="1:49" ht="10.199999999999999" customHeight="1" x14ac:dyDescent="0.25">
      <c r="A1078" s="14">
        <v>45</v>
      </c>
      <c r="B1078" s="103">
        <v>43048</v>
      </c>
      <c r="C1078" s="103">
        <v>43041</v>
      </c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48"/>
      <c r="AK1078" s="48"/>
      <c r="AL1078" s="48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</row>
    <row r="1079" spans="1:49" ht="10.199999999999999" customHeight="1" x14ac:dyDescent="0.25">
      <c r="A1079" s="14">
        <v>46</v>
      </c>
      <c r="B1079" s="103">
        <v>43055</v>
      </c>
      <c r="C1079" s="103">
        <v>43048</v>
      </c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48"/>
      <c r="AK1079" s="48"/>
      <c r="AL1079" s="48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</row>
    <row r="1080" spans="1:49" ht="10.199999999999999" customHeight="1" x14ac:dyDescent="0.25">
      <c r="A1080" s="14">
        <v>47</v>
      </c>
      <c r="B1080" s="103">
        <v>43062</v>
      </c>
      <c r="C1080" s="103">
        <v>43055</v>
      </c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48"/>
      <c r="AK1080" s="48"/>
      <c r="AL1080" s="48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</row>
    <row r="1081" spans="1:49" ht="10.199999999999999" customHeight="1" x14ac:dyDescent="0.25">
      <c r="A1081" s="14">
        <v>48</v>
      </c>
      <c r="B1081" s="103">
        <v>43069</v>
      </c>
      <c r="C1081" s="103">
        <v>43062</v>
      </c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48"/>
      <c r="AK1081" s="48"/>
      <c r="AL1081" s="48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</row>
    <row r="1082" spans="1:49" ht="10.199999999999999" customHeight="1" x14ac:dyDescent="0.25">
      <c r="A1082" s="14">
        <v>49</v>
      </c>
      <c r="B1082" s="103">
        <v>43076</v>
      </c>
      <c r="C1082" s="103">
        <v>43069</v>
      </c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48"/>
      <c r="AK1082" s="48"/>
      <c r="AL1082" s="48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</row>
    <row r="1083" spans="1:49" ht="10.199999999999999" customHeight="1" x14ac:dyDescent="0.25">
      <c r="A1083" s="14">
        <v>50</v>
      </c>
      <c r="B1083" s="103">
        <v>43083</v>
      </c>
      <c r="C1083" s="103">
        <v>43076</v>
      </c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48"/>
      <c r="AK1083" s="48"/>
      <c r="AL1083" s="48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</row>
    <row r="1084" spans="1:49" ht="10.199999999999999" customHeight="1" x14ac:dyDescent="0.25">
      <c r="A1084" s="14">
        <v>51</v>
      </c>
      <c r="B1084" s="103">
        <v>43090</v>
      </c>
      <c r="C1084" s="103">
        <v>43083</v>
      </c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48"/>
      <c r="AK1084" s="48"/>
      <c r="AL1084" s="48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</row>
    <row r="1085" spans="1:49" ht="10.199999999999999" customHeight="1" x14ac:dyDescent="0.25">
      <c r="A1085" s="14">
        <v>52</v>
      </c>
      <c r="B1085" s="103">
        <v>43097</v>
      </c>
      <c r="C1085" s="103">
        <v>43090</v>
      </c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48"/>
      <c r="AK1085" s="48"/>
      <c r="AL1085" s="48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</row>
    <row r="1086" spans="1:49" x14ac:dyDescent="0.25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48"/>
      <c r="AK1086" s="48"/>
      <c r="AL1086" s="48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</row>
    <row r="1087" spans="1:49" x14ac:dyDescent="0.25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48"/>
      <c r="AK1087" s="48"/>
      <c r="AL1087" s="48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</row>
    <row r="1088" spans="1:49" x14ac:dyDescent="0.25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48"/>
      <c r="AK1088" s="48"/>
      <c r="AL1088" s="48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</row>
    <row r="1089" spans="2:49" x14ac:dyDescent="0.25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48"/>
      <c r="AK1089" s="48"/>
      <c r="AL1089" s="48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</row>
    <row r="1090" spans="2:49" x14ac:dyDescent="0.25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48"/>
      <c r="AK1090" s="48"/>
      <c r="AL1090" s="48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</row>
    <row r="1091" spans="2:49" x14ac:dyDescent="0.25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48"/>
      <c r="AK1091" s="48"/>
      <c r="AL1091" s="48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</row>
    <row r="1092" spans="2:49" x14ac:dyDescent="0.25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48"/>
      <c r="AK1092" s="48"/>
      <c r="AL1092" s="48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</row>
    <row r="1093" spans="2:49" x14ac:dyDescent="0.25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48"/>
      <c r="AK1093" s="48"/>
      <c r="AL1093" s="48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</row>
    <row r="1094" spans="2:49" x14ac:dyDescent="0.25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48"/>
      <c r="AK1094" s="48"/>
      <c r="AL1094" s="48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</row>
    <row r="1095" spans="2:49" x14ac:dyDescent="0.25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48"/>
      <c r="AK1095" s="48"/>
      <c r="AL1095" s="48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</row>
    <row r="1096" spans="2:49" x14ac:dyDescent="0.25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48"/>
      <c r="AK1096" s="48"/>
      <c r="AL1096" s="48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</row>
    <row r="1097" spans="2:49" x14ac:dyDescent="0.25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48"/>
      <c r="AK1097" s="48"/>
      <c r="AL1097" s="48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</row>
    <row r="1098" spans="2:49" x14ac:dyDescent="0.25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48"/>
      <c r="AK1098" s="48"/>
      <c r="AL1098" s="48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</row>
    <row r="1099" spans="2:49" x14ac:dyDescent="0.25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48"/>
      <c r="AK1099" s="48"/>
      <c r="AL1099" s="48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</row>
    <row r="1100" spans="2:49" x14ac:dyDescent="0.25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48"/>
      <c r="AK1100" s="48"/>
      <c r="AL1100" s="48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</row>
    <row r="1101" spans="2:49" x14ac:dyDescent="0.25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48"/>
      <c r="AK1101" s="48"/>
      <c r="AL1101" s="48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</row>
    <row r="1102" spans="2:49" x14ac:dyDescent="0.25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48"/>
      <c r="AK1102" s="48"/>
      <c r="AL1102" s="48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</row>
    <row r="1103" spans="2:49" x14ac:dyDescent="0.25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48"/>
      <c r="AK1103" s="48"/>
      <c r="AL1103" s="48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</row>
    <row r="1104" spans="2:49" x14ac:dyDescent="0.25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48"/>
      <c r="AK1104" s="48"/>
      <c r="AL1104" s="48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</row>
    <row r="1105" spans="2:49" x14ac:dyDescent="0.25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48"/>
      <c r="AK1105" s="48"/>
      <c r="AL1105" s="48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</row>
    <row r="1106" spans="2:49" x14ac:dyDescent="0.25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48"/>
      <c r="AK1106" s="48"/>
      <c r="AL1106" s="48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</row>
    <row r="1107" spans="2:49" x14ac:dyDescent="0.25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48"/>
      <c r="AK1107" s="48"/>
      <c r="AL1107" s="48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</row>
    <row r="1108" spans="2:49" x14ac:dyDescent="0.25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48"/>
      <c r="AK1108" s="48"/>
      <c r="AL1108" s="48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</row>
    <row r="1109" spans="2:49" x14ac:dyDescent="0.25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48"/>
      <c r="AK1109" s="48"/>
      <c r="AL1109" s="48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</row>
    <row r="1110" spans="2:49" x14ac:dyDescent="0.25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48"/>
      <c r="AK1110" s="48"/>
      <c r="AL1110" s="48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</row>
    <row r="1111" spans="2:49" x14ac:dyDescent="0.25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48"/>
      <c r="AK1111" s="48"/>
      <c r="AL1111" s="48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</row>
    <row r="1112" spans="2:49" x14ac:dyDescent="0.25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48"/>
      <c r="AK1112" s="48"/>
      <c r="AL1112" s="48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</row>
    <row r="1113" spans="2:49" x14ac:dyDescent="0.25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48"/>
      <c r="AK1113" s="48"/>
      <c r="AL1113" s="48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</row>
    <row r="1114" spans="2:49" x14ac:dyDescent="0.25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48"/>
      <c r="AK1114" s="48"/>
      <c r="AL1114" s="48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</row>
    <row r="1115" spans="2:49" x14ac:dyDescent="0.25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48"/>
      <c r="AK1115" s="48"/>
      <c r="AL1115" s="48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</row>
    <row r="1116" spans="2:49" x14ac:dyDescent="0.25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48"/>
      <c r="AK1116" s="48"/>
      <c r="AL1116" s="48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</row>
    <row r="1117" spans="2:49" x14ac:dyDescent="0.25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48"/>
      <c r="AK1117" s="48"/>
      <c r="AL1117" s="48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</row>
    <row r="1118" spans="2:49" x14ac:dyDescent="0.25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48"/>
      <c r="AK1118" s="48"/>
      <c r="AL1118" s="48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</row>
    <row r="1119" spans="2:49" x14ac:dyDescent="0.25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48"/>
      <c r="AK1119" s="48"/>
      <c r="AL1119" s="48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</row>
    <row r="1120" spans="2:49" x14ac:dyDescent="0.25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48"/>
      <c r="AK1120" s="48"/>
      <c r="AL1120" s="48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</row>
    <row r="1121" spans="2:49" x14ac:dyDescent="0.25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48"/>
      <c r="AK1121" s="48"/>
      <c r="AL1121" s="48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</row>
    <row r="1122" spans="2:49" x14ac:dyDescent="0.25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48"/>
      <c r="AK1122" s="48"/>
      <c r="AL1122" s="48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</row>
    <row r="1123" spans="2:49" x14ac:dyDescent="0.25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48"/>
      <c r="AK1123" s="48"/>
      <c r="AL1123" s="48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</row>
    <row r="1124" spans="2:49" x14ac:dyDescent="0.25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48"/>
      <c r="AK1124" s="48"/>
      <c r="AL1124" s="48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</row>
    <row r="1125" spans="2:49" x14ac:dyDescent="0.25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48"/>
      <c r="AK1125" s="48"/>
      <c r="AL1125" s="48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</row>
    <row r="1126" spans="2:49" x14ac:dyDescent="0.25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48"/>
      <c r="AK1126" s="48"/>
      <c r="AL1126" s="48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</row>
    <row r="1127" spans="2:49" x14ac:dyDescent="0.25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48"/>
      <c r="AK1127" s="48"/>
      <c r="AL1127" s="48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</row>
    <row r="1128" spans="2:49" x14ac:dyDescent="0.25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48"/>
      <c r="AK1128" s="48"/>
      <c r="AL1128" s="48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</row>
    <row r="1129" spans="2:49" x14ac:dyDescent="0.25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48"/>
      <c r="AK1129" s="48"/>
      <c r="AL1129" s="48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</row>
    <row r="1130" spans="2:49" x14ac:dyDescent="0.25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48"/>
      <c r="AK1130" s="48"/>
      <c r="AL1130" s="48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</row>
    <row r="1131" spans="2:49" x14ac:dyDescent="0.25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48"/>
      <c r="AK1131" s="48"/>
      <c r="AL1131" s="48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</row>
    <row r="1132" spans="2:49" x14ac:dyDescent="0.25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48"/>
      <c r="AK1132" s="48"/>
      <c r="AL1132" s="48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</row>
    <row r="1133" spans="2:49" x14ac:dyDescent="0.25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48"/>
      <c r="AK1133" s="48"/>
      <c r="AL1133" s="48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</row>
    <row r="1134" spans="2:49" x14ac:dyDescent="0.25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48"/>
      <c r="AK1134" s="48"/>
      <c r="AL1134" s="48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</row>
    <row r="1135" spans="2:49" x14ac:dyDescent="0.25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48"/>
      <c r="AK1135" s="48"/>
      <c r="AL1135" s="48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</row>
    <row r="1136" spans="2:49" x14ac:dyDescent="0.25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48"/>
      <c r="AK1136" s="48"/>
      <c r="AL1136" s="48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</row>
    <row r="1137" spans="2:49" x14ac:dyDescent="0.25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48"/>
      <c r="AK1137" s="48"/>
      <c r="AL1137" s="48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</row>
    <row r="1138" spans="2:49" x14ac:dyDescent="0.25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48"/>
      <c r="AK1138" s="48"/>
      <c r="AL1138" s="48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</row>
    <row r="1139" spans="2:49" x14ac:dyDescent="0.25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48"/>
      <c r="AK1139" s="48"/>
      <c r="AL1139" s="48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</row>
    <row r="1140" spans="2:49" x14ac:dyDescent="0.25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48"/>
      <c r="AK1140" s="48"/>
      <c r="AL1140" s="48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</row>
    <row r="1141" spans="2:49" x14ac:dyDescent="0.25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48"/>
      <c r="AK1141" s="48"/>
      <c r="AL1141" s="48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</row>
    <row r="1142" spans="2:49" x14ac:dyDescent="0.25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48"/>
      <c r="AK1142" s="48"/>
      <c r="AL1142" s="48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</row>
    <row r="1143" spans="2:49" x14ac:dyDescent="0.25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48"/>
      <c r="AK1143" s="48"/>
      <c r="AL1143" s="48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</row>
    <row r="1144" spans="2:49" x14ac:dyDescent="0.25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48"/>
      <c r="AK1144" s="48"/>
      <c r="AL1144" s="48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</row>
    <row r="1145" spans="2:49" x14ac:dyDescent="0.25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48"/>
      <c r="AK1145" s="48"/>
      <c r="AL1145" s="48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</row>
    <row r="1146" spans="2:49" x14ac:dyDescent="0.25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48"/>
      <c r="AK1146" s="48"/>
      <c r="AL1146" s="48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</row>
    <row r="1147" spans="2:49" x14ac:dyDescent="0.25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48"/>
      <c r="AK1147" s="48"/>
      <c r="AL1147" s="48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</row>
    <row r="1148" spans="2:49" x14ac:dyDescent="0.25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48"/>
      <c r="AK1148" s="48"/>
      <c r="AL1148" s="48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</row>
    <row r="1149" spans="2:49" x14ac:dyDescent="0.25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48"/>
      <c r="AK1149" s="48"/>
      <c r="AL1149" s="48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</row>
    <row r="1150" spans="2:49" x14ac:dyDescent="0.25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48"/>
      <c r="AK1150" s="48"/>
      <c r="AL1150" s="48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</row>
    <row r="1151" spans="2:49" x14ac:dyDescent="0.25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48"/>
      <c r="AK1151" s="48"/>
      <c r="AL1151" s="48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</row>
    <row r="1152" spans="2:49" x14ac:dyDescent="0.25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48"/>
      <c r="AK1152" s="48"/>
      <c r="AL1152" s="48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</row>
    <row r="1153" spans="2:49" x14ac:dyDescent="0.25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48"/>
      <c r="AK1153" s="48"/>
      <c r="AL1153" s="48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</row>
    <row r="1154" spans="2:49" x14ac:dyDescent="0.25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48"/>
      <c r="AK1154" s="48"/>
      <c r="AL1154" s="48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</row>
    <row r="1155" spans="2:49" x14ac:dyDescent="0.25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48"/>
      <c r="AK1155" s="48"/>
      <c r="AL1155" s="48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</row>
    <row r="1156" spans="2:49" x14ac:dyDescent="0.25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48"/>
      <c r="AK1156" s="48"/>
      <c r="AL1156" s="48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</row>
    <row r="1157" spans="2:49" x14ac:dyDescent="0.25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48"/>
      <c r="AK1157" s="48"/>
      <c r="AL1157" s="48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</row>
    <row r="1158" spans="2:49" x14ac:dyDescent="0.25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48"/>
      <c r="AK1158" s="48"/>
      <c r="AL1158" s="48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</row>
    <row r="1159" spans="2:49" x14ac:dyDescent="0.25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48"/>
      <c r="AK1159" s="48"/>
      <c r="AL1159" s="48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</row>
    <row r="1160" spans="2:49" x14ac:dyDescent="0.25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48"/>
      <c r="AK1160" s="48"/>
      <c r="AL1160" s="48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</row>
    <row r="1161" spans="2:49" x14ac:dyDescent="0.25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48"/>
      <c r="AK1161" s="48"/>
      <c r="AL1161" s="48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</row>
    <row r="1162" spans="2:49" x14ac:dyDescent="0.25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48"/>
      <c r="AK1162" s="48"/>
      <c r="AL1162" s="48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</row>
    <row r="1163" spans="2:49" x14ac:dyDescent="0.25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48"/>
      <c r="AK1163" s="48"/>
      <c r="AL1163" s="48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</row>
    <row r="1164" spans="2:49" x14ac:dyDescent="0.25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48"/>
      <c r="AK1164" s="48"/>
      <c r="AL1164" s="48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</row>
    <row r="1165" spans="2:49" x14ac:dyDescent="0.25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48"/>
      <c r="AK1165" s="48"/>
      <c r="AL1165" s="48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</row>
    <row r="1166" spans="2:49" x14ac:dyDescent="0.25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48"/>
      <c r="AK1166" s="48"/>
      <c r="AL1166" s="48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</row>
    <row r="1167" spans="2:49" x14ac:dyDescent="0.25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48"/>
      <c r="AK1167" s="48"/>
      <c r="AL1167" s="48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</row>
    <row r="1168" spans="2:49" x14ac:dyDescent="0.25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48"/>
      <c r="AK1168" s="48"/>
      <c r="AL1168" s="48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</row>
    <row r="1169" spans="2:49" x14ac:dyDescent="0.25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48"/>
      <c r="AK1169" s="48"/>
      <c r="AL1169" s="48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</row>
    <row r="1170" spans="2:49" x14ac:dyDescent="0.25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48"/>
      <c r="AK1170" s="48"/>
      <c r="AL1170" s="48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</row>
    <row r="1171" spans="2:49" x14ac:dyDescent="0.25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48"/>
      <c r="AK1171" s="48"/>
      <c r="AL1171" s="48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</row>
    <row r="1172" spans="2:49" x14ac:dyDescent="0.25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48"/>
      <c r="AK1172" s="48"/>
      <c r="AL1172" s="48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</row>
    <row r="1173" spans="2:49" x14ac:dyDescent="0.25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48"/>
      <c r="AK1173" s="48"/>
      <c r="AL1173" s="48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</row>
    <row r="1174" spans="2:49" x14ac:dyDescent="0.25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48"/>
      <c r="AK1174" s="48"/>
      <c r="AL1174" s="48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</row>
    <row r="1175" spans="2:49" x14ac:dyDescent="0.25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48"/>
      <c r="AK1175" s="48"/>
      <c r="AL1175" s="48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</row>
    <row r="1176" spans="2:49" x14ac:dyDescent="0.25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48"/>
      <c r="AK1176" s="48"/>
      <c r="AL1176" s="48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</row>
    <row r="1177" spans="2:49" x14ac:dyDescent="0.25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48"/>
      <c r="AK1177" s="48"/>
      <c r="AL1177" s="48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</row>
    <row r="1178" spans="2:49" x14ac:dyDescent="0.25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48"/>
      <c r="AK1178" s="48"/>
      <c r="AL1178" s="48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</row>
    <row r="1179" spans="2:49" x14ac:dyDescent="0.25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48"/>
      <c r="AK1179" s="48"/>
      <c r="AL1179" s="48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</row>
    <row r="1180" spans="2:49" x14ac:dyDescent="0.25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48"/>
      <c r="AK1180" s="48"/>
      <c r="AL1180" s="48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</row>
    <row r="1181" spans="2:49" x14ac:dyDescent="0.25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48"/>
      <c r="AK1181" s="48"/>
      <c r="AL1181" s="48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</row>
    <row r="1182" spans="2:49" x14ac:dyDescent="0.25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48"/>
      <c r="AK1182" s="48"/>
      <c r="AL1182" s="48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</row>
    <row r="1183" spans="2:49" x14ac:dyDescent="0.25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48"/>
      <c r="AK1183" s="48"/>
      <c r="AL1183" s="48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</row>
    <row r="1184" spans="2:49" x14ac:dyDescent="0.25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48"/>
      <c r="AK1184" s="48"/>
      <c r="AL1184" s="48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</row>
    <row r="1185" spans="2:49" x14ac:dyDescent="0.25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48"/>
      <c r="AK1185" s="48"/>
      <c r="AL1185" s="48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</row>
    <row r="1186" spans="2:49" x14ac:dyDescent="0.25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48"/>
      <c r="AK1186" s="48"/>
      <c r="AL1186" s="48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</row>
    <row r="1187" spans="2:49" x14ac:dyDescent="0.25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48"/>
      <c r="AK1187" s="48"/>
      <c r="AL1187" s="48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</row>
    <row r="1188" spans="2:49" x14ac:dyDescent="0.25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48"/>
      <c r="AK1188" s="48"/>
      <c r="AL1188" s="48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</row>
    <row r="1189" spans="2:49" x14ac:dyDescent="0.25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48"/>
      <c r="AK1189" s="48"/>
      <c r="AL1189" s="48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</row>
    <row r="1190" spans="2:49" x14ac:dyDescent="0.25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48"/>
      <c r="AK1190" s="48"/>
      <c r="AL1190" s="48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</row>
    <row r="1191" spans="2:49" x14ac:dyDescent="0.25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48"/>
      <c r="AK1191" s="48"/>
      <c r="AL1191" s="48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</row>
    <row r="1192" spans="2:49" x14ac:dyDescent="0.25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48"/>
      <c r="AK1192" s="48"/>
      <c r="AL1192" s="48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</row>
    <row r="1193" spans="2:49" x14ac:dyDescent="0.25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48"/>
      <c r="AK1193" s="48"/>
      <c r="AL1193" s="48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</row>
    <row r="1194" spans="2:49" x14ac:dyDescent="0.25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48"/>
      <c r="AK1194" s="48"/>
      <c r="AL1194" s="48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</row>
    <row r="1195" spans="2:49" x14ac:dyDescent="0.25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48"/>
      <c r="AK1195" s="48"/>
      <c r="AL1195" s="48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</row>
    <row r="1196" spans="2:49" x14ac:dyDescent="0.25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48"/>
      <c r="AK1196" s="48"/>
      <c r="AL1196" s="48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</row>
    <row r="1197" spans="2:49" x14ac:dyDescent="0.25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48"/>
      <c r="AK1197" s="48"/>
      <c r="AL1197" s="48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</row>
    <row r="1198" spans="2:49" x14ac:dyDescent="0.25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48"/>
      <c r="AK1198" s="48"/>
      <c r="AL1198" s="48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</row>
    <row r="1199" spans="2:49" x14ac:dyDescent="0.25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48"/>
      <c r="AK1199" s="48"/>
      <c r="AL1199" s="48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</row>
    <row r="1200" spans="2:49" x14ac:dyDescent="0.25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48"/>
      <c r="AK1200" s="48"/>
      <c r="AL1200" s="48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</row>
    <row r="1201" spans="2:49" x14ac:dyDescent="0.25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48"/>
      <c r="AK1201" s="48"/>
      <c r="AL1201" s="48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</row>
    <row r="1202" spans="2:49" x14ac:dyDescent="0.25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48"/>
      <c r="AK1202" s="48"/>
      <c r="AL1202" s="48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</row>
    <row r="1203" spans="2:49" x14ac:dyDescent="0.25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48"/>
      <c r="AK1203" s="48"/>
      <c r="AL1203" s="48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</row>
    <row r="1204" spans="2:49" x14ac:dyDescent="0.25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48"/>
      <c r="AK1204" s="48"/>
      <c r="AL1204" s="48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</row>
    <row r="1205" spans="2:49" x14ac:dyDescent="0.25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48"/>
      <c r="AK1205" s="48"/>
      <c r="AL1205" s="48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</row>
    <row r="1206" spans="2:49" x14ac:dyDescent="0.25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48"/>
      <c r="AK1206" s="48"/>
      <c r="AL1206" s="48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</row>
    <row r="1207" spans="2:49" x14ac:dyDescent="0.25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48"/>
      <c r="AK1207" s="48"/>
      <c r="AL1207" s="48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</row>
    <row r="1208" spans="2:49" x14ac:dyDescent="0.25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48"/>
      <c r="AK1208" s="48"/>
      <c r="AL1208" s="48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</row>
    <row r="1209" spans="2:49" x14ac:dyDescent="0.25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48"/>
      <c r="AK1209" s="48"/>
      <c r="AL1209" s="48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</row>
    <row r="1210" spans="2:49" x14ac:dyDescent="0.25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48"/>
      <c r="AK1210" s="48"/>
      <c r="AL1210" s="48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</row>
    <row r="1211" spans="2:49" x14ac:dyDescent="0.25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48"/>
      <c r="AK1211" s="48"/>
      <c r="AL1211" s="48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</row>
    <row r="1212" spans="2:49" x14ac:dyDescent="0.25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48"/>
      <c r="AK1212" s="48"/>
      <c r="AL1212" s="48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</row>
    <row r="1213" spans="2:49" x14ac:dyDescent="0.25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48"/>
      <c r="AK1213" s="48"/>
      <c r="AL1213" s="48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</row>
    <row r="1214" spans="2:49" x14ac:dyDescent="0.25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48"/>
      <c r="AK1214" s="48"/>
      <c r="AL1214" s="48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</row>
    <row r="1215" spans="2:49" x14ac:dyDescent="0.25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48"/>
      <c r="AK1215" s="48"/>
      <c r="AL1215" s="48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</row>
    <row r="1216" spans="2:49" x14ac:dyDescent="0.25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48"/>
      <c r="AK1216" s="48"/>
      <c r="AL1216" s="48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</row>
    <row r="1217" spans="2:49" x14ac:dyDescent="0.25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48"/>
      <c r="AK1217" s="48"/>
      <c r="AL1217" s="48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</row>
    <row r="1218" spans="2:49" x14ac:dyDescent="0.25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48"/>
      <c r="AK1218" s="48"/>
      <c r="AL1218" s="48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</row>
    <row r="1219" spans="2:49" x14ac:dyDescent="0.25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48"/>
      <c r="AK1219" s="48"/>
      <c r="AL1219" s="48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</row>
    <row r="1220" spans="2:49" x14ac:dyDescent="0.25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48"/>
      <c r="AK1220" s="48"/>
      <c r="AL1220" s="48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</row>
    <row r="1221" spans="2:49" x14ac:dyDescent="0.25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48"/>
      <c r="AK1221" s="48"/>
      <c r="AL1221" s="48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</row>
    <row r="1222" spans="2:49" x14ac:dyDescent="0.25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48"/>
      <c r="AK1222" s="48"/>
      <c r="AL1222" s="48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</row>
    <row r="1223" spans="2:49" x14ac:dyDescent="0.25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48"/>
      <c r="AK1223" s="48"/>
      <c r="AL1223" s="48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</row>
    <row r="1224" spans="2:49" x14ac:dyDescent="0.25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48"/>
      <c r="AK1224" s="48"/>
      <c r="AL1224" s="48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</row>
    <row r="1225" spans="2:49" x14ac:dyDescent="0.25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48"/>
      <c r="AK1225" s="48"/>
      <c r="AL1225" s="48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</row>
    <row r="1226" spans="2:49" x14ac:dyDescent="0.25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48"/>
      <c r="AK1226" s="48"/>
      <c r="AL1226" s="48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</row>
    <row r="1227" spans="2:49" x14ac:dyDescent="0.25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48"/>
      <c r="AK1227" s="48"/>
      <c r="AL1227" s="48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</row>
    <row r="1228" spans="2:49" x14ac:dyDescent="0.25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48"/>
      <c r="AK1228" s="48"/>
      <c r="AL1228" s="48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</row>
    <row r="1229" spans="2:49" x14ac:dyDescent="0.25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48"/>
      <c r="AK1229" s="48"/>
      <c r="AL1229" s="48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</row>
    <row r="1230" spans="2:49" x14ac:dyDescent="0.25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48"/>
      <c r="AK1230" s="48"/>
      <c r="AL1230" s="48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</row>
    <row r="1231" spans="2:49" x14ac:dyDescent="0.25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48"/>
      <c r="AK1231" s="48"/>
      <c r="AL1231" s="48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</row>
    <row r="1232" spans="2:49" x14ac:dyDescent="0.25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48"/>
      <c r="AK1232" s="48"/>
      <c r="AL1232" s="48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</row>
    <row r="1233" spans="2:49" x14ac:dyDescent="0.25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48"/>
      <c r="AK1233" s="48"/>
      <c r="AL1233" s="48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</row>
    <row r="1234" spans="2:49" x14ac:dyDescent="0.25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48"/>
      <c r="AK1234" s="48"/>
      <c r="AL1234" s="48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</row>
    <row r="1235" spans="2:49" x14ac:dyDescent="0.25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48"/>
      <c r="AK1235" s="48"/>
      <c r="AL1235" s="48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</row>
    <row r="1236" spans="2:49" x14ac:dyDescent="0.25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48"/>
      <c r="AK1236" s="48"/>
      <c r="AL1236" s="48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</row>
    <row r="1237" spans="2:49" x14ac:dyDescent="0.25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48"/>
      <c r="AK1237" s="48"/>
      <c r="AL1237" s="48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</row>
    <row r="1238" spans="2:49" x14ac:dyDescent="0.25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48"/>
      <c r="AK1238" s="48"/>
      <c r="AL1238" s="48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</row>
    <row r="1239" spans="2:49" x14ac:dyDescent="0.25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48"/>
      <c r="AK1239" s="48"/>
      <c r="AL1239" s="48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</row>
    <row r="1240" spans="2:49" x14ac:dyDescent="0.25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48"/>
      <c r="AK1240" s="48"/>
      <c r="AL1240" s="48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</row>
    <row r="1241" spans="2:49" x14ac:dyDescent="0.25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48"/>
      <c r="AK1241" s="48"/>
      <c r="AL1241" s="48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</row>
    <row r="1242" spans="2:49" x14ac:dyDescent="0.25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48"/>
      <c r="AK1242" s="48"/>
      <c r="AL1242" s="48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</row>
    <row r="1243" spans="2:49" x14ac:dyDescent="0.25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48"/>
      <c r="AK1243" s="48"/>
      <c r="AL1243" s="48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</row>
    <row r="1244" spans="2:49" x14ac:dyDescent="0.25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48"/>
      <c r="AK1244" s="48"/>
      <c r="AL1244" s="48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</row>
    <row r="1245" spans="2:49" x14ac:dyDescent="0.25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48"/>
      <c r="AK1245" s="48"/>
      <c r="AL1245" s="48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</row>
    <row r="1246" spans="2:49" x14ac:dyDescent="0.25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48"/>
      <c r="AK1246" s="48"/>
      <c r="AL1246" s="48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</row>
    <row r="1247" spans="2:49" x14ac:dyDescent="0.25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48"/>
      <c r="AK1247" s="48"/>
      <c r="AL1247" s="48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</row>
    <row r="1248" spans="2:49" x14ac:dyDescent="0.25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48"/>
      <c r="AK1248" s="48"/>
      <c r="AL1248" s="48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</row>
    <row r="1249" spans="2:49" x14ac:dyDescent="0.25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48"/>
      <c r="AK1249" s="48"/>
      <c r="AL1249" s="48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</row>
    <row r="1250" spans="2:49" x14ac:dyDescent="0.25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48"/>
      <c r="AK1250" s="48"/>
      <c r="AL1250" s="48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</row>
    <row r="1251" spans="2:49" x14ac:dyDescent="0.25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48"/>
      <c r="AK1251" s="48"/>
      <c r="AL1251" s="48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</row>
    <row r="1252" spans="2:49" x14ac:dyDescent="0.25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48"/>
      <c r="AK1252" s="48"/>
      <c r="AL1252" s="48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</row>
    <row r="1253" spans="2:49" x14ac:dyDescent="0.25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48"/>
      <c r="AK1253" s="48"/>
      <c r="AL1253" s="48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</row>
    <row r="1254" spans="2:49" x14ac:dyDescent="0.25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48"/>
      <c r="AK1254" s="48"/>
      <c r="AL1254" s="48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</row>
    <row r="1255" spans="2:49" x14ac:dyDescent="0.25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48"/>
      <c r="AK1255" s="48"/>
      <c r="AL1255" s="48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</row>
    <row r="1256" spans="2:49" x14ac:dyDescent="0.25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48"/>
      <c r="AK1256" s="48"/>
      <c r="AL1256" s="48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</row>
    <row r="1257" spans="2:49" x14ac:dyDescent="0.25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48"/>
      <c r="AK1257" s="48"/>
      <c r="AL1257" s="48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</row>
    <row r="1258" spans="2:49" x14ac:dyDescent="0.25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</row>
    <row r="1259" spans="2:49" x14ac:dyDescent="0.25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</row>
    <row r="1260" spans="2:49" x14ac:dyDescent="0.25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</row>
    <row r="1261" spans="2:49" x14ac:dyDescent="0.25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</row>
    <row r="1262" spans="2:49" x14ac:dyDescent="0.25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</row>
    <row r="1263" spans="2:49" x14ac:dyDescent="0.25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</row>
    <row r="1264" spans="2:49" x14ac:dyDescent="0.25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</row>
    <row r="1265" spans="2:49" x14ac:dyDescent="0.25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</row>
    <row r="1266" spans="2:49" x14ac:dyDescent="0.25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</row>
    <row r="1267" spans="2:49" x14ac:dyDescent="0.25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</row>
    <row r="1268" spans="2:49" x14ac:dyDescent="0.25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</row>
    <row r="1269" spans="2:49" x14ac:dyDescent="0.25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</row>
    <row r="1270" spans="2:49" x14ac:dyDescent="0.25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</row>
    <row r="1271" spans="2:49" x14ac:dyDescent="0.25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</row>
    <row r="1272" spans="2:49" x14ac:dyDescent="0.25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</row>
    <row r="1273" spans="2:49" x14ac:dyDescent="0.25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</row>
    <row r="1274" spans="2:49" x14ac:dyDescent="0.25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</row>
    <row r="1275" spans="2:49" x14ac:dyDescent="0.25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</row>
    <row r="1276" spans="2:49" x14ac:dyDescent="0.25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</row>
    <row r="1277" spans="2:49" x14ac:dyDescent="0.25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</row>
    <row r="1278" spans="2:49" x14ac:dyDescent="0.25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</row>
  </sheetData>
  <mergeCells count="12">
    <mergeCell ref="AV6:AX6"/>
    <mergeCell ref="AR6:AT6"/>
    <mergeCell ref="AN6:AP6"/>
    <mergeCell ref="AJ6:AK6"/>
    <mergeCell ref="D6:F6"/>
    <mergeCell ref="H6:J6"/>
    <mergeCell ref="AB6:AC6"/>
    <mergeCell ref="AF6:AG6"/>
    <mergeCell ref="X6:Y6"/>
    <mergeCell ref="T6:U6"/>
    <mergeCell ref="L6:N6"/>
    <mergeCell ref="P6:R6"/>
  </mergeCells>
  <phoneticPr fontId="5" type="noConversion"/>
  <pageMargins left="0.5" right="0.22" top="0.81" bottom="1" header="0.5" footer="0.5"/>
  <pageSetup scale="10" orientation="landscape" r:id="rId1"/>
  <headerFooter alignWithMargins="0"/>
  <ignoredErrors>
    <ignoredError sqref="F609 F610:F619 F662:F671 F714:F723 F764:F766 F768:F769 F767 F770:F775 F822:F825 F826:F827 F868:F869 F870:F871" formulaRange="1"/>
    <ignoredError sqref="B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46"/>
    <pageSetUpPr fitToPage="1"/>
  </sheetPr>
  <dimension ref="A1:BL1085"/>
  <sheetViews>
    <sheetView zoomScaleNormal="100" workbookViewId="0">
      <pane xSplit="3" ySplit="7" topLeftCell="AA856" activePane="bottomRight" state="frozen"/>
      <selection pane="topRight" activeCell="D1" sqref="D1"/>
      <selection pane="bottomLeft" activeCell="A7" sqref="A7"/>
      <selection pane="bottomRight" activeCell="A873" sqref="A873:XFD873"/>
    </sheetView>
  </sheetViews>
  <sheetFormatPr defaultRowHeight="15" x14ac:dyDescent="0.25"/>
  <cols>
    <col min="1" max="1" width="5.54296875" style="14" customWidth="1"/>
    <col min="2" max="2" width="12.1796875" customWidth="1"/>
    <col min="3" max="3" width="9.1796875" customWidth="1"/>
    <col min="4" max="6" width="6.81640625" customWidth="1"/>
    <col min="7" max="7" width="1.1796875" customWidth="1"/>
    <col min="8" max="10" width="6.81640625" customWidth="1"/>
    <col min="11" max="11" width="1.1796875" customWidth="1"/>
    <col min="12" max="14" width="6.81640625" customWidth="1"/>
    <col min="15" max="15" width="1.1796875" customWidth="1"/>
    <col min="16" max="18" width="6.81640625" customWidth="1"/>
    <col min="19" max="19" width="1.1796875" customWidth="1"/>
    <col min="20" max="22" width="6.81640625" customWidth="1"/>
    <col min="23" max="23" width="1.1796875" customWidth="1"/>
    <col min="24" max="26" width="6.81640625" customWidth="1"/>
    <col min="27" max="27" width="1.1796875" customWidth="1"/>
    <col min="28" max="30" width="6.81640625" customWidth="1"/>
    <col min="31" max="31" width="1.1796875" customWidth="1"/>
    <col min="32" max="34" width="6.81640625" customWidth="1"/>
    <col min="35" max="35" width="1.1796875" customWidth="1"/>
    <col min="36" max="38" width="6.81640625" customWidth="1"/>
    <col min="39" max="39" width="1.1796875" customWidth="1"/>
    <col min="40" max="42" width="6.81640625" customWidth="1"/>
    <col min="43" max="43" width="1.1796875" customWidth="1"/>
    <col min="44" max="45" width="6.81640625" customWidth="1"/>
    <col min="46" max="46" width="6.81640625" style="49" customWidth="1"/>
    <col min="47" max="47" width="1.1796875" customWidth="1"/>
    <col min="48" max="50" width="6.81640625" customWidth="1"/>
  </cols>
  <sheetData>
    <row r="1" spans="1:50" ht="15.6" x14ac:dyDescent="0.3">
      <c r="B1" s="8" t="s">
        <v>142</v>
      </c>
      <c r="C1" s="8"/>
      <c r="P1" s="8" t="s">
        <v>142</v>
      </c>
      <c r="AB1" s="8" t="s">
        <v>142</v>
      </c>
      <c r="AN1" s="8" t="s">
        <v>142</v>
      </c>
    </row>
    <row r="2" spans="1:50" x14ac:dyDescent="0.25">
      <c r="B2" s="16" t="s">
        <v>86</v>
      </c>
      <c r="C2" s="16"/>
    </row>
    <row r="3" spans="1:50" x14ac:dyDescent="0.25">
      <c r="B3" s="16" t="s">
        <v>87</v>
      </c>
      <c r="C3" s="16"/>
    </row>
    <row r="4" spans="1:50" x14ac:dyDescent="0.25">
      <c r="B4" s="12" t="s">
        <v>239</v>
      </c>
      <c r="C4" s="16"/>
    </row>
    <row r="5" spans="1:50" x14ac:dyDescent="0.25">
      <c r="B5" s="16"/>
      <c r="C5" s="16"/>
      <c r="D5" s="16" t="s">
        <v>88</v>
      </c>
    </row>
    <row r="6" spans="1:50" ht="15.6" x14ac:dyDescent="0.3">
      <c r="B6" s="10" t="s">
        <v>70</v>
      </c>
      <c r="C6" s="10" t="s">
        <v>148</v>
      </c>
      <c r="D6" s="145" t="s">
        <v>74</v>
      </c>
      <c r="E6" s="145"/>
      <c r="F6" s="145"/>
      <c r="G6" s="25"/>
      <c r="H6" s="145" t="s">
        <v>75</v>
      </c>
      <c r="I6" s="145"/>
      <c r="J6" s="145"/>
      <c r="K6" s="25"/>
      <c r="L6" s="145" t="s">
        <v>76</v>
      </c>
      <c r="M6" s="145"/>
      <c r="N6" s="145"/>
      <c r="O6" s="25"/>
      <c r="P6" s="145" t="s">
        <v>85</v>
      </c>
      <c r="Q6" s="145"/>
      <c r="R6" s="145"/>
      <c r="S6" s="25"/>
      <c r="T6" s="146" t="s">
        <v>84</v>
      </c>
      <c r="U6" s="146"/>
      <c r="V6" s="146"/>
      <c r="W6" s="26"/>
      <c r="X6" s="145" t="s">
        <v>83</v>
      </c>
      <c r="Y6" s="145"/>
      <c r="Z6" s="145"/>
      <c r="AA6" s="25"/>
      <c r="AB6" s="145" t="s">
        <v>82</v>
      </c>
      <c r="AC6" s="145"/>
      <c r="AD6" s="145"/>
      <c r="AE6" s="25"/>
      <c r="AF6" s="145" t="s">
        <v>81</v>
      </c>
      <c r="AG6" s="145"/>
      <c r="AH6" s="145"/>
      <c r="AI6" s="25"/>
      <c r="AJ6" s="145" t="s">
        <v>80</v>
      </c>
      <c r="AK6" s="145"/>
      <c r="AL6" s="145"/>
      <c r="AM6" s="25"/>
      <c r="AN6" s="145" t="s">
        <v>79</v>
      </c>
      <c r="AO6" s="145"/>
      <c r="AP6" s="145"/>
      <c r="AQ6" s="25"/>
      <c r="AR6" s="145" t="s">
        <v>78</v>
      </c>
      <c r="AS6" s="145"/>
      <c r="AT6" s="145"/>
      <c r="AU6" s="25"/>
      <c r="AV6" s="145" t="s">
        <v>77</v>
      </c>
      <c r="AW6" s="145"/>
      <c r="AX6" s="145"/>
    </row>
    <row r="7" spans="1:50" ht="16.2" thickBot="1" x14ac:dyDescent="0.35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50" t="s">
        <v>143</v>
      </c>
      <c r="AU7" s="11"/>
      <c r="AV7" s="11" t="s">
        <v>72</v>
      </c>
      <c r="AW7" s="11" t="s">
        <v>73</v>
      </c>
      <c r="AX7" s="39" t="s">
        <v>143</v>
      </c>
    </row>
    <row r="8" spans="1:50" ht="9.75" customHeight="1" x14ac:dyDescent="0.25">
      <c r="A8" s="14">
        <v>18</v>
      </c>
      <c r="B8" s="102">
        <f>+B9-7</f>
        <v>35558</v>
      </c>
      <c r="C8" s="103">
        <v>35553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8"/>
      <c r="AU8" s="27"/>
      <c r="AV8" s="27"/>
      <c r="AW8" s="27"/>
      <c r="AX8" s="44"/>
    </row>
    <row r="9" spans="1:50" ht="9.75" customHeight="1" x14ac:dyDescent="0.25">
      <c r="A9" s="14">
        <v>19</v>
      </c>
      <c r="B9" s="102">
        <f>+B10-7</f>
        <v>35565</v>
      </c>
      <c r="C9" s="103">
        <v>35560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8"/>
      <c r="AU9" s="27"/>
      <c r="AV9" s="27"/>
      <c r="AW9" s="27"/>
      <c r="AX9" s="44"/>
    </row>
    <row r="10" spans="1:50" ht="9.75" customHeight="1" x14ac:dyDescent="0.25">
      <c r="A10" s="14">
        <v>20</v>
      </c>
      <c r="B10" s="102">
        <f>+B11-7-1</f>
        <v>35572</v>
      </c>
      <c r="C10" s="103">
        <v>35567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8"/>
      <c r="AU10" s="27"/>
      <c r="AV10" s="27"/>
      <c r="AW10" s="27"/>
      <c r="AX10" s="44"/>
    </row>
    <row r="11" spans="1:50" ht="9.75" customHeight="1" x14ac:dyDescent="0.25">
      <c r="A11" s="14">
        <v>21</v>
      </c>
      <c r="B11" s="102">
        <f>+B12-7+1</f>
        <v>35580</v>
      </c>
      <c r="C11" s="103">
        <v>35574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8"/>
      <c r="AU11" s="27"/>
      <c r="AV11" s="27"/>
      <c r="AW11" s="27"/>
      <c r="AX11" s="44"/>
    </row>
    <row r="12" spans="1:50" ht="9.75" customHeight="1" x14ac:dyDescent="0.25">
      <c r="A12" s="14">
        <v>22</v>
      </c>
      <c r="B12" s="102">
        <f t="shared" ref="B12:B42" si="0">+B13-7</f>
        <v>35586</v>
      </c>
      <c r="C12" s="103">
        <v>35581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8"/>
      <c r="AU12" s="27"/>
      <c r="AV12" s="27"/>
      <c r="AW12" s="27"/>
      <c r="AX12" s="44"/>
    </row>
    <row r="13" spans="1:50" ht="9.75" customHeight="1" x14ac:dyDescent="0.25">
      <c r="A13" s="14">
        <v>23</v>
      </c>
      <c r="B13" s="102">
        <f t="shared" si="0"/>
        <v>35593</v>
      </c>
      <c r="C13" s="103">
        <v>35588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8"/>
      <c r="AU13" s="27"/>
      <c r="AV13" s="27"/>
      <c r="AW13" s="27"/>
      <c r="AX13" s="44"/>
    </row>
    <row r="14" spans="1:50" ht="9.75" customHeight="1" x14ac:dyDescent="0.25">
      <c r="A14" s="14">
        <v>24</v>
      </c>
      <c r="B14" s="102">
        <f t="shared" si="0"/>
        <v>35600</v>
      </c>
      <c r="C14" s="103">
        <v>35595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8"/>
      <c r="AU14" s="27"/>
      <c r="AV14" s="27"/>
      <c r="AW14" s="27"/>
      <c r="AX14" s="44"/>
    </row>
    <row r="15" spans="1:50" ht="9.75" customHeight="1" x14ac:dyDescent="0.25">
      <c r="A15" s="14">
        <v>25</v>
      </c>
      <c r="B15" s="102">
        <f t="shared" si="0"/>
        <v>35607</v>
      </c>
      <c r="C15" s="103">
        <v>35602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8"/>
      <c r="AU15" s="27"/>
      <c r="AV15" s="27"/>
      <c r="AW15" s="27"/>
      <c r="AX15" s="44"/>
    </row>
    <row r="16" spans="1:50" ht="9.75" customHeight="1" x14ac:dyDescent="0.25">
      <c r="A16" s="14">
        <v>26</v>
      </c>
      <c r="B16" s="102">
        <f t="shared" si="0"/>
        <v>35614</v>
      </c>
      <c r="C16" s="103">
        <v>35609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8"/>
      <c r="AU16" s="27"/>
      <c r="AV16" s="27"/>
      <c r="AW16" s="27"/>
      <c r="AX16" s="44"/>
    </row>
    <row r="17" spans="1:50" ht="9.75" customHeight="1" x14ac:dyDescent="0.25">
      <c r="A17" s="14">
        <v>27</v>
      </c>
      <c r="B17" s="102">
        <f t="shared" si="0"/>
        <v>35621</v>
      </c>
      <c r="C17" s="103">
        <v>35616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8"/>
      <c r="AU17" s="27"/>
      <c r="AV17" s="27"/>
      <c r="AW17" s="27"/>
      <c r="AX17" s="44"/>
    </row>
    <row r="18" spans="1:50" ht="9.75" customHeight="1" x14ac:dyDescent="0.25">
      <c r="A18" s="14">
        <v>28</v>
      </c>
      <c r="B18" s="102">
        <f t="shared" si="0"/>
        <v>35628</v>
      </c>
      <c r="C18" s="103">
        <v>35623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8"/>
      <c r="AU18" s="27"/>
      <c r="AV18" s="27"/>
      <c r="AW18" s="27"/>
      <c r="AX18" s="44"/>
    </row>
    <row r="19" spans="1:50" ht="9.75" customHeight="1" x14ac:dyDescent="0.25">
      <c r="A19" s="14">
        <v>29</v>
      </c>
      <c r="B19" s="102">
        <f t="shared" si="0"/>
        <v>35635</v>
      </c>
      <c r="C19" s="103">
        <v>35630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8"/>
      <c r="AU19" s="27"/>
      <c r="AV19" s="27"/>
      <c r="AW19" s="27"/>
      <c r="AX19" s="44"/>
    </row>
    <row r="20" spans="1:50" ht="9.75" customHeight="1" x14ac:dyDescent="0.25">
      <c r="A20" s="14">
        <v>30</v>
      </c>
      <c r="B20" s="102">
        <f t="shared" si="0"/>
        <v>35642</v>
      </c>
      <c r="C20" s="103">
        <v>35637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8"/>
      <c r="AU20" s="27"/>
      <c r="AV20" s="27"/>
      <c r="AW20" s="27"/>
      <c r="AX20" s="44"/>
    </row>
    <row r="21" spans="1:50" ht="9.75" customHeight="1" x14ac:dyDescent="0.25">
      <c r="A21" s="14">
        <v>31</v>
      </c>
      <c r="B21" s="102">
        <f t="shared" si="0"/>
        <v>35649</v>
      </c>
      <c r="C21" s="103">
        <v>35644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8"/>
      <c r="AU21" s="27"/>
      <c r="AV21" s="27"/>
      <c r="AW21" s="27"/>
      <c r="AX21" s="44"/>
    </row>
    <row r="22" spans="1:50" ht="9.75" customHeight="1" x14ac:dyDescent="0.25">
      <c r="A22" s="14">
        <v>32</v>
      </c>
      <c r="B22" s="102">
        <f t="shared" si="0"/>
        <v>35656</v>
      </c>
      <c r="C22" s="103">
        <v>35651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8"/>
      <c r="AU22" s="27"/>
      <c r="AV22" s="27"/>
      <c r="AW22" s="27"/>
      <c r="AX22" s="44"/>
    </row>
    <row r="23" spans="1:50" ht="9.75" customHeight="1" x14ac:dyDescent="0.25">
      <c r="A23" s="14">
        <v>33</v>
      </c>
      <c r="B23" s="102">
        <f t="shared" si="0"/>
        <v>35663</v>
      </c>
      <c r="C23" s="103">
        <v>35658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8"/>
      <c r="AU23" s="27"/>
      <c r="AV23" s="27"/>
      <c r="AW23" s="27"/>
      <c r="AX23" s="44"/>
    </row>
    <row r="24" spans="1:50" ht="9.75" customHeight="1" x14ac:dyDescent="0.25">
      <c r="A24" s="14">
        <v>34</v>
      </c>
      <c r="B24" s="102">
        <f t="shared" si="0"/>
        <v>35670</v>
      </c>
      <c r="C24" s="103">
        <v>35665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8"/>
      <c r="AU24" s="27"/>
      <c r="AV24" s="27"/>
      <c r="AW24" s="27"/>
      <c r="AX24" s="44"/>
    </row>
    <row r="25" spans="1:50" ht="9.75" customHeight="1" x14ac:dyDescent="0.25">
      <c r="A25" s="14">
        <v>35</v>
      </c>
      <c r="B25" s="102">
        <f t="shared" si="0"/>
        <v>35677</v>
      </c>
      <c r="C25" s="103">
        <v>35672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8"/>
      <c r="AU25" s="27"/>
      <c r="AV25" s="27"/>
      <c r="AW25" s="27"/>
      <c r="AX25" s="44"/>
    </row>
    <row r="26" spans="1:50" ht="9.75" customHeight="1" x14ac:dyDescent="0.25">
      <c r="A26" s="14">
        <v>36</v>
      </c>
      <c r="B26" s="102">
        <f t="shared" si="0"/>
        <v>35684</v>
      </c>
      <c r="C26" s="103">
        <v>35679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8"/>
      <c r="AU26" s="27"/>
      <c r="AV26" s="27"/>
      <c r="AW26" s="27"/>
      <c r="AX26" s="44"/>
    </row>
    <row r="27" spans="1:50" ht="9.75" customHeight="1" x14ac:dyDescent="0.25">
      <c r="A27" s="14">
        <v>37</v>
      </c>
      <c r="B27" s="102">
        <f t="shared" si="0"/>
        <v>35691</v>
      </c>
      <c r="C27" s="103">
        <v>35686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8"/>
      <c r="AU27" s="27"/>
      <c r="AV27" s="27"/>
      <c r="AW27" s="27"/>
      <c r="AX27" s="44"/>
    </row>
    <row r="28" spans="1:50" ht="9.75" customHeight="1" x14ac:dyDescent="0.25">
      <c r="A28" s="14">
        <v>38</v>
      </c>
      <c r="B28" s="102">
        <f t="shared" si="0"/>
        <v>35698</v>
      </c>
      <c r="C28" s="103">
        <v>35693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8"/>
      <c r="AU28" s="27"/>
      <c r="AV28" s="27"/>
      <c r="AW28" s="27"/>
      <c r="AX28" s="44"/>
    </row>
    <row r="29" spans="1:50" ht="9.75" customHeight="1" x14ac:dyDescent="0.25">
      <c r="A29" s="14">
        <v>39</v>
      </c>
      <c r="B29" s="102">
        <f t="shared" si="0"/>
        <v>35705</v>
      </c>
      <c r="C29" s="103">
        <v>35700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8"/>
      <c r="AU29" s="27"/>
      <c r="AV29" s="27"/>
      <c r="AW29" s="27"/>
      <c r="AX29" s="44"/>
    </row>
    <row r="30" spans="1:50" ht="9.75" customHeight="1" x14ac:dyDescent="0.25">
      <c r="A30" s="14">
        <v>40</v>
      </c>
      <c r="B30" s="102">
        <f t="shared" si="0"/>
        <v>35712</v>
      </c>
      <c r="C30" s="103">
        <v>35707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8"/>
      <c r="AU30" s="27"/>
      <c r="AV30" s="27"/>
      <c r="AW30" s="27"/>
      <c r="AX30" s="44"/>
    </row>
    <row r="31" spans="1:50" ht="9.75" customHeight="1" x14ac:dyDescent="0.25">
      <c r="A31" s="14">
        <v>41</v>
      </c>
      <c r="B31" s="102">
        <f t="shared" si="0"/>
        <v>35719</v>
      </c>
      <c r="C31" s="103">
        <v>35714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8"/>
      <c r="AU31" s="27"/>
      <c r="AV31" s="27"/>
      <c r="AW31" s="27"/>
      <c r="AX31" s="44"/>
    </row>
    <row r="32" spans="1:50" ht="9.75" customHeight="1" x14ac:dyDescent="0.25">
      <c r="A32" s="14">
        <v>42</v>
      </c>
      <c r="B32" s="102">
        <f t="shared" si="0"/>
        <v>35726</v>
      </c>
      <c r="C32" s="103">
        <v>35721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8"/>
      <c r="AU32" s="27"/>
      <c r="AV32" s="27"/>
      <c r="AW32" s="27"/>
      <c r="AX32" s="44"/>
    </row>
    <row r="33" spans="1:50" ht="9.75" customHeight="1" x14ac:dyDescent="0.25">
      <c r="A33" s="14">
        <v>43</v>
      </c>
      <c r="B33" s="102">
        <f t="shared" si="0"/>
        <v>35733</v>
      </c>
      <c r="C33" s="103">
        <v>35728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8"/>
      <c r="AU33" s="27"/>
      <c r="AV33" s="27"/>
      <c r="AW33" s="27"/>
      <c r="AX33" s="44"/>
    </row>
    <row r="34" spans="1:50" ht="9.75" customHeight="1" x14ac:dyDescent="0.25">
      <c r="A34" s="14">
        <v>44</v>
      </c>
      <c r="B34" s="102">
        <f t="shared" si="0"/>
        <v>35740</v>
      </c>
      <c r="C34" s="103">
        <v>35735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8"/>
      <c r="AU34" s="27"/>
      <c r="AV34" s="27"/>
      <c r="AW34" s="27"/>
      <c r="AX34" s="44"/>
    </row>
    <row r="35" spans="1:50" ht="9.75" customHeight="1" x14ac:dyDescent="0.25">
      <c r="A35" s="14">
        <v>45</v>
      </c>
      <c r="B35" s="102">
        <f t="shared" si="0"/>
        <v>35747</v>
      </c>
      <c r="C35" s="103">
        <v>35742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8"/>
      <c r="AU35" s="27"/>
      <c r="AV35" s="27"/>
      <c r="AW35" s="27"/>
      <c r="AX35" s="44"/>
    </row>
    <row r="36" spans="1:50" ht="9.75" customHeight="1" x14ac:dyDescent="0.25">
      <c r="A36" s="14">
        <v>46</v>
      </c>
      <c r="B36" s="102">
        <f t="shared" si="0"/>
        <v>35754</v>
      </c>
      <c r="C36" s="103">
        <v>35749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8"/>
      <c r="AU36" s="27"/>
      <c r="AV36" s="27"/>
      <c r="AW36" s="27"/>
      <c r="AX36" s="44"/>
    </row>
    <row r="37" spans="1:50" ht="9.75" customHeight="1" x14ac:dyDescent="0.25">
      <c r="A37" s="14">
        <v>47</v>
      </c>
      <c r="B37" s="102">
        <f t="shared" si="0"/>
        <v>35761</v>
      </c>
      <c r="C37" s="103">
        <v>35756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8"/>
      <c r="AU37" s="27"/>
      <c r="AV37" s="27"/>
      <c r="AW37" s="27"/>
      <c r="AX37" s="44"/>
    </row>
    <row r="38" spans="1:50" ht="9.75" customHeight="1" x14ac:dyDescent="0.25">
      <c r="A38" s="14">
        <v>48</v>
      </c>
      <c r="B38" s="102">
        <f t="shared" si="0"/>
        <v>35768</v>
      </c>
      <c r="C38" s="103">
        <v>35763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8"/>
      <c r="AU38" s="27"/>
      <c r="AV38" s="27"/>
      <c r="AW38" s="27"/>
      <c r="AX38" s="44"/>
    </row>
    <row r="39" spans="1:50" ht="9.75" customHeight="1" x14ac:dyDescent="0.25">
      <c r="A39" s="14">
        <v>49</v>
      </c>
      <c r="B39" s="102">
        <f t="shared" si="0"/>
        <v>35775</v>
      </c>
      <c r="C39" s="103">
        <v>35770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8"/>
      <c r="AU39" s="27"/>
      <c r="AV39" s="27"/>
      <c r="AW39" s="27"/>
      <c r="AX39" s="44"/>
    </row>
    <row r="40" spans="1:50" ht="9.75" customHeight="1" x14ac:dyDescent="0.25">
      <c r="A40" s="14">
        <v>50</v>
      </c>
      <c r="B40" s="102">
        <f t="shared" si="0"/>
        <v>35782</v>
      </c>
      <c r="C40" s="103">
        <v>35777</v>
      </c>
      <c r="AX40" s="31"/>
    </row>
    <row r="41" spans="1:50" ht="9.75" customHeight="1" x14ac:dyDescent="0.25">
      <c r="A41" s="14">
        <v>51</v>
      </c>
      <c r="B41" s="102">
        <f t="shared" si="0"/>
        <v>35789</v>
      </c>
      <c r="C41" s="103">
        <v>35784</v>
      </c>
    </row>
    <row r="42" spans="1:50" ht="9.75" customHeight="1" x14ac:dyDescent="0.25">
      <c r="A42" s="14">
        <v>52</v>
      </c>
      <c r="B42" s="102">
        <f t="shared" si="0"/>
        <v>35796</v>
      </c>
      <c r="C42" s="103">
        <v>35791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51"/>
      <c r="AU42" s="36"/>
      <c r="AV42" s="36"/>
      <c r="AW42" s="36"/>
    </row>
    <row r="43" spans="1:50" ht="10.199999999999999" customHeight="1" x14ac:dyDescent="0.25">
      <c r="A43" s="14">
        <v>1</v>
      </c>
      <c r="B43" s="103">
        <v>35803</v>
      </c>
      <c r="C43" s="103">
        <v>35798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51"/>
      <c r="AU43" s="36"/>
      <c r="AV43" s="36"/>
      <c r="AW43" s="36"/>
    </row>
    <row r="44" spans="1:50" ht="10.199999999999999" customHeight="1" x14ac:dyDescent="0.25">
      <c r="A44" s="14">
        <v>2</v>
      </c>
      <c r="B44" s="103">
        <v>35810</v>
      </c>
      <c r="C44" s="103">
        <v>35805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51"/>
      <c r="AU44" s="36"/>
      <c r="AV44" s="36"/>
      <c r="AW44" s="36"/>
    </row>
    <row r="45" spans="1:50" ht="10.199999999999999" customHeight="1" x14ac:dyDescent="0.25">
      <c r="A45" s="14">
        <f t="shared" ref="A45:A94" si="1">+A44+1</f>
        <v>3</v>
      </c>
      <c r="B45" s="103">
        <v>35817</v>
      </c>
      <c r="C45" s="103">
        <v>35812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51"/>
      <c r="AU45" s="36"/>
      <c r="AV45" s="36"/>
      <c r="AW45" s="36"/>
    </row>
    <row r="46" spans="1:50" ht="10.199999999999999" customHeight="1" x14ac:dyDescent="0.25">
      <c r="A46" s="14">
        <f t="shared" si="1"/>
        <v>4</v>
      </c>
      <c r="B46" s="103">
        <v>35824</v>
      </c>
      <c r="C46" s="103">
        <v>35819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51"/>
      <c r="AU46" s="36"/>
      <c r="AV46" s="36"/>
      <c r="AW46" s="36"/>
    </row>
    <row r="47" spans="1:50" ht="10.199999999999999" customHeight="1" x14ac:dyDescent="0.25">
      <c r="A47" s="14">
        <f t="shared" si="1"/>
        <v>5</v>
      </c>
      <c r="B47" s="103">
        <v>35831</v>
      </c>
      <c r="C47" s="103">
        <v>35826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51"/>
      <c r="AU47" s="36"/>
      <c r="AV47" s="36"/>
      <c r="AW47" s="36"/>
    </row>
    <row r="48" spans="1:50" ht="10.199999999999999" customHeight="1" x14ac:dyDescent="0.25">
      <c r="A48" s="14">
        <f t="shared" si="1"/>
        <v>6</v>
      </c>
      <c r="B48" s="103">
        <v>35838</v>
      </c>
      <c r="C48" s="103">
        <v>35833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51"/>
      <c r="AU48" s="36"/>
      <c r="AV48" s="36"/>
      <c r="AW48" s="36"/>
    </row>
    <row r="49" spans="1:49" ht="10.199999999999999" customHeight="1" x14ac:dyDescent="0.25">
      <c r="A49" s="14">
        <f t="shared" si="1"/>
        <v>7</v>
      </c>
      <c r="B49" s="103">
        <v>35845</v>
      </c>
      <c r="C49" s="103">
        <v>35840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51"/>
      <c r="AU49" s="36"/>
      <c r="AV49" s="36"/>
      <c r="AW49" s="36"/>
    </row>
    <row r="50" spans="1:49" ht="10.199999999999999" customHeight="1" x14ac:dyDescent="0.25">
      <c r="A50" s="14">
        <f t="shared" si="1"/>
        <v>8</v>
      </c>
      <c r="B50" s="103">
        <v>35852</v>
      </c>
      <c r="C50" s="103">
        <v>35847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51"/>
      <c r="AU50" s="36"/>
      <c r="AV50" s="36"/>
      <c r="AW50" s="36"/>
    </row>
    <row r="51" spans="1:49" ht="10.199999999999999" customHeight="1" x14ac:dyDescent="0.25">
      <c r="A51" s="14">
        <f t="shared" si="1"/>
        <v>9</v>
      </c>
      <c r="B51" s="103">
        <v>35859</v>
      </c>
      <c r="C51" s="103">
        <v>35854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51"/>
      <c r="AU51" s="36"/>
      <c r="AV51" s="36"/>
      <c r="AW51" s="36"/>
    </row>
    <row r="52" spans="1:49" ht="10.199999999999999" customHeight="1" x14ac:dyDescent="0.25">
      <c r="A52" s="14">
        <f t="shared" si="1"/>
        <v>10</v>
      </c>
      <c r="B52" s="103">
        <v>35866</v>
      </c>
      <c r="C52" s="103">
        <v>35861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51"/>
      <c r="AU52" s="36"/>
      <c r="AV52" s="36"/>
      <c r="AW52" s="36"/>
    </row>
    <row r="53" spans="1:49" ht="10.199999999999999" customHeight="1" x14ac:dyDescent="0.25">
      <c r="A53" s="14">
        <f t="shared" si="1"/>
        <v>11</v>
      </c>
      <c r="B53" s="103">
        <v>35873</v>
      </c>
      <c r="C53" s="103">
        <v>35868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51"/>
      <c r="AU53" s="36"/>
      <c r="AV53" s="36"/>
      <c r="AW53" s="36"/>
    </row>
    <row r="54" spans="1:49" ht="10.199999999999999" customHeight="1" x14ac:dyDescent="0.25">
      <c r="A54" s="14">
        <f t="shared" si="1"/>
        <v>12</v>
      </c>
      <c r="B54" s="103">
        <v>35880</v>
      </c>
      <c r="C54" s="103">
        <v>35875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51"/>
      <c r="AU54" s="36"/>
      <c r="AV54" s="36"/>
      <c r="AW54" s="36"/>
    </row>
    <row r="55" spans="1:49" ht="10.199999999999999" customHeight="1" x14ac:dyDescent="0.25">
      <c r="A55" s="14">
        <f t="shared" si="1"/>
        <v>13</v>
      </c>
      <c r="B55" s="103">
        <v>35887</v>
      </c>
      <c r="C55" s="103">
        <v>35882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51"/>
      <c r="AU55" s="36"/>
      <c r="AV55" s="36"/>
      <c r="AW55" s="36"/>
    </row>
    <row r="56" spans="1:49" ht="10.199999999999999" customHeight="1" x14ac:dyDescent="0.25">
      <c r="A56" s="14">
        <f t="shared" si="1"/>
        <v>14</v>
      </c>
      <c r="B56" s="103">
        <v>35894</v>
      </c>
      <c r="C56" s="103">
        <v>35889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51"/>
      <c r="AU56" s="36"/>
      <c r="AV56" s="36"/>
      <c r="AW56" s="36"/>
    </row>
    <row r="57" spans="1:49" ht="10.199999999999999" customHeight="1" x14ac:dyDescent="0.25">
      <c r="A57" s="14">
        <f t="shared" si="1"/>
        <v>15</v>
      </c>
      <c r="B57" s="103">
        <v>35901</v>
      </c>
      <c r="C57" s="103">
        <v>35896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51"/>
      <c r="AU57" s="36"/>
      <c r="AV57" s="36"/>
      <c r="AW57" s="36"/>
    </row>
    <row r="58" spans="1:49" ht="10.199999999999999" customHeight="1" x14ac:dyDescent="0.25">
      <c r="A58" s="14">
        <f t="shared" si="1"/>
        <v>16</v>
      </c>
      <c r="B58" s="103">
        <v>35908</v>
      </c>
      <c r="C58" s="103">
        <v>35903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51"/>
      <c r="AU58" s="36"/>
      <c r="AV58" s="36"/>
      <c r="AW58" s="36"/>
    </row>
    <row r="59" spans="1:49" ht="10.199999999999999" customHeight="1" x14ac:dyDescent="0.25">
      <c r="A59" s="14">
        <f t="shared" si="1"/>
        <v>17</v>
      </c>
      <c r="B59" s="103">
        <v>35915</v>
      </c>
      <c r="C59" s="103">
        <v>35910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51"/>
      <c r="AU59" s="36"/>
      <c r="AV59" s="36"/>
      <c r="AW59" s="36"/>
    </row>
    <row r="60" spans="1:49" ht="10.199999999999999" customHeight="1" x14ac:dyDescent="0.25">
      <c r="A60" s="14">
        <f t="shared" si="1"/>
        <v>18</v>
      </c>
      <c r="B60" s="103">
        <v>35922</v>
      </c>
      <c r="C60" s="103">
        <v>35917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51"/>
      <c r="AU60" s="36"/>
      <c r="AV60" s="36"/>
      <c r="AW60" s="36"/>
    </row>
    <row r="61" spans="1:49" ht="10.199999999999999" customHeight="1" x14ac:dyDescent="0.25">
      <c r="A61" s="14">
        <f t="shared" si="1"/>
        <v>19</v>
      </c>
      <c r="B61" s="103">
        <v>35929</v>
      </c>
      <c r="C61" s="103">
        <v>35924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51"/>
      <c r="AU61" s="36"/>
      <c r="AV61" s="36"/>
      <c r="AW61" s="36"/>
    </row>
    <row r="62" spans="1:49" ht="10.199999999999999" customHeight="1" x14ac:dyDescent="0.25">
      <c r="A62" s="14">
        <f t="shared" si="1"/>
        <v>20</v>
      </c>
      <c r="B62" s="103">
        <v>35936</v>
      </c>
      <c r="C62" s="103">
        <v>35931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51"/>
      <c r="AU62" s="36"/>
      <c r="AV62" s="36"/>
      <c r="AW62" s="36"/>
    </row>
    <row r="63" spans="1:49" ht="10.199999999999999" customHeight="1" x14ac:dyDescent="0.25">
      <c r="A63" s="14">
        <f t="shared" si="1"/>
        <v>21</v>
      </c>
      <c r="B63" s="103">
        <v>35943</v>
      </c>
      <c r="C63" s="103">
        <v>35938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51"/>
      <c r="AU63" s="36"/>
      <c r="AV63" s="36"/>
      <c r="AW63" s="36"/>
    </row>
    <row r="64" spans="1:49" ht="10.199999999999999" customHeight="1" x14ac:dyDescent="0.25">
      <c r="A64" s="14">
        <f t="shared" si="1"/>
        <v>22</v>
      </c>
      <c r="B64" s="103">
        <v>35950</v>
      </c>
      <c r="C64" s="103">
        <v>35945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51"/>
      <c r="AU64" s="36"/>
      <c r="AV64" s="36"/>
      <c r="AW64" s="36"/>
    </row>
    <row r="65" spans="1:49" ht="10.199999999999999" customHeight="1" x14ac:dyDescent="0.25">
      <c r="A65" s="14">
        <f t="shared" si="1"/>
        <v>23</v>
      </c>
      <c r="B65" s="103">
        <v>35957</v>
      </c>
      <c r="C65" s="103">
        <v>35952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51"/>
      <c r="AU65" s="36"/>
      <c r="AV65" s="36"/>
      <c r="AW65" s="36"/>
    </row>
    <row r="66" spans="1:49" ht="10.199999999999999" customHeight="1" x14ac:dyDescent="0.25">
      <c r="A66" s="14">
        <f t="shared" si="1"/>
        <v>24</v>
      </c>
      <c r="B66" s="103">
        <v>35964</v>
      </c>
      <c r="C66" s="103">
        <v>35959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51"/>
      <c r="AU66" s="36"/>
      <c r="AV66" s="36"/>
      <c r="AW66" s="36"/>
    </row>
    <row r="67" spans="1:49" ht="10.199999999999999" customHeight="1" x14ac:dyDescent="0.25">
      <c r="A67" s="14">
        <f t="shared" si="1"/>
        <v>25</v>
      </c>
      <c r="B67" s="103">
        <v>35971</v>
      </c>
      <c r="C67" s="103">
        <v>35966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51"/>
      <c r="AU67" s="36"/>
      <c r="AV67" s="36"/>
      <c r="AW67" s="36"/>
    </row>
    <row r="68" spans="1:49" ht="10.199999999999999" customHeight="1" x14ac:dyDescent="0.25">
      <c r="A68" s="14">
        <f t="shared" si="1"/>
        <v>26</v>
      </c>
      <c r="B68" s="103">
        <v>35978</v>
      </c>
      <c r="C68" s="103">
        <v>35973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51"/>
      <c r="AU68" s="36"/>
      <c r="AV68" s="36"/>
      <c r="AW68" s="36"/>
    </row>
    <row r="69" spans="1:49" ht="10.199999999999999" customHeight="1" x14ac:dyDescent="0.25">
      <c r="A69" s="14">
        <f t="shared" si="1"/>
        <v>27</v>
      </c>
      <c r="B69" s="103">
        <v>35985</v>
      </c>
      <c r="C69" s="103">
        <v>35980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51"/>
      <c r="AU69" s="36"/>
      <c r="AV69" s="36"/>
      <c r="AW69" s="36"/>
    </row>
    <row r="70" spans="1:49" ht="10.199999999999999" customHeight="1" x14ac:dyDescent="0.25">
      <c r="A70" s="14">
        <f t="shared" si="1"/>
        <v>28</v>
      </c>
      <c r="B70" s="103">
        <v>35992</v>
      </c>
      <c r="C70" s="103">
        <v>35987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51"/>
      <c r="AU70" s="36"/>
      <c r="AV70" s="36"/>
      <c r="AW70" s="36"/>
    </row>
    <row r="71" spans="1:49" ht="10.199999999999999" customHeight="1" x14ac:dyDescent="0.25">
      <c r="A71" s="14">
        <f t="shared" si="1"/>
        <v>29</v>
      </c>
      <c r="B71" s="103">
        <v>35999</v>
      </c>
      <c r="C71" s="103">
        <v>35994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51"/>
      <c r="AU71" s="36"/>
      <c r="AV71" s="36"/>
      <c r="AW71" s="36"/>
    </row>
    <row r="72" spans="1:49" ht="10.199999999999999" customHeight="1" x14ac:dyDescent="0.25">
      <c r="A72" s="14">
        <f t="shared" si="1"/>
        <v>30</v>
      </c>
      <c r="B72" s="103">
        <v>36006</v>
      </c>
      <c r="C72" s="103">
        <v>36001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51"/>
      <c r="AU72" s="36"/>
      <c r="AV72" s="36"/>
      <c r="AW72" s="36"/>
    </row>
    <row r="73" spans="1:49" ht="10.199999999999999" customHeight="1" x14ac:dyDescent="0.25">
      <c r="A73" s="14">
        <f t="shared" si="1"/>
        <v>31</v>
      </c>
      <c r="B73" s="103">
        <v>36013</v>
      </c>
      <c r="C73" s="103">
        <v>36008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51"/>
      <c r="AU73" s="36"/>
      <c r="AV73" s="36"/>
      <c r="AW73" s="36"/>
    </row>
    <row r="74" spans="1:49" ht="10.199999999999999" customHeight="1" x14ac:dyDescent="0.25">
      <c r="A74" s="14">
        <f t="shared" si="1"/>
        <v>32</v>
      </c>
      <c r="B74" s="103">
        <v>36020</v>
      </c>
      <c r="C74" s="103">
        <v>36015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51"/>
      <c r="AU74" s="36"/>
      <c r="AV74" s="36"/>
      <c r="AW74" s="36"/>
    </row>
    <row r="75" spans="1:49" ht="10.199999999999999" customHeight="1" x14ac:dyDescent="0.25">
      <c r="A75" s="14">
        <f t="shared" si="1"/>
        <v>33</v>
      </c>
      <c r="B75" s="103">
        <v>36027</v>
      </c>
      <c r="C75" s="103">
        <v>36022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51"/>
      <c r="AU75" s="36"/>
      <c r="AV75" s="36"/>
      <c r="AW75" s="36"/>
    </row>
    <row r="76" spans="1:49" ht="10.199999999999999" customHeight="1" x14ac:dyDescent="0.25">
      <c r="A76" s="14">
        <f t="shared" si="1"/>
        <v>34</v>
      </c>
      <c r="B76" s="103">
        <v>36034</v>
      </c>
      <c r="C76" s="103">
        <v>36029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51"/>
      <c r="AU76" s="36"/>
      <c r="AV76" s="36"/>
      <c r="AW76" s="36"/>
    </row>
    <row r="77" spans="1:49" ht="10.199999999999999" customHeight="1" x14ac:dyDescent="0.25">
      <c r="A77" s="14">
        <f t="shared" si="1"/>
        <v>35</v>
      </c>
      <c r="B77" s="103">
        <v>36041</v>
      </c>
      <c r="C77" s="103">
        <v>36036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51"/>
      <c r="AU77" s="36"/>
      <c r="AV77" s="36"/>
      <c r="AW77" s="36"/>
    </row>
    <row r="78" spans="1:49" ht="10.199999999999999" customHeight="1" x14ac:dyDescent="0.25">
      <c r="A78" s="14">
        <f t="shared" si="1"/>
        <v>36</v>
      </c>
      <c r="B78" s="103">
        <v>36048</v>
      </c>
      <c r="C78" s="103">
        <v>36043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51"/>
      <c r="AU78" s="36"/>
      <c r="AV78" s="36"/>
      <c r="AW78" s="36"/>
    </row>
    <row r="79" spans="1:49" ht="10.199999999999999" customHeight="1" x14ac:dyDescent="0.25">
      <c r="A79" s="14">
        <f t="shared" si="1"/>
        <v>37</v>
      </c>
      <c r="B79" s="103">
        <v>36055</v>
      </c>
      <c r="C79" s="103">
        <v>36050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51"/>
      <c r="AU79" s="36"/>
      <c r="AV79" s="36"/>
      <c r="AW79" s="36"/>
    </row>
    <row r="80" spans="1:49" ht="10.199999999999999" customHeight="1" x14ac:dyDescent="0.25">
      <c r="A80" s="14">
        <f t="shared" si="1"/>
        <v>38</v>
      </c>
      <c r="B80" s="103">
        <v>36062</v>
      </c>
      <c r="C80" s="103">
        <v>36057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51"/>
      <c r="AU80" s="36"/>
      <c r="AV80" s="36"/>
      <c r="AW80" s="36"/>
    </row>
    <row r="81" spans="1:49" ht="10.199999999999999" customHeight="1" x14ac:dyDescent="0.25">
      <c r="A81" s="14">
        <f t="shared" si="1"/>
        <v>39</v>
      </c>
      <c r="B81" s="103">
        <v>36069</v>
      </c>
      <c r="C81" s="103">
        <v>36064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51"/>
      <c r="AU81" s="36"/>
      <c r="AV81" s="36"/>
      <c r="AW81" s="36"/>
    </row>
    <row r="82" spans="1:49" ht="10.199999999999999" customHeight="1" x14ac:dyDescent="0.25">
      <c r="A82" s="14">
        <f t="shared" si="1"/>
        <v>40</v>
      </c>
      <c r="B82" s="103">
        <v>36076</v>
      </c>
      <c r="C82" s="103">
        <v>36071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51"/>
      <c r="AU82" s="36"/>
      <c r="AV82" s="36"/>
      <c r="AW82" s="36"/>
    </row>
    <row r="83" spans="1:49" ht="10.199999999999999" customHeight="1" x14ac:dyDescent="0.25">
      <c r="A83" s="14">
        <f t="shared" si="1"/>
        <v>41</v>
      </c>
      <c r="B83" s="103">
        <v>36083</v>
      </c>
      <c r="C83" s="103">
        <v>36078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51"/>
      <c r="AU83" s="36"/>
      <c r="AV83" s="36"/>
      <c r="AW83" s="36"/>
    </row>
    <row r="84" spans="1:49" ht="10.199999999999999" customHeight="1" x14ac:dyDescent="0.25">
      <c r="A84" s="14">
        <f t="shared" si="1"/>
        <v>42</v>
      </c>
      <c r="B84" s="103">
        <v>36090</v>
      </c>
      <c r="C84" s="103">
        <v>36085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51"/>
      <c r="AU84" s="36"/>
      <c r="AV84" s="36"/>
      <c r="AW84" s="36"/>
    </row>
    <row r="85" spans="1:49" ht="10.199999999999999" customHeight="1" x14ac:dyDescent="0.25">
      <c r="A85" s="14">
        <f t="shared" si="1"/>
        <v>43</v>
      </c>
      <c r="B85" s="103">
        <v>36097</v>
      </c>
      <c r="C85" s="103">
        <v>36092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51"/>
      <c r="AU85" s="36"/>
      <c r="AV85" s="36"/>
      <c r="AW85" s="36"/>
    </row>
    <row r="86" spans="1:49" ht="10.199999999999999" customHeight="1" x14ac:dyDescent="0.25">
      <c r="A86" s="14">
        <f t="shared" si="1"/>
        <v>44</v>
      </c>
      <c r="B86" s="103">
        <v>36104</v>
      </c>
      <c r="C86" s="103">
        <v>36099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51"/>
      <c r="AU86" s="36"/>
      <c r="AV86" s="36"/>
      <c r="AW86" s="36"/>
    </row>
    <row r="87" spans="1:49" ht="10.199999999999999" customHeight="1" x14ac:dyDescent="0.25">
      <c r="A87" s="14">
        <f t="shared" si="1"/>
        <v>45</v>
      </c>
      <c r="B87" s="103">
        <v>36111</v>
      </c>
      <c r="C87" s="103">
        <v>36106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51"/>
      <c r="AU87" s="36"/>
      <c r="AV87" s="36"/>
      <c r="AW87" s="36"/>
    </row>
    <row r="88" spans="1:49" ht="10.199999999999999" customHeight="1" x14ac:dyDescent="0.25">
      <c r="A88" s="14">
        <f t="shared" si="1"/>
        <v>46</v>
      </c>
      <c r="B88" s="103">
        <v>36118</v>
      </c>
      <c r="C88" s="103">
        <v>36113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51"/>
      <c r="AU88" s="36"/>
      <c r="AV88" s="36"/>
      <c r="AW88" s="36"/>
    </row>
    <row r="89" spans="1:49" ht="10.199999999999999" customHeight="1" x14ac:dyDescent="0.25">
      <c r="A89" s="14">
        <f t="shared" si="1"/>
        <v>47</v>
      </c>
      <c r="B89" s="103">
        <v>36125</v>
      </c>
      <c r="C89" s="103">
        <v>36120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51"/>
      <c r="AU89" s="36"/>
      <c r="AV89" s="36"/>
      <c r="AW89" s="36"/>
    </row>
    <row r="90" spans="1:49" ht="10.199999999999999" customHeight="1" x14ac:dyDescent="0.25">
      <c r="A90" s="14">
        <f t="shared" si="1"/>
        <v>48</v>
      </c>
      <c r="B90" s="103">
        <v>36132</v>
      </c>
      <c r="C90" s="103">
        <v>36127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51"/>
      <c r="AU90" s="36"/>
      <c r="AV90" s="36"/>
      <c r="AW90" s="36"/>
    </row>
    <row r="91" spans="1:49" ht="10.199999999999999" customHeight="1" x14ac:dyDescent="0.25">
      <c r="A91" s="14">
        <f t="shared" si="1"/>
        <v>49</v>
      </c>
      <c r="B91" s="103">
        <v>36139</v>
      </c>
      <c r="C91" s="103">
        <v>36134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51"/>
      <c r="AU91" s="36"/>
      <c r="AV91" s="36"/>
      <c r="AW91" s="36"/>
    </row>
    <row r="92" spans="1:49" ht="10.199999999999999" customHeight="1" x14ac:dyDescent="0.25">
      <c r="A92" s="14">
        <f t="shared" si="1"/>
        <v>50</v>
      </c>
      <c r="B92" s="103">
        <v>36146</v>
      </c>
      <c r="C92" s="103">
        <v>36141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51"/>
      <c r="AU92" s="36"/>
      <c r="AV92" s="36"/>
      <c r="AW92" s="36"/>
    </row>
    <row r="93" spans="1:49" ht="10.199999999999999" customHeight="1" x14ac:dyDescent="0.25">
      <c r="A93" s="14">
        <f t="shared" si="1"/>
        <v>51</v>
      </c>
      <c r="B93" s="103">
        <v>36153</v>
      </c>
      <c r="C93" s="103">
        <v>36148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51"/>
      <c r="AU93" s="36"/>
      <c r="AV93" s="36"/>
      <c r="AW93" s="36"/>
    </row>
    <row r="94" spans="1:49" ht="10.199999999999999" customHeight="1" x14ac:dyDescent="0.25">
      <c r="A94" s="14">
        <f t="shared" si="1"/>
        <v>52</v>
      </c>
      <c r="B94" s="103">
        <v>36160</v>
      </c>
      <c r="C94" s="103">
        <v>36155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51"/>
      <c r="AU94" s="36"/>
      <c r="AV94" s="36"/>
      <c r="AW94" s="36"/>
    </row>
    <row r="95" spans="1:49" ht="10.199999999999999" customHeight="1" x14ac:dyDescent="0.25">
      <c r="A95" s="14">
        <v>1</v>
      </c>
      <c r="B95" s="103">
        <v>36167</v>
      </c>
      <c r="C95" s="103">
        <v>36162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51"/>
      <c r="AU95" s="36"/>
      <c r="AV95" s="36"/>
      <c r="AW95" s="36"/>
    </row>
    <row r="96" spans="1:49" ht="10.199999999999999" customHeight="1" x14ac:dyDescent="0.25">
      <c r="A96" s="14">
        <f t="shared" ref="A96:A146" si="2">+A95+1</f>
        <v>2</v>
      </c>
      <c r="B96" s="103">
        <v>36174</v>
      </c>
      <c r="C96" s="103">
        <v>36169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51"/>
      <c r="AU96" s="36"/>
      <c r="AV96" s="36"/>
      <c r="AW96" s="36"/>
    </row>
    <row r="97" spans="1:49" ht="10.199999999999999" customHeight="1" x14ac:dyDescent="0.25">
      <c r="A97" s="14">
        <f t="shared" si="2"/>
        <v>3</v>
      </c>
      <c r="B97" s="103">
        <v>36181</v>
      </c>
      <c r="C97" s="103">
        <v>36176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51"/>
      <c r="AU97" s="36"/>
      <c r="AV97" s="36"/>
      <c r="AW97" s="36"/>
    </row>
    <row r="98" spans="1:49" ht="10.199999999999999" customHeight="1" x14ac:dyDescent="0.25">
      <c r="A98" s="14">
        <f t="shared" si="2"/>
        <v>4</v>
      </c>
      <c r="B98" s="103">
        <v>36188</v>
      </c>
      <c r="C98" s="103">
        <v>36183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51"/>
      <c r="AU98" s="36"/>
      <c r="AV98" s="36"/>
      <c r="AW98" s="36"/>
    </row>
    <row r="99" spans="1:49" ht="10.199999999999999" customHeight="1" x14ac:dyDescent="0.25">
      <c r="A99" s="14">
        <f t="shared" si="2"/>
        <v>5</v>
      </c>
      <c r="B99" s="103">
        <v>36195</v>
      </c>
      <c r="C99" s="103">
        <v>36190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51"/>
      <c r="AU99" s="36"/>
      <c r="AV99" s="36"/>
      <c r="AW99" s="36"/>
    </row>
    <row r="100" spans="1:49" ht="10.199999999999999" customHeight="1" x14ac:dyDescent="0.25">
      <c r="A100" s="14">
        <f t="shared" si="2"/>
        <v>6</v>
      </c>
      <c r="B100" s="103">
        <v>36202</v>
      </c>
      <c r="C100" s="103">
        <v>36197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51"/>
      <c r="AU100" s="36"/>
      <c r="AV100" s="36"/>
      <c r="AW100" s="36"/>
    </row>
    <row r="101" spans="1:49" ht="10.199999999999999" customHeight="1" x14ac:dyDescent="0.25">
      <c r="A101" s="14">
        <f t="shared" si="2"/>
        <v>7</v>
      </c>
      <c r="B101" s="103">
        <v>36209</v>
      </c>
      <c r="C101" s="103">
        <v>36204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51"/>
      <c r="AU101" s="36"/>
      <c r="AV101" s="36"/>
      <c r="AW101" s="36"/>
    </row>
    <row r="102" spans="1:49" ht="10.199999999999999" customHeight="1" x14ac:dyDescent="0.25">
      <c r="A102" s="14">
        <f t="shared" si="2"/>
        <v>8</v>
      </c>
      <c r="B102" s="103">
        <v>36216</v>
      </c>
      <c r="C102" s="103">
        <v>36211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51"/>
      <c r="AU102" s="36"/>
      <c r="AV102" s="36"/>
      <c r="AW102" s="36"/>
    </row>
    <row r="103" spans="1:49" ht="10.199999999999999" customHeight="1" x14ac:dyDescent="0.25">
      <c r="A103" s="14">
        <f t="shared" si="2"/>
        <v>9</v>
      </c>
      <c r="B103" s="103">
        <v>36223</v>
      </c>
      <c r="C103" s="103">
        <v>36218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51"/>
      <c r="AU103" s="36"/>
      <c r="AV103" s="36"/>
      <c r="AW103" s="36"/>
    </row>
    <row r="104" spans="1:49" ht="10.199999999999999" customHeight="1" x14ac:dyDescent="0.25">
      <c r="A104" s="14">
        <f t="shared" si="2"/>
        <v>10</v>
      </c>
      <c r="B104" s="103">
        <v>36230</v>
      </c>
      <c r="C104" s="103">
        <v>36225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51"/>
      <c r="AU104" s="36"/>
      <c r="AV104" s="36"/>
      <c r="AW104" s="36"/>
    </row>
    <row r="105" spans="1:49" ht="10.199999999999999" customHeight="1" x14ac:dyDescent="0.25">
      <c r="A105" s="14">
        <f t="shared" si="2"/>
        <v>11</v>
      </c>
      <c r="B105" s="103">
        <v>36237</v>
      </c>
      <c r="C105" s="103">
        <v>36232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51"/>
      <c r="AU105" s="36"/>
      <c r="AV105" s="36"/>
      <c r="AW105" s="36"/>
    </row>
    <row r="106" spans="1:49" ht="10.199999999999999" customHeight="1" x14ac:dyDescent="0.25">
      <c r="A106" s="14">
        <f t="shared" si="2"/>
        <v>12</v>
      </c>
      <c r="B106" s="103">
        <v>36244</v>
      </c>
      <c r="C106" s="103">
        <v>36239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51"/>
      <c r="AU106" s="36"/>
      <c r="AV106" s="36"/>
      <c r="AW106" s="36"/>
    </row>
    <row r="107" spans="1:49" ht="10.199999999999999" customHeight="1" x14ac:dyDescent="0.25">
      <c r="A107" s="14">
        <f t="shared" si="2"/>
        <v>13</v>
      </c>
      <c r="B107" s="103">
        <v>36251</v>
      </c>
      <c r="C107" s="103">
        <v>36246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51"/>
      <c r="AU107" s="36"/>
      <c r="AV107" s="36"/>
      <c r="AW107" s="36"/>
    </row>
    <row r="108" spans="1:49" ht="10.199999999999999" customHeight="1" x14ac:dyDescent="0.25">
      <c r="A108" s="14">
        <f t="shared" si="2"/>
        <v>14</v>
      </c>
      <c r="B108" s="103">
        <v>36258</v>
      </c>
      <c r="C108" s="103">
        <v>36253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51"/>
      <c r="AU108" s="36"/>
      <c r="AV108" s="36"/>
      <c r="AW108" s="36"/>
    </row>
    <row r="109" spans="1:49" ht="10.199999999999999" customHeight="1" x14ac:dyDescent="0.25">
      <c r="A109" s="14">
        <f t="shared" si="2"/>
        <v>15</v>
      </c>
      <c r="B109" s="103">
        <v>36265</v>
      </c>
      <c r="C109" s="103">
        <v>36260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51"/>
      <c r="AU109" s="36"/>
      <c r="AV109" s="36"/>
      <c r="AW109" s="36"/>
    </row>
    <row r="110" spans="1:49" ht="10.199999999999999" customHeight="1" x14ac:dyDescent="0.25">
      <c r="A110" s="14">
        <f t="shared" si="2"/>
        <v>16</v>
      </c>
      <c r="B110" s="103">
        <v>36272</v>
      </c>
      <c r="C110" s="103">
        <v>36267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51"/>
      <c r="AU110" s="36"/>
      <c r="AV110" s="36"/>
      <c r="AW110" s="36"/>
    </row>
    <row r="111" spans="1:49" ht="10.199999999999999" customHeight="1" x14ac:dyDescent="0.25">
      <c r="A111" s="14">
        <f t="shared" si="2"/>
        <v>17</v>
      </c>
      <c r="B111" s="103">
        <v>36279</v>
      </c>
      <c r="C111" s="103">
        <v>36274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51"/>
      <c r="AU111" s="36"/>
      <c r="AV111" s="36"/>
      <c r="AW111" s="36"/>
    </row>
    <row r="112" spans="1:49" ht="10.199999999999999" customHeight="1" x14ac:dyDescent="0.25">
      <c r="A112" s="14">
        <f t="shared" si="2"/>
        <v>18</v>
      </c>
      <c r="B112" s="103">
        <v>36286</v>
      </c>
      <c r="C112" s="103">
        <v>36281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51"/>
      <c r="AU112" s="36"/>
      <c r="AV112" s="36"/>
      <c r="AW112" s="36"/>
    </row>
    <row r="113" spans="1:49" ht="10.199999999999999" customHeight="1" x14ac:dyDescent="0.25">
      <c r="A113" s="14">
        <f t="shared" si="2"/>
        <v>19</v>
      </c>
      <c r="B113" s="103">
        <v>36293</v>
      </c>
      <c r="C113" s="103">
        <v>36288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51"/>
      <c r="AU113" s="36"/>
      <c r="AV113" s="36"/>
      <c r="AW113" s="36"/>
    </row>
    <row r="114" spans="1:49" ht="10.199999999999999" customHeight="1" x14ac:dyDescent="0.25">
      <c r="A114" s="14">
        <f t="shared" si="2"/>
        <v>20</v>
      </c>
      <c r="B114" s="103">
        <v>36300</v>
      </c>
      <c r="C114" s="103">
        <v>36295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51"/>
      <c r="AU114" s="36"/>
      <c r="AV114" s="36"/>
      <c r="AW114" s="36"/>
    </row>
    <row r="115" spans="1:49" ht="10.199999999999999" customHeight="1" x14ac:dyDescent="0.25">
      <c r="A115" s="14">
        <f t="shared" si="2"/>
        <v>21</v>
      </c>
      <c r="B115" s="103">
        <v>36307</v>
      </c>
      <c r="C115" s="103">
        <v>36302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51"/>
      <c r="AU115" s="36"/>
      <c r="AV115" s="36"/>
      <c r="AW115" s="36"/>
    </row>
    <row r="116" spans="1:49" ht="10.199999999999999" customHeight="1" x14ac:dyDescent="0.25">
      <c r="A116" s="14">
        <f t="shared" si="2"/>
        <v>22</v>
      </c>
      <c r="B116" s="103">
        <v>36314</v>
      </c>
      <c r="C116" s="103">
        <v>36309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51"/>
      <c r="AU116" s="36"/>
      <c r="AV116" s="36"/>
      <c r="AW116" s="36"/>
    </row>
    <row r="117" spans="1:49" ht="10.199999999999999" customHeight="1" x14ac:dyDescent="0.25">
      <c r="A117" s="14">
        <f t="shared" si="2"/>
        <v>23</v>
      </c>
      <c r="B117" s="103">
        <v>36321</v>
      </c>
      <c r="C117" s="103">
        <v>36316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51"/>
      <c r="AU117" s="36"/>
      <c r="AV117" s="36"/>
      <c r="AW117" s="36"/>
    </row>
    <row r="118" spans="1:49" ht="10.199999999999999" customHeight="1" x14ac:dyDescent="0.25">
      <c r="A118" s="14">
        <f t="shared" si="2"/>
        <v>24</v>
      </c>
      <c r="B118" s="103">
        <v>36328</v>
      </c>
      <c r="C118" s="103">
        <v>36323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51"/>
      <c r="AU118" s="36"/>
      <c r="AV118" s="36"/>
      <c r="AW118" s="36"/>
    </row>
    <row r="119" spans="1:49" ht="10.199999999999999" customHeight="1" x14ac:dyDescent="0.25">
      <c r="A119" s="14">
        <f t="shared" si="2"/>
        <v>25</v>
      </c>
      <c r="B119" s="103">
        <v>36335</v>
      </c>
      <c r="C119" s="103">
        <v>36330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51"/>
      <c r="AU119" s="36"/>
      <c r="AV119" s="36"/>
      <c r="AW119" s="36"/>
    </row>
    <row r="120" spans="1:49" ht="10.199999999999999" customHeight="1" x14ac:dyDescent="0.25">
      <c r="A120" s="14">
        <f t="shared" si="2"/>
        <v>26</v>
      </c>
      <c r="B120" s="103">
        <v>36342</v>
      </c>
      <c r="C120" s="103">
        <v>36337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51"/>
      <c r="AU120" s="36"/>
      <c r="AV120" s="36"/>
      <c r="AW120" s="36"/>
    </row>
    <row r="121" spans="1:49" ht="10.199999999999999" customHeight="1" x14ac:dyDescent="0.25">
      <c r="A121" s="14">
        <f t="shared" si="2"/>
        <v>27</v>
      </c>
      <c r="B121" s="103">
        <v>36349</v>
      </c>
      <c r="C121" s="103">
        <v>36344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51"/>
      <c r="AU121" s="36"/>
      <c r="AV121" s="36"/>
      <c r="AW121" s="36"/>
    </row>
    <row r="122" spans="1:49" ht="10.199999999999999" customHeight="1" x14ac:dyDescent="0.25">
      <c r="A122" s="14">
        <f t="shared" si="2"/>
        <v>28</v>
      </c>
      <c r="B122" s="103">
        <v>36356</v>
      </c>
      <c r="C122" s="103">
        <v>36351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51"/>
      <c r="AU122" s="36"/>
      <c r="AV122" s="36"/>
      <c r="AW122" s="36"/>
    </row>
    <row r="123" spans="1:49" ht="10.199999999999999" customHeight="1" x14ac:dyDescent="0.25">
      <c r="A123" s="14">
        <f t="shared" si="2"/>
        <v>29</v>
      </c>
      <c r="B123" s="103">
        <v>36363</v>
      </c>
      <c r="C123" s="103">
        <v>36358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51"/>
      <c r="AU123" s="36"/>
      <c r="AV123" s="36"/>
      <c r="AW123" s="36"/>
    </row>
    <row r="124" spans="1:49" ht="10.199999999999999" customHeight="1" x14ac:dyDescent="0.25">
      <c r="A124" s="14">
        <f t="shared" si="2"/>
        <v>30</v>
      </c>
      <c r="B124" s="103">
        <v>36370</v>
      </c>
      <c r="C124" s="103">
        <v>36365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51"/>
      <c r="AU124" s="36"/>
      <c r="AV124" s="36"/>
      <c r="AW124" s="36"/>
    </row>
    <row r="125" spans="1:49" ht="10.199999999999999" customHeight="1" x14ac:dyDescent="0.25">
      <c r="A125" s="14">
        <f t="shared" si="2"/>
        <v>31</v>
      </c>
      <c r="B125" s="103">
        <v>36377</v>
      </c>
      <c r="C125" s="103">
        <v>36372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51"/>
      <c r="AU125" s="36"/>
      <c r="AV125" s="36"/>
      <c r="AW125" s="36"/>
    </row>
    <row r="126" spans="1:49" ht="10.199999999999999" customHeight="1" x14ac:dyDescent="0.25">
      <c r="A126" s="14">
        <f t="shared" si="2"/>
        <v>32</v>
      </c>
      <c r="B126" s="103">
        <v>36384</v>
      </c>
      <c r="C126" s="103">
        <v>36379</v>
      </c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51"/>
      <c r="AU126" s="36"/>
      <c r="AV126" s="36"/>
      <c r="AW126" s="36"/>
    </row>
    <row r="127" spans="1:49" ht="10.199999999999999" customHeight="1" x14ac:dyDescent="0.25">
      <c r="A127" s="14">
        <f t="shared" si="2"/>
        <v>33</v>
      </c>
      <c r="B127" s="103">
        <v>36391</v>
      </c>
      <c r="C127" s="103">
        <v>36386</v>
      </c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51"/>
      <c r="AU127" s="36"/>
      <c r="AV127" s="36"/>
      <c r="AW127" s="36"/>
    </row>
    <row r="128" spans="1:49" ht="10.199999999999999" customHeight="1" x14ac:dyDescent="0.25">
      <c r="A128" s="14">
        <f t="shared" si="2"/>
        <v>34</v>
      </c>
      <c r="B128" s="103">
        <v>36398</v>
      </c>
      <c r="C128" s="103">
        <v>36393</v>
      </c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51"/>
      <c r="AU128" s="36"/>
      <c r="AV128" s="36"/>
      <c r="AW128" s="36"/>
    </row>
    <row r="129" spans="1:49" ht="10.199999999999999" customHeight="1" x14ac:dyDescent="0.25">
      <c r="A129" s="14">
        <f t="shared" si="2"/>
        <v>35</v>
      </c>
      <c r="B129" s="103">
        <v>36405</v>
      </c>
      <c r="C129" s="103">
        <v>36400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51"/>
      <c r="AU129" s="36"/>
      <c r="AV129" s="36"/>
      <c r="AW129" s="36"/>
    </row>
    <row r="130" spans="1:49" ht="10.199999999999999" customHeight="1" x14ac:dyDescent="0.25">
      <c r="A130" s="14">
        <f t="shared" si="2"/>
        <v>36</v>
      </c>
      <c r="B130" s="103">
        <v>36412</v>
      </c>
      <c r="C130" s="103">
        <v>36407</v>
      </c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51"/>
      <c r="AU130" s="36"/>
      <c r="AV130" s="36"/>
      <c r="AW130" s="36"/>
    </row>
    <row r="131" spans="1:49" ht="10.199999999999999" customHeight="1" x14ac:dyDescent="0.25">
      <c r="A131" s="14">
        <f t="shared" si="2"/>
        <v>37</v>
      </c>
      <c r="B131" s="103">
        <v>36419</v>
      </c>
      <c r="C131" s="103">
        <v>36414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51"/>
      <c r="AU131" s="36"/>
      <c r="AV131" s="36"/>
      <c r="AW131" s="36"/>
    </row>
    <row r="132" spans="1:49" ht="10.199999999999999" customHeight="1" x14ac:dyDescent="0.25">
      <c r="A132" s="14">
        <f t="shared" si="2"/>
        <v>38</v>
      </c>
      <c r="B132" s="103">
        <v>36426</v>
      </c>
      <c r="C132" s="103">
        <v>36421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51"/>
      <c r="AU132" s="36"/>
      <c r="AV132" s="36"/>
      <c r="AW132" s="36"/>
    </row>
    <row r="133" spans="1:49" ht="10.199999999999999" customHeight="1" x14ac:dyDescent="0.25">
      <c r="A133" s="14">
        <f t="shared" si="2"/>
        <v>39</v>
      </c>
      <c r="B133" s="103">
        <v>36433</v>
      </c>
      <c r="C133" s="103">
        <v>36428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51"/>
      <c r="AU133" s="36"/>
      <c r="AV133" s="36"/>
      <c r="AW133" s="36"/>
    </row>
    <row r="134" spans="1:49" ht="10.199999999999999" customHeight="1" x14ac:dyDescent="0.25">
      <c r="A134" s="14">
        <f t="shared" si="2"/>
        <v>40</v>
      </c>
      <c r="B134" s="103">
        <v>36440</v>
      </c>
      <c r="C134" s="103">
        <v>36435</v>
      </c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51"/>
      <c r="AU134" s="36"/>
      <c r="AV134" s="36"/>
      <c r="AW134" s="36"/>
    </row>
    <row r="135" spans="1:49" ht="10.199999999999999" customHeight="1" x14ac:dyDescent="0.25">
      <c r="A135" s="14">
        <f t="shared" si="2"/>
        <v>41</v>
      </c>
      <c r="B135" s="103">
        <v>36447</v>
      </c>
      <c r="C135" s="103">
        <v>36442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51"/>
      <c r="AU135" s="36"/>
      <c r="AV135" s="36"/>
      <c r="AW135" s="36"/>
    </row>
    <row r="136" spans="1:49" ht="10.199999999999999" customHeight="1" x14ac:dyDescent="0.25">
      <c r="A136" s="14">
        <f t="shared" si="2"/>
        <v>42</v>
      </c>
      <c r="B136" s="103">
        <v>36454</v>
      </c>
      <c r="C136" s="103">
        <v>36449</v>
      </c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51"/>
      <c r="AU136" s="36"/>
      <c r="AV136" s="36"/>
      <c r="AW136" s="36"/>
    </row>
    <row r="137" spans="1:49" ht="10.199999999999999" customHeight="1" x14ac:dyDescent="0.25">
      <c r="A137" s="14">
        <f t="shared" si="2"/>
        <v>43</v>
      </c>
      <c r="B137" s="103">
        <v>36461</v>
      </c>
      <c r="C137" s="103">
        <v>36456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51"/>
      <c r="AU137" s="36"/>
      <c r="AV137" s="36"/>
      <c r="AW137" s="36"/>
    </row>
    <row r="138" spans="1:49" ht="10.199999999999999" customHeight="1" x14ac:dyDescent="0.25">
      <c r="A138" s="14">
        <f t="shared" si="2"/>
        <v>44</v>
      </c>
      <c r="B138" s="103">
        <v>36468</v>
      </c>
      <c r="C138" s="103">
        <v>36463</v>
      </c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51"/>
      <c r="AU138" s="36"/>
      <c r="AV138" s="36"/>
      <c r="AW138" s="36"/>
    </row>
    <row r="139" spans="1:49" ht="10.199999999999999" customHeight="1" x14ac:dyDescent="0.25">
      <c r="A139" s="14">
        <f t="shared" si="2"/>
        <v>45</v>
      </c>
      <c r="B139" s="103">
        <v>36475</v>
      </c>
      <c r="C139" s="103">
        <v>36470</v>
      </c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51"/>
      <c r="AU139" s="36"/>
      <c r="AV139" s="36"/>
      <c r="AW139" s="36"/>
    </row>
    <row r="140" spans="1:49" ht="10.199999999999999" customHeight="1" x14ac:dyDescent="0.25">
      <c r="A140" s="14">
        <f t="shared" si="2"/>
        <v>46</v>
      </c>
      <c r="B140" s="103">
        <v>36482</v>
      </c>
      <c r="C140" s="103">
        <v>36477</v>
      </c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51"/>
      <c r="AU140" s="36"/>
      <c r="AV140" s="36"/>
      <c r="AW140" s="36"/>
    </row>
    <row r="141" spans="1:49" ht="10.199999999999999" customHeight="1" x14ac:dyDescent="0.25">
      <c r="A141" s="14">
        <f t="shared" si="2"/>
        <v>47</v>
      </c>
      <c r="B141" s="103">
        <v>36489</v>
      </c>
      <c r="C141" s="103">
        <v>36484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51"/>
      <c r="AU141" s="36"/>
      <c r="AV141" s="36"/>
      <c r="AW141" s="36"/>
    </row>
    <row r="142" spans="1:49" ht="10.199999999999999" customHeight="1" x14ac:dyDescent="0.25">
      <c r="A142" s="14">
        <f t="shared" si="2"/>
        <v>48</v>
      </c>
      <c r="B142" s="103">
        <v>36496</v>
      </c>
      <c r="C142" s="103">
        <v>36491</v>
      </c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51"/>
      <c r="AU142" s="36"/>
      <c r="AV142" s="36"/>
      <c r="AW142" s="36"/>
    </row>
    <row r="143" spans="1:49" ht="10.199999999999999" customHeight="1" x14ac:dyDescent="0.25">
      <c r="A143" s="14">
        <f t="shared" si="2"/>
        <v>49</v>
      </c>
      <c r="B143" s="103">
        <v>36503</v>
      </c>
      <c r="C143" s="103">
        <v>36498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51"/>
      <c r="AU143" s="36"/>
      <c r="AV143" s="36"/>
      <c r="AW143" s="36"/>
    </row>
    <row r="144" spans="1:49" ht="10.199999999999999" customHeight="1" x14ac:dyDescent="0.25">
      <c r="A144" s="14">
        <f t="shared" si="2"/>
        <v>50</v>
      </c>
      <c r="B144" s="103">
        <v>36510</v>
      </c>
      <c r="C144" s="103">
        <v>36505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51"/>
      <c r="AU144" s="36"/>
      <c r="AV144" s="36"/>
      <c r="AW144" s="36"/>
    </row>
    <row r="145" spans="1:49" ht="10.199999999999999" customHeight="1" x14ac:dyDescent="0.25">
      <c r="A145" s="14">
        <f t="shared" si="2"/>
        <v>51</v>
      </c>
      <c r="B145" s="103">
        <v>36517</v>
      </c>
      <c r="C145" s="103">
        <v>36512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51"/>
      <c r="AU145" s="36"/>
      <c r="AV145" s="36"/>
      <c r="AW145" s="36"/>
    </row>
    <row r="146" spans="1:49" ht="10.199999999999999" customHeight="1" x14ac:dyDescent="0.25">
      <c r="A146" s="14">
        <f t="shared" si="2"/>
        <v>52</v>
      </c>
      <c r="B146" s="103">
        <v>36524</v>
      </c>
      <c r="C146" s="103">
        <v>36519</v>
      </c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51"/>
      <c r="AU146" s="36"/>
      <c r="AV146" s="36"/>
      <c r="AW146" s="36"/>
    </row>
    <row r="147" spans="1:49" ht="10.199999999999999" customHeight="1" x14ac:dyDescent="0.25">
      <c r="A147" s="14">
        <v>1</v>
      </c>
      <c r="B147" s="103">
        <v>36531</v>
      </c>
      <c r="C147" s="103">
        <v>36526</v>
      </c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51"/>
      <c r="AU147" s="36"/>
      <c r="AV147" s="36"/>
      <c r="AW147" s="36"/>
    </row>
    <row r="148" spans="1:49" ht="10.199999999999999" customHeight="1" x14ac:dyDescent="0.25">
      <c r="A148" s="14">
        <f t="shared" ref="A148:A198" si="3">+A147+1</f>
        <v>2</v>
      </c>
      <c r="B148" s="103">
        <v>36538</v>
      </c>
      <c r="C148" s="103">
        <v>36533</v>
      </c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51"/>
      <c r="AU148" s="36"/>
      <c r="AV148" s="36"/>
      <c r="AW148" s="36"/>
    </row>
    <row r="149" spans="1:49" ht="10.199999999999999" customHeight="1" x14ac:dyDescent="0.25">
      <c r="A149" s="14">
        <f t="shared" si="3"/>
        <v>3</v>
      </c>
      <c r="B149" s="103">
        <v>36545</v>
      </c>
      <c r="C149" s="103">
        <v>36540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51"/>
      <c r="AU149" s="36"/>
      <c r="AV149" s="36"/>
      <c r="AW149" s="36"/>
    </row>
    <row r="150" spans="1:49" ht="10.199999999999999" customHeight="1" x14ac:dyDescent="0.25">
      <c r="A150" s="14">
        <f t="shared" si="3"/>
        <v>4</v>
      </c>
      <c r="B150" s="103">
        <v>36552</v>
      </c>
      <c r="C150" s="103">
        <v>36547</v>
      </c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51"/>
      <c r="AU150" s="36"/>
      <c r="AV150" s="36"/>
      <c r="AW150" s="36"/>
    </row>
    <row r="151" spans="1:49" ht="10.199999999999999" customHeight="1" x14ac:dyDescent="0.25">
      <c r="A151" s="14">
        <f t="shared" si="3"/>
        <v>5</v>
      </c>
      <c r="B151" s="103">
        <v>36559</v>
      </c>
      <c r="C151" s="103">
        <v>36554</v>
      </c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51"/>
      <c r="AU151" s="36"/>
      <c r="AV151" s="36"/>
      <c r="AW151" s="36"/>
    </row>
    <row r="152" spans="1:49" ht="10.199999999999999" customHeight="1" x14ac:dyDescent="0.25">
      <c r="A152" s="14">
        <f t="shared" si="3"/>
        <v>6</v>
      </c>
      <c r="B152" s="103">
        <v>36566</v>
      </c>
      <c r="C152" s="103">
        <v>36561</v>
      </c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51"/>
      <c r="AU152" s="36"/>
      <c r="AV152" s="36"/>
      <c r="AW152" s="36"/>
    </row>
    <row r="153" spans="1:49" ht="10.199999999999999" customHeight="1" x14ac:dyDescent="0.25">
      <c r="A153" s="14">
        <f t="shared" si="3"/>
        <v>7</v>
      </c>
      <c r="B153" s="103">
        <v>36573</v>
      </c>
      <c r="C153" s="103">
        <v>36568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51"/>
      <c r="AU153" s="36"/>
      <c r="AV153" s="36"/>
      <c r="AW153" s="36"/>
    </row>
    <row r="154" spans="1:49" ht="10.199999999999999" customHeight="1" x14ac:dyDescent="0.25">
      <c r="A154" s="14">
        <f t="shared" si="3"/>
        <v>8</v>
      </c>
      <c r="B154" s="103">
        <v>36580</v>
      </c>
      <c r="C154" s="103">
        <v>36575</v>
      </c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51"/>
      <c r="AU154" s="36"/>
      <c r="AV154" s="36"/>
      <c r="AW154" s="36"/>
    </row>
    <row r="155" spans="1:49" ht="10.199999999999999" customHeight="1" x14ac:dyDescent="0.25">
      <c r="A155" s="14">
        <f t="shared" si="3"/>
        <v>9</v>
      </c>
      <c r="B155" s="103">
        <v>36587</v>
      </c>
      <c r="C155" s="103">
        <v>36582</v>
      </c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51"/>
      <c r="AU155" s="36"/>
      <c r="AV155" s="36"/>
      <c r="AW155" s="36"/>
    </row>
    <row r="156" spans="1:49" ht="10.199999999999999" customHeight="1" x14ac:dyDescent="0.25">
      <c r="A156" s="14">
        <f t="shared" si="3"/>
        <v>10</v>
      </c>
      <c r="B156" s="103">
        <v>36594</v>
      </c>
      <c r="C156" s="103">
        <v>36589</v>
      </c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51"/>
      <c r="AU156" s="36"/>
      <c r="AV156" s="36"/>
      <c r="AW156" s="36"/>
    </row>
    <row r="157" spans="1:49" ht="10.199999999999999" customHeight="1" x14ac:dyDescent="0.25">
      <c r="A157" s="14">
        <f t="shared" si="3"/>
        <v>11</v>
      </c>
      <c r="B157" s="103">
        <v>36601</v>
      </c>
      <c r="C157" s="103">
        <v>36596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51"/>
      <c r="AU157" s="36"/>
      <c r="AV157" s="36"/>
      <c r="AW157" s="36"/>
    </row>
    <row r="158" spans="1:49" ht="10.199999999999999" customHeight="1" x14ac:dyDescent="0.25">
      <c r="A158" s="14">
        <f t="shared" si="3"/>
        <v>12</v>
      </c>
      <c r="B158" s="103">
        <v>36608</v>
      </c>
      <c r="C158" s="103">
        <v>36603</v>
      </c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51"/>
      <c r="AU158" s="36"/>
      <c r="AV158" s="36"/>
      <c r="AW158" s="36"/>
    </row>
    <row r="159" spans="1:49" ht="10.199999999999999" customHeight="1" x14ac:dyDescent="0.25">
      <c r="A159" s="14">
        <f t="shared" si="3"/>
        <v>13</v>
      </c>
      <c r="B159" s="103">
        <v>36615</v>
      </c>
      <c r="C159" s="103">
        <v>36610</v>
      </c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51"/>
      <c r="AU159" s="36"/>
      <c r="AV159" s="36"/>
      <c r="AW159" s="36"/>
    </row>
    <row r="160" spans="1:49" ht="10.199999999999999" customHeight="1" x14ac:dyDescent="0.25">
      <c r="A160" s="14">
        <f t="shared" si="3"/>
        <v>14</v>
      </c>
      <c r="B160" s="103">
        <v>36622</v>
      </c>
      <c r="C160" s="103">
        <v>36617</v>
      </c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51"/>
      <c r="AU160" s="36"/>
      <c r="AV160" s="36"/>
      <c r="AW160" s="36"/>
    </row>
    <row r="161" spans="1:49" ht="10.199999999999999" customHeight="1" x14ac:dyDescent="0.25">
      <c r="A161" s="14">
        <f t="shared" si="3"/>
        <v>15</v>
      </c>
      <c r="B161" s="103">
        <v>36629</v>
      </c>
      <c r="C161" s="103">
        <v>36624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51"/>
      <c r="AU161" s="36"/>
      <c r="AV161" s="36"/>
      <c r="AW161" s="36"/>
    </row>
    <row r="162" spans="1:49" ht="10.199999999999999" customHeight="1" x14ac:dyDescent="0.25">
      <c r="A162" s="14">
        <f t="shared" si="3"/>
        <v>16</v>
      </c>
      <c r="B162" s="103">
        <v>36636</v>
      </c>
      <c r="C162" s="103">
        <v>36631</v>
      </c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51"/>
      <c r="AU162" s="36"/>
      <c r="AV162" s="36"/>
      <c r="AW162" s="36"/>
    </row>
    <row r="163" spans="1:49" ht="10.199999999999999" customHeight="1" x14ac:dyDescent="0.25">
      <c r="A163" s="14">
        <f t="shared" si="3"/>
        <v>17</v>
      </c>
      <c r="B163" s="103">
        <v>36643</v>
      </c>
      <c r="C163" s="103">
        <v>36638</v>
      </c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51"/>
      <c r="AU163" s="36"/>
      <c r="AV163" s="36"/>
      <c r="AW163" s="36"/>
    </row>
    <row r="164" spans="1:49" ht="10.199999999999999" customHeight="1" x14ac:dyDescent="0.25">
      <c r="A164" s="14">
        <f t="shared" si="3"/>
        <v>18</v>
      </c>
      <c r="B164" s="103">
        <v>36650</v>
      </c>
      <c r="C164" s="103">
        <v>36645</v>
      </c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51"/>
      <c r="AU164" s="36"/>
      <c r="AV164" s="36"/>
      <c r="AW164" s="36"/>
    </row>
    <row r="165" spans="1:49" ht="10.199999999999999" customHeight="1" x14ac:dyDescent="0.25">
      <c r="A165" s="14">
        <f t="shared" si="3"/>
        <v>19</v>
      </c>
      <c r="B165" s="103">
        <v>36657</v>
      </c>
      <c r="C165" s="103">
        <v>36652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51"/>
      <c r="AU165" s="36"/>
      <c r="AV165" s="36"/>
      <c r="AW165" s="36"/>
    </row>
    <row r="166" spans="1:49" ht="10.199999999999999" customHeight="1" x14ac:dyDescent="0.25">
      <c r="A166" s="14">
        <f t="shared" si="3"/>
        <v>20</v>
      </c>
      <c r="B166" s="103">
        <v>36664</v>
      </c>
      <c r="C166" s="103">
        <v>36659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51"/>
      <c r="AU166" s="36"/>
      <c r="AV166" s="36"/>
      <c r="AW166" s="36"/>
    </row>
    <row r="167" spans="1:49" ht="10.199999999999999" customHeight="1" x14ac:dyDescent="0.25">
      <c r="A167" s="14">
        <f t="shared" si="3"/>
        <v>21</v>
      </c>
      <c r="B167" s="103">
        <v>36671</v>
      </c>
      <c r="C167" s="103">
        <v>36666</v>
      </c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51"/>
      <c r="AU167" s="36"/>
      <c r="AV167" s="36"/>
      <c r="AW167" s="36"/>
    </row>
    <row r="168" spans="1:49" ht="10.199999999999999" customHeight="1" x14ac:dyDescent="0.25">
      <c r="A168" s="14">
        <f t="shared" si="3"/>
        <v>22</v>
      </c>
      <c r="B168" s="103">
        <v>36678</v>
      </c>
      <c r="C168" s="103">
        <v>36673</v>
      </c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51"/>
      <c r="AU168" s="36"/>
      <c r="AV168" s="36"/>
      <c r="AW168" s="36"/>
    </row>
    <row r="169" spans="1:49" ht="10.199999999999999" customHeight="1" x14ac:dyDescent="0.25">
      <c r="A169" s="14">
        <f t="shared" si="3"/>
        <v>23</v>
      </c>
      <c r="B169" s="103">
        <v>36685</v>
      </c>
      <c r="C169" s="103">
        <v>36680</v>
      </c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51"/>
      <c r="AU169" s="36"/>
      <c r="AV169" s="36"/>
      <c r="AW169" s="36"/>
    </row>
    <row r="170" spans="1:49" ht="10.199999999999999" customHeight="1" x14ac:dyDescent="0.25">
      <c r="A170" s="14">
        <f t="shared" si="3"/>
        <v>24</v>
      </c>
      <c r="B170" s="103">
        <v>36692</v>
      </c>
      <c r="C170" s="103">
        <v>36687</v>
      </c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51"/>
      <c r="AU170" s="36"/>
      <c r="AV170" s="36"/>
      <c r="AW170" s="36"/>
    </row>
    <row r="171" spans="1:49" ht="10.199999999999999" customHeight="1" x14ac:dyDescent="0.25">
      <c r="A171" s="14">
        <f t="shared" si="3"/>
        <v>25</v>
      </c>
      <c r="B171" s="103">
        <v>36699</v>
      </c>
      <c r="C171" s="103">
        <v>36694</v>
      </c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51"/>
      <c r="AU171" s="36"/>
      <c r="AV171" s="36"/>
      <c r="AW171" s="36"/>
    </row>
    <row r="172" spans="1:49" ht="10.199999999999999" customHeight="1" x14ac:dyDescent="0.25">
      <c r="A172" s="14">
        <f t="shared" si="3"/>
        <v>26</v>
      </c>
      <c r="B172" s="103">
        <v>36706</v>
      </c>
      <c r="C172" s="103">
        <v>36701</v>
      </c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51"/>
      <c r="AU172" s="36"/>
      <c r="AV172" s="36"/>
      <c r="AW172" s="36"/>
    </row>
    <row r="173" spans="1:49" ht="10.199999999999999" customHeight="1" x14ac:dyDescent="0.25">
      <c r="A173" s="14">
        <f t="shared" si="3"/>
        <v>27</v>
      </c>
      <c r="B173" s="103">
        <v>36713</v>
      </c>
      <c r="C173" s="103">
        <v>36708</v>
      </c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51"/>
      <c r="AU173" s="36"/>
      <c r="AV173" s="36"/>
      <c r="AW173" s="36"/>
    </row>
    <row r="174" spans="1:49" ht="10.199999999999999" customHeight="1" x14ac:dyDescent="0.25">
      <c r="A174" s="14">
        <f t="shared" si="3"/>
        <v>28</v>
      </c>
      <c r="B174" s="103">
        <v>36720</v>
      </c>
      <c r="C174" s="103">
        <v>36715</v>
      </c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51"/>
      <c r="AU174" s="36"/>
      <c r="AV174" s="36"/>
      <c r="AW174" s="36"/>
    </row>
    <row r="175" spans="1:49" ht="10.199999999999999" customHeight="1" x14ac:dyDescent="0.25">
      <c r="A175" s="14">
        <f t="shared" si="3"/>
        <v>29</v>
      </c>
      <c r="B175" s="103">
        <v>36727</v>
      </c>
      <c r="C175" s="103">
        <v>36722</v>
      </c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51"/>
      <c r="AU175" s="36"/>
      <c r="AV175" s="36"/>
      <c r="AW175" s="36"/>
    </row>
    <row r="176" spans="1:49" ht="10.199999999999999" customHeight="1" x14ac:dyDescent="0.25">
      <c r="A176" s="14">
        <f t="shared" si="3"/>
        <v>30</v>
      </c>
      <c r="B176" s="103">
        <v>36734</v>
      </c>
      <c r="C176" s="103">
        <v>36729</v>
      </c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51"/>
      <c r="AU176" s="36"/>
      <c r="AV176" s="36"/>
      <c r="AW176" s="36"/>
    </row>
    <row r="177" spans="1:49" ht="10.199999999999999" customHeight="1" x14ac:dyDescent="0.25">
      <c r="A177" s="14">
        <f t="shared" si="3"/>
        <v>31</v>
      </c>
      <c r="B177" s="103">
        <v>36741</v>
      </c>
      <c r="C177" s="103">
        <v>36736</v>
      </c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51"/>
      <c r="AU177" s="36"/>
      <c r="AV177" s="36"/>
      <c r="AW177" s="36"/>
    </row>
    <row r="178" spans="1:49" ht="10.199999999999999" customHeight="1" x14ac:dyDescent="0.25">
      <c r="A178" s="14">
        <f t="shared" si="3"/>
        <v>32</v>
      </c>
      <c r="B178" s="103">
        <v>36748</v>
      </c>
      <c r="C178" s="103">
        <v>36743</v>
      </c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51"/>
      <c r="AU178" s="36"/>
      <c r="AV178" s="36"/>
      <c r="AW178" s="36"/>
    </row>
    <row r="179" spans="1:49" ht="10.199999999999999" customHeight="1" x14ac:dyDescent="0.25">
      <c r="A179" s="14">
        <f t="shared" si="3"/>
        <v>33</v>
      </c>
      <c r="B179" s="103">
        <v>36755</v>
      </c>
      <c r="C179" s="103">
        <v>36750</v>
      </c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51"/>
      <c r="AU179" s="36"/>
      <c r="AV179" s="36"/>
      <c r="AW179" s="36"/>
    </row>
    <row r="180" spans="1:49" ht="10.199999999999999" customHeight="1" x14ac:dyDescent="0.25">
      <c r="A180" s="14">
        <f t="shared" si="3"/>
        <v>34</v>
      </c>
      <c r="B180" s="103">
        <v>36762</v>
      </c>
      <c r="C180" s="103">
        <v>36757</v>
      </c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51"/>
      <c r="AU180" s="36"/>
      <c r="AV180" s="36"/>
      <c r="AW180" s="36"/>
    </row>
    <row r="181" spans="1:49" ht="10.199999999999999" customHeight="1" x14ac:dyDescent="0.25">
      <c r="A181" s="14">
        <f t="shared" si="3"/>
        <v>35</v>
      </c>
      <c r="B181" s="103">
        <v>36769</v>
      </c>
      <c r="C181" s="103">
        <v>36764</v>
      </c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51"/>
      <c r="AU181" s="36"/>
      <c r="AV181" s="36"/>
      <c r="AW181" s="36"/>
    </row>
    <row r="182" spans="1:49" ht="10.199999999999999" customHeight="1" x14ac:dyDescent="0.25">
      <c r="A182" s="14">
        <f t="shared" si="3"/>
        <v>36</v>
      </c>
      <c r="B182" s="103">
        <v>36776</v>
      </c>
      <c r="C182" s="103">
        <v>36771</v>
      </c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51"/>
      <c r="AU182" s="36"/>
      <c r="AV182" s="36"/>
      <c r="AW182" s="36"/>
    </row>
    <row r="183" spans="1:49" ht="10.199999999999999" customHeight="1" x14ac:dyDescent="0.25">
      <c r="A183" s="14">
        <f t="shared" si="3"/>
        <v>37</v>
      </c>
      <c r="B183" s="103">
        <v>36783</v>
      </c>
      <c r="C183" s="103">
        <v>36778</v>
      </c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51"/>
      <c r="AU183" s="36"/>
      <c r="AV183" s="36"/>
      <c r="AW183" s="36"/>
    </row>
    <row r="184" spans="1:49" ht="10.199999999999999" customHeight="1" x14ac:dyDescent="0.25">
      <c r="A184" s="14">
        <f t="shared" si="3"/>
        <v>38</v>
      </c>
      <c r="B184" s="103">
        <v>36790</v>
      </c>
      <c r="C184" s="103">
        <v>36785</v>
      </c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51"/>
      <c r="AU184" s="36"/>
      <c r="AV184" s="36"/>
      <c r="AW184" s="36"/>
    </row>
    <row r="185" spans="1:49" ht="10.199999999999999" customHeight="1" x14ac:dyDescent="0.25">
      <c r="A185" s="14">
        <f t="shared" si="3"/>
        <v>39</v>
      </c>
      <c r="B185" s="103">
        <v>36797</v>
      </c>
      <c r="C185" s="103">
        <v>36792</v>
      </c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51"/>
      <c r="AU185" s="36"/>
      <c r="AV185" s="36"/>
      <c r="AW185" s="36"/>
    </row>
    <row r="186" spans="1:49" ht="10.199999999999999" customHeight="1" x14ac:dyDescent="0.25">
      <c r="A186" s="14">
        <f t="shared" si="3"/>
        <v>40</v>
      </c>
      <c r="B186" s="103">
        <v>36804</v>
      </c>
      <c r="C186" s="103">
        <v>36799</v>
      </c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51"/>
      <c r="AU186" s="36"/>
      <c r="AV186" s="36"/>
      <c r="AW186" s="36"/>
    </row>
    <row r="187" spans="1:49" ht="10.199999999999999" customHeight="1" x14ac:dyDescent="0.25">
      <c r="A187" s="14">
        <f t="shared" si="3"/>
        <v>41</v>
      </c>
      <c r="B187" s="103">
        <v>36811</v>
      </c>
      <c r="C187" s="103">
        <v>36806</v>
      </c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51"/>
      <c r="AU187" s="36"/>
      <c r="AV187" s="36"/>
      <c r="AW187" s="36"/>
    </row>
    <row r="188" spans="1:49" ht="10.199999999999999" customHeight="1" x14ac:dyDescent="0.25">
      <c r="A188" s="14">
        <f t="shared" si="3"/>
        <v>42</v>
      </c>
      <c r="B188" s="103">
        <v>36818</v>
      </c>
      <c r="C188" s="103">
        <v>36813</v>
      </c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51"/>
      <c r="AU188" s="36"/>
      <c r="AV188" s="36"/>
      <c r="AW188" s="36"/>
    </row>
    <row r="189" spans="1:49" ht="10.199999999999999" customHeight="1" x14ac:dyDescent="0.25">
      <c r="A189" s="14">
        <f t="shared" si="3"/>
        <v>43</v>
      </c>
      <c r="B189" s="103">
        <v>36825</v>
      </c>
      <c r="C189" s="103">
        <v>36820</v>
      </c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51"/>
      <c r="AU189" s="36"/>
      <c r="AV189" s="36"/>
      <c r="AW189" s="36"/>
    </row>
    <row r="190" spans="1:49" ht="10.199999999999999" customHeight="1" x14ac:dyDescent="0.25">
      <c r="A190" s="14">
        <f t="shared" si="3"/>
        <v>44</v>
      </c>
      <c r="B190" s="103">
        <v>36832</v>
      </c>
      <c r="C190" s="103">
        <v>36827</v>
      </c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51"/>
      <c r="AU190" s="36"/>
      <c r="AV190" s="36"/>
      <c r="AW190" s="36"/>
    </row>
    <row r="191" spans="1:49" ht="10.199999999999999" customHeight="1" x14ac:dyDescent="0.25">
      <c r="A191" s="14">
        <f t="shared" si="3"/>
        <v>45</v>
      </c>
      <c r="B191" s="103">
        <v>36839</v>
      </c>
      <c r="C191" s="103">
        <v>36834</v>
      </c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51"/>
      <c r="AU191" s="36"/>
      <c r="AV191" s="36"/>
      <c r="AW191" s="36"/>
    </row>
    <row r="192" spans="1:49" ht="10.199999999999999" customHeight="1" x14ac:dyDescent="0.25">
      <c r="A192" s="14">
        <f t="shared" si="3"/>
        <v>46</v>
      </c>
      <c r="B192" s="103">
        <v>36846</v>
      </c>
      <c r="C192" s="103">
        <v>36841</v>
      </c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51"/>
      <c r="AU192" s="36"/>
      <c r="AV192" s="36"/>
      <c r="AW192" s="36"/>
    </row>
    <row r="193" spans="1:49" ht="10.199999999999999" customHeight="1" x14ac:dyDescent="0.25">
      <c r="A193" s="14">
        <f t="shared" si="3"/>
        <v>47</v>
      </c>
      <c r="B193" s="103">
        <v>36853</v>
      </c>
      <c r="C193" s="103">
        <v>36848</v>
      </c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51"/>
      <c r="AU193" s="36"/>
      <c r="AV193" s="36"/>
      <c r="AW193" s="36"/>
    </row>
    <row r="194" spans="1:49" ht="10.199999999999999" customHeight="1" x14ac:dyDescent="0.25">
      <c r="A194" s="14">
        <f t="shared" si="3"/>
        <v>48</v>
      </c>
      <c r="B194" s="103">
        <v>36860</v>
      </c>
      <c r="C194" s="103">
        <v>36855</v>
      </c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51"/>
      <c r="AU194" s="36"/>
      <c r="AV194" s="36"/>
      <c r="AW194" s="36"/>
    </row>
    <row r="195" spans="1:49" ht="10.199999999999999" customHeight="1" x14ac:dyDescent="0.25">
      <c r="A195" s="14">
        <f t="shared" si="3"/>
        <v>49</v>
      </c>
      <c r="B195" s="103">
        <v>36867</v>
      </c>
      <c r="C195" s="103">
        <v>36862</v>
      </c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51"/>
      <c r="AU195" s="36"/>
      <c r="AV195" s="36"/>
      <c r="AW195" s="36"/>
    </row>
    <row r="196" spans="1:49" ht="10.199999999999999" customHeight="1" x14ac:dyDescent="0.25">
      <c r="A196" s="14">
        <f t="shared" si="3"/>
        <v>50</v>
      </c>
      <c r="B196" s="103">
        <v>36874</v>
      </c>
      <c r="C196" s="103">
        <v>36869</v>
      </c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51"/>
      <c r="AU196" s="36"/>
      <c r="AV196" s="36"/>
      <c r="AW196" s="36"/>
    </row>
    <row r="197" spans="1:49" ht="10.199999999999999" customHeight="1" x14ac:dyDescent="0.25">
      <c r="A197" s="14">
        <f t="shared" si="3"/>
        <v>51</v>
      </c>
      <c r="B197" s="103">
        <v>36881</v>
      </c>
      <c r="C197" s="103">
        <v>36876</v>
      </c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51"/>
      <c r="AU197" s="36"/>
      <c r="AV197" s="36"/>
      <c r="AW197" s="36"/>
    </row>
    <row r="198" spans="1:49" ht="10.199999999999999" customHeight="1" x14ac:dyDescent="0.25">
      <c r="A198" s="14">
        <f t="shared" si="3"/>
        <v>52</v>
      </c>
      <c r="B198" s="103">
        <v>36888</v>
      </c>
      <c r="C198" s="103">
        <v>36883</v>
      </c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51"/>
      <c r="AU198" s="36"/>
      <c r="AV198" s="36"/>
      <c r="AW198" s="36"/>
    </row>
    <row r="199" spans="1:49" ht="10.199999999999999" customHeight="1" x14ac:dyDescent="0.25">
      <c r="A199" s="14">
        <v>1</v>
      </c>
      <c r="B199" s="103">
        <v>36895</v>
      </c>
      <c r="C199" s="103">
        <v>36890</v>
      </c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51"/>
      <c r="AU199" s="36"/>
      <c r="AV199" s="36"/>
      <c r="AW199" s="36"/>
    </row>
    <row r="200" spans="1:49" ht="10.199999999999999" customHeight="1" x14ac:dyDescent="0.25">
      <c r="A200" s="14">
        <f t="shared" ref="A200:A250" si="4">+A199+1</f>
        <v>2</v>
      </c>
      <c r="B200" s="103">
        <v>36902</v>
      </c>
      <c r="C200" s="103">
        <v>36897</v>
      </c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51"/>
      <c r="AU200" s="36"/>
      <c r="AV200" s="36"/>
      <c r="AW200" s="36"/>
    </row>
    <row r="201" spans="1:49" ht="10.199999999999999" customHeight="1" x14ac:dyDescent="0.25">
      <c r="A201" s="14">
        <f t="shared" si="4"/>
        <v>3</v>
      </c>
      <c r="B201" s="103">
        <v>36909</v>
      </c>
      <c r="C201" s="103">
        <v>36904</v>
      </c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51"/>
      <c r="AU201" s="36"/>
      <c r="AV201" s="36"/>
      <c r="AW201" s="36"/>
    </row>
    <row r="202" spans="1:49" ht="10.199999999999999" customHeight="1" x14ac:dyDescent="0.25">
      <c r="A202" s="14">
        <f t="shared" si="4"/>
        <v>4</v>
      </c>
      <c r="B202" s="103">
        <v>36916</v>
      </c>
      <c r="C202" s="103">
        <v>36911</v>
      </c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51"/>
      <c r="AU202" s="36"/>
      <c r="AV202" s="36"/>
      <c r="AW202" s="36"/>
    </row>
    <row r="203" spans="1:49" ht="10.199999999999999" customHeight="1" x14ac:dyDescent="0.25">
      <c r="A203" s="14">
        <f t="shared" si="4"/>
        <v>5</v>
      </c>
      <c r="B203" s="103">
        <v>36923</v>
      </c>
      <c r="C203" s="103">
        <v>36918</v>
      </c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51"/>
      <c r="AU203" s="36"/>
      <c r="AV203" s="36"/>
      <c r="AW203" s="36"/>
    </row>
    <row r="204" spans="1:49" ht="10.199999999999999" customHeight="1" x14ac:dyDescent="0.25">
      <c r="A204" s="14">
        <f t="shared" si="4"/>
        <v>6</v>
      </c>
      <c r="B204" s="103">
        <v>36930</v>
      </c>
      <c r="C204" s="103">
        <v>36925</v>
      </c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51"/>
      <c r="AU204" s="36"/>
      <c r="AV204" s="36"/>
      <c r="AW204" s="36"/>
    </row>
    <row r="205" spans="1:49" ht="10.199999999999999" customHeight="1" x14ac:dyDescent="0.25">
      <c r="A205" s="14">
        <f t="shared" si="4"/>
        <v>7</v>
      </c>
      <c r="B205" s="103">
        <v>36937</v>
      </c>
      <c r="C205" s="103">
        <v>36932</v>
      </c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51"/>
      <c r="AU205" s="36"/>
      <c r="AV205" s="36"/>
      <c r="AW205" s="36"/>
    </row>
    <row r="206" spans="1:49" ht="10.199999999999999" customHeight="1" x14ac:dyDescent="0.25">
      <c r="A206" s="14">
        <f t="shared" si="4"/>
        <v>8</v>
      </c>
      <c r="B206" s="103">
        <v>36944</v>
      </c>
      <c r="C206" s="103">
        <v>36939</v>
      </c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51"/>
      <c r="AU206" s="36"/>
      <c r="AV206" s="36"/>
      <c r="AW206" s="36"/>
    </row>
    <row r="207" spans="1:49" ht="10.199999999999999" customHeight="1" x14ac:dyDescent="0.25">
      <c r="A207" s="14">
        <f t="shared" si="4"/>
        <v>9</v>
      </c>
      <c r="B207" s="103">
        <v>36951</v>
      </c>
      <c r="C207" s="103">
        <v>36946</v>
      </c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51"/>
      <c r="AU207" s="36"/>
      <c r="AV207" s="36"/>
      <c r="AW207" s="36"/>
    </row>
    <row r="208" spans="1:49" ht="10.199999999999999" customHeight="1" x14ac:dyDescent="0.25">
      <c r="A208" s="14">
        <f t="shared" si="4"/>
        <v>10</v>
      </c>
      <c r="B208" s="103">
        <v>36958</v>
      </c>
      <c r="C208" s="103">
        <v>36953</v>
      </c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51"/>
      <c r="AU208" s="36"/>
      <c r="AV208" s="36"/>
      <c r="AW208" s="36"/>
    </row>
    <row r="209" spans="1:49" ht="10.199999999999999" customHeight="1" x14ac:dyDescent="0.25">
      <c r="A209" s="14">
        <f t="shared" si="4"/>
        <v>11</v>
      </c>
      <c r="B209" s="103">
        <v>36965</v>
      </c>
      <c r="C209" s="103">
        <v>36960</v>
      </c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51"/>
      <c r="AU209" s="36"/>
      <c r="AV209" s="36"/>
      <c r="AW209" s="36"/>
    </row>
    <row r="210" spans="1:49" ht="10.199999999999999" customHeight="1" x14ac:dyDescent="0.25">
      <c r="A210" s="14">
        <f t="shared" si="4"/>
        <v>12</v>
      </c>
      <c r="B210" s="103">
        <v>36972</v>
      </c>
      <c r="C210" s="103">
        <v>36967</v>
      </c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51"/>
      <c r="AU210" s="36"/>
      <c r="AV210" s="36"/>
      <c r="AW210" s="36"/>
    </row>
    <row r="211" spans="1:49" ht="10.199999999999999" customHeight="1" x14ac:dyDescent="0.25">
      <c r="A211" s="14">
        <f t="shared" si="4"/>
        <v>13</v>
      </c>
      <c r="B211" s="103">
        <v>36979</v>
      </c>
      <c r="C211" s="103">
        <v>36974</v>
      </c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51"/>
      <c r="AU211" s="36"/>
      <c r="AV211" s="36"/>
      <c r="AW211" s="36"/>
    </row>
    <row r="212" spans="1:49" ht="10.199999999999999" customHeight="1" x14ac:dyDescent="0.25">
      <c r="A212" s="14">
        <f t="shared" si="4"/>
        <v>14</v>
      </c>
      <c r="B212" s="103">
        <v>36986</v>
      </c>
      <c r="C212" s="103">
        <v>36981</v>
      </c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51"/>
      <c r="AU212" s="36"/>
      <c r="AV212" s="36"/>
      <c r="AW212" s="36"/>
    </row>
    <row r="213" spans="1:49" ht="10.199999999999999" customHeight="1" x14ac:dyDescent="0.25">
      <c r="A213" s="14">
        <f t="shared" si="4"/>
        <v>15</v>
      </c>
      <c r="B213" s="103">
        <v>36993</v>
      </c>
      <c r="C213" s="103">
        <v>36988</v>
      </c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51"/>
      <c r="AU213" s="36"/>
      <c r="AV213" s="36"/>
      <c r="AW213" s="36"/>
    </row>
    <row r="214" spans="1:49" ht="10.199999999999999" customHeight="1" x14ac:dyDescent="0.25">
      <c r="A214" s="14">
        <f t="shared" si="4"/>
        <v>16</v>
      </c>
      <c r="B214" s="103">
        <v>37000</v>
      </c>
      <c r="C214" s="103">
        <v>36995</v>
      </c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51"/>
      <c r="AU214" s="36"/>
      <c r="AV214" s="36"/>
      <c r="AW214" s="36"/>
    </row>
    <row r="215" spans="1:49" ht="10.199999999999999" customHeight="1" x14ac:dyDescent="0.25">
      <c r="A215" s="14">
        <f t="shared" si="4"/>
        <v>17</v>
      </c>
      <c r="B215" s="103">
        <v>37007</v>
      </c>
      <c r="C215" s="103">
        <v>37002</v>
      </c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51"/>
      <c r="AU215" s="36"/>
      <c r="AV215" s="36"/>
      <c r="AW215" s="36"/>
    </row>
    <row r="216" spans="1:49" ht="10.199999999999999" customHeight="1" x14ac:dyDescent="0.25">
      <c r="A216" s="14">
        <f t="shared" si="4"/>
        <v>18</v>
      </c>
      <c r="B216" s="103">
        <v>37014</v>
      </c>
      <c r="C216" s="103">
        <v>37009</v>
      </c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51"/>
      <c r="AU216" s="36"/>
      <c r="AV216" s="36"/>
      <c r="AW216" s="36"/>
    </row>
    <row r="217" spans="1:49" ht="10.199999999999999" customHeight="1" x14ac:dyDescent="0.25">
      <c r="A217" s="14">
        <f t="shared" si="4"/>
        <v>19</v>
      </c>
      <c r="B217" s="103">
        <v>37021</v>
      </c>
      <c r="C217" s="103">
        <v>37016</v>
      </c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51"/>
      <c r="AU217" s="36"/>
      <c r="AV217" s="36"/>
      <c r="AW217" s="36"/>
    </row>
    <row r="218" spans="1:49" ht="10.199999999999999" customHeight="1" x14ac:dyDescent="0.25">
      <c r="A218" s="14">
        <f t="shared" si="4"/>
        <v>20</v>
      </c>
      <c r="B218" s="103">
        <v>37028</v>
      </c>
      <c r="C218" s="103">
        <v>37023</v>
      </c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51"/>
      <c r="AU218" s="36"/>
      <c r="AV218" s="36"/>
      <c r="AW218" s="36"/>
    </row>
    <row r="219" spans="1:49" ht="10.199999999999999" customHeight="1" x14ac:dyDescent="0.25">
      <c r="A219" s="14">
        <f t="shared" si="4"/>
        <v>21</v>
      </c>
      <c r="B219" s="103">
        <v>37035</v>
      </c>
      <c r="C219" s="103">
        <v>37030</v>
      </c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51"/>
      <c r="AU219" s="36"/>
      <c r="AV219" s="36"/>
      <c r="AW219" s="36"/>
    </row>
    <row r="220" spans="1:49" ht="10.199999999999999" customHeight="1" x14ac:dyDescent="0.25">
      <c r="A220" s="14">
        <f t="shared" si="4"/>
        <v>22</v>
      </c>
      <c r="B220" s="103">
        <v>37042</v>
      </c>
      <c r="C220" s="103">
        <v>37037</v>
      </c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51"/>
      <c r="AU220" s="36"/>
      <c r="AV220" s="36"/>
      <c r="AW220" s="36"/>
    </row>
    <row r="221" spans="1:49" ht="10.199999999999999" customHeight="1" x14ac:dyDescent="0.25">
      <c r="A221" s="14">
        <f t="shared" si="4"/>
        <v>23</v>
      </c>
      <c r="B221" s="103">
        <v>37049</v>
      </c>
      <c r="C221" s="103">
        <v>37044</v>
      </c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51"/>
      <c r="AU221" s="36"/>
      <c r="AV221" s="36"/>
      <c r="AW221" s="36"/>
    </row>
    <row r="222" spans="1:49" ht="10.199999999999999" customHeight="1" x14ac:dyDescent="0.25">
      <c r="A222" s="14">
        <f t="shared" si="4"/>
        <v>24</v>
      </c>
      <c r="B222" s="103">
        <v>37056</v>
      </c>
      <c r="C222" s="103">
        <v>37051</v>
      </c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51"/>
      <c r="AU222" s="36"/>
      <c r="AV222" s="36"/>
      <c r="AW222" s="36"/>
    </row>
    <row r="223" spans="1:49" ht="10.199999999999999" customHeight="1" x14ac:dyDescent="0.25">
      <c r="A223" s="14">
        <f t="shared" si="4"/>
        <v>25</v>
      </c>
      <c r="B223" s="103">
        <v>37063</v>
      </c>
      <c r="C223" s="103">
        <v>37058</v>
      </c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51"/>
      <c r="AU223" s="36"/>
      <c r="AV223" s="36"/>
      <c r="AW223" s="36"/>
    </row>
    <row r="224" spans="1:49" ht="10.199999999999999" customHeight="1" x14ac:dyDescent="0.25">
      <c r="A224" s="14">
        <f t="shared" si="4"/>
        <v>26</v>
      </c>
      <c r="B224" s="103">
        <v>37070</v>
      </c>
      <c r="C224" s="103">
        <v>37065</v>
      </c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51"/>
      <c r="AU224" s="36"/>
      <c r="AV224" s="36"/>
      <c r="AW224" s="36"/>
    </row>
    <row r="225" spans="1:49" ht="10.199999999999999" customHeight="1" x14ac:dyDescent="0.25">
      <c r="A225" s="14">
        <f t="shared" si="4"/>
        <v>27</v>
      </c>
      <c r="B225" s="103">
        <v>37077</v>
      </c>
      <c r="C225" s="103">
        <v>37072</v>
      </c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51"/>
      <c r="AU225" s="36"/>
      <c r="AV225" s="36"/>
      <c r="AW225" s="36"/>
    </row>
    <row r="226" spans="1:49" ht="10.199999999999999" customHeight="1" x14ac:dyDescent="0.25">
      <c r="A226" s="14">
        <f t="shared" si="4"/>
        <v>28</v>
      </c>
      <c r="B226" s="103">
        <v>37084</v>
      </c>
      <c r="C226" s="103">
        <v>37079</v>
      </c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51"/>
      <c r="AU226" s="36"/>
      <c r="AV226" s="36"/>
      <c r="AW226" s="36"/>
    </row>
    <row r="227" spans="1:49" ht="10.199999999999999" customHeight="1" x14ac:dyDescent="0.25">
      <c r="A227" s="14">
        <f t="shared" si="4"/>
        <v>29</v>
      </c>
      <c r="B227" s="103">
        <v>37091</v>
      </c>
      <c r="C227" s="103">
        <v>37086</v>
      </c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51"/>
      <c r="AU227" s="36"/>
      <c r="AV227" s="36"/>
      <c r="AW227" s="36"/>
    </row>
    <row r="228" spans="1:49" ht="10.199999999999999" customHeight="1" x14ac:dyDescent="0.25">
      <c r="A228" s="14">
        <f t="shared" si="4"/>
        <v>30</v>
      </c>
      <c r="B228" s="103">
        <v>37098</v>
      </c>
      <c r="C228" s="103">
        <v>37093</v>
      </c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51"/>
      <c r="AU228" s="36"/>
      <c r="AV228" s="36"/>
      <c r="AW228" s="36"/>
    </row>
    <row r="229" spans="1:49" ht="10.199999999999999" customHeight="1" x14ac:dyDescent="0.25">
      <c r="A229" s="14">
        <f t="shared" si="4"/>
        <v>31</v>
      </c>
      <c r="B229" s="103">
        <v>37105</v>
      </c>
      <c r="C229" s="103">
        <v>37100</v>
      </c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51"/>
      <c r="AU229" s="36"/>
      <c r="AV229" s="36"/>
      <c r="AW229" s="36"/>
    </row>
    <row r="230" spans="1:49" ht="10.199999999999999" customHeight="1" x14ac:dyDescent="0.25">
      <c r="A230" s="14">
        <f t="shared" si="4"/>
        <v>32</v>
      </c>
      <c r="B230" s="103">
        <v>37112</v>
      </c>
      <c r="C230" s="103">
        <v>37107</v>
      </c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51"/>
      <c r="AU230" s="36"/>
      <c r="AV230" s="36"/>
      <c r="AW230" s="36"/>
    </row>
    <row r="231" spans="1:49" ht="10.199999999999999" customHeight="1" x14ac:dyDescent="0.25">
      <c r="A231" s="14">
        <f t="shared" si="4"/>
        <v>33</v>
      </c>
      <c r="B231" s="103">
        <v>37119</v>
      </c>
      <c r="C231" s="103">
        <v>37114</v>
      </c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51"/>
      <c r="AU231" s="36"/>
      <c r="AV231" s="36"/>
      <c r="AW231" s="36"/>
    </row>
    <row r="232" spans="1:49" ht="10.199999999999999" customHeight="1" x14ac:dyDescent="0.25">
      <c r="A232" s="14">
        <f t="shared" si="4"/>
        <v>34</v>
      </c>
      <c r="B232" s="103">
        <v>37126</v>
      </c>
      <c r="C232" s="103">
        <v>37121</v>
      </c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51"/>
      <c r="AU232" s="36"/>
      <c r="AV232" s="36"/>
      <c r="AW232" s="36"/>
    </row>
    <row r="233" spans="1:49" ht="10.199999999999999" customHeight="1" x14ac:dyDescent="0.25">
      <c r="A233" s="14">
        <f t="shared" si="4"/>
        <v>35</v>
      </c>
      <c r="B233" s="103">
        <v>37133</v>
      </c>
      <c r="C233" s="103">
        <v>37128</v>
      </c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51"/>
      <c r="AU233" s="36"/>
      <c r="AV233" s="36"/>
      <c r="AW233" s="36"/>
    </row>
    <row r="234" spans="1:49" ht="10.199999999999999" customHeight="1" x14ac:dyDescent="0.25">
      <c r="A234" s="14">
        <f t="shared" si="4"/>
        <v>36</v>
      </c>
      <c r="B234" s="103">
        <v>37140</v>
      </c>
      <c r="C234" s="103">
        <v>37135</v>
      </c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51"/>
      <c r="AU234" s="36"/>
      <c r="AV234" s="36"/>
      <c r="AW234" s="36"/>
    </row>
    <row r="235" spans="1:49" ht="10.199999999999999" customHeight="1" x14ac:dyDescent="0.25">
      <c r="A235" s="14">
        <f t="shared" si="4"/>
        <v>37</v>
      </c>
      <c r="B235" s="103">
        <v>37147</v>
      </c>
      <c r="C235" s="103">
        <v>37142</v>
      </c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51"/>
      <c r="AU235" s="36"/>
      <c r="AV235" s="36"/>
      <c r="AW235" s="36"/>
    </row>
    <row r="236" spans="1:49" ht="10.199999999999999" customHeight="1" x14ac:dyDescent="0.25">
      <c r="A236" s="14">
        <f t="shared" si="4"/>
        <v>38</v>
      </c>
      <c r="B236" s="103">
        <v>37154</v>
      </c>
      <c r="C236" s="103">
        <v>37149</v>
      </c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51"/>
      <c r="AU236" s="36"/>
      <c r="AV236" s="36"/>
      <c r="AW236" s="36"/>
    </row>
    <row r="237" spans="1:49" ht="10.199999999999999" customHeight="1" x14ac:dyDescent="0.25">
      <c r="A237" s="14">
        <f t="shared" si="4"/>
        <v>39</v>
      </c>
      <c r="B237" s="103">
        <v>37161</v>
      </c>
      <c r="C237" s="103">
        <v>37156</v>
      </c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51"/>
      <c r="AU237" s="36"/>
      <c r="AV237" s="36"/>
      <c r="AW237" s="36"/>
    </row>
    <row r="238" spans="1:49" ht="10.199999999999999" customHeight="1" x14ac:dyDescent="0.25">
      <c r="A238" s="14">
        <f t="shared" si="4"/>
        <v>40</v>
      </c>
      <c r="B238" s="103">
        <v>37168</v>
      </c>
      <c r="C238" s="103">
        <v>37163</v>
      </c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51"/>
      <c r="AU238" s="36"/>
      <c r="AV238" s="36"/>
      <c r="AW238" s="36"/>
    </row>
    <row r="239" spans="1:49" ht="10.199999999999999" customHeight="1" x14ac:dyDescent="0.25">
      <c r="A239" s="14">
        <f t="shared" si="4"/>
        <v>41</v>
      </c>
      <c r="B239" s="103">
        <v>37175</v>
      </c>
      <c r="C239" s="103">
        <v>37170</v>
      </c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51"/>
      <c r="AU239" s="36"/>
      <c r="AV239" s="36"/>
      <c r="AW239" s="36"/>
    </row>
    <row r="240" spans="1:49" ht="10.199999999999999" customHeight="1" x14ac:dyDescent="0.25">
      <c r="A240" s="14">
        <f t="shared" si="4"/>
        <v>42</v>
      </c>
      <c r="B240" s="103">
        <v>37182</v>
      </c>
      <c r="C240" s="103">
        <v>37177</v>
      </c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51"/>
      <c r="AU240" s="36"/>
      <c r="AV240" s="36"/>
      <c r="AW240" s="36"/>
    </row>
    <row r="241" spans="1:49" ht="10.199999999999999" customHeight="1" x14ac:dyDescent="0.25">
      <c r="A241" s="14">
        <f t="shared" si="4"/>
        <v>43</v>
      </c>
      <c r="B241" s="103">
        <v>37189</v>
      </c>
      <c r="C241" s="103">
        <v>37184</v>
      </c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51"/>
      <c r="AU241" s="36"/>
      <c r="AV241" s="36"/>
      <c r="AW241" s="36"/>
    </row>
    <row r="242" spans="1:49" ht="10.199999999999999" customHeight="1" x14ac:dyDescent="0.25">
      <c r="A242" s="14">
        <f t="shared" si="4"/>
        <v>44</v>
      </c>
      <c r="B242" s="103">
        <v>37196</v>
      </c>
      <c r="C242" s="103">
        <v>37191</v>
      </c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51"/>
      <c r="AU242" s="36"/>
      <c r="AV242" s="36"/>
      <c r="AW242" s="36"/>
    </row>
    <row r="243" spans="1:49" ht="10.199999999999999" customHeight="1" x14ac:dyDescent="0.25">
      <c r="A243" s="14">
        <f t="shared" si="4"/>
        <v>45</v>
      </c>
      <c r="B243" s="103">
        <v>37203</v>
      </c>
      <c r="C243" s="103">
        <v>37198</v>
      </c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51"/>
      <c r="AU243" s="36"/>
      <c r="AV243" s="36"/>
      <c r="AW243" s="36"/>
    </row>
    <row r="244" spans="1:49" ht="10.199999999999999" customHeight="1" x14ac:dyDescent="0.25">
      <c r="A244" s="14">
        <f t="shared" si="4"/>
        <v>46</v>
      </c>
      <c r="B244" s="103">
        <v>37210</v>
      </c>
      <c r="C244" s="103">
        <v>37205</v>
      </c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51"/>
      <c r="AU244" s="36"/>
      <c r="AV244" s="36"/>
      <c r="AW244" s="36"/>
    </row>
    <row r="245" spans="1:49" ht="10.199999999999999" customHeight="1" x14ac:dyDescent="0.25">
      <c r="A245" s="14">
        <f t="shared" si="4"/>
        <v>47</v>
      </c>
      <c r="B245" s="103">
        <v>37217</v>
      </c>
      <c r="C245" s="103">
        <v>37212</v>
      </c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51"/>
      <c r="AU245" s="36"/>
      <c r="AV245" s="36"/>
      <c r="AW245" s="36"/>
    </row>
    <row r="246" spans="1:49" ht="10.199999999999999" customHeight="1" x14ac:dyDescent="0.25">
      <c r="A246" s="14">
        <f t="shared" si="4"/>
        <v>48</v>
      </c>
      <c r="B246" s="103">
        <v>37224</v>
      </c>
      <c r="C246" s="103">
        <v>37219</v>
      </c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51"/>
      <c r="AU246" s="36"/>
      <c r="AV246" s="36"/>
      <c r="AW246" s="36"/>
    </row>
    <row r="247" spans="1:49" ht="10.199999999999999" customHeight="1" x14ac:dyDescent="0.25">
      <c r="A247" s="14">
        <f t="shared" si="4"/>
        <v>49</v>
      </c>
      <c r="B247" s="103">
        <v>37231</v>
      </c>
      <c r="C247" s="103">
        <v>37226</v>
      </c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51"/>
      <c r="AU247" s="36"/>
      <c r="AV247" s="36"/>
      <c r="AW247" s="36"/>
    </row>
    <row r="248" spans="1:49" ht="10.199999999999999" customHeight="1" x14ac:dyDescent="0.25">
      <c r="A248" s="14">
        <f t="shared" si="4"/>
        <v>50</v>
      </c>
      <c r="B248" s="103">
        <v>37238</v>
      </c>
      <c r="C248" s="103">
        <v>37233</v>
      </c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51"/>
      <c r="AU248" s="36"/>
      <c r="AV248" s="36"/>
      <c r="AW248" s="36"/>
    </row>
    <row r="249" spans="1:49" ht="10.199999999999999" customHeight="1" x14ac:dyDescent="0.25">
      <c r="A249" s="14">
        <f t="shared" si="4"/>
        <v>51</v>
      </c>
      <c r="B249" s="103">
        <v>37245</v>
      </c>
      <c r="C249" s="103">
        <v>37240</v>
      </c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51"/>
      <c r="AU249" s="36"/>
      <c r="AV249" s="36"/>
      <c r="AW249" s="36"/>
    </row>
    <row r="250" spans="1:49" ht="10.199999999999999" customHeight="1" x14ac:dyDescent="0.25">
      <c r="A250" s="14">
        <f t="shared" si="4"/>
        <v>52</v>
      </c>
      <c r="B250" s="103">
        <v>37252</v>
      </c>
      <c r="C250" s="103">
        <v>37247</v>
      </c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51"/>
      <c r="AU250" s="36"/>
      <c r="AV250" s="36"/>
      <c r="AW250" s="36"/>
    </row>
    <row r="251" spans="1:49" ht="10.199999999999999" customHeight="1" x14ac:dyDescent="0.25">
      <c r="B251" s="103">
        <v>37259</v>
      </c>
      <c r="C251" s="103">
        <v>37254</v>
      </c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51"/>
      <c r="AU251" s="36"/>
      <c r="AV251" s="36"/>
      <c r="AW251" s="36"/>
    </row>
    <row r="252" spans="1:49" ht="10.199999999999999" customHeight="1" x14ac:dyDescent="0.25">
      <c r="A252" s="14">
        <f t="shared" ref="A252:A303" si="5">+A251+1</f>
        <v>1</v>
      </c>
      <c r="B252" s="103">
        <v>37266</v>
      </c>
      <c r="C252" s="103">
        <v>37261</v>
      </c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51"/>
      <c r="AU252" s="36"/>
      <c r="AV252" s="36"/>
      <c r="AW252" s="36"/>
    </row>
    <row r="253" spans="1:49" ht="10.199999999999999" customHeight="1" x14ac:dyDescent="0.25">
      <c r="A253" s="14">
        <f t="shared" si="5"/>
        <v>2</v>
      </c>
      <c r="B253" s="103">
        <v>37273</v>
      </c>
      <c r="C253" s="103">
        <v>37268</v>
      </c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51"/>
      <c r="AU253" s="36"/>
      <c r="AV253" s="36"/>
      <c r="AW253" s="36"/>
    </row>
    <row r="254" spans="1:49" ht="10.199999999999999" customHeight="1" x14ac:dyDescent="0.25">
      <c r="A254" s="14">
        <f t="shared" si="5"/>
        <v>3</v>
      </c>
      <c r="B254" s="103">
        <v>37280</v>
      </c>
      <c r="C254" s="103">
        <v>37275</v>
      </c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51"/>
      <c r="AU254" s="36"/>
      <c r="AV254" s="36"/>
      <c r="AW254" s="36"/>
    </row>
    <row r="255" spans="1:49" ht="10.199999999999999" customHeight="1" x14ac:dyDescent="0.25">
      <c r="A255" s="14">
        <f t="shared" si="5"/>
        <v>4</v>
      </c>
      <c r="B255" s="103">
        <v>37287</v>
      </c>
      <c r="C255" s="103">
        <v>37282</v>
      </c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51"/>
      <c r="AU255" s="36"/>
      <c r="AV255" s="36"/>
      <c r="AW255" s="36"/>
    </row>
    <row r="256" spans="1:49" ht="10.199999999999999" customHeight="1" x14ac:dyDescent="0.25">
      <c r="A256" s="14">
        <f t="shared" si="5"/>
        <v>5</v>
      </c>
      <c r="B256" s="103">
        <v>37294</v>
      </c>
      <c r="C256" s="103">
        <v>37289</v>
      </c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51"/>
      <c r="AU256" s="36"/>
      <c r="AV256" s="36"/>
      <c r="AW256" s="36"/>
    </row>
    <row r="257" spans="1:49" ht="10.199999999999999" customHeight="1" x14ac:dyDescent="0.25">
      <c r="A257" s="14">
        <f t="shared" si="5"/>
        <v>6</v>
      </c>
      <c r="B257" s="103">
        <v>37301</v>
      </c>
      <c r="C257" s="103">
        <v>37296</v>
      </c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51"/>
      <c r="AU257" s="36"/>
      <c r="AV257" s="36"/>
      <c r="AW257" s="36"/>
    </row>
    <row r="258" spans="1:49" ht="10.199999999999999" customHeight="1" x14ac:dyDescent="0.25">
      <c r="A258" s="14">
        <f t="shared" si="5"/>
        <v>7</v>
      </c>
      <c r="B258" s="103">
        <v>37308</v>
      </c>
      <c r="C258" s="103">
        <v>37303</v>
      </c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51"/>
      <c r="AU258" s="36"/>
      <c r="AV258" s="36"/>
      <c r="AW258" s="36"/>
    </row>
    <row r="259" spans="1:49" ht="10.199999999999999" customHeight="1" x14ac:dyDescent="0.25">
      <c r="A259" s="14">
        <f t="shared" si="5"/>
        <v>8</v>
      </c>
      <c r="B259" s="103">
        <v>37315</v>
      </c>
      <c r="C259" s="103">
        <v>37310</v>
      </c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51"/>
      <c r="AU259" s="36"/>
      <c r="AV259" s="36"/>
      <c r="AW259" s="36"/>
    </row>
    <row r="260" spans="1:49" ht="10.199999999999999" customHeight="1" x14ac:dyDescent="0.25">
      <c r="A260" s="14">
        <f t="shared" si="5"/>
        <v>9</v>
      </c>
      <c r="B260" s="103">
        <v>37322</v>
      </c>
      <c r="C260" s="103">
        <v>37317</v>
      </c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51"/>
      <c r="AU260" s="36"/>
      <c r="AV260" s="36"/>
      <c r="AW260" s="36"/>
    </row>
    <row r="261" spans="1:49" ht="10.199999999999999" customHeight="1" x14ac:dyDescent="0.25">
      <c r="A261" s="14">
        <f t="shared" si="5"/>
        <v>10</v>
      </c>
      <c r="B261" s="103">
        <v>37329</v>
      </c>
      <c r="C261" s="103">
        <v>37324</v>
      </c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51"/>
      <c r="AU261" s="36"/>
      <c r="AV261" s="36"/>
      <c r="AW261" s="36"/>
    </row>
    <row r="262" spans="1:49" ht="10.199999999999999" customHeight="1" x14ac:dyDescent="0.25">
      <c r="A262" s="14">
        <f t="shared" si="5"/>
        <v>11</v>
      </c>
      <c r="B262" s="103">
        <v>37336</v>
      </c>
      <c r="C262" s="103">
        <v>37331</v>
      </c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51"/>
      <c r="AU262" s="36"/>
      <c r="AV262" s="36"/>
      <c r="AW262" s="36"/>
    </row>
    <row r="263" spans="1:49" ht="10.199999999999999" customHeight="1" x14ac:dyDescent="0.25">
      <c r="A263" s="14">
        <f t="shared" si="5"/>
        <v>12</v>
      </c>
      <c r="B263" s="103">
        <v>37343</v>
      </c>
      <c r="C263" s="103">
        <v>37338</v>
      </c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51"/>
      <c r="AU263" s="36"/>
      <c r="AV263" s="36"/>
      <c r="AW263" s="36"/>
    </row>
    <row r="264" spans="1:49" ht="10.199999999999999" customHeight="1" x14ac:dyDescent="0.25">
      <c r="A264" s="14">
        <f t="shared" si="5"/>
        <v>13</v>
      </c>
      <c r="B264" s="103">
        <v>37350</v>
      </c>
      <c r="C264" s="103">
        <v>37345</v>
      </c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51"/>
      <c r="AU264" s="36"/>
      <c r="AV264" s="36"/>
      <c r="AW264" s="36"/>
    </row>
    <row r="265" spans="1:49" ht="10.199999999999999" customHeight="1" x14ac:dyDescent="0.25">
      <c r="A265" s="14">
        <f t="shared" si="5"/>
        <v>14</v>
      </c>
      <c r="B265" s="103">
        <v>37357</v>
      </c>
      <c r="C265" s="103">
        <v>37352</v>
      </c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51"/>
      <c r="AU265" s="36"/>
      <c r="AV265" s="36"/>
      <c r="AW265" s="36"/>
    </row>
    <row r="266" spans="1:49" ht="10.199999999999999" customHeight="1" x14ac:dyDescent="0.25">
      <c r="A266" s="14">
        <f t="shared" si="5"/>
        <v>15</v>
      </c>
      <c r="B266" s="103">
        <v>37364</v>
      </c>
      <c r="C266" s="103">
        <v>37359</v>
      </c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51"/>
      <c r="AU266" s="36"/>
      <c r="AV266" s="36"/>
      <c r="AW266" s="36"/>
    </row>
    <row r="267" spans="1:49" ht="10.199999999999999" customHeight="1" x14ac:dyDescent="0.25">
      <c r="A267" s="14">
        <f t="shared" si="5"/>
        <v>16</v>
      </c>
      <c r="B267" s="103">
        <v>37371</v>
      </c>
      <c r="C267" s="103">
        <v>37366</v>
      </c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51"/>
      <c r="AU267" s="36"/>
      <c r="AV267" s="36"/>
      <c r="AW267" s="36"/>
    </row>
    <row r="268" spans="1:49" ht="10.199999999999999" customHeight="1" x14ac:dyDescent="0.25">
      <c r="A268" s="14">
        <f t="shared" si="5"/>
        <v>17</v>
      </c>
      <c r="B268" s="103">
        <v>37378</v>
      </c>
      <c r="C268" s="103">
        <v>37373</v>
      </c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51"/>
      <c r="AU268" s="36"/>
      <c r="AV268" s="36"/>
      <c r="AW268" s="36"/>
    </row>
    <row r="269" spans="1:49" ht="10.199999999999999" customHeight="1" x14ac:dyDescent="0.25">
      <c r="A269" s="14">
        <f t="shared" si="5"/>
        <v>18</v>
      </c>
      <c r="B269" s="103">
        <v>37385</v>
      </c>
      <c r="C269" s="103">
        <v>37380</v>
      </c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51"/>
      <c r="AU269" s="36"/>
      <c r="AV269" s="36"/>
      <c r="AW269" s="36"/>
    </row>
    <row r="270" spans="1:49" ht="10.199999999999999" customHeight="1" x14ac:dyDescent="0.25">
      <c r="A270" s="14">
        <f t="shared" si="5"/>
        <v>19</v>
      </c>
      <c r="B270" s="103">
        <v>37392</v>
      </c>
      <c r="C270" s="103">
        <v>37387</v>
      </c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51"/>
      <c r="AU270" s="36"/>
      <c r="AV270" s="36"/>
      <c r="AW270" s="36"/>
    </row>
    <row r="271" spans="1:49" ht="10.199999999999999" customHeight="1" x14ac:dyDescent="0.25">
      <c r="A271" s="14">
        <f t="shared" si="5"/>
        <v>20</v>
      </c>
      <c r="B271" s="103">
        <v>37399</v>
      </c>
      <c r="C271" s="103">
        <v>37394</v>
      </c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51"/>
      <c r="AU271" s="36"/>
      <c r="AV271" s="36"/>
      <c r="AW271" s="36"/>
    </row>
    <row r="272" spans="1:49" ht="10.199999999999999" customHeight="1" x14ac:dyDescent="0.25">
      <c r="A272" s="14">
        <f t="shared" si="5"/>
        <v>21</v>
      </c>
      <c r="B272" s="103">
        <v>37406</v>
      </c>
      <c r="C272" s="103">
        <v>37401</v>
      </c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51"/>
      <c r="AU272" s="36"/>
      <c r="AV272" s="36"/>
      <c r="AW272" s="36"/>
    </row>
    <row r="273" spans="1:49" ht="10.199999999999999" customHeight="1" x14ac:dyDescent="0.25">
      <c r="A273" s="14">
        <f t="shared" si="5"/>
        <v>22</v>
      </c>
      <c r="B273" s="103">
        <v>37413</v>
      </c>
      <c r="C273" s="103">
        <v>37408</v>
      </c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51"/>
      <c r="AU273" s="36"/>
      <c r="AV273" s="36"/>
      <c r="AW273" s="36"/>
    </row>
    <row r="274" spans="1:49" ht="10.199999999999999" customHeight="1" x14ac:dyDescent="0.25">
      <c r="A274" s="14">
        <f t="shared" si="5"/>
        <v>23</v>
      </c>
      <c r="B274" s="103">
        <v>37420</v>
      </c>
      <c r="C274" s="103">
        <v>37415</v>
      </c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51"/>
      <c r="AU274" s="36"/>
      <c r="AV274" s="36"/>
      <c r="AW274" s="36"/>
    </row>
    <row r="275" spans="1:49" ht="10.199999999999999" customHeight="1" x14ac:dyDescent="0.25">
      <c r="A275" s="14">
        <f t="shared" si="5"/>
        <v>24</v>
      </c>
      <c r="B275" s="103">
        <v>37427</v>
      </c>
      <c r="C275" s="103">
        <v>37422</v>
      </c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51"/>
      <c r="AU275" s="36"/>
      <c r="AV275" s="36"/>
      <c r="AW275" s="36"/>
    </row>
    <row r="276" spans="1:49" ht="10.199999999999999" customHeight="1" x14ac:dyDescent="0.25">
      <c r="A276" s="14">
        <f t="shared" si="5"/>
        <v>25</v>
      </c>
      <c r="B276" s="103">
        <v>37434</v>
      </c>
      <c r="C276" s="103">
        <v>37429</v>
      </c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51"/>
      <c r="AU276" s="36"/>
      <c r="AV276" s="36"/>
      <c r="AW276" s="36"/>
    </row>
    <row r="277" spans="1:49" ht="10.199999999999999" customHeight="1" x14ac:dyDescent="0.25">
      <c r="A277" s="14">
        <f t="shared" si="5"/>
        <v>26</v>
      </c>
      <c r="B277" s="103">
        <v>37441</v>
      </c>
      <c r="C277" s="103">
        <v>37436</v>
      </c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51"/>
      <c r="AU277" s="36"/>
      <c r="AV277" s="36"/>
      <c r="AW277" s="36"/>
    </row>
    <row r="278" spans="1:49" ht="10.199999999999999" customHeight="1" x14ac:dyDescent="0.25">
      <c r="A278" s="14">
        <f t="shared" si="5"/>
        <v>27</v>
      </c>
      <c r="B278" s="103">
        <v>37448</v>
      </c>
      <c r="C278" s="103">
        <v>37443</v>
      </c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51"/>
      <c r="AU278" s="36"/>
      <c r="AV278" s="36"/>
      <c r="AW278" s="36"/>
    </row>
    <row r="279" spans="1:49" ht="10.199999999999999" customHeight="1" x14ac:dyDescent="0.25">
      <c r="A279" s="14">
        <f t="shared" si="5"/>
        <v>28</v>
      </c>
      <c r="B279" s="103">
        <v>37455</v>
      </c>
      <c r="C279" s="103">
        <v>37450</v>
      </c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51"/>
      <c r="AU279" s="36"/>
      <c r="AV279" s="36"/>
      <c r="AW279" s="36"/>
    </row>
    <row r="280" spans="1:49" ht="10.199999999999999" customHeight="1" x14ac:dyDescent="0.25">
      <c r="A280" s="14">
        <f t="shared" si="5"/>
        <v>29</v>
      </c>
      <c r="B280" s="103">
        <v>37462</v>
      </c>
      <c r="C280" s="103">
        <v>37457</v>
      </c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51"/>
      <c r="AU280" s="36"/>
      <c r="AV280" s="36"/>
      <c r="AW280" s="36"/>
    </row>
    <row r="281" spans="1:49" ht="10.199999999999999" customHeight="1" x14ac:dyDescent="0.25">
      <c r="A281" s="14">
        <f t="shared" si="5"/>
        <v>30</v>
      </c>
      <c r="B281" s="103">
        <v>37469</v>
      </c>
      <c r="C281" s="103">
        <v>37464</v>
      </c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51"/>
      <c r="AU281" s="36"/>
      <c r="AV281" s="36"/>
      <c r="AW281" s="36"/>
    </row>
    <row r="282" spans="1:49" ht="10.199999999999999" customHeight="1" x14ac:dyDescent="0.25">
      <c r="A282" s="14">
        <f t="shared" si="5"/>
        <v>31</v>
      </c>
      <c r="B282" s="103">
        <v>37476</v>
      </c>
      <c r="C282" s="103">
        <v>37471</v>
      </c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51"/>
      <c r="AU282" s="36"/>
      <c r="AV282" s="36"/>
      <c r="AW282" s="36"/>
    </row>
    <row r="283" spans="1:49" ht="10.199999999999999" customHeight="1" x14ac:dyDescent="0.25">
      <c r="A283" s="14">
        <f t="shared" si="5"/>
        <v>32</v>
      </c>
      <c r="B283" s="103">
        <v>37483</v>
      </c>
      <c r="C283" s="103">
        <v>37478</v>
      </c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51"/>
      <c r="AU283" s="36"/>
      <c r="AV283" s="36"/>
      <c r="AW283" s="36"/>
    </row>
    <row r="284" spans="1:49" ht="10.199999999999999" customHeight="1" x14ac:dyDescent="0.25">
      <c r="A284" s="14">
        <f t="shared" si="5"/>
        <v>33</v>
      </c>
      <c r="B284" s="103">
        <v>37490</v>
      </c>
      <c r="C284" s="103">
        <v>37485</v>
      </c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51"/>
      <c r="AU284" s="36"/>
      <c r="AV284" s="36"/>
      <c r="AW284" s="36"/>
    </row>
    <row r="285" spans="1:49" ht="10.199999999999999" customHeight="1" x14ac:dyDescent="0.25">
      <c r="A285" s="14">
        <f t="shared" si="5"/>
        <v>34</v>
      </c>
      <c r="B285" s="103">
        <v>37497</v>
      </c>
      <c r="C285" s="103">
        <v>37492</v>
      </c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51"/>
      <c r="AU285" s="36"/>
      <c r="AV285" s="36"/>
      <c r="AW285" s="36"/>
    </row>
    <row r="286" spans="1:49" ht="10.199999999999999" customHeight="1" x14ac:dyDescent="0.25">
      <c r="A286" s="14">
        <f t="shared" si="5"/>
        <v>35</v>
      </c>
      <c r="B286" s="103">
        <v>37504</v>
      </c>
      <c r="C286" s="103">
        <v>37499</v>
      </c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51"/>
      <c r="AU286" s="36"/>
      <c r="AV286" s="36"/>
      <c r="AW286" s="36"/>
    </row>
    <row r="287" spans="1:49" ht="10.199999999999999" customHeight="1" x14ac:dyDescent="0.25">
      <c r="A287" s="14">
        <f t="shared" si="5"/>
        <v>36</v>
      </c>
      <c r="B287" s="103">
        <v>37511</v>
      </c>
      <c r="C287" s="103">
        <v>37506</v>
      </c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51"/>
      <c r="AU287" s="36"/>
      <c r="AV287" s="36"/>
      <c r="AW287" s="36"/>
    </row>
    <row r="288" spans="1:49" ht="10.199999999999999" customHeight="1" x14ac:dyDescent="0.25">
      <c r="A288" s="14">
        <f t="shared" si="5"/>
        <v>37</v>
      </c>
      <c r="B288" s="103">
        <v>37518</v>
      </c>
      <c r="C288" s="103">
        <v>37513</v>
      </c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51"/>
      <c r="AU288" s="36"/>
      <c r="AV288" s="36"/>
      <c r="AW288" s="36"/>
    </row>
    <row r="289" spans="1:49" ht="10.199999999999999" customHeight="1" x14ac:dyDescent="0.25">
      <c r="A289" s="14">
        <f t="shared" si="5"/>
        <v>38</v>
      </c>
      <c r="B289" s="103">
        <v>37525</v>
      </c>
      <c r="C289" s="103">
        <v>37520</v>
      </c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51"/>
      <c r="AU289" s="36"/>
      <c r="AV289" s="36"/>
      <c r="AW289" s="36"/>
    </row>
    <row r="290" spans="1:49" ht="10.199999999999999" customHeight="1" x14ac:dyDescent="0.25">
      <c r="A290" s="14">
        <f t="shared" si="5"/>
        <v>39</v>
      </c>
      <c r="B290" s="103">
        <v>37532</v>
      </c>
      <c r="C290" s="103">
        <v>37527</v>
      </c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51"/>
      <c r="AU290" s="36"/>
      <c r="AV290" s="36"/>
      <c r="AW290" s="36"/>
    </row>
    <row r="291" spans="1:49" ht="10.199999999999999" customHeight="1" x14ac:dyDescent="0.25">
      <c r="A291" s="14">
        <f t="shared" si="5"/>
        <v>40</v>
      </c>
      <c r="B291" s="103">
        <v>37539</v>
      </c>
      <c r="C291" s="103">
        <v>37534</v>
      </c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51"/>
      <c r="AU291" s="36"/>
      <c r="AV291" s="36"/>
      <c r="AW291" s="36"/>
    </row>
    <row r="292" spans="1:49" ht="10.199999999999999" customHeight="1" x14ac:dyDescent="0.25">
      <c r="A292" s="14">
        <f t="shared" si="5"/>
        <v>41</v>
      </c>
      <c r="B292" s="103">
        <v>37546</v>
      </c>
      <c r="C292" s="103">
        <v>37541</v>
      </c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51"/>
      <c r="AU292" s="36"/>
      <c r="AV292" s="36"/>
      <c r="AW292" s="36"/>
    </row>
    <row r="293" spans="1:49" ht="10.199999999999999" customHeight="1" x14ac:dyDescent="0.25">
      <c r="A293" s="14">
        <f t="shared" si="5"/>
        <v>42</v>
      </c>
      <c r="B293" s="103">
        <v>37553</v>
      </c>
      <c r="C293" s="103">
        <v>37548</v>
      </c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51"/>
      <c r="AU293" s="36"/>
      <c r="AV293" s="36"/>
      <c r="AW293" s="36"/>
    </row>
    <row r="294" spans="1:49" ht="10.199999999999999" customHeight="1" x14ac:dyDescent="0.25">
      <c r="A294" s="14">
        <f t="shared" si="5"/>
        <v>43</v>
      </c>
      <c r="B294" s="103">
        <v>37560</v>
      </c>
      <c r="C294" s="103">
        <v>37555</v>
      </c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51"/>
      <c r="AU294" s="36"/>
      <c r="AV294" s="36"/>
      <c r="AW294" s="36"/>
    </row>
    <row r="295" spans="1:49" ht="10.199999999999999" customHeight="1" x14ac:dyDescent="0.25">
      <c r="A295" s="14">
        <f t="shared" si="5"/>
        <v>44</v>
      </c>
      <c r="B295" s="103">
        <v>37567</v>
      </c>
      <c r="C295" s="103">
        <v>37562</v>
      </c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51"/>
      <c r="AU295" s="36"/>
      <c r="AV295" s="36"/>
      <c r="AW295" s="36"/>
    </row>
    <row r="296" spans="1:49" ht="10.199999999999999" customHeight="1" x14ac:dyDescent="0.25">
      <c r="A296" s="14">
        <f t="shared" si="5"/>
        <v>45</v>
      </c>
      <c r="B296" s="103">
        <v>37574</v>
      </c>
      <c r="C296" s="103">
        <v>37569</v>
      </c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51"/>
      <c r="AU296" s="36"/>
      <c r="AV296" s="36"/>
      <c r="AW296" s="36"/>
    </row>
    <row r="297" spans="1:49" ht="10.199999999999999" customHeight="1" x14ac:dyDescent="0.25">
      <c r="A297" s="14">
        <f t="shared" si="5"/>
        <v>46</v>
      </c>
      <c r="B297" s="103">
        <v>37581</v>
      </c>
      <c r="C297" s="103">
        <v>37576</v>
      </c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51"/>
      <c r="AU297" s="36"/>
      <c r="AV297" s="36"/>
      <c r="AW297" s="36"/>
    </row>
    <row r="298" spans="1:49" ht="10.199999999999999" customHeight="1" x14ac:dyDescent="0.25">
      <c r="A298" s="14">
        <f t="shared" si="5"/>
        <v>47</v>
      </c>
      <c r="B298" s="103">
        <v>37588</v>
      </c>
      <c r="C298" s="103">
        <v>37583</v>
      </c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51"/>
      <c r="AU298" s="36"/>
      <c r="AV298" s="36"/>
      <c r="AW298" s="36"/>
    </row>
    <row r="299" spans="1:49" ht="10.199999999999999" customHeight="1" x14ac:dyDescent="0.25">
      <c r="A299" s="14">
        <f t="shared" si="5"/>
        <v>48</v>
      </c>
      <c r="B299" s="103">
        <v>37595</v>
      </c>
      <c r="C299" s="103">
        <v>37590</v>
      </c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51"/>
      <c r="AU299" s="36"/>
      <c r="AV299" s="36"/>
      <c r="AW299" s="36"/>
    </row>
    <row r="300" spans="1:49" ht="10.199999999999999" customHeight="1" x14ac:dyDescent="0.25">
      <c r="A300" s="14">
        <f t="shared" si="5"/>
        <v>49</v>
      </c>
      <c r="B300" s="103">
        <v>37602</v>
      </c>
      <c r="C300" s="103">
        <v>37597</v>
      </c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51"/>
      <c r="AU300" s="36"/>
      <c r="AV300" s="36"/>
      <c r="AW300" s="36"/>
    </row>
    <row r="301" spans="1:49" ht="10.199999999999999" customHeight="1" x14ac:dyDescent="0.25">
      <c r="A301" s="14">
        <f t="shared" si="5"/>
        <v>50</v>
      </c>
      <c r="B301" s="103">
        <v>37609</v>
      </c>
      <c r="C301" s="103">
        <v>37604</v>
      </c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51"/>
      <c r="AU301" s="36"/>
      <c r="AV301" s="36"/>
      <c r="AW301" s="36"/>
    </row>
    <row r="302" spans="1:49" ht="10.199999999999999" customHeight="1" x14ac:dyDescent="0.25">
      <c r="A302" s="14">
        <f t="shared" si="5"/>
        <v>51</v>
      </c>
      <c r="B302" s="103">
        <v>37616</v>
      </c>
      <c r="C302" s="103">
        <v>37611</v>
      </c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51"/>
      <c r="AU302" s="36"/>
      <c r="AV302" s="36"/>
      <c r="AW302" s="36"/>
    </row>
    <row r="303" spans="1:49" ht="10.199999999999999" customHeight="1" x14ac:dyDescent="0.25">
      <c r="A303" s="14">
        <f t="shared" si="5"/>
        <v>52</v>
      </c>
      <c r="B303" s="103">
        <v>37623</v>
      </c>
      <c r="C303" s="103">
        <v>37618</v>
      </c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51"/>
      <c r="AU303" s="36"/>
      <c r="AV303" s="36"/>
      <c r="AW303" s="36"/>
    </row>
    <row r="304" spans="1:49" ht="10.199999999999999" customHeight="1" x14ac:dyDescent="0.25">
      <c r="A304" s="14">
        <v>1</v>
      </c>
      <c r="B304" s="103">
        <v>37630</v>
      </c>
      <c r="C304" s="103">
        <v>37623</v>
      </c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51"/>
      <c r="AU304" s="36"/>
      <c r="AV304" s="36"/>
      <c r="AW304" s="36"/>
    </row>
    <row r="305" spans="1:49" ht="10.199999999999999" customHeight="1" x14ac:dyDescent="0.25">
      <c r="A305" s="14">
        <f t="shared" ref="A305:A355" si="6">+A304+1</f>
        <v>2</v>
      </c>
      <c r="B305" s="103">
        <v>37637</v>
      </c>
      <c r="C305" s="103">
        <v>37630</v>
      </c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51"/>
      <c r="AU305" s="36"/>
      <c r="AV305" s="36"/>
      <c r="AW305" s="36"/>
    </row>
    <row r="306" spans="1:49" ht="10.199999999999999" customHeight="1" x14ac:dyDescent="0.25">
      <c r="A306" s="14">
        <f t="shared" si="6"/>
        <v>3</v>
      </c>
      <c r="B306" s="103">
        <v>37644</v>
      </c>
      <c r="C306" s="103">
        <v>37637</v>
      </c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51"/>
      <c r="AU306" s="36"/>
      <c r="AV306" s="36"/>
      <c r="AW306" s="36"/>
    </row>
    <row r="307" spans="1:49" ht="10.199999999999999" customHeight="1" x14ac:dyDescent="0.25">
      <c r="A307" s="14">
        <f t="shared" si="6"/>
        <v>4</v>
      </c>
      <c r="B307" s="103">
        <v>37651</v>
      </c>
      <c r="C307" s="103">
        <v>37644</v>
      </c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51"/>
      <c r="AU307" s="36"/>
      <c r="AV307" s="36"/>
      <c r="AW307" s="36"/>
    </row>
    <row r="308" spans="1:49" ht="10.199999999999999" customHeight="1" x14ac:dyDescent="0.25">
      <c r="A308" s="14">
        <f t="shared" si="6"/>
        <v>5</v>
      </c>
      <c r="B308" s="103">
        <v>37658</v>
      </c>
      <c r="C308" s="103">
        <v>37651</v>
      </c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51"/>
      <c r="AU308" s="36"/>
      <c r="AV308" s="36"/>
      <c r="AW308" s="36"/>
    </row>
    <row r="309" spans="1:49" ht="10.199999999999999" customHeight="1" x14ac:dyDescent="0.25">
      <c r="A309" s="14">
        <f t="shared" si="6"/>
        <v>6</v>
      </c>
      <c r="B309" s="103">
        <v>37665</v>
      </c>
      <c r="C309" s="103">
        <v>37658</v>
      </c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51"/>
      <c r="AU309" s="36"/>
      <c r="AV309" s="36"/>
      <c r="AW309" s="36"/>
    </row>
    <row r="310" spans="1:49" ht="10.199999999999999" customHeight="1" x14ac:dyDescent="0.25">
      <c r="A310" s="14">
        <f t="shared" si="6"/>
        <v>7</v>
      </c>
      <c r="B310" s="103">
        <v>37672</v>
      </c>
      <c r="C310" s="103">
        <v>37665</v>
      </c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51"/>
      <c r="AU310" s="36"/>
      <c r="AV310" s="36"/>
      <c r="AW310" s="36"/>
    </row>
    <row r="311" spans="1:49" ht="10.199999999999999" customHeight="1" x14ac:dyDescent="0.25">
      <c r="A311" s="14">
        <f t="shared" si="6"/>
        <v>8</v>
      </c>
      <c r="B311" s="103">
        <v>37679</v>
      </c>
      <c r="C311" s="103">
        <v>37672</v>
      </c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51"/>
      <c r="AU311" s="36"/>
      <c r="AV311" s="36"/>
      <c r="AW311" s="36"/>
    </row>
    <row r="312" spans="1:49" ht="10.199999999999999" customHeight="1" x14ac:dyDescent="0.25">
      <c r="A312" s="14">
        <f t="shared" si="6"/>
        <v>9</v>
      </c>
      <c r="B312" s="103">
        <v>37686</v>
      </c>
      <c r="C312" s="103">
        <v>37679</v>
      </c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51"/>
      <c r="AU312" s="36"/>
      <c r="AV312" s="36"/>
      <c r="AW312" s="36"/>
    </row>
    <row r="313" spans="1:49" ht="10.199999999999999" customHeight="1" x14ac:dyDescent="0.25">
      <c r="A313" s="14">
        <f t="shared" si="6"/>
        <v>10</v>
      </c>
      <c r="B313" s="103">
        <v>37693</v>
      </c>
      <c r="C313" s="103">
        <v>37686</v>
      </c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51"/>
      <c r="AU313" s="36"/>
      <c r="AV313" s="36"/>
      <c r="AW313" s="36"/>
    </row>
    <row r="314" spans="1:49" ht="10.199999999999999" customHeight="1" x14ac:dyDescent="0.25">
      <c r="A314" s="14">
        <f t="shared" si="6"/>
        <v>11</v>
      </c>
      <c r="B314" s="103">
        <v>37700</v>
      </c>
      <c r="C314" s="103">
        <v>37693</v>
      </c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51"/>
      <c r="AU314" s="36"/>
      <c r="AV314" s="36"/>
      <c r="AW314" s="36"/>
    </row>
    <row r="315" spans="1:49" ht="10.199999999999999" customHeight="1" x14ac:dyDescent="0.25">
      <c r="A315" s="14">
        <f t="shared" si="6"/>
        <v>12</v>
      </c>
      <c r="B315" s="103">
        <v>37707</v>
      </c>
      <c r="C315" s="103">
        <v>37700</v>
      </c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51"/>
      <c r="AU315" s="36"/>
      <c r="AV315" s="36"/>
      <c r="AW315" s="36"/>
    </row>
    <row r="316" spans="1:49" ht="10.199999999999999" customHeight="1" x14ac:dyDescent="0.25">
      <c r="A316" s="14">
        <f t="shared" si="6"/>
        <v>13</v>
      </c>
      <c r="B316" s="103">
        <v>37714</v>
      </c>
      <c r="C316" s="103">
        <v>37707</v>
      </c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51"/>
      <c r="AU316" s="36"/>
      <c r="AV316" s="36"/>
      <c r="AW316" s="36"/>
    </row>
    <row r="317" spans="1:49" ht="10.199999999999999" customHeight="1" x14ac:dyDescent="0.25">
      <c r="A317" s="14">
        <f t="shared" si="6"/>
        <v>14</v>
      </c>
      <c r="B317" s="103">
        <v>37721</v>
      </c>
      <c r="C317" s="103">
        <v>37714</v>
      </c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51"/>
      <c r="AU317" s="36"/>
      <c r="AV317" s="36"/>
      <c r="AW317" s="36"/>
    </row>
    <row r="318" spans="1:49" ht="10.199999999999999" customHeight="1" x14ac:dyDescent="0.25">
      <c r="A318" s="14">
        <f t="shared" si="6"/>
        <v>15</v>
      </c>
      <c r="B318" s="103">
        <v>37728</v>
      </c>
      <c r="C318" s="103">
        <v>37721</v>
      </c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51"/>
      <c r="AU318" s="36"/>
      <c r="AV318" s="36"/>
      <c r="AW318" s="36"/>
    </row>
    <row r="319" spans="1:49" ht="10.199999999999999" customHeight="1" x14ac:dyDescent="0.25">
      <c r="A319" s="14">
        <f t="shared" si="6"/>
        <v>16</v>
      </c>
      <c r="B319" s="103">
        <v>37735</v>
      </c>
      <c r="C319" s="103">
        <v>37728</v>
      </c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51"/>
      <c r="AU319" s="36"/>
      <c r="AV319" s="36"/>
      <c r="AW319" s="36"/>
    </row>
    <row r="320" spans="1:49" ht="10.199999999999999" customHeight="1" x14ac:dyDescent="0.25">
      <c r="A320" s="14">
        <f t="shared" si="6"/>
        <v>17</v>
      </c>
      <c r="B320" s="103">
        <v>37742</v>
      </c>
      <c r="C320" s="103">
        <v>37735</v>
      </c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51"/>
      <c r="AU320" s="36"/>
      <c r="AV320" s="36"/>
      <c r="AW320" s="36"/>
    </row>
    <row r="321" spans="1:49" ht="10.199999999999999" customHeight="1" x14ac:dyDescent="0.25">
      <c r="A321" s="14">
        <f t="shared" si="6"/>
        <v>18</v>
      </c>
      <c r="B321" s="103">
        <v>37749</v>
      </c>
      <c r="C321" s="103">
        <v>37742</v>
      </c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51"/>
      <c r="AU321" s="36"/>
      <c r="AV321" s="36"/>
      <c r="AW321" s="36"/>
    </row>
    <row r="322" spans="1:49" ht="10.199999999999999" customHeight="1" x14ac:dyDescent="0.25">
      <c r="A322" s="14">
        <f t="shared" si="6"/>
        <v>19</v>
      </c>
      <c r="B322" s="103">
        <v>37756</v>
      </c>
      <c r="C322" s="103">
        <v>37749</v>
      </c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51"/>
      <c r="AU322" s="36"/>
      <c r="AV322" s="36"/>
      <c r="AW322" s="36"/>
    </row>
    <row r="323" spans="1:49" ht="10.199999999999999" customHeight="1" x14ac:dyDescent="0.25">
      <c r="A323" s="14">
        <f t="shared" si="6"/>
        <v>20</v>
      </c>
      <c r="B323" s="103">
        <v>37763</v>
      </c>
      <c r="C323" s="103">
        <v>37756</v>
      </c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51"/>
      <c r="AU323" s="36"/>
      <c r="AV323" s="36"/>
      <c r="AW323" s="36"/>
    </row>
    <row r="324" spans="1:49" ht="10.199999999999999" customHeight="1" x14ac:dyDescent="0.25">
      <c r="A324" s="14">
        <f t="shared" si="6"/>
        <v>21</v>
      </c>
      <c r="B324" s="103">
        <v>37770</v>
      </c>
      <c r="C324" s="103">
        <v>37763</v>
      </c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51"/>
      <c r="AU324" s="36"/>
      <c r="AV324" s="36"/>
      <c r="AW324" s="36"/>
    </row>
    <row r="325" spans="1:49" ht="10.199999999999999" customHeight="1" x14ac:dyDescent="0.25">
      <c r="A325" s="14">
        <f t="shared" si="6"/>
        <v>22</v>
      </c>
      <c r="B325" s="103">
        <v>37777</v>
      </c>
      <c r="C325" s="103">
        <v>37770</v>
      </c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51"/>
      <c r="AU325" s="36"/>
      <c r="AV325" s="36"/>
      <c r="AW325" s="36"/>
    </row>
    <row r="326" spans="1:49" ht="10.199999999999999" customHeight="1" x14ac:dyDescent="0.25">
      <c r="A326" s="14">
        <f t="shared" si="6"/>
        <v>23</v>
      </c>
      <c r="B326" s="103">
        <v>37784</v>
      </c>
      <c r="C326" s="103">
        <v>37777</v>
      </c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51"/>
      <c r="AU326" s="36"/>
      <c r="AV326" s="36"/>
      <c r="AW326" s="36"/>
    </row>
    <row r="327" spans="1:49" ht="10.199999999999999" customHeight="1" x14ac:dyDescent="0.25">
      <c r="A327" s="14">
        <f t="shared" si="6"/>
        <v>24</v>
      </c>
      <c r="B327" s="103">
        <v>37791</v>
      </c>
      <c r="C327" s="103">
        <v>37784</v>
      </c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51"/>
      <c r="AU327" s="36"/>
      <c r="AV327" s="36"/>
      <c r="AW327" s="36"/>
    </row>
    <row r="328" spans="1:49" ht="10.199999999999999" customHeight="1" x14ac:dyDescent="0.25">
      <c r="A328" s="14">
        <f t="shared" si="6"/>
        <v>25</v>
      </c>
      <c r="B328" s="103">
        <v>37798</v>
      </c>
      <c r="C328" s="103">
        <v>37791</v>
      </c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51"/>
      <c r="AU328" s="36"/>
      <c r="AV328" s="36"/>
      <c r="AW328" s="36"/>
    </row>
    <row r="329" spans="1:49" ht="10.199999999999999" customHeight="1" x14ac:dyDescent="0.25">
      <c r="A329" s="14">
        <f t="shared" si="6"/>
        <v>26</v>
      </c>
      <c r="B329" s="103">
        <v>37805</v>
      </c>
      <c r="C329" s="103">
        <v>37798</v>
      </c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51"/>
      <c r="AU329" s="36"/>
      <c r="AV329" s="36"/>
      <c r="AW329" s="36"/>
    </row>
    <row r="330" spans="1:49" ht="10.199999999999999" customHeight="1" x14ac:dyDescent="0.25">
      <c r="A330" s="14">
        <f t="shared" si="6"/>
        <v>27</v>
      </c>
      <c r="B330" s="103">
        <v>37812</v>
      </c>
      <c r="C330" s="103">
        <v>37805</v>
      </c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51"/>
      <c r="AU330" s="36"/>
      <c r="AV330" s="36"/>
      <c r="AW330" s="36"/>
    </row>
    <row r="331" spans="1:49" ht="10.199999999999999" customHeight="1" x14ac:dyDescent="0.25">
      <c r="A331" s="14">
        <f t="shared" si="6"/>
        <v>28</v>
      </c>
      <c r="B331" s="103">
        <v>37819</v>
      </c>
      <c r="C331" s="103">
        <v>37812</v>
      </c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51"/>
      <c r="AU331" s="36"/>
      <c r="AV331" s="36"/>
      <c r="AW331" s="36"/>
    </row>
    <row r="332" spans="1:49" ht="10.199999999999999" customHeight="1" x14ac:dyDescent="0.25">
      <c r="A332" s="14">
        <f t="shared" si="6"/>
        <v>29</v>
      </c>
      <c r="B332" s="103">
        <v>37826</v>
      </c>
      <c r="C332" s="103">
        <v>37819</v>
      </c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51"/>
      <c r="AU332" s="36"/>
      <c r="AV332" s="36"/>
      <c r="AW332" s="36"/>
    </row>
    <row r="333" spans="1:49" ht="10.199999999999999" customHeight="1" x14ac:dyDescent="0.25">
      <c r="A333" s="14">
        <f t="shared" si="6"/>
        <v>30</v>
      </c>
      <c r="B333" s="103">
        <v>37833</v>
      </c>
      <c r="C333" s="103">
        <v>37826</v>
      </c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51"/>
      <c r="AU333" s="36"/>
      <c r="AV333" s="36"/>
      <c r="AW333" s="36"/>
    </row>
    <row r="334" spans="1:49" ht="10.199999999999999" customHeight="1" x14ac:dyDescent="0.25">
      <c r="A334" s="14">
        <f t="shared" si="6"/>
        <v>31</v>
      </c>
      <c r="B334" s="103">
        <v>37840</v>
      </c>
      <c r="C334" s="103">
        <v>37833</v>
      </c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51"/>
      <c r="AU334" s="36"/>
      <c r="AV334" s="36"/>
      <c r="AW334" s="36"/>
    </row>
    <row r="335" spans="1:49" ht="10.199999999999999" customHeight="1" x14ac:dyDescent="0.25">
      <c r="A335" s="14">
        <f t="shared" si="6"/>
        <v>32</v>
      </c>
      <c r="B335" s="103">
        <v>37847</v>
      </c>
      <c r="C335" s="103">
        <v>37840</v>
      </c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51"/>
      <c r="AU335" s="36"/>
      <c r="AV335" s="36"/>
      <c r="AW335" s="36"/>
    </row>
    <row r="336" spans="1:49" ht="10.199999999999999" customHeight="1" x14ac:dyDescent="0.25">
      <c r="A336" s="14">
        <f t="shared" si="6"/>
        <v>33</v>
      </c>
      <c r="B336" s="103">
        <v>37854</v>
      </c>
      <c r="C336" s="103">
        <v>37847</v>
      </c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51"/>
      <c r="AU336" s="36"/>
      <c r="AV336" s="36"/>
      <c r="AW336" s="36"/>
    </row>
    <row r="337" spans="1:49" ht="10.199999999999999" customHeight="1" x14ac:dyDescent="0.25">
      <c r="A337" s="14">
        <f t="shared" si="6"/>
        <v>34</v>
      </c>
      <c r="B337" s="103">
        <v>37861</v>
      </c>
      <c r="C337" s="103">
        <v>37854</v>
      </c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51"/>
      <c r="AU337" s="36"/>
      <c r="AV337" s="36"/>
      <c r="AW337" s="36"/>
    </row>
    <row r="338" spans="1:49" ht="10.199999999999999" customHeight="1" x14ac:dyDescent="0.25">
      <c r="A338" s="14">
        <f t="shared" si="6"/>
        <v>35</v>
      </c>
      <c r="B338" s="103">
        <v>37868</v>
      </c>
      <c r="C338" s="103">
        <v>37861</v>
      </c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51"/>
      <c r="AU338" s="36"/>
      <c r="AV338" s="36"/>
      <c r="AW338" s="36"/>
    </row>
    <row r="339" spans="1:49" ht="10.199999999999999" customHeight="1" x14ac:dyDescent="0.25">
      <c r="A339" s="14">
        <f t="shared" si="6"/>
        <v>36</v>
      </c>
      <c r="B339" s="103">
        <v>37875</v>
      </c>
      <c r="C339" s="103">
        <v>37868</v>
      </c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51"/>
      <c r="AU339" s="36"/>
      <c r="AV339" s="36"/>
      <c r="AW339" s="36"/>
    </row>
    <row r="340" spans="1:49" ht="10.199999999999999" customHeight="1" x14ac:dyDescent="0.25">
      <c r="A340" s="14">
        <f t="shared" si="6"/>
        <v>37</v>
      </c>
      <c r="B340" s="103">
        <v>37882</v>
      </c>
      <c r="C340" s="103">
        <v>37875</v>
      </c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51"/>
      <c r="AU340" s="36"/>
      <c r="AV340" s="36"/>
      <c r="AW340" s="36"/>
    </row>
    <row r="341" spans="1:49" ht="10.199999999999999" customHeight="1" x14ac:dyDescent="0.25">
      <c r="A341" s="14">
        <f t="shared" si="6"/>
        <v>38</v>
      </c>
      <c r="B341" s="103">
        <v>37889</v>
      </c>
      <c r="C341" s="103">
        <v>37882</v>
      </c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51"/>
      <c r="AU341" s="36"/>
      <c r="AV341" s="36"/>
      <c r="AW341" s="36"/>
    </row>
    <row r="342" spans="1:49" ht="10.199999999999999" customHeight="1" x14ac:dyDescent="0.25">
      <c r="A342" s="14">
        <f t="shared" si="6"/>
        <v>39</v>
      </c>
      <c r="B342" s="103">
        <v>37896</v>
      </c>
      <c r="C342" s="103">
        <v>37889</v>
      </c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51"/>
      <c r="AU342" s="36"/>
      <c r="AV342" s="36"/>
      <c r="AW342" s="36"/>
    </row>
    <row r="343" spans="1:49" ht="10.199999999999999" customHeight="1" x14ac:dyDescent="0.25">
      <c r="A343" s="14">
        <f t="shared" si="6"/>
        <v>40</v>
      </c>
      <c r="B343" s="103">
        <v>37903</v>
      </c>
      <c r="C343" s="103">
        <v>37896</v>
      </c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51"/>
      <c r="AU343" s="36"/>
      <c r="AV343" s="36"/>
      <c r="AW343" s="36"/>
    </row>
    <row r="344" spans="1:49" ht="10.199999999999999" customHeight="1" x14ac:dyDescent="0.25">
      <c r="A344" s="14">
        <f t="shared" si="6"/>
        <v>41</v>
      </c>
      <c r="B344" s="103">
        <v>37910</v>
      </c>
      <c r="C344" s="103">
        <v>37903</v>
      </c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51"/>
      <c r="AU344" s="36"/>
      <c r="AV344" s="36"/>
      <c r="AW344" s="36"/>
    </row>
    <row r="345" spans="1:49" ht="10.199999999999999" customHeight="1" x14ac:dyDescent="0.25">
      <c r="A345" s="14">
        <f t="shared" si="6"/>
        <v>42</v>
      </c>
      <c r="B345" s="103">
        <v>37917</v>
      </c>
      <c r="C345" s="103">
        <v>37910</v>
      </c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51"/>
      <c r="AU345" s="36"/>
      <c r="AV345" s="36"/>
      <c r="AW345" s="36"/>
    </row>
    <row r="346" spans="1:49" ht="10.199999999999999" customHeight="1" x14ac:dyDescent="0.25">
      <c r="A346" s="14">
        <f t="shared" si="6"/>
        <v>43</v>
      </c>
      <c r="B346" s="103">
        <v>37924</v>
      </c>
      <c r="C346" s="103">
        <v>37917</v>
      </c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51"/>
      <c r="AU346" s="36"/>
      <c r="AV346" s="36"/>
      <c r="AW346" s="36"/>
    </row>
    <row r="347" spans="1:49" ht="10.199999999999999" customHeight="1" x14ac:dyDescent="0.25">
      <c r="A347" s="14">
        <f t="shared" si="6"/>
        <v>44</v>
      </c>
      <c r="B347" s="103">
        <v>37931</v>
      </c>
      <c r="C347" s="103">
        <v>37924</v>
      </c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51"/>
      <c r="AU347" s="36"/>
      <c r="AV347" s="36"/>
      <c r="AW347" s="36"/>
    </row>
    <row r="348" spans="1:49" ht="10.199999999999999" customHeight="1" x14ac:dyDescent="0.25">
      <c r="A348" s="14">
        <f t="shared" si="6"/>
        <v>45</v>
      </c>
      <c r="B348" s="103">
        <v>37938</v>
      </c>
      <c r="C348" s="103">
        <v>37931</v>
      </c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51"/>
      <c r="AU348" s="36"/>
      <c r="AV348" s="36"/>
      <c r="AW348" s="36"/>
    </row>
    <row r="349" spans="1:49" ht="10.199999999999999" customHeight="1" x14ac:dyDescent="0.25">
      <c r="A349" s="14">
        <f t="shared" si="6"/>
        <v>46</v>
      </c>
      <c r="B349" s="103">
        <v>37945</v>
      </c>
      <c r="C349" s="103">
        <v>37938</v>
      </c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51"/>
      <c r="AU349" s="36"/>
      <c r="AV349" s="36"/>
      <c r="AW349" s="36"/>
    </row>
    <row r="350" spans="1:49" ht="10.199999999999999" customHeight="1" x14ac:dyDescent="0.25">
      <c r="A350" s="14">
        <f t="shared" si="6"/>
        <v>47</v>
      </c>
      <c r="B350" s="103">
        <v>37952</v>
      </c>
      <c r="C350" s="103">
        <v>37945</v>
      </c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51"/>
      <c r="AU350" s="36"/>
      <c r="AV350" s="36"/>
      <c r="AW350" s="36"/>
    </row>
    <row r="351" spans="1:49" ht="10.199999999999999" customHeight="1" x14ac:dyDescent="0.25">
      <c r="A351" s="14">
        <f t="shared" si="6"/>
        <v>48</v>
      </c>
      <c r="B351" s="103">
        <v>37959</v>
      </c>
      <c r="C351" s="103">
        <v>37952</v>
      </c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51"/>
      <c r="AU351" s="36"/>
      <c r="AV351" s="36"/>
      <c r="AW351" s="36"/>
    </row>
    <row r="352" spans="1:49" ht="10.199999999999999" customHeight="1" x14ac:dyDescent="0.25">
      <c r="A352" s="14">
        <f t="shared" si="6"/>
        <v>49</v>
      </c>
      <c r="B352" s="103">
        <v>37966</v>
      </c>
      <c r="C352" s="103">
        <v>37959</v>
      </c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51"/>
      <c r="AU352" s="36"/>
      <c r="AV352" s="36"/>
      <c r="AW352" s="36"/>
    </row>
    <row r="353" spans="1:49" ht="10.199999999999999" customHeight="1" x14ac:dyDescent="0.25">
      <c r="A353" s="14">
        <f t="shared" si="6"/>
        <v>50</v>
      </c>
      <c r="B353" s="103">
        <v>37973</v>
      </c>
      <c r="C353" s="103">
        <v>37966</v>
      </c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51"/>
      <c r="AU353" s="36"/>
      <c r="AV353" s="36"/>
      <c r="AW353" s="36"/>
    </row>
    <row r="354" spans="1:49" ht="10.199999999999999" customHeight="1" x14ac:dyDescent="0.25">
      <c r="A354" s="14">
        <f t="shared" si="6"/>
        <v>51</v>
      </c>
      <c r="B354" s="103">
        <v>37980</v>
      </c>
      <c r="C354" s="103">
        <v>37973</v>
      </c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51"/>
      <c r="AU354" s="36"/>
      <c r="AV354" s="36"/>
      <c r="AW354" s="36"/>
    </row>
    <row r="355" spans="1:49" ht="10.199999999999999" customHeight="1" x14ac:dyDescent="0.25">
      <c r="A355" s="14">
        <f t="shared" si="6"/>
        <v>52</v>
      </c>
      <c r="B355" s="103">
        <v>37987</v>
      </c>
      <c r="C355" s="103">
        <v>37980</v>
      </c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51"/>
      <c r="AU355" s="36"/>
      <c r="AV355" s="36"/>
      <c r="AW355" s="36"/>
    </row>
    <row r="356" spans="1:49" ht="10.199999999999999" customHeight="1" x14ac:dyDescent="0.25">
      <c r="A356" s="14">
        <v>1</v>
      </c>
      <c r="B356" s="103">
        <v>37994</v>
      </c>
      <c r="C356" s="103">
        <v>37987</v>
      </c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51"/>
      <c r="AU356" s="36"/>
      <c r="AV356" s="36"/>
      <c r="AW356" s="36"/>
    </row>
    <row r="357" spans="1:49" ht="10.199999999999999" customHeight="1" x14ac:dyDescent="0.25">
      <c r="A357" s="14">
        <f t="shared" ref="A357:A407" si="7">+A356+1</f>
        <v>2</v>
      </c>
      <c r="B357" s="103">
        <v>38001</v>
      </c>
      <c r="C357" s="103">
        <v>37994</v>
      </c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51"/>
      <c r="AU357" s="36"/>
      <c r="AV357" s="36"/>
      <c r="AW357" s="36"/>
    </row>
    <row r="358" spans="1:49" ht="10.199999999999999" customHeight="1" x14ac:dyDescent="0.25">
      <c r="A358" s="14">
        <f t="shared" si="7"/>
        <v>3</v>
      </c>
      <c r="B358" s="103">
        <v>38008</v>
      </c>
      <c r="C358" s="103">
        <v>38001</v>
      </c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51"/>
      <c r="AU358" s="36"/>
      <c r="AV358" s="36"/>
      <c r="AW358" s="36"/>
    </row>
    <row r="359" spans="1:49" ht="10.199999999999999" customHeight="1" x14ac:dyDescent="0.25">
      <c r="A359" s="14">
        <f t="shared" si="7"/>
        <v>4</v>
      </c>
      <c r="B359" s="103">
        <v>38015</v>
      </c>
      <c r="C359" s="103">
        <v>38008</v>
      </c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51"/>
      <c r="AU359" s="36"/>
      <c r="AV359" s="36"/>
      <c r="AW359" s="36"/>
    </row>
    <row r="360" spans="1:49" ht="10.199999999999999" customHeight="1" x14ac:dyDescent="0.25">
      <c r="A360" s="14">
        <f t="shared" si="7"/>
        <v>5</v>
      </c>
      <c r="B360" s="103">
        <v>38022</v>
      </c>
      <c r="C360" s="103">
        <v>38015</v>
      </c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51"/>
      <c r="AU360" s="36"/>
      <c r="AV360" s="36"/>
      <c r="AW360" s="36"/>
    </row>
    <row r="361" spans="1:49" ht="10.199999999999999" customHeight="1" x14ac:dyDescent="0.25">
      <c r="A361" s="14">
        <f t="shared" si="7"/>
        <v>6</v>
      </c>
      <c r="B361" s="103">
        <v>38029</v>
      </c>
      <c r="C361" s="103">
        <v>38022</v>
      </c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51"/>
      <c r="AU361" s="36"/>
      <c r="AV361" s="36"/>
      <c r="AW361" s="36"/>
    </row>
    <row r="362" spans="1:49" ht="10.199999999999999" customHeight="1" x14ac:dyDescent="0.25">
      <c r="A362" s="14">
        <f t="shared" si="7"/>
        <v>7</v>
      </c>
      <c r="B362" s="103">
        <v>38036</v>
      </c>
      <c r="C362" s="103">
        <v>38029</v>
      </c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51"/>
      <c r="AU362" s="36"/>
      <c r="AV362" s="36"/>
      <c r="AW362" s="36"/>
    </row>
    <row r="363" spans="1:49" ht="10.199999999999999" customHeight="1" x14ac:dyDescent="0.25">
      <c r="A363" s="14">
        <f t="shared" si="7"/>
        <v>8</v>
      </c>
      <c r="B363" s="103">
        <v>38043</v>
      </c>
      <c r="C363" s="103">
        <v>38036</v>
      </c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51"/>
      <c r="AU363" s="36"/>
      <c r="AV363" s="36"/>
      <c r="AW363" s="36"/>
    </row>
    <row r="364" spans="1:49" ht="10.199999999999999" customHeight="1" x14ac:dyDescent="0.25">
      <c r="A364" s="14">
        <f t="shared" si="7"/>
        <v>9</v>
      </c>
      <c r="B364" s="103">
        <v>38050</v>
      </c>
      <c r="C364" s="103">
        <v>38043</v>
      </c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51"/>
      <c r="AU364" s="36"/>
      <c r="AV364" s="36"/>
      <c r="AW364" s="36"/>
    </row>
    <row r="365" spans="1:49" ht="10.199999999999999" customHeight="1" x14ac:dyDescent="0.25">
      <c r="A365" s="14">
        <f t="shared" si="7"/>
        <v>10</v>
      </c>
      <c r="B365" s="103">
        <v>38057</v>
      </c>
      <c r="C365" s="103">
        <v>38050</v>
      </c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51"/>
      <c r="AU365" s="36"/>
      <c r="AV365" s="36"/>
      <c r="AW365" s="36"/>
    </row>
    <row r="366" spans="1:49" ht="10.199999999999999" customHeight="1" x14ac:dyDescent="0.25">
      <c r="A366" s="14">
        <f t="shared" si="7"/>
        <v>11</v>
      </c>
      <c r="B366" s="103">
        <v>38064</v>
      </c>
      <c r="C366" s="103">
        <v>38057</v>
      </c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51"/>
      <c r="AU366" s="36"/>
      <c r="AV366" s="36"/>
      <c r="AW366" s="36"/>
    </row>
    <row r="367" spans="1:49" ht="10.199999999999999" customHeight="1" x14ac:dyDescent="0.25">
      <c r="A367" s="14">
        <f t="shared" si="7"/>
        <v>12</v>
      </c>
      <c r="B367" s="103">
        <v>38071</v>
      </c>
      <c r="C367" s="103">
        <v>38064</v>
      </c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51"/>
      <c r="AU367" s="36"/>
      <c r="AV367" s="36"/>
      <c r="AW367" s="36"/>
    </row>
    <row r="368" spans="1:49" ht="10.199999999999999" customHeight="1" x14ac:dyDescent="0.25">
      <c r="A368" s="14">
        <f t="shared" si="7"/>
        <v>13</v>
      </c>
      <c r="B368" s="103">
        <v>38078</v>
      </c>
      <c r="C368" s="103">
        <v>38071</v>
      </c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51"/>
      <c r="AU368" s="36"/>
      <c r="AV368" s="36"/>
      <c r="AW368" s="36"/>
    </row>
    <row r="369" spans="1:49" ht="10.199999999999999" customHeight="1" x14ac:dyDescent="0.25">
      <c r="A369" s="14">
        <f t="shared" si="7"/>
        <v>14</v>
      </c>
      <c r="B369" s="103">
        <v>38085</v>
      </c>
      <c r="C369" s="103">
        <v>38078</v>
      </c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51"/>
      <c r="AU369" s="36"/>
      <c r="AV369" s="36"/>
      <c r="AW369" s="36"/>
    </row>
    <row r="370" spans="1:49" ht="10.199999999999999" customHeight="1" x14ac:dyDescent="0.25">
      <c r="A370" s="14">
        <f t="shared" si="7"/>
        <v>15</v>
      </c>
      <c r="B370" s="103">
        <v>38092</v>
      </c>
      <c r="C370" s="103">
        <v>38085</v>
      </c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51"/>
      <c r="AU370" s="36"/>
      <c r="AV370" s="36"/>
      <c r="AW370" s="36"/>
    </row>
    <row r="371" spans="1:49" ht="10.199999999999999" customHeight="1" x14ac:dyDescent="0.25">
      <c r="A371" s="14">
        <f t="shared" si="7"/>
        <v>16</v>
      </c>
      <c r="B371" s="103">
        <v>38099</v>
      </c>
      <c r="C371" s="103">
        <v>38092</v>
      </c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51"/>
      <c r="AU371" s="36"/>
      <c r="AV371" s="36"/>
      <c r="AW371" s="36"/>
    </row>
    <row r="372" spans="1:49" ht="10.199999999999999" customHeight="1" x14ac:dyDescent="0.25">
      <c r="A372" s="14">
        <f t="shared" si="7"/>
        <v>17</v>
      </c>
      <c r="B372" s="103">
        <v>38106</v>
      </c>
      <c r="C372" s="103">
        <v>38099</v>
      </c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51"/>
      <c r="AU372" s="36"/>
      <c r="AV372" s="36"/>
      <c r="AW372" s="36"/>
    </row>
    <row r="373" spans="1:49" ht="10.199999999999999" customHeight="1" x14ac:dyDescent="0.25">
      <c r="A373" s="14">
        <f t="shared" si="7"/>
        <v>18</v>
      </c>
      <c r="B373" s="103">
        <v>38113</v>
      </c>
      <c r="C373" s="103">
        <v>38106</v>
      </c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51"/>
      <c r="AU373" s="36"/>
      <c r="AV373" s="36"/>
      <c r="AW373" s="36"/>
    </row>
    <row r="374" spans="1:49" ht="10.199999999999999" customHeight="1" x14ac:dyDescent="0.25">
      <c r="A374" s="14">
        <f t="shared" si="7"/>
        <v>19</v>
      </c>
      <c r="B374" s="103">
        <v>38120</v>
      </c>
      <c r="C374" s="103">
        <v>38113</v>
      </c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51"/>
      <c r="AU374" s="36"/>
      <c r="AV374" s="36"/>
      <c r="AW374" s="36"/>
    </row>
    <row r="375" spans="1:49" ht="10.199999999999999" customHeight="1" x14ac:dyDescent="0.25">
      <c r="A375" s="14">
        <f t="shared" si="7"/>
        <v>20</v>
      </c>
      <c r="B375" s="103">
        <v>38127</v>
      </c>
      <c r="C375" s="103">
        <v>38120</v>
      </c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51"/>
      <c r="AU375" s="36"/>
      <c r="AV375" s="36"/>
      <c r="AW375" s="36"/>
    </row>
    <row r="376" spans="1:49" ht="10.199999999999999" customHeight="1" x14ac:dyDescent="0.25">
      <c r="A376" s="14">
        <f t="shared" si="7"/>
        <v>21</v>
      </c>
      <c r="B376" s="103">
        <v>38134</v>
      </c>
      <c r="C376" s="103">
        <v>38127</v>
      </c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51"/>
      <c r="AU376" s="36"/>
      <c r="AV376" s="36"/>
      <c r="AW376" s="36"/>
    </row>
    <row r="377" spans="1:49" ht="10.199999999999999" customHeight="1" x14ac:dyDescent="0.25">
      <c r="A377" s="14">
        <f t="shared" si="7"/>
        <v>22</v>
      </c>
      <c r="B377" s="103">
        <v>38141</v>
      </c>
      <c r="C377" s="103">
        <v>38134</v>
      </c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51"/>
      <c r="AU377" s="36"/>
      <c r="AV377" s="36"/>
      <c r="AW377" s="36"/>
    </row>
    <row r="378" spans="1:49" ht="10.199999999999999" customHeight="1" x14ac:dyDescent="0.25">
      <c r="A378" s="14">
        <f t="shared" si="7"/>
        <v>23</v>
      </c>
      <c r="B378" s="103">
        <v>38148</v>
      </c>
      <c r="C378" s="103">
        <v>38141</v>
      </c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51"/>
      <c r="AU378" s="36"/>
      <c r="AV378" s="36"/>
      <c r="AW378" s="36"/>
    </row>
    <row r="379" spans="1:49" ht="10.199999999999999" customHeight="1" x14ac:dyDescent="0.25">
      <c r="A379" s="14">
        <f t="shared" si="7"/>
        <v>24</v>
      </c>
      <c r="B379" s="103">
        <v>38155</v>
      </c>
      <c r="C379" s="103">
        <v>38148</v>
      </c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51"/>
      <c r="AU379" s="36"/>
      <c r="AV379" s="36"/>
      <c r="AW379" s="36"/>
    </row>
    <row r="380" spans="1:49" ht="10.199999999999999" customHeight="1" x14ac:dyDescent="0.25">
      <c r="A380" s="14">
        <f t="shared" si="7"/>
        <v>25</v>
      </c>
      <c r="B380" s="103">
        <v>38162</v>
      </c>
      <c r="C380" s="103">
        <v>38155</v>
      </c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51"/>
      <c r="AU380" s="36"/>
      <c r="AV380" s="36"/>
      <c r="AW380" s="36"/>
    </row>
    <row r="381" spans="1:49" ht="10.199999999999999" customHeight="1" x14ac:dyDescent="0.25">
      <c r="A381" s="14">
        <f t="shared" si="7"/>
        <v>26</v>
      </c>
      <c r="B381" s="103">
        <v>38169</v>
      </c>
      <c r="C381" s="103">
        <v>38162</v>
      </c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51"/>
      <c r="AU381" s="36"/>
      <c r="AV381" s="36"/>
      <c r="AW381" s="36"/>
    </row>
    <row r="382" spans="1:49" ht="10.199999999999999" customHeight="1" x14ac:dyDescent="0.25">
      <c r="A382" s="14">
        <f t="shared" si="7"/>
        <v>27</v>
      </c>
      <c r="B382" s="103">
        <v>38176</v>
      </c>
      <c r="C382" s="103">
        <v>38169</v>
      </c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51"/>
      <c r="AU382" s="36"/>
      <c r="AV382" s="36"/>
      <c r="AW382" s="36"/>
    </row>
    <row r="383" spans="1:49" ht="10.199999999999999" customHeight="1" x14ac:dyDescent="0.25">
      <c r="A383" s="14">
        <f t="shared" si="7"/>
        <v>28</v>
      </c>
      <c r="B383" s="103">
        <v>38183</v>
      </c>
      <c r="C383" s="103">
        <v>38176</v>
      </c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51"/>
      <c r="AU383" s="36"/>
      <c r="AV383" s="36"/>
      <c r="AW383" s="36"/>
    </row>
    <row r="384" spans="1:49" ht="10.199999999999999" customHeight="1" x14ac:dyDescent="0.25">
      <c r="A384" s="14">
        <f t="shared" si="7"/>
        <v>29</v>
      </c>
      <c r="B384" s="103">
        <v>38190</v>
      </c>
      <c r="C384" s="103">
        <v>38183</v>
      </c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51"/>
      <c r="AU384" s="36"/>
      <c r="AV384" s="36"/>
      <c r="AW384" s="36"/>
    </row>
    <row r="385" spans="1:49" ht="10.199999999999999" customHeight="1" x14ac:dyDescent="0.25">
      <c r="A385" s="14">
        <f t="shared" si="7"/>
        <v>30</v>
      </c>
      <c r="B385" s="103">
        <v>38197</v>
      </c>
      <c r="C385" s="103">
        <v>38190</v>
      </c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51"/>
      <c r="AU385" s="36"/>
      <c r="AV385" s="36"/>
      <c r="AW385" s="36"/>
    </row>
    <row r="386" spans="1:49" ht="10.199999999999999" customHeight="1" x14ac:dyDescent="0.25">
      <c r="A386" s="14">
        <f t="shared" si="7"/>
        <v>31</v>
      </c>
      <c r="B386" s="103">
        <v>38204</v>
      </c>
      <c r="C386" s="103">
        <v>38197</v>
      </c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51"/>
      <c r="AU386" s="36"/>
      <c r="AV386" s="36"/>
      <c r="AW386" s="36"/>
    </row>
    <row r="387" spans="1:49" ht="10.199999999999999" customHeight="1" x14ac:dyDescent="0.25">
      <c r="A387" s="14">
        <f t="shared" si="7"/>
        <v>32</v>
      </c>
      <c r="B387" s="103">
        <v>38211</v>
      </c>
      <c r="C387" s="103">
        <v>38204</v>
      </c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51"/>
      <c r="AU387" s="36"/>
      <c r="AV387" s="36"/>
      <c r="AW387" s="36"/>
    </row>
    <row r="388" spans="1:49" ht="10.199999999999999" customHeight="1" x14ac:dyDescent="0.25">
      <c r="A388" s="14">
        <f t="shared" si="7"/>
        <v>33</v>
      </c>
      <c r="B388" s="103">
        <v>38218</v>
      </c>
      <c r="C388" s="103">
        <v>38211</v>
      </c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51"/>
      <c r="AU388" s="36"/>
      <c r="AV388" s="36"/>
      <c r="AW388" s="36"/>
    </row>
    <row r="389" spans="1:49" ht="10.199999999999999" customHeight="1" x14ac:dyDescent="0.25">
      <c r="A389" s="14">
        <f t="shared" si="7"/>
        <v>34</v>
      </c>
      <c r="B389" s="103">
        <v>38225</v>
      </c>
      <c r="C389" s="103">
        <v>38218</v>
      </c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51"/>
      <c r="AU389" s="36"/>
      <c r="AV389" s="36"/>
      <c r="AW389" s="36"/>
    </row>
    <row r="390" spans="1:49" ht="10.199999999999999" customHeight="1" x14ac:dyDescent="0.25">
      <c r="A390" s="14">
        <f t="shared" si="7"/>
        <v>35</v>
      </c>
      <c r="B390" s="103">
        <v>38232</v>
      </c>
      <c r="C390" s="103">
        <v>38225</v>
      </c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51"/>
      <c r="AU390" s="36"/>
      <c r="AV390" s="36"/>
      <c r="AW390" s="36"/>
    </row>
    <row r="391" spans="1:49" ht="10.199999999999999" customHeight="1" x14ac:dyDescent="0.25">
      <c r="A391" s="14">
        <f t="shared" si="7"/>
        <v>36</v>
      </c>
      <c r="B391" s="103">
        <v>38239</v>
      </c>
      <c r="C391" s="103">
        <v>38232</v>
      </c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51"/>
      <c r="AU391" s="36"/>
      <c r="AV391" s="36"/>
      <c r="AW391" s="36"/>
    </row>
    <row r="392" spans="1:49" ht="10.199999999999999" customHeight="1" x14ac:dyDescent="0.25">
      <c r="A392" s="14">
        <f t="shared" si="7"/>
        <v>37</v>
      </c>
      <c r="B392" s="103">
        <v>38246</v>
      </c>
      <c r="C392" s="103">
        <v>38239</v>
      </c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51"/>
      <c r="AU392" s="36"/>
      <c r="AV392" s="36"/>
      <c r="AW392" s="36"/>
    </row>
    <row r="393" spans="1:49" ht="10.199999999999999" customHeight="1" x14ac:dyDescent="0.25">
      <c r="A393" s="14">
        <f t="shared" si="7"/>
        <v>38</v>
      </c>
      <c r="B393" s="103">
        <v>38253</v>
      </c>
      <c r="C393" s="103">
        <v>38246</v>
      </c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51"/>
      <c r="AU393" s="36"/>
      <c r="AV393" s="36"/>
      <c r="AW393" s="36"/>
    </row>
    <row r="394" spans="1:49" ht="10.199999999999999" customHeight="1" x14ac:dyDescent="0.25">
      <c r="A394" s="14">
        <f t="shared" si="7"/>
        <v>39</v>
      </c>
      <c r="B394" s="103">
        <v>38260</v>
      </c>
      <c r="C394" s="103">
        <v>38253</v>
      </c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51"/>
      <c r="AU394" s="36"/>
      <c r="AV394" s="36"/>
      <c r="AW394" s="36"/>
    </row>
    <row r="395" spans="1:49" ht="10.199999999999999" customHeight="1" x14ac:dyDescent="0.25">
      <c r="A395" s="14">
        <f t="shared" si="7"/>
        <v>40</v>
      </c>
      <c r="B395" s="103">
        <v>38267</v>
      </c>
      <c r="C395" s="103">
        <v>38260</v>
      </c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51"/>
      <c r="AU395" s="36"/>
      <c r="AV395" s="36"/>
      <c r="AW395" s="36"/>
    </row>
    <row r="396" spans="1:49" ht="10.199999999999999" customHeight="1" x14ac:dyDescent="0.25">
      <c r="A396" s="14">
        <f t="shared" si="7"/>
        <v>41</v>
      </c>
      <c r="B396" s="103">
        <v>38274</v>
      </c>
      <c r="C396" s="103">
        <v>38267</v>
      </c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51"/>
      <c r="AU396" s="36"/>
      <c r="AV396" s="36"/>
      <c r="AW396" s="36"/>
    </row>
    <row r="397" spans="1:49" ht="10.199999999999999" customHeight="1" x14ac:dyDescent="0.25">
      <c r="A397" s="14">
        <f t="shared" si="7"/>
        <v>42</v>
      </c>
      <c r="B397" s="103">
        <v>38281</v>
      </c>
      <c r="C397" s="103">
        <v>38274</v>
      </c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51"/>
      <c r="AU397" s="36"/>
      <c r="AV397" s="36"/>
      <c r="AW397" s="36"/>
    </row>
    <row r="398" spans="1:49" ht="10.199999999999999" customHeight="1" x14ac:dyDescent="0.25">
      <c r="A398" s="14">
        <f t="shared" si="7"/>
        <v>43</v>
      </c>
      <c r="B398" s="103">
        <v>38288</v>
      </c>
      <c r="C398" s="103">
        <v>38281</v>
      </c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51"/>
      <c r="AU398" s="36"/>
      <c r="AV398" s="36"/>
      <c r="AW398" s="36"/>
    </row>
    <row r="399" spans="1:49" ht="10.199999999999999" customHeight="1" x14ac:dyDescent="0.25">
      <c r="A399" s="14">
        <f t="shared" si="7"/>
        <v>44</v>
      </c>
      <c r="B399" s="103">
        <v>38295</v>
      </c>
      <c r="C399" s="103">
        <v>38288</v>
      </c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51"/>
      <c r="AU399" s="36"/>
      <c r="AV399" s="36"/>
      <c r="AW399" s="36"/>
    </row>
    <row r="400" spans="1:49" ht="10.199999999999999" customHeight="1" x14ac:dyDescent="0.25">
      <c r="A400" s="14">
        <f t="shared" si="7"/>
        <v>45</v>
      </c>
      <c r="B400" s="103">
        <v>38302</v>
      </c>
      <c r="C400" s="103">
        <v>38295</v>
      </c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51"/>
      <c r="AU400" s="36"/>
      <c r="AV400" s="36"/>
      <c r="AW400" s="36"/>
    </row>
    <row r="401" spans="1:49" ht="10.199999999999999" customHeight="1" x14ac:dyDescent="0.25">
      <c r="A401" s="14">
        <f t="shared" si="7"/>
        <v>46</v>
      </c>
      <c r="B401" s="103">
        <v>38309</v>
      </c>
      <c r="C401" s="103">
        <v>38302</v>
      </c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51"/>
      <c r="AU401" s="36"/>
      <c r="AV401" s="36"/>
      <c r="AW401" s="36"/>
    </row>
    <row r="402" spans="1:49" ht="10.199999999999999" customHeight="1" x14ac:dyDescent="0.25">
      <c r="A402" s="14">
        <f t="shared" si="7"/>
        <v>47</v>
      </c>
      <c r="B402" s="103">
        <v>38316</v>
      </c>
      <c r="C402" s="103">
        <v>38309</v>
      </c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51"/>
      <c r="AU402" s="36"/>
      <c r="AV402" s="36"/>
      <c r="AW402" s="36"/>
    </row>
    <row r="403" spans="1:49" ht="10.199999999999999" customHeight="1" x14ac:dyDescent="0.25">
      <c r="A403" s="14">
        <f t="shared" si="7"/>
        <v>48</v>
      </c>
      <c r="B403" s="103">
        <v>38323</v>
      </c>
      <c r="C403" s="103">
        <v>38316</v>
      </c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51"/>
      <c r="AU403" s="36"/>
      <c r="AV403" s="36"/>
      <c r="AW403" s="36"/>
    </row>
    <row r="404" spans="1:49" ht="10.199999999999999" customHeight="1" x14ac:dyDescent="0.25">
      <c r="A404" s="14">
        <f t="shared" si="7"/>
        <v>49</v>
      </c>
      <c r="B404" s="103">
        <v>38330</v>
      </c>
      <c r="C404" s="103">
        <v>38323</v>
      </c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51"/>
      <c r="AU404" s="36"/>
      <c r="AV404" s="36"/>
      <c r="AW404" s="36"/>
    </row>
    <row r="405" spans="1:49" ht="10.199999999999999" customHeight="1" x14ac:dyDescent="0.25">
      <c r="A405" s="14">
        <f t="shared" si="7"/>
        <v>50</v>
      </c>
      <c r="B405" s="103">
        <v>38337</v>
      </c>
      <c r="C405" s="103">
        <v>38330</v>
      </c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51"/>
      <c r="AU405" s="36"/>
      <c r="AV405" s="36"/>
      <c r="AW405" s="36"/>
    </row>
    <row r="406" spans="1:49" ht="10.199999999999999" customHeight="1" x14ac:dyDescent="0.25">
      <c r="A406" s="14">
        <f t="shared" si="7"/>
        <v>51</v>
      </c>
      <c r="B406" s="103">
        <v>38344</v>
      </c>
      <c r="C406" s="103">
        <v>38337</v>
      </c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51"/>
      <c r="AU406" s="36"/>
      <c r="AV406" s="36"/>
      <c r="AW406" s="36"/>
    </row>
    <row r="407" spans="1:49" ht="10.199999999999999" customHeight="1" x14ac:dyDescent="0.25">
      <c r="A407" s="14">
        <f t="shared" si="7"/>
        <v>52</v>
      </c>
      <c r="B407" s="103">
        <v>38351</v>
      </c>
      <c r="C407" s="103">
        <v>38344</v>
      </c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51"/>
      <c r="AU407" s="36"/>
      <c r="AV407" s="36"/>
      <c r="AW407" s="36"/>
    </row>
    <row r="408" spans="1:49" ht="10.199999999999999" customHeight="1" x14ac:dyDescent="0.25">
      <c r="A408" s="14">
        <v>1</v>
      </c>
      <c r="B408" s="103">
        <v>38358</v>
      </c>
      <c r="C408" s="103">
        <v>38351</v>
      </c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51"/>
      <c r="AU408" s="36"/>
      <c r="AV408" s="36"/>
      <c r="AW408" s="36"/>
    </row>
    <row r="409" spans="1:49" ht="10.199999999999999" customHeight="1" x14ac:dyDescent="0.25">
      <c r="A409" s="14">
        <v>2</v>
      </c>
      <c r="B409" s="103">
        <v>38365</v>
      </c>
      <c r="C409" s="103">
        <v>38358</v>
      </c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51"/>
      <c r="AU409" s="36"/>
      <c r="AV409" s="36"/>
      <c r="AW409" s="36"/>
    </row>
    <row r="410" spans="1:49" ht="10.199999999999999" customHeight="1" x14ac:dyDescent="0.25">
      <c r="A410" s="14">
        <v>3</v>
      </c>
      <c r="B410" s="103">
        <v>38372</v>
      </c>
      <c r="C410" s="103">
        <v>38365</v>
      </c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51"/>
      <c r="AU410" s="36"/>
      <c r="AV410" s="36"/>
      <c r="AW410" s="36"/>
    </row>
    <row r="411" spans="1:49" ht="10.199999999999999" customHeight="1" x14ac:dyDescent="0.25">
      <c r="A411" s="14">
        <v>4</v>
      </c>
      <c r="B411" s="103">
        <v>38379</v>
      </c>
      <c r="C411" s="103">
        <v>38372</v>
      </c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51"/>
      <c r="AU411" s="36"/>
      <c r="AV411" s="36"/>
      <c r="AW411" s="36"/>
    </row>
    <row r="412" spans="1:49" ht="10.199999999999999" customHeight="1" x14ac:dyDescent="0.25">
      <c r="A412" s="14">
        <v>5</v>
      </c>
      <c r="B412" s="103">
        <v>38386</v>
      </c>
      <c r="C412" s="103">
        <v>38379</v>
      </c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51"/>
      <c r="AU412" s="36"/>
      <c r="AV412" s="36"/>
      <c r="AW412" s="36"/>
    </row>
    <row r="413" spans="1:49" ht="10.199999999999999" customHeight="1" x14ac:dyDescent="0.25">
      <c r="A413" s="14">
        <v>6</v>
      </c>
      <c r="B413" s="103">
        <v>38393</v>
      </c>
      <c r="C413" s="103">
        <v>38386</v>
      </c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51"/>
      <c r="AU413" s="36"/>
      <c r="AV413" s="36"/>
      <c r="AW413" s="36"/>
    </row>
    <row r="414" spans="1:49" ht="10.199999999999999" customHeight="1" x14ac:dyDescent="0.25">
      <c r="A414" s="14">
        <v>7</v>
      </c>
      <c r="B414" s="103">
        <v>38400</v>
      </c>
      <c r="C414" s="103">
        <v>38393</v>
      </c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51"/>
      <c r="AU414" s="36"/>
      <c r="AV414" s="36"/>
      <c r="AW414" s="36"/>
    </row>
    <row r="415" spans="1:49" ht="10.199999999999999" customHeight="1" x14ac:dyDescent="0.25">
      <c r="A415" s="14">
        <v>8</v>
      </c>
      <c r="B415" s="103">
        <v>38407</v>
      </c>
      <c r="C415" s="103">
        <v>38400</v>
      </c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51"/>
      <c r="AU415" s="36"/>
      <c r="AV415" s="36"/>
      <c r="AW415" s="36"/>
    </row>
    <row r="416" spans="1:49" ht="10.199999999999999" customHeight="1" x14ac:dyDescent="0.25">
      <c r="A416" s="14">
        <v>9</v>
      </c>
      <c r="B416" s="103">
        <v>38414</v>
      </c>
      <c r="C416" s="103">
        <v>38407</v>
      </c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51"/>
      <c r="AU416" s="36"/>
      <c r="AV416" s="36"/>
      <c r="AW416" s="36"/>
    </row>
    <row r="417" spans="1:49" ht="10.199999999999999" customHeight="1" x14ac:dyDescent="0.25">
      <c r="A417" s="14">
        <v>10</v>
      </c>
      <c r="B417" s="103">
        <v>38421</v>
      </c>
      <c r="C417" s="103">
        <v>38414</v>
      </c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51"/>
      <c r="AU417" s="36"/>
      <c r="AV417" s="36"/>
      <c r="AW417" s="36"/>
    </row>
    <row r="418" spans="1:49" ht="10.199999999999999" customHeight="1" x14ac:dyDescent="0.25">
      <c r="A418" s="14">
        <v>11</v>
      </c>
      <c r="B418" s="103">
        <v>38428</v>
      </c>
      <c r="C418" s="103">
        <v>38421</v>
      </c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51"/>
      <c r="AU418" s="36"/>
      <c r="AV418" s="36"/>
      <c r="AW418" s="36"/>
    </row>
    <row r="419" spans="1:49" ht="10.199999999999999" customHeight="1" x14ac:dyDescent="0.25">
      <c r="A419" s="14">
        <v>12</v>
      </c>
      <c r="B419" s="103">
        <v>38435</v>
      </c>
      <c r="C419" s="103">
        <v>38428</v>
      </c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51"/>
      <c r="AU419" s="36"/>
      <c r="AV419" s="36"/>
      <c r="AW419" s="36"/>
    </row>
    <row r="420" spans="1:49" ht="10.199999999999999" customHeight="1" x14ac:dyDescent="0.25">
      <c r="A420" s="14">
        <v>13</v>
      </c>
      <c r="B420" s="103">
        <v>38442</v>
      </c>
      <c r="C420" s="103">
        <v>38435</v>
      </c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51"/>
      <c r="AU420" s="36"/>
      <c r="AV420" s="36"/>
      <c r="AW420" s="36"/>
    </row>
    <row r="421" spans="1:49" ht="10.199999999999999" customHeight="1" x14ac:dyDescent="0.25">
      <c r="A421" s="14">
        <v>14</v>
      </c>
      <c r="B421" s="103">
        <v>38449</v>
      </c>
      <c r="C421" s="103">
        <v>38442</v>
      </c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51"/>
      <c r="AU421" s="36"/>
      <c r="AV421" s="36"/>
      <c r="AW421" s="36"/>
    </row>
    <row r="422" spans="1:49" ht="10.199999999999999" customHeight="1" x14ac:dyDescent="0.25">
      <c r="A422" s="14">
        <v>15</v>
      </c>
      <c r="B422" s="103">
        <v>38456</v>
      </c>
      <c r="C422" s="103">
        <v>38449</v>
      </c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51"/>
      <c r="AU422" s="36"/>
      <c r="AV422" s="36"/>
      <c r="AW422" s="36"/>
    </row>
    <row r="423" spans="1:49" ht="10.199999999999999" customHeight="1" x14ac:dyDescent="0.25">
      <c r="A423" s="14">
        <v>16</v>
      </c>
      <c r="B423" s="103">
        <v>38463</v>
      </c>
      <c r="C423" s="103">
        <v>38456</v>
      </c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51"/>
      <c r="AU423" s="36"/>
      <c r="AV423" s="36"/>
      <c r="AW423" s="36"/>
    </row>
    <row r="424" spans="1:49" ht="10.199999999999999" customHeight="1" x14ac:dyDescent="0.25">
      <c r="A424" s="14">
        <v>17</v>
      </c>
      <c r="B424" s="103">
        <v>38470</v>
      </c>
      <c r="C424" s="103">
        <v>38463</v>
      </c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51"/>
      <c r="AU424" s="36"/>
      <c r="AV424" s="36"/>
      <c r="AW424" s="36"/>
    </row>
    <row r="425" spans="1:49" ht="10.199999999999999" customHeight="1" x14ac:dyDescent="0.25">
      <c r="A425" s="14">
        <v>18</v>
      </c>
      <c r="B425" s="103">
        <v>38477</v>
      </c>
      <c r="C425" s="103">
        <v>38470</v>
      </c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51"/>
      <c r="AU425" s="36"/>
      <c r="AV425" s="36"/>
      <c r="AW425" s="36"/>
    </row>
    <row r="426" spans="1:49" ht="10.199999999999999" customHeight="1" x14ac:dyDescent="0.25">
      <c r="A426" s="14">
        <v>19</v>
      </c>
      <c r="B426" s="103">
        <v>38484</v>
      </c>
      <c r="C426" s="103">
        <v>38477</v>
      </c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51"/>
      <c r="AU426" s="36"/>
      <c r="AV426" s="36"/>
      <c r="AW426" s="36"/>
    </row>
    <row r="427" spans="1:49" ht="10.199999999999999" customHeight="1" x14ac:dyDescent="0.25">
      <c r="A427" s="14">
        <v>20</v>
      </c>
      <c r="B427" s="103">
        <v>38491</v>
      </c>
      <c r="C427" s="103">
        <v>38484</v>
      </c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51"/>
      <c r="AU427" s="36"/>
      <c r="AV427" s="36"/>
      <c r="AW427" s="36"/>
    </row>
    <row r="428" spans="1:49" ht="10.199999999999999" customHeight="1" x14ac:dyDescent="0.25">
      <c r="A428" s="14">
        <v>21</v>
      </c>
      <c r="B428" s="103">
        <v>38498</v>
      </c>
      <c r="C428" s="103">
        <v>38491</v>
      </c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51"/>
      <c r="AU428" s="36"/>
      <c r="AV428" s="36"/>
      <c r="AW428" s="36"/>
    </row>
    <row r="429" spans="1:49" ht="10.199999999999999" customHeight="1" x14ac:dyDescent="0.25">
      <c r="A429" s="14">
        <v>22</v>
      </c>
      <c r="B429" s="103">
        <v>38505</v>
      </c>
      <c r="C429" s="103">
        <v>38498</v>
      </c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51"/>
      <c r="AU429" s="36"/>
      <c r="AV429" s="36"/>
      <c r="AW429" s="36"/>
    </row>
    <row r="430" spans="1:49" ht="10.199999999999999" customHeight="1" x14ac:dyDescent="0.25">
      <c r="A430" s="14">
        <v>23</v>
      </c>
      <c r="B430" s="103">
        <v>38512</v>
      </c>
      <c r="C430" s="103">
        <v>38505</v>
      </c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51"/>
      <c r="AU430" s="36"/>
      <c r="AV430" s="36"/>
      <c r="AW430" s="36"/>
    </row>
    <row r="431" spans="1:49" ht="10.199999999999999" customHeight="1" x14ac:dyDescent="0.25">
      <c r="A431" s="14">
        <v>24</v>
      </c>
      <c r="B431" s="103">
        <v>38519</v>
      </c>
      <c r="C431" s="103">
        <v>38512</v>
      </c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51"/>
      <c r="AU431" s="36"/>
      <c r="AV431" s="36"/>
      <c r="AW431" s="36"/>
    </row>
    <row r="432" spans="1:49" ht="10.199999999999999" customHeight="1" x14ac:dyDescent="0.25">
      <c r="A432" s="14">
        <v>25</v>
      </c>
      <c r="B432" s="103">
        <v>38526</v>
      </c>
      <c r="C432" s="103">
        <v>38519</v>
      </c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51"/>
      <c r="AU432" s="36"/>
      <c r="AV432" s="36"/>
      <c r="AW432" s="36"/>
    </row>
    <row r="433" spans="1:49" ht="10.199999999999999" customHeight="1" x14ac:dyDescent="0.25">
      <c r="A433" s="14">
        <v>26</v>
      </c>
      <c r="B433" s="103">
        <v>38533</v>
      </c>
      <c r="C433" s="103">
        <v>38526</v>
      </c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51"/>
      <c r="AU433" s="36"/>
      <c r="AV433" s="36"/>
      <c r="AW433" s="36"/>
    </row>
    <row r="434" spans="1:49" ht="10.199999999999999" customHeight="1" x14ac:dyDescent="0.25">
      <c r="A434" s="14">
        <v>27</v>
      </c>
      <c r="B434" s="103">
        <v>38540</v>
      </c>
      <c r="C434" s="103">
        <v>38533</v>
      </c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51"/>
      <c r="AU434" s="36"/>
      <c r="AV434" s="36"/>
      <c r="AW434" s="36"/>
    </row>
    <row r="435" spans="1:49" ht="10.199999999999999" customHeight="1" x14ac:dyDescent="0.25">
      <c r="A435" s="14">
        <v>28</v>
      </c>
      <c r="B435" s="103">
        <v>38547</v>
      </c>
      <c r="C435" s="103">
        <v>38540</v>
      </c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51"/>
      <c r="AU435" s="36"/>
      <c r="AV435" s="36"/>
      <c r="AW435" s="36"/>
    </row>
    <row r="436" spans="1:49" ht="10.199999999999999" customHeight="1" x14ac:dyDescent="0.25">
      <c r="A436" s="14">
        <v>29</v>
      </c>
      <c r="B436" s="103">
        <v>38554</v>
      </c>
      <c r="C436" s="103">
        <v>38547</v>
      </c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51"/>
      <c r="AU436" s="36"/>
      <c r="AV436" s="36"/>
      <c r="AW436" s="36"/>
    </row>
    <row r="437" spans="1:49" ht="10.199999999999999" customHeight="1" x14ac:dyDescent="0.25">
      <c r="A437" s="14">
        <v>30</v>
      </c>
      <c r="B437" s="103">
        <v>38561</v>
      </c>
      <c r="C437" s="103">
        <v>38554</v>
      </c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51"/>
      <c r="AU437" s="36"/>
      <c r="AV437" s="36"/>
      <c r="AW437" s="36"/>
    </row>
    <row r="438" spans="1:49" ht="10.199999999999999" customHeight="1" x14ac:dyDescent="0.25">
      <c r="A438" s="14">
        <v>31</v>
      </c>
      <c r="B438" s="103">
        <v>38568</v>
      </c>
      <c r="C438" s="103">
        <v>38561</v>
      </c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51"/>
      <c r="AU438" s="36"/>
      <c r="AV438" s="36"/>
      <c r="AW438" s="36"/>
    </row>
    <row r="439" spans="1:49" ht="10.199999999999999" customHeight="1" x14ac:dyDescent="0.25">
      <c r="A439" s="14">
        <v>32</v>
      </c>
      <c r="B439" s="103">
        <v>38575</v>
      </c>
      <c r="C439" s="103">
        <v>38568</v>
      </c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51"/>
      <c r="AU439" s="36"/>
      <c r="AV439" s="36"/>
      <c r="AW439" s="36"/>
    </row>
    <row r="440" spans="1:49" ht="10.199999999999999" customHeight="1" x14ac:dyDescent="0.25">
      <c r="A440" s="14">
        <v>33</v>
      </c>
      <c r="B440" s="103">
        <v>38582</v>
      </c>
      <c r="C440" s="103">
        <v>38575</v>
      </c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51"/>
      <c r="AU440" s="36"/>
      <c r="AV440" s="36"/>
      <c r="AW440" s="36"/>
    </row>
    <row r="441" spans="1:49" ht="10.199999999999999" customHeight="1" x14ac:dyDescent="0.25">
      <c r="A441" s="14">
        <v>34</v>
      </c>
      <c r="B441" s="103">
        <v>38589</v>
      </c>
      <c r="C441" s="103">
        <v>38582</v>
      </c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51"/>
      <c r="AU441" s="36"/>
      <c r="AV441" s="36"/>
      <c r="AW441" s="36"/>
    </row>
    <row r="442" spans="1:49" ht="10.199999999999999" customHeight="1" x14ac:dyDescent="0.25">
      <c r="A442" s="14">
        <v>35</v>
      </c>
      <c r="B442" s="103">
        <v>38596</v>
      </c>
      <c r="C442" s="103">
        <v>38589</v>
      </c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51"/>
      <c r="AU442" s="36"/>
      <c r="AV442" s="36"/>
      <c r="AW442" s="36"/>
    </row>
    <row r="443" spans="1:49" ht="10.199999999999999" customHeight="1" x14ac:dyDescent="0.25">
      <c r="A443" s="14">
        <v>36</v>
      </c>
      <c r="B443" s="103">
        <v>38603</v>
      </c>
      <c r="C443" s="103">
        <v>38596</v>
      </c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51"/>
      <c r="AU443" s="36"/>
      <c r="AV443" s="36"/>
      <c r="AW443" s="36"/>
    </row>
    <row r="444" spans="1:49" ht="10.199999999999999" customHeight="1" x14ac:dyDescent="0.25">
      <c r="A444" s="14">
        <v>37</v>
      </c>
      <c r="B444" s="103">
        <v>38610</v>
      </c>
      <c r="C444" s="103">
        <v>38603</v>
      </c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51"/>
      <c r="AU444" s="36"/>
      <c r="AV444" s="36"/>
      <c r="AW444" s="36"/>
    </row>
    <row r="445" spans="1:49" ht="10.199999999999999" customHeight="1" x14ac:dyDescent="0.25">
      <c r="A445" s="14">
        <v>38</v>
      </c>
      <c r="B445" s="103">
        <v>38617</v>
      </c>
      <c r="C445" s="103">
        <v>38610</v>
      </c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51"/>
      <c r="AU445" s="36"/>
      <c r="AV445" s="36"/>
      <c r="AW445" s="36"/>
    </row>
    <row r="446" spans="1:49" ht="10.199999999999999" customHeight="1" x14ac:dyDescent="0.25">
      <c r="A446" s="14">
        <v>39</v>
      </c>
      <c r="B446" s="103">
        <v>38624</v>
      </c>
      <c r="C446" s="103">
        <v>38617</v>
      </c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51"/>
      <c r="AU446" s="36"/>
      <c r="AV446" s="36"/>
      <c r="AW446" s="36"/>
    </row>
    <row r="447" spans="1:49" ht="10.199999999999999" customHeight="1" x14ac:dyDescent="0.25">
      <c r="A447" s="14">
        <v>40</v>
      </c>
      <c r="B447" s="103">
        <v>38631</v>
      </c>
      <c r="C447" s="103">
        <v>38624</v>
      </c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51"/>
      <c r="AU447" s="36"/>
      <c r="AV447" s="36"/>
      <c r="AW447" s="36"/>
    </row>
    <row r="448" spans="1:49" ht="10.199999999999999" customHeight="1" x14ac:dyDescent="0.25">
      <c r="A448" s="14">
        <v>41</v>
      </c>
      <c r="B448" s="103">
        <v>38638</v>
      </c>
      <c r="C448" s="103">
        <v>38631</v>
      </c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51"/>
      <c r="AU448" s="36"/>
      <c r="AV448" s="36"/>
      <c r="AW448" s="36"/>
    </row>
    <row r="449" spans="1:49" ht="10.199999999999999" customHeight="1" x14ac:dyDescent="0.25">
      <c r="A449" s="14">
        <v>42</v>
      </c>
      <c r="B449" s="103">
        <v>38645</v>
      </c>
      <c r="C449" s="103">
        <v>38638</v>
      </c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51"/>
      <c r="AU449" s="36"/>
      <c r="AV449" s="36"/>
      <c r="AW449" s="36"/>
    </row>
    <row r="450" spans="1:49" ht="10.199999999999999" customHeight="1" x14ac:dyDescent="0.25">
      <c r="A450" s="14">
        <v>43</v>
      </c>
      <c r="B450" s="103">
        <v>38652</v>
      </c>
      <c r="C450" s="103">
        <v>38645</v>
      </c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51"/>
      <c r="AU450" s="36"/>
      <c r="AV450" s="36"/>
      <c r="AW450" s="36"/>
    </row>
    <row r="451" spans="1:49" ht="10.199999999999999" customHeight="1" x14ac:dyDescent="0.25">
      <c r="A451" s="14">
        <v>44</v>
      </c>
      <c r="B451" s="103">
        <v>38659</v>
      </c>
      <c r="C451" s="103">
        <v>38652</v>
      </c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51"/>
      <c r="AU451" s="36"/>
      <c r="AV451" s="36"/>
      <c r="AW451" s="36"/>
    </row>
    <row r="452" spans="1:49" ht="10.199999999999999" customHeight="1" x14ac:dyDescent="0.25">
      <c r="A452" s="14">
        <v>45</v>
      </c>
      <c r="B452" s="103">
        <v>38666</v>
      </c>
      <c r="C452" s="103">
        <v>38659</v>
      </c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51"/>
      <c r="AU452" s="36"/>
      <c r="AV452" s="36"/>
      <c r="AW452" s="36"/>
    </row>
    <row r="453" spans="1:49" ht="10.199999999999999" customHeight="1" x14ac:dyDescent="0.25">
      <c r="A453" s="14">
        <v>46</v>
      </c>
      <c r="B453" s="103">
        <v>38673</v>
      </c>
      <c r="C453" s="103">
        <v>38666</v>
      </c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51"/>
      <c r="AU453" s="36"/>
      <c r="AV453" s="36"/>
      <c r="AW453" s="36"/>
    </row>
    <row r="454" spans="1:49" ht="10.199999999999999" customHeight="1" x14ac:dyDescent="0.25">
      <c r="A454" s="14">
        <v>47</v>
      </c>
      <c r="B454" s="103">
        <v>38680</v>
      </c>
      <c r="C454" s="103">
        <v>38673</v>
      </c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51"/>
      <c r="AU454" s="36"/>
      <c r="AV454" s="36"/>
      <c r="AW454" s="36"/>
    </row>
    <row r="455" spans="1:49" ht="10.199999999999999" customHeight="1" x14ac:dyDescent="0.25">
      <c r="A455" s="14">
        <v>48</v>
      </c>
      <c r="B455" s="103">
        <v>38687</v>
      </c>
      <c r="C455" s="103">
        <v>38680</v>
      </c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51"/>
      <c r="AU455" s="36"/>
      <c r="AV455" s="36"/>
      <c r="AW455" s="36"/>
    </row>
    <row r="456" spans="1:49" ht="10.199999999999999" customHeight="1" x14ac:dyDescent="0.25">
      <c r="A456" s="14">
        <v>49</v>
      </c>
      <c r="B456" s="103">
        <v>38694</v>
      </c>
      <c r="C456" s="103">
        <v>38687</v>
      </c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51"/>
      <c r="AU456" s="36"/>
      <c r="AV456" s="36"/>
      <c r="AW456" s="36"/>
    </row>
    <row r="457" spans="1:49" ht="10.199999999999999" customHeight="1" x14ac:dyDescent="0.25">
      <c r="A457" s="14">
        <v>50</v>
      </c>
      <c r="B457" s="103">
        <v>38701</v>
      </c>
      <c r="C457" s="103">
        <v>38694</v>
      </c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51"/>
      <c r="AU457" s="36"/>
      <c r="AV457" s="36"/>
      <c r="AW457" s="36"/>
    </row>
    <row r="458" spans="1:49" ht="10.199999999999999" customHeight="1" x14ac:dyDescent="0.25">
      <c r="A458" s="14">
        <v>51</v>
      </c>
      <c r="B458" s="103">
        <v>38708</v>
      </c>
      <c r="C458" s="103">
        <v>38701</v>
      </c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51"/>
      <c r="AU458" s="36"/>
      <c r="AV458" s="36"/>
      <c r="AW458" s="36"/>
    </row>
    <row r="459" spans="1:49" ht="10.199999999999999" customHeight="1" x14ac:dyDescent="0.25">
      <c r="A459" s="14">
        <v>52</v>
      </c>
      <c r="B459" s="103">
        <v>38715</v>
      </c>
      <c r="C459" s="103">
        <v>38708</v>
      </c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51"/>
      <c r="AU459" s="36"/>
      <c r="AV459" s="36"/>
      <c r="AW459" s="36"/>
    </row>
    <row r="460" spans="1:49" ht="10.199999999999999" customHeight="1" x14ac:dyDescent="0.25">
      <c r="A460" s="14">
        <v>1</v>
      </c>
      <c r="B460" s="103">
        <v>38722</v>
      </c>
      <c r="C460" s="103">
        <v>38715</v>
      </c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51"/>
      <c r="AU460" s="36"/>
      <c r="AV460" s="36"/>
      <c r="AW460" s="36"/>
    </row>
    <row r="461" spans="1:49" ht="10.199999999999999" customHeight="1" x14ac:dyDescent="0.25">
      <c r="A461" s="14">
        <v>2</v>
      </c>
      <c r="B461" s="103">
        <v>38729</v>
      </c>
      <c r="C461" s="103">
        <v>38722</v>
      </c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51"/>
      <c r="AU461" s="36"/>
      <c r="AV461" s="36"/>
      <c r="AW461" s="36"/>
    </row>
    <row r="462" spans="1:49" ht="10.199999999999999" customHeight="1" x14ac:dyDescent="0.25">
      <c r="A462" s="14">
        <v>3</v>
      </c>
      <c r="B462" s="103">
        <v>38736</v>
      </c>
      <c r="C462" s="103">
        <v>38729</v>
      </c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51"/>
      <c r="AU462" s="36"/>
      <c r="AV462" s="36"/>
      <c r="AW462" s="36"/>
    </row>
    <row r="463" spans="1:49" ht="10.199999999999999" customHeight="1" x14ac:dyDescent="0.25">
      <c r="A463" s="14">
        <v>4</v>
      </c>
      <c r="B463" s="103">
        <v>38743</v>
      </c>
      <c r="C463" s="103">
        <v>38736</v>
      </c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51"/>
      <c r="AU463" s="36"/>
      <c r="AV463" s="36"/>
      <c r="AW463" s="36"/>
    </row>
    <row r="464" spans="1:49" ht="10.199999999999999" customHeight="1" x14ac:dyDescent="0.25">
      <c r="A464" s="14">
        <v>5</v>
      </c>
      <c r="B464" s="103">
        <v>38750</v>
      </c>
      <c r="C464" s="103">
        <v>38743</v>
      </c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51"/>
      <c r="AU464" s="36"/>
      <c r="AV464" s="36"/>
      <c r="AW464" s="36"/>
    </row>
    <row r="465" spans="1:49" ht="10.199999999999999" customHeight="1" x14ac:dyDescent="0.25">
      <c r="A465" s="14">
        <v>6</v>
      </c>
      <c r="B465" s="103">
        <v>38757</v>
      </c>
      <c r="C465" s="103">
        <v>38750</v>
      </c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51"/>
      <c r="AU465" s="36"/>
      <c r="AV465" s="36"/>
      <c r="AW465" s="36"/>
    </row>
    <row r="466" spans="1:49" ht="10.199999999999999" customHeight="1" x14ac:dyDescent="0.25">
      <c r="A466" s="14">
        <v>7</v>
      </c>
      <c r="B466" s="103">
        <v>38764</v>
      </c>
      <c r="C466" s="103">
        <v>38757</v>
      </c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51"/>
      <c r="AU466" s="36"/>
      <c r="AV466" s="36"/>
      <c r="AW466" s="36"/>
    </row>
    <row r="467" spans="1:49" ht="10.199999999999999" customHeight="1" x14ac:dyDescent="0.25">
      <c r="A467" s="14">
        <v>8</v>
      </c>
      <c r="B467" s="103">
        <v>38771</v>
      </c>
      <c r="C467" s="103">
        <v>38764</v>
      </c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51"/>
      <c r="AU467" s="36"/>
      <c r="AV467" s="36"/>
      <c r="AW467" s="36"/>
    </row>
    <row r="468" spans="1:49" ht="10.199999999999999" customHeight="1" x14ac:dyDescent="0.25">
      <c r="A468" s="14">
        <v>9</v>
      </c>
      <c r="B468" s="103">
        <v>38778</v>
      </c>
      <c r="C468" s="103">
        <v>38771</v>
      </c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51"/>
      <c r="AU468" s="36"/>
      <c r="AV468" s="36"/>
      <c r="AW468" s="36"/>
    </row>
    <row r="469" spans="1:49" ht="10.199999999999999" customHeight="1" x14ac:dyDescent="0.25">
      <c r="A469" s="14">
        <v>10</v>
      </c>
      <c r="B469" s="103">
        <v>38785</v>
      </c>
      <c r="C469" s="103">
        <v>38778</v>
      </c>
      <c r="D469" s="36"/>
      <c r="E469" s="36"/>
      <c r="F469" s="36"/>
      <c r="G469" s="36"/>
      <c r="H469" s="36"/>
      <c r="I469" s="36"/>
      <c r="J469" s="36"/>
      <c r="K469" s="36"/>
      <c r="L469" s="36">
        <v>54</v>
      </c>
      <c r="M469" s="36">
        <v>13</v>
      </c>
      <c r="N469" s="51">
        <f>AVERAGE(L469,M469)</f>
        <v>33.5</v>
      </c>
      <c r="O469" s="36"/>
      <c r="P469" s="36">
        <v>-75</v>
      </c>
      <c r="Q469" s="36">
        <v>-125</v>
      </c>
      <c r="R469" s="51">
        <f t="shared" ref="R469:R476" si="8">AVERAGE(P469,Q469)</f>
        <v>-100</v>
      </c>
      <c r="S469" s="36"/>
      <c r="T469" s="36">
        <v>-125</v>
      </c>
      <c r="U469" s="36">
        <v>-125</v>
      </c>
      <c r="V469" s="51">
        <f t="shared" ref="V469:V481" si="9">AVERAGE(T469,U469)</f>
        <v>-125</v>
      </c>
      <c r="W469" s="36"/>
      <c r="X469" s="36">
        <v>-88</v>
      </c>
      <c r="Y469" s="36">
        <v>-38</v>
      </c>
      <c r="Z469" s="51">
        <f t="shared" ref="Z469:Z484" si="10">AVERAGE(X469,Y469)</f>
        <v>-63</v>
      </c>
      <c r="AA469" s="36"/>
      <c r="AB469" s="36">
        <v>-50</v>
      </c>
      <c r="AC469" s="36"/>
      <c r="AD469" s="51">
        <f t="shared" ref="AD469:AD488" si="11">AVERAGE(AB469,AC469)</f>
        <v>-50</v>
      </c>
      <c r="AE469" s="36"/>
      <c r="AF469" s="36"/>
      <c r="AG469" s="36"/>
      <c r="AH469" s="36"/>
      <c r="AI469" s="36"/>
      <c r="AJ469" s="36">
        <v>183</v>
      </c>
      <c r="AK469" s="36"/>
      <c r="AL469" s="51">
        <f t="shared" ref="AL469:AL497" si="12">AVERAGE(AJ469,AK469)</f>
        <v>183</v>
      </c>
      <c r="AM469" s="36"/>
      <c r="AN469" s="36"/>
      <c r="AO469" s="36"/>
      <c r="AP469" s="36"/>
      <c r="AQ469" s="36"/>
      <c r="AR469" s="36"/>
      <c r="AS469" s="36"/>
      <c r="AT469" s="51"/>
      <c r="AU469" s="36"/>
      <c r="AV469" s="36"/>
      <c r="AW469" s="36"/>
    </row>
    <row r="470" spans="1:49" ht="10.199999999999999" customHeight="1" x14ac:dyDescent="0.25">
      <c r="A470" s="14">
        <v>11</v>
      </c>
      <c r="B470" s="103">
        <v>38792</v>
      </c>
      <c r="C470" s="103">
        <v>38785</v>
      </c>
      <c r="D470" s="36"/>
      <c r="E470" s="36"/>
      <c r="F470" s="36"/>
      <c r="G470" s="36"/>
      <c r="H470" s="36"/>
      <c r="I470" s="36"/>
      <c r="J470" s="36"/>
      <c r="K470" s="36"/>
      <c r="L470" s="36">
        <v>82</v>
      </c>
      <c r="M470" s="36">
        <v>47</v>
      </c>
      <c r="N470" s="51">
        <f>AVERAGE(L470,M470)</f>
        <v>64.5</v>
      </c>
      <c r="O470" s="36"/>
      <c r="P470" s="36">
        <v>-13</v>
      </c>
      <c r="Q470" s="36">
        <v>-50</v>
      </c>
      <c r="R470" s="51">
        <f t="shared" si="8"/>
        <v>-31.5</v>
      </c>
      <c r="S470" s="36"/>
      <c r="T470" s="36">
        <v>-125</v>
      </c>
      <c r="U470" s="36">
        <v>-108</v>
      </c>
      <c r="V470" s="51">
        <f t="shared" si="9"/>
        <v>-116.5</v>
      </c>
      <c r="W470" s="36"/>
      <c r="X470" s="36">
        <v>-88</v>
      </c>
      <c r="Y470" s="36">
        <v>-13</v>
      </c>
      <c r="Z470" s="51">
        <f t="shared" si="10"/>
        <v>-50.5</v>
      </c>
      <c r="AA470" s="36"/>
      <c r="AB470" s="36">
        <v>-53</v>
      </c>
      <c r="AC470" s="36"/>
      <c r="AD470" s="51">
        <f t="shared" si="11"/>
        <v>-53</v>
      </c>
      <c r="AE470" s="36"/>
      <c r="AF470" s="36">
        <v>100</v>
      </c>
      <c r="AG470" s="36"/>
      <c r="AH470" s="51">
        <f t="shared" ref="AH470:AH493" si="13">AVERAGE(AF470,AG470)</f>
        <v>100</v>
      </c>
      <c r="AI470" s="36"/>
      <c r="AJ470" s="36">
        <v>188</v>
      </c>
      <c r="AK470" s="36"/>
      <c r="AL470" s="51">
        <f t="shared" si="12"/>
        <v>188</v>
      </c>
      <c r="AM470" s="36"/>
      <c r="AN470" s="36"/>
      <c r="AO470" s="36"/>
      <c r="AP470" s="36"/>
      <c r="AQ470" s="36"/>
      <c r="AR470" s="36"/>
      <c r="AS470" s="36"/>
      <c r="AT470" s="51"/>
      <c r="AU470" s="36"/>
      <c r="AV470" s="36"/>
      <c r="AW470" s="36"/>
    </row>
    <row r="471" spans="1:49" ht="10.199999999999999" customHeight="1" x14ac:dyDescent="0.25">
      <c r="A471" s="14">
        <v>12</v>
      </c>
      <c r="B471" s="103">
        <v>38799</v>
      </c>
      <c r="C471" s="103">
        <v>38792</v>
      </c>
      <c r="D471" s="36"/>
      <c r="E471" s="36"/>
      <c r="F471" s="36"/>
      <c r="G471" s="36"/>
      <c r="H471" s="36"/>
      <c r="I471" s="36"/>
      <c r="J471" s="36"/>
      <c r="K471" s="36"/>
      <c r="L471" s="36">
        <v>-225</v>
      </c>
      <c r="M471" s="36"/>
      <c r="N471" s="51">
        <f>AVERAGE(L471,M471)</f>
        <v>-225</v>
      </c>
      <c r="O471" s="36"/>
      <c r="P471" s="36">
        <v>-200</v>
      </c>
      <c r="Q471" s="36">
        <v>-67</v>
      </c>
      <c r="R471" s="51">
        <f t="shared" si="8"/>
        <v>-133.5</v>
      </c>
      <c r="S471" s="36"/>
      <c r="T471" s="36">
        <v>-125</v>
      </c>
      <c r="U471" s="36">
        <v>-75</v>
      </c>
      <c r="V471" s="51">
        <f t="shared" si="9"/>
        <v>-100</v>
      </c>
      <c r="W471" s="36"/>
      <c r="X471" s="36">
        <v>-125</v>
      </c>
      <c r="Y471" s="36">
        <v>-57</v>
      </c>
      <c r="Z471" s="51">
        <f t="shared" si="10"/>
        <v>-91</v>
      </c>
      <c r="AA471" s="36"/>
      <c r="AB471" s="36">
        <v>-54</v>
      </c>
      <c r="AC471" s="36"/>
      <c r="AD471" s="51">
        <f t="shared" si="11"/>
        <v>-54</v>
      </c>
      <c r="AE471" s="36"/>
      <c r="AF471" s="36">
        <v>50</v>
      </c>
      <c r="AG471" s="36"/>
      <c r="AH471" s="51">
        <f t="shared" si="13"/>
        <v>50</v>
      </c>
      <c r="AI471" s="36"/>
      <c r="AJ471" s="36">
        <v>217</v>
      </c>
      <c r="AK471" s="36">
        <v>175</v>
      </c>
      <c r="AL471" s="51">
        <f t="shared" si="12"/>
        <v>196</v>
      </c>
      <c r="AM471" s="36"/>
      <c r="AN471" s="36"/>
      <c r="AO471" s="36"/>
      <c r="AP471" s="36"/>
      <c r="AQ471" s="36"/>
      <c r="AR471" s="36"/>
      <c r="AS471" s="36"/>
      <c r="AT471" s="51"/>
      <c r="AU471" s="36"/>
      <c r="AV471" s="36"/>
      <c r="AW471" s="36"/>
    </row>
    <row r="472" spans="1:49" ht="10.199999999999999" customHeight="1" x14ac:dyDescent="0.25">
      <c r="A472" s="14">
        <v>13</v>
      </c>
      <c r="B472" s="103">
        <v>38806</v>
      </c>
      <c r="C472" s="103">
        <v>38799</v>
      </c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51"/>
      <c r="O472" s="36"/>
      <c r="P472" s="36">
        <v>-310</v>
      </c>
      <c r="Q472" s="36">
        <v>-96</v>
      </c>
      <c r="R472" s="51">
        <f t="shared" si="8"/>
        <v>-203</v>
      </c>
      <c r="S472" s="36"/>
      <c r="T472" s="36">
        <v>-275</v>
      </c>
      <c r="U472" s="36">
        <v>-100</v>
      </c>
      <c r="V472" s="51">
        <f t="shared" si="9"/>
        <v>-187.5</v>
      </c>
      <c r="W472" s="36"/>
      <c r="X472" s="36">
        <v>-100</v>
      </c>
      <c r="Y472" s="36">
        <v>-75</v>
      </c>
      <c r="Z472" s="51">
        <f t="shared" si="10"/>
        <v>-87.5</v>
      </c>
      <c r="AA472" s="36"/>
      <c r="AB472" s="36">
        <v>-125</v>
      </c>
      <c r="AC472" s="36">
        <v>-50</v>
      </c>
      <c r="AD472" s="51">
        <f t="shared" si="11"/>
        <v>-87.5</v>
      </c>
      <c r="AE472" s="36"/>
      <c r="AF472" s="36">
        <v>50</v>
      </c>
      <c r="AG472" s="36"/>
      <c r="AH472" s="51">
        <f t="shared" si="13"/>
        <v>50</v>
      </c>
      <c r="AI472" s="36"/>
      <c r="AJ472" s="36">
        <v>250</v>
      </c>
      <c r="AK472" s="36">
        <v>200</v>
      </c>
      <c r="AL472" s="51">
        <f t="shared" si="12"/>
        <v>225</v>
      </c>
      <c r="AM472" s="36"/>
      <c r="AN472" s="36">
        <v>363</v>
      </c>
      <c r="AO472" s="36">
        <v>400</v>
      </c>
      <c r="AP472" s="51">
        <f t="shared" ref="AP472:AP501" si="14">AVERAGE(AN472,AO472)</f>
        <v>381.5</v>
      </c>
      <c r="AQ472" s="36"/>
      <c r="AR472" s="36"/>
      <c r="AS472" s="36"/>
      <c r="AT472" s="51"/>
      <c r="AU472" s="36"/>
      <c r="AV472" s="36"/>
      <c r="AW472" s="36"/>
    </row>
    <row r="473" spans="1:49" ht="10.199999999999999" customHeight="1" x14ac:dyDescent="0.25">
      <c r="A473" s="14">
        <v>14</v>
      </c>
      <c r="B473" s="103">
        <v>38813</v>
      </c>
      <c r="C473" s="103">
        <v>38806</v>
      </c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51"/>
      <c r="O473" s="36"/>
      <c r="P473" s="36">
        <v>-317</v>
      </c>
      <c r="Q473" s="36">
        <v>-133</v>
      </c>
      <c r="R473" s="51">
        <f t="shared" si="8"/>
        <v>-225</v>
      </c>
      <c r="S473" s="36"/>
      <c r="T473" s="36">
        <v>-263</v>
      </c>
      <c r="U473" s="36">
        <v>-75</v>
      </c>
      <c r="V473" s="51">
        <f t="shared" si="9"/>
        <v>-169</v>
      </c>
      <c r="W473" s="36"/>
      <c r="X473" s="36">
        <v>-117</v>
      </c>
      <c r="Y473" s="36">
        <v>-75</v>
      </c>
      <c r="Z473" s="51">
        <f t="shared" si="10"/>
        <v>-96</v>
      </c>
      <c r="AA473" s="36"/>
      <c r="AB473" s="36">
        <v>-122</v>
      </c>
      <c r="AC473" s="36">
        <v>-25</v>
      </c>
      <c r="AD473" s="51">
        <f t="shared" si="11"/>
        <v>-73.5</v>
      </c>
      <c r="AE473" s="36"/>
      <c r="AF473" s="36">
        <v>50</v>
      </c>
      <c r="AG473" s="36"/>
      <c r="AH473" s="51">
        <f t="shared" si="13"/>
        <v>50</v>
      </c>
      <c r="AI473" s="36"/>
      <c r="AJ473" s="36">
        <v>225</v>
      </c>
      <c r="AK473" s="36">
        <v>200</v>
      </c>
      <c r="AL473" s="51">
        <f t="shared" si="12"/>
        <v>212.5</v>
      </c>
      <c r="AM473" s="36"/>
      <c r="AN473" s="36">
        <v>363</v>
      </c>
      <c r="AO473" s="36">
        <v>400</v>
      </c>
      <c r="AP473" s="51">
        <f t="shared" si="14"/>
        <v>381.5</v>
      </c>
      <c r="AQ473" s="36"/>
      <c r="AR473" s="36"/>
      <c r="AS473" s="36"/>
      <c r="AT473" s="51"/>
      <c r="AU473" s="36"/>
      <c r="AV473" s="36"/>
      <c r="AW473" s="36"/>
    </row>
    <row r="474" spans="1:49" ht="10.199999999999999" customHeight="1" x14ac:dyDescent="0.25">
      <c r="A474" s="14">
        <v>15</v>
      </c>
      <c r="B474" s="103">
        <v>38820</v>
      </c>
      <c r="C474" s="103">
        <v>38813</v>
      </c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51"/>
      <c r="O474" s="36"/>
      <c r="P474" s="36">
        <v>-292</v>
      </c>
      <c r="Q474" s="36">
        <v>-125</v>
      </c>
      <c r="R474" s="51">
        <f t="shared" si="8"/>
        <v>-208.5</v>
      </c>
      <c r="S474" s="36"/>
      <c r="T474" s="36">
        <v>-208</v>
      </c>
      <c r="U474" s="36">
        <v>-108</v>
      </c>
      <c r="V474" s="51">
        <f t="shared" si="9"/>
        <v>-158</v>
      </c>
      <c r="W474" s="36"/>
      <c r="X474" s="36">
        <v>-75</v>
      </c>
      <c r="Y474" s="36">
        <v>-19</v>
      </c>
      <c r="Z474" s="51">
        <f t="shared" si="10"/>
        <v>-47</v>
      </c>
      <c r="AA474" s="36"/>
      <c r="AB474" s="36">
        <v>-125</v>
      </c>
      <c r="AC474" s="36">
        <v>13</v>
      </c>
      <c r="AD474" s="51">
        <f t="shared" si="11"/>
        <v>-56</v>
      </c>
      <c r="AE474" s="36"/>
      <c r="AF474" s="36">
        <v>50</v>
      </c>
      <c r="AG474" s="36">
        <v>71</v>
      </c>
      <c r="AH474" s="51">
        <f t="shared" si="13"/>
        <v>60.5</v>
      </c>
      <c r="AI474" s="36"/>
      <c r="AJ474" s="36">
        <v>257</v>
      </c>
      <c r="AK474" s="36">
        <v>219</v>
      </c>
      <c r="AL474" s="51">
        <f t="shared" si="12"/>
        <v>238</v>
      </c>
      <c r="AM474" s="36"/>
      <c r="AN474" s="36">
        <v>363</v>
      </c>
      <c r="AO474" s="36">
        <v>300</v>
      </c>
      <c r="AP474" s="51">
        <f t="shared" si="14"/>
        <v>331.5</v>
      </c>
      <c r="AQ474" s="36"/>
      <c r="AR474" s="36"/>
      <c r="AS474" s="36"/>
      <c r="AT474" s="51"/>
      <c r="AU474" s="36"/>
      <c r="AV474" s="36"/>
      <c r="AW474" s="36"/>
    </row>
    <row r="475" spans="1:49" ht="10.199999999999999" customHeight="1" x14ac:dyDescent="0.25">
      <c r="A475" s="14">
        <v>16</v>
      </c>
      <c r="B475" s="103">
        <v>38827</v>
      </c>
      <c r="C475" s="103">
        <v>38820</v>
      </c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51"/>
      <c r="O475" s="36"/>
      <c r="P475" s="36">
        <v>-138</v>
      </c>
      <c r="Q475" s="36">
        <v>-125</v>
      </c>
      <c r="R475" s="51">
        <f t="shared" si="8"/>
        <v>-131.5</v>
      </c>
      <c r="S475" s="36"/>
      <c r="T475" s="36">
        <v>-156</v>
      </c>
      <c r="U475" s="36">
        <v>-142</v>
      </c>
      <c r="V475" s="51">
        <f t="shared" si="9"/>
        <v>-149</v>
      </c>
      <c r="W475" s="36"/>
      <c r="X475" s="36">
        <v>-100</v>
      </c>
      <c r="Y475" s="36">
        <v>-19</v>
      </c>
      <c r="Z475" s="51">
        <f t="shared" si="10"/>
        <v>-59.5</v>
      </c>
      <c r="AA475" s="36"/>
      <c r="AB475" s="36">
        <v>-75</v>
      </c>
      <c r="AC475" s="36">
        <v>13</v>
      </c>
      <c r="AD475" s="51">
        <f t="shared" si="11"/>
        <v>-31</v>
      </c>
      <c r="AE475" s="36"/>
      <c r="AF475" s="36">
        <v>50</v>
      </c>
      <c r="AG475" s="36">
        <v>71</v>
      </c>
      <c r="AH475" s="51">
        <f t="shared" si="13"/>
        <v>60.5</v>
      </c>
      <c r="AI475" s="36"/>
      <c r="AJ475" s="36">
        <v>300</v>
      </c>
      <c r="AK475" s="36">
        <v>219</v>
      </c>
      <c r="AL475" s="51">
        <f t="shared" si="12"/>
        <v>259.5</v>
      </c>
      <c r="AM475" s="36"/>
      <c r="AN475" s="36">
        <v>350</v>
      </c>
      <c r="AO475" s="36">
        <v>300</v>
      </c>
      <c r="AP475" s="51">
        <f t="shared" si="14"/>
        <v>325</v>
      </c>
      <c r="AQ475" s="36"/>
      <c r="AR475" s="36"/>
      <c r="AS475" s="36"/>
      <c r="AT475" s="51"/>
      <c r="AU475" s="36"/>
      <c r="AV475" s="36"/>
      <c r="AW475" s="36"/>
    </row>
    <row r="476" spans="1:49" ht="10.199999999999999" customHeight="1" x14ac:dyDescent="0.25">
      <c r="A476" s="14">
        <v>17</v>
      </c>
      <c r="B476" s="103">
        <v>38834</v>
      </c>
      <c r="C476" s="103">
        <v>38827</v>
      </c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51"/>
      <c r="O476" s="36"/>
      <c r="P476" s="36">
        <v>-150</v>
      </c>
      <c r="Q476" s="36"/>
      <c r="R476" s="51">
        <f t="shared" si="8"/>
        <v>-150</v>
      </c>
      <c r="S476" s="36"/>
      <c r="T476" s="36">
        <v>-156</v>
      </c>
      <c r="U476" s="36">
        <v>-94</v>
      </c>
      <c r="V476" s="51">
        <f t="shared" si="9"/>
        <v>-125</v>
      </c>
      <c r="W476" s="36"/>
      <c r="X476" s="36">
        <v>-75</v>
      </c>
      <c r="Y476" s="36">
        <v>-150</v>
      </c>
      <c r="Z476" s="51">
        <f t="shared" si="10"/>
        <v>-112.5</v>
      </c>
      <c r="AA476" s="36"/>
      <c r="AB476" s="36">
        <v>-25</v>
      </c>
      <c r="AC476" s="36"/>
      <c r="AD476" s="51">
        <f t="shared" si="11"/>
        <v>-25</v>
      </c>
      <c r="AE476" s="36"/>
      <c r="AF476" s="36">
        <v>75</v>
      </c>
      <c r="AG476" s="36">
        <v>0</v>
      </c>
      <c r="AH476" s="51">
        <f t="shared" si="13"/>
        <v>37.5</v>
      </c>
      <c r="AI476" s="36"/>
      <c r="AJ476" s="36">
        <v>300</v>
      </c>
      <c r="AK476" s="36">
        <v>200</v>
      </c>
      <c r="AL476" s="51">
        <f t="shared" si="12"/>
        <v>250</v>
      </c>
      <c r="AM476" s="36"/>
      <c r="AN476" s="36">
        <v>400</v>
      </c>
      <c r="AO476" s="36"/>
      <c r="AP476" s="51">
        <f t="shared" si="14"/>
        <v>400</v>
      </c>
      <c r="AQ476" s="36"/>
      <c r="AR476" s="36"/>
      <c r="AS476" s="36"/>
      <c r="AT476" s="51"/>
      <c r="AU476" s="36"/>
      <c r="AV476" s="36"/>
      <c r="AW476" s="36"/>
    </row>
    <row r="477" spans="1:49" ht="10.199999999999999" customHeight="1" x14ac:dyDescent="0.25">
      <c r="A477" s="14">
        <v>18</v>
      </c>
      <c r="B477" s="103">
        <v>38841</v>
      </c>
      <c r="C477" s="103">
        <v>38834</v>
      </c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51"/>
      <c r="O477" s="36"/>
      <c r="P477" s="36"/>
      <c r="Q477" s="36"/>
      <c r="R477" s="51"/>
      <c r="S477" s="36"/>
      <c r="T477" s="36">
        <v>-152</v>
      </c>
      <c r="U477" s="36">
        <v>-63</v>
      </c>
      <c r="V477" s="51">
        <f t="shared" si="9"/>
        <v>-107.5</v>
      </c>
      <c r="W477" s="36"/>
      <c r="X477" s="36">
        <v>-63</v>
      </c>
      <c r="Y477" s="36">
        <v>-92</v>
      </c>
      <c r="Z477" s="51">
        <f t="shared" si="10"/>
        <v>-77.5</v>
      </c>
      <c r="AA477" s="36"/>
      <c r="AB477" s="36">
        <v>-25</v>
      </c>
      <c r="AC477" s="36">
        <v>56</v>
      </c>
      <c r="AD477" s="51">
        <f t="shared" si="11"/>
        <v>15.5</v>
      </c>
      <c r="AE477" s="36"/>
      <c r="AF477" s="36">
        <v>50</v>
      </c>
      <c r="AG477" s="36">
        <v>88</v>
      </c>
      <c r="AH477" s="51">
        <f t="shared" si="13"/>
        <v>69</v>
      </c>
      <c r="AI477" s="36"/>
      <c r="AJ477" s="36">
        <v>325</v>
      </c>
      <c r="AK477" s="36">
        <v>171</v>
      </c>
      <c r="AL477" s="51">
        <f t="shared" si="12"/>
        <v>248</v>
      </c>
      <c r="AM477" s="36"/>
      <c r="AN477" s="36">
        <v>450</v>
      </c>
      <c r="AO477" s="36">
        <v>238</v>
      </c>
      <c r="AP477" s="51">
        <f t="shared" si="14"/>
        <v>344</v>
      </c>
      <c r="AQ477" s="36"/>
      <c r="AR477" s="36">
        <v>350</v>
      </c>
      <c r="AS477" s="36">
        <v>300</v>
      </c>
      <c r="AT477" s="51">
        <f t="shared" ref="AT477:AT498" si="15">AVERAGE(AR477,AS477)</f>
        <v>325</v>
      </c>
      <c r="AU477" s="36"/>
      <c r="AV477" s="36"/>
      <c r="AW477" s="36"/>
    </row>
    <row r="478" spans="1:49" ht="10.199999999999999" customHeight="1" x14ac:dyDescent="0.25">
      <c r="A478" s="14">
        <v>19</v>
      </c>
      <c r="B478" s="103">
        <v>38848</v>
      </c>
      <c r="C478" s="103">
        <v>38841</v>
      </c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51"/>
      <c r="O478" s="36"/>
      <c r="P478" s="36"/>
      <c r="Q478" s="36"/>
      <c r="R478" s="51"/>
      <c r="S478" s="36"/>
      <c r="T478" s="36">
        <v>-82</v>
      </c>
      <c r="U478" s="36">
        <v>-63</v>
      </c>
      <c r="V478" s="51">
        <f t="shared" si="9"/>
        <v>-72.5</v>
      </c>
      <c r="W478" s="36"/>
      <c r="X478" s="36">
        <v>-66</v>
      </c>
      <c r="Y478" s="36">
        <v>-57</v>
      </c>
      <c r="Z478" s="51">
        <f t="shared" si="10"/>
        <v>-61.5</v>
      </c>
      <c r="AA478" s="36"/>
      <c r="AB478" s="36">
        <v>13</v>
      </c>
      <c r="AC478" s="36">
        <v>0</v>
      </c>
      <c r="AD478" s="51">
        <f t="shared" si="11"/>
        <v>6.5</v>
      </c>
      <c r="AE478" s="36"/>
      <c r="AF478" s="36">
        <v>150</v>
      </c>
      <c r="AG478" s="36">
        <v>200</v>
      </c>
      <c r="AH478" s="51">
        <f t="shared" si="13"/>
        <v>175</v>
      </c>
      <c r="AI478" s="36"/>
      <c r="AJ478" s="36">
        <v>342</v>
      </c>
      <c r="AK478" s="36">
        <v>300</v>
      </c>
      <c r="AL478" s="51">
        <f t="shared" si="12"/>
        <v>321</v>
      </c>
      <c r="AM478" s="36"/>
      <c r="AN478" s="36">
        <v>550</v>
      </c>
      <c r="AO478" s="36"/>
      <c r="AP478" s="51">
        <f t="shared" si="14"/>
        <v>550</v>
      </c>
      <c r="AQ478" s="36"/>
      <c r="AR478" s="36">
        <v>350</v>
      </c>
      <c r="AS478" s="36"/>
      <c r="AT478" s="51">
        <f t="shared" si="15"/>
        <v>350</v>
      </c>
      <c r="AU478" s="36"/>
      <c r="AV478" s="36"/>
      <c r="AW478" s="36"/>
    </row>
    <row r="479" spans="1:49" ht="10.199999999999999" customHeight="1" x14ac:dyDescent="0.25">
      <c r="A479" s="14">
        <v>20</v>
      </c>
      <c r="B479" s="103">
        <v>38855</v>
      </c>
      <c r="C479" s="103">
        <v>38848</v>
      </c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51"/>
      <c r="O479" s="36"/>
      <c r="P479" s="36"/>
      <c r="Q479" s="36"/>
      <c r="R479" s="51"/>
      <c r="S479" s="36"/>
      <c r="T479" s="36">
        <v>-17</v>
      </c>
      <c r="U479" s="36">
        <v>-158</v>
      </c>
      <c r="V479" s="51">
        <f t="shared" si="9"/>
        <v>-87.5</v>
      </c>
      <c r="W479" s="36"/>
      <c r="X479" s="36">
        <v>-10</v>
      </c>
      <c r="Y479" s="36">
        <v>-89</v>
      </c>
      <c r="Z479" s="51">
        <f t="shared" si="10"/>
        <v>-49.5</v>
      </c>
      <c r="AA479" s="36"/>
      <c r="AB479" s="36">
        <v>72</v>
      </c>
      <c r="AC479" s="36">
        <v>100</v>
      </c>
      <c r="AD479" s="51">
        <f t="shared" si="11"/>
        <v>86</v>
      </c>
      <c r="AE479" s="36"/>
      <c r="AF479" s="36">
        <v>162</v>
      </c>
      <c r="AG479" s="36">
        <v>200</v>
      </c>
      <c r="AH479" s="51">
        <f t="shared" si="13"/>
        <v>181</v>
      </c>
      <c r="AI479" s="36"/>
      <c r="AJ479" s="36">
        <v>363</v>
      </c>
      <c r="AK479" s="36">
        <v>300</v>
      </c>
      <c r="AL479" s="51">
        <f t="shared" si="12"/>
        <v>331.5</v>
      </c>
      <c r="AM479" s="36"/>
      <c r="AN479" s="36">
        <v>550</v>
      </c>
      <c r="AO479" s="36"/>
      <c r="AP479" s="51">
        <f t="shared" si="14"/>
        <v>550</v>
      </c>
      <c r="AQ479" s="36"/>
      <c r="AR479" s="36">
        <v>350</v>
      </c>
      <c r="AS479" s="36"/>
      <c r="AT479" s="51">
        <f t="shared" si="15"/>
        <v>350</v>
      </c>
      <c r="AU479" s="36"/>
      <c r="AV479" s="36"/>
      <c r="AW479" s="36"/>
    </row>
    <row r="480" spans="1:49" ht="10.199999999999999" customHeight="1" x14ac:dyDescent="0.25">
      <c r="A480" s="14">
        <v>21</v>
      </c>
      <c r="B480" s="103">
        <v>38862</v>
      </c>
      <c r="C480" s="103">
        <v>38855</v>
      </c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51"/>
      <c r="O480" s="36"/>
      <c r="P480" s="36"/>
      <c r="Q480" s="36"/>
      <c r="R480" s="51"/>
      <c r="S480" s="36"/>
      <c r="T480" s="36">
        <v>250</v>
      </c>
      <c r="U480" s="36"/>
      <c r="V480" s="51">
        <f t="shared" si="9"/>
        <v>250</v>
      </c>
      <c r="W480" s="36"/>
      <c r="X480" s="36">
        <v>229</v>
      </c>
      <c r="Y480" s="36">
        <v>0</v>
      </c>
      <c r="Z480" s="51">
        <f t="shared" si="10"/>
        <v>114.5</v>
      </c>
      <c r="AA480" s="36"/>
      <c r="AB480" s="36">
        <v>200</v>
      </c>
      <c r="AC480" s="36">
        <v>100</v>
      </c>
      <c r="AD480" s="51">
        <f t="shared" si="11"/>
        <v>150</v>
      </c>
      <c r="AE480" s="36"/>
      <c r="AF480" s="36">
        <v>213</v>
      </c>
      <c r="AG480" s="36">
        <v>150</v>
      </c>
      <c r="AH480" s="51">
        <f t="shared" si="13"/>
        <v>181.5</v>
      </c>
      <c r="AI480" s="36"/>
      <c r="AJ480" s="36">
        <v>425</v>
      </c>
      <c r="AK480" s="36"/>
      <c r="AL480" s="51">
        <f t="shared" si="12"/>
        <v>425</v>
      </c>
      <c r="AM480" s="36"/>
      <c r="AN480" s="36">
        <v>625</v>
      </c>
      <c r="AO480" s="36"/>
      <c r="AP480" s="51">
        <f t="shared" si="14"/>
        <v>625</v>
      </c>
      <c r="AQ480" s="36"/>
      <c r="AR480" s="36">
        <v>406</v>
      </c>
      <c r="AS480" s="36"/>
      <c r="AT480" s="51">
        <f t="shared" si="15"/>
        <v>406</v>
      </c>
      <c r="AU480" s="36"/>
      <c r="AV480" s="36"/>
      <c r="AW480" s="36"/>
    </row>
    <row r="481" spans="1:50" ht="10.199999999999999" customHeight="1" x14ac:dyDescent="0.25">
      <c r="A481" s="14">
        <v>22</v>
      </c>
      <c r="B481" s="103">
        <v>38869</v>
      </c>
      <c r="C481" s="103">
        <v>38862</v>
      </c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51"/>
      <c r="O481" s="36"/>
      <c r="P481" s="36"/>
      <c r="Q481" s="36"/>
      <c r="R481" s="51"/>
      <c r="S481" s="36"/>
      <c r="T481" s="36">
        <v>0</v>
      </c>
      <c r="U481" s="36">
        <v>-25</v>
      </c>
      <c r="V481" s="51">
        <f t="shared" si="9"/>
        <v>-12.5</v>
      </c>
      <c r="W481" s="36"/>
      <c r="X481" s="36">
        <v>56</v>
      </c>
      <c r="Y481" s="36">
        <v>-48</v>
      </c>
      <c r="Z481" s="51">
        <f t="shared" si="10"/>
        <v>4</v>
      </c>
      <c r="AA481" s="36"/>
      <c r="AB481" s="36">
        <v>138</v>
      </c>
      <c r="AC481" s="36">
        <v>100</v>
      </c>
      <c r="AD481" s="51">
        <f t="shared" si="11"/>
        <v>119</v>
      </c>
      <c r="AE481" s="36"/>
      <c r="AF481" s="36">
        <v>100</v>
      </c>
      <c r="AG481" s="36">
        <v>150</v>
      </c>
      <c r="AH481" s="51">
        <f t="shared" si="13"/>
        <v>125</v>
      </c>
      <c r="AI481" s="36"/>
      <c r="AJ481" s="36">
        <v>250</v>
      </c>
      <c r="AK481" s="36"/>
      <c r="AL481" s="51">
        <f t="shared" si="12"/>
        <v>250</v>
      </c>
      <c r="AM481" s="36"/>
      <c r="AN481" s="36">
        <v>625</v>
      </c>
      <c r="AO481" s="36"/>
      <c r="AP481" s="51">
        <f t="shared" si="14"/>
        <v>625</v>
      </c>
      <c r="AQ481" s="36"/>
      <c r="AR481" s="36">
        <v>350</v>
      </c>
      <c r="AS481" s="36"/>
      <c r="AT481" s="51">
        <f t="shared" si="15"/>
        <v>350</v>
      </c>
      <c r="AU481" s="36"/>
      <c r="AV481" s="36"/>
      <c r="AW481" s="36"/>
    </row>
    <row r="482" spans="1:50" ht="10.199999999999999" customHeight="1" x14ac:dyDescent="0.25">
      <c r="A482" s="14">
        <v>23</v>
      </c>
      <c r="B482" s="103">
        <v>38876</v>
      </c>
      <c r="C482" s="103">
        <v>38869</v>
      </c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51"/>
      <c r="O482" s="36"/>
      <c r="P482" s="36"/>
      <c r="Q482" s="36"/>
      <c r="R482" s="51"/>
      <c r="S482" s="36"/>
      <c r="T482" s="36"/>
      <c r="U482" s="36"/>
      <c r="V482" s="51"/>
      <c r="W482" s="36"/>
      <c r="X482" s="36">
        <v>-235</v>
      </c>
      <c r="Y482" s="36">
        <v>-19</v>
      </c>
      <c r="Z482" s="51">
        <f t="shared" si="10"/>
        <v>-127</v>
      </c>
      <c r="AA482" s="36"/>
      <c r="AB482" s="36">
        <v>25</v>
      </c>
      <c r="AC482" s="36">
        <v>100</v>
      </c>
      <c r="AD482" s="51">
        <f t="shared" si="11"/>
        <v>62.5</v>
      </c>
      <c r="AE482" s="36"/>
      <c r="AF482" s="36">
        <v>113</v>
      </c>
      <c r="AG482" s="36">
        <v>150</v>
      </c>
      <c r="AH482" s="51">
        <f t="shared" si="13"/>
        <v>131.5</v>
      </c>
      <c r="AI482" s="36"/>
      <c r="AJ482" s="36">
        <v>250</v>
      </c>
      <c r="AK482" s="36">
        <v>225</v>
      </c>
      <c r="AL482" s="51">
        <f t="shared" si="12"/>
        <v>237.5</v>
      </c>
      <c r="AM482" s="36"/>
      <c r="AN482" s="36">
        <v>550</v>
      </c>
      <c r="AO482" s="36"/>
      <c r="AP482" s="51">
        <f t="shared" si="14"/>
        <v>550</v>
      </c>
      <c r="AQ482" s="36"/>
      <c r="AR482" s="36">
        <v>525</v>
      </c>
      <c r="AS482" s="36"/>
      <c r="AT482" s="51">
        <f t="shared" si="15"/>
        <v>525</v>
      </c>
      <c r="AU482" s="36"/>
      <c r="AV482" s="36">
        <v>150</v>
      </c>
      <c r="AW482" s="36"/>
      <c r="AX482" s="48">
        <f t="shared" ref="AX482:AX511" si="16">AVERAGE(AV482,AW482)</f>
        <v>150</v>
      </c>
    </row>
    <row r="483" spans="1:50" ht="10.199999999999999" customHeight="1" x14ac:dyDescent="0.25">
      <c r="A483" s="14">
        <v>24</v>
      </c>
      <c r="B483" s="103">
        <v>38883</v>
      </c>
      <c r="C483" s="103">
        <v>38876</v>
      </c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51"/>
      <c r="O483" s="36"/>
      <c r="P483" s="36"/>
      <c r="Q483" s="36"/>
      <c r="R483" s="51"/>
      <c r="S483" s="36"/>
      <c r="T483" s="36"/>
      <c r="U483" s="36"/>
      <c r="V483" s="51"/>
      <c r="W483" s="36"/>
      <c r="X483" s="36">
        <v>-247</v>
      </c>
      <c r="Y483" s="36">
        <v>-131</v>
      </c>
      <c r="Z483" s="51">
        <f t="shared" si="10"/>
        <v>-189</v>
      </c>
      <c r="AA483" s="36"/>
      <c r="AB483" s="36">
        <v>-133</v>
      </c>
      <c r="AC483" s="36">
        <v>100</v>
      </c>
      <c r="AD483" s="51">
        <f t="shared" si="11"/>
        <v>-16.5</v>
      </c>
      <c r="AE483" s="36"/>
      <c r="AF483" s="36">
        <v>50</v>
      </c>
      <c r="AG483" s="36">
        <v>150</v>
      </c>
      <c r="AH483" s="51">
        <f t="shared" si="13"/>
        <v>100</v>
      </c>
      <c r="AI483" s="36"/>
      <c r="AJ483" s="36">
        <v>225</v>
      </c>
      <c r="AK483" s="36">
        <v>250</v>
      </c>
      <c r="AL483" s="51">
        <f t="shared" si="12"/>
        <v>237.5</v>
      </c>
      <c r="AM483" s="36"/>
      <c r="AN483" s="36">
        <v>425</v>
      </c>
      <c r="AO483" s="36"/>
      <c r="AP483" s="51">
        <f t="shared" si="14"/>
        <v>425</v>
      </c>
      <c r="AQ483" s="36"/>
      <c r="AR483" s="36">
        <v>300</v>
      </c>
      <c r="AS483" s="36"/>
      <c r="AT483" s="51">
        <f t="shared" si="15"/>
        <v>300</v>
      </c>
      <c r="AU483" s="36"/>
      <c r="AV483" s="36">
        <v>150</v>
      </c>
      <c r="AW483" s="36"/>
      <c r="AX483" s="48">
        <f t="shared" si="16"/>
        <v>150</v>
      </c>
    </row>
    <row r="484" spans="1:50" ht="10.199999999999999" customHeight="1" x14ac:dyDescent="0.25">
      <c r="A484" s="14">
        <v>25</v>
      </c>
      <c r="B484" s="103">
        <v>38890</v>
      </c>
      <c r="C484" s="103">
        <v>38883</v>
      </c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51"/>
      <c r="O484" s="36"/>
      <c r="P484" s="36"/>
      <c r="Q484" s="36"/>
      <c r="R484" s="51"/>
      <c r="S484" s="36"/>
      <c r="T484" s="36"/>
      <c r="U484" s="36"/>
      <c r="V484" s="51"/>
      <c r="W484" s="36"/>
      <c r="X484" s="36">
        <v>-269</v>
      </c>
      <c r="Y484" s="36">
        <v>-113</v>
      </c>
      <c r="Z484" s="51">
        <f t="shared" si="10"/>
        <v>-191</v>
      </c>
      <c r="AA484" s="36"/>
      <c r="AB484" s="36">
        <v>-273</v>
      </c>
      <c r="AC484" s="36">
        <v>100</v>
      </c>
      <c r="AD484" s="51">
        <f t="shared" si="11"/>
        <v>-86.5</v>
      </c>
      <c r="AE484" s="36"/>
      <c r="AF484" s="36">
        <v>25</v>
      </c>
      <c r="AG484" s="36">
        <v>200</v>
      </c>
      <c r="AH484" s="51">
        <f t="shared" si="13"/>
        <v>112.5</v>
      </c>
      <c r="AI484" s="36"/>
      <c r="AJ484" s="36">
        <v>250</v>
      </c>
      <c r="AK484" s="36">
        <v>250</v>
      </c>
      <c r="AL484" s="51">
        <f t="shared" si="12"/>
        <v>250</v>
      </c>
      <c r="AM484" s="36"/>
      <c r="AN484" s="36">
        <v>425</v>
      </c>
      <c r="AO484" s="36"/>
      <c r="AP484" s="51">
        <f t="shared" si="14"/>
        <v>425</v>
      </c>
      <c r="AQ484" s="36"/>
      <c r="AR484" s="36">
        <v>300</v>
      </c>
      <c r="AS484" s="36"/>
      <c r="AT484" s="51">
        <f t="shared" si="15"/>
        <v>300</v>
      </c>
      <c r="AU484" s="36"/>
      <c r="AV484" s="36">
        <v>150</v>
      </c>
      <c r="AW484" s="36"/>
      <c r="AX484" s="48">
        <f t="shared" si="16"/>
        <v>150</v>
      </c>
    </row>
    <row r="485" spans="1:50" ht="10.199999999999999" customHeight="1" x14ac:dyDescent="0.25">
      <c r="A485" s="14">
        <v>26</v>
      </c>
      <c r="B485" s="103">
        <v>38897</v>
      </c>
      <c r="C485" s="103">
        <v>38890</v>
      </c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51"/>
      <c r="O485" s="36"/>
      <c r="P485" s="36"/>
      <c r="Q485" s="36"/>
      <c r="R485" s="51"/>
      <c r="S485" s="36"/>
      <c r="T485" s="36"/>
      <c r="U485" s="36"/>
      <c r="V485" s="51"/>
      <c r="W485" s="36"/>
      <c r="X485" s="36"/>
      <c r="Y485" s="36"/>
      <c r="Z485" s="51"/>
      <c r="AA485" s="36"/>
      <c r="AB485" s="36">
        <v>-179</v>
      </c>
      <c r="AC485" s="36">
        <v>-117</v>
      </c>
      <c r="AD485" s="51">
        <f t="shared" si="11"/>
        <v>-148</v>
      </c>
      <c r="AE485" s="36"/>
      <c r="AF485" s="36">
        <v>0</v>
      </c>
      <c r="AG485" s="36">
        <v>100</v>
      </c>
      <c r="AH485" s="51">
        <f t="shared" si="13"/>
        <v>50</v>
      </c>
      <c r="AI485" s="36"/>
      <c r="AJ485" s="36">
        <v>288</v>
      </c>
      <c r="AK485" s="36">
        <v>250</v>
      </c>
      <c r="AL485" s="51">
        <f t="shared" si="12"/>
        <v>269</v>
      </c>
      <c r="AM485" s="36"/>
      <c r="AN485" s="36">
        <v>433</v>
      </c>
      <c r="AO485" s="36"/>
      <c r="AP485" s="51">
        <f t="shared" si="14"/>
        <v>433</v>
      </c>
      <c r="AQ485" s="36"/>
      <c r="AR485" s="36">
        <v>350</v>
      </c>
      <c r="AS485" s="36"/>
      <c r="AT485" s="51">
        <f t="shared" si="15"/>
        <v>350</v>
      </c>
      <c r="AU485" s="36"/>
      <c r="AV485" s="36">
        <v>250</v>
      </c>
      <c r="AW485" s="36"/>
      <c r="AX485" s="48">
        <f t="shared" si="16"/>
        <v>250</v>
      </c>
    </row>
    <row r="486" spans="1:50" ht="10.199999999999999" customHeight="1" x14ac:dyDescent="0.25">
      <c r="A486" s="14">
        <v>27</v>
      </c>
      <c r="B486" s="103">
        <v>38904</v>
      </c>
      <c r="C486" s="103">
        <v>38897</v>
      </c>
      <c r="D486" s="36">
        <v>-80</v>
      </c>
      <c r="E486" s="36"/>
      <c r="F486" s="48">
        <f>AVERAGE(D486,E486)</f>
        <v>-80</v>
      </c>
      <c r="G486" s="36"/>
      <c r="H486" s="36"/>
      <c r="I486" s="36"/>
      <c r="J486" s="36"/>
      <c r="K486" s="36"/>
      <c r="L486" s="36"/>
      <c r="M486" s="36"/>
      <c r="N486" s="51"/>
      <c r="O486" s="36"/>
      <c r="P486" s="36"/>
      <c r="Q486" s="36"/>
      <c r="R486" s="51"/>
      <c r="S486" s="36"/>
      <c r="T486" s="36"/>
      <c r="U486" s="36"/>
      <c r="V486" s="51"/>
      <c r="W486" s="36"/>
      <c r="X486" s="36"/>
      <c r="Y486" s="36"/>
      <c r="Z486" s="51"/>
      <c r="AA486" s="36"/>
      <c r="AB486" s="36">
        <v>21</v>
      </c>
      <c r="AC486" s="36">
        <v>-17</v>
      </c>
      <c r="AD486" s="51">
        <f t="shared" si="11"/>
        <v>2</v>
      </c>
      <c r="AE486" s="36"/>
      <c r="AF486" s="36">
        <v>81</v>
      </c>
      <c r="AG486" s="36">
        <v>100</v>
      </c>
      <c r="AH486" s="51">
        <f t="shared" si="13"/>
        <v>90.5</v>
      </c>
      <c r="AI486" s="36"/>
      <c r="AJ486" s="36">
        <v>263</v>
      </c>
      <c r="AK486" s="36">
        <v>225</v>
      </c>
      <c r="AL486" s="51">
        <f t="shared" si="12"/>
        <v>244</v>
      </c>
      <c r="AM486" s="36"/>
      <c r="AN486" s="36">
        <v>500</v>
      </c>
      <c r="AO486" s="36">
        <v>225</v>
      </c>
      <c r="AP486" s="51">
        <f t="shared" si="14"/>
        <v>362.5</v>
      </c>
      <c r="AQ486" s="36"/>
      <c r="AR486" s="36">
        <v>350</v>
      </c>
      <c r="AS486" s="36"/>
      <c r="AT486" s="51">
        <f t="shared" si="15"/>
        <v>350</v>
      </c>
      <c r="AU486" s="36"/>
      <c r="AV486" s="36">
        <v>250</v>
      </c>
      <c r="AW486" s="36"/>
      <c r="AX486" s="48">
        <f t="shared" si="16"/>
        <v>250</v>
      </c>
    </row>
    <row r="487" spans="1:50" ht="10.199999999999999" customHeight="1" x14ac:dyDescent="0.25">
      <c r="A487" s="14">
        <v>28</v>
      </c>
      <c r="B487" s="103">
        <v>38911</v>
      </c>
      <c r="C487" s="103">
        <v>38904</v>
      </c>
      <c r="D487" s="36"/>
      <c r="E487" s="36"/>
      <c r="F487" s="51"/>
      <c r="G487" s="36"/>
      <c r="H487" s="36"/>
      <c r="I487" s="36"/>
      <c r="J487" s="36"/>
      <c r="K487" s="36"/>
      <c r="L487" s="36"/>
      <c r="M487" s="36"/>
      <c r="N487" s="51"/>
      <c r="O487" s="36"/>
      <c r="P487" s="36"/>
      <c r="Q487" s="36"/>
      <c r="R487" s="51"/>
      <c r="S487" s="36"/>
      <c r="T487" s="36"/>
      <c r="U487" s="36"/>
      <c r="V487" s="51"/>
      <c r="W487" s="36"/>
      <c r="X487" s="36"/>
      <c r="Y487" s="36"/>
      <c r="Z487" s="51"/>
      <c r="AA487" s="36"/>
      <c r="AB487" s="36">
        <v>60</v>
      </c>
      <c r="AC487" s="36">
        <v>29</v>
      </c>
      <c r="AD487" s="51">
        <f t="shared" si="11"/>
        <v>44.5</v>
      </c>
      <c r="AE487" s="36"/>
      <c r="AF487" s="36">
        <v>75</v>
      </c>
      <c r="AG487" s="36">
        <v>100</v>
      </c>
      <c r="AH487" s="51">
        <f t="shared" si="13"/>
        <v>87.5</v>
      </c>
      <c r="AI487" s="36"/>
      <c r="AJ487" s="36">
        <v>292</v>
      </c>
      <c r="AK487" s="36">
        <v>200</v>
      </c>
      <c r="AL487" s="51">
        <f t="shared" si="12"/>
        <v>246</v>
      </c>
      <c r="AM487" s="36"/>
      <c r="AN487" s="36">
        <v>450</v>
      </c>
      <c r="AO487" s="36"/>
      <c r="AP487" s="51">
        <f t="shared" si="14"/>
        <v>450</v>
      </c>
      <c r="AQ487" s="36"/>
      <c r="AR487" s="36">
        <v>300</v>
      </c>
      <c r="AS487" s="36"/>
      <c r="AT487" s="51">
        <f t="shared" si="15"/>
        <v>300</v>
      </c>
      <c r="AU487" s="36"/>
      <c r="AV487" s="36">
        <v>200</v>
      </c>
      <c r="AW487" s="36"/>
      <c r="AX487" s="48">
        <f t="shared" si="16"/>
        <v>200</v>
      </c>
    </row>
    <row r="488" spans="1:50" ht="10.199999999999999" customHeight="1" x14ac:dyDescent="0.25">
      <c r="A488" s="14">
        <v>29</v>
      </c>
      <c r="B488" s="103">
        <v>38918</v>
      </c>
      <c r="C488" s="103">
        <v>38911</v>
      </c>
      <c r="D488" s="36"/>
      <c r="E488" s="36"/>
      <c r="F488" s="51"/>
      <c r="G488" s="36"/>
      <c r="H488" s="36"/>
      <c r="I488" s="36"/>
      <c r="J488" s="36"/>
      <c r="K488" s="36"/>
      <c r="L488" s="36"/>
      <c r="M488" s="36"/>
      <c r="N488" s="51"/>
      <c r="O488" s="36"/>
      <c r="P488" s="36"/>
      <c r="Q488" s="36"/>
      <c r="R488" s="51"/>
      <c r="S488" s="36"/>
      <c r="T488" s="36"/>
      <c r="U488" s="36"/>
      <c r="V488" s="51"/>
      <c r="W488" s="36"/>
      <c r="X488" s="36"/>
      <c r="Y488" s="36"/>
      <c r="Z488" s="51"/>
      <c r="AA488" s="36"/>
      <c r="AB488" s="36">
        <v>-136</v>
      </c>
      <c r="AC488" s="36">
        <v>-117</v>
      </c>
      <c r="AD488" s="51">
        <f t="shared" si="11"/>
        <v>-126.5</v>
      </c>
      <c r="AE488" s="36"/>
      <c r="AF488" s="36">
        <v>-88</v>
      </c>
      <c r="AG488" s="36"/>
      <c r="AH488" s="51">
        <f t="shared" si="13"/>
        <v>-88</v>
      </c>
      <c r="AI488" s="36"/>
      <c r="AJ488" s="36">
        <v>69</v>
      </c>
      <c r="AK488" s="36"/>
      <c r="AL488" s="51">
        <f t="shared" si="12"/>
        <v>69</v>
      </c>
      <c r="AM488" s="36"/>
      <c r="AN488" s="36">
        <v>383</v>
      </c>
      <c r="AO488" s="36"/>
      <c r="AP488" s="51">
        <f t="shared" si="14"/>
        <v>383</v>
      </c>
      <c r="AQ488" s="36"/>
      <c r="AR488" s="36">
        <v>250</v>
      </c>
      <c r="AS488" s="36"/>
      <c r="AT488" s="51">
        <f t="shared" si="15"/>
        <v>250</v>
      </c>
      <c r="AU488" s="36"/>
      <c r="AV488" s="36">
        <v>0</v>
      </c>
      <c r="AW488" s="36"/>
      <c r="AX488" s="48">
        <f t="shared" si="16"/>
        <v>0</v>
      </c>
    </row>
    <row r="489" spans="1:50" ht="10.199999999999999" customHeight="1" x14ac:dyDescent="0.25">
      <c r="A489" s="14">
        <v>30</v>
      </c>
      <c r="B489" s="103">
        <v>38925</v>
      </c>
      <c r="C489" s="103">
        <v>38918</v>
      </c>
      <c r="D489" s="36"/>
      <c r="E489" s="36"/>
      <c r="F489" s="51"/>
      <c r="G489" s="36"/>
      <c r="H489" s="36"/>
      <c r="I489" s="36"/>
      <c r="J489" s="36"/>
      <c r="K489" s="36"/>
      <c r="L489" s="36"/>
      <c r="M489" s="36"/>
      <c r="N489" s="51"/>
      <c r="O489" s="36"/>
      <c r="P489" s="36"/>
      <c r="Q489" s="36"/>
      <c r="R489" s="51"/>
      <c r="S489" s="36"/>
      <c r="T489" s="36"/>
      <c r="U489" s="36"/>
      <c r="V489" s="51"/>
      <c r="W489" s="36"/>
      <c r="X489" s="36"/>
      <c r="Y489" s="36"/>
      <c r="Z489" s="51"/>
      <c r="AA489" s="36"/>
      <c r="AB489" s="36"/>
      <c r="AC489" s="36"/>
      <c r="AD489" s="51"/>
      <c r="AE489" s="36"/>
      <c r="AF489" s="36">
        <v>-188</v>
      </c>
      <c r="AG489" s="36"/>
      <c r="AH489" s="51">
        <f t="shared" si="13"/>
        <v>-188</v>
      </c>
      <c r="AI489" s="36"/>
      <c r="AJ489" s="36">
        <v>-25</v>
      </c>
      <c r="AK489" s="36"/>
      <c r="AL489" s="51">
        <f t="shared" si="12"/>
        <v>-25</v>
      </c>
      <c r="AM489" s="36"/>
      <c r="AN489" s="36">
        <v>200</v>
      </c>
      <c r="AO489" s="36"/>
      <c r="AP489" s="51">
        <f t="shared" si="14"/>
        <v>200</v>
      </c>
      <c r="AQ489" s="36"/>
      <c r="AR489" s="36">
        <v>175</v>
      </c>
      <c r="AS489" s="36"/>
      <c r="AT489" s="51">
        <f t="shared" si="15"/>
        <v>175</v>
      </c>
      <c r="AU489" s="36"/>
      <c r="AV489" s="36">
        <v>0</v>
      </c>
      <c r="AW489" s="36"/>
      <c r="AX489" s="48">
        <f t="shared" si="16"/>
        <v>0</v>
      </c>
    </row>
    <row r="490" spans="1:50" ht="10.199999999999999" customHeight="1" x14ac:dyDescent="0.25">
      <c r="A490" s="14">
        <v>31</v>
      </c>
      <c r="B490" s="103">
        <v>38932</v>
      </c>
      <c r="C490" s="103">
        <v>38925</v>
      </c>
      <c r="D490" s="36"/>
      <c r="E490" s="36"/>
      <c r="F490" s="51"/>
      <c r="G490" s="36"/>
      <c r="H490" s="36"/>
      <c r="I490" s="36"/>
      <c r="J490" s="36"/>
      <c r="K490" s="36"/>
      <c r="L490" s="36"/>
      <c r="M490" s="36"/>
      <c r="N490" s="51"/>
      <c r="O490" s="36"/>
      <c r="P490" s="36"/>
      <c r="Q490" s="36"/>
      <c r="R490" s="51"/>
      <c r="S490" s="36"/>
      <c r="T490" s="36"/>
      <c r="U490" s="36"/>
      <c r="V490" s="51"/>
      <c r="W490" s="36"/>
      <c r="X490" s="36"/>
      <c r="Y490" s="36"/>
      <c r="Z490" s="51"/>
      <c r="AA490" s="36"/>
      <c r="AB490" s="36"/>
      <c r="AC490" s="36"/>
      <c r="AD490" s="51"/>
      <c r="AE490" s="36"/>
      <c r="AF490" s="36">
        <v>-179</v>
      </c>
      <c r="AG490" s="36"/>
      <c r="AH490" s="51">
        <f t="shared" si="13"/>
        <v>-179</v>
      </c>
      <c r="AI490" s="36"/>
      <c r="AJ490" s="36">
        <v>-75</v>
      </c>
      <c r="AK490" s="36">
        <v>-50</v>
      </c>
      <c r="AL490" s="51">
        <f t="shared" si="12"/>
        <v>-62.5</v>
      </c>
      <c r="AM490" s="36"/>
      <c r="AN490" s="36">
        <v>250</v>
      </c>
      <c r="AO490" s="36"/>
      <c r="AP490" s="51">
        <f t="shared" si="14"/>
        <v>250</v>
      </c>
      <c r="AQ490" s="36"/>
      <c r="AR490" s="36"/>
      <c r="AS490" s="36"/>
      <c r="AT490" s="51"/>
      <c r="AU490" s="36"/>
      <c r="AV490" s="36"/>
      <c r="AW490" s="36"/>
      <c r="AX490" s="48"/>
    </row>
    <row r="491" spans="1:50" ht="10.199999999999999" customHeight="1" x14ac:dyDescent="0.25">
      <c r="A491" s="14">
        <v>32</v>
      </c>
      <c r="B491" s="103">
        <v>38939</v>
      </c>
      <c r="C491" s="103">
        <v>38932</v>
      </c>
      <c r="D491" s="36"/>
      <c r="E491" s="36"/>
      <c r="F491" s="51"/>
      <c r="G491" s="36"/>
      <c r="H491" s="36"/>
      <c r="I491" s="36"/>
      <c r="J491" s="36"/>
      <c r="K491" s="36"/>
      <c r="L491" s="36"/>
      <c r="M491" s="36"/>
      <c r="N491" s="51"/>
      <c r="O491" s="36"/>
      <c r="P491" s="36"/>
      <c r="Q491" s="36"/>
      <c r="R491" s="51"/>
      <c r="S491" s="36"/>
      <c r="T491" s="36"/>
      <c r="U491" s="36"/>
      <c r="V491" s="51"/>
      <c r="W491" s="36"/>
      <c r="X491" s="36"/>
      <c r="Y491" s="36"/>
      <c r="Z491" s="51"/>
      <c r="AA491" s="36"/>
      <c r="AB491" s="36"/>
      <c r="AC491" s="36"/>
      <c r="AD491" s="51"/>
      <c r="AE491" s="36"/>
      <c r="AF491" s="36">
        <v>161</v>
      </c>
      <c r="AG491" s="36">
        <v>50</v>
      </c>
      <c r="AH491" s="51">
        <f t="shared" si="13"/>
        <v>105.5</v>
      </c>
      <c r="AI491" s="36"/>
      <c r="AJ491" s="36">
        <v>201</v>
      </c>
      <c r="AK491" s="36">
        <v>131</v>
      </c>
      <c r="AL491" s="51">
        <f t="shared" si="12"/>
        <v>166</v>
      </c>
      <c r="AM491" s="36"/>
      <c r="AN491" s="36">
        <v>400</v>
      </c>
      <c r="AO491" s="36">
        <v>400</v>
      </c>
      <c r="AP491" s="51">
        <f t="shared" si="14"/>
        <v>400</v>
      </c>
      <c r="AQ491" s="36"/>
      <c r="AR491" s="36">
        <v>138</v>
      </c>
      <c r="AS491" s="36"/>
      <c r="AT491" s="51">
        <f t="shared" si="15"/>
        <v>138</v>
      </c>
      <c r="AU491" s="36"/>
      <c r="AV491" s="36"/>
      <c r="AW491" s="36"/>
      <c r="AX491" s="48"/>
    </row>
    <row r="492" spans="1:50" ht="10.199999999999999" customHeight="1" x14ac:dyDescent="0.25">
      <c r="A492" s="14">
        <v>33</v>
      </c>
      <c r="B492" s="103">
        <v>38946</v>
      </c>
      <c r="C492" s="103">
        <v>38939</v>
      </c>
      <c r="D492" s="36"/>
      <c r="E492" s="36"/>
      <c r="F492" s="51"/>
      <c r="G492" s="36"/>
      <c r="H492" s="36"/>
      <c r="I492" s="36"/>
      <c r="J492" s="36"/>
      <c r="K492" s="36"/>
      <c r="L492" s="36"/>
      <c r="M492" s="36"/>
      <c r="N492" s="51"/>
      <c r="O492" s="36"/>
      <c r="P492" s="36"/>
      <c r="Q492" s="36"/>
      <c r="R492" s="51"/>
      <c r="S492" s="36"/>
      <c r="T492" s="36"/>
      <c r="U492" s="36"/>
      <c r="V492" s="51"/>
      <c r="W492" s="36"/>
      <c r="X492" s="36"/>
      <c r="Y492" s="36"/>
      <c r="Z492" s="51"/>
      <c r="AA492" s="36"/>
      <c r="AB492" s="36"/>
      <c r="AC492" s="36"/>
      <c r="AD492" s="51"/>
      <c r="AE492" s="36"/>
      <c r="AF492" s="36">
        <v>129</v>
      </c>
      <c r="AG492" s="36">
        <v>175</v>
      </c>
      <c r="AH492" s="51">
        <f t="shared" si="13"/>
        <v>152</v>
      </c>
      <c r="AI492" s="36"/>
      <c r="AJ492" s="36">
        <v>227</v>
      </c>
      <c r="AK492" s="36">
        <v>214</v>
      </c>
      <c r="AL492" s="51">
        <f t="shared" si="12"/>
        <v>220.5</v>
      </c>
      <c r="AM492" s="36"/>
      <c r="AN492" s="36">
        <v>450</v>
      </c>
      <c r="AO492" s="36">
        <v>550</v>
      </c>
      <c r="AP492" s="51">
        <f t="shared" si="14"/>
        <v>500</v>
      </c>
      <c r="AQ492" s="36"/>
      <c r="AR492" s="36">
        <v>225</v>
      </c>
      <c r="AS492" s="36"/>
      <c r="AT492" s="51">
        <f t="shared" si="15"/>
        <v>225</v>
      </c>
      <c r="AU492" s="36"/>
      <c r="AV492" s="36">
        <v>100</v>
      </c>
      <c r="AW492" s="36"/>
      <c r="AX492" s="48">
        <f t="shared" si="16"/>
        <v>100</v>
      </c>
    </row>
    <row r="493" spans="1:50" ht="10.199999999999999" customHeight="1" x14ac:dyDescent="0.25">
      <c r="A493" s="14">
        <v>34</v>
      </c>
      <c r="B493" s="103">
        <v>38953</v>
      </c>
      <c r="C493" s="103">
        <v>38946</v>
      </c>
      <c r="D493" s="36"/>
      <c r="E493" s="36"/>
      <c r="F493" s="51"/>
      <c r="G493" s="36"/>
      <c r="H493" s="36"/>
      <c r="I493" s="36"/>
      <c r="J493" s="36"/>
      <c r="K493" s="36"/>
      <c r="L493" s="36"/>
      <c r="M493" s="36"/>
      <c r="N493" s="51"/>
      <c r="O493" s="36"/>
      <c r="P493" s="36"/>
      <c r="Q493" s="36"/>
      <c r="R493" s="51"/>
      <c r="S493" s="36"/>
      <c r="T493" s="36"/>
      <c r="U493" s="36"/>
      <c r="V493" s="51"/>
      <c r="W493" s="36"/>
      <c r="X493" s="36"/>
      <c r="Y493" s="36"/>
      <c r="Z493" s="51"/>
      <c r="AA493" s="36"/>
      <c r="AB493" s="36"/>
      <c r="AC493" s="36"/>
      <c r="AD493" s="51"/>
      <c r="AE493" s="36"/>
      <c r="AF493" s="36">
        <v>175</v>
      </c>
      <c r="AG493" s="36">
        <v>350</v>
      </c>
      <c r="AH493" s="51">
        <f t="shared" si="13"/>
        <v>262.5</v>
      </c>
      <c r="AI493" s="36"/>
      <c r="AJ493" s="36">
        <v>346</v>
      </c>
      <c r="AK493" s="36">
        <v>442</v>
      </c>
      <c r="AL493" s="51">
        <f t="shared" si="12"/>
        <v>394</v>
      </c>
      <c r="AM493" s="36"/>
      <c r="AN493" s="36">
        <v>600</v>
      </c>
      <c r="AO493" s="36">
        <v>750</v>
      </c>
      <c r="AP493" s="51">
        <f t="shared" si="14"/>
        <v>675</v>
      </c>
      <c r="AQ493" s="36"/>
      <c r="AR493" s="36">
        <v>217</v>
      </c>
      <c r="AS493" s="36"/>
      <c r="AT493" s="51">
        <f t="shared" si="15"/>
        <v>217</v>
      </c>
      <c r="AU493" s="36"/>
      <c r="AV493" s="36">
        <v>-50</v>
      </c>
      <c r="AW493" s="36"/>
      <c r="AX493" s="48">
        <f t="shared" si="16"/>
        <v>-50</v>
      </c>
    </row>
    <row r="494" spans="1:50" ht="10.199999999999999" customHeight="1" x14ac:dyDescent="0.25">
      <c r="A494" s="14">
        <v>35</v>
      </c>
      <c r="B494" s="103">
        <v>38960</v>
      </c>
      <c r="C494" s="103">
        <v>38953</v>
      </c>
      <c r="D494" s="36"/>
      <c r="E494" s="36"/>
      <c r="F494" s="51"/>
      <c r="G494" s="36"/>
      <c r="H494" s="36"/>
      <c r="I494" s="36"/>
      <c r="J494" s="36"/>
      <c r="K494" s="36"/>
      <c r="L494" s="36"/>
      <c r="M494" s="36"/>
      <c r="N494" s="51"/>
      <c r="O494" s="36"/>
      <c r="P494" s="36"/>
      <c r="Q494" s="36"/>
      <c r="R494" s="51"/>
      <c r="S494" s="36"/>
      <c r="T494" s="36"/>
      <c r="U494" s="36"/>
      <c r="V494" s="51"/>
      <c r="W494" s="36"/>
      <c r="X494" s="36"/>
      <c r="Y494" s="36"/>
      <c r="Z494" s="51"/>
      <c r="AA494" s="36"/>
      <c r="AB494" s="36"/>
      <c r="AC494" s="36"/>
      <c r="AD494" s="51"/>
      <c r="AE494" s="36"/>
      <c r="AF494" s="36"/>
      <c r="AG494" s="36"/>
      <c r="AH494" s="51"/>
      <c r="AI494" s="36"/>
      <c r="AJ494" s="36">
        <v>460</v>
      </c>
      <c r="AK494" s="36">
        <v>483</v>
      </c>
      <c r="AL494" s="51">
        <f t="shared" si="12"/>
        <v>471.5</v>
      </c>
      <c r="AM494" s="36"/>
      <c r="AN494" s="36">
        <v>581</v>
      </c>
      <c r="AO494" s="36">
        <v>750</v>
      </c>
      <c r="AP494" s="51">
        <f t="shared" si="14"/>
        <v>665.5</v>
      </c>
      <c r="AQ494" s="36"/>
      <c r="AR494" s="36">
        <v>216</v>
      </c>
      <c r="AS494" s="36"/>
      <c r="AT494" s="51">
        <f t="shared" si="15"/>
        <v>216</v>
      </c>
      <c r="AU494" s="36"/>
      <c r="AV494" s="36">
        <v>69</v>
      </c>
      <c r="AW494" s="36"/>
      <c r="AX494" s="48">
        <f t="shared" si="16"/>
        <v>69</v>
      </c>
    </row>
    <row r="495" spans="1:50" ht="10.199999999999999" customHeight="1" x14ac:dyDescent="0.25">
      <c r="A495" s="14">
        <v>36</v>
      </c>
      <c r="B495" s="103">
        <v>38967</v>
      </c>
      <c r="C495" s="103">
        <v>38960</v>
      </c>
      <c r="D495" s="36">
        <v>-100</v>
      </c>
      <c r="E495" s="36"/>
      <c r="F495" s="48">
        <f>AVERAGE(D495,E495)</f>
        <v>-100</v>
      </c>
      <c r="G495" s="36"/>
      <c r="H495" s="36"/>
      <c r="I495" s="36">
        <v>0</v>
      </c>
      <c r="J495" s="48">
        <f>AVERAGE(H495,I495)</f>
        <v>0</v>
      </c>
      <c r="K495" s="36"/>
      <c r="L495" s="36"/>
      <c r="M495" s="36">
        <v>-13</v>
      </c>
      <c r="N495" s="48">
        <f>AVERAGE(L495,M495)</f>
        <v>-13</v>
      </c>
      <c r="O495" s="36"/>
      <c r="P495" s="36"/>
      <c r="Q495" s="36"/>
      <c r="R495" s="51"/>
      <c r="S495" s="36"/>
      <c r="T495" s="36"/>
      <c r="U495" s="36"/>
      <c r="V495" s="51"/>
      <c r="W495" s="36"/>
      <c r="X495" s="36"/>
      <c r="Y495" s="36"/>
      <c r="Z495" s="51"/>
      <c r="AA495" s="36"/>
      <c r="AB495" s="36"/>
      <c r="AC495" s="36"/>
      <c r="AD495" s="51"/>
      <c r="AE495" s="36"/>
      <c r="AF495" s="36"/>
      <c r="AG495" s="36"/>
      <c r="AH495" s="51"/>
      <c r="AI495" s="36"/>
      <c r="AJ495" s="36">
        <v>467</v>
      </c>
      <c r="AK495" s="36">
        <v>488</v>
      </c>
      <c r="AL495" s="51">
        <f t="shared" si="12"/>
        <v>477.5</v>
      </c>
      <c r="AM495" s="36"/>
      <c r="AN495" s="36">
        <v>536</v>
      </c>
      <c r="AO495" s="36">
        <v>700</v>
      </c>
      <c r="AP495" s="51">
        <f t="shared" si="14"/>
        <v>618</v>
      </c>
      <c r="AQ495" s="36"/>
      <c r="AR495" s="36">
        <v>303</v>
      </c>
      <c r="AS495" s="36"/>
      <c r="AT495" s="51">
        <f t="shared" si="15"/>
        <v>303</v>
      </c>
      <c r="AU495" s="36"/>
      <c r="AV495" s="36">
        <v>79</v>
      </c>
      <c r="AW495" s="36"/>
      <c r="AX495" s="48">
        <f t="shared" si="16"/>
        <v>79</v>
      </c>
    </row>
    <row r="496" spans="1:50" ht="10.199999999999999" customHeight="1" x14ac:dyDescent="0.25">
      <c r="A496" s="14">
        <v>37</v>
      </c>
      <c r="B496" s="103">
        <v>38974</v>
      </c>
      <c r="C496" s="103">
        <v>38967</v>
      </c>
      <c r="D496" s="36"/>
      <c r="E496" s="36"/>
      <c r="F496" s="48"/>
      <c r="G496" s="36"/>
      <c r="H496" s="36"/>
      <c r="I496" s="36"/>
      <c r="J496" s="51"/>
      <c r="K496" s="36"/>
      <c r="L496" s="36"/>
      <c r="M496" s="36"/>
      <c r="N496" s="51"/>
      <c r="O496" s="36"/>
      <c r="P496" s="36"/>
      <c r="Q496" s="36"/>
      <c r="R496" s="51"/>
      <c r="S496" s="36"/>
      <c r="T496" s="36"/>
      <c r="U496" s="36"/>
      <c r="V496" s="51"/>
      <c r="W496" s="36"/>
      <c r="X496" s="36"/>
      <c r="Y496" s="36"/>
      <c r="Z496" s="51"/>
      <c r="AA496" s="36"/>
      <c r="AB496" s="36"/>
      <c r="AC496" s="36"/>
      <c r="AD496" s="51"/>
      <c r="AE496" s="36"/>
      <c r="AF496" s="36"/>
      <c r="AG496" s="36"/>
      <c r="AH496" s="51"/>
      <c r="AI496" s="36"/>
      <c r="AJ496" s="36">
        <v>100</v>
      </c>
      <c r="AK496" s="36">
        <v>525</v>
      </c>
      <c r="AL496" s="51">
        <f t="shared" si="12"/>
        <v>312.5</v>
      </c>
      <c r="AM496" s="36"/>
      <c r="AN496" s="36">
        <v>350</v>
      </c>
      <c r="AO496" s="36">
        <v>533</v>
      </c>
      <c r="AP496" s="51">
        <f t="shared" si="14"/>
        <v>441.5</v>
      </c>
      <c r="AQ496" s="36"/>
      <c r="AR496" s="36">
        <v>125</v>
      </c>
      <c r="AS496" s="36">
        <v>400</v>
      </c>
      <c r="AT496" s="51">
        <f t="shared" si="15"/>
        <v>262.5</v>
      </c>
      <c r="AU496" s="36"/>
      <c r="AV496" s="36">
        <v>33</v>
      </c>
      <c r="AW496" s="36">
        <v>175</v>
      </c>
      <c r="AX496" s="48">
        <f t="shared" si="16"/>
        <v>104</v>
      </c>
    </row>
    <row r="497" spans="1:50" ht="10.199999999999999" customHeight="1" x14ac:dyDescent="0.25">
      <c r="A497" s="14">
        <v>38</v>
      </c>
      <c r="B497" s="103">
        <v>38981</v>
      </c>
      <c r="C497" s="103">
        <v>38974</v>
      </c>
      <c r="D497" s="36"/>
      <c r="E497" s="36"/>
      <c r="F497" s="48"/>
      <c r="G497" s="36"/>
      <c r="H497" s="36"/>
      <c r="I497" s="36"/>
      <c r="J497" s="51"/>
      <c r="K497" s="36"/>
      <c r="L497" s="36"/>
      <c r="M497" s="36"/>
      <c r="N497" s="51"/>
      <c r="O497" s="36"/>
      <c r="P497" s="36"/>
      <c r="Q497" s="36"/>
      <c r="R497" s="51"/>
      <c r="S497" s="36"/>
      <c r="T497" s="36"/>
      <c r="U497" s="36"/>
      <c r="V497" s="51"/>
      <c r="W497" s="36"/>
      <c r="X497" s="36"/>
      <c r="Y497" s="36"/>
      <c r="Z497" s="51"/>
      <c r="AA497" s="36"/>
      <c r="AB497" s="36"/>
      <c r="AC497" s="36"/>
      <c r="AD497" s="51"/>
      <c r="AE497" s="36"/>
      <c r="AF497" s="36"/>
      <c r="AG497" s="36"/>
      <c r="AH497" s="51"/>
      <c r="AI497" s="36"/>
      <c r="AJ497" s="36">
        <v>-42</v>
      </c>
      <c r="AK497" s="36">
        <v>400</v>
      </c>
      <c r="AL497" s="51">
        <f t="shared" si="12"/>
        <v>179</v>
      </c>
      <c r="AM497" s="36"/>
      <c r="AN497" s="36">
        <v>250</v>
      </c>
      <c r="AO497" s="36">
        <v>450</v>
      </c>
      <c r="AP497" s="51">
        <f t="shared" si="14"/>
        <v>350</v>
      </c>
      <c r="AQ497" s="36"/>
      <c r="AR497" s="36">
        <v>88</v>
      </c>
      <c r="AS497" s="36"/>
      <c r="AT497" s="51">
        <f t="shared" si="15"/>
        <v>88</v>
      </c>
      <c r="AU497" s="36"/>
      <c r="AV497" s="36">
        <v>-125</v>
      </c>
      <c r="AW497" s="36"/>
      <c r="AX497" s="48">
        <f t="shared" si="16"/>
        <v>-125</v>
      </c>
    </row>
    <row r="498" spans="1:50" ht="10.199999999999999" customHeight="1" x14ac:dyDescent="0.25">
      <c r="A498" s="14">
        <v>39</v>
      </c>
      <c r="B498" s="103">
        <v>38988</v>
      </c>
      <c r="C498" s="103">
        <v>38981</v>
      </c>
      <c r="D498" s="36">
        <v>0</v>
      </c>
      <c r="E498" s="36"/>
      <c r="F498" s="48">
        <f>AVERAGE(D498,E498)</f>
        <v>0</v>
      </c>
      <c r="G498" s="36"/>
      <c r="H498" s="36"/>
      <c r="I498" s="36"/>
      <c r="J498" s="51"/>
      <c r="K498" s="36"/>
      <c r="L498" s="36"/>
      <c r="M498" s="36"/>
      <c r="N498" s="51"/>
      <c r="O498" s="36"/>
      <c r="P498" s="36"/>
      <c r="Q498" s="36"/>
      <c r="R498" s="51"/>
      <c r="S498" s="36"/>
      <c r="T498" s="36"/>
      <c r="U498" s="36"/>
      <c r="V498" s="51"/>
      <c r="W498" s="36"/>
      <c r="X498" s="36"/>
      <c r="Y498" s="36"/>
      <c r="Z498" s="51"/>
      <c r="AA498" s="36"/>
      <c r="AB498" s="36"/>
      <c r="AC498" s="36"/>
      <c r="AD498" s="51"/>
      <c r="AE498" s="36"/>
      <c r="AF498" s="36"/>
      <c r="AG498" s="36"/>
      <c r="AH498" s="51"/>
      <c r="AI498" s="36"/>
      <c r="AJ498" s="36"/>
      <c r="AK498" s="36"/>
      <c r="AL498" s="51"/>
      <c r="AM498" s="36"/>
      <c r="AN498" s="36">
        <v>83</v>
      </c>
      <c r="AO498" s="36">
        <v>200</v>
      </c>
      <c r="AP498" s="51">
        <f t="shared" si="14"/>
        <v>141.5</v>
      </c>
      <c r="AQ498" s="36"/>
      <c r="AR498" s="36">
        <v>153</v>
      </c>
      <c r="AS498" s="36">
        <v>283</v>
      </c>
      <c r="AT498" s="51">
        <f t="shared" si="15"/>
        <v>218</v>
      </c>
      <c r="AU498" s="36"/>
      <c r="AV498" s="36">
        <v>-25</v>
      </c>
      <c r="AW498" s="36"/>
      <c r="AX498" s="48">
        <f t="shared" si="16"/>
        <v>-25</v>
      </c>
    </row>
    <row r="499" spans="1:50" ht="10.199999999999999" customHeight="1" x14ac:dyDescent="0.25">
      <c r="A499" s="14">
        <v>40</v>
      </c>
      <c r="B499" s="103">
        <v>38995</v>
      </c>
      <c r="C499" s="103">
        <v>38988</v>
      </c>
      <c r="D499" s="36"/>
      <c r="E499" s="36"/>
      <c r="F499" s="51"/>
      <c r="G499" s="36"/>
      <c r="H499" s="36"/>
      <c r="I499" s="36"/>
      <c r="J499" s="51"/>
      <c r="K499" s="36"/>
      <c r="L499" s="36"/>
      <c r="M499" s="36"/>
      <c r="N499" s="51"/>
      <c r="O499" s="36"/>
      <c r="P499" s="36"/>
      <c r="Q499" s="36"/>
      <c r="R499" s="51"/>
      <c r="S499" s="36"/>
      <c r="T499" s="36"/>
      <c r="U499" s="36"/>
      <c r="V499" s="51"/>
      <c r="W499" s="36"/>
      <c r="X499" s="36"/>
      <c r="Y499" s="36"/>
      <c r="Z499" s="51"/>
      <c r="AA499" s="36"/>
      <c r="AB499" s="36"/>
      <c r="AC499" s="36"/>
      <c r="AD499" s="51"/>
      <c r="AE499" s="36"/>
      <c r="AF499" s="36"/>
      <c r="AG499" s="36"/>
      <c r="AH499" s="51"/>
      <c r="AI499" s="36"/>
      <c r="AJ499" s="36"/>
      <c r="AK499" s="36"/>
      <c r="AL499" s="51"/>
      <c r="AM499" s="36"/>
      <c r="AN499" s="36">
        <v>281</v>
      </c>
      <c r="AO499" s="36">
        <v>283</v>
      </c>
      <c r="AP499" s="51">
        <f t="shared" si="14"/>
        <v>282</v>
      </c>
      <c r="AQ499" s="36"/>
      <c r="AR499" s="36">
        <v>196</v>
      </c>
      <c r="AS499" s="36">
        <v>50</v>
      </c>
      <c r="AT499" s="51">
        <f t="shared" ref="AT499:AT505" si="17">AVERAGE(AR499,AS499)</f>
        <v>123</v>
      </c>
      <c r="AU499" s="36"/>
      <c r="AV499" s="36">
        <v>25</v>
      </c>
      <c r="AW499" s="36">
        <v>0</v>
      </c>
      <c r="AX499" s="48">
        <f t="shared" si="16"/>
        <v>12.5</v>
      </c>
    </row>
    <row r="500" spans="1:50" ht="10.199999999999999" customHeight="1" x14ac:dyDescent="0.25">
      <c r="A500" s="14">
        <v>41</v>
      </c>
      <c r="B500" s="103">
        <v>39002</v>
      </c>
      <c r="C500" s="103">
        <v>38995</v>
      </c>
      <c r="D500" s="36"/>
      <c r="E500" s="36"/>
      <c r="F500" s="51"/>
      <c r="G500" s="36"/>
      <c r="H500" s="36"/>
      <c r="I500" s="36"/>
      <c r="J500" s="51"/>
      <c r="K500" s="36"/>
      <c r="L500" s="36"/>
      <c r="M500" s="36"/>
      <c r="N500" s="51"/>
      <c r="O500" s="36"/>
      <c r="P500" s="36"/>
      <c r="Q500" s="36"/>
      <c r="R500" s="51"/>
      <c r="S500" s="36"/>
      <c r="T500" s="36"/>
      <c r="U500" s="36"/>
      <c r="V500" s="51"/>
      <c r="W500" s="36"/>
      <c r="X500" s="36"/>
      <c r="Y500" s="36"/>
      <c r="Z500" s="51"/>
      <c r="AA500" s="36"/>
      <c r="AB500" s="36"/>
      <c r="AC500" s="36"/>
      <c r="AD500" s="51"/>
      <c r="AE500" s="36"/>
      <c r="AF500" s="36"/>
      <c r="AG500" s="36"/>
      <c r="AH500" s="51"/>
      <c r="AI500" s="36"/>
      <c r="AJ500" s="36"/>
      <c r="AK500" s="36"/>
      <c r="AL500" s="51"/>
      <c r="AM500" s="36"/>
      <c r="AN500" s="36">
        <v>65</v>
      </c>
      <c r="AO500" s="36">
        <v>200</v>
      </c>
      <c r="AP500" s="51">
        <f t="shared" si="14"/>
        <v>132.5</v>
      </c>
      <c r="AQ500" s="36"/>
      <c r="AR500" s="36">
        <v>57</v>
      </c>
      <c r="AS500" s="36">
        <v>-13</v>
      </c>
      <c r="AT500" s="51">
        <f t="shared" si="17"/>
        <v>22</v>
      </c>
      <c r="AU500" s="36"/>
      <c r="AV500" s="36">
        <v>0</v>
      </c>
      <c r="AW500" s="36">
        <v>0</v>
      </c>
      <c r="AX500" s="48">
        <f t="shared" si="16"/>
        <v>0</v>
      </c>
    </row>
    <row r="501" spans="1:50" ht="10.199999999999999" customHeight="1" x14ac:dyDescent="0.25">
      <c r="A501" s="14">
        <v>42</v>
      </c>
      <c r="B501" s="103">
        <v>39009</v>
      </c>
      <c r="C501" s="103">
        <v>39002</v>
      </c>
      <c r="D501" s="36"/>
      <c r="E501" s="36"/>
      <c r="F501" s="51"/>
      <c r="G501" s="36"/>
      <c r="H501" s="36"/>
      <c r="I501" s="36"/>
      <c r="J501" s="51"/>
      <c r="K501" s="36"/>
      <c r="L501" s="36"/>
      <c r="M501" s="36"/>
      <c r="N501" s="51"/>
      <c r="O501" s="36"/>
      <c r="P501" s="36"/>
      <c r="Q501" s="36"/>
      <c r="R501" s="51"/>
      <c r="S501" s="36"/>
      <c r="T501" s="36"/>
      <c r="U501" s="36"/>
      <c r="V501" s="51"/>
      <c r="W501" s="36"/>
      <c r="X501" s="36"/>
      <c r="Y501" s="36"/>
      <c r="Z501" s="51"/>
      <c r="AA501" s="36"/>
      <c r="AB501" s="36"/>
      <c r="AC501" s="36"/>
      <c r="AD501" s="51"/>
      <c r="AE501" s="36"/>
      <c r="AF501" s="36"/>
      <c r="AG501" s="36"/>
      <c r="AH501" s="51"/>
      <c r="AI501" s="36"/>
      <c r="AJ501" s="36"/>
      <c r="AK501" s="36"/>
      <c r="AL501" s="51"/>
      <c r="AM501" s="36"/>
      <c r="AN501" s="36">
        <v>206</v>
      </c>
      <c r="AO501" s="36">
        <v>250</v>
      </c>
      <c r="AP501" s="51">
        <f t="shared" si="14"/>
        <v>228</v>
      </c>
      <c r="AQ501" s="36"/>
      <c r="AR501" s="36">
        <v>53</v>
      </c>
      <c r="AS501" s="36">
        <v>-100</v>
      </c>
      <c r="AT501" s="51">
        <f t="shared" si="17"/>
        <v>-23.5</v>
      </c>
      <c r="AU501" s="36"/>
      <c r="AV501" s="36">
        <v>-17</v>
      </c>
      <c r="AW501" s="36">
        <v>0</v>
      </c>
      <c r="AX501" s="48">
        <f t="shared" si="16"/>
        <v>-8.5</v>
      </c>
    </row>
    <row r="502" spans="1:50" ht="10.199999999999999" customHeight="1" x14ac:dyDescent="0.25">
      <c r="A502" s="14">
        <v>43</v>
      </c>
      <c r="B502" s="103">
        <v>39016</v>
      </c>
      <c r="C502" s="103">
        <v>39009</v>
      </c>
      <c r="D502" s="36"/>
      <c r="E502" s="36"/>
      <c r="F502" s="51"/>
      <c r="G502" s="36"/>
      <c r="H502" s="36"/>
      <c r="I502" s="36"/>
      <c r="J502" s="51"/>
      <c r="K502" s="36"/>
      <c r="L502" s="36"/>
      <c r="M502" s="36"/>
      <c r="N502" s="51"/>
      <c r="O502" s="36"/>
      <c r="P502" s="36"/>
      <c r="Q502" s="36"/>
      <c r="R502" s="51"/>
      <c r="S502" s="36"/>
      <c r="T502" s="36"/>
      <c r="U502" s="36"/>
      <c r="V502" s="51"/>
      <c r="W502" s="36"/>
      <c r="X502" s="36"/>
      <c r="Y502" s="36"/>
      <c r="Z502" s="51"/>
      <c r="AA502" s="36"/>
      <c r="AB502" s="36"/>
      <c r="AC502" s="36"/>
      <c r="AD502" s="51"/>
      <c r="AE502" s="36"/>
      <c r="AF502" s="36"/>
      <c r="AG502" s="36"/>
      <c r="AH502" s="51"/>
      <c r="AI502" s="36"/>
      <c r="AJ502" s="36"/>
      <c r="AK502" s="36"/>
      <c r="AL502" s="51"/>
      <c r="AM502" s="36"/>
      <c r="AN502" s="36"/>
      <c r="AO502" s="36"/>
      <c r="AP502" s="51"/>
      <c r="AQ502" s="36"/>
      <c r="AR502" s="36">
        <v>-158</v>
      </c>
      <c r="AS502" s="36">
        <v>-50</v>
      </c>
      <c r="AT502" s="51">
        <f t="shared" si="17"/>
        <v>-104</v>
      </c>
      <c r="AU502" s="36"/>
      <c r="AV502" s="36">
        <v>-150</v>
      </c>
      <c r="AW502" s="36">
        <v>-100</v>
      </c>
      <c r="AX502" s="48">
        <f t="shared" si="16"/>
        <v>-125</v>
      </c>
    </row>
    <row r="503" spans="1:50" ht="10.199999999999999" customHeight="1" x14ac:dyDescent="0.25">
      <c r="A503" s="14">
        <v>44</v>
      </c>
      <c r="B503" s="103">
        <v>39023</v>
      </c>
      <c r="C503" s="103">
        <v>39016</v>
      </c>
      <c r="D503" s="36">
        <v>-200</v>
      </c>
      <c r="E503" s="36"/>
      <c r="F503" s="51">
        <f>AVERAGE(D503,E503)</f>
        <v>-200</v>
      </c>
      <c r="G503" s="36"/>
      <c r="H503" s="36"/>
      <c r="I503" s="36"/>
      <c r="J503" s="51"/>
      <c r="K503" s="36"/>
      <c r="L503" s="36"/>
      <c r="M503" s="36"/>
      <c r="N503" s="51"/>
      <c r="O503" s="36"/>
      <c r="P503" s="36"/>
      <c r="Q503" s="36"/>
      <c r="R503" s="51"/>
      <c r="S503" s="36"/>
      <c r="T503" s="36"/>
      <c r="U503" s="36"/>
      <c r="V503" s="51"/>
      <c r="W503" s="36"/>
      <c r="X503" s="36"/>
      <c r="Y503" s="36"/>
      <c r="Z503" s="51"/>
      <c r="AA503" s="36"/>
      <c r="AB503" s="36"/>
      <c r="AC503" s="36"/>
      <c r="AD503" s="51"/>
      <c r="AE503" s="36"/>
      <c r="AF503" s="36"/>
      <c r="AG503" s="36"/>
      <c r="AH503" s="51"/>
      <c r="AI503" s="36"/>
      <c r="AJ503" s="36"/>
      <c r="AK503" s="36"/>
      <c r="AL503" s="51"/>
      <c r="AM503" s="36"/>
      <c r="AN503" s="36"/>
      <c r="AO503" s="36"/>
      <c r="AP503" s="51"/>
      <c r="AQ503" s="36"/>
      <c r="AR503" s="36">
        <v>-146</v>
      </c>
      <c r="AS503" s="36">
        <v>-146</v>
      </c>
      <c r="AT503" s="51">
        <f t="shared" si="17"/>
        <v>-146</v>
      </c>
      <c r="AU503" s="36"/>
      <c r="AV503" s="36">
        <v>-161</v>
      </c>
      <c r="AW503" s="36"/>
      <c r="AX503" s="48">
        <f t="shared" si="16"/>
        <v>-161</v>
      </c>
    </row>
    <row r="504" spans="1:50" ht="10.199999999999999" customHeight="1" x14ac:dyDescent="0.25">
      <c r="A504" s="14">
        <v>45</v>
      </c>
      <c r="B504" s="103">
        <v>39030</v>
      </c>
      <c r="C504" s="103">
        <v>39023</v>
      </c>
      <c r="D504" s="36">
        <v>-250</v>
      </c>
      <c r="E504" s="36"/>
      <c r="F504" s="51">
        <f>AVERAGE(D504,E504)</f>
        <v>-250</v>
      </c>
      <c r="G504" s="36"/>
      <c r="H504" s="36"/>
      <c r="I504" s="36"/>
      <c r="J504" s="51"/>
      <c r="K504" s="36"/>
      <c r="L504" s="36"/>
      <c r="M504" s="36"/>
      <c r="N504" s="51"/>
      <c r="O504" s="36"/>
      <c r="P504" s="36"/>
      <c r="Q504" s="36"/>
      <c r="R504" s="51"/>
      <c r="S504" s="36"/>
      <c r="T504" s="36"/>
      <c r="U504" s="36"/>
      <c r="V504" s="51"/>
      <c r="W504" s="36"/>
      <c r="X504" s="36"/>
      <c r="Y504" s="36"/>
      <c r="Z504" s="51"/>
      <c r="AA504" s="36"/>
      <c r="AB504" s="36"/>
      <c r="AC504" s="36"/>
      <c r="AD504" s="51"/>
      <c r="AE504" s="36"/>
      <c r="AF504" s="36"/>
      <c r="AG504" s="36"/>
      <c r="AH504" s="51"/>
      <c r="AI504" s="36"/>
      <c r="AJ504" s="36"/>
      <c r="AK504" s="36"/>
      <c r="AL504" s="51"/>
      <c r="AM504" s="36"/>
      <c r="AN504" s="36"/>
      <c r="AO504" s="36"/>
      <c r="AP504" s="51"/>
      <c r="AQ504" s="36"/>
      <c r="AR504" s="36">
        <v>-244</v>
      </c>
      <c r="AS504" s="36">
        <v>-122</v>
      </c>
      <c r="AT504" s="51">
        <f t="shared" si="17"/>
        <v>-183</v>
      </c>
      <c r="AU504" s="36"/>
      <c r="AV504" s="36">
        <v>-231</v>
      </c>
      <c r="AW504" s="36">
        <v>-225</v>
      </c>
      <c r="AX504" s="48">
        <f t="shared" si="16"/>
        <v>-228</v>
      </c>
    </row>
    <row r="505" spans="1:50" ht="10.199999999999999" customHeight="1" x14ac:dyDescent="0.25">
      <c r="A505" s="14">
        <v>46</v>
      </c>
      <c r="B505" s="103">
        <v>39037</v>
      </c>
      <c r="C505" s="103">
        <v>39030</v>
      </c>
      <c r="D505" s="36"/>
      <c r="E505" s="36"/>
      <c r="F505" s="51"/>
      <c r="G505" s="36"/>
      <c r="H505" s="36"/>
      <c r="I505" s="36"/>
      <c r="J505" s="51"/>
      <c r="K505" s="36"/>
      <c r="L505" s="36"/>
      <c r="M505" s="36"/>
      <c r="N505" s="51"/>
      <c r="O505" s="36"/>
      <c r="P505" s="36"/>
      <c r="Q505" s="36"/>
      <c r="R505" s="51"/>
      <c r="S505" s="36"/>
      <c r="T505" s="36"/>
      <c r="U505" s="36"/>
      <c r="V505" s="51"/>
      <c r="W505" s="36"/>
      <c r="X505" s="36"/>
      <c r="Y505" s="36"/>
      <c r="Z505" s="51"/>
      <c r="AA505" s="36"/>
      <c r="AB505" s="36"/>
      <c r="AC505" s="36"/>
      <c r="AD505" s="51"/>
      <c r="AE505" s="36"/>
      <c r="AF505" s="36"/>
      <c r="AG505" s="36"/>
      <c r="AH505" s="51"/>
      <c r="AI505" s="36"/>
      <c r="AJ505" s="36"/>
      <c r="AK505" s="36"/>
      <c r="AL505" s="51"/>
      <c r="AM505" s="36"/>
      <c r="AN505" s="36"/>
      <c r="AO505" s="36"/>
      <c r="AP505" s="51"/>
      <c r="AQ505" s="36"/>
      <c r="AR505" s="36">
        <v>-204</v>
      </c>
      <c r="AS505" s="36">
        <v>-158</v>
      </c>
      <c r="AT505" s="51">
        <f t="shared" si="17"/>
        <v>-181</v>
      </c>
      <c r="AU505" s="36"/>
      <c r="AV505" s="36">
        <v>-142</v>
      </c>
      <c r="AW505" s="36">
        <v>-259</v>
      </c>
      <c r="AX505" s="48">
        <f t="shared" si="16"/>
        <v>-200.5</v>
      </c>
    </row>
    <row r="506" spans="1:50" ht="10.199999999999999" customHeight="1" x14ac:dyDescent="0.25">
      <c r="A506" s="14">
        <v>47</v>
      </c>
      <c r="B506" s="103">
        <v>39044</v>
      </c>
      <c r="C506" s="103">
        <v>39037</v>
      </c>
      <c r="D506" s="36">
        <v>-200</v>
      </c>
      <c r="E506" s="36"/>
      <c r="F506" s="48">
        <f t="shared" ref="F506:F514" si="18">AVERAGE(D506,E506)</f>
        <v>-200</v>
      </c>
      <c r="G506" s="36"/>
      <c r="H506" s="36"/>
      <c r="I506" s="36"/>
      <c r="J506" s="48"/>
      <c r="K506" s="36"/>
      <c r="L506" s="36"/>
      <c r="M506" s="36"/>
      <c r="N506" s="51"/>
      <c r="O506" s="36"/>
      <c r="P506" s="36"/>
      <c r="Q506" s="36"/>
      <c r="R506" s="51"/>
      <c r="S506" s="36"/>
      <c r="T506" s="36"/>
      <c r="U506" s="36"/>
      <c r="V506" s="51"/>
      <c r="W506" s="36"/>
      <c r="X506" s="36"/>
      <c r="Y506" s="36"/>
      <c r="Z506" s="51"/>
      <c r="AA506" s="36"/>
      <c r="AB506" s="36"/>
      <c r="AC506" s="36"/>
      <c r="AD506" s="51"/>
      <c r="AE506" s="36"/>
      <c r="AF506" s="36"/>
      <c r="AG506" s="36"/>
      <c r="AH506" s="51"/>
      <c r="AI506" s="36"/>
      <c r="AJ506" s="36"/>
      <c r="AK506" s="36"/>
      <c r="AL506" s="51"/>
      <c r="AM506" s="36"/>
      <c r="AN506" s="36"/>
      <c r="AO506" s="36"/>
      <c r="AP506" s="51"/>
      <c r="AQ506" s="36"/>
      <c r="AR506" s="36"/>
      <c r="AS506" s="36"/>
      <c r="AT506" s="51"/>
      <c r="AU506" s="36"/>
      <c r="AV506" s="36">
        <v>-171</v>
      </c>
      <c r="AW506" s="36">
        <v>-163</v>
      </c>
      <c r="AX506" s="48">
        <f t="shared" si="16"/>
        <v>-167</v>
      </c>
    </row>
    <row r="507" spans="1:50" ht="10.199999999999999" customHeight="1" x14ac:dyDescent="0.25">
      <c r="A507" s="14">
        <v>48</v>
      </c>
      <c r="B507" s="103">
        <v>39051</v>
      </c>
      <c r="C507" s="103">
        <v>39044</v>
      </c>
      <c r="D507" s="36">
        <v>-200</v>
      </c>
      <c r="E507" s="36"/>
      <c r="F507" s="48">
        <f t="shared" si="18"/>
        <v>-200</v>
      </c>
      <c r="G507" s="36"/>
      <c r="H507" s="36"/>
      <c r="I507" s="36"/>
      <c r="J507" s="51"/>
      <c r="K507" s="36"/>
      <c r="L507" s="36"/>
      <c r="M507" s="36"/>
      <c r="N507" s="51"/>
      <c r="O507" s="36"/>
      <c r="P507" s="36"/>
      <c r="Q507" s="36"/>
      <c r="R507" s="51"/>
      <c r="S507" s="36"/>
      <c r="T507" s="36"/>
      <c r="U507" s="36"/>
      <c r="V507" s="51"/>
      <c r="W507" s="36"/>
      <c r="X507" s="36"/>
      <c r="Y507" s="36"/>
      <c r="Z507" s="51"/>
      <c r="AA507" s="36"/>
      <c r="AB507" s="36"/>
      <c r="AC507" s="36"/>
      <c r="AD507" s="51"/>
      <c r="AE507" s="36"/>
      <c r="AF507" s="36"/>
      <c r="AG507" s="36"/>
      <c r="AH507" s="51"/>
      <c r="AI507" s="36"/>
      <c r="AJ507" s="36"/>
      <c r="AK507" s="36"/>
      <c r="AL507" s="51"/>
      <c r="AM507" s="36"/>
      <c r="AN507" s="36"/>
      <c r="AO507" s="36"/>
      <c r="AP507" s="51"/>
      <c r="AQ507" s="36"/>
      <c r="AR507" s="36"/>
      <c r="AS507" s="36"/>
      <c r="AT507" s="51"/>
      <c r="AU507" s="36"/>
      <c r="AV507" s="36">
        <v>-225</v>
      </c>
      <c r="AW507" s="36">
        <v>-222</v>
      </c>
      <c r="AX507" s="48">
        <f t="shared" si="16"/>
        <v>-223.5</v>
      </c>
    </row>
    <row r="508" spans="1:50" ht="10.199999999999999" customHeight="1" x14ac:dyDescent="0.25">
      <c r="A508" s="14">
        <v>49</v>
      </c>
      <c r="B508" s="103">
        <v>39058</v>
      </c>
      <c r="C508" s="103">
        <v>39051</v>
      </c>
      <c r="D508" s="36">
        <v>-208</v>
      </c>
      <c r="E508" s="36"/>
      <c r="F508" s="51">
        <f t="shared" si="18"/>
        <v>-208</v>
      </c>
      <c r="G508" s="36"/>
      <c r="H508" s="36"/>
      <c r="I508" s="36"/>
      <c r="J508" s="51"/>
      <c r="K508" s="36"/>
      <c r="L508" s="36">
        <v>-300</v>
      </c>
      <c r="M508" s="36"/>
      <c r="N508" s="51">
        <f>AVERAGE(L508,M508)</f>
        <v>-300</v>
      </c>
      <c r="O508" s="36"/>
      <c r="P508" s="36"/>
      <c r="Q508" s="36"/>
      <c r="R508" s="51"/>
      <c r="S508" s="36"/>
      <c r="T508" s="36"/>
      <c r="U508" s="36"/>
      <c r="V508" s="51"/>
      <c r="W508" s="36"/>
      <c r="X508" s="36"/>
      <c r="Y508" s="36"/>
      <c r="Z508" s="51"/>
      <c r="AA508" s="36"/>
      <c r="AB508" s="36"/>
      <c r="AC508" s="36"/>
      <c r="AD508" s="51"/>
      <c r="AE508" s="36"/>
      <c r="AF508" s="36"/>
      <c r="AG508" s="36"/>
      <c r="AH508" s="51"/>
      <c r="AI508" s="36"/>
      <c r="AJ508" s="36"/>
      <c r="AK508" s="36"/>
      <c r="AL508" s="51"/>
      <c r="AM508" s="36"/>
      <c r="AN508" s="36"/>
      <c r="AO508" s="36"/>
      <c r="AP508" s="51"/>
      <c r="AQ508" s="36"/>
      <c r="AR508" s="36"/>
      <c r="AS508" s="36"/>
      <c r="AT508" s="51"/>
      <c r="AU508" s="36"/>
      <c r="AV508" s="36">
        <v>-198</v>
      </c>
      <c r="AW508" s="36">
        <v>-246</v>
      </c>
      <c r="AX508" s="48">
        <f t="shared" si="16"/>
        <v>-222</v>
      </c>
    </row>
    <row r="509" spans="1:50" ht="10.199999999999999" customHeight="1" x14ac:dyDescent="0.25">
      <c r="A509" s="14">
        <v>50</v>
      </c>
      <c r="B509" s="103">
        <v>39065</v>
      </c>
      <c r="C509" s="103">
        <v>39058</v>
      </c>
      <c r="D509" s="36">
        <v>-94</v>
      </c>
      <c r="E509" s="36"/>
      <c r="F509" s="51">
        <f t="shared" si="18"/>
        <v>-94</v>
      </c>
      <c r="G509" s="36"/>
      <c r="H509" s="36"/>
      <c r="I509" s="36"/>
      <c r="J509" s="51"/>
      <c r="K509" s="36"/>
      <c r="L509" s="36"/>
      <c r="M509" s="36"/>
      <c r="N509" s="51"/>
      <c r="O509" s="36"/>
      <c r="P509" s="36"/>
      <c r="Q509" s="36"/>
      <c r="R509" s="51"/>
      <c r="S509" s="36"/>
      <c r="T509" s="36"/>
      <c r="U509" s="36"/>
      <c r="V509" s="51"/>
      <c r="W509" s="36"/>
      <c r="X509" s="36"/>
      <c r="Y509" s="36"/>
      <c r="Z509" s="51"/>
      <c r="AA509" s="36"/>
      <c r="AB509" s="36"/>
      <c r="AC509" s="36"/>
      <c r="AD509" s="51"/>
      <c r="AE509" s="36"/>
      <c r="AF509" s="36"/>
      <c r="AG509" s="36"/>
      <c r="AH509" s="51"/>
      <c r="AI509" s="36"/>
      <c r="AJ509" s="36"/>
      <c r="AK509" s="36"/>
      <c r="AL509" s="51"/>
      <c r="AM509" s="36"/>
      <c r="AN509" s="36"/>
      <c r="AO509" s="36"/>
      <c r="AP509" s="51"/>
      <c r="AQ509" s="36"/>
      <c r="AR509" s="36"/>
      <c r="AS509" s="36"/>
      <c r="AT509" s="51"/>
      <c r="AU509" s="36"/>
      <c r="AV509" s="36">
        <v>-21</v>
      </c>
      <c r="AW509" s="36">
        <v>-213</v>
      </c>
      <c r="AX509" s="48">
        <f t="shared" si="16"/>
        <v>-117</v>
      </c>
    </row>
    <row r="510" spans="1:50" ht="10.199999999999999" customHeight="1" x14ac:dyDescent="0.25">
      <c r="A510" s="14">
        <v>51</v>
      </c>
      <c r="B510" s="103">
        <v>39072</v>
      </c>
      <c r="C510" s="103">
        <v>39065</v>
      </c>
      <c r="D510" s="36">
        <v>25</v>
      </c>
      <c r="E510" s="36"/>
      <c r="F510" s="51">
        <f t="shared" si="18"/>
        <v>25</v>
      </c>
      <c r="G510" s="36"/>
      <c r="H510" s="36">
        <v>-2</v>
      </c>
      <c r="I510" s="36"/>
      <c r="J510" s="48">
        <f t="shared" ref="J510:J519" si="19">AVERAGE(H510,I510)</f>
        <v>-2</v>
      </c>
      <c r="K510" s="36"/>
      <c r="L510" s="36">
        <v>-100</v>
      </c>
      <c r="M510" s="36"/>
      <c r="N510" s="51">
        <f>AVERAGE(L510,M510)</f>
        <v>-100</v>
      </c>
      <c r="O510" s="36"/>
      <c r="P510" s="36"/>
      <c r="Q510" s="36"/>
      <c r="R510" s="51"/>
      <c r="S510" s="36"/>
      <c r="T510" s="36"/>
      <c r="U510" s="36"/>
      <c r="V510" s="51"/>
      <c r="W510" s="36"/>
      <c r="X510" s="36"/>
      <c r="Y510" s="36"/>
      <c r="Z510" s="51"/>
      <c r="AA510" s="36"/>
      <c r="AB510" s="36"/>
      <c r="AC510" s="36"/>
      <c r="AD510" s="51"/>
      <c r="AE510" s="36"/>
      <c r="AF510" s="36"/>
      <c r="AG510" s="36"/>
      <c r="AH510" s="51"/>
      <c r="AI510" s="36"/>
      <c r="AJ510" s="36"/>
      <c r="AK510" s="36"/>
      <c r="AL510" s="51"/>
      <c r="AM510" s="36"/>
      <c r="AN510" s="36"/>
      <c r="AO510" s="36"/>
      <c r="AP510" s="51"/>
      <c r="AQ510" s="36"/>
      <c r="AR510" s="36"/>
      <c r="AS510" s="36"/>
      <c r="AT510" s="51"/>
      <c r="AU510" s="36"/>
      <c r="AV510" s="36">
        <v>81</v>
      </c>
      <c r="AW510" s="36"/>
      <c r="AX510" s="48">
        <f t="shared" si="16"/>
        <v>81</v>
      </c>
    </row>
    <row r="511" spans="1:50" ht="10.199999999999999" customHeight="1" x14ac:dyDescent="0.25">
      <c r="A511" s="14">
        <v>52</v>
      </c>
      <c r="B511" s="103">
        <v>39079</v>
      </c>
      <c r="C511" s="103">
        <v>39072</v>
      </c>
      <c r="D511" s="36">
        <v>-159</v>
      </c>
      <c r="E511" s="36">
        <v>-100</v>
      </c>
      <c r="F511" s="51">
        <f t="shared" si="18"/>
        <v>-129.5</v>
      </c>
      <c r="G511" s="36"/>
      <c r="H511" s="36">
        <v>-158</v>
      </c>
      <c r="I511" s="36"/>
      <c r="J511" s="48">
        <f t="shared" si="19"/>
        <v>-158</v>
      </c>
      <c r="K511" s="36"/>
      <c r="L511" s="36">
        <v>-163</v>
      </c>
      <c r="M511" s="36"/>
      <c r="N511" s="51">
        <f>AVERAGE(L511,M511)</f>
        <v>-163</v>
      </c>
      <c r="O511" s="36"/>
      <c r="P511" s="36"/>
      <c r="Q511" s="36"/>
      <c r="R511" s="51"/>
      <c r="S511" s="36"/>
      <c r="T511" s="36"/>
      <c r="U511" s="36"/>
      <c r="V511" s="51"/>
      <c r="W511" s="36"/>
      <c r="X511" s="36"/>
      <c r="Y511" s="36"/>
      <c r="Z511" s="51"/>
      <c r="AA511" s="36"/>
      <c r="AB511" s="36"/>
      <c r="AC511" s="36"/>
      <c r="AD511" s="51"/>
      <c r="AE511" s="36"/>
      <c r="AF511" s="36"/>
      <c r="AG511" s="36"/>
      <c r="AH511" s="51"/>
      <c r="AI511" s="36"/>
      <c r="AJ511" s="36"/>
      <c r="AK511" s="36"/>
      <c r="AL511" s="51"/>
      <c r="AM511" s="36"/>
      <c r="AN511" s="36"/>
      <c r="AO511" s="36"/>
      <c r="AP511" s="51"/>
      <c r="AQ511" s="36"/>
      <c r="AR511" s="36"/>
      <c r="AS511" s="36"/>
      <c r="AT511" s="51"/>
      <c r="AU511" s="36"/>
      <c r="AV511" s="36">
        <v>-125</v>
      </c>
      <c r="AW511" s="36">
        <v>-25</v>
      </c>
      <c r="AX511" s="48">
        <f t="shared" si="16"/>
        <v>-75</v>
      </c>
    </row>
    <row r="512" spans="1:50" ht="10.199999999999999" customHeight="1" x14ac:dyDescent="0.25">
      <c r="A512" s="14">
        <v>1</v>
      </c>
      <c r="B512" s="103">
        <v>39086</v>
      </c>
      <c r="C512" s="103">
        <v>39079</v>
      </c>
      <c r="D512" s="36">
        <v>-117</v>
      </c>
      <c r="E512" s="36">
        <v>-157</v>
      </c>
      <c r="F512" s="51">
        <f t="shared" si="18"/>
        <v>-137</v>
      </c>
      <c r="G512" s="36"/>
      <c r="H512" s="36">
        <v>-192</v>
      </c>
      <c r="I512" s="36"/>
      <c r="J512" s="48">
        <f t="shared" si="19"/>
        <v>-192</v>
      </c>
      <c r="K512" s="36"/>
      <c r="L512" s="36">
        <v>-213</v>
      </c>
      <c r="M512" s="36"/>
      <c r="N512" s="51">
        <f>AVERAGE(L512,M512)</f>
        <v>-213</v>
      </c>
      <c r="O512" s="36"/>
      <c r="P512" s="36"/>
      <c r="Q512" s="36"/>
      <c r="R512" s="51"/>
      <c r="S512" s="36"/>
      <c r="T512" s="36"/>
      <c r="U512" s="36"/>
      <c r="V512" s="51"/>
      <c r="W512" s="36"/>
      <c r="X512" s="36"/>
      <c r="Y512" s="36"/>
      <c r="Z512" s="51"/>
      <c r="AA512" s="36"/>
      <c r="AB512" s="36"/>
      <c r="AC512" s="36"/>
      <c r="AD512" s="51"/>
      <c r="AE512" s="36"/>
      <c r="AF512" s="36"/>
      <c r="AG512" s="36"/>
      <c r="AH512" s="51"/>
      <c r="AI512" s="36"/>
      <c r="AJ512" s="36"/>
      <c r="AK512" s="36"/>
      <c r="AL512" s="51"/>
      <c r="AM512" s="36"/>
      <c r="AN512" s="36"/>
      <c r="AO512" s="36"/>
      <c r="AP512" s="51"/>
      <c r="AQ512" s="36"/>
      <c r="AR512" s="36"/>
      <c r="AS512" s="36"/>
      <c r="AT512" s="51"/>
      <c r="AU512" s="36"/>
      <c r="AV512" s="36"/>
      <c r="AW512" s="36"/>
      <c r="AX512" s="49"/>
    </row>
    <row r="513" spans="1:50" ht="10.199999999999999" customHeight="1" x14ac:dyDescent="0.25">
      <c r="A513" s="14">
        <v>2</v>
      </c>
      <c r="B513" s="103">
        <v>39093</v>
      </c>
      <c r="C513" s="103">
        <v>39086</v>
      </c>
      <c r="D513" s="36">
        <v>-156</v>
      </c>
      <c r="E513" s="36">
        <v>-144</v>
      </c>
      <c r="F513" s="51">
        <f t="shared" si="18"/>
        <v>-150</v>
      </c>
      <c r="G513" s="36"/>
      <c r="H513" s="36">
        <v>-208</v>
      </c>
      <c r="I513" s="36"/>
      <c r="J513" s="48">
        <f t="shared" si="19"/>
        <v>-208</v>
      </c>
      <c r="K513" s="36"/>
      <c r="L513" s="36">
        <v>-175</v>
      </c>
      <c r="M513" s="36"/>
      <c r="N513" s="51">
        <f>AVERAGE(L513,M513)</f>
        <v>-175</v>
      </c>
      <c r="O513" s="36"/>
      <c r="P513" s="36"/>
      <c r="Q513" s="36"/>
      <c r="R513" s="51"/>
      <c r="S513" s="36"/>
      <c r="T513" s="36"/>
      <c r="U513" s="36"/>
      <c r="V513" s="51"/>
      <c r="W513" s="36"/>
      <c r="X513" s="36"/>
      <c r="Y513" s="36"/>
      <c r="Z513" s="51"/>
      <c r="AA513" s="36"/>
      <c r="AB513" s="36"/>
      <c r="AC513" s="36"/>
      <c r="AD513" s="51"/>
      <c r="AE513" s="36"/>
      <c r="AF513" s="36"/>
      <c r="AG513" s="36"/>
      <c r="AH513" s="51"/>
      <c r="AI513" s="36"/>
      <c r="AJ513" s="36"/>
      <c r="AK513" s="36"/>
      <c r="AL513" s="51"/>
      <c r="AM513" s="36"/>
      <c r="AN513" s="36"/>
      <c r="AO513" s="36"/>
      <c r="AP513" s="51"/>
      <c r="AQ513" s="36"/>
      <c r="AR513" s="36"/>
      <c r="AS513" s="36"/>
      <c r="AT513" s="51"/>
      <c r="AU513" s="36"/>
      <c r="AV513" s="36"/>
      <c r="AW513" s="36"/>
      <c r="AX513" s="49"/>
    </row>
    <row r="514" spans="1:50" ht="10.199999999999999" customHeight="1" x14ac:dyDescent="0.25">
      <c r="A514" s="14">
        <v>3</v>
      </c>
      <c r="B514" s="103">
        <v>39100</v>
      </c>
      <c r="C514" s="103">
        <v>39093</v>
      </c>
      <c r="D514" s="36">
        <v>-100</v>
      </c>
      <c r="E514" s="36">
        <v>-150</v>
      </c>
      <c r="F514" s="51">
        <f t="shared" si="18"/>
        <v>-125</v>
      </c>
      <c r="G514" s="36"/>
      <c r="H514" s="36">
        <v>-163</v>
      </c>
      <c r="I514" s="36"/>
      <c r="J514" s="51">
        <f t="shared" si="19"/>
        <v>-163</v>
      </c>
      <c r="K514" s="36"/>
      <c r="L514" s="36"/>
      <c r="M514" s="36"/>
      <c r="N514" s="51"/>
      <c r="O514" s="36"/>
      <c r="P514" s="36"/>
      <c r="Q514" s="36"/>
      <c r="R514" s="51"/>
      <c r="S514" s="36"/>
      <c r="T514" s="36"/>
      <c r="U514" s="36"/>
      <c r="V514" s="51"/>
      <c r="W514" s="36"/>
      <c r="X514" s="36"/>
      <c r="Y514" s="36"/>
      <c r="Z514" s="51"/>
      <c r="AA514" s="36"/>
      <c r="AB514" s="36"/>
      <c r="AC514" s="36"/>
      <c r="AD514" s="51"/>
      <c r="AE514" s="36"/>
      <c r="AF514" s="36"/>
      <c r="AG514" s="36"/>
      <c r="AH514" s="51"/>
      <c r="AI514" s="36"/>
      <c r="AJ514" s="36"/>
      <c r="AK514" s="36"/>
      <c r="AL514" s="51"/>
      <c r="AM514" s="36"/>
      <c r="AN514" s="36"/>
      <c r="AO514" s="36"/>
      <c r="AP514" s="51"/>
      <c r="AQ514" s="36"/>
      <c r="AR514" s="36"/>
      <c r="AS514" s="36"/>
      <c r="AT514" s="51"/>
      <c r="AU514" s="36"/>
      <c r="AV514" s="36"/>
      <c r="AW514" s="36"/>
      <c r="AX514" s="49"/>
    </row>
    <row r="515" spans="1:50" ht="10.199999999999999" customHeight="1" x14ac:dyDescent="0.25">
      <c r="A515" s="14">
        <v>4</v>
      </c>
      <c r="B515" s="103">
        <v>39107</v>
      </c>
      <c r="C515" s="103">
        <v>39100</v>
      </c>
      <c r="D515" s="36"/>
      <c r="E515" s="36"/>
      <c r="F515" s="51"/>
      <c r="G515" s="36"/>
      <c r="H515" s="36">
        <v>-92</v>
      </c>
      <c r="I515" s="36">
        <v>-100</v>
      </c>
      <c r="J515" s="51">
        <f t="shared" si="19"/>
        <v>-96</v>
      </c>
      <c r="K515" s="36"/>
      <c r="L515" s="36">
        <v>-144</v>
      </c>
      <c r="M515" s="36">
        <v>-100</v>
      </c>
      <c r="N515" s="51">
        <f t="shared" ref="N515:N523" si="20">AVERAGE(L515,M515)</f>
        <v>-122</v>
      </c>
      <c r="O515" s="36"/>
      <c r="P515" s="36"/>
      <c r="Q515" s="36"/>
      <c r="R515" s="51"/>
      <c r="S515" s="36"/>
      <c r="T515" s="36"/>
      <c r="U515" s="36"/>
      <c r="V515" s="51"/>
      <c r="W515" s="36"/>
      <c r="X515" s="36"/>
      <c r="Y515" s="36"/>
      <c r="Z515" s="51"/>
      <c r="AA515" s="36"/>
      <c r="AB515" s="36"/>
      <c r="AC515" s="36"/>
      <c r="AD515" s="51"/>
      <c r="AE515" s="36"/>
      <c r="AF515" s="36"/>
      <c r="AG515" s="36"/>
      <c r="AH515" s="51"/>
      <c r="AI515" s="36"/>
      <c r="AJ515" s="36"/>
      <c r="AK515" s="36"/>
      <c r="AL515" s="51"/>
      <c r="AM515" s="36"/>
      <c r="AN515" s="36"/>
      <c r="AO515" s="36"/>
      <c r="AP515" s="51"/>
      <c r="AQ515" s="36"/>
      <c r="AR515" s="36"/>
      <c r="AS515" s="36"/>
      <c r="AT515" s="51"/>
      <c r="AU515" s="36"/>
      <c r="AV515" s="36"/>
      <c r="AW515" s="36"/>
      <c r="AX515" s="49"/>
    </row>
    <row r="516" spans="1:50" ht="10.199999999999999" customHeight="1" x14ac:dyDescent="0.25">
      <c r="A516" s="14">
        <v>5</v>
      </c>
      <c r="B516" s="103">
        <v>39114</v>
      </c>
      <c r="C516" s="103">
        <v>39107</v>
      </c>
      <c r="D516" s="36"/>
      <c r="E516" s="36"/>
      <c r="F516" s="51"/>
      <c r="G516" s="36"/>
      <c r="H516" s="36">
        <v>-250</v>
      </c>
      <c r="I516" s="36">
        <v>-150</v>
      </c>
      <c r="J516" s="51">
        <f t="shared" si="19"/>
        <v>-200</v>
      </c>
      <c r="K516" s="36"/>
      <c r="L516" s="36">
        <v>-238</v>
      </c>
      <c r="M516" s="36">
        <v>-100</v>
      </c>
      <c r="N516" s="51">
        <f t="shared" si="20"/>
        <v>-169</v>
      </c>
      <c r="O516" s="36"/>
      <c r="P516" s="36">
        <v>-200</v>
      </c>
      <c r="Q516" s="36">
        <v>-300</v>
      </c>
      <c r="R516" s="51">
        <f t="shared" ref="R516:R527" si="21">AVERAGE(P516,Q516)</f>
        <v>-250</v>
      </c>
      <c r="S516" s="36"/>
      <c r="T516" s="36">
        <v>-250</v>
      </c>
      <c r="U516" s="36"/>
      <c r="V516" s="51">
        <f t="shared" ref="V516:V531" si="22">AVERAGE(T516,U516)</f>
        <v>-250</v>
      </c>
      <c r="W516" s="36"/>
      <c r="X516" s="36"/>
      <c r="Y516" s="36"/>
      <c r="Z516" s="51"/>
      <c r="AA516" s="36"/>
      <c r="AB516" s="36"/>
      <c r="AC516" s="36"/>
      <c r="AD516" s="51"/>
      <c r="AE516" s="36"/>
      <c r="AF516" s="36"/>
      <c r="AG516" s="36"/>
      <c r="AH516" s="51"/>
      <c r="AI516" s="36"/>
      <c r="AJ516" s="36"/>
      <c r="AK516" s="36"/>
      <c r="AL516" s="51"/>
      <c r="AM516" s="36"/>
      <c r="AN516" s="36"/>
      <c r="AO516" s="36"/>
      <c r="AP516" s="51"/>
      <c r="AQ516" s="36"/>
      <c r="AR516" s="36"/>
      <c r="AS516" s="36"/>
      <c r="AT516" s="51"/>
      <c r="AU516" s="36"/>
      <c r="AV516" s="36"/>
      <c r="AW516" s="36"/>
      <c r="AX516" s="49"/>
    </row>
    <row r="517" spans="1:50" ht="10.199999999999999" customHeight="1" x14ac:dyDescent="0.25">
      <c r="A517" s="14">
        <v>6</v>
      </c>
      <c r="B517" s="103">
        <v>39121</v>
      </c>
      <c r="C517" s="103">
        <v>39114</v>
      </c>
      <c r="D517" s="36"/>
      <c r="E517" s="36"/>
      <c r="F517" s="51"/>
      <c r="G517" s="36"/>
      <c r="H517" s="36">
        <v>-188</v>
      </c>
      <c r="I517" s="36">
        <v>-188</v>
      </c>
      <c r="J517" s="51">
        <f t="shared" si="19"/>
        <v>-188</v>
      </c>
      <c r="K517" s="36"/>
      <c r="L517" s="36">
        <v>-200</v>
      </c>
      <c r="M517" s="36"/>
      <c r="N517" s="51">
        <f t="shared" si="20"/>
        <v>-200</v>
      </c>
      <c r="O517" s="36"/>
      <c r="P517" s="36">
        <v>-250</v>
      </c>
      <c r="Q517" s="36">
        <v>-325</v>
      </c>
      <c r="R517" s="51">
        <f t="shared" si="21"/>
        <v>-287.5</v>
      </c>
      <c r="S517" s="36"/>
      <c r="T517" s="36">
        <v>-250</v>
      </c>
      <c r="U517" s="36"/>
      <c r="V517" s="51">
        <f t="shared" si="22"/>
        <v>-250</v>
      </c>
      <c r="W517" s="36"/>
      <c r="X517" s="36"/>
      <c r="Y517" s="36"/>
      <c r="Z517" s="51"/>
      <c r="AA517" s="36"/>
      <c r="AB517" s="36"/>
      <c r="AC517" s="36"/>
      <c r="AD517" s="51"/>
      <c r="AE517" s="36"/>
      <c r="AF517" s="36"/>
      <c r="AG517" s="36"/>
      <c r="AH517" s="51"/>
      <c r="AI517" s="36"/>
      <c r="AJ517" s="36"/>
      <c r="AK517" s="36"/>
      <c r="AL517" s="51"/>
      <c r="AM517" s="36"/>
      <c r="AN517" s="36"/>
      <c r="AO517" s="36"/>
      <c r="AP517" s="51"/>
      <c r="AQ517" s="36"/>
      <c r="AR517" s="36"/>
      <c r="AS517" s="36"/>
      <c r="AT517" s="51"/>
      <c r="AU517" s="36"/>
      <c r="AV517" s="36"/>
      <c r="AW517" s="36"/>
      <c r="AX517" s="49"/>
    </row>
    <row r="518" spans="1:50" ht="10.199999999999999" customHeight="1" x14ac:dyDescent="0.25">
      <c r="A518" s="14">
        <v>7</v>
      </c>
      <c r="B518" s="103">
        <v>39128</v>
      </c>
      <c r="C518" s="103">
        <v>39121</v>
      </c>
      <c r="D518" s="36"/>
      <c r="E518" s="36"/>
      <c r="F518" s="51"/>
      <c r="G518" s="36"/>
      <c r="H518" s="36">
        <v>-235</v>
      </c>
      <c r="I518" s="36">
        <v>-250</v>
      </c>
      <c r="J518" s="51">
        <f t="shared" si="19"/>
        <v>-242.5</v>
      </c>
      <c r="K518" s="36"/>
      <c r="L518" s="36">
        <v>-213</v>
      </c>
      <c r="M518" s="36">
        <v>-250</v>
      </c>
      <c r="N518" s="51">
        <f t="shared" si="20"/>
        <v>-231.5</v>
      </c>
      <c r="O518" s="36"/>
      <c r="P518" s="36">
        <v>-250</v>
      </c>
      <c r="Q518" s="36"/>
      <c r="R518" s="51">
        <f t="shared" si="21"/>
        <v>-250</v>
      </c>
      <c r="S518" s="36"/>
      <c r="T518" s="36">
        <v>-250</v>
      </c>
      <c r="U518" s="36"/>
      <c r="V518" s="51">
        <f t="shared" si="22"/>
        <v>-250</v>
      </c>
      <c r="W518" s="36"/>
      <c r="X518" s="36">
        <v>-213</v>
      </c>
      <c r="Y518" s="36"/>
      <c r="Z518" s="51">
        <f t="shared" ref="Z518:Z536" si="23">AVERAGE(X518,Y518)</f>
        <v>-213</v>
      </c>
      <c r="AA518" s="36"/>
      <c r="AB518" s="36">
        <v>-213</v>
      </c>
      <c r="AC518" s="36"/>
      <c r="AD518" s="51">
        <f>AVERAGE(AB518,AC518)</f>
        <v>-213</v>
      </c>
      <c r="AE518" s="36"/>
      <c r="AF518" s="36">
        <v>-100</v>
      </c>
      <c r="AG518" s="36"/>
      <c r="AH518" s="51">
        <f>AVERAGE(AF518,AG518)</f>
        <v>-100</v>
      </c>
      <c r="AI518" s="36"/>
      <c r="AJ518" s="36"/>
      <c r="AK518" s="36"/>
      <c r="AL518" s="51"/>
      <c r="AM518" s="36"/>
      <c r="AN518" s="36"/>
      <c r="AO518" s="36"/>
      <c r="AP518" s="51"/>
      <c r="AQ518" s="36"/>
      <c r="AR518" s="36"/>
      <c r="AS518" s="36"/>
      <c r="AT518" s="51"/>
      <c r="AU518" s="36"/>
      <c r="AV518" s="36"/>
      <c r="AW518" s="36"/>
      <c r="AX518" s="49"/>
    </row>
    <row r="519" spans="1:50" ht="10.199999999999999" customHeight="1" x14ac:dyDescent="0.25">
      <c r="A519" s="14">
        <v>8</v>
      </c>
      <c r="B519" s="103">
        <v>39135</v>
      </c>
      <c r="C519" s="103">
        <v>39128</v>
      </c>
      <c r="D519" s="36"/>
      <c r="E519" s="36"/>
      <c r="F519" s="51"/>
      <c r="G519" s="36"/>
      <c r="H519" s="36">
        <v>-273</v>
      </c>
      <c r="I519" s="36">
        <v>-288</v>
      </c>
      <c r="J519" s="51">
        <f t="shared" si="19"/>
        <v>-280.5</v>
      </c>
      <c r="K519" s="36"/>
      <c r="L519" s="36">
        <v>-218</v>
      </c>
      <c r="M519" s="36">
        <v>-200</v>
      </c>
      <c r="N519" s="51">
        <f t="shared" si="20"/>
        <v>-209</v>
      </c>
      <c r="O519" s="36"/>
      <c r="P519" s="36">
        <v>-256</v>
      </c>
      <c r="Q519" s="36"/>
      <c r="R519" s="51">
        <f t="shared" si="21"/>
        <v>-256</v>
      </c>
      <c r="S519" s="36"/>
      <c r="T519" s="36">
        <v>-263</v>
      </c>
      <c r="U519" s="36"/>
      <c r="V519" s="51">
        <f t="shared" si="22"/>
        <v>-263</v>
      </c>
      <c r="W519" s="36"/>
      <c r="X519" s="36">
        <v>-200</v>
      </c>
      <c r="Y519" s="36"/>
      <c r="Z519" s="51">
        <f t="shared" si="23"/>
        <v>-200</v>
      </c>
      <c r="AA519" s="36"/>
      <c r="AB519" s="36">
        <v>-192</v>
      </c>
      <c r="AC519" s="36">
        <v>-250</v>
      </c>
      <c r="AD519" s="51">
        <f>AVERAGE(AB519,AC519)</f>
        <v>-221</v>
      </c>
      <c r="AE519" s="36"/>
      <c r="AF519" s="36">
        <v>-100</v>
      </c>
      <c r="AG519" s="36"/>
      <c r="AH519" s="51">
        <f>AVERAGE(AF519,AG519)</f>
        <v>-100</v>
      </c>
      <c r="AI519" s="36"/>
      <c r="AJ519" s="36"/>
      <c r="AK519" s="36"/>
      <c r="AL519" s="51"/>
      <c r="AM519" s="36"/>
      <c r="AN519" s="36"/>
      <c r="AO519" s="36"/>
      <c r="AP519" s="51"/>
      <c r="AQ519" s="36"/>
      <c r="AR519" s="36"/>
      <c r="AS519" s="36"/>
      <c r="AT519" s="51"/>
      <c r="AU519" s="36"/>
      <c r="AV519" s="36"/>
      <c r="AW519" s="36"/>
      <c r="AX519" s="49"/>
    </row>
    <row r="520" spans="1:50" ht="10.199999999999999" customHeight="1" x14ac:dyDescent="0.25">
      <c r="A520" s="14">
        <v>9</v>
      </c>
      <c r="B520" s="103">
        <v>39142</v>
      </c>
      <c r="C520" s="103">
        <v>39135</v>
      </c>
      <c r="D520" s="36"/>
      <c r="E520" s="36"/>
      <c r="F520" s="51"/>
      <c r="G520" s="36"/>
      <c r="H520" s="36"/>
      <c r="I520" s="36"/>
      <c r="J520" s="51"/>
      <c r="K520" s="36"/>
      <c r="L520" s="36">
        <v>-219</v>
      </c>
      <c r="M520" s="36">
        <v>-292</v>
      </c>
      <c r="N520" s="51">
        <f t="shared" si="20"/>
        <v>-255.5</v>
      </c>
      <c r="O520" s="36"/>
      <c r="P520" s="36">
        <v>-275</v>
      </c>
      <c r="Q520" s="36"/>
      <c r="R520" s="51">
        <f t="shared" si="21"/>
        <v>-275</v>
      </c>
      <c r="S520" s="36"/>
      <c r="T520" s="36">
        <v>-275</v>
      </c>
      <c r="U520" s="36"/>
      <c r="V520" s="51">
        <f t="shared" si="22"/>
        <v>-275</v>
      </c>
      <c r="W520" s="36"/>
      <c r="X520" s="36">
        <v>-275</v>
      </c>
      <c r="Y520" s="36">
        <v>-200</v>
      </c>
      <c r="Z520" s="51">
        <f t="shared" si="23"/>
        <v>-237.5</v>
      </c>
      <c r="AA520" s="36"/>
      <c r="AB520" s="36">
        <v>-275</v>
      </c>
      <c r="AC520" s="36"/>
      <c r="AD520" s="51">
        <f>AVERAGE(AB520,AC520)</f>
        <v>-275</v>
      </c>
      <c r="AE520" s="36"/>
      <c r="AF520" s="36">
        <v>-150</v>
      </c>
      <c r="AG520" s="36"/>
      <c r="AH520" s="51">
        <f>AVERAGE(AF520,AG520)</f>
        <v>-150</v>
      </c>
      <c r="AI520" s="36"/>
      <c r="AJ520" s="36">
        <v>-150</v>
      </c>
      <c r="AK520" s="36"/>
      <c r="AL520" s="51">
        <f>AVERAGE(AJ520,AK520)</f>
        <v>-150</v>
      </c>
      <c r="AM520" s="36"/>
      <c r="AN520" s="36"/>
      <c r="AO520" s="36"/>
      <c r="AP520" s="51"/>
      <c r="AQ520" s="36"/>
      <c r="AR520" s="36"/>
      <c r="AS520" s="36"/>
      <c r="AT520" s="51"/>
      <c r="AU520" s="36"/>
      <c r="AV520" s="36"/>
      <c r="AW520" s="36"/>
      <c r="AX520" s="49"/>
    </row>
    <row r="521" spans="1:50" ht="10.199999999999999" customHeight="1" x14ac:dyDescent="0.25">
      <c r="A521" s="14">
        <v>10</v>
      </c>
      <c r="B521" s="103">
        <v>39149</v>
      </c>
      <c r="C521" s="103">
        <v>39142</v>
      </c>
      <c r="D521" s="36"/>
      <c r="E521" s="36"/>
      <c r="F521" s="51"/>
      <c r="G521" s="36"/>
      <c r="H521" s="36"/>
      <c r="I521" s="36"/>
      <c r="J521" s="51"/>
      <c r="K521" s="36"/>
      <c r="L521" s="36">
        <v>-172</v>
      </c>
      <c r="M521" s="36">
        <v>-325</v>
      </c>
      <c r="N521" s="51">
        <f t="shared" si="20"/>
        <v>-248.5</v>
      </c>
      <c r="O521" s="36"/>
      <c r="P521" s="36">
        <v>-247</v>
      </c>
      <c r="Q521" s="36"/>
      <c r="R521" s="51">
        <f t="shared" si="21"/>
        <v>-247</v>
      </c>
      <c r="S521" s="36"/>
      <c r="T521" s="36">
        <v>-250</v>
      </c>
      <c r="U521" s="36"/>
      <c r="V521" s="51">
        <f t="shared" si="22"/>
        <v>-250</v>
      </c>
      <c r="W521" s="36"/>
      <c r="X521" s="36">
        <v>-250</v>
      </c>
      <c r="Y521" s="36">
        <v>-200</v>
      </c>
      <c r="Z521" s="51">
        <f t="shared" si="23"/>
        <v>-225</v>
      </c>
      <c r="AA521" s="36"/>
      <c r="AB521" s="36">
        <v>-225</v>
      </c>
      <c r="AC521" s="36"/>
      <c r="AD521" s="51">
        <f>AVERAGE(AB521,AC521)</f>
        <v>-225</v>
      </c>
      <c r="AE521" s="36"/>
      <c r="AF521" s="36">
        <v>-150</v>
      </c>
      <c r="AG521" s="36"/>
      <c r="AH521" s="51">
        <f>AVERAGE(AF521,AG521)</f>
        <v>-150</v>
      </c>
      <c r="AI521" s="36"/>
      <c r="AJ521" s="36">
        <v>-150</v>
      </c>
      <c r="AK521" s="36"/>
      <c r="AL521" s="51">
        <f>AVERAGE(AJ521,AK521)</f>
        <v>-150</v>
      </c>
      <c r="AM521" s="36"/>
      <c r="AN521" s="36"/>
      <c r="AO521" s="36"/>
      <c r="AP521" s="51"/>
      <c r="AQ521" s="36"/>
      <c r="AR521" s="36"/>
      <c r="AS521" s="36"/>
      <c r="AT521" s="51"/>
      <c r="AU521" s="36"/>
      <c r="AV521" s="36"/>
      <c r="AW521" s="36"/>
      <c r="AX521" s="49"/>
    </row>
    <row r="522" spans="1:50" ht="10.199999999999999" customHeight="1" x14ac:dyDescent="0.25">
      <c r="A522" s="14">
        <v>11</v>
      </c>
      <c r="B522" s="103">
        <v>39156</v>
      </c>
      <c r="C522" s="103">
        <v>39149</v>
      </c>
      <c r="D522" s="36"/>
      <c r="E522" s="36"/>
      <c r="F522" s="51"/>
      <c r="G522" s="36"/>
      <c r="H522" s="36"/>
      <c r="I522" s="36"/>
      <c r="J522" s="51"/>
      <c r="K522" s="36"/>
      <c r="L522" s="36">
        <v>-120</v>
      </c>
      <c r="M522" s="36">
        <v>-250</v>
      </c>
      <c r="N522" s="51">
        <f t="shared" si="20"/>
        <v>-185</v>
      </c>
      <c r="O522" s="36"/>
      <c r="P522" s="36">
        <v>-238</v>
      </c>
      <c r="Q522" s="36"/>
      <c r="R522" s="51">
        <f t="shared" si="21"/>
        <v>-238</v>
      </c>
      <c r="S522" s="36"/>
      <c r="T522" s="36">
        <v>-250</v>
      </c>
      <c r="U522" s="36"/>
      <c r="V522" s="51">
        <f t="shared" si="22"/>
        <v>-250</v>
      </c>
      <c r="W522" s="36"/>
      <c r="X522" s="36">
        <v>-250</v>
      </c>
      <c r="Y522" s="36">
        <v>-200</v>
      </c>
      <c r="Z522" s="51">
        <f t="shared" si="23"/>
        <v>-225</v>
      </c>
      <c r="AA522" s="36"/>
      <c r="AB522" s="36">
        <v>-250</v>
      </c>
      <c r="AC522" s="36"/>
      <c r="AD522" s="51">
        <f>AVERAGE(AB522,AC522)</f>
        <v>-250</v>
      </c>
      <c r="AE522" s="36"/>
      <c r="AF522" s="36">
        <v>-150</v>
      </c>
      <c r="AG522" s="36"/>
      <c r="AH522" s="51">
        <f>AVERAGE(AF522,AG522)</f>
        <v>-150</v>
      </c>
      <c r="AI522" s="36"/>
      <c r="AJ522" s="36">
        <v>-150</v>
      </c>
      <c r="AK522" s="36"/>
      <c r="AL522" s="51">
        <f>AVERAGE(AJ522,AK522)</f>
        <v>-150</v>
      </c>
      <c r="AM522" s="36"/>
      <c r="AN522" s="36"/>
      <c r="AO522" s="36"/>
      <c r="AP522" s="51"/>
      <c r="AQ522" s="36"/>
      <c r="AR522" s="36"/>
      <c r="AS522" s="36"/>
      <c r="AT522" s="51"/>
      <c r="AU522" s="36"/>
      <c r="AV522" s="36"/>
      <c r="AW522" s="36"/>
      <c r="AX522" s="49"/>
    </row>
    <row r="523" spans="1:50" ht="10.199999999999999" customHeight="1" x14ac:dyDescent="0.25">
      <c r="A523" s="14">
        <v>12</v>
      </c>
      <c r="B523" s="103">
        <v>39163</v>
      </c>
      <c r="C523" s="103">
        <v>39156</v>
      </c>
      <c r="D523" s="36"/>
      <c r="E523" s="36"/>
      <c r="F523" s="51"/>
      <c r="G523" s="36"/>
      <c r="H523" s="36"/>
      <c r="I523" s="36"/>
      <c r="J523" s="51"/>
      <c r="K523" s="36"/>
      <c r="L523" s="36">
        <v>-150</v>
      </c>
      <c r="M523" s="36">
        <v>-238</v>
      </c>
      <c r="N523" s="51">
        <f t="shared" si="20"/>
        <v>-194</v>
      </c>
      <c r="O523" s="36"/>
      <c r="P523" s="36">
        <v>-217</v>
      </c>
      <c r="Q523" s="36">
        <v>-325</v>
      </c>
      <c r="R523" s="51">
        <f t="shared" si="21"/>
        <v>-271</v>
      </c>
      <c r="S523" s="36"/>
      <c r="T523" s="36"/>
      <c r="U523" s="36"/>
      <c r="V523" s="51"/>
      <c r="W523" s="36"/>
      <c r="X523" s="36"/>
      <c r="Y523" s="36">
        <v>-200</v>
      </c>
      <c r="Z523" s="51">
        <f t="shared" si="23"/>
        <v>-200</v>
      </c>
      <c r="AA523" s="36"/>
      <c r="AB523" s="36"/>
      <c r="AC523" s="36"/>
      <c r="AD523" s="51"/>
      <c r="AE523" s="36"/>
      <c r="AF523" s="36"/>
      <c r="AG523" s="36"/>
      <c r="AH523" s="51"/>
      <c r="AI523" s="36"/>
      <c r="AJ523" s="36"/>
      <c r="AK523" s="36"/>
      <c r="AL523" s="51"/>
      <c r="AM523" s="36"/>
      <c r="AN523" s="36"/>
      <c r="AO523" s="36"/>
      <c r="AP523" s="51"/>
      <c r="AQ523" s="36"/>
      <c r="AR523" s="36"/>
      <c r="AS523" s="36"/>
      <c r="AT523" s="51"/>
      <c r="AU523" s="36"/>
      <c r="AV523" s="36"/>
      <c r="AW523" s="36"/>
      <c r="AX523" s="49"/>
    </row>
    <row r="524" spans="1:50" ht="10.199999999999999" customHeight="1" x14ac:dyDescent="0.25">
      <c r="A524" s="14">
        <v>13</v>
      </c>
      <c r="B524" s="103">
        <v>39170</v>
      </c>
      <c r="C524" s="103">
        <v>39163</v>
      </c>
      <c r="D524" s="36"/>
      <c r="E524" s="36"/>
      <c r="F524" s="51"/>
      <c r="G524" s="36"/>
      <c r="H524" s="36"/>
      <c r="I524" s="36"/>
      <c r="J524" s="51"/>
      <c r="K524" s="36"/>
      <c r="L524" s="36"/>
      <c r="M524" s="36"/>
      <c r="N524" s="51"/>
      <c r="O524" s="36"/>
      <c r="P524" s="36">
        <v>-306</v>
      </c>
      <c r="Q524" s="36">
        <v>-313</v>
      </c>
      <c r="R524" s="51">
        <f t="shared" si="21"/>
        <v>-309.5</v>
      </c>
      <c r="S524" s="36"/>
      <c r="T524" s="36">
        <v>-283</v>
      </c>
      <c r="U524" s="36">
        <v>-200</v>
      </c>
      <c r="V524" s="51">
        <f t="shared" si="22"/>
        <v>-241.5</v>
      </c>
      <c r="W524" s="36"/>
      <c r="X524" s="36">
        <v>-275</v>
      </c>
      <c r="Y524" s="36"/>
      <c r="Z524" s="51">
        <f t="shared" si="23"/>
        <v>-275</v>
      </c>
      <c r="AA524" s="36"/>
      <c r="AB524" s="36">
        <v>-258</v>
      </c>
      <c r="AC524" s="36"/>
      <c r="AD524" s="51">
        <f t="shared" ref="AD524:AD540" si="24">AVERAGE(AB524,AC524)</f>
        <v>-258</v>
      </c>
      <c r="AE524" s="36"/>
      <c r="AF524" s="36">
        <v>-200</v>
      </c>
      <c r="AG524" s="36"/>
      <c r="AH524" s="51">
        <f t="shared" ref="AH524:AH544" si="25">AVERAGE(AF524,AG524)</f>
        <v>-200</v>
      </c>
      <c r="AI524" s="36"/>
      <c r="AJ524" s="36">
        <v>-200</v>
      </c>
      <c r="AK524" s="36"/>
      <c r="AL524" s="51">
        <f t="shared" ref="AL524:AL549" si="26">AVERAGE(AJ524,AK524)</f>
        <v>-200</v>
      </c>
      <c r="AM524" s="36"/>
      <c r="AN524" s="36"/>
      <c r="AO524" s="36"/>
      <c r="AP524" s="51"/>
      <c r="AQ524" s="36"/>
      <c r="AR524" s="36"/>
      <c r="AS524" s="36"/>
      <c r="AT524" s="51"/>
      <c r="AU524" s="36"/>
      <c r="AV524" s="36"/>
      <c r="AW524" s="36"/>
      <c r="AX524" s="49"/>
    </row>
    <row r="525" spans="1:50" ht="10.199999999999999" customHeight="1" x14ac:dyDescent="0.25">
      <c r="A525" s="14">
        <v>14</v>
      </c>
      <c r="B525" s="103">
        <v>39177</v>
      </c>
      <c r="C525" s="103">
        <v>39170</v>
      </c>
      <c r="D525" s="36"/>
      <c r="E525" s="36"/>
      <c r="F525" s="51"/>
      <c r="G525" s="36"/>
      <c r="H525" s="36"/>
      <c r="I525" s="36"/>
      <c r="J525" s="51"/>
      <c r="K525" s="36"/>
      <c r="L525" s="36"/>
      <c r="M525" s="36"/>
      <c r="N525" s="51"/>
      <c r="O525" s="36"/>
      <c r="P525" s="36">
        <v>-246</v>
      </c>
      <c r="Q525" s="36">
        <v>-307</v>
      </c>
      <c r="R525" s="51">
        <f t="shared" si="21"/>
        <v>-276.5</v>
      </c>
      <c r="S525" s="36"/>
      <c r="T525" s="36">
        <v>-267</v>
      </c>
      <c r="U525" s="36">
        <v>-200</v>
      </c>
      <c r="V525" s="51">
        <f t="shared" si="22"/>
        <v>-233.5</v>
      </c>
      <c r="W525" s="36"/>
      <c r="X525" s="36">
        <v>-200</v>
      </c>
      <c r="Y525" s="36"/>
      <c r="Z525" s="51">
        <f t="shared" si="23"/>
        <v>-200</v>
      </c>
      <c r="AA525" s="36"/>
      <c r="AB525" s="36">
        <v>-213</v>
      </c>
      <c r="AC525" s="36"/>
      <c r="AD525" s="51">
        <f t="shared" si="24"/>
        <v>-213</v>
      </c>
      <c r="AE525" s="36"/>
      <c r="AF525" s="36">
        <v>-200</v>
      </c>
      <c r="AG525" s="36">
        <v>-150</v>
      </c>
      <c r="AH525" s="51">
        <f t="shared" si="25"/>
        <v>-175</v>
      </c>
      <c r="AI525" s="36"/>
      <c r="AJ525" s="36">
        <v>-200</v>
      </c>
      <c r="AK525" s="36">
        <v>-150</v>
      </c>
      <c r="AL525" s="51">
        <f t="shared" si="26"/>
        <v>-175</v>
      </c>
      <c r="AM525" s="36"/>
      <c r="AN525" s="36"/>
      <c r="AO525" s="36">
        <v>100</v>
      </c>
      <c r="AP525" s="51">
        <f t="shared" ref="AP525:AP553" si="27">AVERAGE(AN525,AO525)</f>
        <v>100</v>
      </c>
      <c r="AQ525" s="36"/>
      <c r="AR525" s="36"/>
      <c r="AS525" s="36"/>
      <c r="AT525" s="51"/>
      <c r="AU525" s="36"/>
      <c r="AV525" s="36"/>
      <c r="AW525" s="36"/>
      <c r="AX525" s="49"/>
    </row>
    <row r="526" spans="1:50" ht="10.199999999999999" customHeight="1" x14ac:dyDescent="0.25">
      <c r="A526" s="14">
        <v>15</v>
      </c>
      <c r="B526" s="103">
        <v>39184</v>
      </c>
      <c r="C526" s="103">
        <v>39177</v>
      </c>
      <c r="D526" s="36"/>
      <c r="E526" s="36"/>
      <c r="F526" s="51"/>
      <c r="G526" s="36"/>
      <c r="H526" s="36"/>
      <c r="I526" s="36"/>
      <c r="J526" s="51"/>
      <c r="K526" s="36"/>
      <c r="L526" s="36"/>
      <c r="M526" s="36"/>
      <c r="N526" s="51"/>
      <c r="O526" s="36"/>
      <c r="P526" s="36">
        <v>-270</v>
      </c>
      <c r="Q526" s="36">
        <v>-225</v>
      </c>
      <c r="R526" s="51">
        <f t="shared" si="21"/>
        <v>-247.5</v>
      </c>
      <c r="S526" s="36"/>
      <c r="T526" s="36">
        <v>-281</v>
      </c>
      <c r="U526" s="36">
        <v>-225</v>
      </c>
      <c r="V526" s="51">
        <f t="shared" si="22"/>
        <v>-253</v>
      </c>
      <c r="W526" s="36"/>
      <c r="X526" s="36">
        <v>-200</v>
      </c>
      <c r="Y526" s="36">
        <v>-225</v>
      </c>
      <c r="Z526" s="51">
        <f t="shared" si="23"/>
        <v>-212.5</v>
      </c>
      <c r="AA526" s="36"/>
      <c r="AB526" s="36">
        <v>-192</v>
      </c>
      <c r="AC526" s="36"/>
      <c r="AD526" s="51">
        <f t="shared" si="24"/>
        <v>-192</v>
      </c>
      <c r="AE526" s="36"/>
      <c r="AF526" s="36">
        <v>-163</v>
      </c>
      <c r="AG526" s="36">
        <v>-150</v>
      </c>
      <c r="AH526" s="51">
        <f t="shared" si="25"/>
        <v>-156.5</v>
      </c>
      <c r="AI526" s="36"/>
      <c r="AJ526" s="36">
        <v>-150</v>
      </c>
      <c r="AK526" s="36">
        <v>-125</v>
      </c>
      <c r="AL526" s="51">
        <f t="shared" si="26"/>
        <v>-137.5</v>
      </c>
      <c r="AM526" s="36"/>
      <c r="AN526" s="36"/>
      <c r="AO526" s="36">
        <v>100</v>
      </c>
      <c r="AP526" s="51">
        <f t="shared" si="27"/>
        <v>100</v>
      </c>
      <c r="AQ526" s="36"/>
      <c r="AR526" s="36"/>
      <c r="AS526" s="36"/>
      <c r="AT526" s="51"/>
      <c r="AU526" s="36"/>
      <c r="AV526" s="36"/>
      <c r="AW526" s="36"/>
      <c r="AX526" s="49"/>
    </row>
    <row r="527" spans="1:50" ht="10.199999999999999" customHeight="1" x14ac:dyDescent="0.25">
      <c r="A527" s="14">
        <v>16</v>
      </c>
      <c r="B527" s="103">
        <v>39191</v>
      </c>
      <c r="C527" s="103">
        <v>39184</v>
      </c>
      <c r="D527" s="36"/>
      <c r="E527" s="36"/>
      <c r="F527" s="51"/>
      <c r="G527" s="36"/>
      <c r="H527" s="36"/>
      <c r="I527" s="36"/>
      <c r="J527" s="51"/>
      <c r="K527" s="36"/>
      <c r="L527" s="36"/>
      <c r="M527" s="36"/>
      <c r="N527" s="51"/>
      <c r="O527" s="36"/>
      <c r="P527" s="36">
        <v>-281</v>
      </c>
      <c r="Q527" s="36">
        <v>-288</v>
      </c>
      <c r="R527" s="51">
        <f t="shared" si="21"/>
        <v>-284.5</v>
      </c>
      <c r="S527" s="36"/>
      <c r="T527" s="36">
        <v>-294</v>
      </c>
      <c r="U527" s="36">
        <v>-225</v>
      </c>
      <c r="V527" s="51">
        <f t="shared" si="22"/>
        <v>-259.5</v>
      </c>
      <c r="W527" s="36"/>
      <c r="X527" s="36">
        <v>-250</v>
      </c>
      <c r="Y527" s="36">
        <v>-225</v>
      </c>
      <c r="Z527" s="51">
        <f t="shared" si="23"/>
        <v>-237.5</v>
      </c>
      <c r="AA527" s="36"/>
      <c r="AB527" s="36">
        <v>-192</v>
      </c>
      <c r="AC527" s="36"/>
      <c r="AD527" s="51">
        <f t="shared" si="24"/>
        <v>-192</v>
      </c>
      <c r="AE527" s="36"/>
      <c r="AF527" s="36">
        <v>-163</v>
      </c>
      <c r="AG527" s="36">
        <v>-150</v>
      </c>
      <c r="AH527" s="51">
        <f t="shared" si="25"/>
        <v>-156.5</v>
      </c>
      <c r="AI527" s="36"/>
      <c r="AJ527" s="36">
        <v>-150</v>
      </c>
      <c r="AK527" s="36">
        <v>-125</v>
      </c>
      <c r="AL527" s="51">
        <f t="shared" si="26"/>
        <v>-137.5</v>
      </c>
      <c r="AM527" s="36"/>
      <c r="AN527" s="36">
        <v>300</v>
      </c>
      <c r="AO527" s="36">
        <v>100</v>
      </c>
      <c r="AP527" s="51">
        <f t="shared" si="27"/>
        <v>200</v>
      </c>
      <c r="AQ527" s="36"/>
      <c r="AR527" s="36"/>
      <c r="AS527" s="36"/>
      <c r="AT527" s="51"/>
      <c r="AU527" s="36"/>
      <c r="AV527" s="36"/>
      <c r="AW527" s="36"/>
      <c r="AX527" s="49"/>
    </row>
    <row r="528" spans="1:50" ht="10.199999999999999" customHeight="1" x14ac:dyDescent="0.25">
      <c r="A528" s="14">
        <v>17</v>
      </c>
      <c r="B528" s="103">
        <v>39198</v>
      </c>
      <c r="C528" s="103">
        <v>39191</v>
      </c>
      <c r="D528" s="36"/>
      <c r="E528" s="36"/>
      <c r="F528" s="51"/>
      <c r="G528" s="36"/>
      <c r="H528" s="36"/>
      <c r="I528" s="36"/>
      <c r="J528" s="51"/>
      <c r="K528" s="36"/>
      <c r="L528" s="36"/>
      <c r="M528" s="36"/>
      <c r="N528" s="51"/>
      <c r="O528" s="36"/>
      <c r="P528" s="36"/>
      <c r="Q528" s="36"/>
      <c r="R528" s="51"/>
      <c r="S528" s="36"/>
      <c r="T528" s="36">
        <v>-267</v>
      </c>
      <c r="U528" s="36">
        <v>-329</v>
      </c>
      <c r="V528" s="51">
        <f t="shared" si="22"/>
        <v>-298</v>
      </c>
      <c r="W528" s="36"/>
      <c r="X528" s="36">
        <v>-238</v>
      </c>
      <c r="Y528" s="36">
        <v>-225</v>
      </c>
      <c r="Z528" s="51">
        <f t="shared" si="23"/>
        <v>-231.5</v>
      </c>
      <c r="AA528" s="36"/>
      <c r="AB528" s="36">
        <v>-206</v>
      </c>
      <c r="AC528" s="36"/>
      <c r="AD528" s="51">
        <f t="shared" si="24"/>
        <v>-206</v>
      </c>
      <c r="AE528" s="36"/>
      <c r="AF528" s="36">
        <v>-163</v>
      </c>
      <c r="AG528" s="36">
        <v>-150</v>
      </c>
      <c r="AH528" s="51">
        <f t="shared" si="25"/>
        <v>-156.5</v>
      </c>
      <c r="AI528" s="36"/>
      <c r="AJ528" s="36">
        <v>-163</v>
      </c>
      <c r="AK528" s="36">
        <v>-100</v>
      </c>
      <c r="AL528" s="51">
        <f t="shared" si="26"/>
        <v>-131.5</v>
      </c>
      <c r="AM528" s="36"/>
      <c r="AN528" s="36">
        <v>300</v>
      </c>
      <c r="AO528" s="36">
        <v>100</v>
      </c>
      <c r="AP528" s="51">
        <f t="shared" si="27"/>
        <v>200</v>
      </c>
      <c r="AQ528" s="36"/>
      <c r="AR528" s="36"/>
      <c r="AS528" s="36"/>
      <c r="AT528" s="51"/>
      <c r="AU528" s="36"/>
      <c r="AV528" s="36"/>
      <c r="AW528" s="36"/>
      <c r="AX528" s="49"/>
    </row>
    <row r="529" spans="1:50" ht="10.199999999999999" customHeight="1" x14ac:dyDescent="0.25">
      <c r="A529" s="14">
        <v>18</v>
      </c>
      <c r="B529" s="103">
        <v>39205</v>
      </c>
      <c r="C529" s="103">
        <v>39198</v>
      </c>
      <c r="D529" s="36"/>
      <c r="E529" s="36"/>
      <c r="F529" s="51"/>
      <c r="G529" s="36"/>
      <c r="H529" s="36"/>
      <c r="I529" s="36"/>
      <c r="J529" s="51"/>
      <c r="K529" s="36"/>
      <c r="L529" s="36"/>
      <c r="M529" s="36"/>
      <c r="N529" s="51"/>
      <c r="O529" s="36"/>
      <c r="P529" s="36"/>
      <c r="Q529" s="36"/>
      <c r="R529" s="51"/>
      <c r="S529" s="36"/>
      <c r="T529" s="36">
        <v>-254</v>
      </c>
      <c r="U529" s="36">
        <v>-250</v>
      </c>
      <c r="V529" s="51">
        <f t="shared" si="22"/>
        <v>-252</v>
      </c>
      <c r="W529" s="36"/>
      <c r="X529" s="36">
        <v>-213</v>
      </c>
      <c r="Y529" s="36">
        <v>-225</v>
      </c>
      <c r="Z529" s="51">
        <f t="shared" si="23"/>
        <v>-219</v>
      </c>
      <c r="AA529" s="36"/>
      <c r="AB529" s="36">
        <v>-217</v>
      </c>
      <c r="AC529" s="36"/>
      <c r="AD529" s="51">
        <f t="shared" si="24"/>
        <v>-217</v>
      </c>
      <c r="AE529" s="36"/>
      <c r="AF529" s="36">
        <v>-200</v>
      </c>
      <c r="AG529" s="36">
        <v>-150</v>
      </c>
      <c r="AH529" s="51">
        <f t="shared" si="25"/>
        <v>-175</v>
      </c>
      <c r="AI529" s="36"/>
      <c r="AJ529" s="36">
        <v>-200</v>
      </c>
      <c r="AK529" s="36">
        <v>-100</v>
      </c>
      <c r="AL529" s="51">
        <f t="shared" si="26"/>
        <v>-150</v>
      </c>
      <c r="AM529" s="36"/>
      <c r="AN529" s="36">
        <v>300</v>
      </c>
      <c r="AO529" s="36">
        <v>200</v>
      </c>
      <c r="AP529" s="51">
        <f t="shared" si="27"/>
        <v>250</v>
      </c>
      <c r="AQ529" s="36"/>
      <c r="AR529" s="36"/>
      <c r="AS529" s="36">
        <v>75</v>
      </c>
      <c r="AT529" s="51">
        <f>AVERAGE(AR529,AS529)</f>
        <v>75</v>
      </c>
      <c r="AU529" s="36"/>
      <c r="AV529" s="36"/>
      <c r="AW529" s="36"/>
      <c r="AX529" s="49"/>
    </row>
    <row r="530" spans="1:50" ht="10.199999999999999" customHeight="1" x14ac:dyDescent="0.25">
      <c r="A530" s="14">
        <v>19</v>
      </c>
      <c r="B530" s="103">
        <v>39212</v>
      </c>
      <c r="C530" s="103">
        <v>39205</v>
      </c>
      <c r="D530" s="36"/>
      <c r="E530" s="36"/>
      <c r="F530" s="51"/>
      <c r="G530" s="36"/>
      <c r="H530" s="36"/>
      <c r="I530" s="36"/>
      <c r="J530" s="51"/>
      <c r="K530" s="36"/>
      <c r="L530" s="36"/>
      <c r="M530" s="36"/>
      <c r="N530" s="51"/>
      <c r="O530" s="36"/>
      <c r="P530" s="36"/>
      <c r="Q530" s="36"/>
      <c r="R530" s="51"/>
      <c r="S530" s="36"/>
      <c r="T530" s="36">
        <v>-345</v>
      </c>
      <c r="U530" s="36">
        <v>-300</v>
      </c>
      <c r="V530" s="51">
        <f t="shared" si="22"/>
        <v>-322.5</v>
      </c>
      <c r="W530" s="36"/>
      <c r="X530" s="36">
        <v>-272</v>
      </c>
      <c r="Y530" s="36">
        <v>-250</v>
      </c>
      <c r="Z530" s="51">
        <f t="shared" si="23"/>
        <v>-261</v>
      </c>
      <c r="AA530" s="36"/>
      <c r="AB530" s="36">
        <v>-258</v>
      </c>
      <c r="AC530" s="36"/>
      <c r="AD530" s="51">
        <f t="shared" si="24"/>
        <v>-258</v>
      </c>
      <c r="AE530" s="36"/>
      <c r="AF530" s="36">
        <v>-200</v>
      </c>
      <c r="AG530" s="36"/>
      <c r="AH530" s="51">
        <f t="shared" si="25"/>
        <v>-200</v>
      </c>
      <c r="AI530" s="36"/>
      <c r="AJ530" s="36">
        <v>-200</v>
      </c>
      <c r="AK530" s="36"/>
      <c r="AL530" s="51">
        <f t="shared" si="26"/>
        <v>-200</v>
      </c>
      <c r="AM530" s="36"/>
      <c r="AN530" s="36">
        <v>300</v>
      </c>
      <c r="AO530" s="36">
        <v>200</v>
      </c>
      <c r="AP530" s="51">
        <f t="shared" si="27"/>
        <v>250</v>
      </c>
      <c r="AQ530" s="36"/>
      <c r="AR530" s="36"/>
      <c r="AS530" s="36"/>
      <c r="AT530" s="51"/>
      <c r="AU530" s="36"/>
      <c r="AV530" s="36"/>
      <c r="AW530" s="36"/>
      <c r="AX530" s="49"/>
    </row>
    <row r="531" spans="1:50" ht="10.199999999999999" customHeight="1" x14ac:dyDescent="0.25">
      <c r="A531" s="14">
        <v>20</v>
      </c>
      <c r="B531" s="103">
        <v>39219</v>
      </c>
      <c r="C531" s="103">
        <v>39212</v>
      </c>
      <c r="D531" s="36"/>
      <c r="E531" s="36"/>
      <c r="F531" s="51"/>
      <c r="G531" s="36"/>
      <c r="H531" s="36"/>
      <c r="I531" s="36"/>
      <c r="J531" s="51"/>
      <c r="K531" s="36"/>
      <c r="L531" s="36"/>
      <c r="M531" s="36"/>
      <c r="N531" s="51"/>
      <c r="O531" s="36"/>
      <c r="P531" s="36"/>
      <c r="Q531" s="36"/>
      <c r="R531" s="51"/>
      <c r="S531" s="36"/>
      <c r="T531" s="36">
        <v>-269</v>
      </c>
      <c r="U531" s="36">
        <v>-250</v>
      </c>
      <c r="V531" s="51">
        <f t="shared" si="22"/>
        <v>-259.5</v>
      </c>
      <c r="W531" s="36"/>
      <c r="X531" s="36">
        <v>-269</v>
      </c>
      <c r="Y531" s="36">
        <v>-250</v>
      </c>
      <c r="Z531" s="51">
        <f t="shared" si="23"/>
        <v>-259.5</v>
      </c>
      <c r="AA531" s="36"/>
      <c r="AB531" s="36">
        <v>-250</v>
      </c>
      <c r="AC531" s="36"/>
      <c r="AD531" s="51">
        <f t="shared" si="24"/>
        <v>-250</v>
      </c>
      <c r="AE531" s="36"/>
      <c r="AF531" s="36">
        <v>-200</v>
      </c>
      <c r="AG531" s="36"/>
      <c r="AH531" s="51">
        <f t="shared" si="25"/>
        <v>-200</v>
      </c>
      <c r="AI531" s="36"/>
      <c r="AJ531" s="36">
        <v>-50</v>
      </c>
      <c r="AK531" s="36">
        <v>-125</v>
      </c>
      <c r="AL531" s="51">
        <f t="shared" si="26"/>
        <v>-87.5</v>
      </c>
      <c r="AM531" s="36"/>
      <c r="AN531" s="36">
        <v>300</v>
      </c>
      <c r="AO531" s="36">
        <v>200</v>
      </c>
      <c r="AP531" s="51">
        <f t="shared" si="27"/>
        <v>250</v>
      </c>
      <c r="AQ531" s="36"/>
      <c r="AR531" s="36"/>
      <c r="AS531" s="36"/>
      <c r="AT531" s="51"/>
      <c r="AU531" s="36"/>
      <c r="AV531" s="36"/>
      <c r="AW531" s="36"/>
      <c r="AX531" s="49"/>
    </row>
    <row r="532" spans="1:50" ht="10.199999999999999" customHeight="1" x14ac:dyDescent="0.25">
      <c r="A532" s="14">
        <v>21</v>
      </c>
      <c r="B532" s="103">
        <v>39226</v>
      </c>
      <c r="C532" s="103">
        <v>39219</v>
      </c>
      <c r="D532" s="36"/>
      <c r="E532" s="36"/>
      <c r="F532" s="51"/>
      <c r="G532" s="36"/>
      <c r="H532" s="36"/>
      <c r="I532" s="36"/>
      <c r="J532" s="51"/>
      <c r="K532" s="36"/>
      <c r="L532" s="36"/>
      <c r="M532" s="36"/>
      <c r="N532" s="51"/>
      <c r="O532" s="36"/>
      <c r="P532" s="36"/>
      <c r="Q532" s="36"/>
      <c r="R532" s="51"/>
      <c r="S532" s="36"/>
      <c r="T532" s="36"/>
      <c r="U532" s="36"/>
      <c r="V532" s="51"/>
      <c r="W532" s="36"/>
      <c r="X532" s="36">
        <v>-252</v>
      </c>
      <c r="Y532" s="36">
        <v>-163</v>
      </c>
      <c r="Z532" s="51">
        <f t="shared" si="23"/>
        <v>-207.5</v>
      </c>
      <c r="AA532" s="36"/>
      <c r="AB532" s="36">
        <v>-225</v>
      </c>
      <c r="AC532" s="36"/>
      <c r="AD532" s="51">
        <f t="shared" si="24"/>
        <v>-225</v>
      </c>
      <c r="AE532" s="36"/>
      <c r="AF532" s="36">
        <v>-200</v>
      </c>
      <c r="AG532" s="36"/>
      <c r="AH532" s="51">
        <f t="shared" si="25"/>
        <v>-200</v>
      </c>
      <c r="AI532" s="36"/>
      <c r="AJ532" s="36">
        <v>-200</v>
      </c>
      <c r="AK532" s="36">
        <v>-88</v>
      </c>
      <c r="AL532" s="51">
        <f t="shared" si="26"/>
        <v>-144</v>
      </c>
      <c r="AM532" s="36"/>
      <c r="AN532" s="36">
        <v>275</v>
      </c>
      <c r="AO532" s="36"/>
      <c r="AP532" s="51">
        <f t="shared" si="27"/>
        <v>275</v>
      </c>
      <c r="AQ532" s="36"/>
      <c r="AR532" s="36"/>
      <c r="AS532" s="36"/>
      <c r="AT532" s="51"/>
      <c r="AU532" s="36"/>
      <c r="AV532" s="36"/>
      <c r="AW532" s="36"/>
      <c r="AX532" s="49"/>
    </row>
    <row r="533" spans="1:50" ht="10.199999999999999" customHeight="1" x14ac:dyDescent="0.25">
      <c r="A533" s="14">
        <v>22</v>
      </c>
      <c r="B533" s="103">
        <v>39233</v>
      </c>
      <c r="C533" s="103">
        <v>39226</v>
      </c>
      <c r="D533" s="36"/>
      <c r="E533" s="36"/>
      <c r="F533" s="51"/>
      <c r="G533" s="36"/>
      <c r="H533" s="36"/>
      <c r="I533" s="36"/>
      <c r="J533" s="51"/>
      <c r="K533" s="36"/>
      <c r="L533" s="36"/>
      <c r="M533" s="36"/>
      <c r="N533" s="51"/>
      <c r="O533" s="36"/>
      <c r="P533" s="36"/>
      <c r="Q533" s="36"/>
      <c r="R533" s="51"/>
      <c r="S533" s="36"/>
      <c r="T533" s="36"/>
      <c r="U533" s="36"/>
      <c r="V533" s="51"/>
      <c r="W533" s="36"/>
      <c r="X533" s="36">
        <v>-254</v>
      </c>
      <c r="Y533" s="36">
        <v>-150</v>
      </c>
      <c r="Z533" s="51">
        <f t="shared" si="23"/>
        <v>-202</v>
      </c>
      <c r="AA533" s="36"/>
      <c r="AB533" s="36">
        <v>-211</v>
      </c>
      <c r="AC533" s="36"/>
      <c r="AD533" s="51">
        <f t="shared" si="24"/>
        <v>-211</v>
      </c>
      <c r="AE533" s="36"/>
      <c r="AF533" s="36">
        <v>-200</v>
      </c>
      <c r="AG533" s="36"/>
      <c r="AH533" s="51">
        <f t="shared" si="25"/>
        <v>-200</v>
      </c>
      <c r="AI533" s="36"/>
      <c r="AJ533" s="36">
        <v>-200</v>
      </c>
      <c r="AK533" s="36">
        <v>-69</v>
      </c>
      <c r="AL533" s="51">
        <f t="shared" si="26"/>
        <v>-134.5</v>
      </c>
      <c r="AM533" s="36"/>
      <c r="AN533" s="36">
        <v>313</v>
      </c>
      <c r="AO533" s="36"/>
      <c r="AP533" s="51">
        <f t="shared" si="27"/>
        <v>313</v>
      </c>
      <c r="AQ533" s="36"/>
      <c r="AR533" s="36">
        <v>100</v>
      </c>
      <c r="AS533" s="36"/>
      <c r="AT533" s="51">
        <f>AVERAGE(AR533,AS533)</f>
        <v>100</v>
      </c>
      <c r="AU533" s="36"/>
      <c r="AV533" s="36"/>
      <c r="AW533" s="36"/>
      <c r="AX533" s="51"/>
    </row>
    <row r="534" spans="1:50" ht="10.199999999999999" customHeight="1" x14ac:dyDescent="0.25">
      <c r="A534" s="14">
        <v>23</v>
      </c>
      <c r="B534" s="103">
        <v>39240</v>
      </c>
      <c r="C534" s="103">
        <v>39233</v>
      </c>
      <c r="D534" s="36"/>
      <c r="E534" s="36"/>
      <c r="F534" s="51"/>
      <c r="G534" s="36"/>
      <c r="H534" s="36"/>
      <c r="I534" s="36"/>
      <c r="J534" s="51"/>
      <c r="K534" s="36"/>
      <c r="L534" s="36"/>
      <c r="M534" s="36"/>
      <c r="N534" s="51"/>
      <c r="O534" s="36"/>
      <c r="P534" s="36"/>
      <c r="Q534" s="36"/>
      <c r="R534" s="51"/>
      <c r="S534" s="36"/>
      <c r="T534" s="36"/>
      <c r="U534" s="36"/>
      <c r="V534" s="51"/>
      <c r="W534" s="36"/>
      <c r="X534" s="36">
        <v>-328</v>
      </c>
      <c r="Y534" s="36">
        <v>-88</v>
      </c>
      <c r="Z534" s="51">
        <f t="shared" si="23"/>
        <v>-208</v>
      </c>
      <c r="AA534" s="36"/>
      <c r="AB534" s="36">
        <v>-209</v>
      </c>
      <c r="AC534" s="36"/>
      <c r="AD534" s="51">
        <f t="shared" si="24"/>
        <v>-209</v>
      </c>
      <c r="AE534" s="36"/>
      <c r="AF534" s="36">
        <v>-200</v>
      </c>
      <c r="AG534" s="36"/>
      <c r="AH534" s="51">
        <f t="shared" si="25"/>
        <v>-200</v>
      </c>
      <c r="AI534" s="36"/>
      <c r="AJ534" s="36">
        <v>-200</v>
      </c>
      <c r="AK534" s="36">
        <v>-63</v>
      </c>
      <c r="AL534" s="51">
        <f t="shared" si="26"/>
        <v>-131.5</v>
      </c>
      <c r="AM534" s="36"/>
      <c r="AN534" s="36">
        <v>300</v>
      </c>
      <c r="AO534" s="36"/>
      <c r="AP534" s="51">
        <f t="shared" si="27"/>
        <v>300</v>
      </c>
      <c r="AQ534" s="36"/>
      <c r="AR534" s="36">
        <v>100</v>
      </c>
      <c r="AS534" s="36"/>
      <c r="AT534" s="51">
        <f>AVERAGE(AR534,AS534)</f>
        <v>100</v>
      </c>
      <c r="AU534" s="36"/>
      <c r="AV534" s="36"/>
      <c r="AW534" s="36"/>
      <c r="AX534" s="49"/>
    </row>
    <row r="535" spans="1:50" ht="10.199999999999999" customHeight="1" x14ac:dyDescent="0.25">
      <c r="A535" s="14">
        <v>24</v>
      </c>
      <c r="B535" s="103">
        <v>39247</v>
      </c>
      <c r="C535" s="103">
        <v>39240</v>
      </c>
      <c r="D535" s="36"/>
      <c r="E535" s="36"/>
      <c r="F535" s="51"/>
      <c r="G535" s="36"/>
      <c r="H535" s="36"/>
      <c r="I535" s="36"/>
      <c r="J535" s="51"/>
      <c r="K535" s="36"/>
      <c r="L535" s="36"/>
      <c r="M535" s="36"/>
      <c r="N535" s="51"/>
      <c r="O535" s="36"/>
      <c r="P535" s="36"/>
      <c r="Q535" s="36"/>
      <c r="R535" s="51"/>
      <c r="S535" s="36"/>
      <c r="T535" s="36"/>
      <c r="U535" s="36"/>
      <c r="V535" s="51"/>
      <c r="W535" s="36"/>
      <c r="X535" s="36">
        <v>-475</v>
      </c>
      <c r="Y535" s="36">
        <v>-100</v>
      </c>
      <c r="Z535" s="51">
        <f t="shared" si="23"/>
        <v>-287.5</v>
      </c>
      <c r="AA535" s="36"/>
      <c r="AB535" s="36">
        <v>-300</v>
      </c>
      <c r="AC535" s="36"/>
      <c r="AD535" s="51">
        <f t="shared" si="24"/>
        <v>-300</v>
      </c>
      <c r="AE535" s="36"/>
      <c r="AF535" s="36">
        <v>-275</v>
      </c>
      <c r="AG535" s="36"/>
      <c r="AH535" s="51">
        <f t="shared" si="25"/>
        <v>-275</v>
      </c>
      <c r="AI535" s="36"/>
      <c r="AJ535" s="36">
        <v>38</v>
      </c>
      <c r="AK535" s="36">
        <v>-38</v>
      </c>
      <c r="AL535" s="51">
        <f t="shared" si="26"/>
        <v>0</v>
      </c>
      <c r="AM535" s="36"/>
      <c r="AN535" s="36">
        <v>100</v>
      </c>
      <c r="AO535" s="36"/>
      <c r="AP535" s="51">
        <f t="shared" si="27"/>
        <v>100</v>
      </c>
      <c r="AQ535" s="36"/>
      <c r="AR535" s="36"/>
      <c r="AS535" s="36"/>
      <c r="AT535" s="51"/>
      <c r="AU535" s="36"/>
      <c r="AV535" s="36"/>
      <c r="AW535" s="36"/>
      <c r="AX535" s="49"/>
    </row>
    <row r="536" spans="1:50" ht="10.199999999999999" customHeight="1" x14ac:dyDescent="0.25">
      <c r="A536" s="14">
        <v>25</v>
      </c>
      <c r="B536" s="103">
        <v>39254</v>
      </c>
      <c r="C536" s="103">
        <v>39247</v>
      </c>
      <c r="D536" s="36"/>
      <c r="E536" s="36"/>
      <c r="F536" s="51"/>
      <c r="G536" s="36"/>
      <c r="H536" s="36"/>
      <c r="I536" s="36"/>
      <c r="J536" s="51"/>
      <c r="K536" s="36"/>
      <c r="L536" s="36"/>
      <c r="M536" s="36"/>
      <c r="N536" s="51"/>
      <c r="O536" s="36"/>
      <c r="P536" s="36"/>
      <c r="Q536" s="36"/>
      <c r="R536" s="51"/>
      <c r="S536" s="36"/>
      <c r="T536" s="36"/>
      <c r="U536" s="36"/>
      <c r="V536" s="51"/>
      <c r="W536" s="36"/>
      <c r="X536" s="36">
        <v>-417</v>
      </c>
      <c r="Y536" s="36">
        <v>-200</v>
      </c>
      <c r="Z536" s="51">
        <f t="shared" si="23"/>
        <v>-308.5</v>
      </c>
      <c r="AA536" s="36"/>
      <c r="AB536" s="36">
        <v>-400</v>
      </c>
      <c r="AC536" s="36"/>
      <c r="AD536" s="51">
        <f t="shared" si="24"/>
        <v>-400</v>
      </c>
      <c r="AE536" s="36"/>
      <c r="AF536" s="36">
        <v>-275</v>
      </c>
      <c r="AG536" s="36"/>
      <c r="AH536" s="51">
        <f t="shared" si="25"/>
        <v>-275</v>
      </c>
      <c r="AI536" s="36"/>
      <c r="AJ536" s="36">
        <v>-100</v>
      </c>
      <c r="AK536" s="36">
        <v>-75</v>
      </c>
      <c r="AL536" s="51">
        <f t="shared" si="26"/>
        <v>-87.5</v>
      </c>
      <c r="AM536" s="36"/>
      <c r="AN536" s="36">
        <v>200</v>
      </c>
      <c r="AO536" s="36">
        <v>50</v>
      </c>
      <c r="AP536" s="51">
        <f t="shared" si="27"/>
        <v>125</v>
      </c>
      <c r="AQ536" s="36"/>
      <c r="AR536" s="36"/>
      <c r="AS536" s="36"/>
      <c r="AT536" s="51"/>
      <c r="AU536" s="36"/>
      <c r="AV536" s="36"/>
      <c r="AW536" s="36"/>
      <c r="AX536" s="49"/>
    </row>
    <row r="537" spans="1:50" ht="10.199999999999999" customHeight="1" x14ac:dyDescent="0.25">
      <c r="A537" s="14">
        <v>26</v>
      </c>
      <c r="B537" s="103">
        <v>39261</v>
      </c>
      <c r="C537" s="103">
        <v>39254</v>
      </c>
      <c r="D537" s="36"/>
      <c r="E537" s="36"/>
      <c r="F537" s="51"/>
      <c r="G537" s="36"/>
      <c r="H537" s="36"/>
      <c r="I537" s="36"/>
      <c r="J537" s="51"/>
      <c r="K537" s="36"/>
      <c r="L537" s="36"/>
      <c r="M537" s="36"/>
      <c r="N537" s="51"/>
      <c r="O537" s="36"/>
      <c r="P537" s="36"/>
      <c r="Q537" s="36"/>
      <c r="R537" s="51"/>
      <c r="S537" s="36"/>
      <c r="T537" s="36"/>
      <c r="U537" s="36"/>
      <c r="V537" s="51"/>
      <c r="W537" s="36"/>
      <c r="X537" s="36"/>
      <c r="Y537" s="36"/>
      <c r="Z537" s="51"/>
      <c r="AA537" s="36"/>
      <c r="AB537" s="36">
        <v>-409</v>
      </c>
      <c r="AC537" s="36"/>
      <c r="AD537" s="51">
        <f t="shared" si="24"/>
        <v>-409</v>
      </c>
      <c r="AE537" s="36"/>
      <c r="AF537" s="36">
        <v>-300</v>
      </c>
      <c r="AG537" s="36"/>
      <c r="AH537" s="51">
        <f t="shared" si="25"/>
        <v>-300</v>
      </c>
      <c r="AI537" s="36"/>
      <c r="AJ537" s="36">
        <v>-250</v>
      </c>
      <c r="AK537" s="36">
        <v>-50</v>
      </c>
      <c r="AL537" s="51">
        <f t="shared" si="26"/>
        <v>-150</v>
      </c>
      <c r="AM537" s="36"/>
      <c r="AN537" s="36">
        <v>200</v>
      </c>
      <c r="AO537" s="36"/>
      <c r="AP537" s="51">
        <f t="shared" si="27"/>
        <v>200</v>
      </c>
      <c r="AQ537" s="36"/>
      <c r="AR537" s="36"/>
      <c r="AS537" s="36"/>
      <c r="AT537" s="51"/>
      <c r="AU537" s="36"/>
      <c r="AV537" s="36"/>
      <c r="AW537" s="36"/>
      <c r="AX537" s="49"/>
    </row>
    <row r="538" spans="1:50" ht="10.199999999999999" customHeight="1" x14ac:dyDescent="0.25">
      <c r="A538" s="14">
        <v>27</v>
      </c>
      <c r="B538" s="103">
        <v>39268</v>
      </c>
      <c r="C538" s="103">
        <v>39261</v>
      </c>
      <c r="D538" s="36"/>
      <c r="E538" s="36"/>
      <c r="F538" s="51"/>
      <c r="G538" s="36"/>
      <c r="H538" s="36"/>
      <c r="I538" s="36"/>
      <c r="J538" s="51"/>
      <c r="K538" s="36"/>
      <c r="L538" s="36"/>
      <c r="M538" s="36"/>
      <c r="N538" s="51"/>
      <c r="O538" s="36"/>
      <c r="P538" s="36"/>
      <c r="Q538" s="36"/>
      <c r="R538" s="51"/>
      <c r="S538" s="36"/>
      <c r="T538" s="36"/>
      <c r="U538" s="36"/>
      <c r="V538" s="51"/>
      <c r="W538" s="36"/>
      <c r="X538" s="36"/>
      <c r="Y538" s="36"/>
      <c r="Z538" s="51"/>
      <c r="AA538" s="36"/>
      <c r="AB538" s="36">
        <v>-422</v>
      </c>
      <c r="AC538" s="36">
        <v>-300</v>
      </c>
      <c r="AD538" s="51">
        <f t="shared" si="24"/>
        <v>-361</v>
      </c>
      <c r="AE538" s="36"/>
      <c r="AF538" s="36">
        <v>-300</v>
      </c>
      <c r="AG538" s="36"/>
      <c r="AH538" s="51">
        <f t="shared" si="25"/>
        <v>-300</v>
      </c>
      <c r="AI538" s="36"/>
      <c r="AJ538" s="36">
        <v>-175</v>
      </c>
      <c r="AK538" s="36">
        <v>-75</v>
      </c>
      <c r="AL538" s="51">
        <f t="shared" si="26"/>
        <v>-125</v>
      </c>
      <c r="AM538" s="36"/>
      <c r="AN538" s="36">
        <v>163</v>
      </c>
      <c r="AO538" s="36"/>
      <c r="AP538" s="51">
        <f t="shared" si="27"/>
        <v>163</v>
      </c>
      <c r="AQ538" s="36"/>
      <c r="AR538" s="36"/>
      <c r="AS538" s="36"/>
      <c r="AT538" s="51"/>
      <c r="AU538" s="36"/>
      <c r="AV538" s="36"/>
      <c r="AW538" s="36"/>
      <c r="AX538" s="49"/>
    </row>
    <row r="539" spans="1:50" ht="10.199999999999999" customHeight="1" x14ac:dyDescent="0.25">
      <c r="A539" s="14">
        <v>28</v>
      </c>
      <c r="B539" s="103">
        <v>39275</v>
      </c>
      <c r="C539" s="103">
        <v>39268</v>
      </c>
      <c r="D539" s="36"/>
      <c r="E539" s="36"/>
      <c r="F539" s="51"/>
      <c r="G539" s="36"/>
      <c r="H539" s="36"/>
      <c r="I539" s="36"/>
      <c r="J539" s="51"/>
      <c r="K539" s="36"/>
      <c r="L539" s="36"/>
      <c r="M539" s="36"/>
      <c r="N539" s="51"/>
      <c r="O539" s="36"/>
      <c r="P539" s="36"/>
      <c r="Q539" s="36"/>
      <c r="R539" s="51"/>
      <c r="S539" s="36"/>
      <c r="T539" s="36"/>
      <c r="U539" s="36"/>
      <c r="V539" s="51"/>
      <c r="W539" s="36"/>
      <c r="X539" s="36"/>
      <c r="Y539" s="36"/>
      <c r="Z539" s="51"/>
      <c r="AA539" s="36"/>
      <c r="AB539" s="36">
        <v>-222</v>
      </c>
      <c r="AC539" s="36">
        <v>-175</v>
      </c>
      <c r="AD539" s="51">
        <f t="shared" si="24"/>
        <v>-198.5</v>
      </c>
      <c r="AE539" s="36"/>
      <c r="AF539" s="36">
        <v>-183</v>
      </c>
      <c r="AG539" s="36"/>
      <c r="AH539" s="51">
        <f t="shared" si="25"/>
        <v>-183</v>
      </c>
      <c r="AI539" s="36"/>
      <c r="AJ539" s="36">
        <v>-250</v>
      </c>
      <c r="AK539" s="36">
        <v>-50</v>
      </c>
      <c r="AL539" s="51">
        <f t="shared" si="26"/>
        <v>-150</v>
      </c>
      <c r="AM539" s="36"/>
      <c r="AN539" s="36">
        <v>163</v>
      </c>
      <c r="AO539" s="36"/>
      <c r="AP539" s="51">
        <f t="shared" si="27"/>
        <v>163</v>
      </c>
      <c r="AQ539" s="36"/>
      <c r="AR539" s="36">
        <v>150</v>
      </c>
      <c r="AS539" s="36"/>
      <c r="AT539" s="51">
        <f>AVERAGE(AR539,AS539)</f>
        <v>150</v>
      </c>
      <c r="AU539" s="36"/>
      <c r="AV539" s="36"/>
      <c r="AW539" s="36"/>
      <c r="AX539" s="49"/>
    </row>
    <row r="540" spans="1:50" ht="10.199999999999999" customHeight="1" x14ac:dyDescent="0.25">
      <c r="A540" s="14">
        <v>29</v>
      </c>
      <c r="B540" s="103">
        <v>39282</v>
      </c>
      <c r="C540" s="103">
        <v>39275</v>
      </c>
      <c r="D540" s="36"/>
      <c r="E540" s="36"/>
      <c r="F540" s="51"/>
      <c r="G540" s="36"/>
      <c r="H540" s="36"/>
      <c r="I540" s="36"/>
      <c r="J540" s="51"/>
      <c r="K540" s="36"/>
      <c r="L540" s="36"/>
      <c r="M540" s="36"/>
      <c r="N540" s="51"/>
      <c r="O540" s="36"/>
      <c r="P540" s="36"/>
      <c r="Q540" s="36"/>
      <c r="R540" s="51"/>
      <c r="S540" s="36"/>
      <c r="T540" s="36"/>
      <c r="U540" s="36"/>
      <c r="V540" s="51"/>
      <c r="W540" s="36"/>
      <c r="X540" s="36"/>
      <c r="Y540" s="36"/>
      <c r="Z540" s="51"/>
      <c r="AA540" s="36"/>
      <c r="AB540" s="36">
        <v>-69</v>
      </c>
      <c r="AC540" s="36"/>
      <c r="AD540" s="51">
        <f t="shared" si="24"/>
        <v>-69</v>
      </c>
      <c r="AE540" s="36"/>
      <c r="AF540" s="36"/>
      <c r="AG540" s="36"/>
      <c r="AH540" s="51"/>
      <c r="AI540" s="36"/>
      <c r="AJ540" s="36"/>
      <c r="AK540" s="36"/>
      <c r="AL540" s="51"/>
      <c r="AM540" s="36"/>
      <c r="AN540" s="36">
        <v>125</v>
      </c>
      <c r="AO540" s="36"/>
      <c r="AP540" s="51">
        <f t="shared" si="27"/>
        <v>125</v>
      </c>
      <c r="AQ540" s="36"/>
      <c r="AR540" s="36">
        <v>175</v>
      </c>
      <c r="AS540" s="36"/>
      <c r="AT540" s="51">
        <f>AVERAGE(AR540,AS540)</f>
        <v>175</v>
      </c>
      <c r="AU540" s="36"/>
      <c r="AV540" s="36"/>
      <c r="AW540" s="36"/>
      <c r="AX540" s="49"/>
    </row>
    <row r="541" spans="1:50" ht="10.199999999999999" customHeight="1" x14ac:dyDescent="0.25">
      <c r="A541" s="14">
        <v>30</v>
      </c>
      <c r="B541" s="103">
        <v>39289</v>
      </c>
      <c r="C541" s="103">
        <v>39282</v>
      </c>
      <c r="D541" s="36"/>
      <c r="E541" s="36"/>
      <c r="F541" s="51"/>
      <c r="G541" s="36"/>
      <c r="H541" s="36"/>
      <c r="I541" s="36"/>
      <c r="J541" s="51"/>
      <c r="K541" s="36"/>
      <c r="L541" s="36"/>
      <c r="M541" s="36"/>
      <c r="N541" s="51"/>
      <c r="O541" s="36"/>
      <c r="P541" s="36"/>
      <c r="Q541" s="36"/>
      <c r="R541" s="51"/>
      <c r="S541" s="36"/>
      <c r="T541" s="36"/>
      <c r="U541" s="36"/>
      <c r="V541" s="51"/>
      <c r="W541" s="36"/>
      <c r="X541" s="36"/>
      <c r="Y541" s="36"/>
      <c r="Z541" s="51"/>
      <c r="AA541" s="36"/>
      <c r="AB541" s="36"/>
      <c r="AC541" s="36"/>
      <c r="AD541" s="51"/>
      <c r="AE541" s="36"/>
      <c r="AF541" s="36">
        <v>84</v>
      </c>
      <c r="AG541" s="36">
        <v>150</v>
      </c>
      <c r="AH541" s="51">
        <f t="shared" si="25"/>
        <v>117</v>
      </c>
      <c r="AI541" s="36"/>
      <c r="AJ541" s="36">
        <v>125</v>
      </c>
      <c r="AK541" s="36">
        <v>50</v>
      </c>
      <c r="AL541" s="51">
        <f t="shared" si="26"/>
        <v>87.5</v>
      </c>
      <c r="AM541" s="36"/>
      <c r="AN541" s="36">
        <v>238</v>
      </c>
      <c r="AO541" s="36"/>
      <c r="AP541" s="51">
        <f t="shared" si="27"/>
        <v>238</v>
      </c>
      <c r="AQ541" s="36"/>
      <c r="AR541" s="36">
        <v>225</v>
      </c>
      <c r="AS541" s="36"/>
      <c r="AT541" s="51">
        <f>AVERAGE(AR541,AS541)</f>
        <v>225</v>
      </c>
      <c r="AU541" s="36"/>
      <c r="AV541" s="36"/>
      <c r="AW541" s="36"/>
      <c r="AX541" s="49"/>
    </row>
    <row r="542" spans="1:50" ht="10.199999999999999" customHeight="1" x14ac:dyDescent="0.25">
      <c r="A542" s="14">
        <v>31</v>
      </c>
      <c r="B542" s="103">
        <v>39296</v>
      </c>
      <c r="C542" s="103">
        <v>39289</v>
      </c>
      <c r="D542" s="36"/>
      <c r="E542" s="36"/>
      <c r="F542" s="51"/>
      <c r="G542" s="36"/>
      <c r="H542" s="36"/>
      <c r="I542" s="36"/>
      <c r="J542" s="51"/>
      <c r="K542" s="36"/>
      <c r="L542" s="36"/>
      <c r="M542" s="36"/>
      <c r="N542" s="51"/>
      <c r="O542" s="36"/>
      <c r="P542" s="36"/>
      <c r="Q542" s="36"/>
      <c r="R542" s="51"/>
      <c r="S542" s="36"/>
      <c r="T542" s="36"/>
      <c r="U542" s="36"/>
      <c r="V542" s="51"/>
      <c r="W542" s="36"/>
      <c r="X542" s="36"/>
      <c r="Y542" s="36"/>
      <c r="Z542" s="51"/>
      <c r="AA542" s="36"/>
      <c r="AB542" s="36"/>
      <c r="AC542" s="36"/>
      <c r="AD542" s="51"/>
      <c r="AE542" s="36"/>
      <c r="AF542" s="36">
        <v>379</v>
      </c>
      <c r="AG542" s="36">
        <v>275</v>
      </c>
      <c r="AH542" s="51">
        <f t="shared" si="25"/>
        <v>327</v>
      </c>
      <c r="AI542" s="36"/>
      <c r="AJ542" s="36">
        <v>250</v>
      </c>
      <c r="AK542" s="36"/>
      <c r="AL542" s="51">
        <f t="shared" si="26"/>
        <v>250</v>
      </c>
      <c r="AM542" s="36"/>
      <c r="AN542" s="36">
        <v>325</v>
      </c>
      <c r="AO542" s="36">
        <v>100</v>
      </c>
      <c r="AP542" s="51">
        <f t="shared" si="27"/>
        <v>212.5</v>
      </c>
      <c r="AQ542" s="36"/>
      <c r="AR542" s="36">
        <v>300</v>
      </c>
      <c r="AS542" s="36"/>
      <c r="AT542" s="51">
        <f>AVERAGE(AR542,AS542)</f>
        <v>300</v>
      </c>
      <c r="AU542" s="36"/>
      <c r="AV542" s="36"/>
      <c r="AW542" s="36"/>
      <c r="AX542" s="49"/>
    </row>
    <row r="543" spans="1:50" ht="10.199999999999999" customHeight="1" x14ac:dyDescent="0.25">
      <c r="A543" s="14">
        <v>32</v>
      </c>
      <c r="B543" s="103">
        <v>39303</v>
      </c>
      <c r="C543" s="103">
        <v>39296</v>
      </c>
      <c r="D543" s="36"/>
      <c r="E543" s="36"/>
      <c r="F543" s="51"/>
      <c r="G543" s="36"/>
      <c r="H543" s="36"/>
      <c r="I543" s="36"/>
      <c r="J543" s="51"/>
      <c r="K543" s="36"/>
      <c r="L543" s="36"/>
      <c r="M543" s="36"/>
      <c r="N543" s="51"/>
      <c r="O543" s="36"/>
      <c r="P543" s="36"/>
      <c r="Q543" s="36"/>
      <c r="R543" s="51"/>
      <c r="S543" s="36"/>
      <c r="T543" s="36"/>
      <c r="U543" s="36"/>
      <c r="V543" s="51"/>
      <c r="W543" s="36"/>
      <c r="X543" s="36"/>
      <c r="Y543" s="36"/>
      <c r="Z543" s="51"/>
      <c r="AA543" s="36"/>
      <c r="AB543" s="36"/>
      <c r="AC543" s="36"/>
      <c r="AD543" s="51"/>
      <c r="AE543" s="36"/>
      <c r="AF543" s="36">
        <v>517</v>
      </c>
      <c r="AG543" s="36">
        <v>350</v>
      </c>
      <c r="AH543" s="51">
        <f t="shared" si="25"/>
        <v>433.5</v>
      </c>
      <c r="AI543" s="36"/>
      <c r="AJ543" s="36">
        <v>417</v>
      </c>
      <c r="AK543" s="36"/>
      <c r="AL543" s="51">
        <f t="shared" si="26"/>
        <v>417</v>
      </c>
      <c r="AM543" s="36"/>
      <c r="AN543" s="36">
        <v>442</v>
      </c>
      <c r="AO543" s="36"/>
      <c r="AP543" s="51">
        <f t="shared" si="27"/>
        <v>442</v>
      </c>
      <c r="AQ543" s="36"/>
      <c r="AR543" s="36">
        <v>344</v>
      </c>
      <c r="AS543" s="36"/>
      <c r="AT543" s="51">
        <f>AVERAGE(AR543,AS543)</f>
        <v>344</v>
      </c>
      <c r="AU543" s="36"/>
      <c r="AV543" s="36">
        <v>100</v>
      </c>
      <c r="AW543" s="36"/>
      <c r="AX543" s="51">
        <f>AVERAGE(AV543,AW543)</f>
        <v>100</v>
      </c>
    </row>
    <row r="544" spans="1:50" ht="10.199999999999999" customHeight="1" x14ac:dyDescent="0.25">
      <c r="A544" s="14">
        <v>33</v>
      </c>
      <c r="B544" s="103">
        <v>39310</v>
      </c>
      <c r="C544" s="103">
        <v>39303</v>
      </c>
      <c r="D544" s="36"/>
      <c r="E544" s="36"/>
      <c r="F544" s="51"/>
      <c r="G544" s="36"/>
      <c r="H544" s="36"/>
      <c r="I544" s="36"/>
      <c r="J544" s="51"/>
      <c r="K544" s="36"/>
      <c r="L544" s="36"/>
      <c r="M544" s="36"/>
      <c r="N544" s="51"/>
      <c r="O544" s="36"/>
      <c r="P544" s="36"/>
      <c r="Q544" s="36"/>
      <c r="R544" s="51"/>
      <c r="S544" s="36"/>
      <c r="T544" s="36"/>
      <c r="U544" s="36"/>
      <c r="V544" s="51"/>
      <c r="W544" s="36"/>
      <c r="X544" s="36"/>
      <c r="Y544" s="36"/>
      <c r="Z544" s="51"/>
      <c r="AA544" s="36"/>
      <c r="AB544" s="36"/>
      <c r="AC544" s="36"/>
      <c r="AD544" s="51"/>
      <c r="AE544" s="36"/>
      <c r="AF544" s="36">
        <v>1275</v>
      </c>
      <c r="AG544" s="36"/>
      <c r="AH544" s="51">
        <f t="shared" si="25"/>
        <v>1275</v>
      </c>
      <c r="AI544" s="36"/>
      <c r="AJ544" s="36">
        <v>650</v>
      </c>
      <c r="AK544" s="36"/>
      <c r="AL544" s="51">
        <f t="shared" si="26"/>
        <v>650</v>
      </c>
      <c r="AM544" s="36"/>
      <c r="AN544" s="36">
        <v>600</v>
      </c>
      <c r="AO544" s="36"/>
      <c r="AP544" s="51">
        <f t="shared" si="27"/>
        <v>600</v>
      </c>
      <c r="AQ544" s="36"/>
      <c r="AR544" s="36"/>
      <c r="AS544" s="36"/>
      <c r="AT544" s="51"/>
      <c r="AU544" s="36"/>
      <c r="AV544" s="36"/>
      <c r="AW544" s="36"/>
      <c r="AX544" s="49"/>
    </row>
    <row r="545" spans="1:50" ht="10.199999999999999" customHeight="1" x14ac:dyDescent="0.25">
      <c r="A545" s="14">
        <v>34</v>
      </c>
      <c r="B545" s="103">
        <v>39317</v>
      </c>
      <c r="C545" s="103">
        <v>39310</v>
      </c>
      <c r="D545" s="36"/>
      <c r="E545" s="36"/>
      <c r="F545" s="51"/>
      <c r="G545" s="36"/>
      <c r="H545" s="36"/>
      <c r="I545" s="36"/>
      <c r="J545" s="51"/>
      <c r="K545" s="36"/>
      <c r="L545" s="36"/>
      <c r="M545" s="36"/>
      <c r="N545" s="51"/>
      <c r="O545" s="36"/>
      <c r="P545" s="36"/>
      <c r="Q545" s="36"/>
      <c r="R545" s="51"/>
      <c r="S545" s="36"/>
      <c r="T545" s="36"/>
      <c r="U545" s="36"/>
      <c r="V545" s="51"/>
      <c r="W545" s="36"/>
      <c r="X545" s="36"/>
      <c r="Y545" s="36"/>
      <c r="Z545" s="51"/>
      <c r="AA545" s="36"/>
      <c r="AB545" s="36"/>
      <c r="AC545" s="36"/>
      <c r="AD545" s="51"/>
      <c r="AE545" s="36"/>
      <c r="AF545" s="36"/>
      <c r="AG545" s="36"/>
      <c r="AH545" s="51"/>
      <c r="AI545" s="36"/>
      <c r="AJ545" s="36">
        <v>1150</v>
      </c>
      <c r="AK545" s="36">
        <v>700</v>
      </c>
      <c r="AL545" s="51">
        <f t="shared" si="26"/>
        <v>925</v>
      </c>
      <c r="AM545" s="36"/>
      <c r="AN545" s="36">
        <v>833</v>
      </c>
      <c r="AO545" s="36"/>
      <c r="AP545" s="51">
        <f t="shared" si="27"/>
        <v>833</v>
      </c>
      <c r="AQ545" s="36"/>
      <c r="AR545" s="36">
        <v>413</v>
      </c>
      <c r="AS545" s="36"/>
      <c r="AT545" s="51">
        <f t="shared" ref="AT545:AT557" si="28">AVERAGE(AR545,AS545)</f>
        <v>413</v>
      </c>
      <c r="AU545" s="36"/>
      <c r="AV545" s="36"/>
      <c r="AW545" s="36"/>
      <c r="AX545" s="49"/>
    </row>
    <row r="546" spans="1:50" ht="10.199999999999999" customHeight="1" x14ac:dyDescent="0.25">
      <c r="A546" s="14">
        <v>35</v>
      </c>
      <c r="B546" s="103">
        <v>39324</v>
      </c>
      <c r="C546" s="103">
        <v>39317</v>
      </c>
      <c r="D546" s="36">
        <v>-25</v>
      </c>
      <c r="E546" s="36"/>
      <c r="F546" s="51">
        <f>AVERAGE(D546,E546)</f>
        <v>-25</v>
      </c>
      <c r="G546" s="36"/>
      <c r="H546" s="36"/>
      <c r="I546" s="36"/>
      <c r="J546" s="51"/>
      <c r="K546" s="36"/>
      <c r="L546" s="36"/>
      <c r="M546" s="36"/>
      <c r="N546" s="51"/>
      <c r="O546" s="36"/>
      <c r="P546" s="36"/>
      <c r="Q546" s="36"/>
      <c r="R546" s="51"/>
      <c r="S546" s="36"/>
      <c r="T546" s="36"/>
      <c r="U546" s="36"/>
      <c r="V546" s="51"/>
      <c r="W546" s="36"/>
      <c r="X546" s="36"/>
      <c r="Y546" s="36"/>
      <c r="Z546" s="51"/>
      <c r="AA546" s="36"/>
      <c r="AB546" s="36"/>
      <c r="AC546" s="36"/>
      <c r="AD546" s="51"/>
      <c r="AE546" s="36"/>
      <c r="AF546" s="36"/>
      <c r="AG546" s="36"/>
      <c r="AH546" s="51"/>
      <c r="AI546" s="36"/>
      <c r="AJ546" s="36">
        <v>800</v>
      </c>
      <c r="AK546" s="36"/>
      <c r="AL546" s="51">
        <f t="shared" si="26"/>
        <v>800</v>
      </c>
      <c r="AM546" s="36"/>
      <c r="AN546" s="36"/>
      <c r="AO546" s="36">
        <v>500</v>
      </c>
      <c r="AP546" s="51">
        <f t="shared" si="27"/>
        <v>500</v>
      </c>
      <c r="AQ546" s="36"/>
      <c r="AR546" s="36">
        <v>533</v>
      </c>
      <c r="AS546" s="36"/>
      <c r="AT546" s="51">
        <f t="shared" si="28"/>
        <v>533</v>
      </c>
      <c r="AU546" s="36"/>
      <c r="AV546" s="36">
        <v>233</v>
      </c>
      <c r="AW546" s="36"/>
      <c r="AX546" s="51">
        <f>AVERAGE(AV546,AW546)</f>
        <v>233</v>
      </c>
    </row>
    <row r="547" spans="1:50" ht="10.199999999999999" customHeight="1" x14ac:dyDescent="0.25">
      <c r="A547" s="14">
        <v>36</v>
      </c>
      <c r="B547" s="103">
        <v>39331</v>
      </c>
      <c r="C547" s="103">
        <v>39324</v>
      </c>
      <c r="D547" s="36">
        <v>50</v>
      </c>
      <c r="E547" s="36"/>
      <c r="F547" s="51">
        <f>AVERAGE(D547,E547)</f>
        <v>50</v>
      </c>
      <c r="G547" s="36"/>
      <c r="H547" s="36"/>
      <c r="I547" s="36"/>
      <c r="J547" s="51"/>
      <c r="K547" s="36"/>
      <c r="L547" s="36">
        <v>-113</v>
      </c>
      <c r="M547" s="36"/>
      <c r="N547" s="51">
        <f>AVERAGE(L547,M547)</f>
        <v>-113</v>
      </c>
      <c r="O547" s="36"/>
      <c r="P547" s="36"/>
      <c r="Q547" s="36"/>
      <c r="R547" s="51"/>
      <c r="S547" s="36"/>
      <c r="T547" s="36"/>
      <c r="U547" s="36"/>
      <c r="V547" s="51"/>
      <c r="W547" s="36"/>
      <c r="X547" s="36"/>
      <c r="Y547" s="36"/>
      <c r="Z547" s="51"/>
      <c r="AA547" s="36"/>
      <c r="AB547" s="36"/>
      <c r="AC547" s="36"/>
      <c r="AD547" s="51"/>
      <c r="AE547" s="36"/>
      <c r="AF547" s="36"/>
      <c r="AG547" s="36"/>
      <c r="AH547" s="51"/>
      <c r="AI547" s="36"/>
      <c r="AJ547" s="36">
        <v>1094</v>
      </c>
      <c r="AK547" s="36">
        <v>700</v>
      </c>
      <c r="AL547" s="51">
        <f t="shared" si="26"/>
        <v>897</v>
      </c>
      <c r="AM547" s="36"/>
      <c r="AN547" s="36">
        <v>1150</v>
      </c>
      <c r="AO547" s="36">
        <v>700</v>
      </c>
      <c r="AP547" s="51">
        <f t="shared" si="27"/>
        <v>925</v>
      </c>
      <c r="AQ547" s="36"/>
      <c r="AR547" s="36">
        <v>621</v>
      </c>
      <c r="AS547" s="36"/>
      <c r="AT547" s="51">
        <f t="shared" si="28"/>
        <v>621</v>
      </c>
      <c r="AU547" s="36"/>
      <c r="AV547" s="36">
        <v>250</v>
      </c>
      <c r="AW547" s="36"/>
      <c r="AX547" s="51">
        <f>AVERAGE(AV547,AW547)</f>
        <v>250</v>
      </c>
    </row>
    <row r="548" spans="1:50" ht="10.199999999999999" customHeight="1" x14ac:dyDescent="0.25">
      <c r="A548" s="14">
        <v>37</v>
      </c>
      <c r="B548" s="103">
        <v>39338</v>
      </c>
      <c r="C548" s="103">
        <v>39331</v>
      </c>
      <c r="D548" s="36">
        <v>25</v>
      </c>
      <c r="E548" s="36"/>
      <c r="F548" s="51">
        <f>AVERAGE(D548,E548)</f>
        <v>25</v>
      </c>
      <c r="G548" s="36"/>
      <c r="H548" s="36"/>
      <c r="I548" s="36"/>
      <c r="J548" s="51"/>
      <c r="K548" s="36"/>
      <c r="L548" s="36">
        <v>-75</v>
      </c>
      <c r="M548" s="36"/>
      <c r="N548" s="51">
        <f>AVERAGE(L548,M548)</f>
        <v>-75</v>
      </c>
      <c r="O548" s="36"/>
      <c r="P548" s="36"/>
      <c r="Q548" s="36"/>
      <c r="R548" s="51"/>
      <c r="S548" s="36"/>
      <c r="T548" s="36"/>
      <c r="U548" s="36"/>
      <c r="V548" s="51"/>
      <c r="W548" s="36"/>
      <c r="X548" s="36"/>
      <c r="Y548" s="36"/>
      <c r="Z548" s="51"/>
      <c r="AA548" s="36"/>
      <c r="AB548" s="36"/>
      <c r="AC548" s="36"/>
      <c r="AD548" s="51"/>
      <c r="AE548" s="36"/>
      <c r="AF548" s="36"/>
      <c r="AG548" s="36"/>
      <c r="AH548" s="51"/>
      <c r="AI548" s="36"/>
      <c r="AJ548" s="36">
        <v>684</v>
      </c>
      <c r="AK548" s="36">
        <v>675</v>
      </c>
      <c r="AL548" s="51">
        <f t="shared" si="26"/>
        <v>679.5</v>
      </c>
      <c r="AM548" s="36"/>
      <c r="AN548" s="36">
        <v>817</v>
      </c>
      <c r="AO548" s="36"/>
      <c r="AP548" s="51">
        <f t="shared" si="27"/>
        <v>817</v>
      </c>
      <c r="AQ548" s="36"/>
      <c r="AR548" s="36">
        <v>500</v>
      </c>
      <c r="AS548" s="36"/>
      <c r="AT548" s="51">
        <f t="shared" si="28"/>
        <v>500</v>
      </c>
      <c r="AU548" s="36"/>
      <c r="AV548" s="36"/>
      <c r="AW548" s="36"/>
      <c r="AX548" s="49"/>
    </row>
    <row r="549" spans="1:50" ht="10.199999999999999" customHeight="1" x14ac:dyDescent="0.25">
      <c r="A549" s="14">
        <v>38</v>
      </c>
      <c r="B549" s="103">
        <v>39345</v>
      </c>
      <c r="C549" s="103">
        <v>39338</v>
      </c>
      <c r="D549" s="36"/>
      <c r="E549" s="36"/>
      <c r="F549" s="51"/>
      <c r="G549" s="36"/>
      <c r="H549" s="36"/>
      <c r="I549" s="36"/>
      <c r="J549" s="51"/>
      <c r="K549" s="36"/>
      <c r="L549" s="36"/>
      <c r="M549" s="36"/>
      <c r="N549" s="51"/>
      <c r="O549" s="36"/>
      <c r="P549" s="36"/>
      <c r="Q549" s="36"/>
      <c r="R549" s="51"/>
      <c r="S549" s="36"/>
      <c r="T549" s="36"/>
      <c r="U549" s="36"/>
      <c r="V549" s="51"/>
      <c r="W549" s="36"/>
      <c r="X549" s="36"/>
      <c r="Y549" s="36"/>
      <c r="Z549" s="51"/>
      <c r="AA549" s="36"/>
      <c r="AB549" s="36"/>
      <c r="AC549" s="36"/>
      <c r="AD549" s="51"/>
      <c r="AE549" s="36"/>
      <c r="AF549" s="36"/>
      <c r="AG549" s="36"/>
      <c r="AH549" s="51"/>
      <c r="AI549" s="36"/>
      <c r="AJ549" s="36">
        <v>1325</v>
      </c>
      <c r="AK549" s="36">
        <v>825</v>
      </c>
      <c r="AL549" s="51">
        <f t="shared" si="26"/>
        <v>1075</v>
      </c>
      <c r="AM549" s="36"/>
      <c r="AN549" s="36">
        <v>1300</v>
      </c>
      <c r="AO549" s="36"/>
      <c r="AP549" s="51">
        <f t="shared" si="27"/>
        <v>1300</v>
      </c>
      <c r="AQ549" s="36"/>
      <c r="AR549" s="36">
        <v>800</v>
      </c>
      <c r="AS549" s="36">
        <v>450</v>
      </c>
      <c r="AT549" s="51">
        <f t="shared" si="28"/>
        <v>625</v>
      </c>
      <c r="AU549" s="36"/>
      <c r="AV549" s="36"/>
      <c r="AW549" s="36">
        <v>100</v>
      </c>
      <c r="AX549" s="51">
        <f>AVERAGE(AV549,AW549)</f>
        <v>100</v>
      </c>
    </row>
    <row r="550" spans="1:50" ht="10.199999999999999" customHeight="1" x14ac:dyDescent="0.25">
      <c r="A550" s="14">
        <v>39</v>
      </c>
      <c r="B550" s="103">
        <v>39352</v>
      </c>
      <c r="C550" s="103">
        <v>39345</v>
      </c>
      <c r="D550" s="36"/>
      <c r="E550" s="36"/>
      <c r="F550" s="51"/>
      <c r="G550" s="36"/>
      <c r="H550" s="36"/>
      <c r="I550" s="36"/>
      <c r="J550" s="51"/>
      <c r="K550" s="36"/>
      <c r="L550" s="36"/>
      <c r="M550" s="36"/>
      <c r="N550" s="51"/>
      <c r="O550" s="36"/>
      <c r="P550" s="36"/>
      <c r="Q550" s="36"/>
      <c r="R550" s="51"/>
      <c r="S550" s="36"/>
      <c r="T550" s="36"/>
      <c r="U550" s="36"/>
      <c r="V550" s="51"/>
      <c r="W550" s="36"/>
      <c r="X550" s="36"/>
      <c r="Y550" s="36"/>
      <c r="Z550" s="51"/>
      <c r="AA550" s="36"/>
      <c r="AB550" s="36"/>
      <c r="AC550" s="36"/>
      <c r="AD550" s="51"/>
      <c r="AE550" s="36"/>
      <c r="AF550" s="36"/>
      <c r="AG550" s="36"/>
      <c r="AH550" s="51"/>
      <c r="AI550" s="36"/>
      <c r="AJ550" s="36"/>
      <c r="AK550" s="36"/>
      <c r="AL550" s="51"/>
      <c r="AM550" s="36"/>
      <c r="AN550" s="36">
        <v>1217</v>
      </c>
      <c r="AO550" s="36">
        <v>1000</v>
      </c>
      <c r="AP550" s="51">
        <f t="shared" si="27"/>
        <v>1108.5</v>
      </c>
      <c r="AQ550" s="36"/>
      <c r="AR550" s="36">
        <v>900</v>
      </c>
      <c r="AS550" s="36">
        <v>350</v>
      </c>
      <c r="AT550" s="51">
        <f t="shared" si="28"/>
        <v>625</v>
      </c>
      <c r="AU550" s="36"/>
      <c r="AV550" s="36"/>
      <c r="AW550" s="36">
        <v>150</v>
      </c>
      <c r="AX550" s="51">
        <f>AVERAGE(AV550,AW550)</f>
        <v>150</v>
      </c>
    </row>
    <row r="551" spans="1:50" ht="10.199999999999999" customHeight="1" x14ac:dyDescent="0.25">
      <c r="A551" s="14">
        <v>40</v>
      </c>
      <c r="B551" s="103">
        <v>39359</v>
      </c>
      <c r="C551" s="103">
        <v>39352</v>
      </c>
      <c r="D551" s="36"/>
      <c r="E551" s="36"/>
      <c r="F551" s="51"/>
      <c r="G551" s="36"/>
      <c r="H551" s="36"/>
      <c r="I551" s="36"/>
      <c r="J551" s="51"/>
      <c r="K551" s="36"/>
      <c r="L551" s="36"/>
      <c r="M551" s="36"/>
      <c r="N551" s="51"/>
      <c r="O551" s="36"/>
      <c r="P551" s="36"/>
      <c r="Q551" s="36"/>
      <c r="R551" s="51"/>
      <c r="S551" s="36"/>
      <c r="T551" s="36"/>
      <c r="U551" s="36"/>
      <c r="V551" s="51"/>
      <c r="W551" s="36"/>
      <c r="X551" s="36"/>
      <c r="Y551" s="36"/>
      <c r="Z551" s="51"/>
      <c r="AA551" s="36"/>
      <c r="AB551" s="36"/>
      <c r="AC551" s="36"/>
      <c r="AD551" s="51"/>
      <c r="AE551" s="36"/>
      <c r="AF551" s="36"/>
      <c r="AG551" s="36"/>
      <c r="AH551" s="51"/>
      <c r="AI551" s="36"/>
      <c r="AJ551" s="36"/>
      <c r="AK551" s="36"/>
      <c r="AL551" s="51"/>
      <c r="AM551" s="36"/>
      <c r="AN551" s="36">
        <v>1175</v>
      </c>
      <c r="AO551" s="36">
        <v>613</v>
      </c>
      <c r="AP551" s="51">
        <f t="shared" si="27"/>
        <v>894</v>
      </c>
      <c r="AQ551" s="36"/>
      <c r="AR551" s="36"/>
      <c r="AS551" s="36"/>
      <c r="AT551" s="51"/>
      <c r="AU551" s="36"/>
      <c r="AV551" s="36"/>
      <c r="AW551" s="36"/>
      <c r="AX551" s="49"/>
    </row>
    <row r="552" spans="1:50" ht="10.199999999999999" customHeight="1" x14ac:dyDescent="0.25">
      <c r="A552" s="14">
        <v>41</v>
      </c>
      <c r="B552" s="103">
        <v>39366</v>
      </c>
      <c r="C552" s="103">
        <v>39359</v>
      </c>
      <c r="D552" s="36"/>
      <c r="E552" s="36"/>
      <c r="F552" s="51"/>
      <c r="G552" s="36"/>
      <c r="H552" s="36"/>
      <c r="I552" s="36"/>
      <c r="J552" s="51"/>
      <c r="K552" s="36"/>
      <c r="L552" s="36"/>
      <c r="M552" s="36"/>
      <c r="N552" s="51"/>
      <c r="O552" s="36"/>
      <c r="P552" s="36"/>
      <c r="Q552" s="36"/>
      <c r="R552" s="51"/>
      <c r="S552" s="36"/>
      <c r="T552" s="36"/>
      <c r="U552" s="36"/>
      <c r="V552" s="51"/>
      <c r="W552" s="36"/>
      <c r="X552" s="36"/>
      <c r="Y552" s="36"/>
      <c r="Z552" s="51"/>
      <c r="AA552" s="36"/>
      <c r="AB552" s="36"/>
      <c r="AC552" s="36"/>
      <c r="AD552" s="51"/>
      <c r="AE552" s="36"/>
      <c r="AF552" s="36"/>
      <c r="AG552" s="36"/>
      <c r="AH552" s="51"/>
      <c r="AI552" s="36"/>
      <c r="AJ552" s="36"/>
      <c r="AK552" s="36"/>
      <c r="AL552" s="51"/>
      <c r="AM552" s="36"/>
      <c r="AN552" s="36">
        <v>1367</v>
      </c>
      <c r="AO552" s="36">
        <v>650</v>
      </c>
      <c r="AP552" s="51">
        <f t="shared" si="27"/>
        <v>1008.5</v>
      </c>
      <c r="AQ552" s="36"/>
      <c r="AR552" s="36">
        <v>1000</v>
      </c>
      <c r="AS552" s="36"/>
      <c r="AT552" s="51">
        <f t="shared" si="28"/>
        <v>1000</v>
      </c>
      <c r="AU552" s="36"/>
      <c r="AV552" s="36"/>
      <c r="AW552" s="36"/>
      <c r="AX552" s="49"/>
    </row>
    <row r="553" spans="1:50" ht="10.199999999999999" customHeight="1" x14ac:dyDescent="0.25">
      <c r="A553" s="14">
        <v>42</v>
      </c>
      <c r="B553" s="103">
        <v>39373</v>
      </c>
      <c r="C553" s="103">
        <v>39366</v>
      </c>
      <c r="D553" s="36"/>
      <c r="E553" s="36">
        <v>-75</v>
      </c>
      <c r="F553" s="51">
        <f>AVERAGE(D553,E553)</f>
        <v>-75</v>
      </c>
      <c r="G553" s="36"/>
      <c r="H553" s="36"/>
      <c r="I553" s="36"/>
      <c r="J553" s="51"/>
      <c r="K553" s="36"/>
      <c r="L553" s="36"/>
      <c r="M553" s="36"/>
      <c r="N553" s="51"/>
      <c r="O553" s="36"/>
      <c r="P553" s="36"/>
      <c r="Q553" s="36"/>
      <c r="R553" s="51"/>
      <c r="S553" s="36"/>
      <c r="T553" s="36"/>
      <c r="U553" s="36"/>
      <c r="V553" s="51"/>
      <c r="W553" s="36"/>
      <c r="X553" s="36"/>
      <c r="Y553" s="36"/>
      <c r="Z553" s="51"/>
      <c r="AA553" s="36"/>
      <c r="AB553" s="36"/>
      <c r="AC553" s="36"/>
      <c r="AD553" s="51"/>
      <c r="AE553" s="36"/>
      <c r="AF553" s="36"/>
      <c r="AG553" s="36"/>
      <c r="AH553" s="51"/>
      <c r="AI553" s="36"/>
      <c r="AJ553" s="36"/>
      <c r="AK553" s="36"/>
      <c r="AL553" s="51"/>
      <c r="AM553" s="36"/>
      <c r="AN553" s="36">
        <v>350</v>
      </c>
      <c r="AO553" s="36">
        <v>400</v>
      </c>
      <c r="AP553" s="51">
        <f t="shared" si="27"/>
        <v>375</v>
      </c>
      <c r="AQ553" s="36"/>
      <c r="AR553" s="36">
        <v>283</v>
      </c>
      <c r="AS553" s="36">
        <v>125</v>
      </c>
      <c r="AT553" s="51">
        <f t="shared" si="28"/>
        <v>204</v>
      </c>
      <c r="AU553" s="36"/>
      <c r="AV553" s="36">
        <v>50</v>
      </c>
      <c r="AW553" s="36"/>
      <c r="AX553" s="51">
        <f>AVERAGE(AV553,AW553)</f>
        <v>50</v>
      </c>
    </row>
    <row r="554" spans="1:50" ht="10.199999999999999" customHeight="1" x14ac:dyDescent="0.25">
      <c r="A554" s="14">
        <v>43</v>
      </c>
      <c r="B554" s="103">
        <v>39380</v>
      </c>
      <c r="C554" s="103">
        <v>39373</v>
      </c>
      <c r="D554" s="36"/>
      <c r="E554" s="36"/>
      <c r="F554" s="51"/>
      <c r="G554" s="36"/>
      <c r="H554" s="36"/>
      <c r="I554" s="36"/>
      <c r="J554" s="51"/>
      <c r="K554" s="36"/>
      <c r="L554" s="36">
        <v>-100</v>
      </c>
      <c r="M554" s="36"/>
      <c r="N554" s="51">
        <f>AVERAGE(L554,M554)</f>
        <v>-100</v>
      </c>
      <c r="O554" s="36"/>
      <c r="P554" s="36"/>
      <c r="Q554" s="36"/>
      <c r="R554" s="51"/>
      <c r="S554" s="36"/>
      <c r="T554" s="36"/>
      <c r="U554" s="36"/>
      <c r="V554" s="51"/>
      <c r="W554" s="36"/>
      <c r="X554" s="36"/>
      <c r="Y554" s="36"/>
      <c r="Z554" s="51"/>
      <c r="AA554" s="36"/>
      <c r="AB554" s="36"/>
      <c r="AC554" s="36"/>
      <c r="AD554" s="51"/>
      <c r="AE554" s="36"/>
      <c r="AF554" s="36"/>
      <c r="AG554" s="36"/>
      <c r="AH554" s="51"/>
      <c r="AI554" s="36"/>
      <c r="AJ554" s="36"/>
      <c r="AK554" s="36"/>
      <c r="AL554" s="51"/>
      <c r="AM554" s="36"/>
      <c r="AN554" s="36"/>
      <c r="AO554" s="36"/>
      <c r="AP554" s="51"/>
      <c r="AQ554" s="36"/>
      <c r="AR554" s="36">
        <v>9</v>
      </c>
      <c r="AS554" s="36"/>
      <c r="AT554" s="51">
        <f t="shared" si="28"/>
        <v>9</v>
      </c>
      <c r="AU554" s="36"/>
      <c r="AV554" s="36">
        <v>-25</v>
      </c>
      <c r="AW554" s="36"/>
      <c r="AX554" s="51">
        <f>AVERAGE(AV554,AW554)</f>
        <v>-25</v>
      </c>
    </row>
    <row r="555" spans="1:50" ht="10.199999999999999" customHeight="1" x14ac:dyDescent="0.25">
      <c r="A555" s="14">
        <v>44</v>
      </c>
      <c r="B555" s="103">
        <v>39387</v>
      </c>
      <c r="C555" s="103">
        <v>39380</v>
      </c>
      <c r="D555" s="36"/>
      <c r="E555" s="36"/>
      <c r="F555" s="51"/>
      <c r="G555" s="36"/>
      <c r="H555" s="36"/>
      <c r="I555" s="36"/>
      <c r="J555" s="51"/>
      <c r="K555" s="36"/>
      <c r="L555" s="36"/>
      <c r="M555" s="36"/>
      <c r="N555" s="51"/>
      <c r="O555" s="36"/>
      <c r="P555" s="36"/>
      <c r="Q555" s="36"/>
      <c r="R555" s="51"/>
      <c r="S555" s="36"/>
      <c r="T555" s="36"/>
      <c r="U555" s="36"/>
      <c r="V555" s="51"/>
      <c r="W555" s="36"/>
      <c r="X555" s="36"/>
      <c r="Y555" s="36"/>
      <c r="Z555" s="51"/>
      <c r="AA555" s="36"/>
      <c r="AB555" s="36"/>
      <c r="AC555" s="36"/>
      <c r="AD555" s="51"/>
      <c r="AE555" s="36"/>
      <c r="AF555" s="36"/>
      <c r="AG555" s="36"/>
      <c r="AH555" s="51"/>
      <c r="AI555" s="36"/>
      <c r="AJ555" s="36"/>
      <c r="AK555" s="36"/>
      <c r="AL555" s="51"/>
      <c r="AM555" s="36"/>
      <c r="AN555" s="36"/>
      <c r="AO555" s="36"/>
      <c r="AP555" s="51"/>
      <c r="AQ555" s="36"/>
      <c r="AR555" s="36">
        <v>-179</v>
      </c>
      <c r="AS555" s="36">
        <v>-300</v>
      </c>
      <c r="AT555" s="51">
        <f t="shared" si="28"/>
        <v>-239.5</v>
      </c>
      <c r="AU555" s="36"/>
      <c r="AV555" s="36"/>
      <c r="AW555" s="36"/>
      <c r="AX555" s="49"/>
    </row>
    <row r="556" spans="1:50" ht="10.199999999999999" customHeight="1" x14ac:dyDescent="0.25">
      <c r="A556" s="14">
        <v>45</v>
      </c>
      <c r="B556" s="103">
        <v>39394</v>
      </c>
      <c r="C556" s="103">
        <v>39387</v>
      </c>
      <c r="D556" s="36">
        <v>-125</v>
      </c>
      <c r="E556" s="36"/>
      <c r="F556" s="51">
        <f>AVERAGE(D556,E556)</f>
        <v>-125</v>
      </c>
      <c r="G556" s="36"/>
      <c r="H556" s="36"/>
      <c r="I556" s="36"/>
      <c r="J556" s="51"/>
      <c r="K556" s="36"/>
      <c r="L556" s="36"/>
      <c r="M556" s="36"/>
      <c r="N556" s="51"/>
      <c r="O556" s="36"/>
      <c r="P556" s="36"/>
      <c r="Q556" s="36"/>
      <c r="R556" s="51"/>
      <c r="S556" s="36"/>
      <c r="T556" s="36"/>
      <c r="U556" s="36"/>
      <c r="V556" s="51"/>
      <c r="W556" s="36"/>
      <c r="X556" s="36"/>
      <c r="Y556" s="36"/>
      <c r="Z556" s="51"/>
      <c r="AA556" s="36"/>
      <c r="AB556" s="36"/>
      <c r="AC556" s="36"/>
      <c r="AD556" s="51"/>
      <c r="AE556" s="36"/>
      <c r="AF556" s="36"/>
      <c r="AG556" s="36"/>
      <c r="AH556" s="51"/>
      <c r="AI556" s="36"/>
      <c r="AJ556" s="36"/>
      <c r="AK556" s="36"/>
      <c r="AL556" s="51"/>
      <c r="AM556" s="36"/>
      <c r="AN556" s="36"/>
      <c r="AO556" s="36"/>
      <c r="AP556" s="51"/>
      <c r="AQ556" s="36"/>
      <c r="AR556" s="36">
        <v>-134</v>
      </c>
      <c r="AS556" s="36">
        <v>-175</v>
      </c>
      <c r="AT556" s="51">
        <f t="shared" si="28"/>
        <v>-154.5</v>
      </c>
      <c r="AU556" s="36"/>
      <c r="AV556" s="36">
        <v>-138</v>
      </c>
      <c r="AW556" s="36"/>
      <c r="AX556" s="51">
        <f>AVERAGE(AV556,AW556)</f>
        <v>-138</v>
      </c>
    </row>
    <row r="557" spans="1:50" ht="10.199999999999999" customHeight="1" x14ac:dyDescent="0.25">
      <c r="A557" s="14">
        <v>46</v>
      </c>
      <c r="B557" s="103">
        <v>39401</v>
      </c>
      <c r="C557" s="103">
        <v>39394</v>
      </c>
      <c r="D557" s="36"/>
      <c r="E557" s="36"/>
      <c r="F557" s="51"/>
      <c r="G557" s="36"/>
      <c r="H557" s="36"/>
      <c r="I557" s="36"/>
      <c r="J557" s="51"/>
      <c r="K557" s="36"/>
      <c r="L557" s="36"/>
      <c r="M557" s="36"/>
      <c r="N557" s="51"/>
      <c r="O557" s="36"/>
      <c r="P557" s="36"/>
      <c r="Q557" s="36"/>
      <c r="R557" s="51"/>
      <c r="S557" s="36"/>
      <c r="T557" s="36"/>
      <c r="U557" s="36"/>
      <c r="V557" s="51"/>
      <c r="W557" s="36"/>
      <c r="X557" s="36"/>
      <c r="Y557" s="36"/>
      <c r="Z557" s="51"/>
      <c r="AA557" s="36"/>
      <c r="AB557" s="36"/>
      <c r="AC557" s="36"/>
      <c r="AD557" s="51"/>
      <c r="AE557" s="36"/>
      <c r="AF557" s="36"/>
      <c r="AG557" s="36"/>
      <c r="AH557" s="51"/>
      <c r="AI557" s="36"/>
      <c r="AJ557" s="36"/>
      <c r="AK557" s="36"/>
      <c r="AL557" s="51"/>
      <c r="AM557" s="36"/>
      <c r="AN557" s="36"/>
      <c r="AO557" s="36"/>
      <c r="AP557" s="51"/>
      <c r="AQ557" s="36"/>
      <c r="AR557" s="36">
        <v>-344</v>
      </c>
      <c r="AS557" s="36">
        <v>-350</v>
      </c>
      <c r="AT557" s="51">
        <f t="shared" si="28"/>
        <v>-347</v>
      </c>
      <c r="AU557" s="36"/>
      <c r="AV557" s="36"/>
      <c r="AW557" s="36"/>
      <c r="AX557" s="49"/>
    </row>
    <row r="558" spans="1:50" ht="10.199999999999999" customHeight="1" x14ac:dyDescent="0.25">
      <c r="A558" s="14">
        <v>47</v>
      </c>
      <c r="B558" s="103">
        <v>39408</v>
      </c>
      <c r="C558" s="103">
        <v>39401</v>
      </c>
      <c r="D558" s="36">
        <v>-225</v>
      </c>
      <c r="E558" s="36"/>
      <c r="F558" s="51">
        <f t="shared" ref="F558:F566" si="29">AVERAGE(D558,E558)</f>
        <v>-225</v>
      </c>
      <c r="G558" s="36"/>
      <c r="H558" s="36"/>
      <c r="I558" s="36"/>
      <c r="J558" s="51"/>
      <c r="K558" s="36"/>
      <c r="L558" s="36"/>
      <c r="M558" s="36"/>
      <c r="N558" s="51"/>
      <c r="O558" s="36"/>
      <c r="P558" s="36"/>
      <c r="Q558" s="36"/>
      <c r="R558" s="51"/>
      <c r="S558" s="36"/>
      <c r="T558" s="36"/>
      <c r="U558" s="36"/>
      <c r="V558" s="51"/>
      <c r="W558" s="36"/>
      <c r="X558" s="36"/>
      <c r="Y558" s="36">
        <v>-200</v>
      </c>
      <c r="Z558" s="51">
        <f t="shared" ref="Z558:Z588" si="30">AVERAGE(X558,Y558)</f>
        <v>-200</v>
      </c>
      <c r="AA558" s="36"/>
      <c r="AB558" s="36"/>
      <c r="AC558" s="36"/>
      <c r="AD558" s="51"/>
      <c r="AE558" s="36"/>
      <c r="AF558" s="36"/>
      <c r="AG558" s="36"/>
      <c r="AH558" s="51"/>
      <c r="AI558" s="36"/>
      <c r="AJ558" s="36"/>
      <c r="AK558" s="36"/>
      <c r="AL558" s="51"/>
      <c r="AM558" s="36"/>
      <c r="AN558" s="36"/>
      <c r="AO558" s="36"/>
      <c r="AP558" s="51"/>
      <c r="AQ558" s="36"/>
      <c r="AR558" s="36"/>
      <c r="AS558" s="36"/>
      <c r="AT558" s="51"/>
      <c r="AU558" s="36"/>
      <c r="AV558" s="36">
        <v>-275</v>
      </c>
      <c r="AW558" s="36"/>
      <c r="AX558" s="51">
        <f>AVERAGE(AV558,AW558)</f>
        <v>-275</v>
      </c>
    </row>
    <row r="559" spans="1:50" ht="10.199999999999999" customHeight="1" x14ac:dyDescent="0.25">
      <c r="A559" s="14">
        <v>48</v>
      </c>
      <c r="B559" s="103">
        <v>39415</v>
      </c>
      <c r="C559" s="103">
        <v>39408</v>
      </c>
      <c r="D559" s="36">
        <v>-250</v>
      </c>
      <c r="E559" s="36">
        <v>-350</v>
      </c>
      <c r="F559" s="51">
        <f t="shared" si="29"/>
        <v>-300</v>
      </c>
      <c r="G559" s="36"/>
      <c r="H559" s="36"/>
      <c r="I559" s="36"/>
      <c r="J559" s="51"/>
      <c r="K559" s="36"/>
      <c r="L559" s="36"/>
      <c r="M559" s="36"/>
      <c r="N559" s="51"/>
      <c r="O559" s="36"/>
      <c r="P559" s="36"/>
      <c r="Q559" s="36"/>
      <c r="R559" s="51"/>
      <c r="S559" s="36"/>
      <c r="T559" s="36"/>
      <c r="U559" s="36"/>
      <c r="V559" s="51"/>
      <c r="W559" s="36"/>
      <c r="X559" s="36"/>
      <c r="Y559" s="36">
        <v>-225</v>
      </c>
      <c r="Z559" s="51">
        <f t="shared" si="30"/>
        <v>-225</v>
      </c>
      <c r="AA559" s="36"/>
      <c r="AB559" s="36"/>
      <c r="AC559" s="36"/>
      <c r="AD559" s="51"/>
      <c r="AE559" s="36"/>
      <c r="AF559" s="36"/>
      <c r="AG559" s="36"/>
      <c r="AH559" s="51"/>
      <c r="AI559" s="36"/>
      <c r="AJ559" s="36"/>
      <c r="AK559" s="36"/>
      <c r="AL559" s="51"/>
      <c r="AM559" s="36"/>
      <c r="AN559" s="36"/>
      <c r="AO559" s="36"/>
      <c r="AP559" s="51"/>
      <c r="AQ559" s="36"/>
      <c r="AR559" s="36"/>
      <c r="AS559" s="36"/>
      <c r="AT559" s="51"/>
      <c r="AU559" s="36"/>
      <c r="AV559" s="36">
        <v>-240</v>
      </c>
      <c r="AW559" s="36">
        <v>-400</v>
      </c>
      <c r="AX559" s="51">
        <f>AVERAGE(AV559,AW559)</f>
        <v>-320</v>
      </c>
    </row>
    <row r="560" spans="1:50" ht="10.199999999999999" customHeight="1" x14ac:dyDescent="0.25">
      <c r="A560" s="14">
        <v>49</v>
      </c>
      <c r="B560" s="103">
        <v>39422</v>
      </c>
      <c r="C560" s="103">
        <v>39415</v>
      </c>
      <c r="D560" s="36">
        <v>-175</v>
      </c>
      <c r="E560" s="36"/>
      <c r="F560" s="51">
        <f t="shared" si="29"/>
        <v>-175</v>
      </c>
      <c r="G560" s="36"/>
      <c r="H560" s="36"/>
      <c r="I560" s="36"/>
      <c r="J560" s="51"/>
      <c r="K560" s="36"/>
      <c r="L560" s="36"/>
      <c r="M560" s="36"/>
      <c r="N560" s="51"/>
      <c r="O560" s="36"/>
      <c r="P560" s="36"/>
      <c r="Q560" s="36"/>
      <c r="R560" s="51"/>
      <c r="S560" s="36"/>
      <c r="T560" s="36"/>
      <c r="U560" s="36"/>
      <c r="V560" s="51"/>
      <c r="W560" s="36"/>
      <c r="X560" s="36"/>
      <c r="Y560" s="36">
        <v>-225</v>
      </c>
      <c r="Z560" s="51">
        <f t="shared" si="30"/>
        <v>-225</v>
      </c>
      <c r="AA560" s="36"/>
      <c r="AB560" s="36"/>
      <c r="AC560" s="36"/>
      <c r="AD560" s="51"/>
      <c r="AE560" s="36"/>
      <c r="AF560" s="36"/>
      <c r="AG560" s="36"/>
      <c r="AH560" s="51"/>
      <c r="AI560" s="36"/>
      <c r="AJ560" s="36"/>
      <c r="AK560" s="36"/>
      <c r="AL560" s="51"/>
      <c r="AM560" s="36"/>
      <c r="AN560" s="36"/>
      <c r="AO560" s="36"/>
      <c r="AP560" s="51"/>
      <c r="AQ560" s="36"/>
      <c r="AR560" s="36"/>
      <c r="AS560" s="36"/>
      <c r="AT560" s="51"/>
      <c r="AU560" s="36"/>
      <c r="AV560" s="36">
        <v>-128</v>
      </c>
      <c r="AW560" s="36">
        <v>-250</v>
      </c>
      <c r="AX560" s="51">
        <f>AVERAGE(AV560,AW560)</f>
        <v>-189</v>
      </c>
    </row>
    <row r="561" spans="1:50" ht="10.199999999999999" customHeight="1" x14ac:dyDescent="0.25">
      <c r="A561" s="14">
        <v>50</v>
      </c>
      <c r="B561" s="103">
        <v>39429</v>
      </c>
      <c r="C561" s="103">
        <v>39422</v>
      </c>
      <c r="D561" s="36">
        <v>-132</v>
      </c>
      <c r="E561" s="36"/>
      <c r="F561" s="51">
        <f t="shared" si="29"/>
        <v>-132</v>
      </c>
      <c r="G561" s="36"/>
      <c r="H561" s="36"/>
      <c r="I561" s="36"/>
      <c r="J561" s="51"/>
      <c r="K561" s="36"/>
      <c r="L561" s="36"/>
      <c r="M561" s="36"/>
      <c r="N561" s="51"/>
      <c r="O561" s="36"/>
      <c r="P561" s="36"/>
      <c r="Q561" s="36"/>
      <c r="R561" s="51"/>
      <c r="S561" s="36"/>
      <c r="T561" s="36"/>
      <c r="U561" s="36"/>
      <c r="V561" s="51"/>
      <c r="W561" s="36"/>
      <c r="X561" s="36"/>
      <c r="Y561" s="36">
        <v>-200</v>
      </c>
      <c r="Z561" s="51">
        <f t="shared" si="30"/>
        <v>-200</v>
      </c>
      <c r="AA561" s="36"/>
      <c r="AB561" s="36"/>
      <c r="AC561" s="36"/>
      <c r="AD561" s="51"/>
      <c r="AE561" s="36"/>
      <c r="AF561" s="36"/>
      <c r="AG561" s="36"/>
      <c r="AH561" s="51"/>
      <c r="AI561" s="36"/>
      <c r="AJ561" s="36"/>
      <c r="AK561" s="36"/>
      <c r="AL561" s="51"/>
      <c r="AM561" s="36"/>
      <c r="AN561" s="36"/>
      <c r="AO561" s="36"/>
      <c r="AP561" s="51"/>
      <c r="AQ561" s="36"/>
      <c r="AR561" s="36"/>
      <c r="AS561" s="36"/>
      <c r="AT561" s="51"/>
      <c r="AU561" s="36"/>
      <c r="AV561" s="36">
        <v>13</v>
      </c>
      <c r="AW561" s="36">
        <v>-219</v>
      </c>
      <c r="AX561" s="51">
        <f>AVERAGE(AV561,AW561)</f>
        <v>-103</v>
      </c>
    </row>
    <row r="562" spans="1:50" ht="10.199999999999999" customHeight="1" x14ac:dyDescent="0.25">
      <c r="A562" s="14">
        <v>51</v>
      </c>
      <c r="B562" s="103">
        <v>39436</v>
      </c>
      <c r="C562" s="103">
        <v>39429</v>
      </c>
      <c r="D562" s="36">
        <v>-132</v>
      </c>
      <c r="E562" s="36"/>
      <c r="F562" s="51">
        <f t="shared" si="29"/>
        <v>-132</v>
      </c>
      <c r="G562" s="36"/>
      <c r="H562" s="36"/>
      <c r="I562" s="36"/>
      <c r="J562" s="51"/>
      <c r="K562" s="36"/>
      <c r="L562" s="36"/>
      <c r="M562" s="36"/>
      <c r="N562" s="51"/>
      <c r="O562" s="36"/>
      <c r="P562" s="36"/>
      <c r="Q562" s="36"/>
      <c r="R562" s="51"/>
      <c r="S562" s="36"/>
      <c r="T562" s="36"/>
      <c r="U562" s="36"/>
      <c r="V562" s="51"/>
      <c r="W562" s="36"/>
      <c r="X562" s="36"/>
      <c r="Y562" s="36">
        <v>-212</v>
      </c>
      <c r="Z562" s="51">
        <f t="shared" si="30"/>
        <v>-212</v>
      </c>
      <c r="AA562" s="36"/>
      <c r="AB562" s="36"/>
      <c r="AC562" s="36"/>
      <c r="AD562" s="51"/>
      <c r="AE562" s="36"/>
      <c r="AF562" s="36"/>
      <c r="AG562" s="36"/>
      <c r="AH562" s="51"/>
      <c r="AI562" s="36"/>
      <c r="AJ562" s="36"/>
      <c r="AK562" s="36"/>
      <c r="AL562" s="51"/>
      <c r="AM562" s="36"/>
      <c r="AN562" s="36"/>
      <c r="AO562" s="36"/>
      <c r="AP562" s="51"/>
      <c r="AQ562" s="36"/>
      <c r="AR562" s="36"/>
      <c r="AS562" s="36"/>
      <c r="AT562" s="51"/>
      <c r="AU562" s="36"/>
      <c r="AV562" s="36">
        <v>-38</v>
      </c>
      <c r="AW562" s="36">
        <v>-150</v>
      </c>
      <c r="AX562" s="51">
        <f>AVERAGE(AV562,AW562)</f>
        <v>-94</v>
      </c>
    </row>
    <row r="563" spans="1:50" ht="10.199999999999999" customHeight="1" x14ac:dyDescent="0.25">
      <c r="A563" s="14">
        <v>52</v>
      </c>
      <c r="B563" s="103">
        <v>39443</v>
      </c>
      <c r="C563" s="103">
        <v>39436</v>
      </c>
      <c r="D563" s="36">
        <v>-44</v>
      </c>
      <c r="E563" s="36"/>
      <c r="F563" s="51">
        <f t="shared" si="29"/>
        <v>-44</v>
      </c>
      <c r="G563" s="36"/>
      <c r="H563" s="36"/>
      <c r="I563" s="36"/>
      <c r="J563" s="51"/>
      <c r="K563" s="36"/>
      <c r="L563" s="36">
        <v>-208</v>
      </c>
      <c r="M563" s="36"/>
      <c r="N563" s="51">
        <f>AVERAGE(L563,M563)</f>
        <v>-208</v>
      </c>
      <c r="O563" s="36"/>
      <c r="P563" s="36"/>
      <c r="Q563" s="36"/>
      <c r="R563" s="51"/>
      <c r="S563" s="36"/>
      <c r="T563" s="36"/>
      <c r="U563" s="36"/>
      <c r="V563" s="51"/>
      <c r="W563" s="36"/>
      <c r="X563" s="36"/>
      <c r="Y563" s="36">
        <v>-200</v>
      </c>
      <c r="Z563" s="51">
        <f t="shared" si="30"/>
        <v>-200</v>
      </c>
      <c r="AA563" s="36"/>
      <c r="AB563" s="36"/>
      <c r="AC563" s="36"/>
      <c r="AD563" s="51"/>
      <c r="AE563" s="36"/>
      <c r="AF563" s="36"/>
      <c r="AG563" s="36"/>
      <c r="AH563" s="51"/>
      <c r="AI563" s="36"/>
      <c r="AJ563" s="36"/>
      <c r="AK563" s="36"/>
      <c r="AL563" s="51"/>
      <c r="AM563" s="36"/>
      <c r="AN563" s="36"/>
      <c r="AO563" s="36"/>
      <c r="AP563" s="51"/>
      <c r="AQ563" s="36"/>
      <c r="AR563" s="36"/>
      <c r="AS563" s="36"/>
      <c r="AT563" s="51"/>
      <c r="AU563" s="36"/>
      <c r="AV563" s="36"/>
      <c r="AW563" s="36"/>
      <c r="AX563" s="49"/>
    </row>
    <row r="564" spans="1:50" ht="10.199999999999999" customHeight="1" x14ac:dyDescent="0.25">
      <c r="A564" s="14">
        <v>1</v>
      </c>
      <c r="B564" s="103">
        <v>39450</v>
      </c>
      <c r="C564" s="103">
        <v>39443</v>
      </c>
      <c r="D564" s="36">
        <v>57</v>
      </c>
      <c r="E564" s="36">
        <v>50</v>
      </c>
      <c r="F564" s="51">
        <f t="shared" si="29"/>
        <v>53.5</v>
      </c>
      <c r="G564" s="36"/>
      <c r="H564" s="36"/>
      <c r="I564" s="36"/>
      <c r="J564" s="51"/>
      <c r="K564" s="36"/>
      <c r="L564" s="36"/>
      <c r="M564" s="36"/>
      <c r="N564" s="51"/>
      <c r="O564" s="36"/>
      <c r="P564" s="36"/>
      <c r="Q564" s="36"/>
      <c r="R564" s="51"/>
      <c r="S564" s="36"/>
      <c r="T564" s="36"/>
      <c r="U564" s="36"/>
      <c r="V564" s="51"/>
      <c r="W564" s="36"/>
      <c r="X564" s="36"/>
      <c r="Y564" s="36">
        <v>-207</v>
      </c>
      <c r="Z564" s="51">
        <f t="shared" si="30"/>
        <v>-207</v>
      </c>
      <c r="AA564" s="36"/>
      <c r="AB564" s="36"/>
      <c r="AC564" s="36"/>
      <c r="AD564" s="51"/>
      <c r="AE564" s="36"/>
      <c r="AF564" s="36"/>
      <c r="AG564" s="36"/>
      <c r="AH564" s="51"/>
      <c r="AI564" s="36"/>
      <c r="AJ564" s="36"/>
      <c r="AK564" s="36"/>
      <c r="AL564" s="51"/>
      <c r="AM564" s="36"/>
      <c r="AN564" s="36"/>
      <c r="AO564" s="36"/>
      <c r="AP564" s="51"/>
      <c r="AQ564" s="36"/>
      <c r="AR564" s="36"/>
      <c r="AS564" s="36"/>
      <c r="AT564" s="51"/>
      <c r="AU564" s="36"/>
      <c r="AV564" s="36"/>
      <c r="AW564" s="36"/>
      <c r="AX564" s="49"/>
    </row>
    <row r="565" spans="1:50" ht="10.199999999999999" customHeight="1" x14ac:dyDescent="0.25">
      <c r="A565" s="14">
        <v>2</v>
      </c>
      <c r="B565" s="103">
        <v>39457</v>
      </c>
      <c r="C565" s="103">
        <v>39450</v>
      </c>
      <c r="D565" s="36">
        <v>50</v>
      </c>
      <c r="E565" s="36">
        <v>13</v>
      </c>
      <c r="F565" s="51">
        <f t="shared" si="29"/>
        <v>31.5</v>
      </c>
      <c r="G565" s="36"/>
      <c r="H565" s="36">
        <v>-121</v>
      </c>
      <c r="I565" s="36"/>
      <c r="J565" s="51">
        <f t="shared" ref="J565:J571" si="31">AVERAGE(H565,I565)</f>
        <v>-121</v>
      </c>
      <c r="K565" s="36"/>
      <c r="L565" s="36">
        <v>-225</v>
      </c>
      <c r="M565" s="36"/>
      <c r="N565" s="51">
        <f t="shared" ref="N565:N575" si="32">AVERAGE(L565,M565)</f>
        <v>-225</v>
      </c>
      <c r="O565" s="36"/>
      <c r="P565" s="36"/>
      <c r="Q565" s="36"/>
      <c r="R565" s="51"/>
      <c r="S565" s="36"/>
      <c r="T565" s="36"/>
      <c r="U565" s="36"/>
      <c r="V565" s="51"/>
      <c r="W565" s="36"/>
      <c r="X565" s="36"/>
      <c r="Y565" s="36">
        <v>-213</v>
      </c>
      <c r="Z565" s="51">
        <f t="shared" si="30"/>
        <v>-213</v>
      </c>
      <c r="AA565" s="36"/>
      <c r="AB565" s="36"/>
      <c r="AC565" s="36"/>
      <c r="AD565" s="51"/>
      <c r="AE565" s="36"/>
      <c r="AF565" s="36"/>
      <c r="AG565" s="36"/>
      <c r="AH565" s="51"/>
      <c r="AI565" s="36"/>
      <c r="AJ565" s="36"/>
      <c r="AK565" s="36"/>
      <c r="AL565" s="51"/>
      <c r="AM565" s="36"/>
      <c r="AN565" s="36"/>
      <c r="AO565" s="36"/>
      <c r="AP565" s="51"/>
      <c r="AQ565" s="36"/>
      <c r="AR565" s="36"/>
      <c r="AS565" s="36"/>
      <c r="AT565" s="51"/>
      <c r="AU565" s="36"/>
      <c r="AV565" s="36"/>
      <c r="AW565" s="36"/>
      <c r="AX565" s="49"/>
    </row>
    <row r="566" spans="1:50" ht="10.199999999999999" customHeight="1" x14ac:dyDescent="0.25">
      <c r="A566" s="14">
        <v>3</v>
      </c>
      <c r="B566" s="103">
        <v>39464</v>
      </c>
      <c r="C566" s="103">
        <v>39457</v>
      </c>
      <c r="D566" s="36">
        <v>125</v>
      </c>
      <c r="E566" s="36"/>
      <c r="F566" s="51">
        <f t="shared" si="29"/>
        <v>125</v>
      </c>
      <c r="G566" s="36"/>
      <c r="H566" s="36">
        <v>-21</v>
      </c>
      <c r="I566" s="36"/>
      <c r="J566" s="51">
        <f t="shared" si="31"/>
        <v>-21</v>
      </c>
      <c r="K566" s="36"/>
      <c r="L566" s="36">
        <v>-200</v>
      </c>
      <c r="M566" s="36"/>
      <c r="N566" s="51">
        <f t="shared" si="32"/>
        <v>-200</v>
      </c>
      <c r="O566" s="36"/>
      <c r="P566" s="36"/>
      <c r="Q566" s="36"/>
      <c r="R566" s="51"/>
      <c r="S566" s="36"/>
      <c r="T566" s="36"/>
      <c r="U566" s="36"/>
      <c r="V566" s="51"/>
      <c r="W566" s="36"/>
      <c r="X566" s="36">
        <v>-188</v>
      </c>
      <c r="Y566" s="36">
        <v>-219</v>
      </c>
      <c r="Z566" s="51">
        <f t="shared" si="30"/>
        <v>-203.5</v>
      </c>
      <c r="AA566" s="36"/>
      <c r="AB566" s="36"/>
      <c r="AC566" s="36"/>
      <c r="AD566" s="51"/>
      <c r="AE566" s="36"/>
      <c r="AF566" s="36"/>
      <c r="AG566" s="36"/>
      <c r="AH566" s="51"/>
      <c r="AI566" s="36"/>
      <c r="AJ566" s="36"/>
      <c r="AK566" s="36"/>
      <c r="AL566" s="51"/>
      <c r="AM566" s="36"/>
      <c r="AN566" s="36"/>
      <c r="AO566" s="36"/>
      <c r="AP566" s="51"/>
      <c r="AQ566" s="36"/>
      <c r="AR566" s="36"/>
      <c r="AS566" s="36"/>
      <c r="AT566" s="51"/>
      <c r="AU566" s="36"/>
      <c r="AV566" s="36"/>
      <c r="AW566" s="36"/>
      <c r="AX566" s="49"/>
    </row>
    <row r="567" spans="1:50" ht="10.199999999999999" customHeight="1" x14ac:dyDescent="0.25">
      <c r="A567" s="14">
        <v>4</v>
      </c>
      <c r="B567" s="103">
        <v>39471</v>
      </c>
      <c r="C567" s="103">
        <v>39464</v>
      </c>
      <c r="D567" s="36"/>
      <c r="E567" s="36"/>
      <c r="F567" s="51"/>
      <c r="G567" s="36"/>
      <c r="H567" s="36">
        <v>100</v>
      </c>
      <c r="I567" s="36"/>
      <c r="J567" s="51">
        <f t="shared" si="31"/>
        <v>100</v>
      </c>
      <c r="K567" s="36"/>
      <c r="L567" s="36">
        <v>-100</v>
      </c>
      <c r="M567" s="36"/>
      <c r="N567" s="51">
        <f t="shared" si="32"/>
        <v>-100</v>
      </c>
      <c r="O567" s="36"/>
      <c r="P567" s="36"/>
      <c r="Q567" s="36"/>
      <c r="R567" s="51"/>
      <c r="S567" s="36"/>
      <c r="T567" s="36"/>
      <c r="U567" s="36"/>
      <c r="V567" s="51"/>
      <c r="W567" s="36"/>
      <c r="X567" s="36">
        <v>-167</v>
      </c>
      <c r="Y567" s="36">
        <v>-113</v>
      </c>
      <c r="Z567" s="51">
        <f t="shared" si="30"/>
        <v>-140</v>
      </c>
      <c r="AA567" s="36"/>
      <c r="AB567" s="36"/>
      <c r="AC567" s="36"/>
      <c r="AD567" s="51"/>
      <c r="AE567" s="36"/>
      <c r="AF567" s="36"/>
      <c r="AG567" s="36"/>
      <c r="AH567" s="51"/>
      <c r="AI567" s="36"/>
      <c r="AJ567" s="36"/>
      <c r="AK567" s="36"/>
      <c r="AL567" s="51"/>
      <c r="AM567" s="36"/>
      <c r="AN567" s="36"/>
      <c r="AO567" s="36"/>
      <c r="AP567" s="51"/>
      <c r="AQ567" s="36"/>
      <c r="AR567" s="36"/>
      <c r="AS567" s="36"/>
      <c r="AT567" s="51"/>
      <c r="AU567" s="36"/>
      <c r="AV567" s="36"/>
      <c r="AW567" s="36"/>
      <c r="AX567" s="49"/>
    </row>
    <row r="568" spans="1:50" ht="10.199999999999999" customHeight="1" x14ac:dyDescent="0.25">
      <c r="A568" s="14">
        <v>5</v>
      </c>
      <c r="B568" s="103">
        <v>39478</v>
      </c>
      <c r="C568" s="103">
        <v>39471</v>
      </c>
      <c r="D568" s="36"/>
      <c r="E568" s="36"/>
      <c r="F568" s="51"/>
      <c r="G568" s="36"/>
      <c r="H568" s="36">
        <v>25</v>
      </c>
      <c r="I568" s="36"/>
      <c r="J568" s="51">
        <f t="shared" si="31"/>
        <v>25</v>
      </c>
      <c r="K568" s="36"/>
      <c r="L568" s="36">
        <v>-150</v>
      </c>
      <c r="M568" s="36"/>
      <c r="N568" s="51">
        <f t="shared" si="32"/>
        <v>-150</v>
      </c>
      <c r="O568" s="36"/>
      <c r="P568" s="36"/>
      <c r="Q568" s="36"/>
      <c r="R568" s="51"/>
      <c r="S568" s="36"/>
      <c r="T568" s="36"/>
      <c r="U568" s="36"/>
      <c r="V568" s="51"/>
      <c r="W568" s="36"/>
      <c r="X568" s="36"/>
      <c r="Y568" s="36">
        <v>-150</v>
      </c>
      <c r="Z568" s="51">
        <f t="shared" si="30"/>
        <v>-150</v>
      </c>
      <c r="AA568" s="36"/>
      <c r="AB568" s="36"/>
      <c r="AC568" s="36"/>
      <c r="AD568" s="51"/>
      <c r="AE568" s="36"/>
      <c r="AF568" s="36"/>
      <c r="AG568" s="36"/>
      <c r="AH568" s="51"/>
      <c r="AI568" s="36"/>
      <c r="AJ568" s="36"/>
      <c r="AK568" s="36"/>
      <c r="AL568" s="51"/>
      <c r="AM568" s="36"/>
      <c r="AN568" s="36"/>
      <c r="AO568" s="36"/>
      <c r="AP568" s="51"/>
      <c r="AQ568" s="36"/>
      <c r="AR568" s="36"/>
      <c r="AS568" s="36"/>
      <c r="AT568" s="51"/>
      <c r="AU568" s="36"/>
      <c r="AV568" s="36"/>
      <c r="AW568" s="36"/>
      <c r="AX568" s="49"/>
    </row>
    <row r="569" spans="1:50" ht="10.199999999999999" customHeight="1" x14ac:dyDescent="0.25">
      <c r="A569" s="14">
        <v>6</v>
      </c>
      <c r="B569" s="103">
        <v>39485</v>
      </c>
      <c r="C569" s="103">
        <v>39478</v>
      </c>
      <c r="D569" s="36"/>
      <c r="E569" s="36"/>
      <c r="F569" s="51"/>
      <c r="G569" s="36"/>
      <c r="H569" s="36">
        <v>78</v>
      </c>
      <c r="I569" s="36">
        <v>-13</v>
      </c>
      <c r="J569" s="51">
        <f t="shared" si="31"/>
        <v>32.5</v>
      </c>
      <c r="K569" s="36"/>
      <c r="L569" s="36">
        <v>-188</v>
      </c>
      <c r="M569" s="36"/>
      <c r="N569" s="51">
        <f t="shared" si="32"/>
        <v>-188</v>
      </c>
      <c r="O569" s="36"/>
      <c r="P569" s="36"/>
      <c r="Q569" s="36"/>
      <c r="R569" s="51"/>
      <c r="S569" s="36"/>
      <c r="T569" s="36"/>
      <c r="U569" s="36"/>
      <c r="V569" s="51"/>
      <c r="W569" s="36"/>
      <c r="X569" s="36"/>
      <c r="Y569" s="36">
        <v>-163</v>
      </c>
      <c r="Z569" s="51">
        <f t="shared" si="30"/>
        <v>-163</v>
      </c>
      <c r="AA569" s="36"/>
      <c r="AB569" s="36"/>
      <c r="AC569" s="36"/>
      <c r="AD569" s="51"/>
      <c r="AE569" s="36"/>
      <c r="AF569" s="36"/>
      <c r="AG569" s="36"/>
      <c r="AH569" s="51"/>
      <c r="AI569" s="36"/>
      <c r="AJ569" s="36"/>
      <c r="AK569" s="36"/>
      <c r="AL569" s="51"/>
      <c r="AM569" s="36"/>
      <c r="AN569" s="36"/>
      <c r="AO569" s="36"/>
      <c r="AP569" s="51"/>
      <c r="AQ569" s="36"/>
      <c r="AR569" s="36"/>
      <c r="AS569" s="36"/>
      <c r="AT569" s="51"/>
      <c r="AU569" s="36"/>
      <c r="AV569" s="36"/>
      <c r="AW569" s="36"/>
      <c r="AX569" s="49"/>
    </row>
    <row r="570" spans="1:50" ht="10.199999999999999" customHeight="1" x14ac:dyDescent="0.25">
      <c r="A570" s="14">
        <v>7</v>
      </c>
      <c r="B570" s="103">
        <v>39492</v>
      </c>
      <c r="C570" s="103">
        <v>39485</v>
      </c>
      <c r="D570" s="36"/>
      <c r="E570" s="36"/>
      <c r="F570" s="51"/>
      <c r="G570" s="36"/>
      <c r="H570" s="36">
        <v>213</v>
      </c>
      <c r="I570" s="36">
        <v>0</v>
      </c>
      <c r="J570" s="51">
        <f t="shared" si="31"/>
        <v>106.5</v>
      </c>
      <c r="K570" s="36"/>
      <c r="L570" s="36">
        <v>25</v>
      </c>
      <c r="M570" s="36"/>
      <c r="N570" s="51">
        <f t="shared" si="32"/>
        <v>25</v>
      </c>
      <c r="O570" s="36"/>
      <c r="P570" s="36"/>
      <c r="Q570" s="36"/>
      <c r="R570" s="51"/>
      <c r="S570" s="36"/>
      <c r="T570" s="36"/>
      <c r="U570" s="36"/>
      <c r="V570" s="51"/>
      <c r="W570" s="36"/>
      <c r="X570" s="36">
        <v>-150</v>
      </c>
      <c r="Y570" s="36">
        <v>-175</v>
      </c>
      <c r="Z570" s="51">
        <f t="shared" si="30"/>
        <v>-162.5</v>
      </c>
      <c r="AA570" s="36"/>
      <c r="AB570" s="36"/>
      <c r="AC570" s="36"/>
      <c r="AD570" s="51"/>
      <c r="AE570" s="36"/>
      <c r="AF570" s="36"/>
      <c r="AG570" s="36"/>
      <c r="AH570" s="51"/>
      <c r="AI570" s="36"/>
      <c r="AJ570" s="36"/>
      <c r="AK570" s="36"/>
      <c r="AL570" s="51"/>
      <c r="AM570" s="36"/>
      <c r="AN570" s="36"/>
      <c r="AO570" s="36"/>
      <c r="AP570" s="51"/>
      <c r="AQ570" s="36"/>
      <c r="AR570" s="36"/>
      <c r="AS570" s="36"/>
      <c r="AT570" s="51"/>
      <c r="AU570" s="36"/>
      <c r="AV570" s="36"/>
      <c r="AW570" s="36"/>
      <c r="AX570" s="49"/>
    </row>
    <row r="571" spans="1:50" ht="10.199999999999999" customHeight="1" x14ac:dyDescent="0.25">
      <c r="A571" s="14">
        <v>8</v>
      </c>
      <c r="B571" s="103">
        <v>39499</v>
      </c>
      <c r="C571" s="103">
        <v>39492</v>
      </c>
      <c r="D571" s="36"/>
      <c r="E571" s="36"/>
      <c r="F571" s="51"/>
      <c r="G571" s="36"/>
      <c r="H571" s="36">
        <v>700</v>
      </c>
      <c r="I571" s="36">
        <v>213</v>
      </c>
      <c r="J571" s="51">
        <f t="shared" si="31"/>
        <v>456.5</v>
      </c>
      <c r="K571" s="36"/>
      <c r="L571" s="36">
        <v>167</v>
      </c>
      <c r="M571" s="36">
        <v>75</v>
      </c>
      <c r="N571" s="51">
        <f t="shared" si="32"/>
        <v>121</v>
      </c>
      <c r="O571" s="36"/>
      <c r="P571" s="36"/>
      <c r="Q571" s="36"/>
      <c r="R571" s="51"/>
      <c r="S571" s="36"/>
      <c r="T571" s="36"/>
      <c r="U571" s="36"/>
      <c r="V571" s="51"/>
      <c r="W571" s="36"/>
      <c r="X571" s="36">
        <v>-142</v>
      </c>
      <c r="Y571" s="36"/>
      <c r="Z571" s="51">
        <f t="shared" si="30"/>
        <v>-142</v>
      </c>
      <c r="AA571" s="36"/>
      <c r="AB571" s="36"/>
      <c r="AC571" s="36"/>
      <c r="AD571" s="51"/>
      <c r="AE571" s="36"/>
      <c r="AF571" s="36"/>
      <c r="AG571" s="36"/>
      <c r="AH571" s="51"/>
      <c r="AI571" s="36"/>
      <c r="AJ571" s="36"/>
      <c r="AK571" s="36"/>
      <c r="AL571" s="51"/>
      <c r="AM571" s="36"/>
      <c r="AN571" s="36"/>
      <c r="AO571" s="36"/>
      <c r="AP571" s="51"/>
      <c r="AQ571" s="36"/>
      <c r="AR571" s="36"/>
      <c r="AS571" s="36"/>
      <c r="AT571" s="51"/>
      <c r="AU571" s="36"/>
      <c r="AV571" s="36"/>
      <c r="AW571" s="36"/>
      <c r="AX571" s="49"/>
    </row>
    <row r="572" spans="1:50" ht="10.199999999999999" customHeight="1" x14ac:dyDescent="0.25">
      <c r="A572" s="14">
        <v>9</v>
      </c>
      <c r="B572" s="103">
        <v>39506</v>
      </c>
      <c r="C572" s="103">
        <v>39499</v>
      </c>
      <c r="D572" s="36"/>
      <c r="E572" s="36"/>
      <c r="F572" s="51"/>
      <c r="G572" s="36"/>
      <c r="H572" s="36"/>
      <c r="I572" s="36"/>
      <c r="J572" s="51"/>
      <c r="K572" s="36"/>
      <c r="L572" s="36">
        <v>42</v>
      </c>
      <c r="M572" s="36">
        <v>-25</v>
      </c>
      <c r="N572" s="51">
        <f t="shared" si="32"/>
        <v>8.5</v>
      </c>
      <c r="O572" s="36"/>
      <c r="P572" s="36">
        <v>-268</v>
      </c>
      <c r="Q572" s="36"/>
      <c r="R572" s="51">
        <f t="shared" ref="R572:R579" si="33">AVERAGE(P572,Q572)</f>
        <v>-268</v>
      </c>
      <c r="S572" s="36"/>
      <c r="T572" s="36"/>
      <c r="U572" s="36"/>
      <c r="V572" s="51"/>
      <c r="W572" s="36"/>
      <c r="X572" s="36">
        <v>-167</v>
      </c>
      <c r="Y572" s="36">
        <v>-150</v>
      </c>
      <c r="Z572" s="51">
        <f t="shared" si="30"/>
        <v>-158.5</v>
      </c>
      <c r="AA572" s="36"/>
      <c r="AB572" s="36"/>
      <c r="AC572" s="36"/>
      <c r="AD572" s="51"/>
      <c r="AE572" s="36"/>
      <c r="AF572" s="36"/>
      <c r="AG572" s="36"/>
      <c r="AH572" s="51"/>
      <c r="AI572" s="36"/>
      <c r="AJ572" s="36"/>
      <c r="AK572" s="36"/>
      <c r="AL572" s="51"/>
      <c r="AM572" s="36"/>
      <c r="AN572" s="36"/>
      <c r="AO572" s="36"/>
      <c r="AP572" s="51"/>
      <c r="AQ572" s="36"/>
      <c r="AR572" s="36"/>
      <c r="AS572" s="36"/>
      <c r="AT572" s="51"/>
      <c r="AU572" s="36"/>
      <c r="AV572" s="36"/>
      <c r="AW572" s="36"/>
      <c r="AX572" s="49"/>
    </row>
    <row r="573" spans="1:50" ht="10.199999999999999" customHeight="1" x14ac:dyDescent="0.25">
      <c r="A573" s="14">
        <v>10</v>
      </c>
      <c r="B573" s="103">
        <v>39513</v>
      </c>
      <c r="C573" s="103">
        <v>39506</v>
      </c>
      <c r="D573" s="36"/>
      <c r="E573" s="36"/>
      <c r="F573" s="51"/>
      <c r="G573" s="36"/>
      <c r="H573" s="36"/>
      <c r="I573" s="36"/>
      <c r="J573" s="51"/>
      <c r="K573" s="36"/>
      <c r="L573" s="36">
        <v>48</v>
      </c>
      <c r="M573" s="36">
        <v>-38</v>
      </c>
      <c r="N573" s="51">
        <f t="shared" si="32"/>
        <v>5</v>
      </c>
      <c r="O573" s="36"/>
      <c r="P573" s="36">
        <v>-223</v>
      </c>
      <c r="Q573" s="36"/>
      <c r="R573" s="51">
        <f t="shared" si="33"/>
        <v>-223</v>
      </c>
      <c r="S573" s="36"/>
      <c r="T573" s="36"/>
      <c r="U573" s="36"/>
      <c r="V573" s="51"/>
      <c r="W573" s="36"/>
      <c r="X573" s="36">
        <v>-167</v>
      </c>
      <c r="Y573" s="36">
        <v>-175</v>
      </c>
      <c r="Z573" s="51">
        <f t="shared" si="30"/>
        <v>-171</v>
      </c>
      <c r="AA573" s="36"/>
      <c r="AB573" s="36">
        <v>-100</v>
      </c>
      <c r="AC573" s="36"/>
      <c r="AD573" s="51">
        <f>AVERAGE(AB573,AC573)</f>
        <v>-100</v>
      </c>
      <c r="AE573" s="36"/>
      <c r="AF573" s="36"/>
      <c r="AG573" s="36"/>
      <c r="AH573" s="51"/>
      <c r="AI573" s="36"/>
      <c r="AJ573" s="36"/>
      <c r="AK573" s="36"/>
      <c r="AL573" s="51"/>
      <c r="AM573" s="36"/>
      <c r="AN573" s="36"/>
      <c r="AO573" s="36"/>
      <c r="AP573" s="51"/>
      <c r="AQ573" s="36"/>
      <c r="AR573" s="36"/>
      <c r="AS573" s="36"/>
      <c r="AT573" s="51"/>
      <c r="AU573" s="36"/>
      <c r="AV573" s="36"/>
      <c r="AW573" s="36"/>
      <c r="AX573" s="49"/>
    </row>
    <row r="574" spans="1:50" ht="10.199999999999999" customHeight="1" x14ac:dyDescent="0.25">
      <c r="A574" s="14">
        <v>11</v>
      </c>
      <c r="B574" s="103">
        <v>39520</v>
      </c>
      <c r="C574" s="103">
        <v>39513</v>
      </c>
      <c r="D574" s="36"/>
      <c r="E574" s="36"/>
      <c r="F574" s="51"/>
      <c r="G574" s="36"/>
      <c r="H574" s="36"/>
      <c r="I574" s="36"/>
      <c r="J574" s="51"/>
      <c r="K574" s="36"/>
      <c r="L574" s="36">
        <v>-6</v>
      </c>
      <c r="M574" s="36">
        <v>0</v>
      </c>
      <c r="N574" s="51">
        <f t="shared" si="32"/>
        <v>-3</v>
      </c>
      <c r="O574" s="36"/>
      <c r="P574" s="36">
        <v>-229</v>
      </c>
      <c r="Q574" s="36"/>
      <c r="R574" s="51">
        <f t="shared" si="33"/>
        <v>-229</v>
      </c>
      <c r="S574" s="36"/>
      <c r="T574" s="36"/>
      <c r="U574" s="36"/>
      <c r="V574" s="51"/>
      <c r="W574" s="36"/>
      <c r="X574" s="36">
        <v>-167</v>
      </c>
      <c r="Y574" s="36">
        <v>-175</v>
      </c>
      <c r="Z574" s="51">
        <f t="shared" si="30"/>
        <v>-171</v>
      </c>
      <c r="AA574" s="36"/>
      <c r="AB574" s="36">
        <v>-100</v>
      </c>
      <c r="AC574" s="36">
        <v>-100</v>
      </c>
      <c r="AD574" s="51">
        <f>AVERAGE(AB574,AC574)</f>
        <v>-100</v>
      </c>
      <c r="AE574" s="36"/>
      <c r="AF574" s="36"/>
      <c r="AG574" s="36"/>
      <c r="AH574" s="51"/>
      <c r="AI574" s="36"/>
      <c r="AJ574" s="36"/>
      <c r="AK574" s="36"/>
      <c r="AL574" s="51"/>
      <c r="AM574" s="36"/>
      <c r="AN574" s="36"/>
      <c r="AO574" s="36"/>
      <c r="AP574" s="51"/>
      <c r="AQ574" s="36"/>
      <c r="AR574" s="36"/>
      <c r="AS574" s="36"/>
      <c r="AT574" s="51"/>
      <c r="AU574" s="36"/>
      <c r="AV574" s="36"/>
      <c r="AW574" s="36"/>
      <c r="AX574" s="49"/>
    </row>
    <row r="575" spans="1:50" ht="10.199999999999999" customHeight="1" x14ac:dyDescent="0.25">
      <c r="A575" s="14">
        <v>12</v>
      </c>
      <c r="B575" s="103">
        <v>39527</v>
      </c>
      <c r="C575" s="103">
        <v>39520</v>
      </c>
      <c r="D575" s="36"/>
      <c r="E575" s="36"/>
      <c r="F575" s="51"/>
      <c r="G575" s="36"/>
      <c r="H575" s="36"/>
      <c r="I575" s="36"/>
      <c r="J575" s="51"/>
      <c r="K575" s="36"/>
      <c r="L575" s="36">
        <v>200</v>
      </c>
      <c r="M575" s="36">
        <v>63</v>
      </c>
      <c r="N575" s="51">
        <f t="shared" si="32"/>
        <v>131.5</v>
      </c>
      <c r="O575" s="36"/>
      <c r="P575" s="36">
        <v>-144</v>
      </c>
      <c r="Q575" s="36"/>
      <c r="R575" s="51">
        <f t="shared" si="33"/>
        <v>-144</v>
      </c>
      <c r="S575" s="36"/>
      <c r="T575" s="36"/>
      <c r="U575" s="36"/>
      <c r="V575" s="51"/>
      <c r="W575" s="36"/>
      <c r="X575" s="36">
        <v>-167</v>
      </c>
      <c r="Y575" s="36">
        <v>-175</v>
      </c>
      <c r="Z575" s="51">
        <f t="shared" si="30"/>
        <v>-171</v>
      </c>
      <c r="AA575" s="36"/>
      <c r="AB575" s="36">
        <v>-125</v>
      </c>
      <c r="AC575" s="36"/>
      <c r="AD575" s="51">
        <f>AVERAGE(AB575,AC575)</f>
        <v>-125</v>
      </c>
      <c r="AE575" s="36"/>
      <c r="AF575" s="36"/>
      <c r="AG575" s="36"/>
      <c r="AH575" s="51"/>
      <c r="AI575" s="36"/>
      <c r="AJ575" s="36"/>
      <c r="AK575" s="36"/>
      <c r="AL575" s="51"/>
      <c r="AM575" s="36"/>
      <c r="AN575" s="36"/>
      <c r="AO575" s="36"/>
      <c r="AP575" s="51"/>
      <c r="AQ575" s="36"/>
      <c r="AR575" s="36"/>
      <c r="AS575" s="36"/>
      <c r="AT575" s="51"/>
      <c r="AU575" s="36"/>
      <c r="AV575" s="36"/>
      <c r="AW575" s="36"/>
      <c r="AX575" s="49"/>
    </row>
    <row r="576" spans="1:50" ht="10.199999999999999" customHeight="1" x14ac:dyDescent="0.25">
      <c r="A576" s="14">
        <v>13</v>
      </c>
      <c r="B576" s="103">
        <v>39534</v>
      </c>
      <c r="C576" s="103">
        <v>39527</v>
      </c>
      <c r="D576" s="36"/>
      <c r="E576" s="36"/>
      <c r="F576" s="51"/>
      <c r="G576" s="36"/>
      <c r="H576" s="36"/>
      <c r="I576" s="36"/>
      <c r="J576" s="51"/>
      <c r="K576" s="36"/>
      <c r="L576" s="36"/>
      <c r="M576" s="36"/>
      <c r="N576" s="51"/>
      <c r="O576" s="36"/>
      <c r="P576" s="36">
        <v>-188</v>
      </c>
      <c r="Q576" s="36"/>
      <c r="R576" s="51">
        <f t="shared" si="33"/>
        <v>-188</v>
      </c>
      <c r="S576" s="36"/>
      <c r="T576" s="36">
        <v>-275</v>
      </c>
      <c r="U576" s="36"/>
      <c r="V576" s="51">
        <f>AVERAGE(T576,U576)</f>
        <v>-275</v>
      </c>
      <c r="W576" s="36"/>
      <c r="X576" s="36">
        <v>-167</v>
      </c>
      <c r="Y576" s="36">
        <v>-175</v>
      </c>
      <c r="Z576" s="51">
        <f t="shared" si="30"/>
        <v>-171</v>
      </c>
      <c r="AA576" s="36"/>
      <c r="AB576" s="36"/>
      <c r="AC576" s="36"/>
      <c r="AD576" s="51"/>
      <c r="AE576" s="36"/>
      <c r="AF576" s="36"/>
      <c r="AG576" s="36"/>
      <c r="AH576" s="51"/>
      <c r="AI576" s="36"/>
      <c r="AJ576" s="36"/>
      <c r="AK576" s="36"/>
      <c r="AL576" s="51"/>
      <c r="AM576" s="36"/>
      <c r="AN576" s="36"/>
      <c r="AO576" s="36"/>
      <c r="AP576" s="51"/>
      <c r="AQ576" s="36"/>
      <c r="AR576" s="36"/>
      <c r="AS576" s="36"/>
      <c r="AT576" s="51"/>
      <c r="AU576" s="36"/>
      <c r="AV576" s="36"/>
      <c r="AW576" s="36"/>
      <c r="AX576" s="49"/>
    </row>
    <row r="577" spans="1:50" ht="10.199999999999999" customHeight="1" x14ac:dyDescent="0.25">
      <c r="A577" s="14">
        <v>14</v>
      </c>
      <c r="B577" s="103">
        <v>39541</v>
      </c>
      <c r="C577" s="103">
        <v>39534</v>
      </c>
      <c r="D577" s="36"/>
      <c r="E577" s="36"/>
      <c r="F577" s="51"/>
      <c r="G577" s="36"/>
      <c r="H577" s="36"/>
      <c r="I577" s="36"/>
      <c r="J577" s="51"/>
      <c r="K577" s="36"/>
      <c r="L577" s="36"/>
      <c r="M577" s="36"/>
      <c r="N577" s="51"/>
      <c r="O577" s="36"/>
      <c r="P577" s="36">
        <v>-226</v>
      </c>
      <c r="Q577" s="36">
        <v>-150</v>
      </c>
      <c r="R577" s="51">
        <f t="shared" si="33"/>
        <v>-188</v>
      </c>
      <c r="S577" s="36"/>
      <c r="T577" s="36"/>
      <c r="U577" s="36"/>
      <c r="V577" s="51"/>
      <c r="W577" s="36"/>
      <c r="X577" s="36">
        <v>-167</v>
      </c>
      <c r="Y577" s="36">
        <v>-175</v>
      </c>
      <c r="Z577" s="51">
        <f t="shared" si="30"/>
        <v>-171</v>
      </c>
      <c r="AA577" s="36"/>
      <c r="AB577" s="36"/>
      <c r="AC577" s="36"/>
      <c r="AD577" s="51"/>
      <c r="AE577" s="36"/>
      <c r="AF577" s="36"/>
      <c r="AG577" s="36"/>
      <c r="AH577" s="51"/>
      <c r="AI577" s="36"/>
      <c r="AJ577" s="36"/>
      <c r="AK577" s="36"/>
      <c r="AL577" s="51"/>
      <c r="AM577" s="36"/>
      <c r="AN577" s="36"/>
      <c r="AO577" s="36"/>
      <c r="AP577" s="51"/>
      <c r="AQ577" s="36"/>
      <c r="AR577" s="36"/>
      <c r="AS577" s="36"/>
      <c r="AT577" s="51"/>
      <c r="AU577" s="36"/>
      <c r="AV577" s="36"/>
      <c r="AW577" s="36"/>
      <c r="AX577" s="49"/>
    </row>
    <row r="578" spans="1:50" ht="10.199999999999999" customHeight="1" x14ac:dyDescent="0.25">
      <c r="A578" s="14">
        <v>15</v>
      </c>
      <c r="B578" s="103">
        <v>39548</v>
      </c>
      <c r="C578" s="103">
        <v>39541</v>
      </c>
      <c r="D578" s="36"/>
      <c r="E578" s="36"/>
      <c r="F578" s="51"/>
      <c r="G578" s="36"/>
      <c r="H578" s="36"/>
      <c r="I578" s="36"/>
      <c r="J578" s="51"/>
      <c r="K578" s="36"/>
      <c r="L578" s="36"/>
      <c r="M578" s="36"/>
      <c r="N578" s="51"/>
      <c r="O578" s="36"/>
      <c r="P578" s="36">
        <v>-163</v>
      </c>
      <c r="Q578" s="36">
        <v>-150</v>
      </c>
      <c r="R578" s="51">
        <f t="shared" si="33"/>
        <v>-156.5</v>
      </c>
      <c r="S578" s="36"/>
      <c r="T578" s="36"/>
      <c r="U578" s="36"/>
      <c r="V578" s="51"/>
      <c r="W578" s="36"/>
      <c r="X578" s="36">
        <v>-167</v>
      </c>
      <c r="Y578" s="36">
        <v>-175</v>
      </c>
      <c r="Z578" s="51">
        <f t="shared" si="30"/>
        <v>-171</v>
      </c>
      <c r="AA578" s="36"/>
      <c r="AB578" s="36"/>
      <c r="AC578" s="36"/>
      <c r="AD578" s="51"/>
      <c r="AE578" s="36"/>
      <c r="AF578" s="36"/>
      <c r="AG578" s="36"/>
      <c r="AH578" s="51"/>
      <c r="AI578" s="36"/>
      <c r="AJ578" s="36"/>
      <c r="AK578" s="36"/>
      <c r="AL578" s="51"/>
      <c r="AM578" s="36"/>
      <c r="AN578" s="36"/>
      <c r="AO578" s="36"/>
      <c r="AP578" s="51"/>
      <c r="AQ578" s="36"/>
      <c r="AR578" s="36"/>
      <c r="AS578" s="36"/>
      <c r="AT578" s="51"/>
      <c r="AU578" s="36"/>
      <c r="AV578" s="36"/>
      <c r="AW578" s="36"/>
      <c r="AX578" s="49"/>
    </row>
    <row r="579" spans="1:50" ht="10.199999999999999" customHeight="1" x14ac:dyDescent="0.25">
      <c r="A579" s="14">
        <v>16</v>
      </c>
      <c r="B579" s="103">
        <v>39555</v>
      </c>
      <c r="C579" s="103">
        <v>39548</v>
      </c>
      <c r="D579" s="36"/>
      <c r="E579" s="36"/>
      <c r="F579" s="51"/>
      <c r="G579" s="36"/>
      <c r="H579" s="36"/>
      <c r="I579" s="36"/>
      <c r="J579" s="51"/>
      <c r="K579" s="36"/>
      <c r="L579" s="36"/>
      <c r="M579" s="36"/>
      <c r="N579" s="51"/>
      <c r="O579" s="36"/>
      <c r="P579" s="36">
        <v>-219</v>
      </c>
      <c r="Q579" s="36">
        <v>-100</v>
      </c>
      <c r="R579" s="51">
        <f t="shared" si="33"/>
        <v>-159.5</v>
      </c>
      <c r="S579" s="36"/>
      <c r="T579" s="36"/>
      <c r="U579" s="36">
        <v>-225</v>
      </c>
      <c r="V579" s="51">
        <f>AVERAGE(T579,U579)</f>
        <v>-225</v>
      </c>
      <c r="W579" s="36"/>
      <c r="X579" s="36">
        <v>-167</v>
      </c>
      <c r="Y579" s="36">
        <v>-175</v>
      </c>
      <c r="Z579" s="51">
        <f t="shared" si="30"/>
        <v>-171</v>
      </c>
      <c r="AA579" s="36"/>
      <c r="AB579" s="36">
        <v>-125</v>
      </c>
      <c r="AC579" s="36">
        <v>-88</v>
      </c>
      <c r="AD579" s="51">
        <f t="shared" ref="AD579:AD593" si="34">AVERAGE(AB579,AC579)</f>
        <v>-106.5</v>
      </c>
      <c r="AE579" s="36"/>
      <c r="AF579" s="36"/>
      <c r="AG579" s="36"/>
      <c r="AH579" s="51"/>
      <c r="AI579" s="36"/>
      <c r="AJ579" s="36"/>
      <c r="AK579" s="36"/>
      <c r="AL579" s="51"/>
      <c r="AM579" s="36"/>
      <c r="AN579" s="36"/>
      <c r="AO579" s="36"/>
      <c r="AP579" s="51"/>
      <c r="AQ579" s="36"/>
      <c r="AR579" s="36"/>
      <c r="AS579" s="36"/>
      <c r="AT579" s="51"/>
      <c r="AU579" s="36"/>
      <c r="AV579" s="36"/>
      <c r="AW579" s="36"/>
      <c r="AX579" s="49"/>
    </row>
    <row r="580" spans="1:50" ht="10.199999999999999" customHeight="1" x14ac:dyDescent="0.25">
      <c r="A580" s="14">
        <v>17</v>
      </c>
      <c r="B580" s="103">
        <v>39562</v>
      </c>
      <c r="C580" s="103">
        <v>39555</v>
      </c>
      <c r="D580" s="36"/>
      <c r="E580" s="36"/>
      <c r="F580" s="51"/>
      <c r="G580" s="36"/>
      <c r="H580" s="36"/>
      <c r="I580" s="36"/>
      <c r="J580" s="51"/>
      <c r="K580" s="36"/>
      <c r="L580" s="36"/>
      <c r="M580" s="36"/>
      <c r="N580" s="51"/>
      <c r="O580" s="36"/>
      <c r="P580" s="36"/>
      <c r="Q580" s="36"/>
      <c r="R580" s="51"/>
      <c r="S580" s="36"/>
      <c r="T580" s="36">
        <v>-125</v>
      </c>
      <c r="U580" s="36"/>
      <c r="V580" s="51">
        <f>AVERAGE(T580,U580)</f>
        <v>-125</v>
      </c>
      <c r="W580" s="36"/>
      <c r="X580" s="36">
        <v>-150</v>
      </c>
      <c r="Y580" s="36">
        <v>-175</v>
      </c>
      <c r="Z580" s="51">
        <f t="shared" si="30"/>
        <v>-162.5</v>
      </c>
      <c r="AA580" s="36"/>
      <c r="AB580" s="36">
        <v>-100</v>
      </c>
      <c r="AC580" s="36">
        <v>-100</v>
      </c>
      <c r="AD580" s="51">
        <f t="shared" si="34"/>
        <v>-100</v>
      </c>
      <c r="AE580" s="36"/>
      <c r="AF580" s="36"/>
      <c r="AG580" s="36"/>
      <c r="AH580" s="51"/>
      <c r="AI580" s="36"/>
      <c r="AJ580" s="36"/>
      <c r="AK580" s="36"/>
      <c r="AL580" s="51"/>
      <c r="AM580" s="36"/>
      <c r="AN580" s="36"/>
      <c r="AO580" s="36"/>
      <c r="AP580" s="51"/>
      <c r="AQ580" s="36"/>
      <c r="AR580" s="36"/>
      <c r="AS580" s="36"/>
      <c r="AT580" s="51"/>
      <c r="AU580" s="36"/>
      <c r="AV580" s="36"/>
      <c r="AW580" s="36"/>
      <c r="AX580" s="49"/>
    </row>
    <row r="581" spans="1:50" ht="10.199999999999999" customHeight="1" x14ac:dyDescent="0.25">
      <c r="A581" s="14">
        <v>18</v>
      </c>
      <c r="B581" s="103">
        <v>39569</v>
      </c>
      <c r="C581" s="103">
        <v>39562</v>
      </c>
      <c r="D581" s="36"/>
      <c r="E581" s="36"/>
      <c r="F581" s="51"/>
      <c r="G581" s="36"/>
      <c r="H581" s="36"/>
      <c r="I581" s="36"/>
      <c r="J581" s="51"/>
      <c r="K581" s="36"/>
      <c r="L581" s="36"/>
      <c r="M581" s="36"/>
      <c r="N581" s="51"/>
      <c r="O581" s="36"/>
      <c r="P581" s="36"/>
      <c r="Q581" s="36"/>
      <c r="R581" s="51"/>
      <c r="S581" s="36"/>
      <c r="T581" s="36">
        <v>-94</v>
      </c>
      <c r="U581" s="36">
        <v>-175</v>
      </c>
      <c r="V581" s="51">
        <f>AVERAGE(T581,U581)</f>
        <v>-134.5</v>
      </c>
      <c r="W581" s="36"/>
      <c r="X581" s="36">
        <v>-175</v>
      </c>
      <c r="Y581" s="36">
        <v>-200</v>
      </c>
      <c r="Z581" s="51">
        <f t="shared" si="30"/>
        <v>-187.5</v>
      </c>
      <c r="AA581" s="36"/>
      <c r="AB581" s="36">
        <v>-113</v>
      </c>
      <c r="AC581" s="36">
        <v>-100</v>
      </c>
      <c r="AD581" s="51">
        <f t="shared" si="34"/>
        <v>-106.5</v>
      </c>
      <c r="AE581" s="36"/>
      <c r="AF581" s="36"/>
      <c r="AG581" s="36"/>
      <c r="AH581" s="51"/>
      <c r="AI581" s="36"/>
      <c r="AJ581" s="36"/>
      <c r="AK581" s="36"/>
      <c r="AL581" s="51"/>
      <c r="AM581" s="36"/>
      <c r="AN581" s="36"/>
      <c r="AO581" s="36"/>
      <c r="AP581" s="51"/>
      <c r="AQ581" s="36"/>
      <c r="AR581" s="36"/>
      <c r="AS581" s="36"/>
      <c r="AT581" s="51"/>
      <c r="AU581" s="36"/>
      <c r="AV581" s="36"/>
      <c r="AW581" s="36"/>
      <c r="AX581" s="49"/>
    </row>
    <row r="582" spans="1:50" ht="10.199999999999999" customHeight="1" x14ac:dyDescent="0.25">
      <c r="A582" s="14">
        <v>19</v>
      </c>
      <c r="B582" s="103">
        <v>39576</v>
      </c>
      <c r="C582" s="103">
        <v>39569</v>
      </c>
      <c r="D582" s="36"/>
      <c r="E582" s="36"/>
      <c r="F582" s="51"/>
      <c r="G582" s="36"/>
      <c r="H582" s="36"/>
      <c r="I582" s="36"/>
      <c r="J582" s="51"/>
      <c r="K582" s="36"/>
      <c r="L582" s="36"/>
      <c r="M582" s="36"/>
      <c r="N582" s="51"/>
      <c r="O582" s="36"/>
      <c r="P582" s="36"/>
      <c r="Q582" s="36"/>
      <c r="R582" s="51"/>
      <c r="S582" s="36"/>
      <c r="T582" s="36">
        <v>-225</v>
      </c>
      <c r="U582" s="36">
        <v>-388</v>
      </c>
      <c r="V582" s="51">
        <f>AVERAGE(T582,U582)</f>
        <v>-306.5</v>
      </c>
      <c r="W582" s="36"/>
      <c r="X582" s="36"/>
      <c r="Y582" s="36"/>
      <c r="Z582" s="51"/>
      <c r="AA582" s="36"/>
      <c r="AB582" s="36">
        <v>-125</v>
      </c>
      <c r="AC582" s="36">
        <v>-100</v>
      </c>
      <c r="AD582" s="51">
        <f t="shared" si="34"/>
        <v>-112.5</v>
      </c>
      <c r="AE582" s="36"/>
      <c r="AF582" s="36"/>
      <c r="AG582" s="36"/>
      <c r="AH582" s="51"/>
      <c r="AI582" s="36"/>
      <c r="AJ582" s="36"/>
      <c r="AK582" s="36"/>
      <c r="AL582" s="51"/>
      <c r="AM582" s="36"/>
      <c r="AN582" s="36"/>
      <c r="AO582" s="36"/>
      <c r="AP582" s="51"/>
      <c r="AQ582" s="36"/>
      <c r="AR582" s="36"/>
      <c r="AS582" s="36"/>
      <c r="AT582" s="51"/>
      <c r="AU582" s="36"/>
      <c r="AV582" s="36"/>
      <c r="AW582" s="36"/>
      <c r="AX582" s="49"/>
    </row>
    <row r="583" spans="1:50" ht="10.199999999999999" customHeight="1" x14ac:dyDescent="0.25">
      <c r="A583" s="14">
        <v>20</v>
      </c>
      <c r="B583" s="103">
        <v>39583</v>
      </c>
      <c r="C583" s="103">
        <v>39576</v>
      </c>
      <c r="D583" s="36"/>
      <c r="E583" s="36"/>
      <c r="F583" s="51"/>
      <c r="G583" s="36"/>
      <c r="H583" s="36"/>
      <c r="I583" s="36"/>
      <c r="J583" s="51"/>
      <c r="K583" s="36"/>
      <c r="L583" s="36"/>
      <c r="M583" s="36"/>
      <c r="N583" s="51"/>
      <c r="O583" s="36"/>
      <c r="P583" s="36"/>
      <c r="Q583" s="36"/>
      <c r="R583" s="51"/>
      <c r="S583" s="36"/>
      <c r="T583" s="36">
        <v>-250</v>
      </c>
      <c r="U583" s="36">
        <v>-538</v>
      </c>
      <c r="V583" s="51">
        <f>AVERAGE(T583,U583)</f>
        <v>-394</v>
      </c>
      <c r="W583" s="36"/>
      <c r="X583" s="36">
        <v>-263</v>
      </c>
      <c r="Y583" s="36">
        <v>-225</v>
      </c>
      <c r="Z583" s="51">
        <f t="shared" si="30"/>
        <v>-244</v>
      </c>
      <c r="AA583" s="36"/>
      <c r="AB583" s="36">
        <v>-125</v>
      </c>
      <c r="AC583" s="36">
        <v>-100</v>
      </c>
      <c r="AD583" s="51">
        <f t="shared" si="34"/>
        <v>-112.5</v>
      </c>
      <c r="AE583" s="36"/>
      <c r="AF583" s="36"/>
      <c r="AG583" s="36"/>
      <c r="AH583" s="51"/>
      <c r="AI583" s="36"/>
      <c r="AJ583" s="36"/>
      <c r="AK583" s="36"/>
      <c r="AL583" s="51"/>
      <c r="AM583" s="36"/>
      <c r="AN583" s="36"/>
      <c r="AO583" s="36"/>
      <c r="AP583" s="51"/>
      <c r="AQ583" s="36"/>
      <c r="AR583" s="36"/>
      <c r="AS583" s="36"/>
      <c r="AT583" s="51"/>
      <c r="AU583" s="36"/>
      <c r="AV583" s="36"/>
      <c r="AW583" s="36"/>
      <c r="AX583" s="49"/>
    </row>
    <row r="584" spans="1:50" ht="10.199999999999999" customHeight="1" x14ac:dyDescent="0.25">
      <c r="A584" s="14">
        <v>21</v>
      </c>
      <c r="B584" s="103">
        <v>39590</v>
      </c>
      <c r="C584" s="103">
        <v>39583</v>
      </c>
      <c r="D584" s="36"/>
      <c r="E584" s="36"/>
      <c r="F584" s="51"/>
      <c r="G584" s="36"/>
      <c r="H584" s="36"/>
      <c r="I584" s="36"/>
      <c r="J584" s="51"/>
      <c r="K584" s="36"/>
      <c r="L584" s="36"/>
      <c r="M584" s="36"/>
      <c r="N584" s="51"/>
      <c r="O584" s="36"/>
      <c r="P584" s="36"/>
      <c r="Q584" s="36"/>
      <c r="R584" s="51"/>
      <c r="S584" s="36"/>
      <c r="T584" s="36"/>
      <c r="U584" s="36"/>
      <c r="V584" s="51"/>
      <c r="W584" s="36"/>
      <c r="X584" s="36">
        <v>-250</v>
      </c>
      <c r="Y584" s="36">
        <v>-363</v>
      </c>
      <c r="Z584" s="51">
        <f t="shared" si="30"/>
        <v>-306.5</v>
      </c>
      <c r="AA584" s="36"/>
      <c r="AB584" s="36"/>
      <c r="AC584" s="36">
        <v>-100</v>
      </c>
      <c r="AD584" s="51">
        <f t="shared" si="34"/>
        <v>-100</v>
      </c>
      <c r="AE584" s="36"/>
      <c r="AF584" s="36"/>
      <c r="AG584" s="36">
        <v>-75</v>
      </c>
      <c r="AH584" s="51">
        <f>AVERAGE(AF584,AG584)</f>
        <v>-75</v>
      </c>
      <c r="AI584" s="36"/>
      <c r="AJ584" s="36"/>
      <c r="AK584" s="36"/>
      <c r="AL584" s="51"/>
      <c r="AM584" s="36"/>
      <c r="AN584" s="36"/>
      <c r="AO584" s="36"/>
      <c r="AP584" s="51"/>
      <c r="AQ584" s="36"/>
      <c r="AR584" s="36"/>
      <c r="AS584" s="36"/>
      <c r="AT584" s="51"/>
      <c r="AU584" s="36"/>
      <c r="AV584" s="36"/>
      <c r="AW584" s="36"/>
      <c r="AX584" s="49"/>
    </row>
    <row r="585" spans="1:50" ht="10.199999999999999" customHeight="1" x14ac:dyDescent="0.25">
      <c r="A585" s="14">
        <v>22</v>
      </c>
      <c r="B585" s="103">
        <v>39597</v>
      </c>
      <c r="C585" s="103">
        <v>39590</v>
      </c>
      <c r="D585" s="36"/>
      <c r="E585" s="36"/>
      <c r="F585" s="51"/>
      <c r="G585" s="36"/>
      <c r="H585" s="36"/>
      <c r="I585" s="36"/>
      <c r="J585" s="51"/>
      <c r="K585" s="36"/>
      <c r="L585" s="36"/>
      <c r="M585" s="36"/>
      <c r="N585" s="51"/>
      <c r="O585" s="36"/>
      <c r="P585" s="36"/>
      <c r="Q585" s="36"/>
      <c r="R585" s="51"/>
      <c r="S585" s="36"/>
      <c r="T585" s="36"/>
      <c r="U585" s="36"/>
      <c r="V585" s="51"/>
      <c r="W585" s="36"/>
      <c r="X585" s="36">
        <v>-200</v>
      </c>
      <c r="Y585" s="36">
        <v>-425</v>
      </c>
      <c r="Z585" s="51">
        <f t="shared" si="30"/>
        <v>-312.5</v>
      </c>
      <c r="AA585" s="36"/>
      <c r="AB585" s="36"/>
      <c r="AC585" s="36"/>
      <c r="AD585" s="51"/>
      <c r="AE585" s="36"/>
      <c r="AF585" s="36"/>
      <c r="AG585" s="36">
        <v>-75</v>
      </c>
      <c r="AH585" s="51">
        <f>AVERAGE(AF585,AG585)</f>
        <v>-75</v>
      </c>
      <c r="AI585" s="36"/>
      <c r="AJ585" s="36"/>
      <c r="AK585" s="36"/>
      <c r="AL585" s="51"/>
      <c r="AM585" s="36"/>
      <c r="AN585" s="36"/>
      <c r="AO585" s="36"/>
      <c r="AP585" s="51"/>
      <c r="AQ585" s="36"/>
      <c r="AR585" s="36"/>
      <c r="AS585" s="36">
        <v>100</v>
      </c>
      <c r="AT585" s="51">
        <f>AVERAGE(AR585,AS585)</f>
        <v>100</v>
      </c>
      <c r="AU585" s="36"/>
      <c r="AV585" s="36"/>
      <c r="AW585" s="36"/>
      <c r="AX585" s="49"/>
    </row>
    <row r="586" spans="1:50" ht="10.199999999999999" customHeight="1" x14ac:dyDescent="0.25">
      <c r="A586" s="14">
        <v>23</v>
      </c>
      <c r="B586" s="103">
        <v>39604</v>
      </c>
      <c r="C586" s="103">
        <v>39597</v>
      </c>
      <c r="D586" s="36"/>
      <c r="E586" s="36"/>
      <c r="F586" s="51"/>
      <c r="G586" s="36"/>
      <c r="H586" s="36"/>
      <c r="I586" s="36"/>
      <c r="J586" s="51"/>
      <c r="K586" s="36"/>
      <c r="L586" s="36"/>
      <c r="M586" s="36"/>
      <c r="N586" s="51"/>
      <c r="O586" s="36"/>
      <c r="P586" s="36"/>
      <c r="Q586" s="36"/>
      <c r="R586" s="51"/>
      <c r="S586" s="36"/>
      <c r="T586" s="36"/>
      <c r="U586" s="36"/>
      <c r="V586" s="51"/>
      <c r="W586" s="36"/>
      <c r="X586" s="36">
        <v>-225</v>
      </c>
      <c r="Y586" s="36">
        <v>-400</v>
      </c>
      <c r="Z586" s="51">
        <f t="shared" si="30"/>
        <v>-312.5</v>
      </c>
      <c r="AA586" s="36"/>
      <c r="AB586" s="36">
        <v>-113</v>
      </c>
      <c r="AC586" s="36">
        <v>-150</v>
      </c>
      <c r="AD586" s="51">
        <f t="shared" si="34"/>
        <v>-131.5</v>
      </c>
      <c r="AE586" s="36"/>
      <c r="AF586" s="36"/>
      <c r="AG586" s="36">
        <v>-75</v>
      </c>
      <c r="AH586" s="51">
        <f>AVERAGE(AF586,AG586)</f>
        <v>-75</v>
      </c>
      <c r="AI586" s="36"/>
      <c r="AJ586" s="36"/>
      <c r="AK586" s="36"/>
      <c r="AL586" s="51"/>
      <c r="AM586" s="36"/>
      <c r="AN586" s="36"/>
      <c r="AO586" s="36"/>
      <c r="AP586" s="51"/>
      <c r="AQ586" s="36"/>
      <c r="AR586" s="36"/>
      <c r="AS586" s="36"/>
      <c r="AT586" s="51"/>
      <c r="AU586" s="36"/>
      <c r="AV586" s="36"/>
      <c r="AW586" s="36"/>
      <c r="AX586" s="49"/>
    </row>
    <row r="587" spans="1:50" ht="10.199999999999999" customHeight="1" x14ac:dyDescent="0.25">
      <c r="A587" s="14">
        <v>24</v>
      </c>
      <c r="B587" s="103">
        <v>39611</v>
      </c>
      <c r="C587" s="103">
        <v>39604</v>
      </c>
      <c r="D587" s="36"/>
      <c r="E587" s="36"/>
      <c r="F587" s="51"/>
      <c r="G587" s="36"/>
      <c r="H587" s="36"/>
      <c r="I587" s="36"/>
      <c r="J587" s="51"/>
      <c r="K587" s="36"/>
      <c r="L587" s="36"/>
      <c r="M587" s="36"/>
      <c r="N587" s="51"/>
      <c r="O587" s="36"/>
      <c r="P587" s="36"/>
      <c r="Q587" s="36"/>
      <c r="R587" s="51"/>
      <c r="S587" s="36"/>
      <c r="T587" s="36"/>
      <c r="U587" s="36"/>
      <c r="V587" s="51"/>
      <c r="W587" s="36"/>
      <c r="X587" s="36">
        <v>-251</v>
      </c>
      <c r="Y587" s="36">
        <v>-375</v>
      </c>
      <c r="Z587" s="51">
        <f t="shared" si="30"/>
        <v>-313</v>
      </c>
      <c r="AA587" s="36"/>
      <c r="AB587" s="36">
        <v>-163</v>
      </c>
      <c r="AC587" s="36">
        <v>-150</v>
      </c>
      <c r="AD587" s="51">
        <f t="shared" si="34"/>
        <v>-156.5</v>
      </c>
      <c r="AE587" s="36"/>
      <c r="AF587" s="36"/>
      <c r="AG587" s="36"/>
      <c r="AH587" s="51"/>
      <c r="AI587" s="36"/>
      <c r="AJ587" s="36"/>
      <c r="AK587" s="36"/>
      <c r="AL587" s="51"/>
      <c r="AM587" s="36"/>
      <c r="AN587" s="36"/>
      <c r="AO587" s="36"/>
      <c r="AP587" s="51"/>
      <c r="AQ587" s="36"/>
      <c r="AR587" s="36"/>
      <c r="AS587" s="36"/>
      <c r="AT587" s="51"/>
      <c r="AU587" s="36"/>
      <c r="AV587" s="36"/>
      <c r="AW587" s="36"/>
      <c r="AX587" s="49"/>
    </row>
    <row r="588" spans="1:50" ht="10.199999999999999" customHeight="1" x14ac:dyDescent="0.25">
      <c r="A588" s="14">
        <v>25</v>
      </c>
      <c r="B588" s="103">
        <v>39618</v>
      </c>
      <c r="C588" s="103">
        <v>39611</v>
      </c>
      <c r="D588" s="36"/>
      <c r="E588" s="36"/>
      <c r="F588" s="51"/>
      <c r="G588" s="36"/>
      <c r="H588" s="36"/>
      <c r="I588" s="36"/>
      <c r="J588" s="51"/>
      <c r="K588" s="36"/>
      <c r="L588" s="36"/>
      <c r="M588" s="36"/>
      <c r="N588" s="51"/>
      <c r="O588" s="36"/>
      <c r="P588" s="36"/>
      <c r="Q588" s="36"/>
      <c r="R588" s="51"/>
      <c r="S588" s="36"/>
      <c r="T588" s="36"/>
      <c r="U588" s="36"/>
      <c r="V588" s="51"/>
      <c r="W588" s="36"/>
      <c r="X588" s="36">
        <v>-263</v>
      </c>
      <c r="Y588" s="36"/>
      <c r="Z588" s="51">
        <f t="shared" si="30"/>
        <v>-263</v>
      </c>
      <c r="AA588" s="36"/>
      <c r="AB588" s="36">
        <v>-175</v>
      </c>
      <c r="AC588" s="36">
        <v>-188</v>
      </c>
      <c r="AD588" s="51">
        <f t="shared" si="34"/>
        <v>-181.5</v>
      </c>
      <c r="AE588" s="36"/>
      <c r="AF588" s="36"/>
      <c r="AG588" s="36"/>
      <c r="AH588" s="51"/>
      <c r="AI588" s="36"/>
      <c r="AJ588" s="36"/>
      <c r="AK588" s="36"/>
      <c r="AL588" s="51"/>
      <c r="AM588" s="36"/>
      <c r="AN588" s="36"/>
      <c r="AO588" s="36"/>
      <c r="AP588" s="51"/>
      <c r="AQ588" s="36"/>
      <c r="AR588" s="36"/>
      <c r="AS588" s="36"/>
      <c r="AT588" s="51"/>
      <c r="AU588" s="36"/>
      <c r="AV588" s="36"/>
      <c r="AW588" s="36"/>
      <c r="AX588" s="49"/>
    </row>
    <row r="589" spans="1:50" ht="10.199999999999999" customHeight="1" x14ac:dyDescent="0.25">
      <c r="A589" s="14">
        <v>26</v>
      </c>
      <c r="B589" s="103">
        <v>39625</v>
      </c>
      <c r="C589" s="103">
        <v>39618</v>
      </c>
      <c r="D589" s="36"/>
      <c r="E589" s="36"/>
      <c r="F589" s="51"/>
      <c r="G589" s="36"/>
      <c r="H589" s="36"/>
      <c r="I589" s="36"/>
      <c r="J589" s="51"/>
      <c r="K589" s="36"/>
      <c r="L589" s="36"/>
      <c r="M589" s="36"/>
      <c r="N589" s="51"/>
      <c r="O589" s="36"/>
      <c r="P589" s="36"/>
      <c r="Q589" s="36"/>
      <c r="R589" s="51"/>
      <c r="S589" s="36"/>
      <c r="T589" s="36"/>
      <c r="U589" s="36"/>
      <c r="V589" s="51"/>
      <c r="W589" s="36"/>
      <c r="X589" s="36"/>
      <c r="Y589" s="36"/>
      <c r="Z589" s="51"/>
      <c r="AA589" s="36"/>
      <c r="AB589" s="36">
        <v>-175</v>
      </c>
      <c r="AC589" s="36">
        <v>-150</v>
      </c>
      <c r="AD589" s="51">
        <f t="shared" si="34"/>
        <v>-162.5</v>
      </c>
      <c r="AE589" s="36"/>
      <c r="AF589" s="36">
        <v>-150</v>
      </c>
      <c r="AG589" s="36"/>
      <c r="AH589" s="51">
        <f>AVERAGE(AF589,AG589)</f>
        <v>-150</v>
      </c>
      <c r="AI589" s="36"/>
      <c r="AJ589" s="36"/>
      <c r="AK589" s="36"/>
      <c r="AL589" s="51"/>
      <c r="AM589" s="36"/>
      <c r="AN589" s="36"/>
      <c r="AO589" s="36"/>
      <c r="AP589" s="51"/>
      <c r="AQ589" s="36"/>
      <c r="AR589" s="36"/>
      <c r="AS589" s="36"/>
      <c r="AT589" s="51"/>
      <c r="AU589" s="36"/>
      <c r="AV589" s="36"/>
      <c r="AW589" s="36"/>
      <c r="AX589" s="49"/>
    </row>
    <row r="590" spans="1:50" ht="10.199999999999999" customHeight="1" x14ac:dyDescent="0.25">
      <c r="A590" s="14">
        <v>27</v>
      </c>
      <c r="B590" s="103">
        <v>39632</v>
      </c>
      <c r="C590" s="103">
        <v>39625</v>
      </c>
      <c r="D590" s="36"/>
      <c r="E590" s="36"/>
      <c r="F590" s="51"/>
      <c r="G590" s="36"/>
      <c r="H590" s="36"/>
      <c r="I590" s="36"/>
      <c r="J590" s="51"/>
      <c r="K590" s="36"/>
      <c r="L590" s="36"/>
      <c r="M590" s="36"/>
      <c r="N590" s="51"/>
      <c r="O590" s="36"/>
      <c r="P590" s="36"/>
      <c r="Q590" s="36"/>
      <c r="R590" s="51"/>
      <c r="S590" s="36"/>
      <c r="T590" s="36"/>
      <c r="U590" s="36"/>
      <c r="V590" s="51"/>
      <c r="W590" s="36"/>
      <c r="X590" s="36"/>
      <c r="Y590" s="36"/>
      <c r="Z590" s="51"/>
      <c r="AA590" s="36"/>
      <c r="AB590" s="36">
        <v>-13</v>
      </c>
      <c r="AC590" s="36">
        <v>-113</v>
      </c>
      <c r="AD590" s="51">
        <f t="shared" si="34"/>
        <v>-63</v>
      </c>
      <c r="AE590" s="36"/>
      <c r="AF590" s="36"/>
      <c r="AG590" s="36"/>
      <c r="AH590" s="51"/>
      <c r="AI590" s="36"/>
      <c r="AJ590" s="36"/>
      <c r="AK590" s="36"/>
      <c r="AL590" s="51"/>
      <c r="AM590" s="36"/>
      <c r="AN590" s="36"/>
      <c r="AO590" s="36">
        <v>200</v>
      </c>
      <c r="AP590" s="51">
        <f>AVERAGE(AN590,AO590)</f>
        <v>200</v>
      </c>
      <c r="AQ590" s="36"/>
      <c r="AR590" s="36"/>
      <c r="AS590" s="36">
        <v>150</v>
      </c>
      <c r="AT590" s="51">
        <f t="shared" ref="AT590:AT610" si="35">AVERAGE(AR590,AS590)</f>
        <v>150</v>
      </c>
      <c r="AU590" s="36"/>
      <c r="AV590" s="36"/>
      <c r="AW590" s="36"/>
      <c r="AX590" s="49"/>
    </row>
    <row r="591" spans="1:50" ht="10.199999999999999" customHeight="1" x14ac:dyDescent="0.25">
      <c r="A591" s="14">
        <v>28</v>
      </c>
      <c r="B591" s="103">
        <v>39639</v>
      </c>
      <c r="C591" s="103">
        <v>39632</v>
      </c>
      <c r="D591" s="36"/>
      <c r="E591" s="36"/>
      <c r="F591" s="51"/>
      <c r="G591" s="36"/>
      <c r="H591" s="36"/>
      <c r="I591" s="36"/>
      <c r="J591" s="51"/>
      <c r="K591" s="36"/>
      <c r="L591" s="36"/>
      <c r="M591" s="36"/>
      <c r="N591" s="51"/>
      <c r="O591" s="36"/>
      <c r="P591" s="36"/>
      <c r="Q591" s="36"/>
      <c r="R591" s="51"/>
      <c r="S591" s="36"/>
      <c r="T591" s="36"/>
      <c r="U591" s="36"/>
      <c r="V591" s="51"/>
      <c r="W591" s="36"/>
      <c r="X591" s="36"/>
      <c r="Y591" s="36"/>
      <c r="Z591" s="51"/>
      <c r="AA591" s="36"/>
      <c r="AB591" s="36">
        <v>-133</v>
      </c>
      <c r="AC591" s="36">
        <v>-56</v>
      </c>
      <c r="AD591" s="51">
        <f t="shared" si="34"/>
        <v>-94.5</v>
      </c>
      <c r="AE591" s="36"/>
      <c r="AF591" s="36"/>
      <c r="AG591" s="36"/>
      <c r="AH591" s="51"/>
      <c r="AI591" s="36"/>
      <c r="AJ591" s="36"/>
      <c r="AK591" s="36"/>
      <c r="AL591" s="51"/>
      <c r="AM591" s="36"/>
      <c r="AN591" s="36"/>
      <c r="AO591" s="36">
        <v>200</v>
      </c>
      <c r="AP591" s="51">
        <f>AVERAGE(AN591,AO591)</f>
        <v>200</v>
      </c>
      <c r="AQ591" s="36"/>
      <c r="AR591" s="36"/>
      <c r="AS591" s="36">
        <v>150</v>
      </c>
      <c r="AT591" s="51">
        <f t="shared" si="35"/>
        <v>150</v>
      </c>
      <c r="AU591" s="36"/>
      <c r="AV591" s="36"/>
      <c r="AW591" s="36"/>
      <c r="AX591" s="49"/>
    </row>
    <row r="592" spans="1:50" ht="10.199999999999999" customHeight="1" x14ac:dyDescent="0.25">
      <c r="A592" s="14">
        <v>29</v>
      </c>
      <c r="B592" s="103">
        <v>39646</v>
      </c>
      <c r="C592" s="103">
        <v>39639</v>
      </c>
      <c r="D592" s="36"/>
      <c r="E592" s="36"/>
      <c r="F592" s="51"/>
      <c r="G592" s="36"/>
      <c r="H592" s="36"/>
      <c r="I592" s="36"/>
      <c r="J592" s="51"/>
      <c r="K592" s="36"/>
      <c r="L592" s="36"/>
      <c r="M592" s="36"/>
      <c r="N592" s="51"/>
      <c r="O592" s="36"/>
      <c r="P592" s="36"/>
      <c r="Q592" s="36"/>
      <c r="R592" s="51"/>
      <c r="S592" s="36"/>
      <c r="T592" s="36"/>
      <c r="U592" s="36"/>
      <c r="V592" s="51"/>
      <c r="W592" s="36"/>
      <c r="X592" s="36"/>
      <c r="Y592" s="36"/>
      <c r="Z592" s="51"/>
      <c r="AA592" s="36"/>
      <c r="AB592" s="36">
        <v>213</v>
      </c>
      <c r="AC592" s="36">
        <v>0</v>
      </c>
      <c r="AD592" s="51">
        <f t="shared" si="34"/>
        <v>106.5</v>
      </c>
      <c r="AE592" s="36"/>
      <c r="AF592" s="36">
        <v>88</v>
      </c>
      <c r="AG592" s="36"/>
      <c r="AH592" s="51">
        <f t="shared" ref="AH592:AH597" si="36">AVERAGE(AF592,AG592)</f>
        <v>88</v>
      </c>
      <c r="AI592" s="36"/>
      <c r="AJ592" s="36"/>
      <c r="AK592" s="36"/>
      <c r="AL592" s="51"/>
      <c r="AM592" s="36"/>
      <c r="AN592" s="36"/>
      <c r="AO592" s="36">
        <v>200</v>
      </c>
      <c r="AP592" s="51">
        <f>AVERAGE(AN592,AO592)</f>
        <v>200</v>
      </c>
      <c r="AQ592" s="36"/>
      <c r="AR592" s="36"/>
      <c r="AS592" s="36">
        <v>100</v>
      </c>
      <c r="AT592" s="51">
        <f t="shared" si="35"/>
        <v>100</v>
      </c>
      <c r="AU592" s="36"/>
      <c r="AV592" s="36"/>
      <c r="AW592" s="36"/>
      <c r="AX592" s="49"/>
    </row>
    <row r="593" spans="1:50" ht="10.199999999999999" customHeight="1" x14ac:dyDescent="0.25">
      <c r="A593" s="14">
        <v>30</v>
      </c>
      <c r="B593" s="103">
        <v>39653</v>
      </c>
      <c r="C593" s="103">
        <v>39646</v>
      </c>
      <c r="D593" s="36"/>
      <c r="E593" s="36"/>
      <c r="F593" s="51"/>
      <c r="G593" s="36"/>
      <c r="H593" s="36"/>
      <c r="I593" s="36"/>
      <c r="J593" s="51"/>
      <c r="K593" s="36"/>
      <c r="L593" s="36"/>
      <c r="M593" s="36"/>
      <c r="N593" s="51"/>
      <c r="O593" s="36"/>
      <c r="P593" s="36"/>
      <c r="Q593" s="36"/>
      <c r="R593" s="51"/>
      <c r="S593" s="36"/>
      <c r="T593" s="36"/>
      <c r="U593" s="36"/>
      <c r="V593" s="51"/>
      <c r="W593" s="36"/>
      <c r="X593" s="36"/>
      <c r="Y593" s="36"/>
      <c r="Z593" s="51"/>
      <c r="AA593" s="36"/>
      <c r="AB593" s="36"/>
      <c r="AC593" s="36">
        <v>-50</v>
      </c>
      <c r="AD593" s="51">
        <f t="shared" si="34"/>
        <v>-50</v>
      </c>
      <c r="AE593" s="36"/>
      <c r="AF593" s="36">
        <v>-42</v>
      </c>
      <c r="AG593" s="36"/>
      <c r="AH593" s="51">
        <f t="shared" si="36"/>
        <v>-42</v>
      </c>
      <c r="AI593" s="36"/>
      <c r="AJ593" s="36">
        <v>-100</v>
      </c>
      <c r="AK593" s="36"/>
      <c r="AL593" s="51">
        <f>AVERAGE(AJ593,AK593)</f>
        <v>-100</v>
      </c>
      <c r="AM593" s="36"/>
      <c r="AN593" s="36"/>
      <c r="AO593" s="36">
        <v>175</v>
      </c>
      <c r="AP593" s="51">
        <f>AVERAGE(AN593,AO593)</f>
        <v>175</v>
      </c>
      <c r="AQ593" s="36"/>
      <c r="AR593" s="36">
        <v>100</v>
      </c>
      <c r="AS593" s="36">
        <v>100</v>
      </c>
      <c r="AT593" s="51">
        <f t="shared" si="35"/>
        <v>100</v>
      </c>
      <c r="AU593" s="36"/>
      <c r="AV593" s="36"/>
      <c r="AW593" s="36"/>
      <c r="AX593" s="49"/>
    </row>
    <row r="594" spans="1:50" ht="10.199999999999999" customHeight="1" x14ac:dyDescent="0.25">
      <c r="A594" s="14">
        <v>31</v>
      </c>
      <c r="B594" s="103">
        <v>39660</v>
      </c>
      <c r="C594" s="103">
        <v>39653</v>
      </c>
      <c r="D594" s="36"/>
      <c r="E594" s="36"/>
      <c r="F594" s="51"/>
      <c r="G594" s="36"/>
      <c r="H594" s="36"/>
      <c r="I594" s="36"/>
      <c r="J594" s="51"/>
      <c r="K594" s="36"/>
      <c r="L594" s="36"/>
      <c r="M594" s="36"/>
      <c r="N594" s="51"/>
      <c r="O594" s="36"/>
      <c r="P594" s="36"/>
      <c r="Q594" s="36"/>
      <c r="R594" s="51"/>
      <c r="S594" s="36"/>
      <c r="T594" s="36"/>
      <c r="U594" s="36"/>
      <c r="V594" s="51"/>
      <c r="W594" s="36"/>
      <c r="X594" s="36"/>
      <c r="Y594" s="36"/>
      <c r="Z594" s="51"/>
      <c r="AA594" s="36"/>
      <c r="AB594" s="36"/>
      <c r="AC594" s="36"/>
      <c r="AD594" s="51"/>
      <c r="AE594" s="36"/>
      <c r="AF594" s="36">
        <v>88</v>
      </c>
      <c r="AG594" s="36">
        <v>-63</v>
      </c>
      <c r="AH594" s="51">
        <f t="shared" si="36"/>
        <v>12.5</v>
      </c>
      <c r="AI594" s="36"/>
      <c r="AJ594" s="36">
        <v>25</v>
      </c>
      <c r="AK594" s="36"/>
      <c r="AL594" s="51">
        <f>AVERAGE(AJ594,AK594)</f>
        <v>25</v>
      </c>
      <c r="AM594" s="36"/>
      <c r="AN594" s="36"/>
      <c r="AO594" s="36">
        <v>213</v>
      </c>
      <c r="AP594" s="51">
        <f>AVERAGE(AN594,AO594)</f>
        <v>213</v>
      </c>
      <c r="AQ594" s="36"/>
      <c r="AR594" s="36">
        <v>125</v>
      </c>
      <c r="AS594" s="36">
        <v>138</v>
      </c>
      <c r="AT594" s="51">
        <f t="shared" si="35"/>
        <v>131.5</v>
      </c>
      <c r="AU594" s="36"/>
      <c r="AV594" s="36"/>
      <c r="AW594" s="36"/>
      <c r="AX594" s="49"/>
    </row>
    <row r="595" spans="1:50" ht="10.199999999999999" customHeight="1" x14ac:dyDescent="0.25">
      <c r="A595" s="14">
        <v>32</v>
      </c>
      <c r="B595" s="103">
        <v>39667</v>
      </c>
      <c r="C595" s="103">
        <v>39660</v>
      </c>
      <c r="D595" s="36"/>
      <c r="E595" s="36"/>
      <c r="F595" s="51"/>
      <c r="G595" s="36"/>
      <c r="H595" s="36"/>
      <c r="I595" s="36"/>
      <c r="J595" s="51"/>
      <c r="K595" s="36"/>
      <c r="L595" s="36"/>
      <c r="M595" s="36"/>
      <c r="N595" s="51"/>
      <c r="O595" s="36"/>
      <c r="P595" s="36"/>
      <c r="Q595" s="36"/>
      <c r="R595" s="51"/>
      <c r="S595" s="36"/>
      <c r="T595" s="36"/>
      <c r="U595" s="36"/>
      <c r="V595" s="51"/>
      <c r="W595" s="36"/>
      <c r="X595" s="36"/>
      <c r="Y595" s="36"/>
      <c r="Z595" s="51"/>
      <c r="AA595" s="36"/>
      <c r="AB595" s="36"/>
      <c r="AC595" s="36"/>
      <c r="AD595" s="51"/>
      <c r="AE595" s="36"/>
      <c r="AF595" s="36">
        <v>-100</v>
      </c>
      <c r="AG595" s="36">
        <v>-75</v>
      </c>
      <c r="AH595" s="51">
        <f t="shared" si="36"/>
        <v>-87.5</v>
      </c>
      <c r="AI595" s="36"/>
      <c r="AJ595" s="36"/>
      <c r="AK595" s="36"/>
      <c r="AL595" s="51"/>
      <c r="AM595" s="36"/>
      <c r="AN595" s="36"/>
      <c r="AO595" s="36"/>
      <c r="AP595" s="51"/>
      <c r="AQ595" s="36"/>
      <c r="AR595" s="36">
        <v>150</v>
      </c>
      <c r="AS595" s="36"/>
      <c r="AT595" s="51">
        <f t="shared" si="35"/>
        <v>150</v>
      </c>
      <c r="AU595" s="36"/>
      <c r="AV595" s="36"/>
      <c r="AW595" s="36"/>
      <c r="AX595" s="49"/>
    </row>
    <row r="596" spans="1:50" ht="10.199999999999999" customHeight="1" x14ac:dyDescent="0.25">
      <c r="A596" s="14">
        <v>33</v>
      </c>
      <c r="B596" s="103">
        <v>39674</v>
      </c>
      <c r="C596" s="103">
        <v>39667</v>
      </c>
      <c r="D596" s="36"/>
      <c r="E596" s="36"/>
      <c r="F596" s="51"/>
      <c r="G596" s="36"/>
      <c r="H596" s="36"/>
      <c r="I596" s="36"/>
      <c r="J596" s="51"/>
      <c r="K596" s="36"/>
      <c r="L596" s="36"/>
      <c r="M596" s="36"/>
      <c r="N596" s="51"/>
      <c r="O596" s="36"/>
      <c r="P596" s="36"/>
      <c r="Q596" s="36"/>
      <c r="R596" s="51"/>
      <c r="S596" s="36"/>
      <c r="T596" s="36"/>
      <c r="U596" s="36"/>
      <c r="V596" s="51"/>
      <c r="W596" s="36"/>
      <c r="X596" s="36"/>
      <c r="Y596" s="36"/>
      <c r="Z596" s="51"/>
      <c r="AA596" s="36"/>
      <c r="AB596" s="36"/>
      <c r="AC596" s="36"/>
      <c r="AD596" s="51"/>
      <c r="AE596" s="36"/>
      <c r="AF596" s="36">
        <v>-213</v>
      </c>
      <c r="AG596" s="36">
        <v>-250</v>
      </c>
      <c r="AH596" s="51">
        <f t="shared" si="36"/>
        <v>-231.5</v>
      </c>
      <c r="AI596" s="36"/>
      <c r="AJ596" s="36">
        <v>-188</v>
      </c>
      <c r="AK596" s="36">
        <v>-175</v>
      </c>
      <c r="AL596" s="51">
        <f t="shared" ref="AL596:AL601" si="37">AVERAGE(AJ596,AK596)</f>
        <v>-181.5</v>
      </c>
      <c r="AM596" s="36"/>
      <c r="AN596" s="36">
        <v>125</v>
      </c>
      <c r="AO596" s="36">
        <v>125</v>
      </c>
      <c r="AP596" s="51">
        <f>AVERAGE(AN596,AO596)</f>
        <v>125</v>
      </c>
      <c r="AQ596" s="36"/>
      <c r="AR596" s="36">
        <v>13</v>
      </c>
      <c r="AS596" s="36">
        <v>50</v>
      </c>
      <c r="AT596" s="51">
        <f t="shared" si="35"/>
        <v>31.5</v>
      </c>
      <c r="AU596" s="36"/>
      <c r="AV596" s="36"/>
      <c r="AW596" s="36"/>
      <c r="AX596" s="49"/>
    </row>
    <row r="597" spans="1:50" ht="10.199999999999999" customHeight="1" x14ac:dyDescent="0.25">
      <c r="A597" s="14">
        <v>34</v>
      </c>
      <c r="B597" s="103">
        <v>39681</v>
      </c>
      <c r="C597" s="103">
        <v>39674</v>
      </c>
      <c r="D597" s="36"/>
      <c r="E597" s="36"/>
      <c r="F597" s="51"/>
      <c r="G597" s="36"/>
      <c r="H597" s="36"/>
      <c r="I597" s="36"/>
      <c r="J597" s="51"/>
      <c r="K597" s="36"/>
      <c r="L597" s="36"/>
      <c r="M597" s="36"/>
      <c r="N597" s="51"/>
      <c r="O597" s="36"/>
      <c r="P597" s="36"/>
      <c r="Q597" s="36"/>
      <c r="R597" s="51"/>
      <c r="S597" s="36"/>
      <c r="T597" s="36"/>
      <c r="U597" s="36"/>
      <c r="V597" s="51"/>
      <c r="W597" s="36"/>
      <c r="X597" s="36"/>
      <c r="Y597" s="36"/>
      <c r="Z597" s="51"/>
      <c r="AA597" s="36"/>
      <c r="AB597" s="36"/>
      <c r="AC597" s="36"/>
      <c r="AD597" s="51"/>
      <c r="AE597" s="36"/>
      <c r="AF597" s="36">
        <v>-75</v>
      </c>
      <c r="AG597" s="36">
        <v>-200</v>
      </c>
      <c r="AH597" s="51">
        <f t="shared" si="36"/>
        <v>-137.5</v>
      </c>
      <c r="AI597" s="36"/>
      <c r="AJ597" s="36">
        <v>-88</v>
      </c>
      <c r="AK597" s="36">
        <v>-200</v>
      </c>
      <c r="AL597" s="51">
        <f t="shared" si="37"/>
        <v>-144</v>
      </c>
      <c r="AM597" s="36"/>
      <c r="AN597" s="36"/>
      <c r="AO597" s="36"/>
      <c r="AP597" s="51"/>
      <c r="AQ597" s="36"/>
      <c r="AR597" s="36">
        <v>50</v>
      </c>
      <c r="AS597" s="36">
        <v>0</v>
      </c>
      <c r="AT597" s="51">
        <f t="shared" si="35"/>
        <v>25</v>
      </c>
      <c r="AU597" s="36"/>
      <c r="AV597" s="36"/>
      <c r="AW597" s="36"/>
      <c r="AX597" s="49"/>
    </row>
    <row r="598" spans="1:50" ht="10.199999999999999" customHeight="1" x14ac:dyDescent="0.25">
      <c r="A598" s="14">
        <v>35</v>
      </c>
      <c r="B598" s="103">
        <v>39688</v>
      </c>
      <c r="C598" s="103">
        <v>39681</v>
      </c>
      <c r="D598" s="36"/>
      <c r="E598" s="36"/>
      <c r="F598" s="51"/>
      <c r="G598" s="36"/>
      <c r="H598" s="36"/>
      <c r="I598" s="36"/>
      <c r="J598" s="51"/>
      <c r="K598" s="36"/>
      <c r="L598" s="36"/>
      <c r="M598" s="36"/>
      <c r="N598" s="51"/>
      <c r="O598" s="36"/>
      <c r="P598" s="36"/>
      <c r="Q598" s="36"/>
      <c r="R598" s="51"/>
      <c r="S598" s="36"/>
      <c r="T598" s="36"/>
      <c r="U598" s="36"/>
      <c r="V598" s="51"/>
      <c r="W598" s="36"/>
      <c r="X598" s="36"/>
      <c r="Y598" s="36"/>
      <c r="Z598" s="51"/>
      <c r="AA598" s="36"/>
      <c r="AB598" s="36"/>
      <c r="AC598" s="36"/>
      <c r="AD598" s="51"/>
      <c r="AE598" s="36"/>
      <c r="AF598" s="36"/>
      <c r="AG598" s="36"/>
      <c r="AH598" s="51"/>
      <c r="AI598" s="36"/>
      <c r="AJ598" s="36">
        <v>29</v>
      </c>
      <c r="AK598" s="36">
        <v>-113</v>
      </c>
      <c r="AL598" s="51">
        <f t="shared" si="37"/>
        <v>-42</v>
      </c>
      <c r="AM598" s="36"/>
      <c r="AN598" s="36">
        <v>225</v>
      </c>
      <c r="AO598" s="36"/>
      <c r="AP598" s="51">
        <f t="shared" ref="AP598:AP605" si="38">AVERAGE(AN598,AO598)</f>
        <v>225</v>
      </c>
      <c r="AQ598" s="36"/>
      <c r="AR598" s="36">
        <v>75</v>
      </c>
      <c r="AS598" s="36"/>
      <c r="AT598" s="51">
        <f t="shared" si="35"/>
        <v>75</v>
      </c>
      <c r="AU598" s="36"/>
      <c r="AV598" s="36">
        <v>0</v>
      </c>
      <c r="AW598" s="36"/>
      <c r="AX598" s="51">
        <f>AVERAGE(AV598,AW598)</f>
        <v>0</v>
      </c>
    </row>
    <row r="599" spans="1:50" ht="10.199999999999999" customHeight="1" x14ac:dyDescent="0.25">
      <c r="A599" s="14">
        <v>36</v>
      </c>
      <c r="B599" s="103">
        <v>39695</v>
      </c>
      <c r="C599" s="103">
        <v>39688</v>
      </c>
      <c r="D599" s="36"/>
      <c r="E599" s="36"/>
      <c r="F599" s="51"/>
      <c r="G599" s="36"/>
      <c r="H599" s="36"/>
      <c r="I599" s="36"/>
      <c r="J599" s="51"/>
      <c r="K599" s="36"/>
      <c r="L599" s="36"/>
      <c r="M599" s="36"/>
      <c r="N599" s="51"/>
      <c r="O599" s="36"/>
      <c r="P599" s="36"/>
      <c r="Q599" s="36"/>
      <c r="R599" s="51"/>
      <c r="S599" s="36"/>
      <c r="T599" s="36"/>
      <c r="U599" s="36"/>
      <c r="V599" s="51"/>
      <c r="W599" s="36"/>
      <c r="X599" s="36"/>
      <c r="Y599" s="36"/>
      <c r="Z599" s="51"/>
      <c r="AA599" s="36"/>
      <c r="AB599" s="36"/>
      <c r="AC599" s="36"/>
      <c r="AD599" s="51"/>
      <c r="AE599" s="36"/>
      <c r="AF599" s="36"/>
      <c r="AG599" s="36"/>
      <c r="AH599" s="51"/>
      <c r="AI599" s="36"/>
      <c r="AJ599" s="36">
        <v>-221</v>
      </c>
      <c r="AK599" s="36">
        <v>-100</v>
      </c>
      <c r="AL599" s="51">
        <f t="shared" si="37"/>
        <v>-160.5</v>
      </c>
      <c r="AM599" s="36"/>
      <c r="AN599" s="36">
        <v>42</v>
      </c>
      <c r="AO599" s="36"/>
      <c r="AP599" s="51">
        <f t="shared" si="38"/>
        <v>42</v>
      </c>
      <c r="AQ599" s="36"/>
      <c r="AR599" s="36">
        <v>50</v>
      </c>
      <c r="AS599" s="36"/>
      <c r="AT599" s="51">
        <f t="shared" si="35"/>
        <v>50</v>
      </c>
      <c r="AU599" s="36"/>
      <c r="AV599" s="36">
        <v>0</v>
      </c>
      <c r="AW599" s="36"/>
      <c r="AX599" s="51">
        <f>AVERAGE(AV599,AW599)</f>
        <v>0</v>
      </c>
    </row>
    <row r="600" spans="1:50" ht="10.199999999999999" customHeight="1" x14ac:dyDescent="0.25">
      <c r="A600" s="14">
        <v>37</v>
      </c>
      <c r="B600" s="103">
        <v>39702</v>
      </c>
      <c r="C600" s="103">
        <v>39695</v>
      </c>
      <c r="D600" s="36"/>
      <c r="E600" s="36"/>
      <c r="F600" s="51"/>
      <c r="G600" s="36"/>
      <c r="H600" s="36"/>
      <c r="I600" s="36"/>
      <c r="J600" s="51"/>
      <c r="K600" s="36"/>
      <c r="L600" s="36"/>
      <c r="M600" s="36"/>
      <c r="N600" s="51"/>
      <c r="O600" s="36"/>
      <c r="P600" s="36"/>
      <c r="Q600" s="36"/>
      <c r="R600" s="51"/>
      <c r="S600" s="36"/>
      <c r="T600" s="36"/>
      <c r="U600" s="36"/>
      <c r="V600" s="51"/>
      <c r="W600" s="36"/>
      <c r="X600" s="36"/>
      <c r="Y600" s="36"/>
      <c r="Z600" s="51"/>
      <c r="AA600" s="36"/>
      <c r="AB600" s="36"/>
      <c r="AC600" s="36"/>
      <c r="AD600" s="51"/>
      <c r="AE600" s="36"/>
      <c r="AF600" s="36"/>
      <c r="AG600" s="36"/>
      <c r="AH600" s="51"/>
      <c r="AI600" s="36"/>
      <c r="AJ600" s="36">
        <v>-221</v>
      </c>
      <c r="AK600" s="36">
        <v>-150</v>
      </c>
      <c r="AL600" s="51">
        <f t="shared" si="37"/>
        <v>-185.5</v>
      </c>
      <c r="AM600" s="36"/>
      <c r="AN600" s="36">
        <v>42</v>
      </c>
      <c r="AO600" s="36">
        <v>75</v>
      </c>
      <c r="AP600" s="51">
        <f t="shared" si="38"/>
        <v>58.5</v>
      </c>
      <c r="AQ600" s="36"/>
      <c r="AR600" s="36">
        <v>61</v>
      </c>
      <c r="AS600" s="36">
        <v>75</v>
      </c>
      <c r="AT600" s="51">
        <f t="shared" si="35"/>
        <v>68</v>
      </c>
      <c r="AU600" s="36"/>
      <c r="AV600" s="36"/>
      <c r="AW600" s="36"/>
      <c r="AX600" s="49"/>
    </row>
    <row r="601" spans="1:50" ht="10.199999999999999" customHeight="1" x14ac:dyDescent="0.25">
      <c r="A601" s="14">
        <v>38</v>
      </c>
      <c r="B601" s="103">
        <v>39709</v>
      </c>
      <c r="C601" s="103">
        <v>39702</v>
      </c>
      <c r="D601" s="36"/>
      <c r="E601" s="36"/>
      <c r="F601" s="51"/>
      <c r="G601" s="36"/>
      <c r="H601" s="36"/>
      <c r="I601" s="36"/>
      <c r="J601" s="51"/>
      <c r="K601" s="36"/>
      <c r="L601" s="36"/>
      <c r="M601" s="36"/>
      <c r="N601" s="51"/>
      <c r="O601" s="36"/>
      <c r="P601" s="36"/>
      <c r="Q601" s="36"/>
      <c r="R601" s="51"/>
      <c r="S601" s="36"/>
      <c r="T601" s="36"/>
      <c r="U601" s="36"/>
      <c r="V601" s="51"/>
      <c r="W601" s="36"/>
      <c r="X601" s="36"/>
      <c r="Y601" s="36"/>
      <c r="Z601" s="51"/>
      <c r="AA601" s="36"/>
      <c r="AB601" s="36"/>
      <c r="AC601" s="36"/>
      <c r="AD601" s="51"/>
      <c r="AE601" s="36"/>
      <c r="AF601" s="36"/>
      <c r="AG601" s="36"/>
      <c r="AH601" s="51"/>
      <c r="AI601" s="36"/>
      <c r="AJ601" s="36">
        <v>-338</v>
      </c>
      <c r="AK601" s="36">
        <v>-250</v>
      </c>
      <c r="AL601" s="51">
        <f t="shared" si="37"/>
        <v>-294</v>
      </c>
      <c r="AM601" s="36"/>
      <c r="AN601" s="36">
        <v>-150</v>
      </c>
      <c r="AO601" s="36"/>
      <c r="AP601" s="51">
        <f t="shared" si="38"/>
        <v>-150</v>
      </c>
      <c r="AQ601" s="36"/>
      <c r="AR601" s="36">
        <v>-50</v>
      </c>
      <c r="AS601" s="36"/>
      <c r="AT601" s="51">
        <f t="shared" si="35"/>
        <v>-50</v>
      </c>
      <c r="AU601" s="36"/>
      <c r="AV601" s="36"/>
      <c r="AW601" s="36"/>
      <c r="AX601" s="49"/>
    </row>
    <row r="602" spans="1:50" ht="10.199999999999999" customHeight="1" x14ac:dyDescent="0.25">
      <c r="A602" s="14">
        <v>39</v>
      </c>
      <c r="B602" s="103">
        <v>39716</v>
      </c>
      <c r="C602" s="103">
        <v>39709</v>
      </c>
      <c r="D602" s="36"/>
      <c r="E602" s="36"/>
      <c r="F602" s="51"/>
      <c r="G602" s="36"/>
      <c r="H602" s="36"/>
      <c r="I602" s="36"/>
      <c r="J602" s="51"/>
      <c r="K602" s="36"/>
      <c r="L602" s="36"/>
      <c r="M602" s="36"/>
      <c r="N602" s="51"/>
      <c r="O602" s="36"/>
      <c r="P602" s="36"/>
      <c r="Q602" s="36"/>
      <c r="R602" s="51"/>
      <c r="S602" s="36"/>
      <c r="T602" s="36"/>
      <c r="U602" s="36"/>
      <c r="V602" s="51"/>
      <c r="W602" s="36"/>
      <c r="X602" s="36"/>
      <c r="Y602" s="36"/>
      <c r="Z602" s="51"/>
      <c r="AA602" s="36"/>
      <c r="AB602" s="36"/>
      <c r="AC602" s="36"/>
      <c r="AD602" s="51"/>
      <c r="AE602" s="36"/>
      <c r="AF602" s="36"/>
      <c r="AG602" s="36"/>
      <c r="AH602" s="51"/>
      <c r="AI602" s="36"/>
      <c r="AJ602" s="36"/>
      <c r="AK602" s="36"/>
      <c r="AL602" s="51"/>
      <c r="AM602" s="36"/>
      <c r="AN602" s="36">
        <v>-175</v>
      </c>
      <c r="AO602" s="36">
        <v>-50</v>
      </c>
      <c r="AP602" s="51">
        <f t="shared" si="38"/>
        <v>-112.5</v>
      </c>
      <c r="AQ602" s="36"/>
      <c r="AR602" s="36">
        <v>-50</v>
      </c>
      <c r="AS602" s="36"/>
      <c r="AT602" s="51">
        <f t="shared" si="35"/>
        <v>-50</v>
      </c>
      <c r="AU602" s="36"/>
      <c r="AV602" s="36">
        <v>-75</v>
      </c>
      <c r="AW602" s="36"/>
      <c r="AX602" s="51">
        <f>AVERAGE(AV602,AW602)</f>
        <v>-75</v>
      </c>
    </row>
    <row r="603" spans="1:50" ht="10.199999999999999" customHeight="1" x14ac:dyDescent="0.25">
      <c r="A603" s="14">
        <v>40</v>
      </c>
      <c r="B603" s="103">
        <v>39723</v>
      </c>
      <c r="C603" s="103">
        <v>39716</v>
      </c>
      <c r="D603" s="36"/>
      <c r="E603" s="36"/>
      <c r="F603" s="51"/>
      <c r="G603" s="36"/>
      <c r="H603" s="36"/>
      <c r="I603" s="36"/>
      <c r="J603" s="51"/>
      <c r="K603" s="36"/>
      <c r="L603" s="36"/>
      <c r="M603" s="36"/>
      <c r="N603" s="51"/>
      <c r="O603" s="36"/>
      <c r="P603" s="36"/>
      <c r="Q603" s="36"/>
      <c r="R603" s="51"/>
      <c r="S603" s="36"/>
      <c r="T603" s="36"/>
      <c r="U603" s="36"/>
      <c r="V603" s="51"/>
      <c r="W603" s="36"/>
      <c r="X603" s="36"/>
      <c r="Y603" s="36"/>
      <c r="Z603" s="51"/>
      <c r="AA603" s="36"/>
      <c r="AB603" s="36"/>
      <c r="AC603" s="36"/>
      <c r="AD603" s="51"/>
      <c r="AE603" s="36"/>
      <c r="AF603" s="36"/>
      <c r="AG603" s="36"/>
      <c r="AH603" s="51"/>
      <c r="AI603" s="36"/>
      <c r="AJ603" s="36"/>
      <c r="AK603" s="36"/>
      <c r="AL603" s="51"/>
      <c r="AM603" s="36"/>
      <c r="AN603" s="36">
        <v>-79</v>
      </c>
      <c r="AO603" s="36">
        <v>-125</v>
      </c>
      <c r="AP603" s="51">
        <f t="shared" si="38"/>
        <v>-102</v>
      </c>
      <c r="AQ603" s="36"/>
      <c r="AR603" s="36">
        <v>19</v>
      </c>
      <c r="AS603" s="36"/>
      <c r="AT603" s="51">
        <f t="shared" si="35"/>
        <v>19</v>
      </c>
      <c r="AU603" s="36"/>
      <c r="AV603" s="36">
        <v>-100</v>
      </c>
      <c r="AW603" s="36"/>
      <c r="AX603" s="51">
        <f>AVERAGE(AV603,AW603)</f>
        <v>-100</v>
      </c>
    </row>
    <row r="604" spans="1:50" ht="10.199999999999999" customHeight="1" x14ac:dyDescent="0.25">
      <c r="A604" s="14">
        <v>41</v>
      </c>
      <c r="B604" s="103">
        <v>39730</v>
      </c>
      <c r="C604" s="103">
        <v>39723</v>
      </c>
      <c r="D604" s="36"/>
      <c r="E604" s="36"/>
      <c r="F604" s="51"/>
      <c r="G604" s="36"/>
      <c r="H604" s="36"/>
      <c r="I604" s="36"/>
      <c r="J604" s="51"/>
      <c r="K604" s="36"/>
      <c r="L604" s="36"/>
      <c r="M604" s="36"/>
      <c r="N604" s="51"/>
      <c r="O604" s="36"/>
      <c r="P604" s="36"/>
      <c r="Q604" s="36"/>
      <c r="R604" s="51"/>
      <c r="S604" s="36"/>
      <c r="T604" s="36"/>
      <c r="U604" s="36"/>
      <c r="V604" s="51"/>
      <c r="W604" s="36"/>
      <c r="X604" s="36"/>
      <c r="Y604" s="36"/>
      <c r="Z604" s="51"/>
      <c r="AA604" s="36"/>
      <c r="AB604" s="36"/>
      <c r="AC604" s="36"/>
      <c r="AD604" s="51"/>
      <c r="AE604" s="36"/>
      <c r="AF604" s="36"/>
      <c r="AG604" s="36"/>
      <c r="AH604" s="51"/>
      <c r="AI604" s="36"/>
      <c r="AJ604" s="36"/>
      <c r="AK604" s="36"/>
      <c r="AL604" s="51"/>
      <c r="AM604" s="36"/>
      <c r="AN604" s="36">
        <v>-34</v>
      </c>
      <c r="AO604" s="36">
        <v>-8</v>
      </c>
      <c r="AP604" s="51">
        <f t="shared" si="38"/>
        <v>-21</v>
      </c>
      <c r="AQ604" s="36"/>
      <c r="AR604" s="36">
        <v>17</v>
      </c>
      <c r="AS604" s="36">
        <v>50</v>
      </c>
      <c r="AT604" s="51">
        <f t="shared" si="35"/>
        <v>33.5</v>
      </c>
      <c r="AU604" s="36"/>
      <c r="AV604" s="36"/>
      <c r="AW604" s="36"/>
      <c r="AX604" s="49"/>
    </row>
    <row r="605" spans="1:50" ht="10.199999999999999" customHeight="1" x14ac:dyDescent="0.25">
      <c r="A605" s="14">
        <v>42</v>
      </c>
      <c r="B605" s="103">
        <v>39737</v>
      </c>
      <c r="C605" s="103">
        <v>39730</v>
      </c>
      <c r="D605" s="36"/>
      <c r="E605" s="36"/>
      <c r="F605" s="51"/>
      <c r="G605" s="36"/>
      <c r="H605" s="36"/>
      <c r="I605" s="36"/>
      <c r="J605" s="51"/>
      <c r="K605" s="36"/>
      <c r="L605" s="36"/>
      <c r="M605" s="36"/>
      <c r="N605" s="51"/>
      <c r="O605" s="36"/>
      <c r="P605" s="36"/>
      <c r="Q605" s="36"/>
      <c r="R605" s="51"/>
      <c r="S605" s="36"/>
      <c r="T605" s="36"/>
      <c r="U605" s="36"/>
      <c r="V605" s="51"/>
      <c r="W605" s="36"/>
      <c r="X605" s="36"/>
      <c r="Y605" s="36"/>
      <c r="Z605" s="51"/>
      <c r="AA605" s="36"/>
      <c r="AB605" s="36"/>
      <c r="AC605" s="36"/>
      <c r="AD605" s="51"/>
      <c r="AE605" s="36"/>
      <c r="AF605" s="36"/>
      <c r="AG605" s="36"/>
      <c r="AH605" s="51"/>
      <c r="AI605" s="36"/>
      <c r="AJ605" s="36"/>
      <c r="AK605" s="36"/>
      <c r="AL605" s="51"/>
      <c r="AM605" s="36"/>
      <c r="AN605" s="36">
        <v>-163</v>
      </c>
      <c r="AO605" s="36">
        <v>0</v>
      </c>
      <c r="AP605" s="51">
        <f t="shared" si="38"/>
        <v>-81.5</v>
      </c>
      <c r="AQ605" s="36"/>
      <c r="AR605" s="36">
        <v>-50</v>
      </c>
      <c r="AS605" s="36">
        <v>-25</v>
      </c>
      <c r="AT605" s="51">
        <f t="shared" si="35"/>
        <v>-37.5</v>
      </c>
      <c r="AU605" s="36"/>
      <c r="AV605" s="36">
        <v>-125</v>
      </c>
      <c r="AW605" s="36">
        <v>-75</v>
      </c>
      <c r="AX605" s="51">
        <f>AVERAGE(AV605,AW605)</f>
        <v>-100</v>
      </c>
    </row>
    <row r="606" spans="1:50" ht="10.199999999999999" customHeight="1" x14ac:dyDescent="0.25">
      <c r="A606" s="14">
        <v>43</v>
      </c>
      <c r="B606" s="103">
        <v>39744</v>
      </c>
      <c r="C606" s="103">
        <v>39737</v>
      </c>
      <c r="D606" s="36"/>
      <c r="E606" s="36"/>
      <c r="F606" s="51"/>
      <c r="G606" s="36"/>
      <c r="H606" s="36"/>
      <c r="I606" s="36"/>
      <c r="J606" s="51"/>
      <c r="K606" s="36"/>
      <c r="L606" s="36"/>
      <c r="M606" s="36"/>
      <c r="N606" s="51"/>
      <c r="O606" s="36"/>
      <c r="P606" s="36"/>
      <c r="Q606" s="36"/>
      <c r="R606" s="51"/>
      <c r="S606" s="36"/>
      <c r="T606" s="36"/>
      <c r="U606" s="36"/>
      <c r="V606" s="51"/>
      <c r="W606" s="36"/>
      <c r="X606" s="36"/>
      <c r="Y606" s="36"/>
      <c r="Z606" s="51"/>
      <c r="AA606" s="36"/>
      <c r="AB606" s="36"/>
      <c r="AC606" s="36"/>
      <c r="AD606" s="51"/>
      <c r="AE606" s="36"/>
      <c r="AF606" s="36"/>
      <c r="AG606" s="36"/>
      <c r="AH606" s="51"/>
      <c r="AI606" s="36"/>
      <c r="AJ606" s="36"/>
      <c r="AK606" s="36"/>
      <c r="AL606" s="51"/>
      <c r="AM606" s="36"/>
      <c r="AN606" s="36"/>
      <c r="AO606" s="36"/>
      <c r="AP606" s="51"/>
      <c r="AQ606" s="36"/>
      <c r="AR606" s="36">
        <v>-144</v>
      </c>
      <c r="AS606" s="36">
        <v>-125</v>
      </c>
      <c r="AT606" s="51">
        <f t="shared" si="35"/>
        <v>-134.5</v>
      </c>
      <c r="AU606" s="36"/>
      <c r="AV606" s="36"/>
      <c r="AW606" s="36"/>
      <c r="AX606" s="49"/>
    </row>
    <row r="607" spans="1:50" ht="10.199999999999999" customHeight="1" x14ac:dyDescent="0.25">
      <c r="A607" s="14">
        <v>44</v>
      </c>
      <c r="B607" s="103">
        <v>39751</v>
      </c>
      <c r="C607" s="103">
        <v>39744</v>
      </c>
      <c r="D607" s="36"/>
      <c r="E607" s="36"/>
      <c r="F607" s="51"/>
      <c r="G607" s="36"/>
      <c r="H607" s="36"/>
      <c r="I607" s="36"/>
      <c r="J607" s="51"/>
      <c r="K607" s="36"/>
      <c r="L607" s="36"/>
      <c r="M607" s="36"/>
      <c r="N607" s="51"/>
      <c r="O607" s="36"/>
      <c r="P607" s="36"/>
      <c r="Q607" s="36"/>
      <c r="R607" s="51"/>
      <c r="S607" s="36"/>
      <c r="T607" s="36"/>
      <c r="U607" s="36"/>
      <c r="V607" s="51"/>
      <c r="W607" s="36"/>
      <c r="X607" s="36"/>
      <c r="Y607" s="36"/>
      <c r="Z607" s="51"/>
      <c r="AA607" s="36"/>
      <c r="AB607" s="36"/>
      <c r="AC607" s="36"/>
      <c r="AD607" s="51"/>
      <c r="AE607" s="36"/>
      <c r="AF607" s="36"/>
      <c r="AG607" s="36"/>
      <c r="AH607" s="51"/>
      <c r="AI607" s="36"/>
      <c r="AJ607" s="36"/>
      <c r="AK607" s="36"/>
      <c r="AL607" s="51"/>
      <c r="AM607" s="36"/>
      <c r="AN607" s="36"/>
      <c r="AO607" s="36"/>
      <c r="AP607" s="51"/>
      <c r="AQ607" s="36"/>
      <c r="AR607" s="36">
        <v>-192</v>
      </c>
      <c r="AS607" s="36">
        <v>-100</v>
      </c>
      <c r="AT607" s="51">
        <f t="shared" si="35"/>
        <v>-146</v>
      </c>
      <c r="AU607" s="36"/>
      <c r="AV607" s="36">
        <v>-225</v>
      </c>
      <c r="AW607" s="36"/>
      <c r="AX607" s="51">
        <f>AVERAGE(AV607,AW607)</f>
        <v>-225</v>
      </c>
    </row>
    <row r="608" spans="1:50" ht="10.199999999999999" customHeight="1" x14ac:dyDescent="0.25">
      <c r="A608" s="14">
        <v>45</v>
      </c>
      <c r="B608" s="103">
        <v>39758</v>
      </c>
      <c r="C608" s="103">
        <v>39751</v>
      </c>
      <c r="D608" s="36"/>
      <c r="E608" s="36"/>
      <c r="F608" s="51"/>
      <c r="G608" s="36"/>
      <c r="H608" s="36"/>
      <c r="I608" s="36"/>
      <c r="J608" s="51"/>
      <c r="K608" s="36"/>
      <c r="L608" s="36"/>
      <c r="M608" s="36"/>
      <c r="N608" s="51"/>
      <c r="O608" s="36"/>
      <c r="P608" s="36"/>
      <c r="Q608" s="36"/>
      <c r="R608" s="51"/>
      <c r="S608" s="36"/>
      <c r="T608" s="36"/>
      <c r="U608" s="36"/>
      <c r="V608" s="51"/>
      <c r="W608" s="36"/>
      <c r="X608" s="36"/>
      <c r="Y608" s="36"/>
      <c r="Z608" s="51"/>
      <c r="AA608" s="36"/>
      <c r="AB608" s="36"/>
      <c r="AC608" s="36"/>
      <c r="AD608" s="51"/>
      <c r="AE608" s="36"/>
      <c r="AF608" s="36"/>
      <c r="AG608" s="36"/>
      <c r="AH608" s="51"/>
      <c r="AI608" s="36"/>
      <c r="AJ608" s="36"/>
      <c r="AK608" s="36"/>
      <c r="AL608" s="51"/>
      <c r="AM608" s="36"/>
      <c r="AN608" s="36"/>
      <c r="AO608" s="36"/>
      <c r="AP608" s="51"/>
      <c r="AQ608" s="36"/>
      <c r="AR608" s="36">
        <v>-179</v>
      </c>
      <c r="AS608" s="36">
        <v>-25</v>
      </c>
      <c r="AT608" s="51">
        <f t="shared" si="35"/>
        <v>-102</v>
      </c>
      <c r="AU608" s="36"/>
      <c r="AV608" s="36">
        <v>-209</v>
      </c>
      <c r="AW608" s="36">
        <v>-100</v>
      </c>
      <c r="AX608" s="51">
        <f>AVERAGE(AV608,AW608)</f>
        <v>-154.5</v>
      </c>
    </row>
    <row r="609" spans="1:50" ht="10.199999999999999" customHeight="1" x14ac:dyDescent="0.25">
      <c r="A609" s="14">
        <v>46</v>
      </c>
      <c r="B609" s="103">
        <v>39765</v>
      </c>
      <c r="C609" s="103">
        <v>39758</v>
      </c>
      <c r="D609" s="36"/>
      <c r="E609" s="36"/>
      <c r="F609" s="51"/>
      <c r="G609" s="36"/>
      <c r="H609" s="36"/>
      <c r="I609" s="36"/>
      <c r="J609" s="51"/>
      <c r="K609" s="36"/>
      <c r="L609" s="36"/>
      <c r="M609" s="36"/>
      <c r="N609" s="51"/>
      <c r="O609" s="36"/>
      <c r="P609" s="36"/>
      <c r="Q609" s="36"/>
      <c r="R609" s="51"/>
      <c r="S609" s="36"/>
      <c r="T609" s="36"/>
      <c r="U609" s="36"/>
      <c r="V609" s="51"/>
      <c r="W609" s="36"/>
      <c r="X609" s="36"/>
      <c r="Y609" s="36"/>
      <c r="Z609" s="51"/>
      <c r="AA609" s="36"/>
      <c r="AB609" s="36"/>
      <c r="AC609" s="36"/>
      <c r="AD609" s="51"/>
      <c r="AE609" s="36"/>
      <c r="AF609" s="36"/>
      <c r="AG609" s="36"/>
      <c r="AH609" s="51"/>
      <c r="AI609" s="36"/>
      <c r="AJ609" s="36"/>
      <c r="AK609" s="36"/>
      <c r="AL609" s="51"/>
      <c r="AM609" s="36"/>
      <c r="AN609" s="36"/>
      <c r="AO609" s="36"/>
      <c r="AP609" s="51"/>
      <c r="AQ609" s="36"/>
      <c r="AR609" s="36">
        <v>-313</v>
      </c>
      <c r="AS609" s="36">
        <v>-100</v>
      </c>
      <c r="AT609" s="51">
        <f t="shared" si="35"/>
        <v>-206.5</v>
      </c>
      <c r="AU609" s="36"/>
      <c r="AV609" s="36"/>
      <c r="AW609" s="36">
        <v>-100</v>
      </c>
      <c r="AX609" s="51">
        <f>AVERAGE(AV609,AW609)</f>
        <v>-100</v>
      </c>
    </row>
    <row r="610" spans="1:50" ht="10.199999999999999" customHeight="1" x14ac:dyDescent="0.25">
      <c r="A610" s="14">
        <v>47</v>
      </c>
      <c r="B610" s="103">
        <v>39772</v>
      </c>
      <c r="C610" s="103">
        <v>39765</v>
      </c>
      <c r="D610" s="36"/>
      <c r="E610" s="36"/>
      <c r="F610" s="51"/>
      <c r="G610" s="36"/>
      <c r="H610" s="36"/>
      <c r="I610" s="36"/>
      <c r="J610" s="51"/>
      <c r="K610" s="36"/>
      <c r="L610" s="36"/>
      <c r="M610" s="36"/>
      <c r="N610" s="51"/>
      <c r="O610" s="36"/>
      <c r="P610" s="36"/>
      <c r="Q610" s="36"/>
      <c r="R610" s="51"/>
      <c r="S610" s="36"/>
      <c r="T610" s="36"/>
      <c r="U610" s="36"/>
      <c r="V610" s="51"/>
      <c r="W610" s="36"/>
      <c r="X610" s="36"/>
      <c r="Y610" s="36"/>
      <c r="Z610" s="51"/>
      <c r="AA610" s="36"/>
      <c r="AB610" s="36"/>
      <c r="AC610" s="36"/>
      <c r="AD610" s="51"/>
      <c r="AE610" s="36"/>
      <c r="AF610" s="36"/>
      <c r="AG610" s="36"/>
      <c r="AH610" s="51"/>
      <c r="AI610" s="36"/>
      <c r="AJ610" s="36"/>
      <c r="AK610" s="36"/>
      <c r="AL610" s="51"/>
      <c r="AM610" s="36"/>
      <c r="AN610" s="36"/>
      <c r="AO610" s="36"/>
      <c r="AP610" s="51"/>
      <c r="AQ610" s="36"/>
      <c r="AR610" s="36">
        <v>-338</v>
      </c>
      <c r="AS610" s="36">
        <v>-575</v>
      </c>
      <c r="AT610" s="51">
        <f t="shared" si="35"/>
        <v>-456.5</v>
      </c>
      <c r="AU610" s="36"/>
      <c r="AV610" s="36"/>
      <c r="AW610" s="36"/>
      <c r="AX610" s="49"/>
    </row>
    <row r="611" spans="1:50" ht="10.199999999999999" customHeight="1" x14ac:dyDescent="0.25">
      <c r="A611" s="14">
        <v>48</v>
      </c>
      <c r="B611" s="103">
        <v>39779</v>
      </c>
      <c r="C611" s="103">
        <v>39772</v>
      </c>
      <c r="D611" s="36">
        <v>-300</v>
      </c>
      <c r="E611" s="36"/>
      <c r="F611" s="51">
        <f>AVERAGE(D611:E611)</f>
        <v>-300</v>
      </c>
      <c r="G611" s="36"/>
      <c r="H611" s="36"/>
      <c r="I611" s="36"/>
      <c r="J611" s="51"/>
      <c r="K611" s="36"/>
      <c r="L611" s="36"/>
      <c r="M611" s="36"/>
      <c r="N611" s="51"/>
      <c r="O611" s="36"/>
      <c r="P611" s="36"/>
      <c r="Q611" s="36"/>
      <c r="R611" s="51"/>
      <c r="S611" s="36"/>
      <c r="T611" s="36"/>
      <c r="U611" s="36"/>
      <c r="V611" s="51"/>
      <c r="W611" s="36"/>
      <c r="X611" s="36"/>
      <c r="Y611" s="36"/>
      <c r="Z611" s="51"/>
      <c r="AA611" s="36"/>
      <c r="AB611" s="36"/>
      <c r="AC611" s="36"/>
      <c r="AD611" s="51"/>
      <c r="AE611" s="36"/>
      <c r="AF611" s="36"/>
      <c r="AG611" s="36"/>
      <c r="AH611" s="51"/>
      <c r="AI611" s="36"/>
      <c r="AJ611" s="36"/>
      <c r="AK611" s="36"/>
      <c r="AL611" s="51"/>
      <c r="AM611" s="36"/>
      <c r="AN611" s="36"/>
      <c r="AO611" s="36"/>
      <c r="AP611" s="51"/>
      <c r="AQ611" s="36"/>
      <c r="AR611" s="36"/>
      <c r="AS611" s="36"/>
      <c r="AT611" s="51"/>
      <c r="AU611" s="36"/>
      <c r="AV611" s="36">
        <v>-325</v>
      </c>
      <c r="AW611" s="36"/>
      <c r="AX611" s="51">
        <f>AVERAGE(AV611,AW611)</f>
        <v>-325</v>
      </c>
    </row>
    <row r="612" spans="1:50" ht="10.199999999999999" customHeight="1" x14ac:dyDescent="0.25">
      <c r="A612" s="14">
        <v>49</v>
      </c>
      <c r="B612" s="103">
        <v>39786</v>
      </c>
      <c r="C612" s="103">
        <v>39779</v>
      </c>
      <c r="D612" s="36"/>
      <c r="E612" s="36"/>
      <c r="F612" s="51"/>
      <c r="G612" s="36"/>
      <c r="H612" s="36"/>
      <c r="I612" s="36"/>
      <c r="J612" s="51"/>
      <c r="K612" s="36"/>
      <c r="L612" s="36"/>
      <c r="M612" s="36"/>
      <c r="N612" s="51"/>
      <c r="O612" s="36"/>
      <c r="P612" s="36"/>
      <c r="Q612" s="36"/>
      <c r="R612" s="51"/>
      <c r="S612" s="36"/>
      <c r="T612" s="36"/>
      <c r="U612" s="36"/>
      <c r="V612" s="51"/>
      <c r="W612" s="36"/>
      <c r="X612" s="36"/>
      <c r="Y612" s="36"/>
      <c r="Z612" s="51"/>
      <c r="AA612" s="36"/>
      <c r="AB612" s="36"/>
      <c r="AC612" s="36"/>
      <c r="AD612" s="51"/>
      <c r="AE612" s="36"/>
      <c r="AF612" s="36"/>
      <c r="AG612" s="36"/>
      <c r="AH612" s="51"/>
      <c r="AI612" s="36"/>
      <c r="AJ612" s="36"/>
      <c r="AK612" s="36"/>
      <c r="AL612" s="51"/>
      <c r="AM612" s="36"/>
      <c r="AN612" s="36"/>
      <c r="AO612" s="36"/>
      <c r="AP612" s="51"/>
      <c r="AQ612" s="36"/>
      <c r="AR612" s="36"/>
      <c r="AS612" s="36"/>
      <c r="AT612" s="51"/>
      <c r="AU612" s="36"/>
      <c r="AV612" s="36">
        <v>-200</v>
      </c>
      <c r="AW612" s="36">
        <v>-400</v>
      </c>
      <c r="AX612" s="51">
        <f>AVERAGE(AV612,AW612)</f>
        <v>-300</v>
      </c>
    </row>
    <row r="613" spans="1:50" ht="10.199999999999999" customHeight="1" x14ac:dyDescent="0.25">
      <c r="A613" s="14">
        <v>50</v>
      </c>
      <c r="B613" s="103">
        <v>39793</v>
      </c>
      <c r="C613" s="103">
        <v>39786</v>
      </c>
      <c r="D613" s="36"/>
      <c r="E613" s="36"/>
      <c r="F613" s="51"/>
      <c r="G613" s="36"/>
      <c r="H613" s="36"/>
      <c r="I613" s="36"/>
      <c r="J613" s="51"/>
      <c r="K613" s="36"/>
      <c r="L613" s="36"/>
      <c r="M613" s="36"/>
      <c r="N613" s="51"/>
      <c r="O613" s="36"/>
      <c r="P613" s="36"/>
      <c r="Q613" s="36"/>
      <c r="R613" s="51"/>
      <c r="S613" s="36"/>
      <c r="T613" s="36"/>
      <c r="U613" s="36"/>
      <c r="V613" s="51"/>
      <c r="W613" s="36"/>
      <c r="X613" s="36"/>
      <c r="Y613" s="36"/>
      <c r="Z613" s="51"/>
      <c r="AA613" s="36"/>
      <c r="AB613" s="36"/>
      <c r="AC613" s="36"/>
      <c r="AD613" s="51"/>
      <c r="AE613" s="36"/>
      <c r="AF613" s="36"/>
      <c r="AG613" s="36"/>
      <c r="AH613" s="51"/>
      <c r="AI613" s="36"/>
      <c r="AJ613" s="36"/>
      <c r="AK613" s="36"/>
      <c r="AL613" s="51"/>
      <c r="AM613" s="36"/>
      <c r="AN613" s="36"/>
      <c r="AO613" s="36"/>
      <c r="AP613" s="51"/>
      <c r="AQ613" s="36"/>
      <c r="AR613" s="36"/>
      <c r="AS613" s="36"/>
      <c r="AT613" s="51"/>
      <c r="AU613" s="36"/>
      <c r="AV613" s="36">
        <v>-171</v>
      </c>
      <c r="AW613" s="36">
        <v>-600</v>
      </c>
      <c r="AX613" s="51">
        <f>AVERAGE(AV613,AW613)</f>
        <v>-385.5</v>
      </c>
    </row>
    <row r="614" spans="1:50" ht="10.199999999999999" customHeight="1" x14ac:dyDescent="0.25">
      <c r="A614" s="14">
        <v>51</v>
      </c>
      <c r="B614" s="103">
        <v>39800</v>
      </c>
      <c r="C614" s="103">
        <v>39793</v>
      </c>
      <c r="D614" s="36">
        <v>-119</v>
      </c>
      <c r="E614" s="36"/>
      <c r="F614" s="51">
        <f t="shared" ref="F614:F619" si="39">AVERAGE(D614:E614)</f>
        <v>-119</v>
      </c>
      <c r="G614" s="36"/>
      <c r="H614" s="36"/>
      <c r="I614" s="36"/>
      <c r="J614" s="51"/>
      <c r="K614" s="36"/>
      <c r="L614" s="36"/>
      <c r="M614" s="36"/>
      <c r="N614" s="51"/>
      <c r="O614" s="36"/>
      <c r="P614" s="36"/>
      <c r="Q614" s="36"/>
      <c r="R614" s="51"/>
      <c r="S614" s="36"/>
      <c r="T614" s="36"/>
      <c r="U614" s="36"/>
      <c r="V614" s="51"/>
      <c r="W614" s="36"/>
      <c r="X614" s="36"/>
      <c r="Y614" s="36"/>
      <c r="Z614" s="51"/>
      <c r="AA614" s="36"/>
      <c r="AB614" s="36"/>
      <c r="AC614" s="36"/>
      <c r="AD614" s="51"/>
      <c r="AE614" s="36"/>
      <c r="AF614" s="36"/>
      <c r="AG614" s="36"/>
      <c r="AH614" s="51"/>
      <c r="AI614" s="36"/>
      <c r="AJ614" s="36"/>
      <c r="AK614" s="36"/>
      <c r="AL614" s="51"/>
      <c r="AM614" s="36"/>
      <c r="AN614" s="36"/>
      <c r="AO614" s="36"/>
      <c r="AP614" s="51"/>
      <c r="AQ614" s="36"/>
      <c r="AR614" s="36"/>
      <c r="AS614" s="36"/>
      <c r="AT614" s="51"/>
      <c r="AU614" s="36"/>
      <c r="AV614" s="36">
        <v>-150</v>
      </c>
      <c r="AW614" s="36">
        <v>-400</v>
      </c>
      <c r="AX614" s="51">
        <f>AVERAGE(AV614,AW614)</f>
        <v>-275</v>
      </c>
    </row>
    <row r="615" spans="1:50" ht="10.199999999999999" customHeight="1" x14ac:dyDescent="0.25">
      <c r="A615" s="14">
        <v>52</v>
      </c>
      <c r="B615" s="103">
        <v>39807</v>
      </c>
      <c r="C615" s="103">
        <v>39800</v>
      </c>
      <c r="D615" s="36">
        <v>0</v>
      </c>
      <c r="E615" s="36">
        <v>-200</v>
      </c>
      <c r="F615" s="51">
        <f t="shared" si="39"/>
        <v>-100</v>
      </c>
      <c r="G615" s="36"/>
      <c r="H615" s="36"/>
      <c r="I615" s="36"/>
      <c r="J615" s="51"/>
      <c r="K615" s="36"/>
      <c r="L615" s="36"/>
      <c r="M615" s="36"/>
      <c r="N615" s="51"/>
      <c r="O615" s="36"/>
      <c r="P615" s="36"/>
      <c r="Q615" s="36"/>
      <c r="R615" s="51"/>
      <c r="S615" s="36"/>
      <c r="T615" s="36"/>
      <c r="U615" s="36"/>
      <c r="V615" s="51"/>
      <c r="W615" s="36"/>
      <c r="X615" s="36"/>
      <c r="Y615" s="36"/>
      <c r="Z615" s="51"/>
      <c r="AA615" s="36"/>
      <c r="AB615" s="36"/>
      <c r="AC615" s="36"/>
      <c r="AD615" s="51"/>
      <c r="AE615" s="36"/>
      <c r="AF615" s="36"/>
      <c r="AG615" s="36"/>
      <c r="AH615" s="51"/>
      <c r="AI615" s="36"/>
      <c r="AJ615" s="36"/>
      <c r="AK615" s="36"/>
      <c r="AL615" s="51"/>
      <c r="AM615" s="36"/>
      <c r="AN615" s="36"/>
      <c r="AO615" s="36"/>
      <c r="AP615" s="51"/>
      <c r="AQ615" s="36"/>
      <c r="AR615" s="36"/>
      <c r="AS615" s="36"/>
      <c r="AT615" s="51"/>
      <c r="AU615" s="36"/>
      <c r="AV615" s="36"/>
      <c r="AW615" s="36"/>
      <c r="AX615" s="49"/>
    </row>
    <row r="616" spans="1:50" ht="10.199999999999999" customHeight="1" x14ac:dyDescent="0.25">
      <c r="A616" s="14">
        <v>53</v>
      </c>
      <c r="B616" s="103">
        <v>39814</v>
      </c>
      <c r="C616" s="103">
        <v>39807</v>
      </c>
      <c r="D616" s="36">
        <v>-175</v>
      </c>
      <c r="E616" s="36">
        <v>-225</v>
      </c>
      <c r="F616" s="51">
        <f t="shared" si="39"/>
        <v>-200</v>
      </c>
      <c r="G616" s="36"/>
      <c r="H616" s="36"/>
      <c r="I616" s="36"/>
      <c r="J616" s="51"/>
      <c r="K616" s="36"/>
      <c r="L616" s="36"/>
      <c r="M616" s="36"/>
      <c r="N616" s="51"/>
      <c r="O616" s="36"/>
      <c r="P616" s="36"/>
      <c r="Q616" s="36"/>
      <c r="R616" s="51"/>
      <c r="S616" s="36"/>
      <c r="T616" s="36"/>
      <c r="U616" s="36"/>
      <c r="V616" s="51"/>
      <c r="W616" s="36"/>
      <c r="X616" s="36"/>
      <c r="Y616" s="36"/>
      <c r="Z616" s="51"/>
      <c r="AA616" s="36"/>
      <c r="AB616" s="36"/>
      <c r="AC616" s="36"/>
      <c r="AD616" s="51"/>
      <c r="AE616" s="36"/>
      <c r="AF616" s="36"/>
      <c r="AG616" s="36"/>
      <c r="AH616" s="51"/>
      <c r="AI616" s="36"/>
      <c r="AJ616" s="36"/>
      <c r="AK616" s="36"/>
      <c r="AL616" s="51"/>
      <c r="AM616" s="36"/>
      <c r="AN616" s="36"/>
      <c r="AO616" s="36"/>
      <c r="AP616" s="51"/>
      <c r="AQ616" s="36"/>
      <c r="AR616" s="36"/>
      <c r="AS616" s="36"/>
      <c r="AT616" s="51"/>
      <c r="AU616" s="36"/>
      <c r="AV616" s="36"/>
      <c r="AW616" s="36"/>
      <c r="AX616" s="49"/>
    </row>
    <row r="617" spans="1:50" ht="10.199999999999999" customHeight="1" x14ac:dyDescent="0.25">
      <c r="A617" s="14">
        <v>1</v>
      </c>
      <c r="B617" s="103">
        <v>39821</v>
      </c>
      <c r="C617" s="103">
        <v>39814</v>
      </c>
      <c r="D617" s="36">
        <v>-367</v>
      </c>
      <c r="E617" s="36">
        <v>-213</v>
      </c>
      <c r="F617" s="51">
        <f t="shared" si="39"/>
        <v>-290</v>
      </c>
      <c r="G617" s="36"/>
      <c r="H617" s="36"/>
      <c r="I617" s="36"/>
      <c r="J617" s="51"/>
      <c r="K617" s="36"/>
      <c r="L617" s="36"/>
      <c r="M617" s="36"/>
      <c r="N617" s="51"/>
      <c r="O617" s="36"/>
      <c r="P617" s="36"/>
      <c r="Q617" s="36"/>
      <c r="R617" s="51"/>
      <c r="S617" s="36"/>
      <c r="T617" s="36"/>
      <c r="U617" s="36"/>
      <c r="V617" s="51"/>
      <c r="W617" s="36"/>
      <c r="X617" s="36"/>
      <c r="Y617" s="36"/>
      <c r="Z617" s="51"/>
      <c r="AA617" s="36"/>
      <c r="AB617" s="36"/>
      <c r="AC617" s="36"/>
      <c r="AD617" s="51"/>
      <c r="AE617" s="36"/>
      <c r="AF617" s="36"/>
      <c r="AG617" s="36"/>
      <c r="AH617" s="51"/>
      <c r="AI617" s="36"/>
      <c r="AJ617" s="36"/>
      <c r="AK617" s="36"/>
      <c r="AL617" s="51"/>
      <c r="AM617" s="36"/>
      <c r="AN617" s="36"/>
      <c r="AO617" s="36"/>
      <c r="AP617" s="51"/>
      <c r="AQ617" s="36"/>
      <c r="AR617" s="36"/>
      <c r="AS617" s="36"/>
      <c r="AT617" s="51"/>
      <c r="AU617" s="36"/>
      <c r="AV617" s="36"/>
      <c r="AW617" s="36"/>
      <c r="AX617" s="49"/>
    </row>
    <row r="618" spans="1:50" ht="10.199999999999999" customHeight="1" x14ac:dyDescent="0.25">
      <c r="A618" s="14">
        <v>2</v>
      </c>
      <c r="B618" s="103">
        <v>39828</v>
      </c>
      <c r="C618" s="103">
        <v>39821</v>
      </c>
      <c r="D618" s="36">
        <v>-107</v>
      </c>
      <c r="E618" s="36">
        <v>-150</v>
      </c>
      <c r="F618" s="51">
        <f t="shared" si="39"/>
        <v>-128.5</v>
      </c>
      <c r="G618" s="36"/>
      <c r="H618" s="36">
        <v>-250</v>
      </c>
      <c r="I618" s="36">
        <v>-150</v>
      </c>
      <c r="J618" s="51">
        <f t="shared" ref="J618:J623" si="40">AVERAGE(H618:I618)</f>
        <v>-200</v>
      </c>
      <c r="K618" s="36"/>
      <c r="L618" s="36"/>
      <c r="M618" s="36"/>
      <c r="N618" s="51"/>
      <c r="O618" s="36"/>
      <c r="P618" s="36"/>
      <c r="Q618" s="36"/>
      <c r="R618" s="51"/>
      <c r="S618" s="36"/>
      <c r="T618" s="36"/>
      <c r="U618" s="36"/>
      <c r="V618" s="51"/>
      <c r="W618" s="36"/>
      <c r="X618" s="36"/>
      <c r="Y618" s="36"/>
      <c r="Z618" s="51"/>
      <c r="AA618" s="36"/>
      <c r="AB618" s="36"/>
      <c r="AC618" s="36"/>
      <c r="AD618" s="51"/>
      <c r="AE618" s="36"/>
      <c r="AF618" s="36"/>
      <c r="AG618" s="36"/>
      <c r="AH618" s="51"/>
      <c r="AI618" s="36"/>
      <c r="AJ618" s="36"/>
      <c r="AK618" s="36"/>
      <c r="AL618" s="51"/>
      <c r="AM618" s="36"/>
      <c r="AN618" s="36"/>
      <c r="AO618" s="36"/>
      <c r="AP618" s="51"/>
      <c r="AQ618" s="36"/>
      <c r="AR618" s="36"/>
      <c r="AS618" s="36"/>
      <c r="AT618" s="51"/>
      <c r="AU618" s="36"/>
      <c r="AV618" s="36"/>
      <c r="AW618" s="36"/>
      <c r="AX618" s="49"/>
    </row>
    <row r="619" spans="1:50" ht="10.199999999999999" customHeight="1" x14ac:dyDescent="0.25">
      <c r="A619" s="14">
        <v>3</v>
      </c>
      <c r="B619" s="103">
        <v>39835</v>
      </c>
      <c r="C619" s="103">
        <v>39828</v>
      </c>
      <c r="D619" s="36">
        <v>-175</v>
      </c>
      <c r="E619" s="36">
        <v>-225</v>
      </c>
      <c r="F619" s="51">
        <f t="shared" si="39"/>
        <v>-200</v>
      </c>
      <c r="G619" s="36"/>
      <c r="H619" s="36"/>
      <c r="I619" s="36">
        <v>-150</v>
      </c>
      <c r="J619" s="51">
        <f t="shared" si="40"/>
        <v>-150</v>
      </c>
      <c r="K619" s="36"/>
      <c r="L619" s="36"/>
      <c r="M619" s="36"/>
      <c r="N619" s="51"/>
      <c r="O619" s="36"/>
      <c r="P619" s="36"/>
      <c r="Q619" s="36"/>
      <c r="R619" s="51"/>
      <c r="S619" s="36"/>
      <c r="T619" s="36"/>
      <c r="U619" s="36"/>
      <c r="V619" s="51"/>
      <c r="W619" s="36"/>
      <c r="X619" s="36"/>
      <c r="Y619" s="36"/>
      <c r="Z619" s="51"/>
      <c r="AA619" s="36"/>
      <c r="AB619" s="36"/>
      <c r="AC619" s="36"/>
      <c r="AD619" s="51"/>
      <c r="AE619" s="36"/>
      <c r="AF619" s="36"/>
      <c r="AG619" s="36"/>
      <c r="AH619" s="51"/>
      <c r="AI619" s="36"/>
      <c r="AJ619" s="36"/>
      <c r="AK619" s="36"/>
      <c r="AL619" s="51"/>
      <c r="AM619" s="36"/>
      <c r="AN619" s="36"/>
      <c r="AO619" s="36"/>
      <c r="AP619" s="51"/>
      <c r="AQ619" s="36"/>
      <c r="AR619" s="36"/>
      <c r="AS619" s="36"/>
      <c r="AT619" s="51"/>
      <c r="AU619" s="36"/>
      <c r="AV619" s="36"/>
      <c r="AW619" s="36"/>
      <c r="AX619" s="49"/>
    </row>
    <row r="620" spans="1:50" ht="10.199999999999999" customHeight="1" x14ac:dyDescent="0.25">
      <c r="A620" s="14">
        <v>4</v>
      </c>
      <c r="B620" s="103">
        <v>39842</v>
      </c>
      <c r="C620" s="103">
        <v>39835</v>
      </c>
      <c r="D620" s="36"/>
      <c r="E620" s="36"/>
      <c r="F620" s="51"/>
      <c r="G620" s="36"/>
      <c r="H620" s="36">
        <v>-144</v>
      </c>
      <c r="I620" s="36">
        <v>-150</v>
      </c>
      <c r="J620" s="51">
        <f t="shared" si="40"/>
        <v>-147</v>
      </c>
      <c r="K620" s="36"/>
      <c r="L620" s="36"/>
      <c r="M620" s="36"/>
      <c r="N620" s="51"/>
      <c r="O620" s="36"/>
      <c r="P620" s="36"/>
      <c r="Q620" s="36"/>
      <c r="R620" s="51"/>
      <c r="S620" s="36"/>
      <c r="T620" s="36"/>
      <c r="U620" s="36"/>
      <c r="V620" s="51"/>
      <c r="W620" s="36"/>
      <c r="X620" s="36"/>
      <c r="Y620" s="36">
        <v>-150</v>
      </c>
      <c r="Z620" s="51">
        <f>AVERAGE(X620:Y620)</f>
        <v>-150</v>
      </c>
      <c r="AA620" s="36"/>
      <c r="AB620" s="36"/>
      <c r="AC620" s="36"/>
      <c r="AD620" s="51"/>
      <c r="AE620" s="36"/>
      <c r="AF620" s="36"/>
      <c r="AG620" s="36"/>
      <c r="AH620" s="51"/>
      <c r="AI620" s="36"/>
      <c r="AJ620" s="36"/>
      <c r="AK620" s="36"/>
      <c r="AL620" s="51"/>
      <c r="AM620" s="36"/>
      <c r="AN620" s="36"/>
      <c r="AO620" s="36"/>
      <c r="AP620" s="51"/>
      <c r="AQ620" s="36"/>
      <c r="AR620" s="36"/>
      <c r="AS620" s="36"/>
      <c r="AT620" s="51"/>
      <c r="AU620" s="36"/>
      <c r="AV620" s="36"/>
      <c r="AW620" s="36"/>
      <c r="AX620" s="49"/>
    </row>
    <row r="621" spans="1:50" ht="10.199999999999999" customHeight="1" x14ac:dyDescent="0.25">
      <c r="A621" s="14">
        <v>5</v>
      </c>
      <c r="B621" s="103">
        <v>39849</v>
      </c>
      <c r="C621" s="103">
        <v>39842</v>
      </c>
      <c r="D621" s="36"/>
      <c r="E621" s="36"/>
      <c r="F621" s="51"/>
      <c r="G621" s="36"/>
      <c r="H621" s="36">
        <v>-46</v>
      </c>
      <c r="I621" s="36">
        <v>-113</v>
      </c>
      <c r="J621" s="51">
        <f t="shared" si="40"/>
        <v>-79.5</v>
      </c>
      <c r="K621" s="36"/>
      <c r="L621" s="36">
        <v>-200</v>
      </c>
      <c r="M621" s="36"/>
      <c r="N621" s="51">
        <f t="shared" ref="N621:N627" si="41">AVERAGE(L621:M621)</f>
        <v>-200</v>
      </c>
      <c r="O621" s="36"/>
      <c r="P621" s="36"/>
      <c r="Q621" s="36"/>
      <c r="R621" s="51"/>
      <c r="S621" s="36"/>
      <c r="T621" s="36"/>
      <c r="U621" s="36"/>
      <c r="V621" s="51"/>
      <c r="W621" s="36"/>
      <c r="X621" s="36"/>
      <c r="Y621" s="36">
        <v>-150</v>
      </c>
      <c r="Z621" s="51">
        <f>AVERAGE(X621:Y621)</f>
        <v>-150</v>
      </c>
      <c r="AA621" s="36"/>
      <c r="AB621" s="36"/>
      <c r="AC621" s="36"/>
      <c r="AD621" s="51"/>
      <c r="AE621" s="36"/>
      <c r="AF621" s="36"/>
      <c r="AG621" s="36"/>
      <c r="AH621" s="51"/>
      <c r="AI621" s="36"/>
      <c r="AJ621" s="36"/>
      <c r="AK621" s="36"/>
      <c r="AL621" s="51"/>
      <c r="AM621" s="36"/>
      <c r="AN621" s="36"/>
      <c r="AO621" s="36"/>
      <c r="AP621" s="51"/>
      <c r="AQ621" s="36"/>
      <c r="AR621" s="36"/>
      <c r="AS621" s="36"/>
      <c r="AT621" s="51"/>
      <c r="AU621" s="36"/>
      <c r="AV621" s="36"/>
      <c r="AW621" s="36"/>
      <c r="AX621" s="49"/>
    </row>
    <row r="622" spans="1:50" ht="10.199999999999999" customHeight="1" x14ac:dyDescent="0.25">
      <c r="A622" s="14">
        <v>6</v>
      </c>
      <c r="B622" s="103">
        <v>39856</v>
      </c>
      <c r="C622" s="103">
        <v>39849</v>
      </c>
      <c r="D622" s="36"/>
      <c r="E622" s="36"/>
      <c r="F622" s="51"/>
      <c r="G622" s="36"/>
      <c r="H622" s="36">
        <v>-125</v>
      </c>
      <c r="I622" s="36">
        <v>-150</v>
      </c>
      <c r="J622" s="51">
        <f t="shared" si="40"/>
        <v>-137.5</v>
      </c>
      <c r="K622" s="36"/>
      <c r="L622" s="36">
        <v>-209</v>
      </c>
      <c r="M622" s="36"/>
      <c r="N622" s="51">
        <f t="shared" si="41"/>
        <v>-209</v>
      </c>
      <c r="O622" s="36"/>
      <c r="P622" s="36"/>
      <c r="Q622" s="36"/>
      <c r="R622" s="51"/>
      <c r="S622" s="36"/>
      <c r="T622" s="36"/>
      <c r="U622" s="36"/>
      <c r="V622" s="51"/>
      <c r="W622" s="36"/>
      <c r="X622" s="36"/>
      <c r="Y622" s="36">
        <v>-175</v>
      </c>
      <c r="Z622" s="51">
        <f>AVERAGE(X622:Y622)</f>
        <v>-175</v>
      </c>
      <c r="AA622" s="36"/>
      <c r="AB622" s="36"/>
      <c r="AC622" s="36"/>
      <c r="AD622" s="51"/>
      <c r="AE622" s="36"/>
      <c r="AF622" s="36"/>
      <c r="AG622" s="36"/>
      <c r="AH622" s="51"/>
      <c r="AI622" s="36"/>
      <c r="AJ622" s="36"/>
      <c r="AK622" s="36"/>
      <c r="AL622" s="51"/>
      <c r="AM622" s="36"/>
      <c r="AN622" s="36"/>
      <c r="AO622" s="36"/>
      <c r="AP622" s="51"/>
      <c r="AQ622" s="36"/>
      <c r="AR622" s="36"/>
      <c r="AS622" s="36"/>
      <c r="AT622" s="51"/>
      <c r="AU622" s="36"/>
      <c r="AV622" s="36"/>
      <c r="AW622" s="36"/>
      <c r="AX622" s="49"/>
    </row>
    <row r="623" spans="1:50" ht="10.199999999999999" customHeight="1" x14ac:dyDescent="0.25">
      <c r="A623" s="14">
        <v>7</v>
      </c>
      <c r="B623" s="103">
        <v>39863</v>
      </c>
      <c r="C623" s="103">
        <v>39856</v>
      </c>
      <c r="D623" s="36"/>
      <c r="E623" s="36"/>
      <c r="F623" s="51"/>
      <c r="G623" s="36"/>
      <c r="H623" s="36">
        <v>-38</v>
      </c>
      <c r="I623" s="36">
        <v>-85</v>
      </c>
      <c r="J623" s="51">
        <f t="shared" si="40"/>
        <v>-61.5</v>
      </c>
      <c r="K623" s="36"/>
      <c r="L623" s="36">
        <v>-125</v>
      </c>
      <c r="M623" s="36">
        <v>-125</v>
      </c>
      <c r="N623" s="51">
        <f t="shared" si="41"/>
        <v>-125</v>
      </c>
      <c r="O623" s="36"/>
      <c r="P623" s="36"/>
      <c r="Q623" s="36"/>
      <c r="R623" s="51"/>
      <c r="S623" s="36"/>
      <c r="T623" s="36"/>
      <c r="U623" s="36"/>
      <c r="V623" s="51"/>
      <c r="W623" s="36"/>
      <c r="X623" s="36"/>
      <c r="Y623" s="36"/>
      <c r="Z623" s="51"/>
      <c r="AA623" s="36"/>
      <c r="AB623" s="36"/>
      <c r="AC623" s="36"/>
      <c r="AD623" s="51"/>
      <c r="AE623" s="36"/>
      <c r="AF623" s="36"/>
      <c r="AG623" s="36"/>
      <c r="AH623" s="51"/>
      <c r="AI623" s="36"/>
      <c r="AJ623" s="36"/>
      <c r="AK623" s="36"/>
      <c r="AL623" s="51"/>
      <c r="AM623" s="36"/>
      <c r="AN623" s="36"/>
      <c r="AO623" s="36"/>
      <c r="AP623" s="51"/>
      <c r="AQ623" s="36"/>
      <c r="AR623" s="36"/>
      <c r="AS623" s="36"/>
      <c r="AT623" s="51"/>
      <c r="AU623" s="36"/>
      <c r="AV623" s="36"/>
      <c r="AW623" s="36"/>
      <c r="AX623" s="49"/>
    </row>
    <row r="624" spans="1:50" ht="10.199999999999999" customHeight="1" x14ac:dyDescent="0.25">
      <c r="A624" s="14">
        <v>8</v>
      </c>
      <c r="B624" s="103">
        <v>39870</v>
      </c>
      <c r="C624" s="103">
        <v>39863</v>
      </c>
      <c r="D624" s="36"/>
      <c r="E624" s="36"/>
      <c r="F624" s="51"/>
      <c r="G624" s="36"/>
      <c r="H624" s="36"/>
      <c r="I624" s="36"/>
      <c r="J624" s="51"/>
      <c r="K624" s="36"/>
      <c r="L624" s="36">
        <v>-171</v>
      </c>
      <c r="M624" s="36">
        <v>-125</v>
      </c>
      <c r="N624" s="51">
        <f t="shared" si="41"/>
        <v>-148</v>
      </c>
      <c r="O624" s="36"/>
      <c r="P624" s="36"/>
      <c r="Q624" s="36"/>
      <c r="R624" s="51"/>
      <c r="S624" s="36"/>
      <c r="T624" s="36"/>
      <c r="U624" s="36"/>
      <c r="V624" s="51"/>
      <c r="W624" s="36"/>
      <c r="X624" s="36"/>
      <c r="Y624" s="36"/>
      <c r="Z624" s="51"/>
      <c r="AA624" s="36"/>
      <c r="AB624" s="36"/>
      <c r="AC624" s="36"/>
      <c r="AD624" s="51"/>
      <c r="AE624" s="36"/>
      <c r="AF624" s="36"/>
      <c r="AG624" s="36"/>
      <c r="AH624" s="51"/>
      <c r="AI624" s="36"/>
      <c r="AJ624" s="36"/>
      <c r="AK624" s="36"/>
      <c r="AL624" s="51"/>
      <c r="AM624" s="36"/>
      <c r="AN624" s="36"/>
      <c r="AO624" s="36"/>
      <c r="AP624" s="51"/>
      <c r="AQ624" s="36"/>
      <c r="AR624" s="36"/>
      <c r="AS624" s="36"/>
      <c r="AT624" s="51"/>
      <c r="AU624" s="36"/>
      <c r="AV624" s="36"/>
      <c r="AW624" s="36"/>
      <c r="AX624" s="49"/>
    </row>
    <row r="625" spans="1:50" ht="10.199999999999999" customHeight="1" x14ac:dyDescent="0.25">
      <c r="A625" s="14">
        <v>9</v>
      </c>
      <c r="B625" s="103">
        <v>39877</v>
      </c>
      <c r="C625" s="103">
        <v>39870</v>
      </c>
      <c r="D625" s="36"/>
      <c r="E625" s="36"/>
      <c r="F625" s="51"/>
      <c r="G625" s="36"/>
      <c r="H625" s="36"/>
      <c r="I625" s="36"/>
      <c r="J625" s="51"/>
      <c r="K625" s="36"/>
      <c r="L625" s="36">
        <v>-188</v>
      </c>
      <c r="M625" s="36">
        <v>-175</v>
      </c>
      <c r="N625" s="51">
        <f t="shared" si="41"/>
        <v>-181.5</v>
      </c>
      <c r="O625" s="36"/>
      <c r="P625" s="36"/>
      <c r="Q625" s="36"/>
      <c r="R625" s="51"/>
      <c r="S625" s="36"/>
      <c r="T625" s="36"/>
      <c r="U625" s="36"/>
      <c r="V625" s="51"/>
      <c r="W625" s="36"/>
      <c r="X625" s="36"/>
      <c r="Y625" s="36"/>
      <c r="Z625" s="51"/>
      <c r="AA625" s="36"/>
      <c r="AB625" s="36"/>
      <c r="AC625" s="36"/>
      <c r="AD625" s="51"/>
      <c r="AE625" s="36"/>
      <c r="AF625" s="36"/>
      <c r="AG625" s="36"/>
      <c r="AH625" s="51"/>
      <c r="AI625" s="36"/>
      <c r="AJ625" s="36"/>
      <c r="AK625" s="36"/>
      <c r="AL625" s="51"/>
      <c r="AM625" s="36"/>
      <c r="AN625" s="36"/>
      <c r="AO625" s="36"/>
      <c r="AP625" s="51"/>
      <c r="AQ625" s="36"/>
      <c r="AR625" s="36"/>
      <c r="AS625" s="36"/>
      <c r="AT625" s="51"/>
      <c r="AU625" s="36"/>
      <c r="AV625" s="36"/>
      <c r="AW625" s="36"/>
      <c r="AX625" s="49"/>
    </row>
    <row r="626" spans="1:50" ht="10.199999999999999" customHeight="1" x14ac:dyDescent="0.25">
      <c r="A626" s="14">
        <v>10</v>
      </c>
      <c r="B626" s="103">
        <v>39884</v>
      </c>
      <c r="C626" s="103">
        <v>39877</v>
      </c>
      <c r="D626" s="36"/>
      <c r="E626" s="36"/>
      <c r="F626" s="51"/>
      <c r="G626" s="36"/>
      <c r="H626" s="36"/>
      <c r="I626" s="36"/>
      <c r="J626" s="51"/>
      <c r="K626" s="36"/>
      <c r="L626" s="36">
        <v>-119</v>
      </c>
      <c r="M626" s="36">
        <v>-175</v>
      </c>
      <c r="N626" s="51">
        <f t="shared" si="41"/>
        <v>-147</v>
      </c>
      <c r="O626" s="36"/>
      <c r="P626" s="36">
        <v>-175</v>
      </c>
      <c r="Q626" s="36"/>
      <c r="R626" s="51">
        <f t="shared" ref="R626:R631" si="42">AVERAGE(P626:Q626)</f>
        <v>-175</v>
      </c>
      <c r="S626" s="36"/>
      <c r="T626" s="36"/>
      <c r="U626" s="36"/>
      <c r="V626" s="51"/>
      <c r="W626" s="36"/>
      <c r="X626" s="36"/>
      <c r="Y626" s="36">
        <v>-150</v>
      </c>
      <c r="Z626" s="51">
        <f t="shared" ref="Z626:Z640" si="43">AVERAGE(X626:Y626)</f>
        <v>-150</v>
      </c>
      <c r="AA626" s="36"/>
      <c r="AB626" s="36"/>
      <c r="AC626" s="36"/>
      <c r="AD626" s="51"/>
      <c r="AE626" s="36"/>
      <c r="AF626" s="36"/>
      <c r="AG626" s="36"/>
      <c r="AH626" s="51"/>
      <c r="AI626" s="36"/>
      <c r="AJ626" s="36"/>
      <c r="AK626" s="36">
        <v>-100</v>
      </c>
      <c r="AL626" s="51">
        <f>AVERAGE(AJ626:AK626)</f>
        <v>-100</v>
      </c>
      <c r="AM626" s="36"/>
      <c r="AN626" s="36"/>
      <c r="AO626" s="36"/>
      <c r="AP626" s="51"/>
      <c r="AQ626" s="36"/>
      <c r="AR626" s="36"/>
      <c r="AS626" s="36"/>
      <c r="AT626" s="51"/>
      <c r="AU626" s="36"/>
      <c r="AV626" s="36"/>
      <c r="AW626" s="36"/>
      <c r="AX626" s="49"/>
    </row>
    <row r="627" spans="1:50" ht="10.199999999999999" customHeight="1" x14ac:dyDescent="0.25">
      <c r="A627" s="14">
        <v>11</v>
      </c>
      <c r="B627" s="103">
        <v>39891</v>
      </c>
      <c r="C627" s="103">
        <v>39884</v>
      </c>
      <c r="D627" s="36"/>
      <c r="E627" s="36"/>
      <c r="F627" s="51"/>
      <c r="G627" s="36"/>
      <c r="H627" s="36"/>
      <c r="I627" s="36"/>
      <c r="J627" s="51"/>
      <c r="K627" s="36"/>
      <c r="L627" s="36">
        <v>-88</v>
      </c>
      <c r="M627" s="36">
        <v>-200</v>
      </c>
      <c r="N627" s="51">
        <f t="shared" si="41"/>
        <v>-144</v>
      </c>
      <c r="O627" s="36"/>
      <c r="P627" s="36">
        <v>-175</v>
      </c>
      <c r="Q627" s="36">
        <v>-275</v>
      </c>
      <c r="R627" s="51">
        <f t="shared" si="42"/>
        <v>-225</v>
      </c>
      <c r="S627" s="36"/>
      <c r="T627" s="36"/>
      <c r="U627" s="36"/>
      <c r="V627" s="51"/>
      <c r="W627" s="36"/>
      <c r="X627" s="36"/>
      <c r="Y627" s="36">
        <v>-200</v>
      </c>
      <c r="Z627" s="51">
        <f t="shared" si="43"/>
        <v>-200</v>
      </c>
      <c r="AA627" s="36"/>
      <c r="AB627" s="36"/>
      <c r="AC627" s="36"/>
      <c r="AD627" s="51"/>
      <c r="AE627" s="36"/>
      <c r="AF627" s="36"/>
      <c r="AG627" s="36"/>
      <c r="AH627" s="51"/>
      <c r="AI627" s="36"/>
      <c r="AJ627" s="36"/>
      <c r="AK627" s="36"/>
      <c r="AL627" s="51"/>
      <c r="AM627" s="36"/>
      <c r="AN627" s="36"/>
      <c r="AO627" s="36"/>
      <c r="AP627" s="51"/>
      <c r="AQ627" s="36"/>
      <c r="AR627" s="36"/>
      <c r="AS627" s="36"/>
      <c r="AT627" s="51"/>
      <c r="AU627" s="36"/>
      <c r="AV627" s="36"/>
      <c r="AW627" s="36"/>
      <c r="AX627" s="49"/>
    </row>
    <row r="628" spans="1:50" ht="10.199999999999999" customHeight="1" x14ac:dyDescent="0.25">
      <c r="A628" s="14">
        <v>12</v>
      </c>
      <c r="B628" s="103">
        <v>39898</v>
      </c>
      <c r="C628" s="103">
        <v>39891</v>
      </c>
      <c r="D628" s="36"/>
      <c r="E628" s="36"/>
      <c r="F628" s="51"/>
      <c r="G628" s="36"/>
      <c r="H628" s="36"/>
      <c r="I628" s="36"/>
      <c r="J628" s="51"/>
      <c r="K628" s="36"/>
      <c r="L628" s="36"/>
      <c r="M628" s="36"/>
      <c r="N628" s="51"/>
      <c r="O628" s="36"/>
      <c r="P628" s="36">
        <v>-325</v>
      </c>
      <c r="Q628" s="36">
        <v>-300</v>
      </c>
      <c r="R628" s="51">
        <f t="shared" si="42"/>
        <v>-312.5</v>
      </c>
      <c r="S628" s="36"/>
      <c r="T628" s="36"/>
      <c r="U628" s="36">
        <v>-300</v>
      </c>
      <c r="V628" s="51">
        <f t="shared" ref="V628:V636" si="44">AVERAGE(T628:U628)</f>
        <v>-300</v>
      </c>
      <c r="W628" s="36"/>
      <c r="X628" s="36"/>
      <c r="Y628" s="36">
        <v>-200</v>
      </c>
      <c r="Z628" s="51">
        <f t="shared" si="43"/>
        <v>-200</v>
      </c>
      <c r="AA628" s="36"/>
      <c r="AB628" s="36"/>
      <c r="AC628" s="36"/>
      <c r="AD628" s="51"/>
      <c r="AE628" s="36"/>
      <c r="AF628" s="36"/>
      <c r="AG628" s="36"/>
      <c r="AH628" s="51"/>
      <c r="AI628" s="36"/>
      <c r="AJ628" s="36"/>
      <c r="AK628" s="36"/>
      <c r="AL628" s="51"/>
      <c r="AM628" s="36"/>
      <c r="AN628" s="36"/>
      <c r="AO628" s="36"/>
      <c r="AP628" s="51"/>
      <c r="AQ628" s="36"/>
      <c r="AR628" s="36"/>
      <c r="AS628" s="36"/>
      <c r="AT628" s="51"/>
      <c r="AU628" s="36"/>
      <c r="AV628" s="36"/>
      <c r="AW628" s="36"/>
      <c r="AX628" s="49"/>
    </row>
    <row r="629" spans="1:50" ht="10.199999999999999" customHeight="1" x14ac:dyDescent="0.25">
      <c r="A629" s="14">
        <v>13</v>
      </c>
      <c r="B629" s="103">
        <v>39905</v>
      </c>
      <c r="C629" s="103">
        <v>39898</v>
      </c>
      <c r="D629" s="36"/>
      <c r="E629" s="36"/>
      <c r="F629" s="51"/>
      <c r="G629" s="36"/>
      <c r="H629" s="36"/>
      <c r="I629" s="36"/>
      <c r="J629" s="51"/>
      <c r="K629" s="36"/>
      <c r="L629" s="36"/>
      <c r="M629" s="36"/>
      <c r="N629" s="51"/>
      <c r="O629" s="36"/>
      <c r="P629" s="36">
        <v>-267</v>
      </c>
      <c r="Q629" s="36">
        <v>-400</v>
      </c>
      <c r="R629" s="51">
        <f t="shared" si="42"/>
        <v>-333.5</v>
      </c>
      <c r="S629" s="36"/>
      <c r="T629" s="36"/>
      <c r="U629" s="36">
        <v>-350</v>
      </c>
      <c r="V629" s="51">
        <f t="shared" si="44"/>
        <v>-350</v>
      </c>
      <c r="W629" s="36"/>
      <c r="X629" s="36"/>
      <c r="Y629" s="36">
        <v>-250</v>
      </c>
      <c r="Z629" s="51">
        <f t="shared" si="43"/>
        <v>-250</v>
      </c>
      <c r="AA629" s="36"/>
      <c r="AB629" s="36"/>
      <c r="AC629" s="36"/>
      <c r="AD629" s="51"/>
      <c r="AE629" s="36"/>
      <c r="AF629" s="36"/>
      <c r="AG629" s="36"/>
      <c r="AH629" s="51"/>
      <c r="AI629" s="36"/>
      <c r="AJ629" s="36"/>
      <c r="AK629" s="36"/>
      <c r="AL629" s="51"/>
      <c r="AM629" s="36"/>
      <c r="AN629" s="36">
        <v>163</v>
      </c>
      <c r="AO629" s="36"/>
      <c r="AP629" s="51">
        <f t="shared" ref="AP629:AP640" si="45">AVERAGE(AN629:AO629)</f>
        <v>163</v>
      </c>
      <c r="AQ629" s="36"/>
      <c r="AR629" s="36"/>
      <c r="AS629" s="36"/>
      <c r="AT629" s="51"/>
      <c r="AU629" s="36"/>
      <c r="AV629" s="36"/>
      <c r="AW629" s="36"/>
      <c r="AX629" s="49"/>
    </row>
    <row r="630" spans="1:50" ht="10.199999999999999" customHeight="1" x14ac:dyDescent="0.25">
      <c r="A630" s="14">
        <v>14</v>
      </c>
      <c r="B630" s="103">
        <v>39912</v>
      </c>
      <c r="C630" s="103">
        <v>39905</v>
      </c>
      <c r="D630" s="36"/>
      <c r="E630" s="36"/>
      <c r="F630" s="51"/>
      <c r="G630" s="36"/>
      <c r="H630" s="36"/>
      <c r="I630" s="36"/>
      <c r="J630" s="51"/>
      <c r="K630" s="36"/>
      <c r="L630" s="36"/>
      <c r="M630" s="36"/>
      <c r="N630" s="51"/>
      <c r="O630" s="36"/>
      <c r="P630" s="36">
        <v>-142</v>
      </c>
      <c r="Q630" s="36">
        <v>-275</v>
      </c>
      <c r="R630" s="51">
        <f t="shared" si="42"/>
        <v>-208.5</v>
      </c>
      <c r="S630" s="36"/>
      <c r="T630" s="36">
        <v>-231</v>
      </c>
      <c r="U630" s="36">
        <v>-350</v>
      </c>
      <c r="V630" s="51">
        <f t="shared" si="44"/>
        <v>-290.5</v>
      </c>
      <c r="W630" s="36"/>
      <c r="X630" s="36"/>
      <c r="Y630" s="36">
        <v>-250</v>
      </c>
      <c r="Z630" s="51">
        <f t="shared" si="43"/>
        <v>-250</v>
      </c>
      <c r="AA630" s="36"/>
      <c r="AB630" s="36"/>
      <c r="AC630" s="36"/>
      <c r="AD630" s="51"/>
      <c r="AE630" s="36"/>
      <c r="AF630" s="36"/>
      <c r="AG630" s="36"/>
      <c r="AH630" s="51"/>
      <c r="AI630" s="36"/>
      <c r="AJ630" s="36"/>
      <c r="AK630" s="36">
        <v>-63</v>
      </c>
      <c r="AL630" s="51">
        <f t="shared" ref="AL630:AL638" si="46">AVERAGE(AJ630:AK630)</f>
        <v>-63</v>
      </c>
      <c r="AM630" s="36"/>
      <c r="AN630" s="36">
        <v>125</v>
      </c>
      <c r="AO630" s="36"/>
      <c r="AP630" s="51">
        <f t="shared" si="45"/>
        <v>125</v>
      </c>
      <c r="AQ630" s="36"/>
      <c r="AR630" s="36"/>
      <c r="AS630" s="36"/>
      <c r="AT630" s="51"/>
      <c r="AU630" s="36"/>
      <c r="AV630" s="36"/>
      <c r="AW630" s="36"/>
      <c r="AX630" s="49"/>
    </row>
    <row r="631" spans="1:50" ht="10.199999999999999" customHeight="1" x14ac:dyDescent="0.25">
      <c r="A631" s="14">
        <v>15</v>
      </c>
      <c r="B631" s="103">
        <v>39919</v>
      </c>
      <c r="C631" s="103">
        <v>39912</v>
      </c>
      <c r="D631" s="36"/>
      <c r="E631" s="36"/>
      <c r="F631" s="51"/>
      <c r="G631" s="36"/>
      <c r="H631" s="36"/>
      <c r="I631" s="36"/>
      <c r="J631" s="51"/>
      <c r="K631" s="36"/>
      <c r="L631" s="36"/>
      <c r="M631" s="36"/>
      <c r="N631" s="51"/>
      <c r="O631" s="36"/>
      <c r="P631" s="36">
        <v>-325</v>
      </c>
      <c r="Q631" s="36">
        <v>-375</v>
      </c>
      <c r="R631" s="51">
        <f t="shared" si="42"/>
        <v>-350</v>
      </c>
      <c r="S631" s="36"/>
      <c r="T631" s="36">
        <v>-275</v>
      </c>
      <c r="U631" s="36">
        <v>-350</v>
      </c>
      <c r="V631" s="51">
        <f t="shared" si="44"/>
        <v>-312.5</v>
      </c>
      <c r="W631" s="36"/>
      <c r="X631" s="36">
        <v>-167</v>
      </c>
      <c r="Y631" s="36">
        <v>-250</v>
      </c>
      <c r="Z631" s="51">
        <f t="shared" si="43"/>
        <v>-208.5</v>
      </c>
      <c r="AA631" s="36"/>
      <c r="AB631" s="36"/>
      <c r="AC631" s="36"/>
      <c r="AD631" s="51"/>
      <c r="AE631" s="36"/>
      <c r="AF631" s="36"/>
      <c r="AG631" s="36"/>
      <c r="AH631" s="51"/>
      <c r="AI631" s="36"/>
      <c r="AJ631" s="36"/>
      <c r="AK631" s="36">
        <v>-75</v>
      </c>
      <c r="AL631" s="51">
        <f t="shared" si="46"/>
        <v>-75</v>
      </c>
      <c r="AM631" s="36"/>
      <c r="AN631" s="36">
        <v>125</v>
      </c>
      <c r="AO631" s="36"/>
      <c r="AP631" s="51">
        <f t="shared" si="45"/>
        <v>125</v>
      </c>
      <c r="AQ631" s="36"/>
      <c r="AR631" s="36"/>
      <c r="AS631" s="36"/>
      <c r="AT631" s="51"/>
      <c r="AU631" s="36"/>
      <c r="AV631" s="36"/>
      <c r="AW631" s="36"/>
      <c r="AX631" s="49"/>
    </row>
    <row r="632" spans="1:50" ht="10.199999999999999" customHeight="1" x14ac:dyDescent="0.25">
      <c r="A632" s="14">
        <v>16</v>
      </c>
      <c r="B632" s="103">
        <v>39926</v>
      </c>
      <c r="C632" s="103">
        <v>39919</v>
      </c>
      <c r="D632" s="36"/>
      <c r="E632" s="36"/>
      <c r="F632" s="51"/>
      <c r="G632" s="36"/>
      <c r="H632" s="36"/>
      <c r="I632" s="36"/>
      <c r="J632" s="51"/>
      <c r="K632" s="36"/>
      <c r="L632" s="36"/>
      <c r="M632" s="36"/>
      <c r="N632" s="51"/>
      <c r="O632" s="36"/>
      <c r="P632" s="36"/>
      <c r="Q632" s="36"/>
      <c r="R632" s="51"/>
      <c r="S632" s="36"/>
      <c r="T632" s="36">
        <v>-400</v>
      </c>
      <c r="U632" s="36">
        <v>-350</v>
      </c>
      <c r="V632" s="51">
        <f t="shared" si="44"/>
        <v>-375</v>
      </c>
      <c r="W632" s="36"/>
      <c r="X632" s="36"/>
      <c r="Y632" s="36">
        <v>-250</v>
      </c>
      <c r="Z632" s="51">
        <f t="shared" si="43"/>
        <v>-250</v>
      </c>
      <c r="AA632" s="36"/>
      <c r="AB632" s="36"/>
      <c r="AC632" s="36"/>
      <c r="AD632" s="51"/>
      <c r="AE632" s="36"/>
      <c r="AF632" s="36"/>
      <c r="AG632" s="36"/>
      <c r="AH632" s="51"/>
      <c r="AI632" s="36"/>
      <c r="AJ632" s="36"/>
      <c r="AK632" s="36">
        <v>-100</v>
      </c>
      <c r="AL632" s="51">
        <f t="shared" si="46"/>
        <v>-100</v>
      </c>
      <c r="AM632" s="36"/>
      <c r="AN632" s="36">
        <v>125</v>
      </c>
      <c r="AO632" s="36"/>
      <c r="AP632" s="51">
        <f t="shared" si="45"/>
        <v>125</v>
      </c>
      <c r="AQ632" s="36"/>
      <c r="AR632" s="36"/>
      <c r="AS632" s="36"/>
      <c r="AT632" s="51"/>
      <c r="AU632" s="36"/>
      <c r="AV632" s="36"/>
      <c r="AW632" s="36"/>
      <c r="AX632" s="49"/>
    </row>
    <row r="633" spans="1:50" ht="10.199999999999999" customHeight="1" x14ac:dyDescent="0.25">
      <c r="A633" s="14">
        <v>17</v>
      </c>
      <c r="B633" s="103">
        <v>39933</v>
      </c>
      <c r="C633" s="103">
        <v>39926</v>
      </c>
      <c r="D633" s="36"/>
      <c r="E633" s="36"/>
      <c r="F633" s="51"/>
      <c r="G633" s="36"/>
      <c r="H633" s="36"/>
      <c r="I633" s="36"/>
      <c r="J633" s="51"/>
      <c r="K633" s="36"/>
      <c r="L633" s="36"/>
      <c r="M633" s="36"/>
      <c r="N633" s="51"/>
      <c r="O633" s="36"/>
      <c r="P633" s="36"/>
      <c r="Q633" s="36"/>
      <c r="R633" s="51"/>
      <c r="S633" s="36"/>
      <c r="T633" s="36">
        <v>-325</v>
      </c>
      <c r="U633" s="36">
        <v>-350</v>
      </c>
      <c r="V633" s="51">
        <f t="shared" si="44"/>
        <v>-337.5</v>
      </c>
      <c r="W633" s="36"/>
      <c r="X633" s="36"/>
      <c r="Y633" s="36">
        <v>-225</v>
      </c>
      <c r="Z633" s="51">
        <f t="shared" si="43"/>
        <v>-225</v>
      </c>
      <c r="AA633" s="36"/>
      <c r="AB633" s="36"/>
      <c r="AC633" s="36"/>
      <c r="AD633" s="51"/>
      <c r="AE633" s="36"/>
      <c r="AF633" s="36"/>
      <c r="AG633" s="36"/>
      <c r="AH633" s="51"/>
      <c r="AI633" s="36"/>
      <c r="AJ633" s="36">
        <v>93</v>
      </c>
      <c r="AK633" s="36">
        <v>-100</v>
      </c>
      <c r="AL633" s="51">
        <f t="shared" si="46"/>
        <v>-3.5</v>
      </c>
      <c r="AM633" s="36"/>
      <c r="AN633" s="36">
        <v>150</v>
      </c>
      <c r="AO633" s="36"/>
      <c r="AP633" s="51">
        <f t="shared" si="45"/>
        <v>150</v>
      </c>
      <c r="AQ633" s="36"/>
      <c r="AR633" s="36"/>
      <c r="AS633" s="36"/>
      <c r="AT633" s="51"/>
      <c r="AU633" s="36"/>
      <c r="AV633" s="36"/>
      <c r="AW633" s="36"/>
      <c r="AX633" s="49"/>
    </row>
    <row r="634" spans="1:50" ht="10.199999999999999" customHeight="1" x14ac:dyDescent="0.25">
      <c r="A634" s="14">
        <v>18</v>
      </c>
      <c r="B634" s="103">
        <v>39940</v>
      </c>
      <c r="C634" s="103">
        <v>39933</v>
      </c>
      <c r="D634" s="36"/>
      <c r="E634" s="36"/>
      <c r="F634" s="51"/>
      <c r="G634" s="36"/>
      <c r="H634" s="36"/>
      <c r="I634" s="36"/>
      <c r="J634" s="51"/>
      <c r="K634" s="36"/>
      <c r="L634" s="36"/>
      <c r="M634" s="36"/>
      <c r="N634" s="51"/>
      <c r="O634" s="36"/>
      <c r="P634" s="36"/>
      <c r="Q634" s="36"/>
      <c r="R634" s="51"/>
      <c r="S634" s="36"/>
      <c r="T634" s="36">
        <v>-261</v>
      </c>
      <c r="U634" s="36">
        <v>-375</v>
      </c>
      <c r="V634" s="51">
        <f t="shared" si="44"/>
        <v>-318</v>
      </c>
      <c r="W634" s="36"/>
      <c r="X634" s="36">
        <v>-163</v>
      </c>
      <c r="Y634" s="36">
        <v>-313</v>
      </c>
      <c r="Z634" s="51">
        <f t="shared" si="43"/>
        <v>-238</v>
      </c>
      <c r="AA634" s="36"/>
      <c r="AB634" s="36">
        <v>-100</v>
      </c>
      <c r="AC634" s="36"/>
      <c r="AD634" s="51">
        <f>AVERAGE(AB634:AC634)</f>
        <v>-100</v>
      </c>
      <c r="AE634" s="36"/>
      <c r="AF634" s="36"/>
      <c r="AG634" s="36"/>
      <c r="AH634" s="51"/>
      <c r="AI634" s="36"/>
      <c r="AJ634" s="36">
        <v>112</v>
      </c>
      <c r="AK634" s="36"/>
      <c r="AL634" s="51">
        <f t="shared" si="46"/>
        <v>112</v>
      </c>
      <c r="AM634" s="36"/>
      <c r="AN634" s="36">
        <v>150</v>
      </c>
      <c r="AO634" s="36"/>
      <c r="AP634" s="51">
        <f t="shared" si="45"/>
        <v>150</v>
      </c>
      <c r="AQ634" s="36"/>
      <c r="AR634" s="36"/>
      <c r="AS634" s="36"/>
      <c r="AT634" s="51"/>
      <c r="AU634" s="36"/>
      <c r="AV634" s="36"/>
      <c r="AW634" s="36"/>
      <c r="AX634" s="49"/>
    </row>
    <row r="635" spans="1:50" ht="10.199999999999999" customHeight="1" x14ac:dyDescent="0.25">
      <c r="A635" s="14">
        <v>19</v>
      </c>
      <c r="B635" s="103">
        <v>39947</v>
      </c>
      <c r="C635" s="103">
        <v>39940</v>
      </c>
      <c r="D635" s="36"/>
      <c r="E635" s="36"/>
      <c r="F635" s="51"/>
      <c r="G635" s="36"/>
      <c r="H635" s="36"/>
      <c r="I635" s="36"/>
      <c r="J635" s="51"/>
      <c r="K635" s="36"/>
      <c r="L635" s="36"/>
      <c r="M635" s="36"/>
      <c r="N635" s="51"/>
      <c r="O635" s="36"/>
      <c r="P635" s="36"/>
      <c r="Q635" s="36"/>
      <c r="R635" s="51"/>
      <c r="S635" s="36"/>
      <c r="T635" s="36">
        <v>-250</v>
      </c>
      <c r="U635" s="36">
        <v>-300</v>
      </c>
      <c r="V635" s="51">
        <f t="shared" si="44"/>
        <v>-275</v>
      </c>
      <c r="W635" s="36"/>
      <c r="X635" s="36">
        <v>-178</v>
      </c>
      <c r="Y635" s="36">
        <v>-313</v>
      </c>
      <c r="Z635" s="51">
        <f t="shared" si="43"/>
        <v>-245.5</v>
      </c>
      <c r="AA635" s="36"/>
      <c r="AB635" s="36">
        <v>-150</v>
      </c>
      <c r="AC635" s="36">
        <v>-375</v>
      </c>
      <c r="AD635" s="51">
        <f t="shared" ref="AD635:AD644" si="47">AVERAGE(AB635:AC635)</f>
        <v>-262.5</v>
      </c>
      <c r="AE635" s="36"/>
      <c r="AF635" s="36"/>
      <c r="AG635" s="36"/>
      <c r="AH635" s="51"/>
      <c r="AI635" s="36"/>
      <c r="AJ635" s="36">
        <v>96</v>
      </c>
      <c r="AK635" s="36"/>
      <c r="AL635" s="51">
        <f t="shared" si="46"/>
        <v>96</v>
      </c>
      <c r="AM635" s="36"/>
      <c r="AN635" s="36"/>
      <c r="AO635" s="36">
        <v>50</v>
      </c>
      <c r="AP635" s="51">
        <f t="shared" si="45"/>
        <v>50</v>
      </c>
      <c r="AQ635" s="36"/>
      <c r="AR635" s="36"/>
      <c r="AS635" s="36"/>
      <c r="AT635" s="51"/>
      <c r="AU635" s="36"/>
      <c r="AV635" s="36"/>
      <c r="AW635" s="36"/>
      <c r="AX635" s="49"/>
    </row>
    <row r="636" spans="1:50" ht="10.199999999999999" customHeight="1" x14ac:dyDescent="0.25">
      <c r="A636" s="14">
        <v>20</v>
      </c>
      <c r="B636" s="103">
        <v>39954</v>
      </c>
      <c r="C636" s="103">
        <v>39947</v>
      </c>
      <c r="D636" s="36"/>
      <c r="E636" s="36"/>
      <c r="F636" s="51"/>
      <c r="G636" s="36"/>
      <c r="H636" s="36"/>
      <c r="I636" s="36"/>
      <c r="J636" s="51"/>
      <c r="K636" s="36"/>
      <c r="L636" s="36"/>
      <c r="M636" s="36"/>
      <c r="N636" s="51"/>
      <c r="O636" s="36"/>
      <c r="P636" s="36"/>
      <c r="Q636" s="36"/>
      <c r="R636" s="51"/>
      <c r="S636" s="36"/>
      <c r="T636" s="36">
        <v>-325</v>
      </c>
      <c r="U636" s="36"/>
      <c r="V636" s="51">
        <f t="shared" si="44"/>
        <v>-325</v>
      </c>
      <c r="W636" s="36"/>
      <c r="X636" s="36">
        <v>-206</v>
      </c>
      <c r="Y636" s="36">
        <v>-319</v>
      </c>
      <c r="Z636" s="51">
        <f t="shared" si="43"/>
        <v>-262.5</v>
      </c>
      <c r="AA636" s="36"/>
      <c r="AB636" s="36"/>
      <c r="AC636" s="36">
        <v>-256</v>
      </c>
      <c r="AD636" s="51">
        <f t="shared" si="47"/>
        <v>-256</v>
      </c>
      <c r="AE636" s="36"/>
      <c r="AF636" s="36"/>
      <c r="AG636" s="36"/>
      <c r="AH636" s="51"/>
      <c r="AI636" s="36"/>
      <c r="AJ636" s="36"/>
      <c r="AK636" s="36">
        <v>-150</v>
      </c>
      <c r="AL636" s="51">
        <f t="shared" si="46"/>
        <v>-150</v>
      </c>
      <c r="AM636" s="36"/>
      <c r="AN636" s="36"/>
      <c r="AO636" s="36">
        <v>50</v>
      </c>
      <c r="AP636" s="51">
        <f t="shared" si="45"/>
        <v>50</v>
      </c>
      <c r="AQ636" s="36"/>
      <c r="AR636" s="36"/>
      <c r="AS636" s="36"/>
      <c r="AT636" s="51"/>
      <c r="AU636" s="36"/>
      <c r="AV636" s="36"/>
      <c r="AW636" s="36"/>
      <c r="AX636" s="49"/>
    </row>
    <row r="637" spans="1:50" ht="10.199999999999999" customHeight="1" x14ac:dyDescent="0.25">
      <c r="A637" s="14">
        <v>21</v>
      </c>
      <c r="B637" s="103">
        <v>39961</v>
      </c>
      <c r="C637" s="103">
        <v>39954</v>
      </c>
      <c r="D637" s="36"/>
      <c r="E637" s="36"/>
      <c r="F637" s="51"/>
      <c r="G637" s="36"/>
      <c r="H637" s="36"/>
      <c r="I637" s="36"/>
      <c r="J637" s="51"/>
      <c r="K637" s="36"/>
      <c r="L637" s="36"/>
      <c r="M637" s="36"/>
      <c r="N637" s="51"/>
      <c r="O637" s="36"/>
      <c r="P637" s="36"/>
      <c r="Q637" s="36"/>
      <c r="R637" s="51"/>
      <c r="S637" s="36"/>
      <c r="T637" s="36"/>
      <c r="U637" s="36"/>
      <c r="V637" s="51"/>
      <c r="W637" s="36"/>
      <c r="X637" s="36">
        <v>-225</v>
      </c>
      <c r="Y637" s="36">
        <v>-275</v>
      </c>
      <c r="Z637" s="51">
        <f t="shared" si="43"/>
        <v>-250</v>
      </c>
      <c r="AA637" s="36"/>
      <c r="AB637" s="36"/>
      <c r="AC637" s="36">
        <v>-125</v>
      </c>
      <c r="AD637" s="51">
        <f t="shared" si="47"/>
        <v>-125</v>
      </c>
      <c r="AE637" s="36"/>
      <c r="AF637" s="36"/>
      <c r="AG637" s="36"/>
      <c r="AH637" s="51"/>
      <c r="AI637" s="36"/>
      <c r="AJ637" s="36">
        <v>0</v>
      </c>
      <c r="AK637" s="36"/>
      <c r="AL637" s="51">
        <f t="shared" si="46"/>
        <v>0</v>
      </c>
      <c r="AM637" s="36"/>
      <c r="AN637" s="36">
        <v>200</v>
      </c>
      <c r="AO637" s="36">
        <v>200</v>
      </c>
      <c r="AP637" s="51">
        <f t="shared" si="45"/>
        <v>200</v>
      </c>
      <c r="AQ637" s="36"/>
      <c r="AR637" s="36"/>
      <c r="AS637" s="36"/>
      <c r="AT637" s="51"/>
      <c r="AU637" s="36"/>
      <c r="AV637" s="36">
        <v>-38</v>
      </c>
      <c r="AX637" s="51">
        <f>AVERAGE(AV637:AW637)</f>
        <v>-38</v>
      </c>
    </row>
    <row r="638" spans="1:50" ht="10.199999999999999" customHeight="1" x14ac:dyDescent="0.25">
      <c r="A638" s="14">
        <v>22</v>
      </c>
      <c r="B638" s="103">
        <v>39968</v>
      </c>
      <c r="C638" s="103">
        <v>39961</v>
      </c>
      <c r="D638" s="36"/>
      <c r="E638" s="36"/>
      <c r="F638" s="51"/>
      <c r="G638" s="36"/>
      <c r="H638" s="36"/>
      <c r="I638" s="36"/>
      <c r="J638" s="51"/>
      <c r="K638" s="36"/>
      <c r="L638" s="36"/>
      <c r="M638" s="36"/>
      <c r="N638" s="51"/>
      <c r="O638" s="36"/>
      <c r="P638" s="36"/>
      <c r="Q638" s="36"/>
      <c r="R638" s="51"/>
      <c r="S638" s="36"/>
      <c r="T638" s="36"/>
      <c r="U638" s="36"/>
      <c r="V638" s="51"/>
      <c r="W638" s="36"/>
      <c r="X638" s="36">
        <v>-242</v>
      </c>
      <c r="Y638" s="36">
        <v>-381</v>
      </c>
      <c r="Z638" s="51">
        <f t="shared" si="43"/>
        <v>-311.5</v>
      </c>
      <c r="AA638" s="36"/>
      <c r="AB638" s="36">
        <v>-125</v>
      </c>
      <c r="AC638" s="36">
        <v>-125</v>
      </c>
      <c r="AD638" s="51">
        <f t="shared" si="47"/>
        <v>-125</v>
      </c>
      <c r="AE638" s="36"/>
      <c r="AF638" s="36"/>
      <c r="AG638" s="36"/>
      <c r="AH638" s="51"/>
      <c r="AI638" s="36"/>
      <c r="AJ638" s="36">
        <v>88</v>
      </c>
      <c r="AK638" s="36"/>
      <c r="AL638" s="51">
        <f t="shared" si="46"/>
        <v>88</v>
      </c>
      <c r="AM638" s="36"/>
      <c r="AN638" s="36">
        <v>200</v>
      </c>
      <c r="AO638" s="36">
        <v>200</v>
      </c>
      <c r="AP638" s="51">
        <f t="shared" si="45"/>
        <v>200</v>
      </c>
      <c r="AQ638" s="36"/>
      <c r="AR638" s="36"/>
      <c r="AS638" s="36"/>
      <c r="AT638" s="51"/>
      <c r="AU638" s="36"/>
      <c r="AV638" s="36">
        <v>-38</v>
      </c>
      <c r="AX638" s="51">
        <f>AVERAGE(AV638:AW638)</f>
        <v>-38</v>
      </c>
    </row>
    <row r="639" spans="1:50" ht="10.199999999999999" customHeight="1" x14ac:dyDescent="0.25">
      <c r="A639" s="14">
        <v>23</v>
      </c>
      <c r="B639" s="103">
        <v>39975</v>
      </c>
      <c r="C639" s="103">
        <v>39968</v>
      </c>
      <c r="D639" s="36"/>
      <c r="E639" s="36"/>
      <c r="F639" s="51"/>
      <c r="G639" s="36"/>
      <c r="H639" s="36"/>
      <c r="I639" s="36"/>
      <c r="J639" s="51"/>
      <c r="K639" s="36"/>
      <c r="L639" s="36"/>
      <c r="M639" s="36"/>
      <c r="N639" s="51"/>
      <c r="O639" s="36"/>
      <c r="P639" s="36"/>
      <c r="Q639" s="36"/>
      <c r="R639" s="51"/>
      <c r="S639" s="36"/>
      <c r="T639" s="36"/>
      <c r="U639" s="36"/>
      <c r="V639" s="51"/>
      <c r="W639" s="36"/>
      <c r="X639" s="36">
        <v>-394</v>
      </c>
      <c r="Y639" s="36">
        <v>-413</v>
      </c>
      <c r="Z639" s="51">
        <f t="shared" si="43"/>
        <v>-403.5</v>
      </c>
      <c r="AA639" s="36"/>
      <c r="AB639" s="36"/>
      <c r="AC639" s="36">
        <v>-125</v>
      </c>
      <c r="AD639" s="51">
        <f t="shared" si="47"/>
        <v>-125</v>
      </c>
      <c r="AE639" s="36"/>
      <c r="AF639" s="36"/>
      <c r="AG639" s="36"/>
      <c r="AH639" s="51"/>
      <c r="AI639" s="36"/>
      <c r="AJ639" s="36"/>
      <c r="AK639" s="36"/>
      <c r="AL639" s="51"/>
      <c r="AM639" s="36"/>
      <c r="AN639" s="36">
        <v>200</v>
      </c>
      <c r="AO639" s="36"/>
      <c r="AP639" s="51">
        <f t="shared" si="45"/>
        <v>200</v>
      </c>
      <c r="AQ639" s="36"/>
      <c r="AR639" s="36"/>
      <c r="AS639" s="36"/>
      <c r="AT639" s="51"/>
      <c r="AU639" s="36"/>
      <c r="AV639" s="36">
        <v>-38</v>
      </c>
      <c r="AW639" s="36"/>
      <c r="AX639" s="51">
        <f>AVERAGE(AV639:AW639)</f>
        <v>-38</v>
      </c>
    </row>
    <row r="640" spans="1:50" ht="10.199999999999999" customHeight="1" x14ac:dyDescent="0.25">
      <c r="A640" s="14">
        <v>24</v>
      </c>
      <c r="B640" s="103">
        <v>39982</v>
      </c>
      <c r="C640" s="103">
        <v>39975</v>
      </c>
      <c r="D640" s="36"/>
      <c r="E640" s="36"/>
      <c r="F640" s="51"/>
      <c r="G640" s="36"/>
      <c r="H640" s="36"/>
      <c r="I640" s="36"/>
      <c r="J640" s="51"/>
      <c r="K640" s="36"/>
      <c r="L640" s="36"/>
      <c r="M640" s="36"/>
      <c r="N640" s="51"/>
      <c r="O640" s="36"/>
      <c r="P640" s="36"/>
      <c r="Q640" s="36"/>
      <c r="R640" s="51"/>
      <c r="S640" s="36"/>
      <c r="T640" s="36"/>
      <c r="U640" s="36"/>
      <c r="V640" s="51"/>
      <c r="W640" s="36"/>
      <c r="X640" s="36">
        <v>-100</v>
      </c>
      <c r="Y640" s="36">
        <v>-200</v>
      </c>
      <c r="Z640" s="51">
        <f t="shared" si="43"/>
        <v>-150</v>
      </c>
      <c r="AA640" s="36"/>
      <c r="AB640" s="36">
        <v>-67</v>
      </c>
      <c r="AC640" s="36">
        <v>-125</v>
      </c>
      <c r="AD640" s="51">
        <f t="shared" si="47"/>
        <v>-96</v>
      </c>
      <c r="AE640" s="36"/>
      <c r="AF640" s="36"/>
      <c r="AG640" s="36"/>
      <c r="AH640" s="51"/>
      <c r="AI640" s="36"/>
      <c r="AJ640" s="36"/>
      <c r="AK640" s="36"/>
      <c r="AL640" s="51"/>
      <c r="AM640" s="36"/>
      <c r="AN640" s="36">
        <v>217</v>
      </c>
      <c r="AO640" s="36"/>
      <c r="AP640" s="51">
        <f t="shared" si="45"/>
        <v>217</v>
      </c>
      <c r="AQ640" s="36"/>
      <c r="AR640" s="36"/>
      <c r="AS640" s="36"/>
      <c r="AT640" s="51"/>
      <c r="AU640" s="36"/>
      <c r="AV640" s="36"/>
      <c r="AW640" s="36"/>
      <c r="AX640" s="49"/>
    </row>
    <row r="641" spans="1:50" ht="10.199999999999999" customHeight="1" x14ac:dyDescent="0.25">
      <c r="A641" s="14">
        <v>25</v>
      </c>
      <c r="B641" s="103">
        <v>39989</v>
      </c>
      <c r="C641" s="103">
        <v>39982</v>
      </c>
      <c r="D641" s="36"/>
      <c r="E641" s="36"/>
      <c r="F641" s="51"/>
      <c r="G641" s="36"/>
      <c r="H641" s="36"/>
      <c r="I641" s="36"/>
      <c r="J641" s="51"/>
      <c r="K641" s="36"/>
      <c r="L641" s="36"/>
      <c r="M641" s="36"/>
      <c r="N641" s="51"/>
      <c r="O641" s="36"/>
      <c r="P641" s="36"/>
      <c r="Q641" s="36"/>
      <c r="R641" s="51"/>
      <c r="S641" s="36"/>
      <c r="T641" s="36"/>
      <c r="U641" s="36"/>
      <c r="V641" s="51"/>
      <c r="W641" s="36"/>
      <c r="X641" s="36"/>
      <c r="Y641" s="36"/>
      <c r="Z641" s="51"/>
      <c r="AA641" s="36"/>
      <c r="AB641" s="36">
        <v>-125</v>
      </c>
      <c r="AC641" s="36">
        <v>-219</v>
      </c>
      <c r="AD641" s="51">
        <f t="shared" si="47"/>
        <v>-172</v>
      </c>
      <c r="AE641" s="36"/>
      <c r="AF641" s="36"/>
      <c r="AG641" s="36">
        <v>-100</v>
      </c>
      <c r="AH641" s="51">
        <f t="shared" ref="AH641:AH649" si="48">AVERAGE(AF641:AG641)</f>
        <v>-100</v>
      </c>
      <c r="AI641" s="36"/>
      <c r="AJ641" s="36"/>
      <c r="AK641" s="36">
        <v>-75</v>
      </c>
      <c r="AL641" s="51">
        <f t="shared" ref="AL641:AL653" si="49">AVERAGE(AJ641:AK641)</f>
        <v>-75</v>
      </c>
      <c r="AM641" s="36"/>
      <c r="AN641" s="36"/>
      <c r="AO641" s="36"/>
      <c r="AP641" s="51"/>
      <c r="AQ641" s="36"/>
      <c r="AR641" s="36">
        <v>0</v>
      </c>
      <c r="AS641" s="36">
        <v>0</v>
      </c>
      <c r="AT641" s="51">
        <f>AVERAGE(AR641:AS641)</f>
        <v>0</v>
      </c>
      <c r="AU641" s="36"/>
      <c r="AV641" s="36"/>
      <c r="AW641" s="36"/>
      <c r="AX641" s="49"/>
    </row>
    <row r="642" spans="1:50" ht="10.199999999999999" customHeight="1" x14ac:dyDescent="0.25">
      <c r="A642" s="14">
        <v>26</v>
      </c>
      <c r="B642" s="103">
        <v>39996</v>
      </c>
      <c r="C642" s="103">
        <v>39989</v>
      </c>
      <c r="D642" s="36"/>
      <c r="E642" s="36"/>
      <c r="F642" s="51"/>
      <c r="G642" s="36"/>
      <c r="H642" s="36"/>
      <c r="I642" s="36"/>
      <c r="J642" s="51"/>
      <c r="K642" s="36"/>
      <c r="L642" s="36"/>
      <c r="M642" s="36"/>
      <c r="N642" s="51"/>
      <c r="O642" s="36"/>
      <c r="P642" s="36"/>
      <c r="Q642" s="36"/>
      <c r="R642" s="51"/>
      <c r="S642" s="36"/>
      <c r="T642" s="36"/>
      <c r="U642" s="36"/>
      <c r="V642" s="51"/>
      <c r="W642" s="36"/>
      <c r="X642" s="36"/>
      <c r="Y642" s="36"/>
      <c r="Z642" s="51"/>
      <c r="AA642" s="36"/>
      <c r="AB642" s="36">
        <v>-31</v>
      </c>
      <c r="AC642" s="36">
        <v>-175</v>
      </c>
      <c r="AD642" s="51">
        <f t="shared" si="47"/>
        <v>-103</v>
      </c>
      <c r="AE642" s="36"/>
      <c r="AF642" s="36"/>
      <c r="AG642" s="36">
        <v>-100</v>
      </c>
      <c r="AH642" s="51">
        <f t="shared" si="48"/>
        <v>-100</v>
      </c>
      <c r="AI642" s="36"/>
      <c r="AJ642" s="36">
        <v>200</v>
      </c>
      <c r="AK642" s="36">
        <v>75</v>
      </c>
      <c r="AL642" s="51">
        <f t="shared" si="49"/>
        <v>137.5</v>
      </c>
      <c r="AM642" s="36"/>
      <c r="AN642" s="36"/>
      <c r="AO642" s="36"/>
      <c r="AP642" s="51"/>
      <c r="AQ642" s="36"/>
      <c r="AR642" s="36">
        <v>0</v>
      </c>
      <c r="AS642" s="36">
        <v>0</v>
      </c>
      <c r="AT642" s="51">
        <f>AVERAGE(AR642:AS642)</f>
        <v>0</v>
      </c>
      <c r="AU642" s="36"/>
      <c r="AV642" s="36"/>
      <c r="AW642" s="36"/>
      <c r="AX642" s="49"/>
    </row>
    <row r="643" spans="1:50" ht="10.199999999999999" customHeight="1" x14ac:dyDescent="0.25">
      <c r="A643" s="14">
        <v>27</v>
      </c>
      <c r="B643" s="103">
        <v>40003</v>
      </c>
      <c r="C643" s="103">
        <v>39996</v>
      </c>
      <c r="D643" s="36"/>
      <c r="E643" s="36"/>
      <c r="F643" s="51"/>
      <c r="G643" s="36"/>
      <c r="H643" s="36"/>
      <c r="I643" s="36"/>
      <c r="J643" s="51"/>
      <c r="K643" s="36"/>
      <c r="L643" s="36"/>
      <c r="M643" s="36"/>
      <c r="N643" s="51"/>
      <c r="O643" s="36"/>
      <c r="P643" s="36"/>
      <c r="Q643" s="36"/>
      <c r="R643" s="51"/>
      <c r="S643" s="36"/>
      <c r="T643" s="36"/>
      <c r="U643" s="36"/>
      <c r="V643" s="51"/>
      <c r="W643" s="36"/>
      <c r="X643" s="36"/>
      <c r="Y643" s="36"/>
      <c r="Z643" s="51"/>
      <c r="AA643" s="36"/>
      <c r="AB643" s="36">
        <v>-113</v>
      </c>
      <c r="AC643" s="36">
        <v>-150</v>
      </c>
      <c r="AD643" s="51">
        <f t="shared" si="47"/>
        <v>-131.5</v>
      </c>
      <c r="AE643" s="36"/>
      <c r="AF643" s="36"/>
      <c r="AG643" s="36">
        <v>-125</v>
      </c>
      <c r="AH643" s="51">
        <f t="shared" si="48"/>
        <v>-125</v>
      </c>
      <c r="AI643" s="36"/>
      <c r="AJ643" s="36">
        <v>100</v>
      </c>
      <c r="AK643" s="36">
        <v>-50</v>
      </c>
      <c r="AL643" s="51">
        <f t="shared" si="49"/>
        <v>25</v>
      </c>
      <c r="AM643" s="36"/>
      <c r="AN643" s="36"/>
      <c r="AO643" s="36"/>
      <c r="AP643" s="51"/>
      <c r="AQ643" s="36"/>
      <c r="AR643" s="36">
        <v>0</v>
      </c>
      <c r="AS643" s="36">
        <v>0</v>
      </c>
      <c r="AT643" s="51">
        <f>AVERAGE(AR643:AS643)</f>
        <v>0</v>
      </c>
      <c r="AU643" s="36"/>
      <c r="AV643" s="36"/>
      <c r="AW643" s="36"/>
      <c r="AX643" s="49"/>
    </row>
    <row r="644" spans="1:50" ht="10.199999999999999" customHeight="1" x14ac:dyDescent="0.25">
      <c r="A644" s="14">
        <v>28</v>
      </c>
      <c r="B644" s="103">
        <v>40010</v>
      </c>
      <c r="C644" s="103">
        <v>40003</v>
      </c>
      <c r="D644" s="36"/>
      <c r="E644" s="36"/>
      <c r="F644" s="51"/>
      <c r="G644" s="36"/>
      <c r="H644" s="36"/>
      <c r="I644" s="36"/>
      <c r="J644" s="51"/>
      <c r="K644" s="36"/>
      <c r="L644" s="36"/>
      <c r="M644" s="36"/>
      <c r="N644" s="51"/>
      <c r="O644" s="36"/>
      <c r="P644" s="36"/>
      <c r="Q644" s="36"/>
      <c r="R644" s="51"/>
      <c r="S644" s="36"/>
      <c r="T644" s="36"/>
      <c r="U644" s="36"/>
      <c r="V644" s="51"/>
      <c r="W644" s="36"/>
      <c r="X644" s="36"/>
      <c r="Y644" s="36"/>
      <c r="Z644" s="51"/>
      <c r="AA644" s="36"/>
      <c r="AB644" s="36">
        <v>55</v>
      </c>
      <c r="AC644" s="36">
        <v>200</v>
      </c>
      <c r="AD644" s="51">
        <f t="shared" si="47"/>
        <v>127.5</v>
      </c>
      <c r="AE644" s="36"/>
      <c r="AF644" s="36">
        <v>0</v>
      </c>
      <c r="AG644" s="36">
        <v>-100</v>
      </c>
      <c r="AH644" s="51">
        <f t="shared" si="48"/>
        <v>-50</v>
      </c>
      <c r="AI644" s="36"/>
      <c r="AJ644" s="36"/>
      <c r="AK644" s="36">
        <v>50</v>
      </c>
      <c r="AL644" s="51">
        <f t="shared" si="49"/>
        <v>50</v>
      </c>
      <c r="AM644" s="36"/>
      <c r="AN644" s="36">
        <v>225</v>
      </c>
      <c r="AO644" s="36"/>
      <c r="AP644" s="51">
        <f t="shared" ref="AP644:AP658" si="50">AVERAGE(AN644:AO644)</f>
        <v>225</v>
      </c>
      <c r="AQ644" s="36"/>
      <c r="AR644" s="36">
        <v>0</v>
      </c>
      <c r="AS644" s="36"/>
      <c r="AT644" s="51">
        <f>AVERAGE(AR644:AS644)</f>
        <v>0</v>
      </c>
      <c r="AU644" s="36"/>
      <c r="AV644" s="36"/>
      <c r="AW644" s="36"/>
      <c r="AX644" s="49"/>
    </row>
    <row r="645" spans="1:50" ht="10.199999999999999" customHeight="1" x14ac:dyDescent="0.25">
      <c r="A645" s="14">
        <v>29</v>
      </c>
      <c r="B645" s="103">
        <v>40017</v>
      </c>
      <c r="C645" s="103">
        <v>40010</v>
      </c>
      <c r="D645" s="36"/>
      <c r="E645" s="36"/>
      <c r="F645" s="51"/>
      <c r="G645" s="36"/>
      <c r="H645" s="36">
        <v>-175</v>
      </c>
      <c r="I645" s="36"/>
      <c r="J645" s="51">
        <f>AVERAGE(H645:I645)</f>
        <v>-175</v>
      </c>
      <c r="K645" s="36"/>
      <c r="L645" s="36"/>
      <c r="M645" s="36"/>
      <c r="N645" s="51"/>
      <c r="O645" s="36"/>
      <c r="P645" s="36"/>
      <c r="Q645" s="36"/>
      <c r="R645" s="51"/>
      <c r="S645" s="36"/>
      <c r="T645" s="36"/>
      <c r="U645" s="36"/>
      <c r="V645" s="51"/>
      <c r="W645" s="36"/>
      <c r="X645" s="36"/>
      <c r="Y645" s="36"/>
      <c r="Z645" s="51"/>
      <c r="AA645" s="36"/>
      <c r="AB645" s="36"/>
      <c r="AC645" s="36"/>
      <c r="AD645" s="51"/>
      <c r="AE645" s="36"/>
      <c r="AF645" s="36">
        <v>38</v>
      </c>
      <c r="AG645" s="36">
        <v>-25</v>
      </c>
      <c r="AH645" s="51">
        <f t="shared" si="48"/>
        <v>6.5</v>
      </c>
      <c r="AI645" s="36"/>
      <c r="AJ645" s="36"/>
      <c r="AK645" s="36">
        <v>31</v>
      </c>
      <c r="AL645" s="51">
        <f t="shared" si="49"/>
        <v>31</v>
      </c>
      <c r="AM645" s="36"/>
      <c r="AN645" s="36">
        <v>225</v>
      </c>
      <c r="AO645" s="36">
        <v>450</v>
      </c>
      <c r="AP645" s="51">
        <f t="shared" si="50"/>
        <v>337.5</v>
      </c>
      <c r="AQ645" s="36"/>
      <c r="AR645" s="36">
        <v>0</v>
      </c>
      <c r="AS645" s="36">
        <v>0</v>
      </c>
      <c r="AT645" s="51">
        <f>AVERAGE(AR645:AS645)</f>
        <v>0</v>
      </c>
      <c r="AU645" s="36"/>
      <c r="AV645" s="36">
        <v>0</v>
      </c>
      <c r="AW645" s="36"/>
      <c r="AX645" s="51">
        <f>AVERAGE(AV645:AW645)</f>
        <v>0</v>
      </c>
    </row>
    <row r="646" spans="1:50" ht="10.199999999999999" customHeight="1" x14ac:dyDescent="0.25">
      <c r="A646" s="14">
        <v>30</v>
      </c>
      <c r="B646" s="103">
        <v>40024</v>
      </c>
      <c r="C646" s="103">
        <v>40017</v>
      </c>
      <c r="D646" s="36"/>
      <c r="E646" s="36"/>
      <c r="F646" s="51"/>
      <c r="G646" s="36"/>
      <c r="H646" s="36">
        <v>-175</v>
      </c>
      <c r="I646" s="36"/>
      <c r="J646" s="51">
        <f>AVERAGE(H646:I646)</f>
        <v>-175</v>
      </c>
      <c r="K646" s="36"/>
      <c r="L646" s="36"/>
      <c r="M646" s="36"/>
      <c r="N646" s="51"/>
      <c r="O646" s="36"/>
      <c r="P646" s="36"/>
      <c r="Q646" s="36"/>
      <c r="R646" s="51"/>
      <c r="S646" s="36"/>
      <c r="T646" s="36"/>
      <c r="U646" s="36"/>
      <c r="V646" s="51"/>
      <c r="W646" s="36"/>
      <c r="X646" s="36"/>
      <c r="Y646" s="36"/>
      <c r="Z646" s="51"/>
      <c r="AA646" s="36"/>
      <c r="AB646" s="36"/>
      <c r="AC646" s="36"/>
      <c r="AD646" s="51"/>
      <c r="AE646" s="36"/>
      <c r="AF646" s="36">
        <v>50</v>
      </c>
      <c r="AG646" s="36">
        <v>-33</v>
      </c>
      <c r="AH646" s="51">
        <f t="shared" si="48"/>
        <v>8.5</v>
      </c>
      <c r="AI646" s="36"/>
      <c r="AJ646" s="36">
        <v>113</v>
      </c>
      <c r="AK646" s="36">
        <v>38</v>
      </c>
      <c r="AL646" s="51">
        <f t="shared" si="49"/>
        <v>75.5</v>
      </c>
      <c r="AM646" s="36"/>
      <c r="AN646" s="36">
        <v>275</v>
      </c>
      <c r="AO646" s="36">
        <v>250</v>
      </c>
      <c r="AP646" s="51">
        <f t="shared" si="50"/>
        <v>262.5</v>
      </c>
      <c r="AQ646" s="36"/>
      <c r="AR646" s="36"/>
      <c r="AS646" s="36"/>
      <c r="AT646" s="51"/>
      <c r="AU646" s="36"/>
      <c r="AV646" s="36"/>
      <c r="AW646" s="36"/>
      <c r="AX646" s="49"/>
    </row>
    <row r="647" spans="1:50" ht="10.199999999999999" customHeight="1" x14ac:dyDescent="0.25">
      <c r="A647" s="14">
        <v>31</v>
      </c>
      <c r="B647" s="103">
        <v>40031</v>
      </c>
      <c r="C647" s="103">
        <v>40024</v>
      </c>
      <c r="D647" s="36">
        <v>-75</v>
      </c>
      <c r="E647" s="36"/>
      <c r="F647" s="51">
        <f>AVERAGE(D647:E647)</f>
        <v>-75</v>
      </c>
      <c r="G647" s="36"/>
      <c r="H647" s="36">
        <v>-175</v>
      </c>
      <c r="I647" s="36"/>
      <c r="J647" s="51">
        <f>AVERAGE(H647:I647)</f>
        <v>-175</v>
      </c>
      <c r="K647" s="36"/>
      <c r="L647" s="36"/>
      <c r="M647" s="36"/>
      <c r="N647" s="51"/>
      <c r="O647" s="36"/>
      <c r="P647" s="36"/>
      <c r="Q647" s="36"/>
      <c r="R647" s="51"/>
      <c r="S647" s="36"/>
      <c r="T647" s="36"/>
      <c r="U647" s="36"/>
      <c r="V647" s="51"/>
      <c r="W647" s="36"/>
      <c r="X647" s="36"/>
      <c r="Y647" s="36"/>
      <c r="Z647" s="51"/>
      <c r="AA647" s="36"/>
      <c r="AB647" s="36"/>
      <c r="AC647" s="36"/>
      <c r="AD647" s="51"/>
      <c r="AE647" s="36"/>
      <c r="AF647" s="36">
        <v>-117</v>
      </c>
      <c r="AG647" s="36">
        <v>-50</v>
      </c>
      <c r="AH647" s="51">
        <f t="shared" si="48"/>
        <v>-83.5</v>
      </c>
      <c r="AI647" s="36"/>
      <c r="AJ647" s="36">
        <v>0</v>
      </c>
      <c r="AK647" s="36">
        <v>-38</v>
      </c>
      <c r="AL647" s="51">
        <f t="shared" si="49"/>
        <v>-19</v>
      </c>
      <c r="AM647" s="36"/>
      <c r="AN647" s="36"/>
      <c r="AO647" s="36">
        <v>363</v>
      </c>
      <c r="AP647" s="51">
        <f t="shared" si="50"/>
        <v>363</v>
      </c>
      <c r="AQ647" s="36"/>
      <c r="AR647" s="36"/>
      <c r="AS647" s="36">
        <v>100</v>
      </c>
      <c r="AT647" s="51">
        <f t="shared" ref="AT647:AT662" si="51">AVERAGE(AR647:AS647)</f>
        <v>100</v>
      </c>
      <c r="AU647" s="36"/>
      <c r="AV647" s="36"/>
      <c r="AW647" s="36"/>
      <c r="AX647" s="49"/>
    </row>
    <row r="648" spans="1:50" ht="10.199999999999999" customHeight="1" x14ac:dyDescent="0.25">
      <c r="A648" s="14">
        <v>32</v>
      </c>
      <c r="B648" s="103">
        <v>40038</v>
      </c>
      <c r="C648" s="103">
        <v>40031</v>
      </c>
      <c r="D648" s="36"/>
      <c r="E648" s="36"/>
      <c r="F648" s="51"/>
      <c r="G648" s="36"/>
      <c r="H648" s="36">
        <v>-175</v>
      </c>
      <c r="I648" s="36"/>
      <c r="J648" s="51">
        <f>AVERAGE(H648:I648)</f>
        <v>-175</v>
      </c>
      <c r="K648" s="36"/>
      <c r="L648" s="36"/>
      <c r="M648" s="36"/>
      <c r="N648" s="51"/>
      <c r="O648" s="36"/>
      <c r="P648" s="36"/>
      <c r="Q648" s="36"/>
      <c r="R648" s="51"/>
      <c r="S648" s="36"/>
      <c r="T648" s="36"/>
      <c r="U648" s="36"/>
      <c r="V648" s="51"/>
      <c r="W648" s="36"/>
      <c r="X648" s="36"/>
      <c r="Y648" s="36"/>
      <c r="Z648" s="51"/>
      <c r="AA648" s="36"/>
      <c r="AB648" s="36"/>
      <c r="AC648" s="36"/>
      <c r="AD648" s="51"/>
      <c r="AE648" s="36"/>
      <c r="AF648" s="36">
        <v>-13</v>
      </c>
      <c r="AG648" s="36">
        <v>-50</v>
      </c>
      <c r="AH648" s="51">
        <f t="shared" si="48"/>
        <v>-31.5</v>
      </c>
      <c r="AI648" s="36"/>
      <c r="AJ648" s="36">
        <v>0</v>
      </c>
      <c r="AK648" s="36">
        <v>-38</v>
      </c>
      <c r="AL648" s="51">
        <f t="shared" si="49"/>
        <v>-19</v>
      </c>
      <c r="AM648" s="36"/>
      <c r="AN648" s="36"/>
      <c r="AO648" s="36">
        <v>363</v>
      </c>
      <c r="AP648" s="51">
        <f t="shared" si="50"/>
        <v>363</v>
      </c>
      <c r="AQ648" s="36"/>
      <c r="AR648" s="36">
        <v>250</v>
      </c>
      <c r="AS648" s="36">
        <v>100</v>
      </c>
      <c r="AT648" s="51">
        <f t="shared" si="51"/>
        <v>175</v>
      </c>
      <c r="AU648" s="36"/>
      <c r="AV648" s="36"/>
      <c r="AW648" s="36"/>
      <c r="AX648" s="49"/>
    </row>
    <row r="649" spans="1:50" ht="10.199999999999999" customHeight="1" x14ac:dyDescent="0.25">
      <c r="A649" s="14">
        <v>33</v>
      </c>
      <c r="B649" s="103">
        <v>40045</v>
      </c>
      <c r="C649" s="103">
        <v>40038</v>
      </c>
      <c r="D649" s="36"/>
      <c r="E649" s="36"/>
      <c r="F649" s="51"/>
      <c r="G649" s="36"/>
      <c r="H649" s="36"/>
      <c r="I649" s="36"/>
      <c r="J649" s="51"/>
      <c r="K649" s="36"/>
      <c r="L649" s="36"/>
      <c r="M649" s="36"/>
      <c r="N649" s="51"/>
      <c r="O649" s="36"/>
      <c r="P649" s="36"/>
      <c r="Q649" s="36"/>
      <c r="R649" s="51"/>
      <c r="S649" s="36"/>
      <c r="T649" s="36"/>
      <c r="U649" s="36"/>
      <c r="V649" s="51"/>
      <c r="W649" s="36"/>
      <c r="X649" s="36"/>
      <c r="Y649" s="36"/>
      <c r="Z649" s="51"/>
      <c r="AA649" s="36"/>
      <c r="AB649" s="36"/>
      <c r="AC649" s="36"/>
      <c r="AD649" s="51"/>
      <c r="AE649" s="36"/>
      <c r="AF649" s="36">
        <v>-175</v>
      </c>
      <c r="AG649" s="36">
        <v>-200</v>
      </c>
      <c r="AH649" s="51">
        <f t="shared" si="48"/>
        <v>-187.5</v>
      </c>
      <c r="AI649" s="36"/>
      <c r="AJ649" s="36">
        <v>-88</v>
      </c>
      <c r="AK649" s="36">
        <v>0</v>
      </c>
      <c r="AL649" s="51">
        <f t="shared" si="49"/>
        <v>-44</v>
      </c>
      <c r="AM649" s="36"/>
      <c r="AN649" s="36">
        <v>375</v>
      </c>
      <c r="AO649" s="36">
        <v>450</v>
      </c>
      <c r="AP649" s="51">
        <f t="shared" si="50"/>
        <v>412.5</v>
      </c>
      <c r="AQ649" s="36"/>
      <c r="AR649" s="36">
        <v>250</v>
      </c>
      <c r="AS649" s="36"/>
      <c r="AT649" s="51">
        <f t="shared" si="51"/>
        <v>250</v>
      </c>
      <c r="AU649" s="36"/>
      <c r="AV649" s="36"/>
      <c r="AW649" s="36"/>
      <c r="AX649" s="49"/>
    </row>
    <row r="650" spans="1:50" ht="10.199999999999999" customHeight="1" x14ac:dyDescent="0.25">
      <c r="A650" s="14">
        <v>34</v>
      </c>
      <c r="B650" s="103">
        <v>40052</v>
      </c>
      <c r="C650" s="103">
        <v>40045</v>
      </c>
      <c r="D650" s="36">
        <v>-75</v>
      </c>
      <c r="E650" s="36"/>
      <c r="F650" s="51">
        <f>AVERAGE(D650:E650)</f>
        <v>-75</v>
      </c>
      <c r="G650" s="36"/>
      <c r="H650" s="36"/>
      <c r="I650" s="36"/>
      <c r="J650" s="51"/>
      <c r="K650" s="36"/>
      <c r="L650" s="36"/>
      <c r="M650" s="36"/>
      <c r="N650" s="51"/>
      <c r="O650" s="36"/>
      <c r="P650" s="36"/>
      <c r="Q650" s="36"/>
      <c r="R650" s="51"/>
      <c r="S650" s="36"/>
      <c r="T650" s="36"/>
      <c r="U650" s="36"/>
      <c r="V650" s="51"/>
      <c r="W650" s="36"/>
      <c r="X650" s="36"/>
      <c r="Y650" s="36"/>
      <c r="Z650" s="51"/>
      <c r="AA650" s="36"/>
      <c r="AB650" s="36"/>
      <c r="AC650" s="36"/>
      <c r="AD650" s="51"/>
      <c r="AE650" s="36"/>
      <c r="AF650" s="36"/>
      <c r="AG650" s="36"/>
      <c r="AH650" s="51"/>
      <c r="AI650" s="36"/>
      <c r="AJ650" s="36">
        <v>-225</v>
      </c>
      <c r="AK650" s="36">
        <v>-100</v>
      </c>
      <c r="AL650" s="51">
        <f t="shared" si="49"/>
        <v>-162.5</v>
      </c>
      <c r="AM650" s="36"/>
      <c r="AN650" s="36">
        <v>313</v>
      </c>
      <c r="AO650" s="36">
        <v>431</v>
      </c>
      <c r="AP650" s="51">
        <f t="shared" si="50"/>
        <v>372</v>
      </c>
      <c r="AQ650" s="36"/>
      <c r="AR650" s="36">
        <v>225</v>
      </c>
      <c r="AS650" s="36"/>
      <c r="AT650" s="51">
        <f t="shared" si="51"/>
        <v>225</v>
      </c>
      <c r="AU650" s="36"/>
      <c r="AV650" s="36">
        <v>-125</v>
      </c>
      <c r="AW650" s="36"/>
      <c r="AX650" s="51">
        <f t="shared" ref="AX650:AX666" si="52">AVERAGE(AV650:AW650)</f>
        <v>-125</v>
      </c>
    </row>
    <row r="651" spans="1:50" ht="10.199999999999999" customHeight="1" x14ac:dyDescent="0.25">
      <c r="A651" s="14">
        <v>35</v>
      </c>
      <c r="B651" s="103">
        <v>40059</v>
      </c>
      <c r="C651" s="103">
        <v>40052</v>
      </c>
      <c r="D651" s="36">
        <v>-75</v>
      </c>
      <c r="E651" s="36"/>
      <c r="F651" s="51">
        <f>AVERAGE(D651:E651)</f>
        <v>-75</v>
      </c>
      <c r="G651" s="36"/>
      <c r="H651" s="36"/>
      <c r="I651" s="36"/>
      <c r="J651" s="51"/>
      <c r="K651" s="36"/>
      <c r="L651" s="36"/>
      <c r="M651" s="36"/>
      <c r="N651" s="51"/>
      <c r="O651" s="36"/>
      <c r="P651" s="36"/>
      <c r="Q651" s="36"/>
      <c r="R651" s="51"/>
      <c r="S651" s="36"/>
      <c r="T651" s="36"/>
      <c r="U651" s="36"/>
      <c r="V651" s="51"/>
      <c r="W651" s="36"/>
      <c r="X651" s="36"/>
      <c r="Y651" s="36"/>
      <c r="Z651" s="51"/>
      <c r="AA651" s="36"/>
      <c r="AB651" s="36"/>
      <c r="AC651" s="36"/>
      <c r="AD651" s="51"/>
      <c r="AE651" s="36"/>
      <c r="AF651" s="36"/>
      <c r="AG651" s="36"/>
      <c r="AH651" s="51"/>
      <c r="AI651" s="36"/>
      <c r="AJ651" s="36">
        <v>-71</v>
      </c>
      <c r="AK651" s="36">
        <v>-87</v>
      </c>
      <c r="AL651" s="51">
        <f t="shared" si="49"/>
        <v>-79</v>
      </c>
      <c r="AM651" s="36"/>
      <c r="AN651" s="36">
        <v>313</v>
      </c>
      <c r="AO651" s="36">
        <v>419</v>
      </c>
      <c r="AP651" s="51">
        <f t="shared" si="50"/>
        <v>366</v>
      </c>
      <c r="AQ651" s="36"/>
      <c r="AR651" s="36">
        <v>200</v>
      </c>
      <c r="AS651" s="36"/>
      <c r="AT651" s="51">
        <f t="shared" si="51"/>
        <v>200</v>
      </c>
      <c r="AU651" s="36"/>
      <c r="AV651" s="36">
        <v>-38</v>
      </c>
      <c r="AW651" s="36"/>
      <c r="AX651" s="51">
        <f t="shared" si="52"/>
        <v>-38</v>
      </c>
    </row>
    <row r="652" spans="1:50" ht="10.199999999999999" customHeight="1" x14ac:dyDescent="0.25">
      <c r="A652" s="14">
        <v>36</v>
      </c>
      <c r="B652" s="103">
        <v>40066</v>
      </c>
      <c r="C652" s="103">
        <v>40059</v>
      </c>
      <c r="D652" s="36">
        <v>-75</v>
      </c>
      <c r="E652" s="36"/>
      <c r="F652" s="51">
        <f>AVERAGE(D652:E652)</f>
        <v>-75</v>
      </c>
      <c r="G652" s="36"/>
      <c r="H652" s="36"/>
      <c r="I652" s="36"/>
      <c r="J652" s="51"/>
      <c r="K652" s="36"/>
      <c r="L652" s="36"/>
      <c r="M652" s="36"/>
      <c r="N652" s="51"/>
      <c r="O652" s="36"/>
      <c r="P652" s="36"/>
      <c r="Q652" s="36"/>
      <c r="R652" s="51"/>
      <c r="S652" s="36"/>
      <c r="T652" s="36"/>
      <c r="U652" s="36"/>
      <c r="V652" s="51"/>
      <c r="W652" s="36"/>
      <c r="X652" s="36"/>
      <c r="Y652" s="36"/>
      <c r="Z652" s="51"/>
      <c r="AA652" s="36"/>
      <c r="AB652" s="36"/>
      <c r="AC652" s="36"/>
      <c r="AD652" s="51"/>
      <c r="AE652" s="36"/>
      <c r="AF652" s="36"/>
      <c r="AG652" s="36"/>
      <c r="AH652" s="51"/>
      <c r="AI652" s="36"/>
      <c r="AJ652" s="36">
        <v>-63</v>
      </c>
      <c r="AK652" s="36">
        <v>-175</v>
      </c>
      <c r="AL652" s="51">
        <f t="shared" si="49"/>
        <v>-119</v>
      </c>
      <c r="AM652" s="36"/>
      <c r="AN652" s="36">
        <v>375</v>
      </c>
      <c r="AO652" s="36">
        <v>413</v>
      </c>
      <c r="AP652" s="51">
        <f t="shared" si="50"/>
        <v>394</v>
      </c>
      <c r="AQ652" s="36"/>
      <c r="AR652" s="36">
        <v>200</v>
      </c>
      <c r="AS652" s="36"/>
      <c r="AT652" s="51">
        <f t="shared" si="51"/>
        <v>200</v>
      </c>
      <c r="AU652" s="36"/>
      <c r="AV652" s="36">
        <v>67</v>
      </c>
      <c r="AW652" s="36"/>
      <c r="AX652" s="51">
        <f t="shared" si="52"/>
        <v>67</v>
      </c>
    </row>
    <row r="653" spans="1:50" ht="10.199999999999999" customHeight="1" x14ac:dyDescent="0.25">
      <c r="A653" s="14">
        <v>37</v>
      </c>
      <c r="B653" s="103">
        <v>40073</v>
      </c>
      <c r="C653" s="103">
        <v>40066</v>
      </c>
      <c r="D653" s="36">
        <v>-75</v>
      </c>
      <c r="E653" s="36"/>
      <c r="F653" s="51">
        <f>AVERAGE(D653:E653)</f>
        <v>-75</v>
      </c>
      <c r="G653" s="36"/>
      <c r="H653" s="36"/>
      <c r="I653" s="36"/>
      <c r="J653" s="51"/>
      <c r="K653" s="36"/>
      <c r="L653" s="36"/>
      <c r="M653" s="36"/>
      <c r="N653" s="51"/>
      <c r="O653" s="36"/>
      <c r="P653" s="36"/>
      <c r="Q653" s="36"/>
      <c r="R653" s="51"/>
      <c r="S653" s="36"/>
      <c r="T653" s="36"/>
      <c r="U653" s="36"/>
      <c r="V653" s="51"/>
      <c r="W653" s="36"/>
      <c r="X653" s="36"/>
      <c r="Y653" s="36"/>
      <c r="Z653" s="51"/>
      <c r="AA653" s="36"/>
      <c r="AB653" s="36"/>
      <c r="AC653" s="36"/>
      <c r="AD653" s="51"/>
      <c r="AE653" s="36"/>
      <c r="AF653" s="36"/>
      <c r="AG653" s="36"/>
      <c r="AH653" s="51"/>
      <c r="AI653" s="36"/>
      <c r="AJ653" s="36">
        <v>-82</v>
      </c>
      <c r="AK653" s="36">
        <v>-150</v>
      </c>
      <c r="AL653" s="51">
        <f t="shared" si="49"/>
        <v>-116</v>
      </c>
      <c r="AM653" s="36"/>
      <c r="AN653" s="36">
        <v>188</v>
      </c>
      <c r="AO653" s="36">
        <v>363</v>
      </c>
      <c r="AP653" s="51">
        <f t="shared" si="50"/>
        <v>275.5</v>
      </c>
      <c r="AQ653" s="36"/>
      <c r="AR653" s="36">
        <v>163</v>
      </c>
      <c r="AS653" s="36"/>
      <c r="AT653" s="51">
        <f t="shared" si="51"/>
        <v>163</v>
      </c>
      <c r="AU653" s="36"/>
      <c r="AV653" s="36">
        <v>4</v>
      </c>
      <c r="AW653" s="36"/>
      <c r="AX653" s="51">
        <f t="shared" si="52"/>
        <v>4</v>
      </c>
    </row>
    <row r="654" spans="1:50" ht="10.199999999999999" customHeight="1" x14ac:dyDescent="0.25">
      <c r="A654" s="14">
        <v>38</v>
      </c>
      <c r="B654" s="103">
        <v>40080</v>
      </c>
      <c r="C654" s="103">
        <v>40073</v>
      </c>
      <c r="D654" s="36"/>
      <c r="E654" s="36"/>
      <c r="F654" s="51"/>
      <c r="G654" s="36"/>
      <c r="H654" s="36"/>
      <c r="I654" s="36"/>
      <c r="J654" s="51"/>
      <c r="K654" s="36"/>
      <c r="L654" s="36"/>
      <c r="M654" s="36"/>
      <c r="N654" s="51"/>
      <c r="O654" s="36"/>
      <c r="P654" s="36"/>
      <c r="Q654" s="36"/>
      <c r="R654" s="51"/>
      <c r="S654" s="36"/>
      <c r="T654" s="36"/>
      <c r="U654" s="36"/>
      <c r="V654" s="51"/>
      <c r="W654" s="36"/>
      <c r="X654" s="36"/>
      <c r="Y654" s="36"/>
      <c r="Z654" s="51"/>
      <c r="AA654" s="36"/>
      <c r="AB654" s="36"/>
      <c r="AC654" s="36"/>
      <c r="AD654" s="51"/>
      <c r="AE654" s="36"/>
      <c r="AF654" s="36"/>
      <c r="AG654" s="36"/>
      <c r="AH654" s="51"/>
      <c r="AI654" s="36"/>
      <c r="AJ654" s="36"/>
      <c r="AK654" s="36"/>
      <c r="AL654" s="51"/>
      <c r="AM654" s="36"/>
      <c r="AN654" s="36">
        <v>383</v>
      </c>
      <c r="AO654" s="36"/>
      <c r="AP654" s="51">
        <f t="shared" si="50"/>
        <v>383</v>
      </c>
      <c r="AQ654" s="36"/>
      <c r="AR654" s="36">
        <v>132</v>
      </c>
      <c r="AS654" s="36">
        <v>300</v>
      </c>
      <c r="AT654" s="51">
        <f t="shared" si="51"/>
        <v>216</v>
      </c>
      <c r="AU654" s="36"/>
      <c r="AV654" s="36">
        <v>17</v>
      </c>
      <c r="AW654" s="36"/>
      <c r="AX654" s="51">
        <f t="shared" si="52"/>
        <v>17</v>
      </c>
    </row>
    <row r="655" spans="1:50" ht="10.199999999999999" customHeight="1" x14ac:dyDescent="0.25">
      <c r="A655" s="14">
        <v>39</v>
      </c>
      <c r="B655" s="103">
        <v>40087</v>
      </c>
      <c r="C655" s="103">
        <v>40080</v>
      </c>
      <c r="D655" s="36">
        <v>-75</v>
      </c>
      <c r="E655" s="36"/>
      <c r="F655" s="51">
        <f>AVERAGE(D655:E655)</f>
        <v>-75</v>
      </c>
      <c r="G655" s="36"/>
      <c r="H655" s="36"/>
      <c r="I655" s="36"/>
      <c r="J655" s="51"/>
      <c r="K655" s="36"/>
      <c r="L655" s="36"/>
      <c r="M655" s="36"/>
      <c r="N655" s="51"/>
      <c r="O655" s="36"/>
      <c r="P655" s="36"/>
      <c r="Q655" s="36"/>
      <c r="R655" s="51"/>
      <c r="S655" s="36"/>
      <c r="T655" s="36"/>
      <c r="U655" s="36"/>
      <c r="V655" s="51"/>
      <c r="W655" s="36"/>
      <c r="X655" s="36"/>
      <c r="Y655" s="36"/>
      <c r="Z655" s="51"/>
      <c r="AA655" s="36"/>
      <c r="AB655" s="36"/>
      <c r="AC655" s="36"/>
      <c r="AD655" s="51"/>
      <c r="AE655" s="36"/>
      <c r="AF655" s="36"/>
      <c r="AG655" s="36"/>
      <c r="AH655" s="51"/>
      <c r="AI655" s="36"/>
      <c r="AJ655" s="36"/>
      <c r="AK655" s="36"/>
      <c r="AL655" s="51"/>
      <c r="AM655" s="36"/>
      <c r="AN655" s="36">
        <v>279</v>
      </c>
      <c r="AO655" s="36">
        <v>350</v>
      </c>
      <c r="AP655" s="51">
        <f t="shared" si="50"/>
        <v>314.5</v>
      </c>
      <c r="AQ655" s="36"/>
      <c r="AR655" s="36">
        <v>238</v>
      </c>
      <c r="AS655" s="36"/>
      <c r="AT655" s="51">
        <f t="shared" si="51"/>
        <v>238</v>
      </c>
      <c r="AU655" s="36"/>
      <c r="AV655" s="36">
        <v>17</v>
      </c>
      <c r="AW655" s="36"/>
      <c r="AX655" s="51">
        <f t="shared" si="52"/>
        <v>17</v>
      </c>
    </row>
    <row r="656" spans="1:50" ht="10.199999999999999" customHeight="1" x14ac:dyDescent="0.25">
      <c r="A656" s="14">
        <v>40</v>
      </c>
      <c r="B656" s="103">
        <v>40094</v>
      </c>
      <c r="C656" s="103">
        <v>40087</v>
      </c>
      <c r="D656" s="36"/>
      <c r="E656" s="36"/>
      <c r="F656" s="51"/>
      <c r="G656" s="36"/>
      <c r="H656" s="36"/>
      <c r="I656" s="36"/>
      <c r="J656" s="51"/>
      <c r="K656" s="36"/>
      <c r="L656" s="36"/>
      <c r="M656" s="36"/>
      <c r="N656" s="51"/>
      <c r="O656" s="36"/>
      <c r="P656" s="36"/>
      <c r="Q656" s="36"/>
      <c r="R656" s="51"/>
      <c r="S656" s="36"/>
      <c r="T656" s="36"/>
      <c r="U656" s="36"/>
      <c r="V656" s="51"/>
      <c r="W656" s="36"/>
      <c r="X656" s="36"/>
      <c r="Y656" s="36"/>
      <c r="Z656" s="51"/>
      <c r="AA656" s="36"/>
      <c r="AB656" s="36"/>
      <c r="AC656" s="36"/>
      <c r="AD656" s="51"/>
      <c r="AE656" s="36"/>
      <c r="AF656" s="36"/>
      <c r="AG656" s="36"/>
      <c r="AH656" s="51"/>
      <c r="AI656" s="36"/>
      <c r="AJ656" s="36"/>
      <c r="AK656" s="36"/>
      <c r="AL656" s="51"/>
      <c r="AM656" s="36"/>
      <c r="AN656" s="36">
        <v>434</v>
      </c>
      <c r="AO656" s="36">
        <v>325</v>
      </c>
      <c r="AP656" s="51">
        <f t="shared" si="50"/>
        <v>379.5</v>
      </c>
      <c r="AQ656" s="36"/>
      <c r="AR656" s="36">
        <v>400</v>
      </c>
      <c r="AS656" s="36">
        <v>250</v>
      </c>
      <c r="AT656" s="51">
        <f t="shared" si="51"/>
        <v>325</v>
      </c>
      <c r="AU656" s="36"/>
      <c r="AV656" s="36">
        <v>-25</v>
      </c>
      <c r="AW656" s="36">
        <v>100</v>
      </c>
      <c r="AX656" s="51">
        <f t="shared" si="52"/>
        <v>37.5</v>
      </c>
    </row>
    <row r="657" spans="1:50" ht="10.199999999999999" customHeight="1" x14ac:dyDescent="0.25">
      <c r="A657" s="14">
        <v>41</v>
      </c>
      <c r="B657" s="103">
        <v>40101</v>
      </c>
      <c r="C657" s="103">
        <v>40094</v>
      </c>
      <c r="D657" s="36"/>
      <c r="E657" s="36"/>
      <c r="F657" s="51"/>
      <c r="G657" s="36"/>
      <c r="H657" s="36"/>
      <c r="I657" s="36"/>
      <c r="J657" s="51"/>
      <c r="K657" s="36"/>
      <c r="L657" s="36"/>
      <c r="M657" s="36"/>
      <c r="N657" s="51"/>
      <c r="O657" s="36"/>
      <c r="P657" s="36"/>
      <c r="Q657" s="36"/>
      <c r="R657" s="51"/>
      <c r="S657" s="36"/>
      <c r="T657" s="36"/>
      <c r="U657" s="36"/>
      <c r="V657" s="51"/>
      <c r="W657" s="36"/>
      <c r="X657" s="36"/>
      <c r="Y657" s="36"/>
      <c r="Z657" s="51"/>
      <c r="AA657" s="36"/>
      <c r="AB657" s="36"/>
      <c r="AC657" s="36"/>
      <c r="AD657" s="51"/>
      <c r="AE657" s="36"/>
      <c r="AF657" s="36"/>
      <c r="AG657" s="36"/>
      <c r="AH657" s="51"/>
      <c r="AI657" s="36"/>
      <c r="AJ657" s="36"/>
      <c r="AK657" s="36"/>
      <c r="AL657" s="51"/>
      <c r="AM657" s="36"/>
      <c r="AN657" s="36">
        <v>525</v>
      </c>
      <c r="AO657" s="36">
        <v>600</v>
      </c>
      <c r="AP657" s="51">
        <f t="shared" si="50"/>
        <v>562.5</v>
      </c>
      <c r="AQ657" s="36"/>
      <c r="AR657" s="36">
        <v>425</v>
      </c>
      <c r="AS657" s="36">
        <v>300</v>
      </c>
      <c r="AT657" s="51">
        <f t="shared" si="51"/>
        <v>362.5</v>
      </c>
      <c r="AU657" s="36"/>
      <c r="AV657" s="36"/>
      <c r="AW657" s="36">
        <v>0</v>
      </c>
      <c r="AX657" s="51">
        <f t="shared" si="52"/>
        <v>0</v>
      </c>
    </row>
    <row r="658" spans="1:50" ht="10.199999999999999" customHeight="1" x14ac:dyDescent="0.25">
      <c r="A658" s="14">
        <v>42</v>
      </c>
      <c r="B658" s="103">
        <v>40108</v>
      </c>
      <c r="C658" s="103">
        <v>40101</v>
      </c>
      <c r="D658" s="36"/>
      <c r="E658" s="36"/>
      <c r="F658" s="51"/>
      <c r="G658" s="36"/>
      <c r="H658" s="36"/>
      <c r="I658" s="36"/>
      <c r="J658" s="51"/>
      <c r="K658" s="36"/>
      <c r="L658" s="36"/>
      <c r="M658" s="36"/>
      <c r="N658" s="51"/>
      <c r="O658" s="36"/>
      <c r="P658" s="36"/>
      <c r="Q658" s="36"/>
      <c r="R658" s="51"/>
      <c r="S658" s="36"/>
      <c r="T658" s="36"/>
      <c r="U658" s="36"/>
      <c r="V658" s="51"/>
      <c r="W658" s="36"/>
      <c r="X658" s="36"/>
      <c r="Y658" s="36"/>
      <c r="Z658" s="51"/>
      <c r="AA658" s="36"/>
      <c r="AB658" s="36"/>
      <c r="AC658" s="36"/>
      <c r="AD658" s="51"/>
      <c r="AE658" s="36"/>
      <c r="AF658" s="36"/>
      <c r="AG658" s="36"/>
      <c r="AH658" s="51"/>
      <c r="AI658" s="36"/>
      <c r="AJ658" s="36"/>
      <c r="AK658" s="36"/>
      <c r="AL658" s="51"/>
      <c r="AM658" s="36"/>
      <c r="AN658" s="36">
        <v>525</v>
      </c>
      <c r="AO658" s="36">
        <v>325</v>
      </c>
      <c r="AP658" s="51">
        <f t="shared" si="50"/>
        <v>425</v>
      </c>
      <c r="AQ658" s="36"/>
      <c r="AR658" s="36">
        <v>425</v>
      </c>
      <c r="AS658" s="36">
        <v>350</v>
      </c>
      <c r="AT658" s="51">
        <f t="shared" si="51"/>
        <v>387.5</v>
      </c>
      <c r="AU658" s="36"/>
      <c r="AV658" s="36">
        <v>88</v>
      </c>
      <c r="AW658" s="36">
        <v>0</v>
      </c>
      <c r="AX658" s="51">
        <f t="shared" si="52"/>
        <v>44</v>
      </c>
    </row>
    <row r="659" spans="1:50" ht="10.199999999999999" customHeight="1" x14ac:dyDescent="0.25">
      <c r="A659" s="14">
        <v>43</v>
      </c>
      <c r="B659" s="103">
        <v>40115</v>
      </c>
      <c r="C659" s="103">
        <v>40108</v>
      </c>
      <c r="D659" s="36"/>
      <c r="E659" s="36"/>
      <c r="F659" s="51"/>
      <c r="G659" s="36"/>
      <c r="H659" s="36"/>
      <c r="I659" s="36"/>
      <c r="J659" s="51"/>
      <c r="K659" s="36"/>
      <c r="L659" s="36"/>
      <c r="M659" s="36"/>
      <c r="N659" s="51"/>
      <c r="O659" s="36"/>
      <c r="P659" s="36"/>
      <c r="Q659" s="36"/>
      <c r="R659" s="51"/>
      <c r="S659" s="36"/>
      <c r="T659" s="36"/>
      <c r="U659" s="36"/>
      <c r="V659" s="51"/>
      <c r="W659" s="36"/>
      <c r="X659" s="36"/>
      <c r="Y659" s="36"/>
      <c r="Z659" s="51"/>
      <c r="AA659" s="36"/>
      <c r="AB659" s="36"/>
      <c r="AC659" s="36"/>
      <c r="AD659" s="51"/>
      <c r="AE659" s="36"/>
      <c r="AF659" s="36"/>
      <c r="AG659" s="36"/>
      <c r="AH659" s="51"/>
      <c r="AI659" s="36"/>
      <c r="AJ659" s="36"/>
      <c r="AK659" s="36"/>
      <c r="AL659" s="51"/>
      <c r="AM659" s="36"/>
      <c r="AN659" s="36"/>
      <c r="AO659" s="36"/>
      <c r="AP659" s="51"/>
      <c r="AQ659" s="36"/>
      <c r="AR659" s="36">
        <v>375</v>
      </c>
      <c r="AS659" s="36">
        <v>212</v>
      </c>
      <c r="AT659" s="51">
        <f t="shared" si="51"/>
        <v>293.5</v>
      </c>
      <c r="AU659" s="36"/>
      <c r="AV659" s="36">
        <v>54</v>
      </c>
      <c r="AW659" s="36">
        <v>0</v>
      </c>
      <c r="AX659" s="51">
        <f t="shared" si="52"/>
        <v>27</v>
      </c>
    </row>
    <row r="660" spans="1:50" ht="10.199999999999999" customHeight="1" x14ac:dyDescent="0.25">
      <c r="A660" s="14">
        <v>44</v>
      </c>
      <c r="B660" s="103">
        <v>40122</v>
      </c>
      <c r="C660" s="103">
        <v>40115</v>
      </c>
      <c r="D660" s="36"/>
      <c r="E660" s="36">
        <v>-250</v>
      </c>
      <c r="F660" s="51">
        <f>AVERAGE(D660:E660)</f>
        <v>-250</v>
      </c>
      <c r="G660" s="36"/>
      <c r="H660" s="36"/>
      <c r="I660" s="36"/>
      <c r="J660" s="51"/>
      <c r="K660" s="36"/>
      <c r="L660" s="36"/>
      <c r="M660" s="36"/>
      <c r="N660" s="51"/>
      <c r="O660" s="36"/>
      <c r="P660" s="36"/>
      <c r="Q660" s="36"/>
      <c r="R660" s="51"/>
      <c r="S660" s="36"/>
      <c r="T660" s="36"/>
      <c r="U660" s="36"/>
      <c r="V660" s="51"/>
      <c r="W660" s="36"/>
      <c r="X660" s="36"/>
      <c r="Y660" s="36"/>
      <c r="Z660" s="51"/>
      <c r="AA660" s="36"/>
      <c r="AB660" s="36"/>
      <c r="AC660" s="36"/>
      <c r="AD660" s="51"/>
      <c r="AE660" s="36"/>
      <c r="AF660" s="36"/>
      <c r="AG660" s="36"/>
      <c r="AH660" s="51"/>
      <c r="AI660" s="36"/>
      <c r="AJ660" s="36"/>
      <c r="AK660" s="36"/>
      <c r="AL660" s="51"/>
      <c r="AM660" s="36"/>
      <c r="AN660" s="36"/>
      <c r="AO660" s="36"/>
      <c r="AP660" s="51"/>
      <c r="AQ660" s="36"/>
      <c r="AR660" s="36">
        <v>450</v>
      </c>
      <c r="AS660" s="36">
        <v>100</v>
      </c>
      <c r="AT660" s="51">
        <f t="shared" si="51"/>
        <v>275</v>
      </c>
      <c r="AU660" s="36"/>
      <c r="AV660" s="36">
        <v>134</v>
      </c>
      <c r="AW660" s="36">
        <v>-125</v>
      </c>
      <c r="AX660" s="48">
        <f t="shared" si="52"/>
        <v>4.5</v>
      </c>
    </row>
    <row r="661" spans="1:50" ht="10.199999999999999" customHeight="1" x14ac:dyDescent="0.25">
      <c r="A661" s="14">
        <v>45</v>
      </c>
      <c r="B661" s="103">
        <v>40129</v>
      </c>
      <c r="C661" s="103">
        <v>40122</v>
      </c>
      <c r="D661" s="36"/>
      <c r="E661" s="36">
        <v>-200</v>
      </c>
      <c r="F661" s="51">
        <f>AVERAGE(D661:E661)</f>
        <v>-200</v>
      </c>
      <c r="G661" s="36"/>
      <c r="H661" s="36"/>
      <c r="I661" s="36"/>
      <c r="J661" s="51"/>
      <c r="K661" s="36"/>
      <c r="L661" s="36"/>
      <c r="M661" s="36"/>
      <c r="N661" s="51"/>
      <c r="O661" s="36"/>
      <c r="P661" s="36"/>
      <c r="Q661" s="36"/>
      <c r="R661" s="51"/>
      <c r="S661" s="36"/>
      <c r="T661" s="36"/>
      <c r="U661" s="36"/>
      <c r="V661" s="51"/>
      <c r="W661" s="36"/>
      <c r="X661" s="36"/>
      <c r="Y661" s="36"/>
      <c r="Z661" s="51"/>
      <c r="AA661" s="36"/>
      <c r="AB661" s="36"/>
      <c r="AC661" s="36"/>
      <c r="AD661" s="51"/>
      <c r="AE661" s="36"/>
      <c r="AF661" s="36"/>
      <c r="AG661" s="36"/>
      <c r="AH661" s="51"/>
      <c r="AI661" s="36"/>
      <c r="AJ661" s="36"/>
      <c r="AK661" s="36"/>
      <c r="AL661" s="51"/>
      <c r="AM661" s="36"/>
      <c r="AN661" s="36"/>
      <c r="AO661" s="36"/>
      <c r="AP661" s="51"/>
      <c r="AQ661" s="36"/>
      <c r="AR661" s="36">
        <v>513</v>
      </c>
      <c r="AS661" s="36">
        <v>100</v>
      </c>
      <c r="AT661" s="51">
        <f t="shared" si="51"/>
        <v>306.5</v>
      </c>
      <c r="AU661" s="36"/>
      <c r="AV661" s="36">
        <v>194</v>
      </c>
      <c r="AW661" s="36">
        <v>-125</v>
      </c>
      <c r="AX661" s="48">
        <f t="shared" si="52"/>
        <v>34.5</v>
      </c>
    </row>
    <row r="662" spans="1:50" ht="10.199999999999999" customHeight="1" x14ac:dyDescent="0.25">
      <c r="A662" s="14">
        <v>46</v>
      </c>
      <c r="B662" s="103">
        <v>40136</v>
      </c>
      <c r="C662" s="103">
        <v>40129</v>
      </c>
      <c r="D662" s="36"/>
      <c r="E662" s="36"/>
      <c r="F662" s="51"/>
      <c r="G662" s="36"/>
      <c r="H662" s="36"/>
      <c r="I662" s="36"/>
      <c r="J662" s="51"/>
      <c r="K662" s="36"/>
      <c r="L662" s="36"/>
      <c r="M662" s="36"/>
      <c r="N662" s="51"/>
      <c r="O662" s="36"/>
      <c r="P662" s="36"/>
      <c r="Q662" s="36"/>
      <c r="R662" s="51"/>
      <c r="S662" s="36"/>
      <c r="T662" s="36"/>
      <c r="U662" s="36"/>
      <c r="V662" s="51"/>
      <c r="W662" s="36"/>
      <c r="X662" s="36"/>
      <c r="Y662" s="36"/>
      <c r="Z662" s="51"/>
      <c r="AA662" s="36"/>
      <c r="AB662" s="36"/>
      <c r="AC662" s="36"/>
      <c r="AD662" s="51"/>
      <c r="AE662" s="36"/>
      <c r="AF662" s="36"/>
      <c r="AG662" s="36"/>
      <c r="AH662" s="51"/>
      <c r="AI662" s="36"/>
      <c r="AJ662" s="36"/>
      <c r="AK662" s="36"/>
      <c r="AL662" s="51"/>
      <c r="AM662" s="36"/>
      <c r="AN662" s="36"/>
      <c r="AO662" s="36"/>
      <c r="AP662" s="51"/>
      <c r="AQ662" s="36"/>
      <c r="AR662" s="36">
        <v>782</v>
      </c>
      <c r="AS662" s="36">
        <v>275</v>
      </c>
      <c r="AT662" s="51">
        <f t="shared" si="51"/>
        <v>528.5</v>
      </c>
      <c r="AU662" s="36"/>
      <c r="AV662" s="36">
        <v>469</v>
      </c>
      <c r="AW662" s="36">
        <v>75</v>
      </c>
      <c r="AX662" s="48">
        <f t="shared" si="52"/>
        <v>272</v>
      </c>
    </row>
    <row r="663" spans="1:50" ht="10.199999999999999" customHeight="1" x14ac:dyDescent="0.25">
      <c r="A663" s="14">
        <v>47</v>
      </c>
      <c r="B663" s="103">
        <v>40143</v>
      </c>
      <c r="C663" s="103">
        <v>40136</v>
      </c>
      <c r="D663" s="36"/>
      <c r="E663" s="36"/>
      <c r="F663" s="51"/>
      <c r="G663" s="36"/>
      <c r="H663" s="36"/>
      <c r="I663" s="36"/>
      <c r="J663" s="51"/>
      <c r="K663" s="36"/>
      <c r="L663" s="36"/>
      <c r="M663" s="36"/>
      <c r="N663" s="51"/>
      <c r="O663" s="36"/>
      <c r="P663" s="36"/>
      <c r="Q663" s="36"/>
      <c r="R663" s="51"/>
      <c r="S663" s="36"/>
      <c r="T663" s="36"/>
      <c r="U663" s="36"/>
      <c r="V663" s="51"/>
      <c r="W663" s="36"/>
      <c r="X663" s="36"/>
      <c r="Y663" s="36"/>
      <c r="Z663" s="51"/>
      <c r="AA663" s="36"/>
      <c r="AB663" s="36"/>
      <c r="AC663" s="36"/>
      <c r="AD663" s="51"/>
      <c r="AE663" s="36"/>
      <c r="AF663" s="36"/>
      <c r="AG663" s="36"/>
      <c r="AH663" s="51"/>
      <c r="AI663" s="36"/>
      <c r="AJ663" s="36"/>
      <c r="AK663" s="36"/>
      <c r="AL663" s="51"/>
      <c r="AM663" s="36"/>
      <c r="AN663" s="36"/>
      <c r="AO663" s="36"/>
      <c r="AP663" s="51"/>
      <c r="AQ663" s="36"/>
      <c r="AR663" s="36"/>
      <c r="AS663" s="36"/>
      <c r="AT663" s="51"/>
      <c r="AU663" s="36"/>
      <c r="AV663" s="36">
        <v>413</v>
      </c>
      <c r="AW663" s="36"/>
      <c r="AX663" s="48">
        <f t="shared" si="52"/>
        <v>413</v>
      </c>
    </row>
    <row r="664" spans="1:50" ht="10.199999999999999" customHeight="1" x14ac:dyDescent="0.25">
      <c r="A664" s="14">
        <v>48</v>
      </c>
      <c r="B664" s="103">
        <v>40150</v>
      </c>
      <c r="C664" s="103">
        <v>40143</v>
      </c>
      <c r="D664" s="36">
        <v>-100</v>
      </c>
      <c r="E664" s="36">
        <v>-75</v>
      </c>
      <c r="F664" s="51">
        <f>AVERAGE(D664:E664)</f>
        <v>-87.5</v>
      </c>
      <c r="G664" s="36"/>
      <c r="H664" s="36"/>
      <c r="I664" s="36"/>
      <c r="J664" s="51"/>
      <c r="K664" s="36"/>
      <c r="L664" s="36"/>
      <c r="M664" s="36"/>
      <c r="N664" s="51"/>
      <c r="O664" s="36"/>
      <c r="P664" s="36"/>
      <c r="Q664" s="36"/>
      <c r="R664" s="51"/>
      <c r="S664" s="36"/>
      <c r="T664" s="36"/>
      <c r="U664" s="36"/>
      <c r="V664" s="51"/>
      <c r="W664" s="36"/>
      <c r="X664" s="36"/>
      <c r="Y664" s="36"/>
      <c r="Z664" s="51"/>
      <c r="AA664" s="36"/>
      <c r="AB664" s="36"/>
      <c r="AC664" s="36"/>
      <c r="AD664" s="51"/>
      <c r="AE664" s="36"/>
      <c r="AF664" s="36"/>
      <c r="AG664" s="36"/>
      <c r="AH664" s="51"/>
      <c r="AI664" s="36"/>
      <c r="AJ664" s="36"/>
      <c r="AK664" s="36"/>
      <c r="AL664" s="51"/>
      <c r="AM664" s="36"/>
      <c r="AN664" s="36"/>
      <c r="AO664" s="36"/>
      <c r="AP664" s="51"/>
      <c r="AQ664" s="36"/>
      <c r="AR664" s="36"/>
      <c r="AS664" s="36"/>
      <c r="AT664" s="51"/>
      <c r="AU664" s="36"/>
      <c r="AV664" s="36">
        <v>321</v>
      </c>
      <c r="AW664" s="36">
        <v>75</v>
      </c>
      <c r="AX664" s="48">
        <f t="shared" si="52"/>
        <v>198</v>
      </c>
    </row>
    <row r="665" spans="1:50" ht="10.199999999999999" customHeight="1" x14ac:dyDescent="0.25">
      <c r="A665" s="14">
        <v>49</v>
      </c>
      <c r="B665" s="103">
        <v>40157</v>
      </c>
      <c r="C665" s="103">
        <v>40150</v>
      </c>
      <c r="D665" s="36"/>
      <c r="E665" s="36"/>
      <c r="F665" s="51"/>
      <c r="G665" s="36"/>
      <c r="H665" s="36"/>
      <c r="I665" s="36"/>
      <c r="J665" s="51"/>
      <c r="K665" s="36"/>
      <c r="L665" s="36"/>
      <c r="M665" s="36"/>
      <c r="N665" s="51"/>
      <c r="O665" s="36"/>
      <c r="P665" s="36"/>
      <c r="Q665" s="36"/>
      <c r="R665" s="51"/>
      <c r="S665" s="36"/>
      <c r="T665" s="36"/>
      <c r="U665" s="36"/>
      <c r="V665" s="51"/>
      <c r="W665" s="36"/>
      <c r="X665" s="36"/>
      <c r="Y665" s="36"/>
      <c r="Z665" s="51"/>
      <c r="AA665" s="36"/>
      <c r="AB665" s="36"/>
      <c r="AC665" s="36"/>
      <c r="AD665" s="51"/>
      <c r="AE665" s="36"/>
      <c r="AF665" s="36"/>
      <c r="AG665" s="36"/>
      <c r="AH665" s="51"/>
      <c r="AI665" s="36"/>
      <c r="AJ665" s="36"/>
      <c r="AK665" s="36"/>
      <c r="AL665" s="51"/>
      <c r="AM665" s="36"/>
      <c r="AN665" s="36"/>
      <c r="AO665" s="36"/>
      <c r="AP665" s="51"/>
      <c r="AQ665" s="36"/>
      <c r="AR665" s="36"/>
      <c r="AS665" s="36"/>
      <c r="AT665" s="51"/>
      <c r="AU665" s="36"/>
      <c r="AV665" s="36">
        <v>-25</v>
      </c>
      <c r="AW665" s="36">
        <v>-100</v>
      </c>
      <c r="AX665" s="48">
        <f t="shared" si="52"/>
        <v>-62.5</v>
      </c>
    </row>
    <row r="666" spans="1:50" ht="10.199999999999999" customHeight="1" x14ac:dyDescent="0.25">
      <c r="A666" s="14">
        <v>50</v>
      </c>
      <c r="B666" s="103">
        <v>40164</v>
      </c>
      <c r="C666" s="103">
        <v>40157</v>
      </c>
      <c r="D666" s="36"/>
      <c r="E666" s="36">
        <v>-100</v>
      </c>
      <c r="F666" s="51">
        <f t="shared" ref="F666:F671" si="53">AVERAGE(D666:E666)</f>
        <v>-100</v>
      </c>
      <c r="G666" s="36"/>
      <c r="H666" s="36"/>
      <c r="I666" s="36"/>
      <c r="J666" s="51"/>
      <c r="K666" s="36"/>
      <c r="L666" s="36">
        <v>-350</v>
      </c>
      <c r="M666" s="36"/>
      <c r="N666" s="51">
        <f>AVERAGE(L666:M666)</f>
        <v>-350</v>
      </c>
      <c r="O666" s="36"/>
      <c r="P666" s="36"/>
      <c r="Q666" s="36"/>
      <c r="R666" s="51"/>
      <c r="S666" s="36"/>
      <c r="T666" s="36"/>
      <c r="U666" s="36"/>
      <c r="V666" s="51"/>
      <c r="W666" s="36"/>
      <c r="X666" s="36"/>
      <c r="Y666" s="36"/>
      <c r="Z666" s="51"/>
      <c r="AA666" s="36"/>
      <c r="AB666" s="36"/>
      <c r="AC666" s="36"/>
      <c r="AD666" s="51"/>
      <c r="AE666" s="36"/>
      <c r="AF666" s="36"/>
      <c r="AG666" s="36"/>
      <c r="AH666" s="51"/>
      <c r="AI666" s="36"/>
      <c r="AJ666" s="36"/>
      <c r="AK666" s="36"/>
      <c r="AL666" s="51"/>
      <c r="AM666" s="36"/>
      <c r="AN666" s="36"/>
      <c r="AO666" s="36"/>
      <c r="AP666" s="51"/>
      <c r="AQ666" s="36"/>
      <c r="AR666" s="36"/>
      <c r="AS666" s="36"/>
      <c r="AT666" s="51"/>
      <c r="AU666" s="36"/>
      <c r="AV666" s="36">
        <v>50</v>
      </c>
      <c r="AW666" s="36"/>
      <c r="AX666" s="48">
        <f t="shared" si="52"/>
        <v>50</v>
      </c>
    </row>
    <row r="667" spans="1:50" ht="10.199999999999999" customHeight="1" x14ac:dyDescent="0.25">
      <c r="A667" s="14">
        <v>51</v>
      </c>
      <c r="B667" s="103">
        <v>40171</v>
      </c>
      <c r="C667" s="103">
        <v>40164</v>
      </c>
      <c r="D667" s="36">
        <v>65</v>
      </c>
      <c r="E667" s="36"/>
      <c r="F667" s="51">
        <f t="shared" si="53"/>
        <v>65</v>
      </c>
      <c r="G667" s="36"/>
      <c r="H667" s="36"/>
      <c r="I667" s="36"/>
      <c r="J667" s="51"/>
      <c r="K667" s="36"/>
      <c r="L667" s="36"/>
      <c r="M667" s="36"/>
      <c r="N667" s="51"/>
      <c r="O667" s="36"/>
      <c r="P667" s="36"/>
      <c r="Q667" s="36"/>
      <c r="R667" s="51"/>
      <c r="S667" s="36"/>
      <c r="T667" s="36"/>
      <c r="U667" s="36"/>
      <c r="V667" s="51"/>
      <c r="W667" s="36"/>
      <c r="X667" s="36">
        <v>-133</v>
      </c>
      <c r="Y667" s="36">
        <v>-175</v>
      </c>
      <c r="Z667" s="51">
        <f t="shared" ref="Z667:Z692" si="54">AVERAGE(X667:Y667)</f>
        <v>-154</v>
      </c>
      <c r="AA667" s="36"/>
      <c r="AB667" s="36"/>
      <c r="AC667" s="36"/>
      <c r="AD667" s="51"/>
      <c r="AE667" s="36"/>
      <c r="AF667" s="36"/>
      <c r="AG667" s="36"/>
      <c r="AH667" s="51"/>
      <c r="AI667" s="36"/>
      <c r="AJ667" s="36"/>
      <c r="AK667" s="36"/>
      <c r="AL667" s="51"/>
      <c r="AM667" s="36"/>
      <c r="AN667" s="36"/>
      <c r="AO667" s="36"/>
      <c r="AP667" s="51"/>
      <c r="AQ667" s="36"/>
      <c r="AR667" s="36"/>
      <c r="AS667" s="36"/>
      <c r="AT667" s="51"/>
      <c r="AU667" s="36"/>
      <c r="AV667" s="36"/>
      <c r="AW667" s="36"/>
      <c r="AX667" s="49"/>
    </row>
    <row r="668" spans="1:50" ht="10.199999999999999" customHeight="1" x14ac:dyDescent="0.25">
      <c r="A668" s="14">
        <v>52</v>
      </c>
      <c r="B668" s="103">
        <v>40178</v>
      </c>
      <c r="C668" s="103">
        <v>40171</v>
      </c>
      <c r="D668" s="36">
        <v>90</v>
      </c>
      <c r="E668" s="36">
        <v>75</v>
      </c>
      <c r="F668" s="51">
        <f t="shared" si="53"/>
        <v>82.5</v>
      </c>
      <c r="G668" s="36"/>
      <c r="H668" s="36"/>
      <c r="I668" s="36"/>
      <c r="J668" s="51"/>
      <c r="K668" s="36"/>
      <c r="L668" s="36">
        <v>-150</v>
      </c>
      <c r="M668" s="36"/>
      <c r="N668" s="51">
        <f>AVERAGE(L668:M668)</f>
        <v>-150</v>
      </c>
      <c r="O668" s="36"/>
      <c r="P668" s="36"/>
      <c r="Q668" s="36"/>
      <c r="R668" s="51"/>
      <c r="S668" s="36"/>
      <c r="T668" s="36"/>
      <c r="U668" s="36"/>
      <c r="V668" s="51"/>
      <c r="W668" s="36"/>
      <c r="X668" s="36">
        <v>-150</v>
      </c>
      <c r="Y668" s="36">
        <v>-200</v>
      </c>
      <c r="Z668" s="51">
        <f t="shared" si="54"/>
        <v>-175</v>
      </c>
      <c r="AA668" s="36"/>
      <c r="AB668" s="36"/>
      <c r="AC668" s="36"/>
      <c r="AD668" s="51"/>
      <c r="AE668" s="36"/>
      <c r="AF668" s="36"/>
      <c r="AG668" s="36"/>
      <c r="AH668" s="51"/>
      <c r="AI668" s="36"/>
      <c r="AJ668" s="36"/>
      <c r="AK668" s="36"/>
      <c r="AL668" s="51"/>
      <c r="AM668" s="36"/>
      <c r="AN668" s="36"/>
      <c r="AO668" s="36"/>
      <c r="AP668" s="51"/>
      <c r="AQ668" s="36"/>
      <c r="AR668" s="36"/>
      <c r="AS668" s="36"/>
      <c r="AT668" s="51"/>
      <c r="AU668" s="36"/>
      <c r="AV668" s="36"/>
      <c r="AW668" s="36"/>
      <c r="AX668" s="49"/>
    </row>
    <row r="669" spans="1:50" ht="10.199999999999999" customHeight="1" x14ac:dyDescent="0.25">
      <c r="A669" s="14">
        <v>1</v>
      </c>
      <c r="B669" s="103">
        <v>40185</v>
      </c>
      <c r="C669" s="103">
        <v>40178</v>
      </c>
      <c r="D669" s="14">
        <v>384</v>
      </c>
      <c r="E669" s="14">
        <v>100</v>
      </c>
      <c r="F669" s="48">
        <f t="shared" si="53"/>
        <v>242</v>
      </c>
      <c r="G669" s="14"/>
      <c r="H669" s="14"/>
      <c r="I669" s="14"/>
      <c r="J669" s="48"/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>
        <v>-150</v>
      </c>
      <c r="Y669" s="14">
        <v>-175</v>
      </c>
      <c r="Z669" s="48">
        <f t="shared" si="54"/>
        <v>-162.5</v>
      </c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99999999999999" customHeight="1" x14ac:dyDescent="0.25">
      <c r="A670" s="14">
        <v>2</v>
      </c>
      <c r="B670" s="103">
        <v>40192</v>
      </c>
      <c r="C670" s="103">
        <v>40185</v>
      </c>
      <c r="D670" s="14">
        <v>275</v>
      </c>
      <c r="E670" s="14">
        <v>75</v>
      </c>
      <c r="F670" s="48">
        <f t="shared" si="53"/>
        <v>175</v>
      </c>
      <c r="G670" s="14"/>
      <c r="H670" s="14">
        <v>25</v>
      </c>
      <c r="I670" s="14">
        <v>25</v>
      </c>
      <c r="J670" s="48">
        <f t="shared" ref="J670:J675" si="55">AVERAGE(H670:I670)</f>
        <v>25</v>
      </c>
      <c r="K670" s="14"/>
      <c r="L670" s="14">
        <v>-225</v>
      </c>
      <c r="M670" s="14"/>
      <c r="N670" s="48">
        <f>AVERAGE(L670:M670)</f>
        <v>-225</v>
      </c>
      <c r="O670" s="14"/>
      <c r="P670" s="14"/>
      <c r="Q670" s="14"/>
      <c r="R670" s="48"/>
      <c r="S670" s="14"/>
      <c r="T670" s="14">
        <v>-325</v>
      </c>
      <c r="U670" s="14"/>
      <c r="V670" s="48">
        <f>AVERAGE(T670:U670)</f>
        <v>-325</v>
      </c>
      <c r="W670" s="14"/>
      <c r="X670" s="14">
        <v>-150</v>
      </c>
      <c r="Y670" s="14">
        <v>-175</v>
      </c>
      <c r="Z670" s="48">
        <f t="shared" si="54"/>
        <v>-162.5</v>
      </c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99999999999999" customHeight="1" x14ac:dyDescent="0.25">
      <c r="A671" s="14">
        <v>3</v>
      </c>
      <c r="B671" s="103">
        <v>40199</v>
      </c>
      <c r="C671" s="103">
        <v>40192</v>
      </c>
      <c r="D671" s="36">
        <v>125</v>
      </c>
      <c r="E671" s="36"/>
      <c r="F671" s="48">
        <f t="shared" si="53"/>
        <v>125</v>
      </c>
      <c r="G671" s="36"/>
      <c r="H671" s="36">
        <v>0</v>
      </c>
      <c r="I671" s="36">
        <v>107</v>
      </c>
      <c r="J671" s="48">
        <f t="shared" si="55"/>
        <v>53.5</v>
      </c>
      <c r="K671" s="36"/>
      <c r="L671" s="36"/>
      <c r="M671" s="36"/>
      <c r="N671" s="51"/>
      <c r="O671" s="36"/>
      <c r="P671" s="36"/>
      <c r="Q671" s="36"/>
      <c r="R671" s="51"/>
      <c r="S671" s="36"/>
      <c r="T671" s="36"/>
      <c r="U671" s="36"/>
      <c r="V671" s="51"/>
      <c r="W671" s="36"/>
      <c r="X671" s="36">
        <v>-158</v>
      </c>
      <c r="Y671" s="36">
        <v>-175</v>
      </c>
      <c r="Z671" s="51">
        <f t="shared" si="54"/>
        <v>-166.5</v>
      </c>
      <c r="AA671" s="36"/>
      <c r="AB671" s="36"/>
      <c r="AC671" s="36"/>
      <c r="AD671" s="51"/>
      <c r="AE671" s="36"/>
      <c r="AF671" s="36"/>
      <c r="AG671" s="36"/>
      <c r="AH671" s="51"/>
      <c r="AI671" s="36"/>
      <c r="AJ671" s="36"/>
      <c r="AK671" s="36"/>
      <c r="AL671" s="51"/>
      <c r="AM671" s="36"/>
      <c r="AN671" s="36"/>
      <c r="AO671" s="36"/>
      <c r="AP671" s="51"/>
      <c r="AQ671" s="36"/>
      <c r="AR671" s="36"/>
      <c r="AS671" s="36"/>
      <c r="AT671" s="51"/>
      <c r="AU671" s="36"/>
      <c r="AV671" s="36"/>
      <c r="AW671" s="36"/>
      <c r="AX671" s="49"/>
    </row>
    <row r="672" spans="1:50" ht="10.199999999999999" customHeight="1" x14ac:dyDescent="0.25">
      <c r="A672" s="14">
        <v>4</v>
      </c>
      <c r="B672" s="103">
        <v>40206</v>
      </c>
      <c r="C672" s="103">
        <v>40199</v>
      </c>
      <c r="D672" s="36"/>
      <c r="E672" s="36"/>
      <c r="F672" s="51"/>
      <c r="G672" s="36"/>
      <c r="H672" s="36">
        <v>263</v>
      </c>
      <c r="I672" s="36">
        <v>75</v>
      </c>
      <c r="J672" s="48">
        <f t="shared" si="55"/>
        <v>169</v>
      </c>
      <c r="K672" s="36"/>
      <c r="L672" s="36">
        <v>-200</v>
      </c>
      <c r="M672" s="36">
        <v>100</v>
      </c>
      <c r="N672" s="48">
        <f t="shared" ref="N672:N679" si="56">AVERAGE(L672:M672)</f>
        <v>-50</v>
      </c>
      <c r="O672" s="36"/>
      <c r="P672" s="36"/>
      <c r="Q672" s="36"/>
      <c r="R672" s="51"/>
      <c r="S672" s="36"/>
      <c r="T672" s="36"/>
      <c r="U672" s="36"/>
      <c r="V672" s="51"/>
      <c r="W672" s="36"/>
      <c r="X672" s="36">
        <v>-158</v>
      </c>
      <c r="Y672" s="36">
        <v>-175</v>
      </c>
      <c r="Z672" s="51">
        <f t="shared" si="54"/>
        <v>-166.5</v>
      </c>
      <c r="AA672" s="36"/>
      <c r="AB672" s="36"/>
      <c r="AC672" s="36"/>
      <c r="AD672" s="51"/>
      <c r="AE672" s="36"/>
      <c r="AF672" s="36"/>
      <c r="AG672" s="36"/>
      <c r="AH672" s="51"/>
      <c r="AI672" s="36"/>
      <c r="AJ672" s="36"/>
      <c r="AK672" s="36"/>
      <c r="AL672" s="51"/>
      <c r="AM672" s="36"/>
      <c r="AN672" s="36"/>
      <c r="AO672" s="36"/>
      <c r="AP672" s="51"/>
      <c r="AQ672" s="36"/>
      <c r="AR672" s="36"/>
      <c r="AS672" s="36"/>
      <c r="AT672" s="51"/>
      <c r="AU672" s="36"/>
      <c r="AV672" s="36"/>
      <c r="AW672" s="36"/>
      <c r="AX672" s="49"/>
    </row>
    <row r="673" spans="1:50" ht="10.199999999999999" customHeight="1" x14ac:dyDescent="0.25">
      <c r="A673" s="14">
        <v>5</v>
      </c>
      <c r="B673" s="103">
        <v>40213</v>
      </c>
      <c r="C673" s="103">
        <v>40206</v>
      </c>
      <c r="D673" s="36"/>
      <c r="E673" s="36"/>
      <c r="F673" s="51"/>
      <c r="G673" s="36"/>
      <c r="H673" s="36">
        <v>263</v>
      </c>
      <c r="I673" s="36">
        <v>100</v>
      </c>
      <c r="J673" s="48">
        <f t="shared" si="55"/>
        <v>181.5</v>
      </c>
      <c r="K673" s="36"/>
      <c r="L673" s="36">
        <v>-150</v>
      </c>
      <c r="M673" s="36">
        <v>-150</v>
      </c>
      <c r="N673" s="48">
        <f t="shared" si="56"/>
        <v>-150</v>
      </c>
      <c r="O673" s="36"/>
      <c r="P673" s="36">
        <v>-238</v>
      </c>
      <c r="Q673" s="36"/>
      <c r="R673" s="48">
        <f>AVERAGE(P673:Q673)</f>
        <v>-238</v>
      </c>
      <c r="S673" s="36"/>
      <c r="T673" s="36">
        <v>-300</v>
      </c>
      <c r="U673" s="36"/>
      <c r="V673" s="48">
        <f>AVERAGE(T673:U673)</f>
        <v>-300</v>
      </c>
      <c r="W673" s="36"/>
      <c r="X673" s="36">
        <v>-167</v>
      </c>
      <c r="Y673" s="36">
        <v>-175</v>
      </c>
      <c r="Z673" s="51">
        <f t="shared" si="54"/>
        <v>-171</v>
      </c>
      <c r="AA673" s="36"/>
      <c r="AB673" s="36"/>
      <c r="AC673" s="36"/>
      <c r="AD673" s="51"/>
      <c r="AE673" s="36"/>
      <c r="AF673" s="36"/>
      <c r="AG673" s="36"/>
      <c r="AH673" s="51"/>
      <c r="AI673" s="36"/>
      <c r="AJ673" s="36"/>
      <c r="AK673" s="36"/>
      <c r="AL673" s="51"/>
      <c r="AM673" s="36"/>
      <c r="AN673" s="36"/>
      <c r="AO673" s="36"/>
      <c r="AP673" s="51"/>
      <c r="AQ673" s="36"/>
      <c r="AR673" s="36"/>
      <c r="AS673" s="36"/>
      <c r="AT673" s="51"/>
      <c r="AU673" s="36"/>
      <c r="AV673" s="36"/>
      <c r="AW673" s="36"/>
      <c r="AX673" s="49"/>
    </row>
    <row r="674" spans="1:50" ht="10.199999999999999" customHeight="1" x14ac:dyDescent="0.25">
      <c r="A674" s="14">
        <v>6</v>
      </c>
      <c r="B674" s="103">
        <v>40220</v>
      </c>
      <c r="C674" s="103">
        <v>40213</v>
      </c>
      <c r="D674" s="36"/>
      <c r="E674" s="36"/>
      <c r="F674" s="51"/>
      <c r="G674" s="36"/>
      <c r="H674" s="36">
        <v>425</v>
      </c>
      <c r="I674" s="36">
        <v>313</v>
      </c>
      <c r="J674" s="51">
        <f t="shared" si="55"/>
        <v>369</v>
      </c>
      <c r="K674" s="36"/>
      <c r="L674" s="36">
        <v>100</v>
      </c>
      <c r="M674" s="36"/>
      <c r="N674" s="48">
        <f t="shared" si="56"/>
        <v>100</v>
      </c>
      <c r="O674" s="36"/>
      <c r="P674" s="36">
        <v>-257</v>
      </c>
      <c r="Q674" s="36"/>
      <c r="R674" s="48">
        <f>AVERAGE(P674:Q674)</f>
        <v>-257</v>
      </c>
      <c r="S674" s="36"/>
      <c r="T674" s="36">
        <v>-300</v>
      </c>
      <c r="U674" s="36"/>
      <c r="V674" s="48">
        <f>AVERAGE(T674:U674)</f>
        <v>-300</v>
      </c>
      <c r="W674" s="36"/>
      <c r="X674" s="36">
        <v>-158</v>
      </c>
      <c r="Y674" s="36">
        <v>-150</v>
      </c>
      <c r="Z674" s="51">
        <f t="shared" si="54"/>
        <v>-154</v>
      </c>
      <c r="AA674" s="36"/>
      <c r="AB674" s="36"/>
      <c r="AC674" s="36"/>
      <c r="AD674" s="51"/>
      <c r="AE674" s="36"/>
      <c r="AF674" s="36"/>
      <c r="AG674" s="36"/>
      <c r="AH674" s="51"/>
      <c r="AI674" s="36"/>
      <c r="AJ674" s="36"/>
      <c r="AK674" s="36"/>
      <c r="AL674" s="51"/>
      <c r="AM674" s="36"/>
      <c r="AN674" s="36"/>
      <c r="AO674" s="36"/>
      <c r="AP674" s="51"/>
      <c r="AQ674" s="36"/>
      <c r="AR674" s="36"/>
      <c r="AS674" s="36"/>
      <c r="AT674" s="51"/>
      <c r="AU674" s="36"/>
      <c r="AV674" s="36"/>
      <c r="AW674" s="36"/>
      <c r="AX674" s="49"/>
    </row>
    <row r="675" spans="1:50" ht="10.199999999999999" customHeight="1" x14ac:dyDescent="0.25">
      <c r="A675" s="14">
        <v>7</v>
      </c>
      <c r="B675" s="103">
        <v>40227</v>
      </c>
      <c r="C675" s="103">
        <v>40220</v>
      </c>
      <c r="D675" s="36"/>
      <c r="E675" s="36"/>
      <c r="F675" s="51"/>
      <c r="G675" s="36"/>
      <c r="H675" s="36">
        <v>550</v>
      </c>
      <c r="I675" s="36">
        <v>250</v>
      </c>
      <c r="J675" s="51">
        <f t="shared" si="55"/>
        <v>400</v>
      </c>
      <c r="K675" s="36"/>
      <c r="L675" s="36">
        <v>250</v>
      </c>
      <c r="M675" s="36">
        <v>100</v>
      </c>
      <c r="N675" s="51">
        <f t="shared" si="56"/>
        <v>175</v>
      </c>
      <c r="O675" s="36"/>
      <c r="P675" s="36">
        <v>-169</v>
      </c>
      <c r="Q675" s="36"/>
      <c r="R675" s="48">
        <f>AVERAGE(P675:Q675)</f>
        <v>-169</v>
      </c>
      <c r="S675" s="36"/>
      <c r="T675" s="36"/>
      <c r="U675" s="36"/>
      <c r="V675" s="51"/>
      <c r="W675" s="36"/>
      <c r="X675" s="36">
        <v>-167</v>
      </c>
      <c r="Y675" s="36">
        <v>-175</v>
      </c>
      <c r="Z675" s="51">
        <f t="shared" si="54"/>
        <v>-171</v>
      </c>
      <c r="AA675" s="36"/>
      <c r="AB675" s="36"/>
      <c r="AC675" s="36"/>
      <c r="AD675" s="51"/>
      <c r="AE675" s="36"/>
      <c r="AF675" s="36"/>
      <c r="AG675" s="36"/>
      <c r="AH675" s="51"/>
      <c r="AI675" s="36"/>
      <c r="AJ675" s="36"/>
      <c r="AK675" s="36"/>
      <c r="AL675" s="51"/>
      <c r="AM675" s="36"/>
      <c r="AN675" s="36"/>
      <c r="AO675" s="36"/>
      <c r="AP675" s="51"/>
      <c r="AQ675" s="36"/>
      <c r="AR675" s="36"/>
      <c r="AS675" s="36"/>
      <c r="AT675" s="51"/>
      <c r="AU675" s="36"/>
      <c r="AV675" s="36"/>
      <c r="AW675" s="36"/>
      <c r="AX675" s="49"/>
    </row>
    <row r="676" spans="1:50" ht="10.199999999999999" customHeight="1" x14ac:dyDescent="0.25">
      <c r="A676" s="14">
        <v>8</v>
      </c>
      <c r="B676" s="103">
        <v>40234</v>
      </c>
      <c r="C676" s="103">
        <v>40227</v>
      </c>
      <c r="D676" s="36"/>
      <c r="E676" s="36"/>
      <c r="F676" s="51"/>
      <c r="G676" s="36"/>
      <c r="H676" s="36"/>
      <c r="I676" s="36"/>
      <c r="J676" s="51"/>
      <c r="K676" s="36"/>
      <c r="L676" s="36">
        <v>250</v>
      </c>
      <c r="M676" s="36">
        <v>238</v>
      </c>
      <c r="N676" s="51">
        <f t="shared" si="56"/>
        <v>244</v>
      </c>
      <c r="O676" s="36"/>
      <c r="P676" s="36">
        <v>-196</v>
      </c>
      <c r="Q676" s="36"/>
      <c r="R676" s="48">
        <f>AVERAGE(P676:Q676)</f>
        <v>-196</v>
      </c>
      <c r="S676" s="36"/>
      <c r="T676" s="36">
        <v>-275</v>
      </c>
      <c r="U676" s="36"/>
      <c r="V676" s="48">
        <f t="shared" ref="V676:V688" si="57">AVERAGE(T676:U676)</f>
        <v>-275</v>
      </c>
      <c r="W676" s="36"/>
      <c r="X676" s="36">
        <v>-150</v>
      </c>
      <c r="Y676" s="36">
        <v>-150</v>
      </c>
      <c r="Z676" s="51">
        <f t="shared" si="54"/>
        <v>-150</v>
      </c>
      <c r="AA676" s="36"/>
      <c r="AB676" s="36"/>
      <c r="AC676" s="36"/>
      <c r="AD676" s="51"/>
      <c r="AE676" s="36"/>
      <c r="AF676" s="36"/>
      <c r="AG676" s="36"/>
      <c r="AH676" s="51"/>
      <c r="AI676" s="36"/>
      <c r="AJ676" s="36"/>
      <c r="AK676" s="36"/>
      <c r="AL676" s="51"/>
      <c r="AM676" s="36"/>
      <c r="AN676" s="36"/>
      <c r="AO676" s="36"/>
      <c r="AP676" s="51"/>
      <c r="AQ676" s="36"/>
      <c r="AR676" s="36"/>
      <c r="AS676" s="36"/>
      <c r="AT676" s="51"/>
      <c r="AU676" s="36"/>
      <c r="AV676" s="36"/>
      <c r="AW676" s="36"/>
      <c r="AX676" s="49"/>
    </row>
    <row r="677" spans="1:50" ht="10.199999999999999" customHeight="1" x14ac:dyDescent="0.25">
      <c r="A677" s="14">
        <v>9</v>
      </c>
      <c r="B677" s="103">
        <v>40241</v>
      </c>
      <c r="C677" s="103">
        <v>40234</v>
      </c>
      <c r="D677" s="36"/>
      <c r="E677" s="36"/>
      <c r="F677" s="51"/>
      <c r="G677" s="36"/>
      <c r="H677" s="36"/>
      <c r="I677" s="36"/>
      <c r="J677" s="51"/>
      <c r="K677" s="36"/>
      <c r="L677" s="36">
        <v>90</v>
      </c>
      <c r="M677" s="36">
        <v>188</v>
      </c>
      <c r="N677" s="51">
        <f t="shared" si="56"/>
        <v>139</v>
      </c>
      <c r="O677" s="36"/>
      <c r="P677" s="36"/>
      <c r="Q677" s="36"/>
      <c r="R677" s="48"/>
      <c r="S677" s="36"/>
      <c r="T677" s="36">
        <v>-267</v>
      </c>
      <c r="U677" s="36"/>
      <c r="V677" s="48">
        <f t="shared" si="57"/>
        <v>-267</v>
      </c>
      <c r="W677" s="36"/>
      <c r="X677" s="36">
        <v>-150</v>
      </c>
      <c r="Y677" s="36">
        <v>-150</v>
      </c>
      <c r="Z677" s="51">
        <f t="shared" si="54"/>
        <v>-150</v>
      </c>
      <c r="AA677" s="36"/>
      <c r="AB677" s="36"/>
      <c r="AC677" s="36"/>
      <c r="AD677" s="51"/>
      <c r="AE677" s="36"/>
      <c r="AF677" s="36"/>
      <c r="AG677" s="36"/>
      <c r="AH677" s="51"/>
      <c r="AI677" s="36"/>
      <c r="AJ677" s="36"/>
      <c r="AK677" s="36"/>
      <c r="AL677" s="51"/>
      <c r="AM677" s="36"/>
      <c r="AN677" s="36"/>
      <c r="AO677" s="36"/>
      <c r="AP677" s="51"/>
      <c r="AQ677" s="36"/>
      <c r="AR677" s="36"/>
      <c r="AS677" s="36"/>
      <c r="AT677" s="51"/>
      <c r="AU677" s="36"/>
      <c r="AV677" s="36"/>
      <c r="AW677" s="36"/>
      <c r="AX677" s="49"/>
    </row>
    <row r="678" spans="1:50" ht="10.199999999999999" customHeight="1" x14ac:dyDescent="0.25">
      <c r="A678" s="14">
        <v>10</v>
      </c>
      <c r="B678" s="103">
        <v>40248</v>
      </c>
      <c r="C678" s="103">
        <v>40241</v>
      </c>
      <c r="D678" s="36"/>
      <c r="E678" s="36"/>
      <c r="F678" s="51"/>
      <c r="G678" s="36"/>
      <c r="H678" s="36"/>
      <c r="I678" s="36"/>
      <c r="J678" s="51"/>
      <c r="K678" s="36"/>
      <c r="L678" s="36">
        <v>292</v>
      </c>
      <c r="M678" s="36">
        <v>194</v>
      </c>
      <c r="N678" s="51">
        <f t="shared" si="56"/>
        <v>243</v>
      </c>
      <c r="O678" s="36"/>
      <c r="P678" s="36">
        <v>-175</v>
      </c>
      <c r="Q678" s="36">
        <v>-200</v>
      </c>
      <c r="R678" s="48">
        <f t="shared" ref="R678:R683" si="58">AVERAGE(P678:Q678)</f>
        <v>-187.5</v>
      </c>
      <c r="S678" s="36"/>
      <c r="T678" s="36">
        <v>-283</v>
      </c>
      <c r="U678" s="36"/>
      <c r="V678" s="51">
        <f t="shared" si="57"/>
        <v>-283</v>
      </c>
      <c r="W678" s="36"/>
      <c r="X678" s="36">
        <v>-166</v>
      </c>
      <c r="Y678" s="36">
        <v>-200</v>
      </c>
      <c r="Z678" s="51">
        <f t="shared" si="54"/>
        <v>-183</v>
      </c>
      <c r="AA678" s="36"/>
      <c r="AB678" s="36"/>
      <c r="AC678" s="36"/>
      <c r="AD678" s="51"/>
      <c r="AE678" s="36"/>
      <c r="AF678" s="36"/>
      <c r="AG678" s="36"/>
      <c r="AH678" s="51"/>
      <c r="AI678" s="36"/>
      <c r="AJ678" s="36"/>
      <c r="AK678" s="36"/>
      <c r="AL678" s="51"/>
      <c r="AM678" s="36"/>
      <c r="AN678" s="36"/>
      <c r="AO678" s="36"/>
      <c r="AP678" s="51"/>
      <c r="AQ678" s="36"/>
      <c r="AR678" s="36"/>
      <c r="AS678" s="36"/>
      <c r="AT678" s="51"/>
      <c r="AU678" s="36"/>
      <c r="AV678" s="36"/>
      <c r="AW678" s="36"/>
      <c r="AX678" s="49"/>
    </row>
    <row r="679" spans="1:50" ht="10.199999999999999" customHeight="1" x14ac:dyDescent="0.25">
      <c r="A679" s="14">
        <v>11</v>
      </c>
      <c r="B679" s="103">
        <v>40255</v>
      </c>
      <c r="C679" s="103">
        <v>40248</v>
      </c>
      <c r="D679" s="36"/>
      <c r="E679" s="36"/>
      <c r="F679" s="51"/>
      <c r="G679" s="36"/>
      <c r="H679" s="36"/>
      <c r="I679" s="36"/>
      <c r="J679" s="51"/>
      <c r="K679" s="36"/>
      <c r="L679" s="36">
        <v>363</v>
      </c>
      <c r="M679" s="36">
        <v>150</v>
      </c>
      <c r="N679" s="51">
        <f t="shared" si="56"/>
        <v>256.5</v>
      </c>
      <c r="O679" s="36"/>
      <c r="P679" s="36">
        <v>-175</v>
      </c>
      <c r="Q679" s="36"/>
      <c r="R679" s="48">
        <f t="shared" si="58"/>
        <v>-175</v>
      </c>
      <c r="S679" s="36"/>
      <c r="T679" s="36">
        <v>-283</v>
      </c>
      <c r="U679" s="36"/>
      <c r="V679" s="51">
        <f t="shared" si="57"/>
        <v>-283</v>
      </c>
      <c r="W679" s="36"/>
      <c r="X679" s="36">
        <v>-175</v>
      </c>
      <c r="Y679" s="36">
        <v>-175</v>
      </c>
      <c r="Z679" s="51">
        <f t="shared" si="54"/>
        <v>-175</v>
      </c>
      <c r="AA679" s="36"/>
      <c r="AB679" s="36"/>
      <c r="AC679" s="36"/>
      <c r="AD679" s="51"/>
      <c r="AE679" s="36"/>
      <c r="AF679" s="36"/>
      <c r="AG679" s="36"/>
      <c r="AH679" s="51"/>
      <c r="AI679" s="36"/>
      <c r="AJ679" s="36"/>
      <c r="AK679" s="36"/>
      <c r="AL679" s="51"/>
      <c r="AM679" s="36"/>
      <c r="AN679" s="36"/>
      <c r="AO679" s="36"/>
      <c r="AP679" s="51"/>
      <c r="AQ679" s="36"/>
      <c r="AR679" s="36"/>
      <c r="AS679" s="36"/>
      <c r="AT679" s="51"/>
      <c r="AU679" s="36"/>
      <c r="AV679" s="36"/>
      <c r="AW679" s="36"/>
      <c r="AX679" s="49"/>
    </row>
    <row r="680" spans="1:50" ht="10.199999999999999" customHeight="1" x14ac:dyDescent="0.25">
      <c r="A680" s="14">
        <v>12</v>
      </c>
      <c r="B680" s="103">
        <v>40262</v>
      </c>
      <c r="C680" s="103">
        <v>40255</v>
      </c>
      <c r="D680" s="36"/>
      <c r="E680" s="36"/>
      <c r="F680" s="51"/>
      <c r="G680" s="36"/>
      <c r="H680" s="36"/>
      <c r="I680" s="36"/>
      <c r="J680" s="51"/>
      <c r="K680" s="36"/>
      <c r="L680" s="36"/>
      <c r="M680" s="36"/>
      <c r="N680" s="51"/>
      <c r="O680" s="36"/>
      <c r="P680" s="36">
        <v>-175</v>
      </c>
      <c r="Q680" s="36">
        <v>-100</v>
      </c>
      <c r="R680" s="51">
        <f t="shared" si="58"/>
        <v>-137.5</v>
      </c>
      <c r="S680" s="36"/>
      <c r="T680" s="36">
        <v>-283</v>
      </c>
      <c r="U680" s="36"/>
      <c r="V680" s="51">
        <f t="shared" si="57"/>
        <v>-283</v>
      </c>
      <c r="W680" s="36"/>
      <c r="X680" s="36">
        <v>-150</v>
      </c>
      <c r="Y680" s="36">
        <v>-175</v>
      </c>
      <c r="Z680" s="51">
        <f t="shared" si="54"/>
        <v>-162.5</v>
      </c>
      <c r="AA680" s="36"/>
      <c r="AB680" s="36"/>
      <c r="AC680" s="36"/>
      <c r="AD680" s="51"/>
      <c r="AE680" s="36"/>
      <c r="AF680" s="36"/>
      <c r="AG680" s="36"/>
      <c r="AH680" s="51"/>
      <c r="AI680" s="36"/>
      <c r="AJ680" s="36"/>
      <c r="AK680" s="36"/>
      <c r="AL680" s="51"/>
      <c r="AM680" s="36"/>
      <c r="AN680" s="36"/>
      <c r="AO680" s="36"/>
      <c r="AP680" s="51"/>
      <c r="AQ680" s="36"/>
      <c r="AR680" s="36"/>
      <c r="AS680" s="36"/>
      <c r="AT680" s="51"/>
      <c r="AU680" s="36"/>
      <c r="AV680" s="36"/>
      <c r="AW680" s="36"/>
      <c r="AX680" s="49"/>
    </row>
    <row r="681" spans="1:50" ht="10.199999999999999" customHeight="1" x14ac:dyDescent="0.25">
      <c r="A681" s="14">
        <v>13</v>
      </c>
      <c r="B681" s="103">
        <v>40269</v>
      </c>
      <c r="C681" s="103">
        <v>40262</v>
      </c>
      <c r="D681" s="36"/>
      <c r="E681" s="36"/>
      <c r="F681" s="51"/>
      <c r="G681" s="36"/>
      <c r="H681" s="36"/>
      <c r="I681" s="36"/>
      <c r="J681" s="51"/>
      <c r="K681" s="36"/>
      <c r="L681" s="36"/>
      <c r="M681" s="36"/>
      <c r="N681" s="51"/>
      <c r="O681" s="36"/>
      <c r="P681" s="36">
        <v>-279</v>
      </c>
      <c r="Q681" s="36">
        <v>-100</v>
      </c>
      <c r="R681" s="51">
        <f t="shared" si="58"/>
        <v>-189.5</v>
      </c>
      <c r="S681" s="36"/>
      <c r="T681" s="36">
        <v>-283</v>
      </c>
      <c r="U681" s="36"/>
      <c r="V681" s="51">
        <f t="shared" si="57"/>
        <v>-283</v>
      </c>
      <c r="W681" s="36"/>
      <c r="X681" s="36">
        <v>-192</v>
      </c>
      <c r="Y681" s="36"/>
      <c r="Z681" s="51">
        <f t="shared" si="54"/>
        <v>-192</v>
      </c>
      <c r="AA681" s="36"/>
      <c r="AB681" s="36"/>
      <c r="AC681" s="36"/>
      <c r="AD681" s="51"/>
      <c r="AE681" s="36"/>
      <c r="AF681" s="36"/>
      <c r="AG681" s="36"/>
      <c r="AH681" s="51"/>
      <c r="AI681" s="36"/>
      <c r="AJ681" s="36"/>
      <c r="AK681" s="36"/>
      <c r="AL681" s="51"/>
      <c r="AM681" s="36"/>
      <c r="AN681" s="36"/>
      <c r="AO681" s="36"/>
      <c r="AP681" s="51"/>
      <c r="AQ681" s="36"/>
      <c r="AR681" s="36"/>
      <c r="AS681" s="36"/>
      <c r="AT681" s="51"/>
      <c r="AU681" s="36"/>
      <c r="AV681" s="36"/>
      <c r="AW681" s="36"/>
      <c r="AX681" s="49"/>
    </row>
    <row r="682" spans="1:50" ht="10.199999999999999" customHeight="1" x14ac:dyDescent="0.25">
      <c r="A682" s="14">
        <v>14</v>
      </c>
      <c r="B682" s="103">
        <v>40276</v>
      </c>
      <c r="C682" s="103">
        <v>40269</v>
      </c>
      <c r="D682" s="36"/>
      <c r="E682" s="36"/>
      <c r="F682" s="51"/>
      <c r="G682" s="36"/>
      <c r="H682" s="36"/>
      <c r="I682" s="36"/>
      <c r="J682" s="51"/>
      <c r="K682" s="36"/>
      <c r="L682" s="36"/>
      <c r="M682" s="36"/>
      <c r="N682" s="51"/>
      <c r="O682" s="36"/>
      <c r="P682" s="36">
        <v>-334</v>
      </c>
      <c r="Q682" s="36">
        <v>-100</v>
      </c>
      <c r="R682" s="51">
        <f t="shared" si="58"/>
        <v>-217</v>
      </c>
      <c r="S682" s="36"/>
      <c r="T682" s="36">
        <v>-217</v>
      </c>
      <c r="U682" s="36"/>
      <c r="V682" s="51">
        <f t="shared" si="57"/>
        <v>-217</v>
      </c>
      <c r="W682" s="36"/>
      <c r="X682" s="36">
        <v>-200</v>
      </c>
      <c r="Y682" s="36"/>
      <c r="Z682" s="51">
        <f t="shared" si="54"/>
        <v>-200</v>
      </c>
      <c r="AA682" s="36"/>
      <c r="AB682" s="36"/>
      <c r="AC682" s="36"/>
      <c r="AD682" s="51"/>
      <c r="AE682" s="36"/>
      <c r="AF682" s="36"/>
      <c r="AG682" s="36"/>
      <c r="AH682" s="51"/>
      <c r="AI682" s="36"/>
      <c r="AJ682" s="36"/>
      <c r="AK682" s="36"/>
      <c r="AL682" s="51"/>
      <c r="AM682" s="36"/>
      <c r="AN682" s="36"/>
      <c r="AO682" s="36"/>
      <c r="AP682" s="51"/>
      <c r="AQ682" s="36"/>
      <c r="AR682" s="36"/>
      <c r="AS682" s="36"/>
      <c r="AT682" s="51"/>
      <c r="AU682" s="36"/>
      <c r="AV682" s="36"/>
      <c r="AW682" s="36"/>
      <c r="AX682" s="49"/>
    </row>
    <row r="683" spans="1:50" ht="10.199999999999999" customHeight="1" x14ac:dyDescent="0.25">
      <c r="A683" s="14">
        <v>15</v>
      </c>
      <c r="B683" s="103">
        <v>40283</v>
      </c>
      <c r="C683" s="103">
        <v>40276</v>
      </c>
      <c r="D683" s="36"/>
      <c r="E683" s="36"/>
      <c r="F683" s="51"/>
      <c r="G683" s="36"/>
      <c r="H683" s="36"/>
      <c r="I683" s="36"/>
      <c r="J683" s="51"/>
      <c r="K683" s="36"/>
      <c r="L683" s="36"/>
      <c r="M683" s="36"/>
      <c r="N683" s="51"/>
      <c r="O683" s="36"/>
      <c r="P683" s="36">
        <v>-238</v>
      </c>
      <c r="Q683" s="36">
        <v>-150</v>
      </c>
      <c r="R683" s="51">
        <f t="shared" si="58"/>
        <v>-194</v>
      </c>
      <c r="S683" s="36"/>
      <c r="T683" s="36">
        <v>-233</v>
      </c>
      <c r="U683" s="36"/>
      <c r="V683" s="51">
        <f t="shared" si="57"/>
        <v>-233</v>
      </c>
      <c r="W683" s="36"/>
      <c r="X683" s="36">
        <v>-200</v>
      </c>
      <c r="Y683" s="36"/>
      <c r="Z683" s="51">
        <f t="shared" si="54"/>
        <v>-200</v>
      </c>
      <c r="AA683" s="36"/>
      <c r="AB683" s="36"/>
      <c r="AC683" s="36"/>
      <c r="AD683" s="51"/>
      <c r="AE683" s="36"/>
      <c r="AF683" s="36"/>
      <c r="AG683" s="36"/>
      <c r="AH683" s="51"/>
      <c r="AI683" s="36"/>
      <c r="AJ683" s="36"/>
      <c r="AK683" s="36"/>
      <c r="AL683" s="51"/>
      <c r="AM683" s="36"/>
      <c r="AN683" s="36"/>
      <c r="AO683" s="36">
        <v>350</v>
      </c>
      <c r="AP683" s="51">
        <f>AVERAGE(AN683:AO683)</f>
        <v>350</v>
      </c>
      <c r="AQ683" s="36"/>
      <c r="AR683" s="36"/>
      <c r="AS683" s="36"/>
      <c r="AT683" s="51"/>
      <c r="AU683" s="36"/>
      <c r="AV683" s="36"/>
      <c r="AW683" s="36"/>
      <c r="AX683" s="49"/>
    </row>
    <row r="684" spans="1:50" ht="10.199999999999999" customHeight="1" x14ac:dyDescent="0.25">
      <c r="A684" s="14">
        <v>16</v>
      </c>
      <c r="B684" s="103">
        <v>40290</v>
      </c>
      <c r="C684" s="103">
        <v>40283</v>
      </c>
      <c r="D684" s="36"/>
      <c r="E684" s="36"/>
      <c r="F684" s="51"/>
      <c r="G684" s="36"/>
      <c r="H684" s="36"/>
      <c r="I684" s="36"/>
      <c r="J684" s="51"/>
      <c r="K684" s="36"/>
      <c r="L684" s="36"/>
      <c r="M684" s="36"/>
      <c r="N684" s="51"/>
      <c r="O684" s="36"/>
      <c r="P684" s="36"/>
      <c r="Q684" s="36"/>
      <c r="R684" s="51"/>
      <c r="S684" s="36"/>
      <c r="T684" s="36">
        <v>-288</v>
      </c>
      <c r="U684" s="36">
        <v>-125</v>
      </c>
      <c r="V684" s="51">
        <f t="shared" si="57"/>
        <v>-206.5</v>
      </c>
      <c r="W684" s="36"/>
      <c r="X684" s="36">
        <v>-225</v>
      </c>
      <c r="Y684" s="36"/>
      <c r="Z684" s="51">
        <f t="shared" si="54"/>
        <v>-225</v>
      </c>
      <c r="AA684" s="36"/>
      <c r="AB684" s="36"/>
      <c r="AC684" s="36"/>
      <c r="AD684" s="51"/>
      <c r="AE684" s="36"/>
      <c r="AF684" s="36"/>
      <c r="AG684" s="36"/>
      <c r="AH684" s="51"/>
      <c r="AI684" s="36"/>
      <c r="AJ684" s="36"/>
      <c r="AK684" s="36"/>
      <c r="AL684" s="51"/>
      <c r="AM684" s="36"/>
      <c r="AN684" s="36">
        <v>350</v>
      </c>
      <c r="AO684" s="36"/>
      <c r="AP684" s="51">
        <f>AVERAGE(AN684:AO684)</f>
        <v>350</v>
      </c>
      <c r="AQ684" s="36"/>
      <c r="AR684" s="36"/>
      <c r="AS684" s="36"/>
      <c r="AT684" s="51"/>
      <c r="AU684" s="36"/>
      <c r="AV684" s="36"/>
      <c r="AW684" s="36"/>
      <c r="AX684" s="49"/>
    </row>
    <row r="685" spans="1:50" ht="10.199999999999999" customHeight="1" x14ac:dyDescent="0.25">
      <c r="A685" s="14">
        <v>17</v>
      </c>
      <c r="B685" s="103">
        <v>40297</v>
      </c>
      <c r="C685" s="103">
        <v>40290</v>
      </c>
      <c r="D685" s="36"/>
      <c r="E685" s="36"/>
      <c r="F685" s="51"/>
      <c r="G685" s="36"/>
      <c r="H685" s="36"/>
      <c r="I685" s="36"/>
      <c r="J685" s="51"/>
      <c r="K685" s="36"/>
      <c r="L685" s="36"/>
      <c r="M685" s="36"/>
      <c r="N685" s="51"/>
      <c r="O685" s="36"/>
      <c r="P685" s="36"/>
      <c r="Q685" s="36"/>
      <c r="R685" s="51"/>
      <c r="S685" s="36"/>
      <c r="T685" s="36">
        <v>-292</v>
      </c>
      <c r="U685" s="36">
        <v>-100</v>
      </c>
      <c r="V685" s="51">
        <f t="shared" si="57"/>
        <v>-196</v>
      </c>
      <c r="W685" s="36"/>
      <c r="X685" s="36">
        <v>-225</v>
      </c>
      <c r="Y685" s="36"/>
      <c r="Z685" s="51">
        <f t="shared" si="54"/>
        <v>-225</v>
      </c>
      <c r="AA685" s="36"/>
      <c r="AB685" s="36"/>
      <c r="AC685" s="36"/>
      <c r="AD685" s="51"/>
      <c r="AE685" s="36"/>
      <c r="AF685" s="36"/>
      <c r="AG685" s="36"/>
      <c r="AH685" s="51"/>
      <c r="AI685" s="36"/>
      <c r="AJ685" s="36"/>
      <c r="AK685" s="36"/>
      <c r="AL685" s="51"/>
      <c r="AM685" s="36"/>
      <c r="AN685" s="36">
        <v>350</v>
      </c>
      <c r="AO685" s="36"/>
      <c r="AP685" s="51">
        <f>AVERAGE(AN685:AO685)</f>
        <v>350</v>
      </c>
      <c r="AQ685" s="36"/>
      <c r="AR685" s="36"/>
      <c r="AS685" s="36"/>
      <c r="AT685" s="51"/>
      <c r="AU685" s="36"/>
      <c r="AV685" s="36"/>
      <c r="AW685" s="36"/>
      <c r="AX685" s="49"/>
    </row>
    <row r="686" spans="1:50" ht="10.199999999999999" customHeight="1" x14ac:dyDescent="0.25">
      <c r="A686" s="14">
        <v>18</v>
      </c>
      <c r="B686" s="103">
        <v>40304</v>
      </c>
      <c r="C686" s="103">
        <v>40297</v>
      </c>
      <c r="D686" s="36"/>
      <c r="E686" s="36"/>
      <c r="F686" s="51"/>
      <c r="G686" s="36"/>
      <c r="H686" s="36"/>
      <c r="I686" s="36"/>
      <c r="J686" s="51"/>
      <c r="K686" s="36"/>
      <c r="L686" s="36"/>
      <c r="M686" s="36"/>
      <c r="N686" s="51"/>
      <c r="O686" s="36"/>
      <c r="P686" s="36"/>
      <c r="Q686" s="36"/>
      <c r="R686" s="51"/>
      <c r="S686" s="36"/>
      <c r="T686" s="36">
        <v>-332</v>
      </c>
      <c r="U686" s="36">
        <v>-150</v>
      </c>
      <c r="V686" s="51">
        <f t="shared" si="57"/>
        <v>-241</v>
      </c>
      <c r="W686" s="36"/>
      <c r="X686" s="36">
        <v>-232</v>
      </c>
      <c r="Y686" s="36"/>
      <c r="Z686" s="51">
        <f t="shared" si="54"/>
        <v>-232</v>
      </c>
      <c r="AA686" s="36"/>
      <c r="AB686" s="36"/>
      <c r="AC686" s="36"/>
      <c r="AD686" s="51"/>
      <c r="AE686" s="36"/>
      <c r="AF686" s="36"/>
      <c r="AG686" s="36"/>
      <c r="AH686" s="51"/>
      <c r="AI686" s="36"/>
      <c r="AJ686" s="36"/>
      <c r="AK686" s="36"/>
      <c r="AL686" s="51"/>
      <c r="AM686" s="36"/>
      <c r="AN686" s="36">
        <v>300</v>
      </c>
      <c r="AO686" s="36"/>
      <c r="AP686" s="51">
        <f>AVERAGE(AN686:AO686)</f>
        <v>300</v>
      </c>
      <c r="AQ686" s="36"/>
      <c r="AR686" s="36">
        <v>300</v>
      </c>
      <c r="AS686" s="36"/>
      <c r="AT686" s="51">
        <f>AVERAGE(AR686:AS686)</f>
        <v>300</v>
      </c>
      <c r="AU686" s="36"/>
      <c r="AV686" s="36"/>
      <c r="AW686" s="36"/>
      <c r="AX686" s="49"/>
    </row>
    <row r="687" spans="1:50" ht="10.199999999999999" customHeight="1" x14ac:dyDescent="0.25">
      <c r="A687" s="14">
        <v>19</v>
      </c>
      <c r="B687" s="103">
        <v>40311</v>
      </c>
      <c r="C687" s="103">
        <v>40304</v>
      </c>
      <c r="D687" s="36"/>
      <c r="E687" s="36"/>
      <c r="F687" s="51"/>
      <c r="G687" s="36"/>
      <c r="H687" s="36"/>
      <c r="I687" s="36"/>
      <c r="J687" s="51"/>
      <c r="K687" s="36"/>
      <c r="L687" s="36"/>
      <c r="M687" s="36"/>
      <c r="N687" s="51"/>
      <c r="O687" s="36"/>
      <c r="P687" s="36"/>
      <c r="Q687" s="36"/>
      <c r="R687" s="51"/>
      <c r="S687" s="36"/>
      <c r="T687" s="36">
        <v>-350</v>
      </c>
      <c r="U687" s="36">
        <v>-188</v>
      </c>
      <c r="V687" s="51">
        <f t="shared" si="57"/>
        <v>-269</v>
      </c>
      <c r="W687" s="36"/>
      <c r="X687" s="36">
        <v>-200</v>
      </c>
      <c r="Y687" s="36">
        <v>-200</v>
      </c>
      <c r="Z687" s="51">
        <f t="shared" si="54"/>
        <v>-200</v>
      </c>
      <c r="AA687" s="36"/>
      <c r="AB687" s="36"/>
      <c r="AC687" s="36"/>
      <c r="AD687" s="51"/>
      <c r="AE687" s="36"/>
      <c r="AF687" s="36"/>
      <c r="AG687" s="36"/>
      <c r="AH687" s="51"/>
      <c r="AI687" s="36"/>
      <c r="AJ687" s="36">
        <v>250</v>
      </c>
      <c r="AK687" s="36"/>
      <c r="AL687" s="51">
        <f>AVERAGE(AJ687:AK687)</f>
        <v>250</v>
      </c>
      <c r="AM687" s="36"/>
      <c r="AN687" s="36"/>
      <c r="AO687" s="36"/>
      <c r="AP687" s="51"/>
      <c r="AQ687" s="36"/>
      <c r="AR687" s="36">
        <v>300</v>
      </c>
      <c r="AS687" s="36"/>
      <c r="AT687" s="51">
        <f>AVERAGE(AR687:AS687)</f>
        <v>300</v>
      </c>
      <c r="AU687" s="36"/>
      <c r="AV687" s="36"/>
      <c r="AW687" s="36"/>
      <c r="AX687" s="49"/>
    </row>
    <row r="688" spans="1:50" ht="10.199999999999999" customHeight="1" x14ac:dyDescent="0.25">
      <c r="A688" s="14">
        <v>20</v>
      </c>
      <c r="B688" s="103">
        <v>40318</v>
      </c>
      <c r="C688" s="103">
        <v>40311</v>
      </c>
      <c r="D688" s="36"/>
      <c r="E688" s="36"/>
      <c r="F688" s="51"/>
      <c r="G688" s="36"/>
      <c r="H688" s="36"/>
      <c r="I688" s="36"/>
      <c r="J688" s="51"/>
      <c r="K688" s="36"/>
      <c r="L688" s="36"/>
      <c r="M688" s="36"/>
      <c r="N688" s="51"/>
      <c r="O688" s="36"/>
      <c r="P688" s="36"/>
      <c r="Q688" s="36"/>
      <c r="R688" s="51"/>
      <c r="S688" s="36"/>
      <c r="T688" s="36">
        <v>-325</v>
      </c>
      <c r="U688" s="36">
        <v>-200</v>
      </c>
      <c r="V688" s="51">
        <f t="shared" si="57"/>
        <v>-262.5</v>
      </c>
      <c r="W688" s="36"/>
      <c r="X688" s="36">
        <v>-217</v>
      </c>
      <c r="Y688" s="36">
        <v>-175</v>
      </c>
      <c r="Z688" s="51">
        <f t="shared" si="54"/>
        <v>-196</v>
      </c>
      <c r="AA688" s="36"/>
      <c r="AB688" s="36"/>
      <c r="AC688" s="36"/>
      <c r="AD688" s="51"/>
      <c r="AE688" s="36"/>
      <c r="AF688" s="36">
        <v>-25</v>
      </c>
      <c r="AG688" s="36"/>
      <c r="AH688" s="51">
        <f>AVERAGE(AF688:AG688)</f>
        <v>-25</v>
      </c>
      <c r="AI688" s="36"/>
      <c r="AJ688" s="36"/>
      <c r="AK688" s="36"/>
      <c r="AL688" s="51"/>
      <c r="AM688" s="36"/>
      <c r="AN688" s="36"/>
      <c r="AO688" s="36"/>
      <c r="AP688" s="51"/>
      <c r="AQ688" s="36"/>
      <c r="AR688" s="36">
        <v>300</v>
      </c>
      <c r="AS688" s="36"/>
      <c r="AT688" s="51">
        <f>AVERAGE(AR688:AS688)</f>
        <v>300</v>
      </c>
      <c r="AU688" s="36"/>
      <c r="AV688" s="36"/>
      <c r="AW688" s="36"/>
      <c r="AX688" s="49"/>
    </row>
    <row r="689" spans="1:50" ht="10.199999999999999" customHeight="1" x14ac:dyDescent="0.25">
      <c r="A689" s="14">
        <v>21</v>
      </c>
      <c r="B689" s="103">
        <v>40325</v>
      </c>
      <c r="C689" s="103">
        <v>40318</v>
      </c>
      <c r="D689" s="36"/>
      <c r="E689" s="36"/>
      <c r="F689" s="51"/>
      <c r="G689" s="36"/>
      <c r="H689" s="36"/>
      <c r="I689" s="36"/>
      <c r="J689" s="51"/>
      <c r="K689" s="36"/>
      <c r="L689" s="36"/>
      <c r="M689" s="36"/>
      <c r="N689" s="51"/>
      <c r="O689" s="36"/>
      <c r="P689" s="36"/>
      <c r="Q689" s="36"/>
      <c r="R689" s="51"/>
      <c r="S689" s="36"/>
      <c r="T689" s="36"/>
      <c r="U689" s="36"/>
      <c r="V689" s="51"/>
      <c r="W689" s="36"/>
      <c r="X689" s="36">
        <v>-238</v>
      </c>
      <c r="Y689" s="36">
        <v>-250</v>
      </c>
      <c r="Z689" s="51">
        <f t="shared" si="54"/>
        <v>-244</v>
      </c>
      <c r="AA689" s="36"/>
      <c r="AB689" s="36">
        <v>-200</v>
      </c>
      <c r="AC689" s="36"/>
      <c r="AD689" s="51">
        <f t="shared" ref="AD689:AD696" si="59">AVERAGE(AB689:AC689)</f>
        <v>-200</v>
      </c>
      <c r="AE689" s="36"/>
      <c r="AF689" s="36"/>
      <c r="AG689" s="36">
        <v>-250</v>
      </c>
      <c r="AH689" s="51">
        <f>AVERAGE(AF689:AG689)</f>
        <v>-250</v>
      </c>
      <c r="AI689" s="36"/>
      <c r="AJ689" s="36">
        <v>0</v>
      </c>
      <c r="AK689" s="36"/>
      <c r="AL689" s="51">
        <f t="shared" ref="AL689:AL705" si="60">AVERAGE(AJ689:AK689)</f>
        <v>0</v>
      </c>
      <c r="AM689" s="36"/>
      <c r="AN689" s="36"/>
      <c r="AO689" s="36"/>
      <c r="AP689" s="51"/>
      <c r="AQ689" s="36"/>
      <c r="AR689" s="36"/>
      <c r="AS689" s="36"/>
      <c r="AT689" s="51"/>
      <c r="AU689" s="36"/>
      <c r="AV689" s="36"/>
      <c r="AW689" s="36"/>
      <c r="AX689" s="49"/>
    </row>
    <row r="690" spans="1:50" ht="10.199999999999999" customHeight="1" x14ac:dyDescent="0.25">
      <c r="A690" s="14">
        <v>22</v>
      </c>
      <c r="B690" s="103">
        <v>40332</v>
      </c>
      <c r="C690" s="103">
        <v>40325</v>
      </c>
      <c r="D690" s="36"/>
      <c r="E690" s="36"/>
      <c r="F690" s="51"/>
      <c r="G690" s="36"/>
      <c r="H690" s="36"/>
      <c r="I690" s="36"/>
      <c r="J690" s="51"/>
      <c r="K690" s="36"/>
      <c r="L690" s="36"/>
      <c r="M690" s="36"/>
      <c r="N690" s="51"/>
      <c r="O690" s="36"/>
      <c r="P690" s="36"/>
      <c r="Q690" s="36"/>
      <c r="R690" s="51"/>
      <c r="S690" s="36"/>
      <c r="T690" s="36"/>
      <c r="U690" s="36"/>
      <c r="V690" s="51"/>
      <c r="W690" s="36"/>
      <c r="X690" s="36">
        <v>-254</v>
      </c>
      <c r="Y690" s="36">
        <v>-275</v>
      </c>
      <c r="Z690" s="51">
        <f t="shared" si="54"/>
        <v>-264.5</v>
      </c>
      <c r="AA690" s="36"/>
      <c r="AB690" s="36"/>
      <c r="AC690" s="36">
        <v>-250</v>
      </c>
      <c r="AD690" s="51">
        <f t="shared" si="59"/>
        <v>-250</v>
      </c>
      <c r="AE690" s="36"/>
      <c r="AF690" s="36"/>
      <c r="AG690" s="36">
        <v>-300</v>
      </c>
      <c r="AH690" s="51">
        <f>AVERAGE(AF690:AG690)</f>
        <v>-300</v>
      </c>
      <c r="AI690" s="36"/>
      <c r="AJ690" s="36">
        <v>0</v>
      </c>
      <c r="AK690" s="36"/>
      <c r="AL690" s="51">
        <f t="shared" si="60"/>
        <v>0</v>
      </c>
      <c r="AM690" s="36"/>
      <c r="AN690" s="36"/>
      <c r="AO690" s="36"/>
      <c r="AP690" s="51"/>
      <c r="AQ690" s="36"/>
      <c r="AR690" s="36"/>
      <c r="AS690" s="36"/>
      <c r="AT690" s="51"/>
      <c r="AU690" s="36"/>
      <c r="AV690" s="36"/>
      <c r="AW690" s="36"/>
      <c r="AX690" s="49"/>
    </row>
    <row r="691" spans="1:50" ht="10.199999999999999" customHeight="1" x14ac:dyDescent="0.25">
      <c r="A691" s="14">
        <v>23</v>
      </c>
      <c r="B691" s="103">
        <v>40339</v>
      </c>
      <c r="C691" s="103">
        <v>40332</v>
      </c>
      <c r="D691" s="36"/>
      <c r="E691" s="36"/>
      <c r="F691" s="51"/>
      <c r="G691" s="36"/>
      <c r="H691" s="36"/>
      <c r="I691" s="36"/>
      <c r="J691" s="51"/>
      <c r="K691" s="36"/>
      <c r="L691" s="36"/>
      <c r="M691" s="36"/>
      <c r="N691" s="51"/>
      <c r="O691" s="36"/>
      <c r="P691" s="36"/>
      <c r="Q691" s="36"/>
      <c r="R691" s="51"/>
      <c r="S691" s="36"/>
      <c r="T691" s="36"/>
      <c r="U691" s="36"/>
      <c r="V691" s="51"/>
      <c r="W691" s="36"/>
      <c r="X691" s="36">
        <v>-367</v>
      </c>
      <c r="Y691" s="36">
        <v>-300</v>
      </c>
      <c r="Z691" s="51">
        <f t="shared" si="54"/>
        <v>-333.5</v>
      </c>
      <c r="AA691" s="36"/>
      <c r="AB691" s="36"/>
      <c r="AC691" s="36">
        <v>-250</v>
      </c>
      <c r="AD691" s="51">
        <f t="shared" si="59"/>
        <v>-250</v>
      </c>
      <c r="AE691" s="36"/>
      <c r="AF691" s="36"/>
      <c r="AG691" s="36"/>
      <c r="AH691" s="51"/>
      <c r="AI691" s="36"/>
      <c r="AJ691" s="36">
        <v>0</v>
      </c>
      <c r="AK691" s="36"/>
      <c r="AL691" s="51">
        <f t="shared" si="60"/>
        <v>0</v>
      </c>
      <c r="AM691" s="36"/>
      <c r="AN691" s="36"/>
      <c r="AO691" s="36"/>
      <c r="AP691" s="51"/>
      <c r="AQ691" s="36"/>
      <c r="AR691" s="36"/>
      <c r="AS691" s="36"/>
      <c r="AT691" s="51"/>
      <c r="AU691" s="36"/>
      <c r="AV691" s="36"/>
      <c r="AW691" s="36"/>
      <c r="AX691" s="49"/>
    </row>
    <row r="692" spans="1:50" ht="10.199999999999999" customHeight="1" x14ac:dyDescent="0.25">
      <c r="A692" s="14">
        <v>24</v>
      </c>
      <c r="B692" s="103">
        <v>40346</v>
      </c>
      <c r="C692" s="103">
        <v>40339</v>
      </c>
      <c r="D692" s="36"/>
      <c r="E692" s="36"/>
      <c r="F692" s="51"/>
      <c r="G692" s="36"/>
      <c r="H692" s="36"/>
      <c r="I692" s="36"/>
      <c r="J692" s="51"/>
      <c r="K692" s="36"/>
      <c r="L692" s="36"/>
      <c r="M692" s="36"/>
      <c r="N692" s="51"/>
      <c r="O692" s="36"/>
      <c r="P692" s="36"/>
      <c r="Q692" s="36"/>
      <c r="R692" s="51"/>
      <c r="S692" s="36"/>
      <c r="T692" s="36"/>
      <c r="U692" s="36"/>
      <c r="V692" s="51"/>
      <c r="W692" s="36"/>
      <c r="X692" s="36">
        <v>-450</v>
      </c>
      <c r="Y692" s="36">
        <v>-400</v>
      </c>
      <c r="Z692" s="51">
        <f t="shared" si="54"/>
        <v>-425</v>
      </c>
      <c r="AA692" s="36"/>
      <c r="AB692" s="36">
        <v>-400</v>
      </c>
      <c r="AC692" s="36">
        <v>-350</v>
      </c>
      <c r="AD692" s="51">
        <f t="shared" si="59"/>
        <v>-375</v>
      </c>
      <c r="AE692" s="36"/>
      <c r="AF692" s="36"/>
      <c r="AG692" s="36"/>
      <c r="AH692" s="51"/>
      <c r="AI692" s="36"/>
      <c r="AJ692" s="36">
        <v>225</v>
      </c>
      <c r="AK692" s="36">
        <v>-150</v>
      </c>
      <c r="AL692" s="51">
        <f t="shared" si="60"/>
        <v>37.5</v>
      </c>
      <c r="AM692" s="36"/>
      <c r="AN692" s="36"/>
      <c r="AO692" s="36"/>
      <c r="AP692" s="51"/>
      <c r="AQ692" s="36"/>
      <c r="AR692" s="36"/>
      <c r="AS692" s="36"/>
      <c r="AT692" s="51"/>
      <c r="AU692" s="36"/>
      <c r="AV692" s="36"/>
      <c r="AW692" s="36"/>
      <c r="AX692" s="49"/>
    </row>
    <row r="693" spans="1:50" ht="10.199999999999999" customHeight="1" x14ac:dyDescent="0.25">
      <c r="A693" s="14">
        <v>25</v>
      </c>
      <c r="B693" s="103">
        <v>40353</v>
      </c>
      <c r="C693" s="103">
        <v>40346</v>
      </c>
      <c r="D693" s="36"/>
      <c r="E693" s="36"/>
      <c r="F693" s="51"/>
      <c r="G693" s="36"/>
      <c r="H693" s="36"/>
      <c r="I693" s="36"/>
      <c r="J693" s="51"/>
      <c r="K693" s="36"/>
      <c r="L693" s="36"/>
      <c r="M693" s="36"/>
      <c r="N693" s="51"/>
      <c r="O693" s="36"/>
      <c r="P693" s="36"/>
      <c r="Q693" s="36"/>
      <c r="R693" s="51"/>
      <c r="S693" s="36"/>
      <c r="T693" s="36"/>
      <c r="U693" s="36"/>
      <c r="V693" s="51"/>
      <c r="W693" s="36"/>
      <c r="X693" s="36"/>
      <c r="Y693" s="36"/>
      <c r="Z693" s="51"/>
      <c r="AA693" s="36"/>
      <c r="AB693" s="14">
        <v>-475</v>
      </c>
      <c r="AC693" s="36">
        <v>-300</v>
      </c>
      <c r="AD693" s="51">
        <f t="shared" si="59"/>
        <v>-387.5</v>
      </c>
      <c r="AE693" s="36"/>
      <c r="AF693" s="36">
        <v>-250</v>
      </c>
      <c r="AG693" s="36">
        <v>-275</v>
      </c>
      <c r="AH693" s="51">
        <f>AVERAGE(AF693:AG693)</f>
        <v>-262.5</v>
      </c>
      <c r="AI693" s="36"/>
      <c r="AJ693" s="36">
        <v>92</v>
      </c>
      <c r="AK693" s="36">
        <v>-75</v>
      </c>
      <c r="AL693" s="51">
        <f t="shared" si="60"/>
        <v>8.5</v>
      </c>
      <c r="AM693" s="36"/>
      <c r="AN693" s="36"/>
      <c r="AO693" s="36"/>
      <c r="AP693" s="51"/>
      <c r="AQ693" s="36"/>
      <c r="AR693" s="36">
        <v>300</v>
      </c>
      <c r="AS693" s="36"/>
      <c r="AT693" s="51">
        <f t="shared" ref="AT693:AT714" si="61">AVERAGE(AR693:AS693)</f>
        <v>300</v>
      </c>
      <c r="AU693" s="36"/>
      <c r="AV693" s="36"/>
      <c r="AW693" s="36"/>
      <c r="AX693" s="49"/>
    </row>
    <row r="694" spans="1:50" ht="10.199999999999999" customHeight="1" x14ac:dyDescent="0.25">
      <c r="A694" s="14">
        <v>26</v>
      </c>
      <c r="B694" s="103">
        <v>40360</v>
      </c>
      <c r="C694" s="103">
        <v>40353</v>
      </c>
      <c r="D694" s="36"/>
      <c r="E694" s="36"/>
      <c r="F694" s="51"/>
      <c r="G694" s="36"/>
      <c r="H694" s="36"/>
      <c r="I694" s="36"/>
      <c r="J694" s="51"/>
      <c r="K694" s="36"/>
      <c r="L694" s="36"/>
      <c r="M694" s="36"/>
      <c r="N694" s="51"/>
      <c r="O694" s="36"/>
      <c r="P694" s="36"/>
      <c r="Q694" s="36"/>
      <c r="R694" s="51"/>
      <c r="S694" s="36"/>
      <c r="T694" s="36"/>
      <c r="U694" s="36"/>
      <c r="V694" s="51"/>
      <c r="W694" s="36"/>
      <c r="X694" s="36"/>
      <c r="Y694" s="36"/>
      <c r="Z694" s="51"/>
      <c r="AA694" s="36"/>
      <c r="AB694" s="36">
        <v>-250</v>
      </c>
      <c r="AC694" s="36">
        <v>-200</v>
      </c>
      <c r="AD694" s="51">
        <f t="shared" si="59"/>
        <v>-225</v>
      </c>
      <c r="AE694" s="36"/>
      <c r="AF694" s="36"/>
      <c r="AG694" s="36"/>
      <c r="AH694" s="51"/>
      <c r="AI694" s="36"/>
      <c r="AJ694" s="36">
        <v>-25</v>
      </c>
      <c r="AK694" s="36">
        <v>-100</v>
      </c>
      <c r="AL694" s="51">
        <f t="shared" si="60"/>
        <v>-62.5</v>
      </c>
      <c r="AM694" s="36"/>
      <c r="AN694" s="36"/>
      <c r="AO694" s="36"/>
      <c r="AP694" s="51"/>
      <c r="AQ694" s="36"/>
      <c r="AR694" s="36">
        <v>350</v>
      </c>
      <c r="AS694" s="36"/>
      <c r="AT694" s="51">
        <f t="shared" si="61"/>
        <v>350</v>
      </c>
      <c r="AU694" s="36"/>
      <c r="AV694" s="36"/>
      <c r="AW694" s="36"/>
      <c r="AX694" s="49"/>
    </row>
    <row r="695" spans="1:50" ht="10.199999999999999" customHeight="1" x14ac:dyDescent="0.25">
      <c r="A695" s="14">
        <v>27</v>
      </c>
      <c r="B695" s="103">
        <v>40367</v>
      </c>
      <c r="C695" s="103">
        <v>40360</v>
      </c>
      <c r="D695" s="36"/>
      <c r="E695" s="36"/>
      <c r="F695" s="51"/>
      <c r="G695" s="36"/>
      <c r="H695" s="36"/>
      <c r="I695" s="36"/>
      <c r="J695" s="51"/>
      <c r="K695" s="36"/>
      <c r="L695" s="36"/>
      <c r="M695" s="36"/>
      <c r="N695" s="51"/>
      <c r="O695" s="36"/>
      <c r="P695" s="36"/>
      <c r="Q695" s="36"/>
      <c r="R695" s="51"/>
      <c r="S695" s="36"/>
      <c r="T695" s="36"/>
      <c r="U695" s="36"/>
      <c r="V695" s="51"/>
      <c r="W695" s="36"/>
      <c r="X695" s="36"/>
      <c r="Y695" s="36"/>
      <c r="Z695" s="51"/>
      <c r="AA695" s="36"/>
      <c r="AB695" s="36">
        <v>-200</v>
      </c>
      <c r="AC695" s="36">
        <v>-213</v>
      </c>
      <c r="AD695" s="51">
        <f t="shared" si="59"/>
        <v>-206.5</v>
      </c>
      <c r="AE695" s="36"/>
      <c r="AF695" s="36"/>
      <c r="AG695" s="36"/>
      <c r="AH695" s="51"/>
      <c r="AI695" s="36"/>
      <c r="AJ695" s="36">
        <v>-200</v>
      </c>
      <c r="AK695" s="36">
        <v>-25</v>
      </c>
      <c r="AL695" s="51">
        <f t="shared" si="60"/>
        <v>-112.5</v>
      </c>
      <c r="AM695" s="36"/>
      <c r="AN695" s="36"/>
      <c r="AO695" s="36"/>
      <c r="AP695" s="51"/>
      <c r="AQ695" s="36"/>
      <c r="AR695" s="36">
        <v>300</v>
      </c>
      <c r="AS695" s="36"/>
      <c r="AT695" s="51">
        <f t="shared" si="61"/>
        <v>300</v>
      </c>
      <c r="AU695" s="36"/>
      <c r="AV695" s="36"/>
      <c r="AW695" s="36"/>
      <c r="AX695" s="49"/>
    </row>
    <row r="696" spans="1:50" ht="10.199999999999999" customHeight="1" x14ac:dyDescent="0.25">
      <c r="A696" s="14">
        <v>28</v>
      </c>
      <c r="B696" s="103">
        <v>40374</v>
      </c>
      <c r="C696" s="103">
        <v>40367</v>
      </c>
      <c r="D696" s="36"/>
      <c r="E696" s="36"/>
      <c r="F696" s="51"/>
      <c r="G696" s="36"/>
      <c r="H696" s="36"/>
      <c r="I696" s="36"/>
      <c r="J696" s="51"/>
      <c r="K696" s="36"/>
      <c r="L696" s="36"/>
      <c r="M696" s="36"/>
      <c r="N696" s="51"/>
      <c r="O696" s="36"/>
      <c r="P696" s="36"/>
      <c r="Q696" s="36"/>
      <c r="R696" s="51"/>
      <c r="S696" s="36"/>
      <c r="T696" s="36"/>
      <c r="U696" s="36"/>
      <c r="V696" s="51"/>
      <c r="W696" s="36"/>
      <c r="X696" s="36"/>
      <c r="Y696" s="36"/>
      <c r="Z696" s="51"/>
      <c r="AA696" s="36"/>
      <c r="AB696" s="36">
        <v>125</v>
      </c>
      <c r="AC696" s="36">
        <v>-50</v>
      </c>
      <c r="AD696" s="51">
        <f t="shared" si="59"/>
        <v>37.5</v>
      </c>
      <c r="AE696" s="36"/>
      <c r="AF696" s="36"/>
      <c r="AG696" s="36">
        <v>50</v>
      </c>
      <c r="AH696" s="51">
        <f t="shared" ref="AH696:AH701" si="62">AVERAGE(AF696:AG696)</f>
        <v>50</v>
      </c>
      <c r="AI696" s="36"/>
      <c r="AJ696" s="36">
        <v>100</v>
      </c>
      <c r="AK696" s="36">
        <v>0</v>
      </c>
      <c r="AL696" s="51">
        <f t="shared" si="60"/>
        <v>50</v>
      </c>
      <c r="AM696" s="36"/>
      <c r="AN696" s="36">
        <v>400</v>
      </c>
      <c r="AO696" s="36"/>
      <c r="AP696" s="51">
        <f>AVERAGE(AN696:AO696)</f>
        <v>400</v>
      </c>
      <c r="AQ696" s="36"/>
      <c r="AR696" s="36">
        <v>313</v>
      </c>
      <c r="AS696" s="36"/>
      <c r="AT696" s="51">
        <f t="shared" si="61"/>
        <v>313</v>
      </c>
      <c r="AU696" s="36"/>
      <c r="AV696" s="36"/>
      <c r="AW696" s="36"/>
      <c r="AX696" s="49"/>
    </row>
    <row r="697" spans="1:50" ht="10.199999999999999" customHeight="1" x14ac:dyDescent="0.25">
      <c r="A697" s="14">
        <v>29</v>
      </c>
      <c r="B697" s="103">
        <v>40381</v>
      </c>
      <c r="C697" s="103">
        <v>40374</v>
      </c>
      <c r="D697" s="36"/>
      <c r="E697" s="36"/>
      <c r="F697" s="51"/>
      <c r="G697" s="36"/>
      <c r="H697" s="36"/>
      <c r="I697" s="36"/>
      <c r="J697" s="51"/>
      <c r="K697" s="36"/>
      <c r="L697" s="36"/>
      <c r="M697" s="36"/>
      <c r="N697" s="51"/>
      <c r="O697" s="36"/>
      <c r="P697" s="36"/>
      <c r="Q697" s="36"/>
      <c r="R697" s="51"/>
      <c r="S697" s="36"/>
      <c r="T697" s="36"/>
      <c r="U697" s="36"/>
      <c r="V697" s="51"/>
      <c r="W697" s="36"/>
      <c r="X697" s="36"/>
      <c r="Y697" s="36"/>
      <c r="Z697" s="51"/>
      <c r="AA697" s="36"/>
      <c r="AB697" s="36"/>
      <c r="AC697" s="36"/>
      <c r="AD697" s="51"/>
      <c r="AE697" s="36"/>
      <c r="AF697" s="36">
        <v>150</v>
      </c>
      <c r="AG697" s="36"/>
      <c r="AH697" s="51">
        <f t="shared" si="62"/>
        <v>150</v>
      </c>
      <c r="AI697" s="36"/>
      <c r="AJ697" s="36"/>
      <c r="AK697" s="36"/>
      <c r="AL697" s="51"/>
      <c r="AM697" s="36"/>
      <c r="AN697" s="36">
        <v>400</v>
      </c>
      <c r="AO697" s="36"/>
      <c r="AP697" s="51">
        <f>AVERAGE(AN697:AO697)</f>
        <v>400</v>
      </c>
      <c r="AQ697" s="36"/>
      <c r="AR697" s="36">
        <v>350</v>
      </c>
      <c r="AS697" s="36"/>
      <c r="AT697" s="51">
        <f t="shared" si="61"/>
        <v>350</v>
      </c>
      <c r="AU697" s="36"/>
      <c r="AV697" s="36"/>
      <c r="AW697" s="36"/>
      <c r="AX697" s="49"/>
    </row>
    <row r="698" spans="1:50" ht="10.199999999999999" customHeight="1" x14ac:dyDescent="0.25">
      <c r="A698" s="14">
        <v>30</v>
      </c>
      <c r="B698" s="103">
        <v>40388</v>
      </c>
      <c r="C698" s="103">
        <v>40381</v>
      </c>
      <c r="D698" s="36"/>
      <c r="E698" s="36"/>
      <c r="F698" s="51"/>
      <c r="G698" s="36"/>
      <c r="H698" s="36"/>
      <c r="I698" s="36"/>
      <c r="J698" s="51"/>
      <c r="K698" s="36"/>
      <c r="L698" s="36"/>
      <c r="M698" s="36"/>
      <c r="N698" s="51"/>
      <c r="O698" s="36"/>
      <c r="P698" s="36"/>
      <c r="Q698" s="36"/>
      <c r="R698" s="51"/>
      <c r="S698" s="36"/>
      <c r="T698" s="36"/>
      <c r="U698" s="36"/>
      <c r="V698" s="51"/>
      <c r="W698" s="36"/>
      <c r="X698" s="36"/>
      <c r="Y698" s="36"/>
      <c r="Z698" s="51"/>
      <c r="AA698" s="36"/>
      <c r="AB698" s="36"/>
      <c r="AC698" s="36"/>
      <c r="AD698" s="51"/>
      <c r="AE698" s="36"/>
      <c r="AF698" s="36">
        <v>175</v>
      </c>
      <c r="AG698" s="36">
        <v>50</v>
      </c>
      <c r="AH698" s="51">
        <f t="shared" si="62"/>
        <v>112.5</v>
      </c>
      <c r="AI698" s="36"/>
      <c r="AJ698" s="36">
        <v>150</v>
      </c>
      <c r="AK698" s="36"/>
      <c r="AL698" s="51">
        <f t="shared" si="60"/>
        <v>150</v>
      </c>
      <c r="AM698" s="36"/>
      <c r="AN698" s="36"/>
      <c r="AO698" s="36"/>
      <c r="AP698" s="51"/>
      <c r="AQ698" s="36"/>
      <c r="AR698" s="36">
        <v>425</v>
      </c>
      <c r="AS698" s="36"/>
      <c r="AT698" s="51">
        <f t="shared" si="61"/>
        <v>425</v>
      </c>
      <c r="AU698" s="36"/>
      <c r="AV698" s="36"/>
      <c r="AW698" s="36"/>
      <c r="AX698" s="49"/>
    </row>
    <row r="699" spans="1:50" ht="10.199999999999999" customHeight="1" x14ac:dyDescent="0.25">
      <c r="A699" s="14">
        <v>31</v>
      </c>
      <c r="B699" s="103">
        <v>40395</v>
      </c>
      <c r="C699" s="103">
        <v>40388</v>
      </c>
      <c r="D699" s="36"/>
      <c r="E699" s="36"/>
      <c r="F699" s="51"/>
      <c r="G699" s="36"/>
      <c r="H699" s="36"/>
      <c r="I699" s="36"/>
      <c r="J699" s="51"/>
      <c r="K699" s="36"/>
      <c r="L699" s="36"/>
      <c r="M699" s="36"/>
      <c r="N699" s="51"/>
      <c r="O699" s="36"/>
      <c r="P699" s="36"/>
      <c r="Q699" s="36"/>
      <c r="R699" s="51"/>
      <c r="S699" s="36"/>
      <c r="T699" s="36"/>
      <c r="U699" s="36"/>
      <c r="V699" s="51"/>
      <c r="W699" s="36"/>
      <c r="X699" s="36"/>
      <c r="Y699" s="36"/>
      <c r="Z699" s="51"/>
      <c r="AA699" s="36"/>
      <c r="AB699" s="36"/>
      <c r="AC699" s="36"/>
      <c r="AD699" s="51"/>
      <c r="AE699" s="36"/>
      <c r="AF699" s="36">
        <v>517</v>
      </c>
      <c r="AG699" s="36">
        <v>-50</v>
      </c>
      <c r="AH699" s="51">
        <f t="shared" si="62"/>
        <v>233.5</v>
      </c>
      <c r="AI699" s="36"/>
      <c r="AJ699" s="36">
        <v>333</v>
      </c>
      <c r="AK699" s="36"/>
      <c r="AL699" s="51">
        <f t="shared" si="60"/>
        <v>333</v>
      </c>
      <c r="AM699" s="36"/>
      <c r="AN699" s="36"/>
      <c r="AO699" s="36"/>
      <c r="AP699" s="51"/>
      <c r="AQ699" s="36"/>
      <c r="AR699" s="36"/>
      <c r="AS699" s="36"/>
      <c r="AT699" s="51"/>
      <c r="AU699" s="36"/>
      <c r="AV699" s="36">
        <v>250</v>
      </c>
      <c r="AW699" s="36"/>
      <c r="AX699" s="51">
        <f t="shared" ref="AX699:AX718" si="63">AVERAGE(AV699:AW699)</f>
        <v>250</v>
      </c>
    </row>
    <row r="700" spans="1:50" ht="10.199999999999999" customHeight="1" x14ac:dyDescent="0.25">
      <c r="A700" s="14">
        <v>32</v>
      </c>
      <c r="B700" s="103">
        <v>40402</v>
      </c>
      <c r="C700" s="103">
        <v>40395</v>
      </c>
      <c r="D700" s="36"/>
      <c r="E700" s="36"/>
      <c r="F700" s="51"/>
      <c r="G700" s="36"/>
      <c r="H700" s="36"/>
      <c r="I700" s="36"/>
      <c r="J700" s="51"/>
      <c r="K700" s="36"/>
      <c r="L700" s="36"/>
      <c r="M700" s="36"/>
      <c r="N700" s="51"/>
      <c r="O700" s="36"/>
      <c r="P700" s="36"/>
      <c r="Q700" s="36"/>
      <c r="R700" s="51"/>
      <c r="S700" s="36"/>
      <c r="T700" s="36"/>
      <c r="U700" s="36"/>
      <c r="V700" s="51"/>
      <c r="W700" s="36"/>
      <c r="X700" s="36"/>
      <c r="Y700" s="36"/>
      <c r="Z700" s="51"/>
      <c r="AA700" s="36"/>
      <c r="AB700" s="36"/>
      <c r="AC700" s="36"/>
      <c r="AD700" s="51"/>
      <c r="AE700" s="36"/>
      <c r="AF700" s="36">
        <v>1142</v>
      </c>
      <c r="AG700" s="36">
        <v>500</v>
      </c>
      <c r="AH700" s="51">
        <f t="shared" si="62"/>
        <v>821</v>
      </c>
      <c r="AI700" s="36"/>
      <c r="AJ700" s="36"/>
      <c r="AK700" s="36"/>
      <c r="AL700" s="51"/>
      <c r="AM700" s="36"/>
      <c r="AN700" s="36">
        <v>1500</v>
      </c>
      <c r="AO700" s="36"/>
      <c r="AP700" s="51">
        <f t="shared" ref="AP700:AP710" si="64">AVERAGE(AN700:AO700)</f>
        <v>1500</v>
      </c>
      <c r="AQ700" s="36"/>
      <c r="AR700" s="36">
        <v>300</v>
      </c>
      <c r="AS700" s="36"/>
      <c r="AT700" s="51">
        <f t="shared" si="61"/>
        <v>300</v>
      </c>
      <c r="AU700" s="36"/>
      <c r="AV700" s="36">
        <v>400</v>
      </c>
      <c r="AW700" s="36"/>
      <c r="AX700" s="51">
        <f t="shared" si="63"/>
        <v>400</v>
      </c>
    </row>
    <row r="701" spans="1:50" ht="10.199999999999999" customHeight="1" x14ac:dyDescent="0.25">
      <c r="A701" s="14">
        <v>33</v>
      </c>
      <c r="B701" s="103">
        <v>40409</v>
      </c>
      <c r="C701" s="103">
        <v>40402</v>
      </c>
      <c r="D701" s="36"/>
      <c r="E701" s="36"/>
      <c r="F701" s="51"/>
      <c r="G701" s="36"/>
      <c r="H701" s="36"/>
      <c r="I701" s="36"/>
      <c r="J701" s="51"/>
      <c r="K701" s="36"/>
      <c r="L701" s="36"/>
      <c r="M701" s="36"/>
      <c r="N701" s="51"/>
      <c r="O701" s="36"/>
      <c r="P701" s="36"/>
      <c r="Q701" s="36"/>
      <c r="R701" s="51"/>
      <c r="S701" s="36"/>
      <c r="T701" s="36"/>
      <c r="U701" s="36"/>
      <c r="V701" s="51"/>
      <c r="W701" s="36"/>
      <c r="X701" s="36"/>
      <c r="Y701" s="36"/>
      <c r="Z701" s="51"/>
      <c r="AA701" s="36"/>
      <c r="AB701" s="36"/>
      <c r="AC701" s="36"/>
      <c r="AD701" s="51"/>
      <c r="AE701" s="36"/>
      <c r="AF701" s="36">
        <v>925</v>
      </c>
      <c r="AG701" s="36">
        <v>650</v>
      </c>
      <c r="AH701" s="51">
        <f t="shared" si="62"/>
        <v>787.5</v>
      </c>
      <c r="AI701" s="36"/>
      <c r="AJ701" s="36">
        <v>975</v>
      </c>
      <c r="AK701" s="36">
        <v>550</v>
      </c>
      <c r="AL701" s="51">
        <f t="shared" si="60"/>
        <v>762.5</v>
      </c>
      <c r="AM701" s="36"/>
      <c r="AN701" s="36"/>
      <c r="AO701" s="36">
        <v>550</v>
      </c>
      <c r="AP701" s="51">
        <f t="shared" si="64"/>
        <v>550</v>
      </c>
      <c r="AQ701" s="36"/>
      <c r="AR701" s="36">
        <v>733</v>
      </c>
      <c r="AS701" s="36"/>
      <c r="AT701" s="51">
        <f t="shared" si="61"/>
        <v>733</v>
      </c>
      <c r="AU701" s="36"/>
      <c r="AV701" s="36">
        <v>450</v>
      </c>
      <c r="AW701" s="36">
        <v>400</v>
      </c>
      <c r="AX701" s="51">
        <f t="shared" si="63"/>
        <v>425</v>
      </c>
    </row>
    <row r="702" spans="1:50" ht="10.199999999999999" customHeight="1" x14ac:dyDescent="0.25">
      <c r="A702" s="14">
        <v>34</v>
      </c>
      <c r="B702" s="103">
        <v>40416</v>
      </c>
      <c r="C702" s="103">
        <v>40409</v>
      </c>
      <c r="D702" s="36"/>
      <c r="E702" s="36"/>
      <c r="F702" s="51"/>
      <c r="G702" s="36"/>
      <c r="H702" s="36"/>
      <c r="I702" s="36"/>
      <c r="J702" s="51"/>
      <c r="K702" s="36"/>
      <c r="L702" s="36"/>
      <c r="M702" s="36"/>
      <c r="N702" s="51"/>
      <c r="O702" s="36"/>
      <c r="P702" s="36"/>
      <c r="Q702" s="36"/>
      <c r="R702" s="51"/>
      <c r="S702" s="36"/>
      <c r="T702" s="36"/>
      <c r="U702" s="36"/>
      <c r="V702" s="51"/>
      <c r="W702" s="36"/>
      <c r="X702" s="36"/>
      <c r="Y702" s="36"/>
      <c r="Z702" s="51"/>
      <c r="AA702" s="36"/>
      <c r="AB702" s="36"/>
      <c r="AC702" s="36"/>
      <c r="AD702" s="51"/>
      <c r="AE702" s="36"/>
      <c r="AF702" s="36"/>
      <c r="AG702" s="36"/>
      <c r="AH702" s="51"/>
      <c r="AI702" s="36"/>
      <c r="AJ702" s="36">
        <v>1208</v>
      </c>
      <c r="AK702" s="36">
        <v>750</v>
      </c>
      <c r="AL702" s="51">
        <f t="shared" si="60"/>
        <v>979</v>
      </c>
      <c r="AM702" s="36"/>
      <c r="AN702" s="36"/>
      <c r="AO702" s="36">
        <v>1100</v>
      </c>
      <c r="AP702" s="51">
        <f t="shared" si="64"/>
        <v>1100</v>
      </c>
      <c r="AQ702" s="36"/>
      <c r="AR702" s="36">
        <v>500</v>
      </c>
      <c r="AS702" s="36">
        <v>700</v>
      </c>
      <c r="AT702" s="51">
        <f t="shared" si="61"/>
        <v>600</v>
      </c>
      <c r="AU702" s="36"/>
      <c r="AV702" s="36">
        <v>450</v>
      </c>
      <c r="AW702" s="36">
        <v>400</v>
      </c>
      <c r="AX702" s="51">
        <f t="shared" si="63"/>
        <v>425</v>
      </c>
    </row>
    <row r="703" spans="1:50" ht="10.199999999999999" customHeight="1" x14ac:dyDescent="0.25">
      <c r="A703" s="14">
        <v>35</v>
      </c>
      <c r="B703" s="103">
        <v>40423</v>
      </c>
      <c r="C703" s="103">
        <v>40416</v>
      </c>
      <c r="D703" s="36"/>
      <c r="E703" s="36"/>
      <c r="F703" s="51"/>
      <c r="G703" s="36"/>
      <c r="H703" s="36"/>
      <c r="I703" s="36"/>
      <c r="J703" s="51"/>
      <c r="K703" s="36"/>
      <c r="L703" s="36"/>
      <c r="M703" s="36"/>
      <c r="N703" s="51"/>
      <c r="O703" s="36"/>
      <c r="P703" s="36"/>
      <c r="Q703" s="36"/>
      <c r="R703" s="51"/>
      <c r="S703" s="36"/>
      <c r="T703" s="36"/>
      <c r="U703" s="36"/>
      <c r="V703" s="51"/>
      <c r="W703" s="36"/>
      <c r="X703" s="36"/>
      <c r="Y703" s="36"/>
      <c r="Z703" s="51"/>
      <c r="AA703" s="36"/>
      <c r="AB703" s="36"/>
      <c r="AC703" s="36"/>
      <c r="AD703" s="51"/>
      <c r="AE703" s="36"/>
      <c r="AF703" s="36"/>
      <c r="AG703" s="36"/>
      <c r="AH703" s="51"/>
      <c r="AI703" s="36"/>
      <c r="AJ703" s="36">
        <v>1400</v>
      </c>
      <c r="AK703" s="36">
        <v>775</v>
      </c>
      <c r="AL703" s="51">
        <f t="shared" si="60"/>
        <v>1087.5</v>
      </c>
      <c r="AM703" s="36"/>
      <c r="AN703" s="36"/>
      <c r="AO703" s="36">
        <v>1150</v>
      </c>
      <c r="AP703" s="51">
        <f t="shared" si="64"/>
        <v>1150</v>
      </c>
      <c r="AQ703" s="36"/>
      <c r="AR703" s="36">
        <v>1100</v>
      </c>
      <c r="AS703" s="36">
        <v>450</v>
      </c>
      <c r="AT703" s="51">
        <f t="shared" si="61"/>
        <v>775</v>
      </c>
      <c r="AU703" s="36"/>
      <c r="AV703" s="36">
        <v>500</v>
      </c>
      <c r="AW703" s="36">
        <v>200</v>
      </c>
      <c r="AX703" s="51">
        <f t="shared" si="63"/>
        <v>350</v>
      </c>
    </row>
    <row r="704" spans="1:50" ht="10.199999999999999" customHeight="1" x14ac:dyDescent="0.25">
      <c r="A704" s="14">
        <v>36</v>
      </c>
      <c r="B704" s="103">
        <v>40430</v>
      </c>
      <c r="C704" s="103">
        <v>40423</v>
      </c>
      <c r="D704" s="36"/>
      <c r="E704" s="36"/>
      <c r="F704" s="51"/>
      <c r="G704" s="36"/>
      <c r="H704" s="36"/>
      <c r="I704" s="36"/>
      <c r="J704" s="51"/>
      <c r="K704" s="36"/>
      <c r="L704" s="36"/>
      <c r="M704" s="36"/>
      <c r="N704" s="51"/>
      <c r="O704" s="36"/>
      <c r="P704" s="36"/>
      <c r="Q704" s="36"/>
      <c r="R704" s="51"/>
      <c r="S704" s="36"/>
      <c r="T704" s="36"/>
      <c r="U704" s="36"/>
      <c r="V704" s="51"/>
      <c r="W704" s="36"/>
      <c r="X704" s="36"/>
      <c r="Y704" s="36"/>
      <c r="Z704" s="51"/>
      <c r="AA704" s="36"/>
      <c r="AB704" s="36"/>
      <c r="AC704" s="36"/>
      <c r="AD704" s="51"/>
      <c r="AE704" s="36"/>
      <c r="AF704" s="36"/>
      <c r="AG704" s="36"/>
      <c r="AH704" s="51"/>
      <c r="AI704" s="36"/>
      <c r="AJ704" s="36">
        <v>1025</v>
      </c>
      <c r="AK704" s="36">
        <v>400</v>
      </c>
      <c r="AL704" s="51">
        <f t="shared" si="60"/>
        <v>712.5</v>
      </c>
      <c r="AM704" s="36"/>
      <c r="AN704" s="36">
        <v>1300</v>
      </c>
      <c r="AO704" s="36">
        <v>850</v>
      </c>
      <c r="AP704" s="51">
        <f t="shared" si="64"/>
        <v>1075</v>
      </c>
      <c r="AQ704" s="36"/>
      <c r="AR704" s="36"/>
      <c r="AS704" s="36">
        <v>425</v>
      </c>
      <c r="AT704" s="51">
        <f t="shared" si="61"/>
        <v>425</v>
      </c>
      <c r="AU704" s="36"/>
      <c r="AV704" s="36">
        <v>600</v>
      </c>
      <c r="AW704" s="36">
        <v>150</v>
      </c>
      <c r="AX704" s="51">
        <f t="shared" si="63"/>
        <v>375</v>
      </c>
    </row>
    <row r="705" spans="1:50" ht="10.199999999999999" customHeight="1" x14ac:dyDescent="0.25">
      <c r="A705" s="14">
        <v>37</v>
      </c>
      <c r="B705" s="103">
        <v>40437</v>
      </c>
      <c r="C705" s="103">
        <v>40430</v>
      </c>
      <c r="D705" s="36"/>
      <c r="E705" s="36"/>
      <c r="F705" s="51"/>
      <c r="G705" s="36"/>
      <c r="H705" s="36"/>
      <c r="I705" s="36"/>
      <c r="J705" s="51"/>
      <c r="K705" s="36"/>
      <c r="L705" s="36"/>
      <c r="M705" s="36"/>
      <c r="N705" s="51"/>
      <c r="O705" s="36"/>
      <c r="P705" s="36"/>
      <c r="Q705" s="36"/>
      <c r="R705" s="51"/>
      <c r="S705" s="36"/>
      <c r="T705" s="36"/>
      <c r="U705" s="36"/>
      <c r="V705" s="51"/>
      <c r="W705" s="36"/>
      <c r="X705" s="36"/>
      <c r="Y705" s="36"/>
      <c r="Z705" s="51"/>
      <c r="AA705" s="36"/>
      <c r="AB705" s="36"/>
      <c r="AC705" s="36"/>
      <c r="AD705" s="51"/>
      <c r="AE705" s="36"/>
      <c r="AF705" s="36"/>
      <c r="AG705" s="36"/>
      <c r="AH705" s="51"/>
      <c r="AI705" s="36"/>
      <c r="AJ705" s="36">
        <v>-25</v>
      </c>
      <c r="AK705" s="36">
        <v>-175</v>
      </c>
      <c r="AL705" s="51">
        <f t="shared" si="60"/>
        <v>-100</v>
      </c>
      <c r="AM705" s="36"/>
      <c r="AN705" s="36">
        <v>1200</v>
      </c>
      <c r="AO705" s="36">
        <v>725</v>
      </c>
      <c r="AP705" s="51">
        <f t="shared" si="64"/>
        <v>962.5</v>
      </c>
      <c r="AQ705" s="36"/>
      <c r="AR705" s="36">
        <v>1100</v>
      </c>
      <c r="AS705" s="36">
        <v>350</v>
      </c>
      <c r="AT705" s="51">
        <f t="shared" si="61"/>
        <v>725</v>
      </c>
      <c r="AU705" s="36"/>
      <c r="AV705" s="36"/>
      <c r="AW705" s="36">
        <v>0</v>
      </c>
      <c r="AX705" s="51">
        <f t="shared" si="63"/>
        <v>0</v>
      </c>
    </row>
    <row r="706" spans="1:50" ht="10.199999999999999" customHeight="1" x14ac:dyDescent="0.25">
      <c r="A706" s="14">
        <v>38</v>
      </c>
      <c r="B706" s="103">
        <v>40444</v>
      </c>
      <c r="C706" s="103">
        <v>40437</v>
      </c>
      <c r="D706" s="36"/>
      <c r="E706" s="36"/>
      <c r="F706" s="51"/>
      <c r="G706" s="36"/>
      <c r="H706" s="36"/>
      <c r="I706" s="36"/>
      <c r="J706" s="51"/>
      <c r="K706" s="36"/>
      <c r="L706" s="36"/>
      <c r="M706" s="36"/>
      <c r="N706" s="51"/>
      <c r="O706" s="36"/>
      <c r="P706" s="36"/>
      <c r="Q706" s="36"/>
      <c r="R706" s="51"/>
      <c r="S706" s="36"/>
      <c r="T706" s="36"/>
      <c r="U706" s="36"/>
      <c r="V706" s="51"/>
      <c r="W706" s="36"/>
      <c r="X706" s="36"/>
      <c r="Y706" s="36"/>
      <c r="Z706" s="51"/>
      <c r="AA706" s="36"/>
      <c r="AB706" s="36"/>
      <c r="AC706" s="36"/>
      <c r="AD706" s="51"/>
      <c r="AE706" s="36"/>
      <c r="AF706" s="36"/>
      <c r="AG706" s="36"/>
      <c r="AH706" s="51"/>
      <c r="AI706" s="36"/>
      <c r="AJ706" s="36"/>
      <c r="AK706" s="36"/>
      <c r="AL706" s="51"/>
      <c r="AM706" s="36"/>
      <c r="AN706" s="36">
        <v>379</v>
      </c>
      <c r="AO706" s="36">
        <v>250</v>
      </c>
      <c r="AP706" s="51">
        <f t="shared" si="64"/>
        <v>314.5</v>
      </c>
      <c r="AQ706" s="36"/>
      <c r="AR706" s="36">
        <v>400</v>
      </c>
      <c r="AS706" s="36">
        <v>25</v>
      </c>
      <c r="AT706" s="51">
        <f t="shared" si="61"/>
        <v>212.5</v>
      </c>
      <c r="AU706" s="36"/>
      <c r="AV706" s="36">
        <v>-200</v>
      </c>
      <c r="AW706" s="36">
        <v>-100</v>
      </c>
      <c r="AX706" s="51">
        <f t="shared" si="63"/>
        <v>-150</v>
      </c>
    </row>
    <row r="707" spans="1:50" ht="10.199999999999999" customHeight="1" x14ac:dyDescent="0.25">
      <c r="A707" s="14">
        <v>39</v>
      </c>
      <c r="B707" s="103">
        <v>40451</v>
      </c>
      <c r="C707" s="103">
        <v>40444</v>
      </c>
      <c r="D707" s="36"/>
      <c r="E707" s="36"/>
      <c r="F707" s="51"/>
      <c r="G707" s="36"/>
      <c r="H707" s="36"/>
      <c r="I707" s="36"/>
      <c r="J707" s="51"/>
      <c r="K707" s="36"/>
      <c r="L707" s="36"/>
      <c r="M707" s="36"/>
      <c r="N707" s="51"/>
      <c r="O707" s="36"/>
      <c r="P707" s="36"/>
      <c r="Q707" s="36"/>
      <c r="R707" s="51"/>
      <c r="S707" s="36"/>
      <c r="T707" s="36"/>
      <c r="U707" s="36"/>
      <c r="V707" s="51"/>
      <c r="W707" s="36"/>
      <c r="X707" s="36"/>
      <c r="Y707" s="36"/>
      <c r="Z707" s="51"/>
      <c r="AA707" s="36"/>
      <c r="AB707" s="36"/>
      <c r="AC707" s="36"/>
      <c r="AD707" s="51"/>
      <c r="AE707" s="36"/>
      <c r="AF707" s="36"/>
      <c r="AG707" s="36"/>
      <c r="AH707" s="51"/>
      <c r="AI707" s="36"/>
      <c r="AJ707" s="36"/>
      <c r="AK707" s="36"/>
      <c r="AL707" s="51"/>
      <c r="AM707" s="36"/>
      <c r="AN707" s="36">
        <v>-350</v>
      </c>
      <c r="AO707" s="36">
        <v>200</v>
      </c>
      <c r="AP707" s="51">
        <f t="shared" si="64"/>
        <v>-75</v>
      </c>
      <c r="AQ707" s="36"/>
      <c r="AR707" s="36">
        <v>413</v>
      </c>
      <c r="AS707" s="36">
        <v>88</v>
      </c>
      <c r="AT707" s="51">
        <f t="shared" si="61"/>
        <v>250.5</v>
      </c>
      <c r="AU707" s="36"/>
      <c r="AV707" s="36">
        <v>-25</v>
      </c>
      <c r="AW707" s="36">
        <v>-100</v>
      </c>
      <c r="AX707" s="51">
        <f t="shared" si="63"/>
        <v>-62.5</v>
      </c>
    </row>
    <row r="708" spans="1:50" ht="10.199999999999999" customHeight="1" x14ac:dyDescent="0.25">
      <c r="A708" s="14">
        <v>40</v>
      </c>
      <c r="B708" s="103">
        <v>40458</v>
      </c>
      <c r="C708" s="103">
        <v>40451</v>
      </c>
      <c r="D708" s="36"/>
      <c r="E708" s="36"/>
      <c r="F708" s="51"/>
      <c r="G708" s="36"/>
      <c r="H708" s="36"/>
      <c r="I708" s="36"/>
      <c r="J708" s="51"/>
      <c r="K708" s="36"/>
      <c r="L708" s="36"/>
      <c r="M708" s="36"/>
      <c r="N708" s="51"/>
      <c r="O708" s="36"/>
      <c r="P708" s="36"/>
      <c r="Q708" s="36"/>
      <c r="R708" s="51"/>
      <c r="S708" s="36"/>
      <c r="T708" s="36"/>
      <c r="U708" s="36"/>
      <c r="V708" s="51"/>
      <c r="W708" s="36"/>
      <c r="X708" s="36"/>
      <c r="Y708" s="36"/>
      <c r="Z708" s="51"/>
      <c r="AA708" s="36"/>
      <c r="AB708" s="36"/>
      <c r="AC708" s="36"/>
      <c r="AD708" s="51"/>
      <c r="AE708" s="36"/>
      <c r="AF708" s="36"/>
      <c r="AG708" s="36"/>
      <c r="AH708" s="51"/>
      <c r="AI708" s="36"/>
      <c r="AJ708" s="36"/>
      <c r="AK708" s="36"/>
      <c r="AL708" s="51"/>
      <c r="AM708" s="36"/>
      <c r="AN708" s="36">
        <v>1900</v>
      </c>
      <c r="AO708" s="36">
        <v>575</v>
      </c>
      <c r="AP708" s="51">
        <f t="shared" si="64"/>
        <v>1237.5</v>
      </c>
      <c r="AQ708" s="36"/>
      <c r="AR708" s="36">
        <v>1000</v>
      </c>
      <c r="AS708" s="36">
        <v>238</v>
      </c>
      <c r="AT708" s="51">
        <f t="shared" si="61"/>
        <v>619</v>
      </c>
      <c r="AU708" s="36"/>
      <c r="AV708" s="36">
        <v>75</v>
      </c>
      <c r="AW708" s="36">
        <v>-50</v>
      </c>
      <c r="AX708" s="51">
        <f t="shared" si="63"/>
        <v>12.5</v>
      </c>
    </row>
    <row r="709" spans="1:50" ht="10.199999999999999" customHeight="1" x14ac:dyDescent="0.25">
      <c r="A709" s="14">
        <v>41</v>
      </c>
      <c r="B709" s="103">
        <v>40465</v>
      </c>
      <c r="C709" s="103">
        <v>40458</v>
      </c>
      <c r="D709" s="36"/>
      <c r="E709" s="36">
        <v>-100</v>
      </c>
      <c r="F709" s="51">
        <f>AVERAGE(D709,E709)</f>
        <v>-100</v>
      </c>
      <c r="G709" s="36"/>
      <c r="H709" s="36"/>
      <c r="I709" s="36"/>
      <c r="J709" s="51"/>
      <c r="K709" s="36"/>
      <c r="L709" s="36"/>
      <c r="M709" s="36"/>
      <c r="N709" s="51"/>
      <c r="O709" s="36"/>
      <c r="P709" s="36"/>
      <c r="Q709" s="36"/>
      <c r="R709" s="51"/>
      <c r="S709" s="36"/>
      <c r="T709" s="36"/>
      <c r="U709" s="36"/>
      <c r="V709" s="51"/>
      <c r="W709" s="36"/>
      <c r="X709" s="36"/>
      <c r="Y709" s="36"/>
      <c r="Z709" s="51"/>
      <c r="AA709" s="36"/>
      <c r="AB709" s="36"/>
      <c r="AC709" s="36"/>
      <c r="AD709" s="51"/>
      <c r="AE709" s="36"/>
      <c r="AF709" s="36"/>
      <c r="AG709" s="36"/>
      <c r="AH709" s="51"/>
      <c r="AI709" s="36"/>
      <c r="AJ709" s="36"/>
      <c r="AK709" s="36"/>
      <c r="AL709" s="51"/>
      <c r="AM709" s="36"/>
      <c r="AN709" s="36">
        <v>1475</v>
      </c>
      <c r="AO709" s="36">
        <v>600</v>
      </c>
      <c r="AP709" s="51">
        <f t="shared" si="64"/>
        <v>1037.5</v>
      </c>
      <c r="AQ709" s="36"/>
      <c r="AR709" s="36">
        <v>850</v>
      </c>
      <c r="AS709" s="36">
        <v>275</v>
      </c>
      <c r="AT709" s="51">
        <f t="shared" si="61"/>
        <v>562.5</v>
      </c>
      <c r="AU709" s="36"/>
      <c r="AV709" s="36"/>
      <c r="AW709" s="36">
        <v>-38</v>
      </c>
      <c r="AX709" s="51">
        <f t="shared" si="63"/>
        <v>-38</v>
      </c>
    </row>
    <row r="710" spans="1:50" ht="10.199999999999999" customHeight="1" x14ac:dyDescent="0.25">
      <c r="A710" s="14">
        <v>42</v>
      </c>
      <c r="B710" s="103">
        <v>40472</v>
      </c>
      <c r="C710" s="103">
        <v>40465</v>
      </c>
      <c r="D710" s="36"/>
      <c r="E710" s="36"/>
      <c r="F710" s="51"/>
      <c r="G710" s="36"/>
      <c r="H710" s="36">
        <v>-200</v>
      </c>
      <c r="I710" s="36"/>
      <c r="J710" s="51">
        <f>AVERAGE(H710,I710)</f>
        <v>-200</v>
      </c>
      <c r="K710" s="36"/>
      <c r="L710" s="36"/>
      <c r="M710" s="36"/>
      <c r="N710" s="51"/>
      <c r="O710" s="36"/>
      <c r="P710" s="36"/>
      <c r="Q710" s="36"/>
      <c r="R710" s="51"/>
      <c r="S710" s="36"/>
      <c r="T710" s="36"/>
      <c r="U710" s="36"/>
      <c r="V710" s="51"/>
      <c r="W710" s="36"/>
      <c r="X710" s="36"/>
      <c r="Y710" s="36"/>
      <c r="Z710" s="51"/>
      <c r="AA710" s="36"/>
      <c r="AB710" s="36"/>
      <c r="AC710" s="36"/>
      <c r="AD710" s="51"/>
      <c r="AE710" s="36"/>
      <c r="AF710" s="36"/>
      <c r="AG710" s="36"/>
      <c r="AH710" s="51"/>
      <c r="AI710" s="36"/>
      <c r="AJ710" s="36"/>
      <c r="AK710" s="36"/>
      <c r="AL710" s="51"/>
      <c r="AM710" s="36"/>
      <c r="AN710" s="36">
        <v>1000</v>
      </c>
      <c r="AO710" s="36">
        <v>700</v>
      </c>
      <c r="AP710" s="51">
        <f t="shared" si="64"/>
        <v>850</v>
      </c>
      <c r="AQ710" s="36"/>
      <c r="AR710" s="36">
        <v>533</v>
      </c>
      <c r="AS710" s="36">
        <v>200</v>
      </c>
      <c r="AT710" s="51">
        <f t="shared" si="61"/>
        <v>366.5</v>
      </c>
      <c r="AU710" s="36"/>
      <c r="AV710" s="36"/>
      <c r="AW710" s="36">
        <v>-50</v>
      </c>
      <c r="AX710" s="51">
        <f t="shared" si="63"/>
        <v>-50</v>
      </c>
    </row>
    <row r="711" spans="1:50" ht="10.199999999999999" customHeight="1" x14ac:dyDescent="0.25">
      <c r="A711" s="14">
        <v>43</v>
      </c>
      <c r="B711" s="103">
        <v>40479</v>
      </c>
      <c r="C711" s="103">
        <v>40472</v>
      </c>
      <c r="D711" s="36">
        <v>-350</v>
      </c>
      <c r="E711" s="36">
        <v>-250</v>
      </c>
      <c r="F711" s="51">
        <f>AVERAGE(D711,E711)</f>
        <v>-300</v>
      </c>
      <c r="G711" s="36"/>
      <c r="H711" s="36"/>
      <c r="I711" s="36"/>
      <c r="J711" s="51"/>
      <c r="K711" s="36"/>
      <c r="L711" s="36"/>
      <c r="M711" s="36"/>
      <c r="N711" s="51"/>
      <c r="O711" s="36"/>
      <c r="P711" s="36">
        <v>-800</v>
      </c>
      <c r="Q711" s="36"/>
      <c r="R711" s="51">
        <f>AVERAGE(P711,Q711)</f>
        <v>-800</v>
      </c>
      <c r="S711" s="36"/>
      <c r="T711" s="36"/>
      <c r="U711" s="36"/>
      <c r="V711" s="51"/>
      <c r="W711" s="36"/>
      <c r="X711" s="36"/>
      <c r="Y711" s="36"/>
      <c r="Z711" s="51"/>
      <c r="AA711" s="36"/>
      <c r="AB711" s="36"/>
      <c r="AC711" s="36"/>
      <c r="AD711" s="51"/>
      <c r="AE711" s="36"/>
      <c r="AF711" s="36"/>
      <c r="AG711" s="36"/>
      <c r="AH711" s="51"/>
      <c r="AI711" s="36"/>
      <c r="AJ711" s="36"/>
      <c r="AK711" s="36"/>
      <c r="AL711" s="51"/>
      <c r="AM711" s="36"/>
      <c r="AN711" s="36"/>
      <c r="AO711" s="36"/>
      <c r="AP711" s="51"/>
      <c r="AQ711" s="36"/>
      <c r="AR711" s="36">
        <v>-250</v>
      </c>
      <c r="AS711" s="36">
        <v>-200</v>
      </c>
      <c r="AT711" s="51">
        <f t="shared" si="61"/>
        <v>-225</v>
      </c>
      <c r="AU711" s="36"/>
      <c r="AV711" s="36">
        <v>-300</v>
      </c>
      <c r="AW711" s="36">
        <v>-200</v>
      </c>
      <c r="AX711" s="51">
        <f t="shared" si="63"/>
        <v>-250</v>
      </c>
    </row>
    <row r="712" spans="1:50" ht="10.199999999999999" customHeight="1" x14ac:dyDescent="0.25">
      <c r="A712" s="14">
        <v>44</v>
      </c>
      <c r="B712" s="103">
        <v>40486</v>
      </c>
      <c r="C712" s="103">
        <v>40479</v>
      </c>
      <c r="D712" s="36"/>
      <c r="E712" s="36">
        <v>-300</v>
      </c>
      <c r="F712" s="51">
        <f>AVERAGE(D712,E712)</f>
        <v>-300</v>
      </c>
      <c r="G712" s="36"/>
      <c r="H712" s="36"/>
      <c r="I712" s="36"/>
      <c r="J712" s="51"/>
      <c r="K712" s="36"/>
      <c r="L712" s="36"/>
      <c r="M712" s="36"/>
      <c r="N712" s="51"/>
      <c r="O712" s="36"/>
      <c r="P712" s="36"/>
      <c r="Q712" s="36"/>
      <c r="R712" s="51"/>
      <c r="S712" s="36"/>
      <c r="T712" s="36">
        <v>-800</v>
      </c>
      <c r="U712" s="36">
        <v>-900</v>
      </c>
      <c r="V712" s="51">
        <f>AVERAGE(T712,U712)</f>
        <v>-850</v>
      </c>
      <c r="W712" s="36"/>
      <c r="X712" s="36"/>
      <c r="Y712" s="36"/>
      <c r="Z712" s="51"/>
      <c r="AA712" s="36"/>
      <c r="AB712" s="36"/>
      <c r="AC712" s="36"/>
      <c r="AD712" s="51"/>
      <c r="AE712" s="36"/>
      <c r="AF712" s="36"/>
      <c r="AG712" s="36"/>
      <c r="AH712" s="51"/>
      <c r="AI712" s="36"/>
      <c r="AJ712" s="36"/>
      <c r="AK712" s="36"/>
      <c r="AL712" s="51"/>
      <c r="AM712" s="36"/>
      <c r="AN712" s="36"/>
      <c r="AO712" s="36"/>
      <c r="AP712" s="51"/>
      <c r="AQ712" s="36"/>
      <c r="AR712" s="36">
        <v>-413</v>
      </c>
      <c r="AS712" s="36">
        <v>-257</v>
      </c>
      <c r="AT712" s="51">
        <f t="shared" si="61"/>
        <v>-335</v>
      </c>
      <c r="AU712" s="36"/>
      <c r="AV712" s="36"/>
      <c r="AW712" s="36">
        <v>-250</v>
      </c>
      <c r="AX712" s="51">
        <f t="shared" si="63"/>
        <v>-250</v>
      </c>
    </row>
    <row r="713" spans="1:50" ht="10.199999999999999" customHeight="1" x14ac:dyDescent="0.25">
      <c r="A713" s="14">
        <v>45</v>
      </c>
      <c r="B713" s="103">
        <v>40493</v>
      </c>
      <c r="C713" s="103">
        <v>40486</v>
      </c>
      <c r="D713" s="36"/>
      <c r="E713" s="36"/>
      <c r="F713" s="51"/>
      <c r="G713" s="36"/>
      <c r="H713" s="36"/>
      <c r="I713" s="36"/>
      <c r="J713" s="51"/>
      <c r="K713" s="36"/>
      <c r="L713" s="36"/>
      <c r="M713" s="36"/>
      <c r="N713" s="51"/>
      <c r="O713" s="36"/>
      <c r="P713" s="36"/>
      <c r="Q713" s="36"/>
      <c r="R713" s="51"/>
      <c r="S713" s="36"/>
      <c r="T713" s="36">
        <v>-725</v>
      </c>
      <c r="U713" s="36"/>
      <c r="V713" s="51">
        <f>AVERAGE(T713,U713)</f>
        <v>-725</v>
      </c>
      <c r="W713" s="36"/>
      <c r="X713" s="36"/>
      <c r="Y713" s="36"/>
      <c r="Z713" s="51"/>
      <c r="AA713" s="36"/>
      <c r="AB713" s="36"/>
      <c r="AC713" s="36"/>
      <c r="AD713" s="51"/>
      <c r="AE713" s="36"/>
      <c r="AF713" s="36"/>
      <c r="AG713" s="36"/>
      <c r="AH713" s="51"/>
      <c r="AI713" s="36"/>
      <c r="AJ713" s="36"/>
      <c r="AK713" s="36"/>
      <c r="AL713" s="51"/>
      <c r="AM713" s="36"/>
      <c r="AN713" s="36"/>
      <c r="AO713" s="36"/>
      <c r="AP713" s="51"/>
      <c r="AQ713" s="36"/>
      <c r="AR713" s="36">
        <v>-492</v>
      </c>
      <c r="AS713" s="36">
        <v>-325</v>
      </c>
      <c r="AT713" s="51">
        <f t="shared" si="61"/>
        <v>-408.5</v>
      </c>
      <c r="AU713" s="36"/>
      <c r="AV713" s="36">
        <v>-400</v>
      </c>
      <c r="AW713" s="36">
        <v>-200</v>
      </c>
      <c r="AX713" s="51">
        <f t="shared" si="63"/>
        <v>-300</v>
      </c>
    </row>
    <row r="714" spans="1:50" ht="10.199999999999999" customHeight="1" x14ac:dyDescent="0.25">
      <c r="A714" s="14">
        <v>46</v>
      </c>
      <c r="B714" s="103">
        <v>40500</v>
      </c>
      <c r="C714" s="103">
        <v>40493</v>
      </c>
      <c r="D714" s="36"/>
      <c r="E714" s="36">
        <v>-350</v>
      </c>
      <c r="F714" s="51">
        <f t="shared" ref="F714:F723" si="65">AVERAGE(D714,E714)</f>
        <v>-350</v>
      </c>
      <c r="G714" s="36"/>
      <c r="H714" s="36"/>
      <c r="I714" s="36"/>
      <c r="J714" s="51"/>
      <c r="K714" s="36"/>
      <c r="L714" s="36"/>
      <c r="M714" s="36"/>
      <c r="N714" s="51"/>
      <c r="O714" s="36"/>
      <c r="P714" s="36"/>
      <c r="Q714" s="36"/>
      <c r="R714" s="51"/>
      <c r="S714" s="36"/>
      <c r="T714" s="36">
        <v>-675</v>
      </c>
      <c r="U714" s="36">
        <v>-800</v>
      </c>
      <c r="V714" s="51">
        <f>AVERAGE(T714,U714)</f>
        <v>-737.5</v>
      </c>
      <c r="W714" s="36"/>
      <c r="X714" s="36"/>
      <c r="Y714" s="36"/>
      <c r="Z714" s="51"/>
      <c r="AA714" s="36"/>
      <c r="AB714" s="36"/>
      <c r="AC714" s="36"/>
      <c r="AD714" s="51"/>
      <c r="AE714" s="36"/>
      <c r="AF714" s="36"/>
      <c r="AG714" s="36"/>
      <c r="AH714" s="51"/>
      <c r="AI714" s="36"/>
      <c r="AJ714" s="36"/>
      <c r="AK714" s="36"/>
      <c r="AL714" s="51"/>
      <c r="AM714" s="36"/>
      <c r="AN714" s="36"/>
      <c r="AO714" s="36"/>
      <c r="AP714" s="51"/>
      <c r="AQ714" s="36"/>
      <c r="AR714" s="36">
        <v>-525</v>
      </c>
      <c r="AS714" s="36">
        <v>-350</v>
      </c>
      <c r="AT714" s="51">
        <f t="shared" si="61"/>
        <v>-437.5</v>
      </c>
      <c r="AU714" s="36"/>
      <c r="AV714" s="36">
        <v>-367</v>
      </c>
      <c r="AW714" s="36">
        <v>-300</v>
      </c>
      <c r="AX714" s="51">
        <f t="shared" si="63"/>
        <v>-333.5</v>
      </c>
    </row>
    <row r="715" spans="1:50" ht="10.199999999999999" customHeight="1" x14ac:dyDescent="0.25">
      <c r="A715" s="14">
        <v>47</v>
      </c>
      <c r="B715" s="103">
        <v>40507</v>
      </c>
      <c r="C715" s="103">
        <v>40500</v>
      </c>
      <c r="D715" s="36"/>
      <c r="E715" s="36">
        <v>-300</v>
      </c>
      <c r="F715" s="51">
        <f t="shared" si="65"/>
        <v>-300</v>
      </c>
      <c r="G715" s="36"/>
      <c r="H715" s="36"/>
      <c r="I715" s="36">
        <v>-350</v>
      </c>
      <c r="J715" s="51">
        <f t="shared" ref="J715:J727" si="66">AVERAGE(H715,I715)</f>
        <v>-350</v>
      </c>
      <c r="K715" s="36"/>
      <c r="L715" s="36"/>
      <c r="M715" s="36">
        <v>-350</v>
      </c>
      <c r="N715" s="51">
        <f t="shared" ref="N715:N731" si="67">AVERAGE(L715,M715)</f>
        <v>-350</v>
      </c>
      <c r="O715" s="36"/>
      <c r="P715" s="36"/>
      <c r="Q715" s="36">
        <v>-625</v>
      </c>
      <c r="R715" s="51">
        <f>AVERAGE(P715,Q715)</f>
        <v>-625</v>
      </c>
      <c r="S715" s="36"/>
      <c r="T715" s="36"/>
      <c r="U715" s="36"/>
      <c r="V715" s="51"/>
      <c r="W715" s="36"/>
      <c r="X715" s="36"/>
      <c r="Y715" s="36"/>
      <c r="Z715" s="51"/>
      <c r="AA715" s="36"/>
      <c r="AB715" s="36"/>
      <c r="AC715" s="36"/>
      <c r="AD715" s="51"/>
      <c r="AE715" s="36"/>
      <c r="AF715" s="36"/>
      <c r="AG715" s="36"/>
      <c r="AH715" s="51"/>
      <c r="AI715" s="36"/>
      <c r="AJ715" s="36"/>
      <c r="AK715" s="36"/>
      <c r="AL715" s="51"/>
      <c r="AM715" s="36"/>
      <c r="AN715" s="36"/>
      <c r="AO715" s="36"/>
      <c r="AP715" s="51"/>
      <c r="AQ715" s="36"/>
      <c r="AR715" s="36"/>
      <c r="AS715" s="36"/>
      <c r="AT715" s="51"/>
      <c r="AU715" s="36"/>
      <c r="AV715" s="36">
        <v>-509</v>
      </c>
      <c r="AW715" s="36">
        <v>-475</v>
      </c>
      <c r="AX715" s="51">
        <f t="shared" si="63"/>
        <v>-492</v>
      </c>
    </row>
    <row r="716" spans="1:50" ht="10.199999999999999" customHeight="1" x14ac:dyDescent="0.25">
      <c r="A716" s="14">
        <v>48</v>
      </c>
      <c r="B716" s="103">
        <v>40514</v>
      </c>
      <c r="C716" s="103">
        <v>40507</v>
      </c>
      <c r="D716" s="36"/>
      <c r="E716" s="36">
        <v>-325</v>
      </c>
      <c r="F716" s="51">
        <f t="shared" si="65"/>
        <v>-325</v>
      </c>
      <c r="G716" s="36"/>
      <c r="H716" s="36"/>
      <c r="I716" s="36">
        <v>-250</v>
      </c>
      <c r="J716" s="51">
        <f t="shared" si="66"/>
        <v>-250</v>
      </c>
      <c r="K716" s="36"/>
      <c r="L716" s="36"/>
      <c r="M716" s="36">
        <v>-300</v>
      </c>
      <c r="N716" s="51">
        <f t="shared" si="67"/>
        <v>-300</v>
      </c>
      <c r="O716" s="36"/>
      <c r="P716" s="36"/>
      <c r="Q716" s="36"/>
      <c r="R716" s="51"/>
      <c r="S716" s="36"/>
      <c r="T716" s="36"/>
      <c r="U716" s="36"/>
      <c r="V716" s="51"/>
      <c r="W716" s="36"/>
      <c r="X716" s="36"/>
      <c r="Y716" s="36"/>
      <c r="Z716" s="51"/>
      <c r="AA716" s="36"/>
      <c r="AB716" s="36"/>
      <c r="AC716" s="36"/>
      <c r="AD716" s="51"/>
      <c r="AE716" s="36"/>
      <c r="AF716" s="36"/>
      <c r="AG716" s="36"/>
      <c r="AH716" s="51"/>
      <c r="AI716" s="36"/>
      <c r="AJ716" s="36"/>
      <c r="AK716" s="36"/>
      <c r="AL716" s="51"/>
      <c r="AM716" s="36"/>
      <c r="AN716" s="36"/>
      <c r="AO716" s="36"/>
      <c r="AP716" s="51"/>
      <c r="AQ716" s="36"/>
      <c r="AR716" s="36"/>
      <c r="AS716" s="36"/>
      <c r="AT716" s="51"/>
      <c r="AU716" s="36"/>
      <c r="AV716" s="36">
        <v>-483</v>
      </c>
      <c r="AW716" s="36">
        <v>-500</v>
      </c>
      <c r="AX716" s="51">
        <f t="shared" si="63"/>
        <v>-491.5</v>
      </c>
    </row>
    <row r="717" spans="1:50" ht="10.199999999999999" customHeight="1" x14ac:dyDescent="0.25">
      <c r="A717" s="14">
        <v>49</v>
      </c>
      <c r="B717" s="103">
        <v>40521</v>
      </c>
      <c r="C717" s="103">
        <v>40514</v>
      </c>
      <c r="D717" s="36"/>
      <c r="E717" s="36">
        <v>-275</v>
      </c>
      <c r="F717" s="51">
        <f t="shared" si="65"/>
        <v>-275</v>
      </c>
      <c r="G717" s="36"/>
      <c r="H717" s="36"/>
      <c r="I717" s="36">
        <v>-350</v>
      </c>
      <c r="J717" s="51">
        <f t="shared" si="66"/>
        <v>-350</v>
      </c>
      <c r="K717" s="36"/>
      <c r="L717" s="36"/>
      <c r="M717" s="36">
        <v>-350</v>
      </c>
      <c r="N717" s="51">
        <f t="shared" si="67"/>
        <v>-350</v>
      </c>
      <c r="O717" s="36"/>
      <c r="P717" s="36"/>
      <c r="Q717" s="36"/>
      <c r="R717" s="51"/>
      <c r="S717" s="36"/>
      <c r="T717" s="36"/>
      <c r="U717" s="36"/>
      <c r="V717" s="51"/>
      <c r="W717" s="36"/>
      <c r="X717" s="36"/>
      <c r="Y717" s="36"/>
      <c r="Z717" s="51"/>
      <c r="AA717" s="36"/>
      <c r="AB717" s="36"/>
      <c r="AC717" s="36"/>
      <c r="AD717" s="51"/>
      <c r="AE717" s="36"/>
      <c r="AF717" s="36"/>
      <c r="AG717" s="36"/>
      <c r="AH717" s="51"/>
      <c r="AI717" s="36"/>
      <c r="AJ717" s="36"/>
      <c r="AK717" s="36"/>
      <c r="AL717" s="51"/>
      <c r="AM717" s="36"/>
      <c r="AN717" s="36"/>
      <c r="AO717" s="36"/>
      <c r="AP717" s="51"/>
      <c r="AQ717" s="36"/>
      <c r="AR717" s="36"/>
      <c r="AS717" s="36"/>
      <c r="AT717" s="51"/>
      <c r="AU717" s="36"/>
      <c r="AV717" s="36">
        <v>-213</v>
      </c>
      <c r="AW717" s="36">
        <v>-425</v>
      </c>
      <c r="AX717" s="51">
        <f t="shared" si="63"/>
        <v>-319</v>
      </c>
    </row>
    <row r="718" spans="1:50" ht="10.199999999999999" customHeight="1" x14ac:dyDescent="0.25">
      <c r="A718" s="14">
        <v>50</v>
      </c>
      <c r="B718" s="103">
        <v>40528</v>
      </c>
      <c r="C718" s="103">
        <v>40521</v>
      </c>
      <c r="D718" s="36"/>
      <c r="E718" s="36">
        <v>-200</v>
      </c>
      <c r="F718" s="51">
        <f t="shared" si="65"/>
        <v>-200</v>
      </c>
      <c r="G718" s="36"/>
      <c r="H718" s="36"/>
      <c r="I718" s="36">
        <v>-275</v>
      </c>
      <c r="J718" s="51">
        <f t="shared" si="66"/>
        <v>-275</v>
      </c>
      <c r="K718" s="36"/>
      <c r="L718" s="36"/>
      <c r="M718" s="36">
        <v>-300</v>
      </c>
      <c r="N718" s="51">
        <f t="shared" si="67"/>
        <v>-300</v>
      </c>
      <c r="O718" s="36"/>
      <c r="P718" s="36"/>
      <c r="Q718" s="36"/>
      <c r="R718" s="51"/>
      <c r="S718" s="36"/>
      <c r="T718" s="36"/>
      <c r="U718" s="36"/>
      <c r="V718" s="51"/>
      <c r="W718" s="36"/>
      <c r="X718" s="36"/>
      <c r="Y718" s="36"/>
      <c r="Z718" s="51"/>
      <c r="AA718" s="36"/>
      <c r="AB718" s="36"/>
      <c r="AC718" s="36"/>
      <c r="AD718" s="51"/>
      <c r="AE718" s="36"/>
      <c r="AF718" s="36"/>
      <c r="AG718" s="36"/>
      <c r="AH718" s="51"/>
      <c r="AI718" s="36"/>
      <c r="AJ718" s="36"/>
      <c r="AK718" s="36"/>
      <c r="AL718" s="51"/>
      <c r="AM718" s="36"/>
      <c r="AN718" s="36"/>
      <c r="AO718" s="36"/>
      <c r="AP718" s="51"/>
      <c r="AQ718" s="36"/>
      <c r="AR718" s="36"/>
      <c r="AS718" s="36"/>
      <c r="AT718" s="51"/>
      <c r="AU718" s="36"/>
      <c r="AV718" s="36">
        <v>150</v>
      </c>
      <c r="AW718" s="36">
        <v>-250</v>
      </c>
      <c r="AX718" s="51">
        <f t="shared" si="63"/>
        <v>-50</v>
      </c>
    </row>
    <row r="719" spans="1:50" ht="10.199999999999999" customHeight="1" x14ac:dyDescent="0.25">
      <c r="A719" s="14">
        <v>51</v>
      </c>
      <c r="B719" s="103">
        <v>40535</v>
      </c>
      <c r="C719" s="103">
        <v>40528</v>
      </c>
      <c r="D719" s="36">
        <v>100</v>
      </c>
      <c r="E719" s="36">
        <v>-109</v>
      </c>
      <c r="F719" s="51">
        <f t="shared" si="65"/>
        <v>-4.5</v>
      </c>
      <c r="G719" s="36"/>
      <c r="H719" s="36">
        <v>38</v>
      </c>
      <c r="I719" s="36">
        <v>-233</v>
      </c>
      <c r="J719" s="51">
        <f t="shared" si="66"/>
        <v>-97.5</v>
      </c>
      <c r="K719" s="36"/>
      <c r="L719" s="36"/>
      <c r="M719" s="36">
        <v>-325</v>
      </c>
      <c r="N719" s="51">
        <f t="shared" si="67"/>
        <v>-325</v>
      </c>
      <c r="O719" s="36"/>
      <c r="P719" s="36"/>
      <c r="Q719" s="36"/>
      <c r="R719" s="51"/>
      <c r="S719" s="36"/>
      <c r="T719" s="36"/>
      <c r="U719" s="36"/>
      <c r="V719" s="51"/>
      <c r="W719" s="36"/>
      <c r="X719" s="36"/>
      <c r="Y719" s="36"/>
      <c r="Z719" s="51"/>
      <c r="AA719" s="36"/>
      <c r="AB719" s="36"/>
      <c r="AC719" s="36"/>
      <c r="AD719" s="51"/>
      <c r="AE719" s="36"/>
      <c r="AF719" s="36"/>
      <c r="AG719" s="36"/>
      <c r="AH719" s="51"/>
      <c r="AI719" s="36"/>
      <c r="AJ719" s="36"/>
      <c r="AK719" s="36"/>
      <c r="AL719" s="51"/>
      <c r="AM719" s="36"/>
      <c r="AN719" s="36"/>
      <c r="AO719" s="36"/>
      <c r="AP719" s="51"/>
      <c r="AQ719" s="36"/>
      <c r="AR719" s="36"/>
      <c r="AS719" s="36"/>
      <c r="AT719" s="51"/>
      <c r="AU719" s="36"/>
      <c r="AV719" s="36"/>
      <c r="AW719" s="36"/>
      <c r="AX719" s="51"/>
    </row>
    <row r="720" spans="1:50" ht="10.199999999999999" customHeight="1" x14ac:dyDescent="0.25">
      <c r="A720" s="14">
        <v>52</v>
      </c>
      <c r="B720" s="103">
        <v>40542</v>
      </c>
      <c r="C720" s="103">
        <v>40535</v>
      </c>
      <c r="D720" s="36"/>
      <c r="E720" s="36">
        <v>-200</v>
      </c>
      <c r="F720" s="51">
        <f t="shared" si="65"/>
        <v>-200</v>
      </c>
      <c r="G720" s="36"/>
      <c r="H720" s="36"/>
      <c r="I720" s="36">
        <v>-233</v>
      </c>
      <c r="J720" s="51">
        <f t="shared" si="66"/>
        <v>-233</v>
      </c>
      <c r="K720" s="36"/>
      <c r="L720" s="36"/>
      <c r="M720" s="36">
        <v>-388</v>
      </c>
      <c r="N720" s="51">
        <f t="shared" si="67"/>
        <v>-388</v>
      </c>
      <c r="O720" s="36"/>
      <c r="P720" s="36"/>
      <c r="Q720" s="36"/>
      <c r="R720" s="51"/>
      <c r="S720" s="36"/>
      <c r="T720" s="36"/>
      <c r="U720" s="36"/>
      <c r="V720" s="51"/>
      <c r="W720" s="36"/>
      <c r="X720" s="36"/>
      <c r="Y720" s="36"/>
      <c r="Z720" s="51"/>
      <c r="AA720" s="36"/>
      <c r="AB720" s="36"/>
      <c r="AC720" s="36"/>
      <c r="AD720" s="51"/>
      <c r="AE720" s="36"/>
      <c r="AF720" s="36"/>
      <c r="AG720" s="36"/>
      <c r="AH720" s="51"/>
      <c r="AI720" s="36"/>
      <c r="AJ720" s="36"/>
      <c r="AK720" s="36"/>
      <c r="AL720" s="51"/>
      <c r="AM720" s="36"/>
      <c r="AN720" s="36"/>
      <c r="AO720" s="36"/>
      <c r="AP720" s="51"/>
      <c r="AQ720" s="36"/>
      <c r="AR720" s="36"/>
      <c r="AS720" s="36"/>
      <c r="AT720" s="51"/>
      <c r="AU720" s="36"/>
      <c r="AV720" s="36"/>
      <c r="AW720" s="36"/>
      <c r="AX720" s="51"/>
    </row>
    <row r="721" spans="1:64" ht="10.199999999999999" customHeight="1" x14ac:dyDescent="0.25">
      <c r="A721" s="14">
        <v>1</v>
      </c>
      <c r="B721" s="103">
        <v>40549</v>
      </c>
      <c r="C721" s="103">
        <v>40542</v>
      </c>
      <c r="D721" s="36">
        <v>-50</v>
      </c>
      <c r="E721" s="36">
        <v>-350</v>
      </c>
      <c r="F721" s="51">
        <f t="shared" si="65"/>
        <v>-200</v>
      </c>
      <c r="G721" s="36"/>
      <c r="H721" s="36"/>
      <c r="I721" s="36">
        <v>-313</v>
      </c>
      <c r="J721" s="51">
        <f t="shared" si="66"/>
        <v>-313</v>
      </c>
      <c r="K721" s="36"/>
      <c r="L721" s="36"/>
      <c r="M721" s="36">
        <v>-300</v>
      </c>
      <c r="N721" s="51">
        <f t="shared" si="67"/>
        <v>-300</v>
      </c>
      <c r="O721" s="36"/>
      <c r="P721" s="36"/>
      <c r="Q721" s="36"/>
      <c r="R721" s="51"/>
      <c r="S721" s="36"/>
      <c r="T721" s="36"/>
      <c r="U721" s="36"/>
      <c r="V721" s="51"/>
      <c r="W721" s="36"/>
      <c r="X721" s="36"/>
      <c r="Y721" s="36"/>
      <c r="Z721" s="51"/>
      <c r="AA721" s="36"/>
      <c r="AB721" s="36"/>
      <c r="AC721" s="36"/>
      <c r="AD721" s="51"/>
      <c r="AE721" s="36"/>
      <c r="AF721" s="36"/>
      <c r="AG721" s="36"/>
      <c r="AH721" s="51"/>
      <c r="AI721" s="36"/>
      <c r="AJ721" s="36"/>
      <c r="AK721" s="36"/>
      <c r="AL721" s="51"/>
      <c r="AM721" s="36"/>
      <c r="AN721" s="36"/>
      <c r="AO721" s="36"/>
      <c r="AP721" s="51"/>
      <c r="AQ721" s="36"/>
      <c r="AR721" s="36"/>
      <c r="AS721" s="36"/>
      <c r="AT721" s="51"/>
      <c r="AU721" s="36"/>
      <c r="AV721" s="36"/>
      <c r="AW721" s="36"/>
      <c r="AX721" s="51"/>
    </row>
    <row r="722" spans="1:64" ht="10.199999999999999" customHeight="1" x14ac:dyDescent="0.25">
      <c r="A722" s="14">
        <v>2</v>
      </c>
      <c r="B722" s="103">
        <v>40556</v>
      </c>
      <c r="C722" s="103">
        <v>40549</v>
      </c>
      <c r="D722" s="36">
        <v>104</v>
      </c>
      <c r="E722" s="36">
        <v>-600</v>
      </c>
      <c r="F722" s="51">
        <f t="shared" si="65"/>
        <v>-248</v>
      </c>
      <c r="G722" s="36"/>
      <c r="H722" s="36">
        <v>-50</v>
      </c>
      <c r="I722" s="36">
        <v>-350</v>
      </c>
      <c r="J722" s="51">
        <f t="shared" si="66"/>
        <v>-200</v>
      </c>
      <c r="K722" s="36"/>
      <c r="L722" s="36">
        <v>-300</v>
      </c>
      <c r="M722" s="36">
        <v>-438</v>
      </c>
      <c r="N722" s="51">
        <f t="shared" si="67"/>
        <v>-369</v>
      </c>
      <c r="O722" s="36"/>
      <c r="P722" s="36"/>
      <c r="Q722" s="36">
        <v>-500</v>
      </c>
      <c r="R722" s="51">
        <f>AVERAGE(P722,Q722)</f>
        <v>-500</v>
      </c>
      <c r="S722" s="36"/>
      <c r="T722" s="36">
        <v>-550</v>
      </c>
      <c r="U722" s="36"/>
      <c r="V722" s="51">
        <f>AVERAGE(T722,U722)</f>
        <v>-550</v>
      </c>
      <c r="W722" s="36"/>
      <c r="X722" s="36"/>
      <c r="Y722" s="36"/>
      <c r="Z722" s="51"/>
      <c r="AA722" s="36"/>
      <c r="AB722" s="36"/>
      <c r="AC722" s="36"/>
      <c r="AD722" s="51"/>
      <c r="AE722" s="36"/>
      <c r="AF722" s="36"/>
      <c r="AG722" s="36"/>
      <c r="AH722" s="51"/>
      <c r="AI722" s="36"/>
      <c r="AJ722" s="36"/>
      <c r="AK722" s="36"/>
      <c r="AL722" s="51"/>
      <c r="AM722" s="36"/>
      <c r="AN722" s="36"/>
      <c r="AO722" s="36"/>
      <c r="AP722" s="51"/>
      <c r="AQ722" s="36"/>
      <c r="AR722" s="36"/>
      <c r="AS722" s="36"/>
      <c r="AT722" s="51"/>
      <c r="AU722" s="36"/>
      <c r="AV722" s="36"/>
      <c r="AW722" s="36"/>
      <c r="AX722" s="51"/>
    </row>
    <row r="723" spans="1:64" ht="10.199999999999999" customHeight="1" x14ac:dyDescent="0.25">
      <c r="A723" s="14">
        <v>3</v>
      </c>
      <c r="B723" s="103">
        <v>40563</v>
      </c>
      <c r="C723" s="103">
        <v>40556</v>
      </c>
      <c r="D723" s="14">
        <v>-25</v>
      </c>
      <c r="F723" s="51">
        <f t="shared" si="65"/>
        <v>-25</v>
      </c>
      <c r="H723" s="36">
        <v>-138</v>
      </c>
      <c r="I723" s="36">
        <v>-425</v>
      </c>
      <c r="J723" s="51">
        <f t="shared" si="66"/>
        <v>-281.5</v>
      </c>
      <c r="K723" s="36"/>
      <c r="L723" s="36">
        <v>-350</v>
      </c>
      <c r="M723" s="115">
        <v>-488</v>
      </c>
      <c r="N723" s="51">
        <f t="shared" si="67"/>
        <v>-419</v>
      </c>
      <c r="O723" s="36"/>
      <c r="P723" s="51"/>
      <c r="Q723" s="36"/>
      <c r="R723" s="36"/>
      <c r="S723" s="51"/>
      <c r="T723" s="36"/>
      <c r="U723" s="36"/>
      <c r="V723" s="51"/>
      <c r="W723" s="36"/>
      <c r="X723" s="36"/>
      <c r="Y723" s="51"/>
      <c r="Z723" s="36"/>
      <c r="AA723" s="36"/>
      <c r="AB723" s="51"/>
      <c r="AC723" s="36"/>
      <c r="AD723" s="36"/>
      <c r="AE723" s="51"/>
      <c r="AF723" s="36"/>
      <c r="AH723" s="49"/>
      <c r="AL723" s="49"/>
      <c r="AP723" s="49"/>
      <c r="AX723" s="51"/>
      <c r="AY723" s="36"/>
    </row>
    <row r="724" spans="1:64" ht="10.199999999999999" customHeight="1" x14ac:dyDescent="0.25">
      <c r="A724" s="14">
        <v>4</v>
      </c>
      <c r="B724" s="103">
        <v>40570</v>
      </c>
      <c r="C724" s="103">
        <v>40563</v>
      </c>
      <c r="F724" s="49"/>
      <c r="H724" s="36">
        <v>6</v>
      </c>
      <c r="I724" s="36">
        <v>-425</v>
      </c>
      <c r="J724" s="51">
        <f t="shared" si="66"/>
        <v>-209.5</v>
      </c>
      <c r="K724" s="36"/>
      <c r="L724" s="36">
        <v>-300</v>
      </c>
      <c r="M724" s="51">
        <v>-475</v>
      </c>
      <c r="N724" s="51">
        <f t="shared" si="67"/>
        <v>-387.5</v>
      </c>
      <c r="O724" s="36"/>
      <c r="P724" s="51"/>
      <c r="Q724" s="36">
        <v>-550</v>
      </c>
      <c r="R724" s="51">
        <f>AVERAGE(P724,Q724)</f>
        <v>-550</v>
      </c>
      <c r="S724" s="51"/>
      <c r="T724" s="36"/>
      <c r="U724" s="36"/>
      <c r="V724" s="51"/>
      <c r="W724" s="36"/>
      <c r="X724" s="36"/>
      <c r="Y724" s="51"/>
      <c r="Z724" s="36"/>
      <c r="AA724" s="36"/>
      <c r="AB724" s="51"/>
      <c r="AC724" s="36"/>
      <c r="AD724" s="36"/>
      <c r="AE724" s="51"/>
      <c r="AF724" s="36"/>
      <c r="AH724" s="49"/>
      <c r="AL724" s="49"/>
      <c r="AP724" s="49"/>
      <c r="AX724" s="51"/>
      <c r="AY724" s="36"/>
    </row>
    <row r="725" spans="1:64" ht="10.199999999999999" customHeight="1" x14ac:dyDescent="0.25">
      <c r="A725" s="14">
        <v>5</v>
      </c>
      <c r="B725" s="103">
        <v>40577</v>
      </c>
      <c r="C725" s="103">
        <v>40570</v>
      </c>
      <c r="F725" s="49"/>
      <c r="H725" s="36">
        <v>54</v>
      </c>
      <c r="I725" s="36">
        <v>-250</v>
      </c>
      <c r="J725" s="51">
        <f t="shared" si="66"/>
        <v>-98</v>
      </c>
      <c r="K725" s="36"/>
      <c r="L725" s="36">
        <v>-225</v>
      </c>
      <c r="M725" s="51">
        <v>-425</v>
      </c>
      <c r="N725" s="51">
        <f t="shared" si="67"/>
        <v>-325</v>
      </c>
      <c r="O725" s="36"/>
      <c r="P725" s="51"/>
      <c r="Q725" s="36"/>
      <c r="R725" s="36"/>
      <c r="S725" s="51"/>
      <c r="T725" s="36"/>
      <c r="U725" s="36"/>
      <c r="V725" s="51"/>
      <c r="W725" s="36"/>
      <c r="X725" s="36"/>
      <c r="Y725" s="51"/>
      <c r="Z725" s="36"/>
      <c r="AA725" s="36"/>
      <c r="AB725" s="51"/>
      <c r="AC725" s="36"/>
      <c r="AD725" s="36"/>
      <c r="AE725" s="51"/>
      <c r="AF725" s="36"/>
      <c r="AH725" s="49"/>
      <c r="AL725" s="49"/>
      <c r="AP725" s="49"/>
      <c r="AX725" s="51"/>
      <c r="AY725" s="32"/>
    </row>
    <row r="726" spans="1:64" ht="10.199999999999999" customHeight="1" x14ac:dyDescent="0.25">
      <c r="A726" s="14">
        <v>6</v>
      </c>
      <c r="B726" s="103">
        <v>40584</v>
      </c>
      <c r="C726" s="103">
        <v>40577</v>
      </c>
      <c r="F726" s="49"/>
      <c r="H726" s="36">
        <v>433</v>
      </c>
      <c r="I726" s="36">
        <v>-63</v>
      </c>
      <c r="J726" s="51">
        <f t="shared" si="66"/>
        <v>185</v>
      </c>
      <c r="K726" s="36"/>
      <c r="L726" s="36">
        <v>-71</v>
      </c>
      <c r="M726" s="51">
        <v>-363</v>
      </c>
      <c r="N726" s="51">
        <f t="shared" si="67"/>
        <v>-217</v>
      </c>
      <c r="O726" s="36"/>
      <c r="P726" s="51"/>
      <c r="Q726" s="36"/>
      <c r="R726" s="36"/>
      <c r="S726" s="51"/>
      <c r="T726" s="36"/>
      <c r="U726" s="36"/>
      <c r="V726" s="51"/>
      <c r="W726" s="36"/>
      <c r="X726" s="36"/>
      <c r="Y726" s="51"/>
      <c r="Z726" s="36"/>
      <c r="AA726" s="36"/>
      <c r="AB726" s="51"/>
      <c r="AC726" s="36"/>
      <c r="AD726" s="36"/>
      <c r="AE726" s="51"/>
      <c r="AF726" s="36"/>
      <c r="AH726" s="49"/>
      <c r="AL726" s="49"/>
      <c r="AP726" s="49"/>
      <c r="AX726" s="49"/>
      <c r="AY726" s="45"/>
    </row>
    <row r="727" spans="1:64" ht="10.199999999999999" customHeight="1" x14ac:dyDescent="0.25">
      <c r="A727" s="14">
        <v>7</v>
      </c>
      <c r="B727" s="103">
        <v>40591</v>
      </c>
      <c r="C727" s="103">
        <v>40584</v>
      </c>
      <c r="F727" s="49"/>
      <c r="H727" s="36">
        <v>75</v>
      </c>
      <c r="I727" s="36">
        <v>-125</v>
      </c>
      <c r="J727" s="51">
        <f t="shared" si="66"/>
        <v>-25</v>
      </c>
      <c r="K727" s="36"/>
      <c r="L727" s="36">
        <v>0</v>
      </c>
      <c r="M727" s="51">
        <v>-304</v>
      </c>
      <c r="N727" s="51">
        <f t="shared" si="67"/>
        <v>-152</v>
      </c>
      <c r="O727" s="36"/>
      <c r="P727" s="51"/>
      <c r="Q727" s="36"/>
      <c r="R727" s="36"/>
      <c r="S727" s="51"/>
      <c r="T727" s="36"/>
      <c r="U727" s="36"/>
      <c r="V727" s="51"/>
      <c r="W727" s="36"/>
      <c r="X727" s="36"/>
      <c r="Y727" s="51"/>
      <c r="Z727" s="36"/>
      <c r="AA727" s="36"/>
      <c r="AB727" s="51"/>
      <c r="AC727" s="36"/>
      <c r="AD727" s="36"/>
      <c r="AE727" s="51"/>
      <c r="AF727" s="36"/>
      <c r="AH727" s="49"/>
      <c r="AL727" s="49"/>
      <c r="AP727" s="49"/>
      <c r="AX727" s="49"/>
      <c r="AY727" s="37"/>
    </row>
    <row r="728" spans="1:64" ht="10.199999999999999" customHeight="1" x14ac:dyDescent="0.25">
      <c r="A728" s="14">
        <v>8</v>
      </c>
      <c r="B728" s="103">
        <v>40598</v>
      </c>
      <c r="C728" s="103">
        <v>40591</v>
      </c>
      <c r="F728" s="49"/>
      <c r="H728" s="36"/>
      <c r="I728" s="36"/>
      <c r="J728" s="51"/>
      <c r="K728" s="36"/>
      <c r="L728" s="36">
        <v>238</v>
      </c>
      <c r="M728" s="51">
        <v>-267</v>
      </c>
      <c r="N728" s="51">
        <f t="shared" si="67"/>
        <v>-14.5</v>
      </c>
      <c r="O728" s="36"/>
      <c r="P728" s="51"/>
      <c r="Q728" s="36">
        <v>-525</v>
      </c>
      <c r="R728" s="51">
        <f t="shared" ref="R728:R762" si="68">AVERAGE(P728,Q728)</f>
        <v>-525</v>
      </c>
      <c r="S728" s="51"/>
      <c r="T728" s="36"/>
      <c r="U728" s="36">
        <v>-500</v>
      </c>
      <c r="V728" s="51">
        <f t="shared" ref="V728:V740" si="69">AVERAGE(T728,U728)</f>
        <v>-500</v>
      </c>
      <c r="W728" s="36"/>
      <c r="X728" s="36"/>
      <c r="Y728" s="51">
        <v>-350</v>
      </c>
      <c r="Z728" s="51">
        <f t="shared" ref="Z728:Z734" si="70">AVERAGE(X728,Y728)</f>
        <v>-350</v>
      </c>
      <c r="AA728" s="36"/>
      <c r="AB728" s="51"/>
      <c r="AC728" s="36">
        <v>-250</v>
      </c>
      <c r="AD728" s="51">
        <f t="shared" ref="AD728:AD734" si="71">AVERAGE(AB728,AC728)</f>
        <v>-250</v>
      </c>
      <c r="AE728" s="51"/>
      <c r="AF728" s="36">
        <v>-350</v>
      </c>
      <c r="AG728" s="36">
        <v>-250</v>
      </c>
      <c r="AH728" s="51">
        <f t="shared" ref="AH728:AH734" si="72">AVERAGE(AF728,AG728)</f>
        <v>-300</v>
      </c>
      <c r="AJ728" s="36"/>
      <c r="AK728" s="36">
        <v>-200</v>
      </c>
      <c r="AL728" s="51">
        <f t="shared" ref="AL728:AL735" si="73">AVERAGE(AJ728,AK728)</f>
        <v>-200</v>
      </c>
      <c r="AP728" s="49"/>
      <c r="AX728" s="49"/>
      <c r="AY728" s="37"/>
    </row>
    <row r="729" spans="1:64" ht="10.199999999999999" customHeight="1" x14ac:dyDescent="0.25">
      <c r="A729" s="14">
        <v>9</v>
      </c>
      <c r="B729" s="103">
        <v>40605</v>
      </c>
      <c r="C729" s="103">
        <v>40598</v>
      </c>
      <c r="F729" s="49"/>
      <c r="H729" s="36"/>
      <c r="I729" s="36"/>
      <c r="J729" s="51"/>
      <c r="K729" s="36"/>
      <c r="L729" s="36">
        <v>208</v>
      </c>
      <c r="M729" s="51">
        <v>75</v>
      </c>
      <c r="N729" s="51">
        <f t="shared" si="67"/>
        <v>141.5</v>
      </c>
      <c r="O729" s="36"/>
      <c r="P729" s="51">
        <v>-325</v>
      </c>
      <c r="Q729" s="36">
        <v>-400</v>
      </c>
      <c r="R729" s="51">
        <f t="shared" si="68"/>
        <v>-362.5</v>
      </c>
      <c r="S729" s="51"/>
      <c r="T729" s="36"/>
      <c r="U729" s="36">
        <v>-450</v>
      </c>
      <c r="V729" s="51">
        <f t="shared" si="69"/>
        <v>-450</v>
      </c>
      <c r="W729" s="36"/>
      <c r="X729" s="36"/>
      <c r="Y729" s="51">
        <v>-350</v>
      </c>
      <c r="Z729" s="51">
        <f t="shared" si="70"/>
        <v>-350</v>
      </c>
      <c r="AA729" s="36"/>
      <c r="AB729" s="51"/>
      <c r="AC729" s="36">
        <v>-250</v>
      </c>
      <c r="AD729" s="51">
        <f t="shared" si="71"/>
        <v>-250</v>
      </c>
      <c r="AE729" s="51"/>
      <c r="AF729" s="36">
        <v>-350</v>
      </c>
      <c r="AG729" s="36">
        <v>-250</v>
      </c>
      <c r="AH729" s="51">
        <f t="shared" si="72"/>
        <v>-300</v>
      </c>
      <c r="AK729" s="36">
        <v>-200</v>
      </c>
      <c r="AL729" s="51">
        <f t="shared" si="73"/>
        <v>-200</v>
      </c>
      <c r="AP729" s="49"/>
      <c r="AX729" s="49"/>
      <c r="AY729" s="71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</row>
    <row r="730" spans="1:64" ht="10.199999999999999" customHeight="1" x14ac:dyDescent="0.25">
      <c r="A730" s="14">
        <v>10</v>
      </c>
      <c r="B730" s="103">
        <v>40612</v>
      </c>
      <c r="C730" s="103">
        <v>40605</v>
      </c>
      <c r="F730" s="49"/>
      <c r="H730" s="36"/>
      <c r="I730" s="36"/>
      <c r="J730" s="51"/>
      <c r="K730" s="36"/>
      <c r="L730" s="36">
        <v>325</v>
      </c>
      <c r="M730" s="51">
        <v>75</v>
      </c>
      <c r="N730" s="51">
        <f t="shared" si="67"/>
        <v>200</v>
      </c>
      <c r="O730" s="36"/>
      <c r="P730" s="51"/>
      <c r="Q730" s="36">
        <v>-250</v>
      </c>
      <c r="R730" s="51">
        <f t="shared" si="68"/>
        <v>-250</v>
      </c>
      <c r="S730" s="51"/>
      <c r="T730" s="36"/>
      <c r="U730" s="36">
        <v>-400</v>
      </c>
      <c r="V730" s="51">
        <f t="shared" si="69"/>
        <v>-400</v>
      </c>
      <c r="W730" s="36"/>
      <c r="X730" s="36"/>
      <c r="Y730" s="51">
        <v>-350</v>
      </c>
      <c r="Z730" s="51">
        <f t="shared" si="70"/>
        <v>-350</v>
      </c>
      <c r="AA730" s="36"/>
      <c r="AB730" s="51"/>
      <c r="AC730" s="36">
        <v>-250</v>
      </c>
      <c r="AD730" s="51">
        <f t="shared" si="71"/>
        <v>-250</v>
      </c>
      <c r="AE730" s="51"/>
      <c r="AF730" s="36"/>
      <c r="AG730" s="36">
        <v>-250</v>
      </c>
      <c r="AH730" s="51">
        <f t="shared" si="72"/>
        <v>-250</v>
      </c>
      <c r="AJ730" s="36">
        <v>-325</v>
      </c>
      <c r="AK730" s="36">
        <v>-200</v>
      </c>
      <c r="AL730" s="51">
        <f t="shared" si="73"/>
        <v>-262.5</v>
      </c>
      <c r="AP730" s="49"/>
      <c r="AX730" s="49"/>
      <c r="AY730" s="35"/>
    </row>
    <row r="731" spans="1:64" ht="10.199999999999999" customHeight="1" x14ac:dyDescent="0.25">
      <c r="A731" s="14">
        <v>11</v>
      </c>
      <c r="B731" s="103">
        <v>40619</v>
      </c>
      <c r="C731" s="103">
        <v>40612</v>
      </c>
      <c r="F731" s="49"/>
      <c r="H731" s="36"/>
      <c r="I731" s="36"/>
      <c r="J731" s="48"/>
      <c r="K731" s="36"/>
      <c r="L731" s="36">
        <v>475</v>
      </c>
      <c r="M731" s="51">
        <v>175</v>
      </c>
      <c r="N731" s="51">
        <f t="shared" si="67"/>
        <v>325</v>
      </c>
      <c r="O731" s="36"/>
      <c r="P731" s="51">
        <v>-275</v>
      </c>
      <c r="Q731" s="36">
        <v>-338</v>
      </c>
      <c r="R731" s="51">
        <f t="shared" si="68"/>
        <v>-306.5</v>
      </c>
      <c r="S731" s="51"/>
      <c r="T731" s="36">
        <v>-650</v>
      </c>
      <c r="U731" s="36">
        <v>-525</v>
      </c>
      <c r="V731" s="51">
        <f t="shared" si="69"/>
        <v>-587.5</v>
      </c>
      <c r="W731" s="36"/>
      <c r="X731" s="36"/>
      <c r="Y731" s="51">
        <v>-350</v>
      </c>
      <c r="Z731" s="51">
        <f t="shared" si="70"/>
        <v>-350</v>
      </c>
      <c r="AA731" s="36"/>
      <c r="AB731" s="51"/>
      <c r="AC731" s="36">
        <v>-250</v>
      </c>
      <c r="AD731" s="51">
        <f t="shared" si="71"/>
        <v>-250</v>
      </c>
      <c r="AE731" s="51"/>
      <c r="AF731" s="36"/>
      <c r="AG731" s="36">
        <v>-250</v>
      </c>
      <c r="AH731" s="51">
        <f t="shared" si="72"/>
        <v>-250</v>
      </c>
      <c r="AK731" s="36">
        <v>-200</v>
      </c>
      <c r="AL731" s="51">
        <f t="shared" si="73"/>
        <v>-200</v>
      </c>
      <c r="AP731" s="49"/>
      <c r="AX731" s="49"/>
      <c r="AY731" s="35"/>
    </row>
    <row r="732" spans="1:64" ht="10.199999999999999" customHeight="1" x14ac:dyDescent="0.25">
      <c r="A732" s="14">
        <v>12</v>
      </c>
      <c r="B732" s="103">
        <v>40626</v>
      </c>
      <c r="C732" s="103">
        <v>40619</v>
      </c>
      <c r="D732" s="36"/>
      <c r="E732" s="36"/>
      <c r="F732" s="51"/>
      <c r="G732" s="36"/>
      <c r="H732" s="36"/>
      <c r="I732" s="36"/>
      <c r="J732" s="51"/>
      <c r="K732" s="36"/>
      <c r="L732" s="36"/>
      <c r="M732" s="51"/>
      <c r="N732" s="51"/>
      <c r="O732" s="36"/>
      <c r="P732" s="51">
        <v>0</v>
      </c>
      <c r="Q732" s="36">
        <v>-325</v>
      </c>
      <c r="R732" s="36">
        <f t="shared" si="68"/>
        <v>-162.5</v>
      </c>
      <c r="S732" s="51"/>
      <c r="T732" s="36">
        <v>-575</v>
      </c>
      <c r="U732" s="36">
        <v>-400</v>
      </c>
      <c r="V732" s="51">
        <f t="shared" si="69"/>
        <v>-487.5</v>
      </c>
      <c r="W732" s="36"/>
      <c r="X732" s="36">
        <v>-500</v>
      </c>
      <c r="Y732" s="51">
        <v>-350</v>
      </c>
      <c r="Z732" s="51">
        <f t="shared" si="70"/>
        <v>-425</v>
      </c>
      <c r="AA732" s="36"/>
      <c r="AB732" s="51">
        <v>-400</v>
      </c>
      <c r="AC732" s="36">
        <v>-250</v>
      </c>
      <c r="AD732" s="51">
        <f t="shared" si="71"/>
        <v>-325</v>
      </c>
      <c r="AE732" s="51"/>
      <c r="AF732" s="36"/>
      <c r="AG732" s="36">
        <v>-250</v>
      </c>
      <c r="AH732" s="51">
        <f t="shared" si="72"/>
        <v>-250</v>
      </c>
      <c r="AI732" s="36"/>
      <c r="AJ732" s="36"/>
      <c r="AK732" s="36">
        <v>-200</v>
      </c>
      <c r="AL732" s="51">
        <f t="shared" si="73"/>
        <v>-200</v>
      </c>
      <c r="AM732" s="36"/>
      <c r="AN732" s="36"/>
      <c r="AO732" s="36">
        <v>625</v>
      </c>
      <c r="AP732" s="51">
        <f>AVERAGE(AN732,AO732)</f>
        <v>625</v>
      </c>
      <c r="AQ732" s="36"/>
      <c r="AR732" s="36"/>
      <c r="AS732" s="36"/>
      <c r="AT732" s="51"/>
      <c r="AU732" s="70"/>
      <c r="AV732" s="36"/>
      <c r="AW732" s="36"/>
      <c r="AX732" s="49"/>
    </row>
    <row r="733" spans="1:64" ht="10.199999999999999" customHeight="1" x14ac:dyDescent="0.25">
      <c r="A733" s="14">
        <v>13</v>
      </c>
      <c r="B733" s="103">
        <v>40633</v>
      </c>
      <c r="C733" s="103">
        <v>40626</v>
      </c>
      <c r="F733" s="49"/>
      <c r="H733" s="36"/>
      <c r="I733" s="36"/>
      <c r="J733" s="51"/>
      <c r="K733" s="36"/>
      <c r="L733" s="36"/>
      <c r="M733" s="51"/>
      <c r="N733" s="51"/>
      <c r="O733" s="36"/>
      <c r="P733" s="51">
        <v>88</v>
      </c>
      <c r="Q733" s="36">
        <v>-50</v>
      </c>
      <c r="R733" s="51">
        <f t="shared" si="68"/>
        <v>19</v>
      </c>
      <c r="S733" s="51"/>
      <c r="T733" s="36"/>
      <c r="U733" s="36">
        <v>-300</v>
      </c>
      <c r="V733" s="51">
        <f t="shared" si="69"/>
        <v>-300</v>
      </c>
      <c r="W733" s="36"/>
      <c r="X733" s="36"/>
      <c r="Y733" s="51">
        <v>-300</v>
      </c>
      <c r="Z733" s="51">
        <f t="shared" si="70"/>
        <v>-300</v>
      </c>
      <c r="AA733" s="36"/>
      <c r="AB733" s="51"/>
      <c r="AC733" s="36">
        <v>-200</v>
      </c>
      <c r="AD733" s="51">
        <f t="shared" si="71"/>
        <v>-200</v>
      </c>
      <c r="AE733" s="51"/>
      <c r="AF733" s="36"/>
      <c r="AG733" s="36">
        <v>-200</v>
      </c>
      <c r="AH733" s="51">
        <f t="shared" si="72"/>
        <v>-200</v>
      </c>
      <c r="AK733" s="36">
        <v>-150</v>
      </c>
      <c r="AL733" s="51">
        <f t="shared" si="73"/>
        <v>-150</v>
      </c>
      <c r="AO733" s="36">
        <v>650</v>
      </c>
      <c r="AP733" s="51">
        <f t="shared" ref="AP733:AP735" si="74">AVERAGE(AN733,AO733)</f>
        <v>650</v>
      </c>
      <c r="AX733" s="49"/>
    </row>
    <row r="734" spans="1:64" ht="10.199999999999999" customHeight="1" x14ac:dyDescent="0.25">
      <c r="A734" s="14">
        <v>14</v>
      </c>
      <c r="B734" s="103">
        <v>40640</v>
      </c>
      <c r="C734" s="103">
        <v>40633</v>
      </c>
      <c r="D734" s="36"/>
      <c r="E734" s="36"/>
      <c r="F734" s="51"/>
      <c r="G734" s="36"/>
      <c r="H734" s="36"/>
      <c r="I734" s="36"/>
      <c r="J734" s="51"/>
      <c r="K734" s="36"/>
      <c r="L734" s="36"/>
      <c r="M734" s="51"/>
      <c r="N734" s="51"/>
      <c r="O734" s="36"/>
      <c r="P734" s="51">
        <v>-317</v>
      </c>
      <c r="Q734" s="36">
        <v>-288</v>
      </c>
      <c r="R734" s="51">
        <f t="shared" si="68"/>
        <v>-302.5</v>
      </c>
      <c r="S734" s="51"/>
      <c r="T734" s="36"/>
      <c r="U734" s="36">
        <v>-300</v>
      </c>
      <c r="V734" s="51">
        <f t="shared" si="69"/>
        <v>-300</v>
      </c>
      <c r="W734" s="36"/>
      <c r="X734" s="36"/>
      <c r="Y734" s="51">
        <v>-300</v>
      </c>
      <c r="Z734" s="36">
        <f t="shared" si="70"/>
        <v>-300</v>
      </c>
      <c r="AA734" s="36"/>
      <c r="AB734" s="51"/>
      <c r="AC734" s="36">
        <v>-250</v>
      </c>
      <c r="AD734" s="36">
        <f t="shared" si="71"/>
        <v>-250</v>
      </c>
      <c r="AE734" s="51"/>
      <c r="AF734" s="36"/>
      <c r="AG734" s="36">
        <v>-250</v>
      </c>
      <c r="AH734" s="51">
        <f t="shared" si="72"/>
        <v>-250</v>
      </c>
      <c r="AI734" s="36"/>
      <c r="AJ734" s="36"/>
      <c r="AK734" s="36">
        <v>-150</v>
      </c>
      <c r="AL734" s="51">
        <f t="shared" si="73"/>
        <v>-150</v>
      </c>
      <c r="AM734" s="36"/>
      <c r="AN734" s="36"/>
      <c r="AO734" s="36">
        <v>650</v>
      </c>
      <c r="AP734" s="51">
        <f t="shared" si="74"/>
        <v>650</v>
      </c>
      <c r="AQ734" s="36"/>
      <c r="AR734" s="36"/>
      <c r="AS734" s="36"/>
      <c r="AT734" s="51"/>
      <c r="AU734" s="36"/>
      <c r="AV734" s="36"/>
      <c r="AW734" s="36"/>
      <c r="AX734" s="49"/>
    </row>
    <row r="735" spans="1:64" ht="10.199999999999999" customHeight="1" x14ac:dyDescent="0.25">
      <c r="A735" s="14">
        <v>15</v>
      </c>
      <c r="B735" s="103">
        <v>40647</v>
      </c>
      <c r="C735" s="103">
        <v>40640</v>
      </c>
      <c r="D735" s="36"/>
      <c r="E735" s="36"/>
      <c r="F735" s="51"/>
      <c r="G735" s="36"/>
      <c r="H735" s="36"/>
      <c r="I735" s="36"/>
      <c r="J735" s="48"/>
      <c r="K735" s="36"/>
      <c r="L735" s="36"/>
      <c r="M735" s="51"/>
      <c r="N735" s="51"/>
      <c r="O735" s="36"/>
      <c r="P735" s="51">
        <v>-456</v>
      </c>
      <c r="Q735" s="36">
        <v>-338</v>
      </c>
      <c r="R735" s="51">
        <f t="shared" si="68"/>
        <v>-397</v>
      </c>
      <c r="S735" s="51"/>
      <c r="T735" s="36">
        <v>-550</v>
      </c>
      <c r="U735" s="36">
        <v>-450</v>
      </c>
      <c r="V735" s="51">
        <f t="shared" si="69"/>
        <v>-500</v>
      </c>
      <c r="W735" s="36"/>
      <c r="X735" s="36"/>
      <c r="Y735" s="51">
        <v>-300</v>
      </c>
      <c r="Z735" s="36">
        <f t="shared" ref="Z735:Z738" si="75">AVERAGE(X735,Y735)</f>
        <v>-300</v>
      </c>
      <c r="AA735" s="36"/>
      <c r="AB735" s="51"/>
      <c r="AC735" s="36">
        <v>-250</v>
      </c>
      <c r="AD735" s="36">
        <f t="shared" ref="AD735:AD749" si="76">AVERAGE(AB735,AC735)</f>
        <v>-250</v>
      </c>
      <c r="AE735" s="51"/>
      <c r="AF735" s="36"/>
      <c r="AG735" s="36">
        <v>-250</v>
      </c>
      <c r="AH735" s="51">
        <f t="shared" ref="AH735:AH738" si="77">AVERAGE(AF735,AG735)</f>
        <v>-250</v>
      </c>
      <c r="AI735" s="36"/>
      <c r="AJ735" s="36"/>
      <c r="AK735" s="36">
        <v>-200</v>
      </c>
      <c r="AL735" s="51">
        <f t="shared" si="73"/>
        <v>-200</v>
      </c>
      <c r="AM735" s="36"/>
      <c r="AN735" s="36"/>
      <c r="AO735" s="36">
        <v>850</v>
      </c>
      <c r="AP735" s="51">
        <f t="shared" si="74"/>
        <v>850</v>
      </c>
      <c r="AQ735" s="36"/>
      <c r="AR735" s="36"/>
      <c r="AS735" s="36"/>
      <c r="AT735" s="51"/>
      <c r="AU735" s="36"/>
      <c r="AV735" s="36"/>
      <c r="AW735" s="36"/>
      <c r="AX735" s="49"/>
    </row>
    <row r="736" spans="1:64" ht="10.199999999999999" customHeight="1" x14ac:dyDescent="0.25">
      <c r="A736" s="14">
        <v>16</v>
      </c>
      <c r="B736" s="103">
        <v>40654</v>
      </c>
      <c r="C736" s="103">
        <v>40647</v>
      </c>
      <c r="D736" s="36"/>
      <c r="E736" s="36"/>
      <c r="F736" s="51"/>
      <c r="G736" s="36"/>
      <c r="H736" s="36"/>
      <c r="I736" s="36"/>
      <c r="J736" s="51"/>
      <c r="K736" s="36"/>
      <c r="L736" s="36"/>
      <c r="M736" s="51"/>
      <c r="N736" s="51"/>
      <c r="O736" s="36"/>
      <c r="P736" s="51">
        <v>-181</v>
      </c>
      <c r="Q736" s="36">
        <v>-150</v>
      </c>
      <c r="R736" s="51">
        <f t="shared" si="68"/>
        <v>-165.5</v>
      </c>
      <c r="S736" s="51"/>
      <c r="T736" s="36">
        <v>-450</v>
      </c>
      <c r="U736" s="36">
        <v>-450</v>
      </c>
      <c r="V736" s="51">
        <f t="shared" si="69"/>
        <v>-450</v>
      </c>
      <c r="W736" s="36"/>
      <c r="X736" s="36"/>
      <c r="Y736" s="51">
        <v>-300</v>
      </c>
      <c r="Z736" s="36">
        <f t="shared" si="75"/>
        <v>-300</v>
      </c>
      <c r="AA736" s="36"/>
      <c r="AB736" s="51"/>
      <c r="AC736" s="36">
        <v>-250</v>
      </c>
      <c r="AD736" s="36">
        <f t="shared" si="76"/>
        <v>-250</v>
      </c>
      <c r="AE736" s="51"/>
      <c r="AF736" s="36"/>
      <c r="AG736" s="36">
        <v>-250</v>
      </c>
      <c r="AH736" s="51">
        <f t="shared" si="77"/>
        <v>-250</v>
      </c>
      <c r="AI736" s="36"/>
      <c r="AJ736" s="36"/>
      <c r="AK736" s="36">
        <v>-200</v>
      </c>
      <c r="AL736" s="51">
        <f t="shared" ref="AL736:AL737" si="78">AVERAGE(AJ736,AK736)</f>
        <v>-200</v>
      </c>
      <c r="AM736" s="36"/>
      <c r="AN736" s="36"/>
      <c r="AO736" s="36">
        <v>850</v>
      </c>
      <c r="AP736" s="51">
        <f t="shared" ref="AP736:AP737" si="79">AVERAGE(AN736,AO736)</f>
        <v>850</v>
      </c>
      <c r="AQ736" s="36"/>
      <c r="AR736" s="36"/>
      <c r="AS736" s="36"/>
      <c r="AT736" s="51"/>
      <c r="AU736" s="36"/>
      <c r="AV736" s="36"/>
      <c r="AW736" s="36"/>
      <c r="AX736" s="49"/>
    </row>
    <row r="737" spans="1:50" ht="10.199999999999999" customHeight="1" x14ac:dyDescent="0.25">
      <c r="A737" s="14">
        <v>17</v>
      </c>
      <c r="B737" s="103">
        <v>40661</v>
      </c>
      <c r="C737" s="103">
        <v>40654</v>
      </c>
      <c r="D737" s="36"/>
      <c r="E737" s="36"/>
      <c r="F737" s="51"/>
      <c r="G737" s="36"/>
      <c r="H737" s="36"/>
      <c r="I737" s="36"/>
      <c r="J737" s="51"/>
      <c r="K737" s="36"/>
      <c r="L737" s="36"/>
      <c r="M737" s="51"/>
      <c r="N737" s="51"/>
      <c r="O737" s="36"/>
      <c r="P737" s="51"/>
      <c r="Q737" s="36"/>
      <c r="R737" s="51"/>
      <c r="S737" s="51"/>
      <c r="T737" s="36">
        <v>-333</v>
      </c>
      <c r="U737" s="36">
        <v>-450</v>
      </c>
      <c r="V737" s="51">
        <f t="shared" si="69"/>
        <v>-391.5</v>
      </c>
      <c r="W737" s="36"/>
      <c r="X737" s="36"/>
      <c r="Y737" s="51">
        <v>-300</v>
      </c>
      <c r="Z737" s="36">
        <f t="shared" si="75"/>
        <v>-300</v>
      </c>
      <c r="AA737" s="36"/>
      <c r="AB737" s="51"/>
      <c r="AC737" s="36"/>
      <c r="AD737" s="36"/>
      <c r="AE737" s="51"/>
      <c r="AF737" s="36"/>
      <c r="AG737" s="36">
        <v>-300</v>
      </c>
      <c r="AH737" s="51">
        <f t="shared" si="77"/>
        <v>-300</v>
      </c>
      <c r="AI737" s="36"/>
      <c r="AJ737" s="36"/>
      <c r="AK737" s="36">
        <v>-200</v>
      </c>
      <c r="AL737" s="51">
        <f t="shared" si="78"/>
        <v>-200</v>
      </c>
      <c r="AM737" s="36"/>
      <c r="AN737" s="36"/>
      <c r="AO737" s="36">
        <v>650</v>
      </c>
      <c r="AP737" s="51">
        <f t="shared" si="79"/>
        <v>650</v>
      </c>
      <c r="AQ737" s="36"/>
      <c r="AR737" s="36"/>
      <c r="AS737" s="36"/>
      <c r="AT737" s="51"/>
      <c r="AU737" s="36"/>
      <c r="AV737" s="36"/>
      <c r="AW737" s="36"/>
      <c r="AX737" s="49"/>
    </row>
    <row r="738" spans="1:50" ht="10.199999999999999" customHeight="1" x14ac:dyDescent="0.25">
      <c r="A738" s="14">
        <v>18</v>
      </c>
      <c r="B738" s="103">
        <v>40668</v>
      </c>
      <c r="C738" s="103">
        <v>40661</v>
      </c>
      <c r="D738" s="36"/>
      <c r="E738" s="36"/>
      <c r="F738" s="51"/>
      <c r="G738" s="36"/>
      <c r="H738" s="36"/>
      <c r="I738" s="36"/>
      <c r="J738" s="51"/>
      <c r="K738" s="36"/>
      <c r="L738" s="36"/>
      <c r="M738" s="51"/>
      <c r="N738" s="51"/>
      <c r="O738" s="36"/>
      <c r="P738" s="51"/>
      <c r="Q738" s="36"/>
      <c r="R738" s="51"/>
      <c r="S738" s="51"/>
      <c r="T738" s="36">
        <v>-475</v>
      </c>
      <c r="U738" s="36">
        <v>-450</v>
      </c>
      <c r="V738" s="51">
        <f t="shared" si="69"/>
        <v>-462.5</v>
      </c>
      <c r="W738" s="36"/>
      <c r="X738" s="36"/>
      <c r="Y738" s="51">
        <v>-350</v>
      </c>
      <c r="Z738" s="36">
        <f t="shared" si="75"/>
        <v>-350</v>
      </c>
      <c r="AA738" s="36"/>
      <c r="AB738" s="51"/>
      <c r="AC738" s="36"/>
      <c r="AD738" s="36"/>
      <c r="AE738" s="51"/>
      <c r="AF738" s="36"/>
      <c r="AG738" s="36">
        <v>-300</v>
      </c>
      <c r="AH738" s="51">
        <f t="shared" si="77"/>
        <v>-300</v>
      </c>
      <c r="AI738" s="36"/>
      <c r="AJ738" s="36"/>
      <c r="AK738" s="36">
        <v>-200</v>
      </c>
      <c r="AL738" s="51">
        <f t="shared" ref="AL738" si="80">AVERAGE(AJ738,AK738)</f>
        <v>-200</v>
      </c>
      <c r="AM738" s="36"/>
      <c r="AN738" s="36"/>
      <c r="AO738" s="36">
        <v>650</v>
      </c>
      <c r="AP738" s="51">
        <f t="shared" ref="AP738" si="81">AVERAGE(AN738,AO738)</f>
        <v>650</v>
      </c>
      <c r="AQ738" s="36"/>
      <c r="AR738" s="36"/>
      <c r="AS738" s="36"/>
      <c r="AT738" s="51"/>
      <c r="AU738" s="36"/>
      <c r="AV738" s="36"/>
      <c r="AW738" s="36"/>
      <c r="AX738" s="49"/>
    </row>
    <row r="739" spans="1:50" ht="10.199999999999999" customHeight="1" x14ac:dyDescent="0.25">
      <c r="A739" s="14">
        <v>19</v>
      </c>
      <c r="B739" s="103">
        <v>40675</v>
      </c>
      <c r="C739" s="103">
        <v>40668</v>
      </c>
      <c r="D739" s="36"/>
      <c r="E739" s="36"/>
      <c r="F739" s="51"/>
      <c r="G739" s="36"/>
      <c r="H739" s="36"/>
      <c r="I739" s="36"/>
      <c r="J739" s="48"/>
      <c r="K739" s="36"/>
      <c r="L739" s="36"/>
      <c r="M739" s="36"/>
      <c r="N739" s="51"/>
      <c r="O739" s="36"/>
      <c r="P739" s="36"/>
      <c r="Q739" s="36"/>
      <c r="R739" s="51"/>
      <c r="S739" s="36"/>
      <c r="T739" s="36">
        <v>-269</v>
      </c>
      <c r="U739" s="36">
        <v>-375</v>
      </c>
      <c r="V739" s="51">
        <f t="shared" si="69"/>
        <v>-322</v>
      </c>
      <c r="W739" s="36"/>
      <c r="X739" s="36">
        <v>-500</v>
      </c>
      <c r="Y739" s="36">
        <v>-350</v>
      </c>
      <c r="Z739" s="36">
        <f t="shared" ref="Z739:Z744" si="82">AVERAGE(X739,Y739)</f>
        <v>-425</v>
      </c>
      <c r="AA739" s="36"/>
      <c r="AB739" s="36">
        <v>-400</v>
      </c>
      <c r="AC739" s="36"/>
      <c r="AD739" s="36">
        <f t="shared" si="76"/>
        <v>-400</v>
      </c>
      <c r="AE739" s="36"/>
      <c r="AF739" s="36"/>
      <c r="AG739" s="36">
        <v>-300</v>
      </c>
      <c r="AH739" s="51">
        <f t="shared" ref="AH739:AH753" si="83">AVERAGE(AF739,AG739)</f>
        <v>-300</v>
      </c>
      <c r="AI739" s="36"/>
      <c r="AJ739" s="36"/>
      <c r="AK739" s="36">
        <v>-200</v>
      </c>
      <c r="AL739" s="51">
        <f t="shared" ref="AL739:AL740" si="84">AVERAGE(AJ739,AK739)</f>
        <v>-200</v>
      </c>
      <c r="AM739" s="36"/>
      <c r="AN739" s="36"/>
      <c r="AO739" s="36">
        <v>750</v>
      </c>
      <c r="AP739" s="51">
        <f t="shared" ref="AP739:AP740" si="85">AVERAGE(AN739,AO739)</f>
        <v>750</v>
      </c>
      <c r="AQ739" s="36"/>
      <c r="AR739" s="36"/>
      <c r="AS739" s="36"/>
      <c r="AT739" s="51"/>
      <c r="AU739" s="36"/>
      <c r="AV739" s="36"/>
      <c r="AW739" s="36"/>
      <c r="AX739" s="49"/>
    </row>
    <row r="740" spans="1:50" ht="10.199999999999999" customHeight="1" x14ac:dyDescent="0.25">
      <c r="A740" s="14">
        <v>20</v>
      </c>
      <c r="B740" s="103">
        <v>40682</v>
      </c>
      <c r="C740" s="103">
        <v>40675</v>
      </c>
      <c r="D740" s="36"/>
      <c r="E740" s="36"/>
      <c r="F740" s="51"/>
      <c r="G740" s="36"/>
      <c r="H740" s="36"/>
      <c r="I740" s="36"/>
      <c r="J740" s="51"/>
      <c r="K740" s="36"/>
      <c r="L740" s="36"/>
      <c r="M740" s="36"/>
      <c r="N740" s="51"/>
      <c r="O740" s="36"/>
      <c r="P740" s="36"/>
      <c r="Q740" s="36"/>
      <c r="R740" s="51"/>
      <c r="S740" s="36"/>
      <c r="T740" s="36">
        <v>38</v>
      </c>
      <c r="U740" s="36">
        <v>-317</v>
      </c>
      <c r="V740" s="51">
        <f t="shared" si="69"/>
        <v>-139.5</v>
      </c>
      <c r="W740" s="36"/>
      <c r="X740" s="36">
        <v>-396</v>
      </c>
      <c r="Y740" s="36">
        <v>-438</v>
      </c>
      <c r="Z740" s="51">
        <f t="shared" si="82"/>
        <v>-417</v>
      </c>
      <c r="AA740" s="36"/>
      <c r="AB740" s="36">
        <v>-400</v>
      </c>
      <c r="AC740" s="36">
        <v>-400</v>
      </c>
      <c r="AD740" s="36">
        <f t="shared" si="76"/>
        <v>-400</v>
      </c>
      <c r="AE740" s="36"/>
      <c r="AF740" s="36">
        <v>-400</v>
      </c>
      <c r="AG740" s="36">
        <v>-300</v>
      </c>
      <c r="AH740" s="51">
        <f t="shared" si="83"/>
        <v>-350</v>
      </c>
      <c r="AI740" s="36"/>
      <c r="AJ740" s="36"/>
      <c r="AK740" s="36">
        <v>-250</v>
      </c>
      <c r="AL740" s="51">
        <f t="shared" si="84"/>
        <v>-250</v>
      </c>
      <c r="AM740" s="36"/>
      <c r="AN740" s="36"/>
      <c r="AO740" s="36">
        <v>750</v>
      </c>
      <c r="AP740" s="51">
        <f t="shared" si="85"/>
        <v>750</v>
      </c>
      <c r="AQ740" s="36"/>
      <c r="AR740" s="36"/>
      <c r="AS740" s="36"/>
      <c r="AT740" s="51"/>
      <c r="AU740" s="36"/>
      <c r="AV740" s="36"/>
      <c r="AW740" s="36"/>
      <c r="AX740" s="49"/>
    </row>
    <row r="741" spans="1:50" ht="10.199999999999999" customHeight="1" x14ac:dyDescent="0.25">
      <c r="A741" s="14">
        <v>21</v>
      </c>
      <c r="B741" s="103">
        <v>40689</v>
      </c>
      <c r="C741" s="103">
        <v>40682</v>
      </c>
      <c r="D741" s="51"/>
      <c r="E741" s="51"/>
      <c r="F741" s="51"/>
      <c r="G741" s="36"/>
      <c r="H741" s="36"/>
      <c r="I741" s="36"/>
      <c r="J741" s="51"/>
      <c r="K741" s="36"/>
      <c r="L741" s="36"/>
      <c r="M741" s="36"/>
      <c r="N741" s="51"/>
      <c r="O741" s="36"/>
      <c r="P741" s="36"/>
      <c r="Q741" s="36"/>
      <c r="R741" s="51"/>
      <c r="S741" s="36"/>
      <c r="T741" s="36"/>
      <c r="U741" s="36"/>
      <c r="V741" s="51"/>
      <c r="W741" s="36"/>
      <c r="X741" s="36">
        <v>-201</v>
      </c>
      <c r="Y741" s="36">
        <v>-350</v>
      </c>
      <c r="Z741" s="51">
        <f t="shared" si="82"/>
        <v>-275.5</v>
      </c>
      <c r="AA741" s="36"/>
      <c r="AB741" s="36">
        <v>-400</v>
      </c>
      <c r="AC741" s="36">
        <v>-375</v>
      </c>
      <c r="AD741" s="36">
        <f t="shared" si="76"/>
        <v>-387.5</v>
      </c>
      <c r="AE741" s="36"/>
      <c r="AF741" s="36"/>
      <c r="AG741" s="36">
        <v>-300</v>
      </c>
      <c r="AH741" s="51">
        <f t="shared" si="83"/>
        <v>-300</v>
      </c>
      <c r="AI741" s="36"/>
      <c r="AJ741" s="36"/>
      <c r="AK741" s="36">
        <v>-250</v>
      </c>
      <c r="AL741" s="51">
        <f t="shared" ref="AL741:AL757" si="86">AVERAGE(AJ741,AK741)</f>
        <v>-250</v>
      </c>
      <c r="AM741" s="36"/>
      <c r="AN741" s="36"/>
      <c r="AO741" s="36">
        <v>600</v>
      </c>
      <c r="AP741" s="51">
        <f t="shared" ref="AP741:AP752" si="87">AVERAGE(AN741,AO741)</f>
        <v>600</v>
      </c>
      <c r="AQ741" s="36"/>
      <c r="AR741" s="36"/>
      <c r="AS741" s="36"/>
      <c r="AT741" s="51"/>
      <c r="AU741" s="36"/>
      <c r="AV741" s="36">
        <v>0</v>
      </c>
      <c r="AW741" s="36"/>
      <c r="AX741" s="51">
        <f>AVERAGE(AV741,AW741)</f>
        <v>0</v>
      </c>
    </row>
    <row r="742" spans="1:50" ht="10.199999999999999" customHeight="1" x14ac:dyDescent="0.25">
      <c r="A742" s="14">
        <v>22</v>
      </c>
      <c r="B742" s="103">
        <v>40696</v>
      </c>
      <c r="C742" s="103">
        <v>40689</v>
      </c>
      <c r="D742" s="51"/>
      <c r="E742" s="51"/>
      <c r="F742" s="51"/>
      <c r="G742" s="36"/>
      <c r="H742" s="36"/>
      <c r="I742" s="36"/>
      <c r="J742" s="51"/>
      <c r="K742" s="36"/>
      <c r="L742" s="36"/>
      <c r="M742" s="36"/>
      <c r="N742" s="51"/>
      <c r="O742" s="36"/>
      <c r="P742" s="36"/>
      <c r="Q742" s="36"/>
      <c r="R742" s="51"/>
      <c r="S742" s="36"/>
      <c r="T742" s="36"/>
      <c r="U742" s="36"/>
      <c r="V742" s="51"/>
      <c r="W742" s="36"/>
      <c r="X742" s="36">
        <v>-254</v>
      </c>
      <c r="Y742" s="36">
        <v>-311</v>
      </c>
      <c r="Z742" s="51">
        <f t="shared" si="82"/>
        <v>-282.5</v>
      </c>
      <c r="AA742" s="36"/>
      <c r="AB742" s="36"/>
      <c r="AC742" s="36">
        <v>-375</v>
      </c>
      <c r="AD742" s="36">
        <f t="shared" si="76"/>
        <v>-375</v>
      </c>
      <c r="AE742" s="36"/>
      <c r="AF742" s="36"/>
      <c r="AG742" s="36">
        <v>-300</v>
      </c>
      <c r="AH742" s="51">
        <f t="shared" si="83"/>
        <v>-300</v>
      </c>
      <c r="AI742" s="36"/>
      <c r="AJ742" s="36">
        <v>300</v>
      </c>
      <c r="AK742" s="36">
        <v>-250</v>
      </c>
      <c r="AL742" s="51">
        <f t="shared" si="86"/>
        <v>25</v>
      </c>
      <c r="AM742" s="36"/>
      <c r="AN742" s="36"/>
      <c r="AO742" s="36">
        <v>700</v>
      </c>
      <c r="AP742" s="51">
        <f t="shared" si="87"/>
        <v>700</v>
      </c>
      <c r="AQ742" s="36"/>
      <c r="AR742" s="36"/>
      <c r="AS742" s="36"/>
      <c r="AT742" s="51"/>
      <c r="AU742" s="36"/>
      <c r="AV742" s="36">
        <v>0</v>
      </c>
      <c r="AW742" s="36"/>
      <c r="AX742" s="51">
        <f>AVERAGE(AV742,AW742)</f>
        <v>0</v>
      </c>
    </row>
    <row r="743" spans="1:50" ht="10.199999999999999" customHeight="1" x14ac:dyDescent="0.25">
      <c r="A743" s="14">
        <v>23</v>
      </c>
      <c r="B743" s="103">
        <v>40703</v>
      </c>
      <c r="C743" s="103">
        <v>40696</v>
      </c>
      <c r="D743" s="51"/>
      <c r="E743" s="51"/>
      <c r="F743" s="51"/>
      <c r="G743" s="36"/>
      <c r="H743" s="36"/>
      <c r="I743" s="36"/>
      <c r="J743" s="48"/>
      <c r="K743" s="36"/>
      <c r="L743" s="36"/>
      <c r="M743" s="36"/>
      <c r="N743" s="51"/>
      <c r="O743" s="36"/>
      <c r="P743" s="36"/>
      <c r="Q743" s="36"/>
      <c r="R743" s="51"/>
      <c r="S743" s="36"/>
      <c r="T743" s="36"/>
      <c r="U743" s="36"/>
      <c r="V743" s="51"/>
      <c r="W743" s="36"/>
      <c r="X743" s="36">
        <v>0</v>
      </c>
      <c r="Y743" s="36">
        <v>-258</v>
      </c>
      <c r="Z743" s="51">
        <f t="shared" si="82"/>
        <v>-129</v>
      </c>
      <c r="AA743" s="36"/>
      <c r="AB743" s="36">
        <v>-300</v>
      </c>
      <c r="AC743" s="36">
        <v>-425</v>
      </c>
      <c r="AD743" s="36">
        <f t="shared" si="76"/>
        <v>-362.5</v>
      </c>
      <c r="AE743" s="36"/>
      <c r="AF743" s="36"/>
      <c r="AG743" s="36">
        <v>-300</v>
      </c>
      <c r="AH743" s="51">
        <f t="shared" si="83"/>
        <v>-300</v>
      </c>
      <c r="AI743" s="36"/>
      <c r="AJ743" s="36"/>
      <c r="AK743" s="36">
        <v>-250</v>
      </c>
      <c r="AL743" s="51">
        <f t="shared" si="86"/>
        <v>-250</v>
      </c>
      <c r="AM743" s="36"/>
      <c r="AN743" s="36"/>
      <c r="AO743" s="36">
        <v>700</v>
      </c>
      <c r="AP743" s="51">
        <f t="shared" si="87"/>
        <v>700</v>
      </c>
      <c r="AQ743" s="36"/>
      <c r="AR743" s="36"/>
      <c r="AS743" s="36"/>
      <c r="AT743" s="51"/>
      <c r="AU743" s="36"/>
      <c r="AV743" s="36"/>
      <c r="AW743" s="36"/>
      <c r="AX743" s="49"/>
    </row>
    <row r="744" spans="1:50" ht="10.199999999999999" customHeight="1" x14ac:dyDescent="0.25">
      <c r="A744" s="14">
        <v>24</v>
      </c>
      <c r="B744" s="103">
        <v>40710</v>
      </c>
      <c r="C744" s="103">
        <v>40703</v>
      </c>
      <c r="D744" s="51"/>
      <c r="E744" s="51"/>
      <c r="F744" s="51"/>
      <c r="G744" s="36"/>
      <c r="H744" s="36"/>
      <c r="I744" s="36"/>
      <c r="J744" s="51"/>
      <c r="K744" s="36"/>
      <c r="L744" s="36"/>
      <c r="M744" s="36"/>
      <c r="N744" s="51"/>
      <c r="O744" s="36"/>
      <c r="P744" s="36"/>
      <c r="Q744" s="36"/>
      <c r="R744" s="51"/>
      <c r="S744" s="36"/>
      <c r="T744" s="36"/>
      <c r="U744" s="36"/>
      <c r="V744" s="51"/>
      <c r="W744" s="36"/>
      <c r="X744" s="36">
        <v>-100</v>
      </c>
      <c r="Y744" s="36">
        <v>-325</v>
      </c>
      <c r="Z744" s="51">
        <f t="shared" si="82"/>
        <v>-212.5</v>
      </c>
      <c r="AA744" s="36"/>
      <c r="AB744" s="36">
        <v>0</v>
      </c>
      <c r="AC744" s="36">
        <v>-350</v>
      </c>
      <c r="AD744" s="51">
        <f t="shared" si="76"/>
        <v>-175</v>
      </c>
      <c r="AE744" s="36"/>
      <c r="AF744" s="36"/>
      <c r="AG744" s="36">
        <v>-300</v>
      </c>
      <c r="AH744" s="51">
        <f t="shared" si="83"/>
        <v>-300</v>
      </c>
      <c r="AI744" s="36"/>
      <c r="AJ744" s="36"/>
      <c r="AK744" s="36">
        <v>-250</v>
      </c>
      <c r="AL744" s="51">
        <f t="shared" si="86"/>
        <v>-250</v>
      </c>
      <c r="AM744" s="36"/>
      <c r="AN744" s="36"/>
      <c r="AO744" s="36">
        <v>600</v>
      </c>
      <c r="AP744" s="51">
        <f t="shared" si="87"/>
        <v>600</v>
      </c>
      <c r="AQ744" s="36"/>
      <c r="AR744" s="36"/>
      <c r="AS744" s="36"/>
      <c r="AT744" s="51"/>
      <c r="AU744" s="36"/>
      <c r="AV744" s="36"/>
      <c r="AW744" s="36"/>
      <c r="AX744" s="49"/>
    </row>
    <row r="745" spans="1:50" ht="10.199999999999999" customHeight="1" x14ac:dyDescent="0.25">
      <c r="A745" s="14">
        <v>25</v>
      </c>
      <c r="B745" s="103">
        <v>40717</v>
      </c>
      <c r="C745" s="103">
        <v>40710</v>
      </c>
      <c r="D745" s="51"/>
      <c r="E745" s="51"/>
      <c r="F745" s="51"/>
      <c r="G745" s="36"/>
      <c r="H745" s="36"/>
      <c r="I745" s="36"/>
      <c r="J745" s="51"/>
      <c r="K745" s="36"/>
      <c r="L745" s="36"/>
      <c r="M745" s="36"/>
      <c r="N745" s="51"/>
      <c r="O745" s="36"/>
      <c r="P745" s="36"/>
      <c r="Q745" s="36"/>
      <c r="R745" s="51"/>
      <c r="S745" s="36"/>
      <c r="T745" s="36"/>
      <c r="U745" s="36"/>
      <c r="V745" s="51"/>
      <c r="W745" s="36"/>
      <c r="X745" s="36"/>
      <c r="Y745" s="36"/>
      <c r="Z745" s="51"/>
      <c r="AA745" s="36"/>
      <c r="AB745" s="36">
        <v>-425</v>
      </c>
      <c r="AC745" s="36">
        <v>-350</v>
      </c>
      <c r="AD745" s="51">
        <f t="shared" si="76"/>
        <v>-387.5</v>
      </c>
      <c r="AE745" s="36"/>
      <c r="AF745" s="36"/>
      <c r="AG745" s="36">
        <v>-300</v>
      </c>
      <c r="AH745" s="51">
        <f t="shared" si="83"/>
        <v>-300</v>
      </c>
      <c r="AI745" s="36"/>
      <c r="AJ745" s="36"/>
      <c r="AK745" s="36">
        <v>-250</v>
      </c>
      <c r="AL745" s="51">
        <f t="shared" si="86"/>
        <v>-250</v>
      </c>
      <c r="AM745" s="36"/>
      <c r="AN745" s="36"/>
      <c r="AO745" s="36">
        <v>500</v>
      </c>
      <c r="AP745" s="51">
        <f t="shared" si="87"/>
        <v>500</v>
      </c>
      <c r="AQ745" s="36"/>
      <c r="AR745" s="36"/>
      <c r="AS745" s="36"/>
      <c r="AT745" s="51"/>
      <c r="AU745" s="36"/>
      <c r="AV745" s="36"/>
      <c r="AW745" s="36"/>
      <c r="AX745" s="49"/>
    </row>
    <row r="746" spans="1:50" ht="10.199999999999999" customHeight="1" x14ac:dyDescent="0.25">
      <c r="A746" s="14">
        <v>26</v>
      </c>
      <c r="B746" s="103">
        <v>40724</v>
      </c>
      <c r="C746" s="103">
        <v>40717</v>
      </c>
      <c r="D746" s="51"/>
      <c r="E746" s="51"/>
      <c r="F746" s="51"/>
      <c r="G746" s="36"/>
      <c r="H746" s="36"/>
      <c r="I746" s="36"/>
      <c r="J746" s="51"/>
      <c r="K746" s="36"/>
      <c r="L746" s="36"/>
      <c r="M746" s="36"/>
      <c r="N746" s="51"/>
      <c r="O746" s="36"/>
      <c r="P746" s="36"/>
      <c r="Q746" s="36"/>
      <c r="R746" s="51"/>
      <c r="S746" s="36"/>
      <c r="T746" s="36"/>
      <c r="U746" s="36"/>
      <c r="V746" s="51"/>
      <c r="W746" s="36"/>
      <c r="X746" s="36"/>
      <c r="Y746" s="36"/>
      <c r="Z746" s="51"/>
      <c r="AA746" s="36"/>
      <c r="AB746" s="36">
        <v>-263</v>
      </c>
      <c r="AC746" s="36">
        <v>-450</v>
      </c>
      <c r="AD746" s="51">
        <f t="shared" si="76"/>
        <v>-356.5</v>
      </c>
      <c r="AE746" s="36"/>
      <c r="AF746" s="36"/>
      <c r="AG746" s="36">
        <v>-500</v>
      </c>
      <c r="AH746" s="51">
        <f t="shared" si="83"/>
        <v>-500</v>
      </c>
      <c r="AI746" s="36"/>
      <c r="AJ746" s="36"/>
      <c r="AK746" s="36">
        <v>-250</v>
      </c>
      <c r="AL746" s="51">
        <f t="shared" si="86"/>
        <v>-250</v>
      </c>
      <c r="AM746" s="36"/>
      <c r="AN746" s="36"/>
      <c r="AO746" s="36">
        <v>500</v>
      </c>
      <c r="AP746" s="51">
        <f t="shared" si="87"/>
        <v>500</v>
      </c>
      <c r="AQ746" s="36"/>
      <c r="AR746" s="36"/>
      <c r="AS746" s="36"/>
      <c r="AT746" s="51"/>
      <c r="AU746" s="36"/>
      <c r="AV746" s="36"/>
      <c r="AW746" s="36"/>
      <c r="AX746" s="49"/>
    </row>
    <row r="747" spans="1:50" ht="10.199999999999999" customHeight="1" x14ac:dyDescent="0.25">
      <c r="A747" s="14">
        <v>27</v>
      </c>
      <c r="B747" s="103">
        <v>40731</v>
      </c>
      <c r="C747" s="103">
        <v>40724</v>
      </c>
      <c r="D747" s="51"/>
      <c r="E747" s="51"/>
      <c r="F747" s="51"/>
      <c r="G747" s="36"/>
      <c r="H747" s="36"/>
      <c r="I747" s="36"/>
      <c r="J747" s="51"/>
      <c r="K747" s="36"/>
      <c r="L747" s="36"/>
      <c r="M747" s="36"/>
      <c r="N747" s="51"/>
      <c r="O747" s="36"/>
      <c r="P747" s="36"/>
      <c r="Q747" s="36"/>
      <c r="R747" s="51"/>
      <c r="S747" s="36"/>
      <c r="T747" s="36"/>
      <c r="U747" s="36"/>
      <c r="V747" s="51"/>
      <c r="W747" s="36"/>
      <c r="X747" s="36"/>
      <c r="Y747" s="36"/>
      <c r="Z747" s="51"/>
      <c r="AA747" s="36"/>
      <c r="AB747" s="36">
        <v>-275</v>
      </c>
      <c r="AC747" s="36">
        <v>-433</v>
      </c>
      <c r="AD747" s="51">
        <f t="shared" si="76"/>
        <v>-354</v>
      </c>
      <c r="AE747" s="36"/>
      <c r="AF747" s="36"/>
      <c r="AG747" s="36">
        <v>-300</v>
      </c>
      <c r="AH747" s="51">
        <f t="shared" si="83"/>
        <v>-300</v>
      </c>
      <c r="AI747" s="36"/>
      <c r="AJ747" s="36"/>
      <c r="AK747" s="36">
        <v>-250</v>
      </c>
      <c r="AL747" s="51">
        <f t="shared" si="86"/>
        <v>-250</v>
      </c>
      <c r="AM747" s="36"/>
      <c r="AN747" s="36"/>
      <c r="AO747" s="36">
        <v>425</v>
      </c>
      <c r="AP747" s="51">
        <f t="shared" si="87"/>
        <v>425</v>
      </c>
      <c r="AQ747" s="36"/>
      <c r="AR747" s="36"/>
      <c r="AS747" s="36"/>
      <c r="AT747" s="51"/>
      <c r="AU747" s="36"/>
      <c r="AV747" s="36"/>
      <c r="AW747" s="36"/>
      <c r="AX747" s="49"/>
    </row>
    <row r="748" spans="1:50" ht="10.199999999999999" customHeight="1" x14ac:dyDescent="0.25">
      <c r="A748" s="14">
        <v>28</v>
      </c>
      <c r="B748" s="103">
        <v>40738</v>
      </c>
      <c r="C748" s="103">
        <v>40731</v>
      </c>
      <c r="D748" s="51"/>
      <c r="E748" s="51"/>
      <c r="F748" s="51"/>
      <c r="G748" s="36"/>
      <c r="H748" s="36"/>
      <c r="I748" s="36"/>
      <c r="J748" s="51"/>
      <c r="K748" s="36"/>
      <c r="L748" s="36"/>
      <c r="M748" s="36"/>
      <c r="N748" s="51"/>
      <c r="O748" s="36"/>
      <c r="P748" s="36"/>
      <c r="Q748" s="36"/>
      <c r="R748" s="51"/>
      <c r="S748" s="36"/>
      <c r="T748" s="36"/>
      <c r="U748" s="36"/>
      <c r="V748" s="51"/>
      <c r="W748" s="36"/>
      <c r="X748" s="36"/>
      <c r="Y748" s="36"/>
      <c r="Z748" s="51"/>
      <c r="AA748" s="36"/>
      <c r="AB748" s="36">
        <v>-375</v>
      </c>
      <c r="AC748" s="36">
        <v>-388</v>
      </c>
      <c r="AD748" s="51">
        <f t="shared" si="76"/>
        <v>-381.5</v>
      </c>
      <c r="AE748" s="36"/>
      <c r="AF748" s="36"/>
      <c r="AG748" s="36">
        <v>-300</v>
      </c>
      <c r="AH748" s="51">
        <f t="shared" si="83"/>
        <v>-300</v>
      </c>
      <c r="AI748" s="36"/>
      <c r="AJ748" s="36"/>
      <c r="AK748" s="36">
        <v>-300</v>
      </c>
      <c r="AL748" s="51">
        <f t="shared" si="86"/>
        <v>-300</v>
      </c>
      <c r="AM748" s="36"/>
      <c r="AN748" s="36"/>
      <c r="AO748" s="36">
        <v>425</v>
      </c>
      <c r="AP748" s="51">
        <f t="shared" si="87"/>
        <v>425</v>
      </c>
      <c r="AQ748" s="36"/>
      <c r="AR748" s="36">
        <v>450</v>
      </c>
      <c r="AS748" s="36"/>
      <c r="AT748" s="51">
        <f>AVERAGE(AR748:AS748)</f>
        <v>450</v>
      </c>
      <c r="AU748" s="36"/>
      <c r="AV748" s="36"/>
      <c r="AW748" s="36"/>
      <c r="AX748" s="49"/>
    </row>
    <row r="749" spans="1:50" ht="10.199999999999999" customHeight="1" x14ac:dyDescent="0.25">
      <c r="A749" s="14">
        <v>29</v>
      </c>
      <c r="B749" s="103">
        <v>40745</v>
      </c>
      <c r="C749" s="103">
        <v>40738</v>
      </c>
      <c r="D749" s="51"/>
      <c r="E749" s="51"/>
      <c r="F749" s="51"/>
      <c r="G749" s="36"/>
      <c r="H749" s="36"/>
      <c r="I749" s="36"/>
      <c r="J749" s="51"/>
      <c r="K749" s="36"/>
      <c r="L749" s="36"/>
      <c r="M749" s="36"/>
      <c r="N749" s="51"/>
      <c r="O749" s="36"/>
      <c r="P749" s="36"/>
      <c r="Q749" s="36"/>
      <c r="R749" s="51"/>
      <c r="S749" s="36"/>
      <c r="T749" s="36"/>
      <c r="U749" s="36"/>
      <c r="V749" s="51"/>
      <c r="W749" s="36"/>
      <c r="X749" s="36"/>
      <c r="Y749" s="36"/>
      <c r="Z749" s="51"/>
      <c r="AA749" s="36"/>
      <c r="AB749" s="36">
        <v>-425</v>
      </c>
      <c r="AC749" s="36">
        <v>-300</v>
      </c>
      <c r="AD749" s="51">
        <f t="shared" si="76"/>
        <v>-362.5</v>
      </c>
      <c r="AE749" s="36"/>
      <c r="AF749" s="36">
        <v>-400</v>
      </c>
      <c r="AG749" s="36">
        <v>-450</v>
      </c>
      <c r="AH749" s="51">
        <f t="shared" si="83"/>
        <v>-425</v>
      </c>
      <c r="AI749" s="36"/>
      <c r="AJ749" s="36">
        <v>-400</v>
      </c>
      <c r="AK749" s="36">
        <v>-400</v>
      </c>
      <c r="AL749" s="51">
        <f t="shared" si="86"/>
        <v>-400</v>
      </c>
      <c r="AM749" s="36"/>
      <c r="AN749" s="36"/>
      <c r="AO749" s="36">
        <v>550</v>
      </c>
      <c r="AP749" s="51">
        <f t="shared" si="87"/>
        <v>550</v>
      </c>
      <c r="AQ749" s="36"/>
      <c r="AR749" s="36">
        <v>400</v>
      </c>
      <c r="AS749" s="36">
        <v>263</v>
      </c>
      <c r="AT749" s="51">
        <f>AVERAGE(AR749:AS749)</f>
        <v>331.5</v>
      </c>
      <c r="AU749" s="36"/>
      <c r="AV749" s="36">
        <v>-25</v>
      </c>
      <c r="AW749" s="36">
        <v>0</v>
      </c>
      <c r="AX749" s="51">
        <f>AVERAGE(AV749:AW749)</f>
        <v>-12.5</v>
      </c>
    </row>
    <row r="750" spans="1:50" ht="9.6" customHeight="1" x14ac:dyDescent="0.25">
      <c r="A750" s="14">
        <v>30</v>
      </c>
      <c r="B750" s="103">
        <v>40752</v>
      </c>
      <c r="C750" s="103">
        <v>40745</v>
      </c>
      <c r="D750" s="51"/>
      <c r="E750" s="51"/>
      <c r="F750" s="51"/>
      <c r="G750" s="36"/>
      <c r="H750" s="36"/>
      <c r="I750" s="36"/>
      <c r="J750" s="51"/>
      <c r="K750" s="36"/>
      <c r="L750" s="36"/>
      <c r="M750" s="36"/>
      <c r="N750" s="51"/>
      <c r="O750" s="36"/>
      <c r="P750" s="36"/>
      <c r="Q750" s="36"/>
      <c r="R750" s="51"/>
      <c r="S750" s="36"/>
      <c r="T750" s="36"/>
      <c r="U750" s="36"/>
      <c r="V750" s="51"/>
      <c r="W750" s="36"/>
      <c r="X750" s="36"/>
      <c r="Y750" s="36"/>
      <c r="Z750" s="51"/>
      <c r="AA750" s="36"/>
      <c r="AB750" s="36"/>
      <c r="AC750" s="36"/>
      <c r="AD750" s="48"/>
      <c r="AE750" s="36"/>
      <c r="AF750" s="36">
        <v>-600</v>
      </c>
      <c r="AG750" s="36">
        <v>-550</v>
      </c>
      <c r="AH750" s="51">
        <f t="shared" si="83"/>
        <v>-575</v>
      </c>
      <c r="AI750" s="36"/>
      <c r="AJ750" s="36"/>
      <c r="AK750" s="36">
        <v>-500</v>
      </c>
      <c r="AL750" s="51">
        <f t="shared" si="86"/>
        <v>-500</v>
      </c>
      <c r="AM750" s="36"/>
      <c r="AN750" s="36">
        <v>800</v>
      </c>
      <c r="AO750" s="36">
        <v>450</v>
      </c>
      <c r="AP750" s="51">
        <f t="shared" si="87"/>
        <v>625</v>
      </c>
      <c r="AQ750" s="36"/>
      <c r="AR750" s="36">
        <v>400</v>
      </c>
      <c r="AS750" s="36">
        <v>250</v>
      </c>
      <c r="AT750" s="51">
        <f>AVERAGE(AR750:AS750)</f>
        <v>325</v>
      </c>
      <c r="AU750" s="36"/>
      <c r="AV750" s="36"/>
      <c r="AW750" s="36">
        <v>0</v>
      </c>
      <c r="AX750" s="51">
        <f t="shared" ref="AX750:AX752" si="88">AVERAGE(AV750:AW750)</f>
        <v>0</v>
      </c>
    </row>
    <row r="751" spans="1:50" ht="9.6" customHeight="1" x14ac:dyDescent="0.25">
      <c r="A751" s="14">
        <v>31</v>
      </c>
      <c r="B751" s="103">
        <v>40759</v>
      </c>
      <c r="C751" s="103">
        <v>40752</v>
      </c>
      <c r="D751" s="51"/>
      <c r="E751" s="51"/>
      <c r="F751" s="51"/>
      <c r="J751" s="49"/>
      <c r="N751" s="49"/>
      <c r="R751" s="51"/>
      <c r="V751" s="49"/>
      <c r="Z751" s="49"/>
      <c r="AD751" s="48"/>
      <c r="AF751" s="36">
        <v>-667</v>
      </c>
      <c r="AG751" s="36">
        <v>-725</v>
      </c>
      <c r="AH751" s="51">
        <f t="shared" si="83"/>
        <v>-696</v>
      </c>
      <c r="AJ751" s="36">
        <v>-200</v>
      </c>
      <c r="AK751" s="14">
        <v>-700</v>
      </c>
      <c r="AL751" s="51">
        <f t="shared" si="86"/>
        <v>-450</v>
      </c>
      <c r="AP751" s="51"/>
      <c r="AR751" s="36"/>
      <c r="AT751" s="51"/>
      <c r="AW751" s="36">
        <v>0</v>
      </c>
      <c r="AX751" s="51">
        <f t="shared" si="88"/>
        <v>0</v>
      </c>
    </row>
    <row r="752" spans="1:50" ht="9.6" customHeight="1" x14ac:dyDescent="0.25">
      <c r="A752" s="14">
        <v>32</v>
      </c>
      <c r="B752" s="103">
        <v>40766</v>
      </c>
      <c r="C752" s="103">
        <v>40759</v>
      </c>
      <c r="D752" s="51"/>
      <c r="E752" s="51"/>
      <c r="F752" s="51"/>
      <c r="J752" s="49"/>
      <c r="N752" s="49"/>
      <c r="R752" s="51"/>
      <c r="V752" s="49"/>
      <c r="Z752" s="49"/>
      <c r="AD752" s="49"/>
      <c r="AF752" s="14">
        <v>-679</v>
      </c>
      <c r="AG752" s="36">
        <v>-650</v>
      </c>
      <c r="AH752" s="51">
        <f t="shared" si="83"/>
        <v>-664.5</v>
      </c>
      <c r="AJ752" s="36">
        <v>-483</v>
      </c>
      <c r="AK752" s="14">
        <v>-567</v>
      </c>
      <c r="AL752" s="51">
        <f t="shared" si="86"/>
        <v>-525</v>
      </c>
      <c r="AO752" s="14">
        <v>250</v>
      </c>
      <c r="AP752" s="51">
        <f t="shared" si="87"/>
        <v>250</v>
      </c>
      <c r="AR752" s="36"/>
      <c r="AS752" s="36">
        <v>250</v>
      </c>
      <c r="AT752" s="51">
        <f t="shared" ref="AT752:AT766" si="89">AVERAGE(AR752:AS752)</f>
        <v>250</v>
      </c>
      <c r="AW752" s="14">
        <v>-100</v>
      </c>
      <c r="AX752" s="51">
        <f t="shared" si="88"/>
        <v>-100</v>
      </c>
    </row>
    <row r="753" spans="1:50" ht="9.6" customHeight="1" x14ac:dyDescent="0.25">
      <c r="A753" s="14">
        <v>33</v>
      </c>
      <c r="B753" s="103">
        <v>40773</v>
      </c>
      <c r="C753" s="103">
        <v>40766</v>
      </c>
      <c r="D753" s="51"/>
      <c r="E753" s="51"/>
      <c r="F753" s="51"/>
      <c r="J753" s="49"/>
      <c r="N753" s="49"/>
      <c r="R753" s="51"/>
      <c r="V753" s="49"/>
      <c r="Z753" s="49"/>
      <c r="AD753" s="49"/>
      <c r="AF753" s="14">
        <v>-288</v>
      </c>
      <c r="AG753" s="36">
        <v>-675</v>
      </c>
      <c r="AH753" s="48">
        <f t="shared" si="83"/>
        <v>-481.5</v>
      </c>
      <c r="AJ753" s="14">
        <v>-406</v>
      </c>
      <c r="AK753" s="14">
        <v>-533</v>
      </c>
      <c r="AL753" s="51">
        <f t="shared" si="86"/>
        <v>-469.5</v>
      </c>
      <c r="AN753" s="36">
        <v>450</v>
      </c>
      <c r="AO753" s="14">
        <v>300</v>
      </c>
      <c r="AP753" s="51">
        <f t="shared" ref="AP753:AP758" si="90">AVERAGE(AN753,AO753)</f>
        <v>375</v>
      </c>
      <c r="AR753" s="36"/>
      <c r="AS753" s="36">
        <v>250</v>
      </c>
      <c r="AT753" s="51">
        <f t="shared" si="89"/>
        <v>250</v>
      </c>
      <c r="AW753" s="14">
        <v>-100</v>
      </c>
      <c r="AX753" s="51">
        <f t="shared" ref="AX753:AX770" si="91">AVERAGE(AV753:AW753)</f>
        <v>-100</v>
      </c>
    </row>
    <row r="754" spans="1:50" ht="9.6" customHeight="1" x14ac:dyDescent="0.25">
      <c r="A754" s="14">
        <v>34</v>
      </c>
      <c r="B754" s="103">
        <v>40780</v>
      </c>
      <c r="C754" s="103">
        <v>40773</v>
      </c>
      <c r="D754" s="51"/>
      <c r="E754" s="51"/>
      <c r="F754" s="51"/>
      <c r="J754" s="49"/>
      <c r="N754" s="49"/>
      <c r="R754" s="51"/>
      <c r="V754" s="49"/>
      <c r="Z754" s="49"/>
      <c r="AD754" s="49"/>
      <c r="AG754" s="36"/>
      <c r="AH754" s="49"/>
      <c r="AJ754" s="14">
        <v>-388</v>
      </c>
      <c r="AK754" s="14">
        <v>-600</v>
      </c>
      <c r="AL754" s="51">
        <f t="shared" si="86"/>
        <v>-494</v>
      </c>
      <c r="AN754" s="36">
        <v>500</v>
      </c>
      <c r="AO754" s="14">
        <v>450</v>
      </c>
      <c r="AP754" s="48">
        <f t="shared" si="90"/>
        <v>475</v>
      </c>
      <c r="AR754" s="36">
        <v>200</v>
      </c>
      <c r="AS754" s="14">
        <v>250</v>
      </c>
      <c r="AT754" s="51">
        <f t="shared" si="89"/>
        <v>225</v>
      </c>
      <c r="AW754" s="14">
        <v>-150</v>
      </c>
      <c r="AX754" s="51">
        <f t="shared" si="91"/>
        <v>-150</v>
      </c>
    </row>
    <row r="755" spans="1:50" ht="9.6" customHeight="1" x14ac:dyDescent="0.25">
      <c r="A755" s="14">
        <v>35</v>
      </c>
      <c r="B755" s="103">
        <v>40787</v>
      </c>
      <c r="C755" s="103">
        <v>40780</v>
      </c>
      <c r="D755" s="51"/>
      <c r="E755" s="51"/>
      <c r="F755" s="51"/>
      <c r="J755" s="49"/>
      <c r="N755" s="49"/>
      <c r="R755" s="51"/>
      <c r="V755" s="49"/>
      <c r="Z755" s="49"/>
      <c r="AD755" s="49"/>
      <c r="AH755" s="51"/>
      <c r="AJ755" s="14">
        <v>-400</v>
      </c>
      <c r="AK755" s="14">
        <v>-438</v>
      </c>
      <c r="AL755" s="51">
        <f t="shared" si="86"/>
        <v>-419</v>
      </c>
      <c r="AN755" s="36">
        <v>500</v>
      </c>
      <c r="AO755" s="14">
        <v>550</v>
      </c>
      <c r="AP755" s="48">
        <f t="shared" si="90"/>
        <v>525</v>
      </c>
      <c r="AR755" s="36">
        <v>400</v>
      </c>
      <c r="AS755" s="14">
        <v>250</v>
      </c>
      <c r="AT755" s="51">
        <f t="shared" si="89"/>
        <v>325</v>
      </c>
      <c r="AW755" s="14">
        <v>-125</v>
      </c>
      <c r="AX755" s="51">
        <f t="shared" si="91"/>
        <v>-125</v>
      </c>
    </row>
    <row r="756" spans="1:50" ht="9.6" customHeight="1" x14ac:dyDescent="0.25">
      <c r="A756" s="14">
        <v>36</v>
      </c>
      <c r="B756" s="103">
        <v>40794</v>
      </c>
      <c r="C756" s="103">
        <v>40787</v>
      </c>
      <c r="D756" s="51"/>
      <c r="E756" s="51"/>
      <c r="F756" s="51"/>
      <c r="J756" s="49"/>
      <c r="N756" s="49"/>
      <c r="R756" s="51"/>
      <c r="V756" s="49"/>
      <c r="Z756" s="49"/>
      <c r="AD756" s="49"/>
      <c r="AH756" s="49"/>
      <c r="AJ756" s="14">
        <v>-450</v>
      </c>
      <c r="AK756" s="14">
        <v>-500</v>
      </c>
      <c r="AL756" s="51">
        <f t="shared" si="86"/>
        <v>-475</v>
      </c>
      <c r="AN756" s="36"/>
      <c r="AO756" s="14">
        <v>500</v>
      </c>
      <c r="AP756" s="48">
        <f t="shared" si="90"/>
        <v>500</v>
      </c>
      <c r="AR756" s="36">
        <v>200</v>
      </c>
      <c r="AS756" s="14">
        <v>200</v>
      </c>
      <c r="AT756" s="51">
        <f t="shared" si="89"/>
        <v>200</v>
      </c>
      <c r="AW756" s="14">
        <v>-150</v>
      </c>
      <c r="AX756" s="51">
        <f t="shared" si="91"/>
        <v>-150</v>
      </c>
    </row>
    <row r="757" spans="1:50" ht="9.6" customHeight="1" x14ac:dyDescent="0.25">
      <c r="A757" s="14">
        <v>37</v>
      </c>
      <c r="B757" s="103">
        <v>40801</v>
      </c>
      <c r="C757" s="103">
        <v>40794</v>
      </c>
      <c r="D757" s="51"/>
      <c r="E757" s="51"/>
      <c r="F757" s="51"/>
      <c r="J757" s="49"/>
      <c r="N757" s="49"/>
      <c r="R757" s="51"/>
      <c r="V757" s="49"/>
      <c r="Z757" s="49"/>
      <c r="AD757" s="49"/>
      <c r="AF757" s="137"/>
      <c r="AG757" s="137"/>
      <c r="AH757" s="137"/>
      <c r="AI757" s="137"/>
      <c r="AJ757" s="14">
        <v>-325</v>
      </c>
      <c r="AK757" s="14">
        <v>-325</v>
      </c>
      <c r="AL757" s="51">
        <f t="shared" si="86"/>
        <v>-325</v>
      </c>
      <c r="AN757" s="36">
        <v>175</v>
      </c>
      <c r="AO757" s="14">
        <v>400</v>
      </c>
      <c r="AP757" s="48">
        <f t="shared" si="90"/>
        <v>287.5</v>
      </c>
      <c r="AR757" s="36"/>
      <c r="AS757" s="14">
        <v>200</v>
      </c>
      <c r="AT757" s="51">
        <f t="shared" si="89"/>
        <v>200</v>
      </c>
      <c r="AW757" s="14">
        <v>-150</v>
      </c>
      <c r="AX757" s="51">
        <f t="shared" si="91"/>
        <v>-150</v>
      </c>
    </row>
    <row r="758" spans="1:50" ht="9.6" customHeight="1" x14ac:dyDescent="0.25">
      <c r="A758" s="14">
        <v>38</v>
      </c>
      <c r="B758" s="103">
        <v>40808</v>
      </c>
      <c r="C758" s="103">
        <v>40801</v>
      </c>
      <c r="D758" s="51"/>
      <c r="E758" s="51"/>
      <c r="F758" s="51"/>
      <c r="J758" s="49"/>
      <c r="N758" s="49"/>
      <c r="R758" s="51"/>
      <c r="V758" s="49"/>
      <c r="Z758" s="49"/>
      <c r="AD758" s="49"/>
      <c r="AF758" s="140"/>
      <c r="AG758" s="140"/>
      <c r="AH758" s="140"/>
      <c r="AI758" s="140"/>
      <c r="AJ758" s="140"/>
      <c r="AK758" s="140"/>
      <c r="AL758" s="51"/>
      <c r="AN758" s="36">
        <v>0</v>
      </c>
      <c r="AO758" s="14">
        <v>350</v>
      </c>
      <c r="AP758" s="48">
        <f t="shared" si="90"/>
        <v>175</v>
      </c>
      <c r="AR758" s="36"/>
      <c r="AS758" s="14">
        <v>200</v>
      </c>
      <c r="AT758" s="51">
        <f t="shared" si="89"/>
        <v>200</v>
      </c>
      <c r="AV758" s="36"/>
      <c r="AW758" s="14">
        <v>-150</v>
      </c>
      <c r="AX758" s="51">
        <f t="shared" si="91"/>
        <v>-150</v>
      </c>
    </row>
    <row r="759" spans="1:50" ht="9.6" customHeight="1" x14ac:dyDescent="0.25">
      <c r="A759" s="14">
        <v>39</v>
      </c>
      <c r="B759" s="103">
        <v>40815</v>
      </c>
      <c r="C759" s="103">
        <v>40808</v>
      </c>
      <c r="D759" s="51"/>
      <c r="E759" s="51"/>
      <c r="F759" s="51"/>
      <c r="J759" s="49"/>
      <c r="N759" s="49"/>
      <c r="R759" s="51"/>
      <c r="V759" s="49"/>
      <c r="Z759" s="49"/>
      <c r="AD759" s="49"/>
      <c r="AF759" s="140"/>
      <c r="AG759" s="140"/>
      <c r="AH759" s="140"/>
      <c r="AI759" s="140"/>
      <c r="AJ759" s="140"/>
      <c r="AK759" s="140"/>
      <c r="AL759" s="51"/>
      <c r="AN759" s="36">
        <v>-450</v>
      </c>
      <c r="AO759" s="14">
        <v>100</v>
      </c>
      <c r="AP759" s="48">
        <f>AVERAGE(AN759,AO759)</f>
        <v>-175</v>
      </c>
      <c r="AR759" s="36"/>
      <c r="AS759" s="14">
        <v>-100</v>
      </c>
      <c r="AT759" s="51">
        <f t="shared" si="89"/>
        <v>-100</v>
      </c>
      <c r="AV759" s="36">
        <v>-300</v>
      </c>
      <c r="AW759" s="14">
        <v>-200</v>
      </c>
      <c r="AX759" s="51">
        <f t="shared" si="91"/>
        <v>-250</v>
      </c>
    </row>
    <row r="760" spans="1:50" ht="9.6" customHeight="1" x14ac:dyDescent="0.25">
      <c r="A760" s="14">
        <v>40</v>
      </c>
      <c r="B760" s="103">
        <v>40822</v>
      </c>
      <c r="C760" s="103">
        <v>40815</v>
      </c>
      <c r="D760" s="51"/>
      <c r="E760" s="51"/>
      <c r="F760" s="51"/>
      <c r="J760" s="49"/>
      <c r="N760" s="49"/>
      <c r="R760" s="51"/>
      <c r="V760" s="49"/>
      <c r="Z760" s="49"/>
      <c r="AD760" s="49"/>
      <c r="AH760" s="49"/>
      <c r="AL760" s="51"/>
      <c r="AN760" s="48">
        <v>254</v>
      </c>
      <c r="AO760" s="48">
        <v>113</v>
      </c>
      <c r="AP760" s="48">
        <f>AVERAGE(AN760,AO760)</f>
        <v>183.5</v>
      </c>
      <c r="AR760" s="36">
        <v>25</v>
      </c>
      <c r="AS760" s="14">
        <v>-163</v>
      </c>
      <c r="AT760" s="51">
        <f t="shared" si="89"/>
        <v>-69</v>
      </c>
      <c r="AW760" s="14">
        <v>-175</v>
      </c>
      <c r="AX760" s="51">
        <f t="shared" si="91"/>
        <v>-175</v>
      </c>
    </row>
    <row r="761" spans="1:50" ht="9.6" customHeight="1" x14ac:dyDescent="0.25">
      <c r="A761" s="14">
        <v>41</v>
      </c>
      <c r="B761" s="103">
        <v>40829</v>
      </c>
      <c r="C761" s="103">
        <v>40822</v>
      </c>
      <c r="D761" s="51"/>
      <c r="E761" s="51"/>
      <c r="F761" s="51"/>
      <c r="J761" s="49"/>
      <c r="N761" s="49"/>
      <c r="R761" s="51"/>
      <c r="V761" s="49"/>
      <c r="Z761" s="49"/>
      <c r="AD761" s="49"/>
      <c r="AH761" s="49"/>
      <c r="AL761" s="51"/>
      <c r="AN761" s="48">
        <v>275</v>
      </c>
      <c r="AO761" s="48">
        <v>375</v>
      </c>
      <c r="AP761" s="48">
        <f>AVERAGE(AN761,AO761)</f>
        <v>325</v>
      </c>
      <c r="AR761" s="36">
        <v>-133</v>
      </c>
      <c r="AS761" s="14">
        <v>-150</v>
      </c>
      <c r="AT761" s="51">
        <f t="shared" si="89"/>
        <v>-141.5</v>
      </c>
      <c r="AV761" s="36">
        <v>-300</v>
      </c>
      <c r="AW761" s="14">
        <v>-200</v>
      </c>
      <c r="AX761" s="51">
        <f t="shared" si="91"/>
        <v>-250</v>
      </c>
    </row>
    <row r="762" spans="1:50" ht="9.6" customHeight="1" x14ac:dyDescent="0.25">
      <c r="A762" s="14">
        <v>42</v>
      </c>
      <c r="B762" s="103">
        <v>40836</v>
      </c>
      <c r="C762" s="103">
        <v>40829</v>
      </c>
      <c r="D762" s="51"/>
      <c r="E762" s="51"/>
      <c r="F762" s="51"/>
      <c r="J762" s="49"/>
      <c r="N762" s="49"/>
      <c r="P762" s="51">
        <v>-400</v>
      </c>
      <c r="R762" s="51">
        <f t="shared" si="68"/>
        <v>-400</v>
      </c>
      <c r="V762" s="49"/>
      <c r="Z762" s="49"/>
      <c r="AD762" s="49"/>
      <c r="AH762" s="49"/>
      <c r="AL762" s="51"/>
      <c r="AN762" s="48">
        <v>-600</v>
      </c>
      <c r="AO762" s="48">
        <v>0</v>
      </c>
      <c r="AP762" s="48">
        <f>AVERAGE(AN762,AO762)</f>
        <v>-300</v>
      </c>
      <c r="AR762" s="36"/>
      <c r="AS762" s="14">
        <v>-200</v>
      </c>
      <c r="AT762" s="51">
        <f t="shared" si="89"/>
        <v>-200</v>
      </c>
      <c r="AW762" s="14">
        <v>-200</v>
      </c>
      <c r="AX762" s="51">
        <f t="shared" si="91"/>
        <v>-200</v>
      </c>
    </row>
    <row r="763" spans="1:50" ht="9.6" customHeight="1" x14ac:dyDescent="0.25">
      <c r="A763" s="14">
        <v>43</v>
      </c>
      <c r="B763" s="103">
        <v>40843</v>
      </c>
      <c r="C763" s="103">
        <v>40836</v>
      </c>
      <c r="D763" s="51"/>
      <c r="E763" s="51"/>
      <c r="F763" s="51"/>
      <c r="J763" s="49"/>
      <c r="N763" s="49"/>
      <c r="R763" s="49"/>
      <c r="V763" s="49"/>
      <c r="Z763" s="49"/>
      <c r="AD763" s="49"/>
      <c r="AH763" s="49"/>
      <c r="AL763" s="51"/>
      <c r="AN763" s="48"/>
      <c r="AO763" s="48"/>
      <c r="AP763" s="48"/>
      <c r="AR763" s="36">
        <v>-300</v>
      </c>
      <c r="AS763" s="14">
        <v>-200</v>
      </c>
      <c r="AT763" s="51">
        <f t="shared" si="89"/>
        <v>-250</v>
      </c>
      <c r="AV763" s="36">
        <v>-325</v>
      </c>
      <c r="AW763" s="14">
        <v>-200</v>
      </c>
      <c r="AX763" s="51">
        <f t="shared" si="91"/>
        <v>-262.5</v>
      </c>
    </row>
    <row r="764" spans="1:50" ht="9.6" customHeight="1" x14ac:dyDescent="0.25">
      <c r="A764" s="14">
        <v>44</v>
      </c>
      <c r="B764" s="103">
        <v>40850</v>
      </c>
      <c r="C764" s="103">
        <v>40843</v>
      </c>
      <c r="D764" s="51"/>
      <c r="E764" s="51"/>
      <c r="F764" s="51"/>
      <c r="J764" s="49"/>
      <c r="N764" s="49"/>
      <c r="R764" s="49"/>
      <c r="V764" s="49"/>
      <c r="Z764" s="49"/>
      <c r="AD764" s="49"/>
      <c r="AH764" s="49"/>
      <c r="AL764" s="51"/>
      <c r="AN764" s="48"/>
      <c r="AO764" s="48"/>
      <c r="AP764" s="48"/>
      <c r="AR764" s="36">
        <v>-363</v>
      </c>
      <c r="AS764" s="14">
        <v>-450</v>
      </c>
      <c r="AT764" s="51">
        <f t="shared" si="89"/>
        <v>-406.5</v>
      </c>
      <c r="AW764" s="14">
        <v>-325</v>
      </c>
      <c r="AX764" s="51">
        <f t="shared" si="91"/>
        <v>-325</v>
      </c>
    </row>
    <row r="765" spans="1:50" ht="9.6" customHeight="1" x14ac:dyDescent="0.25">
      <c r="A765" s="14">
        <v>45</v>
      </c>
      <c r="B765" s="103">
        <v>40857</v>
      </c>
      <c r="C765" s="103">
        <v>40850</v>
      </c>
      <c r="D765" s="51"/>
      <c r="E765" s="51"/>
      <c r="F765" s="51"/>
      <c r="J765" s="49"/>
      <c r="N765" s="49"/>
      <c r="R765" s="49"/>
      <c r="V765" s="49"/>
      <c r="Z765" s="49"/>
      <c r="AD765" s="49"/>
      <c r="AH765" s="49"/>
      <c r="AL765" s="51"/>
      <c r="AN765" s="48"/>
      <c r="AO765" s="48"/>
      <c r="AP765" s="48"/>
      <c r="AR765" s="36">
        <v>-396</v>
      </c>
      <c r="AS765" s="14">
        <v>-400</v>
      </c>
      <c r="AT765" s="51">
        <f t="shared" si="89"/>
        <v>-398</v>
      </c>
      <c r="AV765" s="36">
        <v>-400</v>
      </c>
      <c r="AW765" s="14">
        <v>-450</v>
      </c>
      <c r="AX765" s="51">
        <f t="shared" si="91"/>
        <v>-425</v>
      </c>
    </row>
    <row r="766" spans="1:50" ht="9.6" customHeight="1" x14ac:dyDescent="0.25">
      <c r="A766" s="14">
        <v>46</v>
      </c>
      <c r="B766" s="103">
        <v>40864</v>
      </c>
      <c r="C766" s="103">
        <v>40857</v>
      </c>
      <c r="D766" s="51"/>
      <c r="E766" s="51">
        <v>-400</v>
      </c>
      <c r="F766" s="51">
        <f>AVERAGE(D766,E766)</f>
        <v>-400</v>
      </c>
      <c r="J766" s="49"/>
      <c r="N766" s="49"/>
      <c r="R766" s="49"/>
      <c r="V766" s="49"/>
      <c r="Z766" s="49"/>
      <c r="AD766" s="49"/>
      <c r="AH766" s="49"/>
      <c r="AL766" s="51"/>
      <c r="AN766" s="48"/>
      <c r="AO766" s="48"/>
      <c r="AP766" s="48"/>
      <c r="AR766" s="36">
        <v>-444</v>
      </c>
      <c r="AS766" s="14">
        <v>-400</v>
      </c>
      <c r="AT766" s="51">
        <f t="shared" si="89"/>
        <v>-422</v>
      </c>
      <c r="AW766" s="14">
        <v>-450</v>
      </c>
      <c r="AX766" s="51">
        <f t="shared" si="91"/>
        <v>-450</v>
      </c>
    </row>
    <row r="767" spans="1:50" ht="9.6" customHeight="1" x14ac:dyDescent="0.25">
      <c r="A767" s="14">
        <v>47</v>
      </c>
      <c r="B767" s="103">
        <v>40871</v>
      </c>
      <c r="C767" s="103">
        <v>40864</v>
      </c>
      <c r="D767" s="51"/>
      <c r="E767" s="51"/>
      <c r="F767" s="51"/>
      <c r="J767" s="49"/>
      <c r="N767" s="49"/>
      <c r="R767" s="49"/>
      <c r="V767" s="49"/>
      <c r="Z767" s="49"/>
      <c r="AD767" s="49"/>
      <c r="AH767" s="49"/>
      <c r="AL767" s="51"/>
      <c r="AN767" s="48"/>
      <c r="AO767" s="48"/>
      <c r="AP767" s="48"/>
      <c r="AR767" s="36"/>
      <c r="AT767" s="51"/>
      <c r="AV767" s="14">
        <v>-279</v>
      </c>
      <c r="AW767" s="14">
        <v>-475</v>
      </c>
      <c r="AX767" s="48">
        <f t="shared" si="91"/>
        <v>-377</v>
      </c>
    </row>
    <row r="768" spans="1:50" ht="9.6" customHeight="1" x14ac:dyDescent="0.25">
      <c r="A768" s="14">
        <v>48</v>
      </c>
      <c r="B768" s="103">
        <v>40878</v>
      </c>
      <c r="C768" s="103">
        <v>40871</v>
      </c>
      <c r="D768" s="51"/>
      <c r="E768" s="51"/>
      <c r="F768" s="51"/>
      <c r="J768" s="49"/>
      <c r="N768" s="49"/>
      <c r="R768" s="49"/>
      <c r="V768" s="49"/>
      <c r="Z768" s="49"/>
      <c r="AD768" s="49"/>
      <c r="AH768" s="49"/>
      <c r="AL768" s="51"/>
      <c r="AN768" s="48"/>
      <c r="AO768" s="48"/>
      <c r="AP768" s="48"/>
      <c r="AR768" s="36"/>
      <c r="AT768" s="51"/>
      <c r="AV768" s="14">
        <v>-250</v>
      </c>
      <c r="AW768" s="14">
        <v>-363</v>
      </c>
      <c r="AX768" s="48">
        <f t="shared" si="91"/>
        <v>-306.5</v>
      </c>
    </row>
    <row r="769" spans="1:50" ht="9.6" customHeight="1" x14ac:dyDescent="0.25">
      <c r="A769" s="14">
        <v>49</v>
      </c>
      <c r="B769" s="103">
        <v>40885</v>
      </c>
      <c r="C769" s="103">
        <v>40878</v>
      </c>
      <c r="D769" s="51">
        <v>-200</v>
      </c>
      <c r="E769" s="51">
        <v>-250</v>
      </c>
      <c r="F769" s="51">
        <f t="shared" ref="F769:F775" si="92">AVERAGE(D769,E769)</f>
        <v>-225</v>
      </c>
      <c r="J769" s="49"/>
      <c r="N769" s="49"/>
      <c r="R769" s="49"/>
      <c r="V769" s="49"/>
      <c r="Z769" s="49"/>
      <c r="AD769" s="49"/>
      <c r="AH769" s="49"/>
      <c r="AL769" s="51"/>
      <c r="AN769" s="48"/>
      <c r="AO769" s="48"/>
      <c r="AP769" s="48"/>
      <c r="AR769" s="36"/>
      <c r="AT769" s="51"/>
      <c r="AV769" s="14">
        <v>-233</v>
      </c>
      <c r="AW769" s="14">
        <v>-150</v>
      </c>
      <c r="AX769" s="14">
        <f t="shared" si="91"/>
        <v>-191.5</v>
      </c>
    </row>
    <row r="770" spans="1:50" ht="9.6" customHeight="1" x14ac:dyDescent="0.25">
      <c r="A770" s="14">
        <v>50</v>
      </c>
      <c r="B770" s="103">
        <v>40892</v>
      </c>
      <c r="C770" s="103">
        <v>40885</v>
      </c>
      <c r="D770" s="51">
        <v>-25</v>
      </c>
      <c r="E770" s="51">
        <v>-50</v>
      </c>
      <c r="F770" s="51">
        <f t="shared" si="92"/>
        <v>-37.5</v>
      </c>
      <c r="H770" s="51"/>
      <c r="I770" s="51">
        <v>-125</v>
      </c>
      <c r="J770" s="51">
        <f t="shared" ref="J770:J776" si="93">AVERAGE(H770:I770)</f>
        <v>-125</v>
      </c>
      <c r="L770" s="51"/>
      <c r="M770" s="51">
        <v>-225</v>
      </c>
      <c r="N770" s="51">
        <f t="shared" ref="N770:N776" si="94">AVERAGE(L770:M770)</f>
        <v>-225</v>
      </c>
      <c r="R770" s="49"/>
      <c r="V770" s="49"/>
      <c r="Z770" s="49"/>
      <c r="AD770" s="49"/>
      <c r="AH770" s="49"/>
      <c r="AL770" s="51"/>
      <c r="AN770" s="48"/>
      <c r="AO770" s="48"/>
      <c r="AP770" s="48"/>
      <c r="AR770" s="36"/>
      <c r="AT770" s="51"/>
      <c r="AV770" s="14">
        <v>-42</v>
      </c>
      <c r="AW770" s="14">
        <v>75</v>
      </c>
      <c r="AX770" s="14">
        <f t="shared" si="91"/>
        <v>16.5</v>
      </c>
    </row>
    <row r="771" spans="1:50" ht="9.6" customHeight="1" x14ac:dyDescent="0.25">
      <c r="A771" s="14">
        <v>51</v>
      </c>
      <c r="B771" s="103">
        <v>40899</v>
      </c>
      <c r="C771" s="103">
        <v>40892</v>
      </c>
      <c r="D771" s="51">
        <v>-113</v>
      </c>
      <c r="E771" s="51">
        <v>-113</v>
      </c>
      <c r="F771" s="51">
        <f t="shared" si="92"/>
        <v>-113</v>
      </c>
      <c r="I771" s="51">
        <v>-150</v>
      </c>
      <c r="J771" s="51">
        <f t="shared" si="93"/>
        <v>-150</v>
      </c>
      <c r="M771" s="51">
        <v>-250</v>
      </c>
      <c r="N771" s="51">
        <f t="shared" si="94"/>
        <v>-250</v>
      </c>
      <c r="Q771" s="51">
        <v>-400</v>
      </c>
      <c r="R771" s="51">
        <f>AVERAGE(P771:Q771)</f>
        <v>-400</v>
      </c>
      <c r="V771" s="49"/>
      <c r="Z771" s="49"/>
      <c r="AD771" s="49"/>
      <c r="AH771" s="49"/>
      <c r="AL771" s="51"/>
      <c r="AN771" s="48"/>
      <c r="AO771" s="48"/>
      <c r="AP771" s="48"/>
      <c r="AR771" s="36"/>
      <c r="AT771" s="51"/>
      <c r="AV771" s="14"/>
      <c r="AW771" s="14"/>
      <c r="AX771" s="14"/>
    </row>
    <row r="772" spans="1:50" ht="9.6" customHeight="1" x14ac:dyDescent="0.25">
      <c r="A772" s="14">
        <v>52</v>
      </c>
      <c r="B772" s="103">
        <v>40906</v>
      </c>
      <c r="C772" s="103">
        <v>40899</v>
      </c>
      <c r="D772" s="51">
        <v>-325</v>
      </c>
      <c r="E772" s="51">
        <v>-125</v>
      </c>
      <c r="F772" s="51">
        <f t="shared" si="92"/>
        <v>-225</v>
      </c>
      <c r="H772" s="48">
        <v>-325</v>
      </c>
      <c r="I772" s="51">
        <v>-175</v>
      </c>
      <c r="J772" s="51">
        <f t="shared" si="93"/>
        <v>-250</v>
      </c>
      <c r="L772" s="51"/>
      <c r="M772" s="51">
        <v>-250</v>
      </c>
      <c r="N772" s="51">
        <f t="shared" si="94"/>
        <v>-250</v>
      </c>
      <c r="R772" s="49"/>
      <c r="V772" s="49"/>
      <c r="Z772" s="49"/>
      <c r="AD772" s="49"/>
      <c r="AH772" s="49"/>
      <c r="AL772" s="51"/>
      <c r="AN772" s="48"/>
      <c r="AO772" s="48"/>
      <c r="AP772" s="48"/>
      <c r="AR772" s="36"/>
      <c r="AV772" s="14"/>
      <c r="AW772" s="14"/>
      <c r="AX772" s="14"/>
    </row>
    <row r="773" spans="1:50" ht="9.6" customHeight="1" x14ac:dyDescent="0.25">
      <c r="A773" s="14">
        <v>1</v>
      </c>
      <c r="B773" s="103">
        <v>40913</v>
      </c>
      <c r="C773" s="103">
        <v>40906</v>
      </c>
      <c r="D773" s="51">
        <v>-350</v>
      </c>
      <c r="E773" s="51">
        <v>-50</v>
      </c>
      <c r="F773" s="51">
        <f t="shared" si="92"/>
        <v>-200</v>
      </c>
      <c r="I773" s="51">
        <v>-213</v>
      </c>
      <c r="J773" s="51">
        <f t="shared" si="93"/>
        <v>-213</v>
      </c>
      <c r="L773" s="51"/>
      <c r="M773" s="51">
        <v>-250</v>
      </c>
      <c r="N773" s="51">
        <f t="shared" si="94"/>
        <v>-250</v>
      </c>
      <c r="R773" s="49"/>
      <c r="V773" s="49"/>
      <c r="Z773" s="49"/>
      <c r="AD773" s="49"/>
      <c r="AH773" s="49"/>
      <c r="AL773" s="51"/>
      <c r="AN773" s="48"/>
      <c r="AO773" s="48"/>
      <c r="AP773" s="48"/>
      <c r="AR773" s="36"/>
      <c r="AV773" s="14"/>
      <c r="AW773" s="14"/>
      <c r="AX773" s="14"/>
    </row>
    <row r="774" spans="1:50" ht="9.6" customHeight="1" x14ac:dyDescent="0.25">
      <c r="A774" s="14">
        <v>2</v>
      </c>
      <c r="B774" s="103">
        <v>40920</v>
      </c>
      <c r="C774" s="103">
        <v>40913</v>
      </c>
      <c r="D774" s="51">
        <v>-425</v>
      </c>
      <c r="E774" s="51">
        <v>-113</v>
      </c>
      <c r="F774" s="51">
        <f t="shared" si="92"/>
        <v>-269</v>
      </c>
      <c r="I774" s="51">
        <v>-238</v>
      </c>
      <c r="J774" s="51">
        <f t="shared" si="93"/>
        <v>-238</v>
      </c>
      <c r="L774" s="51"/>
      <c r="M774" s="51">
        <v>-250</v>
      </c>
      <c r="N774" s="51">
        <f t="shared" si="94"/>
        <v>-250</v>
      </c>
      <c r="R774" s="49"/>
      <c r="V774" s="49"/>
      <c r="Z774" s="49"/>
      <c r="AD774" s="49"/>
      <c r="AH774" s="49"/>
      <c r="AL774" s="49"/>
      <c r="AN774" s="48"/>
      <c r="AO774" s="48"/>
      <c r="AP774" s="48"/>
      <c r="AR774" s="36"/>
      <c r="AV774" s="14"/>
      <c r="AW774" s="14"/>
      <c r="AX774" s="14"/>
    </row>
    <row r="775" spans="1:50" ht="9.6" customHeight="1" x14ac:dyDescent="0.25">
      <c r="A775" s="14">
        <v>3</v>
      </c>
      <c r="B775" s="103">
        <v>40927</v>
      </c>
      <c r="C775" s="103">
        <v>40920</v>
      </c>
      <c r="D775" s="51">
        <v>-413</v>
      </c>
      <c r="E775" s="51">
        <v>-225</v>
      </c>
      <c r="F775" s="51">
        <f t="shared" si="92"/>
        <v>-319</v>
      </c>
      <c r="I775" s="51">
        <v>-200</v>
      </c>
      <c r="J775" s="51">
        <f t="shared" si="93"/>
        <v>-200</v>
      </c>
      <c r="L775" s="51"/>
      <c r="M775" s="51">
        <v>-250</v>
      </c>
      <c r="N775" s="51">
        <f t="shared" si="94"/>
        <v>-250</v>
      </c>
      <c r="R775" s="49"/>
      <c r="V775" s="49"/>
      <c r="Z775" s="49"/>
      <c r="AB775" s="48">
        <v>-300</v>
      </c>
      <c r="AC775" s="51">
        <v>-275</v>
      </c>
      <c r="AD775" s="51">
        <f>AVERAGE(AB775:AC775)</f>
        <v>-287.5</v>
      </c>
      <c r="AH775" s="49"/>
      <c r="AL775" s="49"/>
      <c r="AN775" s="36"/>
      <c r="AP775" s="49"/>
      <c r="AR775" s="36"/>
      <c r="AV775" s="14"/>
      <c r="AW775" s="14"/>
      <c r="AX775" s="14"/>
    </row>
    <row r="776" spans="1:50" ht="9.6" customHeight="1" x14ac:dyDescent="0.25">
      <c r="A776" s="14">
        <v>4</v>
      </c>
      <c r="B776" s="103">
        <v>40934</v>
      </c>
      <c r="C776" s="103">
        <v>40927</v>
      </c>
      <c r="D776" s="51"/>
      <c r="E776" s="51"/>
      <c r="F776" s="51"/>
      <c r="H776" s="48">
        <v>-275</v>
      </c>
      <c r="I776" s="48">
        <v>-213</v>
      </c>
      <c r="J776" s="51">
        <f t="shared" si="93"/>
        <v>-244</v>
      </c>
      <c r="L776" s="51"/>
      <c r="M776" s="51">
        <v>-200</v>
      </c>
      <c r="N776" s="51">
        <f t="shared" si="94"/>
        <v>-200</v>
      </c>
      <c r="R776" s="49"/>
      <c r="V776" s="49"/>
      <c r="Z776" s="49"/>
      <c r="AD776" s="49"/>
      <c r="AH776" s="49"/>
      <c r="AL776" s="49"/>
      <c r="AN776" s="36"/>
      <c r="AP776" s="49"/>
      <c r="AR776" s="36"/>
      <c r="AV776" s="14"/>
      <c r="AW776" s="14"/>
      <c r="AX776" s="14"/>
    </row>
    <row r="777" spans="1:50" ht="9.6" customHeight="1" x14ac:dyDescent="0.25">
      <c r="A777" s="14">
        <v>5</v>
      </c>
      <c r="B777" s="103">
        <v>40941</v>
      </c>
      <c r="C777" s="103">
        <v>40934</v>
      </c>
      <c r="D777" s="51"/>
      <c r="E777" s="51"/>
      <c r="F777" s="51"/>
      <c r="H777" s="48">
        <v>-325</v>
      </c>
      <c r="I777" s="48">
        <v>-163</v>
      </c>
      <c r="J777" s="48">
        <f>AVERAGE(H777:I777)</f>
        <v>-244</v>
      </c>
      <c r="L777" s="51"/>
      <c r="M777" s="51">
        <v>-200</v>
      </c>
      <c r="N777" s="51">
        <f t="shared" ref="N777:N783" si="95">AVERAGE(L777:M777)</f>
        <v>-200</v>
      </c>
      <c r="R777" s="49"/>
      <c r="V777" s="49"/>
      <c r="Z777" s="49"/>
      <c r="AD777" s="49"/>
      <c r="AH777" s="49"/>
      <c r="AL777" s="49"/>
      <c r="AN777" s="36"/>
      <c r="AP777" s="49"/>
      <c r="AR777" s="36"/>
      <c r="AV777" s="14"/>
      <c r="AW777" s="14"/>
      <c r="AX777" s="14"/>
    </row>
    <row r="778" spans="1:50" ht="9.6" customHeight="1" x14ac:dyDescent="0.25">
      <c r="A778" s="14">
        <v>6</v>
      </c>
      <c r="B778" s="103">
        <v>40948</v>
      </c>
      <c r="C778" s="103">
        <v>40941</v>
      </c>
      <c r="D778" s="51"/>
      <c r="E778" s="51"/>
      <c r="F778" s="51"/>
      <c r="H778" s="48">
        <v>-149</v>
      </c>
      <c r="I778" s="48">
        <v>-125</v>
      </c>
      <c r="J778" s="48">
        <f>AVERAGE(H778:I778)</f>
        <v>-137</v>
      </c>
      <c r="L778" s="51"/>
      <c r="M778" s="51">
        <v>-225</v>
      </c>
      <c r="N778" s="51">
        <f t="shared" si="95"/>
        <v>-225</v>
      </c>
      <c r="R778" s="51"/>
      <c r="V778" s="49"/>
      <c r="Z778" s="49"/>
      <c r="AD778" s="49"/>
      <c r="AH778" s="49"/>
      <c r="AL778" s="49"/>
      <c r="AN778" s="36"/>
      <c r="AP778" s="49"/>
      <c r="AR778" s="36"/>
      <c r="AV778" s="14"/>
      <c r="AW778" s="14"/>
      <c r="AX778" s="14"/>
    </row>
    <row r="779" spans="1:50" ht="9.6" customHeight="1" x14ac:dyDescent="0.25">
      <c r="A779" s="14">
        <v>7</v>
      </c>
      <c r="B779" s="103">
        <v>40955</v>
      </c>
      <c r="C779" s="103">
        <v>40948</v>
      </c>
      <c r="D779" s="51"/>
      <c r="E779" s="51"/>
      <c r="F779" s="51"/>
      <c r="H779" s="48">
        <v>-225</v>
      </c>
      <c r="I779" s="48">
        <v>-175</v>
      </c>
      <c r="J779" s="48">
        <f>AVERAGE(H779:I779)</f>
        <v>-200</v>
      </c>
      <c r="L779" s="51">
        <v>-300</v>
      </c>
      <c r="M779" s="51">
        <v>-250</v>
      </c>
      <c r="N779" s="51">
        <f t="shared" si="95"/>
        <v>-275</v>
      </c>
      <c r="P779" s="51">
        <v>-375</v>
      </c>
      <c r="R779" s="51">
        <f>AVERAGE(P779:Q779)</f>
        <v>-375</v>
      </c>
      <c r="V779" s="49"/>
      <c r="Z779" s="49"/>
      <c r="AB779" s="51">
        <v>-300</v>
      </c>
      <c r="AD779" s="51">
        <f>AVERAGE(AB779:AC779)</f>
        <v>-300</v>
      </c>
      <c r="AF779" s="51">
        <v>-300</v>
      </c>
      <c r="AH779" s="51">
        <f>AVERAGE(AF779:AG779)</f>
        <v>-300</v>
      </c>
      <c r="AL779" s="49"/>
      <c r="AN779" s="36"/>
      <c r="AP779" s="49"/>
      <c r="AR779" s="36"/>
      <c r="AV779" s="14"/>
      <c r="AW779" s="14"/>
      <c r="AX779" s="14"/>
    </row>
    <row r="780" spans="1:50" ht="9.6" customHeight="1" x14ac:dyDescent="0.25">
      <c r="A780" s="14">
        <v>8</v>
      </c>
      <c r="B780" s="103">
        <v>40962</v>
      </c>
      <c r="C780" s="103">
        <v>40955</v>
      </c>
      <c r="D780" s="51"/>
      <c r="E780" s="51"/>
      <c r="F780" s="51"/>
      <c r="H780" s="48"/>
      <c r="I780" s="48"/>
      <c r="J780" s="48"/>
      <c r="L780" s="51">
        <v>-233</v>
      </c>
      <c r="M780" s="51">
        <v>-238</v>
      </c>
      <c r="N780" s="51">
        <f t="shared" si="95"/>
        <v>-235.5</v>
      </c>
      <c r="P780" s="51">
        <v>-325</v>
      </c>
      <c r="R780" s="51">
        <f>AVERAGE(P780:Q780)</f>
        <v>-325</v>
      </c>
      <c r="V780" s="49"/>
      <c r="Z780" s="49"/>
      <c r="AD780" s="49"/>
      <c r="AH780" s="49"/>
      <c r="AL780" s="49"/>
      <c r="AN780" s="36"/>
      <c r="AP780" s="49"/>
      <c r="AV780" s="14"/>
      <c r="AW780" s="14"/>
      <c r="AX780" s="14"/>
    </row>
    <row r="781" spans="1:50" ht="9.6" customHeight="1" x14ac:dyDescent="0.25">
      <c r="A781" s="14">
        <v>9</v>
      </c>
      <c r="B781" s="103">
        <v>40969</v>
      </c>
      <c r="C781" s="103">
        <v>40962</v>
      </c>
      <c r="D781" s="51"/>
      <c r="E781" s="51"/>
      <c r="F781" s="51"/>
      <c r="H781" s="48"/>
      <c r="I781" s="48"/>
      <c r="J781" s="48"/>
      <c r="L781" s="51">
        <v>-175</v>
      </c>
      <c r="M781" s="51">
        <v>-148</v>
      </c>
      <c r="N781" s="51">
        <f t="shared" si="95"/>
        <v>-161.5</v>
      </c>
      <c r="R781" s="49"/>
      <c r="Z781" s="49"/>
      <c r="AC781" s="51"/>
      <c r="AD781" s="49"/>
      <c r="AH781" s="49"/>
      <c r="AJ781" s="14">
        <v>-200</v>
      </c>
      <c r="AK781" s="14"/>
      <c r="AL781" s="51">
        <f t="shared" ref="AL781:AL793" si="96">AVERAGE(AJ781:AK781)</f>
        <v>-200</v>
      </c>
      <c r="AN781" s="36"/>
      <c r="AP781" s="49"/>
      <c r="AV781" s="14"/>
      <c r="AW781" s="14"/>
      <c r="AX781" s="14"/>
    </row>
    <row r="782" spans="1:50" ht="9.6" customHeight="1" x14ac:dyDescent="0.25">
      <c r="A782" s="14">
        <v>10</v>
      </c>
      <c r="B782" s="103">
        <v>40976</v>
      </c>
      <c r="C782" s="103">
        <v>40969</v>
      </c>
      <c r="D782" s="51"/>
      <c r="E782" s="51"/>
      <c r="F782" s="51"/>
      <c r="H782" s="48"/>
      <c r="I782" s="48"/>
      <c r="J782" s="48"/>
      <c r="L782" s="51">
        <v>-179</v>
      </c>
      <c r="M782" s="51">
        <v>-88</v>
      </c>
      <c r="N782" s="51">
        <f t="shared" si="95"/>
        <v>-133.5</v>
      </c>
      <c r="P782" s="51">
        <v>-256</v>
      </c>
      <c r="Q782" s="48">
        <v>-300</v>
      </c>
      <c r="R782" s="51">
        <f t="shared" ref="R782:R788" si="97">AVERAGE(P782:Q782)</f>
        <v>-278</v>
      </c>
      <c r="Z782" s="49"/>
      <c r="AC782" s="51">
        <v>-250</v>
      </c>
      <c r="AD782" s="51">
        <f t="shared" ref="AD782:AD788" si="98">AVERAGE(AB782:AC782)</f>
        <v>-250</v>
      </c>
      <c r="AH782" s="49"/>
      <c r="AJ782" s="14">
        <v>-200</v>
      </c>
      <c r="AK782" s="14"/>
      <c r="AL782" s="51">
        <f t="shared" si="96"/>
        <v>-200</v>
      </c>
      <c r="AN782" s="36"/>
      <c r="AP782" s="49"/>
      <c r="AV782" s="14"/>
      <c r="AW782" s="14"/>
      <c r="AX782" s="14"/>
    </row>
    <row r="783" spans="1:50" ht="9.6" customHeight="1" x14ac:dyDescent="0.25">
      <c r="A783" s="14">
        <v>11</v>
      </c>
      <c r="B783" s="103">
        <v>40983</v>
      </c>
      <c r="C783" s="103">
        <v>40976</v>
      </c>
      <c r="D783" s="51"/>
      <c r="E783" s="51"/>
      <c r="F783" s="51"/>
      <c r="H783" s="48"/>
      <c r="I783" s="48"/>
      <c r="J783" s="48"/>
      <c r="L783" s="51">
        <v>-194</v>
      </c>
      <c r="M783" s="51">
        <v>-38</v>
      </c>
      <c r="N783" s="51">
        <f t="shared" si="95"/>
        <v>-116</v>
      </c>
      <c r="Q783" s="48">
        <v>-275</v>
      </c>
      <c r="R783" s="51">
        <f t="shared" si="97"/>
        <v>-275</v>
      </c>
      <c r="U783" s="48">
        <v>-375</v>
      </c>
      <c r="V783" s="51">
        <f t="shared" ref="V783:V792" si="99">AVERAGE(T783:U783)</f>
        <v>-375</v>
      </c>
      <c r="Z783" s="49"/>
      <c r="AC783" s="51">
        <v>-275</v>
      </c>
      <c r="AD783" s="51">
        <f t="shared" si="98"/>
        <v>-275</v>
      </c>
      <c r="AH783" s="49"/>
      <c r="AJ783" s="14">
        <v>-200</v>
      </c>
      <c r="AK783" s="14">
        <v>-250</v>
      </c>
      <c r="AL783" s="51">
        <f t="shared" si="96"/>
        <v>-225</v>
      </c>
      <c r="AN783" s="36"/>
      <c r="AP783" s="49"/>
      <c r="AV783" s="14"/>
      <c r="AW783" s="14"/>
      <c r="AX783" s="14"/>
    </row>
    <row r="784" spans="1:50" ht="9.6" customHeight="1" x14ac:dyDescent="0.25">
      <c r="A784" s="14">
        <v>12</v>
      </c>
      <c r="B784" s="103">
        <v>40990</v>
      </c>
      <c r="C784" s="103">
        <v>40983</v>
      </c>
      <c r="D784" s="51"/>
      <c r="E784" s="51"/>
      <c r="F784" s="51"/>
      <c r="H784" s="48"/>
      <c r="I784" s="48"/>
      <c r="J784" s="48"/>
      <c r="L784" s="51"/>
      <c r="M784" s="51"/>
      <c r="N784" s="51"/>
      <c r="P784" s="48">
        <v>-206</v>
      </c>
      <c r="Q784" s="48">
        <v>-200</v>
      </c>
      <c r="R784" s="51">
        <f t="shared" si="97"/>
        <v>-203</v>
      </c>
      <c r="U784" s="48">
        <v>-300</v>
      </c>
      <c r="V784" s="51">
        <f t="shared" si="99"/>
        <v>-300</v>
      </c>
      <c r="Z784" s="49"/>
      <c r="AC784" s="51">
        <v>-300</v>
      </c>
      <c r="AD784" s="51">
        <f t="shared" si="98"/>
        <v>-300</v>
      </c>
      <c r="AH784" s="49"/>
      <c r="AJ784" s="14">
        <v>-200</v>
      </c>
      <c r="AK784" s="14">
        <v>-200</v>
      </c>
      <c r="AL784" s="51">
        <f t="shared" si="96"/>
        <v>-200</v>
      </c>
      <c r="AN784" s="36"/>
      <c r="AO784" s="14">
        <v>400</v>
      </c>
      <c r="AP784" s="51">
        <f t="shared" ref="AP784:AP792" si="100">AVERAGE(AN784:AO784)</f>
        <v>400</v>
      </c>
      <c r="AV784" s="14"/>
      <c r="AW784" s="14"/>
      <c r="AX784" s="14"/>
    </row>
    <row r="785" spans="1:50" ht="9.6" customHeight="1" x14ac:dyDescent="0.25">
      <c r="A785" s="14">
        <v>13</v>
      </c>
      <c r="B785" s="103">
        <v>40997</v>
      </c>
      <c r="C785" s="103">
        <v>40990</v>
      </c>
      <c r="D785" s="51"/>
      <c r="E785" s="51"/>
      <c r="F785" s="51"/>
      <c r="H785" s="48"/>
      <c r="I785" s="48"/>
      <c r="J785" s="48"/>
      <c r="L785" s="51"/>
      <c r="M785" s="51"/>
      <c r="N785" s="51"/>
      <c r="P785" s="48">
        <v>-200</v>
      </c>
      <c r="Q785" s="48">
        <v>-225</v>
      </c>
      <c r="R785" s="51">
        <f t="shared" si="97"/>
        <v>-212.5</v>
      </c>
      <c r="U785" s="48">
        <v>-300</v>
      </c>
      <c r="V785" s="51">
        <f t="shared" si="99"/>
        <v>-300</v>
      </c>
      <c r="Z785" s="49"/>
      <c r="AB785" s="51">
        <v>-350</v>
      </c>
      <c r="AC785" s="48">
        <v>-300</v>
      </c>
      <c r="AD785" s="51">
        <f t="shared" si="98"/>
        <v>-325</v>
      </c>
      <c r="AH785" s="49"/>
      <c r="AJ785" s="14">
        <v>-163</v>
      </c>
      <c r="AK785" s="14">
        <v>-200</v>
      </c>
      <c r="AL785" s="51">
        <f t="shared" si="96"/>
        <v>-181.5</v>
      </c>
      <c r="AO785" s="14">
        <v>300</v>
      </c>
      <c r="AP785" s="51">
        <f t="shared" si="100"/>
        <v>300</v>
      </c>
      <c r="AV785" s="14"/>
      <c r="AW785" s="14"/>
      <c r="AX785" s="14"/>
    </row>
    <row r="786" spans="1:50" ht="9.6" customHeight="1" x14ac:dyDescent="0.25">
      <c r="A786" s="14">
        <v>14</v>
      </c>
      <c r="B786" s="103">
        <v>41004</v>
      </c>
      <c r="C786" s="103">
        <v>40997</v>
      </c>
      <c r="D786" s="51"/>
      <c r="E786" s="51"/>
      <c r="F786" s="51"/>
      <c r="H786" s="48"/>
      <c r="I786" s="48"/>
      <c r="J786" s="48"/>
      <c r="L786" s="51"/>
      <c r="M786" s="51"/>
      <c r="N786" s="51"/>
      <c r="P786" s="48">
        <v>-244</v>
      </c>
      <c r="Q786" s="48">
        <v>-238</v>
      </c>
      <c r="R786" s="51">
        <f t="shared" si="97"/>
        <v>-241</v>
      </c>
      <c r="T786" s="48">
        <v>-275</v>
      </c>
      <c r="U786" s="48">
        <v>-375</v>
      </c>
      <c r="V786" s="51">
        <f t="shared" si="99"/>
        <v>-325</v>
      </c>
      <c r="Z786" s="49"/>
      <c r="AB786" s="51">
        <v>-300</v>
      </c>
      <c r="AC786" s="48">
        <v>-300</v>
      </c>
      <c r="AD786" s="48">
        <f t="shared" si="98"/>
        <v>-300</v>
      </c>
      <c r="AH786" s="49"/>
      <c r="AJ786" s="14">
        <v>-175</v>
      </c>
      <c r="AL786" s="51">
        <f t="shared" si="96"/>
        <v>-175</v>
      </c>
      <c r="AO786" s="14">
        <v>350</v>
      </c>
      <c r="AP786" s="51">
        <f t="shared" si="100"/>
        <v>350</v>
      </c>
      <c r="AV786" s="14"/>
      <c r="AW786" s="14"/>
      <c r="AX786" s="14"/>
    </row>
    <row r="787" spans="1:50" ht="9.6" customHeight="1" x14ac:dyDescent="0.25">
      <c r="A787" s="14">
        <v>15</v>
      </c>
      <c r="B787" s="103">
        <v>41011</v>
      </c>
      <c r="C787" s="103">
        <v>41004</v>
      </c>
      <c r="D787" s="51"/>
      <c r="E787" s="51"/>
      <c r="F787" s="51"/>
      <c r="H787" s="48"/>
      <c r="I787" s="48"/>
      <c r="J787" s="48"/>
      <c r="L787" s="51"/>
      <c r="M787" s="51"/>
      <c r="N787" s="51"/>
      <c r="P787" s="48">
        <v>-258</v>
      </c>
      <c r="Q787" s="48">
        <v>-150</v>
      </c>
      <c r="R787" s="51">
        <f t="shared" si="97"/>
        <v>-204</v>
      </c>
      <c r="T787" s="48">
        <v>-275</v>
      </c>
      <c r="U787" s="48">
        <v>-375</v>
      </c>
      <c r="V787" s="48">
        <f t="shared" si="99"/>
        <v>-325</v>
      </c>
      <c r="Z787" s="49"/>
      <c r="AB787" s="51">
        <v>-300</v>
      </c>
      <c r="AC787" s="48">
        <v>-300</v>
      </c>
      <c r="AD787" s="48">
        <f t="shared" si="98"/>
        <v>-300</v>
      </c>
      <c r="AH787" s="49"/>
      <c r="AJ787" s="14">
        <v>-200</v>
      </c>
      <c r="AL787" s="51">
        <f t="shared" si="96"/>
        <v>-200</v>
      </c>
      <c r="AO787" s="14">
        <v>350</v>
      </c>
      <c r="AP787" s="51">
        <f t="shared" si="100"/>
        <v>350</v>
      </c>
      <c r="AV787" s="14"/>
      <c r="AW787" s="14"/>
      <c r="AX787" s="14"/>
    </row>
    <row r="788" spans="1:50" ht="9.6" customHeight="1" x14ac:dyDescent="0.25">
      <c r="A788" s="14">
        <v>16</v>
      </c>
      <c r="B788" s="103">
        <v>41018</v>
      </c>
      <c r="C788" s="103">
        <v>41011</v>
      </c>
      <c r="D788" s="51"/>
      <c r="E788" s="51"/>
      <c r="F788" s="51"/>
      <c r="H788" s="48"/>
      <c r="I788" s="48"/>
      <c r="J788" s="48"/>
      <c r="L788" s="51"/>
      <c r="M788" s="51"/>
      <c r="N788" s="51"/>
      <c r="P788" s="48">
        <v>-475</v>
      </c>
      <c r="Q788" s="48">
        <v>-250</v>
      </c>
      <c r="R788" s="51">
        <f t="shared" si="97"/>
        <v>-362.5</v>
      </c>
      <c r="T788" s="48"/>
      <c r="U788" s="48">
        <v>-331</v>
      </c>
      <c r="V788" s="48">
        <f t="shared" si="99"/>
        <v>-331</v>
      </c>
      <c r="Z788" s="49"/>
      <c r="AB788" s="51">
        <v>-300</v>
      </c>
      <c r="AD788" s="48">
        <f t="shared" si="98"/>
        <v>-300</v>
      </c>
      <c r="AH788" s="49"/>
      <c r="AJ788" s="14">
        <v>-225</v>
      </c>
      <c r="AL788" s="51">
        <f t="shared" si="96"/>
        <v>-225</v>
      </c>
      <c r="AN788" s="14">
        <v>250</v>
      </c>
      <c r="AO788" s="14">
        <v>475</v>
      </c>
      <c r="AP788" s="51">
        <f t="shared" si="100"/>
        <v>362.5</v>
      </c>
      <c r="AV788" s="14"/>
      <c r="AW788" s="14"/>
      <c r="AX788" s="14"/>
    </row>
    <row r="789" spans="1:50" ht="9.6" customHeight="1" x14ac:dyDescent="0.25">
      <c r="A789" s="14">
        <v>17</v>
      </c>
      <c r="B789" s="103">
        <v>41025</v>
      </c>
      <c r="C789" s="103">
        <v>41018</v>
      </c>
      <c r="D789" s="51"/>
      <c r="E789" s="51"/>
      <c r="F789" s="51"/>
      <c r="H789" s="48"/>
      <c r="I789" s="48"/>
      <c r="J789" s="48"/>
      <c r="L789" s="51"/>
      <c r="M789" s="51"/>
      <c r="N789" s="51"/>
      <c r="R789" s="51"/>
      <c r="T789" s="48">
        <v>-244</v>
      </c>
      <c r="U789" s="48">
        <v>-250</v>
      </c>
      <c r="V789" s="48">
        <f t="shared" si="99"/>
        <v>-247</v>
      </c>
      <c r="Y789" s="48">
        <v>-250</v>
      </c>
      <c r="Z789" s="48">
        <f>AVERAGE(X789:Y789)</f>
        <v>-250</v>
      </c>
      <c r="AB789" s="51"/>
      <c r="AJ789" s="14">
        <v>-200</v>
      </c>
      <c r="AL789" s="51">
        <f t="shared" si="96"/>
        <v>-200</v>
      </c>
      <c r="AN789" s="14">
        <v>200</v>
      </c>
      <c r="AO789" s="14">
        <v>475</v>
      </c>
      <c r="AP789" s="51">
        <f t="shared" si="100"/>
        <v>337.5</v>
      </c>
      <c r="AR789" s="14">
        <v>400</v>
      </c>
      <c r="AS789" s="14"/>
      <c r="AT789" s="51">
        <f t="shared" ref="AT789:AT794" si="101">AVERAGE(AR789:AS789)</f>
        <v>400</v>
      </c>
      <c r="AV789" s="14"/>
      <c r="AW789" s="14"/>
      <c r="AX789" s="14"/>
    </row>
    <row r="790" spans="1:50" ht="9.6" customHeight="1" x14ac:dyDescent="0.25">
      <c r="A790" s="14">
        <v>18</v>
      </c>
      <c r="B790" s="103">
        <v>41032</v>
      </c>
      <c r="C790" s="103">
        <v>41025</v>
      </c>
      <c r="D790" s="51"/>
      <c r="E790" s="51"/>
      <c r="F790" s="51"/>
      <c r="H790" s="48"/>
      <c r="I790" s="48"/>
      <c r="J790" s="48"/>
      <c r="L790" s="51"/>
      <c r="M790" s="51"/>
      <c r="N790" s="51"/>
      <c r="R790" s="51"/>
      <c r="T790" s="48">
        <v>-333</v>
      </c>
      <c r="U790" s="48">
        <v>-325</v>
      </c>
      <c r="V790" s="48">
        <f t="shared" si="99"/>
        <v>-329</v>
      </c>
      <c r="X790" s="48">
        <v>-300</v>
      </c>
      <c r="Y790" s="48">
        <v>-250</v>
      </c>
      <c r="Z790" s="48">
        <f>AVERAGE(X790:Y790)</f>
        <v>-275</v>
      </c>
      <c r="AB790" s="51"/>
      <c r="AJ790" s="14">
        <v>-100</v>
      </c>
      <c r="AL790" s="51">
        <f t="shared" si="96"/>
        <v>-100</v>
      </c>
      <c r="AN790" s="14">
        <v>500</v>
      </c>
      <c r="AO790" s="14">
        <v>500</v>
      </c>
      <c r="AP790" s="51">
        <f t="shared" si="100"/>
        <v>500</v>
      </c>
      <c r="AR790" s="14">
        <v>500</v>
      </c>
      <c r="AS790" s="14"/>
      <c r="AT790" s="51">
        <f t="shared" si="101"/>
        <v>500</v>
      </c>
      <c r="AV790" s="14"/>
      <c r="AW790" s="14"/>
      <c r="AX790" s="14"/>
    </row>
    <row r="791" spans="1:50" ht="9.6" customHeight="1" x14ac:dyDescent="0.25">
      <c r="A791" s="14">
        <v>19</v>
      </c>
      <c r="B791" s="103">
        <v>41039</v>
      </c>
      <c r="C791" s="103">
        <v>41032</v>
      </c>
      <c r="D791" s="51"/>
      <c r="E791" s="51"/>
      <c r="F791" s="51"/>
      <c r="H791" s="48"/>
      <c r="I791" s="48"/>
      <c r="J791" s="48"/>
      <c r="L791" s="51"/>
      <c r="M791" s="51"/>
      <c r="N791" s="51"/>
      <c r="R791" s="51"/>
      <c r="T791" s="48">
        <v>-244</v>
      </c>
      <c r="U791" s="48">
        <v>-300</v>
      </c>
      <c r="V791" s="48">
        <f t="shared" si="99"/>
        <v>-272</v>
      </c>
      <c r="X791" s="48">
        <v>-183</v>
      </c>
      <c r="Y791" s="48">
        <v>-375</v>
      </c>
      <c r="Z791" s="48">
        <f>AVERAGE(X791:Y791)</f>
        <v>-279</v>
      </c>
      <c r="AB791" s="51"/>
      <c r="AJ791" s="14">
        <v>-200</v>
      </c>
      <c r="AL791" s="51">
        <f t="shared" si="96"/>
        <v>-200</v>
      </c>
      <c r="AN791" s="14">
        <v>700</v>
      </c>
      <c r="AO791" s="14">
        <v>500</v>
      </c>
      <c r="AP791" s="51">
        <f t="shared" si="100"/>
        <v>600</v>
      </c>
      <c r="AR791" s="14">
        <v>600</v>
      </c>
      <c r="AT791" s="51">
        <f t="shared" si="101"/>
        <v>600</v>
      </c>
      <c r="AV791" s="14"/>
      <c r="AW791" s="14"/>
      <c r="AX791" s="14"/>
    </row>
    <row r="792" spans="1:50" ht="9.6" customHeight="1" x14ac:dyDescent="0.25">
      <c r="A792" s="14">
        <v>20</v>
      </c>
      <c r="B792" s="103">
        <v>41046</v>
      </c>
      <c r="C792" s="103">
        <v>41039</v>
      </c>
      <c r="D792" s="51"/>
      <c r="E792" s="51"/>
      <c r="F792" s="51"/>
      <c r="H792" s="48"/>
      <c r="I792" s="48"/>
      <c r="J792" s="48"/>
      <c r="L792" s="51"/>
      <c r="M792" s="51"/>
      <c r="N792" s="51"/>
      <c r="R792" s="51"/>
      <c r="T792" s="48">
        <v>-238</v>
      </c>
      <c r="U792" s="48">
        <v>-367</v>
      </c>
      <c r="V792" s="48">
        <f t="shared" si="99"/>
        <v>-302.5</v>
      </c>
      <c r="X792" s="48">
        <v>-225</v>
      </c>
      <c r="Y792" s="48">
        <v>-400</v>
      </c>
      <c r="Z792" s="48">
        <f t="shared" ref="Z792:Z797" si="102">AVERAGE(X792:Y792)</f>
        <v>-312.5</v>
      </c>
      <c r="AB792" s="51"/>
      <c r="AC792" s="48">
        <v>-250</v>
      </c>
      <c r="AD792" s="48">
        <f t="shared" ref="AD792:AD793" si="103">AVERAGE(AB792:AC792)</f>
        <v>-250</v>
      </c>
      <c r="AF792" s="51"/>
      <c r="AG792" s="48">
        <v>-375</v>
      </c>
      <c r="AH792" s="48">
        <f t="shared" ref="AH792:AH793" si="104">AVERAGE(AF792:AG792)</f>
        <v>-375</v>
      </c>
      <c r="AL792" s="51"/>
      <c r="AO792" s="14">
        <v>500</v>
      </c>
      <c r="AP792" s="51">
        <f t="shared" si="100"/>
        <v>500</v>
      </c>
      <c r="AR792" s="14">
        <v>575</v>
      </c>
      <c r="AT792" s="51">
        <f t="shared" si="101"/>
        <v>575</v>
      </c>
      <c r="AV792" s="14"/>
      <c r="AW792" s="14"/>
      <c r="AX792" s="14"/>
    </row>
    <row r="793" spans="1:50" ht="9.6" customHeight="1" x14ac:dyDescent="0.25">
      <c r="A793" s="14">
        <v>21</v>
      </c>
      <c r="B793" s="103">
        <v>41053</v>
      </c>
      <c r="C793" s="103">
        <v>41046</v>
      </c>
      <c r="D793" s="51"/>
      <c r="E793" s="51"/>
      <c r="F793" s="51"/>
      <c r="H793" s="48"/>
      <c r="I793" s="48"/>
      <c r="J793" s="48"/>
      <c r="L793" s="51"/>
      <c r="M793" s="51"/>
      <c r="N793" s="51"/>
      <c r="R793" s="51"/>
      <c r="T793" s="48"/>
      <c r="X793" s="48">
        <v>-108</v>
      </c>
      <c r="Y793" s="48">
        <v>-400</v>
      </c>
      <c r="Z793" s="48">
        <f t="shared" si="102"/>
        <v>-254</v>
      </c>
      <c r="AB793" s="51"/>
      <c r="AC793" s="48">
        <v>-300</v>
      </c>
      <c r="AD793" s="48">
        <f t="shared" si="103"/>
        <v>-300</v>
      </c>
      <c r="AF793" s="51"/>
      <c r="AG793" s="48">
        <v>-400</v>
      </c>
      <c r="AH793" s="48">
        <f t="shared" si="104"/>
        <v>-400</v>
      </c>
      <c r="AJ793" s="14"/>
      <c r="AK793" s="14">
        <v>-250</v>
      </c>
      <c r="AL793" s="51">
        <f t="shared" si="96"/>
        <v>-250</v>
      </c>
      <c r="AO793" s="14">
        <v>500</v>
      </c>
      <c r="AP793" s="51">
        <f>AVERAGE(AN793:AO793)</f>
        <v>500</v>
      </c>
      <c r="AR793" s="14">
        <v>575</v>
      </c>
      <c r="AT793" s="51">
        <f t="shared" si="101"/>
        <v>575</v>
      </c>
      <c r="AV793" s="14"/>
      <c r="AW793" s="14"/>
      <c r="AX793" s="14"/>
    </row>
    <row r="794" spans="1:50" ht="9.6" customHeight="1" x14ac:dyDescent="0.25">
      <c r="A794" s="14">
        <v>22</v>
      </c>
      <c r="B794" s="103">
        <v>41060</v>
      </c>
      <c r="C794" s="103">
        <v>41053</v>
      </c>
      <c r="D794" s="51"/>
      <c r="E794" s="51"/>
      <c r="F794" s="51"/>
      <c r="H794" s="48"/>
      <c r="I794" s="48"/>
      <c r="J794" s="48"/>
      <c r="L794" s="51"/>
      <c r="M794" s="51"/>
      <c r="N794" s="51"/>
      <c r="R794" s="51"/>
      <c r="T794" s="48"/>
      <c r="X794" s="48">
        <v>-138</v>
      </c>
      <c r="Y794" s="48">
        <v>-400</v>
      </c>
      <c r="Z794" s="48">
        <f t="shared" si="102"/>
        <v>-269</v>
      </c>
      <c r="AB794" s="51"/>
      <c r="AC794" s="48">
        <v>-300</v>
      </c>
      <c r="AD794" s="48">
        <f t="shared" ref="AD794:AD801" si="105">AVERAGE(AB794:AC794)</f>
        <v>-300</v>
      </c>
      <c r="AG794" s="48">
        <v>-400</v>
      </c>
      <c r="AH794" s="48">
        <f t="shared" ref="AH794:AH805" si="106">AVERAGE(AF794:AG794)</f>
        <v>-400</v>
      </c>
      <c r="AK794" s="14">
        <v>-250</v>
      </c>
      <c r="AL794" s="51">
        <f t="shared" ref="AL794" si="107">AVERAGE(AJ794:AK794)</f>
        <v>-250</v>
      </c>
      <c r="AO794" s="14">
        <v>475</v>
      </c>
      <c r="AP794" s="51">
        <f t="shared" ref="AP794:AP814" si="108">AVERAGE(AN794:AO794)</f>
        <v>475</v>
      </c>
      <c r="AR794" s="14">
        <v>600</v>
      </c>
      <c r="AT794" s="51">
        <f t="shared" si="101"/>
        <v>600</v>
      </c>
      <c r="AV794" s="14"/>
      <c r="AW794" s="14"/>
      <c r="AX794" s="14"/>
    </row>
    <row r="795" spans="1:50" ht="9.6" customHeight="1" x14ac:dyDescent="0.25">
      <c r="A795" s="14">
        <v>23</v>
      </c>
      <c r="B795" s="103">
        <v>41067</v>
      </c>
      <c r="C795" s="103">
        <v>41060</v>
      </c>
      <c r="D795" s="51"/>
      <c r="E795" s="51"/>
      <c r="F795" s="51"/>
      <c r="H795" s="48"/>
      <c r="I795" s="48"/>
      <c r="J795" s="48"/>
      <c r="L795" s="51"/>
      <c r="M795" s="51"/>
      <c r="N795" s="51"/>
      <c r="R795" s="51"/>
      <c r="T795" s="48"/>
      <c r="X795" s="48">
        <v>-217</v>
      </c>
      <c r="Y795" s="48">
        <v>-388</v>
      </c>
      <c r="Z795" s="48">
        <f t="shared" si="102"/>
        <v>-302.5</v>
      </c>
      <c r="AB795" s="51"/>
      <c r="AC795" s="48">
        <v>-300</v>
      </c>
      <c r="AD795" s="48">
        <f t="shared" si="105"/>
        <v>-300</v>
      </c>
      <c r="AG795" s="48">
        <v>-300</v>
      </c>
      <c r="AH795" s="48">
        <f t="shared" si="106"/>
        <v>-300</v>
      </c>
      <c r="AK795" s="14">
        <v>-250</v>
      </c>
      <c r="AL795" s="51">
        <f t="shared" ref="AL795:AL809" si="109">AVERAGE(AJ795:AK795)</f>
        <v>-250</v>
      </c>
      <c r="AO795" s="14">
        <v>450</v>
      </c>
      <c r="AP795" s="51">
        <f t="shared" si="108"/>
        <v>450</v>
      </c>
      <c r="AV795" s="14"/>
      <c r="AW795" s="14"/>
      <c r="AX795" s="14"/>
    </row>
    <row r="796" spans="1:50" ht="9.6" customHeight="1" x14ac:dyDescent="0.25">
      <c r="A796" s="14">
        <v>24</v>
      </c>
      <c r="B796" s="103">
        <v>41074</v>
      </c>
      <c r="C796" s="103">
        <v>41067</v>
      </c>
      <c r="D796" s="51"/>
      <c r="E796" s="51"/>
      <c r="F796" s="51"/>
      <c r="H796" s="48"/>
      <c r="I796" s="48"/>
      <c r="J796" s="48"/>
      <c r="L796" s="51"/>
      <c r="M796" s="51"/>
      <c r="N796" s="51"/>
      <c r="R796" s="51"/>
      <c r="T796" s="48"/>
      <c r="X796" s="48">
        <v>-375</v>
      </c>
      <c r="Y796" s="48">
        <v>-600</v>
      </c>
      <c r="Z796" s="48">
        <f t="shared" si="102"/>
        <v>-487.5</v>
      </c>
      <c r="AB796" s="51"/>
      <c r="AC796" s="48">
        <v>-392</v>
      </c>
      <c r="AD796" s="48">
        <f t="shared" si="105"/>
        <v>-392</v>
      </c>
      <c r="AG796" s="48">
        <v>-425</v>
      </c>
      <c r="AH796" s="48">
        <f t="shared" si="106"/>
        <v>-425</v>
      </c>
      <c r="AK796" s="14">
        <v>-250</v>
      </c>
      <c r="AL796" s="51">
        <f t="shared" si="109"/>
        <v>-250</v>
      </c>
      <c r="AO796" s="14">
        <v>425</v>
      </c>
      <c r="AP796" s="51">
        <f t="shared" si="108"/>
        <v>425</v>
      </c>
      <c r="AV796" s="14"/>
      <c r="AW796" s="14"/>
      <c r="AX796" s="14"/>
    </row>
    <row r="797" spans="1:50" ht="9.6" customHeight="1" x14ac:dyDescent="0.25">
      <c r="A797" s="14">
        <v>25</v>
      </c>
      <c r="B797" s="103">
        <v>41081</v>
      </c>
      <c r="C797" s="103">
        <v>41074</v>
      </c>
      <c r="D797" s="51"/>
      <c r="E797" s="51"/>
      <c r="F797" s="51"/>
      <c r="H797" s="48"/>
      <c r="I797" s="48"/>
      <c r="J797" s="48"/>
      <c r="L797" s="51"/>
      <c r="M797" s="51"/>
      <c r="N797" s="51"/>
      <c r="R797" s="51"/>
      <c r="T797" s="48"/>
      <c r="X797" s="48">
        <v>-488</v>
      </c>
      <c r="Y797" s="48">
        <v>-625</v>
      </c>
      <c r="Z797" s="48">
        <f t="shared" si="102"/>
        <v>-556.5</v>
      </c>
      <c r="AB797" s="51">
        <v>-413</v>
      </c>
      <c r="AC797" s="48">
        <v>-600</v>
      </c>
      <c r="AD797" s="48">
        <f t="shared" si="105"/>
        <v>-506.5</v>
      </c>
      <c r="AG797" s="48">
        <v>-400</v>
      </c>
      <c r="AH797" s="48">
        <f t="shared" si="106"/>
        <v>-400</v>
      </c>
      <c r="AK797" s="14">
        <v>-250</v>
      </c>
      <c r="AL797" s="51">
        <f t="shared" si="109"/>
        <v>-250</v>
      </c>
      <c r="AO797" s="14">
        <v>325</v>
      </c>
      <c r="AP797" s="51">
        <f t="shared" si="108"/>
        <v>325</v>
      </c>
      <c r="AV797" s="14"/>
      <c r="AW797" s="14"/>
      <c r="AX797" s="14"/>
    </row>
    <row r="798" spans="1:50" ht="9.6" customHeight="1" x14ac:dyDescent="0.25">
      <c r="A798" s="14">
        <v>26</v>
      </c>
      <c r="B798" s="103">
        <v>41088</v>
      </c>
      <c r="C798" s="103">
        <v>41081</v>
      </c>
      <c r="D798" s="51"/>
      <c r="E798" s="51"/>
      <c r="F798" s="51"/>
      <c r="H798" s="48"/>
      <c r="I798" s="48"/>
      <c r="J798" s="48"/>
      <c r="L798" s="51"/>
      <c r="M798" s="51"/>
      <c r="N798" s="51"/>
      <c r="R798" s="51"/>
      <c r="T798" s="48"/>
      <c r="AB798" s="48"/>
      <c r="AC798" s="48">
        <v>-525</v>
      </c>
      <c r="AD798" s="48">
        <f t="shared" si="105"/>
        <v>-525</v>
      </c>
      <c r="AE798" s="48"/>
      <c r="AF798" s="48"/>
      <c r="AG798" s="48">
        <v>-525</v>
      </c>
      <c r="AH798" s="48">
        <f t="shared" si="106"/>
        <v>-525</v>
      </c>
      <c r="AI798" s="48"/>
      <c r="AJ798" s="48">
        <v>-150</v>
      </c>
      <c r="AK798" s="48">
        <v>-425</v>
      </c>
      <c r="AL798" s="48">
        <f t="shared" si="109"/>
        <v>-287.5</v>
      </c>
      <c r="AM798" s="48"/>
      <c r="AN798" s="48"/>
      <c r="AO798" s="48">
        <v>288</v>
      </c>
      <c r="AP798" s="48">
        <f t="shared" si="108"/>
        <v>288</v>
      </c>
      <c r="AV798" s="14"/>
      <c r="AW798" s="14"/>
      <c r="AX798" s="14"/>
    </row>
    <row r="799" spans="1:50" ht="9.6" customHeight="1" x14ac:dyDescent="0.25">
      <c r="A799" s="14">
        <v>27</v>
      </c>
      <c r="B799" s="103">
        <v>41095</v>
      </c>
      <c r="C799" s="103">
        <v>41088</v>
      </c>
      <c r="D799" s="51"/>
      <c r="E799" s="51"/>
      <c r="F799" s="51"/>
      <c r="H799" s="48"/>
      <c r="I799" s="48"/>
      <c r="J799" s="48"/>
      <c r="L799" s="51"/>
      <c r="M799" s="51"/>
      <c r="N799" s="51"/>
      <c r="R799" s="51"/>
      <c r="T799" s="48"/>
      <c r="AB799" s="48">
        <v>-275</v>
      </c>
      <c r="AC799" s="48">
        <v>-438</v>
      </c>
      <c r="AD799" s="48">
        <f t="shared" si="105"/>
        <v>-356.5</v>
      </c>
      <c r="AE799" s="48"/>
      <c r="AF799" s="48"/>
      <c r="AG799" s="48">
        <v>-525</v>
      </c>
      <c r="AH799" s="48">
        <f t="shared" si="106"/>
        <v>-525</v>
      </c>
      <c r="AI799" s="48"/>
      <c r="AJ799" s="48">
        <v>-200</v>
      </c>
      <c r="AK799" s="48">
        <v>-450</v>
      </c>
      <c r="AL799" s="48">
        <f t="shared" si="109"/>
        <v>-325</v>
      </c>
      <c r="AM799" s="48"/>
      <c r="AN799" s="48">
        <v>100</v>
      </c>
      <c r="AO799" s="48">
        <v>300</v>
      </c>
      <c r="AP799" s="48">
        <f t="shared" si="108"/>
        <v>200</v>
      </c>
      <c r="AV799" s="14"/>
      <c r="AW799" s="14"/>
      <c r="AX799" s="14"/>
    </row>
    <row r="800" spans="1:50" ht="9" customHeight="1" x14ac:dyDescent="0.25">
      <c r="A800" s="14">
        <v>28</v>
      </c>
      <c r="B800" s="103">
        <v>41102</v>
      </c>
      <c r="C800" s="103">
        <v>41095</v>
      </c>
      <c r="D800" s="51"/>
      <c r="E800" s="51"/>
      <c r="F800" s="51"/>
      <c r="H800" s="48"/>
      <c r="I800" s="48"/>
      <c r="J800" s="48"/>
      <c r="L800" s="51"/>
      <c r="M800" s="51"/>
      <c r="N800" s="51"/>
      <c r="R800" s="51"/>
      <c r="T800" s="48"/>
      <c r="AB800" s="48">
        <v>-254</v>
      </c>
      <c r="AC800" s="48">
        <v>-400</v>
      </c>
      <c r="AD800" s="48">
        <f t="shared" si="105"/>
        <v>-327</v>
      </c>
      <c r="AE800" s="48"/>
      <c r="AF800" s="48">
        <v>-413</v>
      </c>
      <c r="AG800" s="48">
        <v>-400</v>
      </c>
      <c r="AH800" s="48">
        <f t="shared" si="106"/>
        <v>-406.5</v>
      </c>
      <c r="AI800" s="48"/>
      <c r="AJ800" s="48"/>
      <c r="AK800" s="48">
        <v>-300</v>
      </c>
      <c r="AL800" s="48">
        <f t="shared" si="109"/>
        <v>-300</v>
      </c>
      <c r="AM800" s="48"/>
      <c r="AN800" s="48"/>
      <c r="AO800" s="48">
        <v>350</v>
      </c>
      <c r="AP800" s="48">
        <f t="shared" si="108"/>
        <v>350</v>
      </c>
      <c r="AV800" s="14"/>
      <c r="AW800" s="14"/>
      <c r="AX800" s="14"/>
    </row>
    <row r="801" spans="1:50" ht="9.6" customHeight="1" x14ac:dyDescent="0.25">
      <c r="A801" s="14">
        <v>29</v>
      </c>
      <c r="B801" s="103">
        <v>41109</v>
      </c>
      <c r="C801" s="103">
        <v>41102</v>
      </c>
      <c r="D801" s="51"/>
      <c r="E801" s="51"/>
      <c r="F801" s="51"/>
      <c r="H801" s="48"/>
      <c r="I801" s="48"/>
      <c r="J801" s="48"/>
      <c r="L801" s="51"/>
      <c r="M801" s="51"/>
      <c r="N801" s="51"/>
      <c r="R801" s="51"/>
      <c r="T801" s="48"/>
      <c r="AB801" s="48">
        <v>-113</v>
      </c>
      <c r="AC801" s="48">
        <v>-350</v>
      </c>
      <c r="AD801" s="48">
        <f t="shared" si="105"/>
        <v>-231.5</v>
      </c>
      <c r="AE801" s="48"/>
      <c r="AF801" s="48">
        <v>-342</v>
      </c>
      <c r="AG801" s="48">
        <v>-400</v>
      </c>
      <c r="AH801" s="48">
        <f t="shared" si="106"/>
        <v>-371</v>
      </c>
      <c r="AI801" s="48"/>
      <c r="AJ801" s="48">
        <v>-288</v>
      </c>
      <c r="AK801" s="48">
        <v>-325</v>
      </c>
      <c r="AL801" s="48">
        <f t="shared" si="109"/>
        <v>-306.5</v>
      </c>
      <c r="AM801" s="48"/>
      <c r="AN801" s="48"/>
      <c r="AO801" s="48">
        <v>125</v>
      </c>
      <c r="AP801" s="48">
        <f t="shared" si="108"/>
        <v>125</v>
      </c>
      <c r="AV801" s="14"/>
      <c r="AW801" s="14"/>
      <c r="AX801" s="14"/>
    </row>
    <row r="802" spans="1:50" ht="9.6" customHeight="1" x14ac:dyDescent="0.25">
      <c r="A802" s="14">
        <v>30</v>
      </c>
      <c r="B802" s="103">
        <v>41116</v>
      </c>
      <c r="C802" s="103">
        <v>41109</v>
      </c>
      <c r="D802" s="51"/>
      <c r="E802" s="51"/>
      <c r="F802" s="51"/>
      <c r="H802" s="48"/>
      <c r="I802" s="48"/>
      <c r="J802" s="48"/>
      <c r="L802" s="51"/>
      <c r="M802" s="51"/>
      <c r="N802" s="51"/>
      <c r="R802" s="51"/>
      <c r="T802" s="48"/>
      <c r="AB802" s="51"/>
      <c r="AD802" s="49"/>
      <c r="AF802" s="48">
        <v>-342</v>
      </c>
      <c r="AG802" s="48">
        <v>-400</v>
      </c>
      <c r="AH802" s="48">
        <f t="shared" si="106"/>
        <v>-371</v>
      </c>
      <c r="AI802" s="48"/>
      <c r="AJ802" s="48">
        <v>-288</v>
      </c>
      <c r="AK802" s="48">
        <v>-325</v>
      </c>
      <c r="AL802" s="48">
        <f t="shared" si="109"/>
        <v>-306.5</v>
      </c>
      <c r="AM802" s="48"/>
      <c r="AN802" s="48"/>
      <c r="AO802" s="48">
        <v>125</v>
      </c>
      <c r="AP802" s="48">
        <f t="shared" si="108"/>
        <v>125</v>
      </c>
      <c r="AV802" s="14"/>
      <c r="AW802" s="14"/>
      <c r="AX802" s="14"/>
    </row>
    <row r="803" spans="1:50" ht="9.6" customHeight="1" x14ac:dyDescent="0.25">
      <c r="A803" s="14">
        <v>31</v>
      </c>
      <c r="B803" s="103">
        <v>41123</v>
      </c>
      <c r="C803" s="103">
        <v>41116</v>
      </c>
      <c r="D803" s="51"/>
      <c r="E803" s="51"/>
      <c r="F803" s="51"/>
      <c r="H803" s="48"/>
      <c r="I803" s="48"/>
      <c r="J803" s="48"/>
      <c r="L803" s="51"/>
      <c r="M803" s="51"/>
      <c r="N803" s="51"/>
      <c r="R803" s="51"/>
      <c r="T803" s="48"/>
      <c r="AB803" s="51"/>
      <c r="AF803" s="48">
        <v>-238</v>
      </c>
      <c r="AG803" s="48">
        <v>-325</v>
      </c>
      <c r="AH803" s="48">
        <f t="shared" si="106"/>
        <v>-281.5</v>
      </c>
      <c r="AI803" s="48"/>
      <c r="AJ803" s="48">
        <v>-283</v>
      </c>
      <c r="AK803" s="48">
        <v>-225</v>
      </c>
      <c r="AL803" s="48">
        <f t="shared" si="109"/>
        <v>-254</v>
      </c>
      <c r="AM803" s="48"/>
      <c r="AN803" s="48"/>
      <c r="AO803" s="48">
        <v>200</v>
      </c>
      <c r="AP803" s="48">
        <f t="shared" si="108"/>
        <v>200</v>
      </c>
      <c r="AV803" s="14"/>
      <c r="AW803" s="14"/>
      <c r="AX803" s="14"/>
    </row>
    <row r="804" spans="1:50" ht="9.6" customHeight="1" x14ac:dyDescent="0.25">
      <c r="A804" s="14">
        <v>32</v>
      </c>
      <c r="B804" s="103">
        <v>41130</v>
      </c>
      <c r="C804" s="103">
        <v>41123</v>
      </c>
      <c r="D804" s="51"/>
      <c r="E804" s="51"/>
      <c r="F804" s="51"/>
      <c r="H804" s="48"/>
      <c r="I804" s="48"/>
      <c r="J804" s="48"/>
      <c r="L804" s="51"/>
      <c r="M804" s="51"/>
      <c r="N804" s="51"/>
      <c r="R804" s="51"/>
      <c r="T804" s="48"/>
      <c r="AB804" s="51"/>
      <c r="AF804" s="48">
        <v>-125</v>
      </c>
      <c r="AG804" s="48">
        <v>-225</v>
      </c>
      <c r="AH804" s="48">
        <f t="shared" si="106"/>
        <v>-175</v>
      </c>
      <c r="AI804" s="48"/>
      <c r="AJ804" s="48">
        <v>-294</v>
      </c>
      <c r="AK804" s="48">
        <v>-200</v>
      </c>
      <c r="AL804" s="48">
        <f t="shared" si="109"/>
        <v>-247</v>
      </c>
      <c r="AM804" s="48"/>
      <c r="AN804" s="48">
        <v>-112</v>
      </c>
      <c r="AO804" s="48">
        <v>288</v>
      </c>
      <c r="AP804" s="48">
        <f t="shared" si="108"/>
        <v>88</v>
      </c>
      <c r="AV804" s="14"/>
      <c r="AW804" s="14"/>
      <c r="AX804" s="14"/>
    </row>
    <row r="805" spans="1:50" ht="9.6" customHeight="1" x14ac:dyDescent="0.25">
      <c r="A805" s="14">
        <v>33</v>
      </c>
      <c r="B805" s="103">
        <v>41137</v>
      </c>
      <c r="C805" s="103">
        <v>41130</v>
      </c>
      <c r="D805" s="51"/>
      <c r="E805" s="51"/>
      <c r="F805" s="51"/>
      <c r="H805" s="48"/>
      <c r="I805" s="48"/>
      <c r="J805" s="48"/>
      <c r="L805" s="51"/>
      <c r="M805" s="51"/>
      <c r="N805" s="51"/>
      <c r="R805" s="51"/>
      <c r="T805" s="48"/>
      <c r="AB805" s="51"/>
      <c r="AF805" s="48">
        <v>-400</v>
      </c>
      <c r="AG805" s="48">
        <v>-300</v>
      </c>
      <c r="AH805" s="48">
        <f t="shared" si="106"/>
        <v>-350</v>
      </c>
      <c r="AJ805" s="48">
        <v>-333</v>
      </c>
      <c r="AK805" s="48">
        <v>-267</v>
      </c>
      <c r="AL805" s="51">
        <f t="shared" si="109"/>
        <v>-300</v>
      </c>
      <c r="AO805" s="48">
        <v>350</v>
      </c>
      <c r="AP805" s="48">
        <f t="shared" si="108"/>
        <v>350</v>
      </c>
      <c r="AV805" s="14"/>
      <c r="AW805" s="14"/>
      <c r="AX805" s="14"/>
    </row>
    <row r="806" spans="1:50" ht="9.6" customHeight="1" x14ac:dyDescent="0.25">
      <c r="A806" s="14">
        <v>34</v>
      </c>
      <c r="B806" s="103">
        <v>41144</v>
      </c>
      <c r="C806" s="103">
        <v>41137</v>
      </c>
      <c r="D806" s="51"/>
      <c r="E806" s="51"/>
      <c r="F806" s="51"/>
      <c r="H806" s="48"/>
      <c r="I806" s="48"/>
      <c r="J806" s="48"/>
      <c r="L806" s="51"/>
      <c r="M806" s="51"/>
      <c r="N806" s="51"/>
      <c r="R806" s="51"/>
      <c r="T806" s="48"/>
      <c r="AB806" s="51"/>
      <c r="AJ806" s="48">
        <v>-388</v>
      </c>
      <c r="AK806" s="48">
        <v>-350</v>
      </c>
      <c r="AL806" s="51">
        <f t="shared" si="109"/>
        <v>-369</v>
      </c>
      <c r="AO806" s="48">
        <v>300</v>
      </c>
      <c r="AP806" s="48">
        <f t="shared" si="108"/>
        <v>300</v>
      </c>
      <c r="AV806" s="14"/>
      <c r="AW806" s="14">
        <v>-100</v>
      </c>
      <c r="AX806" s="14">
        <f t="shared" ref="AX806" si="110">AVERAGE(AV806:AW806)</f>
        <v>-100</v>
      </c>
    </row>
    <row r="807" spans="1:50" ht="9.6" customHeight="1" x14ac:dyDescent="0.25">
      <c r="A807" s="14">
        <v>35</v>
      </c>
      <c r="B807" s="103">
        <v>41151</v>
      </c>
      <c r="C807" s="103">
        <v>41144</v>
      </c>
      <c r="D807" s="51"/>
      <c r="E807" s="51"/>
      <c r="F807" s="51"/>
      <c r="H807" s="48"/>
      <c r="I807" s="48"/>
      <c r="J807" s="48"/>
      <c r="L807" s="51"/>
      <c r="M807" s="51"/>
      <c r="N807" s="51"/>
      <c r="R807" s="51"/>
      <c r="T807" s="48"/>
      <c r="AB807" s="51"/>
      <c r="AJ807" s="48">
        <v>-308</v>
      </c>
      <c r="AK807" s="48">
        <v>-425</v>
      </c>
      <c r="AL807" s="51">
        <f t="shared" si="109"/>
        <v>-366.5</v>
      </c>
      <c r="AN807" s="48">
        <v>200</v>
      </c>
      <c r="AO807" s="48">
        <v>250</v>
      </c>
      <c r="AP807" s="48">
        <f t="shared" si="108"/>
        <v>225</v>
      </c>
      <c r="AV807" s="14"/>
      <c r="AW807" s="14"/>
      <c r="AX807" s="14"/>
    </row>
    <row r="808" spans="1:50" ht="9.6" customHeight="1" x14ac:dyDescent="0.25">
      <c r="A808" s="14">
        <v>36</v>
      </c>
      <c r="B808" s="103">
        <v>41158</v>
      </c>
      <c r="C808" s="103">
        <v>41151</v>
      </c>
      <c r="D808" s="51"/>
      <c r="E808" s="51"/>
      <c r="F808" s="51"/>
      <c r="H808" s="48"/>
      <c r="I808" s="48"/>
      <c r="J808" s="48"/>
      <c r="L808" s="51"/>
      <c r="M808" s="51"/>
      <c r="N808" s="51"/>
      <c r="R808" s="51"/>
      <c r="T808" s="48"/>
      <c r="AB808" s="51"/>
      <c r="AJ808" s="48">
        <v>-244</v>
      </c>
      <c r="AK808" s="48">
        <v>-550</v>
      </c>
      <c r="AL808" s="51">
        <f t="shared" si="109"/>
        <v>-397</v>
      </c>
      <c r="AO808" s="48">
        <v>275</v>
      </c>
      <c r="AP808" s="48">
        <f t="shared" si="108"/>
        <v>275</v>
      </c>
      <c r="AV808" s="14"/>
      <c r="AW808" s="14"/>
      <c r="AX808" s="14"/>
    </row>
    <row r="809" spans="1:50" ht="9.6" customHeight="1" x14ac:dyDescent="0.25">
      <c r="A809" s="14">
        <v>37</v>
      </c>
      <c r="B809" s="103">
        <v>41165</v>
      </c>
      <c r="C809" s="103">
        <v>41158</v>
      </c>
      <c r="D809" s="51"/>
      <c r="E809" s="51"/>
      <c r="F809" s="51"/>
      <c r="H809" s="48"/>
      <c r="I809" s="48"/>
      <c r="J809" s="48"/>
      <c r="L809" s="51"/>
      <c r="M809" s="51"/>
      <c r="N809" s="51"/>
      <c r="R809" s="51"/>
      <c r="T809" s="48"/>
      <c r="AB809" s="51"/>
      <c r="AJ809" s="48">
        <v>0</v>
      </c>
      <c r="AK809" s="48">
        <v>-375</v>
      </c>
      <c r="AL809" s="51">
        <f t="shared" si="109"/>
        <v>-187.5</v>
      </c>
      <c r="AN809" s="48">
        <v>300</v>
      </c>
      <c r="AO809" s="48">
        <v>350</v>
      </c>
      <c r="AP809" s="48">
        <f t="shared" si="108"/>
        <v>325</v>
      </c>
      <c r="AS809" s="14">
        <v>150</v>
      </c>
      <c r="AT809" s="51">
        <f t="shared" ref="AT809" si="111">AVERAGE(AR809:AS809)</f>
        <v>150</v>
      </c>
      <c r="AW809" s="14">
        <v>50</v>
      </c>
      <c r="AX809" s="51">
        <f t="shared" ref="AX809:AX823" si="112">AVERAGE(AV809:AW809)</f>
        <v>50</v>
      </c>
    </row>
    <row r="810" spans="1:50" ht="9.6" customHeight="1" x14ac:dyDescent="0.25">
      <c r="A810" s="14">
        <v>38</v>
      </c>
      <c r="B810" s="103">
        <v>41172</v>
      </c>
      <c r="C810" s="103">
        <v>41165</v>
      </c>
      <c r="D810" s="51"/>
      <c r="E810" s="51"/>
      <c r="F810" s="51"/>
      <c r="H810" s="48"/>
      <c r="I810" s="48"/>
      <c r="J810" s="48"/>
      <c r="L810" s="51"/>
      <c r="M810" s="51"/>
      <c r="N810" s="51"/>
      <c r="R810" s="51"/>
      <c r="T810" s="48"/>
      <c r="AB810" s="51"/>
      <c r="AJ810" s="48">
        <v>500</v>
      </c>
      <c r="AK810" s="48"/>
      <c r="AL810" s="51">
        <f t="shared" ref="AL810" si="113">AVERAGE(AJ810:AK810)</f>
        <v>500</v>
      </c>
      <c r="AN810" s="48">
        <v>525</v>
      </c>
      <c r="AO810" s="48">
        <v>400</v>
      </c>
      <c r="AP810" s="48">
        <f t="shared" si="108"/>
        <v>462.5</v>
      </c>
      <c r="AS810" s="14">
        <v>150</v>
      </c>
      <c r="AT810" s="51">
        <f t="shared" ref="AT810:AT818" si="114">AVERAGE(AR810:AS810)</f>
        <v>150</v>
      </c>
      <c r="AV810" s="14">
        <v>-138</v>
      </c>
      <c r="AW810" s="14">
        <v>50</v>
      </c>
      <c r="AX810" s="51">
        <f t="shared" si="112"/>
        <v>-44</v>
      </c>
    </row>
    <row r="811" spans="1:50" ht="9.6" customHeight="1" x14ac:dyDescent="0.25">
      <c r="A811" s="14">
        <v>39</v>
      </c>
      <c r="B811" s="103">
        <v>41179</v>
      </c>
      <c r="C811" s="103">
        <v>41172</v>
      </c>
      <c r="D811" s="51"/>
      <c r="E811" s="51"/>
      <c r="F811" s="51"/>
      <c r="H811" s="48"/>
      <c r="I811" s="48"/>
      <c r="J811" s="48"/>
      <c r="L811" s="51"/>
      <c r="M811" s="51"/>
      <c r="N811" s="51"/>
      <c r="R811" s="51"/>
      <c r="T811" s="48"/>
      <c r="AB811" s="51"/>
      <c r="AL811" s="51"/>
      <c r="AN811" s="48">
        <v>458</v>
      </c>
      <c r="AO811" s="48">
        <v>313</v>
      </c>
      <c r="AP811" s="48">
        <f t="shared" si="108"/>
        <v>385.5</v>
      </c>
      <c r="AS811" s="14">
        <v>-25</v>
      </c>
      <c r="AT811" s="51">
        <f t="shared" si="114"/>
        <v>-25</v>
      </c>
      <c r="AV811" s="14">
        <v>-100</v>
      </c>
      <c r="AW811" s="14">
        <v>-50</v>
      </c>
      <c r="AX811" s="51">
        <f t="shared" si="112"/>
        <v>-75</v>
      </c>
    </row>
    <row r="812" spans="1:50" ht="9.6" customHeight="1" x14ac:dyDescent="0.25">
      <c r="A812" s="14">
        <v>40</v>
      </c>
      <c r="B812" s="103">
        <v>41186</v>
      </c>
      <c r="C812" s="103">
        <v>41179</v>
      </c>
      <c r="D812" s="51"/>
      <c r="E812" s="51"/>
      <c r="F812" s="51"/>
      <c r="H812" s="48"/>
      <c r="I812" s="48"/>
      <c r="J812" s="48"/>
      <c r="L812" s="51"/>
      <c r="M812" s="51"/>
      <c r="N812" s="51"/>
      <c r="R812" s="51"/>
      <c r="T812" s="48"/>
      <c r="AB812" s="51"/>
      <c r="AL812" s="51"/>
      <c r="AN812" s="48">
        <v>454</v>
      </c>
      <c r="AO812" s="48">
        <v>125</v>
      </c>
      <c r="AP812" s="48">
        <f t="shared" si="108"/>
        <v>289.5</v>
      </c>
      <c r="AS812" s="14">
        <v>-25</v>
      </c>
      <c r="AT812" s="51">
        <f t="shared" si="114"/>
        <v>-25</v>
      </c>
      <c r="AV812" s="14">
        <v>-175</v>
      </c>
      <c r="AW812" s="14">
        <v>-100</v>
      </c>
      <c r="AX812" s="51">
        <f t="shared" si="112"/>
        <v>-137.5</v>
      </c>
    </row>
    <row r="813" spans="1:50" ht="9.6" customHeight="1" x14ac:dyDescent="0.25">
      <c r="A813" s="14">
        <v>41</v>
      </c>
      <c r="B813" s="103">
        <v>41193</v>
      </c>
      <c r="C813" s="103">
        <v>41186</v>
      </c>
      <c r="D813" s="51"/>
      <c r="E813" s="51"/>
      <c r="F813" s="51"/>
      <c r="H813" s="48"/>
      <c r="I813" s="48"/>
      <c r="J813" s="48"/>
      <c r="L813" s="51"/>
      <c r="M813" s="51"/>
      <c r="N813" s="51"/>
      <c r="R813" s="51"/>
      <c r="T813" s="48"/>
      <c r="AB813" s="51"/>
      <c r="AL813" s="51"/>
      <c r="AN813" s="48">
        <v>317</v>
      </c>
      <c r="AO813" s="48">
        <v>75</v>
      </c>
      <c r="AP813" s="48">
        <f t="shared" si="108"/>
        <v>196</v>
      </c>
      <c r="AR813" s="14">
        <v>100</v>
      </c>
      <c r="AS813" s="14">
        <v>-50</v>
      </c>
      <c r="AT813" s="51">
        <f t="shared" si="114"/>
        <v>25</v>
      </c>
      <c r="AV813" s="14">
        <v>-150</v>
      </c>
      <c r="AW813" s="14">
        <v>-100</v>
      </c>
      <c r="AX813" s="14">
        <f t="shared" si="112"/>
        <v>-125</v>
      </c>
    </row>
    <row r="814" spans="1:50" ht="9.6" customHeight="1" x14ac:dyDescent="0.25">
      <c r="A814" s="14">
        <v>42</v>
      </c>
      <c r="B814" s="103">
        <v>41200</v>
      </c>
      <c r="C814" s="103">
        <v>41193</v>
      </c>
      <c r="D814" s="51"/>
      <c r="E814" s="51"/>
      <c r="F814" s="51"/>
      <c r="H814" s="48"/>
      <c r="I814" s="48"/>
      <c r="J814" s="48"/>
      <c r="L814" s="51"/>
      <c r="M814" s="51"/>
      <c r="N814" s="51"/>
      <c r="R814" s="51"/>
      <c r="T814" s="48"/>
      <c r="AB814" s="51"/>
      <c r="AL814" s="51"/>
      <c r="AN814" s="48">
        <v>-50</v>
      </c>
      <c r="AO814" s="48">
        <v>-150</v>
      </c>
      <c r="AP814" s="48">
        <f t="shared" si="108"/>
        <v>-100</v>
      </c>
      <c r="AR814" s="14">
        <v>-88</v>
      </c>
      <c r="AS814" s="14">
        <v>-150</v>
      </c>
      <c r="AT814" s="51">
        <f t="shared" si="114"/>
        <v>-119</v>
      </c>
      <c r="AV814" s="14">
        <v>-200</v>
      </c>
      <c r="AW814" s="14">
        <v>-150</v>
      </c>
      <c r="AX814" s="14">
        <f t="shared" si="112"/>
        <v>-175</v>
      </c>
    </row>
    <row r="815" spans="1:50" ht="9.6" customHeight="1" x14ac:dyDescent="0.25">
      <c r="A815" s="14">
        <v>43</v>
      </c>
      <c r="B815" s="103">
        <v>41207</v>
      </c>
      <c r="C815" s="103">
        <v>41200</v>
      </c>
      <c r="D815" s="51"/>
      <c r="E815" s="51"/>
      <c r="F815" s="51"/>
      <c r="H815" s="48"/>
      <c r="I815" s="48"/>
      <c r="J815" s="48"/>
      <c r="L815" s="51"/>
      <c r="M815" s="51"/>
      <c r="N815" s="51"/>
      <c r="R815" s="51"/>
      <c r="T815" s="48"/>
      <c r="AB815" s="51"/>
      <c r="AL815" s="51"/>
      <c r="AP815" s="48"/>
      <c r="AR815" s="14">
        <v>-113</v>
      </c>
      <c r="AS815" s="14">
        <v>-325</v>
      </c>
      <c r="AT815" s="51">
        <f t="shared" si="114"/>
        <v>-219</v>
      </c>
      <c r="AV815" s="14"/>
      <c r="AW815" s="14">
        <v>-250</v>
      </c>
      <c r="AX815" s="14">
        <f t="shared" si="112"/>
        <v>-250</v>
      </c>
    </row>
    <row r="816" spans="1:50" ht="9.6" customHeight="1" x14ac:dyDescent="0.25">
      <c r="A816" s="14">
        <v>44</v>
      </c>
      <c r="B816" s="103">
        <v>41214</v>
      </c>
      <c r="C816" s="103">
        <v>41207</v>
      </c>
      <c r="D816" s="51"/>
      <c r="E816" s="51"/>
      <c r="F816" s="51"/>
      <c r="H816" s="48"/>
      <c r="I816" s="48"/>
      <c r="J816" s="48"/>
      <c r="L816" s="51"/>
      <c r="M816" s="51"/>
      <c r="N816" s="51"/>
      <c r="R816" s="51"/>
      <c r="T816" s="48"/>
      <c r="AL816" s="51"/>
      <c r="AP816" s="48"/>
      <c r="AR816" s="14">
        <v>-175</v>
      </c>
      <c r="AS816" s="14">
        <v>-250</v>
      </c>
      <c r="AT816" s="51">
        <f t="shared" si="114"/>
        <v>-212.5</v>
      </c>
      <c r="AV816" s="14">
        <v>-200</v>
      </c>
      <c r="AW816" s="14">
        <v>-325</v>
      </c>
      <c r="AX816" s="14">
        <f t="shared" si="112"/>
        <v>-262.5</v>
      </c>
    </row>
    <row r="817" spans="1:50" ht="9.6" customHeight="1" x14ac:dyDescent="0.25">
      <c r="A817" s="14">
        <v>45</v>
      </c>
      <c r="B817" s="103">
        <v>41221</v>
      </c>
      <c r="C817" s="103">
        <v>41214</v>
      </c>
      <c r="D817" s="51"/>
      <c r="E817" s="51"/>
      <c r="F817" s="51"/>
      <c r="H817" s="48"/>
      <c r="I817" s="48"/>
      <c r="J817" s="48"/>
      <c r="L817" s="51"/>
      <c r="M817" s="51"/>
      <c r="N817" s="51"/>
      <c r="R817" s="51"/>
      <c r="T817" s="48"/>
      <c r="AL817" s="51"/>
      <c r="AP817" s="48"/>
      <c r="AR817" s="14">
        <v>-158</v>
      </c>
      <c r="AS817" s="14">
        <v>-325</v>
      </c>
      <c r="AT817" s="51">
        <f t="shared" si="114"/>
        <v>-241.5</v>
      </c>
      <c r="AV817" s="14">
        <v>-275</v>
      </c>
      <c r="AW817" s="14">
        <v>-300</v>
      </c>
      <c r="AX817" s="14">
        <f t="shared" si="112"/>
        <v>-287.5</v>
      </c>
    </row>
    <row r="818" spans="1:50" ht="9.6" customHeight="1" x14ac:dyDescent="0.25">
      <c r="A818" s="14">
        <v>46</v>
      </c>
      <c r="B818" s="103">
        <v>41228</v>
      </c>
      <c r="C818" s="103">
        <v>41221</v>
      </c>
      <c r="D818" s="51"/>
      <c r="E818" s="51">
        <v>-188</v>
      </c>
      <c r="F818" s="51">
        <f>AVERAGE(D818:E818)</f>
        <v>-188</v>
      </c>
      <c r="H818" s="48"/>
      <c r="I818" s="48"/>
      <c r="J818" s="48"/>
      <c r="L818" s="51"/>
      <c r="M818" s="51"/>
      <c r="N818" s="51"/>
      <c r="R818" s="51"/>
      <c r="T818" s="48"/>
      <c r="AL818" s="51"/>
      <c r="AP818" s="48"/>
      <c r="AR818" s="14">
        <v>-213</v>
      </c>
      <c r="AS818" s="14">
        <v>-275</v>
      </c>
      <c r="AT818" s="51">
        <f t="shared" si="114"/>
        <v>-244</v>
      </c>
      <c r="AV818" s="14">
        <v>-225</v>
      </c>
      <c r="AW818" s="14">
        <v>-363</v>
      </c>
      <c r="AX818" s="14">
        <f t="shared" si="112"/>
        <v>-294</v>
      </c>
    </row>
    <row r="819" spans="1:50" ht="9.6" customHeight="1" x14ac:dyDescent="0.25">
      <c r="A819" s="14">
        <v>47</v>
      </c>
      <c r="B819" s="103">
        <v>41235</v>
      </c>
      <c r="C819" s="103">
        <v>41228</v>
      </c>
      <c r="D819" s="51"/>
      <c r="E819" s="51"/>
      <c r="F819" s="51"/>
      <c r="H819" s="48"/>
      <c r="I819" s="48"/>
      <c r="J819" s="48"/>
      <c r="L819" s="51"/>
      <c r="M819" s="51"/>
      <c r="N819" s="51"/>
      <c r="R819" s="51"/>
      <c r="T819" s="48"/>
      <c r="X819" s="48"/>
      <c r="Y819" s="48">
        <v>-125</v>
      </c>
      <c r="Z819" s="48">
        <f>AVERAGE(X819:Y819)</f>
        <v>-125</v>
      </c>
      <c r="AL819" s="51"/>
      <c r="AP819" s="48"/>
      <c r="AV819" s="14">
        <v>-138</v>
      </c>
      <c r="AW819" s="14">
        <v>-131</v>
      </c>
      <c r="AX819" s="14">
        <f t="shared" si="112"/>
        <v>-134.5</v>
      </c>
    </row>
    <row r="820" spans="1:50" ht="9.6" customHeight="1" x14ac:dyDescent="0.25">
      <c r="A820" s="14">
        <v>48</v>
      </c>
      <c r="B820" s="103">
        <v>41242</v>
      </c>
      <c r="C820" s="103">
        <v>41235</v>
      </c>
      <c r="D820" s="51"/>
      <c r="E820" s="51">
        <v>-200</v>
      </c>
      <c r="F820" s="51">
        <f t="shared" ref="F820:F827" si="115">AVERAGE(D820:E820)</f>
        <v>-200</v>
      </c>
      <c r="H820" s="48"/>
      <c r="I820" s="48"/>
      <c r="J820" s="48"/>
      <c r="L820" s="51"/>
      <c r="M820" s="51"/>
      <c r="N820" s="51"/>
      <c r="R820" s="51"/>
      <c r="T820" s="48"/>
      <c r="Y820" s="48">
        <v>-125</v>
      </c>
      <c r="Z820" s="48">
        <f>AVERAGE(X820:Y820)</f>
        <v>-125</v>
      </c>
      <c r="AL820" s="51"/>
      <c r="AP820" s="48"/>
      <c r="AV820" s="14">
        <v>-188</v>
      </c>
      <c r="AW820" s="14">
        <v>-96</v>
      </c>
      <c r="AX820" s="14">
        <f t="shared" si="112"/>
        <v>-142</v>
      </c>
    </row>
    <row r="821" spans="1:50" ht="9.6" customHeight="1" x14ac:dyDescent="0.25">
      <c r="A821" s="14">
        <v>49</v>
      </c>
      <c r="B821" s="103">
        <v>41249</v>
      </c>
      <c r="C821" s="103">
        <v>41242</v>
      </c>
      <c r="D821" s="51"/>
      <c r="E821" s="51">
        <v>-100</v>
      </c>
      <c r="F821" s="51">
        <f t="shared" si="115"/>
        <v>-100</v>
      </c>
      <c r="H821" s="48"/>
      <c r="I821" s="48"/>
      <c r="J821" s="48"/>
      <c r="L821" s="51">
        <v>13</v>
      </c>
      <c r="M821" s="51">
        <v>-150</v>
      </c>
      <c r="N821" s="51">
        <f t="shared" ref="N821:N836" si="116">AVERAGE(L821:M821)</f>
        <v>-68.5</v>
      </c>
      <c r="R821" s="51"/>
      <c r="T821" s="48"/>
      <c r="Y821" s="48">
        <v>-100</v>
      </c>
      <c r="Z821" s="48">
        <f>AVERAGE(X821:Y821)</f>
        <v>-100</v>
      </c>
      <c r="AL821" s="51"/>
      <c r="AP821" s="48"/>
      <c r="AV821" s="14">
        <v>-221</v>
      </c>
      <c r="AW821" s="14">
        <v>-125</v>
      </c>
      <c r="AX821" s="14">
        <f t="shared" si="112"/>
        <v>-173</v>
      </c>
    </row>
    <row r="822" spans="1:50" ht="9.6" customHeight="1" x14ac:dyDescent="0.25">
      <c r="A822" s="14">
        <v>50</v>
      </c>
      <c r="B822" s="103">
        <v>41256</v>
      </c>
      <c r="C822" s="103">
        <v>41249</v>
      </c>
      <c r="D822" s="51">
        <v>-63</v>
      </c>
      <c r="E822" s="51">
        <v>-50</v>
      </c>
      <c r="F822" s="51">
        <f t="shared" si="115"/>
        <v>-56.5</v>
      </c>
      <c r="H822" s="48"/>
      <c r="I822" s="48">
        <v>-50</v>
      </c>
      <c r="J822" s="51">
        <f t="shared" ref="J822:J827" si="117">AVERAGE(H822:I822)</f>
        <v>-50</v>
      </c>
      <c r="L822" s="51"/>
      <c r="M822" s="51">
        <v>-100</v>
      </c>
      <c r="N822" s="51">
        <f t="shared" si="116"/>
        <v>-100</v>
      </c>
      <c r="P822" s="51">
        <v>-200</v>
      </c>
      <c r="Q822" s="51"/>
      <c r="R822" s="51">
        <f>AVERAGE(P822:Q822)</f>
        <v>-200</v>
      </c>
      <c r="T822" s="48"/>
      <c r="Y822" s="48">
        <v>-75</v>
      </c>
      <c r="Z822" s="48">
        <f>AVERAGE(X822:Y822)</f>
        <v>-75</v>
      </c>
      <c r="AL822" s="51"/>
      <c r="AV822" s="14">
        <v>-225</v>
      </c>
      <c r="AW822" s="14">
        <v>-113</v>
      </c>
      <c r="AX822" s="14">
        <f t="shared" si="112"/>
        <v>-169</v>
      </c>
    </row>
    <row r="823" spans="1:50" ht="9.6" customHeight="1" x14ac:dyDescent="0.25">
      <c r="A823" s="14">
        <v>51</v>
      </c>
      <c r="B823" s="103">
        <v>41263</v>
      </c>
      <c r="C823" s="103">
        <v>41256</v>
      </c>
      <c r="D823" s="51"/>
      <c r="E823" s="51">
        <v>81</v>
      </c>
      <c r="F823" s="51">
        <f t="shared" si="115"/>
        <v>81</v>
      </c>
      <c r="H823" s="48"/>
      <c r="I823" s="48">
        <v>0</v>
      </c>
      <c r="J823" s="51">
        <f t="shared" si="117"/>
        <v>0</v>
      </c>
      <c r="L823" s="51"/>
      <c r="M823" s="51">
        <v>-25</v>
      </c>
      <c r="N823" s="51">
        <f t="shared" si="116"/>
        <v>-25</v>
      </c>
      <c r="R823" s="51"/>
      <c r="T823" s="48"/>
      <c r="Y823" s="48">
        <v>-100</v>
      </c>
      <c r="Z823" s="48">
        <f>AVERAGE(X823:Y823)</f>
        <v>-100</v>
      </c>
      <c r="AL823" s="51"/>
      <c r="AV823" s="14">
        <v>-25</v>
      </c>
      <c r="AW823" s="14">
        <v>75</v>
      </c>
      <c r="AX823" s="14">
        <f t="shared" si="112"/>
        <v>25</v>
      </c>
    </row>
    <row r="824" spans="1:50" ht="9.6" customHeight="1" x14ac:dyDescent="0.25">
      <c r="A824" s="14">
        <v>52</v>
      </c>
      <c r="B824" s="103">
        <v>41270</v>
      </c>
      <c r="C824" s="103">
        <v>41263</v>
      </c>
      <c r="D824" s="51">
        <v>13</v>
      </c>
      <c r="E824" s="51">
        <v>63</v>
      </c>
      <c r="F824" s="51">
        <f t="shared" si="115"/>
        <v>38</v>
      </c>
      <c r="H824" s="48"/>
      <c r="I824" s="48">
        <v>25</v>
      </c>
      <c r="J824" s="51">
        <f t="shared" si="117"/>
        <v>25</v>
      </c>
      <c r="M824" s="48">
        <v>0</v>
      </c>
      <c r="N824" s="51">
        <f t="shared" si="116"/>
        <v>0</v>
      </c>
      <c r="R824" s="51"/>
      <c r="T824" s="48"/>
      <c r="AL824" s="51"/>
    </row>
    <row r="825" spans="1:50" ht="10.199999999999999" customHeight="1" x14ac:dyDescent="0.25">
      <c r="A825" s="14">
        <v>1</v>
      </c>
      <c r="B825" s="103">
        <v>41277</v>
      </c>
      <c r="C825" s="103">
        <v>41270</v>
      </c>
      <c r="D825" s="51">
        <v>46</v>
      </c>
      <c r="E825" s="48">
        <v>75</v>
      </c>
      <c r="F825" s="48">
        <f t="shared" si="115"/>
        <v>60.5</v>
      </c>
      <c r="H825" s="48">
        <v>-100</v>
      </c>
      <c r="I825" s="48">
        <v>25</v>
      </c>
      <c r="J825" s="51">
        <f t="shared" si="117"/>
        <v>-37.5</v>
      </c>
      <c r="L825" s="51">
        <v>-100</v>
      </c>
      <c r="M825" s="48">
        <v>0</v>
      </c>
      <c r="N825" s="51">
        <f t="shared" si="116"/>
        <v>-50</v>
      </c>
      <c r="T825" s="48"/>
    </row>
    <row r="826" spans="1:50" ht="10.199999999999999" customHeight="1" x14ac:dyDescent="0.25">
      <c r="A826" s="14">
        <v>2</v>
      </c>
      <c r="B826" s="103">
        <v>41284</v>
      </c>
      <c r="C826" s="103">
        <v>41277</v>
      </c>
      <c r="D826" s="48">
        <v>-71</v>
      </c>
      <c r="E826" s="48">
        <v>75</v>
      </c>
      <c r="F826" s="48">
        <f t="shared" si="115"/>
        <v>2</v>
      </c>
      <c r="I826" s="48">
        <v>0</v>
      </c>
      <c r="J826" s="51">
        <f t="shared" si="117"/>
        <v>0</v>
      </c>
      <c r="M826" s="48">
        <v>0</v>
      </c>
      <c r="N826" s="51">
        <f t="shared" si="116"/>
        <v>0</v>
      </c>
    </row>
    <row r="827" spans="1:50" ht="10.199999999999999" customHeight="1" x14ac:dyDescent="0.25">
      <c r="A827" s="14">
        <v>3</v>
      </c>
      <c r="B827" s="103">
        <v>41291</v>
      </c>
      <c r="C827" s="103">
        <v>41284</v>
      </c>
      <c r="D827" s="48">
        <v>-100</v>
      </c>
      <c r="E827" s="48">
        <v>-25</v>
      </c>
      <c r="F827" s="48">
        <f t="shared" si="115"/>
        <v>-62.5</v>
      </c>
      <c r="I827" s="48">
        <v>0</v>
      </c>
      <c r="J827" s="48">
        <f t="shared" si="117"/>
        <v>0</v>
      </c>
      <c r="M827" s="48">
        <v>0</v>
      </c>
      <c r="N827" s="48">
        <f t="shared" si="116"/>
        <v>0</v>
      </c>
    </row>
    <row r="828" spans="1:50" ht="10.199999999999999" customHeight="1" x14ac:dyDescent="0.25">
      <c r="A828" s="14">
        <v>4</v>
      </c>
      <c r="B828" s="103">
        <v>41298</v>
      </c>
      <c r="C828" s="103">
        <v>41291</v>
      </c>
      <c r="H828" s="48">
        <v>-58</v>
      </c>
      <c r="I828" s="48">
        <v>-106</v>
      </c>
      <c r="J828" s="48">
        <f>AVERAGE(H828:I828)</f>
        <v>-82</v>
      </c>
      <c r="M828" s="48">
        <v>-75</v>
      </c>
      <c r="N828" s="48">
        <f t="shared" si="116"/>
        <v>-75</v>
      </c>
      <c r="AF828" s="48"/>
      <c r="AG828" s="48">
        <v>-50</v>
      </c>
      <c r="AH828" s="48">
        <f t="shared" ref="AH828:AH845" si="118">AVERAGE(AF828:AG828)</f>
        <v>-50</v>
      </c>
    </row>
    <row r="829" spans="1:50" ht="10.199999999999999" customHeight="1" x14ac:dyDescent="0.25">
      <c r="A829" s="14">
        <v>5</v>
      </c>
      <c r="B829" s="103">
        <v>41305</v>
      </c>
      <c r="C829" s="103">
        <v>41298</v>
      </c>
      <c r="H829" s="48">
        <v>-92</v>
      </c>
      <c r="I829" s="48">
        <v>-138</v>
      </c>
      <c r="J829" s="48">
        <f>AVERAGE(H829:I829)</f>
        <v>-115</v>
      </c>
      <c r="M829" s="48">
        <v>-100</v>
      </c>
      <c r="N829" s="48">
        <f t="shared" si="116"/>
        <v>-100</v>
      </c>
      <c r="AG829" s="48">
        <v>-50</v>
      </c>
      <c r="AH829" s="48">
        <f t="shared" si="118"/>
        <v>-50</v>
      </c>
    </row>
    <row r="830" spans="1:50" ht="10.199999999999999" customHeight="1" x14ac:dyDescent="0.25">
      <c r="A830" s="14">
        <v>6</v>
      </c>
      <c r="B830" s="103">
        <v>41312</v>
      </c>
      <c r="C830" s="103">
        <v>41305</v>
      </c>
      <c r="H830" s="48">
        <v>-54</v>
      </c>
      <c r="I830" s="48">
        <v>-100</v>
      </c>
      <c r="J830" s="48">
        <f>AVERAGE(H830:I830)</f>
        <v>-77</v>
      </c>
      <c r="M830" s="48">
        <v>-175</v>
      </c>
      <c r="N830" s="48">
        <f t="shared" si="116"/>
        <v>-175</v>
      </c>
      <c r="AG830" s="48">
        <v>-50</v>
      </c>
      <c r="AH830" s="48">
        <f t="shared" si="118"/>
        <v>-50</v>
      </c>
    </row>
    <row r="831" spans="1:50" ht="10.199999999999999" customHeight="1" x14ac:dyDescent="0.25">
      <c r="A831" s="14">
        <v>7</v>
      </c>
      <c r="B831" s="103">
        <v>41319</v>
      </c>
      <c r="C831" s="103">
        <v>41312</v>
      </c>
      <c r="H831" s="48">
        <v>83</v>
      </c>
      <c r="I831" s="48">
        <v>-13</v>
      </c>
      <c r="J831" s="48">
        <f>AVERAGE(H831:I831)</f>
        <v>35</v>
      </c>
      <c r="L831" s="51">
        <v>-75</v>
      </c>
      <c r="M831" s="48">
        <v>-50</v>
      </c>
      <c r="N831" s="48">
        <f t="shared" si="116"/>
        <v>-62.5</v>
      </c>
      <c r="AG831" s="48">
        <v>-50</v>
      </c>
      <c r="AH831" s="48">
        <f t="shared" si="118"/>
        <v>-50</v>
      </c>
    </row>
    <row r="832" spans="1:50" ht="10.199999999999999" customHeight="1" x14ac:dyDescent="0.25">
      <c r="A832" s="14">
        <v>8</v>
      </c>
      <c r="B832" s="103">
        <v>41326</v>
      </c>
      <c r="C832" s="103">
        <v>41319</v>
      </c>
      <c r="H832" s="48">
        <v>242</v>
      </c>
      <c r="I832" s="48">
        <v>100</v>
      </c>
      <c r="J832" s="48">
        <f>AVERAGE(H832:I832)</f>
        <v>171</v>
      </c>
      <c r="L832" s="51">
        <v>125</v>
      </c>
      <c r="M832" s="48">
        <v>-50</v>
      </c>
      <c r="N832" s="48">
        <f t="shared" si="116"/>
        <v>37.5</v>
      </c>
      <c r="P832" s="51">
        <v>-113</v>
      </c>
      <c r="Q832" s="48">
        <v>-200</v>
      </c>
      <c r="R832" s="51">
        <f t="shared" ref="R832:R840" si="119">AVERAGE(P832:Q832)</f>
        <v>-156.5</v>
      </c>
      <c r="AG832" s="48">
        <v>-50</v>
      </c>
      <c r="AH832" s="48">
        <f t="shared" si="118"/>
        <v>-50</v>
      </c>
    </row>
    <row r="833" spans="1:50" ht="10.199999999999999" customHeight="1" x14ac:dyDescent="0.25">
      <c r="A833" s="14">
        <v>9</v>
      </c>
      <c r="B833" s="103">
        <v>41333</v>
      </c>
      <c r="C833" s="103">
        <v>41326</v>
      </c>
      <c r="L833" s="48">
        <v>-25</v>
      </c>
      <c r="M833" s="48">
        <v>-104</v>
      </c>
      <c r="N833" s="48">
        <f t="shared" si="116"/>
        <v>-64.5</v>
      </c>
      <c r="O833" s="48"/>
      <c r="P833" s="48"/>
      <c r="Q833" s="48">
        <v>-150</v>
      </c>
      <c r="R833" s="51">
        <f t="shared" si="119"/>
        <v>-150</v>
      </c>
      <c r="S833" s="48"/>
      <c r="T833" s="48"/>
      <c r="U833" s="48">
        <v>-150</v>
      </c>
      <c r="V833" s="51">
        <f t="shared" ref="V833:V840" si="120">AVERAGE(T833:U833)</f>
        <v>-150</v>
      </c>
      <c r="W833" s="48"/>
      <c r="X833" s="48"/>
      <c r="Y833" s="48"/>
      <c r="Z833" s="48"/>
      <c r="AA833" s="48"/>
      <c r="AB833" s="48">
        <v>-125</v>
      </c>
      <c r="AC833" s="48"/>
      <c r="AD833" s="51">
        <f>AVERAGE(AB833:AC833)</f>
        <v>-125</v>
      </c>
      <c r="AE833" s="48"/>
      <c r="AF833" s="48">
        <v>-125</v>
      </c>
      <c r="AG833" s="48">
        <v>-50</v>
      </c>
      <c r="AH833" s="51">
        <f t="shared" si="118"/>
        <v>-87.5</v>
      </c>
      <c r="AI833" s="48"/>
      <c r="AJ833" s="48">
        <v>-50</v>
      </c>
      <c r="AK833" s="48">
        <v>-100</v>
      </c>
      <c r="AL833" s="51">
        <f t="shared" ref="AL833:AL838" si="121">AVERAGE(AJ833:AK833)</f>
        <v>-75</v>
      </c>
    </row>
    <row r="834" spans="1:50" ht="10.199999999999999" customHeight="1" x14ac:dyDescent="0.25">
      <c r="A834" s="14">
        <v>10</v>
      </c>
      <c r="B834" s="103">
        <v>41340</v>
      </c>
      <c r="C834" s="103">
        <v>41333</v>
      </c>
      <c r="L834" s="48">
        <v>-11</v>
      </c>
      <c r="M834" s="48">
        <v>-100</v>
      </c>
      <c r="N834" s="48">
        <f t="shared" si="116"/>
        <v>-55.5</v>
      </c>
      <c r="Q834" s="48">
        <v>-138</v>
      </c>
      <c r="R834" s="51">
        <f t="shared" si="119"/>
        <v>-138</v>
      </c>
      <c r="U834" s="48">
        <v>-150</v>
      </c>
      <c r="V834" s="51">
        <f t="shared" si="120"/>
        <v>-150</v>
      </c>
      <c r="AG834" s="48">
        <v>-100</v>
      </c>
      <c r="AH834" s="51">
        <f t="shared" si="118"/>
        <v>-100</v>
      </c>
      <c r="AK834" s="48">
        <v>-100</v>
      </c>
      <c r="AL834" s="51">
        <f t="shared" si="121"/>
        <v>-100</v>
      </c>
    </row>
    <row r="835" spans="1:50" ht="10.199999999999999" customHeight="1" x14ac:dyDescent="0.25">
      <c r="A835" s="14">
        <v>11</v>
      </c>
      <c r="B835" s="103">
        <v>41347</v>
      </c>
      <c r="C835" s="103">
        <v>41340</v>
      </c>
      <c r="L835" s="48">
        <v>-25</v>
      </c>
      <c r="M835" s="48">
        <v>-38</v>
      </c>
      <c r="N835" s="48">
        <f t="shared" si="116"/>
        <v>-31.5</v>
      </c>
      <c r="Q835" s="48">
        <v>-138</v>
      </c>
      <c r="R835" s="51">
        <f t="shared" si="119"/>
        <v>-138</v>
      </c>
      <c r="U835" s="48">
        <v>-150</v>
      </c>
      <c r="V835" s="51">
        <f t="shared" si="120"/>
        <v>-150</v>
      </c>
      <c r="AG835" s="48">
        <v>-125</v>
      </c>
      <c r="AH835" s="48">
        <f t="shared" si="118"/>
        <v>-125</v>
      </c>
      <c r="AJ835" s="48">
        <v>0</v>
      </c>
      <c r="AK835" s="48">
        <v>-100</v>
      </c>
      <c r="AL835" s="51">
        <f t="shared" si="121"/>
        <v>-50</v>
      </c>
    </row>
    <row r="836" spans="1:50" ht="10.199999999999999" customHeight="1" x14ac:dyDescent="0.25">
      <c r="A836" s="14">
        <v>12</v>
      </c>
      <c r="B836" s="103">
        <v>41354</v>
      </c>
      <c r="C836" s="103">
        <v>41347</v>
      </c>
      <c r="L836" s="48">
        <v>44</v>
      </c>
      <c r="M836" s="48">
        <v>-38</v>
      </c>
      <c r="N836" s="48">
        <f t="shared" si="116"/>
        <v>3</v>
      </c>
      <c r="P836" s="51">
        <v>-38</v>
      </c>
      <c r="Q836" s="48">
        <v>-138</v>
      </c>
      <c r="R836" s="51">
        <f t="shared" si="119"/>
        <v>-88</v>
      </c>
      <c r="U836" s="48">
        <v>-125</v>
      </c>
      <c r="V836" s="51">
        <f t="shared" si="120"/>
        <v>-125</v>
      </c>
      <c r="AG836" s="48">
        <v>-100</v>
      </c>
      <c r="AH836" s="48">
        <f t="shared" si="118"/>
        <v>-100</v>
      </c>
      <c r="AK836" s="48">
        <v>-100</v>
      </c>
      <c r="AL836" s="51">
        <f t="shared" si="121"/>
        <v>-100</v>
      </c>
    </row>
    <row r="837" spans="1:50" ht="10.199999999999999" customHeight="1" x14ac:dyDescent="0.25">
      <c r="A837" s="14">
        <v>13</v>
      </c>
      <c r="B837" s="103">
        <v>41361</v>
      </c>
      <c r="C837" s="103">
        <v>41354</v>
      </c>
      <c r="P837" s="51">
        <v>-92</v>
      </c>
      <c r="Q837" s="48">
        <v>-150</v>
      </c>
      <c r="R837" s="48">
        <f t="shared" si="119"/>
        <v>-121</v>
      </c>
      <c r="U837" s="48">
        <v>-158</v>
      </c>
      <c r="V837" s="48">
        <f t="shared" si="120"/>
        <v>-158</v>
      </c>
      <c r="AG837" s="48">
        <v>-125</v>
      </c>
      <c r="AH837" s="48">
        <f t="shared" si="118"/>
        <v>-125</v>
      </c>
      <c r="AK837" s="48">
        <v>-125</v>
      </c>
      <c r="AL837" s="48">
        <f t="shared" si="121"/>
        <v>-125</v>
      </c>
      <c r="AN837" s="48">
        <v>550</v>
      </c>
      <c r="AP837" s="48">
        <f>AVERAGE(AN837:AO837)</f>
        <v>550</v>
      </c>
    </row>
    <row r="838" spans="1:50" ht="10.199999999999999" customHeight="1" x14ac:dyDescent="0.25">
      <c r="A838" s="14">
        <v>14</v>
      </c>
      <c r="B838" s="103">
        <v>41368</v>
      </c>
      <c r="C838" s="103">
        <v>41361</v>
      </c>
      <c r="P838" s="48">
        <v>-125</v>
      </c>
      <c r="Q838" s="48">
        <v>-175</v>
      </c>
      <c r="R838" s="48">
        <f t="shared" si="119"/>
        <v>-150</v>
      </c>
      <c r="T838" s="48">
        <v>-213</v>
      </c>
      <c r="U838" s="48">
        <v>-200</v>
      </c>
      <c r="V838" s="48">
        <f t="shared" si="120"/>
        <v>-206.5</v>
      </c>
      <c r="AG838" s="48">
        <v>-150</v>
      </c>
      <c r="AH838" s="48">
        <f t="shared" si="118"/>
        <v>-150</v>
      </c>
      <c r="AJ838" s="48">
        <v>-38</v>
      </c>
      <c r="AK838" s="48">
        <v>-125</v>
      </c>
      <c r="AL838" s="48">
        <f t="shared" si="121"/>
        <v>-81.5</v>
      </c>
      <c r="AP838" s="48"/>
    </row>
    <row r="839" spans="1:50" ht="10.199999999999999" customHeight="1" x14ac:dyDescent="0.25">
      <c r="A839" s="14">
        <v>15</v>
      </c>
      <c r="B839" s="103">
        <v>41375</v>
      </c>
      <c r="C839" s="103">
        <v>41368</v>
      </c>
      <c r="P839" s="48">
        <v>-197</v>
      </c>
      <c r="Q839" s="48">
        <v>-225</v>
      </c>
      <c r="R839" s="48">
        <f t="shared" si="119"/>
        <v>-211</v>
      </c>
      <c r="U839" s="48">
        <v>-217</v>
      </c>
      <c r="V839" s="48">
        <f t="shared" si="120"/>
        <v>-217</v>
      </c>
      <c r="X839" s="48">
        <v>-213</v>
      </c>
      <c r="Z839" s="48">
        <f t="shared" ref="Z839:Z849" si="122">AVERAGE(X839:Y839)</f>
        <v>-213</v>
      </c>
      <c r="AG839" s="48">
        <v>-150</v>
      </c>
      <c r="AH839" s="48">
        <f t="shared" si="118"/>
        <v>-150</v>
      </c>
      <c r="AK839" s="48">
        <v>-150</v>
      </c>
      <c r="AL839" s="48">
        <f t="shared" ref="AL839:AL845" si="123">AVERAGE(AJ839:AK839)</f>
        <v>-150</v>
      </c>
      <c r="AP839" s="48"/>
    </row>
    <row r="840" spans="1:50" ht="10.199999999999999" customHeight="1" x14ac:dyDescent="0.25">
      <c r="A840" s="14">
        <v>16</v>
      </c>
      <c r="B840" s="103">
        <v>41382</v>
      </c>
      <c r="C840" s="103">
        <v>41375</v>
      </c>
      <c r="P840" s="48">
        <v>-216</v>
      </c>
      <c r="Q840" s="48">
        <v>-225</v>
      </c>
      <c r="R840" s="48">
        <f t="shared" si="119"/>
        <v>-220.5</v>
      </c>
      <c r="U840" s="48">
        <v>-217</v>
      </c>
      <c r="V840" s="48">
        <f t="shared" si="120"/>
        <v>-217</v>
      </c>
      <c r="X840" s="48">
        <v>-213</v>
      </c>
      <c r="Z840" s="48">
        <f t="shared" si="122"/>
        <v>-213</v>
      </c>
      <c r="AG840" s="48">
        <v>-150</v>
      </c>
      <c r="AH840" s="48">
        <f t="shared" si="118"/>
        <v>-150</v>
      </c>
      <c r="AK840" s="48">
        <v>-150</v>
      </c>
      <c r="AL840" s="48">
        <f t="shared" si="123"/>
        <v>-150</v>
      </c>
      <c r="AP840" s="48"/>
    </row>
    <row r="841" spans="1:50" ht="10.199999999999999" customHeight="1" x14ac:dyDescent="0.25">
      <c r="A841" s="14">
        <v>17</v>
      </c>
      <c r="B841" s="103">
        <v>41389</v>
      </c>
      <c r="C841" s="103">
        <v>41382</v>
      </c>
      <c r="T841" s="48">
        <v>-225</v>
      </c>
      <c r="U841" s="48">
        <v>-200</v>
      </c>
      <c r="V841" s="48">
        <f>AVERAGE(T841:U841)</f>
        <v>-212.5</v>
      </c>
      <c r="X841" s="48">
        <v>-225</v>
      </c>
      <c r="Y841" s="48">
        <v>-150</v>
      </c>
      <c r="Z841" s="48">
        <f t="shared" si="122"/>
        <v>-187.5</v>
      </c>
      <c r="AC841" s="48">
        <v>-150</v>
      </c>
      <c r="AD841" s="51">
        <f t="shared" ref="AD841:AD853" si="124">AVERAGE(AB841:AC841)</f>
        <v>-150</v>
      </c>
      <c r="AG841" s="48">
        <v>-150</v>
      </c>
      <c r="AH841" s="48">
        <f t="shared" si="118"/>
        <v>-150</v>
      </c>
      <c r="AK841" s="48">
        <v>-150</v>
      </c>
      <c r="AL841" s="48">
        <f t="shared" si="123"/>
        <v>-150</v>
      </c>
      <c r="AP841" s="48"/>
    </row>
    <row r="842" spans="1:50" ht="10.199999999999999" customHeight="1" x14ac:dyDescent="0.25">
      <c r="A842" s="14">
        <v>18</v>
      </c>
      <c r="B842" s="103">
        <v>41396</v>
      </c>
      <c r="C842" s="103">
        <v>41389</v>
      </c>
      <c r="T842" s="48">
        <v>-67</v>
      </c>
      <c r="U842" s="48">
        <v>-142</v>
      </c>
      <c r="V842" s="48">
        <f>AVERAGE(T842:U842)</f>
        <v>-104.5</v>
      </c>
      <c r="X842" s="48">
        <v>-225</v>
      </c>
      <c r="Y842" s="48">
        <v>-175</v>
      </c>
      <c r="Z842" s="48">
        <f t="shared" si="122"/>
        <v>-200</v>
      </c>
      <c r="AB842" s="48">
        <v>-250</v>
      </c>
      <c r="AC842" s="48">
        <v>-175</v>
      </c>
      <c r="AD842" s="51">
        <f t="shared" si="124"/>
        <v>-212.5</v>
      </c>
      <c r="AG842" s="48">
        <v>-175</v>
      </c>
      <c r="AH842" s="48">
        <f t="shared" si="118"/>
        <v>-175</v>
      </c>
      <c r="AK842" s="48">
        <v>150</v>
      </c>
      <c r="AL842" s="48">
        <f t="shared" si="123"/>
        <v>150</v>
      </c>
      <c r="AP842" s="48"/>
    </row>
    <row r="843" spans="1:50" ht="10.199999999999999" customHeight="1" x14ac:dyDescent="0.25">
      <c r="A843" s="14">
        <v>19</v>
      </c>
      <c r="B843" s="103">
        <v>41403</v>
      </c>
      <c r="C843" s="103">
        <v>41396</v>
      </c>
      <c r="T843" s="48">
        <v>-156</v>
      </c>
      <c r="U843" s="48">
        <v>-79</v>
      </c>
      <c r="V843" s="48">
        <f>AVERAGE(T843:U843)</f>
        <v>-117.5</v>
      </c>
      <c r="Y843" s="48">
        <v>-150</v>
      </c>
      <c r="Z843" s="48">
        <f t="shared" si="122"/>
        <v>-150</v>
      </c>
      <c r="AC843" s="48">
        <v>-213</v>
      </c>
      <c r="AD843" s="51">
        <f t="shared" si="124"/>
        <v>-213</v>
      </c>
      <c r="AG843" s="48">
        <v>-213</v>
      </c>
      <c r="AH843" s="48">
        <f t="shared" si="118"/>
        <v>-213</v>
      </c>
      <c r="AK843" s="48">
        <v>-63</v>
      </c>
      <c r="AL843" s="48">
        <f t="shared" si="123"/>
        <v>-63</v>
      </c>
      <c r="AP843" s="48"/>
    </row>
    <row r="844" spans="1:50" ht="10.199999999999999" customHeight="1" x14ac:dyDescent="0.25">
      <c r="A844" s="14">
        <v>20</v>
      </c>
      <c r="B844" s="103">
        <v>41410</v>
      </c>
      <c r="C844" s="103">
        <v>41403</v>
      </c>
      <c r="T844" s="48">
        <v>-106</v>
      </c>
      <c r="U844" s="48">
        <v>-75</v>
      </c>
      <c r="V844" s="48">
        <f>AVERAGE(T844:U844)</f>
        <v>-90.5</v>
      </c>
      <c r="Y844" s="48">
        <v>-150</v>
      </c>
      <c r="Z844" s="48">
        <f t="shared" si="122"/>
        <v>-150</v>
      </c>
      <c r="AC844" s="48">
        <v>-100</v>
      </c>
      <c r="AD844" s="51">
        <f t="shared" si="124"/>
        <v>-100</v>
      </c>
      <c r="AG844" s="48">
        <v>-200</v>
      </c>
      <c r="AH844" s="48">
        <f t="shared" si="118"/>
        <v>-200</v>
      </c>
      <c r="AK844" s="48">
        <v>-200</v>
      </c>
      <c r="AL844" s="48">
        <f t="shared" si="123"/>
        <v>-200</v>
      </c>
      <c r="AP844" s="48"/>
    </row>
    <row r="845" spans="1:50" ht="10.199999999999999" customHeight="1" x14ac:dyDescent="0.25">
      <c r="A845" s="14">
        <v>21</v>
      </c>
      <c r="B845" s="103">
        <v>41417</v>
      </c>
      <c r="C845" s="103">
        <v>41410</v>
      </c>
      <c r="X845" s="48">
        <v>-67</v>
      </c>
      <c r="Y845" s="48">
        <v>-113</v>
      </c>
      <c r="Z845" s="48">
        <f t="shared" si="122"/>
        <v>-90</v>
      </c>
      <c r="AC845" s="48">
        <v>-125</v>
      </c>
      <c r="AD845" s="48">
        <f t="shared" si="124"/>
        <v>-125</v>
      </c>
      <c r="AG845" s="48">
        <v>-150</v>
      </c>
      <c r="AH845" s="48">
        <f t="shared" si="118"/>
        <v>-150</v>
      </c>
      <c r="AK845" s="48">
        <v>-125</v>
      </c>
      <c r="AL845" s="48">
        <f t="shared" si="123"/>
        <v>-125</v>
      </c>
      <c r="AP845" s="48"/>
    </row>
    <row r="846" spans="1:50" ht="10.199999999999999" customHeight="1" x14ac:dyDescent="0.25">
      <c r="A846" s="14">
        <v>22</v>
      </c>
      <c r="B846" s="103">
        <v>41424</v>
      </c>
      <c r="C846" s="103">
        <v>41417</v>
      </c>
      <c r="X846" s="48">
        <v>-58</v>
      </c>
      <c r="Y846" s="48">
        <v>-92</v>
      </c>
      <c r="Z846" s="48">
        <f t="shared" si="122"/>
        <v>-75</v>
      </c>
      <c r="AC846" s="48">
        <v>-125</v>
      </c>
      <c r="AD846" s="48">
        <f t="shared" si="124"/>
        <v>-125</v>
      </c>
      <c r="AG846" s="48">
        <v>-125</v>
      </c>
      <c r="AH846" s="48">
        <f t="shared" ref="AH846:AH857" si="125">AVERAGE(AF846:AG846)</f>
        <v>-125</v>
      </c>
      <c r="AK846" s="48">
        <v>-125</v>
      </c>
      <c r="AL846" s="48">
        <f t="shared" ref="AL846:AL862" si="126">AVERAGE(AJ846:AK846)</f>
        <v>-125</v>
      </c>
      <c r="AP846" s="48"/>
    </row>
    <row r="847" spans="1:50" ht="10.199999999999999" customHeight="1" x14ac:dyDescent="0.25">
      <c r="A847" s="14">
        <v>23</v>
      </c>
      <c r="B847" s="103">
        <v>41431</v>
      </c>
      <c r="C847" s="103">
        <v>41424</v>
      </c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48">
        <v>50</v>
      </c>
      <c r="Y847" s="48">
        <v>-100</v>
      </c>
      <c r="Z847" s="48">
        <f t="shared" si="122"/>
        <v>-25</v>
      </c>
      <c r="AA847" s="14"/>
      <c r="AB847" s="48">
        <v>-150</v>
      </c>
      <c r="AC847" s="48">
        <v>-125</v>
      </c>
      <c r="AD847" s="48">
        <f t="shared" si="124"/>
        <v>-137.5</v>
      </c>
      <c r="AE847" s="14"/>
      <c r="AF847" s="14"/>
      <c r="AG847" s="48">
        <v>-125</v>
      </c>
      <c r="AH847" s="48">
        <f t="shared" si="125"/>
        <v>-125</v>
      </c>
      <c r="AI847" s="14"/>
      <c r="AJ847" s="14"/>
      <c r="AK847" s="48">
        <v>-125</v>
      </c>
      <c r="AL847" s="48">
        <f t="shared" si="126"/>
        <v>-125</v>
      </c>
      <c r="AM847" s="14"/>
      <c r="AN847" s="14"/>
      <c r="AO847" s="14"/>
      <c r="AP847" s="48"/>
      <c r="AQ847" s="14"/>
      <c r="AR847" s="14"/>
      <c r="AS847" s="14"/>
      <c r="AT847" s="48"/>
      <c r="AU847" s="14"/>
      <c r="AV847" s="14"/>
      <c r="AW847" s="14"/>
      <c r="AX847" s="14"/>
    </row>
    <row r="848" spans="1:50" ht="10.199999999999999" customHeight="1" x14ac:dyDescent="0.25">
      <c r="A848" s="14">
        <v>24</v>
      </c>
      <c r="B848" s="103">
        <v>41438</v>
      </c>
      <c r="C848" s="103">
        <v>41431</v>
      </c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48">
        <v>75</v>
      </c>
      <c r="Y848" s="48">
        <v>-150</v>
      </c>
      <c r="Z848" s="48">
        <f t="shared" si="122"/>
        <v>-37.5</v>
      </c>
      <c r="AA848" s="14"/>
      <c r="AB848" s="48"/>
      <c r="AC848" s="48">
        <v>-100</v>
      </c>
      <c r="AD848" s="48">
        <f t="shared" si="124"/>
        <v>-100</v>
      </c>
      <c r="AE848" s="14"/>
      <c r="AF848" s="14"/>
      <c r="AG848" s="48">
        <v>-125</v>
      </c>
      <c r="AH848" s="48">
        <f t="shared" si="125"/>
        <v>-125</v>
      </c>
      <c r="AI848" s="14"/>
      <c r="AJ848" s="14"/>
      <c r="AK848" s="48">
        <v>-125</v>
      </c>
      <c r="AL848" s="48">
        <f t="shared" si="126"/>
        <v>-125</v>
      </c>
      <c r="AM848" s="14"/>
      <c r="AN848" s="14"/>
      <c r="AO848" s="14"/>
      <c r="AP848" s="48"/>
      <c r="AQ848" s="14"/>
      <c r="AR848" s="14"/>
      <c r="AS848" s="14"/>
      <c r="AT848" s="48"/>
      <c r="AU848" s="14"/>
      <c r="AV848" s="14"/>
      <c r="AW848" s="14"/>
      <c r="AX848" s="14"/>
    </row>
    <row r="849" spans="1:51" ht="10.199999999999999" customHeight="1" x14ac:dyDescent="0.25">
      <c r="A849" s="14">
        <v>25</v>
      </c>
      <c r="B849" s="103">
        <v>41445</v>
      </c>
      <c r="C849" s="103">
        <v>41438</v>
      </c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48">
        <v>100</v>
      </c>
      <c r="Y849" s="48"/>
      <c r="Z849" s="48">
        <f t="shared" si="122"/>
        <v>100</v>
      </c>
      <c r="AA849" s="14"/>
      <c r="AB849" s="48">
        <v>42</v>
      </c>
      <c r="AC849" s="48"/>
      <c r="AD849" s="48">
        <f t="shared" si="124"/>
        <v>42</v>
      </c>
      <c r="AE849" s="14"/>
      <c r="AF849" s="48">
        <v>-200</v>
      </c>
      <c r="AG849" s="48"/>
      <c r="AH849" s="48">
        <f t="shared" si="125"/>
        <v>-200</v>
      </c>
      <c r="AI849" s="14"/>
      <c r="AJ849" s="14"/>
      <c r="AK849" s="48"/>
      <c r="AL849" s="48"/>
      <c r="AM849" s="14"/>
      <c r="AN849" s="14"/>
      <c r="AO849" s="14"/>
      <c r="AP849" s="48"/>
      <c r="AQ849" s="14"/>
      <c r="AR849" s="14"/>
      <c r="AS849" s="14"/>
      <c r="AT849" s="48"/>
      <c r="AU849" s="14"/>
      <c r="AV849" s="14"/>
      <c r="AW849" s="14"/>
      <c r="AX849" s="14"/>
    </row>
    <row r="850" spans="1:51" ht="10.199999999999999" customHeight="1" x14ac:dyDescent="0.25">
      <c r="A850" s="14">
        <v>26</v>
      </c>
      <c r="B850" s="103">
        <v>41452</v>
      </c>
      <c r="C850" s="103">
        <v>41445</v>
      </c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48"/>
      <c r="Y850" s="48"/>
      <c r="Z850" s="48"/>
      <c r="AA850" s="14"/>
      <c r="AB850" s="48">
        <v>-38</v>
      </c>
      <c r="AC850" s="48">
        <v>-100</v>
      </c>
      <c r="AD850" s="48">
        <f t="shared" si="124"/>
        <v>-69</v>
      </c>
      <c r="AE850" s="14"/>
      <c r="AF850" s="48">
        <v>-150</v>
      </c>
      <c r="AG850" s="48">
        <v>-125</v>
      </c>
      <c r="AH850" s="48">
        <f t="shared" si="125"/>
        <v>-137.5</v>
      </c>
      <c r="AI850" s="14"/>
      <c r="AJ850" s="48">
        <v>150</v>
      </c>
      <c r="AK850" s="48">
        <v>-125</v>
      </c>
      <c r="AL850" s="48">
        <f t="shared" si="126"/>
        <v>12.5</v>
      </c>
      <c r="AM850" s="14"/>
      <c r="AN850" s="14"/>
      <c r="AO850" s="14"/>
      <c r="AP850" s="48"/>
      <c r="AQ850" s="14"/>
      <c r="AR850" s="14"/>
      <c r="AS850" s="14"/>
      <c r="AT850" s="48"/>
      <c r="AU850" s="14"/>
      <c r="AV850" s="14"/>
      <c r="AW850" s="14"/>
      <c r="AX850" s="14"/>
    </row>
    <row r="851" spans="1:51" ht="10.199999999999999" customHeight="1" x14ac:dyDescent="0.25">
      <c r="A851" s="14">
        <v>27</v>
      </c>
      <c r="B851" s="103">
        <v>41459</v>
      </c>
      <c r="C851" s="103">
        <v>41452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48"/>
      <c r="Y851" s="48"/>
      <c r="Z851" s="48"/>
      <c r="AA851" s="14"/>
      <c r="AB851" s="48">
        <v>-100</v>
      </c>
      <c r="AC851" s="48">
        <v>-50</v>
      </c>
      <c r="AD851" s="48">
        <f t="shared" si="124"/>
        <v>-75</v>
      </c>
      <c r="AE851" s="14"/>
      <c r="AF851" s="14"/>
      <c r="AG851" s="48">
        <v>-100</v>
      </c>
      <c r="AH851" s="48">
        <f t="shared" si="125"/>
        <v>-100</v>
      </c>
      <c r="AI851" s="14"/>
      <c r="AJ851" s="48">
        <v>175</v>
      </c>
      <c r="AK851" s="48">
        <v>-100</v>
      </c>
      <c r="AL851" s="48">
        <f t="shared" si="126"/>
        <v>37.5</v>
      </c>
      <c r="AM851" s="14"/>
      <c r="AN851" s="14"/>
      <c r="AO851" s="48">
        <v>600</v>
      </c>
      <c r="AP851" s="48">
        <f t="shared" ref="AP851:AP866" si="127">AVERAGE(AN851:AO851)</f>
        <v>600</v>
      </c>
      <c r="AQ851" s="14"/>
      <c r="AR851" s="14"/>
      <c r="AS851" s="14"/>
      <c r="AT851" s="48"/>
      <c r="AU851" s="14"/>
      <c r="AV851" s="14"/>
      <c r="AW851" s="14"/>
      <c r="AX851" s="14"/>
    </row>
    <row r="852" spans="1:51" ht="10.199999999999999" customHeight="1" x14ac:dyDescent="0.25">
      <c r="A852" s="14">
        <v>28</v>
      </c>
      <c r="B852" s="103">
        <v>41466</v>
      </c>
      <c r="C852" s="103">
        <v>41459</v>
      </c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48"/>
      <c r="Y852" s="48"/>
      <c r="Z852" s="48"/>
      <c r="AA852" s="14"/>
      <c r="AB852" s="48">
        <v>-152</v>
      </c>
      <c r="AC852" s="48">
        <v>-150</v>
      </c>
      <c r="AD852" s="48">
        <f t="shared" si="124"/>
        <v>-151</v>
      </c>
      <c r="AE852" s="14"/>
      <c r="AF852" s="48">
        <v>-200</v>
      </c>
      <c r="AG852" s="48">
        <v>-100</v>
      </c>
      <c r="AH852" s="48">
        <f t="shared" si="125"/>
        <v>-150</v>
      </c>
      <c r="AI852" s="14"/>
      <c r="AJ852" s="48"/>
      <c r="AK852" s="48">
        <v>-100</v>
      </c>
      <c r="AL852" s="48">
        <f t="shared" si="126"/>
        <v>-100</v>
      </c>
      <c r="AM852" s="14"/>
      <c r="AN852" s="14"/>
      <c r="AO852" s="48">
        <v>400</v>
      </c>
      <c r="AP852" s="48">
        <f t="shared" si="127"/>
        <v>400</v>
      </c>
      <c r="AQ852" s="14"/>
      <c r="AR852" s="14"/>
      <c r="AS852" s="14"/>
      <c r="AT852" s="48"/>
      <c r="AU852" s="14"/>
      <c r="AV852" s="14"/>
      <c r="AW852" s="14"/>
      <c r="AX852" s="14"/>
    </row>
    <row r="853" spans="1:51" ht="10.199999999999999" customHeight="1" x14ac:dyDescent="0.25">
      <c r="A853" s="14">
        <v>29</v>
      </c>
      <c r="B853" s="103">
        <v>41473</v>
      </c>
      <c r="C853" s="103">
        <v>41466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48"/>
      <c r="Y853" s="48"/>
      <c r="Z853" s="48"/>
      <c r="AA853" s="14"/>
      <c r="AB853" s="48">
        <v>-100</v>
      </c>
      <c r="AC853" s="48">
        <v>-100</v>
      </c>
      <c r="AD853" s="48">
        <f t="shared" si="124"/>
        <v>-100</v>
      </c>
      <c r="AE853" s="14"/>
      <c r="AF853" s="48">
        <v>-125</v>
      </c>
      <c r="AG853" s="48">
        <v>-100</v>
      </c>
      <c r="AH853" s="48">
        <f t="shared" si="125"/>
        <v>-112.5</v>
      </c>
      <c r="AI853" s="14"/>
      <c r="AJ853" s="48"/>
      <c r="AK853" s="48">
        <v>-125</v>
      </c>
      <c r="AL853" s="48">
        <f t="shared" si="126"/>
        <v>-125</v>
      </c>
      <c r="AM853" s="14"/>
      <c r="AN853" s="48">
        <v>300</v>
      </c>
      <c r="AO853" s="48">
        <v>450</v>
      </c>
      <c r="AP853" s="48">
        <f t="shared" si="127"/>
        <v>375</v>
      </c>
      <c r="AQ853" s="14"/>
      <c r="AR853" s="48">
        <v>250</v>
      </c>
      <c r="AS853" s="14"/>
      <c r="AT853" s="48">
        <f>AVERAGE(AR853:AS853)</f>
        <v>250</v>
      </c>
      <c r="AU853" s="14"/>
      <c r="AV853" s="48">
        <v>-200</v>
      </c>
      <c r="AW853" s="14"/>
      <c r="AX853" s="48">
        <f>AVERAGE(AV853:AW853)</f>
        <v>-200</v>
      </c>
      <c r="AY853" s="49"/>
    </row>
    <row r="854" spans="1:51" ht="10.199999999999999" customHeight="1" x14ac:dyDescent="0.25">
      <c r="A854" s="14">
        <v>30</v>
      </c>
      <c r="B854" s="103">
        <v>41480</v>
      </c>
      <c r="C854" s="103">
        <v>41473</v>
      </c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48"/>
      <c r="Y854" s="48"/>
      <c r="Z854" s="48"/>
      <c r="AA854" s="14"/>
      <c r="AB854" s="48"/>
      <c r="AC854" s="48"/>
      <c r="AD854" s="48"/>
      <c r="AE854" s="14"/>
      <c r="AF854" s="48">
        <v>-92</v>
      </c>
      <c r="AG854" s="48">
        <v>-200</v>
      </c>
      <c r="AH854" s="48">
        <f t="shared" si="125"/>
        <v>-146</v>
      </c>
      <c r="AI854" s="14"/>
      <c r="AJ854" s="48">
        <v>-200</v>
      </c>
      <c r="AK854" s="48">
        <v>-200</v>
      </c>
      <c r="AL854" s="48">
        <f t="shared" si="126"/>
        <v>-200</v>
      </c>
      <c r="AM854" s="14"/>
      <c r="AN854" s="48">
        <v>575</v>
      </c>
      <c r="AO854" s="48">
        <v>400</v>
      </c>
      <c r="AP854" s="48">
        <f t="shared" si="127"/>
        <v>487.5</v>
      </c>
      <c r="AQ854" s="14"/>
      <c r="AR854" s="48"/>
      <c r="AS854" s="48"/>
      <c r="AT854" s="48"/>
      <c r="AU854" s="48"/>
      <c r="AV854" s="48"/>
      <c r="AW854" s="48"/>
      <c r="AX854" s="48"/>
      <c r="AY854" s="49"/>
    </row>
    <row r="855" spans="1:51" ht="10.199999999999999" customHeight="1" x14ac:dyDescent="0.25">
      <c r="A855" s="14">
        <v>31</v>
      </c>
      <c r="B855" s="103">
        <v>41487</v>
      </c>
      <c r="C855" s="103">
        <v>41480</v>
      </c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48"/>
      <c r="Y855" s="48"/>
      <c r="Z855" s="48"/>
      <c r="AA855" s="14"/>
      <c r="AB855" s="48"/>
      <c r="AC855" s="48"/>
      <c r="AD855" s="48"/>
      <c r="AE855" s="14"/>
      <c r="AF855" s="48">
        <v>-63</v>
      </c>
      <c r="AG855" s="48">
        <v>-213</v>
      </c>
      <c r="AH855" s="48">
        <f t="shared" si="125"/>
        <v>-138</v>
      </c>
      <c r="AI855" s="14"/>
      <c r="AJ855" s="48"/>
      <c r="AK855" s="48">
        <v>-225</v>
      </c>
      <c r="AL855" s="48">
        <f t="shared" si="126"/>
        <v>-225</v>
      </c>
      <c r="AM855" s="14"/>
      <c r="AN855" s="48"/>
      <c r="AO855" s="48">
        <v>525</v>
      </c>
      <c r="AP855" s="48">
        <f t="shared" si="127"/>
        <v>525</v>
      </c>
      <c r="AQ855" s="14"/>
      <c r="AR855" s="48"/>
      <c r="AS855" s="48"/>
      <c r="AT855" s="48"/>
      <c r="AU855" s="48"/>
      <c r="AV855" s="48"/>
      <c r="AW855" s="48"/>
      <c r="AX855" s="48"/>
      <c r="AY855" s="49"/>
    </row>
    <row r="856" spans="1:51" ht="10.199999999999999" customHeight="1" x14ac:dyDescent="0.25">
      <c r="A856" s="14">
        <v>32</v>
      </c>
      <c r="B856" s="103">
        <v>41494</v>
      </c>
      <c r="C856" s="103">
        <v>41487</v>
      </c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48"/>
      <c r="Y856" s="48"/>
      <c r="Z856" s="48"/>
      <c r="AA856" s="14"/>
      <c r="AB856" s="48"/>
      <c r="AC856" s="48"/>
      <c r="AD856" s="48"/>
      <c r="AE856" s="14"/>
      <c r="AF856" s="48">
        <v>-49</v>
      </c>
      <c r="AG856" s="48">
        <v>-75</v>
      </c>
      <c r="AH856" s="48">
        <f t="shared" si="125"/>
        <v>-62</v>
      </c>
      <c r="AI856" s="14"/>
      <c r="AJ856" s="48">
        <v>38</v>
      </c>
      <c r="AK856" s="48">
        <v>-106</v>
      </c>
      <c r="AL856" s="48">
        <f t="shared" si="126"/>
        <v>-34</v>
      </c>
      <c r="AM856" s="14"/>
      <c r="AN856" s="48"/>
      <c r="AO856" s="48">
        <v>250</v>
      </c>
      <c r="AP856" s="48">
        <f t="shared" si="127"/>
        <v>250</v>
      </c>
      <c r="AQ856" s="14"/>
      <c r="AR856" s="48"/>
      <c r="AS856" s="48"/>
      <c r="AT856" s="48"/>
      <c r="AU856" s="48"/>
      <c r="AV856" s="48"/>
      <c r="AW856" s="48"/>
      <c r="AX856" s="48"/>
      <c r="AY856" s="49"/>
    </row>
    <row r="857" spans="1:51" ht="10.199999999999999" customHeight="1" x14ac:dyDescent="0.25">
      <c r="A857" s="14">
        <v>33</v>
      </c>
      <c r="B857" s="103">
        <v>41501</v>
      </c>
      <c r="C857" s="103">
        <v>41494</v>
      </c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48">
        <v>-121</v>
      </c>
      <c r="AG857" s="48">
        <v>0</v>
      </c>
      <c r="AH857" s="48">
        <f t="shared" si="125"/>
        <v>-60.5</v>
      </c>
      <c r="AI857" s="48"/>
      <c r="AJ857" s="48">
        <v>-88</v>
      </c>
      <c r="AK857" s="48">
        <v>-175</v>
      </c>
      <c r="AL857" s="48">
        <f t="shared" si="126"/>
        <v>-131.5</v>
      </c>
      <c r="AM857" s="48"/>
      <c r="AN857" s="48"/>
      <c r="AO857" s="48">
        <v>250</v>
      </c>
      <c r="AP857" s="48">
        <f t="shared" si="127"/>
        <v>250</v>
      </c>
      <c r="AQ857" s="14"/>
      <c r="AR857" s="48"/>
      <c r="AS857" s="48"/>
      <c r="AT857" s="48"/>
      <c r="AU857" s="48"/>
      <c r="AV857" s="48"/>
      <c r="AW857" s="48"/>
      <c r="AX857" s="48"/>
    </row>
    <row r="858" spans="1:51" ht="10.199999999999999" customHeight="1" x14ac:dyDescent="0.25">
      <c r="A858" s="14">
        <v>34</v>
      </c>
      <c r="B858" s="103">
        <v>41508</v>
      </c>
      <c r="C858" s="103">
        <v>41501</v>
      </c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48"/>
      <c r="AG858" s="48"/>
      <c r="AH858" s="48"/>
      <c r="AI858" s="48"/>
      <c r="AJ858" s="48">
        <v>-27</v>
      </c>
      <c r="AK858" s="48">
        <v>-75</v>
      </c>
      <c r="AL858" s="48">
        <f t="shared" si="126"/>
        <v>-51</v>
      </c>
      <c r="AM858" s="48"/>
      <c r="AN858" s="48">
        <v>750</v>
      </c>
      <c r="AO858" s="48">
        <v>250</v>
      </c>
      <c r="AP858" s="48">
        <f t="shared" si="127"/>
        <v>500</v>
      </c>
      <c r="AQ858" s="14"/>
      <c r="AR858" s="48">
        <v>350</v>
      </c>
      <c r="AS858" s="48"/>
      <c r="AT858" s="48">
        <f>AVERAGE(AR858:AS858)</f>
        <v>350</v>
      </c>
      <c r="AU858" s="48"/>
      <c r="AV858" s="48"/>
      <c r="AW858" s="48"/>
      <c r="AX858" s="48"/>
    </row>
    <row r="859" spans="1:51" ht="10.199999999999999" customHeight="1" x14ac:dyDescent="0.25">
      <c r="A859" s="14">
        <v>35</v>
      </c>
      <c r="B859" s="103">
        <v>41515</v>
      </c>
      <c r="C859" s="103">
        <v>41508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48"/>
      <c r="AG859" s="48"/>
      <c r="AH859" s="48"/>
      <c r="AI859" s="48"/>
      <c r="AJ859" s="48">
        <v>88</v>
      </c>
      <c r="AK859" s="48">
        <v>0</v>
      </c>
      <c r="AL859" s="48">
        <f t="shared" si="126"/>
        <v>44</v>
      </c>
      <c r="AM859" s="48"/>
      <c r="AN859" s="48"/>
      <c r="AO859" s="48">
        <v>250</v>
      </c>
      <c r="AP859" s="48">
        <f t="shared" si="127"/>
        <v>250</v>
      </c>
      <c r="AQ859" s="14"/>
      <c r="AR859" s="48"/>
      <c r="AS859" s="48"/>
      <c r="AT859" s="48"/>
      <c r="AU859" s="48"/>
      <c r="AV859" s="48"/>
      <c r="AW859" s="48"/>
      <c r="AX859" s="48"/>
    </row>
    <row r="860" spans="1:51" ht="10.199999999999999" customHeight="1" x14ac:dyDescent="0.25">
      <c r="A860" s="14">
        <v>36</v>
      </c>
      <c r="B860" s="103">
        <v>41522</v>
      </c>
      <c r="C860" s="103">
        <v>41515</v>
      </c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48"/>
      <c r="AG860" s="48"/>
      <c r="AH860" s="48"/>
      <c r="AI860" s="48"/>
      <c r="AJ860" s="48">
        <v>283</v>
      </c>
      <c r="AK860" s="48">
        <v>100</v>
      </c>
      <c r="AL860" s="48">
        <f t="shared" si="126"/>
        <v>191.5</v>
      </c>
      <c r="AM860" s="48"/>
      <c r="AN860" s="48">
        <v>600</v>
      </c>
      <c r="AO860" s="48">
        <v>800</v>
      </c>
      <c r="AP860" s="48">
        <f t="shared" si="127"/>
        <v>700</v>
      </c>
      <c r="AQ860" s="14"/>
      <c r="AR860" s="48">
        <v>500</v>
      </c>
      <c r="AS860" s="48"/>
      <c r="AT860" s="48">
        <f>AVERAGE(AR860:AS860)</f>
        <v>500</v>
      </c>
      <c r="AU860" s="48"/>
      <c r="AV860" s="48"/>
      <c r="AW860" s="48"/>
      <c r="AX860" s="48"/>
    </row>
    <row r="861" spans="1:51" ht="10.199999999999999" customHeight="1" x14ac:dyDescent="0.25">
      <c r="A861" s="14">
        <v>37</v>
      </c>
      <c r="B861" s="103">
        <v>41529</v>
      </c>
      <c r="C861" s="103">
        <v>41522</v>
      </c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48"/>
      <c r="AG861" s="48"/>
      <c r="AH861" s="48"/>
      <c r="AI861" s="48"/>
      <c r="AJ861" s="48">
        <v>433</v>
      </c>
      <c r="AK861" s="48">
        <v>-33</v>
      </c>
      <c r="AL861" s="48">
        <f t="shared" si="126"/>
        <v>200</v>
      </c>
      <c r="AM861" s="48"/>
      <c r="AN861" s="48">
        <v>650</v>
      </c>
      <c r="AO861" s="48">
        <v>400</v>
      </c>
      <c r="AP861" s="48">
        <f t="shared" si="127"/>
        <v>525</v>
      </c>
      <c r="AQ861" s="14"/>
      <c r="AR861" s="48"/>
      <c r="AS861" s="48"/>
      <c r="AT861" s="48"/>
      <c r="AU861" s="48"/>
      <c r="AV861" s="48"/>
      <c r="AW861" s="48"/>
      <c r="AX861" s="48"/>
    </row>
    <row r="862" spans="1:51" ht="10.199999999999999" customHeight="1" x14ac:dyDescent="0.25">
      <c r="A862" s="14">
        <v>38</v>
      </c>
      <c r="B862" s="103">
        <v>41536</v>
      </c>
      <c r="C862" s="103">
        <v>41529</v>
      </c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48"/>
      <c r="AG862" s="48"/>
      <c r="AH862" s="48"/>
      <c r="AI862" s="48"/>
      <c r="AJ862" s="48">
        <v>300</v>
      </c>
      <c r="AK862" s="48">
        <v>0</v>
      </c>
      <c r="AL862" s="48">
        <f t="shared" si="126"/>
        <v>150</v>
      </c>
      <c r="AM862" s="48"/>
      <c r="AN862" s="48">
        <v>1000</v>
      </c>
      <c r="AO862" s="48">
        <v>500</v>
      </c>
      <c r="AP862" s="48">
        <f t="shared" si="127"/>
        <v>750</v>
      </c>
      <c r="AQ862" s="14"/>
      <c r="AR862" s="48"/>
      <c r="AS862" s="48">
        <v>250</v>
      </c>
      <c r="AT862" s="48">
        <f t="shared" ref="AT862:AT871" si="128">AVERAGE(AR862:AS862)</f>
        <v>250</v>
      </c>
      <c r="AU862" s="48"/>
      <c r="AV862" s="48"/>
      <c r="AW862" s="48">
        <v>-50</v>
      </c>
      <c r="AX862" s="48">
        <f t="shared" ref="AX862:AX873" si="129">AVERAGE(AV862:AW862)</f>
        <v>-50</v>
      </c>
    </row>
    <row r="863" spans="1:51" ht="10.199999999999999" customHeight="1" x14ac:dyDescent="0.25">
      <c r="A863" s="14">
        <v>39</v>
      </c>
      <c r="B863" s="103">
        <v>41543</v>
      </c>
      <c r="C863" s="103">
        <v>41536</v>
      </c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48"/>
      <c r="AG863" s="48"/>
      <c r="AH863" s="48"/>
      <c r="AI863" s="48"/>
      <c r="AJ863" s="48"/>
      <c r="AK863" s="48"/>
      <c r="AL863" s="48"/>
      <c r="AM863" s="48"/>
      <c r="AN863" s="48">
        <v>850</v>
      </c>
      <c r="AO863" s="48">
        <v>375</v>
      </c>
      <c r="AP863" s="48">
        <f t="shared" si="127"/>
        <v>612.5</v>
      </c>
      <c r="AQ863" s="14"/>
      <c r="AR863" s="48"/>
      <c r="AS863" s="48">
        <v>250</v>
      </c>
      <c r="AT863" s="48">
        <f t="shared" si="128"/>
        <v>250</v>
      </c>
      <c r="AU863" s="48"/>
      <c r="AV863" s="48"/>
      <c r="AW863" s="48">
        <v>-63</v>
      </c>
      <c r="AX863" s="48">
        <f t="shared" si="129"/>
        <v>-63</v>
      </c>
    </row>
    <row r="864" spans="1:51" ht="10.199999999999999" customHeight="1" x14ac:dyDescent="0.25">
      <c r="A864" s="14">
        <v>40</v>
      </c>
      <c r="B864" s="103">
        <v>41550</v>
      </c>
      <c r="C864" s="103">
        <v>41543</v>
      </c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48"/>
      <c r="AG864" s="48"/>
      <c r="AH864" s="48"/>
      <c r="AI864" s="48"/>
      <c r="AJ864" s="48"/>
      <c r="AK864" s="48"/>
      <c r="AL864" s="48"/>
      <c r="AM864" s="48"/>
      <c r="AN864" s="48">
        <v>1450</v>
      </c>
      <c r="AO864" s="48">
        <v>575</v>
      </c>
      <c r="AP864" s="48">
        <f t="shared" si="127"/>
        <v>1012.5</v>
      </c>
      <c r="AQ864" s="14"/>
      <c r="AR864" s="48">
        <v>300</v>
      </c>
      <c r="AS864" s="48">
        <v>250</v>
      </c>
      <c r="AT864" s="48">
        <f t="shared" si="128"/>
        <v>275</v>
      </c>
      <c r="AU864" s="48"/>
      <c r="AV864" s="48">
        <v>-50</v>
      </c>
      <c r="AW864" s="48">
        <v>-63</v>
      </c>
      <c r="AX864" s="48">
        <f t="shared" si="129"/>
        <v>-56.5</v>
      </c>
    </row>
    <row r="865" spans="1:50" ht="10.199999999999999" customHeight="1" x14ac:dyDescent="0.25">
      <c r="A865" s="14">
        <v>41</v>
      </c>
      <c r="B865" s="103">
        <v>41557</v>
      </c>
      <c r="C865" s="103">
        <v>41550</v>
      </c>
      <c r="D865" s="14">
        <v>-50</v>
      </c>
      <c r="E865" s="14"/>
      <c r="F865" s="48">
        <f>AVERAGE(D865:E865)</f>
        <v>-50</v>
      </c>
      <c r="G865" s="14"/>
      <c r="H865" s="14">
        <v>-50</v>
      </c>
      <c r="I865" s="14"/>
      <c r="J865" s="48">
        <f>AVERAGE(H865:I865)</f>
        <v>-50</v>
      </c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48"/>
      <c r="AG865" s="48"/>
      <c r="AH865" s="48"/>
      <c r="AI865" s="48"/>
      <c r="AJ865" s="48"/>
      <c r="AK865" s="48"/>
      <c r="AL865" s="48"/>
      <c r="AM865" s="48"/>
      <c r="AN865" s="48">
        <v>1275</v>
      </c>
      <c r="AO865" s="48">
        <v>750</v>
      </c>
      <c r="AP865" s="48">
        <f t="shared" si="127"/>
        <v>1012.5</v>
      </c>
      <c r="AQ865" s="14"/>
      <c r="AR865" s="48">
        <v>500</v>
      </c>
      <c r="AS865" s="48">
        <v>350</v>
      </c>
      <c r="AT865" s="48">
        <f t="shared" si="128"/>
        <v>425</v>
      </c>
      <c r="AU865" s="48"/>
      <c r="AV865" s="48">
        <v>-25</v>
      </c>
      <c r="AW865" s="48">
        <v>-25</v>
      </c>
      <c r="AX865" s="48">
        <f t="shared" si="129"/>
        <v>-25</v>
      </c>
    </row>
    <row r="866" spans="1:50" ht="10.199999999999999" customHeight="1" x14ac:dyDescent="0.25">
      <c r="A866" s="14">
        <v>42</v>
      </c>
      <c r="B866" s="103">
        <v>41564</v>
      </c>
      <c r="C866" s="103">
        <v>41557</v>
      </c>
      <c r="D866" s="14"/>
      <c r="E866" s="14"/>
      <c r="F866" s="48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48"/>
      <c r="AG866" s="48"/>
      <c r="AH866" s="48"/>
      <c r="AI866" s="48"/>
      <c r="AJ866" s="48"/>
      <c r="AK866" s="48"/>
      <c r="AL866" s="48"/>
      <c r="AM866" s="48"/>
      <c r="AN866" s="48">
        <v>1367</v>
      </c>
      <c r="AO866" s="48">
        <v>700</v>
      </c>
      <c r="AP866" s="48">
        <f t="shared" si="127"/>
        <v>1033.5</v>
      </c>
      <c r="AR866" s="48">
        <v>800</v>
      </c>
      <c r="AS866" s="48">
        <v>450</v>
      </c>
      <c r="AT866" s="48">
        <f t="shared" si="128"/>
        <v>625</v>
      </c>
      <c r="AU866" s="48"/>
      <c r="AV866" s="48">
        <v>88</v>
      </c>
      <c r="AW866" s="48">
        <v>-100</v>
      </c>
      <c r="AX866" s="48">
        <f t="shared" si="129"/>
        <v>-6</v>
      </c>
    </row>
    <row r="867" spans="1:50" ht="10.199999999999999" customHeight="1" x14ac:dyDescent="0.25">
      <c r="A867" s="14">
        <v>43</v>
      </c>
      <c r="B867" s="103">
        <v>41571</v>
      </c>
      <c r="C867" s="103">
        <v>41564</v>
      </c>
      <c r="D867" s="14"/>
      <c r="E867" s="14"/>
      <c r="F867" s="48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14"/>
      <c r="AR867" s="48">
        <v>1225</v>
      </c>
      <c r="AS867" s="48">
        <v>525</v>
      </c>
      <c r="AT867" s="48">
        <f t="shared" si="128"/>
        <v>875</v>
      </c>
      <c r="AU867" s="48"/>
      <c r="AV867" s="48"/>
      <c r="AW867" s="48">
        <v>75</v>
      </c>
      <c r="AX867" s="48">
        <f t="shared" si="129"/>
        <v>75</v>
      </c>
    </row>
    <row r="868" spans="1:50" ht="10.199999999999999" customHeight="1" x14ac:dyDescent="0.25">
      <c r="A868" s="14">
        <v>44</v>
      </c>
      <c r="B868" s="103">
        <v>41578</v>
      </c>
      <c r="C868" s="103">
        <v>41571</v>
      </c>
      <c r="D868" s="14">
        <v>200</v>
      </c>
      <c r="E868" s="14">
        <v>100</v>
      </c>
      <c r="F868" s="48">
        <f t="shared" ref="F868:F873" si="130">AVERAGE(D868:E868)</f>
        <v>150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14"/>
      <c r="AR868" s="48">
        <v>1675</v>
      </c>
      <c r="AS868" s="48">
        <v>525</v>
      </c>
      <c r="AT868" s="48">
        <f t="shared" si="128"/>
        <v>1100</v>
      </c>
      <c r="AU868" s="48"/>
      <c r="AV868" s="48">
        <v>375</v>
      </c>
      <c r="AW868" s="48">
        <v>200</v>
      </c>
      <c r="AX868" s="48">
        <f t="shared" si="129"/>
        <v>287.5</v>
      </c>
    </row>
    <row r="869" spans="1:50" ht="10.199999999999999" customHeight="1" x14ac:dyDescent="0.25">
      <c r="A869" s="14">
        <v>45</v>
      </c>
      <c r="B869" s="103">
        <v>41585</v>
      </c>
      <c r="C869" s="103">
        <v>41578</v>
      </c>
      <c r="D869" s="14"/>
      <c r="E869" s="14">
        <v>0</v>
      </c>
      <c r="F869" s="48">
        <f t="shared" si="130"/>
        <v>0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14"/>
      <c r="AR869" s="48">
        <v>2517</v>
      </c>
      <c r="AS869" s="48">
        <v>875</v>
      </c>
      <c r="AT869" s="48">
        <f t="shared" si="128"/>
        <v>1696</v>
      </c>
      <c r="AU869" s="48"/>
      <c r="AV869" s="48">
        <v>1500</v>
      </c>
      <c r="AW869" s="48">
        <v>250</v>
      </c>
      <c r="AX869" s="48">
        <f t="shared" si="129"/>
        <v>875</v>
      </c>
    </row>
    <row r="870" spans="1:50" ht="10.199999999999999" customHeight="1" x14ac:dyDescent="0.25">
      <c r="A870" s="14">
        <v>46</v>
      </c>
      <c r="B870" s="103">
        <v>41592</v>
      </c>
      <c r="C870" s="103">
        <v>41585</v>
      </c>
      <c r="D870" s="14">
        <v>750</v>
      </c>
      <c r="E870" s="14">
        <v>-100</v>
      </c>
      <c r="F870" s="48">
        <f t="shared" si="130"/>
        <v>325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14"/>
      <c r="AR870" s="48">
        <v>1750</v>
      </c>
      <c r="AS870" s="48">
        <v>500</v>
      </c>
      <c r="AT870" s="48">
        <f t="shared" si="128"/>
        <v>1125</v>
      </c>
      <c r="AU870" s="48"/>
      <c r="AV870" s="48">
        <v>800</v>
      </c>
      <c r="AW870" s="48">
        <v>300</v>
      </c>
      <c r="AX870" s="48">
        <f t="shared" si="129"/>
        <v>550</v>
      </c>
    </row>
    <row r="871" spans="1:50" ht="10.199999999999999" customHeight="1" x14ac:dyDescent="0.25">
      <c r="A871" s="14">
        <v>47</v>
      </c>
      <c r="B871" s="103">
        <v>41599</v>
      </c>
      <c r="C871" s="103">
        <v>41592</v>
      </c>
      <c r="D871" s="14"/>
      <c r="E871" s="14">
        <v>-100</v>
      </c>
      <c r="F871" s="48">
        <f t="shared" si="130"/>
        <v>-100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14"/>
      <c r="AR871" s="48">
        <v>500</v>
      </c>
      <c r="AS871" s="48"/>
      <c r="AT871" s="48">
        <f t="shared" si="128"/>
        <v>500</v>
      </c>
      <c r="AU871" s="48"/>
      <c r="AV871" s="48">
        <v>317</v>
      </c>
      <c r="AW871" s="48">
        <v>-125</v>
      </c>
      <c r="AX871" s="48">
        <f t="shared" si="129"/>
        <v>96</v>
      </c>
    </row>
    <row r="872" spans="1:50" ht="10.199999999999999" customHeight="1" x14ac:dyDescent="0.25">
      <c r="A872" s="14">
        <v>48</v>
      </c>
      <c r="B872" s="103">
        <v>41606</v>
      </c>
      <c r="C872" s="103">
        <v>41599</v>
      </c>
      <c r="D872" s="14"/>
      <c r="E872" s="14">
        <v>19</v>
      </c>
      <c r="F872" s="14">
        <f t="shared" si="130"/>
        <v>19</v>
      </c>
      <c r="G872" s="14"/>
      <c r="H872" s="14"/>
      <c r="I872" s="14">
        <v>100</v>
      </c>
      <c r="J872" s="14">
        <f>SUM(H872:I872)</f>
        <v>100</v>
      </c>
      <c r="K872" s="14"/>
      <c r="L872" s="14"/>
      <c r="M872" s="14">
        <v>0</v>
      </c>
      <c r="N872" s="14">
        <f>SUM(L872:M872)</f>
        <v>0</v>
      </c>
      <c r="O872" s="14"/>
      <c r="P872" s="14"/>
      <c r="Q872" s="14">
        <v>-100</v>
      </c>
      <c r="R872" s="14">
        <f>SUM(P872:Q872)</f>
        <v>-100</v>
      </c>
      <c r="S872" s="14"/>
      <c r="T872" s="14"/>
      <c r="U872" s="14">
        <v>-100</v>
      </c>
      <c r="V872" s="14">
        <f>SUM(T872:U872)</f>
        <v>-100</v>
      </c>
      <c r="W872" s="14"/>
      <c r="X872" s="14"/>
      <c r="Y872" s="14">
        <v>-100</v>
      </c>
      <c r="Z872" s="14">
        <f>SUM(X872:Y872)</f>
        <v>-100</v>
      </c>
      <c r="AA872" s="14"/>
      <c r="AB872" s="14"/>
      <c r="AC872" s="14"/>
      <c r="AD872" s="14"/>
      <c r="AE872" s="14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14"/>
      <c r="AR872" s="48"/>
      <c r="AS872" s="48"/>
      <c r="AT872" s="48"/>
      <c r="AU872" s="48"/>
      <c r="AV872" s="48">
        <v>983</v>
      </c>
      <c r="AW872" s="48">
        <v>88</v>
      </c>
      <c r="AX872" s="48">
        <f t="shared" si="129"/>
        <v>535.5</v>
      </c>
    </row>
    <row r="873" spans="1:50" ht="10.199999999999999" customHeight="1" x14ac:dyDescent="0.25">
      <c r="A873" s="14">
        <v>49</v>
      </c>
      <c r="B873" s="103">
        <v>41613</v>
      </c>
      <c r="C873" s="103">
        <v>41606</v>
      </c>
      <c r="D873" s="14"/>
      <c r="E873" s="14">
        <v>13</v>
      </c>
      <c r="F873" s="14">
        <f t="shared" si="130"/>
        <v>13</v>
      </c>
      <c r="G873" s="14"/>
      <c r="H873" s="14"/>
      <c r="I873" s="14">
        <v>100</v>
      </c>
      <c r="J873" s="14">
        <f>SUM(H873:I873)</f>
        <v>100</v>
      </c>
      <c r="K873" s="14"/>
      <c r="L873" s="14"/>
      <c r="M873" s="14">
        <v>0</v>
      </c>
      <c r="N873" s="14">
        <f>SUM(L873:M873)</f>
        <v>0</v>
      </c>
      <c r="O873" s="14"/>
      <c r="P873" s="14"/>
      <c r="Q873" s="14">
        <v>-100</v>
      </c>
      <c r="R873" s="14">
        <f>SUM(P873:Q873)</f>
        <v>-100</v>
      </c>
      <c r="S873" s="14"/>
      <c r="T873" s="14"/>
      <c r="U873" s="14">
        <v>-100</v>
      </c>
      <c r="V873" s="14">
        <f>SUM(T873:U873)</f>
        <v>-100</v>
      </c>
      <c r="W873" s="14"/>
      <c r="X873" s="14"/>
      <c r="Y873" s="14">
        <v>-100</v>
      </c>
      <c r="Z873" s="14">
        <f>SUM(X873:Y873)</f>
        <v>-100</v>
      </c>
      <c r="AA873" s="14"/>
      <c r="AB873" s="14"/>
      <c r="AC873" s="14"/>
      <c r="AD873" s="14"/>
      <c r="AE873" s="14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14"/>
      <c r="AR873" s="48"/>
      <c r="AS873" s="48"/>
      <c r="AT873" s="48"/>
      <c r="AU873" s="48"/>
      <c r="AV873" s="48">
        <v>1275</v>
      </c>
      <c r="AW873" s="48">
        <v>50</v>
      </c>
      <c r="AX873" s="48">
        <f t="shared" si="129"/>
        <v>662.5</v>
      </c>
    </row>
    <row r="874" spans="1:50" ht="10.199999999999999" customHeight="1" x14ac:dyDescent="0.25">
      <c r="A874" s="14">
        <v>50</v>
      </c>
      <c r="B874" s="103">
        <v>41620</v>
      </c>
      <c r="C874" s="103">
        <v>41613</v>
      </c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14"/>
      <c r="AR874" s="48"/>
      <c r="AS874" s="48"/>
      <c r="AT874" s="48"/>
      <c r="AU874" s="48"/>
      <c r="AV874" s="48"/>
      <c r="AW874" s="48"/>
      <c r="AX874" s="48"/>
    </row>
    <row r="875" spans="1:50" ht="10.199999999999999" customHeight="1" x14ac:dyDescent="0.25">
      <c r="A875" s="14">
        <v>51</v>
      </c>
      <c r="B875" s="103">
        <v>41627</v>
      </c>
      <c r="C875" s="103">
        <v>41620</v>
      </c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14"/>
      <c r="AR875" s="48"/>
      <c r="AS875" s="48"/>
      <c r="AT875" s="48"/>
      <c r="AU875" s="48"/>
      <c r="AV875" s="48"/>
      <c r="AW875" s="48"/>
      <c r="AX875" s="48"/>
    </row>
    <row r="876" spans="1:50" ht="10.199999999999999" customHeight="1" x14ac:dyDescent="0.25">
      <c r="A876" s="14">
        <v>52</v>
      </c>
      <c r="B876" s="103">
        <v>41634</v>
      </c>
      <c r="C876" s="103">
        <v>41627</v>
      </c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14"/>
      <c r="AR876" s="48"/>
      <c r="AS876" s="48"/>
      <c r="AT876" s="48"/>
      <c r="AU876" s="48"/>
      <c r="AV876" s="48"/>
      <c r="AW876" s="48"/>
      <c r="AX876" s="48"/>
    </row>
    <row r="877" spans="1:50" ht="10.199999999999999" customHeight="1" x14ac:dyDescent="0.25">
      <c r="A877" s="14">
        <v>1</v>
      </c>
      <c r="B877" s="103">
        <v>41641</v>
      </c>
      <c r="C877" s="103">
        <v>41634</v>
      </c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14"/>
      <c r="AR877" s="48"/>
      <c r="AS877" s="48"/>
      <c r="AT877" s="48"/>
      <c r="AU877" s="48"/>
      <c r="AV877" s="48"/>
      <c r="AW877" s="48"/>
      <c r="AX877" s="48"/>
    </row>
    <row r="878" spans="1:50" ht="10.199999999999999" customHeight="1" x14ac:dyDescent="0.25">
      <c r="A878" s="14">
        <v>2</v>
      </c>
      <c r="B878" s="103">
        <v>41648</v>
      </c>
      <c r="C878" s="103">
        <v>41641</v>
      </c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14"/>
      <c r="AR878" s="48"/>
      <c r="AS878" s="48"/>
      <c r="AT878" s="48"/>
      <c r="AU878" s="48"/>
      <c r="AV878" s="48"/>
      <c r="AW878" s="48"/>
      <c r="AX878" s="48"/>
    </row>
    <row r="879" spans="1:50" ht="10.199999999999999" customHeight="1" x14ac:dyDescent="0.25">
      <c r="A879" s="14">
        <v>3</v>
      </c>
      <c r="B879" s="103">
        <v>41655</v>
      </c>
      <c r="C879" s="103">
        <v>41648</v>
      </c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14"/>
      <c r="AR879" s="48"/>
      <c r="AS879" s="48"/>
      <c r="AT879" s="48"/>
      <c r="AU879" s="48"/>
      <c r="AV879" s="48"/>
      <c r="AW879" s="48"/>
      <c r="AX879" s="48"/>
    </row>
    <row r="880" spans="1:50" ht="10.199999999999999" customHeight="1" x14ac:dyDescent="0.25">
      <c r="A880" s="14">
        <v>4</v>
      </c>
      <c r="B880" s="103">
        <v>41662</v>
      </c>
      <c r="C880" s="103">
        <v>41655</v>
      </c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14"/>
      <c r="AR880" s="48"/>
      <c r="AS880" s="48"/>
      <c r="AT880" s="48"/>
      <c r="AU880" s="48"/>
      <c r="AV880" s="48"/>
      <c r="AW880" s="48"/>
      <c r="AX880" s="48"/>
    </row>
    <row r="881" spans="1:50" ht="10.199999999999999" customHeight="1" x14ac:dyDescent="0.25">
      <c r="A881" s="14">
        <v>5</v>
      </c>
      <c r="B881" s="103">
        <v>41669</v>
      </c>
      <c r="C881" s="103">
        <v>41662</v>
      </c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14"/>
      <c r="AR881" s="48"/>
      <c r="AS881" s="48"/>
      <c r="AT881" s="48"/>
      <c r="AU881" s="48"/>
      <c r="AV881" s="48"/>
      <c r="AW881" s="48"/>
      <c r="AX881" s="48"/>
    </row>
    <row r="882" spans="1:50" ht="10.199999999999999" customHeight="1" x14ac:dyDescent="0.25">
      <c r="A882" s="14">
        <v>6</v>
      </c>
      <c r="B882" s="103">
        <v>41676</v>
      </c>
      <c r="C882" s="103">
        <v>41669</v>
      </c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14"/>
      <c r="AR882" s="48"/>
      <c r="AS882" s="48"/>
      <c r="AT882" s="48"/>
      <c r="AU882" s="48"/>
      <c r="AV882" s="48"/>
      <c r="AW882" s="48"/>
      <c r="AX882" s="48"/>
    </row>
    <row r="883" spans="1:50" ht="10.199999999999999" customHeight="1" x14ac:dyDescent="0.25">
      <c r="A883" s="14">
        <v>7</v>
      </c>
      <c r="B883" s="103">
        <v>41683</v>
      </c>
      <c r="C883" s="103">
        <v>41676</v>
      </c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14"/>
      <c r="AR883" s="48"/>
      <c r="AS883" s="48"/>
      <c r="AT883" s="48"/>
      <c r="AU883" s="48"/>
      <c r="AV883" s="48"/>
      <c r="AW883" s="48"/>
      <c r="AX883" s="48"/>
    </row>
    <row r="884" spans="1:50" ht="10.199999999999999" customHeight="1" x14ac:dyDescent="0.25">
      <c r="A884" s="14">
        <v>8</v>
      </c>
      <c r="B884" s="103">
        <v>41690</v>
      </c>
      <c r="C884" s="103">
        <v>41683</v>
      </c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14"/>
      <c r="AR884" s="48"/>
      <c r="AS884" s="48"/>
      <c r="AT884" s="48"/>
      <c r="AU884" s="48"/>
      <c r="AV884" s="48"/>
      <c r="AW884" s="48"/>
      <c r="AX884" s="48"/>
    </row>
    <row r="885" spans="1:50" ht="10.199999999999999" customHeight="1" x14ac:dyDescent="0.25">
      <c r="A885" s="14">
        <v>9</v>
      </c>
      <c r="B885" s="103">
        <v>41697</v>
      </c>
      <c r="C885" s="103">
        <v>41690</v>
      </c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14"/>
      <c r="AR885" s="48"/>
      <c r="AS885" s="48"/>
      <c r="AT885" s="48"/>
      <c r="AU885" s="48"/>
      <c r="AV885" s="48"/>
      <c r="AW885" s="48"/>
      <c r="AX885" s="48"/>
    </row>
    <row r="886" spans="1:50" ht="10.199999999999999" customHeight="1" x14ac:dyDescent="0.25">
      <c r="A886" s="14">
        <v>10</v>
      </c>
      <c r="B886" s="103">
        <v>41704</v>
      </c>
      <c r="C886" s="103">
        <v>41697</v>
      </c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14"/>
      <c r="AR886" s="48"/>
      <c r="AS886" s="48"/>
      <c r="AT886" s="48"/>
      <c r="AU886" s="48"/>
      <c r="AV886" s="48"/>
      <c r="AW886" s="48"/>
      <c r="AX886" s="48"/>
    </row>
    <row r="887" spans="1:50" ht="10.199999999999999" customHeight="1" x14ac:dyDescent="0.25">
      <c r="A887" s="14">
        <v>11</v>
      </c>
      <c r="B887" s="103">
        <v>41711</v>
      </c>
      <c r="C887" s="103">
        <v>41704</v>
      </c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14"/>
      <c r="AR887" s="14"/>
      <c r="AS887" s="14"/>
      <c r="AT887" s="48"/>
      <c r="AU887" s="14"/>
      <c r="AV887" s="14"/>
      <c r="AW887" s="14"/>
      <c r="AX887" s="14"/>
    </row>
    <row r="888" spans="1:50" ht="10.199999999999999" customHeight="1" x14ac:dyDescent="0.25">
      <c r="A888" s="14">
        <v>12</v>
      </c>
      <c r="B888" s="103">
        <v>41718</v>
      </c>
      <c r="C888" s="103">
        <v>41711</v>
      </c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14"/>
      <c r="AQ888" s="14"/>
      <c r="AR888" s="14"/>
      <c r="AS888" s="14"/>
      <c r="AT888" s="48"/>
      <c r="AU888" s="14"/>
      <c r="AV888" s="14"/>
      <c r="AW888" s="14"/>
      <c r="AX888" s="14"/>
    </row>
    <row r="889" spans="1:50" ht="10.199999999999999" customHeight="1" x14ac:dyDescent="0.25">
      <c r="A889" s="14">
        <v>13</v>
      </c>
      <c r="B889" s="103">
        <v>41725</v>
      </c>
      <c r="C889" s="103">
        <v>41718</v>
      </c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48"/>
      <c r="AU889" s="14"/>
      <c r="AV889" s="14"/>
      <c r="AW889" s="14"/>
      <c r="AX889" s="14"/>
    </row>
    <row r="890" spans="1:50" ht="10.199999999999999" customHeight="1" x14ac:dyDescent="0.25">
      <c r="A890" s="14">
        <v>14</v>
      </c>
      <c r="B890" s="103">
        <v>41732</v>
      </c>
      <c r="C890" s="103">
        <v>41725</v>
      </c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48"/>
      <c r="AU890" s="14"/>
      <c r="AV890" s="14"/>
      <c r="AW890" s="14"/>
      <c r="AX890" s="14"/>
    </row>
    <row r="891" spans="1:50" ht="10.199999999999999" customHeight="1" x14ac:dyDescent="0.25">
      <c r="A891" s="14">
        <v>15</v>
      </c>
      <c r="B891" s="103">
        <v>41739</v>
      </c>
      <c r="C891" s="103">
        <v>41732</v>
      </c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48"/>
      <c r="AU891" s="14"/>
      <c r="AV891" s="14"/>
      <c r="AW891" s="14"/>
      <c r="AX891" s="14"/>
    </row>
    <row r="892" spans="1:50" ht="10.199999999999999" customHeight="1" x14ac:dyDescent="0.25">
      <c r="A892" s="14">
        <v>16</v>
      </c>
      <c r="B892" s="103">
        <v>41746</v>
      </c>
      <c r="C892" s="103">
        <v>41739</v>
      </c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48"/>
      <c r="AU892" s="14"/>
      <c r="AV892" s="14"/>
      <c r="AW892" s="14"/>
      <c r="AX892" s="14"/>
    </row>
    <row r="893" spans="1:50" ht="10.199999999999999" customHeight="1" x14ac:dyDescent="0.25">
      <c r="A893" s="14">
        <v>17</v>
      </c>
      <c r="B893" s="103">
        <v>41753</v>
      </c>
      <c r="C893" s="103">
        <v>41746</v>
      </c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48"/>
      <c r="AU893" s="14"/>
      <c r="AV893" s="14"/>
      <c r="AW893" s="14"/>
      <c r="AX893" s="14"/>
    </row>
    <row r="894" spans="1:50" ht="10.199999999999999" customHeight="1" x14ac:dyDescent="0.25">
      <c r="A894" s="14">
        <v>18</v>
      </c>
      <c r="B894" s="103">
        <v>41760</v>
      </c>
      <c r="C894" s="103">
        <v>41753</v>
      </c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48"/>
      <c r="AU894" s="14"/>
      <c r="AV894" s="14"/>
      <c r="AW894" s="14"/>
      <c r="AX894" s="14"/>
    </row>
    <row r="895" spans="1:50" ht="10.199999999999999" customHeight="1" x14ac:dyDescent="0.25">
      <c r="A895" s="14">
        <v>19</v>
      </c>
      <c r="B895" s="103">
        <v>41767</v>
      </c>
      <c r="C895" s="103">
        <v>41760</v>
      </c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48"/>
      <c r="AU895" s="14"/>
      <c r="AV895" s="14"/>
      <c r="AW895" s="14"/>
      <c r="AX895" s="14"/>
    </row>
    <row r="896" spans="1:50" ht="10.199999999999999" customHeight="1" x14ac:dyDescent="0.25">
      <c r="A896" s="14">
        <v>20</v>
      </c>
      <c r="B896" s="103">
        <v>41774</v>
      </c>
      <c r="C896" s="103">
        <v>41767</v>
      </c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48"/>
      <c r="AU896" s="14"/>
      <c r="AV896" s="14"/>
      <c r="AW896" s="14"/>
      <c r="AX896" s="14"/>
    </row>
    <row r="897" spans="1:50" ht="10.199999999999999" customHeight="1" x14ac:dyDescent="0.25">
      <c r="A897" s="14">
        <v>21</v>
      </c>
      <c r="B897" s="103">
        <v>41781</v>
      </c>
      <c r="C897" s="103">
        <v>41774</v>
      </c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48"/>
      <c r="AU897" s="14"/>
      <c r="AV897" s="14"/>
      <c r="AW897" s="14"/>
      <c r="AX897" s="14"/>
    </row>
    <row r="898" spans="1:50" ht="10.199999999999999" customHeight="1" x14ac:dyDescent="0.25">
      <c r="A898" s="14">
        <v>22</v>
      </c>
      <c r="B898" s="103">
        <v>41788</v>
      </c>
      <c r="C898" s="103">
        <v>41781</v>
      </c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48"/>
      <c r="AU898" s="14"/>
      <c r="AV898" s="14"/>
      <c r="AW898" s="14"/>
      <c r="AX898" s="14"/>
    </row>
    <row r="899" spans="1:50" ht="10.199999999999999" customHeight="1" x14ac:dyDescent="0.25">
      <c r="A899" s="14">
        <v>23</v>
      </c>
      <c r="B899" s="103">
        <v>41795</v>
      </c>
      <c r="C899" s="103">
        <v>41788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48"/>
      <c r="AU899" s="14"/>
      <c r="AV899" s="14"/>
      <c r="AW899" s="14"/>
      <c r="AX899" s="14"/>
    </row>
    <row r="900" spans="1:50" ht="10.199999999999999" customHeight="1" x14ac:dyDescent="0.25">
      <c r="A900" s="14">
        <v>24</v>
      </c>
      <c r="B900" s="103">
        <v>41802</v>
      </c>
      <c r="C900" s="103">
        <v>41795</v>
      </c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48"/>
      <c r="AU900" s="14"/>
      <c r="AV900" s="14"/>
      <c r="AW900" s="14"/>
      <c r="AX900" s="14"/>
    </row>
    <row r="901" spans="1:50" ht="10.199999999999999" customHeight="1" x14ac:dyDescent="0.25">
      <c r="A901" s="14">
        <v>25</v>
      </c>
      <c r="B901" s="103">
        <v>41809</v>
      </c>
      <c r="C901" s="103">
        <v>41802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48"/>
      <c r="AU901" s="14"/>
      <c r="AV901" s="14"/>
      <c r="AW901" s="14"/>
      <c r="AX901" s="14"/>
    </row>
    <row r="902" spans="1:50" ht="10.199999999999999" customHeight="1" x14ac:dyDescent="0.25">
      <c r="A902" s="14">
        <v>26</v>
      </c>
      <c r="B902" s="103">
        <v>41816</v>
      </c>
      <c r="C902" s="103">
        <v>41809</v>
      </c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48"/>
      <c r="AU902" s="14"/>
      <c r="AV902" s="14"/>
      <c r="AW902" s="14"/>
      <c r="AX902" s="14"/>
    </row>
    <row r="903" spans="1:50" ht="10.199999999999999" customHeight="1" x14ac:dyDescent="0.25">
      <c r="A903" s="14">
        <v>27</v>
      </c>
      <c r="B903" s="103">
        <v>41823</v>
      </c>
      <c r="C903" s="103">
        <v>41816</v>
      </c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48"/>
      <c r="AU903" s="14"/>
      <c r="AV903" s="14"/>
      <c r="AW903" s="14"/>
      <c r="AX903" s="14"/>
    </row>
    <row r="904" spans="1:50" ht="10.199999999999999" customHeight="1" x14ac:dyDescent="0.25">
      <c r="A904" s="14">
        <v>28</v>
      </c>
      <c r="B904" s="103">
        <v>41830</v>
      </c>
      <c r="C904" s="103">
        <v>41823</v>
      </c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48"/>
      <c r="AU904" s="14"/>
      <c r="AV904" s="14"/>
      <c r="AW904" s="14"/>
      <c r="AX904" s="14"/>
    </row>
    <row r="905" spans="1:50" ht="10.199999999999999" customHeight="1" x14ac:dyDescent="0.25">
      <c r="A905" s="14">
        <v>29</v>
      </c>
      <c r="B905" s="103">
        <v>41837</v>
      </c>
      <c r="C905" s="103">
        <v>41830</v>
      </c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48"/>
      <c r="AU905" s="14"/>
      <c r="AV905" s="14"/>
      <c r="AW905" s="14"/>
      <c r="AX905" s="14"/>
    </row>
    <row r="906" spans="1:50" ht="10.199999999999999" customHeight="1" x14ac:dyDescent="0.25">
      <c r="A906" s="14">
        <v>30</v>
      </c>
      <c r="B906" s="103">
        <v>41844</v>
      </c>
      <c r="C906" s="103">
        <v>41837</v>
      </c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48"/>
      <c r="AU906" s="14"/>
      <c r="AV906" s="14"/>
      <c r="AW906" s="14"/>
      <c r="AX906" s="14"/>
    </row>
    <row r="907" spans="1:50" ht="10.199999999999999" customHeight="1" x14ac:dyDescent="0.25">
      <c r="A907" s="14">
        <v>31</v>
      </c>
      <c r="B907" s="103">
        <v>41851</v>
      </c>
      <c r="C907" s="103">
        <v>41844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48"/>
      <c r="AU907" s="14"/>
      <c r="AV907" s="14"/>
      <c r="AW907" s="14"/>
      <c r="AX907" s="14"/>
    </row>
    <row r="908" spans="1:50" ht="10.199999999999999" customHeight="1" x14ac:dyDescent="0.25">
      <c r="A908" s="14">
        <v>32</v>
      </c>
      <c r="B908" s="103">
        <v>41858</v>
      </c>
      <c r="C908" s="103">
        <v>41851</v>
      </c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48"/>
      <c r="AU908" s="14"/>
      <c r="AV908" s="14"/>
      <c r="AW908" s="14"/>
      <c r="AX908" s="14"/>
    </row>
    <row r="909" spans="1:50" ht="10.199999999999999" customHeight="1" x14ac:dyDescent="0.25">
      <c r="A909" s="14">
        <v>33</v>
      </c>
      <c r="B909" s="103">
        <v>41865</v>
      </c>
      <c r="C909" s="103">
        <v>41858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48"/>
      <c r="AU909" s="14"/>
      <c r="AV909" s="14"/>
      <c r="AW909" s="14"/>
      <c r="AX909" s="14"/>
    </row>
    <row r="910" spans="1:50" ht="10.199999999999999" customHeight="1" x14ac:dyDescent="0.25">
      <c r="A910" s="14">
        <v>34</v>
      </c>
      <c r="B910" s="103">
        <v>41872</v>
      </c>
      <c r="C910" s="103">
        <v>41865</v>
      </c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48"/>
      <c r="AU910" s="14"/>
      <c r="AV910" s="14"/>
      <c r="AW910" s="14"/>
      <c r="AX910" s="14"/>
    </row>
    <row r="911" spans="1:50" ht="10.199999999999999" customHeight="1" x14ac:dyDescent="0.25">
      <c r="A911" s="14">
        <v>35</v>
      </c>
      <c r="B911" s="103">
        <v>41879</v>
      </c>
      <c r="C911" s="103">
        <v>41872</v>
      </c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48"/>
      <c r="AU911" s="14"/>
      <c r="AV911" s="14"/>
      <c r="AW911" s="14"/>
      <c r="AX911" s="14"/>
    </row>
    <row r="912" spans="1:50" ht="10.199999999999999" customHeight="1" x14ac:dyDescent="0.25">
      <c r="A912" s="14">
        <v>36</v>
      </c>
      <c r="B912" s="103">
        <v>41886</v>
      </c>
      <c r="C912" s="103">
        <v>41879</v>
      </c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48"/>
      <c r="AU912" s="14"/>
      <c r="AV912" s="14"/>
      <c r="AW912" s="14"/>
      <c r="AX912" s="14"/>
    </row>
    <row r="913" spans="1:50" ht="10.199999999999999" customHeight="1" x14ac:dyDescent="0.25">
      <c r="A913" s="14">
        <v>37</v>
      </c>
      <c r="B913" s="103">
        <v>41893</v>
      </c>
      <c r="C913" s="103">
        <v>41886</v>
      </c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48"/>
      <c r="AU913" s="14"/>
      <c r="AV913" s="14"/>
      <c r="AW913" s="14"/>
      <c r="AX913" s="14"/>
    </row>
    <row r="914" spans="1:50" ht="10.199999999999999" customHeight="1" x14ac:dyDescent="0.25">
      <c r="A914" s="14">
        <v>38</v>
      </c>
      <c r="B914" s="103">
        <v>41900</v>
      </c>
      <c r="C914" s="103">
        <v>41893</v>
      </c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48"/>
      <c r="AU914" s="14"/>
      <c r="AV914" s="14"/>
      <c r="AW914" s="14"/>
      <c r="AX914" s="14"/>
    </row>
    <row r="915" spans="1:50" ht="10.199999999999999" customHeight="1" x14ac:dyDescent="0.25">
      <c r="A915" s="14">
        <v>39</v>
      </c>
      <c r="B915" s="103">
        <v>41907</v>
      </c>
      <c r="C915" s="103">
        <v>41900</v>
      </c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48"/>
      <c r="AU915" s="14"/>
      <c r="AV915" s="14"/>
      <c r="AW915" s="14"/>
      <c r="AX915" s="14"/>
    </row>
    <row r="916" spans="1:50" ht="10.199999999999999" customHeight="1" x14ac:dyDescent="0.25">
      <c r="A916" s="14">
        <v>40</v>
      </c>
      <c r="B916" s="103">
        <v>41914</v>
      </c>
      <c r="C916" s="103">
        <v>41907</v>
      </c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48"/>
      <c r="AU916" s="14"/>
      <c r="AV916" s="14"/>
      <c r="AW916" s="14"/>
      <c r="AX916" s="14"/>
    </row>
    <row r="917" spans="1:50" ht="10.199999999999999" customHeight="1" x14ac:dyDescent="0.25">
      <c r="A917" s="14">
        <v>41</v>
      </c>
      <c r="B917" s="103">
        <v>41921</v>
      </c>
      <c r="C917" s="103">
        <v>41914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48"/>
      <c r="AU917" s="14"/>
      <c r="AV917" s="14"/>
      <c r="AW917" s="14"/>
      <c r="AX917" s="14"/>
    </row>
    <row r="918" spans="1:50" ht="10.199999999999999" customHeight="1" x14ac:dyDescent="0.25">
      <c r="A918" s="14">
        <v>42</v>
      </c>
      <c r="B918" s="103">
        <v>41928</v>
      </c>
      <c r="C918" s="103">
        <v>41921</v>
      </c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48"/>
      <c r="AU918" s="14"/>
      <c r="AV918" s="14"/>
      <c r="AW918" s="14"/>
      <c r="AX918" s="14"/>
    </row>
    <row r="919" spans="1:50" ht="10.199999999999999" customHeight="1" x14ac:dyDescent="0.25">
      <c r="A919" s="14">
        <v>43</v>
      </c>
      <c r="B919" s="103">
        <v>41935</v>
      </c>
      <c r="C919" s="103">
        <v>41928</v>
      </c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48"/>
      <c r="AU919" s="14"/>
      <c r="AV919" s="14"/>
      <c r="AW919" s="14"/>
      <c r="AX919" s="14"/>
    </row>
    <row r="920" spans="1:50" ht="10.199999999999999" customHeight="1" x14ac:dyDescent="0.25">
      <c r="A920" s="14">
        <v>44</v>
      </c>
      <c r="B920" s="103">
        <v>41942</v>
      </c>
      <c r="C920" s="103">
        <v>41935</v>
      </c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48"/>
      <c r="AU920" s="14"/>
      <c r="AV920" s="14"/>
      <c r="AW920" s="14"/>
      <c r="AX920" s="14"/>
    </row>
    <row r="921" spans="1:50" ht="10.199999999999999" customHeight="1" x14ac:dyDescent="0.25">
      <c r="A921" s="14">
        <v>45</v>
      </c>
      <c r="B921" s="103">
        <v>41949</v>
      </c>
      <c r="C921" s="103">
        <v>41942</v>
      </c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48"/>
      <c r="AU921" s="14"/>
      <c r="AV921" s="14"/>
      <c r="AW921" s="14"/>
      <c r="AX921" s="14"/>
    </row>
    <row r="922" spans="1:50" ht="10.199999999999999" customHeight="1" x14ac:dyDescent="0.25">
      <c r="A922" s="14">
        <v>46</v>
      </c>
      <c r="B922" s="103">
        <v>41956</v>
      </c>
      <c r="C922" s="103">
        <v>41949</v>
      </c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48"/>
      <c r="AU922" s="14"/>
      <c r="AV922" s="14"/>
      <c r="AW922" s="14"/>
      <c r="AX922" s="14"/>
    </row>
    <row r="923" spans="1:50" ht="10.199999999999999" customHeight="1" x14ac:dyDescent="0.25">
      <c r="A923" s="14">
        <v>47</v>
      </c>
      <c r="B923" s="103">
        <v>41963</v>
      </c>
      <c r="C923" s="103">
        <v>41956</v>
      </c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48"/>
      <c r="AU923" s="14"/>
      <c r="AV923" s="14"/>
      <c r="AW923" s="14"/>
      <c r="AX923" s="14"/>
    </row>
    <row r="924" spans="1:50" ht="10.199999999999999" customHeight="1" x14ac:dyDescent="0.25">
      <c r="A924" s="14">
        <v>48</v>
      </c>
      <c r="B924" s="103">
        <v>41970</v>
      </c>
      <c r="C924" s="103">
        <v>41963</v>
      </c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48"/>
      <c r="AU924" s="14"/>
      <c r="AV924" s="14"/>
      <c r="AW924" s="14"/>
      <c r="AX924" s="14"/>
    </row>
    <row r="925" spans="1:50" ht="10.199999999999999" customHeight="1" x14ac:dyDescent="0.25">
      <c r="A925" s="14">
        <v>49</v>
      </c>
      <c r="B925" s="103">
        <v>41977</v>
      </c>
      <c r="C925" s="103">
        <v>41970</v>
      </c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48"/>
      <c r="AU925" s="14"/>
      <c r="AV925" s="14"/>
      <c r="AW925" s="14"/>
      <c r="AX925" s="14"/>
    </row>
    <row r="926" spans="1:50" ht="10.199999999999999" customHeight="1" x14ac:dyDescent="0.25">
      <c r="A926" s="14">
        <v>50</v>
      </c>
      <c r="B926" s="103">
        <v>41984</v>
      </c>
      <c r="C926" s="103">
        <v>41977</v>
      </c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48"/>
      <c r="AU926" s="14"/>
      <c r="AV926" s="14"/>
      <c r="AW926" s="14"/>
      <c r="AX926" s="14"/>
    </row>
    <row r="927" spans="1:50" ht="10.199999999999999" customHeight="1" x14ac:dyDescent="0.25">
      <c r="A927" s="14">
        <v>51</v>
      </c>
      <c r="B927" s="103">
        <v>41991</v>
      </c>
      <c r="C927" s="103">
        <v>41984</v>
      </c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48"/>
      <c r="AU927" s="14"/>
      <c r="AV927" s="14"/>
      <c r="AW927" s="14"/>
      <c r="AX927" s="14"/>
    </row>
    <row r="928" spans="1:50" ht="10.199999999999999" customHeight="1" x14ac:dyDescent="0.25">
      <c r="A928" s="14">
        <v>52</v>
      </c>
      <c r="B928" s="103">
        <v>41998</v>
      </c>
      <c r="C928" s="103">
        <v>41991</v>
      </c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48"/>
      <c r="AU928" s="14"/>
      <c r="AV928" s="14"/>
      <c r="AW928" s="14"/>
      <c r="AX928" s="14"/>
    </row>
    <row r="929" spans="1:50" ht="10.199999999999999" customHeight="1" x14ac:dyDescent="0.25">
      <c r="A929" s="14">
        <v>1</v>
      </c>
      <c r="B929" s="103">
        <v>42005</v>
      </c>
      <c r="C929" s="103">
        <v>41998</v>
      </c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48"/>
      <c r="AU929" s="14"/>
      <c r="AV929" s="14"/>
      <c r="AW929" s="14"/>
      <c r="AX929" s="14"/>
    </row>
    <row r="930" spans="1:50" ht="10.199999999999999" customHeight="1" x14ac:dyDescent="0.25">
      <c r="A930" s="14">
        <v>2</v>
      </c>
      <c r="B930" s="103">
        <v>42012</v>
      </c>
      <c r="C930" s="103">
        <v>42005</v>
      </c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48"/>
      <c r="AU930" s="14"/>
      <c r="AV930" s="14"/>
      <c r="AW930" s="14"/>
      <c r="AX930" s="14"/>
    </row>
    <row r="931" spans="1:50" ht="10.199999999999999" customHeight="1" x14ac:dyDescent="0.25">
      <c r="A931" s="14">
        <v>3</v>
      </c>
      <c r="B931" s="103">
        <v>42019</v>
      </c>
      <c r="C931" s="103">
        <v>42012</v>
      </c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48"/>
      <c r="AU931" s="14"/>
      <c r="AV931" s="14"/>
      <c r="AW931" s="14"/>
      <c r="AX931" s="14"/>
    </row>
    <row r="932" spans="1:50" ht="10.199999999999999" customHeight="1" x14ac:dyDescent="0.25">
      <c r="A932" s="14">
        <v>4</v>
      </c>
      <c r="B932" s="103">
        <v>42026</v>
      </c>
      <c r="C932" s="103">
        <v>42019</v>
      </c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48"/>
      <c r="AU932" s="14"/>
      <c r="AV932" s="14"/>
      <c r="AW932" s="14"/>
      <c r="AX932" s="14"/>
    </row>
    <row r="933" spans="1:50" ht="10.199999999999999" customHeight="1" x14ac:dyDescent="0.25">
      <c r="A933" s="14">
        <v>5</v>
      </c>
      <c r="B933" s="103">
        <v>42033</v>
      </c>
      <c r="C933" s="103">
        <v>42026</v>
      </c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48"/>
      <c r="AU933" s="14"/>
      <c r="AV933" s="14"/>
      <c r="AW933" s="14"/>
      <c r="AX933" s="14"/>
    </row>
    <row r="934" spans="1:50" ht="10.199999999999999" customHeight="1" x14ac:dyDescent="0.25">
      <c r="A934" s="14">
        <v>6</v>
      </c>
      <c r="B934" s="103">
        <v>42040</v>
      </c>
      <c r="C934" s="103">
        <v>42033</v>
      </c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48"/>
      <c r="AU934" s="14"/>
      <c r="AV934" s="14"/>
      <c r="AW934" s="14"/>
      <c r="AX934" s="14"/>
    </row>
    <row r="935" spans="1:50" ht="10.199999999999999" customHeight="1" x14ac:dyDescent="0.25">
      <c r="A935" s="14">
        <v>7</v>
      </c>
      <c r="B935" s="103">
        <v>42047</v>
      </c>
      <c r="C935" s="103">
        <v>42040</v>
      </c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48"/>
      <c r="AU935" s="14"/>
      <c r="AV935" s="14"/>
      <c r="AW935" s="14"/>
      <c r="AX935" s="14"/>
    </row>
    <row r="936" spans="1:50" ht="10.199999999999999" customHeight="1" x14ac:dyDescent="0.25">
      <c r="A936" s="14">
        <v>8</v>
      </c>
      <c r="B936" s="103">
        <v>42054</v>
      </c>
      <c r="C936" s="103">
        <v>42047</v>
      </c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48"/>
      <c r="AU936" s="14"/>
      <c r="AV936" s="14"/>
      <c r="AW936" s="14"/>
      <c r="AX936" s="14"/>
    </row>
    <row r="937" spans="1:50" ht="10.199999999999999" customHeight="1" x14ac:dyDescent="0.25">
      <c r="A937" s="14">
        <v>9</v>
      </c>
      <c r="B937" s="103">
        <v>42061</v>
      </c>
      <c r="C937" s="103">
        <v>42054</v>
      </c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48"/>
      <c r="AU937" s="14"/>
      <c r="AV937" s="14"/>
      <c r="AW937" s="14"/>
      <c r="AX937" s="14"/>
    </row>
    <row r="938" spans="1:50" ht="10.199999999999999" customHeight="1" x14ac:dyDescent="0.25">
      <c r="A938" s="14">
        <v>10</v>
      </c>
      <c r="B938" s="103">
        <v>42068</v>
      </c>
      <c r="C938" s="103">
        <v>42061</v>
      </c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48"/>
      <c r="AU938" s="14"/>
      <c r="AV938" s="14"/>
      <c r="AW938" s="14"/>
      <c r="AX938" s="14"/>
    </row>
    <row r="939" spans="1:50" ht="10.199999999999999" customHeight="1" x14ac:dyDescent="0.25">
      <c r="A939" s="14">
        <v>11</v>
      </c>
      <c r="B939" s="103">
        <v>42075</v>
      </c>
      <c r="C939" s="103">
        <v>42068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48"/>
      <c r="AU939" s="14"/>
      <c r="AV939" s="14"/>
      <c r="AW939" s="14"/>
      <c r="AX939" s="14"/>
    </row>
    <row r="940" spans="1:50" ht="10.199999999999999" customHeight="1" x14ac:dyDescent="0.25">
      <c r="A940" s="14">
        <v>12</v>
      </c>
      <c r="B940" s="103">
        <v>42082</v>
      </c>
      <c r="C940" s="103">
        <v>42075</v>
      </c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48"/>
      <c r="AU940" s="14"/>
      <c r="AV940" s="14"/>
      <c r="AW940" s="14"/>
      <c r="AX940" s="14"/>
    </row>
    <row r="941" spans="1:50" ht="10.199999999999999" customHeight="1" x14ac:dyDescent="0.25">
      <c r="A941" s="14">
        <v>13</v>
      </c>
      <c r="B941" s="103">
        <v>42089</v>
      </c>
      <c r="C941" s="103">
        <v>42082</v>
      </c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48"/>
      <c r="AU941" s="14"/>
      <c r="AV941" s="14"/>
      <c r="AW941" s="14"/>
      <c r="AX941" s="14"/>
    </row>
    <row r="942" spans="1:50" ht="10.199999999999999" customHeight="1" x14ac:dyDescent="0.25">
      <c r="A942" s="14">
        <v>14</v>
      </c>
      <c r="B942" s="103">
        <v>42096</v>
      </c>
      <c r="C942" s="103">
        <v>42089</v>
      </c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48"/>
      <c r="AU942" s="14"/>
      <c r="AV942" s="14"/>
      <c r="AW942" s="14"/>
      <c r="AX942" s="14"/>
    </row>
    <row r="943" spans="1:50" ht="10.199999999999999" customHeight="1" x14ac:dyDescent="0.25">
      <c r="A943" s="14">
        <v>15</v>
      </c>
      <c r="B943" s="103">
        <v>42103</v>
      </c>
      <c r="C943" s="103">
        <v>42096</v>
      </c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48"/>
      <c r="AU943" s="14"/>
      <c r="AV943" s="14"/>
      <c r="AW943" s="14"/>
      <c r="AX943" s="14"/>
    </row>
    <row r="944" spans="1:50" ht="10.199999999999999" customHeight="1" x14ac:dyDescent="0.25">
      <c r="A944" s="14">
        <v>16</v>
      </c>
      <c r="B944" s="103">
        <v>42110</v>
      </c>
      <c r="C944" s="103">
        <v>42103</v>
      </c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48"/>
      <c r="AU944" s="14"/>
      <c r="AV944" s="14"/>
      <c r="AW944" s="14"/>
      <c r="AX944" s="14"/>
    </row>
    <row r="945" spans="1:50" ht="10.199999999999999" customHeight="1" x14ac:dyDescent="0.25">
      <c r="A945" s="14">
        <v>17</v>
      </c>
      <c r="B945" s="103">
        <v>42117</v>
      </c>
      <c r="C945" s="103">
        <v>42110</v>
      </c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48"/>
      <c r="AU945" s="14"/>
      <c r="AV945" s="14"/>
      <c r="AW945" s="14"/>
      <c r="AX945" s="14"/>
    </row>
    <row r="946" spans="1:50" ht="10.199999999999999" customHeight="1" x14ac:dyDescent="0.25">
      <c r="A946" s="14">
        <v>18</v>
      </c>
      <c r="B946" s="103">
        <v>42124</v>
      </c>
      <c r="C946" s="103">
        <v>42117</v>
      </c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48"/>
      <c r="AU946" s="14"/>
      <c r="AV946" s="14"/>
      <c r="AW946" s="14"/>
      <c r="AX946" s="14"/>
    </row>
    <row r="947" spans="1:50" ht="10.199999999999999" customHeight="1" x14ac:dyDescent="0.25">
      <c r="A947" s="14">
        <v>19</v>
      </c>
      <c r="B947" s="103">
        <v>42131</v>
      </c>
      <c r="C947" s="103">
        <v>42124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48"/>
      <c r="AU947" s="14"/>
      <c r="AV947" s="14"/>
      <c r="AW947" s="14"/>
      <c r="AX947" s="14"/>
    </row>
    <row r="948" spans="1:50" ht="10.199999999999999" customHeight="1" x14ac:dyDescent="0.25">
      <c r="A948" s="14">
        <v>20</v>
      </c>
      <c r="B948" s="103">
        <v>42138</v>
      </c>
      <c r="C948" s="103">
        <v>42131</v>
      </c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48"/>
      <c r="AU948" s="14"/>
      <c r="AV948" s="14"/>
      <c r="AW948" s="14"/>
      <c r="AX948" s="14"/>
    </row>
    <row r="949" spans="1:50" ht="10.199999999999999" customHeight="1" x14ac:dyDescent="0.25">
      <c r="A949" s="14">
        <v>21</v>
      </c>
      <c r="B949" s="103">
        <v>42145</v>
      </c>
      <c r="C949" s="103">
        <v>42138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48"/>
      <c r="AU949" s="14"/>
      <c r="AV949" s="14"/>
      <c r="AW949" s="14"/>
      <c r="AX949" s="14"/>
    </row>
    <row r="950" spans="1:50" ht="10.199999999999999" customHeight="1" x14ac:dyDescent="0.25">
      <c r="A950" s="14">
        <v>22</v>
      </c>
      <c r="B950" s="103">
        <v>42152</v>
      </c>
      <c r="C950" s="103">
        <v>42145</v>
      </c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48"/>
      <c r="AU950" s="14"/>
      <c r="AV950" s="14"/>
      <c r="AW950" s="14"/>
      <c r="AX950" s="14"/>
    </row>
    <row r="951" spans="1:50" ht="10.199999999999999" customHeight="1" x14ac:dyDescent="0.25">
      <c r="A951" s="14">
        <v>23</v>
      </c>
      <c r="B951" s="103">
        <v>42159</v>
      </c>
      <c r="C951" s="103">
        <v>42152</v>
      </c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48"/>
      <c r="AU951" s="14"/>
      <c r="AV951" s="14"/>
      <c r="AW951" s="14"/>
      <c r="AX951" s="14"/>
    </row>
    <row r="952" spans="1:50" ht="10.199999999999999" customHeight="1" x14ac:dyDescent="0.25">
      <c r="A952" s="14">
        <v>24</v>
      </c>
      <c r="B952" s="103">
        <v>42166</v>
      </c>
      <c r="C952" s="103">
        <v>42159</v>
      </c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48"/>
      <c r="AU952" s="14"/>
      <c r="AV952" s="14"/>
      <c r="AW952" s="14"/>
      <c r="AX952" s="14"/>
    </row>
    <row r="953" spans="1:50" ht="10.199999999999999" customHeight="1" x14ac:dyDescent="0.25">
      <c r="A953" s="14">
        <v>25</v>
      </c>
      <c r="B953" s="103">
        <v>42173</v>
      </c>
      <c r="C953" s="103">
        <v>42166</v>
      </c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48"/>
      <c r="AU953" s="14"/>
      <c r="AV953" s="14"/>
      <c r="AW953" s="14"/>
      <c r="AX953" s="14"/>
    </row>
    <row r="954" spans="1:50" ht="10.199999999999999" customHeight="1" x14ac:dyDescent="0.25">
      <c r="A954" s="14">
        <v>26</v>
      </c>
      <c r="B954" s="103">
        <v>42180</v>
      </c>
      <c r="C954" s="103">
        <v>42173</v>
      </c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48"/>
      <c r="AU954" s="14"/>
      <c r="AV954" s="14"/>
      <c r="AW954" s="14"/>
      <c r="AX954" s="14"/>
    </row>
    <row r="955" spans="1:50" ht="10.199999999999999" customHeight="1" x14ac:dyDescent="0.25">
      <c r="A955" s="14">
        <v>27</v>
      </c>
      <c r="B955" s="103">
        <v>42187</v>
      </c>
      <c r="C955" s="103">
        <v>42180</v>
      </c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48"/>
      <c r="AU955" s="14"/>
      <c r="AV955" s="14"/>
      <c r="AW955" s="14"/>
      <c r="AX955" s="14"/>
    </row>
    <row r="956" spans="1:50" ht="10.199999999999999" customHeight="1" x14ac:dyDescent="0.25">
      <c r="A956" s="14">
        <v>28</v>
      </c>
      <c r="B956" s="103">
        <v>42194</v>
      </c>
      <c r="C956" s="103">
        <v>42187</v>
      </c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48"/>
      <c r="AU956" s="14"/>
      <c r="AV956" s="14"/>
      <c r="AW956" s="14"/>
      <c r="AX956" s="14"/>
    </row>
    <row r="957" spans="1:50" ht="10.199999999999999" customHeight="1" x14ac:dyDescent="0.25">
      <c r="A957" s="14">
        <v>29</v>
      </c>
      <c r="B957" s="103">
        <v>42201</v>
      </c>
      <c r="C957" s="103">
        <v>42194</v>
      </c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48"/>
      <c r="AU957" s="14"/>
      <c r="AV957" s="14"/>
      <c r="AW957" s="14"/>
      <c r="AX957" s="14"/>
    </row>
    <row r="958" spans="1:50" ht="10.199999999999999" customHeight="1" x14ac:dyDescent="0.25">
      <c r="A958" s="14">
        <v>30</v>
      </c>
      <c r="B958" s="103">
        <v>42208</v>
      </c>
      <c r="C958" s="103">
        <v>42201</v>
      </c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48"/>
      <c r="AU958" s="14"/>
      <c r="AV958" s="14"/>
      <c r="AW958" s="14"/>
      <c r="AX958" s="14"/>
    </row>
    <row r="959" spans="1:50" ht="10.199999999999999" customHeight="1" x14ac:dyDescent="0.25">
      <c r="A959" s="14">
        <v>31</v>
      </c>
      <c r="B959" s="103">
        <v>42215</v>
      </c>
      <c r="C959" s="103">
        <v>42208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48"/>
      <c r="AU959" s="14"/>
      <c r="AV959" s="14"/>
      <c r="AW959" s="14"/>
      <c r="AX959" s="14"/>
    </row>
    <row r="960" spans="1:50" ht="10.199999999999999" customHeight="1" x14ac:dyDescent="0.25">
      <c r="A960" s="14">
        <v>32</v>
      </c>
      <c r="B960" s="103">
        <v>42222</v>
      </c>
      <c r="C960" s="103">
        <v>42215</v>
      </c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48"/>
      <c r="AU960" s="14"/>
      <c r="AV960" s="14"/>
      <c r="AW960" s="14"/>
      <c r="AX960" s="14"/>
    </row>
    <row r="961" spans="1:50" ht="10.199999999999999" customHeight="1" x14ac:dyDescent="0.25">
      <c r="A961" s="14">
        <v>33</v>
      </c>
      <c r="B961" s="103">
        <v>42229</v>
      </c>
      <c r="C961" s="103">
        <v>42222</v>
      </c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48"/>
      <c r="AU961" s="14"/>
      <c r="AV961" s="14"/>
      <c r="AW961" s="14"/>
      <c r="AX961" s="14"/>
    </row>
    <row r="962" spans="1:50" ht="10.199999999999999" customHeight="1" x14ac:dyDescent="0.25">
      <c r="A962" s="14">
        <v>34</v>
      </c>
      <c r="B962" s="103">
        <v>42236</v>
      </c>
      <c r="C962" s="103">
        <v>42229</v>
      </c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48"/>
      <c r="AU962" s="14"/>
      <c r="AV962" s="14"/>
      <c r="AW962" s="14"/>
      <c r="AX962" s="14"/>
    </row>
    <row r="963" spans="1:50" ht="10.199999999999999" customHeight="1" x14ac:dyDescent="0.25">
      <c r="A963" s="14">
        <v>35</v>
      </c>
      <c r="B963" s="103">
        <v>42243</v>
      </c>
      <c r="C963" s="103">
        <v>42236</v>
      </c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48"/>
      <c r="AU963" s="14"/>
      <c r="AV963" s="14"/>
      <c r="AW963" s="14"/>
      <c r="AX963" s="14"/>
    </row>
    <row r="964" spans="1:50" ht="10.199999999999999" customHeight="1" x14ac:dyDescent="0.25">
      <c r="A964" s="14">
        <v>36</v>
      </c>
      <c r="B964" s="103">
        <v>42250</v>
      </c>
      <c r="C964" s="103">
        <v>42243</v>
      </c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48"/>
      <c r="AU964" s="14"/>
      <c r="AV964" s="14"/>
      <c r="AW964" s="14"/>
      <c r="AX964" s="14"/>
    </row>
    <row r="965" spans="1:50" ht="10.199999999999999" customHeight="1" x14ac:dyDescent="0.25">
      <c r="A965" s="14">
        <v>37</v>
      </c>
      <c r="B965" s="103">
        <v>42257</v>
      </c>
      <c r="C965" s="103">
        <v>42250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48"/>
      <c r="AU965" s="14"/>
      <c r="AV965" s="14"/>
      <c r="AW965" s="14"/>
      <c r="AX965" s="14"/>
    </row>
    <row r="966" spans="1:50" ht="10.199999999999999" customHeight="1" x14ac:dyDescent="0.25">
      <c r="A966" s="14">
        <v>38</v>
      </c>
      <c r="B966" s="103">
        <v>42264</v>
      </c>
      <c r="C966" s="103">
        <v>42257</v>
      </c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48"/>
      <c r="AU966" s="14"/>
      <c r="AV966" s="14"/>
      <c r="AW966" s="14"/>
      <c r="AX966" s="14"/>
    </row>
    <row r="967" spans="1:50" ht="10.199999999999999" customHeight="1" x14ac:dyDescent="0.25">
      <c r="A967" s="14">
        <v>39</v>
      </c>
      <c r="B967" s="103">
        <v>42271</v>
      </c>
      <c r="C967" s="103">
        <v>42264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48"/>
      <c r="AU967" s="14"/>
      <c r="AV967" s="14"/>
      <c r="AW967" s="14"/>
      <c r="AX967" s="14"/>
    </row>
    <row r="968" spans="1:50" ht="10.199999999999999" customHeight="1" x14ac:dyDescent="0.25">
      <c r="A968" s="14">
        <v>40</v>
      </c>
      <c r="B968" s="103">
        <v>42278</v>
      </c>
      <c r="C968" s="103">
        <v>42271</v>
      </c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48"/>
      <c r="AU968" s="14"/>
      <c r="AV968" s="14"/>
      <c r="AW968" s="14"/>
      <c r="AX968" s="14"/>
    </row>
    <row r="969" spans="1:50" ht="10.199999999999999" customHeight="1" x14ac:dyDescent="0.25">
      <c r="A969" s="14">
        <v>41</v>
      </c>
      <c r="B969" s="103">
        <v>42285</v>
      </c>
      <c r="C969" s="103">
        <v>42278</v>
      </c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48"/>
      <c r="AU969" s="14"/>
      <c r="AV969" s="14"/>
      <c r="AW969" s="14"/>
      <c r="AX969" s="14"/>
    </row>
    <row r="970" spans="1:50" ht="10.199999999999999" customHeight="1" x14ac:dyDescent="0.25">
      <c r="A970" s="14">
        <v>42</v>
      </c>
      <c r="B970" s="103">
        <v>42292</v>
      </c>
      <c r="C970" s="103">
        <v>42285</v>
      </c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48"/>
      <c r="AU970" s="14"/>
      <c r="AV970" s="14"/>
      <c r="AW970" s="14"/>
      <c r="AX970" s="14"/>
    </row>
    <row r="971" spans="1:50" ht="10.199999999999999" customHeight="1" x14ac:dyDescent="0.25">
      <c r="A971" s="14">
        <v>43</v>
      </c>
      <c r="B971" s="103">
        <v>42299</v>
      </c>
      <c r="C971" s="103">
        <v>42292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48"/>
      <c r="AU971" s="14"/>
      <c r="AV971" s="14"/>
      <c r="AW971" s="14"/>
      <c r="AX971" s="14"/>
    </row>
    <row r="972" spans="1:50" ht="10.199999999999999" customHeight="1" x14ac:dyDescent="0.25">
      <c r="A972" s="14">
        <v>44</v>
      </c>
      <c r="B972" s="103">
        <v>42306</v>
      </c>
      <c r="C972" s="103">
        <v>42299</v>
      </c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48"/>
      <c r="AU972" s="14"/>
      <c r="AV972" s="14"/>
      <c r="AW972" s="14"/>
      <c r="AX972" s="14"/>
    </row>
    <row r="973" spans="1:50" ht="10.199999999999999" customHeight="1" x14ac:dyDescent="0.25">
      <c r="A973" s="14">
        <v>45</v>
      </c>
      <c r="B973" s="103">
        <v>42313</v>
      </c>
      <c r="C973" s="103">
        <v>42306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48"/>
      <c r="AU973" s="14"/>
      <c r="AV973" s="14"/>
      <c r="AW973" s="14"/>
      <c r="AX973" s="14"/>
    </row>
    <row r="974" spans="1:50" ht="10.199999999999999" customHeight="1" x14ac:dyDescent="0.25">
      <c r="A974" s="14">
        <v>46</v>
      </c>
      <c r="B974" s="103">
        <v>42320</v>
      </c>
      <c r="C974" s="103">
        <v>42313</v>
      </c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48"/>
      <c r="AU974" s="14"/>
      <c r="AV974" s="14"/>
      <c r="AW974" s="14"/>
      <c r="AX974" s="14"/>
    </row>
    <row r="975" spans="1:50" ht="10.199999999999999" customHeight="1" x14ac:dyDescent="0.25">
      <c r="A975" s="14">
        <v>47</v>
      </c>
      <c r="B975" s="103">
        <v>42327</v>
      </c>
      <c r="C975" s="103">
        <v>42320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48"/>
      <c r="AU975" s="14"/>
      <c r="AV975" s="14"/>
      <c r="AW975" s="14"/>
      <c r="AX975" s="14"/>
    </row>
    <row r="976" spans="1:50" ht="10.199999999999999" customHeight="1" x14ac:dyDescent="0.25">
      <c r="A976" s="14">
        <v>48</v>
      </c>
      <c r="B976" s="103">
        <v>42334</v>
      </c>
      <c r="C976" s="103">
        <v>42327</v>
      </c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48"/>
      <c r="AU976" s="14"/>
      <c r="AV976" s="14"/>
      <c r="AW976" s="14"/>
      <c r="AX976" s="14"/>
    </row>
    <row r="977" spans="1:50" ht="10.199999999999999" customHeight="1" x14ac:dyDescent="0.25">
      <c r="A977" s="14">
        <v>49</v>
      </c>
      <c r="B977" s="103">
        <v>42341</v>
      </c>
      <c r="C977" s="103">
        <v>42334</v>
      </c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48"/>
      <c r="AU977" s="14"/>
      <c r="AV977" s="14"/>
      <c r="AW977" s="14"/>
      <c r="AX977" s="14"/>
    </row>
    <row r="978" spans="1:50" ht="10.199999999999999" customHeight="1" x14ac:dyDescent="0.25">
      <c r="A978" s="14">
        <v>50</v>
      </c>
      <c r="B978" s="103">
        <v>42348</v>
      </c>
      <c r="C978" s="103">
        <v>42341</v>
      </c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48"/>
      <c r="AU978" s="14"/>
      <c r="AV978" s="14"/>
      <c r="AW978" s="14"/>
      <c r="AX978" s="14"/>
    </row>
    <row r="979" spans="1:50" ht="10.199999999999999" customHeight="1" x14ac:dyDescent="0.25">
      <c r="A979" s="14">
        <v>51</v>
      </c>
      <c r="B979" s="103">
        <v>42355</v>
      </c>
      <c r="C979" s="103">
        <v>42348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48"/>
      <c r="AU979" s="14"/>
      <c r="AV979" s="14"/>
      <c r="AW979" s="14"/>
      <c r="AX979" s="14"/>
    </row>
    <row r="980" spans="1:50" ht="10.199999999999999" customHeight="1" x14ac:dyDescent="0.25">
      <c r="A980" s="14">
        <v>52</v>
      </c>
      <c r="B980" s="103">
        <v>42362</v>
      </c>
      <c r="C980" s="103">
        <v>42355</v>
      </c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48"/>
      <c r="AU980" s="14"/>
      <c r="AV980" s="14"/>
      <c r="AW980" s="14"/>
      <c r="AX980" s="14"/>
    </row>
    <row r="981" spans="1:50" ht="10.199999999999999" customHeight="1" x14ac:dyDescent="0.25">
      <c r="A981" s="14">
        <v>53</v>
      </c>
      <c r="B981" s="103">
        <v>42369</v>
      </c>
      <c r="C981" s="103">
        <v>42362</v>
      </c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48"/>
      <c r="AU981" s="14"/>
      <c r="AV981" s="14"/>
      <c r="AW981" s="14"/>
      <c r="AX981" s="14"/>
    </row>
    <row r="982" spans="1:50" ht="10.199999999999999" customHeight="1" x14ac:dyDescent="0.25">
      <c r="A982" s="14">
        <v>1</v>
      </c>
      <c r="B982" s="103">
        <v>42376</v>
      </c>
      <c r="C982" s="103">
        <v>42369</v>
      </c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48"/>
      <c r="AU982" s="14"/>
      <c r="AV982" s="14"/>
      <c r="AW982" s="14"/>
      <c r="AX982" s="14"/>
    </row>
    <row r="983" spans="1:50" ht="10.199999999999999" customHeight="1" x14ac:dyDescent="0.25">
      <c r="A983" s="14">
        <v>2</v>
      </c>
      <c r="B983" s="103">
        <v>42383</v>
      </c>
      <c r="C983" s="103">
        <v>42376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48"/>
      <c r="AU983" s="14"/>
      <c r="AV983" s="14"/>
      <c r="AW983" s="14"/>
      <c r="AX983" s="14"/>
    </row>
    <row r="984" spans="1:50" ht="10.199999999999999" customHeight="1" x14ac:dyDescent="0.25">
      <c r="A984" s="14">
        <v>3</v>
      </c>
      <c r="B984" s="103">
        <v>42390</v>
      </c>
      <c r="C984" s="103">
        <v>42383</v>
      </c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48"/>
      <c r="AU984" s="14"/>
      <c r="AV984" s="14"/>
      <c r="AW984" s="14"/>
      <c r="AX984" s="14"/>
    </row>
    <row r="985" spans="1:50" ht="10.199999999999999" customHeight="1" x14ac:dyDescent="0.25">
      <c r="A985" s="14">
        <v>4</v>
      </c>
      <c r="B985" s="103">
        <v>42397</v>
      </c>
      <c r="C985" s="103">
        <v>42390</v>
      </c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48"/>
      <c r="AU985" s="14"/>
      <c r="AV985" s="14"/>
      <c r="AW985" s="14"/>
      <c r="AX985" s="14"/>
    </row>
    <row r="986" spans="1:50" ht="10.199999999999999" customHeight="1" x14ac:dyDescent="0.25">
      <c r="A986" s="14">
        <v>5</v>
      </c>
      <c r="B986" s="103">
        <v>42404</v>
      </c>
      <c r="C986" s="103">
        <v>42397</v>
      </c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48"/>
      <c r="AU986" s="14"/>
      <c r="AV986" s="14"/>
      <c r="AW986" s="14"/>
      <c r="AX986" s="14"/>
    </row>
    <row r="987" spans="1:50" ht="10.199999999999999" customHeight="1" x14ac:dyDescent="0.25">
      <c r="A987" s="14">
        <v>6</v>
      </c>
      <c r="B987" s="103">
        <v>42411</v>
      </c>
      <c r="C987" s="103">
        <v>42404</v>
      </c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48"/>
      <c r="AU987" s="14"/>
      <c r="AV987" s="14"/>
      <c r="AW987" s="14"/>
      <c r="AX987" s="14"/>
    </row>
    <row r="988" spans="1:50" ht="10.199999999999999" customHeight="1" x14ac:dyDescent="0.25">
      <c r="A988" s="14">
        <v>7</v>
      </c>
      <c r="B988" s="103">
        <v>42418</v>
      </c>
      <c r="C988" s="103">
        <v>42411</v>
      </c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48"/>
      <c r="AU988" s="14"/>
      <c r="AV988" s="14"/>
      <c r="AW988" s="14"/>
      <c r="AX988" s="14"/>
    </row>
    <row r="989" spans="1:50" ht="10.199999999999999" customHeight="1" x14ac:dyDescent="0.25">
      <c r="A989" s="14">
        <v>8</v>
      </c>
      <c r="B989" s="103">
        <v>42425</v>
      </c>
      <c r="C989" s="103">
        <v>42418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48"/>
      <c r="AU989" s="14"/>
      <c r="AV989" s="14"/>
      <c r="AW989" s="14"/>
      <c r="AX989" s="14"/>
    </row>
    <row r="990" spans="1:50" ht="10.199999999999999" customHeight="1" x14ac:dyDescent="0.25">
      <c r="A990" s="14">
        <v>9</v>
      </c>
      <c r="B990" s="103">
        <v>42432</v>
      </c>
      <c r="C990" s="103">
        <v>42425</v>
      </c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48"/>
      <c r="AU990" s="14"/>
      <c r="AV990" s="14"/>
      <c r="AW990" s="14"/>
      <c r="AX990" s="14"/>
    </row>
    <row r="991" spans="1:50" ht="10.199999999999999" customHeight="1" x14ac:dyDescent="0.25">
      <c r="A991" s="14">
        <v>10</v>
      </c>
      <c r="B991" s="103">
        <v>42439</v>
      </c>
      <c r="C991" s="103">
        <v>42432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48"/>
      <c r="AU991" s="14"/>
      <c r="AV991" s="14"/>
      <c r="AW991" s="14"/>
      <c r="AX991" s="14"/>
    </row>
    <row r="992" spans="1:50" ht="10.199999999999999" customHeight="1" x14ac:dyDescent="0.25">
      <c r="A992" s="14">
        <v>11</v>
      </c>
      <c r="B992" s="103">
        <v>42446</v>
      </c>
      <c r="C992" s="103">
        <v>42439</v>
      </c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48"/>
      <c r="AU992" s="14"/>
      <c r="AV992" s="14"/>
      <c r="AW992" s="14"/>
      <c r="AX992" s="14"/>
    </row>
    <row r="993" spans="1:50" ht="10.199999999999999" customHeight="1" x14ac:dyDescent="0.25">
      <c r="A993" s="14">
        <v>12</v>
      </c>
      <c r="B993" s="103">
        <v>42453</v>
      </c>
      <c r="C993" s="103">
        <v>42446</v>
      </c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48"/>
      <c r="AU993" s="14"/>
      <c r="AV993" s="14"/>
      <c r="AW993" s="14"/>
      <c r="AX993" s="14"/>
    </row>
    <row r="994" spans="1:50" ht="10.199999999999999" customHeight="1" x14ac:dyDescent="0.25">
      <c r="A994" s="14">
        <v>13</v>
      </c>
      <c r="B994" s="103">
        <v>42460</v>
      </c>
      <c r="C994" s="103">
        <v>42453</v>
      </c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48"/>
      <c r="AU994" s="14"/>
      <c r="AV994" s="14"/>
      <c r="AW994" s="14"/>
      <c r="AX994" s="14"/>
    </row>
    <row r="995" spans="1:50" ht="10.199999999999999" customHeight="1" x14ac:dyDescent="0.25">
      <c r="A995" s="14">
        <v>14</v>
      </c>
      <c r="B995" s="103">
        <v>42467</v>
      </c>
      <c r="C995" s="103">
        <v>42460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48"/>
      <c r="AU995" s="14"/>
      <c r="AV995" s="14"/>
      <c r="AW995" s="14"/>
      <c r="AX995" s="14"/>
    </row>
    <row r="996" spans="1:50" ht="10.199999999999999" customHeight="1" x14ac:dyDescent="0.25">
      <c r="A996" s="14">
        <v>15</v>
      </c>
      <c r="B996" s="103">
        <v>42474</v>
      </c>
      <c r="C996" s="103">
        <v>42467</v>
      </c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48"/>
      <c r="AU996" s="14"/>
      <c r="AV996" s="14"/>
      <c r="AW996" s="14"/>
      <c r="AX996" s="14"/>
    </row>
    <row r="997" spans="1:50" ht="10.199999999999999" customHeight="1" x14ac:dyDescent="0.25">
      <c r="A997" s="14">
        <v>16</v>
      </c>
      <c r="B997" s="103">
        <v>42481</v>
      </c>
      <c r="C997" s="103">
        <v>42474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48"/>
      <c r="AU997" s="14"/>
      <c r="AV997" s="14"/>
      <c r="AW997" s="14"/>
      <c r="AX997" s="14"/>
    </row>
    <row r="998" spans="1:50" ht="10.199999999999999" customHeight="1" x14ac:dyDescent="0.25">
      <c r="A998" s="14">
        <v>17</v>
      </c>
      <c r="B998" s="103">
        <v>42488</v>
      </c>
      <c r="C998" s="103">
        <v>42481</v>
      </c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48"/>
      <c r="AU998" s="14"/>
      <c r="AV998" s="14"/>
      <c r="AW998" s="14"/>
      <c r="AX998" s="14"/>
    </row>
    <row r="999" spans="1:50" ht="10.199999999999999" customHeight="1" x14ac:dyDescent="0.25">
      <c r="A999" s="14">
        <v>18</v>
      </c>
      <c r="B999" s="103">
        <v>42495</v>
      </c>
      <c r="C999" s="103">
        <v>42488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48"/>
      <c r="AU999" s="14"/>
      <c r="AV999" s="14"/>
      <c r="AW999" s="14"/>
      <c r="AX999" s="14"/>
    </row>
    <row r="1000" spans="1:50" ht="10.199999999999999" customHeight="1" x14ac:dyDescent="0.25">
      <c r="A1000" s="14">
        <v>19</v>
      </c>
      <c r="B1000" s="103">
        <v>42502</v>
      </c>
      <c r="C1000" s="103">
        <v>42495</v>
      </c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48"/>
      <c r="AU1000" s="14"/>
      <c r="AV1000" s="14"/>
      <c r="AW1000" s="14"/>
      <c r="AX1000" s="14"/>
    </row>
    <row r="1001" spans="1:50" ht="10.199999999999999" customHeight="1" x14ac:dyDescent="0.25">
      <c r="A1001" s="14">
        <v>20</v>
      </c>
      <c r="B1001" s="103">
        <v>42509</v>
      </c>
      <c r="C1001" s="103">
        <v>42502</v>
      </c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48"/>
      <c r="AU1001" s="14"/>
      <c r="AV1001" s="14"/>
      <c r="AW1001" s="14"/>
      <c r="AX1001" s="14"/>
    </row>
    <row r="1002" spans="1:50" ht="10.199999999999999" customHeight="1" x14ac:dyDescent="0.25">
      <c r="A1002" s="14">
        <v>21</v>
      </c>
      <c r="B1002" s="103">
        <v>42516</v>
      </c>
      <c r="C1002" s="103">
        <v>42509</v>
      </c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48"/>
      <c r="AU1002" s="14"/>
      <c r="AV1002" s="14"/>
      <c r="AW1002" s="14"/>
      <c r="AX1002" s="14"/>
    </row>
    <row r="1003" spans="1:50" ht="10.199999999999999" customHeight="1" x14ac:dyDescent="0.25">
      <c r="A1003" s="14">
        <v>22</v>
      </c>
      <c r="B1003" s="103">
        <v>42523</v>
      </c>
      <c r="C1003" s="103">
        <v>42516</v>
      </c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48"/>
      <c r="AU1003" s="14"/>
      <c r="AV1003" s="14"/>
      <c r="AW1003" s="14"/>
      <c r="AX1003" s="14"/>
    </row>
    <row r="1004" spans="1:50" ht="10.199999999999999" customHeight="1" x14ac:dyDescent="0.25">
      <c r="A1004" s="14">
        <v>23</v>
      </c>
      <c r="B1004" s="103">
        <v>42530</v>
      </c>
      <c r="C1004" s="103">
        <v>42523</v>
      </c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48"/>
      <c r="AU1004" s="14"/>
      <c r="AV1004" s="14"/>
      <c r="AW1004" s="14"/>
      <c r="AX1004" s="14"/>
    </row>
    <row r="1005" spans="1:50" ht="10.199999999999999" customHeight="1" x14ac:dyDescent="0.25">
      <c r="A1005" s="14">
        <v>24</v>
      </c>
      <c r="B1005" s="103">
        <v>42537</v>
      </c>
      <c r="C1005" s="103">
        <v>42530</v>
      </c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48"/>
      <c r="AU1005" s="14"/>
      <c r="AV1005" s="14"/>
      <c r="AW1005" s="14"/>
      <c r="AX1005" s="14"/>
    </row>
    <row r="1006" spans="1:50" ht="10.199999999999999" customHeight="1" x14ac:dyDescent="0.25">
      <c r="A1006" s="14">
        <v>25</v>
      </c>
      <c r="B1006" s="103">
        <v>42544</v>
      </c>
      <c r="C1006" s="103">
        <v>42537</v>
      </c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48"/>
      <c r="AU1006" s="14"/>
      <c r="AV1006" s="14"/>
      <c r="AW1006" s="14"/>
      <c r="AX1006" s="14"/>
    </row>
    <row r="1007" spans="1:50" ht="10.199999999999999" customHeight="1" x14ac:dyDescent="0.25">
      <c r="A1007" s="14">
        <v>26</v>
      </c>
      <c r="B1007" s="103">
        <v>42551</v>
      </c>
      <c r="C1007" s="103">
        <v>42544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48"/>
      <c r="AU1007" s="14"/>
      <c r="AV1007" s="14"/>
      <c r="AW1007" s="14"/>
      <c r="AX1007" s="14"/>
    </row>
    <row r="1008" spans="1:50" ht="10.199999999999999" customHeight="1" x14ac:dyDescent="0.25">
      <c r="A1008" s="14">
        <v>27</v>
      </c>
      <c r="B1008" s="103">
        <v>42558</v>
      </c>
      <c r="C1008" s="103">
        <v>42551</v>
      </c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48"/>
      <c r="AU1008" s="14"/>
      <c r="AV1008" s="14"/>
      <c r="AW1008" s="14"/>
      <c r="AX1008" s="14"/>
    </row>
    <row r="1009" spans="1:50" ht="10.199999999999999" customHeight="1" x14ac:dyDescent="0.25">
      <c r="A1009" s="14">
        <v>28</v>
      </c>
      <c r="B1009" s="103">
        <v>42565</v>
      </c>
      <c r="C1009" s="103">
        <v>42558</v>
      </c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48"/>
      <c r="AU1009" s="14"/>
      <c r="AV1009" s="14"/>
      <c r="AW1009" s="14"/>
      <c r="AX1009" s="14"/>
    </row>
    <row r="1010" spans="1:50" ht="10.199999999999999" customHeight="1" x14ac:dyDescent="0.25">
      <c r="A1010" s="14">
        <v>29</v>
      </c>
      <c r="B1010" s="103">
        <v>42572</v>
      </c>
      <c r="C1010" s="103">
        <v>42565</v>
      </c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48"/>
      <c r="AU1010" s="14"/>
      <c r="AV1010" s="14"/>
      <c r="AW1010" s="14"/>
      <c r="AX1010" s="14"/>
    </row>
    <row r="1011" spans="1:50" ht="10.199999999999999" customHeight="1" x14ac:dyDescent="0.25">
      <c r="A1011" s="14">
        <v>30</v>
      </c>
      <c r="B1011" s="103">
        <v>42579</v>
      </c>
      <c r="C1011" s="103">
        <v>42572</v>
      </c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48"/>
      <c r="AU1011" s="14"/>
      <c r="AV1011" s="14"/>
      <c r="AW1011" s="14"/>
      <c r="AX1011" s="14"/>
    </row>
    <row r="1012" spans="1:50" ht="10.199999999999999" customHeight="1" x14ac:dyDescent="0.25">
      <c r="A1012" s="14">
        <v>31</v>
      </c>
      <c r="B1012" s="103">
        <v>42586</v>
      </c>
      <c r="C1012" s="103">
        <v>42579</v>
      </c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48"/>
      <c r="AU1012" s="14"/>
      <c r="AV1012" s="14"/>
      <c r="AW1012" s="14"/>
      <c r="AX1012" s="14"/>
    </row>
    <row r="1013" spans="1:50" ht="10.199999999999999" customHeight="1" x14ac:dyDescent="0.25">
      <c r="A1013" s="14">
        <v>32</v>
      </c>
      <c r="B1013" s="103">
        <v>42593</v>
      </c>
      <c r="C1013" s="103">
        <v>42586</v>
      </c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48"/>
      <c r="AU1013" s="14"/>
      <c r="AV1013" s="14"/>
      <c r="AW1013" s="14"/>
      <c r="AX1013" s="14"/>
    </row>
    <row r="1014" spans="1:50" ht="10.199999999999999" customHeight="1" x14ac:dyDescent="0.25">
      <c r="A1014" s="14">
        <v>33</v>
      </c>
      <c r="B1014" s="103">
        <v>42600</v>
      </c>
      <c r="C1014" s="103">
        <v>42593</v>
      </c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48"/>
      <c r="AU1014" s="14"/>
      <c r="AV1014" s="14"/>
      <c r="AW1014" s="14"/>
      <c r="AX1014" s="14"/>
    </row>
    <row r="1015" spans="1:50" ht="10.199999999999999" customHeight="1" x14ac:dyDescent="0.25">
      <c r="A1015" s="14">
        <v>34</v>
      </c>
      <c r="B1015" s="103">
        <v>42607</v>
      </c>
      <c r="C1015" s="103">
        <v>42600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48"/>
      <c r="AU1015" s="14"/>
      <c r="AV1015" s="14"/>
      <c r="AW1015" s="14"/>
      <c r="AX1015" s="14"/>
    </row>
    <row r="1016" spans="1:50" ht="10.199999999999999" customHeight="1" x14ac:dyDescent="0.25">
      <c r="A1016" s="14">
        <v>35</v>
      </c>
      <c r="B1016" s="103">
        <v>42614</v>
      </c>
      <c r="C1016" s="103">
        <v>42607</v>
      </c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48"/>
      <c r="AU1016" s="14"/>
      <c r="AV1016" s="14"/>
      <c r="AW1016" s="14"/>
      <c r="AX1016" s="14"/>
    </row>
    <row r="1017" spans="1:50" ht="10.199999999999999" customHeight="1" x14ac:dyDescent="0.25">
      <c r="A1017" s="14">
        <v>36</v>
      </c>
      <c r="B1017" s="103">
        <v>42621</v>
      </c>
      <c r="C1017" s="103">
        <v>42614</v>
      </c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48"/>
      <c r="AU1017" s="14"/>
      <c r="AV1017" s="14"/>
      <c r="AW1017" s="14"/>
      <c r="AX1017" s="14"/>
    </row>
    <row r="1018" spans="1:50" ht="10.199999999999999" customHeight="1" x14ac:dyDescent="0.25">
      <c r="A1018" s="14">
        <v>37</v>
      </c>
      <c r="B1018" s="103">
        <v>42628</v>
      </c>
      <c r="C1018" s="103">
        <v>42621</v>
      </c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48"/>
      <c r="AU1018" s="14"/>
      <c r="AV1018" s="14"/>
      <c r="AW1018" s="14"/>
      <c r="AX1018" s="14"/>
    </row>
    <row r="1019" spans="1:50" ht="10.199999999999999" customHeight="1" x14ac:dyDescent="0.25">
      <c r="A1019" s="14">
        <v>38</v>
      </c>
      <c r="B1019" s="103">
        <v>42635</v>
      </c>
      <c r="C1019" s="103">
        <v>42628</v>
      </c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48"/>
      <c r="AU1019" s="14"/>
      <c r="AV1019" s="14"/>
      <c r="AW1019" s="14"/>
      <c r="AX1019" s="14"/>
    </row>
    <row r="1020" spans="1:50" ht="10.199999999999999" customHeight="1" x14ac:dyDescent="0.25">
      <c r="A1020" s="14">
        <v>39</v>
      </c>
      <c r="B1020" s="103">
        <v>42642</v>
      </c>
      <c r="C1020" s="103">
        <v>42635</v>
      </c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48"/>
      <c r="AU1020" s="14"/>
      <c r="AV1020" s="14"/>
      <c r="AW1020" s="14"/>
      <c r="AX1020" s="14"/>
    </row>
    <row r="1021" spans="1:50" ht="10.199999999999999" customHeight="1" x14ac:dyDescent="0.25">
      <c r="A1021" s="14">
        <v>40</v>
      </c>
      <c r="B1021" s="103">
        <v>42649</v>
      </c>
      <c r="C1021" s="103">
        <v>42642</v>
      </c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48"/>
      <c r="AU1021" s="14"/>
      <c r="AV1021" s="14"/>
      <c r="AW1021" s="14"/>
      <c r="AX1021" s="14"/>
    </row>
    <row r="1022" spans="1:50" ht="10.199999999999999" customHeight="1" x14ac:dyDescent="0.25">
      <c r="A1022" s="14">
        <v>41</v>
      </c>
      <c r="B1022" s="103">
        <v>42656</v>
      </c>
      <c r="C1022" s="103">
        <v>42649</v>
      </c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48"/>
      <c r="AU1022" s="14"/>
      <c r="AV1022" s="14"/>
      <c r="AW1022" s="14"/>
      <c r="AX1022" s="14"/>
    </row>
    <row r="1023" spans="1:50" ht="10.199999999999999" customHeight="1" x14ac:dyDescent="0.25">
      <c r="A1023" s="14">
        <v>42</v>
      </c>
      <c r="B1023" s="103">
        <v>42663</v>
      </c>
      <c r="C1023" s="103">
        <v>42656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48"/>
      <c r="AU1023" s="14"/>
      <c r="AV1023" s="14"/>
      <c r="AW1023" s="14"/>
      <c r="AX1023" s="14"/>
    </row>
    <row r="1024" spans="1:50" ht="10.199999999999999" customHeight="1" x14ac:dyDescent="0.25">
      <c r="A1024" s="14">
        <v>43</v>
      </c>
      <c r="B1024" s="103">
        <v>42670</v>
      </c>
      <c r="C1024" s="103">
        <v>42663</v>
      </c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48"/>
      <c r="AU1024" s="14"/>
      <c r="AV1024" s="14"/>
      <c r="AW1024" s="14"/>
      <c r="AX1024" s="14"/>
    </row>
    <row r="1025" spans="1:50" ht="10.199999999999999" customHeight="1" x14ac:dyDescent="0.25">
      <c r="A1025" s="14">
        <v>44</v>
      </c>
      <c r="B1025" s="103">
        <v>42677</v>
      </c>
      <c r="C1025" s="103">
        <v>42670</v>
      </c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48"/>
      <c r="AU1025" s="14"/>
      <c r="AV1025" s="14"/>
      <c r="AW1025" s="14"/>
      <c r="AX1025" s="14"/>
    </row>
    <row r="1026" spans="1:50" ht="10.199999999999999" customHeight="1" x14ac:dyDescent="0.25">
      <c r="A1026" s="14">
        <v>45</v>
      </c>
      <c r="B1026" s="103">
        <v>42684</v>
      </c>
      <c r="C1026" s="103">
        <v>42677</v>
      </c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48"/>
      <c r="AU1026" s="14"/>
      <c r="AV1026" s="14"/>
      <c r="AW1026" s="14"/>
      <c r="AX1026" s="14"/>
    </row>
    <row r="1027" spans="1:50" ht="10.199999999999999" customHeight="1" x14ac:dyDescent="0.25">
      <c r="A1027" s="14">
        <v>46</v>
      </c>
      <c r="B1027" s="103">
        <v>42691</v>
      </c>
      <c r="C1027" s="103">
        <v>42684</v>
      </c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48"/>
      <c r="AU1027" s="14"/>
      <c r="AV1027" s="14"/>
      <c r="AW1027" s="14"/>
      <c r="AX1027" s="14"/>
    </row>
    <row r="1028" spans="1:50" ht="10.199999999999999" customHeight="1" x14ac:dyDescent="0.25">
      <c r="A1028" s="14">
        <v>47</v>
      </c>
      <c r="B1028" s="103">
        <v>42698</v>
      </c>
      <c r="C1028" s="103">
        <v>42691</v>
      </c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48"/>
      <c r="AU1028" s="14"/>
      <c r="AV1028" s="14"/>
      <c r="AW1028" s="14"/>
      <c r="AX1028" s="14"/>
    </row>
    <row r="1029" spans="1:50" ht="10.199999999999999" customHeight="1" x14ac:dyDescent="0.25">
      <c r="A1029" s="14">
        <v>48</v>
      </c>
      <c r="B1029" s="103">
        <v>42705</v>
      </c>
      <c r="C1029" s="103">
        <v>42698</v>
      </c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48"/>
      <c r="AU1029" s="14"/>
      <c r="AV1029" s="14"/>
      <c r="AW1029" s="14"/>
      <c r="AX1029" s="14"/>
    </row>
    <row r="1030" spans="1:50" ht="10.199999999999999" customHeight="1" x14ac:dyDescent="0.25">
      <c r="A1030" s="14">
        <v>49</v>
      </c>
      <c r="B1030" s="103">
        <v>42712</v>
      </c>
      <c r="C1030" s="103">
        <v>42705</v>
      </c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48"/>
      <c r="AU1030" s="14"/>
      <c r="AV1030" s="14"/>
      <c r="AW1030" s="14"/>
      <c r="AX1030" s="14"/>
    </row>
    <row r="1031" spans="1:50" ht="10.199999999999999" customHeight="1" x14ac:dyDescent="0.25">
      <c r="A1031" s="14">
        <v>50</v>
      </c>
      <c r="B1031" s="103">
        <v>42719</v>
      </c>
      <c r="C1031" s="103">
        <v>42712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48"/>
      <c r="AU1031" s="14"/>
      <c r="AV1031" s="14"/>
      <c r="AW1031" s="14"/>
      <c r="AX1031" s="14"/>
    </row>
    <row r="1032" spans="1:50" ht="10.199999999999999" customHeight="1" x14ac:dyDescent="0.25">
      <c r="A1032" s="14">
        <v>51</v>
      </c>
      <c r="B1032" s="103">
        <v>42726</v>
      </c>
      <c r="C1032" s="103">
        <v>42719</v>
      </c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48"/>
      <c r="AU1032" s="14"/>
      <c r="AV1032" s="14"/>
      <c r="AW1032" s="14"/>
      <c r="AX1032" s="14"/>
    </row>
    <row r="1033" spans="1:50" ht="10.199999999999999" customHeight="1" x14ac:dyDescent="0.25">
      <c r="A1033" s="14">
        <v>52</v>
      </c>
      <c r="B1033" s="103">
        <v>42733</v>
      </c>
      <c r="C1033" s="103">
        <v>42726</v>
      </c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48"/>
      <c r="AU1033" s="14"/>
      <c r="AV1033" s="14"/>
      <c r="AW1033" s="14"/>
      <c r="AX1033" s="14"/>
    </row>
    <row r="1034" spans="1:50" ht="10.199999999999999" customHeight="1" x14ac:dyDescent="0.25">
      <c r="A1034" s="14">
        <v>1</v>
      </c>
      <c r="B1034" s="103">
        <v>42740</v>
      </c>
      <c r="C1034" s="103">
        <v>42733</v>
      </c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48"/>
      <c r="AU1034" s="14"/>
      <c r="AV1034" s="14"/>
      <c r="AW1034" s="14"/>
      <c r="AX1034" s="14"/>
    </row>
    <row r="1035" spans="1:50" ht="10.199999999999999" customHeight="1" x14ac:dyDescent="0.25">
      <c r="A1035" s="14">
        <v>2</v>
      </c>
      <c r="B1035" s="103">
        <v>42747</v>
      </c>
      <c r="C1035" s="103">
        <v>42740</v>
      </c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48"/>
      <c r="AU1035" s="14"/>
      <c r="AV1035" s="14"/>
      <c r="AW1035" s="14"/>
      <c r="AX1035" s="14"/>
    </row>
    <row r="1036" spans="1:50" ht="10.199999999999999" customHeight="1" x14ac:dyDescent="0.25">
      <c r="A1036" s="14">
        <v>3</v>
      </c>
      <c r="B1036" s="103">
        <v>42754</v>
      </c>
      <c r="C1036" s="103">
        <v>42747</v>
      </c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48"/>
      <c r="AU1036" s="14"/>
      <c r="AV1036" s="14"/>
      <c r="AW1036" s="14"/>
      <c r="AX1036" s="14"/>
    </row>
    <row r="1037" spans="1:50" ht="10.199999999999999" customHeight="1" x14ac:dyDescent="0.25">
      <c r="A1037" s="14">
        <v>4</v>
      </c>
      <c r="B1037" s="103">
        <v>42761</v>
      </c>
      <c r="C1037" s="103">
        <v>42754</v>
      </c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48"/>
      <c r="AU1037" s="14"/>
      <c r="AV1037" s="14"/>
      <c r="AW1037" s="14"/>
      <c r="AX1037" s="14"/>
    </row>
    <row r="1038" spans="1:50" ht="10.199999999999999" customHeight="1" x14ac:dyDescent="0.25">
      <c r="A1038" s="14">
        <v>5</v>
      </c>
      <c r="B1038" s="103">
        <v>42768</v>
      </c>
      <c r="C1038" s="103">
        <v>42761</v>
      </c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48"/>
      <c r="AU1038" s="14"/>
      <c r="AV1038" s="14"/>
      <c r="AW1038" s="14"/>
      <c r="AX1038" s="14"/>
    </row>
    <row r="1039" spans="1:50" ht="10.199999999999999" customHeight="1" x14ac:dyDescent="0.25">
      <c r="A1039" s="14">
        <v>6</v>
      </c>
      <c r="B1039" s="103">
        <v>42775</v>
      </c>
      <c r="C1039" s="103">
        <v>42768</v>
      </c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48"/>
      <c r="AU1039" s="14"/>
      <c r="AV1039" s="14"/>
      <c r="AW1039" s="14"/>
      <c r="AX1039" s="14"/>
    </row>
    <row r="1040" spans="1:50" ht="10.199999999999999" customHeight="1" x14ac:dyDescent="0.25">
      <c r="A1040" s="14">
        <v>7</v>
      </c>
      <c r="B1040" s="103">
        <v>42782</v>
      </c>
      <c r="C1040" s="103">
        <v>42775</v>
      </c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48"/>
      <c r="AU1040" s="14"/>
      <c r="AV1040" s="14"/>
      <c r="AW1040" s="14"/>
      <c r="AX1040" s="14"/>
    </row>
    <row r="1041" spans="1:50" ht="10.199999999999999" customHeight="1" x14ac:dyDescent="0.25">
      <c r="A1041" s="14">
        <v>8</v>
      </c>
      <c r="B1041" s="103">
        <v>42789</v>
      </c>
      <c r="C1041" s="103">
        <v>42782</v>
      </c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48"/>
      <c r="AU1041" s="14"/>
      <c r="AV1041" s="14"/>
      <c r="AW1041" s="14"/>
      <c r="AX1041" s="14"/>
    </row>
    <row r="1042" spans="1:50" ht="10.199999999999999" customHeight="1" x14ac:dyDescent="0.25">
      <c r="A1042" s="14">
        <v>9</v>
      </c>
      <c r="B1042" s="103">
        <v>42796</v>
      </c>
      <c r="C1042" s="103">
        <v>42789</v>
      </c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48"/>
      <c r="AU1042" s="14"/>
      <c r="AV1042" s="14"/>
      <c r="AW1042" s="14"/>
      <c r="AX1042" s="14"/>
    </row>
    <row r="1043" spans="1:50" ht="10.199999999999999" customHeight="1" x14ac:dyDescent="0.25">
      <c r="A1043" s="14">
        <v>10</v>
      </c>
      <c r="B1043" s="103">
        <v>42803</v>
      </c>
      <c r="C1043" s="103">
        <v>42796</v>
      </c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48"/>
      <c r="AU1043" s="14"/>
      <c r="AV1043" s="14"/>
      <c r="AW1043" s="14"/>
      <c r="AX1043" s="14"/>
    </row>
    <row r="1044" spans="1:50" ht="10.199999999999999" customHeight="1" x14ac:dyDescent="0.25">
      <c r="A1044" s="14">
        <v>11</v>
      </c>
      <c r="B1044" s="103">
        <v>42810</v>
      </c>
      <c r="C1044" s="103">
        <v>42803</v>
      </c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48"/>
      <c r="AU1044" s="14"/>
      <c r="AV1044" s="14"/>
      <c r="AW1044" s="14"/>
      <c r="AX1044" s="14"/>
    </row>
    <row r="1045" spans="1:50" ht="10.199999999999999" customHeight="1" x14ac:dyDescent="0.25">
      <c r="A1045" s="14">
        <v>12</v>
      </c>
      <c r="B1045" s="103">
        <v>42817</v>
      </c>
      <c r="C1045" s="103">
        <v>42810</v>
      </c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48"/>
      <c r="AU1045" s="14"/>
      <c r="AV1045" s="14"/>
      <c r="AW1045" s="14"/>
      <c r="AX1045" s="14"/>
    </row>
    <row r="1046" spans="1:50" ht="10.199999999999999" customHeight="1" x14ac:dyDescent="0.25">
      <c r="A1046" s="14">
        <v>13</v>
      </c>
      <c r="B1046" s="103">
        <v>42824</v>
      </c>
      <c r="C1046" s="103">
        <v>42817</v>
      </c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48"/>
      <c r="AU1046" s="14"/>
      <c r="AV1046" s="14"/>
      <c r="AW1046" s="14"/>
      <c r="AX1046" s="14"/>
    </row>
    <row r="1047" spans="1:50" ht="10.199999999999999" customHeight="1" x14ac:dyDescent="0.25">
      <c r="A1047" s="14">
        <v>14</v>
      </c>
      <c r="B1047" s="103">
        <v>42831</v>
      </c>
      <c r="C1047" s="103">
        <v>42824</v>
      </c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48"/>
      <c r="AU1047" s="14"/>
      <c r="AV1047" s="14"/>
      <c r="AW1047" s="14"/>
      <c r="AX1047" s="14"/>
    </row>
    <row r="1048" spans="1:50" ht="10.199999999999999" customHeight="1" x14ac:dyDescent="0.25">
      <c r="A1048" s="14">
        <v>15</v>
      </c>
      <c r="B1048" s="103">
        <v>42838</v>
      </c>
      <c r="C1048" s="103">
        <v>42831</v>
      </c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48"/>
      <c r="AU1048" s="14"/>
      <c r="AV1048" s="14"/>
      <c r="AW1048" s="14"/>
      <c r="AX1048" s="14"/>
    </row>
    <row r="1049" spans="1:50" ht="10.199999999999999" customHeight="1" x14ac:dyDescent="0.25">
      <c r="A1049" s="14">
        <v>16</v>
      </c>
      <c r="B1049" s="103">
        <v>42845</v>
      </c>
      <c r="C1049" s="103">
        <v>42838</v>
      </c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48"/>
      <c r="AU1049" s="14"/>
      <c r="AV1049" s="14"/>
      <c r="AW1049" s="14"/>
      <c r="AX1049" s="14"/>
    </row>
    <row r="1050" spans="1:50" ht="10.199999999999999" customHeight="1" x14ac:dyDescent="0.25">
      <c r="A1050" s="14">
        <v>17</v>
      </c>
      <c r="B1050" s="103">
        <v>42852</v>
      </c>
      <c r="C1050" s="103">
        <v>42845</v>
      </c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48"/>
      <c r="AU1050" s="14"/>
      <c r="AV1050" s="14"/>
      <c r="AW1050" s="14"/>
      <c r="AX1050" s="14"/>
    </row>
    <row r="1051" spans="1:50" ht="10.199999999999999" customHeight="1" x14ac:dyDescent="0.25">
      <c r="A1051" s="14">
        <v>18</v>
      </c>
      <c r="B1051" s="103">
        <v>42859</v>
      </c>
      <c r="C1051" s="103">
        <v>42852</v>
      </c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48"/>
      <c r="AU1051" s="14"/>
      <c r="AV1051" s="14"/>
      <c r="AW1051" s="14"/>
      <c r="AX1051" s="14"/>
    </row>
    <row r="1052" spans="1:50" ht="10.199999999999999" customHeight="1" x14ac:dyDescent="0.25">
      <c r="A1052" s="14">
        <v>19</v>
      </c>
      <c r="B1052" s="103">
        <v>42866</v>
      </c>
      <c r="C1052" s="103">
        <v>42859</v>
      </c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48"/>
      <c r="AU1052" s="14"/>
      <c r="AV1052" s="14"/>
      <c r="AW1052" s="14"/>
      <c r="AX1052" s="14"/>
    </row>
    <row r="1053" spans="1:50" ht="10.199999999999999" customHeight="1" x14ac:dyDescent="0.25">
      <c r="A1053" s="14">
        <v>20</v>
      </c>
      <c r="B1053" s="103">
        <v>42873</v>
      </c>
      <c r="C1053" s="103">
        <v>42866</v>
      </c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48"/>
      <c r="AU1053" s="14"/>
      <c r="AV1053" s="14"/>
      <c r="AW1053" s="14"/>
      <c r="AX1053" s="14"/>
    </row>
    <row r="1054" spans="1:50" ht="10.199999999999999" customHeight="1" x14ac:dyDescent="0.25">
      <c r="A1054" s="14">
        <v>21</v>
      </c>
      <c r="B1054" s="103">
        <v>42880</v>
      </c>
      <c r="C1054" s="103">
        <v>42873</v>
      </c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48"/>
      <c r="AU1054" s="14"/>
      <c r="AV1054" s="14"/>
      <c r="AW1054" s="14"/>
      <c r="AX1054" s="14"/>
    </row>
    <row r="1055" spans="1:50" ht="10.199999999999999" customHeight="1" x14ac:dyDescent="0.25">
      <c r="A1055" s="14">
        <v>22</v>
      </c>
      <c r="B1055" s="103">
        <v>42887</v>
      </c>
      <c r="C1055" s="103">
        <v>42880</v>
      </c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48"/>
      <c r="AU1055" s="14"/>
      <c r="AV1055" s="14"/>
      <c r="AW1055" s="14"/>
      <c r="AX1055" s="14"/>
    </row>
    <row r="1056" spans="1:50" ht="10.199999999999999" customHeight="1" x14ac:dyDescent="0.25">
      <c r="A1056" s="14">
        <v>23</v>
      </c>
      <c r="B1056" s="103">
        <v>42894</v>
      </c>
      <c r="C1056" s="103">
        <v>42887</v>
      </c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48"/>
      <c r="AU1056" s="14"/>
      <c r="AV1056" s="14"/>
      <c r="AW1056" s="14"/>
      <c r="AX1056" s="14"/>
    </row>
    <row r="1057" spans="1:50" ht="10.199999999999999" customHeight="1" x14ac:dyDescent="0.25">
      <c r="A1057" s="14">
        <v>24</v>
      </c>
      <c r="B1057" s="103">
        <v>42901</v>
      </c>
      <c r="C1057" s="103">
        <v>42894</v>
      </c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48"/>
      <c r="AU1057" s="14"/>
      <c r="AV1057" s="14"/>
      <c r="AW1057" s="14"/>
      <c r="AX1057" s="14"/>
    </row>
    <row r="1058" spans="1:50" ht="10.199999999999999" customHeight="1" x14ac:dyDescent="0.25">
      <c r="A1058" s="14">
        <v>25</v>
      </c>
      <c r="B1058" s="103">
        <v>42908</v>
      </c>
      <c r="C1058" s="103">
        <v>42901</v>
      </c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48"/>
      <c r="AU1058" s="14"/>
      <c r="AV1058" s="14"/>
      <c r="AW1058" s="14"/>
      <c r="AX1058" s="14"/>
    </row>
    <row r="1059" spans="1:50" ht="10.199999999999999" customHeight="1" x14ac:dyDescent="0.25">
      <c r="A1059" s="14">
        <v>26</v>
      </c>
      <c r="B1059" s="103">
        <v>42915</v>
      </c>
      <c r="C1059" s="103">
        <v>42908</v>
      </c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48"/>
      <c r="AU1059" s="14"/>
      <c r="AV1059" s="14"/>
      <c r="AW1059" s="14"/>
      <c r="AX1059" s="14"/>
    </row>
    <row r="1060" spans="1:50" ht="10.199999999999999" customHeight="1" x14ac:dyDescent="0.25">
      <c r="A1060" s="14">
        <v>27</v>
      </c>
      <c r="B1060" s="103">
        <v>42922</v>
      </c>
      <c r="C1060" s="103">
        <v>42915</v>
      </c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48"/>
      <c r="AU1060" s="14"/>
      <c r="AV1060" s="14"/>
      <c r="AW1060" s="14"/>
      <c r="AX1060" s="14"/>
    </row>
    <row r="1061" spans="1:50" ht="10.199999999999999" customHeight="1" x14ac:dyDescent="0.25">
      <c r="A1061" s="14">
        <v>28</v>
      </c>
      <c r="B1061" s="103">
        <v>42929</v>
      </c>
      <c r="C1061" s="103">
        <v>42922</v>
      </c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48"/>
      <c r="AU1061" s="14"/>
      <c r="AV1061" s="14"/>
      <c r="AW1061" s="14"/>
      <c r="AX1061" s="14"/>
    </row>
    <row r="1062" spans="1:50" ht="10.199999999999999" customHeight="1" x14ac:dyDescent="0.25">
      <c r="A1062" s="14">
        <v>29</v>
      </c>
      <c r="B1062" s="103">
        <v>42936</v>
      </c>
      <c r="C1062" s="103">
        <v>42929</v>
      </c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48"/>
      <c r="AU1062" s="14"/>
      <c r="AV1062" s="14"/>
      <c r="AW1062" s="14"/>
      <c r="AX1062" s="14"/>
    </row>
    <row r="1063" spans="1:50" ht="10.199999999999999" customHeight="1" x14ac:dyDescent="0.25">
      <c r="A1063" s="14">
        <v>30</v>
      </c>
      <c r="B1063" s="103">
        <v>42943</v>
      </c>
      <c r="C1063" s="103">
        <v>42936</v>
      </c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48"/>
      <c r="AU1063" s="14"/>
      <c r="AV1063" s="14"/>
      <c r="AW1063" s="14"/>
      <c r="AX1063" s="14"/>
    </row>
    <row r="1064" spans="1:50" ht="10.199999999999999" customHeight="1" x14ac:dyDescent="0.25">
      <c r="A1064" s="14">
        <v>31</v>
      </c>
      <c r="B1064" s="103">
        <v>42950</v>
      </c>
      <c r="C1064" s="103">
        <v>42943</v>
      </c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48"/>
      <c r="AU1064" s="14"/>
      <c r="AV1064" s="14"/>
      <c r="AW1064" s="14"/>
      <c r="AX1064" s="14"/>
    </row>
    <row r="1065" spans="1:50" ht="10.199999999999999" customHeight="1" x14ac:dyDescent="0.25">
      <c r="A1065" s="14">
        <v>32</v>
      </c>
      <c r="B1065" s="103">
        <v>42957</v>
      </c>
      <c r="C1065" s="103">
        <v>42950</v>
      </c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48"/>
      <c r="AU1065" s="14"/>
      <c r="AV1065" s="14"/>
      <c r="AW1065" s="14"/>
      <c r="AX1065" s="14"/>
    </row>
    <row r="1066" spans="1:50" ht="10.199999999999999" customHeight="1" x14ac:dyDescent="0.25">
      <c r="A1066" s="14">
        <v>33</v>
      </c>
      <c r="B1066" s="103">
        <v>42964</v>
      </c>
      <c r="C1066" s="103">
        <v>42957</v>
      </c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48"/>
      <c r="AU1066" s="14"/>
      <c r="AV1066" s="14"/>
      <c r="AW1066" s="14"/>
      <c r="AX1066" s="14"/>
    </row>
    <row r="1067" spans="1:50" ht="10.199999999999999" customHeight="1" x14ac:dyDescent="0.25">
      <c r="A1067" s="14">
        <v>34</v>
      </c>
      <c r="B1067" s="103">
        <v>42971</v>
      </c>
      <c r="C1067" s="103">
        <v>42964</v>
      </c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48"/>
      <c r="AU1067" s="14"/>
      <c r="AV1067" s="14"/>
      <c r="AW1067" s="14"/>
      <c r="AX1067" s="14"/>
    </row>
    <row r="1068" spans="1:50" ht="10.199999999999999" customHeight="1" x14ac:dyDescent="0.25">
      <c r="A1068" s="14">
        <v>35</v>
      </c>
      <c r="B1068" s="103">
        <v>42978</v>
      </c>
      <c r="C1068" s="103">
        <v>42971</v>
      </c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48"/>
      <c r="AU1068" s="14"/>
      <c r="AV1068" s="14"/>
      <c r="AW1068" s="14"/>
      <c r="AX1068" s="14"/>
    </row>
    <row r="1069" spans="1:50" ht="10.199999999999999" customHeight="1" x14ac:dyDescent="0.25">
      <c r="A1069" s="14">
        <v>36</v>
      </c>
      <c r="B1069" s="103">
        <v>42985</v>
      </c>
      <c r="C1069" s="103">
        <v>42978</v>
      </c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48"/>
      <c r="AU1069" s="14"/>
      <c r="AV1069" s="14"/>
      <c r="AW1069" s="14"/>
      <c r="AX1069" s="14"/>
    </row>
    <row r="1070" spans="1:50" ht="10.199999999999999" customHeight="1" x14ac:dyDescent="0.25">
      <c r="A1070" s="14">
        <v>37</v>
      </c>
      <c r="B1070" s="103">
        <v>42992</v>
      </c>
      <c r="C1070" s="103">
        <v>42985</v>
      </c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48"/>
      <c r="AU1070" s="14"/>
      <c r="AV1070" s="14"/>
      <c r="AW1070" s="14"/>
      <c r="AX1070" s="14"/>
    </row>
    <row r="1071" spans="1:50" ht="10.199999999999999" customHeight="1" x14ac:dyDescent="0.25">
      <c r="A1071" s="14">
        <v>38</v>
      </c>
      <c r="B1071" s="103">
        <v>42999</v>
      </c>
      <c r="C1071" s="103">
        <v>42992</v>
      </c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48"/>
      <c r="AU1071" s="14"/>
      <c r="AV1071" s="14"/>
      <c r="AW1071" s="14"/>
      <c r="AX1071" s="14"/>
    </row>
    <row r="1072" spans="1:50" ht="10.199999999999999" customHeight="1" x14ac:dyDescent="0.25">
      <c r="A1072" s="14">
        <v>39</v>
      </c>
      <c r="B1072" s="103">
        <v>43006</v>
      </c>
      <c r="C1072" s="103">
        <v>42999</v>
      </c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48"/>
      <c r="AU1072" s="14"/>
      <c r="AV1072" s="14"/>
      <c r="AW1072" s="14"/>
      <c r="AX1072" s="14"/>
    </row>
    <row r="1073" spans="1:50" ht="10.199999999999999" customHeight="1" x14ac:dyDescent="0.25">
      <c r="A1073" s="14">
        <v>40</v>
      </c>
      <c r="B1073" s="103">
        <v>43013</v>
      </c>
      <c r="C1073" s="103">
        <v>43006</v>
      </c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48"/>
      <c r="AU1073" s="14"/>
      <c r="AV1073" s="14"/>
      <c r="AW1073" s="14"/>
      <c r="AX1073" s="14"/>
    </row>
    <row r="1074" spans="1:50" ht="10.199999999999999" customHeight="1" x14ac:dyDescent="0.25">
      <c r="A1074" s="14">
        <v>41</v>
      </c>
      <c r="B1074" s="103">
        <v>43020</v>
      </c>
      <c r="C1074" s="103">
        <v>43013</v>
      </c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48"/>
      <c r="AU1074" s="14"/>
      <c r="AV1074" s="14"/>
      <c r="AW1074" s="14"/>
      <c r="AX1074" s="14"/>
    </row>
    <row r="1075" spans="1:50" ht="10.199999999999999" customHeight="1" x14ac:dyDescent="0.25">
      <c r="A1075" s="14">
        <v>42</v>
      </c>
      <c r="B1075" s="103">
        <v>43027</v>
      </c>
      <c r="C1075" s="103">
        <v>43020</v>
      </c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48"/>
      <c r="AU1075" s="14"/>
      <c r="AV1075" s="14"/>
      <c r="AW1075" s="14"/>
      <c r="AX1075" s="14"/>
    </row>
    <row r="1076" spans="1:50" ht="10.199999999999999" customHeight="1" x14ac:dyDescent="0.25">
      <c r="A1076" s="14">
        <v>43</v>
      </c>
      <c r="B1076" s="103">
        <v>43034</v>
      </c>
      <c r="C1076" s="103">
        <v>43027</v>
      </c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48"/>
      <c r="AU1076" s="14"/>
      <c r="AV1076" s="14"/>
      <c r="AW1076" s="14"/>
      <c r="AX1076" s="14"/>
    </row>
    <row r="1077" spans="1:50" ht="10.199999999999999" customHeight="1" x14ac:dyDescent="0.25">
      <c r="A1077" s="14">
        <v>44</v>
      </c>
      <c r="B1077" s="103">
        <v>43041</v>
      </c>
      <c r="C1077" s="103">
        <v>43034</v>
      </c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48"/>
      <c r="AU1077" s="14"/>
      <c r="AV1077" s="14"/>
      <c r="AW1077" s="14"/>
      <c r="AX1077" s="14"/>
    </row>
    <row r="1078" spans="1:50" ht="10.199999999999999" customHeight="1" x14ac:dyDescent="0.25">
      <c r="A1078" s="14">
        <v>45</v>
      </c>
      <c r="B1078" s="103">
        <v>43048</v>
      </c>
      <c r="C1078" s="103">
        <v>43041</v>
      </c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48"/>
      <c r="AU1078" s="14"/>
      <c r="AV1078" s="14"/>
      <c r="AW1078" s="14"/>
      <c r="AX1078" s="14"/>
    </row>
    <row r="1079" spans="1:50" ht="10.199999999999999" customHeight="1" x14ac:dyDescent="0.25">
      <c r="A1079" s="14">
        <v>46</v>
      </c>
      <c r="B1079" s="103">
        <v>43055</v>
      </c>
      <c r="C1079" s="103">
        <v>43048</v>
      </c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48"/>
      <c r="AU1079" s="14"/>
      <c r="AV1079" s="14"/>
      <c r="AW1079" s="14"/>
      <c r="AX1079" s="14"/>
    </row>
    <row r="1080" spans="1:50" ht="10.199999999999999" customHeight="1" x14ac:dyDescent="0.25">
      <c r="A1080" s="14">
        <v>47</v>
      </c>
      <c r="B1080" s="103">
        <v>43062</v>
      </c>
      <c r="C1080" s="103">
        <v>43055</v>
      </c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48"/>
      <c r="AU1080" s="14"/>
      <c r="AV1080" s="14"/>
      <c r="AW1080" s="14"/>
      <c r="AX1080" s="14"/>
    </row>
    <row r="1081" spans="1:50" ht="10.199999999999999" customHeight="1" x14ac:dyDescent="0.25">
      <c r="A1081" s="14">
        <v>48</v>
      </c>
      <c r="B1081" s="103">
        <v>43069</v>
      </c>
      <c r="C1081" s="103">
        <v>43062</v>
      </c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48"/>
      <c r="AU1081" s="14"/>
      <c r="AV1081" s="14"/>
      <c r="AW1081" s="14"/>
      <c r="AX1081" s="14"/>
    </row>
    <row r="1082" spans="1:50" ht="10.199999999999999" customHeight="1" x14ac:dyDescent="0.25">
      <c r="A1082" s="14">
        <v>49</v>
      </c>
      <c r="B1082" s="103">
        <v>43076</v>
      </c>
      <c r="C1082" s="103">
        <v>43069</v>
      </c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48"/>
      <c r="AU1082" s="14"/>
      <c r="AV1082" s="14"/>
      <c r="AW1082" s="14"/>
      <c r="AX1082" s="14"/>
    </row>
    <row r="1083" spans="1:50" ht="10.199999999999999" customHeight="1" x14ac:dyDescent="0.25">
      <c r="A1083" s="14">
        <v>50</v>
      </c>
      <c r="B1083" s="103">
        <v>43083</v>
      </c>
      <c r="C1083" s="103">
        <v>43076</v>
      </c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48"/>
      <c r="AU1083" s="14"/>
      <c r="AV1083" s="14"/>
      <c r="AW1083" s="14"/>
      <c r="AX1083" s="14"/>
    </row>
    <row r="1084" spans="1:50" ht="10.199999999999999" customHeight="1" x14ac:dyDescent="0.25">
      <c r="A1084" s="14">
        <v>51</v>
      </c>
      <c r="B1084" s="103">
        <v>43090</v>
      </c>
      <c r="C1084" s="103">
        <v>43083</v>
      </c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48"/>
      <c r="AU1084" s="14"/>
      <c r="AV1084" s="14"/>
      <c r="AW1084" s="14"/>
      <c r="AX1084" s="14"/>
    </row>
    <row r="1085" spans="1:50" ht="10.199999999999999" customHeight="1" x14ac:dyDescent="0.25">
      <c r="A1085" s="14">
        <v>52</v>
      </c>
      <c r="B1085" s="103">
        <v>43097</v>
      </c>
      <c r="C1085" s="103">
        <v>43090</v>
      </c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48"/>
      <c r="AU1085" s="14"/>
      <c r="AV1085" s="14"/>
      <c r="AW1085" s="14"/>
      <c r="AX1085" s="14"/>
    </row>
  </sheetData>
  <mergeCells count="12">
    <mergeCell ref="AF6:AH6"/>
    <mergeCell ref="AJ6:AL6"/>
    <mergeCell ref="AV6:AX6"/>
    <mergeCell ref="AR6:AT6"/>
    <mergeCell ref="AN6:AP6"/>
    <mergeCell ref="T6:V6"/>
    <mergeCell ref="AB6:AD6"/>
    <mergeCell ref="D6:F6"/>
    <mergeCell ref="L6:N6"/>
    <mergeCell ref="H6:J6"/>
    <mergeCell ref="P6:R6"/>
    <mergeCell ref="X6:Z6"/>
  </mergeCells>
  <phoneticPr fontId="5" type="noConversion"/>
  <pageMargins left="0.75" right="0.5" top="1" bottom="1" header="0.5" footer="0.5"/>
  <pageSetup scale="10" orientation="landscape" r:id="rId1"/>
  <headerFooter alignWithMargins="0"/>
  <ignoredErrors>
    <ignoredError sqref="F647 F650 F651:F671 F611:F620 F818 F820:F825 F826:F827 F865:F869 F870:F87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tabSelected="1" zoomScaleNormal="100" workbookViewId="0">
      <selection activeCell="H19" sqref="H19"/>
    </sheetView>
  </sheetViews>
  <sheetFormatPr defaultRowHeight="15" x14ac:dyDescent="0.25"/>
  <cols>
    <col min="3" max="3" width="9.81640625" customWidth="1"/>
    <col min="4" max="4" width="9.453125" customWidth="1"/>
    <col min="5" max="5" width="11.1796875" customWidth="1"/>
    <col min="6" max="6" width="15.1796875" customWidth="1"/>
    <col min="7" max="7" width="2" customWidth="1"/>
  </cols>
  <sheetData>
    <row r="1" spans="1:11" ht="11.25" customHeight="1" x14ac:dyDescent="0.25">
      <c r="A1" s="41" t="s">
        <v>0</v>
      </c>
      <c r="B1" s="42"/>
      <c r="C1" s="42"/>
      <c r="D1" s="42"/>
      <c r="E1" s="42"/>
      <c r="F1" s="42"/>
      <c r="G1" s="30"/>
    </row>
    <row r="2" spans="1:11" x14ac:dyDescent="0.25">
      <c r="A2" s="43" t="s">
        <v>263</v>
      </c>
      <c r="B2" s="40"/>
      <c r="C2" s="40"/>
      <c r="D2" s="40"/>
      <c r="E2" s="40"/>
      <c r="F2" s="40"/>
      <c r="G2" s="30"/>
    </row>
    <row r="3" spans="1:11" x14ac:dyDescent="0.25">
      <c r="A3" s="75"/>
      <c r="B3" s="75"/>
      <c r="C3" s="75"/>
      <c r="D3" s="75"/>
      <c r="E3" s="75"/>
      <c r="F3" s="75"/>
      <c r="G3" s="30"/>
    </row>
    <row r="4" spans="1:11" x14ac:dyDescent="0.25">
      <c r="A4" s="75"/>
      <c r="B4" s="75"/>
      <c r="C4" s="75"/>
      <c r="D4" s="75"/>
      <c r="E4" s="75"/>
      <c r="F4" s="75"/>
      <c r="G4" s="30"/>
    </row>
    <row r="5" spans="1:11" x14ac:dyDescent="0.25">
      <c r="A5" s="75"/>
      <c r="B5" s="75"/>
      <c r="C5" s="75"/>
      <c r="D5" s="75"/>
      <c r="E5" s="75"/>
      <c r="F5" s="75"/>
      <c r="G5" s="30"/>
    </row>
    <row r="6" spans="1:11" x14ac:dyDescent="0.25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5">
      <c r="A7" s="75"/>
      <c r="B7" s="75"/>
      <c r="C7" s="75"/>
      <c r="D7" s="75"/>
      <c r="E7" s="75"/>
      <c r="F7" s="75"/>
      <c r="G7" s="30"/>
    </row>
    <row r="8" spans="1:11" x14ac:dyDescent="0.25">
      <c r="A8" s="75"/>
      <c r="B8" s="75"/>
      <c r="C8" s="75"/>
      <c r="D8" s="75"/>
      <c r="E8" s="75"/>
      <c r="F8" s="75"/>
      <c r="G8" s="30"/>
    </row>
    <row r="9" spans="1:11" x14ac:dyDescent="0.25">
      <c r="A9" s="75"/>
      <c r="B9" s="75"/>
      <c r="C9" s="75"/>
      <c r="D9" s="75"/>
      <c r="E9" s="75"/>
      <c r="F9" s="75"/>
      <c r="G9" s="30"/>
    </row>
    <row r="10" spans="1:11" x14ac:dyDescent="0.25">
      <c r="A10" s="75"/>
      <c r="B10" s="75"/>
      <c r="C10" s="75"/>
      <c r="D10" s="75"/>
      <c r="E10" s="75"/>
      <c r="F10" s="75"/>
      <c r="G10" s="30"/>
    </row>
    <row r="11" spans="1:11" x14ac:dyDescent="0.25">
      <c r="A11" s="75"/>
      <c r="B11" s="75"/>
      <c r="C11" s="75"/>
      <c r="D11" s="75"/>
      <c r="E11" s="75"/>
      <c r="F11" s="75"/>
      <c r="G11" s="30"/>
    </row>
    <row r="12" spans="1:11" x14ac:dyDescent="0.25">
      <c r="A12" s="75"/>
      <c r="B12" s="75"/>
      <c r="C12" s="75"/>
      <c r="D12" s="75"/>
      <c r="E12" s="75"/>
      <c r="F12" s="75"/>
      <c r="G12" s="30"/>
    </row>
    <row r="13" spans="1:11" x14ac:dyDescent="0.25">
      <c r="A13" s="75"/>
      <c r="B13" s="75"/>
      <c r="C13" s="75"/>
      <c r="D13" s="75"/>
      <c r="E13" s="75"/>
      <c r="F13" s="75"/>
      <c r="G13" s="30"/>
    </row>
    <row r="14" spans="1:11" x14ac:dyDescent="0.25">
      <c r="A14" s="75"/>
      <c r="B14" s="75"/>
      <c r="C14" s="75"/>
      <c r="D14" s="75"/>
      <c r="E14" s="75"/>
      <c r="F14" s="75"/>
      <c r="G14" s="30"/>
    </row>
    <row r="15" spans="1:11" x14ac:dyDescent="0.25">
      <c r="A15" s="75"/>
      <c r="B15" s="75"/>
      <c r="C15" s="75"/>
      <c r="D15" s="75"/>
      <c r="E15" s="75"/>
      <c r="F15" s="75"/>
      <c r="G15" s="30"/>
    </row>
    <row r="16" spans="1:11" x14ac:dyDescent="0.25">
      <c r="A16" s="75"/>
      <c r="B16" s="75"/>
      <c r="C16" s="75"/>
      <c r="D16" s="75"/>
      <c r="E16" s="75"/>
      <c r="F16" s="75"/>
      <c r="G16" s="30"/>
    </row>
    <row r="17" spans="1:7" ht="12" customHeight="1" x14ac:dyDescent="0.25">
      <c r="A17" s="75"/>
      <c r="B17" s="75"/>
      <c r="C17" s="75"/>
      <c r="D17" s="75"/>
      <c r="E17" s="75"/>
      <c r="F17" s="75"/>
      <c r="G17" s="30"/>
    </row>
    <row r="18" spans="1:7" ht="12" customHeight="1" x14ac:dyDescent="0.25">
      <c r="A18" s="75"/>
      <c r="B18" s="75"/>
      <c r="C18" s="75"/>
      <c r="D18" s="75"/>
      <c r="E18" s="75"/>
      <c r="F18" s="75"/>
      <c r="G18" s="30"/>
    </row>
    <row r="19" spans="1:7" ht="12" customHeight="1" x14ac:dyDescent="0.25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5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5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zoomScaleNormal="100" workbookViewId="0">
      <selection activeCell="J13" sqref="J13"/>
    </sheetView>
  </sheetViews>
  <sheetFormatPr defaultRowHeight="15" x14ac:dyDescent="0.25"/>
  <cols>
    <col min="3" max="3" width="9.81640625" customWidth="1"/>
    <col min="4" max="4" width="9.453125" customWidth="1"/>
    <col min="5" max="5" width="11.1796875" customWidth="1"/>
    <col min="6" max="6" width="15.1796875" customWidth="1"/>
    <col min="7" max="7" width="2" customWidth="1"/>
  </cols>
  <sheetData>
    <row r="1" spans="1:11" ht="11.25" customHeight="1" x14ac:dyDescent="0.25">
      <c r="A1" s="41" t="s">
        <v>183</v>
      </c>
      <c r="B1" s="42"/>
      <c r="C1" s="42"/>
      <c r="D1" s="42"/>
      <c r="E1" s="42"/>
      <c r="F1" s="42"/>
      <c r="G1" s="30"/>
    </row>
    <row r="2" spans="1:11" x14ac:dyDescent="0.25">
      <c r="A2" s="43" t="s">
        <v>264</v>
      </c>
      <c r="B2" s="40"/>
      <c r="C2" s="40"/>
      <c r="D2" s="40"/>
      <c r="E2" s="40"/>
      <c r="F2" s="40"/>
      <c r="G2" s="30"/>
    </row>
    <row r="3" spans="1:11" x14ac:dyDescent="0.25">
      <c r="A3" s="75"/>
      <c r="B3" s="75"/>
      <c r="C3" s="75"/>
      <c r="D3" s="75"/>
      <c r="E3" s="75"/>
      <c r="F3" s="75"/>
      <c r="G3" s="30"/>
    </row>
    <row r="4" spans="1:11" x14ac:dyDescent="0.25">
      <c r="A4" s="75"/>
      <c r="B4" s="75"/>
      <c r="C4" s="75"/>
      <c r="D4" s="75"/>
      <c r="E4" s="75"/>
      <c r="F4" s="75"/>
      <c r="G4" s="30"/>
    </row>
    <row r="5" spans="1:11" x14ac:dyDescent="0.25">
      <c r="A5" s="75"/>
      <c r="B5" s="75"/>
      <c r="C5" s="75"/>
      <c r="D5" s="75"/>
      <c r="E5" s="75"/>
      <c r="F5" s="75"/>
      <c r="G5" s="30"/>
    </row>
    <row r="6" spans="1:11" x14ac:dyDescent="0.25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5">
      <c r="A7" s="75"/>
      <c r="B7" s="75"/>
      <c r="C7" s="75"/>
      <c r="D7" s="75"/>
      <c r="E7" s="75"/>
      <c r="F7" s="75"/>
      <c r="G7" s="30"/>
    </row>
    <row r="8" spans="1:11" x14ac:dyDescent="0.25">
      <c r="A8" s="75"/>
      <c r="B8" s="75"/>
      <c r="C8" s="75"/>
      <c r="D8" s="75"/>
      <c r="E8" s="75"/>
      <c r="F8" s="75"/>
      <c r="G8" s="30"/>
    </row>
    <row r="9" spans="1:11" x14ac:dyDescent="0.25">
      <c r="A9" s="75"/>
      <c r="B9" s="75"/>
      <c r="C9" s="75"/>
      <c r="D9" s="75"/>
      <c r="E9" s="75"/>
      <c r="F9" s="75"/>
      <c r="G9" s="30"/>
    </row>
    <row r="10" spans="1:11" x14ac:dyDescent="0.25">
      <c r="A10" s="75"/>
      <c r="B10" s="75"/>
      <c r="C10" s="75"/>
      <c r="D10" s="75"/>
      <c r="E10" s="75"/>
      <c r="F10" s="75"/>
      <c r="G10" s="30"/>
    </row>
    <row r="11" spans="1:11" x14ac:dyDescent="0.25">
      <c r="A11" s="75"/>
      <c r="B11" s="75"/>
      <c r="C11" s="75"/>
      <c r="D11" s="75"/>
      <c r="E11" s="75"/>
      <c r="F11" s="75"/>
      <c r="G11" s="30"/>
    </row>
    <row r="12" spans="1:11" x14ac:dyDescent="0.25">
      <c r="A12" s="75"/>
      <c r="B12" s="75"/>
      <c r="C12" s="75"/>
      <c r="D12" s="75"/>
      <c r="E12" s="75"/>
      <c r="F12" s="75"/>
      <c r="G12" s="30"/>
    </row>
    <row r="13" spans="1:11" x14ac:dyDescent="0.25">
      <c r="A13" s="75"/>
      <c r="B13" s="75"/>
      <c r="C13" s="75"/>
      <c r="D13" s="75"/>
      <c r="E13" s="75"/>
      <c r="F13" s="75"/>
      <c r="G13" s="30"/>
    </row>
    <row r="14" spans="1:11" x14ac:dyDescent="0.25">
      <c r="A14" s="75"/>
      <c r="B14" s="75"/>
      <c r="C14" s="75"/>
      <c r="D14" s="75"/>
      <c r="E14" s="75"/>
      <c r="F14" s="75"/>
      <c r="G14" s="30"/>
    </row>
    <row r="15" spans="1:11" x14ac:dyDescent="0.25">
      <c r="A15" s="75"/>
      <c r="B15" s="75"/>
      <c r="C15" s="75"/>
      <c r="D15" s="75"/>
      <c r="E15" s="75"/>
      <c r="F15" s="75"/>
      <c r="G15" s="30"/>
    </row>
    <row r="16" spans="1:11" x14ac:dyDescent="0.25">
      <c r="A16" s="75"/>
      <c r="B16" s="75"/>
      <c r="C16" s="75"/>
      <c r="D16" s="75"/>
      <c r="E16" s="75"/>
      <c r="F16" s="75"/>
      <c r="G16" s="30"/>
    </row>
    <row r="17" spans="1:7" ht="12" customHeight="1" x14ac:dyDescent="0.25">
      <c r="A17" s="75"/>
      <c r="B17" s="75"/>
      <c r="C17" s="75"/>
      <c r="D17" s="75"/>
      <c r="E17" s="75"/>
      <c r="F17" s="75"/>
      <c r="G17" s="30"/>
    </row>
    <row r="18" spans="1:7" ht="12" customHeight="1" x14ac:dyDescent="0.25">
      <c r="A18" s="75"/>
      <c r="B18" s="75"/>
      <c r="C18" s="75"/>
      <c r="D18" s="75"/>
      <c r="E18" s="75"/>
      <c r="F18" s="75"/>
      <c r="G18" s="30"/>
    </row>
    <row r="19" spans="1:7" ht="12" customHeight="1" x14ac:dyDescent="0.25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5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5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47"/>
  </sheetPr>
  <dimension ref="A1:K21"/>
  <sheetViews>
    <sheetView zoomScaleNormal="100" workbookViewId="0">
      <selection activeCell="H11" sqref="H11"/>
    </sheetView>
  </sheetViews>
  <sheetFormatPr defaultRowHeight="15" x14ac:dyDescent="0.25"/>
  <cols>
    <col min="3" max="3" width="9.81640625" customWidth="1"/>
    <col min="4" max="4" width="9.453125" customWidth="1"/>
    <col min="5" max="5" width="11.1796875" customWidth="1"/>
    <col min="6" max="6" width="15.1796875" customWidth="1"/>
    <col min="7" max="7" width="2" customWidth="1"/>
  </cols>
  <sheetData>
    <row r="1" spans="1:11" ht="11.25" customHeight="1" x14ac:dyDescent="0.25">
      <c r="A1" s="41" t="s">
        <v>149</v>
      </c>
      <c r="B1" s="42"/>
      <c r="C1" s="42"/>
      <c r="D1" s="42"/>
      <c r="E1" s="42"/>
      <c r="F1" s="42"/>
      <c r="G1" s="30"/>
    </row>
    <row r="2" spans="1:11" x14ac:dyDescent="0.25">
      <c r="A2" s="43" t="s">
        <v>294</v>
      </c>
      <c r="B2" s="40"/>
      <c r="C2" s="40"/>
      <c r="D2" s="40"/>
      <c r="E2" s="40"/>
      <c r="F2" s="40"/>
      <c r="G2" s="30"/>
    </row>
    <row r="3" spans="1:11" x14ac:dyDescent="0.25">
      <c r="A3" s="75"/>
      <c r="B3" s="75"/>
      <c r="C3" s="75"/>
      <c r="D3" s="75"/>
      <c r="E3" s="75"/>
      <c r="F3" s="75"/>
      <c r="G3" s="30"/>
    </row>
    <row r="4" spans="1:11" x14ac:dyDescent="0.25">
      <c r="A4" s="75"/>
      <c r="B4" s="75"/>
      <c r="C4" s="75"/>
      <c r="D4" s="75"/>
      <c r="E4" s="75"/>
      <c r="F4" s="75"/>
      <c r="G4" s="30"/>
    </row>
    <row r="5" spans="1:11" x14ac:dyDescent="0.25">
      <c r="A5" s="75"/>
      <c r="B5" s="75"/>
      <c r="C5" s="75"/>
      <c r="D5" s="75"/>
      <c r="E5" s="75"/>
      <c r="F5" s="75"/>
      <c r="G5" s="30"/>
    </row>
    <row r="6" spans="1:11" x14ac:dyDescent="0.25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5">
      <c r="A7" s="75"/>
      <c r="B7" s="75"/>
      <c r="C7" s="75"/>
      <c r="D7" s="75"/>
      <c r="E7" s="75"/>
      <c r="F7" s="75"/>
      <c r="G7" s="30"/>
    </row>
    <row r="8" spans="1:11" x14ac:dyDescent="0.25">
      <c r="A8" s="75"/>
      <c r="B8" s="75"/>
      <c r="C8" s="75"/>
      <c r="D8" s="75"/>
      <c r="E8" s="75"/>
      <c r="F8" s="75"/>
      <c r="G8" s="30"/>
    </row>
    <row r="9" spans="1:11" x14ac:dyDescent="0.25">
      <c r="A9" s="75"/>
      <c r="B9" s="75"/>
      <c r="C9" s="75"/>
      <c r="D9" s="75"/>
      <c r="E9" s="75"/>
      <c r="F9" s="75"/>
      <c r="G9" s="30"/>
    </row>
    <row r="10" spans="1:11" x14ac:dyDescent="0.25">
      <c r="A10" s="75"/>
      <c r="B10" s="75"/>
      <c r="C10" s="75"/>
      <c r="D10" s="75"/>
      <c r="E10" s="75"/>
      <c r="F10" s="75"/>
      <c r="G10" s="30"/>
    </row>
    <row r="11" spans="1:11" x14ac:dyDescent="0.25">
      <c r="A11" s="75"/>
      <c r="B11" s="75"/>
      <c r="C11" s="75"/>
      <c r="D11" s="75"/>
      <c r="E11" s="75"/>
      <c r="F11" s="75"/>
      <c r="G11" s="30"/>
    </row>
    <row r="12" spans="1:11" x14ac:dyDescent="0.25">
      <c r="A12" s="75"/>
      <c r="B12" s="75"/>
      <c r="C12" s="75"/>
      <c r="D12" s="75"/>
      <c r="E12" s="75"/>
      <c r="F12" s="75"/>
      <c r="G12" s="30"/>
    </row>
    <row r="13" spans="1:11" x14ac:dyDescent="0.25">
      <c r="A13" s="75"/>
      <c r="B13" s="75"/>
      <c r="C13" s="75"/>
      <c r="D13" s="75"/>
      <c r="E13" s="75"/>
      <c r="F13" s="75"/>
      <c r="G13" s="30"/>
    </row>
    <row r="14" spans="1:11" x14ac:dyDescent="0.25">
      <c r="A14" s="75"/>
      <c r="B14" s="75"/>
      <c r="C14" s="75"/>
      <c r="D14" s="75"/>
      <c r="E14" s="75"/>
      <c r="F14" s="75"/>
      <c r="G14" s="30"/>
    </row>
    <row r="15" spans="1:11" x14ac:dyDescent="0.25">
      <c r="A15" s="75"/>
      <c r="B15" s="75"/>
      <c r="C15" s="75"/>
      <c r="D15" s="75"/>
      <c r="E15" s="75"/>
      <c r="F15" s="75"/>
      <c r="G15" s="30"/>
    </row>
    <row r="16" spans="1:11" x14ac:dyDescent="0.25">
      <c r="A16" s="75"/>
      <c r="B16" s="75"/>
      <c r="C16" s="75"/>
      <c r="D16" s="75"/>
      <c r="E16" s="75"/>
      <c r="F16" s="75"/>
      <c r="G16" s="30"/>
    </row>
    <row r="17" spans="1:7" ht="12" customHeight="1" x14ac:dyDescent="0.25">
      <c r="A17" s="75"/>
      <c r="B17" s="75"/>
      <c r="C17" s="75"/>
      <c r="D17" s="75"/>
      <c r="E17" s="75"/>
      <c r="F17" s="75"/>
      <c r="G17" s="30"/>
    </row>
    <row r="18" spans="1:7" ht="12" customHeight="1" x14ac:dyDescent="0.25">
      <c r="A18" s="75"/>
      <c r="B18" s="75"/>
      <c r="C18" s="75"/>
      <c r="D18" s="75"/>
      <c r="E18" s="75"/>
      <c r="F18" s="75"/>
      <c r="G18" s="30"/>
    </row>
    <row r="19" spans="1:7" ht="12" customHeight="1" x14ac:dyDescent="0.25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5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5">
      <c r="A21" s="76"/>
      <c r="B21" s="30"/>
      <c r="C21" s="30"/>
      <c r="D21" s="30"/>
      <c r="E21" s="30"/>
      <c r="F21" s="30"/>
      <c r="G21" s="30"/>
    </row>
  </sheetData>
  <phoneticPr fontId="16" type="noConversion"/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tabColor indexed="42"/>
  </sheetPr>
  <dimension ref="A1:CG92"/>
  <sheetViews>
    <sheetView topLeftCell="G1" zoomScaleNormal="100" workbookViewId="0">
      <pane ySplit="7" topLeftCell="A18" activePane="bottomLeft" state="frozen"/>
      <selection pane="bottomLeft" activeCell="AQ31" sqref="AQ31"/>
    </sheetView>
  </sheetViews>
  <sheetFormatPr defaultRowHeight="15" x14ac:dyDescent="0.25"/>
  <cols>
    <col min="4" max="7" width="8.81640625" style="34"/>
    <col min="8" max="8" width="9.81640625" style="34" bestFit="1" customWidth="1"/>
    <col min="9" max="9" width="9.453125" style="34" bestFit="1" customWidth="1"/>
    <col min="10" max="11" width="8.81640625" style="34"/>
    <col min="12" max="12" width="9.81640625" bestFit="1" customWidth="1"/>
    <col min="14" max="14" width="8.81640625" style="34"/>
    <col min="32" max="32" width="9" bestFit="1" customWidth="1"/>
    <col min="36" max="36" width="14.453125" bestFit="1" customWidth="1"/>
    <col min="74" max="74" width="8.81640625" style="34"/>
    <col min="78" max="78" width="8.81640625" style="34"/>
    <col min="82" max="82" width="8.81640625" style="34"/>
  </cols>
  <sheetData>
    <row r="1" spans="1:85" ht="15.6" x14ac:dyDescent="0.3">
      <c r="A1" s="8" t="s">
        <v>240</v>
      </c>
      <c r="D1"/>
      <c r="E1"/>
      <c r="F1"/>
      <c r="G1"/>
      <c r="H1"/>
      <c r="I1"/>
      <c r="J1"/>
      <c r="K1"/>
      <c r="N1"/>
      <c r="O1" s="8" t="s">
        <v>240</v>
      </c>
      <c r="AB1" s="8" t="s">
        <v>240</v>
      </c>
      <c r="AS1" s="8" t="s">
        <v>240</v>
      </c>
      <c r="BF1" s="8" t="s">
        <v>240</v>
      </c>
      <c r="BS1" s="8" t="s">
        <v>240</v>
      </c>
    </row>
    <row r="2" spans="1:85" x14ac:dyDescent="0.25">
      <c r="D2"/>
      <c r="E2"/>
      <c r="F2"/>
      <c r="G2"/>
      <c r="H2"/>
      <c r="I2"/>
      <c r="J2"/>
      <c r="K2"/>
      <c r="N2"/>
      <c r="AF2" s="34"/>
      <c r="AG2" s="34"/>
      <c r="AH2" s="34"/>
      <c r="AJ2" s="34"/>
      <c r="AK2" s="34"/>
      <c r="AL2" s="34"/>
      <c r="AM2" s="34"/>
      <c r="AN2" s="34"/>
      <c r="AO2" s="34"/>
      <c r="AP2" s="34"/>
    </row>
    <row r="3" spans="1:85" x14ac:dyDescent="0.25">
      <c r="D3"/>
      <c r="E3"/>
      <c r="F3"/>
      <c r="G3"/>
      <c r="H3"/>
      <c r="I3"/>
      <c r="J3"/>
      <c r="K3"/>
      <c r="N3"/>
    </row>
    <row r="4" spans="1:85" ht="15.6" x14ac:dyDescent="0.3">
      <c r="B4" s="93" t="s">
        <v>205</v>
      </c>
      <c r="C4" s="94"/>
      <c r="E4" s="46"/>
      <c r="H4" s="46"/>
      <c r="L4" s="46"/>
      <c r="M4" s="34"/>
      <c r="O4" s="93" t="s">
        <v>205</v>
      </c>
      <c r="P4" s="94"/>
      <c r="Q4" s="34"/>
      <c r="R4" s="46"/>
      <c r="S4" s="34"/>
      <c r="T4" s="34"/>
      <c r="U4" s="34"/>
      <c r="V4" s="46"/>
      <c r="W4" s="34"/>
      <c r="X4" s="34"/>
      <c r="Y4" s="46"/>
      <c r="Z4" s="34"/>
      <c r="AA4" s="34"/>
      <c r="AB4" s="93" t="s">
        <v>205</v>
      </c>
      <c r="AC4" s="94"/>
      <c r="AD4" s="34"/>
      <c r="AE4" s="46"/>
      <c r="AF4" s="46"/>
      <c r="AG4" s="34"/>
      <c r="AH4" s="34"/>
      <c r="AI4" s="34"/>
      <c r="AJ4" s="46"/>
      <c r="AK4" s="34"/>
      <c r="AL4" s="34"/>
      <c r="AM4" s="34"/>
      <c r="AN4" s="46"/>
      <c r="AO4" s="34"/>
      <c r="AP4" s="34"/>
      <c r="AS4" s="93" t="s">
        <v>204</v>
      </c>
      <c r="BF4" s="93" t="s">
        <v>204</v>
      </c>
      <c r="BS4" s="93" t="s">
        <v>204</v>
      </c>
      <c r="BV4"/>
    </row>
    <row r="5" spans="1:85" ht="15.6" x14ac:dyDescent="0.3">
      <c r="B5" s="10" t="s">
        <v>69</v>
      </c>
      <c r="C5" s="10"/>
      <c r="D5" s="10"/>
      <c r="E5"/>
      <c r="F5"/>
      <c r="G5"/>
      <c r="H5" s="73"/>
      <c r="I5" s="8"/>
      <c r="J5"/>
      <c r="K5"/>
      <c r="L5" s="74"/>
      <c r="M5" s="34"/>
      <c r="O5" s="10" t="s">
        <v>69</v>
      </c>
      <c r="P5" s="10"/>
      <c r="Q5" s="10"/>
      <c r="S5" s="34"/>
      <c r="T5" s="34"/>
      <c r="U5" s="34"/>
      <c r="V5" s="46"/>
      <c r="W5" s="34"/>
      <c r="X5" s="34"/>
      <c r="Y5" s="34"/>
      <c r="AB5" s="10" t="s">
        <v>69</v>
      </c>
      <c r="AC5" s="10"/>
      <c r="AD5" s="10"/>
      <c r="AF5" s="8"/>
      <c r="AJ5" s="8"/>
      <c r="AN5" s="8"/>
      <c r="AS5" s="10" t="s">
        <v>69</v>
      </c>
      <c r="AT5" s="10"/>
      <c r="AU5" s="10"/>
      <c r="BF5" s="10" t="s">
        <v>69</v>
      </c>
      <c r="BG5" s="10"/>
      <c r="BH5" s="10"/>
      <c r="BS5" s="10" t="s">
        <v>69</v>
      </c>
      <c r="BT5" s="10"/>
      <c r="BU5" s="10"/>
      <c r="BV5"/>
    </row>
    <row r="6" spans="1:85" ht="15.6" x14ac:dyDescent="0.3">
      <c r="B6" s="145" t="s">
        <v>265</v>
      </c>
      <c r="C6" s="145"/>
      <c r="D6" s="25"/>
      <c r="E6" s="145" t="s">
        <v>266</v>
      </c>
      <c r="F6" s="145"/>
      <c r="G6" s="25"/>
      <c r="H6" s="145" t="s">
        <v>267</v>
      </c>
      <c r="I6" s="145"/>
      <c r="J6" s="25"/>
      <c r="K6" s="96"/>
      <c r="L6" s="145" t="s">
        <v>268</v>
      </c>
      <c r="M6" s="145"/>
      <c r="N6" s="25"/>
      <c r="O6" s="145" t="s">
        <v>269</v>
      </c>
      <c r="P6" s="145"/>
      <c r="Q6" s="26"/>
      <c r="R6" s="145" t="s">
        <v>270</v>
      </c>
      <c r="S6" s="145"/>
      <c r="T6" s="25"/>
      <c r="U6" s="96"/>
      <c r="V6" s="145" t="s">
        <v>271</v>
      </c>
      <c r="W6" s="145"/>
      <c r="X6" s="25"/>
      <c r="Y6" s="145" t="s">
        <v>272</v>
      </c>
      <c r="Z6" s="145"/>
      <c r="AA6" s="25"/>
      <c r="AB6" s="145" t="s">
        <v>273</v>
      </c>
      <c r="AC6" s="145"/>
      <c r="AD6" s="25"/>
      <c r="AE6" s="25"/>
      <c r="AF6" s="145" t="s">
        <v>275</v>
      </c>
      <c r="AG6" s="145"/>
      <c r="AH6" s="25"/>
      <c r="AI6" s="25"/>
      <c r="AJ6" s="145" t="s">
        <v>296</v>
      </c>
      <c r="AK6" s="145"/>
      <c r="AL6" s="25"/>
      <c r="AM6" s="25"/>
      <c r="AN6" s="145" t="s">
        <v>274</v>
      </c>
      <c r="AO6" s="145"/>
      <c r="AP6" s="25"/>
      <c r="AS6" s="145" t="s">
        <v>265</v>
      </c>
      <c r="AT6" s="145"/>
      <c r="AU6" s="25"/>
      <c r="AV6" s="145" t="s">
        <v>266</v>
      </c>
      <c r="AW6" s="145"/>
      <c r="AX6" s="25"/>
      <c r="AY6" s="145" t="s">
        <v>267</v>
      </c>
      <c r="AZ6" s="145"/>
      <c r="BA6" s="25"/>
      <c r="BB6" s="96"/>
      <c r="BC6" s="145" t="s">
        <v>268</v>
      </c>
      <c r="BD6" s="145"/>
      <c r="BE6" s="25"/>
      <c r="BF6" s="146" t="s">
        <v>276</v>
      </c>
      <c r="BG6" s="146"/>
      <c r="BH6" s="26"/>
      <c r="BI6" s="145" t="s">
        <v>277</v>
      </c>
      <c r="BJ6" s="145"/>
      <c r="BK6" s="25"/>
      <c r="BL6" s="96"/>
      <c r="BM6" s="145" t="s">
        <v>271</v>
      </c>
      <c r="BN6" s="145"/>
      <c r="BO6" s="25"/>
      <c r="BP6" s="145" t="s">
        <v>272</v>
      </c>
      <c r="BQ6" s="145"/>
      <c r="BR6" s="25"/>
      <c r="BS6" s="145" t="s">
        <v>273</v>
      </c>
      <c r="BT6" s="145"/>
      <c r="BU6" s="25"/>
      <c r="BV6" s="88"/>
      <c r="BW6" s="145" t="s">
        <v>278</v>
      </c>
      <c r="BX6" s="145"/>
      <c r="BY6" s="25"/>
      <c r="BZ6" s="88"/>
      <c r="CA6" s="145" t="s">
        <v>296</v>
      </c>
      <c r="CB6" s="145"/>
      <c r="CC6" s="25"/>
      <c r="CD6" s="88"/>
      <c r="CE6" s="145" t="s">
        <v>279</v>
      </c>
      <c r="CF6" s="145"/>
    </row>
    <row r="7" spans="1:85" ht="15.6" thickBot="1" x14ac:dyDescent="0.3">
      <c r="A7" s="11" t="s">
        <v>137</v>
      </c>
      <c r="B7" s="11" t="s">
        <v>72</v>
      </c>
      <c r="C7" s="11" t="s">
        <v>73</v>
      </c>
      <c r="D7" s="39" t="s">
        <v>134</v>
      </c>
      <c r="E7" s="11" t="s">
        <v>72</v>
      </c>
      <c r="F7" s="11" t="s">
        <v>73</v>
      </c>
      <c r="G7" s="39" t="s">
        <v>134</v>
      </c>
      <c r="H7" s="11" t="s">
        <v>72</v>
      </c>
      <c r="I7" s="11" t="s">
        <v>73</v>
      </c>
      <c r="J7" s="39" t="s">
        <v>134</v>
      </c>
      <c r="K7" s="11" t="s">
        <v>137</v>
      </c>
      <c r="L7" s="11" t="s">
        <v>72</v>
      </c>
      <c r="M7" s="11" t="s">
        <v>73</v>
      </c>
      <c r="N7" s="39" t="s">
        <v>134</v>
      </c>
      <c r="O7" s="11" t="s">
        <v>72</v>
      </c>
      <c r="P7" s="11" t="s">
        <v>73</v>
      </c>
      <c r="Q7" s="11" t="s">
        <v>134</v>
      </c>
      <c r="R7" s="11" t="s">
        <v>72</v>
      </c>
      <c r="S7" s="11" t="s">
        <v>73</v>
      </c>
      <c r="T7" s="11" t="s">
        <v>134</v>
      </c>
      <c r="U7" s="11" t="s">
        <v>137</v>
      </c>
      <c r="V7" s="11" t="s">
        <v>72</v>
      </c>
      <c r="W7" s="11" t="s">
        <v>73</v>
      </c>
      <c r="X7" s="11" t="s">
        <v>134</v>
      </c>
      <c r="Y7" s="11" t="s">
        <v>72</v>
      </c>
      <c r="Z7" s="11" t="s">
        <v>73</v>
      </c>
      <c r="AA7" s="11" t="s">
        <v>134</v>
      </c>
      <c r="AB7" s="11" t="s">
        <v>72</v>
      </c>
      <c r="AC7" s="11" t="s">
        <v>73</v>
      </c>
      <c r="AD7" s="11" t="s">
        <v>134</v>
      </c>
      <c r="AE7" s="11" t="s">
        <v>137</v>
      </c>
      <c r="AF7" s="11" t="s">
        <v>72</v>
      </c>
      <c r="AG7" s="11" t="s">
        <v>73</v>
      </c>
      <c r="AH7" s="39" t="s">
        <v>134</v>
      </c>
      <c r="AI7" s="11" t="s">
        <v>137</v>
      </c>
      <c r="AJ7" s="11" t="s">
        <v>72</v>
      </c>
      <c r="AK7" s="11" t="s">
        <v>73</v>
      </c>
      <c r="AL7" s="39" t="s">
        <v>134</v>
      </c>
      <c r="AM7" s="11" t="s">
        <v>137</v>
      </c>
      <c r="AN7" s="11" t="s">
        <v>72</v>
      </c>
      <c r="AO7" s="11" t="s">
        <v>73</v>
      </c>
      <c r="AP7" s="39" t="s">
        <v>134</v>
      </c>
      <c r="AS7" s="11" t="s">
        <v>72</v>
      </c>
      <c r="AT7" s="11" t="s">
        <v>73</v>
      </c>
      <c r="AU7" s="11" t="s">
        <v>134</v>
      </c>
      <c r="AV7" s="11" t="s">
        <v>72</v>
      </c>
      <c r="AW7" s="11" t="s">
        <v>73</v>
      </c>
      <c r="AX7" s="11" t="s">
        <v>134</v>
      </c>
      <c r="AY7" s="11" t="s">
        <v>72</v>
      </c>
      <c r="AZ7" s="11" t="s">
        <v>73</v>
      </c>
      <c r="BA7" s="11" t="s">
        <v>134</v>
      </c>
      <c r="BB7" s="39" t="s">
        <v>137</v>
      </c>
      <c r="BC7" s="11" t="s">
        <v>72</v>
      </c>
      <c r="BD7" s="11" t="s">
        <v>73</v>
      </c>
      <c r="BE7" s="11" t="s">
        <v>134</v>
      </c>
      <c r="BF7" s="11" t="s">
        <v>72</v>
      </c>
      <c r="BG7" s="11" t="s">
        <v>73</v>
      </c>
      <c r="BH7" s="11" t="s">
        <v>134</v>
      </c>
      <c r="BI7" s="11" t="s">
        <v>72</v>
      </c>
      <c r="BJ7" s="11" t="s">
        <v>73</v>
      </c>
      <c r="BK7" s="11" t="s">
        <v>134</v>
      </c>
      <c r="BL7" s="39" t="s">
        <v>137</v>
      </c>
      <c r="BM7" s="11" t="s">
        <v>72</v>
      </c>
      <c r="BN7" s="11" t="s">
        <v>73</v>
      </c>
      <c r="BO7" s="11" t="s">
        <v>134</v>
      </c>
      <c r="BP7" s="11" t="s">
        <v>72</v>
      </c>
      <c r="BQ7" s="11" t="s">
        <v>73</v>
      </c>
      <c r="BR7" s="11" t="s">
        <v>134</v>
      </c>
      <c r="BS7" s="11" t="s">
        <v>72</v>
      </c>
      <c r="BT7" s="11" t="s">
        <v>73</v>
      </c>
      <c r="BU7" s="11" t="s">
        <v>134</v>
      </c>
      <c r="BV7" s="39" t="s">
        <v>137</v>
      </c>
      <c r="BW7" s="11" t="s">
        <v>72</v>
      </c>
      <c r="BX7" s="11" t="s">
        <v>73</v>
      </c>
      <c r="BY7" s="11" t="s">
        <v>134</v>
      </c>
      <c r="BZ7" s="39" t="s">
        <v>137</v>
      </c>
      <c r="CA7" s="11" t="s">
        <v>72</v>
      </c>
      <c r="CB7" s="11" t="s">
        <v>73</v>
      </c>
      <c r="CC7" s="11" t="s">
        <v>134</v>
      </c>
      <c r="CD7" s="11" t="s">
        <v>137</v>
      </c>
      <c r="CE7" s="11" t="s">
        <v>72</v>
      </c>
      <c r="CF7" s="11" t="s">
        <v>73</v>
      </c>
      <c r="CG7" s="11" t="s">
        <v>134</v>
      </c>
    </row>
    <row r="8" spans="1:85" x14ac:dyDescent="0.25">
      <c r="B8" s="27"/>
      <c r="C8" s="27"/>
      <c r="D8" s="44"/>
      <c r="E8" s="27"/>
      <c r="F8" s="27"/>
      <c r="G8" s="44"/>
      <c r="H8" s="27"/>
      <c r="I8" s="27"/>
      <c r="J8" s="44"/>
      <c r="K8" s="44"/>
      <c r="L8" s="27"/>
      <c r="M8" s="27"/>
      <c r="N8" s="4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33"/>
      <c r="AF8" s="27"/>
      <c r="AG8" s="27"/>
      <c r="AH8" s="44"/>
      <c r="AI8" s="27"/>
      <c r="AJ8" s="27"/>
      <c r="AK8" s="27"/>
      <c r="AL8" s="44"/>
      <c r="AM8" s="72">
        <v>21</v>
      </c>
      <c r="AN8" s="77"/>
      <c r="AO8" s="77"/>
      <c r="AP8" s="144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44"/>
      <c r="BW8" s="27"/>
      <c r="BX8" s="27"/>
      <c r="BY8" s="27"/>
      <c r="BZ8" s="44"/>
      <c r="CA8" s="27"/>
      <c r="CB8" s="27"/>
      <c r="CC8" s="27"/>
      <c r="CD8" s="72">
        <v>21</v>
      </c>
      <c r="CE8" s="77">
        <f>AVERAGE('Shuttle Bids'!AV741,'Shuttle Bids'!AV689,'Shuttle Bids'!AV793)</f>
        <v>0</v>
      </c>
      <c r="CF8" s="77"/>
      <c r="CG8" s="77">
        <f>AVERAGE('Shuttle Bids'!AX741,'Shuttle Bids'!AX689,'Shuttle Bids'!AX793)</f>
        <v>0</v>
      </c>
    </row>
    <row r="9" spans="1:85" x14ac:dyDescent="0.25">
      <c r="B9" s="27"/>
      <c r="C9" s="27"/>
      <c r="D9" s="44"/>
      <c r="E9" s="27"/>
      <c r="F9" s="27"/>
      <c r="G9" s="44"/>
      <c r="H9" s="27"/>
      <c r="I9" s="27"/>
      <c r="J9" s="44"/>
      <c r="K9" s="44"/>
      <c r="L9" s="27"/>
      <c r="M9" s="27"/>
      <c r="N9" s="4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9"/>
      <c r="AF9" s="77"/>
      <c r="AG9" s="77"/>
      <c r="AH9" s="87"/>
      <c r="AI9" s="72"/>
      <c r="AJ9" s="72"/>
      <c r="AK9" s="72"/>
      <c r="AL9" s="80"/>
      <c r="AM9" s="72">
        <v>22</v>
      </c>
      <c r="AN9" s="77"/>
      <c r="AO9" s="77"/>
      <c r="AP9" s="144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44"/>
      <c r="BW9" s="27"/>
      <c r="BX9" s="27"/>
      <c r="BY9" s="27"/>
      <c r="BZ9" s="44"/>
      <c r="CA9" s="27"/>
      <c r="CB9" s="27"/>
      <c r="CC9" s="27"/>
      <c r="CD9" s="72">
        <v>22</v>
      </c>
      <c r="CE9" s="77">
        <f>AVERAGE('Shuttle Bids'!AV742,'Shuttle Bids'!AV690,'Shuttle Bids'!AV794)</f>
        <v>0</v>
      </c>
      <c r="CF9" s="77"/>
      <c r="CG9" s="77">
        <f>AVERAGE('Shuttle Bids'!AX742,'Shuttle Bids'!AX690,'Shuttle Bids'!AX794)</f>
        <v>0</v>
      </c>
    </row>
    <row r="10" spans="1:85" x14ac:dyDescent="0.25">
      <c r="A10" s="12"/>
      <c r="B10" s="72"/>
      <c r="C10" s="72"/>
      <c r="D10" s="80"/>
      <c r="E10" s="72"/>
      <c r="F10" s="72"/>
      <c r="G10" s="80"/>
      <c r="H10" s="72"/>
      <c r="I10" s="72"/>
      <c r="J10" s="80"/>
      <c r="K10" s="80"/>
      <c r="L10" s="27"/>
      <c r="M10" s="27"/>
      <c r="N10" s="44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6">
        <v>12</v>
      </c>
      <c r="AF10" s="77"/>
      <c r="AG10" s="77"/>
      <c r="AH10" s="78"/>
      <c r="AI10" s="72"/>
      <c r="AJ10" s="72"/>
      <c r="AK10" s="72"/>
      <c r="AL10" s="80"/>
      <c r="AM10" s="72">
        <v>23</v>
      </c>
      <c r="AN10" s="77"/>
      <c r="AO10" s="77"/>
      <c r="AP10" s="144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16">
        <v>12</v>
      </c>
      <c r="BW10" s="77">
        <f>AVERAGE('Shuttle Bids'!AN733,'Shuttle Bids'!AN837,'Shuttle Bids'!AN785)</f>
        <v>550</v>
      </c>
      <c r="BX10" s="77">
        <f>AVERAGE('Shuttle Bids'!AO733,'Shuttle Bids'!AO837,'Shuttle Bids'!AO785)</f>
        <v>475</v>
      </c>
      <c r="BY10" s="78">
        <f>AVERAGE('Shuttle Bids'!AP733,'Shuttle Bids'!AP837,'Shuttle Bids'!AP785)</f>
        <v>500</v>
      </c>
      <c r="BZ10" s="87"/>
      <c r="CA10" s="27"/>
      <c r="CB10" s="27"/>
      <c r="CC10" s="27"/>
      <c r="CD10" s="72">
        <v>23</v>
      </c>
      <c r="CE10" s="77"/>
      <c r="CF10" s="77"/>
      <c r="CG10" s="77"/>
    </row>
    <row r="11" spans="1:85" x14ac:dyDescent="0.25">
      <c r="A11" s="12"/>
      <c r="B11" s="12"/>
      <c r="C11" s="12"/>
      <c r="D11" s="80"/>
      <c r="E11" s="72"/>
      <c r="F11" s="72"/>
      <c r="G11" s="80"/>
      <c r="H11" s="72"/>
      <c r="I11" s="72"/>
      <c r="J11" s="80"/>
      <c r="K11" s="80"/>
      <c r="L11" s="27"/>
      <c r="M11" s="27"/>
      <c r="N11" s="44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9">
        <v>13</v>
      </c>
      <c r="AF11" s="77"/>
      <c r="AG11" s="77"/>
      <c r="AH11" s="78"/>
      <c r="AI11" s="12">
        <v>17</v>
      </c>
      <c r="AJ11" s="77"/>
      <c r="AK11" s="77"/>
      <c r="AL11" s="77"/>
      <c r="AM11" s="72">
        <v>24</v>
      </c>
      <c r="AN11" s="77"/>
      <c r="AO11" s="77"/>
      <c r="AP11" s="144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9">
        <v>13</v>
      </c>
      <c r="BW11" s="77"/>
      <c r="BX11" s="77">
        <f>AVERAGE('Shuttle Bids'!AO734,'Shuttle Bids'!AO838,'Shuttle Bids'!AO786)</f>
        <v>500</v>
      </c>
      <c r="BY11" s="78">
        <f>AVERAGE('Shuttle Bids'!AP734,'Shuttle Bids'!AP838,'Shuttle Bids'!AP786)</f>
        <v>500</v>
      </c>
      <c r="BZ11" s="12">
        <v>17</v>
      </c>
      <c r="CA11" s="77">
        <f>AVERAGE('Shuttle Bids'!AR737,'Shuttle Bids'!AR841,'Shuttle Bids'!AR789)</f>
        <v>400</v>
      </c>
      <c r="CB11" s="77"/>
      <c r="CC11" s="77">
        <f>AVERAGE('Shuttle Bids'!AT737,'Shuttle Bids'!AT841,'Shuttle Bids'!AT789)</f>
        <v>400</v>
      </c>
      <c r="CD11" s="72">
        <v>24</v>
      </c>
      <c r="CE11" s="77"/>
      <c r="CF11" s="77"/>
      <c r="CG11" s="77"/>
    </row>
    <row r="12" spans="1:85" x14ac:dyDescent="0.25">
      <c r="A12" s="12"/>
      <c r="B12" s="12"/>
      <c r="C12" s="12"/>
      <c r="D12" s="80"/>
      <c r="E12" s="72"/>
      <c r="F12" s="72"/>
      <c r="G12" s="80"/>
      <c r="H12" s="72"/>
      <c r="I12" s="72"/>
      <c r="J12" s="80"/>
      <c r="K12" s="80"/>
      <c r="L12" s="27"/>
      <c r="M12" s="27"/>
      <c r="N12" s="4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9">
        <v>14</v>
      </c>
      <c r="AF12" s="77"/>
      <c r="AG12" s="77"/>
      <c r="AH12" s="78"/>
      <c r="AI12" s="72">
        <v>18</v>
      </c>
      <c r="AJ12" s="77"/>
      <c r="AK12" s="77"/>
      <c r="AL12" s="77"/>
      <c r="AM12" s="72">
        <v>25</v>
      </c>
      <c r="AN12" s="77"/>
      <c r="AO12" s="77"/>
      <c r="AP12" s="144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9">
        <v>14</v>
      </c>
      <c r="BW12" s="77"/>
      <c r="BX12" s="77">
        <f>AVERAGE('Shuttle Bids'!AO735,'Shuttle Bids'!AO839,'Shuttle Bids'!AO787)</f>
        <v>600</v>
      </c>
      <c r="BY12" s="78">
        <f>AVERAGE('Shuttle Bids'!AP735,'Shuttle Bids'!AP839,'Shuttle Bids'!AP787)</f>
        <v>600</v>
      </c>
      <c r="BZ12" s="72">
        <v>18</v>
      </c>
      <c r="CA12" s="77">
        <f>AVERAGE('Shuttle Bids'!AR738,'Shuttle Bids'!AR842,'Shuttle Bids'!AR790)</f>
        <v>500</v>
      </c>
      <c r="CB12" s="77"/>
      <c r="CC12" s="77">
        <f>AVERAGE('Shuttle Bids'!AT738,'Shuttle Bids'!AT842,'Shuttle Bids'!AT790)</f>
        <v>500</v>
      </c>
      <c r="CD12" s="72">
        <v>25</v>
      </c>
      <c r="CE12" s="77"/>
      <c r="CF12" s="77"/>
      <c r="CG12" s="77"/>
    </row>
    <row r="13" spans="1:85" x14ac:dyDescent="0.25">
      <c r="A13" s="12">
        <v>25</v>
      </c>
      <c r="B13" s="85"/>
      <c r="C13" s="85"/>
      <c r="D13" s="83"/>
      <c r="E13" s="72"/>
      <c r="F13" s="72"/>
      <c r="G13" s="80"/>
      <c r="H13" s="72"/>
      <c r="I13" s="72"/>
      <c r="J13" s="80"/>
      <c r="K13" s="12"/>
      <c r="L13" s="27"/>
      <c r="M13" s="27"/>
      <c r="N13" s="44"/>
      <c r="O13" s="27"/>
      <c r="P13" s="27"/>
      <c r="Q13" s="27"/>
      <c r="R13" s="27"/>
      <c r="S13" s="27"/>
      <c r="T13" s="27"/>
      <c r="U13" s="12"/>
      <c r="V13" s="27"/>
      <c r="W13" s="27"/>
      <c r="X13" s="27"/>
      <c r="Y13" s="27"/>
      <c r="Z13" s="27"/>
      <c r="AA13" s="27"/>
      <c r="AB13" s="27"/>
      <c r="AC13" s="27"/>
      <c r="AD13" s="27"/>
      <c r="AE13" s="29">
        <v>15</v>
      </c>
      <c r="AF13" s="77"/>
      <c r="AG13" s="77"/>
      <c r="AH13" s="78"/>
      <c r="AI13" s="72">
        <v>19</v>
      </c>
      <c r="AJ13" s="77"/>
      <c r="AK13" s="77"/>
      <c r="AL13" s="77"/>
      <c r="AM13" s="72">
        <v>26</v>
      </c>
      <c r="AN13" s="77"/>
      <c r="AO13" s="77"/>
      <c r="AP13" s="144"/>
      <c r="AR13" s="12">
        <v>25</v>
      </c>
      <c r="AS13" s="100"/>
      <c r="AT13" s="100"/>
      <c r="AU13" s="78"/>
      <c r="AV13" s="27"/>
      <c r="AW13" s="27"/>
      <c r="AX13" s="27"/>
      <c r="AY13" s="27"/>
      <c r="AZ13" s="27"/>
      <c r="BA13" s="27"/>
      <c r="BB13" s="12"/>
      <c r="BC13" s="27"/>
      <c r="BD13" s="27"/>
      <c r="BE13" s="27"/>
      <c r="BF13" s="27"/>
      <c r="BG13" s="27"/>
      <c r="BH13" s="27"/>
      <c r="BI13" s="27"/>
      <c r="BJ13" s="27"/>
      <c r="BK13" s="27"/>
      <c r="BL13" s="12"/>
      <c r="BM13" s="27"/>
      <c r="BN13" s="27"/>
      <c r="BO13" s="27"/>
      <c r="BP13" s="27"/>
      <c r="BQ13" s="27"/>
      <c r="BR13" s="27"/>
      <c r="BS13" s="27"/>
      <c r="BT13" s="27"/>
      <c r="BU13" s="27"/>
      <c r="BV13" s="29">
        <v>15</v>
      </c>
      <c r="BW13" s="77">
        <f>AVERAGE('Shuttle Bids'!AN736,'Shuttle Bids'!AN840,'Shuttle Bids'!AN788)</f>
        <v>250</v>
      </c>
      <c r="BX13" s="77">
        <f>AVERAGE('Shuttle Bids'!AO736,'Shuttle Bids'!AO840,'Shuttle Bids'!AO788)</f>
        <v>662.5</v>
      </c>
      <c r="BY13" s="78">
        <f>AVERAGE('Shuttle Bids'!AP736,'Shuttle Bids'!AP840,'Shuttle Bids'!AP788)</f>
        <v>606.25</v>
      </c>
      <c r="BZ13" s="72">
        <v>19</v>
      </c>
      <c r="CA13" s="77">
        <f>AVERAGE('Shuttle Bids'!AR739,'Shuttle Bids'!AR843,'Shuttle Bids'!AR791)</f>
        <v>600</v>
      </c>
      <c r="CB13" s="77"/>
      <c r="CC13" s="77">
        <f>AVERAGE('Shuttle Bids'!AT739,'Shuttle Bids'!AT843,'Shuttle Bids'!AT791)</f>
        <v>600</v>
      </c>
      <c r="CD13" s="72">
        <v>26</v>
      </c>
      <c r="CE13" s="77"/>
      <c r="CF13" s="77"/>
      <c r="CG13" s="77"/>
    </row>
    <row r="14" spans="1:85" x14ac:dyDescent="0.25">
      <c r="A14" s="12">
        <v>26</v>
      </c>
      <c r="B14" s="85"/>
      <c r="C14" s="85"/>
      <c r="D14" s="83"/>
      <c r="E14" s="72"/>
      <c r="F14" s="72"/>
      <c r="G14" s="80"/>
      <c r="H14" s="72"/>
      <c r="I14" s="72"/>
      <c r="J14" s="80"/>
      <c r="K14" s="12"/>
      <c r="L14" s="27"/>
      <c r="M14" s="27"/>
      <c r="N14" s="44"/>
      <c r="O14" s="27"/>
      <c r="P14" s="27"/>
      <c r="Q14" s="27"/>
      <c r="R14" s="27"/>
      <c r="S14" s="27"/>
      <c r="T14" s="27"/>
      <c r="U14" s="12"/>
      <c r="V14" s="27"/>
      <c r="W14" s="27"/>
      <c r="X14" s="27"/>
      <c r="Y14" s="27"/>
      <c r="Z14" s="27"/>
      <c r="AA14" s="27"/>
      <c r="AB14" s="27"/>
      <c r="AC14" s="27"/>
      <c r="AD14" s="27"/>
      <c r="AE14" s="29">
        <v>16</v>
      </c>
      <c r="AF14" s="77"/>
      <c r="AG14" s="77"/>
      <c r="AH14" s="78"/>
      <c r="AI14" s="72">
        <v>20</v>
      </c>
      <c r="AJ14" s="77"/>
      <c r="AK14" s="77"/>
      <c r="AL14" s="77"/>
      <c r="AM14" s="72">
        <f>+AM13+1</f>
        <v>27</v>
      </c>
      <c r="AN14" s="77"/>
      <c r="AO14" s="77"/>
      <c r="AP14" s="144"/>
      <c r="AR14" s="12">
        <v>26</v>
      </c>
      <c r="AS14" s="100"/>
      <c r="AT14" s="100"/>
      <c r="AU14" s="78"/>
      <c r="AV14" s="27"/>
      <c r="AW14" s="27"/>
      <c r="AX14" s="27"/>
      <c r="AY14" s="27"/>
      <c r="AZ14" s="27"/>
      <c r="BA14" s="27"/>
      <c r="BB14" s="12"/>
      <c r="BC14" s="27"/>
      <c r="BD14" s="27"/>
      <c r="BE14" s="27"/>
      <c r="BF14" s="27"/>
      <c r="BG14" s="27"/>
      <c r="BH14" s="27"/>
      <c r="BI14" s="27"/>
      <c r="BJ14" s="27"/>
      <c r="BK14" s="27"/>
      <c r="BL14" s="12"/>
      <c r="BM14" s="27"/>
      <c r="BN14" s="27"/>
      <c r="BO14" s="27"/>
      <c r="BP14" s="27"/>
      <c r="BQ14" s="27"/>
      <c r="BR14" s="27"/>
      <c r="BS14" s="27"/>
      <c r="BT14" s="27"/>
      <c r="BU14" s="27"/>
      <c r="BV14" s="29">
        <v>16</v>
      </c>
      <c r="BW14" s="77">
        <f>AVERAGE('Shuttle Bids'!AN737,'Shuttle Bids'!AN841,'Shuttle Bids'!AN789)</f>
        <v>200</v>
      </c>
      <c r="BX14" s="77">
        <f>AVERAGE('Shuttle Bids'!AO737,'Shuttle Bids'!AO841,'Shuttle Bids'!AO789)</f>
        <v>562.5</v>
      </c>
      <c r="BY14" s="78">
        <f>AVERAGE('Shuttle Bids'!AP737,'Shuttle Bids'!AP841,'Shuttle Bids'!AP789)</f>
        <v>493.75</v>
      </c>
      <c r="BZ14" s="72">
        <v>20</v>
      </c>
      <c r="CA14" s="77">
        <f>AVERAGE('Shuttle Bids'!AR740,'Shuttle Bids'!AR844,'Shuttle Bids'!AR792)</f>
        <v>575</v>
      </c>
      <c r="CB14" s="77"/>
      <c r="CC14" s="77">
        <f>AVERAGE('Shuttle Bids'!AT740,'Shuttle Bids'!AT844,'Shuttle Bids'!AT792)</f>
        <v>575</v>
      </c>
      <c r="CD14" s="72">
        <f>+CD13+1</f>
        <v>27</v>
      </c>
      <c r="CE14" s="77"/>
      <c r="CF14" s="77"/>
      <c r="CG14" s="77"/>
    </row>
    <row r="15" spans="1:85" x14ac:dyDescent="0.25">
      <c r="A15" s="12">
        <f t="shared" ref="A15:A23" si="0">+A16-1</f>
        <v>27</v>
      </c>
      <c r="B15" s="85"/>
      <c r="C15" s="85"/>
      <c r="D15" s="83"/>
      <c r="E15" s="72"/>
      <c r="F15" s="72"/>
      <c r="G15" s="80"/>
      <c r="H15" s="72"/>
      <c r="I15" s="72"/>
      <c r="J15" s="80"/>
      <c r="K15" s="12"/>
      <c r="L15" s="27"/>
      <c r="M15" s="27"/>
      <c r="N15" s="44"/>
      <c r="O15" s="27"/>
      <c r="P15" s="27"/>
      <c r="Q15" s="27"/>
      <c r="R15" s="27"/>
      <c r="S15" s="27"/>
      <c r="T15" s="27"/>
      <c r="U15" s="12"/>
      <c r="V15" s="27"/>
      <c r="W15" s="27"/>
      <c r="X15" s="27"/>
      <c r="Y15" s="27"/>
      <c r="Z15" s="27"/>
      <c r="AA15" s="27"/>
      <c r="AB15" s="27"/>
      <c r="AC15" s="27"/>
      <c r="AD15" s="27"/>
      <c r="AE15" s="12">
        <v>17</v>
      </c>
      <c r="AF15" s="77"/>
      <c r="AG15" s="77">
        <f>AVERAGE('Non-shuttle Bids'!AO738,'Non-shuttle Bids'!AO842,'Non-shuttle Bids'!AO790)</f>
        <v>93</v>
      </c>
      <c r="AH15" s="78">
        <f>AVERAGE('Non-shuttle Bids'!AP738,'Non-shuttle Bids'!AP842,'Non-shuttle Bids'!AP790)</f>
        <v>93</v>
      </c>
      <c r="AI15" s="72">
        <v>21</v>
      </c>
      <c r="AJ15" s="77"/>
      <c r="AK15" s="77"/>
      <c r="AL15" s="77"/>
      <c r="AM15" s="72">
        <f t="shared" ref="AM15:AM35" si="1">+AM14+1</f>
        <v>28</v>
      </c>
      <c r="AN15" s="77">
        <f>AVERAGE('Non-shuttle Bids'!AV800,'Non-shuttle Bids'!AV696,'Non-shuttle Bids'!AV748)</f>
        <v>200</v>
      </c>
      <c r="AO15" s="77"/>
      <c r="AP15" s="144">
        <f>AVERAGE('Non-shuttle Bids'!AX800,'Non-shuttle Bids'!AX696,'Non-shuttle Bids'!AX748)</f>
        <v>200</v>
      </c>
      <c r="AR15" s="12">
        <v>27</v>
      </c>
      <c r="AS15" s="100"/>
      <c r="AT15" s="100"/>
      <c r="AU15" s="78"/>
      <c r="AV15" s="27"/>
      <c r="AW15" s="27"/>
      <c r="AX15" s="27"/>
      <c r="AY15" s="27"/>
      <c r="AZ15" s="27"/>
      <c r="BA15" s="27"/>
      <c r="BB15" s="12"/>
      <c r="BC15" s="27"/>
      <c r="BD15" s="27"/>
      <c r="BE15" s="27"/>
      <c r="BF15" s="27"/>
      <c r="BG15" s="27"/>
      <c r="BH15" s="27"/>
      <c r="BI15" s="27"/>
      <c r="BJ15" s="27"/>
      <c r="BK15" s="27"/>
      <c r="BL15" s="12"/>
      <c r="BM15" s="27"/>
      <c r="BN15" s="27"/>
      <c r="BO15" s="27"/>
      <c r="BP15" s="27"/>
      <c r="BQ15" s="27"/>
      <c r="BR15" s="27"/>
      <c r="BS15" s="27"/>
      <c r="BT15" s="27"/>
      <c r="BU15" s="27"/>
      <c r="BV15" s="12">
        <v>17</v>
      </c>
      <c r="BW15" s="77">
        <f>AVERAGE('Shuttle Bids'!AN738,'Shuttle Bids'!AN842,'Shuttle Bids'!AN790)</f>
        <v>500</v>
      </c>
      <c r="BX15" s="77">
        <f>AVERAGE('Shuttle Bids'!AO738,'Shuttle Bids'!AO842,'Shuttle Bids'!AO790)</f>
        <v>575</v>
      </c>
      <c r="BY15" s="78">
        <f>AVERAGE('Shuttle Bids'!AP738,'Shuttle Bids'!AP842,'Shuttle Bids'!AP790)</f>
        <v>575</v>
      </c>
      <c r="BZ15" s="72">
        <v>21</v>
      </c>
      <c r="CA15" s="77">
        <f>AVERAGE('Shuttle Bids'!AR741,'Shuttle Bids'!AR845,'Shuttle Bids'!AR793)</f>
        <v>575</v>
      </c>
      <c r="CB15" s="77"/>
      <c r="CC15" s="77">
        <f>AVERAGE('Shuttle Bids'!AT741,'Shuttle Bids'!AT845,'Shuttle Bids'!AT793)</f>
        <v>575</v>
      </c>
      <c r="CD15" s="72">
        <f t="shared" ref="CD15:CD35" si="2">+CD14+1</f>
        <v>28</v>
      </c>
      <c r="CE15" s="77"/>
      <c r="CF15" s="77"/>
      <c r="CG15" s="77"/>
    </row>
    <row r="16" spans="1:85" x14ac:dyDescent="0.25">
      <c r="A16" s="12">
        <f t="shared" si="0"/>
        <v>28</v>
      </c>
      <c r="B16" s="85"/>
      <c r="C16" s="85"/>
      <c r="D16" s="83"/>
      <c r="E16" s="12"/>
      <c r="F16" s="12"/>
      <c r="G16" s="80"/>
      <c r="H16" s="72"/>
      <c r="I16" s="72"/>
      <c r="J16" s="80"/>
      <c r="K16" s="12"/>
      <c r="L16" s="27"/>
      <c r="M16" s="27"/>
      <c r="N16" s="44"/>
      <c r="O16" s="27"/>
      <c r="P16" s="27"/>
      <c r="Q16" s="27"/>
      <c r="R16" s="27"/>
      <c r="S16" s="27"/>
      <c r="T16" s="27"/>
      <c r="U16" s="12"/>
      <c r="V16" s="27"/>
      <c r="W16" s="27"/>
      <c r="X16" s="27"/>
      <c r="Y16" s="27"/>
      <c r="Z16" s="27"/>
      <c r="AA16" s="27"/>
      <c r="AB16" s="27"/>
      <c r="AC16" s="27"/>
      <c r="AD16" s="27"/>
      <c r="AE16" s="12">
        <f t="shared" ref="AE16:AE38" si="3">+AE15+1</f>
        <v>18</v>
      </c>
      <c r="AF16" s="77"/>
      <c r="AG16" s="77">
        <f>AVERAGE('Non-shuttle Bids'!AO739,'Non-shuttle Bids'!AO843,'Non-shuttle Bids'!AO791)</f>
        <v>93</v>
      </c>
      <c r="AH16" s="78">
        <f>AVERAGE('Non-shuttle Bids'!AP739,'Non-shuttle Bids'!AP843,'Non-shuttle Bids'!AP791)</f>
        <v>93</v>
      </c>
      <c r="AI16" s="72">
        <f>+AI15+1</f>
        <v>22</v>
      </c>
      <c r="AJ16" s="77"/>
      <c r="AK16" s="77"/>
      <c r="AL16" s="77"/>
      <c r="AM16" s="72">
        <f t="shared" si="1"/>
        <v>29</v>
      </c>
      <c r="AN16" s="77">
        <f>AVERAGE('Non-shuttle Bids'!AV801,'Non-shuttle Bids'!AV697,'Non-shuttle Bids'!AV749)</f>
        <v>200</v>
      </c>
      <c r="AO16" s="77"/>
      <c r="AP16" s="144">
        <f>AVERAGE('Non-shuttle Bids'!AX801,'Non-shuttle Bids'!AX697,'Non-shuttle Bids'!AX749)</f>
        <v>200</v>
      </c>
      <c r="AR16" s="12">
        <v>28</v>
      </c>
      <c r="AS16" s="100"/>
      <c r="AT16" s="100"/>
      <c r="AU16" s="78"/>
      <c r="AV16" s="27"/>
      <c r="AW16" s="27"/>
      <c r="AX16" s="27"/>
      <c r="AY16" s="27"/>
      <c r="AZ16" s="27"/>
      <c r="BA16" s="27"/>
      <c r="BB16" s="12"/>
      <c r="BC16" s="27"/>
      <c r="BD16" s="27"/>
      <c r="BE16" s="27"/>
      <c r="BF16" s="27"/>
      <c r="BG16" s="27"/>
      <c r="BH16" s="27"/>
      <c r="BI16" s="27"/>
      <c r="BJ16" s="27"/>
      <c r="BK16" s="27"/>
      <c r="BL16" s="12"/>
      <c r="BM16" s="27"/>
      <c r="BN16" s="27"/>
      <c r="BO16" s="27"/>
      <c r="BP16" s="27"/>
      <c r="BQ16" s="27"/>
      <c r="BR16" s="27"/>
      <c r="BS16" s="27"/>
      <c r="BT16" s="27"/>
      <c r="BU16" s="27"/>
      <c r="BV16" s="12">
        <f t="shared" ref="BV16:BV38" si="4">+BV15+1</f>
        <v>18</v>
      </c>
      <c r="BW16" s="77">
        <f>AVERAGE('Shuttle Bids'!AN739,'Shuttle Bids'!AN843,'Shuttle Bids'!AN791)</f>
        <v>700</v>
      </c>
      <c r="BX16" s="77">
        <f>AVERAGE('Shuttle Bids'!AO739,'Shuttle Bids'!AO843,'Shuttle Bids'!AO791)</f>
        <v>625</v>
      </c>
      <c r="BY16" s="78">
        <f>AVERAGE('Shuttle Bids'!AP739,'Shuttle Bids'!AP843,'Shuttle Bids'!AP791)</f>
        <v>675</v>
      </c>
      <c r="BZ16" s="72">
        <f>+BZ15+1</f>
        <v>22</v>
      </c>
      <c r="CA16" s="77">
        <f>AVERAGE('Shuttle Bids'!AR742,'Shuttle Bids'!AR846,'Shuttle Bids'!AR794)</f>
        <v>600</v>
      </c>
      <c r="CB16" s="77"/>
      <c r="CC16" s="77">
        <f>AVERAGE('Shuttle Bids'!AT742,'Shuttle Bids'!AT846,'Shuttle Bids'!AT794)</f>
        <v>600</v>
      </c>
      <c r="CD16" s="72">
        <f t="shared" si="2"/>
        <v>29</v>
      </c>
      <c r="CE16" s="77">
        <f>AVERAGE('Shuttle Bids'!AV749,'Shuttle Bids'!AV697,'Shuttle Bids'!AV801)</f>
        <v>-25</v>
      </c>
      <c r="CF16" s="77">
        <f>AVERAGE('Shuttle Bids'!AW749,'Shuttle Bids'!AW697,'Shuttle Bids'!AW801)</f>
        <v>0</v>
      </c>
      <c r="CG16" s="77">
        <f>AVERAGE('Shuttle Bids'!AX749,'Shuttle Bids'!AX697,'Shuttle Bids'!AX801)</f>
        <v>-12.5</v>
      </c>
    </row>
    <row r="17" spans="1:85" x14ac:dyDescent="0.25">
      <c r="A17" s="12">
        <f t="shared" si="0"/>
        <v>29</v>
      </c>
      <c r="B17" s="85"/>
      <c r="C17" s="85"/>
      <c r="D17" s="83"/>
      <c r="E17" s="12"/>
      <c r="F17" s="12"/>
      <c r="G17" s="80"/>
      <c r="H17" s="72"/>
      <c r="I17" s="72"/>
      <c r="J17" s="80"/>
      <c r="K17" s="12"/>
      <c r="L17" s="27"/>
      <c r="M17" s="27"/>
      <c r="N17" s="44"/>
      <c r="O17" s="27"/>
      <c r="P17" s="27"/>
      <c r="Q17" s="27"/>
      <c r="R17" s="27"/>
      <c r="S17" s="27"/>
      <c r="T17" s="27"/>
      <c r="U17" s="12"/>
      <c r="V17" s="27"/>
      <c r="W17" s="27"/>
      <c r="X17" s="27"/>
      <c r="Y17" s="27"/>
      <c r="Z17" s="27"/>
      <c r="AA17" s="27"/>
      <c r="AB17" s="27"/>
      <c r="AC17" s="27"/>
      <c r="AD17" s="27"/>
      <c r="AE17" s="12">
        <f t="shared" si="3"/>
        <v>19</v>
      </c>
      <c r="AF17" s="77"/>
      <c r="AG17" s="77">
        <f>AVERAGE('Non-shuttle Bids'!AO740,'Non-shuttle Bids'!AO844,'Non-shuttle Bids'!AO792)</f>
        <v>93</v>
      </c>
      <c r="AH17" s="78">
        <f>AVERAGE('Non-shuttle Bids'!AP740,'Non-shuttle Bids'!AP844,'Non-shuttle Bids'!AP792)</f>
        <v>93</v>
      </c>
      <c r="AI17" s="72">
        <f t="shared" ref="AI17:AI38" si="5">+AI16+1</f>
        <v>23</v>
      </c>
      <c r="AJ17" s="77"/>
      <c r="AK17" s="77"/>
      <c r="AL17" s="77"/>
      <c r="AM17" s="72">
        <f t="shared" si="1"/>
        <v>30</v>
      </c>
      <c r="AN17" s="77">
        <f>AVERAGE('Non-shuttle Bids'!AV802,'Non-shuttle Bids'!AV698,'Non-shuttle Bids'!AV750)</f>
        <v>200</v>
      </c>
      <c r="AO17" s="77"/>
      <c r="AP17" s="144">
        <f>AVERAGE('Non-shuttle Bids'!AX802,'Non-shuttle Bids'!AX698,'Non-shuttle Bids'!AX750)</f>
        <v>200</v>
      </c>
      <c r="AR17" s="12">
        <v>29</v>
      </c>
      <c r="AS17" s="100"/>
      <c r="AT17" s="100"/>
      <c r="AU17" s="78"/>
      <c r="AV17" s="27"/>
      <c r="AW17" s="27"/>
      <c r="AX17" s="27"/>
      <c r="AY17" s="27"/>
      <c r="AZ17" s="27"/>
      <c r="BA17" s="27"/>
      <c r="BB17" s="12"/>
      <c r="BC17" s="27"/>
      <c r="BD17" s="27"/>
      <c r="BE17" s="27"/>
      <c r="BF17" s="27"/>
      <c r="BG17" s="27"/>
      <c r="BH17" s="27"/>
      <c r="BI17" s="27"/>
      <c r="BJ17" s="27"/>
      <c r="BK17" s="27"/>
      <c r="BL17" s="12"/>
      <c r="BM17" s="27"/>
      <c r="BN17" s="27"/>
      <c r="BO17" s="27"/>
      <c r="BP17" s="27"/>
      <c r="BQ17" s="27"/>
      <c r="BR17" s="27"/>
      <c r="BS17" s="27"/>
      <c r="BT17" s="27"/>
      <c r="BU17" s="27"/>
      <c r="BV17" s="12">
        <f t="shared" si="4"/>
        <v>19</v>
      </c>
      <c r="BW17" s="77"/>
      <c r="BX17" s="77">
        <f>AVERAGE('Shuttle Bids'!AO740,'Shuttle Bids'!AO844,'Shuttle Bids'!AO792)</f>
        <v>625</v>
      </c>
      <c r="BY17" s="78">
        <f>AVERAGE('Shuttle Bids'!AP740,'Shuttle Bids'!AP844,'Shuttle Bids'!AP792)</f>
        <v>625</v>
      </c>
      <c r="BZ17" s="72">
        <f t="shared" ref="BZ17:BZ38" si="6">+BZ16+1</f>
        <v>23</v>
      </c>
      <c r="CA17" s="77"/>
      <c r="CB17" s="77"/>
      <c r="CC17" s="77"/>
      <c r="CD17" s="72">
        <f t="shared" si="2"/>
        <v>30</v>
      </c>
      <c r="CE17" s="77"/>
      <c r="CF17" s="77">
        <f>AVERAGE('Shuttle Bids'!AW750,'Shuttle Bids'!AW698,'Shuttle Bids'!AW802)</f>
        <v>0</v>
      </c>
      <c r="CG17" s="77">
        <f>AVERAGE('Shuttle Bids'!AX750,'Shuttle Bids'!AX698,'Shuttle Bids'!AX802)</f>
        <v>0</v>
      </c>
    </row>
    <row r="18" spans="1:85" x14ac:dyDescent="0.25">
      <c r="A18" s="12">
        <f t="shared" si="0"/>
        <v>30</v>
      </c>
      <c r="B18" s="85"/>
      <c r="C18" s="85"/>
      <c r="D18" s="83"/>
      <c r="E18" s="100"/>
      <c r="F18" s="100"/>
      <c r="G18" s="83"/>
      <c r="H18" s="72"/>
      <c r="I18" s="72"/>
      <c r="J18" s="80"/>
      <c r="K18" s="12"/>
      <c r="L18" s="27"/>
      <c r="M18" s="27"/>
      <c r="N18" s="44"/>
      <c r="O18" s="27"/>
      <c r="P18" s="27"/>
      <c r="Q18" s="27"/>
      <c r="R18" s="27"/>
      <c r="S18" s="27"/>
      <c r="T18" s="27"/>
      <c r="U18" s="12"/>
      <c r="V18" s="27"/>
      <c r="W18" s="27"/>
      <c r="X18" s="27"/>
      <c r="Y18" s="27"/>
      <c r="Z18" s="27"/>
      <c r="AA18" s="27"/>
      <c r="AB18" s="27"/>
      <c r="AC18" s="27"/>
      <c r="AD18" s="27"/>
      <c r="AE18" s="12">
        <f t="shared" si="3"/>
        <v>20</v>
      </c>
      <c r="AF18" s="77"/>
      <c r="AG18" s="77">
        <f>AVERAGE('Non-shuttle Bids'!AO741,'Non-shuttle Bids'!AO845,'Non-shuttle Bids'!AO793)</f>
        <v>93</v>
      </c>
      <c r="AH18" s="78">
        <f>AVERAGE('Non-shuttle Bids'!AP741,'Non-shuttle Bids'!AP845,'Non-shuttle Bids'!AP793)</f>
        <v>93</v>
      </c>
      <c r="AI18" s="72">
        <f t="shared" si="5"/>
        <v>24</v>
      </c>
      <c r="AJ18" s="77"/>
      <c r="AK18" s="77"/>
      <c r="AL18" s="77"/>
      <c r="AM18" s="72">
        <f t="shared" si="1"/>
        <v>31</v>
      </c>
      <c r="AN18" s="77">
        <f>AVERAGE('Non-shuttle Bids'!AV803,'Non-shuttle Bids'!AV699,'Non-shuttle Bids'!AV751)</f>
        <v>200</v>
      </c>
      <c r="AO18" s="77"/>
      <c r="AP18" s="144">
        <f>AVERAGE('Non-shuttle Bids'!AX803,'Non-shuttle Bids'!AX699,'Non-shuttle Bids'!AX751)</f>
        <v>200</v>
      </c>
      <c r="AR18" s="12">
        <v>30</v>
      </c>
      <c r="AS18" s="100"/>
      <c r="AT18" s="100"/>
      <c r="AU18" s="78"/>
      <c r="AV18" s="100"/>
      <c r="AW18" s="100"/>
      <c r="AX18" s="78"/>
      <c r="AY18" s="27"/>
      <c r="AZ18" s="27"/>
      <c r="BA18" s="27"/>
      <c r="BB18" s="12"/>
      <c r="BC18" s="27"/>
      <c r="BD18" s="27"/>
      <c r="BE18" s="27"/>
      <c r="BF18" s="27"/>
      <c r="BG18" s="27"/>
      <c r="BH18" s="27"/>
      <c r="BI18" s="27"/>
      <c r="BJ18" s="27"/>
      <c r="BK18" s="27"/>
      <c r="BL18" s="12"/>
      <c r="BM18" s="27"/>
      <c r="BN18" s="27"/>
      <c r="BO18" s="27"/>
      <c r="BP18" s="27"/>
      <c r="BQ18" s="27"/>
      <c r="BR18" s="27"/>
      <c r="BS18" s="27"/>
      <c r="BT18" s="27"/>
      <c r="BU18" s="27"/>
      <c r="BV18" s="12">
        <f t="shared" si="4"/>
        <v>20</v>
      </c>
      <c r="BW18" s="77"/>
      <c r="BX18" s="77">
        <f>AVERAGE('Shuttle Bids'!AO741,'Shuttle Bids'!AO845,'Shuttle Bids'!AO793)</f>
        <v>550</v>
      </c>
      <c r="BY18" s="78">
        <f>AVERAGE('Shuttle Bids'!AP741,'Shuttle Bids'!AP845,'Shuttle Bids'!AP793)</f>
        <v>550</v>
      </c>
      <c r="BZ18" s="72">
        <f t="shared" si="6"/>
        <v>24</v>
      </c>
      <c r="CA18" s="77"/>
      <c r="CB18" s="77"/>
      <c r="CC18" s="77"/>
      <c r="CD18" s="72">
        <f t="shared" si="2"/>
        <v>31</v>
      </c>
      <c r="CE18" s="77">
        <f>AVERAGE('Shuttle Bids'!AV751,'Shuttle Bids'!AV699,'Shuttle Bids'!AV803)</f>
        <v>250</v>
      </c>
      <c r="CF18" s="77">
        <f>AVERAGE('Shuttle Bids'!AW751,'Shuttle Bids'!AW699,'Shuttle Bids'!AW803)</f>
        <v>0</v>
      </c>
      <c r="CG18" s="77">
        <f>AVERAGE('Shuttle Bids'!AX751,'Shuttle Bids'!AX699,'Shuttle Bids'!AX803)</f>
        <v>125</v>
      </c>
    </row>
    <row r="19" spans="1:85" x14ac:dyDescent="0.25">
      <c r="A19" s="12">
        <f t="shared" si="0"/>
        <v>31</v>
      </c>
      <c r="B19" s="85"/>
      <c r="C19" s="85"/>
      <c r="D19" s="83"/>
      <c r="E19" s="100"/>
      <c r="F19" s="100"/>
      <c r="G19" s="83"/>
      <c r="H19" s="72"/>
      <c r="I19" s="72"/>
      <c r="J19" s="80"/>
      <c r="K19" s="12"/>
      <c r="L19" s="27"/>
      <c r="M19" s="27"/>
      <c r="N19" s="44"/>
      <c r="O19" s="27"/>
      <c r="P19" s="27"/>
      <c r="Q19" s="27"/>
      <c r="R19" s="27"/>
      <c r="S19" s="27"/>
      <c r="T19" s="27"/>
      <c r="U19" s="12"/>
      <c r="V19" s="27"/>
      <c r="W19" s="27"/>
      <c r="X19" s="27"/>
      <c r="Y19" s="27"/>
      <c r="Z19" s="27"/>
      <c r="AA19" s="27"/>
      <c r="AB19" s="27"/>
      <c r="AC19" s="27"/>
      <c r="AD19" s="27"/>
      <c r="AE19" s="12">
        <f t="shared" si="3"/>
        <v>21</v>
      </c>
      <c r="AF19" s="77"/>
      <c r="AG19" s="77">
        <f>AVERAGE('Non-shuttle Bids'!AO742,'Non-shuttle Bids'!AO846,'Non-shuttle Bids'!AO794)</f>
        <v>100</v>
      </c>
      <c r="AH19" s="78">
        <f>AVERAGE('Non-shuttle Bids'!AP742,'Non-shuttle Bids'!AP846,'Non-shuttle Bids'!AP794)</f>
        <v>100</v>
      </c>
      <c r="AI19" s="72">
        <f t="shared" si="5"/>
        <v>25</v>
      </c>
      <c r="AJ19" s="77"/>
      <c r="AK19" s="77"/>
      <c r="AL19" s="77"/>
      <c r="AM19" s="72">
        <f t="shared" si="1"/>
        <v>32</v>
      </c>
      <c r="AN19" s="77">
        <f>AVERAGE('Non-shuttle Bids'!AV804,'Non-shuttle Bids'!AV700,'Non-shuttle Bids'!AV752)</f>
        <v>200</v>
      </c>
      <c r="AO19" s="77"/>
      <c r="AP19" s="144">
        <f>AVERAGE('Non-shuttle Bids'!AX804,'Non-shuttle Bids'!AX700,'Non-shuttle Bids'!AX752)</f>
        <v>200</v>
      </c>
      <c r="AR19" s="12">
        <v>31</v>
      </c>
      <c r="AS19" s="100"/>
      <c r="AT19" s="100"/>
      <c r="AU19" s="78"/>
      <c r="AV19" s="100"/>
      <c r="AW19" s="100"/>
      <c r="AX19" s="78"/>
      <c r="AY19" s="27"/>
      <c r="AZ19" s="27"/>
      <c r="BA19" s="27"/>
      <c r="BB19" s="12"/>
      <c r="BC19" s="27"/>
      <c r="BD19" s="27"/>
      <c r="BE19" s="27"/>
      <c r="BF19" s="27"/>
      <c r="BG19" s="27"/>
      <c r="BH19" s="27"/>
      <c r="BI19" s="27"/>
      <c r="BJ19" s="27"/>
      <c r="BK19" s="27"/>
      <c r="BL19" s="12"/>
      <c r="BM19" s="27"/>
      <c r="BN19" s="27"/>
      <c r="BO19" s="27"/>
      <c r="BP19" s="27"/>
      <c r="BQ19" s="27"/>
      <c r="BR19" s="27"/>
      <c r="BS19" s="27"/>
      <c r="BT19" s="27"/>
      <c r="BU19" s="27"/>
      <c r="BV19" s="12">
        <f t="shared" si="4"/>
        <v>21</v>
      </c>
      <c r="BW19" s="77"/>
      <c r="BX19" s="77">
        <f>AVERAGE('Shuttle Bids'!AO742,'Shuttle Bids'!AO846,'Shuttle Bids'!AO794)</f>
        <v>587.5</v>
      </c>
      <c r="BY19" s="78">
        <f>AVERAGE('Shuttle Bids'!AP742,'Shuttle Bids'!AP846,'Shuttle Bids'!AP794)</f>
        <v>587.5</v>
      </c>
      <c r="BZ19" s="72">
        <f t="shared" si="6"/>
        <v>25</v>
      </c>
      <c r="CA19" s="77"/>
      <c r="CB19" s="77"/>
      <c r="CC19" s="77"/>
      <c r="CD19" s="72">
        <f t="shared" si="2"/>
        <v>32</v>
      </c>
      <c r="CE19" s="77">
        <f>AVERAGE('Shuttle Bids'!AV752,'Shuttle Bids'!AV700,'Shuttle Bids'!AV804)</f>
        <v>400</v>
      </c>
      <c r="CF19" s="77">
        <f>AVERAGE('Shuttle Bids'!AW752,'Shuttle Bids'!AW700,'Shuttle Bids'!AW804)</f>
        <v>-100</v>
      </c>
      <c r="CG19" s="77">
        <f>AVERAGE('Shuttle Bids'!AX752,'Shuttle Bids'!AX700,'Shuttle Bids'!AX804)</f>
        <v>150</v>
      </c>
    </row>
    <row r="20" spans="1:85" x14ac:dyDescent="0.25">
      <c r="A20" s="12">
        <f t="shared" si="0"/>
        <v>32</v>
      </c>
      <c r="B20" s="85"/>
      <c r="C20" s="85"/>
      <c r="D20" s="83"/>
      <c r="E20" s="100"/>
      <c r="F20" s="100"/>
      <c r="G20" s="83"/>
      <c r="H20" s="72"/>
      <c r="I20" s="72"/>
      <c r="J20" s="80"/>
      <c r="K20" s="12"/>
      <c r="L20" s="27"/>
      <c r="M20" s="27"/>
      <c r="N20" s="44"/>
      <c r="O20" s="27"/>
      <c r="P20" s="27"/>
      <c r="Q20" s="27"/>
      <c r="R20" s="27"/>
      <c r="S20" s="27"/>
      <c r="T20" s="27"/>
      <c r="U20" s="12"/>
      <c r="V20" s="27"/>
      <c r="W20" s="27"/>
      <c r="X20" s="27"/>
      <c r="Y20" s="27"/>
      <c r="Z20" s="27"/>
      <c r="AA20" s="27"/>
      <c r="AB20" s="27"/>
      <c r="AC20" s="27"/>
      <c r="AD20" s="27"/>
      <c r="AE20" s="12">
        <f t="shared" si="3"/>
        <v>22</v>
      </c>
      <c r="AF20" s="77"/>
      <c r="AG20" s="77">
        <f>AVERAGE('Non-shuttle Bids'!AO743,'Non-shuttle Bids'!AO847,'Non-shuttle Bids'!AO795)</f>
        <v>100</v>
      </c>
      <c r="AH20" s="78">
        <f>AVERAGE('Non-shuttle Bids'!AP743,'Non-shuttle Bids'!AP847,'Non-shuttle Bids'!AP795)</f>
        <v>100</v>
      </c>
      <c r="AI20" s="72">
        <f t="shared" si="5"/>
        <v>26</v>
      </c>
      <c r="AJ20" s="77"/>
      <c r="AK20" s="77"/>
      <c r="AL20" s="77"/>
      <c r="AM20" s="72">
        <f t="shared" si="1"/>
        <v>33</v>
      </c>
      <c r="AN20" s="77">
        <f>AVERAGE('Non-shuttle Bids'!AV805,'Non-shuttle Bids'!AV701,'Non-shuttle Bids'!AV753)</f>
        <v>200</v>
      </c>
      <c r="AO20" s="77"/>
      <c r="AP20" s="144">
        <f>AVERAGE('Non-shuttle Bids'!AX805,'Non-shuttle Bids'!AX701,'Non-shuttle Bids'!AX753)</f>
        <v>200</v>
      </c>
      <c r="AR20" s="12">
        <v>32</v>
      </c>
      <c r="AS20" s="100"/>
      <c r="AT20" s="100"/>
      <c r="AU20" s="78"/>
      <c r="AV20" s="100"/>
      <c r="AW20" s="100"/>
      <c r="AX20" s="78"/>
      <c r="AY20" s="27"/>
      <c r="AZ20" s="27"/>
      <c r="BA20" s="27"/>
      <c r="BB20" s="12"/>
      <c r="BC20" s="27"/>
      <c r="BD20" s="27"/>
      <c r="BE20" s="27"/>
      <c r="BF20" s="27"/>
      <c r="BG20" s="27"/>
      <c r="BH20" s="27"/>
      <c r="BI20" s="27"/>
      <c r="BJ20" s="27"/>
      <c r="BK20" s="27"/>
      <c r="BL20" s="12"/>
      <c r="BM20" s="27"/>
      <c r="BN20" s="27"/>
      <c r="BO20" s="27"/>
      <c r="BP20" s="27"/>
      <c r="BQ20" s="27"/>
      <c r="BR20" s="27"/>
      <c r="BS20" s="27"/>
      <c r="BT20" s="27"/>
      <c r="BU20" s="27"/>
      <c r="BV20" s="12">
        <f t="shared" si="4"/>
        <v>22</v>
      </c>
      <c r="BW20" s="77"/>
      <c r="BX20" s="77">
        <f>AVERAGE('Shuttle Bids'!AO743,'Shuttle Bids'!AO847,'Shuttle Bids'!AO795)</f>
        <v>575</v>
      </c>
      <c r="BY20" s="78">
        <f>AVERAGE('Shuttle Bids'!AP743,'Shuttle Bids'!AP847,'Shuttle Bids'!AP795)</f>
        <v>575</v>
      </c>
      <c r="BZ20" s="72">
        <f t="shared" si="6"/>
        <v>26</v>
      </c>
      <c r="CA20" s="77"/>
      <c r="CB20" s="77"/>
      <c r="CC20" s="77"/>
      <c r="CD20" s="72">
        <f t="shared" si="2"/>
        <v>33</v>
      </c>
      <c r="CE20" s="77">
        <f>AVERAGE('Shuttle Bids'!AV753,'Shuttle Bids'!AV701,'Shuttle Bids'!AV805)</f>
        <v>450</v>
      </c>
      <c r="CF20" s="77">
        <f>AVERAGE('Shuttle Bids'!AW753,'Shuttle Bids'!AW701,'Shuttle Bids'!AW805)</f>
        <v>150</v>
      </c>
      <c r="CG20" s="77">
        <f>AVERAGE('Shuttle Bids'!AX753,'Shuttle Bids'!AX701,'Shuttle Bids'!AX805)</f>
        <v>162.5</v>
      </c>
    </row>
    <row r="21" spans="1:85" x14ac:dyDescent="0.25">
      <c r="A21" s="12">
        <f t="shared" si="0"/>
        <v>33</v>
      </c>
      <c r="B21" s="85"/>
      <c r="C21" s="85"/>
      <c r="D21" s="83"/>
      <c r="E21" s="100"/>
      <c r="F21" s="100"/>
      <c r="G21" s="83"/>
      <c r="H21" s="77"/>
      <c r="I21" s="77"/>
      <c r="J21" s="87"/>
      <c r="K21" s="12"/>
      <c r="L21" s="27"/>
      <c r="M21" s="27"/>
      <c r="N21" s="44"/>
      <c r="O21" s="27"/>
      <c r="P21" s="27"/>
      <c r="Q21" s="27"/>
      <c r="R21" s="27"/>
      <c r="S21" s="27"/>
      <c r="T21" s="27"/>
      <c r="U21" s="12"/>
      <c r="V21" s="27"/>
      <c r="W21" s="27"/>
      <c r="X21" s="27"/>
      <c r="Y21" s="27"/>
      <c r="Z21" s="27"/>
      <c r="AA21" s="27"/>
      <c r="AB21" s="27"/>
      <c r="AC21" s="27"/>
      <c r="AD21" s="27"/>
      <c r="AE21" s="12">
        <f t="shared" si="3"/>
        <v>23</v>
      </c>
      <c r="AF21" s="77"/>
      <c r="AG21" s="77">
        <f>AVERAGE('Non-shuttle Bids'!AO744,'Non-shuttle Bids'!AO848,'Non-shuttle Bids'!AO796)</f>
        <v>138</v>
      </c>
      <c r="AH21" s="78">
        <f>AVERAGE('Non-shuttle Bids'!AP744,'Non-shuttle Bids'!AP848,'Non-shuttle Bids'!AP796)</f>
        <v>138</v>
      </c>
      <c r="AI21" s="72">
        <f t="shared" si="5"/>
        <v>27</v>
      </c>
      <c r="AJ21" s="77"/>
      <c r="AK21" s="77"/>
      <c r="AL21" s="77"/>
      <c r="AM21" s="72">
        <f t="shared" si="1"/>
        <v>34</v>
      </c>
      <c r="AN21" s="77"/>
      <c r="AO21" s="77"/>
      <c r="AP21" s="144"/>
      <c r="AR21" s="12">
        <v>33</v>
      </c>
      <c r="AS21" s="100"/>
      <c r="AT21" s="100"/>
      <c r="AU21" s="78"/>
      <c r="AV21" s="100"/>
      <c r="AW21" s="100"/>
      <c r="AX21" s="78"/>
      <c r="AY21" s="100"/>
      <c r="AZ21" s="100"/>
      <c r="BA21" s="78"/>
      <c r="BB21" s="12"/>
      <c r="BC21" s="27"/>
      <c r="BD21" s="27"/>
      <c r="BE21" s="27"/>
      <c r="BF21" s="27"/>
      <c r="BG21" s="27"/>
      <c r="BH21" s="27"/>
      <c r="BI21" s="27"/>
      <c r="BJ21" s="27"/>
      <c r="BK21" s="27"/>
      <c r="BL21" s="12"/>
      <c r="BM21" s="27"/>
      <c r="BN21" s="27"/>
      <c r="BO21" s="27"/>
      <c r="BP21" s="27"/>
      <c r="BQ21" s="27"/>
      <c r="BR21" s="27"/>
      <c r="BS21" s="27"/>
      <c r="BT21" s="27"/>
      <c r="BU21" s="27"/>
      <c r="BV21" s="12">
        <f t="shared" si="4"/>
        <v>23</v>
      </c>
      <c r="BW21" s="77"/>
      <c r="BX21" s="77">
        <f>AVERAGE('Shuttle Bids'!AO744,'Shuttle Bids'!AO848,'Shuttle Bids'!AO796)</f>
        <v>512.5</v>
      </c>
      <c r="BY21" s="78">
        <f>AVERAGE('Shuttle Bids'!AP744,'Shuttle Bids'!AP848,'Shuttle Bids'!AP796)</f>
        <v>512.5</v>
      </c>
      <c r="BZ21" s="72">
        <f t="shared" si="6"/>
        <v>27</v>
      </c>
      <c r="CA21" s="77"/>
      <c r="CB21" s="77"/>
      <c r="CC21" s="77"/>
      <c r="CD21" s="72">
        <f t="shared" si="2"/>
        <v>34</v>
      </c>
      <c r="CE21" s="77">
        <f>AVERAGE('Shuttle Bids'!AV754,'Shuttle Bids'!AV702,'Shuttle Bids'!AV806)</f>
        <v>450</v>
      </c>
      <c r="CF21" s="77">
        <f>AVERAGE('Shuttle Bids'!AW754,'Shuttle Bids'!AW702,'Shuttle Bids'!AW806)</f>
        <v>50</v>
      </c>
      <c r="CG21" s="77">
        <f>AVERAGE('Shuttle Bids'!AX754,'Shuttle Bids'!AX702,'Shuttle Bids'!AX806)</f>
        <v>58.333333333333336</v>
      </c>
    </row>
    <row r="22" spans="1:85" x14ac:dyDescent="0.25">
      <c r="A22" s="12">
        <f t="shared" si="0"/>
        <v>34</v>
      </c>
      <c r="B22" s="85"/>
      <c r="C22" s="85"/>
      <c r="D22" s="83"/>
      <c r="E22" s="100"/>
      <c r="F22" s="100"/>
      <c r="G22" s="83"/>
      <c r="H22" s="77"/>
      <c r="I22" s="77"/>
      <c r="J22" s="78"/>
      <c r="K22" s="12"/>
      <c r="L22" s="27"/>
      <c r="M22" s="27"/>
      <c r="N22" s="44"/>
      <c r="O22" s="27"/>
      <c r="P22" s="27"/>
      <c r="Q22" s="27"/>
      <c r="R22" s="27"/>
      <c r="S22" s="27"/>
      <c r="T22" s="27"/>
      <c r="U22" s="12"/>
      <c r="V22" s="27"/>
      <c r="W22" s="27"/>
      <c r="X22" s="27"/>
      <c r="Y22" s="27"/>
      <c r="Z22" s="27"/>
      <c r="AA22" s="27"/>
      <c r="AB22" s="27"/>
      <c r="AC22" s="27"/>
      <c r="AD22" s="27"/>
      <c r="AE22" s="12">
        <f t="shared" si="3"/>
        <v>24</v>
      </c>
      <c r="AF22" s="77"/>
      <c r="AG22" s="77">
        <f>AVERAGE('Non-shuttle Bids'!AO745,'Non-shuttle Bids'!AO849,'Non-shuttle Bids'!AO797)</f>
        <v>100</v>
      </c>
      <c r="AH22" s="78">
        <f>AVERAGE('Non-shuttle Bids'!AP745,'Non-shuttle Bids'!AP849,'Non-shuttle Bids'!AP797)</f>
        <v>100</v>
      </c>
      <c r="AI22" s="72">
        <f t="shared" si="5"/>
        <v>28</v>
      </c>
      <c r="AJ22" s="77">
        <f>AVERAGE('Non-shuttle Bids'!AR800,'Non-shuttle Bids'!AR852,'Non-shuttle Bids'!AR748)</f>
        <v>300</v>
      </c>
      <c r="AK22" s="77"/>
      <c r="AL22" s="77">
        <f>AVERAGE('Non-shuttle Bids'!AT800,'Non-shuttle Bids'!AT852,'Non-shuttle Bids'!AT748)</f>
        <v>300</v>
      </c>
      <c r="AM22" s="72">
        <f t="shared" si="1"/>
        <v>35</v>
      </c>
      <c r="AN22" s="77"/>
      <c r="AO22" s="77"/>
      <c r="AP22" s="144"/>
      <c r="AR22" s="12">
        <v>34</v>
      </c>
      <c r="AS22" s="100"/>
      <c r="AT22" s="100"/>
      <c r="AU22" s="78"/>
      <c r="AV22" s="100"/>
      <c r="AW22" s="100"/>
      <c r="AX22" s="78"/>
      <c r="AY22" s="100"/>
      <c r="AZ22" s="100"/>
      <c r="BA22" s="78"/>
      <c r="BB22" s="12"/>
      <c r="BC22" s="27"/>
      <c r="BD22" s="27"/>
      <c r="BE22" s="27"/>
      <c r="BF22" s="27"/>
      <c r="BG22" s="27"/>
      <c r="BH22" s="27"/>
      <c r="BI22" s="27"/>
      <c r="BJ22" s="27"/>
      <c r="BK22" s="27"/>
      <c r="BL22" s="12"/>
      <c r="BM22" s="27"/>
      <c r="BN22" s="27"/>
      <c r="BO22" s="27"/>
      <c r="BP22" s="27"/>
      <c r="BQ22" s="27"/>
      <c r="BR22" s="27"/>
      <c r="BS22" s="27"/>
      <c r="BT22" s="27"/>
      <c r="BU22" s="27"/>
      <c r="BV22" s="12">
        <f t="shared" si="4"/>
        <v>24</v>
      </c>
      <c r="BW22" s="77"/>
      <c r="BX22" s="77">
        <f>AVERAGE('Shuttle Bids'!AO745,'Shuttle Bids'!AO849,'Shuttle Bids'!AO797)</f>
        <v>412.5</v>
      </c>
      <c r="BY22" s="78">
        <f>AVERAGE('Shuttle Bids'!AP745,'Shuttle Bids'!AP849,'Shuttle Bids'!AP797)</f>
        <v>412.5</v>
      </c>
      <c r="BZ22" s="72">
        <f t="shared" si="6"/>
        <v>28</v>
      </c>
      <c r="CA22" s="77">
        <f>AVERAGE('Shuttle Bids'!AR748,'Shuttle Bids'!AR852,'Shuttle Bids'!AR800)</f>
        <v>450</v>
      </c>
      <c r="CB22" s="77"/>
      <c r="CC22" s="77">
        <f>AVERAGE('Shuttle Bids'!AT748,'Shuttle Bids'!AT852,'Shuttle Bids'!AT800)</f>
        <v>450</v>
      </c>
      <c r="CD22" s="72">
        <f t="shared" si="2"/>
        <v>35</v>
      </c>
      <c r="CE22" s="77">
        <f>AVERAGE('Shuttle Bids'!AV755,'Shuttle Bids'!AV703,'Shuttle Bids'!AV807)</f>
        <v>500</v>
      </c>
      <c r="CF22" s="77">
        <f>AVERAGE('Shuttle Bids'!AW755,'Shuttle Bids'!AW703,'Shuttle Bids'!AW807)</f>
        <v>37.5</v>
      </c>
      <c r="CG22" s="77">
        <f>AVERAGE('Shuttle Bids'!AX755,'Shuttle Bids'!AX703,'Shuttle Bids'!AX807)</f>
        <v>112.5</v>
      </c>
    </row>
    <row r="23" spans="1:85" x14ac:dyDescent="0.25">
      <c r="A23" s="12">
        <f t="shared" si="0"/>
        <v>35</v>
      </c>
      <c r="B23" s="85"/>
      <c r="C23" s="85"/>
      <c r="D23" s="83"/>
      <c r="E23" s="100"/>
      <c r="F23" s="100"/>
      <c r="G23" s="83"/>
      <c r="H23" s="77"/>
      <c r="I23" s="77"/>
      <c r="J23" s="78"/>
      <c r="K23" s="12"/>
      <c r="L23" s="72"/>
      <c r="M23" s="72"/>
      <c r="N23" s="44"/>
      <c r="O23" s="27"/>
      <c r="P23" s="27"/>
      <c r="Q23" s="27"/>
      <c r="R23" s="27"/>
      <c r="S23" s="27"/>
      <c r="T23" s="27"/>
      <c r="U23" s="12"/>
      <c r="V23" s="27"/>
      <c r="W23" s="27"/>
      <c r="X23" s="27"/>
      <c r="Y23" s="27"/>
      <c r="Z23" s="27"/>
      <c r="AA23" s="27"/>
      <c r="AB23" s="27"/>
      <c r="AC23" s="27"/>
      <c r="AD23" s="27"/>
      <c r="AE23" s="12">
        <f t="shared" si="3"/>
        <v>25</v>
      </c>
      <c r="AF23" s="77"/>
      <c r="AG23" s="77">
        <f>AVERAGE('Non-shuttle Bids'!AO746,'Non-shuttle Bids'!AO850,'Non-shuttle Bids'!AO798)</f>
        <v>100</v>
      </c>
      <c r="AH23" s="78">
        <f>AVERAGE('Non-shuttle Bids'!AP746,'Non-shuttle Bids'!AP850,'Non-shuttle Bids'!AP798)</f>
        <v>100</v>
      </c>
      <c r="AI23" s="72">
        <f t="shared" si="5"/>
        <v>29</v>
      </c>
      <c r="AJ23" s="77">
        <f>AVERAGE('Non-shuttle Bids'!AR801,'Non-shuttle Bids'!AR853,'Non-shuttle Bids'!AR749)</f>
        <v>300</v>
      </c>
      <c r="AK23" s="77"/>
      <c r="AL23" s="77">
        <f>AVERAGE('Non-shuttle Bids'!AT801,'Non-shuttle Bids'!AT853,'Non-shuttle Bids'!AT749)</f>
        <v>300</v>
      </c>
      <c r="AM23" s="72">
        <f t="shared" si="1"/>
        <v>36</v>
      </c>
      <c r="AN23" s="77"/>
      <c r="AO23" s="77"/>
      <c r="AP23" s="144"/>
      <c r="AR23" s="12">
        <v>35</v>
      </c>
      <c r="AS23" s="100"/>
      <c r="AT23" s="100"/>
      <c r="AU23" s="78"/>
      <c r="AV23" s="100"/>
      <c r="AW23" s="100"/>
      <c r="AX23" s="78"/>
      <c r="AY23" s="100"/>
      <c r="AZ23" s="100"/>
      <c r="BA23" s="78"/>
      <c r="BB23" s="12"/>
      <c r="BC23" s="27"/>
      <c r="BD23" s="27"/>
      <c r="BE23" s="27"/>
      <c r="BF23" s="27"/>
      <c r="BG23" s="27"/>
      <c r="BH23" s="27"/>
      <c r="BI23" s="27"/>
      <c r="BJ23" s="27"/>
      <c r="BK23" s="27"/>
      <c r="BL23" s="12"/>
      <c r="BM23" s="27"/>
      <c r="BN23" s="27"/>
      <c r="BO23" s="27"/>
      <c r="BP23" s="27"/>
      <c r="BQ23" s="27"/>
      <c r="BR23" s="27"/>
      <c r="BS23" s="27"/>
      <c r="BT23" s="27"/>
      <c r="BU23" s="27"/>
      <c r="BV23" s="12">
        <f t="shared" si="4"/>
        <v>25</v>
      </c>
      <c r="BW23" s="77"/>
      <c r="BX23" s="77">
        <f>AVERAGE('Shuttle Bids'!AO746,'Shuttle Bids'!AO850,'Shuttle Bids'!AO798)</f>
        <v>394</v>
      </c>
      <c r="BY23" s="78">
        <f>AVERAGE('Shuttle Bids'!AP746,'Shuttle Bids'!AP850,'Shuttle Bids'!AP798)</f>
        <v>394</v>
      </c>
      <c r="BZ23" s="72">
        <f t="shared" si="6"/>
        <v>29</v>
      </c>
      <c r="CA23" s="77">
        <f>AVERAGE('Shuttle Bids'!AR749,'Shuttle Bids'!AR853,'Shuttle Bids'!AR801)</f>
        <v>325</v>
      </c>
      <c r="CB23" s="77">
        <f>AVERAGE('Shuttle Bids'!AS749,'Shuttle Bids'!AS853,'Shuttle Bids'!AS801)</f>
        <v>263</v>
      </c>
      <c r="CC23" s="77">
        <f>AVERAGE('Shuttle Bids'!AT749,'Shuttle Bids'!AT853,'Shuttle Bids'!AT801)</f>
        <v>290.75</v>
      </c>
      <c r="CD23" s="72">
        <f t="shared" si="2"/>
        <v>36</v>
      </c>
      <c r="CE23" s="77">
        <f>AVERAGE('Shuttle Bids'!AV756,'Shuttle Bids'!AV704,'Shuttle Bids'!AV808)</f>
        <v>600</v>
      </c>
      <c r="CF23" s="77">
        <f>AVERAGE('Shuttle Bids'!AW756,'Shuttle Bids'!AW704,'Shuttle Bids'!AW808)</f>
        <v>0</v>
      </c>
      <c r="CG23" s="77">
        <f>AVERAGE('Shuttle Bids'!AX756,'Shuttle Bids'!AX704,'Shuttle Bids'!AX808)</f>
        <v>112.5</v>
      </c>
    </row>
    <row r="24" spans="1:85" x14ac:dyDescent="0.25">
      <c r="A24" s="12">
        <f>+A25-1</f>
        <v>36</v>
      </c>
      <c r="B24" s="85"/>
      <c r="C24" s="85"/>
      <c r="D24" s="83"/>
      <c r="E24" s="100"/>
      <c r="F24" s="100"/>
      <c r="G24" s="83"/>
      <c r="H24" s="77"/>
      <c r="I24" s="77"/>
      <c r="J24" s="78"/>
      <c r="K24" s="12"/>
      <c r="L24" s="72"/>
      <c r="M24" s="72"/>
      <c r="N24" s="44"/>
      <c r="O24" s="27"/>
      <c r="P24" s="27"/>
      <c r="Q24" s="27"/>
      <c r="R24" s="27"/>
      <c r="S24" s="27"/>
      <c r="T24" s="27"/>
      <c r="U24" s="12"/>
      <c r="V24" s="27"/>
      <c r="W24" s="27"/>
      <c r="X24" s="27"/>
      <c r="Y24" s="27"/>
      <c r="Z24" s="27"/>
      <c r="AA24" s="27"/>
      <c r="AB24" s="27"/>
      <c r="AC24" s="27"/>
      <c r="AD24" s="27"/>
      <c r="AE24" s="12">
        <f t="shared" si="3"/>
        <v>26</v>
      </c>
      <c r="AF24" s="77"/>
      <c r="AG24" s="77">
        <f>AVERAGE('Non-shuttle Bids'!AO747,'Non-shuttle Bids'!AO851,'Non-shuttle Bids'!AO799)</f>
        <v>100</v>
      </c>
      <c r="AH24" s="78">
        <f>AVERAGE('Non-shuttle Bids'!AP747,'Non-shuttle Bids'!AP851,'Non-shuttle Bids'!AP799)</f>
        <v>100</v>
      </c>
      <c r="AI24" s="72">
        <f t="shared" si="5"/>
        <v>30</v>
      </c>
      <c r="AJ24" s="77">
        <f>AVERAGE('Non-shuttle Bids'!AR802,'Non-shuttle Bids'!AR854,'Non-shuttle Bids'!AR750)</f>
        <v>300</v>
      </c>
      <c r="AK24" s="77"/>
      <c r="AL24" s="77">
        <f>AVERAGE('Non-shuttle Bids'!AT802,'Non-shuttle Bids'!AT854,'Non-shuttle Bids'!AT750)</f>
        <v>300</v>
      </c>
      <c r="AM24" s="72">
        <f t="shared" si="1"/>
        <v>37</v>
      </c>
      <c r="AN24" s="77">
        <f>AVERAGE('Non-shuttle Bids'!AV809,'Non-shuttle Bids'!AV705,'Non-shuttle Bids'!AV757)</f>
        <v>400</v>
      </c>
      <c r="AO24" s="77"/>
      <c r="AP24" s="144">
        <f>AVERAGE('Non-shuttle Bids'!AX809,'Non-shuttle Bids'!AX705,'Non-shuttle Bids'!AX757)</f>
        <v>400</v>
      </c>
      <c r="AR24" s="12">
        <v>36</v>
      </c>
      <c r="AS24" s="100"/>
      <c r="AT24" s="100"/>
      <c r="AU24" s="78"/>
      <c r="AV24" s="100"/>
      <c r="AW24" s="100"/>
      <c r="AX24" s="78"/>
      <c r="AY24" s="100"/>
      <c r="AZ24" s="100"/>
      <c r="BA24" s="78"/>
      <c r="BB24" s="12"/>
      <c r="BC24" s="28"/>
      <c r="BD24" s="28"/>
      <c r="BE24" s="28"/>
      <c r="BF24" s="28"/>
      <c r="BG24" s="28"/>
      <c r="BH24" s="28"/>
      <c r="BI24" s="28"/>
      <c r="BJ24" s="27"/>
      <c r="BK24" s="27"/>
      <c r="BL24" s="12"/>
      <c r="BM24" s="27"/>
      <c r="BN24" s="27"/>
      <c r="BO24" s="27"/>
      <c r="BP24" s="27"/>
      <c r="BQ24" s="27"/>
      <c r="BR24" s="27"/>
      <c r="BS24" s="27"/>
      <c r="BT24" s="27"/>
      <c r="BU24" s="27"/>
      <c r="BV24" s="12">
        <f t="shared" si="4"/>
        <v>26</v>
      </c>
      <c r="BW24" s="77">
        <f>AVERAGE('Shuttle Bids'!AN747,'Shuttle Bids'!AN851,'Shuttle Bids'!AN799)</f>
        <v>100</v>
      </c>
      <c r="BX24" s="77">
        <f>AVERAGE('Shuttle Bids'!AO747,'Shuttle Bids'!AO851,'Shuttle Bids'!AO799)</f>
        <v>441.66666666666669</v>
      </c>
      <c r="BY24" s="78">
        <f>AVERAGE('Shuttle Bids'!AP747,'Shuttle Bids'!AP851,'Shuttle Bids'!AP799)</f>
        <v>408.33333333333331</v>
      </c>
      <c r="BZ24" s="72">
        <f t="shared" si="6"/>
        <v>30</v>
      </c>
      <c r="CA24" s="77">
        <f>AVERAGE('Shuttle Bids'!AR750,'Shuttle Bids'!AR854,'Shuttle Bids'!AR802)</f>
        <v>400</v>
      </c>
      <c r="CB24" s="77">
        <f>AVERAGE('Shuttle Bids'!AS750,'Shuttle Bids'!AS854,'Shuttle Bids'!AS802)</f>
        <v>250</v>
      </c>
      <c r="CC24" s="77">
        <f>AVERAGE('Shuttle Bids'!AT750,'Shuttle Bids'!AT854,'Shuttle Bids'!AT802)</f>
        <v>325</v>
      </c>
      <c r="CD24" s="72">
        <f t="shared" si="2"/>
        <v>37</v>
      </c>
      <c r="CE24" s="77"/>
      <c r="CF24" s="77">
        <f>AVERAGE('Shuttle Bids'!AW757,'Shuttle Bids'!AW705,'Shuttle Bids'!AW809)</f>
        <v>-33.333333333333336</v>
      </c>
      <c r="CG24" s="77">
        <f>AVERAGE('Shuttle Bids'!AX757,'Shuttle Bids'!AX705,'Shuttle Bids'!AX809)</f>
        <v>-33.333333333333336</v>
      </c>
    </row>
    <row r="25" spans="1:85" x14ac:dyDescent="0.25">
      <c r="A25" s="12">
        <f>+'Non-shuttle Bids'!A131</f>
        <v>37</v>
      </c>
      <c r="B25" s="85"/>
      <c r="C25" s="85"/>
      <c r="D25" s="83"/>
      <c r="E25" s="100"/>
      <c r="F25" s="100"/>
      <c r="G25" s="83"/>
      <c r="H25" s="77"/>
      <c r="I25" s="77"/>
      <c r="J25" s="78"/>
      <c r="K25" s="12"/>
      <c r="L25" s="72"/>
      <c r="M25" s="72"/>
      <c r="N25" s="44"/>
      <c r="O25" s="27"/>
      <c r="P25" s="27"/>
      <c r="Q25" s="27"/>
      <c r="R25" s="27"/>
      <c r="S25" s="27"/>
      <c r="T25" s="27"/>
      <c r="U25" s="12"/>
      <c r="V25" s="27"/>
      <c r="W25" s="27"/>
      <c r="X25" s="27"/>
      <c r="Y25" s="27"/>
      <c r="Z25" s="27"/>
      <c r="AA25" s="27"/>
      <c r="AB25" s="27"/>
      <c r="AC25" s="27"/>
      <c r="AD25" s="27"/>
      <c r="AE25" s="12">
        <f t="shared" si="3"/>
        <v>27</v>
      </c>
      <c r="AF25" s="77">
        <f>AVERAGE('Non-shuttle Bids'!AN748,'Non-shuttle Bids'!AN852,'Non-shuttle Bids'!AN800)</f>
        <v>400</v>
      </c>
      <c r="AG25" s="77">
        <f>AVERAGE('Non-shuttle Bids'!AO748,'Non-shuttle Bids'!AO852,'Non-shuttle Bids'!AO800)</f>
        <v>100</v>
      </c>
      <c r="AH25" s="78">
        <f>AVERAGE('Non-shuttle Bids'!AP748,'Non-shuttle Bids'!AP852,'Non-shuttle Bids'!AP800)</f>
        <v>250</v>
      </c>
      <c r="AI25" s="72">
        <f t="shared" si="5"/>
        <v>31</v>
      </c>
      <c r="AJ25" s="77">
        <f>AVERAGE('Non-shuttle Bids'!AR803,'Non-shuttle Bids'!AR855,'Non-shuttle Bids'!AR751)</f>
        <v>300</v>
      </c>
      <c r="AK25" s="77"/>
      <c r="AL25" s="77">
        <f>AVERAGE('Non-shuttle Bids'!AT803,'Non-shuttle Bids'!AT855,'Non-shuttle Bids'!AT751)</f>
        <v>300</v>
      </c>
      <c r="AM25" s="72">
        <f t="shared" si="1"/>
        <v>38</v>
      </c>
      <c r="AN25" s="77">
        <f>AVERAGE('Non-shuttle Bids'!AV810,'Non-shuttle Bids'!AV706,'Non-shuttle Bids'!AV758)</f>
        <v>200</v>
      </c>
      <c r="AO25" s="77"/>
      <c r="AP25" s="144">
        <f>AVERAGE('Non-shuttle Bids'!AX810,'Non-shuttle Bids'!AX706,'Non-shuttle Bids'!AX758)</f>
        <v>200</v>
      </c>
      <c r="AR25" s="12">
        <v>37</v>
      </c>
      <c r="AS25" s="100"/>
      <c r="AT25" s="100"/>
      <c r="AU25" s="78"/>
      <c r="AV25" s="100"/>
      <c r="AW25" s="100"/>
      <c r="AX25" s="78"/>
      <c r="AY25" s="100"/>
      <c r="AZ25" s="100"/>
      <c r="BA25" s="78"/>
      <c r="BB25" s="12"/>
      <c r="BC25" s="28"/>
      <c r="BD25" s="28"/>
      <c r="BE25" s="28"/>
      <c r="BF25" s="28"/>
      <c r="BG25" s="28"/>
      <c r="BH25" s="28"/>
      <c r="BI25" s="28"/>
      <c r="BJ25" s="27"/>
      <c r="BK25" s="27"/>
      <c r="BL25" s="12"/>
      <c r="BM25" s="27"/>
      <c r="BN25" s="27"/>
      <c r="BO25" s="27"/>
      <c r="BP25" s="27"/>
      <c r="BQ25" s="27"/>
      <c r="BR25" s="27"/>
      <c r="BS25" s="27"/>
      <c r="BT25" s="27"/>
      <c r="BU25" s="27"/>
      <c r="BV25" s="12">
        <f t="shared" si="4"/>
        <v>27</v>
      </c>
      <c r="BW25" s="77"/>
      <c r="BX25" s="77">
        <f>AVERAGE('Shuttle Bids'!AO748,'Shuttle Bids'!AO852,'Shuttle Bids'!AO800)</f>
        <v>391.66666666666669</v>
      </c>
      <c r="BY25" s="78">
        <f>AVERAGE('Shuttle Bids'!AP748,'Shuttle Bids'!AP852,'Shuttle Bids'!AP800)</f>
        <v>391.66666666666669</v>
      </c>
      <c r="BZ25" s="72">
        <f t="shared" si="6"/>
        <v>31</v>
      </c>
      <c r="CA25" s="77"/>
      <c r="CB25" s="77"/>
      <c r="CC25" s="77"/>
      <c r="CD25" s="72">
        <f t="shared" si="2"/>
        <v>38</v>
      </c>
      <c r="CE25" s="77">
        <f>AVERAGE('Shuttle Bids'!AV758,'Shuttle Bids'!AV706,'Shuttle Bids'!AV810)</f>
        <v>-169</v>
      </c>
      <c r="CF25" s="77">
        <f>AVERAGE('Shuttle Bids'!AW758,'Shuttle Bids'!AW706,'Shuttle Bids'!AW810)</f>
        <v>-66.666666666666671</v>
      </c>
      <c r="CG25" s="77">
        <f>AVERAGE('Shuttle Bids'!AX758,'Shuttle Bids'!AX706,'Shuttle Bids'!AX810)</f>
        <v>-114.66666666666667</v>
      </c>
    </row>
    <row r="26" spans="1:85" x14ac:dyDescent="0.25">
      <c r="A26" s="12">
        <f>+'Non-shuttle Bids'!A132</f>
        <v>38</v>
      </c>
      <c r="B26" s="85"/>
      <c r="C26" s="85"/>
      <c r="D26" s="83"/>
      <c r="E26" s="100"/>
      <c r="F26" s="100"/>
      <c r="G26" s="83"/>
      <c r="H26" s="77"/>
      <c r="I26" s="77"/>
      <c r="J26" s="78"/>
      <c r="K26" s="12">
        <v>38</v>
      </c>
      <c r="L26" s="77"/>
      <c r="M26" s="77"/>
      <c r="N26" s="78"/>
      <c r="O26" s="27"/>
      <c r="P26" s="27"/>
      <c r="Q26" s="27"/>
      <c r="R26" s="27"/>
      <c r="S26" s="27"/>
      <c r="T26" s="27"/>
      <c r="U26" s="12"/>
      <c r="V26" s="27"/>
      <c r="W26" s="27"/>
      <c r="X26" s="27"/>
      <c r="Y26" s="27"/>
      <c r="Z26" s="27"/>
      <c r="AA26" s="27"/>
      <c r="AB26" s="27"/>
      <c r="AC26" s="27"/>
      <c r="AD26" s="27"/>
      <c r="AE26" s="12">
        <f t="shared" si="3"/>
        <v>28</v>
      </c>
      <c r="AF26" s="77">
        <f>AVERAGE('Non-shuttle Bids'!AN749,'Non-shuttle Bids'!AN853,'Non-shuttle Bids'!AN801)</f>
        <v>400</v>
      </c>
      <c r="AG26" s="77">
        <f>AVERAGE('Non-shuttle Bids'!AO749,'Non-shuttle Bids'!AO853,'Non-shuttle Bids'!AO801)</f>
        <v>100</v>
      </c>
      <c r="AH26" s="78">
        <f>AVERAGE('Non-shuttle Bids'!AP749,'Non-shuttle Bids'!AP853,'Non-shuttle Bids'!AP801)</f>
        <v>250</v>
      </c>
      <c r="AI26" s="72">
        <f t="shared" si="5"/>
        <v>32</v>
      </c>
      <c r="AJ26" s="77">
        <f>AVERAGE('Non-shuttle Bids'!AR804,'Non-shuttle Bids'!AR856,'Non-shuttle Bids'!AR752)</f>
        <v>300</v>
      </c>
      <c r="AK26" s="77"/>
      <c r="AL26" s="77">
        <f>AVERAGE('Non-shuttle Bids'!AT804,'Non-shuttle Bids'!AT856,'Non-shuttle Bids'!AT752)</f>
        <v>300</v>
      </c>
      <c r="AM26" s="72">
        <f t="shared" si="1"/>
        <v>39</v>
      </c>
      <c r="AN26" s="77">
        <f>AVERAGE('Non-shuttle Bids'!AV811,'Non-shuttle Bids'!AV707,'Non-shuttle Bids'!AV759)</f>
        <v>250</v>
      </c>
      <c r="AO26" s="77"/>
      <c r="AP26" s="144">
        <f>AVERAGE('Non-shuttle Bids'!AX811,'Non-shuttle Bids'!AX707,'Non-shuttle Bids'!AX759)</f>
        <v>250</v>
      </c>
      <c r="AR26" s="12">
        <v>38</v>
      </c>
      <c r="AS26" s="100"/>
      <c r="AT26" s="100"/>
      <c r="AU26" s="78"/>
      <c r="AV26" s="100"/>
      <c r="AW26" s="100"/>
      <c r="AX26" s="78"/>
      <c r="AY26" s="100"/>
      <c r="AZ26" s="100"/>
      <c r="BA26" s="78"/>
      <c r="BB26" s="12">
        <v>38</v>
      </c>
      <c r="BC26" s="100"/>
      <c r="BD26" s="100"/>
      <c r="BE26" s="78"/>
      <c r="BF26" s="28"/>
      <c r="BG26" s="28"/>
      <c r="BH26" s="28"/>
      <c r="BI26" s="28"/>
      <c r="BJ26" s="27"/>
      <c r="BK26" s="27"/>
      <c r="BL26" s="12"/>
      <c r="BM26" s="27"/>
      <c r="BN26" s="27"/>
      <c r="BO26" s="27"/>
      <c r="BP26" s="27"/>
      <c r="BQ26" s="27"/>
      <c r="BR26" s="27"/>
      <c r="BS26" s="27"/>
      <c r="BT26" s="27"/>
      <c r="BU26" s="27"/>
      <c r="BV26" s="12">
        <f t="shared" si="4"/>
        <v>28</v>
      </c>
      <c r="BW26" s="77">
        <f>AVERAGE('Shuttle Bids'!AN749,'Shuttle Bids'!AN853,'Shuttle Bids'!AN801)</f>
        <v>300</v>
      </c>
      <c r="BX26" s="77">
        <f>AVERAGE('Shuttle Bids'!AO749,'Shuttle Bids'!AO853,'Shuttle Bids'!AO801)</f>
        <v>375</v>
      </c>
      <c r="BY26" s="78">
        <f>AVERAGE('Shuttle Bids'!AP749,'Shuttle Bids'!AP853,'Shuttle Bids'!AP801)</f>
        <v>350</v>
      </c>
      <c r="BZ26" s="72">
        <f t="shared" si="6"/>
        <v>32</v>
      </c>
      <c r="CA26" s="77"/>
      <c r="CB26" s="77">
        <f>AVERAGE('Shuttle Bids'!AS752,'Shuttle Bids'!AS856,'Shuttle Bids'!AS804)</f>
        <v>250</v>
      </c>
      <c r="CC26" s="77">
        <f>AVERAGE('Shuttle Bids'!AT752,'Shuttle Bids'!AT856,'Shuttle Bids'!AT804)</f>
        <v>250</v>
      </c>
      <c r="CD26" s="72">
        <f t="shared" si="2"/>
        <v>39</v>
      </c>
      <c r="CE26" s="77">
        <f>AVERAGE('Shuttle Bids'!AV759,'Shuttle Bids'!AV707,'Shuttle Bids'!AV811)</f>
        <v>-141.66666666666666</v>
      </c>
      <c r="CF26" s="77">
        <f>AVERAGE('Shuttle Bids'!AW759,'Shuttle Bids'!AW707,'Shuttle Bids'!AW811)</f>
        <v>-116.66666666666667</v>
      </c>
      <c r="CG26" s="77">
        <f>AVERAGE('Shuttle Bids'!AX759,'Shuttle Bids'!AX707,'Shuttle Bids'!AX811)</f>
        <v>-129.16666666666666</v>
      </c>
    </row>
    <row r="27" spans="1:85" x14ac:dyDescent="0.25">
      <c r="A27" s="12">
        <f>+'Non-shuttle Bids'!A133</f>
        <v>39</v>
      </c>
      <c r="B27" s="85"/>
      <c r="C27" s="85"/>
      <c r="D27" s="83"/>
      <c r="E27" s="100"/>
      <c r="F27" s="100"/>
      <c r="G27" s="83"/>
      <c r="H27" s="77"/>
      <c r="I27" s="77"/>
      <c r="J27" s="78"/>
      <c r="K27" s="12">
        <v>39</v>
      </c>
      <c r="L27" s="77"/>
      <c r="M27" s="77"/>
      <c r="N27" s="78"/>
      <c r="O27" s="27"/>
      <c r="P27" s="27"/>
      <c r="Q27" s="27"/>
      <c r="R27" s="27"/>
      <c r="S27" s="27"/>
      <c r="T27" s="27"/>
      <c r="U27" s="12"/>
      <c r="V27" s="27"/>
      <c r="W27" s="27"/>
      <c r="X27" s="27"/>
      <c r="Y27" s="27"/>
      <c r="Z27" s="27"/>
      <c r="AA27" s="27"/>
      <c r="AB27" s="27"/>
      <c r="AC27" s="27"/>
      <c r="AD27" s="27"/>
      <c r="AE27" s="12">
        <f t="shared" si="3"/>
        <v>29</v>
      </c>
      <c r="AF27" s="77">
        <f>AVERAGE('Non-shuttle Bids'!AN750,'Non-shuttle Bids'!AN854,'Non-shuttle Bids'!AN802)</f>
        <v>400</v>
      </c>
      <c r="AG27" s="77">
        <f>AVERAGE('Non-shuttle Bids'!AO750,'Non-shuttle Bids'!AO854,'Non-shuttle Bids'!AO802)</f>
        <v>100</v>
      </c>
      <c r="AH27" s="78">
        <f>AVERAGE('Non-shuttle Bids'!AP750,'Non-shuttle Bids'!AP854,'Non-shuttle Bids'!AP802)</f>
        <v>250</v>
      </c>
      <c r="AI27" s="72">
        <f t="shared" si="5"/>
        <v>33</v>
      </c>
      <c r="AJ27" s="77">
        <f>AVERAGE('Non-shuttle Bids'!AR805,'Non-shuttle Bids'!AR857,'Non-shuttle Bids'!AR753)</f>
        <v>300</v>
      </c>
      <c r="AK27" s="77"/>
      <c r="AL27" s="77">
        <f>AVERAGE('Non-shuttle Bids'!AT805,'Non-shuttle Bids'!AT857,'Non-shuttle Bids'!AT753)</f>
        <v>300</v>
      </c>
      <c r="AM27" s="72">
        <f t="shared" si="1"/>
        <v>40</v>
      </c>
      <c r="AN27" s="77">
        <f>AVERAGE('Non-shuttle Bids'!AV812,'Non-shuttle Bids'!AV708,'Non-shuttle Bids'!AV760)</f>
        <v>166.66666666666666</v>
      </c>
      <c r="AO27" s="77">
        <f>AVERAGE('Non-shuttle Bids'!AW812,'Non-shuttle Bids'!AW708,'Non-shuttle Bids'!AW760)</f>
        <v>100</v>
      </c>
      <c r="AP27" s="144">
        <f>AVERAGE('Non-shuttle Bids'!AX812,'Non-shuttle Bids'!AX708,'Non-shuttle Bids'!AX760)</f>
        <v>100</v>
      </c>
      <c r="AR27" s="12">
        <v>39</v>
      </c>
      <c r="AS27" s="100"/>
      <c r="AT27" s="100"/>
      <c r="AU27" s="78"/>
      <c r="AV27" s="100"/>
      <c r="AW27" s="100"/>
      <c r="AX27" s="78"/>
      <c r="AY27" s="100"/>
      <c r="AZ27" s="100"/>
      <c r="BA27" s="78"/>
      <c r="BB27" s="12">
        <v>39</v>
      </c>
      <c r="BC27" s="100"/>
      <c r="BD27" s="100"/>
      <c r="BE27" s="78"/>
      <c r="BF27" s="28"/>
      <c r="BG27" s="28"/>
      <c r="BH27" s="28"/>
      <c r="BI27" s="28"/>
      <c r="BJ27" s="27"/>
      <c r="BK27" s="27"/>
      <c r="BL27" s="12"/>
      <c r="BM27" s="27"/>
      <c r="BN27" s="27"/>
      <c r="BO27" s="27"/>
      <c r="BP27" s="27"/>
      <c r="BQ27" s="27"/>
      <c r="BR27" s="27"/>
      <c r="BS27" s="27"/>
      <c r="BT27" s="27"/>
      <c r="BU27" s="27"/>
      <c r="BV27" s="12">
        <f t="shared" si="4"/>
        <v>29</v>
      </c>
      <c r="BW27" s="77">
        <f>AVERAGE('Shuttle Bids'!AN750,'Shuttle Bids'!AN854,'Shuttle Bids'!AN802)</f>
        <v>687.5</v>
      </c>
      <c r="BX27" s="77">
        <f>AVERAGE('Shuttle Bids'!AO750,'Shuttle Bids'!AO854,'Shuttle Bids'!AO802)</f>
        <v>325</v>
      </c>
      <c r="BY27" s="78">
        <f>AVERAGE('Shuttle Bids'!AP750,'Shuttle Bids'!AP854,'Shuttle Bids'!AP802)</f>
        <v>412.5</v>
      </c>
      <c r="BZ27" s="72">
        <f t="shared" si="6"/>
        <v>33</v>
      </c>
      <c r="CA27" s="77"/>
      <c r="CB27" s="77">
        <f>AVERAGE('Shuttle Bids'!AS753,'Shuttle Bids'!AS857,'Shuttle Bids'!AS805)</f>
        <v>250</v>
      </c>
      <c r="CC27" s="77">
        <f>AVERAGE('Shuttle Bids'!AT753,'Shuttle Bids'!AT857,'Shuttle Bids'!AT805)</f>
        <v>250</v>
      </c>
      <c r="CD27" s="72">
        <f t="shared" si="2"/>
        <v>40</v>
      </c>
      <c r="CE27" s="77">
        <f>AVERAGE('Shuttle Bids'!AV760,'Shuttle Bids'!AV708,'Shuttle Bids'!AV812)</f>
        <v>-50</v>
      </c>
      <c r="CF27" s="77">
        <f>AVERAGE('Shuttle Bids'!AW760,'Shuttle Bids'!AW708,'Shuttle Bids'!AW812)</f>
        <v>-108.33333333333333</v>
      </c>
      <c r="CG27" s="77">
        <f>AVERAGE('Shuttle Bids'!AX760,'Shuttle Bids'!AX708,'Shuttle Bids'!AX812)</f>
        <v>-100</v>
      </c>
    </row>
    <row r="28" spans="1:85" x14ac:dyDescent="0.25">
      <c r="A28" s="12">
        <f>+'Non-shuttle Bids'!A134</f>
        <v>40</v>
      </c>
      <c r="B28" s="85"/>
      <c r="C28" s="85"/>
      <c r="D28" s="83"/>
      <c r="E28" s="100"/>
      <c r="F28" s="100"/>
      <c r="G28" s="83"/>
      <c r="H28" s="77"/>
      <c r="I28" s="77"/>
      <c r="J28" s="78"/>
      <c r="K28" s="12">
        <v>40</v>
      </c>
      <c r="L28" s="77"/>
      <c r="M28" s="77"/>
      <c r="N28" s="78"/>
      <c r="O28" s="12"/>
      <c r="P28" s="12"/>
      <c r="Q28" s="27"/>
      <c r="R28" s="27"/>
      <c r="S28" s="27"/>
      <c r="T28" s="27"/>
      <c r="U28" s="12"/>
      <c r="V28" s="27"/>
      <c r="W28" s="27"/>
      <c r="X28" s="27"/>
      <c r="Y28" s="27"/>
      <c r="Z28" s="27"/>
      <c r="AA28" s="27"/>
      <c r="AB28" s="27"/>
      <c r="AC28" s="27"/>
      <c r="AD28" s="27"/>
      <c r="AE28" s="12">
        <f t="shared" si="3"/>
        <v>30</v>
      </c>
      <c r="AF28" s="77">
        <f>AVERAGE('Non-shuttle Bids'!AN751,'Non-shuttle Bids'!AN855,'Non-shuttle Bids'!AN803)</f>
        <v>400</v>
      </c>
      <c r="AG28" s="77">
        <f>AVERAGE('Non-shuttle Bids'!AO751,'Non-shuttle Bids'!AO855,'Non-shuttle Bids'!AO803)</f>
        <v>100</v>
      </c>
      <c r="AH28" s="78">
        <f>AVERAGE('Non-shuttle Bids'!AP751,'Non-shuttle Bids'!AP855,'Non-shuttle Bids'!AP803)</f>
        <v>250</v>
      </c>
      <c r="AI28" s="72">
        <f t="shared" si="5"/>
        <v>34</v>
      </c>
      <c r="AJ28" s="77"/>
      <c r="AK28" s="77"/>
      <c r="AL28" s="77"/>
      <c r="AM28" s="72">
        <f t="shared" si="1"/>
        <v>41</v>
      </c>
      <c r="AN28" s="77">
        <f>AVERAGE('Non-shuttle Bids'!AV813,'Non-shuttle Bids'!AV709,'Non-shuttle Bids'!AV761)</f>
        <v>166.66666666666666</v>
      </c>
      <c r="AO28" s="77">
        <f>AVERAGE('Non-shuttle Bids'!AW813,'Non-shuttle Bids'!AW709,'Non-shuttle Bids'!AW761)</f>
        <v>100</v>
      </c>
      <c r="AP28" s="144">
        <f>AVERAGE('Non-shuttle Bids'!AX813,'Non-shuttle Bids'!AX709,'Non-shuttle Bids'!AX761)</f>
        <v>100</v>
      </c>
      <c r="AR28" s="12">
        <v>40</v>
      </c>
      <c r="AS28" s="100"/>
      <c r="AT28" s="100">
        <f>AVERAGE('Shuttle Bids'!E709,'Shuttle Bids'!E761,'Shuttle Bids'!E813)</f>
        <v>-100</v>
      </c>
      <c r="AU28" s="78">
        <f>AVERAGE('Shuttle Bids'!F709,'Shuttle Bids'!F761,'Shuttle Bids'!F813)</f>
        <v>-100</v>
      </c>
      <c r="AV28" s="100"/>
      <c r="AW28" s="100"/>
      <c r="AX28" s="78"/>
      <c r="AY28" s="100"/>
      <c r="AZ28" s="100"/>
      <c r="BA28" s="78"/>
      <c r="BB28" s="12">
        <v>40</v>
      </c>
      <c r="BC28" s="100"/>
      <c r="BD28" s="100"/>
      <c r="BE28" s="78"/>
      <c r="BF28" s="28"/>
      <c r="BG28" s="28"/>
      <c r="BH28" s="28"/>
      <c r="BI28" s="28"/>
      <c r="BJ28" s="27"/>
      <c r="BK28" s="27"/>
      <c r="BL28" s="12"/>
      <c r="BM28" s="27"/>
      <c r="BN28" s="27"/>
      <c r="BO28" s="27"/>
      <c r="BP28" s="27"/>
      <c r="BQ28" s="27"/>
      <c r="BR28" s="27"/>
      <c r="BS28" s="27"/>
      <c r="BT28" s="27"/>
      <c r="BU28" s="27"/>
      <c r="BV28" s="12">
        <f t="shared" si="4"/>
        <v>30</v>
      </c>
      <c r="BW28" s="77"/>
      <c r="BX28" s="77">
        <f>AVERAGE('Shuttle Bids'!AO751,'Shuttle Bids'!AO855,'Shuttle Bids'!AO803)</f>
        <v>362.5</v>
      </c>
      <c r="BY28" s="78">
        <f>AVERAGE('Shuttle Bids'!AP751,'Shuttle Bids'!AP855,'Shuttle Bids'!AP803)</f>
        <v>362.5</v>
      </c>
      <c r="BZ28" s="72">
        <f t="shared" si="6"/>
        <v>34</v>
      </c>
      <c r="CA28" s="77">
        <f>AVERAGE('Shuttle Bids'!AR754,'Shuttle Bids'!AR858,'Shuttle Bids'!AR806)</f>
        <v>275</v>
      </c>
      <c r="CB28" s="77">
        <f>AVERAGE('Shuttle Bids'!AS754,'Shuttle Bids'!AS858,'Shuttle Bids'!AS806)</f>
        <v>250</v>
      </c>
      <c r="CC28" s="77">
        <f>AVERAGE('Shuttle Bids'!AT754,'Shuttle Bids'!AT858,'Shuttle Bids'!AT806)</f>
        <v>287.5</v>
      </c>
      <c r="CD28" s="72">
        <f t="shared" si="2"/>
        <v>41</v>
      </c>
      <c r="CE28" s="77">
        <f>AVERAGE('Shuttle Bids'!AV761,'Shuttle Bids'!AV709,'Shuttle Bids'!AV813)</f>
        <v>-225</v>
      </c>
      <c r="CF28" s="77">
        <f>AVERAGE('Shuttle Bids'!AW761,'Shuttle Bids'!AW709,'Shuttle Bids'!AW813)</f>
        <v>-112.66666666666667</v>
      </c>
      <c r="CG28" s="77">
        <f>AVERAGE('Shuttle Bids'!AX761,'Shuttle Bids'!AX709,'Shuttle Bids'!AX813)</f>
        <v>-137.66666666666666</v>
      </c>
    </row>
    <row r="29" spans="1:85" x14ac:dyDescent="0.25">
      <c r="A29" s="12">
        <f>+'Non-shuttle Bids'!A135</f>
        <v>41</v>
      </c>
      <c r="B29" s="85"/>
      <c r="C29" s="85"/>
      <c r="D29" s="83"/>
      <c r="E29" s="100"/>
      <c r="F29" s="100"/>
      <c r="G29" s="83"/>
      <c r="H29" s="77"/>
      <c r="I29" s="77"/>
      <c r="J29" s="78"/>
      <c r="K29" s="12">
        <v>41</v>
      </c>
      <c r="L29" s="77"/>
      <c r="M29" s="77"/>
      <c r="N29" s="78"/>
      <c r="O29" s="12"/>
      <c r="P29" s="12"/>
      <c r="Q29" s="27"/>
      <c r="R29" s="27"/>
      <c r="S29" s="27"/>
      <c r="T29" s="27"/>
      <c r="U29" s="12"/>
      <c r="V29" s="27"/>
      <c r="W29" s="27"/>
      <c r="X29" s="27"/>
      <c r="Y29" s="27"/>
      <c r="Z29" s="27"/>
      <c r="AA29" s="27"/>
      <c r="AB29" s="27"/>
      <c r="AC29" s="27"/>
      <c r="AD29" s="27"/>
      <c r="AE29" s="12">
        <f t="shared" si="3"/>
        <v>31</v>
      </c>
      <c r="AF29" s="77">
        <f>AVERAGE('Non-shuttle Bids'!AN752,'Non-shuttle Bids'!AN856,'Non-shuttle Bids'!AN804)</f>
        <v>175</v>
      </c>
      <c r="AG29" s="77">
        <f>AVERAGE('Non-shuttle Bids'!AO752,'Non-shuttle Bids'!AO856,'Non-shuttle Bids'!AO804)</f>
        <v>100</v>
      </c>
      <c r="AH29" s="78">
        <f>AVERAGE('Non-shuttle Bids'!AP752,'Non-shuttle Bids'!AP856,'Non-shuttle Bids'!AP804)</f>
        <v>150</v>
      </c>
      <c r="AI29" s="72">
        <f t="shared" si="5"/>
        <v>35</v>
      </c>
      <c r="AJ29" s="77"/>
      <c r="AK29" s="77"/>
      <c r="AL29" s="77"/>
      <c r="AM29" s="72">
        <f t="shared" si="1"/>
        <v>42</v>
      </c>
      <c r="AN29" s="77">
        <f>AVERAGE('Non-shuttle Bids'!AV814,'Non-shuttle Bids'!AV710,'Non-shuttle Bids'!AV762)</f>
        <v>83.333333333333329</v>
      </c>
      <c r="AO29" s="77">
        <f>AVERAGE('Non-shuttle Bids'!AW814,'Non-shuttle Bids'!AW710,'Non-shuttle Bids'!AW762)</f>
        <v>33.5</v>
      </c>
      <c r="AP29" s="144">
        <f>AVERAGE('Non-shuttle Bids'!AX814,'Non-shuttle Bids'!AX710,'Non-shuttle Bids'!AX762)</f>
        <v>57</v>
      </c>
      <c r="AR29" s="12">
        <v>41</v>
      </c>
      <c r="AS29" s="100"/>
      <c r="AT29" s="100"/>
      <c r="AU29" s="78"/>
      <c r="AV29" s="100"/>
      <c r="AW29" s="100"/>
      <c r="AX29" s="78"/>
      <c r="AY29" s="100"/>
      <c r="AZ29" s="100"/>
      <c r="BA29" s="78"/>
      <c r="BB29" s="12">
        <v>41</v>
      </c>
      <c r="BC29" s="100">
        <f>AVERAGE('Shuttle Bids'!P710,'Shuttle Bids'!P762,'Shuttle Bids'!P814)</f>
        <v>-400</v>
      </c>
      <c r="BD29" s="100"/>
      <c r="BE29" s="78">
        <f>AVERAGE('Shuttle Bids'!R710,'Shuttle Bids'!R762,'Shuttle Bids'!R814)</f>
        <v>-400</v>
      </c>
      <c r="BF29" s="28"/>
      <c r="BG29" s="28"/>
      <c r="BH29" s="28"/>
      <c r="BI29" s="28"/>
      <c r="BJ29" s="27"/>
      <c r="BK29" s="27"/>
      <c r="BL29" s="12"/>
      <c r="BM29" s="27"/>
      <c r="BN29" s="27"/>
      <c r="BO29" s="27"/>
      <c r="BP29" s="27"/>
      <c r="BQ29" s="27"/>
      <c r="BR29" s="27"/>
      <c r="BS29" s="27"/>
      <c r="BT29" s="27"/>
      <c r="BU29" s="27"/>
      <c r="BV29" s="12">
        <f t="shared" si="4"/>
        <v>31</v>
      </c>
      <c r="BW29" s="77">
        <f>AVERAGE('Shuttle Bids'!AN752,'Shuttle Bids'!AN856,'Shuttle Bids'!AN804)</f>
        <v>-112</v>
      </c>
      <c r="BX29" s="77">
        <f>AVERAGE('Shuttle Bids'!AO752,'Shuttle Bids'!AO856,'Shuttle Bids'!AO804)</f>
        <v>262.66666666666669</v>
      </c>
      <c r="BY29" s="78">
        <f>AVERAGE('Shuttle Bids'!AP752,'Shuttle Bids'!AP856,'Shuttle Bids'!AP804)</f>
        <v>196</v>
      </c>
      <c r="BZ29" s="72">
        <f t="shared" si="6"/>
        <v>35</v>
      </c>
      <c r="CA29" s="77">
        <f>AVERAGE('Shuttle Bids'!AR755,'Shuttle Bids'!AR859,'Shuttle Bids'!AR807)</f>
        <v>400</v>
      </c>
      <c r="CB29" s="77">
        <f>AVERAGE('Shuttle Bids'!AS755,'Shuttle Bids'!AS859,'Shuttle Bids'!AS807)</f>
        <v>250</v>
      </c>
      <c r="CC29" s="77">
        <f>AVERAGE('Shuttle Bids'!AT755,'Shuttle Bids'!AT859,'Shuttle Bids'!AT807)</f>
        <v>325</v>
      </c>
      <c r="CD29" s="72">
        <f t="shared" si="2"/>
        <v>42</v>
      </c>
      <c r="CE29" s="77">
        <f>AVERAGE('Shuttle Bids'!AV762,'Shuttle Bids'!AV710,'Shuttle Bids'!AV814)</f>
        <v>-200</v>
      </c>
      <c r="CF29" s="77">
        <f>AVERAGE('Shuttle Bids'!AW762,'Shuttle Bids'!AW710,'Shuttle Bids'!AW814)</f>
        <v>-133.33333333333334</v>
      </c>
      <c r="CG29" s="77">
        <f>AVERAGE('Shuttle Bids'!AX762,'Shuttle Bids'!AX710,'Shuttle Bids'!AX814)</f>
        <v>-141.66666666666666</v>
      </c>
    </row>
    <row r="30" spans="1:85" x14ac:dyDescent="0.25">
      <c r="A30" s="12">
        <f>+'Non-shuttle Bids'!A136</f>
        <v>42</v>
      </c>
      <c r="B30" s="85"/>
      <c r="C30" s="85"/>
      <c r="D30" s="83"/>
      <c r="E30" s="100"/>
      <c r="F30" s="100"/>
      <c r="G30" s="83"/>
      <c r="H30" s="77"/>
      <c r="I30" s="77"/>
      <c r="J30" s="78"/>
      <c r="K30" s="12">
        <v>42</v>
      </c>
      <c r="L30" s="77"/>
      <c r="M30" s="77"/>
      <c r="N30" s="78"/>
      <c r="O30" s="106"/>
      <c r="P30" s="106"/>
      <c r="Q30" s="107"/>
      <c r="R30" s="27"/>
      <c r="S30" s="27"/>
      <c r="T30" s="27"/>
      <c r="U30" s="12"/>
      <c r="V30" s="27"/>
      <c r="W30" s="27"/>
      <c r="X30" s="27"/>
      <c r="Y30" s="27"/>
      <c r="Z30" s="27"/>
      <c r="AA30" s="27"/>
      <c r="AB30" s="27"/>
      <c r="AC30" s="27"/>
      <c r="AD30" s="27"/>
      <c r="AE30" s="12">
        <f t="shared" si="3"/>
        <v>32</v>
      </c>
      <c r="AF30" s="77">
        <f>AVERAGE('Non-shuttle Bids'!AN753,'Non-shuttle Bids'!AN857,'Non-shuttle Bids'!AN805)</f>
        <v>175</v>
      </c>
      <c r="AG30" s="77"/>
      <c r="AH30" s="78">
        <f>AVERAGE('Non-shuttle Bids'!AP753,'Non-shuttle Bids'!AP857,'Non-shuttle Bids'!AP805)</f>
        <v>175</v>
      </c>
      <c r="AI30" s="72">
        <f t="shared" si="5"/>
        <v>36</v>
      </c>
      <c r="AJ30" s="77"/>
      <c r="AK30" s="77"/>
      <c r="AL30" s="77"/>
      <c r="AM30" s="72">
        <f t="shared" si="1"/>
        <v>43</v>
      </c>
      <c r="AN30" s="77">
        <f>AVERAGE('Non-shuttle Bids'!AV815,'Non-shuttle Bids'!AV711,'Non-shuttle Bids'!AV763)</f>
        <v>66.666666666666671</v>
      </c>
      <c r="AO30" s="77">
        <f>AVERAGE('Non-shuttle Bids'!AW815,'Non-shuttle Bids'!AW711,'Non-shuttle Bids'!AW763)</f>
        <v>-16.5</v>
      </c>
      <c r="AP30" s="144">
        <f>AVERAGE('Non-shuttle Bids'!AX815,'Non-shuttle Bids'!AX711,'Non-shuttle Bids'!AX763)</f>
        <v>27.833333333333332</v>
      </c>
      <c r="AR30" s="12">
        <v>42</v>
      </c>
      <c r="AS30" s="100">
        <f>AVERAGE('Shuttle Bids'!D711,'Shuttle Bids'!D763,'Shuttle Bids'!D815)</f>
        <v>-350</v>
      </c>
      <c r="AT30" s="100">
        <f>AVERAGE('Shuttle Bids'!E711,'Shuttle Bids'!E763,'Shuttle Bids'!E815)</f>
        <v>-250</v>
      </c>
      <c r="AU30" s="78">
        <f>AVERAGE('Shuttle Bids'!F711,'Shuttle Bids'!F763,'Shuttle Bids'!F815)</f>
        <v>-300</v>
      </c>
      <c r="AV30" s="100">
        <f>AVERAGE('Shuttle Bids'!H710,'Shuttle Bids'!H762,'Shuttle Bids'!H814)</f>
        <v>-200</v>
      </c>
      <c r="AW30" s="100"/>
      <c r="AX30" s="78">
        <f>AVERAGE('Shuttle Bids'!J710,'Shuttle Bids'!J762,'Shuttle Bids'!J814)</f>
        <v>-200</v>
      </c>
      <c r="AY30" s="100"/>
      <c r="AZ30" s="100"/>
      <c r="BA30" s="78"/>
      <c r="BB30" s="12">
        <v>42</v>
      </c>
      <c r="BC30" s="100">
        <f>AVERAGE('Shuttle Bids'!P711,'Shuttle Bids'!P763,'Shuttle Bids'!P815)</f>
        <v>-800</v>
      </c>
      <c r="BD30" s="100"/>
      <c r="BE30" s="78">
        <f>AVERAGE('Shuttle Bids'!R711,'Shuttle Bids'!R763,'Shuttle Bids'!R815)</f>
        <v>-800</v>
      </c>
      <c r="BF30" s="100"/>
      <c r="BG30" s="100"/>
      <c r="BH30" s="78"/>
      <c r="BI30" s="28"/>
      <c r="BJ30" s="27"/>
      <c r="BK30" s="27"/>
      <c r="BL30" s="12"/>
      <c r="BM30" s="27"/>
      <c r="BN30" s="27"/>
      <c r="BO30" s="27"/>
      <c r="BP30" s="27"/>
      <c r="BQ30" s="27"/>
      <c r="BR30" s="27"/>
      <c r="BS30" s="27"/>
      <c r="BT30" s="27"/>
      <c r="BU30" s="27"/>
      <c r="BV30" s="12">
        <f t="shared" si="4"/>
        <v>32</v>
      </c>
      <c r="BW30" s="77">
        <f>AVERAGE('Shuttle Bids'!AN753,'Shuttle Bids'!AN857,'Shuttle Bids'!AN805)</f>
        <v>450</v>
      </c>
      <c r="BX30" s="77">
        <f>AVERAGE('Shuttle Bids'!AO753,'Shuttle Bids'!AO857,'Shuttle Bids'!AO805)</f>
        <v>300</v>
      </c>
      <c r="BY30" s="78">
        <f>AVERAGE('Shuttle Bids'!AP753,'Shuttle Bids'!AP857,'Shuttle Bids'!AP805)</f>
        <v>325</v>
      </c>
      <c r="BZ30" s="72">
        <f t="shared" si="6"/>
        <v>36</v>
      </c>
      <c r="CA30" s="77">
        <f>AVERAGE('Shuttle Bids'!AR756,'Shuttle Bids'!AR860,'Shuttle Bids'!AR808)</f>
        <v>350</v>
      </c>
      <c r="CB30" s="77">
        <f>AVERAGE('Shuttle Bids'!AS756,'Shuttle Bids'!AS860,'Shuttle Bids'!AS808)</f>
        <v>200</v>
      </c>
      <c r="CC30" s="77">
        <f>AVERAGE('Shuttle Bids'!AT756,'Shuttle Bids'!AT860,'Shuttle Bids'!AT808)</f>
        <v>350</v>
      </c>
      <c r="CD30" s="72">
        <f t="shared" si="2"/>
        <v>43</v>
      </c>
      <c r="CE30" s="77">
        <f>AVERAGE('Shuttle Bids'!AV763,'Shuttle Bids'!AV711,'Shuttle Bids'!AV815)</f>
        <v>-312.5</v>
      </c>
      <c r="CF30" s="77">
        <f>AVERAGE('Shuttle Bids'!AW763,'Shuttle Bids'!AW711,'Shuttle Bids'!AW815)</f>
        <v>-216.66666666666666</v>
      </c>
      <c r="CG30" s="77">
        <f>AVERAGE('Shuttle Bids'!AX763,'Shuttle Bids'!AX711,'Shuttle Bids'!AX815)</f>
        <v>-254.16666666666666</v>
      </c>
    </row>
    <row r="31" spans="1:85" x14ac:dyDescent="0.25">
      <c r="A31" s="12">
        <f>+'Non-shuttle Bids'!A137</f>
        <v>43</v>
      </c>
      <c r="B31" s="85">
        <f>AVERAGE('Non-shuttle Bids'!D712,'Non-shuttle Bids'!D764,'Non-shuttle Bids'!D816)</f>
        <v>-125</v>
      </c>
      <c r="C31" s="85"/>
      <c r="D31" s="83">
        <f>AVERAGE('Non-shuttle Bids'!F712,'Non-shuttle Bids'!F764,'Non-shuttle Bids'!F816)</f>
        <v>-125</v>
      </c>
      <c r="E31" s="100"/>
      <c r="F31" s="100"/>
      <c r="G31" s="83"/>
      <c r="H31" s="77"/>
      <c r="I31" s="77"/>
      <c r="J31" s="78"/>
      <c r="K31" s="12">
        <v>43</v>
      </c>
      <c r="L31" s="77"/>
      <c r="M31" s="77"/>
      <c r="N31" s="78"/>
      <c r="O31" s="106"/>
      <c r="P31" s="106"/>
      <c r="Q31" s="107"/>
      <c r="R31" s="27"/>
      <c r="S31" s="27"/>
      <c r="T31" s="27"/>
      <c r="U31" s="12"/>
      <c r="V31" s="27"/>
      <c r="W31" s="27"/>
      <c r="X31" s="27"/>
      <c r="Y31" s="27"/>
      <c r="Z31" s="27"/>
      <c r="AA31" s="27"/>
      <c r="AB31" s="27"/>
      <c r="AC31" s="27"/>
      <c r="AD31" s="27"/>
      <c r="AE31" s="12">
        <f t="shared" si="3"/>
        <v>33</v>
      </c>
      <c r="AF31" s="77">
        <f>AVERAGE('Non-shuttle Bids'!AN754,'Non-shuttle Bids'!AN858,'Non-shuttle Bids'!AN806)</f>
        <v>66.5</v>
      </c>
      <c r="AG31" s="77"/>
      <c r="AH31" s="78">
        <f>AVERAGE('Non-shuttle Bids'!AP754,'Non-shuttle Bids'!AP858,'Non-shuttle Bids'!AP806)</f>
        <v>66.5</v>
      </c>
      <c r="AI31" s="72">
        <f t="shared" si="5"/>
        <v>37</v>
      </c>
      <c r="AJ31" s="77"/>
      <c r="AK31" s="77"/>
      <c r="AL31" s="77"/>
      <c r="AM31" s="72">
        <f t="shared" si="1"/>
        <v>44</v>
      </c>
      <c r="AN31" s="77">
        <f>AVERAGE('Non-shuttle Bids'!AV816,'Non-shuttle Bids'!AV712,'Non-shuttle Bids'!AV764)</f>
        <v>16.666666666666668</v>
      </c>
      <c r="AO31" s="77">
        <f>AVERAGE('Non-shuttle Bids'!AW816,'Non-shuttle Bids'!AW712,'Non-shuttle Bids'!AW764)</f>
        <v>-29</v>
      </c>
      <c r="AP31" s="144">
        <f>AVERAGE('Non-shuttle Bids'!AX816,'Non-shuttle Bids'!AX712,'Non-shuttle Bids'!AX764)</f>
        <v>-1.3333333333333333</v>
      </c>
      <c r="AR31" s="12">
        <v>43</v>
      </c>
      <c r="AS31" s="100"/>
      <c r="AT31" s="100">
        <f>AVERAGE('Shuttle Bids'!E712,'Shuttle Bids'!E764,'Shuttle Bids'!E816)</f>
        <v>-300</v>
      </c>
      <c r="AU31" s="78">
        <f>AVERAGE('Shuttle Bids'!F712,'Shuttle Bids'!F764,'Shuttle Bids'!F816)</f>
        <v>-300</v>
      </c>
      <c r="AV31" s="100"/>
      <c r="AW31" s="100"/>
      <c r="AX31" s="78"/>
      <c r="AY31" s="100"/>
      <c r="AZ31" s="100"/>
      <c r="BA31" s="78"/>
      <c r="BB31" s="12">
        <v>43</v>
      </c>
      <c r="BC31" s="100"/>
      <c r="BD31" s="100"/>
      <c r="BE31" s="78"/>
      <c r="BF31" s="100">
        <f>AVERAGE('Shuttle Bids'!T712,'Shuttle Bids'!T764,'Shuttle Bids'!T816)</f>
        <v>-800</v>
      </c>
      <c r="BG31" s="100">
        <f>AVERAGE('Shuttle Bids'!U712,'Shuttle Bids'!U764,'Shuttle Bids'!U816)</f>
        <v>-900</v>
      </c>
      <c r="BH31" s="78">
        <f>AVERAGE('Shuttle Bids'!V712,'Shuttle Bids'!V764,'Shuttle Bids'!V816)</f>
        <v>-850</v>
      </c>
      <c r="BI31" s="28"/>
      <c r="BJ31" s="27"/>
      <c r="BK31" s="27"/>
      <c r="BL31" s="12"/>
      <c r="BM31" s="27"/>
      <c r="BN31" s="27"/>
      <c r="BO31" s="27"/>
      <c r="BP31" s="27"/>
      <c r="BQ31" s="27"/>
      <c r="BR31" s="27"/>
      <c r="BS31" s="27"/>
      <c r="BT31" s="27"/>
      <c r="BU31" s="27"/>
      <c r="BV31" s="12">
        <f t="shared" si="4"/>
        <v>33</v>
      </c>
      <c r="BW31" s="77">
        <f>AVERAGE('Shuttle Bids'!AN754,'Shuttle Bids'!AN858,'Shuttle Bids'!AN806)</f>
        <v>625</v>
      </c>
      <c r="BX31" s="77">
        <f>AVERAGE('Shuttle Bids'!AO754,'Shuttle Bids'!AO858,'Shuttle Bids'!AO806)</f>
        <v>333.33333333333331</v>
      </c>
      <c r="BY31" s="78">
        <f>AVERAGE('Shuttle Bids'!AP754,'Shuttle Bids'!AP858,'Shuttle Bids'!AP806)</f>
        <v>425</v>
      </c>
      <c r="BZ31" s="72">
        <f t="shared" si="6"/>
        <v>37</v>
      </c>
      <c r="CA31" s="77"/>
      <c r="CB31" s="77">
        <f>AVERAGE('Shuttle Bids'!AS757,'Shuttle Bids'!AS861,'Shuttle Bids'!AS809)</f>
        <v>175</v>
      </c>
      <c r="CC31" s="77">
        <f>AVERAGE('Shuttle Bids'!AT757,'Shuttle Bids'!AT861,'Shuttle Bids'!AT809)</f>
        <v>175</v>
      </c>
      <c r="CD31" s="72">
        <f t="shared" si="2"/>
        <v>44</v>
      </c>
      <c r="CE31" s="77">
        <f>AVERAGE('Shuttle Bids'!AV764,'Shuttle Bids'!AV712,'Shuttle Bids'!AV816)</f>
        <v>-200</v>
      </c>
      <c r="CF31" s="77">
        <f>AVERAGE('Shuttle Bids'!AW764,'Shuttle Bids'!AW712,'Shuttle Bids'!AW816)</f>
        <v>-300</v>
      </c>
      <c r="CG31" s="77">
        <f>AVERAGE('Shuttle Bids'!AX764,'Shuttle Bids'!AX712,'Shuttle Bids'!AX816)</f>
        <v>-279.16666666666669</v>
      </c>
    </row>
    <row r="32" spans="1:85" x14ac:dyDescent="0.25">
      <c r="A32" s="12">
        <f>+'Non-shuttle Bids'!A138</f>
        <v>44</v>
      </c>
      <c r="B32" s="85">
        <f>AVERAGE('Non-shuttle Bids'!D713,'Non-shuttle Bids'!D765,'Non-shuttle Bids'!D817)</f>
        <v>-125</v>
      </c>
      <c r="C32" s="85"/>
      <c r="D32" s="83">
        <f>AVERAGE('Non-shuttle Bids'!F713,'Non-shuttle Bids'!F765,'Non-shuttle Bids'!F817)</f>
        <v>-125</v>
      </c>
      <c r="E32" s="100"/>
      <c r="F32" s="100"/>
      <c r="G32" s="83"/>
      <c r="H32" s="77"/>
      <c r="I32" s="77"/>
      <c r="J32" s="78"/>
      <c r="K32" s="12">
        <v>44</v>
      </c>
      <c r="L32" s="77"/>
      <c r="M32" s="77"/>
      <c r="N32" s="78"/>
      <c r="O32" s="106"/>
      <c r="P32" s="106"/>
      <c r="Q32" s="107"/>
      <c r="R32" s="27"/>
      <c r="S32" s="27"/>
      <c r="T32" s="27"/>
      <c r="U32" s="12"/>
      <c r="V32" s="27"/>
      <c r="W32" s="27"/>
      <c r="X32" s="27"/>
      <c r="Y32" s="27"/>
      <c r="Z32" s="27"/>
      <c r="AA32" s="27"/>
      <c r="AB32" s="27"/>
      <c r="AC32" s="27"/>
      <c r="AD32" s="27"/>
      <c r="AE32" s="12">
        <f t="shared" si="3"/>
        <v>34</v>
      </c>
      <c r="AF32" s="77">
        <f>AVERAGE('Non-shuttle Bids'!AN755,'Non-shuttle Bids'!AN859,'Non-shuttle Bids'!AN807)</f>
        <v>100</v>
      </c>
      <c r="AG32" s="77"/>
      <c r="AH32" s="78">
        <f>AVERAGE('Non-shuttle Bids'!AP755,'Non-shuttle Bids'!AP859,'Non-shuttle Bids'!AP807)</f>
        <v>100</v>
      </c>
      <c r="AI32" s="72">
        <f t="shared" si="5"/>
        <v>38</v>
      </c>
      <c r="AJ32" s="77">
        <f>AVERAGE('Non-shuttle Bids'!AR810,'Non-shuttle Bids'!AR862,'Non-shuttle Bids'!AR758)</f>
        <v>100</v>
      </c>
      <c r="AK32" s="77"/>
      <c r="AL32" s="77">
        <f>AVERAGE('Non-shuttle Bids'!AT810,'Non-shuttle Bids'!AT862,'Non-shuttle Bids'!AT758)</f>
        <v>100</v>
      </c>
      <c r="AM32" s="72">
        <f t="shared" si="1"/>
        <v>45</v>
      </c>
      <c r="AN32" s="77">
        <f>AVERAGE('Non-shuttle Bids'!AV817,'Non-shuttle Bids'!AV713,'Non-shuttle Bids'!AV765)</f>
        <v>16.666666666666668</v>
      </c>
      <c r="AO32" s="77">
        <f>AVERAGE('Non-shuttle Bids'!AW817,'Non-shuttle Bids'!AW713,'Non-shuttle Bids'!AW765)</f>
        <v>-50</v>
      </c>
      <c r="AP32" s="144">
        <f>AVERAGE('Non-shuttle Bids'!AX817,'Non-shuttle Bids'!AX713,'Non-shuttle Bids'!AX765)</f>
        <v>-8.3333333333333339</v>
      </c>
      <c r="AR32" s="12">
        <v>44</v>
      </c>
      <c r="AS32" s="100"/>
      <c r="AT32" s="100"/>
      <c r="AU32" s="78"/>
      <c r="AV32" s="100"/>
      <c r="AW32" s="100"/>
      <c r="AX32" s="78"/>
      <c r="AY32" s="100"/>
      <c r="AZ32" s="100"/>
      <c r="BA32" s="78"/>
      <c r="BB32" s="12">
        <v>44</v>
      </c>
      <c r="BC32" s="100"/>
      <c r="BD32" s="100"/>
      <c r="BE32" s="78"/>
      <c r="BF32" s="100">
        <f>AVERAGE('Shuttle Bids'!T713,'Shuttle Bids'!T765,'Shuttle Bids'!T817)</f>
        <v>-725</v>
      </c>
      <c r="BG32" s="100"/>
      <c r="BH32" s="78">
        <f>AVERAGE('Shuttle Bids'!V713,'Shuttle Bids'!V765,'Shuttle Bids'!V817)</f>
        <v>-725</v>
      </c>
      <c r="BI32" s="28"/>
      <c r="BJ32" s="27"/>
      <c r="BK32" s="27"/>
      <c r="BL32" s="12"/>
      <c r="BM32" s="27"/>
      <c r="BN32" s="27"/>
      <c r="BO32" s="27"/>
      <c r="BP32" s="27"/>
      <c r="BQ32" s="27"/>
      <c r="BR32" s="27"/>
      <c r="BS32" s="27"/>
      <c r="BT32" s="27"/>
      <c r="BU32" s="27"/>
      <c r="BV32" s="12">
        <f t="shared" si="4"/>
        <v>34</v>
      </c>
      <c r="BW32" s="77">
        <f>AVERAGE('Shuttle Bids'!AN755,'Shuttle Bids'!AN859,'Shuttle Bids'!AN807)</f>
        <v>350</v>
      </c>
      <c r="BX32" s="77">
        <f>AVERAGE('Shuttle Bids'!AO755,'Shuttle Bids'!AO859,'Shuttle Bids'!AO807)</f>
        <v>350</v>
      </c>
      <c r="BY32" s="78">
        <f>AVERAGE('Shuttle Bids'!AP755,'Shuttle Bids'!AP859,'Shuttle Bids'!AP807)</f>
        <v>333.33333333333331</v>
      </c>
      <c r="BZ32" s="72">
        <f t="shared" si="6"/>
        <v>38</v>
      </c>
      <c r="CA32" s="77"/>
      <c r="CB32" s="77">
        <f>AVERAGE('Shuttle Bids'!AS758,'Shuttle Bids'!AS862,'Shuttle Bids'!AS810)</f>
        <v>200</v>
      </c>
      <c r="CC32" s="77">
        <f>AVERAGE('Shuttle Bids'!AT758,'Shuttle Bids'!AT862,'Shuttle Bids'!AT810)</f>
        <v>200</v>
      </c>
      <c r="CD32" s="72">
        <f t="shared" si="2"/>
        <v>45</v>
      </c>
      <c r="CE32" s="77">
        <f>AVERAGE('Shuttle Bids'!AV765,'Shuttle Bids'!AV713,'Shuttle Bids'!AV817)</f>
        <v>-358.33333333333331</v>
      </c>
      <c r="CF32" s="77">
        <f>AVERAGE('Shuttle Bids'!AW765,'Shuttle Bids'!AW713,'Shuttle Bids'!AW817)</f>
        <v>-316.66666666666669</v>
      </c>
      <c r="CG32" s="77">
        <f>AVERAGE('Shuttle Bids'!AX765,'Shuttle Bids'!AX713,'Shuttle Bids'!AX817)</f>
        <v>-337.5</v>
      </c>
    </row>
    <row r="33" spans="1:85" x14ac:dyDescent="0.25">
      <c r="A33" s="12">
        <f>+'Non-shuttle Bids'!A139</f>
        <v>45</v>
      </c>
      <c r="B33" s="85">
        <f>AVERAGE('Non-shuttle Bids'!D714,'Non-shuttle Bids'!D766,'Non-shuttle Bids'!D818)</f>
        <v>-125</v>
      </c>
      <c r="C33" s="85">
        <f>AVERAGE('Non-shuttle Bids'!E714,'Non-shuttle Bids'!E766,'Non-shuttle Bids'!E818)</f>
        <v>-50</v>
      </c>
      <c r="D33" s="83">
        <f>AVERAGE('Non-shuttle Bids'!F714,'Non-shuttle Bids'!F766,'Non-shuttle Bids'!F818)</f>
        <v>-87.5</v>
      </c>
      <c r="E33" s="100"/>
      <c r="F33" s="100"/>
      <c r="G33" s="83"/>
      <c r="H33" s="77"/>
      <c r="I33" s="77"/>
      <c r="J33" s="78"/>
      <c r="K33" s="12">
        <v>45</v>
      </c>
      <c r="L33" s="77"/>
      <c r="M33" s="77"/>
      <c r="N33" s="78"/>
      <c r="O33" s="106"/>
      <c r="P33" s="106"/>
      <c r="Q33" s="107"/>
      <c r="R33" s="82"/>
      <c r="S33" s="82"/>
      <c r="T33" s="82"/>
      <c r="U33" s="12"/>
      <c r="V33" s="27"/>
      <c r="W33" s="27"/>
      <c r="X33" s="27"/>
      <c r="Y33" s="27"/>
      <c r="Z33" s="27"/>
      <c r="AA33" s="27"/>
      <c r="AB33" s="27"/>
      <c r="AC33" s="27"/>
      <c r="AD33" s="27"/>
      <c r="AE33" s="12">
        <f t="shared" si="3"/>
        <v>35</v>
      </c>
      <c r="AF33" s="77">
        <f>AVERAGE('Non-shuttle Bids'!AN756,'Non-shuttle Bids'!AN860,'Non-shuttle Bids'!AN808)</f>
        <v>237.5</v>
      </c>
      <c r="AG33" s="77"/>
      <c r="AH33" s="78">
        <f>AVERAGE('Non-shuttle Bids'!AP756,'Non-shuttle Bids'!AP860,'Non-shuttle Bids'!AP808)</f>
        <v>237.5</v>
      </c>
      <c r="AI33" s="72">
        <f t="shared" si="5"/>
        <v>39</v>
      </c>
      <c r="AJ33" s="77">
        <f>AVERAGE('Non-shuttle Bids'!AR811,'Non-shuttle Bids'!AR863,'Non-shuttle Bids'!AR759)</f>
        <v>25</v>
      </c>
      <c r="AK33" s="77"/>
      <c r="AL33" s="77">
        <f>AVERAGE('Non-shuttle Bids'!AT811,'Non-shuttle Bids'!AT863,'Non-shuttle Bids'!AT759)</f>
        <v>25</v>
      </c>
      <c r="AM33" s="72">
        <f t="shared" si="1"/>
        <v>46</v>
      </c>
      <c r="AN33" s="77">
        <f>AVERAGE('Non-shuttle Bids'!AV818,'Non-shuttle Bids'!AV714,'Non-shuttle Bids'!AV766)</f>
        <v>14</v>
      </c>
      <c r="AO33" s="77">
        <f>AVERAGE('Non-shuttle Bids'!AW818,'Non-shuttle Bids'!AW714,'Non-shuttle Bids'!AW766)</f>
        <v>-28.5</v>
      </c>
      <c r="AP33" s="144">
        <f>AVERAGE('Non-shuttle Bids'!AX818,'Non-shuttle Bids'!AX714,'Non-shuttle Bids'!AX766)</f>
        <v>-2.5</v>
      </c>
      <c r="AR33" s="12">
        <v>45</v>
      </c>
      <c r="AS33" s="100"/>
      <c r="AT33" s="100">
        <f>AVERAGE('Shuttle Bids'!E714,'Shuttle Bids'!E766,'Shuttle Bids'!E818)</f>
        <v>-312.66666666666669</v>
      </c>
      <c r="AU33" s="78">
        <f>AVERAGE('Shuttle Bids'!F714,'Shuttle Bids'!F766,'Shuttle Bids'!F818)</f>
        <v>-312.66666666666669</v>
      </c>
      <c r="AV33" s="100"/>
      <c r="AW33" s="100"/>
      <c r="AX33" s="78"/>
      <c r="AY33" s="100"/>
      <c r="AZ33" s="100"/>
      <c r="BA33" s="78"/>
      <c r="BB33" s="12">
        <v>45</v>
      </c>
      <c r="BC33" s="100"/>
      <c r="BD33" s="100"/>
      <c r="BE33" s="78"/>
      <c r="BF33" s="100">
        <f>AVERAGE('Shuttle Bids'!T714,'Shuttle Bids'!T766,'Shuttle Bids'!T818)</f>
        <v>-675</v>
      </c>
      <c r="BG33" s="100">
        <f>AVERAGE('Shuttle Bids'!U714,'Shuttle Bids'!U766,'Shuttle Bids'!U818)</f>
        <v>-800</v>
      </c>
      <c r="BH33" s="78">
        <f>AVERAGE('Shuttle Bids'!V714,'Shuttle Bids'!V766,'Shuttle Bids'!V818)</f>
        <v>-737.5</v>
      </c>
      <c r="BI33" s="28"/>
      <c r="BJ33" s="27"/>
      <c r="BK33" s="27"/>
      <c r="BL33" s="12"/>
      <c r="BM33" s="27"/>
      <c r="BN33" s="27"/>
      <c r="BO33" s="27"/>
      <c r="BP33" s="27"/>
      <c r="BQ33" s="27"/>
      <c r="BR33" s="27"/>
      <c r="BS33" s="27"/>
      <c r="BT33" s="27"/>
      <c r="BU33" s="27"/>
      <c r="BV33" s="12">
        <f t="shared" si="4"/>
        <v>35</v>
      </c>
      <c r="BW33" s="77">
        <f>AVERAGE('Shuttle Bids'!AN756,'Shuttle Bids'!AN860,'Shuttle Bids'!AN808)</f>
        <v>600</v>
      </c>
      <c r="BX33" s="77">
        <f>AVERAGE('Shuttle Bids'!AO756,'Shuttle Bids'!AO860,'Shuttle Bids'!AO808)</f>
        <v>525</v>
      </c>
      <c r="BY33" s="78">
        <f>AVERAGE('Shuttle Bids'!AP756,'Shuttle Bids'!AP860,'Shuttle Bids'!AP808)</f>
        <v>491.66666666666669</v>
      </c>
      <c r="BZ33" s="72">
        <f t="shared" si="6"/>
        <v>39</v>
      </c>
      <c r="CA33" s="77"/>
      <c r="CB33" s="77">
        <f>AVERAGE('Shuttle Bids'!AS759,'Shuttle Bids'!AS863,'Shuttle Bids'!AS811)</f>
        <v>41.666666666666664</v>
      </c>
      <c r="CC33" s="77">
        <f>AVERAGE('Shuttle Bids'!AT759,'Shuttle Bids'!AT863,'Shuttle Bids'!AT811)</f>
        <v>41.666666666666664</v>
      </c>
      <c r="CD33" s="72">
        <f t="shared" si="2"/>
        <v>46</v>
      </c>
      <c r="CE33" s="77">
        <f>AVERAGE('Shuttle Bids'!AV766,'Shuttle Bids'!AV714,'Shuttle Bids'!AV818)</f>
        <v>-296</v>
      </c>
      <c r="CF33" s="77">
        <f>AVERAGE('Shuttle Bids'!AW766,'Shuttle Bids'!AW714,'Shuttle Bids'!AW818)</f>
        <v>-371</v>
      </c>
      <c r="CG33" s="77">
        <f>AVERAGE('Shuttle Bids'!AX766,'Shuttle Bids'!AX714,'Shuttle Bids'!AX818)</f>
        <v>-359.16666666666669</v>
      </c>
    </row>
    <row r="34" spans="1:85" x14ac:dyDescent="0.25">
      <c r="A34" s="12">
        <f>+'Non-shuttle Bids'!A140</f>
        <v>46</v>
      </c>
      <c r="B34" s="85">
        <f>AVERAGE('Non-shuttle Bids'!D715,'Non-shuttle Bids'!D767,'Non-shuttle Bids'!D819)</f>
        <v>-16.5</v>
      </c>
      <c r="C34" s="85">
        <f>AVERAGE('Non-shuttle Bids'!E715,'Non-shuttle Bids'!E767,'Non-shuttle Bids'!E819)</f>
        <v>0</v>
      </c>
      <c r="D34" s="83">
        <f>AVERAGE('Non-shuttle Bids'!F715,'Non-shuttle Bids'!F767,'Non-shuttle Bids'!F819)</f>
        <v>-22.75</v>
      </c>
      <c r="E34" s="100"/>
      <c r="F34" s="100"/>
      <c r="G34" s="83"/>
      <c r="H34" s="77"/>
      <c r="I34" s="77"/>
      <c r="J34" s="78"/>
      <c r="K34" s="12">
        <v>46</v>
      </c>
      <c r="L34" s="77"/>
      <c r="M34" s="77"/>
      <c r="N34" s="78"/>
      <c r="O34" s="106"/>
      <c r="P34" s="106"/>
      <c r="Q34" s="107"/>
      <c r="R34" s="82"/>
      <c r="S34" s="82"/>
      <c r="T34" s="82"/>
      <c r="U34" s="12"/>
      <c r="V34" s="27"/>
      <c r="W34" s="27"/>
      <c r="X34" s="27"/>
      <c r="Y34" s="27"/>
      <c r="Z34" s="27"/>
      <c r="AA34" s="27"/>
      <c r="AB34" s="27"/>
      <c r="AC34" s="27"/>
      <c r="AD34" s="27"/>
      <c r="AE34" s="12">
        <f t="shared" si="3"/>
        <v>36</v>
      </c>
      <c r="AF34" s="77">
        <f>AVERAGE('Non-shuttle Bids'!AN757,'Non-shuttle Bids'!AN861,'Non-shuttle Bids'!AN809)</f>
        <v>158.33333333333334</v>
      </c>
      <c r="AG34" s="77">
        <f>AVERAGE('Non-shuttle Bids'!AO757,'Non-shuttle Bids'!AO861,'Non-shuttle Bids'!AO809)</f>
        <v>0</v>
      </c>
      <c r="AH34" s="78">
        <f>AVERAGE('Non-shuttle Bids'!AP757,'Non-shuttle Bids'!AP861,'Non-shuttle Bids'!AP809)</f>
        <v>154.16666666666666</v>
      </c>
      <c r="AI34" s="72">
        <f t="shared" si="5"/>
        <v>40</v>
      </c>
      <c r="AJ34" s="77">
        <f>AVERAGE('Non-shuttle Bids'!AR812,'Non-shuttle Bids'!AR864,'Non-shuttle Bids'!AR760)</f>
        <v>8.3333333333333339</v>
      </c>
      <c r="AK34" s="77"/>
      <c r="AL34" s="77">
        <f>AVERAGE('Non-shuttle Bids'!AT812,'Non-shuttle Bids'!AT864,'Non-shuttle Bids'!AT760)</f>
        <v>8.3333333333333339</v>
      </c>
      <c r="AM34" s="72">
        <f t="shared" si="1"/>
        <v>47</v>
      </c>
      <c r="AN34" s="77">
        <f>AVERAGE('Non-shuttle Bids'!AV819,'Non-shuttle Bids'!AV715,'Non-shuttle Bids'!AV767)</f>
        <v>-4.333333333333333</v>
      </c>
      <c r="AO34" s="77">
        <f>AVERAGE('Non-shuttle Bids'!AW819,'Non-shuttle Bids'!AW715,'Non-shuttle Bids'!AW767)</f>
        <v>-17.333333333333332</v>
      </c>
      <c r="AP34" s="144">
        <f>AVERAGE('Non-shuttle Bids'!AX819,'Non-shuttle Bids'!AX715,'Non-shuttle Bids'!AX767)</f>
        <v>-10.833333333333334</v>
      </c>
      <c r="AR34" s="12">
        <v>46</v>
      </c>
      <c r="AS34" s="100"/>
      <c r="AT34" s="100">
        <f>AVERAGE('Shuttle Bids'!E715,'Shuttle Bids'!E767,'Shuttle Bids'!E819)</f>
        <v>-300</v>
      </c>
      <c r="AU34" s="78">
        <f>AVERAGE('Shuttle Bids'!F715,'Shuttle Bids'!F767,'Shuttle Bids'!F819)</f>
        <v>-300</v>
      </c>
      <c r="AV34" s="100"/>
      <c r="AW34" s="100"/>
      <c r="AX34" s="78"/>
      <c r="AY34" s="100"/>
      <c r="AZ34" s="100">
        <f>AVERAGE('Shuttle Bids'!M715,'Shuttle Bids'!M767,'Shuttle Bids'!M819)</f>
        <v>-350</v>
      </c>
      <c r="BA34" s="78">
        <f>AVERAGE('Shuttle Bids'!N715,'Shuttle Bids'!N767,'Shuttle Bids'!N819)</f>
        <v>-350</v>
      </c>
      <c r="BB34" s="12">
        <v>46</v>
      </c>
      <c r="BC34" s="100"/>
      <c r="BD34" s="100">
        <f>AVERAGE('Shuttle Bids'!Q715,'Shuttle Bids'!Q767,'Shuttle Bids'!Q819)</f>
        <v>-625</v>
      </c>
      <c r="BE34" s="78">
        <f>AVERAGE('Shuttle Bids'!R715,'Shuttle Bids'!R767,'Shuttle Bids'!R819)</f>
        <v>-625</v>
      </c>
      <c r="BF34" s="100"/>
      <c r="BG34" s="100"/>
      <c r="BH34" s="78"/>
      <c r="BI34" s="28"/>
      <c r="BJ34" s="27"/>
      <c r="BK34" s="27"/>
      <c r="BL34" s="12"/>
      <c r="BM34" s="27"/>
      <c r="BN34" s="27"/>
      <c r="BO34" s="27"/>
      <c r="BP34" s="27"/>
      <c r="BQ34" s="27"/>
      <c r="BR34" s="27"/>
      <c r="BS34" s="27"/>
      <c r="BT34" s="27"/>
      <c r="BU34" s="27"/>
      <c r="BV34" s="12">
        <f t="shared" si="4"/>
        <v>36</v>
      </c>
      <c r="BW34" s="77">
        <f>AVERAGE('Shuttle Bids'!AN757,'Shuttle Bids'!AN861,'Shuttle Bids'!AN809)</f>
        <v>375</v>
      </c>
      <c r="BX34" s="77">
        <f>AVERAGE('Shuttle Bids'!AO757,'Shuttle Bids'!AO861,'Shuttle Bids'!AO809)</f>
        <v>383.33333333333331</v>
      </c>
      <c r="BY34" s="78">
        <f>AVERAGE('Shuttle Bids'!AP757,'Shuttle Bids'!AP861,'Shuttle Bids'!AP809)</f>
        <v>379.16666666666669</v>
      </c>
      <c r="BZ34" s="72">
        <f t="shared" si="6"/>
        <v>40</v>
      </c>
      <c r="CA34" s="77">
        <f>AVERAGE('Shuttle Bids'!AR760,'Shuttle Bids'!AR864,'Shuttle Bids'!AR812)</f>
        <v>162.5</v>
      </c>
      <c r="CB34" s="77">
        <f>AVERAGE('Shuttle Bids'!AS760,'Shuttle Bids'!AS864,'Shuttle Bids'!AS812)</f>
        <v>20.666666666666668</v>
      </c>
      <c r="CC34" s="77">
        <f>AVERAGE('Shuttle Bids'!AT760,'Shuttle Bids'!AT864,'Shuttle Bids'!AT812)</f>
        <v>60.333333333333336</v>
      </c>
      <c r="CD34" s="72">
        <f t="shared" si="2"/>
        <v>47</v>
      </c>
      <c r="CE34" s="77">
        <f>AVERAGE('Shuttle Bids'!AV767,'Shuttle Bids'!AV715,'Shuttle Bids'!AV819)</f>
        <v>-308.66666666666669</v>
      </c>
      <c r="CF34" s="77">
        <f>AVERAGE('Shuttle Bids'!AW767,'Shuttle Bids'!AW715,'Shuttle Bids'!AW819)</f>
        <v>-360.33333333333331</v>
      </c>
      <c r="CG34" s="77">
        <f>AVERAGE('Shuttle Bids'!AX767,'Shuttle Bids'!AX715,'Shuttle Bids'!AX819)</f>
        <v>-334.5</v>
      </c>
    </row>
    <row r="35" spans="1:85" x14ac:dyDescent="0.25">
      <c r="A35" s="12">
        <f>+'Non-shuttle Bids'!A141</f>
        <v>47</v>
      </c>
      <c r="B35" s="85">
        <f>AVERAGE('Non-shuttle Bids'!D716,'Non-shuttle Bids'!D768,'Non-shuttle Bids'!D820)</f>
        <v>5</v>
      </c>
      <c r="C35" s="85">
        <f>AVERAGE('Non-shuttle Bids'!E716,'Non-shuttle Bids'!E768,'Non-shuttle Bids'!E820)</f>
        <v>-13</v>
      </c>
      <c r="D35" s="83">
        <f>AVERAGE('Non-shuttle Bids'!F716,'Non-shuttle Bids'!F768,'Non-shuttle Bids'!F820)</f>
        <v>1.75</v>
      </c>
      <c r="E35" s="100"/>
      <c r="F35" s="100"/>
      <c r="G35" s="83"/>
      <c r="H35" s="77"/>
      <c r="I35" s="77"/>
      <c r="J35" s="78"/>
      <c r="K35" s="12">
        <v>47</v>
      </c>
      <c r="L35" s="77"/>
      <c r="M35" s="77"/>
      <c r="N35" s="78"/>
      <c r="O35" s="106"/>
      <c r="P35" s="106"/>
      <c r="Q35" s="107"/>
      <c r="R35" s="106"/>
      <c r="S35" s="106"/>
      <c r="T35" s="107"/>
      <c r="U35" s="12"/>
      <c r="V35" s="27"/>
      <c r="W35" s="27"/>
      <c r="X35" s="27"/>
      <c r="Y35" s="27"/>
      <c r="Z35" s="27"/>
      <c r="AA35" s="27"/>
      <c r="AB35" s="27"/>
      <c r="AC35" s="27"/>
      <c r="AD35" s="27"/>
      <c r="AE35" s="12">
        <f t="shared" si="3"/>
        <v>37</v>
      </c>
      <c r="AF35" s="77">
        <f>AVERAGE('Non-shuttle Bids'!AN758,'Non-shuttle Bids'!AN862,'Non-shuttle Bids'!AN810)</f>
        <v>171</v>
      </c>
      <c r="AG35" s="77">
        <f>AVERAGE('Non-shuttle Bids'!AO758,'Non-shuttle Bids'!AO862,'Non-shuttle Bids'!AO810)</f>
        <v>79</v>
      </c>
      <c r="AH35" s="78">
        <f>AVERAGE('Non-shuttle Bids'!AP758,'Non-shuttle Bids'!AP862,'Non-shuttle Bids'!AP810)</f>
        <v>178.5</v>
      </c>
      <c r="AI35" s="72">
        <f t="shared" si="5"/>
        <v>41</v>
      </c>
      <c r="AJ35" s="77">
        <f>AVERAGE('Non-shuttle Bids'!AR813,'Non-shuttle Bids'!AR865,'Non-shuttle Bids'!AR761)</f>
        <v>75</v>
      </c>
      <c r="AK35" s="77"/>
      <c r="AL35" s="77">
        <f>AVERAGE('Non-shuttle Bids'!AT813,'Non-shuttle Bids'!AT865,'Non-shuttle Bids'!AT761)</f>
        <v>75</v>
      </c>
      <c r="AM35" s="72">
        <f t="shared" si="1"/>
        <v>48</v>
      </c>
      <c r="AN35" s="77">
        <f>AVERAGE('Non-shuttle Bids'!AV820,'Non-shuttle Bids'!AV716,'Non-shuttle Bids'!AV768)</f>
        <v>-36</v>
      </c>
      <c r="AO35" s="77">
        <f>AVERAGE('Non-shuttle Bids'!AW820,'Non-shuttle Bids'!AW716,'Non-shuttle Bids'!AW768)</f>
        <v>-15.333333333333334</v>
      </c>
      <c r="AP35" s="144">
        <f>AVERAGE('Non-shuttle Bids'!AX820,'Non-shuttle Bids'!AX716,'Non-shuttle Bids'!AX768)</f>
        <v>-25.666666666666668</v>
      </c>
      <c r="AR35" s="12">
        <v>47</v>
      </c>
      <c r="AS35" s="100"/>
      <c r="AT35" s="100">
        <f>AVERAGE('Shuttle Bids'!E716,'Shuttle Bids'!E768,'Shuttle Bids'!E820)</f>
        <v>-262.5</v>
      </c>
      <c r="AU35" s="78">
        <f>AVERAGE('Shuttle Bids'!F716,'Shuttle Bids'!F768,'Shuttle Bids'!F820)</f>
        <v>-262.5</v>
      </c>
      <c r="AV35" s="100"/>
      <c r="AW35" s="100">
        <f>AVERAGE('Shuttle Bids'!I715,'Shuttle Bids'!I767,'Shuttle Bids'!I819)</f>
        <v>-350</v>
      </c>
      <c r="AX35" s="78">
        <f>AVERAGE('Shuttle Bids'!J715,'Shuttle Bids'!J767,'Shuttle Bids'!J819)</f>
        <v>-350</v>
      </c>
      <c r="AY35" s="100"/>
      <c r="AZ35" s="100">
        <f>AVERAGE('Shuttle Bids'!M716,'Shuttle Bids'!M768,'Shuttle Bids'!M820)</f>
        <v>-300</v>
      </c>
      <c r="BA35" s="78">
        <f>AVERAGE('Shuttle Bids'!N716,'Shuttle Bids'!N768,'Shuttle Bids'!N820)</f>
        <v>-300</v>
      </c>
      <c r="BB35" s="12">
        <v>47</v>
      </c>
      <c r="BC35" s="100"/>
      <c r="BD35" s="100"/>
      <c r="BE35" s="78"/>
      <c r="BF35" s="100"/>
      <c r="BG35" s="100"/>
      <c r="BH35" s="78"/>
      <c r="BI35" s="100"/>
      <c r="BJ35" s="100">
        <f>AVERAGE('Shuttle Bids'!Y715,'Shuttle Bids'!Y767,'Shuttle Bids'!Y819)</f>
        <v>-125</v>
      </c>
      <c r="BK35" s="78">
        <f>AVERAGE('Shuttle Bids'!Z715,'Shuttle Bids'!Z767,'Shuttle Bids'!Z819)</f>
        <v>-125</v>
      </c>
      <c r="BL35" s="12"/>
      <c r="BM35" s="28"/>
      <c r="BN35" s="28"/>
      <c r="BO35" s="28"/>
      <c r="BP35" s="28"/>
      <c r="BQ35" s="28"/>
      <c r="BR35" s="27"/>
      <c r="BS35" s="27"/>
      <c r="BT35" s="27"/>
      <c r="BU35" s="27"/>
      <c r="BV35" s="12">
        <f t="shared" si="4"/>
        <v>37</v>
      </c>
      <c r="BW35" s="77">
        <f>AVERAGE('Shuttle Bids'!AN758,'Shuttle Bids'!AN862,'Shuttle Bids'!AN810)</f>
        <v>508.33333333333331</v>
      </c>
      <c r="BX35" s="77">
        <f>AVERAGE('Shuttle Bids'!AO758,'Shuttle Bids'!AO862,'Shuttle Bids'!AO810)</f>
        <v>416.66666666666669</v>
      </c>
      <c r="BY35" s="78">
        <f>AVERAGE('Shuttle Bids'!AP758,'Shuttle Bids'!AP862,'Shuttle Bids'!AP810)</f>
        <v>462.5</v>
      </c>
      <c r="BZ35" s="72">
        <f t="shared" si="6"/>
        <v>41</v>
      </c>
      <c r="CA35" s="77">
        <f>AVERAGE('Shuttle Bids'!AR761,'Shuttle Bids'!AR865,'Shuttle Bids'!AR813)</f>
        <v>155.66666666666666</v>
      </c>
      <c r="CB35" s="77">
        <f>AVERAGE('Shuttle Bids'!AS761,'Shuttle Bids'!AS865,'Shuttle Bids'!AS813)</f>
        <v>50</v>
      </c>
      <c r="CC35" s="77">
        <f>AVERAGE('Shuttle Bids'!AT761,'Shuttle Bids'!AT865,'Shuttle Bids'!AT813)</f>
        <v>102.83333333333333</v>
      </c>
      <c r="CD35" s="72">
        <f t="shared" si="2"/>
        <v>48</v>
      </c>
      <c r="CE35" s="77">
        <f>AVERAGE('Shuttle Bids'!AV768,'Shuttle Bids'!AV716,'Shuttle Bids'!AV820)</f>
        <v>-307</v>
      </c>
      <c r="CF35" s="77">
        <f>AVERAGE('Shuttle Bids'!AW768,'Shuttle Bids'!AW716,'Shuttle Bids'!AW820)</f>
        <v>-319.66666666666669</v>
      </c>
      <c r="CG35" s="77">
        <f>AVERAGE('Shuttle Bids'!AX768,'Shuttle Bids'!AX716,'Shuttle Bids'!AX820)</f>
        <v>-313.33333333333331</v>
      </c>
    </row>
    <row r="36" spans="1:85" x14ac:dyDescent="0.25">
      <c r="A36" s="12">
        <f>+'Non-shuttle Bids'!A142</f>
        <v>48</v>
      </c>
      <c r="B36" s="85">
        <f>AVERAGE('Non-shuttle Bids'!D717,'Non-shuttle Bids'!D769,'Non-shuttle Bids'!D821)</f>
        <v>-12.5</v>
      </c>
      <c r="C36" s="85">
        <f>AVERAGE('Non-shuttle Bids'!E717,'Non-shuttle Bids'!E769,'Non-shuttle Bids'!E821)</f>
        <v>-13</v>
      </c>
      <c r="D36" s="83">
        <f>AVERAGE('Non-shuttle Bids'!F717,'Non-shuttle Bids'!F769,'Non-shuttle Bids'!F821)</f>
        <v>-9.5</v>
      </c>
      <c r="E36" s="100"/>
      <c r="F36" s="100"/>
      <c r="G36" s="83"/>
      <c r="H36" s="77"/>
      <c r="I36" s="77"/>
      <c r="J36" s="78"/>
      <c r="K36" s="12">
        <v>48</v>
      </c>
      <c r="L36" s="77"/>
      <c r="M36" s="77"/>
      <c r="N36" s="78"/>
      <c r="O36" s="106"/>
      <c r="P36" s="106"/>
      <c r="Q36" s="107"/>
      <c r="R36" s="106"/>
      <c r="S36" s="106"/>
      <c r="T36" s="107"/>
      <c r="U36" s="12"/>
      <c r="V36" s="27"/>
      <c r="W36" s="27"/>
      <c r="X36" s="27"/>
      <c r="Y36" s="27"/>
      <c r="Z36" s="27"/>
      <c r="AA36" s="27"/>
      <c r="AB36" s="27"/>
      <c r="AC36" s="27"/>
      <c r="AD36" s="27"/>
      <c r="AE36" s="12">
        <f t="shared" si="3"/>
        <v>38</v>
      </c>
      <c r="AF36" s="77">
        <f>AVERAGE('Non-shuttle Bids'!AN759,'Non-shuttle Bids'!AN863,'Non-shuttle Bids'!AN811)</f>
        <v>103.33333333333333</v>
      </c>
      <c r="AG36" s="77">
        <f>AVERAGE('Non-shuttle Bids'!AO759,'Non-shuttle Bids'!AO863,'Non-shuttle Bids'!AO811)</f>
        <v>79.5</v>
      </c>
      <c r="AH36" s="78">
        <f>AVERAGE('Non-shuttle Bids'!AP759,'Non-shuttle Bids'!AP863,'Non-shuttle Bids'!AP811)</f>
        <v>111.5</v>
      </c>
      <c r="AI36" s="72">
        <f t="shared" si="5"/>
        <v>42</v>
      </c>
      <c r="AJ36" s="77">
        <f>AVERAGE('Non-shuttle Bids'!AR814,'Non-shuttle Bids'!AR866,'Non-shuttle Bids'!AR762)</f>
        <v>172.33333333333334</v>
      </c>
      <c r="AK36" s="77">
        <f>AVERAGE('Non-shuttle Bids'!AS814,'Non-shuttle Bids'!AS866,'Non-shuttle Bids'!AS762)</f>
        <v>-16.5</v>
      </c>
      <c r="AL36" s="77">
        <f>AVERAGE('Non-shuttle Bids'!AT814,'Non-shuttle Bids'!AT866,'Non-shuttle Bids'!AT762)</f>
        <v>172.33333333333334</v>
      </c>
      <c r="AM36" s="72">
        <f>+AM35+1</f>
        <v>49</v>
      </c>
      <c r="AN36" s="77">
        <f>AVERAGE('Non-shuttle Bids'!AV821,'Non-shuttle Bids'!AV717,'Non-shuttle Bids'!AV769)</f>
        <v>-35.333333333333336</v>
      </c>
      <c r="AO36" s="77">
        <f>AVERAGE('Non-shuttle Bids'!AW821,'Non-shuttle Bids'!AW717,'Non-shuttle Bids'!AW769)</f>
        <v>-21</v>
      </c>
      <c r="AP36" s="144">
        <f>AVERAGE('Non-shuttle Bids'!AX821,'Non-shuttle Bids'!AX717,'Non-shuttle Bids'!AX769)</f>
        <v>-28.166666666666668</v>
      </c>
      <c r="AR36" s="12">
        <v>48</v>
      </c>
      <c r="AS36" s="100">
        <f>AVERAGE('Shuttle Bids'!D717,'Shuttle Bids'!D769,'Shuttle Bids'!D821)</f>
        <v>-200</v>
      </c>
      <c r="AT36" s="100">
        <f>AVERAGE('Shuttle Bids'!E717,'Shuttle Bids'!E769,'Shuttle Bids'!E821)</f>
        <v>-208.33333333333334</v>
      </c>
      <c r="AU36" s="78">
        <f>AVERAGE('Shuttle Bids'!F717,'Shuttle Bids'!F769,'Shuttle Bids'!F821)</f>
        <v>-200</v>
      </c>
      <c r="AV36" s="100"/>
      <c r="AW36" s="100">
        <f>AVERAGE('Shuttle Bids'!I716,'Shuttle Bids'!I768,'Shuttle Bids'!I820)</f>
        <v>-250</v>
      </c>
      <c r="AX36" s="78">
        <f>AVERAGE('Shuttle Bids'!J716,'Shuttle Bids'!J768,'Shuttle Bids'!J820)</f>
        <v>-250</v>
      </c>
      <c r="AY36" s="100">
        <f>AVERAGE('Shuttle Bids'!L717,'Shuttle Bids'!L769,'Shuttle Bids'!L821)</f>
        <v>13</v>
      </c>
      <c r="AZ36" s="100">
        <f>AVERAGE('Shuttle Bids'!M717,'Shuttle Bids'!M769,'Shuttle Bids'!M821)</f>
        <v>-250</v>
      </c>
      <c r="BA36" s="78">
        <f>AVERAGE('Shuttle Bids'!N717,'Shuttle Bids'!N769,'Shuttle Bids'!N821)</f>
        <v>-209.25</v>
      </c>
      <c r="BB36" s="12">
        <v>48</v>
      </c>
      <c r="BC36" s="100"/>
      <c r="BD36" s="100"/>
      <c r="BE36" s="78"/>
      <c r="BF36" s="100"/>
      <c r="BG36" s="100"/>
      <c r="BH36" s="78"/>
      <c r="BI36" s="100"/>
      <c r="BJ36" s="100">
        <f>AVERAGE('Shuttle Bids'!Y716,'Shuttle Bids'!Y768,'Shuttle Bids'!Y820)</f>
        <v>-125</v>
      </c>
      <c r="BK36" s="78">
        <f>AVERAGE('Shuttle Bids'!Z716,'Shuttle Bids'!Z768,'Shuttle Bids'!Z820)</f>
        <v>-125</v>
      </c>
      <c r="BL36" s="12"/>
      <c r="BM36" s="28"/>
      <c r="BN36" s="28"/>
      <c r="BO36" s="28"/>
      <c r="BP36" s="28"/>
      <c r="BQ36" s="28"/>
      <c r="BR36" s="27"/>
      <c r="BS36" s="27"/>
      <c r="BT36" s="27"/>
      <c r="BU36" s="27"/>
      <c r="BV36" s="12">
        <f t="shared" si="4"/>
        <v>38</v>
      </c>
      <c r="BW36" s="77">
        <f>AVERAGE('Shuttle Bids'!AN759,'Shuttle Bids'!AN863,'Shuttle Bids'!AN811)</f>
        <v>286</v>
      </c>
      <c r="BX36" s="77">
        <f>AVERAGE('Shuttle Bids'!AO759,'Shuttle Bids'!AO863,'Shuttle Bids'!AO811)</f>
        <v>262.66666666666669</v>
      </c>
      <c r="BY36" s="78">
        <f>AVERAGE('Shuttle Bids'!AP759,'Shuttle Bids'!AP863,'Shuttle Bids'!AP811)</f>
        <v>274.33333333333331</v>
      </c>
      <c r="BZ36" s="72">
        <f t="shared" si="6"/>
        <v>42</v>
      </c>
      <c r="CA36" s="77">
        <f>AVERAGE('Shuttle Bids'!AR762,'Shuttle Bids'!AR866,'Shuttle Bids'!AR814)</f>
        <v>356</v>
      </c>
      <c r="CB36" s="77">
        <f>AVERAGE('Shuttle Bids'!AS762,'Shuttle Bids'!AS866,'Shuttle Bids'!AS814)</f>
        <v>33.333333333333336</v>
      </c>
      <c r="CC36" s="77">
        <f>AVERAGE('Shuttle Bids'!AT762,'Shuttle Bids'!AT866,'Shuttle Bids'!AT814)</f>
        <v>102</v>
      </c>
      <c r="CD36" s="72">
        <f>+CD35+1</f>
        <v>49</v>
      </c>
      <c r="CE36" s="77">
        <f>AVERAGE('Shuttle Bids'!AV769,'Shuttle Bids'!AV717,'Shuttle Bids'!AV821)</f>
        <v>-222.33333333333334</v>
      </c>
      <c r="CF36" s="77">
        <f>AVERAGE('Shuttle Bids'!AW769,'Shuttle Bids'!AW717,'Shuttle Bids'!AW821)</f>
        <v>-233.33333333333334</v>
      </c>
      <c r="CG36" s="77">
        <f>AVERAGE('Shuttle Bids'!AX769,'Shuttle Bids'!AX717,'Shuttle Bids'!AX821)</f>
        <v>-227.83333333333334</v>
      </c>
    </row>
    <row r="37" spans="1:85" x14ac:dyDescent="0.25">
      <c r="A37" s="12">
        <f>+'Non-shuttle Bids'!A143</f>
        <v>49</v>
      </c>
      <c r="B37" s="85">
        <f>AVERAGE('Non-shuttle Bids'!D718,'Non-shuttle Bids'!D770,'Non-shuttle Bids'!D822)</f>
        <v>6</v>
      </c>
      <c r="C37" s="85">
        <f>AVERAGE('Non-shuttle Bids'!E718,'Non-shuttle Bids'!E770,'Non-shuttle Bids'!E822)</f>
        <v>-46</v>
      </c>
      <c r="D37" s="83">
        <f>AVERAGE('Non-shuttle Bids'!F718,'Non-shuttle Bids'!F770,'Non-shuttle Bids'!F822)</f>
        <v>-8.1666666666666661</v>
      </c>
      <c r="E37" s="100"/>
      <c r="F37" s="100">
        <f>AVERAGE('Non-shuttle Bids'!I821,'Non-shuttle Bids'!I769,'Non-shuttle Bids'!I717)</f>
        <v>0</v>
      </c>
      <c r="G37" s="83">
        <f>AVERAGE('Non-shuttle Bids'!J821,'Non-shuttle Bids'!J769,'Non-shuttle Bids'!J717)</f>
        <v>0</v>
      </c>
      <c r="H37" s="77"/>
      <c r="I37" s="77">
        <f>AVERAGE('Non-shuttle Bids'!M821,'Non-shuttle Bids'!M769,'Non-shuttle Bids'!M717)</f>
        <v>0</v>
      </c>
      <c r="J37" s="78">
        <f>AVERAGE('Non-shuttle Bids'!N821,'Non-shuttle Bids'!N769,'Non-shuttle Bids'!N717)</f>
        <v>0</v>
      </c>
      <c r="K37" s="12">
        <v>49</v>
      </c>
      <c r="L37" s="77"/>
      <c r="M37" s="77"/>
      <c r="N37" s="78"/>
      <c r="O37" s="106"/>
      <c r="P37" s="106"/>
      <c r="Q37" s="107"/>
      <c r="R37" s="106"/>
      <c r="S37" s="106"/>
      <c r="T37" s="107"/>
      <c r="U37" s="12"/>
      <c r="V37" s="27"/>
      <c r="W37" s="27"/>
      <c r="X37" s="27"/>
      <c r="Y37" s="27"/>
      <c r="Z37" s="27"/>
      <c r="AA37" s="27"/>
      <c r="AB37" s="27"/>
      <c r="AC37" s="27"/>
      <c r="AD37" s="27"/>
      <c r="AE37" s="12">
        <f t="shared" si="3"/>
        <v>39</v>
      </c>
      <c r="AF37" s="77">
        <f>AVERAGE('Non-shuttle Bids'!AN760,'Non-shuttle Bids'!AN864,'Non-shuttle Bids'!AN812)</f>
        <v>-8.5</v>
      </c>
      <c r="AG37" s="77">
        <f>AVERAGE('Non-shuttle Bids'!AO760,'Non-shuttle Bids'!AO864,'Non-shuttle Bids'!AO812)</f>
        <v>14.5</v>
      </c>
      <c r="AH37" s="78">
        <f>AVERAGE('Non-shuttle Bids'!AP760,'Non-shuttle Bids'!AP864,'Non-shuttle Bids'!AP812)</f>
        <v>3</v>
      </c>
      <c r="AI37" s="72">
        <f t="shared" si="5"/>
        <v>43</v>
      </c>
      <c r="AJ37" s="77">
        <f>AVERAGE('Non-shuttle Bids'!AR815,'Non-shuttle Bids'!AR867,'Non-shuttle Bids'!AR763)</f>
        <v>122.33333333333333</v>
      </c>
      <c r="AK37" s="77">
        <f>AVERAGE('Non-shuttle Bids'!AS815,'Non-shuttle Bids'!AS867,'Non-shuttle Bids'!AS763)</f>
        <v>22.333333333333332</v>
      </c>
      <c r="AL37" s="77">
        <f>AVERAGE('Non-shuttle Bids'!AT815,'Non-shuttle Bids'!AT867,'Non-shuttle Bids'!AT763)</f>
        <v>72.333333333333329</v>
      </c>
      <c r="AM37" s="72">
        <v>50</v>
      </c>
      <c r="AN37" s="77">
        <f>AVERAGE('Non-shuttle Bids'!AV822,'Non-shuttle Bids'!AV718,'Non-shuttle Bids'!AV770)</f>
        <v>-41.5</v>
      </c>
      <c r="AO37" s="77">
        <f>AVERAGE('Non-shuttle Bids'!AW822,'Non-shuttle Bids'!AW718,'Non-shuttle Bids'!AW770)</f>
        <v>-3.3333333333333335</v>
      </c>
      <c r="AP37" s="144">
        <f>AVERAGE('Non-shuttle Bids'!AX822,'Non-shuttle Bids'!AX718,'Non-shuttle Bids'!AX770)</f>
        <v>-15.5</v>
      </c>
      <c r="AR37" s="12">
        <v>49</v>
      </c>
      <c r="AS37" s="100">
        <f>AVERAGE('Shuttle Bids'!D718,'Shuttle Bids'!D770,'Shuttle Bids'!D822)</f>
        <v>-44</v>
      </c>
      <c r="AT37" s="100">
        <f>AVERAGE('Shuttle Bids'!E718,'Shuttle Bids'!E770,'Shuttle Bids'!E822)</f>
        <v>-100</v>
      </c>
      <c r="AU37" s="78">
        <f>AVERAGE('Shuttle Bids'!F718,'Shuttle Bids'!F770,'Shuttle Bids'!F822)</f>
        <v>-98</v>
      </c>
      <c r="AV37" s="100"/>
      <c r="AW37" s="100">
        <f>AVERAGE('Shuttle Bids'!I717,'Shuttle Bids'!I769,'Shuttle Bids'!I821)</f>
        <v>-350</v>
      </c>
      <c r="AX37" s="78">
        <f>AVERAGE('Shuttle Bids'!J717,'Shuttle Bids'!J769,'Shuttle Bids'!J821)</f>
        <v>-350</v>
      </c>
      <c r="AY37" s="100"/>
      <c r="AZ37" s="100">
        <f>AVERAGE('Shuttle Bids'!M718,'Shuttle Bids'!M770,'Shuttle Bids'!M822)</f>
        <v>-208.33333333333334</v>
      </c>
      <c r="BA37" s="78">
        <f>AVERAGE('Shuttle Bids'!N718,'Shuttle Bids'!N770,'Shuttle Bids'!N822)</f>
        <v>-208.33333333333334</v>
      </c>
      <c r="BB37" s="12">
        <v>49</v>
      </c>
      <c r="BC37" s="100">
        <f>AVERAGE('Shuttle Bids'!P718,'Shuttle Bids'!P770,'Shuttle Bids'!P822)</f>
        <v>-200</v>
      </c>
      <c r="BD37" s="100"/>
      <c r="BE37" s="78">
        <f>AVERAGE('Shuttle Bids'!R718,'Shuttle Bids'!R770,'Shuttle Bids'!R822)</f>
        <v>-200</v>
      </c>
      <c r="BF37" s="100"/>
      <c r="BG37" s="100"/>
      <c r="BH37" s="78"/>
      <c r="BI37" s="100"/>
      <c r="BJ37" s="100">
        <f>AVERAGE('Shuttle Bids'!Y717,'Shuttle Bids'!Y769,'Shuttle Bids'!Y821)</f>
        <v>-100</v>
      </c>
      <c r="BK37" s="78">
        <f>AVERAGE('Shuttle Bids'!Z717,'Shuttle Bids'!Z769,'Shuttle Bids'!Z821)</f>
        <v>-100</v>
      </c>
      <c r="BL37" s="12"/>
      <c r="BM37" s="28"/>
      <c r="BN37" s="28"/>
      <c r="BO37" s="28"/>
      <c r="BP37" s="28"/>
      <c r="BQ37" s="28"/>
      <c r="BR37" s="27"/>
      <c r="BS37" s="27"/>
      <c r="BT37" s="27"/>
      <c r="BU37" s="27"/>
      <c r="BV37" s="12">
        <f t="shared" si="4"/>
        <v>39</v>
      </c>
      <c r="BW37" s="77">
        <f>AVERAGE('Shuttle Bids'!AN760,'Shuttle Bids'!AN864,'Shuttle Bids'!AN812)</f>
        <v>719.33333333333337</v>
      </c>
      <c r="BX37" s="77">
        <f>AVERAGE('Shuttle Bids'!AO760,'Shuttle Bids'!AO864,'Shuttle Bids'!AO812)</f>
        <v>271</v>
      </c>
      <c r="BY37" s="78">
        <f>AVERAGE('Shuttle Bids'!AP760,'Shuttle Bids'!AP864,'Shuttle Bids'!AP812)</f>
        <v>495.16666666666669</v>
      </c>
      <c r="BZ37" s="72">
        <f t="shared" si="6"/>
        <v>43</v>
      </c>
      <c r="CA37" s="77">
        <f>AVERAGE('Shuttle Bids'!AR763,'Shuttle Bids'!AR867,'Shuttle Bids'!AR815)</f>
        <v>270.66666666666669</v>
      </c>
      <c r="CB37" s="77">
        <f>AVERAGE('Shuttle Bids'!AS763,'Shuttle Bids'!AS867,'Shuttle Bids'!AS815)</f>
        <v>0</v>
      </c>
      <c r="CC37" s="77">
        <f>AVERAGE('Shuttle Bids'!AT763,'Shuttle Bids'!AT867,'Shuttle Bids'!AT815)</f>
        <v>135.33333333333334</v>
      </c>
      <c r="CD37" s="72">
        <v>50</v>
      </c>
      <c r="CE37" s="77">
        <f>AVERAGE('Shuttle Bids'!AV770,'Shuttle Bids'!AV718,'Shuttle Bids'!AV822)</f>
        <v>-39</v>
      </c>
      <c r="CF37" s="77">
        <f>AVERAGE('Shuttle Bids'!AW770,'Shuttle Bids'!AW718,'Shuttle Bids'!AW822)</f>
        <v>-96</v>
      </c>
      <c r="CG37" s="77">
        <f>AVERAGE('Shuttle Bids'!AX770,'Shuttle Bids'!AX718,'Shuttle Bids'!AX822)</f>
        <v>-67.5</v>
      </c>
    </row>
    <row r="38" spans="1:85" x14ac:dyDescent="0.25">
      <c r="A38" s="12">
        <f>+'Non-shuttle Bids'!A144</f>
        <v>50</v>
      </c>
      <c r="B38" s="85">
        <f>AVERAGE('Non-shuttle Bids'!D719,'Non-shuttle Bids'!D771,'Non-shuttle Bids'!D823)</f>
        <v>15.666666666666666</v>
      </c>
      <c r="C38" s="85">
        <f>AVERAGE('Non-shuttle Bids'!E719,'Non-shuttle Bids'!E771,'Non-shuttle Bids'!E823)</f>
        <v>-25</v>
      </c>
      <c r="D38" s="83">
        <f>AVERAGE('Non-shuttle Bids'!F719,'Non-shuttle Bids'!F771,'Non-shuttle Bids'!F823)</f>
        <v>1.6666666666666667</v>
      </c>
      <c r="E38" s="100">
        <f>AVERAGE('Non-shuttle Bids'!H822,'Non-shuttle Bids'!H770,'Non-shuttle Bids'!H718)</f>
        <v>-25</v>
      </c>
      <c r="F38" s="100">
        <f>AVERAGE('Non-shuttle Bids'!I822,'Non-shuttle Bids'!I770,'Non-shuttle Bids'!I718)</f>
        <v>0</v>
      </c>
      <c r="G38" s="83">
        <f>AVERAGE('Non-shuttle Bids'!J822,'Non-shuttle Bids'!J770,'Non-shuttle Bids'!J718)</f>
        <v>-12.5</v>
      </c>
      <c r="H38" s="77"/>
      <c r="I38" s="77">
        <f>AVERAGE('Non-shuttle Bids'!M822,'Non-shuttle Bids'!M770,'Non-shuttle Bids'!M718)</f>
        <v>0</v>
      </c>
      <c r="J38" s="78">
        <f>AVERAGE('Non-shuttle Bids'!N822,'Non-shuttle Bids'!N770,'Non-shuttle Bids'!N718)</f>
        <v>0</v>
      </c>
      <c r="K38" s="12">
        <v>50</v>
      </c>
      <c r="L38" s="77"/>
      <c r="M38" s="77"/>
      <c r="N38" s="78"/>
      <c r="O38" s="106"/>
      <c r="P38" s="106"/>
      <c r="Q38" s="107"/>
      <c r="R38" s="106"/>
      <c r="S38" s="106"/>
      <c r="T38" s="107"/>
      <c r="U38" s="12"/>
      <c r="V38" s="27"/>
      <c r="W38" s="27"/>
      <c r="X38" s="27"/>
      <c r="Y38" s="27"/>
      <c r="Z38" s="27"/>
      <c r="AA38" s="27"/>
      <c r="AB38" s="27"/>
      <c r="AC38" s="27"/>
      <c r="AD38" s="27"/>
      <c r="AE38" s="12">
        <f t="shared" si="3"/>
        <v>40</v>
      </c>
      <c r="AF38" s="77">
        <f>AVERAGE('Non-shuttle Bids'!AN761,'Non-shuttle Bids'!AN865,'Non-shuttle Bids'!AN813)</f>
        <v>245.66666666666666</v>
      </c>
      <c r="AG38" s="77">
        <f>AVERAGE('Non-shuttle Bids'!AO761,'Non-shuttle Bids'!AO865,'Non-shuttle Bids'!AO813)</f>
        <v>31.666666666666668</v>
      </c>
      <c r="AH38" s="78">
        <f>AVERAGE('Non-shuttle Bids'!AP761,'Non-shuttle Bids'!AP865,'Non-shuttle Bids'!AP813)</f>
        <v>138.66666666666666</v>
      </c>
      <c r="AI38" s="72">
        <f t="shared" si="5"/>
        <v>44</v>
      </c>
      <c r="AJ38" s="77">
        <f>AVERAGE('Non-shuttle Bids'!AR816,'Non-shuttle Bids'!AR868,'Non-shuttle Bids'!AR764)</f>
        <v>229.66666666666666</v>
      </c>
      <c r="AK38" s="77">
        <f>AVERAGE('Non-shuttle Bids'!AS816,'Non-shuttle Bids'!AS868,'Non-shuttle Bids'!AS764)</f>
        <v>21.333333333333332</v>
      </c>
      <c r="AL38" s="77">
        <f>AVERAGE('Non-shuttle Bids'!AT816,'Non-shuttle Bids'!AT868,'Non-shuttle Bids'!AT764)</f>
        <v>125.5</v>
      </c>
      <c r="AM38" s="72">
        <v>51</v>
      </c>
      <c r="AN38" s="77"/>
      <c r="AO38" s="77">
        <f>AVERAGE('Non-shuttle Bids'!AW823,'Non-shuttle Bids'!AW719,'Non-shuttle Bids'!AW771)</f>
        <v>0</v>
      </c>
      <c r="AP38" s="144">
        <f>AVERAGE('Non-shuttle Bids'!AX823,'Non-shuttle Bids'!AX719,'Non-shuttle Bids'!AX771)</f>
        <v>0</v>
      </c>
      <c r="AR38" s="12">
        <v>50</v>
      </c>
      <c r="AS38" s="100">
        <f>AVERAGE('Shuttle Bids'!D719,'Shuttle Bids'!D771,'Shuttle Bids'!D823)</f>
        <v>-6.5</v>
      </c>
      <c r="AT38" s="100">
        <f>AVERAGE('Shuttle Bids'!E719,'Shuttle Bids'!E771,'Shuttle Bids'!E823)</f>
        <v>-47</v>
      </c>
      <c r="AU38" s="78">
        <f>AVERAGE('Shuttle Bids'!F719,'Shuttle Bids'!F771,'Shuttle Bids'!F823)</f>
        <v>-12.166666666666666</v>
      </c>
      <c r="AV38" s="100"/>
      <c r="AW38" s="100">
        <f>AVERAGE('Shuttle Bids'!I718,'Shuttle Bids'!I770,'Shuttle Bids'!I822)</f>
        <v>-150</v>
      </c>
      <c r="AX38" s="78">
        <f>AVERAGE('Shuttle Bids'!J718,'Shuttle Bids'!J770,'Shuttle Bids'!J822)</f>
        <v>-150</v>
      </c>
      <c r="AY38" s="100"/>
      <c r="AZ38" s="100">
        <f>AVERAGE('Shuttle Bids'!M719,'Shuttle Bids'!M771,'Shuttle Bids'!M823)</f>
        <v>-200</v>
      </c>
      <c r="BA38" s="78">
        <f>AVERAGE('Shuttle Bids'!N719,'Shuttle Bids'!N771,'Shuttle Bids'!N823)</f>
        <v>-200</v>
      </c>
      <c r="BB38" s="12">
        <v>50</v>
      </c>
      <c r="BC38" s="100"/>
      <c r="BD38" s="100">
        <f>AVERAGE('Shuttle Bids'!Q719,'Shuttle Bids'!Q771,'Shuttle Bids'!Q823)</f>
        <v>-400</v>
      </c>
      <c r="BE38" s="78">
        <f>AVERAGE('Shuttle Bids'!R719,'Shuttle Bids'!R771,'Shuttle Bids'!R823)</f>
        <v>-400</v>
      </c>
      <c r="BF38" s="100"/>
      <c r="BG38" s="100"/>
      <c r="BH38" s="78"/>
      <c r="BI38" s="100"/>
      <c r="BJ38" s="100">
        <f>AVERAGE('Shuttle Bids'!Y718,'Shuttle Bids'!Y770,'Shuttle Bids'!Y822)</f>
        <v>-75</v>
      </c>
      <c r="BK38" s="78">
        <f>AVERAGE('Shuttle Bids'!Z718,'Shuttle Bids'!Z770,'Shuttle Bids'!Z822)</f>
        <v>-75</v>
      </c>
      <c r="BL38" s="12"/>
      <c r="BM38" s="28"/>
      <c r="BN38" s="28"/>
      <c r="BO38" s="28"/>
      <c r="BP38" s="28"/>
      <c r="BQ38" s="28"/>
      <c r="BR38" s="27"/>
      <c r="BS38" s="27"/>
      <c r="BT38" s="27"/>
      <c r="BU38" s="27"/>
      <c r="BV38" s="12">
        <f t="shared" si="4"/>
        <v>40</v>
      </c>
      <c r="BW38" s="77">
        <f>AVERAGE('Shuttle Bids'!AN761,'Shuttle Bids'!AN865,'Shuttle Bids'!AN813)</f>
        <v>622.33333333333337</v>
      </c>
      <c r="BX38" s="77">
        <f>AVERAGE('Shuttle Bids'!AO761,'Shuttle Bids'!AO865,'Shuttle Bids'!AO813)</f>
        <v>400</v>
      </c>
      <c r="BY38" s="78">
        <f>AVERAGE('Shuttle Bids'!AP761,'Shuttle Bids'!AP865,'Shuttle Bids'!AP813)</f>
        <v>511.16666666666669</v>
      </c>
      <c r="BZ38" s="72">
        <f t="shared" si="6"/>
        <v>44</v>
      </c>
      <c r="CA38" s="77">
        <f>AVERAGE('Shuttle Bids'!AR764,'Shuttle Bids'!AR868,'Shuttle Bids'!AR816)</f>
        <v>379</v>
      </c>
      <c r="CB38" s="77">
        <f>AVERAGE('Shuttle Bids'!AS764,'Shuttle Bids'!AS868,'Shuttle Bids'!AS816)</f>
        <v>-58.333333333333336</v>
      </c>
      <c r="CC38" s="77">
        <f>AVERAGE('Shuttle Bids'!AT764,'Shuttle Bids'!AT868,'Shuttle Bids'!AT816)</f>
        <v>160.33333333333334</v>
      </c>
      <c r="CD38" s="72">
        <v>51</v>
      </c>
      <c r="CE38" s="77">
        <f>AVERAGE('Shuttle Bids'!AV771,'Shuttle Bids'!AV719,'Shuttle Bids'!AV823)</f>
        <v>-25</v>
      </c>
      <c r="CF38" s="77">
        <f>AVERAGE('Shuttle Bids'!AW771,'Shuttle Bids'!AW719,'Shuttle Bids'!AW823)</f>
        <v>75</v>
      </c>
      <c r="CG38" s="77">
        <f>AVERAGE('Shuttle Bids'!AX771,'Shuttle Bids'!AX719,'Shuttle Bids'!AX823)</f>
        <v>25</v>
      </c>
    </row>
    <row r="39" spans="1:85" x14ac:dyDescent="0.25">
      <c r="A39" s="12">
        <f>+'Non-shuttle Bids'!A145</f>
        <v>51</v>
      </c>
      <c r="B39" s="85">
        <f>AVERAGE('Non-shuttle Bids'!D720,'Non-shuttle Bids'!D772,'Non-shuttle Bids'!D824)</f>
        <v>12.666666666666666</v>
      </c>
      <c r="C39" s="85">
        <f>AVERAGE('Non-shuttle Bids'!E720,'Non-shuttle Bids'!E772,'Non-shuttle Bids'!E824)</f>
        <v>0</v>
      </c>
      <c r="D39" s="83">
        <f>AVERAGE('Non-shuttle Bids'!F720,'Non-shuttle Bids'!F772,'Non-shuttle Bids'!F824)</f>
        <v>6.333333333333333</v>
      </c>
      <c r="E39" s="100">
        <f>AVERAGE('Non-shuttle Bids'!H823,'Non-shuttle Bids'!H771,'Non-shuttle Bids'!H719)</f>
        <v>-19</v>
      </c>
      <c r="F39" s="100">
        <f>AVERAGE('Non-shuttle Bids'!I823,'Non-shuttle Bids'!I771,'Non-shuttle Bids'!I719)</f>
        <v>0</v>
      </c>
      <c r="G39" s="83">
        <f>AVERAGE('Non-shuttle Bids'!J823,'Non-shuttle Bids'!J771,'Non-shuttle Bids'!J719)</f>
        <v>-9.5</v>
      </c>
      <c r="H39" s="77"/>
      <c r="I39" s="77">
        <f>AVERAGE('Non-shuttle Bids'!M823,'Non-shuttle Bids'!M771,'Non-shuttle Bids'!M719)</f>
        <v>0</v>
      </c>
      <c r="J39" s="78">
        <f>AVERAGE('Non-shuttle Bids'!N823,'Non-shuttle Bids'!N771,'Non-shuttle Bids'!N719)</f>
        <v>0</v>
      </c>
      <c r="K39" s="12">
        <v>51</v>
      </c>
      <c r="L39" s="77"/>
      <c r="M39" s="77"/>
      <c r="N39" s="78"/>
      <c r="O39" s="106"/>
      <c r="P39" s="106"/>
      <c r="Q39" s="107"/>
      <c r="R39" s="106"/>
      <c r="S39" s="106"/>
      <c r="T39" s="107"/>
      <c r="U39" s="12"/>
      <c r="V39" s="72"/>
      <c r="W39" s="72"/>
      <c r="X39" s="72"/>
      <c r="Y39" s="72"/>
      <c r="Z39" s="72"/>
      <c r="AA39" s="72"/>
      <c r="AB39" s="72"/>
      <c r="AC39" s="72"/>
      <c r="AD39" s="72"/>
      <c r="AE39" s="12">
        <v>41</v>
      </c>
      <c r="AF39" s="77">
        <f>AVERAGE('Non-shuttle Bids'!AN762,'Non-shuttle Bids'!AN866,'Non-shuttle Bids'!AN814)</f>
        <v>197.33333333333334</v>
      </c>
      <c r="AG39" s="77">
        <f>AVERAGE('Non-shuttle Bids'!AO762,'Non-shuttle Bids'!AO866,'Non-shuttle Bids'!AO814)</f>
        <v>-8.3333333333333339</v>
      </c>
      <c r="AH39" s="78">
        <f>AVERAGE('Non-shuttle Bids'!AP762,'Non-shuttle Bids'!AP866,'Non-shuttle Bids'!AP814)</f>
        <v>94.5</v>
      </c>
      <c r="AI39" s="72">
        <v>45</v>
      </c>
      <c r="AJ39" s="77">
        <f>AVERAGE('Non-shuttle Bids'!AR817,'Non-shuttle Bids'!AR869,'Non-shuttle Bids'!AR765)</f>
        <v>516</v>
      </c>
      <c r="AK39" s="77">
        <f>AVERAGE('Non-shuttle Bids'!AS817,'Non-shuttle Bids'!AS869,'Non-shuttle Bids'!AS765)</f>
        <v>58.333333333333336</v>
      </c>
      <c r="AL39" s="77">
        <f>AVERAGE('Non-shuttle Bids'!AT817,'Non-shuttle Bids'!AT869,'Non-shuttle Bids'!AT765)</f>
        <v>287.16666666666669</v>
      </c>
      <c r="AM39" s="72"/>
      <c r="AN39" s="77"/>
      <c r="AO39" s="77"/>
      <c r="AP39" s="87"/>
      <c r="AR39" s="12">
        <v>51</v>
      </c>
      <c r="AS39" s="100">
        <f>AVERAGE('Shuttle Bids'!D720,'Shuttle Bids'!D772,'Shuttle Bids'!D824)</f>
        <v>-156</v>
      </c>
      <c r="AT39" s="100">
        <f>AVERAGE('Shuttle Bids'!E720,'Shuttle Bids'!E772,'Shuttle Bids'!E824)</f>
        <v>-87.333333333333329</v>
      </c>
      <c r="AU39" s="78">
        <f>AVERAGE('Shuttle Bids'!F720,'Shuttle Bids'!F772,'Shuttle Bids'!F824)</f>
        <v>-129</v>
      </c>
      <c r="AV39" s="100">
        <f>AVERAGE('Shuttle Bids'!H719,'Shuttle Bids'!H771,'Shuttle Bids'!H823)</f>
        <v>38</v>
      </c>
      <c r="AW39" s="100">
        <f>AVERAGE('Shuttle Bids'!I719,'Shuttle Bids'!I771,'Shuttle Bids'!I823)</f>
        <v>-127.66666666666667</v>
      </c>
      <c r="AX39" s="78">
        <f>AVERAGE('Shuttle Bids'!J719,'Shuttle Bids'!J771,'Shuttle Bids'!J823)</f>
        <v>-82.5</v>
      </c>
      <c r="AY39" s="100"/>
      <c r="AZ39" s="100">
        <f>AVERAGE('Shuttle Bids'!M720,'Shuttle Bids'!M772,'Shuttle Bids'!M824)</f>
        <v>-212.66666666666666</v>
      </c>
      <c r="BA39" s="78">
        <f>AVERAGE('Shuttle Bids'!N720,'Shuttle Bids'!N772,'Shuttle Bids'!N824)</f>
        <v>-212.66666666666666</v>
      </c>
      <c r="BB39" s="12">
        <v>51</v>
      </c>
      <c r="BC39" s="100"/>
      <c r="BD39" s="100"/>
      <c r="BE39" s="78"/>
      <c r="BF39" s="100"/>
      <c r="BG39" s="100"/>
      <c r="BH39" s="78"/>
      <c r="BI39" s="100"/>
      <c r="BJ39" s="100">
        <f>AVERAGE('Shuttle Bids'!Y719,'Shuttle Bids'!Y771,'Shuttle Bids'!Y823)</f>
        <v>-100</v>
      </c>
      <c r="BK39" s="78">
        <f>AVERAGE('Shuttle Bids'!Z719,'Shuttle Bids'!Z771,'Shuttle Bids'!Z823)</f>
        <v>-100</v>
      </c>
      <c r="BL39" s="12"/>
      <c r="BM39" s="28"/>
      <c r="BN39" s="28"/>
      <c r="BO39" s="28"/>
      <c r="BP39" s="28"/>
      <c r="BQ39" s="28"/>
      <c r="BR39" s="27"/>
      <c r="BS39" s="27"/>
      <c r="BT39" s="27"/>
      <c r="BU39" s="27"/>
      <c r="BV39" s="12">
        <v>41</v>
      </c>
      <c r="BW39" s="77">
        <f>AVERAGE('Shuttle Bids'!AN762,'Shuttle Bids'!AN866,'Shuttle Bids'!AN814)</f>
        <v>239</v>
      </c>
      <c r="BX39" s="77">
        <f>AVERAGE('Shuttle Bids'!AO762,'Shuttle Bids'!AO866,'Shuttle Bids'!AO814)</f>
        <v>183.33333333333334</v>
      </c>
      <c r="BY39" s="78">
        <f>AVERAGE('Shuttle Bids'!AP762,'Shuttle Bids'!AP866,'Shuttle Bids'!AP814)</f>
        <v>211.16666666666666</v>
      </c>
      <c r="BZ39" s="72">
        <v>45</v>
      </c>
      <c r="CA39" s="77">
        <f>AVERAGE('Shuttle Bids'!AR765,'Shuttle Bids'!AR869,'Shuttle Bids'!AR817)</f>
        <v>654.33333333333337</v>
      </c>
      <c r="CB39" s="77">
        <f>AVERAGE('Shuttle Bids'!AS765,'Shuttle Bids'!AS869,'Shuttle Bids'!AS817)</f>
        <v>50</v>
      </c>
      <c r="CC39" s="77">
        <f>AVERAGE('Shuttle Bids'!AT765,'Shuttle Bids'!AT869,'Shuttle Bids'!AT817)</f>
        <v>352.16666666666669</v>
      </c>
      <c r="CD39" s="87"/>
      <c r="CE39" s="27"/>
      <c r="CF39" s="27"/>
    </row>
    <row r="40" spans="1:85" x14ac:dyDescent="0.25">
      <c r="A40" s="12">
        <f>+'Non-shuttle Bids'!A146</f>
        <v>52</v>
      </c>
      <c r="B40" s="85">
        <f>AVERAGE('Non-shuttle Bids'!D721,'Non-shuttle Bids'!D773,'Non-shuttle Bids'!D825)</f>
        <v>28.666666666666668</v>
      </c>
      <c r="C40" s="85">
        <f>AVERAGE('Non-shuttle Bids'!E721,'Non-shuttle Bids'!E773,'Non-shuttle Bids'!E825)</f>
        <v>17</v>
      </c>
      <c r="D40" s="83">
        <f>AVERAGE('Non-shuttle Bids'!F721,'Non-shuttle Bids'!F773,'Non-shuttle Bids'!F825)</f>
        <v>22.833333333333332</v>
      </c>
      <c r="E40" s="100">
        <f>AVERAGE('Non-shuttle Bids'!H824,'Non-shuttle Bids'!H772,'Non-shuttle Bids'!H720)</f>
        <v>-19</v>
      </c>
      <c r="F40" s="100">
        <f>AVERAGE('Non-shuttle Bids'!I824,'Non-shuttle Bids'!I772,'Non-shuttle Bids'!I720)</f>
        <v>0</v>
      </c>
      <c r="G40" s="83">
        <f>AVERAGE('Non-shuttle Bids'!J824,'Non-shuttle Bids'!J772,'Non-shuttle Bids'!J720)</f>
        <v>-9.5</v>
      </c>
      <c r="H40" s="77">
        <f>AVERAGE('Non-shuttle Bids'!L824,'Non-shuttle Bids'!L772,'Non-shuttle Bids'!L720)</f>
        <v>25</v>
      </c>
      <c r="I40" s="77">
        <f>AVERAGE('Non-shuttle Bids'!M824,'Non-shuttle Bids'!M772,'Non-shuttle Bids'!M720)</f>
        <v>0</v>
      </c>
      <c r="J40" s="78">
        <f>AVERAGE('Non-shuttle Bids'!N824,'Non-shuttle Bids'!N772,'Non-shuttle Bids'!N720)</f>
        <v>12.5</v>
      </c>
      <c r="K40" s="12">
        <v>52</v>
      </c>
      <c r="L40" s="77"/>
      <c r="M40" s="77"/>
      <c r="N40" s="78"/>
      <c r="O40" s="106"/>
      <c r="P40" s="106"/>
      <c r="Q40" s="107"/>
      <c r="R40" s="106"/>
      <c r="S40" s="106"/>
      <c r="T40" s="107"/>
      <c r="U40" s="12">
        <v>52</v>
      </c>
      <c r="V40" s="100"/>
      <c r="W40" s="100"/>
      <c r="X40" s="83"/>
      <c r="Y40" s="72"/>
      <c r="Z40" s="72"/>
      <c r="AA40" s="72"/>
      <c r="AB40" s="72"/>
      <c r="AC40" s="72"/>
      <c r="AD40" s="72"/>
      <c r="AE40" s="72">
        <v>42</v>
      </c>
      <c r="AF40" s="77"/>
      <c r="AG40" s="77"/>
      <c r="AH40" s="78"/>
      <c r="AI40" s="72">
        <v>46</v>
      </c>
      <c r="AJ40" s="77">
        <f>AVERAGE('Non-shuttle Bids'!AR818,'Non-shuttle Bids'!AR870,'Non-shuttle Bids'!AR766)</f>
        <v>208.66666666666666</v>
      </c>
      <c r="AK40" s="77">
        <f>AVERAGE('Non-shuttle Bids'!AS818,'Non-shuttle Bids'!AS870,'Non-shuttle Bids'!AS766)</f>
        <v>108.33333333333333</v>
      </c>
      <c r="AL40" s="77">
        <f>AVERAGE('Non-shuttle Bids'!AT818,'Non-shuttle Bids'!AT870,'Non-shuttle Bids'!AT766)</f>
        <v>158.5</v>
      </c>
      <c r="AM40" s="79"/>
      <c r="AN40" s="77"/>
      <c r="AO40" s="77"/>
      <c r="AP40" s="87"/>
      <c r="AR40" s="12">
        <v>52</v>
      </c>
      <c r="AS40" s="100">
        <f>AVERAGE('Shuttle Bids'!D721,'Shuttle Bids'!D773,'Shuttle Bids'!D825)</f>
        <v>-118</v>
      </c>
      <c r="AT40" s="100">
        <f>AVERAGE('Shuttle Bids'!E721,'Shuttle Bids'!E773,'Shuttle Bids'!E825)</f>
        <v>-108.33333333333333</v>
      </c>
      <c r="AU40" s="78">
        <f>AVERAGE('Shuttle Bids'!F721,'Shuttle Bids'!F773,'Shuttle Bids'!F825)</f>
        <v>-113.16666666666667</v>
      </c>
      <c r="AV40" s="100">
        <f>AVERAGE('Shuttle Bids'!H720,'Shuttle Bids'!H772,'Shuttle Bids'!H824)</f>
        <v>-325</v>
      </c>
      <c r="AW40" s="100">
        <f>AVERAGE('Shuttle Bids'!I720,'Shuttle Bids'!I772,'Shuttle Bids'!I824)</f>
        <v>-127.66666666666667</v>
      </c>
      <c r="AX40" s="78">
        <f>AVERAGE('Shuttle Bids'!J720,'Shuttle Bids'!J772,'Shuttle Bids'!J824)</f>
        <v>-152.66666666666666</v>
      </c>
      <c r="AY40" s="100">
        <f>AVERAGE('Shuttle Bids'!L721,'Shuttle Bids'!L773,'Shuttle Bids'!L825)</f>
        <v>-100</v>
      </c>
      <c r="AZ40" s="100">
        <f>AVERAGE('Shuttle Bids'!M721,'Shuttle Bids'!M773,'Shuttle Bids'!M825)</f>
        <v>-183.33333333333334</v>
      </c>
      <c r="BA40" s="78">
        <f>AVERAGE('Shuttle Bids'!N721,'Shuttle Bids'!N773,'Shuttle Bids'!N825)</f>
        <v>-200</v>
      </c>
      <c r="BB40" s="12">
        <v>52</v>
      </c>
      <c r="BC40" s="100"/>
      <c r="BD40" s="100"/>
      <c r="BE40" s="78"/>
      <c r="BF40" s="100"/>
      <c r="BG40" s="100"/>
      <c r="BH40" s="78"/>
      <c r="BI40" s="100"/>
      <c r="BJ40" s="100"/>
      <c r="BK40" s="78"/>
      <c r="BL40" s="12">
        <v>52</v>
      </c>
      <c r="BM40" s="100"/>
      <c r="BN40" s="100"/>
      <c r="BO40" s="78"/>
      <c r="BP40" s="28"/>
      <c r="BQ40" s="28"/>
      <c r="BR40" s="27"/>
      <c r="BS40" s="27"/>
      <c r="BT40" s="27"/>
      <c r="BU40" s="27"/>
      <c r="BV40" s="72">
        <v>42</v>
      </c>
      <c r="BW40" s="77"/>
      <c r="BX40" s="77"/>
      <c r="BY40" s="78"/>
      <c r="BZ40" s="72">
        <v>46</v>
      </c>
      <c r="CA40" s="77">
        <f>AVERAGE('Shuttle Bids'!AR766,'Shuttle Bids'!AR870,'Shuttle Bids'!AR818)</f>
        <v>364.33333333333331</v>
      </c>
      <c r="CB40" s="77">
        <f>AVERAGE('Shuttle Bids'!AS766,'Shuttle Bids'!AS870,'Shuttle Bids'!AS818)</f>
        <v>-58.333333333333336</v>
      </c>
      <c r="CC40" s="77">
        <f>AVERAGE('Shuttle Bids'!AT766,'Shuttle Bids'!AT870,'Shuttle Bids'!AT818)</f>
        <v>153</v>
      </c>
      <c r="CD40" s="87"/>
      <c r="CE40" s="27"/>
      <c r="CF40" s="27"/>
    </row>
    <row r="41" spans="1:85" x14ac:dyDescent="0.25">
      <c r="A41" s="12">
        <v>1</v>
      </c>
      <c r="B41" s="85">
        <f>AVERAGE('Non-shuttle Bids'!D722,'Non-shuttle Bids'!D774,'Non-shuttle Bids'!D826)</f>
        <v>23</v>
      </c>
      <c r="C41" s="85">
        <f>AVERAGE('Non-shuttle Bids'!E722,'Non-shuttle Bids'!E774,'Non-shuttle Bids'!E826)</f>
        <v>33.333333333333336</v>
      </c>
      <c r="D41" s="83">
        <f>AVERAGE('Non-shuttle Bids'!F722,'Non-shuttle Bids'!F774,'Non-shuttle Bids'!F826)</f>
        <v>28.166666666666668</v>
      </c>
      <c r="E41" s="100">
        <f>AVERAGE('Non-shuttle Bids'!H825,'Non-shuttle Bids'!H773,'Non-shuttle Bids'!H721)</f>
        <v>50</v>
      </c>
      <c r="F41" s="100">
        <f>AVERAGE('Non-shuttle Bids'!I825,'Non-shuttle Bids'!I773,'Non-shuttle Bids'!I721)</f>
        <v>38</v>
      </c>
      <c r="G41" s="83">
        <f>AVERAGE('Non-shuttle Bids'!J825,'Non-shuttle Bids'!J773,'Non-shuttle Bids'!J721)</f>
        <v>34.5</v>
      </c>
      <c r="H41" s="77">
        <f>AVERAGE('Non-shuttle Bids'!L825,'Non-shuttle Bids'!L773,'Non-shuttle Bids'!L721)</f>
        <v>25</v>
      </c>
      <c r="I41" s="77">
        <f>AVERAGE('Non-shuttle Bids'!M825,'Non-shuttle Bids'!M773,'Non-shuttle Bids'!M721)</f>
        <v>0</v>
      </c>
      <c r="J41" s="78">
        <f>AVERAGE('Non-shuttle Bids'!N825,'Non-shuttle Bids'!N773,'Non-shuttle Bids'!N721)</f>
        <v>12.5</v>
      </c>
      <c r="K41" s="12">
        <v>1</v>
      </c>
      <c r="L41" s="77"/>
      <c r="M41" s="77"/>
      <c r="N41" s="78"/>
      <c r="O41" s="106"/>
      <c r="P41" s="106"/>
      <c r="Q41" s="107"/>
      <c r="R41" s="106"/>
      <c r="S41" s="106"/>
      <c r="T41" s="107"/>
      <c r="U41" s="12">
        <v>1</v>
      </c>
      <c r="V41" s="100"/>
      <c r="W41" s="100"/>
      <c r="X41" s="83"/>
      <c r="Y41" s="12"/>
      <c r="Z41" s="12"/>
      <c r="AA41" s="12"/>
      <c r="AB41" s="12"/>
      <c r="AC41" s="12"/>
      <c r="AD41" s="12"/>
      <c r="AE41" s="12"/>
      <c r="AF41" s="77"/>
      <c r="AG41" s="77"/>
      <c r="AH41" s="77"/>
      <c r="AI41" s="72">
        <v>47</v>
      </c>
      <c r="AJ41" s="77">
        <f>AVERAGE('Non-shuttle Bids'!AR819,'Non-shuttle Bids'!AR871,'Non-shuttle Bids'!AR767)</f>
        <v>500</v>
      </c>
      <c r="AK41" s="77">
        <f>AVERAGE('Non-shuttle Bids'!AS819,'Non-shuttle Bids'!AS871,'Non-shuttle Bids'!AS767)</f>
        <v>350</v>
      </c>
      <c r="AL41" s="77">
        <f>AVERAGE('Non-shuttle Bids'!AT819,'Non-shuttle Bids'!AT871,'Non-shuttle Bids'!AT767)</f>
        <v>425</v>
      </c>
      <c r="AM41" s="79"/>
      <c r="AN41" s="77"/>
      <c r="AO41" s="77"/>
      <c r="AP41" s="87"/>
      <c r="AR41" s="12">
        <v>1</v>
      </c>
      <c r="AS41" s="100">
        <f>AVERAGE('Shuttle Bids'!D722,'Shuttle Bids'!D774,'Shuttle Bids'!D826)</f>
        <v>-130.66666666666666</v>
      </c>
      <c r="AT41" s="100">
        <f>AVERAGE('Shuttle Bids'!E722,'Shuttle Bids'!E774,'Shuttle Bids'!E826)</f>
        <v>-212.66666666666666</v>
      </c>
      <c r="AU41" s="78">
        <f>AVERAGE('Shuttle Bids'!F722,'Shuttle Bids'!F774,'Shuttle Bids'!F826)</f>
        <v>-171.66666666666666</v>
      </c>
      <c r="AV41" s="100">
        <f>AVERAGE('Shuttle Bids'!H721,'Shuttle Bids'!H773,'Shuttle Bids'!H825)</f>
        <v>-100</v>
      </c>
      <c r="AW41" s="100">
        <f>AVERAGE('Shuttle Bids'!I721,'Shuttle Bids'!I773,'Shuttle Bids'!I825)</f>
        <v>-167</v>
      </c>
      <c r="AX41" s="78">
        <f>AVERAGE('Shuttle Bids'!J721,'Shuttle Bids'!J773,'Shuttle Bids'!J825)</f>
        <v>-187.83333333333334</v>
      </c>
      <c r="AY41" s="100">
        <f>AVERAGE('Shuttle Bids'!L722,'Shuttle Bids'!L774,'Shuttle Bids'!L826)</f>
        <v>-300</v>
      </c>
      <c r="AZ41" s="100">
        <f>AVERAGE('Shuttle Bids'!M722,'Shuttle Bids'!M774,'Shuttle Bids'!M826)</f>
        <v>-229.33333333333334</v>
      </c>
      <c r="BA41" s="78">
        <f>AVERAGE('Shuttle Bids'!N722,'Shuttle Bids'!N774,'Shuttle Bids'!N826)</f>
        <v>-206.33333333333334</v>
      </c>
      <c r="BB41" s="12">
        <v>1</v>
      </c>
      <c r="BC41" s="100"/>
      <c r="BD41" s="100">
        <f>AVERAGE('Shuttle Bids'!Q722,'Shuttle Bids'!Q774,'Shuttle Bids'!Q826)</f>
        <v>-500</v>
      </c>
      <c r="BE41" s="78">
        <f>AVERAGE('Shuttle Bids'!R722,'Shuttle Bids'!R774,'Shuttle Bids'!R826)</f>
        <v>-500</v>
      </c>
      <c r="BF41" s="100">
        <f>AVERAGE('Shuttle Bids'!T722,'Shuttle Bids'!T774,'Shuttle Bids'!T826)</f>
        <v>-550</v>
      </c>
      <c r="BG41" s="100"/>
      <c r="BH41" s="78">
        <f>AVERAGE('Shuttle Bids'!V722,'Shuttle Bids'!V774,'Shuttle Bids'!V826)</f>
        <v>-550</v>
      </c>
      <c r="BI41" s="100"/>
      <c r="BJ41" s="100"/>
      <c r="BK41" s="78"/>
      <c r="BL41" s="12">
        <v>1</v>
      </c>
      <c r="BM41" s="100"/>
      <c r="BN41" s="100"/>
      <c r="BO41" s="78"/>
      <c r="BP41" s="49"/>
      <c r="BQ41" s="49"/>
      <c r="BW41" s="77"/>
      <c r="BX41" s="77"/>
      <c r="BY41" s="77"/>
      <c r="BZ41" s="72">
        <v>47</v>
      </c>
      <c r="CA41" s="77">
        <f>AVERAGE('Shuttle Bids'!AR767,'Shuttle Bids'!AR871,'Shuttle Bids'!AR819)</f>
        <v>500</v>
      </c>
      <c r="CB41" s="77"/>
      <c r="CC41" s="77">
        <f>AVERAGE('Shuttle Bids'!AT767,'Shuttle Bids'!AT871,'Shuttle Bids'!AT819)</f>
        <v>500</v>
      </c>
      <c r="CD41" s="87"/>
    </row>
    <row r="42" spans="1:85" x14ac:dyDescent="0.25">
      <c r="A42" s="12">
        <f>+A41+1</f>
        <v>2</v>
      </c>
      <c r="B42" s="85">
        <f>AVERAGE('Non-shuttle Bids'!D723,'Non-shuttle Bids'!D775,'Non-shuttle Bids'!D827)</f>
        <v>37.333333333333336</v>
      </c>
      <c r="C42" s="85">
        <f>AVERAGE('Non-shuttle Bids'!E723,'Non-shuttle Bids'!E775,'Non-shuttle Bids'!E827)</f>
        <v>25</v>
      </c>
      <c r="D42" s="83">
        <f>AVERAGE('Non-shuttle Bids'!F723,'Non-shuttle Bids'!F775,'Non-shuttle Bids'!F827)</f>
        <v>31.166666666666668</v>
      </c>
      <c r="E42" s="100">
        <f>AVERAGE('Non-shuttle Bids'!H826,'Non-shuttle Bids'!H774,'Non-shuttle Bids'!H722)</f>
        <v>23</v>
      </c>
      <c r="F42" s="100">
        <f>AVERAGE('Non-shuttle Bids'!I826,'Non-shuttle Bids'!I774,'Non-shuttle Bids'!I722)</f>
        <v>31.5</v>
      </c>
      <c r="G42" s="83">
        <f>AVERAGE('Non-shuttle Bids'!J826,'Non-shuttle Bids'!J774,'Non-shuttle Bids'!J722)</f>
        <v>27.25</v>
      </c>
      <c r="H42" s="77">
        <f>AVERAGE('Non-shuttle Bids'!L826,'Non-shuttle Bids'!L774,'Non-shuttle Bids'!L722)</f>
        <v>17</v>
      </c>
      <c r="I42" s="77">
        <f>AVERAGE('Non-shuttle Bids'!M826,'Non-shuttle Bids'!M774,'Non-shuttle Bids'!M722)</f>
        <v>0</v>
      </c>
      <c r="J42" s="78">
        <f>AVERAGE('Non-shuttle Bids'!N826,'Non-shuttle Bids'!N774,'Non-shuttle Bids'!N722)</f>
        <v>8.5</v>
      </c>
      <c r="K42" s="12">
        <f>+K41+1</f>
        <v>2</v>
      </c>
      <c r="L42" s="77"/>
      <c r="M42" s="77">
        <f>AVERAGE('Non-shuttle Bids'!Q827,'Non-shuttle Bids'!Q723,'Non-shuttle Bids'!Q775)</f>
        <v>0</v>
      </c>
      <c r="N42" s="78">
        <f>AVERAGE('Non-shuttle Bids'!R827,'Non-shuttle Bids'!R723,'Non-shuttle Bids'!R775)</f>
        <v>0</v>
      </c>
      <c r="O42" s="106"/>
      <c r="P42" s="106">
        <f>AVERAGE('Non-shuttle Bids'!U827,'Non-shuttle Bids'!U723,'Non-shuttle Bids'!U775)</f>
        <v>0</v>
      </c>
      <c r="Q42" s="107">
        <f>AVERAGE('Non-shuttle Bids'!V827,'Non-shuttle Bids'!V723,'Non-shuttle Bids'!V775)</f>
        <v>0</v>
      </c>
      <c r="R42" s="106"/>
      <c r="S42" s="106"/>
      <c r="T42" s="107"/>
      <c r="U42" s="12">
        <f>+U41+1</f>
        <v>2</v>
      </c>
      <c r="V42" s="100"/>
      <c r="W42" s="100"/>
      <c r="X42" s="83"/>
      <c r="Y42" s="12"/>
      <c r="Z42" s="12"/>
      <c r="AA42" s="12"/>
      <c r="AB42" s="12"/>
      <c r="AC42" s="12"/>
      <c r="AD42" s="12"/>
      <c r="AF42" s="77"/>
      <c r="AG42" s="77"/>
      <c r="AH42" s="87"/>
      <c r="AI42" s="80"/>
      <c r="AJ42" s="77"/>
      <c r="AK42" s="77"/>
      <c r="AL42" s="80"/>
      <c r="AM42" s="79"/>
      <c r="AN42" s="77"/>
      <c r="AO42" s="77"/>
      <c r="AP42" s="87"/>
      <c r="AR42" s="12">
        <v>2</v>
      </c>
      <c r="AS42" s="100">
        <f>AVERAGE('Shuttle Bids'!D723,'Shuttle Bids'!D775,'Shuttle Bids'!D827)</f>
        <v>-179.33333333333334</v>
      </c>
      <c r="AT42" s="100">
        <f>AVERAGE('Shuttle Bids'!E723,'Shuttle Bids'!E775,'Shuttle Bids'!E827)</f>
        <v>-125</v>
      </c>
      <c r="AU42" s="78">
        <f>AVERAGE('Shuttle Bids'!F723,'Shuttle Bids'!F775,'Shuttle Bids'!F827)</f>
        <v>-135.5</v>
      </c>
      <c r="AV42" s="100">
        <f>AVERAGE('Shuttle Bids'!H722,'Shuttle Bids'!H774,'Shuttle Bids'!H826)</f>
        <v>-50</v>
      </c>
      <c r="AW42" s="100">
        <f>AVERAGE('Shuttle Bids'!I722,'Shuttle Bids'!I774,'Shuttle Bids'!I826)</f>
        <v>-196</v>
      </c>
      <c r="AX42" s="78">
        <f>AVERAGE('Shuttle Bids'!J722,'Shuttle Bids'!J774,'Shuttle Bids'!J826)</f>
        <v>-146</v>
      </c>
      <c r="AY42" s="100">
        <f>AVERAGE('Shuttle Bids'!L723,'Shuttle Bids'!L775,'Shuttle Bids'!L827)</f>
        <v>-350</v>
      </c>
      <c r="AZ42" s="100">
        <f>AVERAGE('Shuttle Bids'!M723,'Shuttle Bids'!M775,'Shuttle Bids'!M827)</f>
        <v>-246</v>
      </c>
      <c r="BA42" s="78">
        <f>AVERAGE('Shuttle Bids'!N723,'Shuttle Bids'!N775,'Shuttle Bids'!N827)</f>
        <v>-223</v>
      </c>
      <c r="BB42" s="12">
        <v>2</v>
      </c>
      <c r="BC42" s="100"/>
      <c r="BD42" s="100"/>
      <c r="BE42" s="78"/>
      <c r="BF42" s="100"/>
      <c r="BG42" s="100"/>
      <c r="BH42" s="78"/>
      <c r="BI42" s="100"/>
      <c r="BJ42" s="100"/>
      <c r="BK42" s="78"/>
      <c r="BL42" s="12">
        <v>2</v>
      </c>
      <c r="BM42" s="100"/>
      <c r="BN42" s="100"/>
      <c r="BO42" s="78"/>
      <c r="BP42" s="49"/>
      <c r="BQ42" s="49"/>
    </row>
    <row r="43" spans="1:85" x14ac:dyDescent="0.25">
      <c r="A43" s="12">
        <f>+A42+1</f>
        <v>3</v>
      </c>
      <c r="B43" s="100"/>
      <c r="C43" s="100"/>
      <c r="D43" s="85"/>
      <c r="E43" s="100">
        <f>AVERAGE('Non-shuttle Bids'!H827,'Non-shuttle Bids'!H775,'Non-shuttle Bids'!H723)</f>
        <v>20</v>
      </c>
      <c r="F43" s="100">
        <f>AVERAGE('Non-shuttle Bids'!I827,'Non-shuttle Bids'!I775,'Non-shuttle Bids'!I723)</f>
        <v>25</v>
      </c>
      <c r="G43" s="83">
        <f>AVERAGE('Non-shuttle Bids'!J827,'Non-shuttle Bids'!J775,'Non-shuttle Bids'!J723)</f>
        <v>22.5</v>
      </c>
      <c r="H43" s="77">
        <f>AVERAGE('Non-shuttle Bids'!L827,'Non-shuttle Bids'!L775,'Non-shuttle Bids'!L723)</f>
        <v>67</v>
      </c>
      <c r="I43" s="77">
        <f>AVERAGE('Non-shuttle Bids'!M827,'Non-shuttle Bids'!M775,'Non-shuttle Bids'!M723)</f>
        <v>0</v>
      </c>
      <c r="J43" s="78">
        <f>AVERAGE('Non-shuttle Bids'!N827,'Non-shuttle Bids'!N775,'Non-shuttle Bids'!N723)</f>
        <v>33.5</v>
      </c>
      <c r="K43" s="12">
        <f>+K42+1</f>
        <v>3</v>
      </c>
      <c r="L43" s="77">
        <f>AVERAGE('Non-shuttle Bids'!P828,'Non-shuttle Bids'!P724,'Non-shuttle Bids'!P776)</f>
        <v>75</v>
      </c>
      <c r="M43" s="77">
        <f>AVERAGE('Non-shuttle Bids'!Q828,'Non-shuttle Bids'!Q724,'Non-shuttle Bids'!Q776)</f>
        <v>0</v>
      </c>
      <c r="N43" s="78">
        <f>AVERAGE('Non-shuttle Bids'!R828,'Non-shuttle Bids'!R724,'Non-shuttle Bids'!R776)</f>
        <v>37.5</v>
      </c>
      <c r="O43" s="106"/>
      <c r="P43" s="106"/>
      <c r="Q43" s="107"/>
      <c r="R43" s="106"/>
      <c r="S43" s="106"/>
      <c r="T43" s="107"/>
      <c r="U43" s="12">
        <f>+U42+1</f>
        <v>3</v>
      </c>
      <c r="V43" s="100"/>
      <c r="W43" s="100"/>
      <c r="X43" s="83"/>
      <c r="Y43" s="100"/>
      <c r="Z43" s="100"/>
      <c r="AA43" s="100"/>
      <c r="AB43" s="100"/>
      <c r="AC43" s="100"/>
      <c r="AD43" s="100"/>
      <c r="AF43" s="77"/>
      <c r="AG43" s="77"/>
      <c r="AH43" s="87"/>
      <c r="AI43" s="79"/>
      <c r="AJ43" s="77"/>
      <c r="AK43" s="77"/>
      <c r="AL43" s="80"/>
      <c r="AM43" s="79"/>
      <c r="AN43" s="81"/>
      <c r="AO43" s="81"/>
      <c r="AP43" s="81"/>
      <c r="AR43" s="12">
        <v>3</v>
      </c>
      <c r="AS43" s="100"/>
      <c r="AT43" s="100"/>
      <c r="AU43" s="100"/>
      <c r="AV43" s="100">
        <f>AVERAGE('Shuttle Bids'!H723,'Shuttle Bids'!H775,'Shuttle Bids'!H827)</f>
        <v>-138</v>
      </c>
      <c r="AW43" s="100">
        <f>AVERAGE('Shuttle Bids'!I723,'Shuttle Bids'!I775,'Shuttle Bids'!I827)</f>
        <v>-208.33333333333334</v>
      </c>
      <c r="AX43" s="78">
        <f>AVERAGE('Shuttle Bids'!J723,'Shuttle Bids'!J775,'Shuttle Bids'!J827)</f>
        <v>-160.5</v>
      </c>
      <c r="AY43" s="100">
        <f>AVERAGE('Shuttle Bids'!L724,'Shuttle Bids'!L776,'Shuttle Bids'!L828)</f>
        <v>-300</v>
      </c>
      <c r="AZ43" s="100">
        <f>AVERAGE('Shuttle Bids'!M724,'Shuttle Bids'!M776,'Shuttle Bids'!M828)</f>
        <v>-250</v>
      </c>
      <c r="BA43" s="78">
        <f>AVERAGE('Shuttle Bids'!N724,'Shuttle Bids'!N776,'Shuttle Bids'!N828)</f>
        <v>-220.83333333333334</v>
      </c>
      <c r="BB43" s="12">
        <v>3</v>
      </c>
      <c r="BC43" s="100"/>
      <c r="BD43" s="100">
        <f>AVERAGE('Shuttle Bids'!Q724,'Shuttle Bids'!Q776,'Shuttle Bids'!Q828)</f>
        <v>-550</v>
      </c>
      <c r="BE43" s="78">
        <f>AVERAGE('Shuttle Bids'!R724,'Shuttle Bids'!R776,'Shuttle Bids'!R828)</f>
        <v>-550</v>
      </c>
      <c r="BF43" s="100"/>
      <c r="BG43" s="100"/>
      <c r="BH43" s="78"/>
      <c r="BI43" s="100"/>
      <c r="BJ43" s="100"/>
      <c r="BK43" s="78"/>
      <c r="BL43" s="12">
        <v>3</v>
      </c>
      <c r="BM43" s="100">
        <f>AVERAGE('Shuttle Bids'!AB723,'Shuttle Bids'!AB775,'Shuttle Bids'!AB827)</f>
        <v>-300</v>
      </c>
      <c r="BN43" s="100">
        <f>AVERAGE('Shuttle Bids'!AC723,'Shuttle Bids'!AC775,'Shuttle Bids'!AC827)</f>
        <v>-275</v>
      </c>
      <c r="BO43" s="78">
        <f>AVERAGE('Shuttle Bids'!AD723,'Shuttle Bids'!AD775,'Shuttle Bids'!AD827)</f>
        <v>-287.5</v>
      </c>
      <c r="BP43" s="49"/>
      <c r="BQ43" s="49"/>
    </row>
    <row r="44" spans="1:85" x14ac:dyDescent="0.25">
      <c r="A44" s="12">
        <v>4</v>
      </c>
      <c r="B44" s="100"/>
      <c r="C44" s="100"/>
      <c r="D44" s="85"/>
      <c r="E44" s="100">
        <f>AVERAGE('Non-shuttle Bids'!H828,'Non-shuttle Bids'!H776,'Non-shuttle Bids'!H724)</f>
        <v>28.5</v>
      </c>
      <c r="F44" s="100">
        <f>AVERAGE('Non-shuttle Bids'!I828,'Non-shuttle Bids'!I776,'Non-shuttle Bids'!I724)</f>
        <v>25.5</v>
      </c>
      <c r="G44" s="83">
        <f>AVERAGE('Non-shuttle Bids'!J828,'Non-shuttle Bids'!J776,'Non-shuttle Bids'!J724)</f>
        <v>27</v>
      </c>
      <c r="H44" s="77">
        <f>AVERAGE('Non-shuttle Bids'!L828,'Non-shuttle Bids'!L776,'Non-shuttle Bids'!L724)</f>
        <v>29</v>
      </c>
      <c r="I44" s="77">
        <f>AVERAGE('Non-shuttle Bids'!M828,'Non-shuttle Bids'!M776,'Non-shuttle Bids'!M724)</f>
        <v>0</v>
      </c>
      <c r="J44" s="78">
        <f>AVERAGE('Non-shuttle Bids'!N828,'Non-shuttle Bids'!N776,'Non-shuttle Bids'!N724)</f>
        <v>14.5</v>
      </c>
      <c r="K44" s="12">
        <v>4</v>
      </c>
      <c r="L44" s="77"/>
      <c r="M44" s="77">
        <f>AVERAGE('Non-shuttle Bids'!Q829,'Non-shuttle Bids'!Q725,'Non-shuttle Bids'!Q777)</f>
        <v>0</v>
      </c>
      <c r="N44" s="78">
        <f>AVERAGE('Non-shuttle Bids'!R829,'Non-shuttle Bids'!R725,'Non-shuttle Bids'!R777)</f>
        <v>0</v>
      </c>
      <c r="O44" s="106"/>
      <c r="P44" s="106">
        <f>AVERAGE('Non-shuttle Bids'!U829,'Non-shuttle Bids'!U725,'Non-shuttle Bids'!U777)</f>
        <v>0</v>
      </c>
      <c r="Q44" s="107">
        <f>AVERAGE('Non-shuttle Bids'!V829,'Non-shuttle Bids'!V725,'Non-shuttle Bids'!V777)</f>
        <v>0</v>
      </c>
      <c r="R44" s="106"/>
      <c r="S44" s="106"/>
      <c r="T44" s="107"/>
      <c r="U44" s="12">
        <v>4</v>
      </c>
      <c r="V44" s="100"/>
      <c r="W44" s="100"/>
      <c r="X44" s="83"/>
      <c r="Y44" s="100"/>
      <c r="Z44" s="100"/>
      <c r="AA44" s="83"/>
      <c r="AB44" s="100"/>
      <c r="AC44" s="100"/>
      <c r="AD44" s="100"/>
      <c r="AF44" s="77"/>
      <c r="AG44" s="77"/>
      <c r="AH44" s="87"/>
      <c r="AI44" s="79"/>
      <c r="AJ44" s="77"/>
      <c r="AK44" s="77"/>
      <c r="AL44" s="80"/>
      <c r="AM44" s="79"/>
      <c r="AN44" s="81"/>
      <c r="AO44" s="81"/>
      <c r="AP44" s="81"/>
      <c r="AR44" s="12">
        <v>4</v>
      </c>
      <c r="AS44" s="100"/>
      <c r="AT44" s="100"/>
      <c r="AU44" s="100"/>
      <c r="AV44" s="100">
        <f>AVERAGE('Shuttle Bids'!H724,'Shuttle Bids'!H776,'Shuttle Bids'!H828)</f>
        <v>-109</v>
      </c>
      <c r="AW44" s="100">
        <f>AVERAGE('Shuttle Bids'!I724,'Shuttle Bids'!I776,'Shuttle Bids'!I828)</f>
        <v>-248</v>
      </c>
      <c r="AX44" s="78">
        <f>AVERAGE('Shuttle Bids'!J724,'Shuttle Bids'!J776,'Shuttle Bids'!J828)</f>
        <v>-178.5</v>
      </c>
      <c r="AY44" s="100">
        <f>AVERAGE('Shuttle Bids'!L725,'Shuttle Bids'!L777,'Shuttle Bids'!L829)</f>
        <v>-225</v>
      </c>
      <c r="AZ44" s="100">
        <f>AVERAGE('Shuttle Bids'!M725,'Shuttle Bids'!M777,'Shuttle Bids'!M829)</f>
        <v>-241.66666666666666</v>
      </c>
      <c r="BA44" s="78">
        <f>AVERAGE('Shuttle Bids'!N725,'Shuttle Bids'!N777,'Shuttle Bids'!N829)</f>
        <v>-208.33333333333334</v>
      </c>
      <c r="BB44" s="12">
        <v>4</v>
      </c>
      <c r="BC44" s="100"/>
      <c r="BD44" s="100"/>
      <c r="BE44" s="78"/>
      <c r="BF44" s="100"/>
      <c r="BG44" s="100"/>
      <c r="BH44" s="78"/>
      <c r="BI44" s="100"/>
      <c r="BJ44" s="100"/>
      <c r="BK44" s="78"/>
      <c r="BL44" s="12">
        <v>4</v>
      </c>
      <c r="BM44" s="100"/>
      <c r="BN44" s="100"/>
      <c r="BO44" s="78"/>
      <c r="BP44" s="100"/>
      <c r="BQ44" s="100">
        <f>AVERAGE('Shuttle Bids'!AG724,'Shuttle Bids'!AG776,'Shuttle Bids'!AG828)</f>
        <v>-50</v>
      </c>
      <c r="BR44" s="78">
        <f>AVERAGE('Shuttle Bids'!AH724,'Shuttle Bids'!AH776,'Shuttle Bids'!AH828)</f>
        <v>-50</v>
      </c>
    </row>
    <row r="45" spans="1:85" x14ac:dyDescent="0.25">
      <c r="A45" s="12">
        <v>5</v>
      </c>
      <c r="B45" s="100"/>
      <c r="C45" s="100"/>
      <c r="D45" s="85"/>
      <c r="E45" s="100">
        <f>AVERAGE('Non-shuttle Bids'!H829,'Non-shuttle Bids'!H777,'Non-shuttle Bids'!H725)</f>
        <v>71</v>
      </c>
      <c r="F45" s="100">
        <f>AVERAGE('Non-shuttle Bids'!I829,'Non-shuttle Bids'!I777,'Non-shuttle Bids'!I725)</f>
        <v>9</v>
      </c>
      <c r="G45" s="83">
        <f>AVERAGE('Non-shuttle Bids'!J829,'Non-shuttle Bids'!J777,'Non-shuttle Bids'!J725)</f>
        <v>29.833333333333332</v>
      </c>
      <c r="H45" s="77">
        <f>AVERAGE('Non-shuttle Bids'!L829,'Non-shuttle Bids'!L777,'Non-shuttle Bids'!L725)</f>
        <v>35</v>
      </c>
      <c r="I45" s="77">
        <f>AVERAGE('Non-shuttle Bids'!M829,'Non-shuttle Bids'!M777,'Non-shuttle Bids'!M725)</f>
        <v>0</v>
      </c>
      <c r="J45" s="78">
        <f>AVERAGE('Non-shuttle Bids'!N829,'Non-shuttle Bids'!N777,'Non-shuttle Bids'!N725)</f>
        <v>17.5</v>
      </c>
      <c r="K45" s="12">
        <v>5</v>
      </c>
      <c r="L45" s="77"/>
      <c r="M45" s="77">
        <f>AVERAGE('Non-shuttle Bids'!Q830,'Non-shuttle Bids'!Q726,'Non-shuttle Bids'!Q778)</f>
        <v>0</v>
      </c>
      <c r="N45" s="78">
        <f>AVERAGE('Non-shuttle Bids'!R830,'Non-shuttle Bids'!R726,'Non-shuttle Bids'!R778)</f>
        <v>0</v>
      </c>
      <c r="O45" s="106"/>
      <c r="P45" s="106">
        <f>AVERAGE('Non-shuttle Bids'!U830,'Non-shuttle Bids'!U726,'Non-shuttle Bids'!U778)</f>
        <v>0</v>
      </c>
      <c r="Q45" s="107">
        <f>AVERAGE('Non-shuttle Bids'!V830,'Non-shuttle Bids'!V726,'Non-shuttle Bids'!V778)</f>
        <v>0</v>
      </c>
      <c r="R45" s="106"/>
      <c r="S45" s="106"/>
      <c r="T45" s="107"/>
      <c r="U45" s="12">
        <v>5</v>
      </c>
      <c r="V45" s="100"/>
      <c r="W45" s="100"/>
      <c r="X45" s="83"/>
      <c r="Y45" s="100"/>
      <c r="Z45" s="100"/>
      <c r="AA45" s="83"/>
      <c r="AB45" s="100"/>
      <c r="AC45" s="100"/>
      <c r="AD45" s="85"/>
      <c r="AF45" s="77"/>
      <c r="AG45" s="77"/>
      <c r="AH45" s="87"/>
      <c r="AI45" s="79"/>
      <c r="AJ45" s="81"/>
      <c r="AK45" s="81"/>
      <c r="AL45" s="79"/>
      <c r="AM45" s="79"/>
      <c r="AN45" s="81"/>
      <c r="AO45" s="81"/>
      <c r="AP45" s="81"/>
      <c r="AR45" s="12">
        <v>5</v>
      </c>
      <c r="AS45" s="100"/>
      <c r="AT45" s="100"/>
      <c r="AU45" s="85"/>
      <c r="AV45" s="100">
        <f>AVERAGE('Shuttle Bids'!H725,'Shuttle Bids'!H777,'Shuttle Bids'!H829)</f>
        <v>-121</v>
      </c>
      <c r="AW45" s="100">
        <f>AVERAGE('Shuttle Bids'!I725,'Shuttle Bids'!I777,'Shuttle Bids'!I829)</f>
        <v>-183.66666666666666</v>
      </c>
      <c r="AX45" s="78">
        <f>AVERAGE('Shuttle Bids'!J725,'Shuttle Bids'!J777,'Shuttle Bids'!J829)</f>
        <v>-152.33333333333334</v>
      </c>
      <c r="AY45" s="100">
        <f>AVERAGE('Shuttle Bids'!L726,'Shuttle Bids'!L778,'Shuttle Bids'!L830)</f>
        <v>-71</v>
      </c>
      <c r="AZ45" s="100">
        <f>AVERAGE('Shuttle Bids'!M726,'Shuttle Bids'!M778,'Shuttle Bids'!M830)</f>
        <v>-254.33333333333334</v>
      </c>
      <c r="BA45" s="78">
        <f>AVERAGE('Shuttle Bids'!N726,'Shuttle Bids'!N778,'Shuttle Bids'!N830)</f>
        <v>-205.66666666666666</v>
      </c>
      <c r="BB45" s="12">
        <v>5</v>
      </c>
      <c r="BC45" s="100"/>
      <c r="BD45" s="100"/>
      <c r="BE45" s="78"/>
      <c r="BF45" s="100"/>
      <c r="BG45" s="100"/>
      <c r="BH45" s="78"/>
      <c r="BI45" s="100"/>
      <c r="BJ45" s="100"/>
      <c r="BK45" s="78"/>
      <c r="BL45" s="12">
        <v>5</v>
      </c>
      <c r="BM45" s="100"/>
      <c r="BN45" s="100"/>
      <c r="BO45" s="78"/>
      <c r="BP45" s="100"/>
      <c r="BQ45" s="100">
        <f>AVERAGE('Shuttle Bids'!AG725,'Shuttle Bids'!AG777,'Shuttle Bids'!AG829)</f>
        <v>-50</v>
      </c>
      <c r="BR45" s="78">
        <f>AVERAGE('Shuttle Bids'!AH725,'Shuttle Bids'!AH777,'Shuttle Bids'!AH829)</f>
        <v>-50</v>
      </c>
    </row>
    <row r="46" spans="1:85" x14ac:dyDescent="0.25">
      <c r="A46" s="12">
        <v>6</v>
      </c>
      <c r="B46" s="100"/>
      <c r="C46" s="100"/>
      <c r="D46" s="85"/>
      <c r="E46" s="100">
        <f>AVERAGE('Non-shuttle Bids'!H830,'Non-shuttle Bids'!H778,'Non-shuttle Bids'!H726)</f>
        <v>62.333333333333336</v>
      </c>
      <c r="F46" s="100">
        <f>AVERAGE('Non-shuttle Bids'!I830,'Non-shuttle Bids'!I778,'Non-shuttle Bids'!I726)</f>
        <v>27</v>
      </c>
      <c r="G46" s="83">
        <f>AVERAGE('Non-shuttle Bids'!J830,'Non-shuttle Bids'!J778,'Non-shuttle Bids'!J726)</f>
        <v>38</v>
      </c>
      <c r="H46" s="77">
        <f>AVERAGE('Non-shuttle Bids'!L830,'Non-shuttle Bids'!L778,'Non-shuttle Bids'!L726)</f>
        <v>37.5</v>
      </c>
      <c r="I46" s="77">
        <f>AVERAGE('Non-shuttle Bids'!M830,'Non-shuttle Bids'!M778,'Non-shuttle Bids'!M726)</f>
        <v>0</v>
      </c>
      <c r="J46" s="78">
        <f>AVERAGE('Non-shuttle Bids'!N830,'Non-shuttle Bids'!N778,'Non-shuttle Bids'!N726)</f>
        <v>12.5</v>
      </c>
      <c r="K46" s="12">
        <v>6</v>
      </c>
      <c r="L46" s="77"/>
      <c r="M46" s="77">
        <f>AVERAGE('Non-shuttle Bids'!Q831,'Non-shuttle Bids'!Q727,'Non-shuttle Bids'!Q779)</f>
        <v>0</v>
      </c>
      <c r="N46" s="78">
        <f>AVERAGE('Non-shuttle Bids'!R831,'Non-shuttle Bids'!R727,'Non-shuttle Bids'!R779)</f>
        <v>0</v>
      </c>
      <c r="O46" s="106"/>
      <c r="P46" s="106">
        <f>AVERAGE('Non-shuttle Bids'!U831,'Non-shuttle Bids'!U727,'Non-shuttle Bids'!U779)</f>
        <v>-13</v>
      </c>
      <c r="Q46" s="107">
        <f>AVERAGE('Non-shuttle Bids'!V831,'Non-shuttle Bids'!V727,'Non-shuttle Bids'!V779)</f>
        <v>-13</v>
      </c>
      <c r="R46" s="106"/>
      <c r="S46" s="106"/>
      <c r="T46" s="107"/>
      <c r="U46" s="12">
        <v>6</v>
      </c>
      <c r="V46" s="100"/>
      <c r="W46" s="100"/>
      <c r="X46" s="83"/>
      <c r="Y46" s="100"/>
      <c r="Z46" s="100"/>
      <c r="AA46" s="83"/>
      <c r="AB46" s="100"/>
      <c r="AC46" s="100"/>
      <c r="AD46" s="85"/>
      <c r="AF46" s="77"/>
      <c r="AG46" s="77"/>
      <c r="AH46" s="87"/>
      <c r="AI46" s="79"/>
      <c r="AJ46" s="81"/>
      <c r="AK46" s="81"/>
      <c r="AL46" s="79"/>
      <c r="AM46" s="79"/>
      <c r="AN46" s="81"/>
      <c r="AO46" s="81"/>
      <c r="AP46" s="81"/>
      <c r="AR46" s="12">
        <v>6</v>
      </c>
      <c r="AS46" s="100"/>
      <c r="AT46" s="100"/>
      <c r="AU46" s="85"/>
      <c r="AV46" s="100">
        <f>AVERAGE('Shuttle Bids'!H726,'Shuttle Bids'!H778,'Shuttle Bids'!H830)</f>
        <v>76.666666666666671</v>
      </c>
      <c r="AW46" s="100">
        <f>AVERAGE('Shuttle Bids'!I726,'Shuttle Bids'!I778,'Shuttle Bids'!I830)</f>
        <v>-96</v>
      </c>
      <c r="AX46" s="78">
        <f>AVERAGE('Shuttle Bids'!J726,'Shuttle Bids'!J778,'Shuttle Bids'!J830)</f>
        <v>-9.6666666666666661</v>
      </c>
      <c r="AY46" s="100">
        <f>AVERAGE('Shuttle Bids'!L727,'Shuttle Bids'!L779,'Shuttle Bids'!L831)</f>
        <v>-125</v>
      </c>
      <c r="AZ46" s="100">
        <f>AVERAGE('Shuttle Bids'!M727,'Shuttle Bids'!M779,'Shuttle Bids'!M831)</f>
        <v>-201.33333333333334</v>
      </c>
      <c r="BA46" s="78">
        <f>AVERAGE('Shuttle Bids'!N727,'Shuttle Bids'!N779,'Shuttle Bids'!N831)</f>
        <v>-163.16666666666666</v>
      </c>
      <c r="BB46" s="12">
        <v>6</v>
      </c>
      <c r="BC46" s="100">
        <f>AVERAGE('Shuttle Bids'!P727,'Shuttle Bids'!P779,'Shuttle Bids'!P831)</f>
        <v>-375</v>
      </c>
      <c r="BD46" s="100"/>
      <c r="BE46" s="78">
        <f>AVERAGE('Shuttle Bids'!R727,'Shuttle Bids'!R779,'Shuttle Bids'!R831)</f>
        <v>-375</v>
      </c>
      <c r="BF46" s="100"/>
      <c r="BG46" s="100"/>
      <c r="BH46" s="78"/>
      <c r="BI46" s="100"/>
      <c r="BJ46" s="100"/>
      <c r="BK46" s="78"/>
      <c r="BL46" s="12">
        <v>6</v>
      </c>
      <c r="BM46" s="100"/>
      <c r="BN46" s="100"/>
      <c r="BO46" s="78"/>
      <c r="BP46" s="100"/>
      <c r="BQ46" s="100">
        <f>AVERAGE('Shuttle Bids'!AG726,'Shuttle Bids'!AG778,'Shuttle Bids'!AG830)</f>
        <v>-50</v>
      </c>
      <c r="BR46" s="78">
        <f>AVERAGE('Shuttle Bids'!AH726,'Shuttle Bids'!AH778,'Shuttle Bids'!AH830)</f>
        <v>-50</v>
      </c>
    </row>
    <row r="47" spans="1:85" x14ac:dyDescent="0.25">
      <c r="A47" s="12">
        <v>7</v>
      </c>
      <c r="B47" s="100"/>
      <c r="C47" s="100"/>
      <c r="D47" s="85"/>
      <c r="E47" s="100">
        <f>AVERAGE('Non-shuttle Bids'!H831,'Non-shuttle Bids'!H779,'Non-shuttle Bids'!H727)</f>
        <v>74.666666666666671</v>
      </c>
      <c r="F47" s="100">
        <f>AVERAGE('Non-shuttle Bids'!I831,'Non-shuttle Bids'!I779,'Non-shuttle Bids'!I727)</f>
        <v>8.3333333333333339</v>
      </c>
      <c r="G47" s="83">
        <f>AVERAGE('Non-shuttle Bids'!J831,'Non-shuttle Bids'!J779,'Non-shuttle Bids'!J727)</f>
        <v>41.5</v>
      </c>
      <c r="H47" s="77">
        <f>AVERAGE('Non-shuttle Bids'!L831,'Non-shuttle Bids'!L779,'Non-shuttle Bids'!L727)</f>
        <v>85</v>
      </c>
      <c r="I47" s="77">
        <f>AVERAGE('Non-shuttle Bids'!M831,'Non-shuttle Bids'!M779,'Non-shuttle Bids'!M727)</f>
        <v>4.333333333333333</v>
      </c>
      <c r="J47" s="78">
        <f>AVERAGE('Non-shuttle Bids'!N831,'Non-shuttle Bids'!N779,'Non-shuttle Bids'!N727)</f>
        <v>32.666666666666664</v>
      </c>
      <c r="K47" s="12">
        <v>7</v>
      </c>
      <c r="L47" s="77">
        <f>AVERAGE('Non-shuttle Bids'!P832,'Non-shuttle Bids'!P728,'Non-shuttle Bids'!P780)</f>
        <v>25</v>
      </c>
      <c r="M47" s="77">
        <f>AVERAGE('Non-shuttle Bids'!Q832,'Non-shuttle Bids'!Q728,'Non-shuttle Bids'!Q780)</f>
        <v>-5</v>
      </c>
      <c r="N47" s="78">
        <f>AVERAGE('Non-shuttle Bids'!R832,'Non-shuttle Bids'!R728,'Non-shuttle Bids'!R780)</f>
        <v>10</v>
      </c>
      <c r="O47" s="106">
        <f>AVERAGE('Non-shuttle Bids'!T832,'Non-shuttle Bids'!T728,'Non-shuttle Bids'!T780)</f>
        <v>25</v>
      </c>
      <c r="P47" s="106">
        <f>AVERAGE('Non-shuttle Bids'!U832,'Non-shuttle Bids'!U728,'Non-shuttle Bids'!U780)</f>
        <v>0</v>
      </c>
      <c r="Q47" s="107">
        <f>AVERAGE('Non-shuttle Bids'!V832,'Non-shuttle Bids'!V728,'Non-shuttle Bids'!V780)</f>
        <v>12.5</v>
      </c>
      <c r="R47" s="106"/>
      <c r="S47" s="106"/>
      <c r="T47" s="107"/>
      <c r="U47" s="12">
        <v>7</v>
      </c>
      <c r="V47" s="100"/>
      <c r="W47" s="100"/>
      <c r="X47" s="83"/>
      <c r="Y47" s="100"/>
      <c r="Z47" s="100"/>
      <c r="AA47" s="83"/>
      <c r="AB47" s="100"/>
      <c r="AC47" s="100"/>
      <c r="AD47" s="85"/>
      <c r="AF47" s="77"/>
      <c r="AG47" s="77"/>
      <c r="AH47" s="87"/>
      <c r="AI47" s="79"/>
      <c r="AJ47" s="81"/>
      <c r="AK47" s="81"/>
      <c r="AL47" s="79"/>
      <c r="AM47" s="79"/>
      <c r="AN47" s="79"/>
      <c r="AO47" s="79"/>
      <c r="AP47" s="79"/>
      <c r="AR47" s="12">
        <v>7</v>
      </c>
      <c r="AS47" s="100"/>
      <c r="AT47" s="100"/>
      <c r="AU47" s="85"/>
      <c r="AV47" s="100">
        <f>AVERAGE('Shuttle Bids'!H727,'Shuttle Bids'!H779,'Shuttle Bids'!H831)</f>
        <v>-22.333333333333332</v>
      </c>
      <c r="AW47" s="100">
        <f>AVERAGE('Shuttle Bids'!I727,'Shuttle Bids'!I779,'Shuttle Bids'!I831)</f>
        <v>-104.33333333333333</v>
      </c>
      <c r="AX47" s="78">
        <f>AVERAGE('Shuttle Bids'!J727,'Shuttle Bids'!J779,'Shuttle Bids'!J831)</f>
        <v>-63.333333333333336</v>
      </c>
      <c r="AY47" s="100">
        <f>AVERAGE('Shuttle Bids'!L728,'Shuttle Bids'!L780,'Shuttle Bids'!L832)</f>
        <v>43.333333333333336</v>
      </c>
      <c r="AZ47" s="100">
        <f>AVERAGE('Shuttle Bids'!M728,'Shuttle Bids'!M780,'Shuttle Bids'!M832)</f>
        <v>-185</v>
      </c>
      <c r="BA47" s="78">
        <f>AVERAGE('Shuttle Bids'!N728,'Shuttle Bids'!N780,'Shuttle Bids'!N832)</f>
        <v>-70.833333333333329</v>
      </c>
      <c r="BB47" s="12">
        <v>7</v>
      </c>
      <c r="BC47" s="100">
        <f>AVERAGE('Shuttle Bids'!P728,'Shuttle Bids'!P780,'Shuttle Bids'!P832)</f>
        <v>-219</v>
      </c>
      <c r="BD47" s="100">
        <f>AVERAGE('Shuttle Bids'!Q728,'Shuttle Bids'!Q780,'Shuttle Bids'!Q832)</f>
        <v>-362.5</v>
      </c>
      <c r="BE47" s="78">
        <f>AVERAGE('Shuttle Bids'!R728,'Shuttle Bids'!R780,'Shuttle Bids'!R832)</f>
        <v>-335.5</v>
      </c>
      <c r="BF47" s="100"/>
      <c r="BG47" s="100">
        <f>AVERAGE('Shuttle Bids'!U728,'Shuttle Bids'!U780,'Shuttle Bids'!U832)</f>
        <v>-500</v>
      </c>
      <c r="BH47" s="78">
        <f>AVERAGE('Shuttle Bids'!V728,'Shuttle Bids'!V780,'Shuttle Bids'!V832)</f>
        <v>-500</v>
      </c>
      <c r="BI47" s="100"/>
      <c r="BJ47" s="100"/>
      <c r="BK47" s="78"/>
      <c r="BL47" s="12">
        <v>7</v>
      </c>
      <c r="BM47" s="100">
        <f>AVERAGE('Shuttle Bids'!AB727,'Shuttle Bids'!AB779,'Shuttle Bids'!AB831)</f>
        <v>-300</v>
      </c>
      <c r="BN47" s="100"/>
      <c r="BO47" s="78">
        <f>AVERAGE('Shuttle Bids'!AD727,'Shuttle Bids'!AD779,'Shuttle Bids'!AD831)</f>
        <v>-300</v>
      </c>
      <c r="BP47" s="100">
        <f>AVERAGE('Shuttle Bids'!AF727,'Shuttle Bids'!AF779,'Shuttle Bids'!AF831)</f>
        <v>-300</v>
      </c>
      <c r="BQ47" s="100">
        <f>AVERAGE('Shuttle Bids'!AG727,'Shuttle Bids'!AG779,'Shuttle Bids'!AG831)</f>
        <v>-50</v>
      </c>
      <c r="BR47" s="78">
        <f>AVERAGE('Shuttle Bids'!AH727,'Shuttle Bids'!AH779,'Shuttle Bids'!AH831)</f>
        <v>-175</v>
      </c>
      <c r="BS47" s="49"/>
      <c r="BT47" s="49"/>
      <c r="BU47" s="49"/>
    </row>
    <row r="48" spans="1:85" x14ac:dyDescent="0.25">
      <c r="A48" s="12">
        <v>8</v>
      </c>
      <c r="B48" s="100"/>
      <c r="C48" s="100"/>
      <c r="D48" s="85"/>
      <c r="E48" s="100"/>
      <c r="F48" s="100"/>
      <c r="G48" s="85"/>
      <c r="H48" s="77">
        <f>AVERAGE('Non-shuttle Bids'!L832,'Non-shuttle Bids'!L780,'Non-shuttle Bids'!L728)</f>
        <v>150.5</v>
      </c>
      <c r="I48" s="77">
        <f>AVERAGE('Non-shuttle Bids'!M832,'Non-shuttle Bids'!M780,'Non-shuttle Bids'!M728)</f>
        <v>6</v>
      </c>
      <c r="J48" s="78">
        <f>AVERAGE('Non-shuttle Bids'!N832,'Non-shuttle Bids'!N780,'Non-shuttle Bids'!N728)</f>
        <v>54</v>
      </c>
      <c r="K48" s="12">
        <v>8</v>
      </c>
      <c r="L48" s="77">
        <f>AVERAGE('Non-shuttle Bids'!P833,'Non-shuttle Bids'!P729,'Non-shuttle Bids'!P781)</f>
        <v>92</v>
      </c>
      <c r="M48" s="77">
        <f>AVERAGE('Non-shuttle Bids'!Q833,'Non-shuttle Bids'!Q729,'Non-shuttle Bids'!Q781)</f>
        <v>0</v>
      </c>
      <c r="N48" s="78">
        <f>AVERAGE('Non-shuttle Bids'!R833,'Non-shuttle Bids'!R729,'Non-shuttle Bids'!R781)</f>
        <v>46</v>
      </c>
      <c r="O48" s="106">
        <f>AVERAGE('Non-shuttle Bids'!T833,'Non-shuttle Bids'!T729,'Non-shuttle Bids'!T781)</f>
        <v>25</v>
      </c>
      <c r="P48" s="106">
        <f>AVERAGE('Non-shuttle Bids'!U833,'Non-shuttle Bids'!U729,'Non-shuttle Bids'!U781)</f>
        <v>0</v>
      </c>
      <c r="Q48" s="107">
        <f>AVERAGE('Non-shuttle Bids'!V833,'Non-shuttle Bids'!V729,'Non-shuttle Bids'!V781)</f>
        <v>12.5</v>
      </c>
      <c r="R48" s="106"/>
      <c r="S48" s="106"/>
      <c r="T48" s="107"/>
      <c r="U48" s="12">
        <v>8</v>
      </c>
      <c r="V48" s="100"/>
      <c r="W48" s="100"/>
      <c r="X48" s="83"/>
      <c r="Y48" s="100"/>
      <c r="Z48" s="100"/>
      <c r="AA48" s="83"/>
      <c r="AB48" s="100"/>
      <c r="AC48" s="100"/>
      <c r="AD48" s="83"/>
      <c r="AF48" s="77"/>
      <c r="AG48" s="77"/>
      <c r="AH48" s="87"/>
      <c r="AI48" s="79"/>
      <c r="AJ48" s="81"/>
      <c r="AK48" s="81"/>
      <c r="AL48" s="79"/>
      <c r="AM48" s="79"/>
      <c r="AN48" s="79"/>
      <c r="AO48" s="79"/>
      <c r="AP48" s="79"/>
      <c r="AR48" s="12">
        <v>8</v>
      </c>
      <c r="AS48" s="100"/>
      <c r="AT48" s="100"/>
      <c r="AU48" s="85"/>
      <c r="AV48" s="100"/>
      <c r="AW48" s="100"/>
      <c r="AX48" s="100"/>
      <c r="AY48" s="100">
        <f>AVERAGE('Shuttle Bids'!L729,'Shuttle Bids'!L781,'Shuttle Bids'!L833)</f>
        <v>2.6666666666666665</v>
      </c>
      <c r="AZ48" s="100">
        <f>AVERAGE('Shuttle Bids'!M729,'Shuttle Bids'!M781,'Shuttle Bids'!M833)</f>
        <v>-59</v>
      </c>
      <c r="BA48" s="78">
        <f>AVERAGE('Shuttle Bids'!N729,'Shuttle Bids'!N781,'Shuttle Bids'!N833)</f>
        <v>-28.166666666666668</v>
      </c>
      <c r="BB48" s="12">
        <v>8</v>
      </c>
      <c r="BC48" s="100">
        <f>AVERAGE('Shuttle Bids'!P729,'Shuttle Bids'!P781,'Shuttle Bids'!P833)</f>
        <v>-325</v>
      </c>
      <c r="BD48" s="100">
        <f>AVERAGE('Shuttle Bids'!Q729,'Shuttle Bids'!Q781,'Shuttle Bids'!Q833)</f>
        <v>-275</v>
      </c>
      <c r="BE48" s="78">
        <f>AVERAGE('Shuttle Bids'!R729,'Shuttle Bids'!R781,'Shuttle Bids'!R833)</f>
        <v>-256.25</v>
      </c>
      <c r="BF48" s="100"/>
      <c r="BG48" s="100">
        <f>AVERAGE('Shuttle Bids'!U729,'Shuttle Bids'!U781,'Shuttle Bids'!U833)</f>
        <v>-300</v>
      </c>
      <c r="BH48" s="78">
        <f>AVERAGE('Shuttle Bids'!V729,'Shuttle Bids'!V781,'Shuttle Bids'!V833)</f>
        <v>-300</v>
      </c>
      <c r="BI48" s="100"/>
      <c r="BJ48" s="100">
        <f>AVERAGE('Shuttle Bids'!Y728,'Shuttle Bids'!Y780,'Shuttle Bids'!Y832)</f>
        <v>-350</v>
      </c>
      <c r="BK48" s="78">
        <f>AVERAGE('Shuttle Bids'!Z728,'Shuttle Bids'!Z780,'Shuttle Bids'!Z832)</f>
        <v>-350</v>
      </c>
      <c r="BL48" s="12">
        <v>8</v>
      </c>
      <c r="BM48" s="100"/>
      <c r="BN48" s="100">
        <f>AVERAGE('Shuttle Bids'!AC728,'Shuttle Bids'!AC780,'Shuttle Bids'!AC832)</f>
        <v>-250</v>
      </c>
      <c r="BO48" s="78">
        <f>AVERAGE('Shuttle Bids'!AD728,'Shuttle Bids'!AD780,'Shuttle Bids'!AD832)</f>
        <v>-250</v>
      </c>
      <c r="BP48" s="100">
        <f>AVERAGE('Shuttle Bids'!AF728,'Shuttle Bids'!AF780,'Shuttle Bids'!AF832)</f>
        <v>-350</v>
      </c>
      <c r="BQ48" s="100">
        <f>AVERAGE('Shuttle Bids'!AG728,'Shuttle Bids'!AG780,'Shuttle Bids'!AG832)</f>
        <v>-150</v>
      </c>
      <c r="BR48" s="78">
        <f>AVERAGE('Shuttle Bids'!AH728,'Shuttle Bids'!AH780,'Shuttle Bids'!AH832)</f>
        <v>-175</v>
      </c>
      <c r="BS48" s="100"/>
      <c r="BT48" s="100">
        <f>AVERAGE('Shuttle Bids'!AK728,'Shuttle Bids'!AK780,'Shuttle Bids'!AK832)</f>
        <v>-200</v>
      </c>
      <c r="BU48" s="78">
        <f>AVERAGE('Shuttle Bids'!AL728,'Shuttle Bids'!AL780,'Shuttle Bids'!AL832)</f>
        <v>-200</v>
      </c>
      <c r="BV48" s="80"/>
    </row>
    <row r="49" spans="1:74" x14ac:dyDescent="0.25">
      <c r="A49" s="12">
        <v>9</v>
      </c>
      <c r="B49" s="100"/>
      <c r="C49" s="100"/>
      <c r="D49" s="85"/>
      <c r="E49" s="100"/>
      <c r="F49" s="100"/>
      <c r="G49" s="85"/>
      <c r="H49" s="77">
        <f>AVERAGE('Non-shuttle Bids'!L833,'Non-shuttle Bids'!L781,'Non-shuttle Bids'!L729)</f>
        <v>91.666666666666671</v>
      </c>
      <c r="I49" s="77">
        <f>AVERAGE('Non-shuttle Bids'!M833,'Non-shuttle Bids'!M781,'Non-shuttle Bids'!M729)</f>
        <v>6.666666666666667</v>
      </c>
      <c r="J49" s="78">
        <f>AVERAGE('Non-shuttle Bids'!N833,'Non-shuttle Bids'!N781,'Non-shuttle Bids'!N729)</f>
        <v>49.166666666666664</v>
      </c>
      <c r="K49" s="12">
        <v>9</v>
      </c>
      <c r="L49" s="77">
        <f>AVERAGE('Non-shuttle Bids'!P834,'Non-shuttle Bids'!P730,'Non-shuttle Bids'!P782)</f>
        <v>100</v>
      </c>
      <c r="M49" s="77">
        <f>AVERAGE('Non-shuttle Bids'!Q834,'Non-shuttle Bids'!Q730,'Non-shuttle Bids'!Q782)</f>
        <v>0</v>
      </c>
      <c r="N49" s="78">
        <f>AVERAGE('Non-shuttle Bids'!R834,'Non-shuttle Bids'!R730,'Non-shuttle Bids'!R782)</f>
        <v>50</v>
      </c>
      <c r="O49" s="106">
        <f>AVERAGE('Non-shuttle Bids'!T834,'Non-shuttle Bids'!T730,'Non-shuttle Bids'!T782)</f>
        <v>25</v>
      </c>
      <c r="P49" s="106">
        <f>AVERAGE('Non-shuttle Bids'!U834,'Non-shuttle Bids'!U730,'Non-shuttle Bids'!U782)</f>
        <v>0</v>
      </c>
      <c r="Q49" s="107">
        <f>AVERAGE('Non-shuttle Bids'!V834,'Non-shuttle Bids'!V730,'Non-shuttle Bids'!V782)</f>
        <v>12.5</v>
      </c>
      <c r="R49" s="106"/>
      <c r="S49" s="106"/>
      <c r="T49" s="107"/>
      <c r="U49" s="12">
        <v>9</v>
      </c>
      <c r="V49" s="100"/>
      <c r="W49" s="100"/>
      <c r="X49" s="83"/>
      <c r="Y49" s="100"/>
      <c r="Z49" s="100"/>
      <c r="AA49" s="83"/>
      <c r="AB49" s="100"/>
      <c r="AC49" s="100"/>
      <c r="AD49" s="83"/>
      <c r="AF49" s="77"/>
      <c r="AG49" s="77"/>
      <c r="AH49" s="87"/>
      <c r="AI49" s="79"/>
      <c r="AJ49" s="81"/>
      <c r="AK49" s="81"/>
      <c r="AL49" s="79"/>
      <c r="AM49" s="79"/>
      <c r="AN49" s="79"/>
      <c r="AO49" s="79"/>
      <c r="AP49" s="79"/>
      <c r="AR49" s="12">
        <v>9</v>
      </c>
      <c r="AS49" s="12"/>
      <c r="AT49" s="12"/>
      <c r="AU49" s="84"/>
      <c r="AV49" s="100"/>
      <c r="AW49" s="100"/>
      <c r="AX49" s="100"/>
      <c r="AY49" s="100">
        <f>AVERAGE('Shuttle Bids'!L730,'Shuttle Bids'!L782,'Shuttle Bids'!L834)</f>
        <v>45</v>
      </c>
      <c r="AZ49" s="100">
        <f>AVERAGE('Shuttle Bids'!M730,'Shuttle Bids'!M782,'Shuttle Bids'!M834)</f>
        <v>-37.666666666666664</v>
      </c>
      <c r="BA49" s="78">
        <f>AVERAGE('Shuttle Bids'!N730,'Shuttle Bids'!N782,'Shuttle Bids'!N834)</f>
        <v>3.6666666666666665</v>
      </c>
      <c r="BB49" s="12">
        <v>9</v>
      </c>
      <c r="BC49" s="100">
        <f>AVERAGE('Shuttle Bids'!P730,'Shuttle Bids'!P782,'Shuttle Bids'!P834)</f>
        <v>-256</v>
      </c>
      <c r="BD49" s="100">
        <f>AVERAGE('Shuttle Bids'!Q730,'Shuttle Bids'!Q782,'Shuttle Bids'!Q834)</f>
        <v>-229.33333333333334</v>
      </c>
      <c r="BE49" s="78">
        <f>AVERAGE('Shuttle Bids'!R730,'Shuttle Bids'!R782,'Shuttle Bids'!R834)</f>
        <v>-222</v>
      </c>
      <c r="BF49" s="100"/>
      <c r="BG49" s="100">
        <f>AVERAGE('Shuttle Bids'!U730,'Shuttle Bids'!U782,'Shuttle Bids'!U834)</f>
        <v>-275</v>
      </c>
      <c r="BH49" s="78">
        <f>AVERAGE('Shuttle Bids'!V730,'Shuttle Bids'!V782,'Shuttle Bids'!V834)</f>
        <v>-275</v>
      </c>
      <c r="BI49" s="100"/>
      <c r="BJ49" s="100">
        <f>AVERAGE('Shuttle Bids'!Y729,'Shuttle Bids'!Y781,'Shuttle Bids'!Y833)</f>
        <v>-350</v>
      </c>
      <c r="BK49" s="78">
        <f>AVERAGE('Shuttle Bids'!Z729,'Shuttle Bids'!Z781,'Shuttle Bids'!Z833)</f>
        <v>-350</v>
      </c>
      <c r="BL49" s="12">
        <v>9</v>
      </c>
      <c r="BM49" s="100">
        <f>AVERAGE('Shuttle Bids'!AB729,'Shuttle Bids'!AB781,'Shuttle Bids'!AB833)</f>
        <v>-125</v>
      </c>
      <c r="BN49" s="100">
        <f>AVERAGE('Shuttle Bids'!AC729,'Shuttle Bids'!AC781,'Shuttle Bids'!AC833)</f>
        <v>-250</v>
      </c>
      <c r="BO49" s="78">
        <f>AVERAGE('Shuttle Bids'!AD729,'Shuttle Bids'!AD781,'Shuttle Bids'!AD833)</f>
        <v>-187.5</v>
      </c>
      <c r="BP49" s="100">
        <f>AVERAGE('Shuttle Bids'!AF729,'Shuttle Bids'!AF781,'Shuttle Bids'!AF833)</f>
        <v>-237.5</v>
      </c>
      <c r="BQ49" s="100">
        <f>AVERAGE('Shuttle Bids'!AG729,'Shuttle Bids'!AG781,'Shuttle Bids'!AG833)</f>
        <v>-150</v>
      </c>
      <c r="BR49" s="78">
        <f>AVERAGE('Shuttle Bids'!AH729,'Shuttle Bids'!AH781,'Shuttle Bids'!AH833)</f>
        <v>-193.75</v>
      </c>
      <c r="BS49" s="100">
        <f>AVERAGE('Shuttle Bids'!AJ729,'Shuttle Bids'!AJ781,'Shuttle Bids'!AJ833)</f>
        <v>-125</v>
      </c>
      <c r="BT49" s="100">
        <f>AVERAGE('Shuttle Bids'!AK729,'Shuttle Bids'!AK781,'Shuttle Bids'!AK833)</f>
        <v>-150</v>
      </c>
      <c r="BU49" s="78">
        <f>AVERAGE('Shuttle Bids'!AL729,'Shuttle Bids'!AL781,'Shuttle Bids'!AL833)</f>
        <v>-158.33333333333334</v>
      </c>
      <c r="BV49" s="80"/>
    </row>
    <row r="50" spans="1:74" x14ac:dyDescent="0.25">
      <c r="A50" s="12">
        <v>10</v>
      </c>
      <c r="B50" s="100"/>
      <c r="C50" s="100"/>
      <c r="D50" s="85"/>
      <c r="E50" s="100"/>
      <c r="F50" s="100"/>
      <c r="G50" s="85"/>
      <c r="H50" s="77">
        <f>AVERAGE('Non-shuttle Bids'!L834,'Non-shuttle Bids'!L782,'Non-shuttle Bids'!L730)</f>
        <v>100</v>
      </c>
      <c r="I50" s="77">
        <f>AVERAGE('Non-shuttle Bids'!M834,'Non-shuttle Bids'!M782,'Non-shuttle Bids'!M730)</f>
        <v>-1.6666666666666667</v>
      </c>
      <c r="J50" s="78">
        <f>AVERAGE('Non-shuttle Bids'!N834,'Non-shuttle Bids'!N782,'Non-shuttle Bids'!N730)</f>
        <v>49.166666666666664</v>
      </c>
      <c r="K50" s="12">
        <v>10</v>
      </c>
      <c r="L50" s="77">
        <f>AVERAGE('Non-shuttle Bids'!P835,'Non-shuttle Bids'!P731,'Non-shuttle Bids'!P783)</f>
        <v>100</v>
      </c>
      <c r="M50" s="77">
        <f>AVERAGE('Non-shuttle Bids'!Q835,'Non-shuttle Bids'!Q731,'Non-shuttle Bids'!Q783)</f>
        <v>0</v>
      </c>
      <c r="N50" s="78">
        <f>AVERAGE('Non-shuttle Bids'!R835,'Non-shuttle Bids'!R731,'Non-shuttle Bids'!R783)</f>
        <v>50</v>
      </c>
      <c r="O50" s="106"/>
      <c r="P50" s="106">
        <f>AVERAGE('Non-shuttle Bids'!U835,'Non-shuttle Bids'!U731,'Non-shuttle Bids'!U783)</f>
        <v>0</v>
      </c>
      <c r="Q50" s="107">
        <f>AVERAGE('Non-shuttle Bids'!V835,'Non-shuttle Bids'!V731,'Non-shuttle Bids'!V783)</f>
        <v>0</v>
      </c>
      <c r="R50" s="106"/>
      <c r="S50" s="106"/>
      <c r="T50" s="107"/>
      <c r="U50" s="12">
        <v>10</v>
      </c>
      <c r="V50" s="100"/>
      <c r="W50" s="100"/>
      <c r="X50" s="83"/>
      <c r="Y50" s="100"/>
      <c r="Z50" s="100"/>
      <c r="AA50" s="83"/>
      <c r="AB50" s="100"/>
      <c r="AC50" s="100"/>
      <c r="AD50" s="83"/>
      <c r="AF50" s="77"/>
      <c r="AG50" s="77"/>
      <c r="AH50" s="87"/>
      <c r="AI50" s="79"/>
      <c r="AJ50" s="81"/>
      <c r="AK50" s="81"/>
      <c r="AL50" s="79"/>
      <c r="AM50" s="79"/>
      <c r="AN50" s="79"/>
      <c r="AO50" s="79"/>
      <c r="AP50" s="79"/>
      <c r="AR50" s="12">
        <v>10</v>
      </c>
      <c r="AS50" s="12"/>
      <c r="AT50" s="12"/>
      <c r="AU50" s="84"/>
      <c r="AY50" s="100">
        <f>AVERAGE('Shuttle Bids'!L731,'Shuttle Bids'!L783,'Shuttle Bids'!L835)</f>
        <v>85.333333333333329</v>
      </c>
      <c r="AZ50" s="100">
        <f>AVERAGE('Shuttle Bids'!M731,'Shuttle Bids'!M783,'Shuttle Bids'!M835)</f>
        <v>33</v>
      </c>
      <c r="BA50" s="78">
        <f>AVERAGE('Shuttle Bids'!N731,'Shuttle Bids'!N783,'Shuttle Bids'!N835)</f>
        <v>59.166666666666664</v>
      </c>
      <c r="BB50" s="12">
        <v>10</v>
      </c>
      <c r="BC50" s="100">
        <f>AVERAGE('Shuttle Bids'!P731,'Shuttle Bids'!P783,'Shuttle Bids'!P835)</f>
        <v>-275</v>
      </c>
      <c r="BD50" s="100">
        <f>AVERAGE('Shuttle Bids'!Q731,'Shuttle Bids'!Q783,'Shuttle Bids'!Q835)</f>
        <v>-250.33333333333334</v>
      </c>
      <c r="BE50" s="78">
        <f>AVERAGE('Shuttle Bids'!R731,'Shuttle Bids'!R783,'Shuttle Bids'!R835)</f>
        <v>-239.83333333333334</v>
      </c>
      <c r="BF50" s="100">
        <f>AVERAGE('Shuttle Bids'!T731,'Shuttle Bids'!T783,'Shuttle Bids'!T835)</f>
        <v>-650</v>
      </c>
      <c r="BG50" s="100">
        <f>AVERAGE('Shuttle Bids'!U731,'Shuttle Bids'!U783,'Shuttle Bids'!U835)</f>
        <v>-350</v>
      </c>
      <c r="BH50" s="78">
        <f>AVERAGE('Shuttle Bids'!V731,'Shuttle Bids'!V783,'Shuttle Bids'!V835)</f>
        <v>-370.83333333333331</v>
      </c>
      <c r="BI50" s="100"/>
      <c r="BJ50" s="100">
        <f>AVERAGE('Shuttle Bids'!Y730,'Shuttle Bids'!Y782,'Shuttle Bids'!Y834)</f>
        <v>-350</v>
      </c>
      <c r="BK50" s="78">
        <f>AVERAGE('Shuttle Bids'!Z730,'Shuttle Bids'!Z782,'Shuttle Bids'!Z834)</f>
        <v>-350</v>
      </c>
      <c r="BL50" s="12">
        <v>10</v>
      </c>
      <c r="BM50" s="100"/>
      <c r="BN50" s="100">
        <f>AVERAGE('Shuttle Bids'!AC730,'Shuttle Bids'!AC782,'Shuttle Bids'!AC834)</f>
        <v>-250</v>
      </c>
      <c r="BO50" s="78">
        <f>AVERAGE('Shuttle Bids'!AD730,'Shuttle Bids'!AD782,'Shuttle Bids'!AD834)</f>
        <v>-250</v>
      </c>
      <c r="BP50" s="100"/>
      <c r="BQ50" s="100">
        <f>AVERAGE('Shuttle Bids'!AG730,'Shuttle Bids'!AG782,'Shuttle Bids'!AG834)</f>
        <v>-175</v>
      </c>
      <c r="BR50" s="78">
        <f>AVERAGE('Shuttle Bids'!AH730,'Shuttle Bids'!AH782,'Shuttle Bids'!AH834)</f>
        <v>-175</v>
      </c>
      <c r="BS50" s="100">
        <f>AVERAGE('Shuttle Bids'!AJ730,'Shuttle Bids'!AJ782,'Shuttle Bids'!AJ834)</f>
        <v>-262.5</v>
      </c>
      <c r="BT50" s="100">
        <f>AVERAGE('Shuttle Bids'!AK730,'Shuttle Bids'!AK782,'Shuttle Bids'!AK834)</f>
        <v>-150</v>
      </c>
      <c r="BU50" s="78">
        <f>AVERAGE('Shuttle Bids'!AL730,'Shuttle Bids'!AL782,'Shuttle Bids'!AL834)</f>
        <v>-187.5</v>
      </c>
      <c r="BV50" s="80"/>
    </row>
    <row r="51" spans="1:74" x14ac:dyDescent="0.25">
      <c r="A51" s="12">
        <v>11</v>
      </c>
      <c r="B51" s="100"/>
      <c r="C51" s="100"/>
      <c r="D51" s="85"/>
      <c r="E51" s="100"/>
      <c r="F51" s="100"/>
      <c r="G51" s="85"/>
      <c r="H51" s="77">
        <f>AVERAGE('Non-shuttle Bids'!L835,'Non-shuttle Bids'!L783,'Non-shuttle Bids'!L731)</f>
        <v>102.66666666666667</v>
      </c>
      <c r="I51" s="77">
        <f>AVERAGE('Non-shuttle Bids'!M835,'Non-shuttle Bids'!M783,'Non-shuttle Bids'!M731)</f>
        <v>0</v>
      </c>
      <c r="J51" s="78">
        <f>AVERAGE('Non-shuttle Bids'!N835,'Non-shuttle Bids'!N783,'Non-shuttle Bids'!N731)</f>
        <v>50.666666666666664</v>
      </c>
      <c r="K51" s="12">
        <v>11</v>
      </c>
      <c r="L51" s="77">
        <f>AVERAGE('Non-shuttle Bids'!P836,'Non-shuttle Bids'!P732,'Non-shuttle Bids'!P784)</f>
        <v>300</v>
      </c>
      <c r="M51" s="77"/>
      <c r="N51" s="78">
        <f>AVERAGE('Non-shuttle Bids'!R836,'Non-shuttle Bids'!R732,'Non-shuttle Bids'!R784)</f>
        <v>300</v>
      </c>
      <c r="O51" s="106"/>
      <c r="P51" s="106">
        <f>AVERAGE('Non-shuttle Bids'!U836,'Non-shuttle Bids'!U732,'Non-shuttle Bids'!U784)</f>
        <v>0</v>
      </c>
      <c r="Q51" s="107">
        <f>AVERAGE('Non-shuttle Bids'!V836,'Non-shuttle Bids'!V732,'Non-shuttle Bids'!V784)</f>
        <v>0</v>
      </c>
      <c r="R51" s="106"/>
      <c r="S51" s="106"/>
      <c r="T51" s="107"/>
      <c r="U51" s="12">
        <v>11</v>
      </c>
      <c r="V51" s="100"/>
      <c r="W51" s="100"/>
      <c r="X51" s="83"/>
      <c r="Y51" s="100"/>
      <c r="Z51" s="100"/>
      <c r="AA51" s="83"/>
      <c r="AB51" s="100"/>
      <c r="AC51" s="100"/>
      <c r="AD51" s="83"/>
      <c r="AF51" s="77"/>
      <c r="AG51" s="77"/>
      <c r="AH51" s="87"/>
      <c r="AI51" s="79"/>
      <c r="AJ51" s="81"/>
      <c r="AK51" s="81"/>
      <c r="AL51" s="79"/>
      <c r="AM51" s="79"/>
      <c r="AN51" s="79"/>
      <c r="AO51" s="79"/>
      <c r="AP51" s="79"/>
      <c r="AR51" s="12">
        <v>11</v>
      </c>
      <c r="AS51" s="12"/>
      <c r="AT51" s="12"/>
      <c r="AU51" s="84"/>
      <c r="AY51" s="100"/>
      <c r="AZ51" s="100"/>
      <c r="BA51" s="100"/>
      <c r="BB51" s="12">
        <v>11</v>
      </c>
      <c r="BC51" s="100">
        <f>AVERAGE('Shuttle Bids'!P732,'Shuttle Bids'!P784,'Shuttle Bids'!P836)</f>
        <v>-81.333333333333329</v>
      </c>
      <c r="BD51" s="100">
        <f>AVERAGE('Shuttle Bids'!Q732,'Shuttle Bids'!Q784,'Shuttle Bids'!Q836)</f>
        <v>-221</v>
      </c>
      <c r="BE51" s="78">
        <f>AVERAGE('Shuttle Bids'!R732,'Shuttle Bids'!R784,'Shuttle Bids'!R836)</f>
        <v>-151.16666666666666</v>
      </c>
      <c r="BF51" s="100">
        <f>AVERAGE('Shuttle Bids'!T732,'Shuttle Bids'!T784,'Shuttle Bids'!T836)</f>
        <v>-575</v>
      </c>
      <c r="BG51" s="100">
        <f>AVERAGE('Shuttle Bids'!U732,'Shuttle Bids'!U784,'Shuttle Bids'!U836)</f>
        <v>-275</v>
      </c>
      <c r="BH51" s="78">
        <f>AVERAGE('Shuttle Bids'!V732,'Shuttle Bids'!V784,'Shuttle Bids'!V836)</f>
        <v>-304.16666666666669</v>
      </c>
      <c r="BI51" s="100"/>
      <c r="BJ51" s="100">
        <f>AVERAGE('Shuttle Bids'!Y731,'Shuttle Bids'!Y783,'Shuttle Bids'!Y835)</f>
        <v>-350</v>
      </c>
      <c r="BK51" s="78">
        <f>AVERAGE('Shuttle Bids'!Z731,'Shuttle Bids'!Z783,'Shuttle Bids'!Z835)</f>
        <v>-350</v>
      </c>
      <c r="BL51" s="12">
        <v>11</v>
      </c>
      <c r="BM51" s="100"/>
      <c r="BN51" s="100">
        <f>AVERAGE('Shuttle Bids'!AC731,'Shuttle Bids'!AC783,'Shuttle Bids'!AC835)</f>
        <v>-262.5</v>
      </c>
      <c r="BO51" s="78">
        <f>AVERAGE('Shuttle Bids'!AD731,'Shuttle Bids'!AD783,'Shuttle Bids'!AD835)</f>
        <v>-262.5</v>
      </c>
      <c r="BP51" s="100"/>
      <c r="BQ51" s="100">
        <f>AVERAGE('Shuttle Bids'!AG731,'Shuttle Bids'!AG783,'Shuttle Bids'!AG835)</f>
        <v>-187.5</v>
      </c>
      <c r="BR51" s="78">
        <f>AVERAGE('Shuttle Bids'!AH731,'Shuttle Bids'!AH783,'Shuttle Bids'!AH835)</f>
        <v>-187.5</v>
      </c>
      <c r="BS51" s="100">
        <f>AVERAGE('Shuttle Bids'!AJ731,'Shuttle Bids'!AJ783,'Shuttle Bids'!AJ835)</f>
        <v>-100</v>
      </c>
      <c r="BT51" s="100">
        <f>AVERAGE('Shuttle Bids'!AK731,'Shuttle Bids'!AK783,'Shuttle Bids'!AK835)</f>
        <v>-183.33333333333334</v>
      </c>
      <c r="BU51" s="78">
        <f>AVERAGE('Shuttle Bids'!AL731,'Shuttle Bids'!AL783,'Shuttle Bids'!AL835)</f>
        <v>-158.33333333333334</v>
      </c>
      <c r="BV51" s="80"/>
    </row>
    <row r="52" spans="1:74" x14ac:dyDescent="0.25">
      <c r="A52" s="12">
        <v>12</v>
      </c>
      <c r="B52" s="100"/>
      <c r="C52" s="100"/>
      <c r="D52" s="85"/>
      <c r="E52" s="85"/>
      <c r="F52" s="85"/>
      <c r="G52" s="85"/>
      <c r="H52" s="77"/>
      <c r="I52" s="77"/>
      <c r="J52" s="87"/>
      <c r="K52" s="12">
        <v>12</v>
      </c>
      <c r="L52" s="77">
        <f>AVERAGE('Non-shuttle Bids'!P837,'Non-shuttle Bids'!P733,'Non-shuttle Bids'!P785)</f>
        <v>99.333333333333329</v>
      </c>
      <c r="M52" s="77">
        <f>AVERAGE('Non-shuttle Bids'!Q837,'Non-shuttle Bids'!Q733,'Non-shuttle Bids'!Q785)</f>
        <v>19</v>
      </c>
      <c r="N52" s="78">
        <f>AVERAGE('Non-shuttle Bids'!R837,'Non-shuttle Bids'!R733,'Non-shuttle Bids'!R785)</f>
        <v>56</v>
      </c>
      <c r="O52" s="106">
        <f>AVERAGE('Non-shuttle Bids'!T837,'Non-shuttle Bids'!T733,'Non-shuttle Bids'!T785)</f>
        <v>81.5</v>
      </c>
      <c r="P52" s="106">
        <f>AVERAGE('Non-shuttle Bids'!U837,'Non-shuttle Bids'!U733,'Non-shuttle Bids'!U785)</f>
        <v>0</v>
      </c>
      <c r="Q52" s="107">
        <f>AVERAGE('Non-shuttle Bids'!V837,'Non-shuttle Bids'!V733,'Non-shuttle Bids'!V785)</f>
        <v>40.75</v>
      </c>
      <c r="R52" s="106"/>
      <c r="S52" s="106"/>
      <c r="T52" s="107"/>
      <c r="U52" s="12">
        <v>12</v>
      </c>
      <c r="V52" s="100"/>
      <c r="W52" s="100"/>
      <c r="X52" s="83"/>
      <c r="Y52" s="100"/>
      <c r="Z52" s="100"/>
      <c r="AA52" s="83"/>
      <c r="AB52" s="100"/>
      <c r="AC52" s="100"/>
      <c r="AD52" s="83"/>
      <c r="AF52" s="77"/>
      <c r="AG52" s="77"/>
      <c r="AH52" s="87"/>
      <c r="AI52" s="79"/>
      <c r="AJ52" s="79"/>
      <c r="AK52" s="79"/>
      <c r="AL52" s="79"/>
      <c r="AM52" s="79"/>
      <c r="AN52" s="79"/>
      <c r="AO52" s="79"/>
      <c r="AP52" s="79"/>
      <c r="AR52" s="12"/>
      <c r="AS52" s="12"/>
      <c r="AT52" s="12"/>
      <c r="AU52" s="84"/>
      <c r="AY52" s="100"/>
      <c r="AZ52" s="100"/>
      <c r="BA52" s="100"/>
      <c r="BB52" s="12">
        <v>12</v>
      </c>
      <c r="BC52" s="100">
        <f>AVERAGE('Shuttle Bids'!P733,'Shuttle Bids'!P785,'Shuttle Bids'!P837)</f>
        <v>-68</v>
      </c>
      <c r="BD52" s="100">
        <f>AVERAGE('Shuttle Bids'!Q733,'Shuttle Bids'!Q785,'Shuttle Bids'!Q837)</f>
        <v>-141.66666666666666</v>
      </c>
      <c r="BE52" s="78">
        <f>AVERAGE('Shuttle Bids'!R733,'Shuttle Bids'!R785,'Shuttle Bids'!R837)</f>
        <v>-104.83333333333333</v>
      </c>
      <c r="BF52" s="100"/>
      <c r="BG52" s="100">
        <f>AVERAGE('Shuttle Bids'!U733,'Shuttle Bids'!U785,'Shuttle Bids'!U837)</f>
        <v>-252.66666666666666</v>
      </c>
      <c r="BH52" s="78">
        <f>AVERAGE('Shuttle Bids'!V733,'Shuttle Bids'!V785,'Shuttle Bids'!V837)</f>
        <v>-252.66666666666666</v>
      </c>
      <c r="BI52" s="100">
        <f>AVERAGE('Shuttle Bids'!X732,'Shuttle Bids'!X784,'Shuttle Bids'!X836)</f>
        <v>-500</v>
      </c>
      <c r="BJ52" s="100">
        <f>AVERAGE('Shuttle Bids'!Y732,'Shuttle Bids'!Y784,'Shuttle Bids'!Y836)</f>
        <v>-350</v>
      </c>
      <c r="BK52" s="78">
        <f>AVERAGE('Shuttle Bids'!Z732,'Shuttle Bids'!Z784,'Shuttle Bids'!Z836)</f>
        <v>-425</v>
      </c>
      <c r="BL52" s="12">
        <v>12</v>
      </c>
      <c r="BM52" s="100">
        <f>AVERAGE('Shuttle Bids'!AB732,'Shuttle Bids'!AB784,'Shuttle Bids'!AB836)</f>
        <v>-400</v>
      </c>
      <c r="BN52" s="100">
        <f>AVERAGE('Shuttle Bids'!AC732,'Shuttle Bids'!AC784,'Shuttle Bids'!AC836)</f>
        <v>-275</v>
      </c>
      <c r="BO52" s="78">
        <f>AVERAGE('Shuttle Bids'!AD732,'Shuttle Bids'!AD784,'Shuttle Bids'!AD836)</f>
        <v>-312.5</v>
      </c>
      <c r="BP52" s="100"/>
      <c r="BQ52" s="100">
        <f>AVERAGE('Shuttle Bids'!AG732,'Shuttle Bids'!AG784,'Shuttle Bids'!AG836)</f>
        <v>-175</v>
      </c>
      <c r="BR52" s="78">
        <f>AVERAGE('Shuttle Bids'!AH732,'Shuttle Bids'!AH784,'Shuttle Bids'!AH836)</f>
        <v>-175</v>
      </c>
      <c r="BS52" s="100">
        <f>AVERAGE('Shuttle Bids'!AJ732,'Shuttle Bids'!AJ784,'Shuttle Bids'!AJ836)</f>
        <v>-200</v>
      </c>
      <c r="BT52" s="100">
        <f>AVERAGE('Shuttle Bids'!AK732,'Shuttle Bids'!AK784,'Shuttle Bids'!AK836)</f>
        <v>-166.66666666666666</v>
      </c>
      <c r="BU52" s="78">
        <f>AVERAGE('Shuttle Bids'!AL732,'Shuttle Bids'!AL784,'Shuttle Bids'!AL836)</f>
        <v>-166.66666666666666</v>
      </c>
      <c r="BV52" s="80"/>
    </row>
    <row r="53" spans="1:74" x14ac:dyDescent="0.25">
      <c r="A53" s="12">
        <v>13</v>
      </c>
      <c r="B53" s="100"/>
      <c r="C53" s="100"/>
      <c r="D53" s="85"/>
      <c r="E53" s="85"/>
      <c r="F53" s="85"/>
      <c r="G53" s="85"/>
      <c r="H53" s="87"/>
      <c r="I53" s="87"/>
      <c r="J53" s="87"/>
      <c r="K53" s="12">
        <v>13</v>
      </c>
      <c r="L53" s="77">
        <f>AVERAGE('Non-shuttle Bids'!P838,'Non-shuttle Bids'!P734,'Non-shuttle Bids'!P786)</f>
        <v>75</v>
      </c>
      <c r="M53" s="77">
        <f>AVERAGE('Non-shuttle Bids'!Q838,'Non-shuttle Bids'!Q734,'Non-shuttle Bids'!Q786)</f>
        <v>12.666666666666666</v>
      </c>
      <c r="N53" s="78">
        <f>AVERAGE('Non-shuttle Bids'!R838,'Non-shuttle Bids'!R734,'Non-shuttle Bids'!R786)</f>
        <v>43.833333333333336</v>
      </c>
      <c r="O53" s="106">
        <f>AVERAGE('Non-shuttle Bids'!T838,'Non-shuttle Bids'!T734,'Non-shuttle Bids'!T786)</f>
        <v>150</v>
      </c>
      <c r="P53" s="106">
        <f>AVERAGE('Non-shuttle Bids'!U838,'Non-shuttle Bids'!U734,'Non-shuttle Bids'!U786)</f>
        <v>25</v>
      </c>
      <c r="Q53" s="107">
        <f>AVERAGE('Non-shuttle Bids'!V838,'Non-shuttle Bids'!V734,'Non-shuttle Bids'!V786)</f>
        <v>81.25</v>
      </c>
      <c r="R53" s="106"/>
      <c r="S53" s="106">
        <f>AVERAGE('Non-shuttle Bids'!Y733,'Non-shuttle Bids'!Y837,'Non-shuttle Bids'!Y785)</f>
        <v>0</v>
      </c>
      <c r="T53" s="107">
        <f>AVERAGE('Non-shuttle Bids'!Z733,'Non-shuttle Bids'!Z837,'Non-shuttle Bids'!Z785)</f>
        <v>0</v>
      </c>
      <c r="U53" s="12">
        <v>13</v>
      </c>
      <c r="V53" s="100"/>
      <c r="W53" s="100"/>
      <c r="X53" s="83"/>
      <c r="Y53" s="100"/>
      <c r="Z53" s="100"/>
      <c r="AA53" s="83"/>
      <c r="AB53" s="100"/>
      <c r="AC53" s="100"/>
      <c r="AD53" s="83"/>
      <c r="AF53" s="77"/>
      <c r="AG53" s="77"/>
      <c r="AH53" s="87"/>
      <c r="AI53" s="79"/>
      <c r="AJ53" s="79"/>
      <c r="AK53" s="79"/>
      <c r="AL53" s="79"/>
      <c r="AM53" s="79"/>
      <c r="AN53" s="79"/>
      <c r="AO53" s="79"/>
      <c r="AP53" s="79"/>
      <c r="AR53" s="12"/>
      <c r="AS53" s="12"/>
      <c r="AT53" s="12"/>
      <c r="AU53" s="84"/>
      <c r="AY53" s="49"/>
      <c r="AZ53" s="49"/>
      <c r="BA53" s="49"/>
      <c r="BB53" s="12">
        <v>13</v>
      </c>
      <c r="BC53" s="100">
        <f>AVERAGE('Shuttle Bids'!P734,'Shuttle Bids'!P786,'Shuttle Bids'!P838)</f>
        <v>-228.66666666666666</v>
      </c>
      <c r="BD53" s="100">
        <f>AVERAGE('Shuttle Bids'!Q734,'Shuttle Bids'!Q786,'Shuttle Bids'!Q838)</f>
        <v>-233.66666666666666</v>
      </c>
      <c r="BE53" s="78">
        <f>AVERAGE('Shuttle Bids'!R734,'Shuttle Bids'!R786,'Shuttle Bids'!R838)</f>
        <v>-231.16666666666666</v>
      </c>
      <c r="BF53" s="100">
        <f>AVERAGE('Shuttle Bids'!T734,'Shuttle Bids'!T786,'Shuttle Bids'!T838)</f>
        <v>-244</v>
      </c>
      <c r="BG53" s="100">
        <f>AVERAGE('Shuttle Bids'!U734,'Shuttle Bids'!U786,'Shuttle Bids'!U838)</f>
        <v>-291.66666666666669</v>
      </c>
      <c r="BH53" s="78">
        <f>AVERAGE('Shuttle Bids'!V734,'Shuttle Bids'!V786,'Shuttle Bids'!V838)</f>
        <v>-277.16666666666669</v>
      </c>
      <c r="BI53" s="100"/>
      <c r="BJ53" s="100">
        <f>AVERAGE('Shuttle Bids'!Y733,'Shuttle Bids'!Y785,'Shuttle Bids'!Y837)</f>
        <v>-300</v>
      </c>
      <c r="BK53" s="78">
        <f>AVERAGE('Shuttle Bids'!Z733,'Shuttle Bids'!Z785,'Shuttle Bids'!Z837)</f>
        <v>-300</v>
      </c>
      <c r="BL53" s="12">
        <v>13</v>
      </c>
      <c r="BM53" s="100">
        <f>AVERAGE('Shuttle Bids'!AB733,'Shuttle Bids'!AB785,'Shuttle Bids'!AB837)</f>
        <v>-350</v>
      </c>
      <c r="BN53" s="100">
        <f>AVERAGE('Shuttle Bids'!AC733,'Shuttle Bids'!AC785,'Shuttle Bids'!AC837)</f>
        <v>-250</v>
      </c>
      <c r="BO53" s="78">
        <f>AVERAGE('Shuttle Bids'!AD733,'Shuttle Bids'!AD785,'Shuttle Bids'!AD837)</f>
        <v>-262.5</v>
      </c>
      <c r="BP53" s="100"/>
      <c r="BQ53" s="100">
        <f>AVERAGE('Shuttle Bids'!AG733,'Shuttle Bids'!AG785,'Shuttle Bids'!AG837)</f>
        <v>-162.5</v>
      </c>
      <c r="BR53" s="78">
        <f>AVERAGE('Shuttle Bids'!AH733,'Shuttle Bids'!AH785,'Shuttle Bids'!AH837)</f>
        <v>-162.5</v>
      </c>
      <c r="BS53" s="100">
        <f>AVERAGE('Shuttle Bids'!AJ733,'Shuttle Bids'!AJ785,'Shuttle Bids'!AJ837)</f>
        <v>-163</v>
      </c>
      <c r="BT53" s="100">
        <f>AVERAGE('Shuttle Bids'!AK733,'Shuttle Bids'!AK785,'Shuttle Bids'!AK837)</f>
        <v>-158.33333333333334</v>
      </c>
      <c r="BU53" s="78">
        <f>AVERAGE('Shuttle Bids'!AL733,'Shuttle Bids'!AL785,'Shuttle Bids'!AL837)</f>
        <v>-152.16666666666666</v>
      </c>
      <c r="BV53" s="80"/>
    </row>
    <row r="54" spans="1:74" x14ac:dyDescent="0.25">
      <c r="A54" s="12">
        <v>14</v>
      </c>
      <c r="B54" s="100"/>
      <c r="C54" s="100"/>
      <c r="D54" s="85"/>
      <c r="E54" s="85"/>
      <c r="F54" s="85"/>
      <c r="G54" s="85"/>
      <c r="H54" s="87"/>
      <c r="I54" s="87"/>
      <c r="J54" s="87"/>
      <c r="K54" s="12">
        <v>14</v>
      </c>
      <c r="L54" s="77">
        <f>AVERAGE('Non-shuttle Bids'!P839,'Non-shuttle Bids'!P735,'Non-shuttle Bids'!P787)</f>
        <v>118</v>
      </c>
      <c r="M54" s="77">
        <f>AVERAGE('Non-shuttle Bids'!Q839,'Non-shuttle Bids'!Q735,'Non-shuttle Bids'!Q787)</f>
        <v>6.333333333333333</v>
      </c>
      <c r="N54" s="78">
        <f>AVERAGE('Non-shuttle Bids'!R839,'Non-shuttle Bids'!R735,'Non-shuttle Bids'!R787)</f>
        <v>62.166666666666664</v>
      </c>
      <c r="O54" s="106">
        <f>AVERAGE('Non-shuttle Bids'!T839,'Non-shuttle Bids'!T735,'Non-shuttle Bids'!T787)</f>
        <v>150</v>
      </c>
      <c r="P54" s="106">
        <f>AVERAGE('Non-shuttle Bids'!U839,'Non-shuttle Bids'!U735,'Non-shuttle Bids'!U787)</f>
        <v>17</v>
      </c>
      <c r="Q54" s="107">
        <f>AVERAGE('Non-shuttle Bids'!V839,'Non-shuttle Bids'!V735,'Non-shuttle Bids'!V787)</f>
        <v>79.25</v>
      </c>
      <c r="R54" s="106"/>
      <c r="S54" s="106">
        <f>AVERAGE('Non-shuttle Bids'!Y734,'Non-shuttle Bids'!Y838,'Non-shuttle Bids'!Y786)</f>
        <v>25</v>
      </c>
      <c r="T54" s="107">
        <f>AVERAGE('Non-shuttle Bids'!Z734,'Non-shuttle Bids'!Z838,'Non-shuttle Bids'!Z786)</f>
        <v>25</v>
      </c>
      <c r="U54" s="12">
        <v>14</v>
      </c>
      <c r="V54" s="100"/>
      <c r="W54" s="100"/>
      <c r="X54" s="83"/>
      <c r="Y54" s="100"/>
      <c r="Z54" s="100"/>
      <c r="AA54" s="83"/>
      <c r="AB54" s="100"/>
      <c r="AC54" s="100"/>
      <c r="AD54" s="83"/>
      <c r="AF54" s="77"/>
      <c r="AG54" s="77"/>
      <c r="AH54" s="87"/>
      <c r="AI54" s="79"/>
      <c r="AJ54" s="79"/>
      <c r="AK54" s="79"/>
      <c r="AL54" s="79"/>
      <c r="AM54" s="79"/>
      <c r="AN54" s="79"/>
      <c r="AO54" s="79"/>
      <c r="AP54" s="79"/>
      <c r="AR54" s="12"/>
      <c r="AS54" s="12"/>
      <c r="AT54" s="12"/>
      <c r="AU54" s="84"/>
      <c r="AY54" s="49"/>
      <c r="AZ54" s="49"/>
      <c r="BA54" s="49"/>
      <c r="BB54" s="12">
        <v>14</v>
      </c>
      <c r="BC54" s="100">
        <f>AVERAGE('Shuttle Bids'!P735,'Shuttle Bids'!P787,'Shuttle Bids'!P839)</f>
        <v>-303.66666666666669</v>
      </c>
      <c r="BD54" s="100">
        <f>AVERAGE('Shuttle Bids'!Q735,'Shuttle Bids'!Q787,'Shuttle Bids'!Q839)</f>
        <v>-237.66666666666666</v>
      </c>
      <c r="BE54" s="78">
        <f>AVERAGE('Shuttle Bids'!R735,'Shuttle Bids'!R787,'Shuttle Bids'!R839)</f>
        <v>-270.66666666666669</v>
      </c>
      <c r="BF54" s="100">
        <f>AVERAGE('Shuttle Bids'!T735,'Shuttle Bids'!T787,'Shuttle Bids'!T839)</f>
        <v>-412.5</v>
      </c>
      <c r="BG54" s="100">
        <f>AVERAGE('Shuttle Bids'!U735,'Shuttle Bids'!U787,'Shuttle Bids'!U839)</f>
        <v>-347.33333333333331</v>
      </c>
      <c r="BH54" s="78">
        <f>AVERAGE('Shuttle Bids'!V735,'Shuttle Bids'!V787,'Shuttle Bids'!V839)</f>
        <v>-347.33333333333331</v>
      </c>
      <c r="BI54" s="100"/>
      <c r="BJ54" s="100">
        <f>AVERAGE('Shuttle Bids'!Y734,'Shuttle Bids'!Y786,'Shuttle Bids'!Y838)</f>
        <v>-300</v>
      </c>
      <c r="BK54" s="78">
        <f>AVERAGE('Shuttle Bids'!Z734,'Shuttle Bids'!Z786,'Shuttle Bids'!Z838)</f>
        <v>-300</v>
      </c>
      <c r="BL54" s="12">
        <v>14</v>
      </c>
      <c r="BM54" s="100">
        <f>AVERAGE('Shuttle Bids'!AB734,'Shuttle Bids'!AB786,'Shuttle Bids'!AB838)</f>
        <v>-300</v>
      </c>
      <c r="BN54" s="100">
        <f>AVERAGE('Shuttle Bids'!AC734,'Shuttle Bids'!AC786,'Shuttle Bids'!AC838)</f>
        <v>-275</v>
      </c>
      <c r="BO54" s="78">
        <f>AVERAGE('Shuttle Bids'!AD734,'Shuttle Bids'!AD786,'Shuttle Bids'!AD838)</f>
        <v>-275</v>
      </c>
      <c r="BP54" s="100"/>
      <c r="BQ54" s="100">
        <f>AVERAGE('Shuttle Bids'!AG734,'Shuttle Bids'!AG786,'Shuttle Bids'!AG838)</f>
        <v>-200</v>
      </c>
      <c r="BR54" s="78">
        <f>AVERAGE('Shuttle Bids'!AH734,'Shuttle Bids'!AH786,'Shuttle Bids'!AH838)</f>
        <v>-200</v>
      </c>
      <c r="BS54" s="100">
        <f>AVERAGE('Shuttle Bids'!AJ734,'Shuttle Bids'!AJ786,'Shuttle Bids'!AJ838)</f>
        <v>-106.5</v>
      </c>
      <c r="BT54" s="100">
        <f>AVERAGE('Shuttle Bids'!AK734,'Shuttle Bids'!AK786,'Shuttle Bids'!AK838)</f>
        <v>-137.5</v>
      </c>
      <c r="BU54" s="78">
        <f>AVERAGE('Shuttle Bids'!AL734,'Shuttle Bids'!AL786,'Shuttle Bids'!AL838)</f>
        <v>-135.5</v>
      </c>
      <c r="BV54" s="80"/>
    </row>
    <row r="55" spans="1:74" x14ac:dyDescent="0.25">
      <c r="A55" s="12">
        <v>15</v>
      </c>
      <c r="B55" s="100"/>
      <c r="C55" s="100"/>
      <c r="D55" s="85"/>
      <c r="E55" s="85"/>
      <c r="F55" s="85"/>
      <c r="G55" s="85"/>
      <c r="H55" s="87"/>
      <c r="I55" s="87"/>
      <c r="J55" s="87"/>
      <c r="K55" s="12">
        <v>15</v>
      </c>
      <c r="L55" s="77">
        <f>AVERAGE('Non-shuttle Bids'!P840,'Non-shuttle Bids'!P736,'Non-shuttle Bids'!P788)</f>
        <v>91.333333333333329</v>
      </c>
      <c r="M55" s="77">
        <f>AVERAGE('Non-shuttle Bids'!Q840,'Non-shuttle Bids'!Q736,'Non-shuttle Bids'!Q788)</f>
        <v>-8.3333333333333339</v>
      </c>
      <c r="N55" s="78">
        <f>AVERAGE('Non-shuttle Bids'!R840,'Non-shuttle Bids'!R736,'Non-shuttle Bids'!R788)</f>
        <v>41.5</v>
      </c>
      <c r="O55" s="106">
        <f>AVERAGE('Non-shuttle Bids'!T840,'Non-shuttle Bids'!T736,'Non-shuttle Bids'!T788)</f>
        <v>33.5</v>
      </c>
      <c r="P55" s="106">
        <f>AVERAGE('Non-shuttle Bids'!U840,'Non-shuttle Bids'!U736,'Non-shuttle Bids'!U788)</f>
        <v>17</v>
      </c>
      <c r="Q55" s="107">
        <f>AVERAGE('Non-shuttle Bids'!V840,'Non-shuttle Bids'!V736,'Non-shuttle Bids'!V788)</f>
        <v>21</v>
      </c>
      <c r="R55" s="106"/>
      <c r="S55" s="106">
        <f>AVERAGE('Non-shuttle Bids'!Y735,'Non-shuttle Bids'!Y839,'Non-shuttle Bids'!Y787)</f>
        <v>25</v>
      </c>
      <c r="T55" s="107">
        <f>AVERAGE('Non-shuttle Bids'!Z735,'Non-shuttle Bids'!Z839,'Non-shuttle Bids'!Z787)</f>
        <v>25</v>
      </c>
      <c r="U55" s="12">
        <v>15</v>
      </c>
      <c r="V55" s="100"/>
      <c r="W55" s="100"/>
      <c r="X55" s="83"/>
      <c r="Y55" s="100"/>
      <c r="Z55" s="100"/>
      <c r="AA55" s="83"/>
      <c r="AB55" s="100"/>
      <c r="AC55" s="100"/>
      <c r="AD55" s="83"/>
      <c r="AF55" s="77"/>
      <c r="AG55" s="77"/>
      <c r="AH55" s="87"/>
      <c r="AI55" s="79"/>
      <c r="AJ55" s="79"/>
      <c r="AK55" s="79"/>
      <c r="AL55" s="79"/>
      <c r="AM55" s="79"/>
      <c r="AN55" s="79"/>
      <c r="AO55" s="79"/>
      <c r="AP55" s="79"/>
      <c r="AR55" s="12"/>
      <c r="AS55" s="12"/>
      <c r="AT55" s="12"/>
      <c r="AU55" s="84"/>
      <c r="AY55" s="49"/>
      <c r="AZ55" s="49"/>
      <c r="BA55" s="49"/>
      <c r="BB55" s="12">
        <v>15</v>
      </c>
      <c r="BC55" s="100">
        <f>AVERAGE('Shuttle Bids'!P736,'Shuttle Bids'!P788,'Shuttle Bids'!P840)</f>
        <v>-290.66666666666669</v>
      </c>
      <c r="BD55" s="100">
        <f>AVERAGE('Shuttle Bids'!Q736,'Shuttle Bids'!Q788,'Shuttle Bids'!Q840)</f>
        <v>-208.33333333333334</v>
      </c>
      <c r="BE55" s="78">
        <f>AVERAGE('Shuttle Bids'!R736,'Shuttle Bids'!R788,'Shuttle Bids'!R840)</f>
        <v>-249.5</v>
      </c>
      <c r="BF55" s="100">
        <f>AVERAGE('Shuttle Bids'!T736,'Shuttle Bids'!T788,'Shuttle Bids'!T840)</f>
        <v>-450</v>
      </c>
      <c r="BG55" s="100">
        <f>AVERAGE('Shuttle Bids'!U736,'Shuttle Bids'!U788,'Shuttle Bids'!U840)</f>
        <v>-332.66666666666669</v>
      </c>
      <c r="BH55" s="78">
        <f>AVERAGE('Shuttle Bids'!V736,'Shuttle Bids'!V788,'Shuttle Bids'!V840)</f>
        <v>-332.66666666666669</v>
      </c>
      <c r="BI55" s="100">
        <f>AVERAGE('Shuttle Bids'!X735,'Shuttle Bids'!X787,'Shuttle Bids'!X839)</f>
        <v>-213</v>
      </c>
      <c r="BJ55" s="100">
        <f>AVERAGE('Shuttle Bids'!Y735,'Shuttle Bids'!Y787,'Shuttle Bids'!Y839)</f>
        <v>-300</v>
      </c>
      <c r="BK55" s="78">
        <f>AVERAGE('Shuttle Bids'!Z735,'Shuttle Bids'!Z787,'Shuttle Bids'!Z839)</f>
        <v>-256.5</v>
      </c>
      <c r="BL55" s="12">
        <v>15</v>
      </c>
      <c r="BM55" s="100">
        <f>AVERAGE('Shuttle Bids'!AB735,'Shuttle Bids'!AB787,'Shuttle Bids'!AB839)</f>
        <v>-300</v>
      </c>
      <c r="BN55" s="100">
        <f>AVERAGE('Shuttle Bids'!AC735,'Shuttle Bids'!AC787,'Shuttle Bids'!AC839)</f>
        <v>-275</v>
      </c>
      <c r="BO55" s="78">
        <f>AVERAGE('Shuttle Bids'!AD735,'Shuttle Bids'!AD787,'Shuttle Bids'!AD839)</f>
        <v>-275</v>
      </c>
      <c r="BP55" s="100"/>
      <c r="BQ55" s="100">
        <f>AVERAGE('Shuttle Bids'!AG735,'Shuttle Bids'!AG787,'Shuttle Bids'!AG839)</f>
        <v>-200</v>
      </c>
      <c r="BR55" s="78">
        <f>AVERAGE('Shuttle Bids'!AH735,'Shuttle Bids'!AH787,'Shuttle Bids'!AH839)</f>
        <v>-200</v>
      </c>
      <c r="BS55" s="100">
        <f>AVERAGE('Shuttle Bids'!AJ735,'Shuttle Bids'!AJ787,'Shuttle Bids'!AJ839)</f>
        <v>-200</v>
      </c>
      <c r="BT55" s="100">
        <f>AVERAGE('Shuttle Bids'!AK735,'Shuttle Bids'!AK787,'Shuttle Bids'!AK839)</f>
        <v>-175</v>
      </c>
      <c r="BU55" s="78">
        <f>AVERAGE('Shuttle Bids'!AL735,'Shuttle Bids'!AL787,'Shuttle Bids'!AL839)</f>
        <v>-183.33333333333334</v>
      </c>
      <c r="BV55" s="80"/>
    </row>
    <row r="56" spans="1:74" x14ac:dyDescent="0.25">
      <c r="A56" s="12">
        <v>16</v>
      </c>
      <c r="B56" s="100"/>
      <c r="C56" s="100"/>
      <c r="D56" s="85"/>
      <c r="E56" s="85"/>
      <c r="F56" s="85"/>
      <c r="G56" s="85"/>
      <c r="H56" s="85"/>
      <c r="I56" s="85"/>
      <c r="J56" s="85"/>
      <c r="K56" s="12">
        <v>16</v>
      </c>
      <c r="L56" s="77"/>
      <c r="M56" s="77"/>
      <c r="N56" s="77"/>
      <c r="O56" s="106">
        <f>AVERAGE('Non-shuttle Bids'!T841,'Non-shuttle Bids'!T737,'Non-shuttle Bids'!T789)</f>
        <v>29</v>
      </c>
      <c r="P56" s="106">
        <f>AVERAGE('Non-shuttle Bids'!U841,'Non-shuttle Bids'!U737,'Non-shuttle Bids'!U789)</f>
        <v>-6.5</v>
      </c>
      <c r="Q56" s="107">
        <f>AVERAGE('Non-shuttle Bids'!V841,'Non-shuttle Bids'!V737,'Non-shuttle Bids'!V789)</f>
        <v>11.25</v>
      </c>
      <c r="R56" s="106"/>
      <c r="S56" s="106">
        <f>AVERAGE('Non-shuttle Bids'!Y736,'Non-shuttle Bids'!Y840,'Non-shuttle Bids'!Y788)</f>
        <v>25</v>
      </c>
      <c r="T56" s="107">
        <f>AVERAGE('Non-shuttle Bids'!Z736,'Non-shuttle Bids'!Z840,'Non-shuttle Bids'!Z788)</f>
        <v>25</v>
      </c>
      <c r="U56" s="12">
        <v>16</v>
      </c>
      <c r="V56" s="100"/>
      <c r="W56" s="100"/>
      <c r="X56" s="83"/>
      <c r="Y56" s="100"/>
      <c r="Z56" s="100"/>
      <c r="AA56" s="83"/>
      <c r="AB56" s="100"/>
      <c r="AC56" s="100"/>
      <c r="AD56" s="83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R56" s="12"/>
      <c r="AS56" s="12"/>
      <c r="AT56" s="12"/>
      <c r="AU56" s="84"/>
      <c r="AY56" s="49"/>
      <c r="AZ56" s="49"/>
      <c r="BA56" s="49"/>
      <c r="BB56" s="12">
        <v>16</v>
      </c>
      <c r="BC56" s="100"/>
      <c r="BD56" s="100"/>
      <c r="BE56" s="100"/>
      <c r="BF56" s="100">
        <f>AVERAGE('Shuttle Bids'!T737,'Shuttle Bids'!T789,'Shuttle Bids'!T841)</f>
        <v>-267.33333333333331</v>
      </c>
      <c r="BG56" s="100">
        <f>AVERAGE('Shuttle Bids'!U737,'Shuttle Bids'!U789,'Shuttle Bids'!U841)</f>
        <v>-300</v>
      </c>
      <c r="BH56" s="78">
        <f>AVERAGE('Shuttle Bids'!V737,'Shuttle Bids'!V789,'Shuttle Bids'!V841)</f>
        <v>-283.66666666666669</v>
      </c>
      <c r="BI56" s="100">
        <f>AVERAGE('Shuttle Bids'!X736,'Shuttle Bids'!X788,'Shuttle Bids'!X840)</f>
        <v>-213</v>
      </c>
      <c r="BJ56" s="100">
        <f>AVERAGE('Shuttle Bids'!Y736,'Shuttle Bids'!Y788,'Shuttle Bids'!Y840)</f>
        <v>-300</v>
      </c>
      <c r="BK56" s="78">
        <f>AVERAGE('Shuttle Bids'!Z736,'Shuttle Bids'!Z788,'Shuttle Bids'!Z840)</f>
        <v>-256.5</v>
      </c>
      <c r="BL56" s="12">
        <v>16</v>
      </c>
      <c r="BM56" s="100">
        <f>AVERAGE('Shuttle Bids'!AB736,'Shuttle Bids'!AB788,'Shuttle Bids'!AB840)</f>
        <v>-300</v>
      </c>
      <c r="BN56" s="100">
        <f>AVERAGE('Shuttle Bids'!AC736,'Shuttle Bids'!AC788,'Shuttle Bids'!AC840)</f>
        <v>-250</v>
      </c>
      <c r="BO56" s="78">
        <f>AVERAGE('Shuttle Bids'!AD736,'Shuttle Bids'!AD788,'Shuttle Bids'!AD840)</f>
        <v>-275</v>
      </c>
      <c r="BP56" s="100"/>
      <c r="BQ56" s="100">
        <f>AVERAGE('Shuttle Bids'!AG736,'Shuttle Bids'!AG788,'Shuttle Bids'!AG840)</f>
        <v>-200</v>
      </c>
      <c r="BR56" s="78">
        <f>AVERAGE('Shuttle Bids'!AH736,'Shuttle Bids'!AH788,'Shuttle Bids'!AH840)</f>
        <v>-200</v>
      </c>
      <c r="BS56" s="100">
        <f>AVERAGE('Shuttle Bids'!AJ736,'Shuttle Bids'!AJ788,'Shuttle Bids'!AJ840)</f>
        <v>-225</v>
      </c>
      <c r="BT56" s="100">
        <f>AVERAGE('Shuttle Bids'!AK736,'Shuttle Bids'!AK788,'Shuttle Bids'!AK840)</f>
        <v>-175</v>
      </c>
      <c r="BU56" s="78">
        <f>AVERAGE('Shuttle Bids'!AL736,'Shuttle Bids'!AL788,'Shuttle Bids'!AL840)</f>
        <v>-191.66666666666666</v>
      </c>
      <c r="BV56" s="80"/>
    </row>
    <row r="57" spans="1:74" x14ac:dyDescent="0.25">
      <c r="A57" s="12">
        <v>17</v>
      </c>
      <c r="B57" s="100"/>
      <c r="C57" s="100"/>
      <c r="D57" s="85"/>
      <c r="E57" s="85"/>
      <c r="F57" s="85"/>
      <c r="G57" s="85"/>
      <c r="H57" s="85"/>
      <c r="I57" s="85"/>
      <c r="J57" s="85"/>
      <c r="K57" s="12">
        <v>17</v>
      </c>
      <c r="L57" s="87"/>
      <c r="M57" s="87"/>
      <c r="N57" s="87"/>
      <c r="O57" s="106">
        <f>AVERAGE('Non-shuttle Bids'!T842,'Non-shuttle Bids'!T738,'Non-shuttle Bids'!T790)</f>
        <v>7</v>
      </c>
      <c r="P57" s="106">
        <f>AVERAGE('Non-shuttle Bids'!U842,'Non-shuttle Bids'!U738,'Non-shuttle Bids'!U790)</f>
        <v>-4.333333333333333</v>
      </c>
      <c r="Q57" s="107">
        <f>AVERAGE('Non-shuttle Bids'!V842,'Non-shuttle Bids'!V738,'Non-shuttle Bids'!V790)</f>
        <v>1.3333333333333333</v>
      </c>
      <c r="R57" s="106">
        <f>AVERAGE('Non-shuttle Bids'!X737,'Non-shuttle Bids'!X841,'Non-shuttle Bids'!X789)</f>
        <v>100</v>
      </c>
      <c r="S57" s="106">
        <f>AVERAGE('Non-shuttle Bids'!Y737,'Non-shuttle Bids'!Y841,'Non-shuttle Bids'!Y789)</f>
        <v>25</v>
      </c>
      <c r="T57" s="107">
        <f>AVERAGE('Non-shuttle Bids'!Z737,'Non-shuttle Bids'!Z841,'Non-shuttle Bids'!Z789)</f>
        <v>62.5</v>
      </c>
      <c r="U57" s="12">
        <v>17</v>
      </c>
      <c r="V57" s="100"/>
      <c r="W57" s="100"/>
      <c r="X57" s="83"/>
      <c r="Y57" s="100"/>
      <c r="Z57" s="100"/>
      <c r="AA57" s="83"/>
      <c r="AB57" s="100"/>
      <c r="AC57" s="100"/>
      <c r="AD57" s="83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R57" s="12"/>
      <c r="AS57" s="12"/>
      <c r="AT57" s="12"/>
      <c r="AU57" s="84"/>
      <c r="AY57" s="49"/>
      <c r="AZ57" s="49"/>
      <c r="BA57" s="49"/>
      <c r="BB57" s="12">
        <v>17</v>
      </c>
      <c r="BC57" s="100"/>
      <c r="BD57" s="100"/>
      <c r="BE57" s="100"/>
      <c r="BF57" s="100">
        <f>AVERAGE('Shuttle Bids'!T738,'Shuttle Bids'!T790,'Shuttle Bids'!T842)</f>
        <v>-291.66666666666669</v>
      </c>
      <c r="BG57" s="100">
        <f>AVERAGE('Shuttle Bids'!U738,'Shuttle Bids'!U790,'Shuttle Bids'!U842)</f>
        <v>-305.66666666666669</v>
      </c>
      <c r="BH57" s="78">
        <f>AVERAGE('Shuttle Bids'!V738,'Shuttle Bids'!V790,'Shuttle Bids'!V842)</f>
        <v>-298.66666666666669</v>
      </c>
      <c r="BI57" s="100">
        <f>AVERAGE('Shuttle Bids'!X737,'Shuttle Bids'!X789,'Shuttle Bids'!X841)</f>
        <v>-225</v>
      </c>
      <c r="BJ57" s="100">
        <f>AVERAGE('Shuttle Bids'!Y737,'Shuttle Bids'!Y789,'Shuttle Bids'!Y841)</f>
        <v>-233.33333333333334</v>
      </c>
      <c r="BK57" s="78">
        <f>AVERAGE('Shuttle Bids'!Z737,'Shuttle Bids'!Z789,'Shuttle Bids'!Z841)</f>
        <v>-245.83333333333334</v>
      </c>
      <c r="BL57" s="12">
        <v>17</v>
      </c>
      <c r="BM57" s="100"/>
      <c r="BN57" s="100">
        <f>AVERAGE('Shuttle Bids'!AC737,'Shuttle Bids'!AC789,'Shuttle Bids'!AC841)</f>
        <v>-150</v>
      </c>
      <c r="BO57" s="78">
        <f>AVERAGE('Shuttle Bids'!AD737,'Shuttle Bids'!AD789,'Shuttle Bids'!AD841)</f>
        <v>-150</v>
      </c>
      <c r="BP57" s="100"/>
      <c r="BQ57" s="100">
        <f>AVERAGE('Shuttle Bids'!AG737,'Shuttle Bids'!AG789,'Shuttle Bids'!AG841)</f>
        <v>-225</v>
      </c>
      <c r="BR57" s="78">
        <f>AVERAGE('Shuttle Bids'!AH737,'Shuttle Bids'!AH789,'Shuttle Bids'!AH841)</f>
        <v>-225</v>
      </c>
      <c r="BS57" s="100">
        <f>AVERAGE('Shuttle Bids'!AJ737,'Shuttle Bids'!AJ789,'Shuttle Bids'!AJ841)</f>
        <v>-200</v>
      </c>
      <c r="BT57" s="100">
        <f>AVERAGE('Shuttle Bids'!AK737,'Shuttle Bids'!AK789,'Shuttle Bids'!AK841)</f>
        <v>-175</v>
      </c>
      <c r="BU57" s="78">
        <f>AVERAGE('Shuttle Bids'!AL737,'Shuttle Bids'!AL789,'Shuttle Bids'!AL841)</f>
        <v>-183.33333333333334</v>
      </c>
      <c r="BV57" s="80"/>
    </row>
    <row r="58" spans="1:74" x14ac:dyDescent="0.25">
      <c r="A58" s="12">
        <v>18</v>
      </c>
      <c r="B58" s="100"/>
      <c r="C58" s="100"/>
      <c r="D58" s="85"/>
      <c r="E58" s="85"/>
      <c r="F58" s="85"/>
      <c r="G58" s="85"/>
      <c r="H58" s="85"/>
      <c r="I58" s="85"/>
      <c r="J58" s="85"/>
      <c r="K58" s="12">
        <v>18</v>
      </c>
      <c r="L58" s="100"/>
      <c r="M58" s="100"/>
      <c r="N58" s="85"/>
      <c r="O58" s="106">
        <f>AVERAGE('Non-shuttle Bids'!T843,'Non-shuttle Bids'!T739,'Non-shuttle Bids'!T791)</f>
        <v>14.333333333333334</v>
      </c>
      <c r="P58" s="106">
        <f>AVERAGE('Non-shuttle Bids'!U843,'Non-shuttle Bids'!U739,'Non-shuttle Bids'!U791)</f>
        <v>4</v>
      </c>
      <c r="Q58" s="107">
        <f>AVERAGE('Non-shuttle Bids'!V843,'Non-shuttle Bids'!V739,'Non-shuttle Bids'!V791)</f>
        <v>9.1666666666666661</v>
      </c>
      <c r="R58" s="106">
        <f>AVERAGE('Non-shuttle Bids'!X738,'Non-shuttle Bids'!X842,'Non-shuttle Bids'!X790)</f>
        <v>75</v>
      </c>
      <c r="S58" s="106">
        <f>AVERAGE('Non-shuttle Bids'!Y738,'Non-shuttle Bids'!Y842,'Non-shuttle Bids'!Y790)</f>
        <v>15</v>
      </c>
      <c r="T58" s="107">
        <f>AVERAGE('Non-shuttle Bids'!Z738,'Non-shuttle Bids'!Z842,'Non-shuttle Bids'!Z790)</f>
        <v>45</v>
      </c>
      <c r="U58" s="12">
        <v>18</v>
      </c>
      <c r="V58" s="100">
        <f>AVERAGE('Non-shuttle Bids'!AB738,'Non-shuttle Bids'!AB842,'Non-shuttle Bids'!AB790)</f>
        <v>100</v>
      </c>
      <c r="W58" s="100"/>
      <c r="X58" s="83">
        <f>AVERAGE('Non-shuttle Bids'!AD738,'Non-shuttle Bids'!AD842,'Non-shuttle Bids'!AD790)</f>
        <v>100</v>
      </c>
      <c r="Y58" s="100"/>
      <c r="Z58" s="100"/>
      <c r="AA58" s="83"/>
      <c r="AB58" s="100"/>
      <c r="AC58" s="100"/>
      <c r="AD58" s="83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R58" s="12"/>
      <c r="AS58" s="12"/>
      <c r="AT58" s="12"/>
      <c r="AU58" s="84"/>
      <c r="AY58" s="49"/>
      <c r="AZ58" s="49"/>
      <c r="BA58" s="49"/>
      <c r="BB58" s="12">
        <v>18</v>
      </c>
      <c r="BC58" s="49"/>
      <c r="BD58" s="49"/>
      <c r="BE58" s="49"/>
      <c r="BF58" s="100">
        <f>AVERAGE('Shuttle Bids'!T739,'Shuttle Bids'!T791,'Shuttle Bids'!T843)</f>
        <v>-223</v>
      </c>
      <c r="BG58" s="100">
        <f>AVERAGE('Shuttle Bids'!U739,'Shuttle Bids'!U791,'Shuttle Bids'!U843)</f>
        <v>-251.33333333333334</v>
      </c>
      <c r="BH58" s="78">
        <f>AVERAGE('Shuttle Bids'!V739,'Shuttle Bids'!V791,'Shuttle Bids'!V843)</f>
        <v>-237.16666666666666</v>
      </c>
      <c r="BI58" s="100">
        <f>AVERAGE('Shuttle Bids'!X738,'Shuttle Bids'!X790,'Shuttle Bids'!X842)</f>
        <v>-262.5</v>
      </c>
      <c r="BJ58" s="100">
        <f>AVERAGE('Shuttle Bids'!Y738,'Shuttle Bids'!Y790,'Shuttle Bids'!Y842)</f>
        <v>-258.33333333333331</v>
      </c>
      <c r="BK58" s="78">
        <f>AVERAGE('Shuttle Bids'!Z738,'Shuttle Bids'!Z790,'Shuttle Bids'!Z842)</f>
        <v>-275</v>
      </c>
      <c r="BL58" s="12">
        <v>18</v>
      </c>
      <c r="BM58" s="100">
        <f>AVERAGE('Shuttle Bids'!AB738,'Shuttle Bids'!AB790,'Shuttle Bids'!AB842)</f>
        <v>-250</v>
      </c>
      <c r="BN58" s="100">
        <f>AVERAGE('Shuttle Bids'!AC738,'Shuttle Bids'!AC790,'Shuttle Bids'!AC842)</f>
        <v>-175</v>
      </c>
      <c r="BO58" s="78">
        <f>AVERAGE('Shuttle Bids'!AD738,'Shuttle Bids'!AD790,'Shuttle Bids'!AD842)</f>
        <v>-212.5</v>
      </c>
      <c r="BP58" s="100"/>
      <c r="BQ58" s="100">
        <f>AVERAGE('Shuttle Bids'!AG738,'Shuttle Bids'!AG790,'Shuttle Bids'!AG842)</f>
        <v>-237.5</v>
      </c>
      <c r="BR58" s="78">
        <f>AVERAGE('Shuttle Bids'!AH738,'Shuttle Bids'!AH790,'Shuttle Bids'!AH842)</f>
        <v>-237.5</v>
      </c>
      <c r="BS58" s="100">
        <f>AVERAGE('Shuttle Bids'!AJ738,'Shuttle Bids'!AJ790,'Shuttle Bids'!AJ842)</f>
        <v>-100</v>
      </c>
      <c r="BT58" s="100">
        <f>AVERAGE('Shuttle Bids'!AK738,'Shuttle Bids'!AK790,'Shuttle Bids'!AK842)</f>
        <v>-25</v>
      </c>
      <c r="BU58" s="78">
        <f>AVERAGE('Shuttle Bids'!AL738,'Shuttle Bids'!AL790,'Shuttle Bids'!AL842)</f>
        <v>-50</v>
      </c>
      <c r="BV58" s="80"/>
    </row>
    <row r="59" spans="1:74" x14ac:dyDescent="0.25">
      <c r="A59" s="12">
        <v>19</v>
      </c>
      <c r="B59" s="100"/>
      <c r="C59" s="100"/>
      <c r="D59" s="85"/>
      <c r="E59" s="85"/>
      <c r="F59" s="85"/>
      <c r="G59" s="85"/>
      <c r="H59" s="85"/>
      <c r="I59" s="85"/>
      <c r="J59" s="85"/>
      <c r="K59" s="12">
        <v>19</v>
      </c>
      <c r="L59" s="100"/>
      <c r="M59" s="100"/>
      <c r="N59" s="85"/>
      <c r="O59" s="106">
        <f>AVERAGE('Non-shuttle Bids'!T844,'Non-shuttle Bids'!T740,'Non-shuttle Bids'!T792)</f>
        <v>15.666666666666666</v>
      </c>
      <c r="P59" s="106">
        <f>AVERAGE('Non-shuttle Bids'!U844,'Non-shuttle Bids'!U740,'Non-shuttle Bids'!U792)</f>
        <v>-6.5</v>
      </c>
      <c r="Q59" s="107">
        <f>AVERAGE('Non-shuttle Bids'!V844,'Non-shuttle Bids'!V740,'Non-shuttle Bids'!V792)</f>
        <v>9.3333333333333339</v>
      </c>
      <c r="R59" s="106">
        <f>AVERAGE('Non-shuttle Bids'!X739,'Non-shuttle Bids'!X843,'Non-shuttle Bids'!X791)</f>
        <v>33.333333333333336</v>
      </c>
      <c r="S59" s="106">
        <f>AVERAGE('Non-shuttle Bids'!Y739,'Non-shuttle Bids'!Y843,'Non-shuttle Bids'!Y791)</f>
        <v>6.5</v>
      </c>
      <c r="T59" s="107">
        <f>AVERAGE('Non-shuttle Bids'!Z739,'Non-shuttle Bids'!Z843,'Non-shuttle Bids'!Z791)</f>
        <v>23</v>
      </c>
      <c r="U59" s="12">
        <v>19</v>
      </c>
      <c r="V59" s="100">
        <f>AVERAGE('Non-shuttle Bids'!AB739,'Non-shuttle Bids'!AB843,'Non-shuttle Bids'!AB791)</f>
        <v>100</v>
      </c>
      <c r="W59" s="100"/>
      <c r="X59" s="83">
        <f>AVERAGE('Non-shuttle Bids'!AD739,'Non-shuttle Bids'!AD843,'Non-shuttle Bids'!AD791)</f>
        <v>100</v>
      </c>
      <c r="Y59" s="100"/>
      <c r="Z59" s="100"/>
      <c r="AA59" s="83"/>
      <c r="AB59" s="100"/>
      <c r="AC59" s="100"/>
      <c r="AD59" s="83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R59" s="12"/>
      <c r="AS59" s="12"/>
      <c r="AT59" s="12"/>
      <c r="AU59" s="84"/>
      <c r="AY59" s="49"/>
      <c r="AZ59" s="49"/>
      <c r="BA59" s="49"/>
      <c r="BB59" s="12">
        <v>19</v>
      </c>
      <c r="BC59" s="49"/>
      <c r="BD59" s="49"/>
      <c r="BE59" s="49"/>
      <c r="BF59" s="100">
        <f>AVERAGE('Shuttle Bids'!T740,'Shuttle Bids'!T792,'Shuttle Bids'!T844)</f>
        <v>-102</v>
      </c>
      <c r="BG59" s="100">
        <f>AVERAGE('Shuttle Bids'!U740,'Shuttle Bids'!U792,'Shuttle Bids'!U844)</f>
        <v>-253</v>
      </c>
      <c r="BH59" s="78">
        <f>AVERAGE('Shuttle Bids'!V740,'Shuttle Bids'!V792,'Shuttle Bids'!V844)</f>
        <v>-177.5</v>
      </c>
      <c r="BI59" s="100">
        <f>AVERAGE('Shuttle Bids'!X739,'Shuttle Bids'!X791,'Shuttle Bids'!X843)</f>
        <v>-341.5</v>
      </c>
      <c r="BJ59" s="100">
        <f>AVERAGE('Shuttle Bids'!Y739,'Shuttle Bids'!Y791,'Shuttle Bids'!Y843)</f>
        <v>-291.66666666666669</v>
      </c>
      <c r="BK59" s="78">
        <f>AVERAGE('Shuttle Bids'!Z739,'Shuttle Bids'!Z791,'Shuttle Bids'!Z843)</f>
        <v>-284.66666666666669</v>
      </c>
      <c r="BL59" s="12">
        <v>19</v>
      </c>
      <c r="BM59" s="100">
        <f>AVERAGE('Shuttle Bids'!AB739,'Shuttle Bids'!AB791,'Shuttle Bids'!AB843)</f>
        <v>-400</v>
      </c>
      <c r="BN59" s="100">
        <f>AVERAGE('Shuttle Bids'!AC739,'Shuttle Bids'!AC791,'Shuttle Bids'!AC843)</f>
        <v>-213</v>
      </c>
      <c r="BO59" s="78">
        <f>AVERAGE('Shuttle Bids'!AD739,'Shuttle Bids'!AD791,'Shuttle Bids'!AD843)</f>
        <v>-306.5</v>
      </c>
      <c r="BP59" s="100"/>
      <c r="BQ59" s="100">
        <f>AVERAGE('Shuttle Bids'!AG739,'Shuttle Bids'!AG791,'Shuttle Bids'!AG843)</f>
        <v>-256.5</v>
      </c>
      <c r="BR59" s="78">
        <f>AVERAGE('Shuttle Bids'!AH739,'Shuttle Bids'!AH791,'Shuttle Bids'!AH843)</f>
        <v>-256.5</v>
      </c>
      <c r="BS59" s="100">
        <f>AVERAGE('Shuttle Bids'!AJ739,'Shuttle Bids'!AJ791,'Shuttle Bids'!AJ843)</f>
        <v>-200</v>
      </c>
      <c r="BT59" s="100">
        <f>AVERAGE('Shuttle Bids'!AK739,'Shuttle Bids'!AK791,'Shuttle Bids'!AK843)</f>
        <v>-131.5</v>
      </c>
      <c r="BU59" s="78">
        <f>AVERAGE('Shuttle Bids'!AL739,'Shuttle Bids'!AL791,'Shuttle Bids'!AL843)</f>
        <v>-154.33333333333334</v>
      </c>
      <c r="BV59" s="80"/>
    </row>
    <row r="60" spans="1:74" x14ac:dyDescent="0.25">
      <c r="A60" s="12">
        <v>20</v>
      </c>
      <c r="B60" s="100"/>
      <c r="C60" s="100"/>
      <c r="D60" s="85"/>
      <c r="E60" s="85"/>
      <c r="F60" s="85"/>
      <c r="G60" s="85"/>
      <c r="H60" s="85"/>
      <c r="I60" s="85"/>
      <c r="J60" s="85"/>
      <c r="K60" s="12">
        <v>20</v>
      </c>
      <c r="L60" s="100"/>
      <c r="M60" s="100"/>
      <c r="N60" s="85"/>
      <c r="O60" s="106"/>
      <c r="P60" s="106"/>
      <c r="Q60" s="106"/>
      <c r="R60" s="106">
        <f>AVERAGE('Non-shuttle Bids'!X740,'Non-shuttle Bids'!X844,'Non-shuttle Bids'!X792)</f>
        <v>30.666666666666668</v>
      </c>
      <c r="S60" s="106">
        <f>AVERAGE('Non-shuttle Bids'!Y740,'Non-shuttle Bids'!Y844,'Non-shuttle Bids'!Y792)</f>
        <v>6.5</v>
      </c>
      <c r="T60" s="107">
        <f>AVERAGE('Non-shuttle Bids'!Z740,'Non-shuttle Bids'!Z844,'Non-shuttle Bids'!Z792)</f>
        <v>21.666666666666668</v>
      </c>
      <c r="U60" s="12">
        <v>20</v>
      </c>
      <c r="V60" s="100">
        <f>AVERAGE('Non-shuttle Bids'!AB740,'Non-shuttle Bids'!AB844,'Non-shuttle Bids'!AB792)</f>
        <v>50</v>
      </c>
      <c r="W60" s="100"/>
      <c r="X60" s="83">
        <f>AVERAGE('Non-shuttle Bids'!AD740,'Non-shuttle Bids'!AD844,'Non-shuttle Bids'!AD792)</f>
        <v>50</v>
      </c>
      <c r="Y60" s="100"/>
      <c r="Z60" s="100"/>
      <c r="AA60" s="83"/>
      <c r="AB60" s="100"/>
      <c r="AC60" s="100"/>
      <c r="AD60" s="83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R60" s="12"/>
      <c r="AS60" s="12"/>
      <c r="AT60" s="12"/>
      <c r="AU60" s="84"/>
      <c r="AY60" s="49"/>
      <c r="AZ60" s="49"/>
      <c r="BA60" s="49"/>
      <c r="BB60" s="12">
        <v>20</v>
      </c>
      <c r="BC60" s="49"/>
      <c r="BD60" s="49"/>
      <c r="BE60" s="49"/>
      <c r="BF60" s="100"/>
      <c r="BG60" s="100"/>
      <c r="BH60" s="100"/>
      <c r="BI60" s="100">
        <f>AVERAGE('Shuttle Bids'!X740,'Shuttle Bids'!X792,'Shuttle Bids'!X844)</f>
        <v>-310.5</v>
      </c>
      <c r="BJ60" s="100">
        <f>AVERAGE('Shuttle Bids'!Y740,'Shuttle Bids'!Y792,'Shuttle Bids'!Y844)</f>
        <v>-329.33333333333331</v>
      </c>
      <c r="BK60" s="78">
        <f>AVERAGE('Shuttle Bids'!Z740,'Shuttle Bids'!Z792,'Shuttle Bids'!Z844)</f>
        <v>-293.16666666666669</v>
      </c>
      <c r="BL60" s="12">
        <v>20</v>
      </c>
      <c r="BM60" s="100">
        <f>AVERAGE('Shuttle Bids'!AB740,'Shuttle Bids'!AB792,'Shuttle Bids'!AB844)</f>
        <v>-400</v>
      </c>
      <c r="BN60" s="100">
        <f>AVERAGE('Shuttle Bids'!AC740,'Shuttle Bids'!AC792,'Shuttle Bids'!AC844)</f>
        <v>-250</v>
      </c>
      <c r="BO60" s="78">
        <f>AVERAGE('Shuttle Bids'!AD740,'Shuttle Bids'!AD792,'Shuttle Bids'!AD844)</f>
        <v>-250</v>
      </c>
      <c r="BP60" s="100">
        <f>AVERAGE('Shuttle Bids'!AF740,'Shuttle Bids'!AF792,'Shuttle Bids'!AF844)</f>
        <v>-400</v>
      </c>
      <c r="BQ60" s="100">
        <f>AVERAGE('Shuttle Bids'!AG740,'Shuttle Bids'!AG792,'Shuttle Bids'!AG844)</f>
        <v>-291.66666666666669</v>
      </c>
      <c r="BR60" s="78">
        <f>AVERAGE('Shuttle Bids'!AH740,'Shuttle Bids'!AH792,'Shuttle Bids'!AH844)</f>
        <v>-308.33333333333331</v>
      </c>
      <c r="BS60" s="100"/>
      <c r="BT60" s="100">
        <f>AVERAGE('Shuttle Bids'!AK740,'Shuttle Bids'!AK792,'Shuttle Bids'!AK844)</f>
        <v>-225</v>
      </c>
      <c r="BU60" s="78">
        <f>AVERAGE('Shuttle Bids'!AL740,'Shuttle Bids'!AL792,'Shuttle Bids'!AL844)</f>
        <v>-225</v>
      </c>
      <c r="BV60" s="80"/>
    </row>
    <row r="61" spans="1:74" x14ac:dyDescent="0.25">
      <c r="A61" s="12">
        <v>21</v>
      </c>
      <c r="B61" s="100"/>
      <c r="C61" s="100"/>
      <c r="D61" s="85"/>
      <c r="E61" s="85"/>
      <c r="F61" s="85"/>
      <c r="G61" s="85"/>
      <c r="H61" s="85"/>
      <c r="I61" s="85"/>
      <c r="J61" s="85"/>
      <c r="K61" s="12">
        <v>21</v>
      </c>
      <c r="L61" s="100"/>
      <c r="M61" s="100"/>
      <c r="N61" s="85"/>
      <c r="O61" s="108"/>
      <c r="P61" s="108"/>
      <c r="Q61" s="108"/>
      <c r="R61" s="106">
        <f>AVERAGE('Non-shuttle Bids'!X741,'Non-shuttle Bids'!X845,'Non-shuttle Bids'!X793)</f>
        <v>18.666666666666668</v>
      </c>
      <c r="S61" s="106">
        <f>AVERAGE('Non-shuttle Bids'!Y741,'Non-shuttle Bids'!Y845,'Non-shuttle Bids'!Y793)</f>
        <v>5.666666666666667</v>
      </c>
      <c r="T61" s="107">
        <f>AVERAGE('Non-shuttle Bids'!Z741,'Non-shuttle Bids'!Z845,'Non-shuttle Bids'!Z793)</f>
        <v>12.166666666666666</v>
      </c>
      <c r="U61" s="12">
        <v>21</v>
      </c>
      <c r="V61" s="100">
        <f>AVERAGE('Non-shuttle Bids'!AB741,'Non-shuttle Bids'!AB845,'Non-shuttle Bids'!AB793)</f>
        <v>33.333333333333336</v>
      </c>
      <c r="W61" s="100"/>
      <c r="X61" s="83">
        <f>AVERAGE('Non-shuttle Bids'!AD741,'Non-shuttle Bids'!AD845,'Non-shuttle Bids'!AD793)</f>
        <v>33.333333333333336</v>
      </c>
      <c r="Y61" s="100"/>
      <c r="Z61" s="100"/>
      <c r="AA61" s="83"/>
      <c r="AB61" s="100"/>
      <c r="AC61" s="100"/>
      <c r="AD61" s="83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R61" s="12"/>
      <c r="AS61" s="12"/>
      <c r="AT61" s="12"/>
      <c r="AU61" s="84"/>
      <c r="AY61" s="49"/>
      <c r="AZ61" s="49"/>
      <c r="BA61" s="49"/>
      <c r="BB61" s="12">
        <v>21</v>
      </c>
      <c r="BC61" s="49"/>
      <c r="BD61" s="49"/>
      <c r="BE61" s="49"/>
      <c r="BF61" s="100"/>
      <c r="BG61" s="100"/>
      <c r="BH61" s="100"/>
      <c r="BI61" s="100">
        <f>AVERAGE('Shuttle Bids'!X741,'Shuttle Bids'!X793,'Shuttle Bids'!X845)</f>
        <v>-125.33333333333333</v>
      </c>
      <c r="BJ61" s="100">
        <f>AVERAGE('Shuttle Bids'!Y741,'Shuttle Bids'!Y793,'Shuttle Bids'!Y845)</f>
        <v>-287.66666666666669</v>
      </c>
      <c r="BK61" s="78">
        <f>AVERAGE('Shuttle Bids'!Z741,'Shuttle Bids'!Z793,'Shuttle Bids'!Z845)</f>
        <v>-206.5</v>
      </c>
      <c r="BL61" s="12">
        <v>21</v>
      </c>
      <c r="BM61" s="100">
        <f>AVERAGE('Shuttle Bids'!AB741,'Shuttle Bids'!AB793,'Shuttle Bids'!AB845)</f>
        <v>-400</v>
      </c>
      <c r="BN61" s="100">
        <f>AVERAGE('Shuttle Bids'!AC741,'Shuttle Bids'!AC793,'Shuttle Bids'!AC845)</f>
        <v>-266.66666666666669</v>
      </c>
      <c r="BO61" s="78">
        <f>AVERAGE('Shuttle Bids'!AD741,'Shuttle Bids'!AD793,'Shuttle Bids'!AD845)</f>
        <v>-270.83333333333331</v>
      </c>
      <c r="BP61" s="100"/>
      <c r="BQ61" s="100">
        <f>AVERAGE('Shuttle Bids'!AG741,'Shuttle Bids'!AG793,'Shuttle Bids'!AG845)</f>
        <v>-283.33333333333331</v>
      </c>
      <c r="BR61" s="78">
        <f>AVERAGE('Shuttle Bids'!AH741,'Shuttle Bids'!AH793,'Shuttle Bids'!AH845)</f>
        <v>-283.33333333333331</v>
      </c>
      <c r="BS61" s="100"/>
      <c r="BT61" s="100">
        <f>AVERAGE('Shuttle Bids'!AK741,'Shuttle Bids'!AK793,'Shuttle Bids'!AK845)</f>
        <v>-208.33333333333334</v>
      </c>
      <c r="BU61" s="78">
        <f>AVERAGE('Shuttle Bids'!AL741,'Shuttle Bids'!AL793,'Shuttle Bids'!AL845)</f>
        <v>-208.33333333333334</v>
      </c>
      <c r="BV61" s="80"/>
    </row>
    <row r="62" spans="1:74" x14ac:dyDescent="0.25">
      <c r="A62" s="12">
        <v>22</v>
      </c>
      <c r="B62" s="100"/>
      <c r="C62" s="100"/>
      <c r="D62" s="85"/>
      <c r="E62" s="85"/>
      <c r="F62" s="85"/>
      <c r="G62" s="85"/>
      <c r="H62" s="85"/>
      <c r="I62" s="85"/>
      <c r="J62" s="85"/>
      <c r="K62" s="12">
        <v>22</v>
      </c>
      <c r="L62" s="12"/>
      <c r="M62" s="100"/>
      <c r="N62" s="85"/>
      <c r="O62" s="100"/>
      <c r="P62" s="100"/>
      <c r="Q62" s="100"/>
      <c r="R62" s="106">
        <f>AVERAGE('Non-shuttle Bids'!X742,'Non-shuttle Bids'!X846,'Non-shuttle Bids'!X794)</f>
        <v>21</v>
      </c>
      <c r="S62" s="106">
        <f>AVERAGE('Non-shuttle Bids'!Y742,'Non-shuttle Bids'!Y846,'Non-shuttle Bids'!Y794)</f>
        <v>11.666666666666666</v>
      </c>
      <c r="T62" s="107">
        <f>AVERAGE('Non-shuttle Bids'!Z742,'Non-shuttle Bids'!Z846,'Non-shuttle Bids'!Z794)</f>
        <v>16.333333333333332</v>
      </c>
      <c r="U62" s="12">
        <v>22</v>
      </c>
      <c r="V62" s="100">
        <f>AVERAGE('Non-shuttle Bids'!AB742,'Non-shuttle Bids'!AB846,'Non-shuttle Bids'!AB794)</f>
        <v>33.333333333333336</v>
      </c>
      <c r="W62" s="100">
        <f>AVERAGE('Non-shuttle Bids'!AC742,'Non-shuttle Bids'!AC846,'Non-shuttle Bids'!AC794)</f>
        <v>25</v>
      </c>
      <c r="X62" s="83">
        <f>AVERAGE('Non-shuttle Bids'!AD742,'Non-shuttle Bids'!AD846,'Non-shuttle Bids'!AD794)</f>
        <v>25</v>
      </c>
      <c r="Y62" s="100"/>
      <c r="Z62" s="100"/>
      <c r="AA62" s="83"/>
      <c r="AB62" s="100"/>
      <c r="AC62" s="100"/>
      <c r="AD62" s="83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R62" s="12"/>
      <c r="AS62" s="12"/>
      <c r="AT62" s="12"/>
      <c r="AU62" s="84"/>
      <c r="AY62" s="49"/>
      <c r="AZ62" s="49"/>
      <c r="BA62" s="49"/>
      <c r="BB62" s="12">
        <v>22</v>
      </c>
      <c r="BC62" s="49"/>
      <c r="BD62" s="49"/>
      <c r="BE62" s="49"/>
      <c r="BF62" s="49"/>
      <c r="BG62" s="49"/>
      <c r="BH62" s="49"/>
      <c r="BI62" s="100">
        <f>AVERAGE('Shuttle Bids'!X742,'Shuttle Bids'!X794,'Shuttle Bids'!X846)</f>
        <v>-150</v>
      </c>
      <c r="BJ62" s="100">
        <f>AVERAGE('Shuttle Bids'!Y742,'Shuttle Bids'!Y794,'Shuttle Bids'!Y846)</f>
        <v>-267.66666666666669</v>
      </c>
      <c r="BK62" s="78">
        <f>AVERAGE('Shuttle Bids'!Z742,'Shuttle Bids'!Z794,'Shuttle Bids'!Z846)</f>
        <v>-208.83333333333334</v>
      </c>
      <c r="BL62" s="12">
        <v>22</v>
      </c>
      <c r="BM62" s="100"/>
      <c r="BN62" s="100">
        <f>AVERAGE('Shuttle Bids'!AC742,'Shuttle Bids'!AC794,'Shuttle Bids'!AC846)</f>
        <v>-266.66666666666669</v>
      </c>
      <c r="BO62" s="78">
        <f>AVERAGE('Shuttle Bids'!AD742,'Shuttle Bids'!AD794,'Shuttle Bids'!AD846)</f>
        <v>-266.66666666666669</v>
      </c>
      <c r="BP62" s="100"/>
      <c r="BQ62" s="100">
        <f>AVERAGE('Shuttle Bids'!AG742,'Shuttle Bids'!AG794,'Shuttle Bids'!AG846)</f>
        <v>-275</v>
      </c>
      <c r="BR62" s="78">
        <f>AVERAGE('Shuttle Bids'!AH742,'Shuttle Bids'!AH794,'Shuttle Bids'!AH846)</f>
        <v>-275</v>
      </c>
      <c r="BS62" s="100">
        <f>AVERAGE('Shuttle Bids'!AJ742,'Shuttle Bids'!AJ794,'Shuttle Bids'!AJ846)</f>
        <v>300</v>
      </c>
      <c r="BT62" s="100">
        <f>AVERAGE('Shuttle Bids'!AK742,'Shuttle Bids'!AK794,'Shuttle Bids'!AK846)</f>
        <v>-208.33333333333334</v>
      </c>
      <c r="BU62" s="78">
        <f>AVERAGE('Shuttle Bids'!AL742,'Shuttle Bids'!AL794,'Shuttle Bids'!AL846)</f>
        <v>-116.66666666666667</v>
      </c>
      <c r="BV62" s="80"/>
    </row>
    <row r="63" spans="1:74" x14ac:dyDescent="0.25">
      <c r="A63" s="12">
        <v>23</v>
      </c>
      <c r="B63" s="100"/>
      <c r="C63" s="100"/>
      <c r="D63" s="85"/>
      <c r="E63" s="85"/>
      <c r="F63" s="85"/>
      <c r="G63" s="85"/>
      <c r="H63" s="85"/>
      <c r="I63" s="85"/>
      <c r="J63" s="85"/>
      <c r="K63" s="12">
        <v>23</v>
      </c>
      <c r="L63" s="12"/>
      <c r="M63" s="100"/>
      <c r="N63" s="85"/>
      <c r="O63" s="100"/>
      <c r="P63" s="100"/>
      <c r="Q63" s="100"/>
      <c r="R63" s="106">
        <f>AVERAGE('Non-shuttle Bids'!X743,'Non-shuttle Bids'!X847,'Non-shuttle Bids'!X795)</f>
        <v>14</v>
      </c>
      <c r="S63" s="106">
        <f>AVERAGE('Non-shuttle Bids'!Y743,'Non-shuttle Bids'!Y847,'Non-shuttle Bids'!Y795)</f>
        <v>16.666666666666668</v>
      </c>
      <c r="T63" s="107">
        <f>AVERAGE('Non-shuttle Bids'!Z743,'Non-shuttle Bids'!Z847,'Non-shuttle Bids'!Z795)</f>
        <v>15.333333333333334</v>
      </c>
      <c r="U63" s="12">
        <v>23</v>
      </c>
      <c r="V63" s="100">
        <f>AVERAGE('Non-shuttle Bids'!AB743,'Non-shuttle Bids'!AB847,'Non-shuttle Bids'!AB795)</f>
        <v>33.333333333333336</v>
      </c>
      <c r="W63" s="100">
        <f>AVERAGE('Non-shuttle Bids'!AC743,'Non-shuttle Bids'!AC847,'Non-shuttle Bids'!AC795)</f>
        <v>12.5</v>
      </c>
      <c r="X63" s="83">
        <f>AVERAGE('Non-shuttle Bids'!AD743,'Non-shuttle Bids'!AD847,'Non-shuttle Bids'!AD795)</f>
        <v>20.833333333333332</v>
      </c>
      <c r="Y63" s="100"/>
      <c r="Z63" s="100">
        <f>AVERAGE('Non-shuttle Bids'!AG743,'Non-shuttle Bids'!AG795,'Non-shuttle Bids'!AG847)</f>
        <v>25</v>
      </c>
      <c r="AA63" s="83">
        <f>AVERAGE('Non-shuttle Bids'!AH743,'Non-shuttle Bids'!AH795,'Non-shuttle Bids'!AH847)</f>
        <v>25</v>
      </c>
      <c r="AB63" s="100"/>
      <c r="AC63" s="100"/>
      <c r="AD63" s="83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R63" s="12"/>
      <c r="AS63" s="12"/>
      <c r="AT63" s="12"/>
      <c r="AU63" s="84"/>
      <c r="AY63" s="49"/>
      <c r="AZ63" s="49"/>
      <c r="BA63" s="49"/>
      <c r="BB63" s="12">
        <v>23</v>
      </c>
      <c r="BC63" s="49"/>
      <c r="BD63" s="49"/>
      <c r="BE63" s="49"/>
      <c r="BF63" s="49"/>
      <c r="BG63" s="49"/>
      <c r="BH63" s="49"/>
      <c r="BI63" s="100">
        <f>AVERAGE('Shuttle Bids'!X743,'Shuttle Bids'!X795,'Shuttle Bids'!X847)</f>
        <v>-55.666666666666664</v>
      </c>
      <c r="BJ63" s="100">
        <f>AVERAGE('Shuttle Bids'!Y743,'Shuttle Bids'!Y795,'Shuttle Bids'!Y847)</f>
        <v>-248.66666666666666</v>
      </c>
      <c r="BK63" s="78">
        <f>AVERAGE('Shuttle Bids'!Z743,'Shuttle Bids'!Z795,'Shuttle Bids'!Z847)</f>
        <v>-152.16666666666666</v>
      </c>
      <c r="BL63" s="12">
        <v>23</v>
      </c>
      <c r="BM63" s="100">
        <f>AVERAGE('Shuttle Bids'!AB743,'Shuttle Bids'!AB795,'Shuttle Bids'!AB847)</f>
        <v>-225</v>
      </c>
      <c r="BN63" s="100">
        <f>AVERAGE('Shuttle Bids'!AC743,'Shuttle Bids'!AC795,'Shuttle Bids'!AC847)</f>
        <v>-283.33333333333331</v>
      </c>
      <c r="BO63" s="78">
        <f>AVERAGE('Shuttle Bids'!AD743,'Shuttle Bids'!AD795,'Shuttle Bids'!AD847)</f>
        <v>-266.66666666666669</v>
      </c>
      <c r="BP63" s="100"/>
      <c r="BQ63" s="100">
        <f>AVERAGE('Shuttle Bids'!AG743,'Shuttle Bids'!AG795,'Shuttle Bids'!AG847)</f>
        <v>-241.66666666666666</v>
      </c>
      <c r="BR63" s="78">
        <f>AVERAGE('Shuttle Bids'!AH743,'Shuttle Bids'!AH795,'Shuttle Bids'!AH847)</f>
        <v>-241.66666666666666</v>
      </c>
      <c r="BS63" s="100"/>
      <c r="BT63" s="100">
        <f>AVERAGE('Shuttle Bids'!AK743,'Shuttle Bids'!AK795,'Shuttle Bids'!AK847)</f>
        <v>-208.33333333333334</v>
      </c>
      <c r="BU63" s="78">
        <f>AVERAGE('Shuttle Bids'!AL743,'Shuttle Bids'!AL795,'Shuttle Bids'!AL847)</f>
        <v>-208.33333333333334</v>
      </c>
      <c r="BV63" s="80"/>
    </row>
    <row r="64" spans="1:74" x14ac:dyDescent="0.25">
      <c r="A64" s="12">
        <v>24</v>
      </c>
      <c r="B64" s="100"/>
      <c r="C64" s="100"/>
      <c r="D64" s="85"/>
      <c r="E64" s="85"/>
      <c r="F64" s="85"/>
      <c r="G64" s="85"/>
      <c r="H64" s="85"/>
      <c r="I64" s="85"/>
      <c r="J64" s="85"/>
      <c r="K64" s="12">
        <v>24</v>
      </c>
      <c r="L64" s="12"/>
      <c r="M64" s="100"/>
      <c r="N64" s="85"/>
      <c r="O64" s="100"/>
      <c r="P64" s="100"/>
      <c r="Q64" s="100"/>
      <c r="R64" s="106">
        <f>AVERAGE('Non-shuttle Bids'!X744,'Non-shuttle Bids'!X848,'Non-shuttle Bids'!X796)</f>
        <v>7.666666666666667</v>
      </c>
      <c r="S64" s="106">
        <f>AVERAGE('Non-shuttle Bids'!Y744,'Non-shuttle Bids'!Y848,'Non-shuttle Bids'!Y796)</f>
        <v>5</v>
      </c>
      <c r="T64" s="107">
        <f>AVERAGE('Non-shuttle Bids'!Z744,'Non-shuttle Bids'!Z848,'Non-shuttle Bids'!Z796)</f>
        <v>6.333333333333333</v>
      </c>
      <c r="U64" s="12">
        <v>24</v>
      </c>
      <c r="V64" s="100">
        <f>AVERAGE('Non-shuttle Bids'!AB744,'Non-shuttle Bids'!AB848,'Non-shuttle Bids'!AB796)</f>
        <v>33.333333333333336</v>
      </c>
      <c r="W64" s="100">
        <f>AVERAGE('Non-shuttle Bids'!AC744,'Non-shuttle Bids'!AC848,'Non-shuttle Bids'!AC796)</f>
        <v>18.333333333333332</v>
      </c>
      <c r="X64" s="83">
        <f>AVERAGE('Non-shuttle Bids'!AD744,'Non-shuttle Bids'!AD848,'Non-shuttle Bids'!AD796)</f>
        <v>25.833333333333332</v>
      </c>
      <c r="Y64" s="100"/>
      <c r="Z64" s="100">
        <f>AVERAGE('Non-shuttle Bids'!AG744,'Non-shuttle Bids'!AG796,'Non-shuttle Bids'!AG848)</f>
        <v>25</v>
      </c>
      <c r="AA64" s="83">
        <f>AVERAGE('Non-shuttle Bids'!AH744,'Non-shuttle Bids'!AH796,'Non-shuttle Bids'!AH848)</f>
        <v>25</v>
      </c>
      <c r="AB64" s="100"/>
      <c r="AC64" s="100"/>
      <c r="AD64" s="83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R64" s="12"/>
      <c r="AS64" s="12"/>
      <c r="AT64" s="12"/>
      <c r="AU64" s="84"/>
      <c r="AY64" s="49"/>
      <c r="AZ64" s="49"/>
      <c r="BA64" s="49"/>
      <c r="BB64" s="12">
        <v>24</v>
      </c>
      <c r="BC64" s="49"/>
      <c r="BD64" s="49"/>
      <c r="BE64" s="49"/>
      <c r="BF64" s="49"/>
      <c r="BG64" s="49"/>
      <c r="BH64" s="49"/>
      <c r="BI64" s="100">
        <f>AVERAGE('Shuttle Bids'!X744,'Shuttle Bids'!X796,'Shuttle Bids'!X848)</f>
        <v>-133.33333333333334</v>
      </c>
      <c r="BJ64" s="100">
        <f>AVERAGE('Shuttle Bids'!Y744,'Shuttle Bids'!Y796,'Shuttle Bids'!Y848)</f>
        <v>-358.33333333333331</v>
      </c>
      <c r="BK64" s="78">
        <f>AVERAGE('Shuttle Bids'!Z744,'Shuttle Bids'!Z796,'Shuttle Bids'!Z848)</f>
        <v>-245.83333333333334</v>
      </c>
      <c r="BL64" s="12">
        <v>24</v>
      </c>
      <c r="BM64" s="100">
        <f>AVERAGE('Shuttle Bids'!AB744,'Shuttle Bids'!AB796,'Shuttle Bids'!AB848)</f>
        <v>0</v>
      </c>
      <c r="BN64" s="100">
        <f>AVERAGE('Shuttle Bids'!AC744,'Shuttle Bids'!AC796,'Shuttle Bids'!AC848)</f>
        <v>-280.66666666666669</v>
      </c>
      <c r="BO64" s="78">
        <f>AVERAGE('Shuttle Bids'!AD744,'Shuttle Bids'!AD796,'Shuttle Bids'!AD848)</f>
        <v>-222.33333333333334</v>
      </c>
      <c r="BP64" s="100"/>
      <c r="BQ64" s="100">
        <f>AVERAGE('Shuttle Bids'!AG744,'Shuttle Bids'!AG796,'Shuttle Bids'!AG848)</f>
        <v>-283.33333333333331</v>
      </c>
      <c r="BR64" s="78">
        <f>AVERAGE('Shuttle Bids'!AH744,'Shuttle Bids'!AH796,'Shuttle Bids'!AH848)</f>
        <v>-283.33333333333331</v>
      </c>
      <c r="BS64" s="100"/>
      <c r="BT64" s="100">
        <f>AVERAGE('Shuttle Bids'!AK744,'Shuttle Bids'!AK796,'Shuttle Bids'!AK848)</f>
        <v>-208.33333333333334</v>
      </c>
      <c r="BU64" s="78">
        <f>AVERAGE('Shuttle Bids'!AL744,'Shuttle Bids'!AL796,'Shuttle Bids'!AL848)</f>
        <v>-208.33333333333334</v>
      </c>
      <c r="BV64" s="80"/>
    </row>
    <row r="65" spans="1:74" x14ac:dyDescent="0.25">
      <c r="A65" s="12">
        <v>25</v>
      </c>
      <c r="B65" s="100"/>
      <c r="C65" s="100"/>
      <c r="D65" s="85"/>
      <c r="E65" s="85"/>
      <c r="F65" s="85"/>
      <c r="G65" s="85"/>
      <c r="H65" s="85"/>
      <c r="I65" s="85"/>
      <c r="J65" s="85"/>
      <c r="K65" s="12">
        <v>25</v>
      </c>
      <c r="L65" s="12"/>
      <c r="M65" s="100"/>
      <c r="N65" s="85"/>
      <c r="O65" s="100"/>
      <c r="P65" s="100"/>
      <c r="Q65" s="100"/>
      <c r="R65" s="106">
        <f>AVERAGE('Non-shuttle Bids'!X745,'Non-shuttle Bids'!X849,'Non-shuttle Bids'!X797)</f>
        <v>12.5</v>
      </c>
      <c r="S65" s="106">
        <f>AVERAGE('Non-shuttle Bids'!Y745,'Non-shuttle Bids'!Y849,'Non-shuttle Bids'!Y797)</f>
        <v>0</v>
      </c>
      <c r="T65" s="107">
        <f>AVERAGE('Non-shuttle Bids'!Z745,'Non-shuttle Bids'!Z849,'Non-shuttle Bids'!Z797)</f>
        <v>6.25</v>
      </c>
      <c r="U65" s="12">
        <v>25</v>
      </c>
      <c r="V65" s="100">
        <f>AVERAGE('Non-shuttle Bids'!AB745,'Non-shuttle Bids'!AB849,'Non-shuttle Bids'!AB797)</f>
        <v>12.333333333333334</v>
      </c>
      <c r="W65" s="100">
        <f>AVERAGE('Non-shuttle Bids'!AC745,'Non-shuttle Bids'!AC849,'Non-shuttle Bids'!AC797)</f>
        <v>14.333333333333334</v>
      </c>
      <c r="X65" s="83">
        <f>AVERAGE('Non-shuttle Bids'!AD745,'Non-shuttle Bids'!AD849,'Non-shuttle Bids'!AD797)</f>
        <v>13.333333333333334</v>
      </c>
      <c r="Y65" s="100">
        <f>AVERAGE('Non-shuttle Bids'!AF745,'Non-shuttle Bids'!AF797,'Non-shuttle Bids'!AF849)</f>
        <v>-75</v>
      </c>
      <c r="Z65" s="100">
        <f>AVERAGE('Non-shuttle Bids'!AG745,'Non-shuttle Bids'!AG797,'Non-shuttle Bids'!AG849)</f>
        <v>37.5</v>
      </c>
      <c r="AA65" s="83">
        <f>AVERAGE('Non-shuttle Bids'!AH745,'Non-shuttle Bids'!AH797,'Non-shuttle Bids'!AH849)</f>
        <v>-18.75</v>
      </c>
      <c r="AB65" s="100"/>
      <c r="AC65" s="100"/>
      <c r="AD65" s="83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R65" s="12"/>
      <c r="AS65" s="12"/>
      <c r="AT65" s="12"/>
      <c r="AU65" s="84"/>
      <c r="AY65" s="49"/>
      <c r="AZ65" s="49"/>
      <c r="BA65" s="49"/>
      <c r="BB65" s="12">
        <v>25</v>
      </c>
      <c r="BC65" s="49"/>
      <c r="BD65" s="49"/>
      <c r="BE65" s="49"/>
      <c r="BF65" s="49"/>
      <c r="BG65" s="49"/>
      <c r="BH65" s="49"/>
      <c r="BI65" s="100">
        <f>AVERAGE('Shuttle Bids'!X745,'Shuttle Bids'!X797,'Shuttle Bids'!X849)</f>
        <v>-194</v>
      </c>
      <c r="BJ65" s="100">
        <f>AVERAGE('Shuttle Bids'!Y745,'Shuttle Bids'!Y797,'Shuttle Bids'!Y849)</f>
        <v>-625</v>
      </c>
      <c r="BK65" s="78">
        <f>AVERAGE('Shuttle Bids'!Z745,'Shuttle Bids'!Z797,'Shuttle Bids'!Z849)</f>
        <v>-228.25</v>
      </c>
      <c r="BL65" s="12">
        <v>25</v>
      </c>
      <c r="BM65" s="100">
        <f>AVERAGE('Shuttle Bids'!AB745,'Shuttle Bids'!AB797,'Shuttle Bids'!AB849)</f>
        <v>-265.33333333333331</v>
      </c>
      <c r="BN65" s="100">
        <f>AVERAGE('Shuttle Bids'!AC745,'Shuttle Bids'!AC797,'Shuttle Bids'!AC849)</f>
        <v>-475</v>
      </c>
      <c r="BO65" s="78">
        <f>AVERAGE('Shuttle Bids'!AD745,'Shuttle Bids'!AD797,'Shuttle Bids'!AD849)</f>
        <v>-284</v>
      </c>
      <c r="BP65" s="100">
        <f>AVERAGE('Shuttle Bids'!AF745,'Shuttle Bids'!AF797,'Shuttle Bids'!AF849)</f>
        <v>-200</v>
      </c>
      <c r="BQ65" s="100">
        <f>AVERAGE('Shuttle Bids'!AG745,'Shuttle Bids'!AG797,'Shuttle Bids'!AG849)</f>
        <v>-350</v>
      </c>
      <c r="BR65" s="78">
        <f>AVERAGE('Shuttle Bids'!AH745,'Shuttle Bids'!AH797,'Shuttle Bids'!AH849)</f>
        <v>-300</v>
      </c>
      <c r="BS65" s="100"/>
      <c r="BT65" s="100">
        <f>AVERAGE('Shuttle Bids'!AK745,'Shuttle Bids'!AK797,'Shuttle Bids'!AK849)</f>
        <v>-250</v>
      </c>
      <c r="BU65" s="78">
        <f>AVERAGE('Shuttle Bids'!AL745,'Shuttle Bids'!AL797,'Shuttle Bids'!AL849)</f>
        <v>-250</v>
      </c>
      <c r="BV65" s="80"/>
    </row>
    <row r="66" spans="1:74" x14ac:dyDescent="0.25">
      <c r="A66" s="12">
        <v>26</v>
      </c>
      <c r="B66" s="100"/>
      <c r="C66" s="100"/>
      <c r="D66" s="85"/>
      <c r="E66" s="85"/>
      <c r="F66" s="85"/>
      <c r="G66" s="85"/>
      <c r="H66" s="85"/>
      <c r="I66" s="85"/>
      <c r="J66" s="85"/>
      <c r="K66" s="12"/>
      <c r="L66" s="12"/>
      <c r="M66" s="100"/>
      <c r="N66" s="85"/>
      <c r="O66" s="100"/>
      <c r="P66" s="100"/>
      <c r="Q66" s="100"/>
      <c r="R66" s="106"/>
      <c r="S66" s="106"/>
      <c r="T66" s="106"/>
      <c r="U66" s="12">
        <v>26</v>
      </c>
      <c r="V66" s="100">
        <f>AVERAGE('Non-shuttle Bids'!AB746,'Non-shuttle Bids'!AB850,'Non-shuttle Bids'!AB798)</f>
        <v>3.6666666666666665</v>
      </c>
      <c r="W66" s="100">
        <f>AVERAGE('Non-shuttle Bids'!AC746,'Non-shuttle Bids'!AC850,'Non-shuttle Bids'!AC798)</f>
        <v>8.6666666666666661</v>
      </c>
      <c r="X66" s="83">
        <f>AVERAGE('Non-shuttle Bids'!AD746,'Non-shuttle Bids'!AD850,'Non-shuttle Bids'!AD798)</f>
        <v>6.166666666666667</v>
      </c>
      <c r="Y66" s="100">
        <f>AVERAGE('Non-shuttle Bids'!AF746,'Non-shuttle Bids'!AF798,'Non-shuttle Bids'!AF850)</f>
        <v>0</v>
      </c>
      <c r="Z66" s="100">
        <f>AVERAGE('Non-shuttle Bids'!AG746,'Non-shuttle Bids'!AG798,'Non-shuttle Bids'!AG850)</f>
        <v>37.5</v>
      </c>
      <c r="AA66" s="83">
        <f>AVERAGE('Non-shuttle Bids'!AH746,'Non-shuttle Bids'!AH798,'Non-shuttle Bids'!AH850)</f>
        <v>25</v>
      </c>
      <c r="AB66" s="100"/>
      <c r="AC66" s="100"/>
      <c r="AD66" s="83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R66" s="12"/>
      <c r="AS66" s="12"/>
      <c r="AT66" s="12"/>
      <c r="AU66" s="84"/>
      <c r="AY66" s="49"/>
      <c r="AZ66" s="49"/>
      <c r="BA66" s="49"/>
      <c r="BB66" s="12"/>
      <c r="BC66" s="49"/>
      <c r="BD66" s="49"/>
      <c r="BE66" s="49"/>
      <c r="BF66" s="49"/>
      <c r="BG66" s="49"/>
      <c r="BH66" s="49"/>
      <c r="BI66" s="100"/>
      <c r="BJ66" s="100"/>
      <c r="BK66" s="100"/>
      <c r="BL66" s="12">
        <v>26</v>
      </c>
      <c r="BM66" s="100">
        <f>AVERAGE('Shuttle Bids'!AB746,'Shuttle Bids'!AB798,'Shuttle Bids'!AB850)</f>
        <v>-150.5</v>
      </c>
      <c r="BN66" s="100">
        <f>AVERAGE('Shuttle Bids'!AC746,'Shuttle Bids'!AC798,'Shuttle Bids'!AC850)</f>
        <v>-358.33333333333331</v>
      </c>
      <c r="BO66" s="78">
        <f>AVERAGE('Shuttle Bids'!AD746,'Shuttle Bids'!AD798,'Shuttle Bids'!AD850)</f>
        <v>-316.83333333333331</v>
      </c>
      <c r="BP66" s="100">
        <f>AVERAGE('Shuttle Bids'!AF746,'Shuttle Bids'!AF798,'Shuttle Bids'!AF850)</f>
        <v>-150</v>
      </c>
      <c r="BQ66" s="100">
        <f>AVERAGE('Shuttle Bids'!AG746,'Shuttle Bids'!AG798,'Shuttle Bids'!AG850)</f>
        <v>-383.33333333333331</v>
      </c>
      <c r="BR66" s="78">
        <f>AVERAGE('Shuttle Bids'!AH746,'Shuttle Bids'!AH798,'Shuttle Bids'!AH850)</f>
        <v>-387.5</v>
      </c>
      <c r="BS66" s="100">
        <f>AVERAGE('Shuttle Bids'!AJ746,'Shuttle Bids'!AJ798,'Shuttle Bids'!AJ850)</f>
        <v>0</v>
      </c>
      <c r="BT66" s="100">
        <f>AVERAGE('Shuttle Bids'!AK746,'Shuttle Bids'!AK798,'Shuttle Bids'!AK850)</f>
        <v>-266.66666666666669</v>
      </c>
      <c r="BU66" s="78">
        <f>AVERAGE('Shuttle Bids'!AL746,'Shuttle Bids'!AL798,'Shuttle Bids'!AL850)</f>
        <v>-175</v>
      </c>
      <c r="BV66" s="80"/>
    </row>
    <row r="67" spans="1:74" x14ac:dyDescent="0.25">
      <c r="A67" s="12">
        <v>27</v>
      </c>
      <c r="B67" s="100"/>
      <c r="C67" s="100"/>
      <c r="D67" s="85"/>
      <c r="E67" s="85"/>
      <c r="F67" s="85"/>
      <c r="G67" s="85"/>
      <c r="H67" s="85"/>
      <c r="I67" s="85"/>
      <c r="J67" s="85"/>
      <c r="K67" s="12"/>
      <c r="L67" s="12"/>
      <c r="M67" s="100"/>
      <c r="N67" s="85"/>
      <c r="O67" s="100"/>
      <c r="P67" s="100"/>
      <c r="Q67" s="100"/>
      <c r="R67" s="106"/>
      <c r="S67" s="106"/>
      <c r="T67" s="108"/>
      <c r="U67" s="12">
        <v>27</v>
      </c>
      <c r="V67" s="100">
        <f>AVERAGE('Non-shuttle Bids'!AB747,'Non-shuttle Bids'!AB851,'Non-shuttle Bids'!AB799)</f>
        <v>1</v>
      </c>
      <c r="W67" s="100">
        <f>AVERAGE('Non-shuttle Bids'!AC747,'Non-shuttle Bids'!AC851,'Non-shuttle Bids'!AC799)</f>
        <v>-1</v>
      </c>
      <c r="X67" s="83">
        <f>AVERAGE('Non-shuttle Bids'!AD747,'Non-shuttle Bids'!AD851,'Non-shuttle Bids'!AD799)</f>
        <v>0</v>
      </c>
      <c r="Y67" s="100">
        <f>AVERAGE('Non-shuttle Bids'!AF747,'Non-shuttle Bids'!AF799,'Non-shuttle Bids'!AF851)</f>
        <v>0</v>
      </c>
      <c r="Z67" s="100">
        <f>AVERAGE('Non-shuttle Bids'!AG747,'Non-shuttle Bids'!AG799,'Non-shuttle Bids'!AG851)</f>
        <v>19</v>
      </c>
      <c r="AA67" s="83">
        <f>AVERAGE('Non-shuttle Bids'!AH747,'Non-shuttle Bids'!AH799,'Non-shuttle Bids'!AH851)</f>
        <v>15.75</v>
      </c>
      <c r="AB67" s="100"/>
      <c r="AC67" s="100"/>
      <c r="AD67" s="83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R67" s="12"/>
      <c r="AS67" s="12"/>
      <c r="AT67" s="12"/>
      <c r="AU67" s="84"/>
      <c r="AY67" s="49"/>
      <c r="AZ67" s="49"/>
      <c r="BA67" s="49"/>
      <c r="BB67" s="12"/>
      <c r="BC67" s="49"/>
      <c r="BD67" s="49"/>
      <c r="BE67" s="49"/>
      <c r="BF67" s="49"/>
      <c r="BG67" s="49"/>
      <c r="BH67" s="49"/>
      <c r="BI67" s="49"/>
      <c r="BJ67" s="49"/>
      <c r="BK67" s="49"/>
      <c r="BL67" s="12">
        <v>27</v>
      </c>
      <c r="BM67" s="100">
        <f>AVERAGE('Shuttle Bids'!AB747,'Shuttle Bids'!AB799,'Shuttle Bids'!AB851)</f>
        <v>-216.66666666666666</v>
      </c>
      <c r="BN67" s="100">
        <f>AVERAGE('Shuttle Bids'!AC747,'Shuttle Bids'!AC799,'Shuttle Bids'!AC851)</f>
        <v>-307</v>
      </c>
      <c r="BO67" s="78">
        <f>AVERAGE('Shuttle Bids'!AD747,'Shuttle Bids'!AD799,'Shuttle Bids'!AD851)</f>
        <v>-261.83333333333331</v>
      </c>
      <c r="BP67" s="100"/>
      <c r="BQ67" s="100">
        <f>AVERAGE('Shuttle Bids'!AG747,'Shuttle Bids'!AG799,'Shuttle Bids'!AG851)</f>
        <v>-308.33333333333331</v>
      </c>
      <c r="BR67" s="78">
        <f>AVERAGE('Shuttle Bids'!AH747,'Shuttle Bids'!AH799,'Shuttle Bids'!AH851)</f>
        <v>-308.33333333333331</v>
      </c>
      <c r="BS67" s="100">
        <f>AVERAGE('Shuttle Bids'!AJ747,'Shuttle Bids'!AJ799,'Shuttle Bids'!AJ851)</f>
        <v>-12.5</v>
      </c>
      <c r="BT67" s="100">
        <f>AVERAGE('Shuttle Bids'!AK747,'Shuttle Bids'!AK799,'Shuttle Bids'!AK851)</f>
        <v>-266.66666666666669</v>
      </c>
      <c r="BU67" s="78">
        <f>AVERAGE('Shuttle Bids'!AL747,'Shuttle Bids'!AL799,'Shuttle Bids'!AL851)</f>
        <v>-179.16666666666666</v>
      </c>
      <c r="BV67" s="80"/>
    </row>
    <row r="68" spans="1:74" x14ac:dyDescent="0.25">
      <c r="A68" s="12">
        <v>28</v>
      </c>
      <c r="B68" s="100"/>
      <c r="C68" s="100"/>
      <c r="D68" s="85"/>
      <c r="E68" s="85"/>
      <c r="F68" s="85"/>
      <c r="G68" s="85"/>
      <c r="H68" s="85"/>
      <c r="I68" s="85"/>
      <c r="J68" s="85"/>
      <c r="K68" s="12"/>
      <c r="L68" s="12"/>
      <c r="M68" s="100"/>
      <c r="N68" s="85"/>
      <c r="O68" s="100"/>
      <c r="P68" s="100"/>
      <c r="Q68" s="100"/>
      <c r="R68" s="100"/>
      <c r="S68" s="100"/>
      <c r="T68" s="100"/>
      <c r="U68" s="12">
        <v>28</v>
      </c>
      <c r="V68" s="100">
        <f>AVERAGE('Non-shuttle Bids'!AB748,'Non-shuttle Bids'!AB852,'Non-shuttle Bids'!AB800)</f>
        <v>-4</v>
      </c>
      <c r="W68" s="100">
        <f>AVERAGE('Non-shuttle Bids'!AC748,'Non-shuttle Bids'!AC852,'Non-shuttle Bids'!AC800)</f>
        <v>-4.333333333333333</v>
      </c>
      <c r="X68" s="83">
        <f>AVERAGE('Non-shuttle Bids'!AD748,'Non-shuttle Bids'!AD852,'Non-shuttle Bids'!AD800)</f>
        <v>-4.166666666666667</v>
      </c>
      <c r="Y68" s="100">
        <f>AVERAGE('Non-shuttle Bids'!AF748,'Non-shuttle Bids'!AF800,'Non-shuttle Bids'!AF852)</f>
        <v>13</v>
      </c>
      <c r="Z68" s="100">
        <f>AVERAGE('Non-shuttle Bids'!AG748,'Non-shuttle Bids'!AG800,'Non-shuttle Bids'!AG852)</f>
        <v>19</v>
      </c>
      <c r="AA68" s="83">
        <f>AVERAGE('Non-shuttle Bids'!AH748,'Non-shuttle Bids'!AH800,'Non-shuttle Bids'!AH852)</f>
        <v>19</v>
      </c>
      <c r="AB68" s="100">
        <f>AVERAGE('Non-shuttle Bids'!AJ748,'Non-shuttle Bids'!AJ800,'Non-shuttle Bids'!AJ852)</f>
        <v>100</v>
      </c>
      <c r="AC68" s="100"/>
      <c r="AD68" s="83">
        <f>AVERAGE('Non-shuttle Bids'!AL748,'Non-shuttle Bids'!AL800,'Non-shuttle Bids'!AL852)</f>
        <v>100</v>
      </c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R68" s="12"/>
      <c r="AS68" s="12"/>
      <c r="AT68" s="12"/>
      <c r="AU68" s="84"/>
      <c r="AY68" s="49"/>
      <c r="AZ68" s="49"/>
      <c r="BA68" s="49"/>
      <c r="BB68" s="12"/>
      <c r="BC68" s="49"/>
      <c r="BD68" s="49"/>
      <c r="BE68" s="49"/>
      <c r="BF68" s="49"/>
      <c r="BG68" s="49"/>
      <c r="BH68" s="49"/>
      <c r="BI68" s="49"/>
      <c r="BJ68" s="49"/>
      <c r="BK68" s="49"/>
      <c r="BL68" s="12">
        <v>28</v>
      </c>
      <c r="BM68" s="100">
        <f>AVERAGE('Shuttle Bids'!AB748,'Shuttle Bids'!AB800,'Shuttle Bids'!AB852)</f>
        <v>-260.33333333333331</v>
      </c>
      <c r="BN68" s="100">
        <f>AVERAGE('Shuttle Bids'!AC748,'Shuttle Bids'!AC800,'Shuttle Bids'!AC852)</f>
        <v>-312.66666666666669</v>
      </c>
      <c r="BO68" s="78">
        <f>AVERAGE('Shuttle Bids'!AD748,'Shuttle Bids'!AD800,'Shuttle Bids'!AD852)</f>
        <v>-286.5</v>
      </c>
      <c r="BP68" s="100">
        <f>AVERAGE('Shuttle Bids'!AF748,'Shuttle Bids'!AF800,'Shuttle Bids'!AF852)</f>
        <v>-306.5</v>
      </c>
      <c r="BQ68" s="100">
        <f>AVERAGE('Shuttle Bids'!AG748,'Shuttle Bids'!AG800,'Shuttle Bids'!AG852)</f>
        <v>-266.66666666666669</v>
      </c>
      <c r="BR68" s="78">
        <f>AVERAGE('Shuttle Bids'!AH748,'Shuttle Bids'!AH800,'Shuttle Bids'!AH852)</f>
        <v>-285.5</v>
      </c>
      <c r="BS68" s="100"/>
      <c r="BT68" s="100">
        <f>AVERAGE('Shuttle Bids'!AK748,'Shuttle Bids'!AK800,'Shuttle Bids'!AK852)</f>
        <v>-233.33333333333334</v>
      </c>
      <c r="BU68" s="78">
        <f>AVERAGE('Shuttle Bids'!AL748,'Shuttle Bids'!AL800,'Shuttle Bids'!AL852)</f>
        <v>-233.33333333333334</v>
      </c>
      <c r="BV68" s="80"/>
    </row>
    <row r="69" spans="1:74" x14ac:dyDescent="0.25">
      <c r="A69" s="12">
        <v>29</v>
      </c>
      <c r="B69" s="100"/>
      <c r="C69" s="100"/>
      <c r="D69" s="85"/>
      <c r="E69" s="85"/>
      <c r="F69" s="85"/>
      <c r="G69" s="85"/>
      <c r="H69" s="85"/>
      <c r="I69" s="85"/>
      <c r="J69" s="85"/>
      <c r="K69" s="12"/>
      <c r="L69" s="12"/>
      <c r="M69" s="100"/>
      <c r="N69" s="85"/>
      <c r="O69" s="100"/>
      <c r="P69" s="100"/>
      <c r="Q69" s="100"/>
      <c r="R69" s="100"/>
      <c r="S69" s="100"/>
      <c r="T69" s="100"/>
      <c r="U69" s="12">
        <v>29</v>
      </c>
      <c r="V69" s="100">
        <f>AVERAGE('Non-shuttle Bids'!AB749,'Non-shuttle Bids'!AB853,'Non-shuttle Bids'!AB801)</f>
        <v>25.333333333333332</v>
      </c>
      <c r="W69" s="100">
        <f>AVERAGE('Non-shuttle Bids'!AC749,'Non-shuttle Bids'!AC853,'Non-shuttle Bids'!AC801)</f>
        <v>0</v>
      </c>
      <c r="X69" s="83">
        <f>AVERAGE('Non-shuttle Bids'!AD749,'Non-shuttle Bids'!AD853,'Non-shuttle Bids'!AD801)</f>
        <v>12.666666666666666</v>
      </c>
      <c r="Y69" s="100">
        <f>AVERAGE('Non-shuttle Bids'!AF749,'Non-shuttle Bids'!AF801,'Non-shuttle Bids'!AF853)</f>
        <v>25</v>
      </c>
      <c r="Z69" s="100">
        <f>AVERAGE('Non-shuttle Bids'!AG749,'Non-shuttle Bids'!AG801,'Non-shuttle Bids'!AG853)</f>
        <v>19.666666666666668</v>
      </c>
      <c r="AA69" s="83">
        <f>AVERAGE('Non-shuttle Bids'!AH749,'Non-shuttle Bids'!AH801,'Non-shuttle Bids'!AH853)</f>
        <v>22.333333333333332</v>
      </c>
      <c r="AB69" s="100">
        <f>AVERAGE('Non-shuttle Bids'!AJ749,'Non-shuttle Bids'!AJ801,'Non-shuttle Bids'!AJ853)</f>
        <v>150</v>
      </c>
      <c r="AC69" s="100">
        <f>AVERAGE('Non-shuttle Bids'!AK749,'Non-shuttle Bids'!AK801,'Non-shuttle Bids'!AK853)</f>
        <v>56</v>
      </c>
      <c r="AD69" s="83">
        <f>AVERAGE('Non-shuttle Bids'!AL749,'Non-shuttle Bids'!AL801,'Non-shuttle Bids'!AL853)</f>
        <v>103</v>
      </c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R69" s="12"/>
      <c r="AS69" s="12"/>
      <c r="AT69" s="12"/>
      <c r="AU69" s="84"/>
      <c r="AY69" s="49"/>
      <c r="AZ69" s="49"/>
      <c r="BA69" s="49"/>
      <c r="BB69" s="12"/>
      <c r="BC69" s="49"/>
      <c r="BD69" s="49"/>
      <c r="BE69" s="49"/>
      <c r="BF69" s="49"/>
      <c r="BG69" s="49"/>
      <c r="BH69" s="49"/>
      <c r="BI69" s="49"/>
      <c r="BJ69" s="49"/>
      <c r="BK69" s="49"/>
      <c r="BL69" s="12">
        <v>29</v>
      </c>
      <c r="BM69" s="100">
        <f>AVERAGE('Shuttle Bids'!AB749,'Shuttle Bids'!AB801,'Shuttle Bids'!AB853)</f>
        <v>-212.66666666666666</v>
      </c>
      <c r="BN69" s="100">
        <f>AVERAGE('Shuttle Bids'!AC749,'Shuttle Bids'!AC801,'Shuttle Bids'!AC853)</f>
        <v>-250</v>
      </c>
      <c r="BO69" s="78">
        <f>AVERAGE('Shuttle Bids'!AD749,'Shuttle Bids'!AD801,'Shuttle Bids'!AD853)</f>
        <v>-231.33333333333334</v>
      </c>
      <c r="BP69" s="100">
        <f>AVERAGE('Shuttle Bids'!AF749,'Shuttle Bids'!AF801,'Shuttle Bids'!AF853)</f>
        <v>-289</v>
      </c>
      <c r="BQ69" s="100">
        <f>AVERAGE('Shuttle Bids'!AG749,'Shuttle Bids'!AG801,'Shuttle Bids'!AG853)</f>
        <v>-316.66666666666669</v>
      </c>
      <c r="BR69" s="78">
        <f>AVERAGE('Shuttle Bids'!AH749,'Shuttle Bids'!AH801,'Shuttle Bids'!AH853)</f>
        <v>-302.83333333333331</v>
      </c>
      <c r="BS69" s="100">
        <f>AVERAGE('Shuttle Bids'!AJ749,'Shuttle Bids'!AJ801,'Shuttle Bids'!AJ853)</f>
        <v>-344</v>
      </c>
      <c r="BT69" s="100">
        <f>AVERAGE('Shuttle Bids'!AK749,'Shuttle Bids'!AK801,'Shuttle Bids'!AK853)</f>
        <v>-283.33333333333331</v>
      </c>
      <c r="BU69" s="78">
        <f>AVERAGE('Shuttle Bids'!AL749,'Shuttle Bids'!AL801,'Shuttle Bids'!AL853)</f>
        <v>-277.16666666666669</v>
      </c>
      <c r="BV69" s="80"/>
    </row>
    <row r="70" spans="1:74" x14ac:dyDescent="0.25">
      <c r="A70" s="12">
        <v>30</v>
      </c>
      <c r="B70" s="100"/>
      <c r="C70" s="100"/>
      <c r="D70" s="85"/>
      <c r="E70" s="85"/>
      <c r="F70" s="85"/>
      <c r="G70" s="85"/>
      <c r="H70" s="85"/>
      <c r="I70" s="85"/>
      <c r="J70" s="85"/>
      <c r="K70" s="12"/>
      <c r="L70" s="12"/>
      <c r="M70" s="100"/>
      <c r="N70" s="85"/>
      <c r="O70" s="100"/>
      <c r="P70" s="100"/>
      <c r="Q70" s="100"/>
      <c r="R70" s="100"/>
      <c r="S70" s="100"/>
      <c r="T70" s="100"/>
      <c r="U70" s="12">
        <v>30</v>
      </c>
      <c r="V70" s="100"/>
      <c r="W70" s="100"/>
      <c r="X70" s="100"/>
      <c r="Y70" s="100">
        <f>AVERAGE('Non-shuttle Bids'!AF750,'Non-shuttle Bids'!AF802,'Non-shuttle Bids'!AF854)</f>
        <v>31.5</v>
      </c>
      <c r="Z70" s="100">
        <f>AVERAGE('Non-shuttle Bids'!AG750,'Non-shuttle Bids'!AG802,'Non-shuttle Bids'!AG854)</f>
        <v>9.6666666666666661</v>
      </c>
      <c r="AA70" s="83">
        <f>AVERAGE('Non-shuttle Bids'!AH750,'Non-shuttle Bids'!AH802,'Non-shuttle Bids'!AH854)</f>
        <v>15.333333333333334</v>
      </c>
      <c r="AB70" s="100">
        <f>AVERAGE('Non-shuttle Bids'!AJ750,'Non-shuttle Bids'!AJ802,'Non-shuttle Bids'!AJ854)</f>
        <v>117</v>
      </c>
      <c r="AC70" s="100">
        <f>AVERAGE('Non-shuttle Bids'!AK750,'Non-shuttle Bids'!AK802,'Non-shuttle Bids'!AK854)</f>
        <v>56</v>
      </c>
      <c r="AD70" s="83">
        <f>AVERAGE('Non-shuttle Bids'!AL750,'Non-shuttle Bids'!AL802,'Non-shuttle Bids'!AL854)</f>
        <v>86.5</v>
      </c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R70" s="12"/>
      <c r="AS70" s="12"/>
      <c r="AT70" s="12"/>
      <c r="AU70" s="84"/>
      <c r="BB70" s="12"/>
      <c r="BJ70" s="49"/>
      <c r="BK70" s="49"/>
      <c r="BL70" s="12">
        <v>30</v>
      </c>
      <c r="BM70" s="100"/>
      <c r="BN70" s="100"/>
      <c r="BO70" s="100"/>
      <c r="BP70" s="100">
        <f>AVERAGE('Shuttle Bids'!AF750,'Shuttle Bids'!AF802,'Shuttle Bids'!AF854)</f>
        <v>-344.66666666666669</v>
      </c>
      <c r="BQ70" s="100">
        <f>AVERAGE('Shuttle Bids'!AG750,'Shuttle Bids'!AG802,'Shuttle Bids'!AG854)</f>
        <v>-383.33333333333331</v>
      </c>
      <c r="BR70" s="78">
        <f>AVERAGE('Shuttle Bids'!AH750,'Shuttle Bids'!AH802,'Shuttle Bids'!AH854)</f>
        <v>-364</v>
      </c>
      <c r="BS70" s="100">
        <f>AVERAGE('Shuttle Bids'!AJ750,'Shuttle Bids'!AJ802,'Shuttle Bids'!AJ854)</f>
        <v>-244</v>
      </c>
      <c r="BT70" s="100">
        <f>AVERAGE('Shuttle Bids'!AK750,'Shuttle Bids'!AK802,'Shuttle Bids'!AK854)</f>
        <v>-341.66666666666669</v>
      </c>
      <c r="BU70" s="78">
        <f>AVERAGE('Shuttle Bids'!AL750,'Shuttle Bids'!AL802,'Shuttle Bids'!AL854)</f>
        <v>-335.5</v>
      </c>
      <c r="BV70" s="80"/>
    </row>
    <row r="71" spans="1:74" x14ac:dyDescent="0.25">
      <c r="A71" s="12">
        <v>31</v>
      </c>
      <c r="B71" s="49"/>
      <c r="C71" s="49"/>
      <c r="D71" s="101"/>
      <c r="E71" s="101"/>
      <c r="F71" s="101"/>
      <c r="G71" s="101"/>
      <c r="H71" s="101"/>
      <c r="I71" s="101"/>
      <c r="J71" s="101"/>
      <c r="K71" s="12"/>
      <c r="L71" s="12"/>
      <c r="M71" s="100"/>
      <c r="N71" s="85"/>
      <c r="O71" s="100"/>
      <c r="P71" s="100"/>
      <c r="Q71" s="100"/>
      <c r="R71" s="100"/>
      <c r="S71" s="100"/>
      <c r="T71" s="100"/>
      <c r="U71" s="12">
        <v>31</v>
      </c>
      <c r="V71" s="85"/>
      <c r="W71" s="85"/>
      <c r="X71" s="85"/>
      <c r="Y71" s="100">
        <f>AVERAGE('Non-shuttle Bids'!AF751,'Non-shuttle Bids'!AF803,'Non-shuttle Bids'!AF855)</f>
        <v>-84.666666666666671</v>
      </c>
      <c r="Z71" s="100">
        <f>AVERAGE('Non-shuttle Bids'!AG751,'Non-shuttle Bids'!AG803,'Non-shuttle Bids'!AG855)</f>
        <v>19.333333333333332</v>
      </c>
      <c r="AA71" s="83">
        <f>AVERAGE('Non-shuttle Bids'!AH751,'Non-shuttle Bids'!AH803,'Non-shuttle Bids'!AH855)</f>
        <v>-32.666666666666664</v>
      </c>
      <c r="AB71" s="100">
        <f>AVERAGE('Non-shuttle Bids'!AJ751,'Non-shuttle Bids'!AJ803,'Non-shuttle Bids'!AJ855)</f>
        <v>-83</v>
      </c>
      <c r="AC71" s="100">
        <f>AVERAGE('Non-shuttle Bids'!AK751,'Non-shuttle Bids'!AK803,'Non-shuttle Bids'!AK855)</f>
        <v>48</v>
      </c>
      <c r="AD71" s="83">
        <f>AVERAGE('Non-shuttle Bids'!AL751,'Non-shuttle Bids'!AL803,'Non-shuttle Bids'!AL855)</f>
        <v>-17.5</v>
      </c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R71" s="12"/>
      <c r="AU71" s="34"/>
      <c r="BB71" s="12"/>
      <c r="BJ71" s="49"/>
      <c r="BK71" s="49"/>
      <c r="BL71" s="12">
        <v>31</v>
      </c>
      <c r="BM71" s="85"/>
      <c r="BN71" s="85"/>
      <c r="BO71" s="87"/>
      <c r="BP71" s="100">
        <f>AVERAGE('Shuttle Bids'!AF751,'Shuttle Bids'!AF803,'Shuttle Bids'!AF855)</f>
        <v>-322.66666666666669</v>
      </c>
      <c r="BQ71" s="100">
        <f>AVERAGE('Shuttle Bids'!AG751,'Shuttle Bids'!AG803,'Shuttle Bids'!AG855)</f>
        <v>-421</v>
      </c>
      <c r="BR71" s="78">
        <f>AVERAGE('Shuttle Bids'!AH751,'Shuttle Bids'!AH803,'Shuttle Bids'!AH855)</f>
        <v>-371.83333333333331</v>
      </c>
      <c r="BS71" s="100">
        <f>AVERAGE('Shuttle Bids'!AJ751,'Shuttle Bids'!AJ803,'Shuttle Bids'!AJ855)</f>
        <v>-241.5</v>
      </c>
      <c r="BT71" s="100">
        <f>AVERAGE('Shuttle Bids'!AK751,'Shuttle Bids'!AK803,'Shuttle Bids'!AK855)</f>
        <v>-383.33333333333331</v>
      </c>
      <c r="BU71" s="78">
        <f>AVERAGE('Shuttle Bids'!AL751,'Shuttle Bids'!AL803,'Shuttle Bids'!AL855)</f>
        <v>-309.66666666666669</v>
      </c>
      <c r="BV71" s="80"/>
    </row>
    <row r="72" spans="1:74" x14ac:dyDescent="0.25">
      <c r="A72" s="12">
        <v>32</v>
      </c>
      <c r="B72" s="49"/>
      <c r="C72" s="49"/>
      <c r="D72" s="101"/>
      <c r="E72" s="101"/>
      <c r="F72" s="101"/>
      <c r="G72" s="101"/>
      <c r="H72" s="101"/>
      <c r="I72" s="101"/>
      <c r="J72" s="101"/>
      <c r="K72" s="12"/>
      <c r="L72" s="12"/>
      <c r="M72" s="100"/>
      <c r="N72" s="85"/>
      <c r="O72" s="100"/>
      <c r="P72" s="100"/>
      <c r="Q72" s="100"/>
      <c r="R72" s="100"/>
      <c r="S72" s="100"/>
      <c r="T72" s="100"/>
      <c r="U72" s="12">
        <v>32</v>
      </c>
      <c r="V72" s="100"/>
      <c r="W72" s="100"/>
      <c r="X72" s="100"/>
      <c r="Y72" s="100">
        <f>AVERAGE('Non-shuttle Bids'!AF752,'Non-shuttle Bids'!AF804,'Non-shuttle Bids'!AF856)</f>
        <v>-81.666666666666671</v>
      </c>
      <c r="Z72" s="100">
        <f>AVERAGE('Non-shuttle Bids'!AG752,'Non-shuttle Bids'!AG804,'Non-shuttle Bids'!AG856)</f>
        <v>16</v>
      </c>
      <c r="AA72" s="83">
        <f>AVERAGE('Non-shuttle Bids'!AH752,'Non-shuttle Bids'!AH804,'Non-shuttle Bids'!AH856)</f>
        <v>-32.833333333333336</v>
      </c>
      <c r="AB72" s="100">
        <f>AVERAGE('Non-shuttle Bids'!AJ752,'Non-shuttle Bids'!AJ804,'Non-shuttle Bids'!AJ856)</f>
        <v>52</v>
      </c>
      <c r="AC72" s="100">
        <f>AVERAGE('Non-shuttle Bids'!AK752,'Non-shuttle Bids'!AK804,'Non-shuttle Bids'!AK856)</f>
        <v>51.5</v>
      </c>
      <c r="AD72" s="83">
        <f>AVERAGE('Non-shuttle Bids'!AL752,'Non-shuttle Bids'!AL804,'Non-shuttle Bids'!AL856)</f>
        <v>39.5</v>
      </c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R72" s="12"/>
      <c r="AU72" s="34"/>
      <c r="BB72" s="12"/>
      <c r="BJ72" s="49"/>
      <c r="BK72" s="49"/>
      <c r="BL72" s="12">
        <v>32</v>
      </c>
      <c r="BM72" s="49"/>
      <c r="BN72" s="49"/>
      <c r="BO72" s="49"/>
      <c r="BP72" s="100">
        <f>AVERAGE('Shuttle Bids'!AF752,'Shuttle Bids'!AF804,'Shuttle Bids'!AF856)</f>
        <v>-284.33333333333331</v>
      </c>
      <c r="BQ72" s="100">
        <f>AVERAGE('Shuttle Bids'!AG752,'Shuttle Bids'!AG804,'Shuttle Bids'!AG856)</f>
        <v>-316.66666666666669</v>
      </c>
      <c r="BR72" s="78">
        <f>AVERAGE('Shuttle Bids'!AH752,'Shuttle Bids'!AH804,'Shuttle Bids'!AH856)</f>
        <v>-300.5</v>
      </c>
      <c r="BS72" s="100">
        <f>AVERAGE('Shuttle Bids'!AJ752,'Shuttle Bids'!AJ804,'Shuttle Bids'!AJ856)</f>
        <v>-246.33333333333334</v>
      </c>
      <c r="BT72" s="100">
        <f>AVERAGE('Shuttle Bids'!AK752,'Shuttle Bids'!AK804,'Shuttle Bids'!AK856)</f>
        <v>-291</v>
      </c>
      <c r="BU72" s="78">
        <f>AVERAGE('Shuttle Bids'!AL752,'Shuttle Bids'!AL804,'Shuttle Bids'!AL856)</f>
        <v>-268.66666666666669</v>
      </c>
      <c r="BV72" s="80"/>
    </row>
    <row r="73" spans="1:74" x14ac:dyDescent="0.25">
      <c r="A73" s="12">
        <v>33</v>
      </c>
      <c r="B73" s="49"/>
      <c r="C73" s="49"/>
      <c r="D73" s="101"/>
      <c r="E73" s="101"/>
      <c r="F73" s="101"/>
      <c r="G73" s="101"/>
      <c r="H73" s="101"/>
      <c r="I73" s="101"/>
      <c r="J73" s="101"/>
      <c r="K73" s="12"/>
      <c r="L73" s="12"/>
      <c r="M73" s="100"/>
      <c r="N73" s="85"/>
      <c r="O73" s="100"/>
      <c r="P73" s="100"/>
      <c r="Q73" s="100"/>
      <c r="R73" s="100"/>
      <c r="S73" s="100"/>
      <c r="T73" s="100"/>
      <c r="U73" s="12">
        <v>33</v>
      </c>
      <c r="V73" s="100"/>
      <c r="W73" s="100"/>
      <c r="X73" s="100"/>
      <c r="Y73" s="100">
        <f>AVERAGE('Non-shuttle Bids'!AF753,'Non-shuttle Bids'!AF805,'Non-shuttle Bids'!AF857)</f>
        <v>5</v>
      </c>
      <c r="Z73" s="100">
        <f>AVERAGE('Non-shuttle Bids'!AG753,'Non-shuttle Bids'!AG805,'Non-shuttle Bids'!AG857)</f>
        <v>-12.333333333333334</v>
      </c>
      <c r="AA73" s="83">
        <f>AVERAGE('Non-shuttle Bids'!AH753,'Non-shuttle Bids'!AH805,'Non-shuttle Bids'!AH857)</f>
        <v>-4.5</v>
      </c>
      <c r="AB73" s="100">
        <f>AVERAGE('Non-shuttle Bids'!AJ753,'Non-shuttle Bids'!AJ805,'Non-shuttle Bids'!AJ857)</f>
        <v>51.5</v>
      </c>
      <c r="AC73" s="100">
        <f>AVERAGE('Non-shuttle Bids'!AK753,'Non-shuttle Bids'!AK805,'Non-shuttle Bids'!AK857)</f>
        <v>32.5</v>
      </c>
      <c r="AD73" s="83">
        <f>AVERAGE('Non-shuttle Bids'!AL753,'Non-shuttle Bids'!AL805,'Non-shuttle Bids'!AL857)</f>
        <v>28.833333333333332</v>
      </c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R73" s="12"/>
      <c r="AU73" s="34"/>
      <c r="BB73" s="12"/>
      <c r="BJ73" s="49"/>
      <c r="BK73" s="49"/>
      <c r="BL73" s="12">
        <v>33</v>
      </c>
      <c r="BM73" s="49"/>
      <c r="BN73" s="49"/>
      <c r="BO73" s="49"/>
      <c r="BP73" s="100">
        <f>AVERAGE('Shuttle Bids'!AF753,'Shuttle Bids'!AF805,'Shuttle Bids'!AF857)</f>
        <v>-269.66666666666669</v>
      </c>
      <c r="BQ73" s="100">
        <f>AVERAGE('Shuttle Bids'!AG753,'Shuttle Bids'!AG805,'Shuttle Bids'!AG857)</f>
        <v>-325</v>
      </c>
      <c r="BR73" s="78">
        <f>AVERAGE('Shuttle Bids'!AH753,'Shuttle Bids'!AH805,'Shuttle Bids'!AH857)</f>
        <v>-297.33333333333331</v>
      </c>
      <c r="BS73" s="100">
        <f>AVERAGE('Shuttle Bids'!AJ753,'Shuttle Bids'!AJ805,'Shuttle Bids'!AJ857)</f>
        <v>-275.66666666666669</v>
      </c>
      <c r="BT73" s="100">
        <f>AVERAGE('Shuttle Bids'!AK753,'Shuttle Bids'!AK805,'Shuttle Bids'!AK857)</f>
        <v>-325</v>
      </c>
      <c r="BU73" s="78">
        <f>AVERAGE('Shuttle Bids'!AL753,'Shuttle Bids'!AL805,'Shuttle Bids'!AL857)</f>
        <v>-300.33333333333331</v>
      </c>
      <c r="BV73" s="80"/>
    </row>
    <row r="74" spans="1:74" ht="15.6" x14ac:dyDescent="0.3">
      <c r="A74" s="12">
        <v>34</v>
      </c>
      <c r="B74" s="49"/>
      <c r="C74" s="49"/>
      <c r="D74" s="101"/>
      <c r="E74" s="101"/>
      <c r="F74" s="101"/>
      <c r="G74" s="101"/>
      <c r="H74" s="101"/>
      <c r="I74" s="101"/>
      <c r="J74" s="101"/>
      <c r="K74" s="12"/>
      <c r="L74" s="12"/>
      <c r="M74" s="100"/>
      <c r="N74" s="85"/>
      <c r="O74" s="100"/>
      <c r="P74" s="100"/>
      <c r="Q74" s="100"/>
      <c r="R74" s="100"/>
      <c r="S74" s="100"/>
      <c r="T74" s="100"/>
      <c r="U74" s="12">
        <v>34</v>
      </c>
      <c r="V74" s="100"/>
      <c r="W74" s="100"/>
      <c r="X74" s="100"/>
      <c r="Y74" s="100"/>
      <c r="Z74" s="100"/>
      <c r="AA74" s="100"/>
      <c r="AB74" s="100">
        <f>AVERAGE('Non-shuttle Bids'!AJ754,'Non-shuttle Bids'!AJ806,'Non-shuttle Bids'!AJ858)</f>
        <v>33.5</v>
      </c>
      <c r="AC74" s="100">
        <f>AVERAGE('Non-shuttle Bids'!AK754,'Non-shuttle Bids'!AK806,'Non-shuttle Bids'!AK858)</f>
        <v>26.5</v>
      </c>
      <c r="AD74" s="83">
        <f>AVERAGE('Non-shuttle Bids'!AL754,'Non-shuttle Bids'!AL806,'Non-shuttle Bids'!AL858)</f>
        <v>22.5</v>
      </c>
      <c r="AH74" s="8"/>
      <c r="AR74" s="12"/>
      <c r="AU74" s="34"/>
      <c r="BB74" s="12"/>
      <c r="BJ74" s="49"/>
      <c r="BK74" s="49"/>
      <c r="BL74" s="12">
        <v>34</v>
      </c>
      <c r="BM74" s="49"/>
      <c r="BN74" s="49"/>
      <c r="BO74" s="49"/>
      <c r="BP74" s="100"/>
      <c r="BQ74" s="100"/>
      <c r="BR74" s="100"/>
      <c r="BS74" s="100">
        <f>AVERAGE('Shuttle Bids'!AJ754,'Shuttle Bids'!AJ806,'Shuttle Bids'!AJ858)</f>
        <v>-267.66666666666669</v>
      </c>
      <c r="BT74" s="100">
        <f>AVERAGE('Shuttle Bids'!AK754,'Shuttle Bids'!AK806,'Shuttle Bids'!AK858)</f>
        <v>-341.66666666666669</v>
      </c>
      <c r="BU74" s="78">
        <f>AVERAGE('Shuttle Bids'!AL754,'Shuttle Bids'!AL806,'Shuttle Bids'!AL858)</f>
        <v>-304.66666666666669</v>
      </c>
      <c r="BV74" s="80"/>
    </row>
    <row r="75" spans="1:74" ht="15.6" x14ac:dyDescent="0.3">
      <c r="A75" s="12">
        <v>35</v>
      </c>
      <c r="B75" s="49"/>
      <c r="C75" s="49"/>
      <c r="D75" s="101"/>
      <c r="E75" s="101"/>
      <c r="F75" s="101"/>
      <c r="G75" s="101"/>
      <c r="H75" s="101"/>
      <c r="I75" s="101"/>
      <c r="J75" s="101"/>
      <c r="K75" s="12"/>
      <c r="L75" s="12"/>
      <c r="M75" s="100"/>
      <c r="N75" s="85"/>
      <c r="O75" s="100"/>
      <c r="P75" s="100"/>
      <c r="Q75" s="100"/>
      <c r="R75" s="100"/>
      <c r="S75" s="100"/>
      <c r="T75" s="100"/>
      <c r="U75" s="12">
        <v>35</v>
      </c>
      <c r="V75" s="100"/>
      <c r="W75" s="100"/>
      <c r="X75" s="100"/>
      <c r="Y75" s="85"/>
      <c r="Z75" s="85"/>
      <c r="AA75" s="85"/>
      <c r="AB75" s="100">
        <f>AVERAGE('Non-shuttle Bids'!AJ755,'Non-shuttle Bids'!AJ807,'Non-shuttle Bids'!AJ859)</f>
        <v>47.333333333333336</v>
      </c>
      <c r="AC75" s="100">
        <f>AVERAGE('Non-shuttle Bids'!AK755,'Non-shuttle Bids'!AK807,'Non-shuttle Bids'!AK859)</f>
        <v>18.666666666666668</v>
      </c>
      <c r="AD75" s="83">
        <f>AVERAGE('Non-shuttle Bids'!AL755,'Non-shuttle Bids'!AL807,'Non-shuttle Bids'!AL859)</f>
        <v>33</v>
      </c>
      <c r="AH75" s="8"/>
      <c r="AR75" s="12"/>
      <c r="AU75" s="34"/>
      <c r="BB75" s="12"/>
      <c r="BJ75" s="49"/>
      <c r="BK75" s="49"/>
      <c r="BL75" s="12">
        <v>35</v>
      </c>
      <c r="BM75" s="49"/>
      <c r="BN75" s="49"/>
      <c r="BO75" s="49"/>
      <c r="BP75" s="85"/>
      <c r="BQ75" s="85"/>
      <c r="BR75" s="87"/>
      <c r="BS75" s="100">
        <f>AVERAGE('Shuttle Bids'!AJ755,'Shuttle Bids'!AJ807,'Shuttle Bids'!AJ859)</f>
        <v>-206.66666666666666</v>
      </c>
      <c r="BT75" s="100">
        <f>AVERAGE('Shuttle Bids'!AK755,'Shuttle Bids'!AK807,'Shuttle Bids'!AK859)</f>
        <v>-287.66666666666669</v>
      </c>
      <c r="BU75" s="78">
        <f>AVERAGE('Shuttle Bids'!AL755,'Shuttle Bids'!AL807,'Shuttle Bids'!AL859)</f>
        <v>-247.16666666666666</v>
      </c>
      <c r="BV75" s="80"/>
    </row>
    <row r="76" spans="1:74" ht="15.6" x14ac:dyDescent="0.3">
      <c r="A76" s="12">
        <v>36</v>
      </c>
      <c r="B76" s="49"/>
      <c r="C76" s="49"/>
      <c r="D76" s="101"/>
      <c r="E76" s="101"/>
      <c r="F76" s="101"/>
      <c r="G76" s="101"/>
      <c r="H76" s="101"/>
      <c r="I76" s="101"/>
      <c r="J76" s="101"/>
      <c r="K76" s="12"/>
      <c r="L76" s="12"/>
      <c r="M76" s="100"/>
      <c r="N76" s="85"/>
      <c r="O76" s="100"/>
      <c r="P76" s="100"/>
      <c r="Q76" s="100"/>
      <c r="R76" s="100"/>
      <c r="S76" s="100"/>
      <c r="T76" s="100"/>
      <c r="U76" s="12">
        <v>36</v>
      </c>
      <c r="V76" s="100"/>
      <c r="W76" s="100"/>
      <c r="X76" s="100"/>
      <c r="Y76" s="100"/>
      <c r="Z76" s="100"/>
      <c r="AA76" s="100"/>
      <c r="AB76" s="100">
        <f>AVERAGE('Non-shuttle Bids'!AJ756,'Non-shuttle Bids'!AJ808,'Non-shuttle Bids'!AJ860)</f>
        <v>102.66666666666667</v>
      </c>
      <c r="AC76" s="100">
        <f>AVERAGE('Non-shuttle Bids'!AK756,'Non-shuttle Bids'!AK808,'Non-shuttle Bids'!AK860)</f>
        <v>29.333333333333332</v>
      </c>
      <c r="AD76" s="83">
        <f>AVERAGE('Non-shuttle Bids'!AL756,'Non-shuttle Bids'!AL808,'Non-shuttle Bids'!AL860)</f>
        <v>66</v>
      </c>
      <c r="AH76" s="8"/>
      <c r="AR76" s="12"/>
      <c r="AU76" s="34"/>
      <c r="BB76" s="12"/>
      <c r="BJ76" s="49"/>
      <c r="BK76" s="49"/>
      <c r="BL76" s="12">
        <v>36</v>
      </c>
      <c r="BM76" s="49"/>
      <c r="BN76" s="49"/>
      <c r="BO76" s="49"/>
      <c r="BP76" s="49"/>
      <c r="BQ76" s="49"/>
      <c r="BR76" s="49"/>
      <c r="BS76" s="100">
        <f>AVERAGE('Shuttle Bids'!AJ756,'Shuttle Bids'!AJ808,'Shuttle Bids'!AJ860)</f>
        <v>-137</v>
      </c>
      <c r="BT76" s="100">
        <f>AVERAGE('Shuttle Bids'!AK756,'Shuttle Bids'!AK808,'Shuttle Bids'!AK860)</f>
        <v>-316.66666666666669</v>
      </c>
      <c r="BU76" s="78">
        <f>AVERAGE('Shuttle Bids'!AL756,'Shuttle Bids'!AL808,'Shuttle Bids'!AL860)</f>
        <v>-226.83333333333334</v>
      </c>
      <c r="BV76" s="80"/>
    </row>
    <row r="77" spans="1:74" ht="15.6" x14ac:dyDescent="0.3">
      <c r="A77" s="12">
        <v>37</v>
      </c>
      <c r="B77" s="49"/>
      <c r="C77" s="49"/>
      <c r="D77" s="101"/>
      <c r="E77" s="101"/>
      <c r="F77" s="101"/>
      <c r="G77" s="101"/>
      <c r="H77" s="101"/>
      <c r="I77" s="101"/>
      <c r="J77" s="101"/>
      <c r="K77" s="12"/>
      <c r="L77" s="12"/>
      <c r="M77" s="12"/>
      <c r="N77" s="84"/>
      <c r="O77" s="12"/>
      <c r="P77" s="12"/>
      <c r="Q77" s="12"/>
      <c r="R77" s="12"/>
      <c r="S77" s="12"/>
      <c r="T77" s="12"/>
      <c r="U77" s="12">
        <v>37</v>
      </c>
      <c r="V77" s="100"/>
      <c r="W77" s="100"/>
      <c r="X77" s="100"/>
      <c r="Y77" s="100"/>
      <c r="Z77" s="100"/>
      <c r="AA77" s="100"/>
      <c r="AB77" s="100">
        <f>AVERAGE('Non-shuttle Bids'!AJ757,'Non-shuttle Bids'!AJ809,'Non-shuttle Bids'!AJ861)</f>
        <v>-6.5</v>
      </c>
      <c r="AC77" s="100">
        <f>AVERAGE('Non-shuttle Bids'!AK757,'Non-shuttle Bids'!AK809,'Non-shuttle Bids'!AK861)</f>
        <v>37.666666666666664</v>
      </c>
      <c r="AD77" s="83">
        <f>AVERAGE('Non-shuttle Bids'!AL757,'Non-shuttle Bids'!AL809,'Non-shuttle Bids'!AL861)</f>
        <v>29.166666666666668</v>
      </c>
      <c r="AH77" s="8"/>
      <c r="AR77" s="12"/>
      <c r="AU77" s="34"/>
      <c r="BB77" s="12"/>
      <c r="BJ77" s="49"/>
      <c r="BK77" s="49"/>
      <c r="BL77" s="12">
        <v>37</v>
      </c>
      <c r="BM77" s="49"/>
      <c r="BN77" s="49"/>
      <c r="BO77" s="49"/>
      <c r="BP77" s="49"/>
      <c r="BQ77" s="49"/>
      <c r="BR77" s="49"/>
      <c r="BS77" s="100">
        <f>AVERAGE('Shuttle Bids'!AJ757,'Shuttle Bids'!AJ809,'Shuttle Bids'!AJ861)</f>
        <v>36</v>
      </c>
      <c r="BT77" s="100">
        <f>AVERAGE('Shuttle Bids'!AK757,'Shuttle Bids'!AK809,'Shuttle Bids'!AK861)</f>
        <v>-244.33333333333334</v>
      </c>
      <c r="BU77" s="78">
        <f>AVERAGE('Shuttle Bids'!AL757,'Shuttle Bids'!AL809,'Shuttle Bids'!AL861)</f>
        <v>-104.16666666666667</v>
      </c>
      <c r="BV77" s="80"/>
    </row>
    <row r="78" spans="1:74" ht="15.6" x14ac:dyDescent="0.3">
      <c r="A78" s="12">
        <v>38</v>
      </c>
      <c r="K78" s="12"/>
      <c r="L78" s="12"/>
      <c r="M78" s="12"/>
      <c r="N78" s="84"/>
      <c r="O78" s="12"/>
      <c r="P78" s="12"/>
      <c r="Q78" s="12"/>
      <c r="R78" s="12"/>
      <c r="S78" s="12"/>
      <c r="T78" s="12"/>
      <c r="U78" s="12">
        <v>38</v>
      </c>
      <c r="V78" s="100"/>
      <c r="W78" s="100"/>
      <c r="X78" s="100"/>
      <c r="Y78" s="100"/>
      <c r="Z78" s="100"/>
      <c r="AA78" s="100"/>
      <c r="AB78" s="100">
        <f>AVERAGE('Non-shuttle Bids'!AJ758,'Non-shuttle Bids'!AJ810,'Non-shuttle Bids'!AJ862)</f>
        <v>250</v>
      </c>
      <c r="AC78" s="100">
        <f>AVERAGE('Non-shuttle Bids'!AK758,'Non-shuttle Bids'!AK810,'Non-shuttle Bids'!AK862)</f>
        <v>47.5</v>
      </c>
      <c r="AD78" s="83">
        <f>AVERAGE('Non-shuttle Bids'!AL758,'Non-shuttle Bids'!AL810,'Non-shuttle Bids'!AL862)</f>
        <v>148.75</v>
      </c>
      <c r="AH78" s="8"/>
      <c r="AR78" s="12"/>
      <c r="AU78" s="34"/>
      <c r="BB78" s="12"/>
      <c r="BJ78" s="49"/>
      <c r="BK78" s="49"/>
      <c r="BL78" s="12">
        <v>38</v>
      </c>
      <c r="BM78" s="49"/>
      <c r="BN78" s="49"/>
      <c r="BO78" s="49"/>
      <c r="BP78" s="49"/>
      <c r="BQ78" s="49"/>
      <c r="BR78" s="49"/>
      <c r="BS78" s="100">
        <f>AVERAGE('Shuttle Bids'!AJ758,'Shuttle Bids'!AJ810,'Shuttle Bids'!AJ862)</f>
        <v>400</v>
      </c>
      <c r="BT78" s="100">
        <f>AVERAGE('Shuttle Bids'!AK758,'Shuttle Bids'!AK810,'Shuttle Bids'!AK862)</f>
        <v>0</v>
      </c>
      <c r="BU78" s="78">
        <f>AVERAGE('Shuttle Bids'!AL758,'Shuttle Bids'!AL810,'Shuttle Bids'!AL862)</f>
        <v>325</v>
      </c>
      <c r="BV78" s="80"/>
    </row>
    <row r="79" spans="1:74" ht="15.6" x14ac:dyDescent="0.3">
      <c r="A79" s="12">
        <v>39</v>
      </c>
      <c r="K79" s="12"/>
      <c r="L79" s="12"/>
      <c r="M79" s="12"/>
      <c r="N79" s="84"/>
      <c r="O79" s="12"/>
      <c r="P79" s="12"/>
      <c r="Q79" s="12"/>
      <c r="R79" s="12"/>
      <c r="S79" s="12"/>
      <c r="T79" s="12"/>
      <c r="U79" s="12"/>
      <c r="V79" s="100"/>
      <c r="W79" s="100"/>
      <c r="X79" s="100"/>
      <c r="Y79" s="100"/>
      <c r="Z79" s="100"/>
      <c r="AA79" s="100"/>
      <c r="AB79" s="100"/>
      <c r="AC79" s="100"/>
      <c r="AD79" s="100"/>
      <c r="AH79" s="8"/>
      <c r="AR79" s="12"/>
      <c r="AU79" s="34"/>
      <c r="BB79" s="12"/>
      <c r="BJ79" s="49"/>
      <c r="BK79" s="49"/>
      <c r="BL79" s="12"/>
      <c r="BM79" s="49"/>
      <c r="BN79" s="49"/>
      <c r="BO79" s="49"/>
      <c r="BP79" s="49"/>
      <c r="BQ79" s="49"/>
      <c r="BS79" s="100"/>
      <c r="BT79" s="100"/>
      <c r="BU79" s="100"/>
    </row>
    <row r="80" spans="1:74" ht="15.6" x14ac:dyDescent="0.3">
      <c r="A80" s="12">
        <v>40</v>
      </c>
      <c r="K80" s="12"/>
      <c r="L80" s="12"/>
      <c r="M80" s="12"/>
      <c r="N80" s="84"/>
      <c r="O80" s="12"/>
      <c r="P80" s="12"/>
      <c r="Q80" s="12"/>
      <c r="R80" s="12"/>
      <c r="S80" s="12"/>
      <c r="T80" s="12"/>
      <c r="U80" s="12"/>
      <c r="V80" s="100"/>
      <c r="W80" s="100"/>
      <c r="X80" s="100"/>
      <c r="Y80" s="100"/>
      <c r="Z80" s="100"/>
      <c r="AA80" s="100"/>
      <c r="AB80" s="100"/>
      <c r="AC80" s="100"/>
      <c r="AD80" s="85"/>
      <c r="AH80" s="8"/>
      <c r="AR80" s="12"/>
      <c r="AU80" s="34"/>
      <c r="BB80" s="12"/>
      <c r="BJ80" s="49"/>
      <c r="BK80" s="49"/>
      <c r="BL80" s="12"/>
      <c r="BM80" s="49"/>
      <c r="BN80" s="49"/>
      <c r="BO80" s="49"/>
      <c r="BP80" s="49"/>
      <c r="BQ80" s="49"/>
    </row>
    <row r="81" spans="1:64" ht="15.6" x14ac:dyDescent="0.3">
      <c r="A81" s="12">
        <v>41</v>
      </c>
      <c r="K81" s="12"/>
      <c r="L81" s="12"/>
      <c r="M81" s="12"/>
      <c r="N81" s="84"/>
      <c r="O81" s="12"/>
      <c r="P81" s="12"/>
      <c r="Q81" s="12"/>
      <c r="R81" s="12"/>
      <c r="S81" s="12"/>
      <c r="T81" s="12"/>
      <c r="U81" s="12"/>
      <c r="V81" s="100"/>
      <c r="W81" s="100"/>
      <c r="X81" s="100"/>
      <c r="Y81" s="100"/>
      <c r="Z81" s="100"/>
      <c r="AA81" s="100"/>
      <c r="AB81" s="100"/>
      <c r="AC81" s="100"/>
      <c r="AD81" s="85"/>
      <c r="AH81" s="8"/>
      <c r="AR81" s="12"/>
      <c r="AU81" s="34"/>
      <c r="BB81" s="12"/>
      <c r="BL81" s="12"/>
    </row>
    <row r="82" spans="1:64" ht="15.6" x14ac:dyDescent="0.3">
      <c r="A82" s="12">
        <v>42</v>
      </c>
      <c r="K82" s="12"/>
      <c r="U82" s="12"/>
      <c r="V82" s="100"/>
      <c r="W82" s="100"/>
      <c r="X82" s="100"/>
      <c r="Y82" s="100"/>
      <c r="Z82" s="100"/>
      <c r="AA82" s="100"/>
      <c r="AB82" s="100"/>
      <c r="AC82" s="100"/>
      <c r="AD82" s="85"/>
      <c r="AH82" s="8"/>
      <c r="AR82" s="12"/>
      <c r="AU82" s="34"/>
      <c r="BB82" s="12"/>
      <c r="BL82" s="12"/>
    </row>
    <row r="83" spans="1:64" ht="15.6" x14ac:dyDescent="0.3">
      <c r="A83" s="12">
        <v>43</v>
      </c>
      <c r="K83" s="12"/>
      <c r="U83" s="12"/>
      <c r="V83" s="49"/>
      <c r="W83" s="49"/>
      <c r="X83" s="49"/>
      <c r="Y83" s="49"/>
      <c r="Z83" s="49"/>
      <c r="AA83" s="49"/>
      <c r="AB83" s="49"/>
      <c r="AC83" s="49"/>
      <c r="AD83" s="105"/>
      <c r="AH83" s="8"/>
      <c r="AR83" s="12"/>
      <c r="AU83" s="34"/>
      <c r="BB83" s="12"/>
      <c r="BL83" s="12"/>
    </row>
    <row r="84" spans="1:64" ht="15.6" x14ac:dyDescent="0.3">
      <c r="AD84" s="86"/>
      <c r="AH84" s="8"/>
    </row>
    <row r="85" spans="1:64" x14ac:dyDescent="0.25">
      <c r="AD85" s="86"/>
    </row>
    <row r="86" spans="1:64" x14ac:dyDescent="0.25">
      <c r="AD86" s="86"/>
    </row>
    <row r="87" spans="1:64" x14ac:dyDescent="0.25">
      <c r="AD87" s="86"/>
    </row>
    <row r="88" spans="1:64" x14ac:dyDescent="0.25">
      <c r="AD88" s="86"/>
    </row>
    <row r="89" spans="1:64" x14ac:dyDescent="0.25">
      <c r="AD89" s="86"/>
    </row>
    <row r="90" spans="1:64" x14ac:dyDescent="0.25">
      <c r="AD90" s="86"/>
    </row>
    <row r="91" spans="1:64" x14ac:dyDescent="0.25">
      <c r="AD91" s="86"/>
    </row>
    <row r="92" spans="1:64" x14ac:dyDescent="0.25">
      <c r="AD92" s="86"/>
    </row>
  </sheetData>
  <mergeCells count="24">
    <mergeCell ref="CE6:CF6"/>
    <mergeCell ref="BM6:BN6"/>
    <mergeCell ref="BP6:BQ6"/>
    <mergeCell ref="BS6:BT6"/>
    <mergeCell ref="BW6:BX6"/>
    <mergeCell ref="CA6:CB6"/>
    <mergeCell ref="BI6:BJ6"/>
    <mergeCell ref="AV6:AW6"/>
    <mergeCell ref="BF6:BG6"/>
    <mergeCell ref="BC6:BD6"/>
    <mergeCell ref="AY6:AZ6"/>
    <mergeCell ref="AS6:AT6"/>
    <mergeCell ref="V6:W6"/>
    <mergeCell ref="R6:S6"/>
    <mergeCell ref="AN6:AO6"/>
    <mergeCell ref="AB6:AC6"/>
    <mergeCell ref="AF6:AG6"/>
    <mergeCell ref="AJ6:AK6"/>
    <mergeCell ref="B6:C6"/>
    <mergeCell ref="E6:F6"/>
    <mergeCell ref="H6:I6"/>
    <mergeCell ref="L6:M6"/>
    <mergeCell ref="Y6:Z6"/>
    <mergeCell ref="O6:P6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47"/>
    <pageSetUpPr fitToPage="1"/>
  </sheetPr>
  <dimension ref="A1:BT221"/>
  <sheetViews>
    <sheetView topLeftCell="AR1" zoomScaleNormal="100" workbookViewId="0">
      <pane ySplit="4" topLeftCell="A194" activePane="bottomLeft" state="frozen"/>
      <selection pane="bottomLeft" activeCell="BC210" sqref="BC210"/>
    </sheetView>
  </sheetViews>
  <sheetFormatPr defaultColWidth="9.81640625" defaultRowHeight="15" x14ac:dyDescent="0.25"/>
  <cols>
    <col min="1" max="5" width="9.81640625" style="1"/>
    <col min="6" max="6" width="1.81640625" style="1" customWidth="1"/>
    <col min="7" max="10" width="9.81640625" style="1"/>
    <col min="11" max="11" width="1.81640625" style="1" customWidth="1"/>
    <col min="12" max="13" width="9.81640625" style="1"/>
    <col min="14" max="17" width="7.81640625" style="1" customWidth="1"/>
    <col min="18" max="18" width="2.08984375" style="1" customWidth="1"/>
    <col min="19" max="22" width="7.81640625" style="1" customWidth="1"/>
    <col min="23" max="23" width="1.54296875" style="1" customWidth="1"/>
    <col min="24" max="27" width="7.81640625" style="1" customWidth="1"/>
    <col min="28" max="28" width="2" style="1" customWidth="1"/>
    <col min="29" max="32" width="7.81640625" style="1" customWidth="1"/>
    <col min="33" max="33" width="1.81640625" style="1" customWidth="1"/>
    <col min="34" max="37" width="6.81640625" style="1" customWidth="1"/>
    <col min="38" max="38" width="1.1796875" style="1" customWidth="1"/>
    <col min="39" max="42" width="6.81640625" style="1" customWidth="1"/>
    <col min="43" max="43" width="1.1796875" style="1" customWidth="1"/>
    <col min="44" max="47" width="6.81640625" style="1" customWidth="1"/>
    <col min="48" max="48" width="1.453125" style="1" customWidth="1"/>
    <col min="49" max="52" width="6.81640625" style="1" customWidth="1"/>
    <col min="53" max="53" width="1.1796875" style="1" customWidth="1"/>
    <col min="54" max="57" width="6.81640625" style="1" customWidth="1"/>
    <col min="58" max="58" width="1.1796875" style="1" customWidth="1"/>
    <col min="59" max="62" width="6.81640625" style="1" customWidth="1"/>
    <col min="63" max="63" width="1.1796875" style="1" customWidth="1"/>
    <col min="64" max="67" width="6.81640625" style="1" customWidth="1"/>
    <col min="68" max="68" width="1.54296875" style="1" customWidth="1"/>
    <col min="69" max="72" width="6.81640625" style="1" customWidth="1"/>
    <col min="73" max="16384" width="9.81640625" style="1"/>
  </cols>
  <sheetData>
    <row r="1" spans="1:10" ht="15.6" x14ac:dyDescent="0.3">
      <c r="A1" s="112" t="s">
        <v>241</v>
      </c>
    </row>
    <row r="2" spans="1:10" ht="15.6" thickBot="1" x14ac:dyDescent="0.3">
      <c r="A2" s="148" t="s">
        <v>165</v>
      </c>
      <c r="B2" s="148"/>
      <c r="C2" s="148"/>
      <c r="D2" s="148"/>
      <c r="E2" s="148"/>
      <c r="G2" s="148" t="s">
        <v>166</v>
      </c>
      <c r="H2" s="148"/>
      <c r="I2" s="148"/>
      <c r="J2" s="148"/>
    </row>
    <row r="3" spans="1:10" x14ac:dyDescent="0.25">
      <c r="A3" s="1" t="s">
        <v>163</v>
      </c>
    </row>
    <row r="4" spans="1:10" x14ac:dyDescent="0.25">
      <c r="A4" s="2" t="s">
        <v>164</v>
      </c>
      <c r="B4" s="58" t="s">
        <v>106</v>
      </c>
      <c r="C4" s="58" t="s">
        <v>107</v>
      </c>
      <c r="D4" s="58" t="s">
        <v>108</v>
      </c>
      <c r="E4" s="54" t="s">
        <v>203</v>
      </c>
      <c r="F4" s="2"/>
      <c r="G4" s="58" t="s">
        <v>106</v>
      </c>
      <c r="H4" s="58" t="s">
        <v>107</v>
      </c>
      <c r="I4" s="58" t="s">
        <v>108</v>
      </c>
      <c r="J4" s="54" t="s">
        <v>203</v>
      </c>
    </row>
    <row r="5" spans="1:10" x14ac:dyDescent="0.25">
      <c r="A5" s="2"/>
      <c r="B5" s="2"/>
      <c r="C5" s="2"/>
      <c r="D5" s="2"/>
      <c r="E5" s="2"/>
      <c r="F5" s="2"/>
    </row>
    <row r="6" spans="1:10" x14ac:dyDescent="0.25">
      <c r="A6" s="3">
        <v>35551</v>
      </c>
      <c r="B6" s="2">
        <v>-20</v>
      </c>
      <c r="C6" s="2">
        <v>-95</v>
      </c>
      <c r="D6" s="4">
        <v>-57</v>
      </c>
      <c r="E6" s="4"/>
      <c r="F6" s="4"/>
    </row>
    <row r="7" spans="1:10" x14ac:dyDescent="0.25">
      <c r="A7" s="3">
        <v>35582</v>
      </c>
      <c r="B7" s="2">
        <v>-18</v>
      </c>
      <c r="C7" s="2">
        <v>-112</v>
      </c>
      <c r="D7" s="4">
        <v>-44</v>
      </c>
      <c r="E7" s="4"/>
      <c r="F7" s="4"/>
    </row>
    <row r="8" spans="1:10" x14ac:dyDescent="0.25">
      <c r="A8" s="3">
        <v>35612</v>
      </c>
      <c r="B8" s="2">
        <v>37</v>
      </c>
      <c r="C8" s="2">
        <v>-102</v>
      </c>
      <c r="D8" s="4">
        <v>-32</v>
      </c>
      <c r="E8" s="4"/>
      <c r="F8" s="4"/>
    </row>
    <row r="9" spans="1:10" x14ac:dyDescent="0.25">
      <c r="A9" s="3">
        <v>35643</v>
      </c>
      <c r="B9" s="2">
        <v>189</v>
      </c>
      <c r="C9" s="2">
        <v>-94</v>
      </c>
      <c r="D9" s="4">
        <v>24</v>
      </c>
      <c r="E9" s="4"/>
      <c r="F9" s="4"/>
    </row>
    <row r="10" spans="1:10" x14ac:dyDescent="0.25">
      <c r="A10" s="3">
        <v>35674</v>
      </c>
      <c r="B10" s="2">
        <v>288</v>
      </c>
      <c r="C10" s="2">
        <v>-17</v>
      </c>
      <c r="D10" s="4">
        <v>91</v>
      </c>
      <c r="E10" s="4"/>
      <c r="F10" s="4"/>
    </row>
    <row r="11" spans="1:10" x14ac:dyDescent="0.25">
      <c r="A11" s="3">
        <v>35704</v>
      </c>
      <c r="B11" s="2">
        <v>350</v>
      </c>
      <c r="C11" s="2">
        <v>43</v>
      </c>
      <c r="D11" s="4">
        <v>185</v>
      </c>
      <c r="E11" s="4"/>
      <c r="F11" s="4"/>
    </row>
    <row r="12" spans="1:10" x14ac:dyDescent="0.25">
      <c r="A12" s="3">
        <v>35735</v>
      </c>
      <c r="B12" s="2">
        <v>334</v>
      </c>
      <c r="C12" s="2">
        <v>69</v>
      </c>
      <c r="D12" s="4">
        <v>204</v>
      </c>
      <c r="E12" s="4"/>
      <c r="F12" s="4"/>
    </row>
    <row r="13" spans="1:10" x14ac:dyDescent="0.25">
      <c r="A13" s="3">
        <v>35765</v>
      </c>
      <c r="B13" s="2">
        <v>310</v>
      </c>
      <c r="C13" s="2">
        <v>-84</v>
      </c>
      <c r="D13" s="4">
        <v>173</v>
      </c>
      <c r="E13" s="4"/>
      <c r="F13" s="4"/>
    </row>
    <row r="14" spans="1:10" x14ac:dyDescent="0.25">
      <c r="A14" s="3">
        <v>35796</v>
      </c>
      <c r="B14" s="2">
        <v>268</v>
      </c>
      <c r="C14" s="2">
        <v>-280</v>
      </c>
      <c r="D14" s="4">
        <v>101</v>
      </c>
      <c r="E14" s="4"/>
      <c r="F14" s="4"/>
    </row>
    <row r="15" spans="1:10" x14ac:dyDescent="0.25">
      <c r="A15" s="3">
        <v>35827</v>
      </c>
      <c r="B15" s="2">
        <v>225</v>
      </c>
      <c r="C15" s="2">
        <v>-289</v>
      </c>
      <c r="D15" s="4">
        <v>25</v>
      </c>
      <c r="E15" s="4"/>
      <c r="F15" s="4"/>
    </row>
    <row r="16" spans="1:10" x14ac:dyDescent="0.25">
      <c r="A16" s="3">
        <v>35855</v>
      </c>
      <c r="B16" s="2">
        <v>167</v>
      </c>
      <c r="C16" s="2">
        <v>-278</v>
      </c>
      <c r="D16" s="4">
        <v>-40</v>
      </c>
      <c r="E16" s="4"/>
      <c r="F16" s="4"/>
    </row>
    <row r="17" spans="1:6" x14ac:dyDescent="0.25">
      <c r="A17" s="3">
        <v>35886</v>
      </c>
      <c r="B17" s="2">
        <v>50</v>
      </c>
      <c r="C17" s="2">
        <v>-259</v>
      </c>
      <c r="D17" s="4">
        <v>-78</v>
      </c>
      <c r="E17" s="4"/>
      <c r="F17" s="4"/>
    </row>
    <row r="18" spans="1:6" x14ac:dyDescent="0.25">
      <c r="A18" s="3">
        <v>35916</v>
      </c>
      <c r="B18" s="2">
        <v>33</v>
      </c>
      <c r="C18" s="2">
        <v>-226</v>
      </c>
      <c r="D18" s="4">
        <v>-91</v>
      </c>
      <c r="E18" s="4"/>
      <c r="F18" s="4"/>
    </row>
    <row r="19" spans="1:6" x14ac:dyDescent="0.25">
      <c r="A19" s="3">
        <v>35947</v>
      </c>
      <c r="B19" s="2">
        <v>61</v>
      </c>
      <c r="C19" s="2">
        <v>-158</v>
      </c>
      <c r="D19" s="4">
        <v>-46</v>
      </c>
      <c r="E19" s="4"/>
      <c r="F19" s="4"/>
    </row>
    <row r="20" spans="1:6" x14ac:dyDescent="0.25">
      <c r="A20" s="3">
        <v>35977</v>
      </c>
      <c r="B20" s="2">
        <v>120</v>
      </c>
      <c r="C20" s="2">
        <v>-91</v>
      </c>
      <c r="D20" s="4">
        <v>10</v>
      </c>
      <c r="E20" s="4"/>
      <c r="F20" s="4"/>
    </row>
    <row r="21" spans="1:6" x14ac:dyDescent="0.25">
      <c r="A21" s="3">
        <v>36008</v>
      </c>
      <c r="B21" s="2">
        <v>261</v>
      </c>
      <c r="C21" s="2">
        <v>-4</v>
      </c>
      <c r="D21" s="4">
        <v>81</v>
      </c>
      <c r="E21" s="4"/>
      <c r="F21" s="4"/>
    </row>
    <row r="22" spans="1:6" x14ac:dyDescent="0.25">
      <c r="A22" s="3">
        <v>36039</v>
      </c>
      <c r="B22" s="2">
        <v>246</v>
      </c>
      <c r="C22" s="2">
        <v>34</v>
      </c>
      <c r="D22" s="4">
        <v>137</v>
      </c>
      <c r="E22" s="4"/>
      <c r="F22" s="4"/>
    </row>
    <row r="23" spans="1:6" x14ac:dyDescent="0.25">
      <c r="A23" s="3">
        <v>36069</v>
      </c>
      <c r="B23" s="2">
        <v>269</v>
      </c>
      <c r="C23" s="2">
        <v>21</v>
      </c>
      <c r="D23" s="4">
        <v>176</v>
      </c>
      <c r="E23" s="4"/>
      <c r="F23" s="4"/>
    </row>
    <row r="24" spans="1:6" x14ac:dyDescent="0.25">
      <c r="A24" s="3">
        <v>36100</v>
      </c>
      <c r="B24" s="2">
        <v>221</v>
      </c>
      <c r="C24" s="2">
        <v>-12</v>
      </c>
      <c r="D24" s="4">
        <v>124</v>
      </c>
      <c r="E24" s="4"/>
      <c r="F24" s="4"/>
    </row>
    <row r="25" spans="1:6" x14ac:dyDescent="0.25">
      <c r="A25" s="3">
        <v>36130</v>
      </c>
      <c r="B25" s="2">
        <v>195</v>
      </c>
      <c r="C25" s="2">
        <v>-48</v>
      </c>
      <c r="D25" s="4">
        <v>49</v>
      </c>
      <c r="E25" s="4"/>
      <c r="F25" s="4"/>
    </row>
    <row r="26" spans="1:6" x14ac:dyDescent="0.25">
      <c r="A26" s="17" t="s">
        <v>2</v>
      </c>
      <c r="B26" s="18">
        <v>50</v>
      </c>
      <c r="C26" s="18">
        <v>-101</v>
      </c>
      <c r="D26" s="4">
        <v>3</v>
      </c>
      <c r="E26" s="4"/>
      <c r="F26" s="4"/>
    </row>
    <row r="27" spans="1:6" x14ac:dyDescent="0.25">
      <c r="A27" s="17" t="s">
        <v>3</v>
      </c>
      <c r="B27" s="18">
        <v>35</v>
      </c>
      <c r="C27" s="18">
        <v>-85</v>
      </c>
      <c r="D27" s="4">
        <v>-11</v>
      </c>
      <c r="E27" s="4"/>
      <c r="F27" s="4"/>
    </row>
    <row r="28" spans="1:6" x14ac:dyDescent="0.25">
      <c r="A28" s="19" t="s">
        <v>4</v>
      </c>
      <c r="B28" s="18">
        <v>15</v>
      </c>
      <c r="C28" s="18">
        <v>-75</v>
      </c>
      <c r="D28" s="4">
        <v>-21</v>
      </c>
      <c r="E28" s="4"/>
      <c r="F28" s="4"/>
    </row>
    <row r="29" spans="1:6" x14ac:dyDescent="0.25">
      <c r="A29" s="19" t="s">
        <v>5</v>
      </c>
      <c r="B29" s="18">
        <v>4</v>
      </c>
      <c r="C29" s="18">
        <v>-81</v>
      </c>
      <c r="D29" s="4">
        <v>-28</v>
      </c>
      <c r="E29" s="4"/>
      <c r="F29" s="4"/>
    </row>
    <row r="30" spans="1:6" x14ac:dyDescent="0.25">
      <c r="A30" s="19" t="s">
        <v>6</v>
      </c>
      <c r="B30" s="18">
        <v>1</v>
      </c>
      <c r="C30" s="18">
        <v>-88</v>
      </c>
      <c r="D30" s="4">
        <v>-29</v>
      </c>
      <c r="E30" s="4"/>
      <c r="F30" s="4"/>
    </row>
    <row r="31" spans="1:6" x14ac:dyDescent="0.25">
      <c r="A31" s="19" t="s">
        <v>7</v>
      </c>
      <c r="B31" s="18">
        <v>34</v>
      </c>
      <c r="C31" s="18">
        <v>-74</v>
      </c>
      <c r="D31" s="4">
        <v>-10</v>
      </c>
      <c r="E31" s="4"/>
      <c r="F31" s="4"/>
    </row>
    <row r="32" spans="1:6" x14ac:dyDescent="0.25">
      <c r="A32" s="19" t="s">
        <v>8</v>
      </c>
      <c r="B32" s="18">
        <v>64</v>
      </c>
      <c r="C32" s="18">
        <v>-57</v>
      </c>
      <c r="D32" s="4">
        <v>12</v>
      </c>
      <c r="E32" s="4"/>
      <c r="F32" s="4"/>
    </row>
    <row r="33" spans="1:6" x14ac:dyDescent="0.25">
      <c r="A33" s="17" t="s">
        <v>9</v>
      </c>
      <c r="B33" s="18">
        <v>118</v>
      </c>
      <c r="C33" s="18">
        <v>-28</v>
      </c>
      <c r="D33" s="4">
        <v>42</v>
      </c>
      <c r="E33" s="4"/>
      <c r="F33" s="4"/>
    </row>
    <row r="34" spans="1:6" x14ac:dyDescent="0.25">
      <c r="A34" s="17" t="s">
        <v>10</v>
      </c>
      <c r="B34" s="18">
        <v>187</v>
      </c>
      <c r="C34" s="18">
        <v>26</v>
      </c>
      <c r="D34" s="4">
        <v>78</v>
      </c>
      <c r="E34" s="4"/>
      <c r="F34" s="4"/>
    </row>
    <row r="35" spans="1:6" x14ac:dyDescent="0.25">
      <c r="A35" s="17" t="s">
        <v>11</v>
      </c>
      <c r="B35" s="18">
        <v>198</v>
      </c>
      <c r="C35" s="18">
        <v>-10</v>
      </c>
      <c r="D35" s="4">
        <v>85</v>
      </c>
      <c r="E35" s="4"/>
      <c r="F35" s="4"/>
    </row>
    <row r="36" spans="1:6" x14ac:dyDescent="0.25">
      <c r="A36" s="17" t="s">
        <v>12</v>
      </c>
      <c r="B36" s="18">
        <v>111</v>
      </c>
      <c r="C36" s="18">
        <v>-218</v>
      </c>
      <c r="D36" s="4">
        <v>18</v>
      </c>
      <c r="E36" s="4"/>
      <c r="F36" s="4"/>
    </row>
    <row r="37" spans="1:6" x14ac:dyDescent="0.25">
      <c r="A37" s="17" t="s">
        <v>13</v>
      </c>
      <c r="B37" s="18">
        <v>66</v>
      </c>
      <c r="C37" s="18">
        <v>-217</v>
      </c>
      <c r="D37" s="4">
        <v>-27</v>
      </c>
      <c r="E37" s="4"/>
      <c r="F37" s="4"/>
    </row>
    <row r="38" spans="1:6" x14ac:dyDescent="0.25">
      <c r="A38" s="17" t="s">
        <v>14</v>
      </c>
      <c r="B38" s="18">
        <v>30</v>
      </c>
      <c r="C38" s="18">
        <v>-144</v>
      </c>
      <c r="D38" s="4">
        <v>-38</v>
      </c>
      <c r="E38" s="4"/>
      <c r="F38" s="4"/>
    </row>
    <row r="39" spans="1:6" x14ac:dyDescent="0.25">
      <c r="A39" s="17" t="s">
        <v>15</v>
      </c>
      <c r="B39" s="18">
        <v>15</v>
      </c>
      <c r="C39" s="18">
        <v>-126</v>
      </c>
      <c r="D39" s="4">
        <v>-41</v>
      </c>
      <c r="E39" s="4"/>
      <c r="F39" s="4"/>
    </row>
    <row r="40" spans="1:6" x14ac:dyDescent="0.25">
      <c r="A40" s="19" t="s">
        <v>16</v>
      </c>
      <c r="B40" s="18">
        <v>3</v>
      </c>
      <c r="C40" s="18">
        <v>-93</v>
      </c>
      <c r="D40" s="4">
        <v>-47</v>
      </c>
      <c r="E40" s="4"/>
      <c r="F40" s="4"/>
    </row>
    <row r="41" spans="1:6" x14ac:dyDescent="0.25">
      <c r="A41" s="19" t="s">
        <v>17</v>
      </c>
      <c r="B41" s="18">
        <v>-7</v>
      </c>
      <c r="C41" s="18">
        <v>-88</v>
      </c>
      <c r="D41" s="4">
        <v>-47</v>
      </c>
      <c r="E41" s="4"/>
      <c r="F41" s="4"/>
    </row>
    <row r="42" spans="1:6" x14ac:dyDescent="0.25">
      <c r="A42" s="19" t="s">
        <v>18</v>
      </c>
      <c r="B42" s="18">
        <v>-12</v>
      </c>
      <c r="C42" s="18">
        <v>-77</v>
      </c>
      <c r="D42" s="4">
        <v>-43</v>
      </c>
      <c r="E42" s="4"/>
      <c r="F42" s="4"/>
    </row>
    <row r="43" spans="1:6" x14ac:dyDescent="0.25">
      <c r="A43" s="19" t="s">
        <v>19</v>
      </c>
      <c r="B43" s="18">
        <v>-8</v>
      </c>
      <c r="C43" s="18">
        <v>-85</v>
      </c>
      <c r="D43" s="4">
        <v>-35</v>
      </c>
      <c r="E43" s="4"/>
      <c r="F43" s="4"/>
    </row>
    <row r="44" spans="1:6" x14ac:dyDescent="0.25">
      <c r="A44" s="19" t="s">
        <v>20</v>
      </c>
      <c r="B44" s="18">
        <v>18</v>
      </c>
      <c r="C44" s="18">
        <v>-108</v>
      </c>
      <c r="D44" s="4">
        <v>-29</v>
      </c>
      <c r="E44" s="4"/>
      <c r="F44" s="4"/>
    </row>
    <row r="45" spans="1:6" x14ac:dyDescent="0.25">
      <c r="A45" s="17" t="s">
        <v>21</v>
      </c>
      <c r="B45" s="18">
        <v>36</v>
      </c>
      <c r="C45" s="18">
        <v>-163</v>
      </c>
      <c r="D45" s="4">
        <v>-21</v>
      </c>
      <c r="E45" s="4"/>
      <c r="F45" s="4"/>
    </row>
    <row r="46" spans="1:6" x14ac:dyDescent="0.25">
      <c r="A46" s="17" t="s">
        <v>22</v>
      </c>
      <c r="B46" s="18">
        <v>104</v>
      </c>
      <c r="C46" s="18">
        <v>-53</v>
      </c>
      <c r="D46" s="4">
        <v>6</v>
      </c>
      <c r="E46" s="4"/>
      <c r="F46" s="4"/>
    </row>
    <row r="47" spans="1:6" x14ac:dyDescent="0.25">
      <c r="A47" s="17" t="s">
        <v>23</v>
      </c>
      <c r="B47" s="18">
        <v>99</v>
      </c>
      <c r="C47" s="18">
        <v>-144</v>
      </c>
      <c r="D47" s="4">
        <v>12</v>
      </c>
      <c r="E47" s="4"/>
      <c r="F47" s="4"/>
    </row>
    <row r="48" spans="1:6" x14ac:dyDescent="0.25">
      <c r="A48" s="17" t="s">
        <v>24</v>
      </c>
      <c r="B48" s="18">
        <v>55</v>
      </c>
      <c r="C48" s="18">
        <v>-150</v>
      </c>
      <c r="D48" s="4">
        <v>-24</v>
      </c>
      <c r="E48" s="4"/>
      <c r="F48" s="4"/>
    </row>
    <row r="49" spans="1:6" x14ac:dyDescent="0.25">
      <c r="A49" s="17" t="s">
        <v>25</v>
      </c>
      <c r="B49" s="18">
        <v>36</v>
      </c>
      <c r="C49" s="18">
        <v>-130</v>
      </c>
      <c r="D49" s="4">
        <v>-31</v>
      </c>
      <c r="E49" s="4"/>
      <c r="F49" s="4"/>
    </row>
    <row r="50" spans="1:6" x14ac:dyDescent="0.25">
      <c r="A50" s="17" t="s">
        <v>26</v>
      </c>
      <c r="B50" s="18">
        <v>125</v>
      </c>
      <c r="C50" s="18">
        <v>-105</v>
      </c>
      <c r="D50" s="4">
        <v>-27</v>
      </c>
      <c r="E50" s="4"/>
      <c r="F50" s="4"/>
    </row>
    <row r="51" spans="1:6" x14ac:dyDescent="0.25">
      <c r="A51" s="17" t="s">
        <v>27</v>
      </c>
      <c r="B51" s="18">
        <v>100</v>
      </c>
      <c r="C51" s="18">
        <v>-105</v>
      </c>
      <c r="D51" s="4">
        <v>-26</v>
      </c>
      <c r="E51" s="4"/>
      <c r="F51" s="4"/>
    </row>
    <row r="52" spans="1:6" x14ac:dyDescent="0.25">
      <c r="A52" s="19" t="s">
        <v>28</v>
      </c>
      <c r="B52" s="18">
        <v>73</v>
      </c>
      <c r="C52" s="18">
        <v>-105</v>
      </c>
      <c r="D52" s="4">
        <v>-22</v>
      </c>
      <c r="E52" s="4"/>
      <c r="F52" s="4"/>
    </row>
    <row r="53" spans="1:6" x14ac:dyDescent="0.25">
      <c r="A53" s="19" t="s">
        <v>29</v>
      </c>
      <c r="B53" s="18">
        <v>0</v>
      </c>
      <c r="C53" s="18">
        <v>-55</v>
      </c>
      <c r="D53" s="4">
        <v>-30</v>
      </c>
      <c r="E53" s="4"/>
      <c r="F53" s="4"/>
    </row>
    <row r="54" spans="1:6" x14ac:dyDescent="0.25">
      <c r="A54" s="19" t="s">
        <v>30</v>
      </c>
      <c r="B54" s="18">
        <v>0</v>
      </c>
      <c r="C54" s="18">
        <v>-150</v>
      </c>
      <c r="D54" s="4">
        <v>-40</v>
      </c>
      <c r="E54" s="4"/>
      <c r="F54" s="4"/>
    </row>
    <row r="55" spans="1:6" x14ac:dyDescent="0.25">
      <c r="A55" s="19" t="s">
        <v>31</v>
      </c>
      <c r="B55" s="18">
        <v>0</v>
      </c>
      <c r="C55" s="18">
        <v>-140</v>
      </c>
      <c r="D55" s="4">
        <v>-36</v>
      </c>
      <c r="E55" s="4"/>
      <c r="F55" s="4"/>
    </row>
    <row r="56" spans="1:6" x14ac:dyDescent="0.25">
      <c r="A56" s="19" t="s">
        <v>32</v>
      </c>
      <c r="B56" s="18">
        <v>65</v>
      </c>
      <c r="C56" s="18">
        <v>-100</v>
      </c>
      <c r="D56" s="4">
        <v>-25</v>
      </c>
      <c r="E56" s="4"/>
      <c r="F56" s="4"/>
    </row>
    <row r="57" spans="1:6" x14ac:dyDescent="0.25">
      <c r="A57" s="17" t="s">
        <v>33</v>
      </c>
      <c r="B57" s="18">
        <v>60</v>
      </c>
      <c r="C57" s="18">
        <v>-75</v>
      </c>
      <c r="D57" s="4">
        <v>0</v>
      </c>
      <c r="E57" s="4"/>
      <c r="F57" s="4"/>
    </row>
    <row r="58" spans="1:6" x14ac:dyDescent="0.25">
      <c r="A58" s="17" t="s">
        <v>34</v>
      </c>
      <c r="B58" s="18">
        <v>160</v>
      </c>
      <c r="C58" s="18">
        <v>-45</v>
      </c>
      <c r="D58" s="4">
        <v>11</v>
      </c>
      <c r="E58" s="4"/>
      <c r="F58" s="4"/>
    </row>
    <row r="59" spans="1:6" x14ac:dyDescent="0.25">
      <c r="A59" s="17" t="s">
        <v>35</v>
      </c>
      <c r="B59" s="18">
        <v>102</v>
      </c>
      <c r="C59" s="18">
        <v>-40</v>
      </c>
      <c r="D59" s="4">
        <v>14</v>
      </c>
      <c r="E59" s="4"/>
      <c r="F59" s="4"/>
    </row>
    <row r="60" spans="1:6" x14ac:dyDescent="0.25">
      <c r="A60" s="17" t="s">
        <v>36</v>
      </c>
      <c r="B60" s="18">
        <v>30</v>
      </c>
      <c r="C60" s="18">
        <v>-80</v>
      </c>
      <c r="D60" s="4">
        <v>-30</v>
      </c>
      <c r="E60" s="4"/>
      <c r="F60" s="4"/>
    </row>
    <row r="61" spans="1:6" x14ac:dyDescent="0.25">
      <c r="A61" s="17" t="s">
        <v>37</v>
      </c>
      <c r="B61" s="18">
        <v>10</v>
      </c>
      <c r="C61" s="18">
        <v>-80</v>
      </c>
      <c r="D61" s="4">
        <v>-31</v>
      </c>
      <c r="E61" s="4"/>
      <c r="F61" s="4"/>
    </row>
    <row r="62" spans="1:6" x14ac:dyDescent="0.25">
      <c r="A62" s="17" t="s">
        <v>38</v>
      </c>
      <c r="B62" s="18">
        <v>25</v>
      </c>
      <c r="C62" s="18">
        <v>-80</v>
      </c>
      <c r="D62" s="4">
        <v>-16</v>
      </c>
      <c r="E62" s="4"/>
      <c r="F62" s="4"/>
    </row>
    <row r="63" spans="1:6" x14ac:dyDescent="0.25">
      <c r="A63" s="17" t="s">
        <v>39</v>
      </c>
      <c r="B63" s="18">
        <v>6</v>
      </c>
      <c r="C63" s="18">
        <v>-60</v>
      </c>
      <c r="D63" s="4">
        <v>-19</v>
      </c>
      <c r="E63" s="4"/>
      <c r="F63" s="4"/>
    </row>
    <row r="64" spans="1:6" x14ac:dyDescent="0.25">
      <c r="A64" s="19" t="s">
        <v>40</v>
      </c>
      <c r="B64" s="18">
        <v>3</v>
      </c>
      <c r="C64" s="18">
        <v>-60</v>
      </c>
      <c r="D64" s="4">
        <v>-23</v>
      </c>
      <c r="E64" s="4"/>
      <c r="F64" s="4"/>
    </row>
    <row r="65" spans="1:6" x14ac:dyDescent="0.25">
      <c r="A65" s="19" t="s">
        <v>41</v>
      </c>
      <c r="B65" s="18">
        <v>-15</v>
      </c>
      <c r="C65" s="18">
        <v>-62</v>
      </c>
      <c r="D65" s="4">
        <v>-39</v>
      </c>
      <c r="E65" s="4"/>
      <c r="F65" s="4"/>
    </row>
    <row r="66" spans="1:6" x14ac:dyDescent="0.25">
      <c r="A66" s="19" t="s">
        <v>42</v>
      </c>
      <c r="B66" s="18">
        <v>-8</v>
      </c>
      <c r="C66" s="18">
        <v>-62</v>
      </c>
      <c r="D66" s="4">
        <v>-37</v>
      </c>
      <c r="E66" s="4"/>
      <c r="F66" s="4"/>
    </row>
    <row r="67" spans="1:6" x14ac:dyDescent="0.25">
      <c r="A67" s="19" t="s">
        <v>43</v>
      </c>
      <c r="B67" s="18">
        <v>6</v>
      </c>
      <c r="C67" s="18">
        <v>-51</v>
      </c>
      <c r="D67" s="4">
        <v>-23</v>
      </c>
      <c r="E67" s="4"/>
      <c r="F67" s="4"/>
    </row>
    <row r="68" spans="1:6" x14ac:dyDescent="0.25">
      <c r="A68" s="19" t="s">
        <v>44</v>
      </c>
      <c r="B68" s="18">
        <v>13</v>
      </c>
      <c r="C68" s="18">
        <v>-34</v>
      </c>
      <c r="D68" s="4">
        <v>-11</v>
      </c>
      <c r="E68" s="4"/>
      <c r="F68" s="4"/>
    </row>
    <row r="69" spans="1:6" x14ac:dyDescent="0.25">
      <c r="A69" s="19" t="s">
        <v>45</v>
      </c>
      <c r="B69" s="18">
        <v>17</v>
      </c>
      <c r="C69" s="18">
        <v>-59</v>
      </c>
      <c r="D69" s="4">
        <v>4</v>
      </c>
      <c r="E69" s="4"/>
      <c r="F69" s="4"/>
    </row>
    <row r="70" spans="1:6" x14ac:dyDescent="0.25">
      <c r="A70" s="17" t="s">
        <v>46</v>
      </c>
      <c r="B70" s="18">
        <v>40</v>
      </c>
      <c r="C70" s="18">
        <v>-40</v>
      </c>
      <c r="D70" s="4">
        <v>14</v>
      </c>
      <c r="E70" s="4"/>
      <c r="F70" s="4"/>
    </row>
    <row r="71" spans="1:6" x14ac:dyDescent="0.25">
      <c r="A71" s="17" t="s">
        <v>47</v>
      </c>
      <c r="B71" s="18">
        <v>54</v>
      </c>
      <c r="C71" s="18">
        <v>-20</v>
      </c>
      <c r="D71" s="4">
        <v>21</v>
      </c>
      <c r="E71" s="4"/>
      <c r="F71" s="4"/>
    </row>
    <row r="72" spans="1:6" x14ac:dyDescent="0.25">
      <c r="A72" s="17" t="s">
        <v>48</v>
      </c>
      <c r="B72" s="18">
        <v>41</v>
      </c>
      <c r="C72" s="18">
        <v>-23</v>
      </c>
      <c r="D72" s="4">
        <v>5</v>
      </c>
      <c r="E72" s="4"/>
      <c r="F72" s="4"/>
    </row>
    <row r="73" spans="1:6" x14ac:dyDescent="0.25">
      <c r="A73" s="17" t="s">
        <v>49</v>
      </c>
      <c r="B73" s="18">
        <v>96</v>
      </c>
      <c r="C73" s="18">
        <v>-23</v>
      </c>
      <c r="D73" s="4">
        <v>6</v>
      </c>
      <c r="E73" s="4"/>
      <c r="F73" s="4"/>
    </row>
    <row r="74" spans="1:6" x14ac:dyDescent="0.25">
      <c r="A74" s="17" t="s">
        <v>50</v>
      </c>
      <c r="B74" s="18">
        <f>MAX('Non-shuttle Bids'!D280:E306)</f>
        <v>51</v>
      </c>
      <c r="C74" s="18">
        <f>MIN('Non-shuttle Bids'!D280:E306)</f>
        <v>-20</v>
      </c>
      <c r="D74" s="22">
        <f>AVERAGE('Non-shuttle Bids'!D280:E306)</f>
        <v>4.833333333333333</v>
      </c>
      <c r="E74" s="65">
        <f>STDEV('Non-shuttle Bids'!D270:E306)</f>
        <v>16.421159263118895</v>
      </c>
      <c r="F74" s="22"/>
    </row>
    <row r="75" spans="1:6" x14ac:dyDescent="0.25">
      <c r="A75" s="17" t="s">
        <v>51</v>
      </c>
      <c r="B75" s="18">
        <f>MAX('Non-shuttle Bids'!H283:I311)</f>
        <v>43</v>
      </c>
      <c r="C75" s="18">
        <f>MIN('Non-shuttle Bids'!H283:I311)</f>
        <v>-20</v>
      </c>
      <c r="D75" s="22">
        <f>AVERAGE('Non-shuttle Bids'!H283:I311)</f>
        <v>4.541666666666667</v>
      </c>
      <c r="E75" s="65">
        <f>STDEV('Non-shuttle Bids'!H283:I311)</f>
        <v>13.322446796759305</v>
      </c>
      <c r="F75" s="22"/>
    </row>
    <row r="76" spans="1:6" x14ac:dyDescent="0.25">
      <c r="A76" s="19" t="s">
        <v>52</v>
      </c>
      <c r="B76" s="18">
        <f>MAX('Non-shuttle Bids'!L288:M315)</f>
        <v>21</v>
      </c>
      <c r="C76" s="18">
        <f>MIN('Non-shuttle Bids'!L288:M315)</f>
        <v>-28</v>
      </c>
      <c r="D76" s="22">
        <f>AVERAGE('Non-shuttle Bids'!L288:M315)</f>
        <v>0.15217391304347827</v>
      </c>
      <c r="E76" s="65">
        <f>STDEV('Non-shuttle Bids'!L288:M315)</f>
        <v>10.96654993109977</v>
      </c>
      <c r="F76" s="22"/>
    </row>
    <row r="77" spans="1:6" x14ac:dyDescent="0.25">
      <c r="A77" s="19" t="s">
        <v>53</v>
      </c>
      <c r="B77" s="18">
        <f>MAX('Non-shuttle Bids'!P292:Q319)</f>
        <v>0</v>
      </c>
      <c r="C77" s="18">
        <f>MIN('Non-shuttle Bids'!P292:Q319)</f>
        <v>-34</v>
      </c>
      <c r="D77" s="22">
        <f>AVERAGE('Non-shuttle Bids'!P292:Q319)</f>
        <v>-10.235294117647058</v>
      </c>
      <c r="E77" s="65">
        <f>STDEV('Non-shuttle Bids'!P292:Q319)</f>
        <v>8.0338987678315128</v>
      </c>
      <c r="F77" s="22"/>
    </row>
    <row r="78" spans="1:6" x14ac:dyDescent="0.25">
      <c r="A78" s="19" t="s">
        <v>54</v>
      </c>
      <c r="B78" s="18">
        <f>MAX('Non-shuttle Bids'!T297:U324)</f>
        <v>0</v>
      </c>
      <c r="C78" s="18">
        <f>MIN('Non-shuttle Bids'!T297:U324)</f>
        <v>-34</v>
      </c>
      <c r="D78" s="22">
        <f>AVERAGE('Non-shuttle Bids'!T297:U324)</f>
        <v>-12.94</v>
      </c>
      <c r="E78" s="65">
        <f>STDEV('Non-shuttle Bids'!T297:U324)</f>
        <v>8.291648121539442</v>
      </c>
      <c r="F78" s="22"/>
    </row>
    <row r="79" spans="1:6" x14ac:dyDescent="0.25">
      <c r="A79" s="19" t="s">
        <v>55</v>
      </c>
      <c r="B79" s="18">
        <f>MAX('Non-shuttle Bids'!X301:Y328)</f>
        <v>5</v>
      </c>
      <c r="C79" s="18">
        <f>MIN('Non-shuttle Bids'!X301:Y328)</f>
        <v>-17</v>
      </c>
      <c r="D79" s="22">
        <f>AVERAGE('Non-shuttle Bids'!X301:Y328)</f>
        <v>-3.7884615384615383</v>
      </c>
      <c r="E79" s="65">
        <f>STDEV('Non-shuttle Bids'!X301:Y328)</f>
        <v>6.5867857568266821</v>
      </c>
      <c r="F79" s="22"/>
    </row>
    <row r="80" spans="1:6" x14ac:dyDescent="0.25">
      <c r="A80" s="19" t="s">
        <v>56</v>
      </c>
      <c r="B80" s="18">
        <f>MAX('Non-shuttle Bids'!AB305:AC332)</f>
        <v>94</v>
      </c>
      <c r="C80" s="18">
        <f>MIN('Non-shuttle Bids'!AB305:AC332)</f>
        <v>-10</v>
      </c>
      <c r="D80" s="22">
        <f>AVERAGE('Non-shuttle Bids'!AB305:AC332)</f>
        <v>4.9423076923076925</v>
      </c>
      <c r="E80" s="65">
        <f>STDEV('Non-shuttle Bids'!AB305:AC332)</f>
        <v>15.597150898121209</v>
      </c>
      <c r="F80" s="22"/>
    </row>
    <row r="81" spans="1:6" x14ac:dyDescent="0.25">
      <c r="A81" s="17" t="s">
        <v>57</v>
      </c>
      <c r="B81" s="18">
        <f>MAX('Non-shuttle Bids'!AF310:AG336)</f>
        <v>125</v>
      </c>
      <c r="C81" s="18">
        <f>MIN('Non-shuttle Bids'!AF310:AG336)</f>
        <v>-1</v>
      </c>
      <c r="D81" s="22">
        <f>AVERAGE('Non-shuttle Bids'!AF310:AG336)</f>
        <v>21.44</v>
      </c>
      <c r="E81" s="65">
        <f>STDEV('Non-shuttle Bids'!AF310:AG336)</f>
        <v>29.759690584303282</v>
      </c>
      <c r="F81" s="22"/>
    </row>
    <row r="82" spans="1:6" x14ac:dyDescent="0.25">
      <c r="A82" s="17" t="s">
        <v>58</v>
      </c>
      <c r="B82" s="18">
        <f>MAX('Non-shuttle Bids'!AJ314:AK337)</f>
        <v>132</v>
      </c>
      <c r="C82" s="18">
        <f>MIN('Non-shuttle Bids'!AJ314:AK337)</f>
        <v>8</v>
      </c>
      <c r="D82" s="22">
        <f>AVERAGE('Non-shuttle Bids'!AJ314:AK337)</f>
        <v>30.522727272727273</v>
      </c>
      <c r="E82" s="65">
        <f>STDEV('Non-shuttle Bids'!AJ314:AK337)</f>
        <v>29.413245423490668</v>
      </c>
      <c r="F82" s="22"/>
    </row>
    <row r="83" spans="1:6" x14ac:dyDescent="0.25">
      <c r="A83" s="17" t="s">
        <v>59</v>
      </c>
      <c r="B83" s="18">
        <f>MAX('Non-shuttle Bids'!AN318:AO341)</f>
        <v>116</v>
      </c>
      <c r="C83" s="18">
        <f>MIN('Non-shuttle Bids'!AN318:AO341)</f>
        <v>14</v>
      </c>
      <c r="D83" s="22">
        <f>AVERAGE('Non-shuttle Bids'!AN318:AO341)</f>
        <v>41</v>
      </c>
      <c r="E83" s="65">
        <f>STDEV('Non-shuttle Bids'!AN318:AO341)</f>
        <v>26.596030478424826</v>
      </c>
      <c r="F83" s="22"/>
    </row>
    <row r="84" spans="1:6" x14ac:dyDescent="0.25">
      <c r="A84" s="17" t="s">
        <v>60</v>
      </c>
      <c r="B84" s="18">
        <f>MAX('Non-shuttle Bids'!AR323:AS345)</f>
        <v>38</v>
      </c>
      <c r="C84" s="18">
        <f>MIN('Non-shuttle Bids'!AR323:AS345)</f>
        <v>-11</v>
      </c>
      <c r="D84" s="22">
        <f>AVERAGE('Non-shuttle Bids'!AR323:AS345)</f>
        <v>15.714285714285714</v>
      </c>
      <c r="E84" s="65">
        <f>STDEV('Non-shuttle Bids'!AR323:AS345)</f>
        <v>12.002612955937339</v>
      </c>
      <c r="F84" s="22"/>
    </row>
    <row r="85" spans="1:6" x14ac:dyDescent="0.25">
      <c r="A85" s="17" t="s">
        <v>61</v>
      </c>
      <c r="B85" s="18">
        <f>MAX('Non-shuttle Bids'!AV327:AW350)</f>
        <v>334</v>
      </c>
      <c r="C85" s="18">
        <f>MIN('Non-shuttle Bids'!AV327:AW350)</f>
        <v>-14</v>
      </c>
      <c r="D85" s="22">
        <f>AVERAGE('Non-shuttle Bids'!AV327:AW350)</f>
        <v>31.045454545454547</v>
      </c>
      <c r="E85" s="65">
        <f>STDEV('Non-shuttle Bids'!AV327:AW350)</f>
        <v>59.688320132616397</v>
      </c>
      <c r="F85" s="22"/>
    </row>
    <row r="86" spans="1:6" x14ac:dyDescent="0.25">
      <c r="A86" s="17" t="s">
        <v>62</v>
      </c>
      <c r="B86" s="18">
        <f>MAX('Non-shuttle Bids'!D331:E354)</f>
        <v>225</v>
      </c>
      <c r="C86" s="18">
        <f>MIN('Non-shuttle Bids'!D331:E354)</f>
        <v>-9</v>
      </c>
      <c r="D86" s="22">
        <f>AVERAGE('Non-shuttle Bids'!D331:E354)</f>
        <v>43</v>
      </c>
      <c r="E86" s="65">
        <f>STDEV('Non-shuttle Bids'!D331:E354)</f>
        <v>67.837356793614731</v>
      </c>
      <c r="F86" s="22"/>
    </row>
    <row r="87" spans="1:6" x14ac:dyDescent="0.25">
      <c r="A87" s="17" t="s">
        <v>63</v>
      </c>
      <c r="B87" s="18">
        <f>MAX('Non-shuttle Bids'!H335:I359)</f>
        <v>156</v>
      </c>
      <c r="C87" s="18">
        <f>MIN('Non-shuttle Bids'!H335:I359)</f>
        <v>-9</v>
      </c>
      <c r="D87" s="22">
        <f>AVERAGE('Non-shuttle Bids'!H335:I359)</f>
        <v>40.152173913043477</v>
      </c>
      <c r="E87" s="65">
        <f>STDEV('Non-shuttle Bids'!H335:I359)</f>
        <v>46.974209184428169</v>
      </c>
      <c r="F87" s="22"/>
    </row>
    <row r="88" spans="1:6" x14ac:dyDescent="0.25">
      <c r="A88" s="19" t="s">
        <v>64</v>
      </c>
      <c r="B88" s="18">
        <f>MAX('Non-shuttle Bids'!L336:M363)</f>
        <v>257</v>
      </c>
      <c r="C88" s="18">
        <f>MIN('Non-shuttle Bids'!L336:M363)</f>
        <v>-9</v>
      </c>
      <c r="D88" s="22">
        <f>AVERAGE('Non-shuttle Bids'!L336:M363)</f>
        <v>42.403846153846153</v>
      </c>
      <c r="E88" s="65">
        <f>STDEV('Non-shuttle Bids'!L336:M363)</f>
        <v>59.204616809702529</v>
      </c>
      <c r="F88" s="22"/>
    </row>
    <row r="89" spans="1:6" x14ac:dyDescent="0.25">
      <c r="A89" s="19" t="s">
        <v>65</v>
      </c>
      <c r="B89" s="18">
        <f>MAX('Non-shuttle Bids'!P340:Q367)</f>
        <v>207</v>
      </c>
      <c r="C89" s="18">
        <f>MIN('Non-shuttle Bids'!P340:Q367)</f>
        <v>-7</v>
      </c>
      <c r="D89" s="22">
        <f>AVERAGE('Non-shuttle Bids'!P340:Q367)</f>
        <v>36.363636363636367</v>
      </c>
      <c r="E89" s="65">
        <f>STDEV('Non-shuttle Bids'!P340:Q367)</f>
        <v>58.323512714055163</v>
      </c>
      <c r="F89" s="22"/>
    </row>
    <row r="90" spans="1:6" x14ac:dyDescent="0.25">
      <c r="A90" s="19" t="s">
        <v>66</v>
      </c>
      <c r="B90" s="18">
        <f>MAX('Non-shuttle Bids'!T344:U372)</f>
        <v>138</v>
      </c>
      <c r="C90" s="18">
        <f>MIN('Non-shuttle Bids'!T344:U372)</f>
        <v>-8</v>
      </c>
      <c r="D90" s="22">
        <f>AVERAGE('Non-shuttle Bids'!T344:U372)</f>
        <v>39.604166666666664</v>
      </c>
      <c r="E90" s="65">
        <f>STDEV('Non-shuttle Bids'!T344:U372)</f>
        <v>46.458739224763839</v>
      </c>
      <c r="F90" s="22"/>
    </row>
    <row r="91" spans="1:6" x14ac:dyDescent="0.25">
      <c r="A91" s="19" t="s">
        <v>67</v>
      </c>
      <c r="B91" s="18">
        <f>MAX('Non-shuttle Bids'!X348:Y376)</f>
        <v>129</v>
      </c>
      <c r="C91" s="18">
        <f>MIN('Non-shuttle Bids'!X348:Y376)</f>
        <v>-13</v>
      </c>
      <c r="D91" s="22">
        <f>AVERAGE('Non-shuttle Bids'!X348:Y376)</f>
        <v>36.846153846153847</v>
      </c>
      <c r="E91" s="65">
        <f>STDEV('Non-shuttle Bids'!X348:Y376)</f>
        <v>39.087325369291861</v>
      </c>
      <c r="F91" s="22"/>
    </row>
    <row r="92" spans="1:6" x14ac:dyDescent="0.25">
      <c r="A92" s="20" t="s">
        <v>68</v>
      </c>
      <c r="B92" s="18">
        <f>MAX('Non-shuttle Bids'!AB353:AC380)</f>
        <v>138</v>
      </c>
      <c r="C92" s="18">
        <f>MIN('Non-shuttle Bids'!AB353:AC380)</f>
        <v>-28</v>
      </c>
      <c r="D92" s="22">
        <f>AVERAGE('Non-shuttle Bids'!AB353:AC380)</f>
        <v>43.765957446808514</v>
      </c>
      <c r="E92" s="65">
        <f>STDEV('Non-shuttle Bids'!AB353:AC380)</f>
        <v>41.047804986041129</v>
      </c>
      <c r="F92" s="22"/>
    </row>
    <row r="93" spans="1:6" x14ac:dyDescent="0.25">
      <c r="A93" s="21" t="s">
        <v>89</v>
      </c>
      <c r="B93" s="18">
        <f>MAX('Non-shuttle Bids'!AF358:AG385)</f>
        <v>150</v>
      </c>
      <c r="C93" s="18">
        <f>MIN('Non-shuttle Bids'!AF358:AG385)</f>
        <v>-73</v>
      </c>
      <c r="D93" s="22">
        <f>AVERAGE('Non-shuttle Bids'!AF358:AG385)</f>
        <v>50.723404255319146</v>
      </c>
      <c r="E93" s="65">
        <f>STDEV('Non-shuttle Bids'!AF358:AG385)</f>
        <v>53.242554951132178</v>
      </c>
      <c r="F93" s="22"/>
    </row>
    <row r="94" spans="1:6" x14ac:dyDescent="0.25">
      <c r="A94" s="21" t="s">
        <v>90</v>
      </c>
      <c r="B94" s="18">
        <f>MAX('Non-shuttle Bids'!AJ362:AK389)</f>
        <v>156</v>
      </c>
      <c r="C94" s="18">
        <f>MIN('Non-shuttle Bids'!AJ362:AK389)</f>
        <v>-25</v>
      </c>
      <c r="D94" s="22">
        <f>AVERAGE('Non-shuttle Bids'!AJ362:AK389)</f>
        <v>76.260000000000005</v>
      </c>
      <c r="E94" s="65">
        <f>STDEV('Non-shuttle Bids'!AJ362:AK389)</f>
        <v>50.018286451975108</v>
      </c>
      <c r="F94" s="22"/>
    </row>
    <row r="95" spans="1:6" x14ac:dyDescent="0.25">
      <c r="A95" s="21" t="s">
        <v>91</v>
      </c>
      <c r="B95" s="18">
        <f>MAX('Non-shuttle Bids'!AN366:AO394)</f>
        <v>194</v>
      </c>
      <c r="C95" s="18">
        <f>MIN('Non-shuttle Bids'!AN366:AO394)</f>
        <v>-16</v>
      </c>
      <c r="D95" s="22">
        <f>AVERAGE('Non-shuttle Bids'!AN366:AO394)</f>
        <v>104.19565217391305</v>
      </c>
      <c r="E95" s="65">
        <f>STDEV('Non-shuttle Bids'!AN366:AO394)</f>
        <v>47.676511601144917</v>
      </c>
      <c r="F95" s="22"/>
    </row>
    <row r="96" spans="1:6" x14ac:dyDescent="0.25">
      <c r="A96" s="21" t="s">
        <v>92</v>
      </c>
      <c r="B96" s="18">
        <f>MAX('Non-shuttle Bids'!AR371:AS398)</f>
        <v>187</v>
      </c>
      <c r="C96" s="18">
        <f>MIN('Non-shuttle Bids'!AR371:AS398)</f>
        <v>0</v>
      </c>
      <c r="D96" s="22">
        <f>AVERAGE('Non-shuttle Bids'!AR371:AS398)</f>
        <v>94</v>
      </c>
      <c r="E96" s="65">
        <f>STDEV('Non-shuttle Bids'!AR371:AS398)</f>
        <v>43.860688549086866</v>
      </c>
      <c r="F96" s="22"/>
    </row>
    <row r="97" spans="1:6" x14ac:dyDescent="0.25">
      <c r="A97" s="7" t="s">
        <v>93</v>
      </c>
      <c r="B97" s="18">
        <f>MAX('Non-shuttle Bids'!AV375:AW402)</f>
        <v>294</v>
      </c>
      <c r="C97" s="18">
        <f>MIN('Non-shuttle Bids'!AV375:AW402)</f>
        <v>2</v>
      </c>
      <c r="D97" s="22">
        <f>AVERAGE('Non-shuttle Bids'!AV375:AW402)</f>
        <v>102.3921568627451</v>
      </c>
      <c r="E97" s="65">
        <f>STDEV('Non-shuttle Bids'!AV375:AW402)</f>
        <v>79.490648111931392</v>
      </c>
      <c r="F97" s="22"/>
    </row>
    <row r="98" spans="1:6" x14ac:dyDescent="0.25">
      <c r="A98" s="7" t="s">
        <v>94</v>
      </c>
      <c r="B98" s="18">
        <f>MAX('Non-shuttle Bids'!D379:E406)</f>
        <v>269</v>
      </c>
      <c r="C98" s="18">
        <f>MIN('Non-shuttle Bids'!D379:E406)</f>
        <v>50</v>
      </c>
      <c r="D98" s="22">
        <f>AVERAGE('Non-shuttle Bids'!D379:E406)</f>
        <v>197.1904761904762</v>
      </c>
      <c r="E98" s="65">
        <f>STDEV('Non-shuttle Bids'!D379:E406)</f>
        <v>60.865112377797388</v>
      </c>
      <c r="F98" s="22"/>
    </row>
    <row r="99" spans="1:6" x14ac:dyDescent="0.25">
      <c r="A99" s="7" t="s">
        <v>95</v>
      </c>
      <c r="B99" s="18">
        <f>MAX('Non-shuttle Bids'!H384:I411)</f>
        <v>283</v>
      </c>
      <c r="C99" s="18">
        <f>MIN('Non-shuttle Bids'!H384:I411)</f>
        <v>40</v>
      </c>
      <c r="D99" s="22">
        <f>AVERAGE('Non-shuttle Bids'!H384:I411)</f>
        <v>188.10714285714286</v>
      </c>
      <c r="E99" s="65">
        <f>STDEV('Non-shuttle Bids'!H384:I411)</f>
        <v>52.924362020132975</v>
      </c>
      <c r="F99" s="22"/>
    </row>
    <row r="100" spans="1:6" x14ac:dyDescent="0.25">
      <c r="A100" s="7" t="s">
        <v>96</v>
      </c>
      <c r="B100" s="18">
        <f>MAX('Non-shuttle Bids'!L388:M415)</f>
        <v>233</v>
      </c>
      <c r="C100" s="18">
        <f>MIN('Non-shuttle Bids'!L388:M415)</f>
        <v>-17</v>
      </c>
      <c r="D100" s="22">
        <f>AVERAGE('Non-shuttle Bids'!L388:M415)</f>
        <v>150.81081081081081</v>
      </c>
      <c r="E100" s="65">
        <f>STDEV('Non-shuttle Bids'!L388:M415)</f>
        <v>53.910335969314112</v>
      </c>
      <c r="F100" s="22"/>
    </row>
    <row r="101" spans="1:6" x14ac:dyDescent="0.25">
      <c r="A101" s="7" t="s">
        <v>97</v>
      </c>
      <c r="B101" s="18">
        <f>MAX('Non-shuttle Bids'!P392:Q420)</f>
        <v>163</v>
      </c>
      <c r="C101" s="18">
        <f>MIN('Non-shuttle Bids'!P392:Q420)</f>
        <v>-35</v>
      </c>
      <c r="D101" s="22">
        <f>AVERAGE('Non-shuttle Bids'!P392:Q420)</f>
        <v>66.04651162790698</v>
      </c>
      <c r="E101" s="65">
        <f>STDEV('Non-shuttle Bids'!P392:Q420)</f>
        <v>59.166010789807551</v>
      </c>
      <c r="F101" s="22"/>
    </row>
    <row r="102" spans="1:6" x14ac:dyDescent="0.25">
      <c r="A102" s="23" t="s">
        <v>99</v>
      </c>
      <c r="B102" s="18">
        <f>MAX('Non-shuttle Bids'!T397:U424)</f>
        <v>175</v>
      </c>
      <c r="C102" s="18">
        <f>MIN('Non-shuttle Bids'!T397:U424)</f>
        <v>-92</v>
      </c>
      <c r="D102" s="22">
        <f>AVERAGE('Non-shuttle Bids'!T397:U424)</f>
        <v>48.490566037735846</v>
      </c>
      <c r="E102" s="65">
        <f>STDEV('Non-shuttle Bids'!T397:U424)</f>
        <v>66.396426757860254</v>
      </c>
      <c r="F102" s="22"/>
    </row>
    <row r="103" spans="1:6" x14ac:dyDescent="0.25">
      <c r="A103" s="7" t="s">
        <v>98</v>
      </c>
      <c r="B103" s="18">
        <f>MAX('Non-shuttle Bids'!X402:Y428)</f>
        <v>150</v>
      </c>
      <c r="C103" s="18">
        <f>MIN('Non-shuttle Bids'!X402:Y428)</f>
        <v>-81</v>
      </c>
      <c r="D103" s="22">
        <f>AVERAGE('Non-shuttle Bids'!X402:Y428)</f>
        <v>33.807692307692307</v>
      </c>
      <c r="E103" s="65">
        <f>STDEV('Non-shuttle Bids'!X402:Y428)</f>
        <v>54.07439989479218</v>
      </c>
      <c r="F103" s="22"/>
    </row>
    <row r="104" spans="1:6" x14ac:dyDescent="0.25">
      <c r="A104" s="7" t="s">
        <v>100</v>
      </c>
      <c r="B104" s="18">
        <f>MAX('Non-shuttle Bids'!AB406:AC432)</f>
        <v>125</v>
      </c>
      <c r="C104" s="18">
        <f>MIN('Non-shuttle Bids'!AB406:AC432)</f>
        <v>-172</v>
      </c>
      <c r="D104" s="22">
        <f>AVERAGE('Non-shuttle Bids'!AB406:AC432)</f>
        <v>34.32692307692308</v>
      </c>
      <c r="E104" s="65">
        <f>STDEV('Non-shuttle Bids'!AB406:AC432)</f>
        <v>52.233908734838685</v>
      </c>
      <c r="F104" s="22"/>
    </row>
    <row r="105" spans="1:6" x14ac:dyDescent="0.25">
      <c r="A105" s="7" t="s">
        <v>101</v>
      </c>
      <c r="B105" s="18">
        <f>MAX('Non-shuttle Bids'!AF410:AG437)</f>
        <v>335</v>
      </c>
      <c r="C105" s="18">
        <f>MIN('Non-shuttle Bids'!AF410:AG437)</f>
        <v>4</v>
      </c>
      <c r="D105" s="22">
        <f>AVERAGE('Non-shuttle Bids'!AF410:AG437)</f>
        <v>84.428571428571431</v>
      </c>
      <c r="E105" s="65">
        <f>STDEV('Non-shuttle Bids'!AF410:AG437)</f>
        <v>58.943190035558345</v>
      </c>
      <c r="F105" s="22"/>
    </row>
    <row r="106" spans="1:6" x14ac:dyDescent="0.25">
      <c r="A106" s="7" t="s">
        <v>102</v>
      </c>
      <c r="B106" s="18">
        <f>MAX('Non-shuttle Bids'!AJ414:AK441)</f>
        <v>425</v>
      </c>
      <c r="C106" s="18">
        <f>MIN('Non-shuttle Bids'!AJ414:AK441)</f>
        <v>50</v>
      </c>
      <c r="D106" s="22">
        <f>AVERAGE('Non-shuttle Bids'!AJ414:AK441)</f>
        <v>142.70454545454547</v>
      </c>
      <c r="E106" s="65">
        <f>STDEV('Non-shuttle Bids'!AJ414:AK441)</f>
        <v>91.574237147196087</v>
      </c>
      <c r="F106" s="22"/>
    </row>
    <row r="107" spans="1:6" x14ac:dyDescent="0.25">
      <c r="A107" s="7" t="s">
        <v>103</v>
      </c>
      <c r="B107" s="18">
        <f>MAX('Non-shuttle Bids'!AN418:AO446)</f>
        <v>913</v>
      </c>
      <c r="C107" s="18">
        <f>MIN('Non-shuttle Bids'!AN418:AO446)</f>
        <v>88</v>
      </c>
      <c r="D107" s="22">
        <f>AVERAGE('Non-shuttle Bids'!AN418:AO446)</f>
        <v>333.25714285714287</v>
      </c>
      <c r="E107" s="65">
        <f>STDEV('Non-shuttle Bids'!AN418:AO446)</f>
        <v>227.18460268574319</v>
      </c>
      <c r="F107" s="22"/>
    </row>
    <row r="108" spans="1:6" x14ac:dyDescent="0.25">
      <c r="A108" s="7" t="s">
        <v>104</v>
      </c>
      <c r="B108" s="18">
        <f>MAX('Non-shuttle Bids'!AR423:AS450)</f>
        <v>1006</v>
      </c>
      <c r="C108" s="18">
        <f>MIN('Non-shuttle Bids'!AR423:AS450)</f>
        <v>88</v>
      </c>
      <c r="D108" s="22">
        <f>AVERAGE('Non-shuttle Bids'!AR423:AS450)</f>
        <v>441.5625</v>
      </c>
      <c r="E108" s="65">
        <f>STDEV('Non-shuttle Bids'!AR423:AS450)</f>
        <v>258.38829713586915</v>
      </c>
      <c r="F108" s="22"/>
    </row>
    <row r="109" spans="1:6" x14ac:dyDescent="0.25">
      <c r="A109" s="7" t="s">
        <v>105</v>
      </c>
      <c r="B109" s="18">
        <f>MAX('Non-shuttle Bids'!AV427:AW454)</f>
        <v>788</v>
      </c>
      <c r="C109" s="18">
        <f>MIN('Non-shuttle Bids'!AV427:AW454)</f>
        <v>83</v>
      </c>
      <c r="D109" s="22">
        <f>AVERAGE('Non-shuttle Bids'!AV427:AW454)</f>
        <v>390.29268292682929</v>
      </c>
      <c r="E109" s="65">
        <f>STDEV('Non-shuttle Bids'!AV427:AW454)</f>
        <v>190.73925184691785</v>
      </c>
      <c r="F109" s="22"/>
    </row>
    <row r="110" spans="1:6" x14ac:dyDescent="0.25">
      <c r="A110" s="7" t="s">
        <v>110</v>
      </c>
      <c r="B110" s="18">
        <f>MAX('Non-shuttle Bids'!D431:E459)</f>
        <v>600</v>
      </c>
      <c r="C110" s="18">
        <f>MIN('Non-shuttle Bids'!D431:E459)</f>
        <v>63</v>
      </c>
      <c r="D110" s="22">
        <f>AVERAGE('Non-shuttle Bids'!D431:E459)</f>
        <v>280.58536585365852</v>
      </c>
      <c r="E110" s="65">
        <f>STDEV('Non-shuttle Bids'!D431:E459)</f>
        <v>102.4470535471265</v>
      </c>
      <c r="F110" s="22"/>
    </row>
    <row r="111" spans="1:6" x14ac:dyDescent="0.25">
      <c r="A111" s="7" t="s">
        <v>111</v>
      </c>
      <c r="B111" s="18">
        <f>MAX('Non-shuttle Bids'!H436:I463)</f>
        <v>400</v>
      </c>
      <c r="C111" s="18">
        <f>MIN('Non-shuttle Bids'!H436:I463)</f>
        <v>8</v>
      </c>
      <c r="D111" s="22">
        <f>AVERAGE('Non-shuttle Bids'!H436:I463)</f>
        <v>234.71739130434781</v>
      </c>
      <c r="E111" s="65">
        <f>STDEV('Non-shuttle Bids'!H436:I463)</f>
        <v>85.804341522760893</v>
      </c>
      <c r="F111" s="22"/>
    </row>
    <row r="112" spans="1:6" x14ac:dyDescent="0.25">
      <c r="A112" s="7" t="s">
        <v>112</v>
      </c>
      <c r="B112" s="18">
        <f>MAX('Non-shuttle Bids'!L440:M467)</f>
        <v>288</v>
      </c>
      <c r="C112" s="18">
        <f>MIN('Non-shuttle Bids'!L440:M467)</f>
        <v>-58</v>
      </c>
      <c r="D112" s="22">
        <f>AVERAGE('Non-shuttle Bids'!L440:M467)</f>
        <v>146.21153846153845</v>
      </c>
      <c r="E112" s="65">
        <f>STDEV('Non-shuttle Bids'!L440:M467)</f>
        <v>103.23366538186542</v>
      </c>
      <c r="F112" s="22"/>
    </row>
    <row r="113" spans="1:10" x14ac:dyDescent="0.25">
      <c r="A113" s="7" t="s">
        <v>113</v>
      </c>
      <c r="B113" s="18">
        <f>MAX('Non-shuttle Bids'!P444:Q471)</f>
        <v>138</v>
      </c>
      <c r="C113" s="18">
        <f>MIN('Non-shuttle Bids'!P444:Q471)</f>
        <v>-175</v>
      </c>
      <c r="D113" s="22">
        <f>AVERAGE('Non-shuttle Bids'!P444:Q471)</f>
        <v>15.955555555555556</v>
      </c>
      <c r="E113" s="65">
        <f>STDEV('Non-shuttle Bids'!P444:Q471)</f>
        <v>76.338646103326255</v>
      </c>
      <c r="F113" s="22"/>
      <c r="G113" s="18">
        <f>MAX('Shuttle Bids'!P446:Q476)</f>
        <v>-13</v>
      </c>
      <c r="H113" s="18">
        <f>MIN('Shuttle Bids'!P446:Q476)</f>
        <v>-317</v>
      </c>
      <c r="I113" s="63">
        <f>AVERAGE('Shuttle Bids'!$P446:$Q476)</f>
        <v>-147.73333333333332</v>
      </c>
      <c r="J113" s="63">
        <f>STDEV('Shuttle Bids'!$P446:$Q476)</f>
        <v>93.573093405763871</v>
      </c>
    </row>
    <row r="114" spans="1:10" x14ac:dyDescent="0.25">
      <c r="A114" s="24" t="s">
        <v>114</v>
      </c>
      <c r="B114" s="18">
        <f>MAX('Non-shuttle Bids'!T448:U476)</f>
        <v>125</v>
      </c>
      <c r="C114" s="18">
        <f>MIN('Non-shuttle Bids'!T448:U476)</f>
        <v>-169</v>
      </c>
      <c r="D114" s="22">
        <f>AVERAGE('Non-shuttle Bids'!T448:U476)</f>
        <v>-16.235294117647058</v>
      </c>
      <c r="E114" s="65">
        <f>STDEV('Non-shuttle Bids'!T448:U476)</f>
        <v>81.132136231038345</v>
      </c>
      <c r="F114" s="22"/>
      <c r="G114" s="18">
        <f>MAX('Shuttle Bids'!T451:U481)</f>
        <v>250</v>
      </c>
      <c r="H114" s="18">
        <f>MIN('Shuttle Bids'!T451:U481)</f>
        <v>-275</v>
      </c>
      <c r="I114" s="63">
        <f>AVERAGE('Shuttle Bids'!$T451:$U481)</f>
        <v>-102.8</v>
      </c>
      <c r="J114" s="63">
        <f>STDEV('Shuttle Bids'!$T451:$U481)</f>
        <v>98.901466116534394</v>
      </c>
    </row>
    <row r="115" spans="1:10" x14ac:dyDescent="0.25">
      <c r="A115" s="7" t="s">
        <v>115</v>
      </c>
      <c r="B115" s="18">
        <f>MAX('Non-shuttle Bids'!X455:Y480)</f>
        <v>100</v>
      </c>
      <c r="C115" s="18">
        <f>MIN('Non-shuttle Bids'!X455:Y480)</f>
        <v>-81</v>
      </c>
      <c r="D115" s="22">
        <f>AVERAGE('Non-shuttle Bids'!X455:Y480)</f>
        <v>3.4423076923076925</v>
      </c>
      <c r="E115" s="65">
        <f>STDEV('Non-shuttle Bids'!X455:Y480)</f>
        <v>44.760107177822256</v>
      </c>
      <c r="F115" s="22"/>
      <c r="G115" s="18">
        <f>MAX('Shuttle Bids'!X455:Y485)</f>
        <v>229</v>
      </c>
      <c r="H115" s="18">
        <f>MIN('Shuttle Bids'!X455:Y485)</f>
        <v>-269</v>
      </c>
      <c r="I115" s="63">
        <f>AVERAGE('Shuttle Bids'!$X455:$Y485)</f>
        <v>-74</v>
      </c>
      <c r="J115" s="63">
        <f>STDEV('Shuttle Bids'!$X455:$Y485)</f>
        <v>88.896460251020628</v>
      </c>
    </row>
    <row r="116" spans="1:10" x14ac:dyDescent="0.25">
      <c r="A116" s="7" t="s">
        <v>116</v>
      </c>
      <c r="B116" s="18">
        <f>MAX('Non-shuttle Bids'!AB459:AC485)</f>
        <v>100</v>
      </c>
      <c r="C116" s="18">
        <f>MIN('Non-shuttle Bids'!AB459:AC485)</f>
        <v>-117</v>
      </c>
      <c r="D116" s="22">
        <f>AVERAGE('Non-shuttle Bids'!AB459:AC485)</f>
        <v>30.333333333333332</v>
      </c>
      <c r="E116" s="65">
        <f>STDEV('Non-shuttle Bids'!AB459:AC485)</f>
        <v>48.627191709833561</v>
      </c>
      <c r="F116" s="22"/>
      <c r="G116" s="18">
        <f>MAX('Shuttle Bids'!AB459:AC489)</f>
        <v>200</v>
      </c>
      <c r="H116" s="18">
        <f>MIN('Shuttle Bids'!AB459:AC489)</f>
        <v>-273</v>
      </c>
      <c r="I116" s="63">
        <f>AVERAGE('Shuttle Bids'!$AB459:$AC489)</f>
        <v>-12.805555555555555</v>
      </c>
      <c r="J116" s="63">
        <f>STDEV('Shuttle Bids'!$AB459:$AC489)</f>
        <v>101.73574156171031</v>
      </c>
    </row>
    <row r="117" spans="1:10" x14ac:dyDescent="0.25">
      <c r="A117" s="7" t="s">
        <v>117</v>
      </c>
      <c r="B117" s="18">
        <f>MAX('Non-shuttle Bids'!AF463:AG489)</f>
        <v>253</v>
      </c>
      <c r="C117" s="18">
        <f>MIN('Non-shuttle Bids'!AF463:AG489)</f>
        <v>-103</v>
      </c>
      <c r="D117" s="22">
        <f>AVERAGE('Non-shuttle Bids'!AF463:AG489)</f>
        <v>112.38888888888889</v>
      </c>
      <c r="E117" s="65">
        <f>STDEV('Non-shuttle Bids'!AF463:AG489)</f>
        <v>60.977390386640693</v>
      </c>
      <c r="F117" s="22"/>
      <c r="G117" s="18">
        <f>MAX('Shuttle Bids'!AF463:AG493)</f>
        <v>350</v>
      </c>
      <c r="H117" s="18">
        <f>MIN('Shuttle Bids'!AF463:AG493)</f>
        <v>-188</v>
      </c>
      <c r="I117" s="63">
        <f>AVERAGE('Shuttle Bids'!$AF463:$AG493)</f>
        <v>91.682926829268297</v>
      </c>
      <c r="J117" s="63">
        <f>STDEV('Shuttle Bids'!$AF463:$AG493)</f>
        <v>97.46138697566083</v>
      </c>
    </row>
    <row r="118" spans="1:10" x14ac:dyDescent="0.25">
      <c r="A118" s="7" t="s">
        <v>118</v>
      </c>
      <c r="B118" s="18">
        <f>MAX('Non-shuttle Bids'!AJ468:AK494)</f>
        <v>438</v>
      </c>
      <c r="C118" s="18">
        <f>MIN('Non-shuttle Bids'!AJ468:AK494)</f>
        <v>42</v>
      </c>
      <c r="D118" s="22">
        <f>AVERAGE('Non-shuttle Bids'!AJ468:AK494)</f>
        <v>212.5185185185185</v>
      </c>
      <c r="E118" s="65">
        <f>STDEV('Non-shuttle Bids'!AJ468:AK494)</f>
        <v>88.880615443061515</v>
      </c>
      <c r="F118" s="22"/>
      <c r="G118" s="18">
        <f>MAX('Shuttle Bids'!AJ467:AK497)</f>
        <v>525</v>
      </c>
      <c r="H118" s="18">
        <f>MIN('Shuttle Bids'!AJ467:AK497)</f>
        <v>-75</v>
      </c>
      <c r="I118" s="63">
        <f>AVERAGE('Shuttle Bids'!$AJ467:$AK497)</f>
        <v>248.80769230769232</v>
      </c>
      <c r="J118" s="63">
        <f>STDEV('Shuttle Bids'!$AJ467:$AK497)</f>
        <v>131.58416950818352</v>
      </c>
    </row>
    <row r="119" spans="1:10" x14ac:dyDescent="0.25">
      <c r="A119" s="7" t="s">
        <v>119</v>
      </c>
      <c r="B119" s="18">
        <f>MAX('Non-shuttle Bids'!AN472:AO501)</f>
        <v>567</v>
      </c>
      <c r="C119" s="18">
        <f>MIN('Non-shuttle Bids'!AN472:AO501)</f>
        <v>-138</v>
      </c>
      <c r="D119" s="22">
        <f>AVERAGE('Non-shuttle Bids'!AN472:AO501)</f>
        <v>288.68</v>
      </c>
      <c r="E119" s="65">
        <f>STDEV('Non-shuttle Bids'!AN472:AO501)</f>
        <v>163.56580651598455</v>
      </c>
      <c r="F119" s="22"/>
      <c r="G119" s="18">
        <f>MAX('Shuttle Bids'!AN472:AO502)</f>
        <v>750</v>
      </c>
      <c r="H119" s="18">
        <f>MIN('Shuttle Bids'!AN472:AO502)</f>
        <v>65</v>
      </c>
      <c r="I119" s="63">
        <f>AVERAGE('Shuttle Bids'!$AN472:$AO502)</f>
        <v>403.95744680851061</v>
      </c>
      <c r="J119" s="63">
        <f>STDEV('Shuttle Bids'!$AN472:$AO502)</f>
        <v>162.10328932730144</v>
      </c>
    </row>
    <row r="120" spans="1:10" x14ac:dyDescent="0.25">
      <c r="A120" s="7" t="s">
        <v>120</v>
      </c>
      <c r="B120" s="18">
        <f>MAX('Non-shuttle Bids'!AR476:AS507)</f>
        <v>400</v>
      </c>
      <c r="C120" s="18">
        <f>MIN('Non-shuttle Bids'!AR476:AS507)</f>
        <v>-153</v>
      </c>
      <c r="D120" s="22">
        <f>AVERAGE('Non-shuttle Bids'!AR476:AS507)</f>
        <v>131.54347826086956</v>
      </c>
      <c r="E120" s="65">
        <f>STDEV('Non-shuttle Bids'!AR476:AS507)</f>
        <v>172.02114941311905</v>
      </c>
      <c r="F120" s="22"/>
      <c r="G120" s="18">
        <f>MAX('Shuttle Bids'!AR476:AS506)</f>
        <v>525</v>
      </c>
      <c r="H120" s="18">
        <f>MIN('Shuttle Bids'!AR476:AS506)</f>
        <v>-244</v>
      </c>
      <c r="I120" s="63">
        <f>AVERAGE('Shuttle Bids'!$AR476:$AS506)</f>
        <v>153.13157894736841</v>
      </c>
      <c r="J120" s="63">
        <f>STDEV('Shuttle Bids'!$AR476:$AS506)</f>
        <v>204.53258130101366</v>
      </c>
    </row>
    <row r="121" spans="1:10" x14ac:dyDescent="0.25">
      <c r="A121" s="7" t="s">
        <v>121</v>
      </c>
      <c r="B121" s="18">
        <f>MAX('Non-shuttle Bids'!AV481:AW512)</f>
        <v>300</v>
      </c>
      <c r="C121" s="18">
        <f>MIN('Non-shuttle Bids'!AV481:AW512)</f>
        <v>-181</v>
      </c>
      <c r="D121" s="22">
        <f>AVERAGE('Non-shuttle Bids'!AV481:AW512)</f>
        <v>34.658536585365852</v>
      </c>
      <c r="E121" s="65">
        <f>STDEV('Non-shuttle Bids'!AV481:AW512)</f>
        <v>151.2507206191259</v>
      </c>
      <c r="F121" s="22"/>
      <c r="G121" s="18">
        <f>MAX('Shuttle Bids'!AV480:AW510)</f>
        <v>250</v>
      </c>
      <c r="H121" s="18">
        <f>MIN('Shuttle Bids'!AV480:AW510)</f>
        <v>-259</v>
      </c>
      <c r="I121" s="63">
        <f>AVERAGE('Shuttle Bids'!$AV480:$AW510)</f>
        <v>-32.421052631578945</v>
      </c>
      <c r="J121" s="63">
        <f>STDEV('Shuttle Bids'!$AV480:$AW510)</f>
        <v>149.08724664563209</v>
      </c>
    </row>
    <row r="122" spans="1:10" x14ac:dyDescent="0.25">
      <c r="A122" s="7" t="s">
        <v>152</v>
      </c>
      <c r="B122" s="18">
        <f>MAX('Non-shuttle Bids'!D483:E515)</f>
        <v>32</v>
      </c>
      <c r="C122" s="18">
        <f>MIN('Non-shuttle Bids'!D483:E515)</f>
        <v>-175</v>
      </c>
      <c r="D122" s="22">
        <f>AVERAGE('Non-shuttle Bids'!D483:E515)</f>
        <v>-65.620689655172413</v>
      </c>
      <c r="E122" s="65">
        <f>STDEV('Non-shuttle Bids'!D483:E515)</f>
        <v>52.354842723956743</v>
      </c>
      <c r="F122" s="22"/>
      <c r="G122" s="18">
        <f>MAX('Shuttle Bids'!D485:E515)</f>
        <v>25</v>
      </c>
      <c r="H122" s="18">
        <f>MIN('Shuttle Bids'!D485:E515)</f>
        <v>-250</v>
      </c>
      <c r="I122" s="63">
        <f>AVERAGE('Shuttle Bids'!$D485:$E515)</f>
        <v>-132.77777777777777</v>
      </c>
      <c r="J122" s="63">
        <f>STDEV('Shuttle Bids'!$D485:$E515)</f>
        <v>70.908852476098673</v>
      </c>
    </row>
    <row r="123" spans="1:10" x14ac:dyDescent="0.25">
      <c r="A123" s="7" t="s">
        <v>153</v>
      </c>
      <c r="B123" s="18">
        <f>MAX('Non-shuttle Bids'!H488:I519)</f>
        <v>0</v>
      </c>
      <c r="C123" s="18">
        <f>MIN('Non-shuttle Bids'!H488:I519)</f>
        <v>-192</v>
      </c>
      <c r="D123" s="22">
        <f>AVERAGE('Non-shuttle Bids'!H488:I519)</f>
        <v>-76.730769230769226</v>
      </c>
      <c r="E123" s="65">
        <f>STDEV('Non-shuttle Bids'!H488:I519)</f>
        <v>57.500996646880957</v>
      </c>
      <c r="F123" s="22"/>
      <c r="G123" s="18">
        <f>MAX('Shuttle Bids'!H489:I519)</f>
        <v>0</v>
      </c>
      <c r="H123" s="18">
        <f>MIN('Shuttle Bids'!H489:I519)</f>
        <v>-288</v>
      </c>
      <c r="I123" s="63">
        <f>AVERAGE('Shuttle Bids'!$H489:$I519)</f>
        <v>-171.0625</v>
      </c>
      <c r="J123" s="63">
        <f>STDEV('Shuttle Bids'!$H489:$I519)</f>
        <v>86.724443882141244</v>
      </c>
    </row>
    <row r="124" spans="1:10" x14ac:dyDescent="0.25">
      <c r="A124" s="7" t="s">
        <v>154</v>
      </c>
      <c r="B124" s="18">
        <f>MAX('Non-shuttle Bids'!L492:M524)</f>
        <v>-6</v>
      </c>
      <c r="C124" s="18">
        <f>MIN('Non-shuttle Bids'!L492:M524)</f>
        <v>-225</v>
      </c>
      <c r="D124" s="22">
        <f>AVERAGE('Non-shuttle Bids'!L492:M524)</f>
        <v>-90.125</v>
      </c>
      <c r="E124" s="65">
        <f>STDEV('Non-shuttle Bids'!L492:M524)</f>
        <v>67.518097932236628</v>
      </c>
      <c r="F124" s="22"/>
      <c r="G124" s="18">
        <f>MAX('Shuttle Bids'!L493:M523)</f>
        <v>-13</v>
      </c>
      <c r="H124" s="18">
        <f>MIN('Shuttle Bids'!L493:M523)</f>
        <v>-325</v>
      </c>
      <c r="I124" s="63">
        <f>AVERAGE('Shuttle Bids'!$L493:$M523)</f>
        <v>-191</v>
      </c>
      <c r="J124" s="63">
        <f>STDEV('Shuttle Bids'!$L493:$M523)</f>
        <v>74.137464458690758</v>
      </c>
    </row>
    <row r="125" spans="1:10" x14ac:dyDescent="0.25">
      <c r="A125" s="7" t="s">
        <v>167</v>
      </c>
      <c r="B125" s="64">
        <f>MAX('Non-shuttle Bids'!P495:Q528)</f>
        <v>0</v>
      </c>
      <c r="C125" s="64">
        <f>MIN('Non-shuttle Bids'!P495:Q528)</f>
        <v>-225</v>
      </c>
      <c r="D125" s="65">
        <f>AVERAGE('Non-shuttle Bids'!P495:Q528)</f>
        <v>-110.96551724137932</v>
      </c>
      <c r="E125" s="65">
        <f>STDEV('Non-shuttle Bids'!P495:Q528)</f>
        <v>75.797419273171215</v>
      </c>
      <c r="F125" s="65"/>
      <c r="G125" s="64">
        <f>MAX('Shuttle Bids'!P492:Q527)</f>
        <v>-200</v>
      </c>
      <c r="H125" s="64">
        <f>MIN('Shuttle Bids'!P492:Q527)</f>
        <v>-325</v>
      </c>
      <c r="I125" s="66">
        <f>AVERAGE('Shuttle Bids'!$P492:$Q527)</f>
        <v>-269.42105263157896</v>
      </c>
      <c r="J125" s="66">
        <f>STDEV('Shuttle Bids'!$P492:$Q527)</f>
        <v>37.108423406543437</v>
      </c>
    </row>
    <row r="126" spans="1:10" x14ac:dyDescent="0.25">
      <c r="A126" s="7" t="s">
        <v>168</v>
      </c>
      <c r="B126" s="64">
        <f>MAX('Non-shuttle Bids'!T499:U532)</f>
        <v>0</v>
      </c>
      <c r="C126" s="64">
        <f>MIN('Non-shuttle Bids'!T499:U532)</f>
        <v>-230</v>
      </c>
      <c r="D126" s="65">
        <f>AVERAGE('Non-shuttle Bids'!T499:U532)</f>
        <v>-105.42424242424242</v>
      </c>
      <c r="E126" s="65">
        <f>STDEV('Non-shuttle Bids'!T499:U532)</f>
        <v>82.968755528448142</v>
      </c>
      <c r="F126" s="65"/>
      <c r="G126" s="64">
        <f>MAX('Shuttle Bids'!T497:U532)</f>
        <v>-200</v>
      </c>
      <c r="H126" s="64">
        <f>MIN('Shuttle Bids'!T497:U532)</f>
        <v>-345</v>
      </c>
      <c r="I126" s="66">
        <f>AVERAGE('Shuttle Bids'!$T497:$U532)</f>
        <v>-262.04347826086956</v>
      </c>
      <c r="J126" s="66">
        <f>STDEV('Shuttle Bids'!$T497:$U532)</f>
        <v>34.65082743452497</v>
      </c>
    </row>
    <row r="127" spans="1:10" x14ac:dyDescent="0.25">
      <c r="A127" s="7" t="s">
        <v>169</v>
      </c>
      <c r="B127" s="64">
        <f>MAX('Non-shuttle Bids'!X504:Y537)</f>
        <v>3</v>
      </c>
      <c r="C127" s="64">
        <f>MIN('Non-shuttle Bids'!X504:Y537)</f>
        <v>-200</v>
      </c>
      <c r="D127" s="65">
        <f>AVERAGE('Non-shuttle Bids'!X504:Y537)</f>
        <v>-76.857142857142861</v>
      </c>
      <c r="E127" s="65">
        <f>STDEV('Non-shuttle Bids'!X504:Y537)</f>
        <v>74.528295961699698</v>
      </c>
      <c r="F127" s="65"/>
      <c r="G127" s="64">
        <f>MAX('Shuttle Bids'!X501:Y536)</f>
        <v>-88</v>
      </c>
      <c r="H127" s="64">
        <f>MIN('Shuttle Bids'!X501:Y536)</f>
        <v>-475</v>
      </c>
      <c r="I127" s="66">
        <f>AVERAGE('Shuttle Bids'!$X501:$Y536)</f>
        <v>-234.30303030303031</v>
      </c>
      <c r="J127" s="66">
        <f>STDEV('Shuttle Bids'!$X501:$Y536)</f>
        <v>72.946249410304191</v>
      </c>
    </row>
    <row r="128" spans="1:10" x14ac:dyDescent="0.25">
      <c r="A128" s="7" t="s">
        <v>170</v>
      </c>
      <c r="B128" s="67">
        <f>MAX('Non-shuttle Bids'!AB508:AC541)</f>
        <v>38</v>
      </c>
      <c r="C128" s="67">
        <f>MIN('Non-shuttle Bids'!AB508:AC541)</f>
        <v>-175</v>
      </c>
      <c r="D128" s="68">
        <f>AVERAGE('Non-shuttle Bids'!AB508:AC541)</f>
        <v>-51.3125</v>
      </c>
      <c r="E128" s="68">
        <f>STDEV('Non-shuttle Bids'!AB508:AC541)</f>
        <v>56.98904569991705</v>
      </c>
      <c r="F128" s="68"/>
      <c r="G128" s="67">
        <f>MAX('Shuttle Bids'!AB505:AC540)</f>
        <v>-69</v>
      </c>
      <c r="H128" s="67">
        <f>MIN('Shuttle Bids'!AB505:AC540)</f>
        <v>-422</v>
      </c>
      <c r="I128" s="69">
        <f>AVERAGE('Shuttle Bids'!$AB505:$AC540)</f>
        <v>-245.32</v>
      </c>
      <c r="J128" s="69">
        <f>STDEV('Shuttle Bids'!$AB505:$AC540)</f>
        <v>76.932719523836738</v>
      </c>
    </row>
    <row r="129" spans="1:10" x14ac:dyDescent="0.25">
      <c r="A129" s="7" t="s">
        <v>171</v>
      </c>
      <c r="B129" s="64">
        <f>MAX('Non-shuttle Bids'!AF512:AG546)</f>
        <v>675</v>
      </c>
      <c r="C129" s="64">
        <f>MIN('Non-shuttle Bids'!AF512:AG546)</f>
        <v>-150</v>
      </c>
      <c r="D129" s="65">
        <f>AVERAGE('Non-shuttle Bids'!AF512:AG546)</f>
        <v>32.122448979591837</v>
      </c>
      <c r="E129" s="65">
        <f>STDEV('Non-shuttle Bids'!AF512:AG546)</f>
        <v>137.11774633702314</v>
      </c>
      <c r="F129" s="65"/>
      <c r="G129" s="64">
        <f>MAX('Shuttle Bids'!AF510:AG545)</f>
        <v>1275</v>
      </c>
      <c r="H129" s="64">
        <f>MIN('Shuttle Bids'!AF510:AG545)</f>
        <v>-300</v>
      </c>
      <c r="I129" s="66">
        <f>AVERAGE('Shuttle Bids'!$AF510:$AG545)</f>
        <v>-54.303030303030305</v>
      </c>
      <c r="J129" s="66">
        <f>STDEV('Shuttle Bids'!$AF510:$AG545)</f>
        <v>312.81838629311784</v>
      </c>
    </row>
    <row r="130" spans="1:10" x14ac:dyDescent="0.25">
      <c r="A130" s="7" t="s">
        <v>172</v>
      </c>
      <c r="B130" s="64">
        <f>MAX('Non-shuttle Bids'!AJ516:AK550)</f>
        <v>867</v>
      </c>
      <c r="C130" s="64">
        <f>MIN('Non-shuttle Bids'!AJ516:AK550)</f>
        <v>-75</v>
      </c>
      <c r="D130" s="65">
        <f>AVERAGE('Non-shuttle Bids'!AJ516:AK550)</f>
        <v>159.05454545454546</v>
      </c>
      <c r="E130" s="65">
        <f>STDEV('Non-shuttle Bids'!AJ516:AK550)</f>
        <v>245.70317972149348</v>
      </c>
      <c r="F130" s="65"/>
      <c r="G130" s="64">
        <f>MAX('Shuttle Bids'!$AJ$514:$AK$549)</f>
        <v>1325</v>
      </c>
      <c r="H130" s="64">
        <f>MIN('Shuttle Bids'!AJ514:AK549)</f>
        <v>-250</v>
      </c>
      <c r="I130" s="66">
        <f>AVERAGE('Shuttle Bids'!$AJ514:$AK549)</f>
        <v>108.76595744680851</v>
      </c>
      <c r="J130" s="66">
        <f>STDEV('Shuttle Bids'!$AJ514:$AK549)</f>
        <v>425.6006095107374</v>
      </c>
    </row>
    <row r="131" spans="1:10" x14ac:dyDescent="0.25">
      <c r="A131" s="7" t="s">
        <v>173</v>
      </c>
      <c r="B131" s="64">
        <f>MAX('Non-shuttle Bids'!$AN$520:$AO$554)</f>
        <v>992</v>
      </c>
      <c r="C131" s="64">
        <f>MIN('Non-shuttle Bids'!$AN$520:$AO$554)</f>
        <v>100</v>
      </c>
      <c r="D131" s="66">
        <f>AVERAGE('Non-shuttle Bids'!$AN$520:$AO$554)</f>
        <v>340.88888888888891</v>
      </c>
      <c r="E131" s="66">
        <f>STDEV('Non-shuttle Bids'!$AM$520:$AN$554)</f>
        <v>316.15587613026571</v>
      </c>
      <c r="F131" s="22"/>
      <c r="G131" s="64">
        <f>MAX('Shuttle Bids'!$AN$518:$AO$553)</f>
        <v>1367</v>
      </c>
      <c r="H131" s="64">
        <f>MIN('Shuttle Bids'!$AN$518:$AO$553)</f>
        <v>50</v>
      </c>
      <c r="I131" s="66">
        <f>AVERAGE('Shuttle Bids'!$AN$518:$AO$553)</f>
        <v>443.07317073170731</v>
      </c>
      <c r="J131" s="66">
        <f>STDEV('Shuttle Bids'!$AN$518:$AO$553)</f>
        <v>375.45548273023678</v>
      </c>
    </row>
    <row r="132" spans="1:10" x14ac:dyDescent="0.25">
      <c r="A132" s="7" t="s">
        <v>174</v>
      </c>
      <c r="B132" s="64">
        <f>MAX('Non-shuttle Bids'!$AR$525:$AS$559)</f>
        <v>500</v>
      </c>
      <c r="C132" s="64">
        <f>MIN('Non-shuttle Bids'!$AR$525:$AS$559)</f>
        <v>-88</v>
      </c>
      <c r="D132" s="66">
        <f>AVERAGE('Non-shuttle Bids'!$AR$525:$AS$559)</f>
        <v>195.1</v>
      </c>
      <c r="E132" s="66">
        <f>STDEV('Non-shuttle Bids'!$AR$525:$AS$559)</f>
        <v>174.49985673346555</v>
      </c>
      <c r="F132" s="22"/>
      <c r="G132" s="64">
        <f>MAX('Shuttle Bids'!$AR$523:$AS$558)</f>
        <v>1000</v>
      </c>
      <c r="H132" s="64">
        <f>MIN('Shuttle Bids'!$AR$523:$AS$558)</f>
        <v>-350</v>
      </c>
      <c r="I132" s="66">
        <f>AVERAGE('Shuttle Bids'!$AR$523:$AS$558)</f>
        <v>229.65384615384616</v>
      </c>
      <c r="J132" s="66">
        <f>STDEV('Shuttle Bids'!$AR$523:$AS$558)</f>
        <v>365.4586096736748</v>
      </c>
    </row>
    <row r="133" spans="1:10" x14ac:dyDescent="0.25">
      <c r="A133" s="7" t="s">
        <v>175</v>
      </c>
      <c r="B133" s="64">
        <f>MAX('Non-shuttle Bids'!$AV529:$AW563)</f>
        <v>400</v>
      </c>
      <c r="C133" s="64">
        <f>MIN('Non-shuttle Bids'!$AV529:$AW563)</f>
        <v>-213</v>
      </c>
      <c r="D133" s="66">
        <f>AVERAGE('Non-shuttle Bids'!$AV529:$AW563)</f>
        <v>47.125</v>
      </c>
      <c r="E133" s="66">
        <f>STDEV('Non-shuttle Bids'!$AV529:$AW563)</f>
        <v>173.71348537174654</v>
      </c>
      <c r="F133" s="22"/>
      <c r="G133" s="64">
        <f>MAX('Shuttle Bids'!$AV$527:$AW$562)</f>
        <v>250</v>
      </c>
      <c r="H133" s="64">
        <f>MIN('Shuttle Bids'!$AV$527:$AW$562)</f>
        <v>-400</v>
      </c>
      <c r="I133" s="66">
        <f>AVERAGE('Shuttle Bids'!$AV$527:$AW$562)</f>
        <v>-56.882352941176471</v>
      </c>
      <c r="J133" s="66">
        <f>STDEV('Shuttle Bids'!$AV$527:$AW$562)</f>
        <v>188.85109291216096</v>
      </c>
    </row>
    <row r="134" spans="1:10" x14ac:dyDescent="0.25">
      <c r="A134" s="7" t="s">
        <v>177</v>
      </c>
      <c r="B134" s="64">
        <f>MAX('Non-shuttle Bids'!$D$534:$E$568)</f>
        <v>50</v>
      </c>
      <c r="C134" s="64">
        <f>MIN('Non-shuttle Bids'!$D$534:$E$568)</f>
        <v>-200</v>
      </c>
      <c r="D134" s="66">
        <f>AVERAGE('Non-shuttle Bids'!$D$534:$E$568)</f>
        <v>-44.636363636363633</v>
      </c>
      <c r="E134" s="66">
        <f>STDEV('Non-shuttle Bids'!$D$534:$E$568)</f>
        <v>82.836928419375312</v>
      </c>
      <c r="F134" s="22"/>
      <c r="G134" s="64">
        <f>MAX('Shuttle Bids'!$D$532:$E$567)</f>
        <v>125</v>
      </c>
      <c r="H134" s="64">
        <f>MIN('Shuttle Bids'!$D$532:$E$567)</f>
        <v>-350</v>
      </c>
      <c r="I134" s="66">
        <f>AVERAGE('Shuttle Bids'!$D$532:$E$567)</f>
        <v>-68.411764705882348</v>
      </c>
      <c r="J134" s="66">
        <f>STDEV('Shuttle Bids'!$D$532:$E$567)</f>
        <v>130.50721188095764</v>
      </c>
    </row>
    <row r="135" spans="1:10" x14ac:dyDescent="0.25">
      <c r="A135" s="7" t="s">
        <v>178</v>
      </c>
      <c r="B135" s="64">
        <f>MAX('Non-shuttle Bids'!$H538:I572)</f>
        <v>82</v>
      </c>
      <c r="C135" s="64">
        <f>MIN('Non-shuttle Bids'!$H538:I572)</f>
        <v>-225</v>
      </c>
      <c r="D135" s="66">
        <f>AVERAGE('Non-shuttle Bids'!$H538:I572)</f>
        <v>-41.9</v>
      </c>
      <c r="E135" s="66">
        <f>STDEV('Non-shuttle Bids'!$H538:I572)</f>
        <v>92.332864651416742</v>
      </c>
      <c r="F135" s="22"/>
      <c r="G135" s="64">
        <f>MAX('Shuttle Bids'!$H$536:$I$571)</f>
        <v>700</v>
      </c>
      <c r="H135" s="64">
        <f>MIN('Shuttle Bids'!$H$536:$I$571)</f>
        <v>-121</v>
      </c>
      <c r="I135" s="66">
        <f>AVERAGE('Shuttle Bids'!$H$536:$I$571)</f>
        <v>117.4</v>
      </c>
      <c r="J135" s="66">
        <f>STDEV('Shuttle Bids'!$H$536:$I$571)</f>
        <v>229.70280315611689</v>
      </c>
    </row>
    <row r="136" spans="1:10" x14ac:dyDescent="0.25">
      <c r="A136" s="7" t="s">
        <v>179</v>
      </c>
      <c r="B136" s="64">
        <f>MAX('Non-shuttle Bids'!$L$542:$M$576)</f>
        <v>88</v>
      </c>
      <c r="C136" s="64">
        <f>MIN('Non-shuttle Bids'!$L$542:$M$576)</f>
        <v>-225</v>
      </c>
      <c r="D136" s="66">
        <f>AVERAGE('Non-shuttle Bids'!$L$542:$M$576)</f>
        <v>-44.862068965517238</v>
      </c>
      <c r="E136" s="66">
        <f>STDEV('Non-shuttle Bids'!$L$542:$M$576)</f>
        <v>76.421165793782478</v>
      </c>
      <c r="F136" s="22"/>
      <c r="G136" s="64">
        <f>MAX('Shuttle Bids'!$L$540:$M$575)</f>
        <v>200</v>
      </c>
      <c r="H136" s="64">
        <f>MIN('Shuttle Bids'!$L$540:$M$575)</f>
        <v>-225</v>
      </c>
      <c r="I136" s="66">
        <f>AVERAGE('Shuttle Bids'!$L$540:$M$575)</f>
        <v>-40.4</v>
      </c>
      <c r="J136" s="66">
        <f>STDEV('Shuttle Bids'!$L$540:$M$575)</f>
        <v>121.77736372491184</v>
      </c>
    </row>
    <row r="137" spans="1:10" x14ac:dyDescent="0.25">
      <c r="A137" s="7" t="s">
        <v>180</v>
      </c>
      <c r="B137" s="64">
        <f>MAX('Non-shuttle Bids'!P546:Q580)</f>
        <v>3</v>
      </c>
      <c r="C137" s="64">
        <f>MIN('Non-shuttle Bids'!P546:Q580)</f>
        <v>-175</v>
      </c>
      <c r="D137" s="66">
        <f>AVERAGE('Non-shuttle Bids'!P546:Q580)</f>
        <v>-58.666666666666664</v>
      </c>
      <c r="E137" s="66">
        <f>STDEV('Non-shuttle Bids'!P546:Q580)</f>
        <v>66.141920316758316</v>
      </c>
      <c r="F137" s="65"/>
      <c r="G137" s="64">
        <f>MAX('Shuttle Bids'!$P545:$Q580)</f>
        <v>-100</v>
      </c>
      <c r="H137" s="64">
        <f>MIN('Shuttle Bids'!$P545:$Q580)</f>
        <v>-268</v>
      </c>
      <c r="I137" s="66">
        <f>AVERAGE('Shuttle Bids'!$P545:$Q580)</f>
        <v>-187.27272727272728</v>
      </c>
      <c r="J137" s="66">
        <f>STDEV('Shuttle Bids'!$P545:$Q580)</f>
        <v>49.898077937112795</v>
      </c>
    </row>
    <row r="138" spans="1:10" x14ac:dyDescent="0.25">
      <c r="A138" s="7" t="s">
        <v>181</v>
      </c>
      <c r="B138" s="64">
        <f>MAX('Non-shuttle Bids'!T550:U584)</f>
        <v>0</v>
      </c>
      <c r="C138" s="64">
        <f>MIN('Non-shuttle Bids'!T550:U584)</f>
        <v>-175</v>
      </c>
      <c r="D138" s="66">
        <f>AVERAGE('Non-shuttle Bids'!T550:U584)</f>
        <v>-62.964285714285715</v>
      </c>
      <c r="E138" s="66">
        <f>STDEV('Non-shuttle Bids'!T550:U584)</f>
        <v>61.342681740975451</v>
      </c>
      <c r="F138" s="65"/>
      <c r="G138" s="64">
        <f>MAX('Shuttle Bids'!$T550:$U584)</f>
        <v>-94</v>
      </c>
      <c r="H138" s="64">
        <f>MIN('Shuttle Bids'!$T550:$U584)</f>
        <v>-538</v>
      </c>
      <c r="I138" s="66">
        <f>AVERAGE('Shuttle Bids'!$T550:$U584)</f>
        <v>-255</v>
      </c>
      <c r="J138" s="66">
        <f>STDEV('Shuttle Bids'!$T550:$U584)</f>
        <v>136.57598617619425</v>
      </c>
    </row>
    <row r="139" spans="1:10" x14ac:dyDescent="0.25">
      <c r="A139" s="24" t="s">
        <v>182</v>
      </c>
      <c r="B139" s="64">
        <f>MAX('Non-shuttle Bids'!X553:Y588)</f>
        <v>100</v>
      </c>
      <c r="C139" s="64">
        <f>MIN('Non-shuttle Bids'!X553:Y588)</f>
        <v>-75</v>
      </c>
      <c r="D139" s="66">
        <f>AVERAGE('Non-shuttle Bids'!X553:Y588)</f>
        <v>15.346153846153847</v>
      </c>
      <c r="E139" s="66">
        <f>STDEV('Non-shuttle Bids'!X553:Y588)</f>
        <v>44.884689868766884</v>
      </c>
      <c r="F139" s="65"/>
      <c r="G139" s="64">
        <f>MAX('Shuttle Bids'!$X554:$Y588)</f>
        <v>-113</v>
      </c>
      <c r="H139" s="64">
        <f>MIN('Shuttle Bids'!$X554:$Y588)</f>
        <v>-425</v>
      </c>
      <c r="I139" s="66">
        <f>AVERAGE('Shuttle Bids'!$X554:$Y588)</f>
        <v>-204.16666666666666</v>
      </c>
      <c r="J139" s="66">
        <f>STDEV('Shuttle Bids'!$X554:$Y588)</f>
        <v>65.516713259381831</v>
      </c>
    </row>
    <row r="140" spans="1:10" x14ac:dyDescent="0.25">
      <c r="A140" s="24" t="s">
        <v>184</v>
      </c>
      <c r="B140" s="64">
        <f>MAX('Non-shuttle Bids'!AB563:AC593)</f>
        <v>150</v>
      </c>
      <c r="C140" s="64">
        <f>MIN('Non-shuttle Bids'!AB563:AC593)</f>
        <v>-63</v>
      </c>
      <c r="D140" s="66">
        <f>AVERAGE('Non-shuttle Bids'!AB563:AC593)</f>
        <v>51.548387096774192</v>
      </c>
      <c r="E140" s="66">
        <f>STDEV('Non-shuttle Bids'!AB563:AC593)</f>
        <v>57.461777852573398</v>
      </c>
      <c r="F140" s="65"/>
      <c r="G140" s="66">
        <f>MAX('Shuttle Bids'!$AB563:$AC593)</f>
        <v>213</v>
      </c>
      <c r="H140" s="66">
        <f>MIN('Shuttle Bids'!$AB563:$AC593)</f>
        <v>-188</v>
      </c>
      <c r="I140" s="66">
        <f>AVERAGE('Shuttle Bids'!$AB563:$AC593)</f>
        <v>-100.56666666666666</v>
      </c>
      <c r="J140" s="66">
        <f>STDEV('Shuttle Bids'!$AB563:$AC593)</f>
        <v>73.029839594951639</v>
      </c>
    </row>
    <row r="141" spans="1:10" x14ac:dyDescent="0.25">
      <c r="A141" s="24" t="s">
        <v>185</v>
      </c>
      <c r="B141" s="64">
        <f>MAX('Non-shuttle Bids'!AF567:AG597)</f>
        <v>180</v>
      </c>
      <c r="C141" s="64">
        <f>MIN('Non-shuttle Bids'!AF567:AG597)</f>
        <v>-125</v>
      </c>
      <c r="D141" s="66">
        <f>AVERAGE('Non-shuttle Bids'!AF567:AG597)</f>
        <v>98.21621621621621</v>
      </c>
      <c r="E141" s="66">
        <f>STDEV('Non-shuttle Bids'!AF567:AG597)</f>
        <v>68.070688395363092</v>
      </c>
      <c r="F141" s="65"/>
      <c r="G141" s="66">
        <f>MAX('Shuttle Bids'!$AF567:$AG597)</f>
        <v>88</v>
      </c>
      <c r="H141" s="66">
        <f>MIN('Shuttle Bids'!$AF567:$AG597)</f>
        <v>-250</v>
      </c>
      <c r="I141" s="66">
        <f>AVERAGE('Shuttle Bids'!$AF567:$AG597)</f>
        <v>-86.928571428571431</v>
      </c>
      <c r="J141" s="66">
        <f>STDEV('Shuttle Bids'!$AF567:$AG597)</f>
        <v>97.634691411572391</v>
      </c>
    </row>
    <row r="142" spans="1:10" x14ac:dyDescent="0.25">
      <c r="A142" s="24" t="s">
        <v>186</v>
      </c>
      <c r="B142" s="64">
        <f>MAX('Non-shuttle Bids'!$AJ571:$AK601)</f>
        <v>250</v>
      </c>
      <c r="C142" s="64">
        <f>MIN('Non-shuttle Bids'!$AJ571:$AK601)</f>
        <v>-117</v>
      </c>
      <c r="D142" s="66">
        <f>AVERAGE('Non-shuttle Bids'!$AJ571:$AK601)</f>
        <v>128.11111111111111</v>
      </c>
      <c r="E142" s="66">
        <f>STDEV('Non-shuttle Bids'!$AJ571:$AK601)</f>
        <v>102.5516671948557</v>
      </c>
      <c r="F142" s="65"/>
      <c r="G142" s="66">
        <f>MAX('Shuttle Bids'!$AJ571:$AK601)</f>
        <v>29</v>
      </c>
      <c r="H142" s="66">
        <f>MIN('Shuttle Bids'!$AJ571:$AK601)</f>
        <v>-338</v>
      </c>
      <c r="I142" s="66">
        <f>AVERAGE('Shuttle Bids'!$AJ571:$AK601)</f>
        <v>-149.28571428571428</v>
      </c>
      <c r="J142" s="66">
        <f>STDEV('Shuttle Bids'!$AJ571:$AK601)</f>
        <v>101.09662443685978</v>
      </c>
    </row>
    <row r="143" spans="1:10" x14ac:dyDescent="0.25">
      <c r="A143" s="24" t="s">
        <v>187</v>
      </c>
      <c r="B143" s="64">
        <f>MAX('Non-shuttle Bids'!$AN575:$AO605)</f>
        <v>300</v>
      </c>
      <c r="C143" s="64">
        <f>MIN('Non-shuttle Bids'!$AN575:$AO605)</f>
        <v>-88</v>
      </c>
      <c r="D143" s="66">
        <f>AVERAGE('Non-shuttle Bids'!$AN575:$AO605)</f>
        <v>97.208333333333329</v>
      </c>
      <c r="E143" s="66">
        <f>STDEV('Non-shuttle Bids'!$AN575:$AO605)</f>
        <v>100.67294406476185</v>
      </c>
      <c r="F143" s="65"/>
      <c r="G143" s="66">
        <f>MAX('Shuttle Bids'!$AN575:$AO605)</f>
        <v>225</v>
      </c>
      <c r="H143" s="66">
        <f>MIN('Shuttle Bids'!$AN575:$AO605)</f>
        <v>-175</v>
      </c>
      <c r="I143" s="66">
        <f>AVERAGE('Shuttle Bids'!$AN575:$AO605)</f>
        <v>41.9</v>
      </c>
      <c r="J143" s="66">
        <f>STDEV('Shuttle Bids'!$AN575:$AO605)</f>
        <v>137.11113433231722</v>
      </c>
    </row>
    <row r="144" spans="1:10" x14ac:dyDescent="0.25">
      <c r="A144" s="24" t="s">
        <v>188</v>
      </c>
      <c r="B144" s="64">
        <f>MAX('Non-shuttle Bids'!$AR580:$AS610)</f>
        <v>300</v>
      </c>
      <c r="C144" s="64">
        <f>MIN('Non-shuttle Bids'!$AR580:$AS610)</f>
        <v>-175</v>
      </c>
      <c r="D144" s="66">
        <f>AVERAGE('Non-shuttle Bids'!$AR580:$AS610)</f>
        <v>33.444444444444443</v>
      </c>
      <c r="E144" s="66">
        <f>STDEV('Non-shuttle Bids'!$AR580:$AS610)</f>
        <v>106.67179474852664</v>
      </c>
      <c r="F144" s="65"/>
      <c r="G144" s="66">
        <f>MAX('Shuttle Bids'!$AR580:$AS610)</f>
        <v>150</v>
      </c>
      <c r="H144" s="66">
        <f>MIN('Shuttle Bids'!$AR580:$AS610)</f>
        <v>-575</v>
      </c>
      <c r="I144" s="66">
        <f>AVERAGE('Shuttle Bids'!$AR580:$AS610)</f>
        <v>-20.382352941176471</v>
      </c>
      <c r="J144" s="66">
        <f>STDEV('Shuttle Bids'!$AR580:$AS610)</f>
        <v>158.65801123053708</v>
      </c>
    </row>
    <row r="145" spans="1:10" x14ac:dyDescent="0.25">
      <c r="A145" s="24" t="s">
        <v>189</v>
      </c>
      <c r="B145" s="64">
        <f>MAX('Non-shuttle Bids'!$AV585:$AW615)</f>
        <v>50</v>
      </c>
      <c r="C145" s="64">
        <f>MIN('Non-shuttle Bids'!$AV585:$AW615)</f>
        <v>-153</v>
      </c>
      <c r="D145" s="66">
        <f>AVERAGE('Non-shuttle Bids'!$AV585:$AW615)</f>
        <v>-42.53846153846154</v>
      </c>
      <c r="E145" s="66">
        <f>STDEV('Non-shuttle Bids'!$AV585:$AW615)</f>
        <v>68.859410842225927</v>
      </c>
      <c r="F145" s="65"/>
      <c r="G145" s="66">
        <f>MAX('Shuttle Bids'!$AV585:$AW615)</f>
        <v>0</v>
      </c>
      <c r="H145" s="66">
        <f>MIN('Shuttle Bids'!$AV585:$AW615)</f>
        <v>-600</v>
      </c>
      <c r="I145" s="66">
        <f>AVERAGE('Shuttle Bids'!$AV585:$AW615)</f>
        <v>-191.47058823529412</v>
      </c>
      <c r="J145" s="66">
        <f>STDEV('Shuttle Bids'!$AV585:$AW615)</f>
        <v>159.15995006873541</v>
      </c>
    </row>
    <row r="146" spans="1:10" x14ac:dyDescent="0.25">
      <c r="A146" s="24" t="s">
        <v>190</v>
      </c>
      <c r="B146" s="64">
        <f>MAX('Non-shuttle Bids'!$D589:$E619)</f>
        <v>0</v>
      </c>
      <c r="C146" s="64">
        <f>MIN('Non-shuttle Bids'!$D$589:$E$619)</f>
        <v>-132</v>
      </c>
      <c r="D146" s="66">
        <f>AVERAGE('Non-shuttle Bids'!$D$589:$E$619)</f>
        <v>-55.777777777777779</v>
      </c>
      <c r="E146" s="66">
        <f>STDEV('Non-shuttle Bids'!$D$589:$E$619)</f>
        <v>40.162252625415725</v>
      </c>
      <c r="F146" s="65"/>
      <c r="G146" s="64">
        <f>MAX('Shuttle Bids'!$D$589:$E$619)</f>
        <v>0</v>
      </c>
      <c r="H146" s="64">
        <f>MIN('Shuttle Bids'!$D$589:$E$619)</f>
        <v>-367</v>
      </c>
      <c r="I146" s="66">
        <f>AVERAGE('Shuttle Bids'!$D$589:$E$619)</f>
        <v>-188</v>
      </c>
      <c r="J146" s="66">
        <f>STDEV('Shuttle Bids'!$D$589:$E$619)</f>
        <v>93.682248245671587</v>
      </c>
    </row>
    <row r="147" spans="1:10" x14ac:dyDescent="0.25">
      <c r="A147" s="24" t="s">
        <v>191</v>
      </c>
      <c r="B147" s="64">
        <f>MAX('Non-shuttle Bids'!$H593:$I623)</f>
        <v>0</v>
      </c>
      <c r="C147" s="64">
        <f>MIN('Non-shuttle Bids'!$H593:$I623)</f>
        <v>-72</v>
      </c>
      <c r="D147" s="66">
        <f>AVERAGE('Non-shuttle Bids'!$H593:$I623)</f>
        <v>-36.142857142857146</v>
      </c>
      <c r="E147" s="66">
        <f>STDEV('Non-shuttle Bids'!$H593:$I623)</f>
        <v>20.902179285928511</v>
      </c>
      <c r="F147" s="65"/>
      <c r="G147" s="64">
        <f>MAX('Shuttle Bids'!$H$593:$I$623)</f>
        <v>-38</v>
      </c>
      <c r="H147" s="64">
        <f>MIN('Shuttle Bids'!$H$593:$I$623)</f>
        <v>-250</v>
      </c>
      <c r="I147" s="66">
        <f>AVERAGE('Shuttle Bids'!$H$593:$I$623)</f>
        <v>-127.36363636363636</v>
      </c>
      <c r="J147" s="66">
        <f>STDEV('Shuttle Bids'!$H$593:$I$623)</f>
        <v>58.291118924365691</v>
      </c>
    </row>
    <row r="148" spans="1:10" x14ac:dyDescent="0.25">
      <c r="A148" s="24" t="s">
        <v>196</v>
      </c>
      <c r="B148" s="64">
        <f>MAX('Non-shuttle Bids'!$L597:$M627)</f>
        <v>0</v>
      </c>
      <c r="C148" s="64">
        <f>MIN('Non-shuttle Bids'!$L597:$M627)</f>
        <v>-92</v>
      </c>
      <c r="D148" s="66">
        <f>AVERAGE('Non-shuttle Bids'!$L597:$M627)</f>
        <v>-28.526315789473685</v>
      </c>
      <c r="E148" s="66">
        <f>STDEV('Non-shuttle Bids'!$L597:$M627)</f>
        <v>29.468190799671568</v>
      </c>
      <c r="F148" s="65"/>
      <c r="G148" s="64">
        <f>MAX('Shuttle Bids'!$L$597:$M$627)</f>
        <v>-88</v>
      </c>
      <c r="H148" s="64">
        <f>MIN('Shuttle Bids'!$L$597:$M$627)</f>
        <v>-209</v>
      </c>
      <c r="I148" s="66">
        <f>AVERAGE('Shuttle Bids'!$L$597:$M$627)</f>
        <v>-158.33333333333334</v>
      </c>
      <c r="J148" s="66">
        <f>STDEV('Shuttle Bids'!$L$597:$M$627)</f>
        <v>39.843633763942179</v>
      </c>
    </row>
    <row r="149" spans="1:10" x14ac:dyDescent="0.25">
      <c r="A149" s="24" t="s">
        <v>197</v>
      </c>
      <c r="B149" s="64">
        <f>MAX('Non-shuttle Bids'!$P601:$Q631)</f>
        <v>0</v>
      </c>
      <c r="C149" s="64">
        <f>MIN('Non-shuttle Bids'!$P601:$Q631)</f>
        <v>-43</v>
      </c>
      <c r="D149" s="66">
        <f>AVERAGE('Non-shuttle Bids'!$P601:$Q631)</f>
        <v>-12.666666666666666</v>
      </c>
      <c r="E149" s="66">
        <f>STDEV('Non-shuttle Bids'!$P601:$Q631)</f>
        <v>15.033296378372908</v>
      </c>
      <c r="F149" s="65"/>
      <c r="G149" s="64">
        <f>MAX('Shuttle Bids'!$P601:$Q631)</f>
        <v>-142</v>
      </c>
      <c r="H149" s="64">
        <f>MIN('Shuttle Bids'!$P601:$Q631)</f>
        <v>-400</v>
      </c>
      <c r="I149" s="66">
        <f>AVERAGE('Shuttle Bids'!$P601:$Q631)</f>
        <v>-275.81818181818181</v>
      </c>
      <c r="J149" s="66">
        <f>STDEV('Shuttle Bids'!$P601:$Q631)</f>
        <v>83.063611987221179</v>
      </c>
    </row>
    <row r="150" spans="1:10" x14ac:dyDescent="0.25">
      <c r="A150" s="24" t="s">
        <v>198</v>
      </c>
      <c r="B150" s="64">
        <f>MAX('Non-shuttle Bids'!$T606:$U636)</f>
        <v>0</v>
      </c>
      <c r="C150" s="64">
        <f>MIN('Non-shuttle Bids'!$T606:$U636)</f>
        <v>-50</v>
      </c>
      <c r="D150" s="66">
        <f>AVERAGE('Non-shuttle Bids'!$T606:$U636)</f>
        <v>-17.076923076923077</v>
      </c>
      <c r="E150" s="66">
        <f>STDEV('Non-shuttle Bids'!$T606:$U636)</f>
        <v>16.009804688185493</v>
      </c>
      <c r="F150" s="65"/>
      <c r="G150" s="64">
        <f>MAX('Shuttle Bids'!$T606:$U636)</f>
        <v>-231</v>
      </c>
      <c r="H150" s="64">
        <f>MIN('Shuttle Bids'!$T606:$U636)</f>
        <v>-400</v>
      </c>
      <c r="I150" s="66">
        <f>AVERAGE('Shuttle Bids'!$T606:$U636)</f>
        <v>-319.46666666666664</v>
      </c>
      <c r="J150" s="66">
        <f>STDEV('Shuttle Bids'!$T606:$U636)</f>
        <v>48.622256318725213</v>
      </c>
    </row>
    <row r="151" spans="1:10" x14ac:dyDescent="0.25">
      <c r="A151" s="24" t="s">
        <v>199</v>
      </c>
      <c r="B151" s="64">
        <f>MAX('Non-shuttle Bids'!$X610:$Y640)</f>
        <v>25</v>
      </c>
      <c r="C151" s="64">
        <f>MIN('Non-shuttle Bids'!$X610:$Y640)</f>
        <v>-34</v>
      </c>
      <c r="D151" s="66">
        <f>AVERAGE('Non-shuttle Bids'!$X610:$Y640)</f>
        <v>-4.5238095238095237</v>
      </c>
      <c r="E151" s="66">
        <f>STDEV('Non-shuttle Bids'!$X610:$Y640)</f>
        <v>16.729073637291002</v>
      </c>
      <c r="F151" s="65"/>
      <c r="G151" s="64">
        <f>MAX('Shuttle Bids'!$X610:$Y640)</f>
        <v>-100</v>
      </c>
      <c r="H151" s="64">
        <f>MIN('Shuttle Bids'!$X610:$Y640)</f>
        <v>-413</v>
      </c>
      <c r="I151" s="66">
        <f>AVERAGE('Shuttle Bids'!$X610:$Y640)</f>
        <v>-236.11538461538461</v>
      </c>
      <c r="J151" s="66">
        <f>STDEV('Shuttle Bids'!$X610:$Y640)</f>
        <v>80.323011359423958</v>
      </c>
    </row>
    <row r="152" spans="1:10" x14ac:dyDescent="0.25">
      <c r="A152" s="24" t="s">
        <v>200</v>
      </c>
      <c r="B152" s="64">
        <f>MAX('Non-shuttle Bids'!$AB614:$AC644)</f>
        <v>50</v>
      </c>
      <c r="C152" s="64">
        <f>MIN('Non-shuttle Bids'!$AB614:$AC644)</f>
        <v>-26</v>
      </c>
      <c r="D152" s="66">
        <f>AVERAGE('Non-shuttle Bids'!$AB614:$AC644)</f>
        <v>15.931034482758621</v>
      </c>
      <c r="E152" s="66">
        <f>STDEV('Non-shuttle Bids'!$AB614:$AC644)</f>
        <v>19.951604007273556</v>
      </c>
      <c r="F152" s="65"/>
      <c r="G152" s="66">
        <f>MAX('Shuttle Bids'!$AB614:$AC644)</f>
        <v>200</v>
      </c>
      <c r="H152" s="66">
        <f>MIN('Shuttle Bids'!$AB614:$AC644)</f>
        <v>-375</v>
      </c>
      <c r="I152" s="66">
        <f>AVERAGE('Shuttle Bids'!$AB614:$AC644)</f>
        <v>-118.38888888888889</v>
      </c>
      <c r="J152" s="66">
        <f>STDEV('Shuttle Bids'!$AB614:$AC644)</f>
        <v>119.42368416637163</v>
      </c>
    </row>
    <row r="153" spans="1:10" x14ac:dyDescent="0.25">
      <c r="A153" s="24" t="s">
        <v>201</v>
      </c>
      <c r="B153" s="64">
        <f>MAX('Non-shuttle Bids'!$AF619:$AG649)</f>
        <v>35</v>
      </c>
      <c r="C153" s="64">
        <f>MIN('Non-shuttle Bids'!$AF619:$AG649)</f>
        <v>-37</v>
      </c>
      <c r="D153" s="66">
        <f>AVERAGE('Non-shuttle Bids'!$AF619:$AG649)</f>
        <v>12.411764705882353</v>
      </c>
      <c r="E153" s="66">
        <f>STDEV('Non-shuttle Bids'!$AF619:$AG649)</f>
        <v>17.036940832824904</v>
      </c>
      <c r="F153" s="65"/>
      <c r="G153" s="66">
        <f>MAX('Shuttle Bids'!$AF619:$AG649)</f>
        <v>50</v>
      </c>
      <c r="H153" s="66">
        <f>MIN('Shuttle Bids'!$AF619:$AG649)</f>
        <v>-200</v>
      </c>
      <c r="I153" s="66">
        <f>AVERAGE('Shuttle Bids'!$AF619:$AG649)</f>
        <v>-66.666666666666671</v>
      </c>
      <c r="J153" s="66">
        <f>STDEV('Shuttle Bids'!$AF619:$AG649)</f>
        <v>72.75169773833133</v>
      </c>
    </row>
    <row r="154" spans="1:10" x14ac:dyDescent="0.25">
      <c r="A154" s="24" t="s">
        <v>202</v>
      </c>
      <c r="B154" s="64">
        <f>MAX('Non-shuttle Bids'!$AJ623:$AK653)</f>
        <v>58</v>
      </c>
      <c r="C154" s="64">
        <f>MIN('Non-shuttle Bids'!$AJ623:$AK653)</f>
        <v>-15</v>
      </c>
      <c r="D154" s="66">
        <f>AVERAGE('Non-shuttle Bids'!$AJ623:$AK653)</f>
        <v>27</v>
      </c>
      <c r="E154" s="66">
        <f>STDEV('Non-shuttle Bids'!$AJ623:$AK653)</f>
        <v>20.295543621915893</v>
      </c>
      <c r="F154" s="65"/>
      <c r="G154" s="66">
        <f>MAX('Shuttle Bids'!$AJ623:$AK653)</f>
        <v>200</v>
      </c>
      <c r="H154" s="66">
        <f>MIN('Shuttle Bids'!$AJ623:$AK653)</f>
        <v>-225</v>
      </c>
      <c r="I154" s="66">
        <f>AVERAGE('Shuttle Bids'!$AJ623:$AK653)</f>
        <v>-24.529411764705884</v>
      </c>
      <c r="J154" s="66">
        <f>STDEV('Shuttle Bids'!$AJ623:$AK653)</f>
        <v>96.74998560617469</v>
      </c>
    </row>
    <row r="155" spans="1:10" x14ac:dyDescent="0.25">
      <c r="A155" s="24" t="s">
        <v>193</v>
      </c>
      <c r="B155" s="64">
        <f>MAX('Non-shuttle Bids'!$AN628:$AO658)</f>
        <v>241</v>
      </c>
      <c r="C155" s="64">
        <f>MIN('Non-shuttle Bids'!$AN628:$AO658)</f>
        <v>0</v>
      </c>
      <c r="D155" s="66">
        <f>AVERAGE('Non-shuttle Bids'!$AN628:$AO658)</f>
        <v>79.736842105263165</v>
      </c>
      <c r="E155" s="66">
        <f>STDEV('Non-shuttle Bids'!$AN628:$AO658)</f>
        <v>75.08945931743547</v>
      </c>
      <c r="F155" s="65"/>
      <c r="G155" s="66">
        <f>MAX('Shuttle Bids'!$AN628:$AO658)</f>
        <v>600</v>
      </c>
      <c r="H155" s="66">
        <f>MIN('Shuttle Bids'!$AN628:$AO658)</f>
        <v>50</v>
      </c>
      <c r="I155" s="66">
        <f>AVERAGE('Shuttle Bids'!$AN628:$AO658)</f>
        <v>292.3</v>
      </c>
      <c r="J155" s="66">
        <f>STDEV('Shuttle Bids'!$AN628:$AO658)</f>
        <v>133.48892204109038</v>
      </c>
    </row>
    <row r="156" spans="1:10" x14ac:dyDescent="0.25">
      <c r="A156" s="24" t="s">
        <v>194</v>
      </c>
      <c r="B156" s="64">
        <f>MAX('Non-shuttle Bids'!$AR632:$AS662)</f>
        <v>325</v>
      </c>
      <c r="C156" s="64">
        <f>MIN('Non-shuttle Bids'!$AR632:$AS662)</f>
        <v>-5</v>
      </c>
      <c r="D156" s="66">
        <f>AVERAGE('Non-shuttle Bids'!$AR632:$AS662)</f>
        <v>116.52941176470588</v>
      </c>
      <c r="E156" s="66">
        <f>STDEV('Non-shuttle Bids'!$AR632:$AS662)</f>
        <v>113.99184052326883</v>
      </c>
      <c r="F156" s="65"/>
      <c r="G156" s="66">
        <f>MAX('Shuttle Bids'!$AR632:$AS662)</f>
        <v>782</v>
      </c>
      <c r="H156" s="66">
        <f>MIN('Shuttle Bids'!$AR632:$AS662)</f>
        <v>0</v>
      </c>
      <c r="I156" s="66">
        <f>AVERAGE('Shuttle Bids'!$AR632:$AS662)</f>
        <v>209.26470588235293</v>
      </c>
      <c r="J156" s="66">
        <f>STDEV('Shuttle Bids'!$AR632:$AS662)</f>
        <v>185.20918702645878</v>
      </c>
    </row>
    <row r="157" spans="1:10" x14ac:dyDescent="0.25">
      <c r="A157" s="24" t="s">
        <v>195</v>
      </c>
      <c r="B157" s="64">
        <f>MAX('Non-shuttle Bids'!$AV637:$AW667)</f>
        <v>325</v>
      </c>
      <c r="C157" s="64">
        <f>MIN('Non-shuttle Bids'!$AV637:$AW667)</f>
        <v>-8</v>
      </c>
      <c r="D157" s="66">
        <f>AVERAGE('Non-shuttle Bids'!$AV637:$AW667)</f>
        <v>67.5625</v>
      </c>
      <c r="E157" s="66">
        <f>STDEV('Non-shuttle Bids'!$AV637:$AW667)</f>
        <v>91.957213782642782</v>
      </c>
      <c r="F157" s="65"/>
      <c r="G157" s="66">
        <f>MAX('Shuttle Bids'!$AV637:$AW667)</f>
        <v>469</v>
      </c>
      <c r="H157" s="66">
        <f>MIN('Shuttle Bids'!$AV637:$AW667)</f>
        <v>-125</v>
      </c>
      <c r="I157" s="66">
        <f>AVERAGE('Shuttle Bids'!$AV637:$AW667)</f>
        <v>48.310344827586206</v>
      </c>
      <c r="J157" s="66">
        <f>STDEV('Shuttle Bids'!$AV637:$AW667)</f>
        <v>144.52807523806476</v>
      </c>
    </row>
    <row r="158" spans="1:10" x14ac:dyDescent="0.25">
      <c r="A158" s="24" t="s">
        <v>192</v>
      </c>
      <c r="B158" s="64">
        <f>MAX('Non-shuttle Bids'!$D641:$E671)</f>
        <v>57</v>
      </c>
      <c r="C158" s="64">
        <f>MIN('Non-shuttle Bids'!$D$641:$E$671)</f>
        <v>-20</v>
      </c>
      <c r="D158" s="66">
        <f>AVERAGE('Non-shuttle Bids'!$D$641:$E$671)</f>
        <v>4.2307692307692308</v>
      </c>
      <c r="E158" s="66">
        <f>STDEV('Non-shuttle Bids'!$D$641:$E$671)</f>
        <v>26.249297914908905</v>
      </c>
      <c r="F158" s="65"/>
      <c r="G158" s="64">
        <f>MAX('Shuttle Bids'!$D$641:$E$671)</f>
        <v>384</v>
      </c>
      <c r="H158" s="64">
        <f>MIN('Shuttle Bids'!$D$641:$E$671)</f>
        <v>-250</v>
      </c>
      <c r="I158" s="66">
        <f>AVERAGE('Shuttle Bids'!$D$641:$E$671)</f>
        <v>0.73684210526315785</v>
      </c>
      <c r="J158" s="66">
        <f>STDEV('Shuttle Bids'!$D$641:$E$671)</f>
        <v>155.30358874914182</v>
      </c>
    </row>
    <row r="159" spans="1:10" x14ac:dyDescent="0.25">
      <c r="A159" s="92" t="s">
        <v>221</v>
      </c>
      <c r="B159" s="64">
        <f>MAX('Non-shuttle Bids'!$H645:$I675)</f>
        <v>82</v>
      </c>
      <c r="C159" s="64">
        <f>MIN('Non-shuttle Bids'!$H645:$I675)</f>
        <v>-50</v>
      </c>
      <c r="D159" s="66">
        <f>AVERAGE('Non-shuttle Bids'!$H645:$I675)</f>
        <v>8</v>
      </c>
      <c r="E159" s="66">
        <f>STDEV('Non-shuttle Bids'!$H645:$I675)</f>
        <v>39.588959499912526</v>
      </c>
      <c r="F159" s="65"/>
      <c r="G159" s="64">
        <f>MAX('Shuttle Bids'!$H$645:$I$675)</f>
        <v>550</v>
      </c>
      <c r="H159" s="64">
        <f>MIN('Shuttle Bids'!$H$645:$I$675)</f>
        <v>-175</v>
      </c>
      <c r="I159" s="66">
        <f>AVERAGE('Shuttle Bids'!$H$645:$I$675)</f>
        <v>106</v>
      </c>
      <c r="J159" s="66">
        <f>STDEV('Shuttle Bids'!$H$645:$I$675)</f>
        <v>224.05058952537183</v>
      </c>
    </row>
    <row r="160" spans="1:10" x14ac:dyDescent="0.25">
      <c r="A160" s="92" t="s">
        <v>222</v>
      </c>
      <c r="B160" s="64">
        <f>MAX('Non-shuttle Bids'!$L650:$M680)</f>
        <v>150</v>
      </c>
      <c r="C160" s="64">
        <f>MIN('Non-shuttle Bids'!$L650:$M680)</f>
        <v>-25</v>
      </c>
      <c r="D160" s="66">
        <f>AVERAGE('Non-shuttle Bids'!$L650:$M680)</f>
        <v>18.5625</v>
      </c>
      <c r="E160" s="66">
        <f>STDEV('Non-shuttle Bids'!$L650:$M680)</f>
        <v>40.237575722202749</v>
      </c>
      <c r="F160" s="65"/>
      <c r="G160" s="64">
        <f>MAX('Shuttle Bids'!$L$650:$M$680)</f>
        <v>363</v>
      </c>
      <c r="H160" s="64">
        <f>MIN('Shuttle Bids'!$L$650:$M$680)</f>
        <v>-350</v>
      </c>
      <c r="I160" s="66">
        <f>AVERAGE('Shuttle Bids'!$L$650:$M$680)</f>
        <v>60.555555555555557</v>
      </c>
      <c r="J160" s="66">
        <f>STDEV('Shuttle Bids'!$L$650:$M$680)</f>
        <v>209.60417099077975</v>
      </c>
    </row>
    <row r="161" spans="1:14" x14ac:dyDescent="0.25">
      <c r="A161" s="92" t="s">
        <v>223</v>
      </c>
      <c r="B161" s="64">
        <f>MAX('Non-shuttle Bids'!$P654:$Q684)</f>
        <v>20</v>
      </c>
      <c r="C161" s="64">
        <f>MIN('Non-shuttle Bids'!$P654:$Q684)</f>
        <v>-30</v>
      </c>
      <c r="D161" s="66">
        <f>AVERAGE('Non-shuttle Bids'!$P654:$Q684)</f>
        <v>-6.7857142857142856</v>
      </c>
      <c r="E161" s="66">
        <f>STDEV('Non-shuttle Bids'!$P654:$Q684)</f>
        <v>14.676923652867039</v>
      </c>
      <c r="F161" s="65"/>
      <c r="G161" s="64">
        <f>MAX('Shuttle Bids'!$P654:$Q684)</f>
        <v>-100</v>
      </c>
      <c r="H161" s="64">
        <f>MIN('Shuttle Bids'!$P654:$Q684)</f>
        <v>-334</v>
      </c>
      <c r="I161" s="66">
        <f>AVERAGE('Shuttle Bids'!$P654:$Q684)</f>
        <v>-192.4</v>
      </c>
      <c r="J161" s="66">
        <f>STDEV('Shuttle Bids'!$P654:$Q684)</f>
        <v>68.043893396626174</v>
      </c>
    </row>
    <row r="162" spans="1:14" x14ac:dyDescent="0.25">
      <c r="A162" s="92" t="s">
        <v>224</v>
      </c>
      <c r="B162" s="64">
        <f>MAX('Non-shuttle Bids'!$T658:$U688)</f>
        <v>25</v>
      </c>
      <c r="C162" s="64">
        <f>MIN('Non-shuttle Bids'!$T658:$U688)</f>
        <v>-18</v>
      </c>
      <c r="D162" s="66">
        <f>AVERAGE('Non-shuttle Bids'!$T658:$U688)</f>
        <v>-6.1875</v>
      </c>
      <c r="E162" s="66">
        <f>STDEV('Non-shuttle Bids'!$T658:$U688)</f>
        <v>10.590679864862311</v>
      </c>
      <c r="F162" s="65"/>
      <c r="G162" s="64">
        <f>MAX('Shuttle Bids'!$T658:$U688)</f>
        <v>-100</v>
      </c>
      <c r="H162" s="64">
        <f>MIN('Shuttle Bids'!$T658:$U688)</f>
        <v>-350</v>
      </c>
      <c r="I162" s="66">
        <f>AVERAGE('Shuttle Bids'!$T658:$U688)</f>
        <v>-257.09523809523807</v>
      </c>
      <c r="J162" s="66">
        <f>STDEV('Shuttle Bids'!$T658:$U688)</f>
        <v>69.36923292202728</v>
      </c>
    </row>
    <row r="163" spans="1:14" x14ac:dyDescent="0.25">
      <c r="A163" s="92" t="s">
        <v>225</v>
      </c>
      <c r="B163" s="64">
        <f>MAX('Non-shuttle Bids'!$X663:$Y693)</f>
        <v>10</v>
      </c>
      <c r="C163" s="64">
        <f>MIN('Non-shuttle Bids'!$X663:$Y693)</f>
        <v>-63</v>
      </c>
      <c r="D163" s="66">
        <f>AVERAGE('Non-shuttle Bids'!$X663:$Y693)</f>
        <v>-7.375</v>
      </c>
      <c r="E163" s="66">
        <f>STDEV('Non-shuttle Bids'!$X663:$Y693)</f>
        <v>16.768522097469809</v>
      </c>
      <c r="F163" s="65"/>
      <c r="G163" s="64">
        <f>MAX('Shuttle Bids'!$X663:$Y693)</f>
        <v>-133</v>
      </c>
      <c r="H163" s="64">
        <f>MIN('Shuttle Bids'!$X663:$Y693)</f>
        <v>-450</v>
      </c>
      <c r="I163" s="66">
        <f>AVERAGE('Shuttle Bids'!$X663:$Y693)</f>
        <v>-200.15217391304347</v>
      </c>
      <c r="J163" s="66">
        <f>STDEV('Shuttle Bids'!$X663:$Y693)</f>
        <v>66.330809798331373</v>
      </c>
    </row>
    <row r="164" spans="1:14" x14ac:dyDescent="0.25">
      <c r="A164" s="92" t="s">
        <v>226</v>
      </c>
      <c r="B164" s="64">
        <f>MAX('Non-shuttle Bids'!$AB667:$AC697)</f>
        <v>63</v>
      </c>
      <c r="C164" s="64">
        <f>MIN('Non-shuttle Bids'!$AB667:$AC697)</f>
        <v>-25</v>
      </c>
      <c r="D164" s="66">
        <f>AVERAGE('Non-shuttle Bids'!$AB667:$AC697)</f>
        <v>1.3888888888888888</v>
      </c>
      <c r="E164" s="66">
        <f>STDEV('Non-shuttle Bids'!$AB667:$AC697)</f>
        <v>18.247123508648404</v>
      </c>
      <c r="F164" s="65"/>
      <c r="G164" s="66">
        <f>MAX('Shuttle Bids'!$AB667:$AC697)</f>
        <v>125</v>
      </c>
      <c r="H164" s="66">
        <f>MIN('Shuttle Bids'!$AB667:$AC697)</f>
        <v>-475</v>
      </c>
      <c r="I164" s="66">
        <f>AVERAGE('Shuttle Bids'!$AB667:$AC697)</f>
        <v>-231.76923076923077</v>
      </c>
      <c r="J164" s="66">
        <f>STDEV('Shuttle Bids'!$AB667:$AC697)</f>
        <v>150.22158846525903</v>
      </c>
    </row>
    <row r="165" spans="1:14" x14ac:dyDescent="0.25">
      <c r="A165" s="92" t="s">
        <v>227</v>
      </c>
      <c r="B165" s="64">
        <f>MAX('Non-shuttle Bids'!$AF671:$AG701)</f>
        <v>475</v>
      </c>
      <c r="C165" s="64">
        <f>MIN('Non-shuttle Bids'!$AF671:$AG701)</f>
        <v>0</v>
      </c>
      <c r="D165" s="66">
        <f>AVERAGE('Non-shuttle Bids'!$AF671:$AG701)</f>
        <v>97.722222222222229</v>
      </c>
      <c r="E165" s="66">
        <f>STDEV('Non-shuttle Bids'!$AF671:$AG701)</f>
        <v>146.22295850779125</v>
      </c>
      <c r="F165" s="65"/>
      <c r="G165" s="66">
        <f>MAX('Shuttle Bids'!$AF671:$AG701)</f>
        <v>1142</v>
      </c>
      <c r="H165" s="66">
        <f>MIN('Shuttle Bids'!$AF671:$AG701)</f>
        <v>-300</v>
      </c>
      <c r="I165" s="66">
        <f>AVERAGE('Shuttle Bids'!$AF671:$AG701)</f>
        <v>200.6</v>
      </c>
      <c r="J165" s="66">
        <f>STDEV('Shuttle Bids'!$AF671:$AG701)</f>
        <v>451.01849819523562</v>
      </c>
    </row>
    <row r="166" spans="1:14" x14ac:dyDescent="0.25">
      <c r="A166" s="92" t="s">
        <v>228</v>
      </c>
      <c r="B166" s="64">
        <f>MAX('Non-shuttle Bids'!$AJ676:$AK706)</f>
        <v>1059</v>
      </c>
      <c r="C166" s="64">
        <f>MIN('Non-shuttle Bids'!$AJ676:$AK706)</f>
        <v>-5</v>
      </c>
      <c r="D166" s="66">
        <f>AVERAGE('Non-shuttle Bids'!$AJ676:$AK706)</f>
        <v>347.30434782608694</v>
      </c>
      <c r="E166" s="66">
        <f>STDEV('Non-shuttle Bids'!$AJ676:$AK706)</f>
        <v>302.23236617221414</v>
      </c>
      <c r="F166" s="65"/>
      <c r="G166" s="66">
        <f>MAX('Shuttle Bids'!$AJ676:$AK706)</f>
        <v>1400</v>
      </c>
      <c r="H166" s="66">
        <f>MIN('Shuttle Bids'!$AJ676:$AK706)</f>
        <v>-200</v>
      </c>
      <c r="I166" s="66">
        <f>AVERAGE('Shuttle Bids'!$AJ676:$AK706)</f>
        <v>286.84615384615387</v>
      </c>
      <c r="J166" s="66">
        <f>STDEV('Shuttle Bids'!$AJ676:$AK706)</f>
        <v>459.67133409058192</v>
      </c>
    </row>
    <row r="167" spans="1:14" x14ac:dyDescent="0.25">
      <c r="A167" s="92" t="s">
        <v>214</v>
      </c>
      <c r="B167" s="64">
        <f>MAX('Non-shuttle Bids'!$AN680:$AO710)</f>
        <v>1100</v>
      </c>
      <c r="C167" s="64">
        <f>MIN('Non-shuttle Bids'!$AN680:$AO710)</f>
        <v>113</v>
      </c>
      <c r="D167" s="66">
        <f>AVERAGE('Non-shuttle Bids'!$AN680:$AO710)</f>
        <v>474.75862068965517</v>
      </c>
      <c r="E167" s="66">
        <f>STDEV('Non-shuttle Bids'!$AN680:$AO710)</f>
        <v>273.08602192250362</v>
      </c>
      <c r="F167" s="65"/>
      <c r="G167" s="66">
        <f>MAX('Shuttle Bids'!$AN680:$AO710)</f>
        <v>1900</v>
      </c>
      <c r="H167" s="66">
        <f>MIN('Shuttle Bids'!$AN680:$AO710)</f>
        <v>-350</v>
      </c>
      <c r="I167" s="66">
        <f>AVERAGE('Shuttle Bids'!$AN680:$AO710)</f>
        <v>718.91666666666663</v>
      </c>
      <c r="J167" s="66">
        <f>STDEV('Shuttle Bids'!$AN680:$AO710)</f>
        <v>517.99478901749137</v>
      </c>
    </row>
    <row r="168" spans="1:14" x14ac:dyDescent="0.25">
      <c r="A168" s="92" t="s">
        <v>215</v>
      </c>
      <c r="B168" s="64">
        <f>MAX('Non-shuttle Bids'!$AR684:$AS714)</f>
        <v>525</v>
      </c>
      <c r="C168" s="64">
        <f>MIN('Non-shuttle Bids'!$AR684:$AS714)</f>
        <v>-67</v>
      </c>
      <c r="D168" s="66">
        <f>AVERAGE('Non-shuttle Bids'!$AR684:$AS714)</f>
        <v>204.77272727272728</v>
      </c>
      <c r="E168" s="66">
        <f>STDEV('Non-shuttle Bids'!$AR684:$AS714)</f>
        <v>192.04858805302416</v>
      </c>
      <c r="F168" s="65"/>
      <c r="G168" s="66">
        <f>MAX('Shuttle Bids'!$AR684:$AS714)</f>
        <v>1100</v>
      </c>
      <c r="H168" s="66">
        <f>MIN('Shuttle Bids'!$AR684:$AS714)</f>
        <v>-525</v>
      </c>
      <c r="I168" s="66">
        <f>AVERAGE('Shuttle Bids'!$AR684:$AS714)</f>
        <v>272.38888888888891</v>
      </c>
      <c r="J168" s="66">
        <f>STDEV('Shuttle Bids'!$AR684:$AS714)</f>
        <v>420.82200361929597</v>
      </c>
    </row>
    <row r="169" spans="1:14" x14ac:dyDescent="0.25">
      <c r="A169" s="92" t="s">
        <v>216</v>
      </c>
      <c r="B169" s="64">
        <f>MAX('Non-shuttle Bids'!$AV689:$AW719)</f>
        <v>500</v>
      </c>
      <c r="C169" s="64">
        <f>MIN('Non-shuttle Bids'!$AV689:$AW719)</f>
        <v>-88</v>
      </c>
      <c r="D169" s="66">
        <f>AVERAGE('Non-shuttle Bids'!$AV689:$AW719)</f>
        <v>91</v>
      </c>
      <c r="E169" s="66">
        <f>STDEV('Non-shuttle Bids'!$AV689:$AW719)</f>
        <v>171.73380564117247</v>
      </c>
      <c r="F169" s="65"/>
      <c r="G169" s="66">
        <f>MAX('Shuttle Bids'!$AV689:$AW719)</f>
        <v>600</v>
      </c>
      <c r="H169" s="66">
        <f>MIN('Shuttle Bids'!$AV689:$AW719)</f>
        <v>-509</v>
      </c>
      <c r="I169" s="66">
        <f>AVERAGE('Shuttle Bids'!$AV689:$AW719)</f>
        <v>-41.470588235294116</v>
      </c>
      <c r="J169" s="66">
        <f>STDEV('Shuttle Bids'!$AV689:$AW719)</f>
        <v>327.0806809275154</v>
      </c>
    </row>
    <row r="170" spans="1:14" x14ac:dyDescent="0.25">
      <c r="A170" s="24" t="s">
        <v>217</v>
      </c>
      <c r="B170" s="64">
        <f>MAX('Non-shuttle Bids'!$D694:$E724)</f>
        <v>150</v>
      </c>
      <c r="C170" s="64">
        <f>MIN('Non-shuttle Bids'!$D$694:$E$724)</f>
        <v>-50</v>
      </c>
      <c r="D170" s="66">
        <f>AVERAGE('Non-shuttle Bids'!$D$694:$E$724)</f>
        <v>18.105263157894736</v>
      </c>
      <c r="E170" s="66">
        <f>STDEV('Non-shuttle Bids'!$D$694:$E$724)</f>
        <v>50.41813467487237</v>
      </c>
      <c r="G170" s="64">
        <f>MAX('Shuttle Bids'!$D$694:$E$724)</f>
        <v>104</v>
      </c>
      <c r="H170" s="64">
        <f>MIN('Shuttle Bids'!$D$694:$E$724)</f>
        <v>-600</v>
      </c>
      <c r="I170" s="66">
        <f>AVERAGE('Shuttle Bids'!$D$694:$E$724)</f>
        <v>-210.58823529411765</v>
      </c>
      <c r="J170" s="66">
        <f>STDEV('Shuttle Bids'!$D$694:$E$724)</f>
        <v>180.82555779795393</v>
      </c>
    </row>
    <row r="171" spans="1:14" x14ac:dyDescent="0.25">
      <c r="A171" s="92" t="s">
        <v>230</v>
      </c>
      <c r="B171" s="64">
        <f>MAX('Non-shuttle Bids'!$H698:$I728)</f>
        <v>250</v>
      </c>
      <c r="C171" s="64">
        <f>MIN('Non-shuttle Bids'!$H698:$I728)</f>
        <v>-50</v>
      </c>
      <c r="D171" s="66">
        <f>AVERAGE('Non-shuttle Bids'!$H698:$I728)</f>
        <v>48.047619047619051</v>
      </c>
      <c r="E171" s="66">
        <f>STDEV('Non-shuttle Bids'!$H698:$I728)</f>
        <v>79.82385369704734</v>
      </c>
      <c r="G171" s="64">
        <f>MAX('Shuttle Bids'!$H$698:$I$728)</f>
        <v>433</v>
      </c>
      <c r="H171" s="64">
        <f>MIN('Shuttle Bids'!$H$698:$I$728)</f>
        <v>-425</v>
      </c>
      <c r="I171" s="66">
        <f>AVERAGE('Shuttle Bids'!$H$698:$I$728)</f>
        <v>-163.04761904761904</v>
      </c>
      <c r="J171" s="66">
        <f>STDEV('Shuttle Bids'!$H$698:$I$728)</f>
        <v>206.91724823959848</v>
      </c>
    </row>
    <row r="172" spans="1:14" x14ac:dyDescent="0.25">
      <c r="A172" s="92" t="s">
        <v>231</v>
      </c>
      <c r="B172" s="64">
        <f>MAX('Non-shuttle Bids'!$L702:$M732)</f>
        <v>338</v>
      </c>
      <c r="C172" s="64">
        <f>MIN('Non-shuttle Bids'!$L702:$M732)</f>
        <v>0</v>
      </c>
      <c r="D172" s="66">
        <f>AVERAGE('Non-shuttle Bids'!$L702:$M732)</f>
        <v>67.81481481481481</v>
      </c>
      <c r="E172" s="66">
        <f>STDEV('Non-shuttle Bids'!$L702:$M732)</f>
        <v>113.743989540965</v>
      </c>
      <c r="G172" s="64">
        <f>MAX('Shuttle Bids'!$L$702:$M$732)</f>
        <v>475</v>
      </c>
      <c r="H172" s="64">
        <f>MIN('Shuttle Bids'!$L$702:$M$732)</f>
        <v>-488</v>
      </c>
      <c r="I172" s="66">
        <f>AVERAGE('Shuttle Bids'!$L$702:$M$732)</f>
        <v>-175.85185185185185</v>
      </c>
      <c r="J172" s="66">
        <f>STDEV('Shuttle Bids'!$L$702:$M$732)</f>
        <v>270.26592370417239</v>
      </c>
    </row>
    <row r="173" spans="1:14" x14ac:dyDescent="0.25">
      <c r="A173" s="92" t="s">
        <v>232</v>
      </c>
      <c r="B173" s="64">
        <f>MAX('Non-shuttle Bids'!$P707:$Q737)</f>
        <v>350</v>
      </c>
      <c r="C173" s="64">
        <f>MIN('Non-shuttle Bids'!$P707:$Q737)</f>
        <v>-25</v>
      </c>
      <c r="D173" s="66">
        <f>AVERAGE('Non-shuttle Bids'!$P707:$Q737)</f>
        <v>84.869565217391298</v>
      </c>
      <c r="E173" s="66">
        <f>STDEV('Non-shuttle Bids'!$P707:$Q737)</f>
        <v>123.6024802442477</v>
      </c>
      <c r="F173" s="65"/>
      <c r="G173" s="64">
        <f>MAX('Shuttle Bids'!$P707:$Q737)</f>
        <v>88</v>
      </c>
      <c r="H173" s="64">
        <f>MIN('Shuttle Bids'!$P707:$Q737)</f>
        <v>-800</v>
      </c>
      <c r="I173" s="66">
        <f>AVERAGE('Shuttle Bids'!$P707:$Q737)</f>
        <v>-330.25</v>
      </c>
      <c r="J173" s="66">
        <f>STDEV('Shuttle Bids'!$P707:$Q737)</f>
        <v>214.25338540591312</v>
      </c>
    </row>
    <row r="174" spans="1:14" x14ac:dyDescent="0.25">
      <c r="A174" s="92" t="s">
        <v>233</v>
      </c>
      <c r="B174" s="64">
        <f>MAX('Non-shuttle Bids'!$T711:$U741)</f>
        <v>300</v>
      </c>
      <c r="C174" s="64">
        <f>MIN('Non-shuttle Bids'!$T711:$U741)</f>
        <v>-13</v>
      </c>
      <c r="D174" s="66">
        <f>AVERAGE('Non-shuttle Bids'!$T711:$U741)</f>
        <v>37.25</v>
      </c>
      <c r="E174" s="66">
        <f>STDEV('Non-shuttle Bids'!$T711:$U741)</f>
        <v>82.011573257365015</v>
      </c>
      <c r="F174" s="65"/>
      <c r="G174" s="64">
        <f>MAX('Shuttle Bids'!$T711:$U741)</f>
        <v>38</v>
      </c>
      <c r="H174" s="64">
        <f>MIN('Shuttle Bids'!$T711:$U741)</f>
        <v>-900</v>
      </c>
      <c r="I174" s="66">
        <f>AVERAGE('Shuttle Bids'!$T711:$U741)</f>
        <v>-484.48148148148147</v>
      </c>
      <c r="J174" s="66">
        <f>STDEV('Shuttle Bids'!$T711:$U741)</f>
        <v>194.53403308544762</v>
      </c>
    </row>
    <row r="175" spans="1:14" x14ac:dyDescent="0.25">
      <c r="A175" s="92" t="s">
        <v>234</v>
      </c>
      <c r="B175" s="64">
        <f>MAX('Non-shuttle Bids'!$X715:$Y745)</f>
        <v>100</v>
      </c>
      <c r="C175" s="64">
        <f>MIN('Non-shuttle Bids'!$X715:$Y745)</f>
        <v>0</v>
      </c>
      <c r="D175" s="66">
        <f>AVERAGE('Non-shuttle Bids'!$X715:$Y745)</f>
        <v>31.210526315789473</v>
      </c>
      <c r="E175" s="66">
        <f>STDEV('Non-shuttle Bids'!$X715:$Y745)</f>
        <v>28.171259876706539</v>
      </c>
      <c r="F175" s="65"/>
      <c r="G175" s="64">
        <f>MAX('Shuttle Bids'!$X715:$Y745)</f>
        <v>0</v>
      </c>
      <c r="H175" s="64">
        <f>MIN('Shuttle Bids'!$X715:$Y745)</f>
        <v>-500</v>
      </c>
      <c r="I175" s="66">
        <f>AVERAGE('Shuttle Bids'!$X715:$Y745)</f>
        <v>-315.95833333333331</v>
      </c>
      <c r="J175" s="66">
        <f>STDEV('Shuttle Bids'!$X715:$Y745)</f>
        <v>107.65786352937788</v>
      </c>
    </row>
    <row r="176" spans="1:14" x14ac:dyDescent="0.25">
      <c r="A176" s="92" t="s">
        <v>235</v>
      </c>
      <c r="B176" s="64">
        <f>MAX('Non-shuttle Bids'!$AB720:$AC750)</f>
        <v>100</v>
      </c>
      <c r="C176" s="64">
        <f>MIN('Non-shuttle Bids'!$AB720:$AC750)</f>
        <v>-13</v>
      </c>
      <c r="D176" s="66">
        <f>AVERAGE('Non-shuttle Bids'!$AB720:$AC750)</f>
        <v>39.35</v>
      </c>
      <c r="E176" s="66">
        <f>STDEV('Non-shuttle Bids'!$AB720:$AC750)</f>
        <v>39.429183688174291</v>
      </c>
      <c r="F176" s="65"/>
      <c r="G176" s="66">
        <f>MAX('Shuttle Bids'!$AB720:$AC750)</f>
        <v>0</v>
      </c>
      <c r="H176" s="66">
        <f>MIN('Shuttle Bids'!$AB720:$AC750)</f>
        <v>-450</v>
      </c>
      <c r="I176" s="66">
        <f>AVERAGE('Shuttle Bids'!$AB720:$AC750)</f>
        <v>-323.63333333333333</v>
      </c>
      <c r="J176" s="66">
        <f>STDEV('Shuttle Bids'!$AB720:$AC750)</f>
        <v>96.832768510826284</v>
      </c>
      <c r="M176" s="53" t="s">
        <v>165</v>
      </c>
      <c r="N176" s="59"/>
    </row>
    <row r="177" spans="1:72" x14ac:dyDescent="0.25">
      <c r="A177" s="92" t="s">
        <v>236</v>
      </c>
      <c r="B177" s="64">
        <f>MAX('Non-shuttle Bids'!$AF724:$AG754)</f>
        <v>50</v>
      </c>
      <c r="C177" s="64">
        <f>MIN('Non-shuttle Bids'!$AF724:$AG754)</f>
        <v>0</v>
      </c>
      <c r="D177" s="66">
        <f>AVERAGE('Non-shuttle Bids'!$AF724:$AG754)</f>
        <v>22.333333333333332</v>
      </c>
      <c r="E177" s="66">
        <f>STDEV('Non-shuttle Bids'!$AF724:$AG754)</f>
        <v>16.193680684688303</v>
      </c>
      <c r="F177" s="65"/>
      <c r="G177" s="66">
        <f>MAX('Shuttle Bids'!$AF724:$AG754)</f>
        <v>-200</v>
      </c>
      <c r="H177" s="66">
        <f>MIN('Shuttle Bids'!$AF724:$AG754)</f>
        <v>-725</v>
      </c>
      <c r="I177" s="66">
        <f>AVERAGE('Shuttle Bids'!$AF724:$AG754)</f>
        <v>-376</v>
      </c>
      <c r="J177" s="66">
        <f>STDEV('Shuttle Bids'!$AF724:$AG754)</f>
        <v>155.29444174330141</v>
      </c>
      <c r="N177" s="147" t="s">
        <v>159</v>
      </c>
      <c r="O177" s="147"/>
      <c r="P177" s="147"/>
      <c r="Q177" s="54"/>
      <c r="R177" s="54"/>
      <c r="S177" s="147" t="s">
        <v>160</v>
      </c>
      <c r="T177" s="147"/>
      <c r="U177" s="147"/>
      <c r="V177" s="54"/>
      <c r="X177" s="147" t="s">
        <v>124</v>
      </c>
      <c r="Y177" s="147"/>
      <c r="Z177" s="147"/>
      <c r="AA177" s="54"/>
      <c r="AC177" s="147" t="s">
        <v>125</v>
      </c>
      <c r="AD177" s="147"/>
      <c r="AE177" s="147"/>
      <c r="AF177" s="54"/>
      <c r="AH177" s="147" t="s">
        <v>126</v>
      </c>
      <c r="AI177" s="147"/>
      <c r="AJ177" s="147"/>
      <c r="AK177" s="54"/>
      <c r="AM177" s="147" t="s">
        <v>127</v>
      </c>
      <c r="AN177" s="147"/>
      <c r="AO177" s="147"/>
      <c r="AP177" s="54"/>
      <c r="AR177" s="147" t="s">
        <v>128</v>
      </c>
      <c r="AS177" s="147"/>
      <c r="AT177" s="147"/>
      <c r="AU177" s="54"/>
      <c r="AW177" s="147" t="s">
        <v>129</v>
      </c>
      <c r="AX177" s="147"/>
      <c r="AY177" s="147"/>
      <c r="AZ177" s="54"/>
      <c r="BB177" s="147" t="s">
        <v>162</v>
      </c>
      <c r="BC177" s="147"/>
      <c r="BD177" s="147"/>
      <c r="BE177" s="54"/>
      <c r="BG177" s="147" t="s">
        <v>135</v>
      </c>
      <c r="BH177" s="147"/>
      <c r="BI177" s="147"/>
      <c r="BJ177" s="54"/>
      <c r="BL177" s="147" t="s">
        <v>136</v>
      </c>
      <c r="BM177" s="147"/>
      <c r="BN177" s="147"/>
      <c r="BO177" s="54"/>
      <c r="BQ177" s="147" t="s">
        <v>138</v>
      </c>
      <c r="BR177" s="147"/>
      <c r="BS177" s="147"/>
      <c r="BT177" s="54"/>
    </row>
    <row r="178" spans="1:72" ht="15.6" thickBot="1" x14ac:dyDescent="0.3">
      <c r="A178" s="92" t="s">
        <v>237</v>
      </c>
      <c r="B178" s="64">
        <f>MAX('Non-shuttle Bids'!$AJ728:$AK758)</f>
        <v>150</v>
      </c>
      <c r="C178" s="64">
        <f>MIN('Non-shuttle Bids'!$AJ728:$AK758)</f>
        <v>-13</v>
      </c>
      <c r="D178" s="66">
        <f>AVERAGE('Non-shuttle Bids'!$AJ728:$AK758)</f>
        <v>61.526315789473685</v>
      </c>
      <c r="E178" s="66">
        <f>STDEV('Non-shuttle Bids'!$AJ728:$AK758)</f>
        <v>45.690223147059271</v>
      </c>
      <c r="F178" s="65"/>
      <c r="G178" s="66">
        <f>MAX('Shuttle Bids'!$AJ728:$AK758)</f>
        <v>300</v>
      </c>
      <c r="H178" s="66">
        <f>MIN('Shuttle Bids'!$AJ728:$AK758)</f>
        <v>-700</v>
      </c>
      <c r="I178" s="66">
        <f>AVERAGE('Shuttle Bids'!$AJ728:$AK758)</f>
        <v>-306</v>
      </c>
      <c r="J178" s="66">
        <f>STDEV('Shuttle Bids'!$AJ728:$AK758)</f>
        <v>169.08699020448103</v>
      </c>
      <c r="M178" s="52" t="s">
        <v>156</v>
      </c>
      <c r="N178" s="55" t="s">
        <v>157</v>
      </c>
      <c r="O178" s="55" t="s">
        <v>158</v>
      </c>
      <c r="P178" s="55" t="s">
        <v>161</v>
      </c>
      <c r="Q178" s="55" t="s">
        <v>203</v>
      </c>
      <c r="R178" s="56"/>
      <c r="S178" s="55" t="s">
        <v>157</v>
      </c>
      <c r="T178" s="55" t="s">
        <v>158</v>
      </c>
      <c r="U178" s="55" t="s">
        <v>161</v>
      </c>
      <c r="V178" s="55" t="s">
        <v>203</v>
      </c>
      <c r="W178" s="56"/>
      <c r="X178" s="55" t="s">
        <v>157</v>
      </c>
      <c r="Y178" s="55" t="s">
        <v>158</v>
      </c>
      <c r="Z178" s="55" t="s">
        <v>161</v>
      </c>
      <c r="AA178" s="55" t="s">
        <v>203</v>
      </c>
      <c r="AB178" s="56"/>
      <c r="AC178" s="55" t="s">
        <v>157</v>
      </c>
      <c r="AD178" s="55" t="s">
        <v>158</v>
      </c>
      <c r="AE178" s="55" t="s">
        <v>161</v>
      </c>
      <c r="AF178" s="55" t="s">
        <v>203</v>
      </c>
      <c r="AH178" s="55" t="s">
        <v>157</v>
      </c>
      <c r="AI178" s="55" t="s">
        <v>158</v>
      </c>
      <c r="AJ178" s="55" t="s">
        <v>161</v>
      </c>
      <c r="AK178" s="55" t="s">
        <v>203</v>
      </c>
      <c r="AM178" s="55" t="s">
        <v>157</v>
      </c>
      <c r="AN178" s="55" t="s">
        <v>158</v>
      </c>
      <c r="AO178" s="55" t="s">
        <v>161</v>
      </c>
      <c r="AP178" s="55" t="s">
        <v>203</v>
      </c>
      <c r="AR178" s="55" t="s">
        <v>157</v>
      </c>
      <c r="AS178" s="55" t="s">
        <v>158</v>
      </c>
      <c r="AT178" s="55" t="s">
        <v>161</v>
      </c>
      <c r="AU178" s="55" t="s">
        <v>203</v>
      </c>
      <c r="AW178" s="55" t="s">
        <v>157</v>
      </c>
      <c r="AX178" s="55" t="s">
        <v>158</v>
      </c>
      <c r="AY178" s="55" t="s">
        <v>161</v>
      </c>
      <c r="AZ178" s="55" t="s">
        <v>203</v>
      </c>
      <c r="BB178" s="55" t="s">
        <v>157</v>
      </c>
      <c r="BC178" s="55" t="s">
        <v>158</v>
      </c>
      <c r="BD178" s="55" t="s">
        <v>161</v>
      </c>
      <c r="BE178" s="55" t="s">
        <v>203</v>
      </c>
      <c r="BG178" s="55" t="s">
        <v>157</v>
      </c>
      <c r="BH178" s="55" t="s">
        <v>158</v>
      </c>
      <c r="BI178" s="55" t="s">
        <v>161</v>
      </c>
      <c r="BJ178" s="55" t="s">
        <v>203</v>
      </c>
      <c r="BL178" s="55" t="s">
        <v>157</v>
      </c>
      <c r="BM178" s="55" t="s">
        <v>158</v>
      </c>
      <c r="BN178" s="55" t="s">
        <v>161</v>
      </c>
      <c r="BO178" s="55" t="s">
        <v>203</v>
      </c>
      <c r="BQ178" s="55" t="s">
        <v>157</v>
      </c>
      <c r="BR178" s="55" t="s">
        <v>158</v>
      </c>
      <c r="BS178" s="55" t="s">
        <v>161</v>
      </c>
      <c r="BT178" s="55" t="s">
        <v>203</v>
      </c>
    </row>
    <row r="179" spans="1:72" x14ac:dyDescent="0.25">
      <c r="A179" s="92" t="s">
        <v>218</v>
      </c>
      <c r="B179" s="64">
        <f>MAX('Non-shuttle Bids'!$AN733:$AO763)</f>
        <v>400</v>
      </c>
      <c r="C179" s="64">
        <f>MIN('Non-shuttle Bids'!$AN733:$AO763)</f>
        <v>-42</v>
      </c>
      <c r="D179" s="66">
        <f>AVERAGE('Non-shuttle Bids'!$AN733:$AO763)</f>
        <v>172</v>
      </c>
      <c r="E179" s="66">
        <f>STDEV('Non-shuttle Bids'!$AN733:$AO763)</f>
        <v>170.5974023372294</v>
      </c>
      <c r="G179" s="66">
        <f>MAX('Shuttle Bids'!$AN733:$AO763)</f>
        <v>850</v>
      </c>
      <c r="H179" s="66">
        <f>MIN('Shuttle Bids'!$AN733:$AO763)</f>
        <v>-600</v>
      </c>
      <c r="I179" s="66">
        <f>AVERAGE('Shuttle Bids'!$AN733:$AO763)</f>
        <v>424.15384615384613</v>
      </c>
      <c r="J179" s="66">
        <f>STDEV('Shuttle Bids'!$AN733:$AO763)</f>
        <v>313.68174774187412</v>
      </c>
      <c r="M179" s="1">
        <v>1997</v>
      </c>
      <c r="AH179" s="1">
        <v>-20</v>
      </c>
      <c r="AI179" s="1">
        <v>-95</v>
      </c>
      <c r="AJ179" s="1">
        <v>-57</v>
      </c>
      <c r="AM179" s="1">
        <v>-18</v>
      </c>
      <c r="AN179" s="1">
        <v>-112</v>
      </c>
      <c r="AO179" s="1">
        <v>-44</v>
      </c>
      <c r="AR179" s="1">
        <v>37</v>
      </c>
      <c r="AS179" s="1">
        <v>-102</v>
      </c>
      <c r="AT179" s="1">
        <v>-32</v>
      </c>
      <c r="AW179" s="1">
        <v>189</v>
      </c>
      <c r="AX179" s="1">
        <v>-94</v>
      </c>
      <c r="AY179" s="1">
        <v>24</v>
      </c>
      <c r="BB179" s="62">
        <v>288</v>
      </c>
      <c r="BC179" s="62">
        <v>-17</v>
      </c>
      <c r="BD179" s="62">
        <v>91</v>
      </c>
      <c r="BE179" s="62"/>
      <c r="BF179" s="62"/>
      <c r="BG179" s="62">
        <v>350</v>
      </c>
      <c r="BH179" s="62">
        <v>43</v>
      </c>
      <c r="BI179" s="62">
        <v>185</v>
      </c>
      <c r="BJ179" s="62"/>
      <c r="BK179" s="62"/>
      <c r="BL179" s="62">
        <v>334</v>
      </c>
      <c r="BM179" s="62">
        <v>69</v>
      </c>
      <c r="BN179" s="62">
        <v>204</v>
      </c>
      <c r="BO179" s="62"/>
      <c r="BP179" s="62"/>
      <c r="BQ179" s="62">
        <v>310</v>
      </c>
      <c r="BR179" s="62">
        <v>-84</v>
      </c>
      <c r="BS179" s="62">
        <v>173</v>
      </c>
      <c r="BT179" s="62"/>
    </row>
    <row r="180" spans="1:72" x14ac:dyDescent="0.25">
      <c r="A180" s="92" t="s">
        <v>219</v>
      </c>
      <c r="B180" s="64">
        <f>MAX('Non-shuttle Bids'!$AR737:$AS767)</f>
        <v>300</v>
      </c>
      <c r="C180" s="64">
        <f>MIN('Non-shuttle Bids'!$AR737:$AS767)</f>
        <v>-69</v>
      </c>
      <c r="D180" s="66">
        <f>AVERAGE('Non-shuttle Bids'!$AR737:$AS767)</f>
        <v>79</v>
      </c>
      <c r="E180" s="66">
        <f>STDEV('Non-shuttle Bids'!$AR737:$AS767)</f>
        <v>152.80431242192364</v>
      </c>
      <c r="F180" s="65"/>
      <c r="G180" s="66">
        <f>MAX('Shuttle Bids'!$AR737:$AS767)</f>
        <v>450</v>
      </c>
      <c r="H180" s="66">
        <f>MIN('Shuttle Bids'!$AR737:$AS767)</f>
        <v>-450</v>
      </c>
      <c r="I180" s="66">
        <f>AVERAGE('Shuttle Bids'!$AR737:$AS767)</f>
        <v>16.862068965517242</v>
      </c>
      <c r="J180" s="66">
        <f>STDEV('Shuttle Bids'!$AR737:$AS767)</f>
        <v>299.49525683555504</v>
      </c>
      <c r="M180" s="1">
        <v>1998</v>
      </c>
      <c r="N180" s="1">
        <v>268</v>
      </c>
      <c r="O180" s="1">
        <v>-280</v>
      </c>
      <c r="P180" s="1">
        <v>101</v>
      </c>
      <c r="S180" s="1">
        <v>225</v>
      </c>
      <c r="T180" s="1">
        <v>-289</v>
      </c>
      <c r="U180" s="1">
        <v>25</v>
      </c>
      <c r="X180" s="1">
        <v>167</v>
      </c>
      <c r="Y180" s="1">
        <v>-278</v>
      </c>
      <c r="Z180" s="1">
        <v>-40</v>
      </c>
      <c r="AC180" s="1">
        <v>50</v>
      </c>
      <c r="AD180" s="1">
        <v>-259</v>
      </c>
      <c r="AE180" s="1">
        <v>-78</v>
      </c>
      <c r="AH180" s="1">
        <v>33</v>
      </c>
      <c r="AI180" s="1">
        <v>-226</v>
      </c>
      <c r="AJ180" s="1">
        <v>-91</v>
      </c>
      <c r="AM180" s="1">
        <v>61</v>
      </c>
      <c r="AN180" s="1">
        <v>-158</v>
      </c>
      <c r="AO180" s="1">
        <v>-46</v>
      </c>
      <c r="AR180" s="1">
        <v>120</v>
      </c>
      <c r="AS180" s="1">
        <v>-91</v>
      </c>
      <c r="AT180" s="1">
        <v>10</v>
      </c>
      <c r="AW180" s="1">
        <v>261</v>
      </c>
      <c r="AX180" s="1">
        <v>-4</v>
      </c>
      <c r="AY180" s="1">
        <v>81</v>
      </c>
      <c r="BB180" s="62">
        <v>246</v>
      </c>
      <c r="BC180" s="62">
        <v>34</v>
      </c>
      <c r="BD180" s="62">
        <v>137</v>
      </c>
      <c r="BE180" s="62"/>
      <c r="BF180" s="62"/>
      <c r="BG180" s="62">
        <v>269</v>
      </c>
      <c r="BH180" s="62">
        <v>21</v>
      </c>
      <c r="BI180" s="62">
        <v>176</v>
      </c>
      <c r="BJ180" s="62"/>
      <c r="BK180" s="62"/>
      <c r="BL180" s="62">
        <v>221</v>
      </c>
      <c r="BM180" s="62">
        <v>-12</v>
      </c>
      <c r="BN180" s="62">
        <v>124</v>
      </c>
      <c r="BO180" s="62"/>
      <c r="BP180" s="62"/>
      <c r="BQ180" s="62">
        <v>195</v>
      </c>
      <c r="BR180" s="62">
        <v>-48</v>
      </c>
      <c r="BS180" s="62">
        <v>49</v>
      </c>
      <c r="BT180" s="62"/>
    </row>
    <row r="181" spans="1:72" x14ac:dyDescent="0.25">
      <c r="A181" s="92" t="s">
        <v>220</v>
      </c>
      <c r="B181" s="64">
        <f>MAX('Non-shuttle Bids'!$AV741:$AW771)</f>
        <v>200</v>
      </c>
      <c r="C181" s="64">
        <f>MIN('Non-shuttle Bids'!$AV741:$AW771)</f>
        <v>-75</v>
      </c>
      <c r="D181" s="66">
        <f>AVERAGE('Non-shuttle Bids'!$AV741:$AW771)</f>
        <v>34.807692307692307</v>
      </c>
      <c r="E181" s="66">
        <f>STDEV('Non-shuttle Bids'!$AV741:$AW771)</f>
        <v>93.799794980914214</v>
      </c>
      <c r="F181" s="65"/>
      <c r="G181" s="66">
        <f>MAX('Shuttle Bids'!$AV741:$AW771)</f>
        <v>75</v>
      </c>
      <c r="H181" s="66">
        <f>MIN('Shuttle Bids'!$AV741:$AW771)</f>
        <v>-475</v>
      </c>
      <c r="I181" s="66">
        <f>AVERAGE('Shuttle Bids'!$AV741:$AW771)</f>
        <v>-187.63636363636363</v>
      </c>
      <c r="J181" s="66">
        <f>STDEV('Shuttle Bids'!$AV741:$AW771)</f>
        <v>147.18118472265277</v>
      </c>
      <c r="M181" s="1">
        <v>1999</v>
      </c>
      <c r="N181" s="1">
        <v>50</v>
      </c>
      <c r="O181" s="1">
        <v>-101</v>
      </c>
      <c r="P181" s="1">
        <v>3</v>
      </c>
      <c r="S181" s="1">
        <v>35</v>
      </c>
      <c r="T181" s="1">
        <v>-85</v>
      </c>
      <c r="U181" s="1">
        <v>-11</v>
      </c>
      <c r="X181" s="1">
        <v>15</v>
      </c>
      <c r="Y181" s="1">
        <v>-75</v>
      </c>
      <c r="Z181" s="1">
        <v>-21</v>
      </c>
      <c r="AC181" s="1">
        <v>4</v>
      </c>
      <c r="AD181" s="1">
        <v>-81</v>
      </c>
      <c r="AE181" s="1">
        <v>-28</v>
      </c>
      <c r="AH181" s="1">
        <v>1</v>
      </c>
      <c r="AI181" s="1">
        <v>-88</v>
      </c>
      <c r="AJ181" s="1">
        <v>-29</v>
      </c>
      <c r="AM181" s="1">
        <v>34</v>
      </c>
      <c r="AN181" s="1">
        <v>-74</v>
      </c>
      <c r="AO181" s="1">
        <v>-10</v>
      </c>
      <c r="AR181" s="1">
        <v>64</v>
      </c>
      <c r="AS181" s="1">
        <v>-57</v>
      </c>
      <c r="AT181" s="1">
        <v>12</v>
      </c>
      <c r="AW181" s="1">
        <v>118</v>
      </c>
      <c r="AX181" s="1">
        <v>-28</v>
      </c>
      <c r="AY181" s="1">
        <v>42</v>
      </c>
      <c r="BB181" s="62">
        <v>187</v>
      </c>
      <c r="BC181" s="62">
        <v>26</v>
      </c>
      <c r="BD181" s="62">
        <v>78</v>
      </c>
      <c r="BE181" s="62"/>
      <c r="BF181" s="62"/>
      <c r="BG181" s="62">
        <v>198</v>
      </c>
      <c r="BH181" s="62">
        <v>-10</v>
      </c>
      <c r="BI181" s="62">
        <v>85</v>
      </c>
      <c r="BJ181" s="62"/>
      <c r="BK181" s="62"/>
      <c r="BL181" s="62">
        <v>111</v>
      </c>
      <c r="BM181" s="62">
        <v>-218</v>
      </c>
      <c r="BN181" s="62">
        <v>18</v>
      </c>
      <c r="BO181" s="62"/>
      <c r="BP181" s="62"/>
      <c r="BQ181" s="62">
        <v>66</v>
      </c>
      <c r="BR181" s="62">
        <v>-217</v>
      </c>
      <c r="BS181" s="62">
        <v>-27</v>
      </c>
      <c r="BT181" s="62"/>
    </row>
    <row r="182" spans="1:72" x14ac:dyDescent="0.25">
      <c r="A182" s="24" t="s">
        <v>242</v>
      </c>
      <c r="B182" s="64">
        <f>MAX('Non-shuttle Bids'!$D746:$E776)</f>
        <v>25</v>
      </c>
      <c r="C182" s="64">
        <f>MIN('Non-shuttle Bids'!$D746:$E776)</f>
        <v>-125</v>
      </c>
      <c r="D182" s="66">
        <f>AVERAGE('Non-shuttle Bids'!$D746:$E776)</f>
        <v>-29.277777777777779</v>
      </c>
      <c r="E182" s="66">
        <f>STDEV('Non-shuttle Bids'!$D746:$E776)</f>
        <v>50.786526183920721</v>
      </c>
      <c r="F182" s="65"/>
      <c r="G182" s="66">
        <f>MAX('Shuttle Bids'!$D746:$E776)</f>
        <v>-25</v>
      </c>
      <c r="H182" s="66">
        <f>MIN('Shuttle Bids'!$D746:$E776)</f>
        <v>-425</v>
      </c>
      <c r="I182" s="66">
        <f>AVERAGE('Shuttle Bids'!$D746:$E776)</f>
        <v>-211.8</v>
      </c>
      <c r="J182" s="66">
        <f>STDEV('Shuttle Bids'!$D746:$E776)</f>
        <v>141.19702546441977</v>
      </c>
      <c r="M182" s="1">
        <v>2000</v>
      </c>
      <c r="N182" s="1">
        <v>30</v>
      </c>
      <c r="O182" s="1">
        <v>-144</v>
      </c>
      <c r="P182" s="1">
        <v>-38</v>
      </c>
      <c r="S182" s="1">
        <v>15</v>
      </c>
      <c r="T182" s="1">
        <v>-126</v>
      </c>
      <c r="U182" s="1">
        <v>-41</v>
      </c>
      <c r="X182" s="1">
        <v>3</v>
      </c>
      <c r="Y182" s="1">
        <v>-93</v>
      </c>
      <c r="Z182" s="1">
        <v>-47</v>
      </c>
      <c r="AC182" s="1">
        <v>-7</v>
      </c>
      <c r="AD182" s="1">
        <v>-88</v>
      </c>
      <c r="AE182" s="1">
        <v>-47</v>
      </c>
      <c r="AH182" s="1">
        <v>-12</v>
      </c>
      <c r="AI182" s="1">
        <v>-77</v>
      </c>
      <c r="AJ182" s="1">
        <v>-43</v>
      </c>
      <c r="AM182" s="1">
        <v>-8</v>
      </c>
      <c r="AN182" s="1">
        <v>-85</v>
      </c>
      <c r="AO182" s="1">
        <v>-35</v>
      </c>
      <c r="AR182" s="1">
        <v>18</v>
      </c>
      <c r="AS182" s="1">
        <v>-108</v>
      </c>
      <c r="AT182" s="1">
        <v>-29</v>
      </c>
      <c r="AW182" s="1">
        <v>36</v>
      </c>
      <c r="AX182" s="1">
        <v>-163</v>
      </c>
      <c r="AY182" s="1">
        <v>-21</v>
      </c>
      <c r="BB182" s="62">
        <v>104</v>
      </c>
      <c r="BC182" s="62">
        <v>-53</v>
      </c>
      <c r="BD182" s="62">
        <v>6</v>
      </c>
      <c r="BE182" s="62"/>
      <c r="BF182" s="62"/>
      <c r="BG182" s="62">
        <v>99</v>
      </c>
      <c r="BH182" s="62">
        <v>-144</v>
      </c>
      <c r="BI182" s="62">
        <v>12</v>
      </c>
      <c r="BJ182" s="62"/>
      <c r="BK182" s="62"/>
      <c r="BL182" s="62">
        <v>55</v>
      </c>
      <c r="BM182" s="62">
        <v>-150</v>
      </c>
      <c r="BN182" s="62">
        <v>-24</v>
      </c>
      <c r="BO182" s="62"/>
      <c r="BP182" s="62"/>
      <c r="BQ182" s="62">
        <v>36</v>
      </c>
      <c r="BR182" s="62">
        <v>-130</v>
      </c>
      <c r="BS182" s="62">
        <v>-31</v>
      </c>
      <c r="BT182" s="62"/>
    </row>
    <row r="183" spans="1:72" x14ac:dyDescent="0.25">
      <c r="A183" s="92" t="s">
        <v>243</v>
      </c>
      <c r="B183" s="64">
        <f>MAX('Non-shuttle Bids'!$H750:$I780)</f>
        <v>25</v>
      </c>
      <c r="C183" s="64">
        <f>MIN('Non-shuttle Bids'!$H750:$I780)</f>
        <v>-50</v>
      </c>
      <c r="D183" s="66">
        <f>AVERAGE('Non-shuttle Bids'!$H750:$I780)</f>
        <v>-1.8666666666666667</v>
      </c>
      <c r="E183" s="66">
        <f>STDEV('Non-shuttle Bids'!$H750:$I780)</f>
        <v>21.145302303911606</v>
      </c>
      <c r="G183" s="64">
        <f>MAX('Shuttle Bids'!$H$750:$I$780)</f>
        <v>-125</v>
      </c>
      <c r="H183" s="64">
        <f>MIN('Shuttle Bids'!$H$750:$I$780)</f>
        <v>-325</v>
      </c>
      <c r="I183" s="66">
        <f>AVERAGE('Shuttle Bids'!$H$750:$I$780)</f>
        <v>-205.06666666666666</v>
      </c>
      <c r="J183" s="66">
        <f>STDEV('Shuttle Bids'!$H$750:$I$780)</f>
        <v>64.291153209072107</v>
      </c>
      <c r="M183" s="1">
        <v>2001</v>
      </c>
      <c r="N183" s="1">
        <v>125</v>
      </c>
      <c r="O183" s="1">
        <v>-105</v>
      </c>
      <c r="P183" s="1">
        <v>-27</v>
      </c>
      <c r="S183" s="1">
        <v>100</v>
      </c>
      <c r="T183" s="1">
        <v>-105</v>
      </c>
      <c r="U183" s="1">
        <v>-26</v>
      </c>
      <c r="X183" s="1">
        <v>73</v>
      </c>
      <c r="Y183" s="1">
        <v>-105</v>
      </c>
      <c r="Z183" s="1">
        <v>-22</v>
      </c>
      <c r="AC183" s="1">
        <v>0</v>
      </c>
      <c r="AD183" s="1">
        <v>-55</v>
      </c>
      <c r="AE183" s="1">
        <v>-30</v>
      </c>
      <c r="AH183" s="1">
        <v>0</v>
      </c>
      <c r="AI183" s="1">
        <v>-150</v>
      </c>
      <c r="AJ183" s="1">
        <v>-40</v>
      </c>
      <c r="AM183" s="1">
        <v>0</v>
      </c>
      <c r="AN183" s="1">
        <v>-140</v>
      </c>
      <c r="AO183" s="1">
        <v>-36</v>
      </c>
      <c r="AR183" s="1">
        <v>65</v>
      </c>
      <c r="AS183" s="1">
        <v>-100</v>
      </c>
      <c r="AT183" s="1">
        <v>-25</v>
      </c>
      <c r="AW183" s="1">
        <v>60</v>
      </c>
      <c r="AX183" s="1">
        <v>-75</v>
      </c>
      <c r="AY183" s="1">
        <v>0</v>
      </c>
      <c r="BB183" s="62">
        <v>160</v>
      </c>
      <c r="BC183" s="62">
        <v>-45</v>
      </c>
      <c r="BD183" s="62">
        <v>11</v>
      </c>
      <c r="BE183" s="62"/>
      <c r="BF183" s="62"/>
      <c r="BG183" s="62">
        <v>102</v>
      </c>
      <c r="BH183" s="62">
        <v>-40</v>
      </c>
      <c r="BI183" s="62">
        <v>14</v>
      </c>
      <c r="BJ183" s="62"/>
      <c r="BK183" s="62"/>
      <c r="BL183" s="62">
        <v>30</v>
      </c>
      <c r="BM183" s="62">
        <v>-80</v>
      </c>
      <c r="BN183" s="62">
        <v>-30</v>
      </c>
      <c r="BO183" s="62"/>
      <c r="BP183" s="62"/>
      <c r="BQ183" s="62">
        <v>10</v>
      </c>
      <c r="BR183" s="62">
        <v>-80</v>
      </c>
      <c r="BS183" s="62">
        <v>-31</v>
      </c>
      <c r="BT183" s="62"/>
    </row>
    <row r="184" spans="1:72" x14ac:dyDescent="0.25">
      <c r="A184" s="92" t="s">
        <v>244</v>
      </c>
      <c r="B184" s="64">
        <f>MAX('Non-shuttle Bids'!$L754:$M784)</f>
        <v>13</v>
      </c>
      <c r="C184" s="64">
        <f>MIN('Non-shuttle Bids'!$L754:$M784)</f>
        <v>-13</v>
      </c>
      <c r="D184" s="66">
        <f>AVERAGE('Non-shuttle Bids'!$L754:$M784)</f>
        <v>-1</v>
      </c>
      <c r="E184" s="66">
        <f>STDEV('Non-shuttle Bids'!$L754:$M784)</f>
        <v>5.4772255750516612</v>
      </c>
      <c r="G184" s="64">
        <f>MAX('Shuttle Bids'!$L$754:$M$784)</f>
        <v>-38</v>
      </c>
      <c r="H184" s="64">
        <f>MIN('Shuttle Bids'!$L$754:$M$784)</f>
        <v>-300</v>
      </c>
      <c r="I184" s="66">
        <f>AVERAGE('Shuttle Bids'!$L$754:$M$784)</f>
        <v>-207.52631578947367</v>
      </c>
      <c r="J184" s="66">
        <f>STDEV('Shuttle Bids'!$L$754:$M$784)</f>
        <v>62.49477171114453</v>
      </c>
      <c r="M184" s="1">
        <v>2002</v>
      </c>
      <c r="N184" s="1">
        <v>25</v>
      </c>
      <c r="O184" s="1">
        <v>-80</v>
      </c>
      <c r="P184" s="1">
        <v>-16</v>
      </c>
      <c r="S184" s="1">
        <v>6</v>
      </c>
      <c r="T184" s="1">
        <v>-60</v>
      </c>
      <c r="U184" s="1">
        <v>-19</v>
      </c>
      <c r="X184" s="1">
        <v>3</v>
      </c>
      <c r="Y184" s="1">
        <v>-60</v>
      </c>
      <c r="Z184" s="1">
        <v>-23</v>
      </c>
      <c r="AC184" s="1">
        <v>-15</v>
      </c>
      <c r="AD184" s="1">
        <v>-62</v>
      </c>
      <c r="AE184" s="1">
        <v>-39</v>
      </c>
      <c r="AH184" s="1">
        <v>-8</v>
      </c>
      <c r="AI184" s="1">
        <v>-62</v>
      </c>
      <c r="AJ184" s="1">
        <v>-37</v>
      </c>
      <c r="AM184" s="1">
        <v>6</v>
      </c>
      <c r="AN184" s="1">
        <v>-51</v>
      </c>
      <c r="AO184" s="1">
        <v>-23</v>
      </c>
      <c r="AR184" s="1">
        <v>13</v>
      </c>
      <c r="AS184" s="1">
        <v>-34</v>
      </c>
      <c r="AT184" s="1">
        <v>-11</v>
      </c>
      <c r="AW184" s="1">
        <v>17</v>
      </c>
      <c r="AX184" s="1">
        <v>-59</v>
      </c>
      <c r="AY184" s="1">
        <v>4</v>
      </c>
      <c r="BB184" s="62">
        <v>40</v>
      </c>
      <c r="BC184" s="62">
        <v>-40</v>
      </c>
      <c r="BD184" s="62">
        <v>14</v>
      </c>
      <c r="BE184" s="62"/>
      <c r="BF184" s="62"/>
      <c r="BG184" s="62">
        <v>54</v>
      </c>
      <c r="BH184" s="62">
        <v>-20</v>
      </c>
      <c r="BI184" s="62">
        <v>21</v>
      </c>
      <c r="BJ184" s="62"/>
      <c r="BK184" s="62"/>
      <c r="BL184" s="62">
        <v>41</v>
      </c>
      <c r="BM184" s="62">
        <v>-23</v>
      </c>
      <c r="BN184" s="62">
        <v>5</v>
      </c>
      <c r="BO184" s="62"/>
      <c r="BP184" s="62"/>
      <c r="BQ184" s="62">
        <v>96</v>
      </c>
      <c r="BR184" s="62">
        <v>-23</v>
      </c>
      <c r="BS184" s="62">
        <v>6</v>
      </c>
      <c r="BT184" s="62"/>
    </row>
    <row r="185" spans="1:72" x14ac:dyDescent="0.25">
      <c r="A185" s="92" t="s">
        <v>245</v>
      </c>
      <c r="B185" s="64">
        <f>MAX('Non-shuttle Bids'!$P759:$Q789)</f>
        <v>25</v>
      </c>
      <c r="C185" s="64">
        <f>MIN('Non-shuttle Bids'!$P759:$Q789)</f>
        <v>-20</v>
      </c>
      <c r="D185" s="66">
        <f>AVERAGE('Non-shuttle Bids'!$P759:$Q789)</f>
        <v>9.75</v>
      </c>
      <c r="E185" s="66">
        <f>STDEV('Non-shuttle Bids'!$P759:$Q789)</f>
        <v>14.704226797566941</v>
      </c>
      <c r="F185" s="65"/>
      <c r="G185" s="64">
        <f>MAX('Shuttle Bids'!$P759:$Q789)</f>
        <v>-150</v>
      </c>
      <c r="H185" s="64">
        <f>MIN('Shuttle Bids'!$P759:$Q789)</f>
        <v>-475</v>
      </c>
      <c r="I185" s="66">
        <f>AVERAGE('Shuttle Bids'!$P759:$Q789)</f>
        <v>-281</v>
      </c>
      <c r="J185" s="66">
        <f>STDEV('Shuttle Bids'!$P759:$Q789)</f>
        <v>87.143559716137375</v>
      </c>
      <c r="M185" s="1">
        <v>2003</v>
      </c>
      <c r="N185" s="1">
        <v>51</v>
      </c>
      <c r="O185" s="1">
        <v>-20</v>
      </c>
      <c r="P185" s="1">
        <v>5</v>
      </c>
      <c r="Q185" s="57">
        <f>E74</f>
        <v>16.421159263118895</v>
      </c>
      <c r="S185" s="1">
        <v>43</v>
      </c>
      <c r="T185" s="1">
        <v>-20</v>
      </c>
      <c r="U185" s="1">
        <v>5</v>
      </c>
      <c r="V185" s="57">
        <f>E75</f>
        <v>13.322446796759305</v>
      </c>
      <c r="X185" s="1">
        <v>21</v>
      </c>
      <c r="Y185" s="1">
        <v>-28</v>
      </c>
      <c r="Z185" s="1">
        <v>0</v>
      </c>
      <c r="AA185" s="57">
        <f>E76</f>
        <v>10.96654993109977</v>
      </c>
      <c r="AC185" s="1">
        <v>0</v>
      </c>
      <c r="AD185" s="1">
        <v>-34</v>
      </c>
      <c r="AE185" s="1">
        <v>-10</v>
      </c>
      <c r="AF185" s="57">
        <f>E77</f>
        <v>8.0338987678315128</v>
      </c>
      <c r="AH185" s="1">
        <v>0</v>
      </c>
      <c r="AI185" s="1">
        <v>-34</v>
      </c>
      <c r="AJ185" s="1">
        <v>-13</v>
      </c>
      <c r="AK185" s="57">
        <f>E78</f>
        <v>8.291648121539442</v>
      </c>
      <c r="AM185" s="1">
        <v>5</v>
      </c>
      <c r="AN185" s="1">
        <v>-17</v>
      </c>
      <c r="AO185" s="1">
        <v>-4</v>
      </c>
      <c r="AP185" s="57">
        <f>E79</f>
        <v>6.5867857568266821</v>
      </c>
      <c r="AR185" s="1">
        <v>94</v>
      </c>
      <c r="AS185" s="1">
        <v>-10</v>
      </c>
      <c r="AT185" s="1">
        <v>5</v>
      </c>
      <c r="AU185" s="57">
        <f>E80</f>
        <v>15.597150898121209</v>
      </c>
      <c r="AW185" s="1">
        <v>125</v>
      </c>
      <c r="AX185" s="1">
        <v>-1</v>
      </c>
      <c r="AY185" s="1">
        <v>21</v>
      </c>
      <c r="AZ185" s="57">
        <f>E81</f>
        <v>29.759690584303282</v>
      </c>
      <c r="BB185" s="62">
        <v>132</v>
      </c>
      <c r="BC185" s="62">
        <v>8</v>
      </c>
      <c r="BD185" s="62">
        <v>31</v>
      </c>
      <c r="BE185" s="62">
        <f>E82</f>
        <v>29.413245423490668</v>
      </c>
      <c r="BF185" s="62"/>
      <c r="BG185" s="62">
        <v>116</v>
      </c>
      <c r="BH185" s="62">
        <v>14</v>
      </c>
      <c r="BI185" s="62">
        <v>41</v>
      </c>
      <c r="BJ185" s="62">
        <f>E83</f>
        <v>26.596030478424826</v>
      </c>
      <c r="BK185" s="62"/>
      <c r="BL185" s="62">
        <v>38</v>
      </c>
      <c r="BM185" s="62">
        <v>-11</v>
      </c>
      <c r="BN185" s="62">
        <v>16</v>
      </c>
      <c r="BO185" s="62">
        <f>E84</f>
        <v>12.002612955937339</v>
      </c>
      <c r="BP185" s="62"/>
      <c r="BQ185" s="62">
        <v>334</v>
      </c>
      <c r="BR185" s="62">
        <v>-14</v>
      </c>
      <c r="BS185" s="62">
        <v>31</v>
      </c>
      <c r="BT185" s="62">
        <f>E85</f>
        <v>59.688320132616397</v>
      </c>
    </row>
    <row r="186" spans="1:72" x14ac:dyDescent="0.25">
      <c r="A186" s="92" t="s">
        <v>246</v>
      </c>
      <c r="B186" s="64">
        <f>MAX('Non-shuttle Bids'!$T763:$U793)</f>
        <v>22</v>
      </c>
      <c r="C186" s="64">
        <f>MIN('Non-shuttle Bids'!$T763:$U793)</f>
        <v>-10</v>
      </c>
      <c r="D186" s="66">
        <f>AVERAGE('Non-shuttle Bids'!$T763:$U793)</f>
        <v>10</v>
      </c>
      <c r="E186" s="66">
        <f>STDEV('Non-shuttle Bids'!$T763:$U793)</f>
        <v>14.212670403551895</v>
      </c>
      <c r="F186" s="65"/>
      <c r="G186" s="64">
        <f>MAX('Shuttle Bids'!$T763:$U793)</f>
        <v>-238</v>
      </c>
      <c r="H186" s="64">
        <f>MIN('Shuttle Bids'!$T763:$U793)</f>
        <v>-375</v>
      </c>
      <c r="I186" s="66">
        <f>AVERAGE('Shuttle Bids'!$T763:$U793)</f>
        <v>-306.6875</v>
      </c>
      <c r="J186" s="66">
        <f>STDEV('Shuttle Bids'!$T763:$U793)</f>
        <v>49.792527886554758</v>
      </c>
      <c r="M186" s="1">
        <v>2004</v>
      </c>
      <c r="N186" s="1">
        <v>225</v>
      </c>
      <c r="O186" s="1">
        <v>-9</v>
      </c>
      <c r="P186" s="1">
        <v>43</v>
      </c>
      <c r="Q186" s="57">
        <f>E86</f>
        <v>67.837356793614731</v>
      </c>
      <c r="S186" s="1">
        <v>156</v>
      </c>
      <c r="T186" s="1">
        <v>-9</v>
      </c>
      <c r="U186" s="1">
        <v>40</v>
      </c>
      <c r="V186" s="57">
        <f>E87</f>
        <v>46.974209184428169</v>
      </c>
      <c r="X186" s="1">
        <v>257</v>
      </c>
      <c r="Y186" s="1">
        <v>-9</v>
      </c>
      <c r="Z186" s="1">
        <v>42</v>
      </c>
      <c r="AA186" s="57">
        <f>E88</f>
        <v>59.204616809702529</v>
      </c>
      <c r="AC186" s="1">
        <v>207</v>
      </c>
      <c r="AD186" s="1">
        <v>-7</v>
      </c>
      <c r="AE186" s="1">
        <v>36</v>
      </c>
      <c r="AF186" s="57">
        <f>E89</f>
        <v>58.323512714055163</v>
      </c>
      <c r="AH186" s="1">
        <v>138</v>
      </c>
      <c r="AI186" s="1">
        <v>-8</v>
      </c>
      <c r="AJ186" s="1">
        <v>40</v>
      </c>
      <c r="AK186" s="57">
        <f>E90</f>
        <v>46.458739224763839</v>
      </c>
      <c r="AM186" s="1">
        <v>129</v>
      </c>
      <c r="AN186" s="1">
        <v>-13</v>
      </c>
      <c r="AO186" s="1">
        <v>37</v>
      </c>
      <c r="AP186" s="57">
        <f>E91</f>
        <v>39.087325369291861</v>
      </c>
      <c r="AR186" s="1">
        <v>138</v>
      </c>
      <c r="AS186" s="1">
        <v>-28</v>
      </c>
      <c r="AT186" s="1">
        <v>44</v>
      </c>
      <c r="AU186" s="57">
        <f>E92</f>
        <v>41.047804986041129</v>
      </c>
      <c r="AW186" s="1">
        <v>150</v>
      </c>
      <c r="AX186" s="1">
        <v>-73</v>
      </c>
      <c r="AY186" s="1">
        <v>51</v>
      </c>
      <c r="AZ186" s="57">
        <f>E93</f>
        <v>53.242554951132178</v>
      </c>
      <c r="BB186" s="62">
        <v>156</v>
      </c>
      <c r="BC186" s="62">
        <v>-25</v>
      </c>
      <c r="BD186" s="62">
        <v>76</v>
      </c>
      <c r="BE186" s="62">
        <f>E94</f>
        <v>50.018286451975108</v>
      </c>
      <c r="BF186" s="62"/>
      <c r="BG186" s="62">
        <v>194</v>
      </c>
      <c r="BH186" s="62">
        <v>-16</v>
      </c>
      <c r="BI186" s="62">
        <v>104</v>
      </c>
      <c r="BJ186" s="62">
        <f>E95</f>
        <v>47.676511601144917</v>
      </c>
      <c r="BK186" s="62"/>
      <c r="BL186" s="62">
        <v>187</v>
      </c>
      <c r="BM186" s="62">
        <v>0</v>
      </c>
      <c r="BN186" s="62">
        <v>94</v>
      </c>
      <c r="BO186" s="62">
        <f>E96</f>
        <v>43.860688549086866</v>
      </c>
      <c r="BP186" s="62"/>
      <c r="BQ186" s="62">
        <v>294</v>
      </c>
      <c r="BR186" s="62">
        <v>2</v>
      </c>
      <c r="BS186" s="62">
        <v>102</v>
      </c>
      <c r="BT186" s="62">
        <f>E97</f>
        <v>79.490648111931392</v>
      </c>
    </row>
    <row r="187" spans="1:72" x14ac:dyDescent="0.25">
      <c r="A187" s="92" t="s">
        <v>247</v>
      </c>
      <c r="B187" s="64">
        <f>MAX('Non-shuttle Bids'!$X767:$Y797)</f>
        <v>25</v>
      </c>
      <c r="C187" s="64">
        <f>MIN('Non-shuttle Bids'!$X767:$Y797)</f>
        <v>0</v>
      </c>
      <c r="D187" s="66">
        <f>AVERAGE('Non-shuttle Bids'!$X767:$Y797)</f>
        <v>9.6</v>
      </c>
      <c r="E187" s="66">
        <f>STDEV('Non-shuttle Bids'!$X767:$Y797)</f>
        <v>8.0338569282043562</v>
      </c>
      <c r="F187" s="65"/>
      <c r="G187" s="64">
        <f>MAX('Shuttle Bids'!$X767:$Y797)</f>
        <v>-108</v>
      </c>
      <c r="H187" s="64">
        <f>MIN('Shuttle Bids'!$X767:$Y797)</f>
        <v>-625</v>
      </c>
      <c r="I187" s="66">
        <f>AVERAGE('Shuttle Bids'!$X767:$Y797)</f>
        <v>-336.58823529411762</v>
      </c>
      <c r="J187" s="66">
        <f>STDEV('Shuttle Bids'!$X767:$Y797)</f>
        <v>148.22198673928634</v>
      </c>
      <c r="M187" s="1">
        <v>2005</v>
      </c>
      <c r="N187" s="1">
        <v>269</v>
      </c>
      <c r="O187" s="1">
        <v>50</v>
      </c>
      <c r="P187" s="1">
        <v>197</v>
      </c>
      <c r="Q187" s="57">
        <f>E98</f>
        <v>60.865112377797388</v>
      </c>
      <c r="S187" s="1">
        <v>283</v>
      </c>
      <c r="T187" s="1">
        <v>40</v>
      </c>
      <c r="U187" s="1">
        <v>188</v>
      </c>
      <c r="V187" s="57">
        <f>E99</f>
        <v>52.924362020132975</v>
      </c>
      <c r="X187" s="1">
        <v>233</v>
      </c>
      <c r="Y187" s="1">
        <v>-17</v>
      </c>
      <c r="Z187" s="1">
        <v>151</v>
      </c>
      <c r="AA187" s="57">
        <f>E100</f>
        <v>53.910335969314112</v>
      </c>
      <c r="AC187" s="1">
        <v>163</v>
      </c>
      <c r="AD187" s="1">
        <v>-35</v>
      </c>
      <c r="AE187" s="1">
        <v>66</v>
      </c>
      <c r="AF187" s="57">
        <f>E101</f>
        <v>59.166010789807551</v>
      </c>
      <c r="AH187" s="1">
        <v>175</v>
      </c>
      <c r="AI187" s="1">
        <v>-92</v>
      </c>
      <c r="AJ187" s="1">
        <v>48</v>
      </c>
      <c r="AK187" s="57">
        <f>E102</f>
        <v>66.396426757860254</v>
      </c>
      <c r="AM187" s="1">
        <v>150</v>
      </c>
      <c r="AN187" s="1">
        <v>-81</v>
      </c>
      <c r="AO187" s="1">
        <v>34</v>
      </c>
      <c r="AP187" s="57">
        <f>E103</f>
        <v>54.07439989479218</v>
      </c>
      <c r="AR187" s="1">
        <v>125</v>
      </c>
      <c r="AS187" s="1">
        <v>-172</v>
      </c>
      <c r="AT187" s="1">
        <v>34</v>
      </c>
      <c r="AU187" s="57">
        <f>E104</f>
        <v>52.233908734838685</v>
      </c>
      <c r="AW187" s="1">
        <v>335</v>
      </c>
      <c r="AX187" s="1">
        <v>4</v>
      </c>
      <c r="AY187" s="1">
        <v>84</v>
      </c>
      <c r="AZ187" s="57">
        <f>E105</f>
        <v>58.943190035558345</v>
      </c>
      <c r="BB187" s="62">
        <v>425</v>
      </c>
      <c r="BC187" s="62">
        <v>50</v>
      </c>
      <c r="BD187" s="62">
        <v>143</v>
      </c>
      <c r="BE187" s="62">
        <f>E106</f>
        <v>91.574237147196087</v>
      </c>
      <c r="BF187" s="62"/>
      <c r="BG187" s="62">
        <v>913</v>
      </c>
      <c r="BH187" s="62">
        <v>88</v>
      </c>
      <c r="BI187" s="62">
        <v>333</v>
      </c>
      <c r="BJ187" s="62">
        <f>E107</f>
        <v>227.18460268574319</v>
      </c>
      <c r="BK187" s="62"/>
      <c r="BL187" s="62">
        <v>1006</v>
      </c>
      <c r="BM187" s="62">
        <v>88</v>
      </c>
      <c r="BN187" s="62">
        <v>442</v>
      </c>
      <c r="BO187" s="62">
        <f>E108</f>
        <v>258.38829713586915</v>
      </c>
      <c r="BP187" s="62"/>
      <c r="BQ187" s="62">
        <v>788</v>
      </c>
      <c r="BR187" s="62">
        <v>83</v>
      </c>
      <c r="BS187" s="62">
        <v>390</v>
      </c>
      <c r="BT187" s="62">
        <f>E109</f>
        <v>190.73925184691785</v>
      </c>
    </row>
    <row r="188" spans="1:72" x14ac:dyDescent="0.25">
      <c r="A188" s="92" t="s">
        <v>248</v>
      </c>
      <c r="B188" s="64">
        <f>MAX('Non-shuttle Bids'!$AB772:$AC802)</f>
        <v>30</v>
      </c>
      <c r="C188" s="64">
        <f>MIN('Non-shuttle Bids'!$AB772:$AC802)</f>
        <v>-13</v>
      </c>
      <c r="D188" s="66">
        <f>AVERAGE('Non-shuttle Bids'!$AB772:$AC802)</f>
        <v>5.0625</v>
      </c>
      <c r="E188" s="66">
        <f>STDEV('Non-shuttle Bids'!$AB772:$AC802)</f>
        <v>11.286976270610891</v>
      </c>
      <c r="F188" s="65"/>
      <c r="G188" s="66">
        <f>MAX('Shuttle Bids'!$AB772:$AC802)</f>
        <v>-113</v>
      </c>
      <c r="H188" s="66">
        <f>MIN('Shuttle Bids'!$AB772:$AC802)</f>
        <v>-600</v>
      </c>
      <c r="I188" s="66">
        <f>AVERAGE('Shuttle Bids'!$AB772:$AC802)</f>
        <v>-324.44444444444446</v>
      </c>
      <c r="J188" s="66">
        <f>STDEV('Shuttle Bids'!$AB772:$AC802)</f>
        <v>92.76286281669357</v>
      </c>
      <c r="M188" s="1">
        <v>2006</v>
      </c>
      <c r="N188" s="1">
        <v>600</v>
      </c>
      <c r="O188" s="1">
        <v>63</v>
      </c>
      <c r="P188" s="1">
        <v>281</v>
      </c>
      <c r="Q188" s="57">
        <f>E110</f>
        <v>102.4470535471265</v>
      </c>
      <c r="S188" s="1">
        <v>400</v>
      </c>
      <c r="T188" s="1">
        <v>8</v>
      </c>
      <c r="U188" s="1">
        <v>235</v>
      </c>
      <c r="V188" s="57">
        <f>E111</f>
        <v>85.804341522760893</v>
      </c>
      <c r="X188" s="1">
        <v>288</v>
      </c>
      <c r="Y188" s="1">
        <v>-58</v>
      </c>
      <c r="Z188" s="1">
        <v>146</v>
      </c>
      <c r="AA188" s="57">
        <f>E112</f>
        <v>103.23366538186542</v>
      </c>
      <c r="AC188" s="1">
        <v>138</v>
      </c>
      <c r="AD188" s="1">
        <v>-175</v>
      </c>
      <c r="AE188" s="1">
        <v>16</v>
      </c>
      <c r="AF188" s="57">
        <f>E113</f>
        <v>76.338646103326255</v>
      </c>
      <c r="AH188" s="1">
        <v>125</v>
      </c>
      <c r="AI188" s="1">
        <v>-169</v>
      </c>
      <c r="AJ188" s="1">
        <v>-16</v>
      </c>
      <c r="AK188" s="57">
        <f>E114</f>
        <v>81.132136231038345</v>
      </c>
      <c r="AM188" s="1">
        <v>100</v>
      </c>
      <c r="AN188" s="1">
        <v>-81</v>
      </c>
      <c r="AO188" s="1">
        <v>3</v>
      </c>
      <c r="AP188" s="57">
        <f>E115</f>
        <v>44.760107177822256</v>
      </c>
      <c r="AR188" s="1">
        <v>100</v>
      </c>
      <c r="AS188" s="1">
        <v>-117</v>
      </c>
      <c r="AT188" s="1">
        <v>30</v>
      </c>
      <c r="AU188" s="57">
        <f>E116</f>
        <v>48.627191709833561</v>
      </c>
      <c r="AW188" s="1">
        <v>253</v>
      </c>
      <c r="AX188" s="1">
        <v>-103</v>
      </c>
      <c r="AY188" s="1">
        <v>112</v>
      </c>
      <c r="AZ188" s="57">
        <f>E117</f>
        <v>60.977390386640693</v>
      </c>
      <c r="BB188" s="62">
        <v>438</v>
      </c>
      <c r="BC188" s="62">
        <v>42</v>
      </c>
      <c r="BD188" s="62">
        <v>213</v>
      </c>
      <c r="BE188" s="62">
        <f>E118</f>
        <v>88.880615443061515</v>
      </c>
      <c r="BF188" s="62"/>
      <c r="BG188" s="62">
        <v>567</v>
      </c>
      <c r="BH188" s="62">
        <v>-138</v>
      </c>
      <c r="BI188" s="62">
        <v>288.68</v>
      </c>
      <c r="BJ188" s="62">
        <f>E119</f>
        <v>163.56580651598455</v>
      </c>
      <c r="BK188" s="62"/>
      <c r="BL188" s="62">
        <v>400</v>
      </c>
      <c r="BM188" s="62">
        <v>-153</v>
      </c>
      <c r="BN188" s="62">
        <v>131.54347826086956</v>
      </c>
      <c r="BO188" s="62">
        <f>E120</f>
        <v>172.02114941311905</v>
      </c>
      <c r="BP188" s="62"/>
      <c r="BQ188" s="62">
        <v>300</v>
      </c>
      <c r="BR188" s="62">
        <v>-181</v>
      </c>
      <c r="BS188" s="62">
        <v>34.658536585365852</v>
      </c>
      <c r="BT188" s="62">
        <f>E121</f>
        <v>151.2507206191259</v>
      </c>
    </row>
    <row r="189" spans="1:72" x14ac:dyDescent="0.25">
      <c r="A189" s="92" t="s">
        <v>249</v>
      </c>
      <c r="B189" s="64">
        <f>MAX('Non-shuttle Bids'!$AF776:$AG806)</f>
        <v>40</v>
      </c>
      <c r="C189" s="64">
        <f>MIN('Non-shuttle Bids'!$AF776:$AG806)</f>
        <v>-283</v>
      </c>
      <c r="D189" s="66">
        <f>AVERAGE('Non-shuttle Bids'!$AF776:$AG806)</f>
        <v>-46.5</v>
      </c>
      <c r="E189" s="66">
        <f>STDEV('Non-shuttle Bids'!$AF776:$AG806)</f>
        <v>127.3824076463378</v>
      </c>
      <c r="F189" s="65"/>
      <c r="G189" s="66">
        <f>MAX('Shuttle Bids'!$AF776:$AG806)</f>
        <v>-125</v>
      </c>
      <c r="H189" s="66">
        <f>MIN('Shuttle Bids'!$AF776:$AG806)</f>
        <v>-525</v>
      </c>
      <c r="I189" s="66">
        <f>AVERAGE('Shuttle Bids'!$AF776:$AG806)</f>
        <v>-360</v>
      </c>
      <c r="J189" s="66">
        <f>STDEV('Shuttle Bids'!$AF776:$AG806)</f>
        <v>93.251273449749732</v>
      </c>
      <c r="M189" s="1">
        <v>2007</v>
      </c>
      <c r="N189" s="1">
        <v>32</v>
      </c>
      <c r="O189" s="1">
        <v>-175</v>
      </c>
      <c r="P189" s="57">
        <v>-65.620689655172413</v>
      </c>
      <c r="Q189" s="57">
        <f>E122</f>
        <v>52.354842723956743</v>
      </c>
      <c r="S189" s="1">
        <v>0</v>
      </c>
      <c r="T189" s="1">
        <v>-192</v>
      </c>
      <c r="U189" s="57">
        <v>-76.730769230769226</v>
      </c>
      <c r="V189" s="57">
        <f>E123</f>
        <v>57.500996646880957</v>
      </c>
      <c r="X189" s="1">
        <v>-6</v>
      </c>
      <c r="Y189" s="1">
        <v>-225</v>
      </c>
      <c r="Z189" s="57">
        <v>-90.125</v>
      </c>
      <c r="AA189" s="57">
        <f>E124</f>
        <v>67.518097932236628</v>
      </c>
      <c r="AC189" s="1">
        <v>0</v>
      </c>
      <c r="AD189" s="1">
        <v>-225</v>
      </c>
      <c r="AE189" s="57">
        <v>-110.96551724137932</v>
      </c>
      <c r="AF189" s="57">
        <f>E125</f>
        <v>75.797419273171215</v>
      </c>
      <c r="AH189" s="1">
        <v>0</v>
      </c>
      <c r="AI189" s="1">
        <v>-230</v>
      </c>
      <c r="AJ189" s="57">
        <v>-105.42424242424242</v>
      </c>
      <c r="AK189" s="57">
        <f>E126</f>
        <v>82.968755528448142</v>
      </c>
      <c r="AM189" s="1">
        <v>3</v>
      </c>
      <c r="AN189" s="1">
        <v>-200</v>
      </c>
      <c r="AO189" s="57">
        <v>-76.857142857142861</v>
      </c>
      <c r="AP189" s="57">
        <f>E127</f>
        <v>74.528295961699698</v>
      </c>
      <c r="AR189" s="1">
        <v>38</v>
      </c>
      <c r="AS189" s="1">
        <v>-175</v>
      </c>
      <c r="AT189" s="57">
        <v>-51.3125</v>
      </c>
      <c r="AU189" s="57">
        <f>E128</f>
        <v>56.98904569991705</v>
      </c>
      <c r="AW189" s="1">
        <v>675</v>
      </c>
      <c r="AX189" s="1">
        <v>-150</v>
      </c>
      <c r="AY189" s="57">
        <v>32.122448979591837</v>
      </c>
      <c r="AZ189" s="57">
        <f>E129</f>
        <v>137.11774633702314</v>
      </c>
      <c r="BB189" s="62">
        <v>867</v>
      </c>
      <c r="BC189" s="62">
        <v>-75</v>
      </c>
      <c r="BD189" s="62">
        <v>159.05454545454546</v>
      </c>
      <c r="BE189" s="62">
        <f>E130</f>
        <v>245.70317972149348</v>
      </c>
      <c r="BF189" s="62"/>
      <c r="BG189" s="62">
        <v>992</v>
      </c>
      <c r="BH189" s="62">
        <v>100</v>
      </c>
      <c r="BI189" s="62">
        <v>340.88888888888891</v>
      </c>
      <c r="BJ189" s="62">
        <f>E131</f>
        <v>316.15587613026571</v>
      </c>
      <c r="BK189" s="62"/>
      <c r="BL189" s="62">
        <v>500</v>
      </c>
      <c r="BM189" s="62">
        <v>-88</v>
      </c>
      <c r="BN189" s="62">
        <v>195.1</v>
      </c>
      <c r="BO189" s="62">
        <f>E132</f>
        <v>174.49985673346555</v>
      </c>
      <c r="BP189" s="62"/>
      <c r="BQ189" s="62">
        <v>400</v>
      </c>
      <c r="BR189" s="62">
        <v>-213</v>
      </c>
      <c r="BS189" s="62">
        <v>47.125</v>
      </c>
      <c r="BT189" s="62">
        <f>E133</f>
        <v>173.71348537174654</v>
      </c>
    </row>
    <row r="190" spans="1:72" x14ac:dyDescent="0.25">
      <c r="A190" s="92" t="s">
        <v>250</v>
      </c>
      <c r="B190" s="64">
        <f>MAX('Non-shuttle Bids'!$AJ780:$AK810)</f>
        <v>40</v>
      </c>
      <c r="C190" s="64">
        <f>MIN('Non-shuttle Bids'!$AJ780:$AK810)</f>
        <v>-283</v>
      </c>
      <c r="D190" s="66">
        <f>AVERAGE('Non-shuttle Bids'!$AJ780:$AK810)</f>
        <v>-7.5384615384615383</v>
      </c>
      <c r="E190" s="66">
        <f>STDEV('Non-shuttle Bids'!$AJ780:$AK810)</f>
        <v>84.645944364959959</v>
      </c>
      <c r="F190" s="65"/>
      <c r="G190" s="66">
        <f>MAX('Shuttle Bids'!$AJ780:$AK810)</f>
        <v>500</v>
      </c>
      <c r="H190" s="66">
        <f>MIN('Shuttle Bids'!$AJ780:$AK810)</f>
        <v>-550</v>
      </c>
      <c r="I190" s="66">
        <f>AVERAGE('Shuttle Bids'!$AJ780:$AK810)</f>
        <v>-243.16279069767441</v>
      </c>
      <c r="J190" s="66">
        <f>STDEV('Shuttle Bids'!$AJ780:$AK810)</f>
        <v>151.46851475952073</v>
      </c>
      <c r="M190" s="1">
        <v>2008</v>
      </c>
      <c r="N190" s="1">
        <v>50</v>
      </c>
      <c r="O190" s="1">
        <v>-200</v>
      </c>
      <c r="P190" s="57">
        <v>-44.636363636363633</v>
      </c>
      <c r="Q190" s="57">
        <f>E134</f>
        <v>82.836928419375312</v>
      </c>
      <c r="S190" s="1">
        <v>82</v>
      </c>
      <c r="T190" s="1">
        <v>-225</v>
      </c>
      <c r="U190" s="57">
        <v>-39.075757575757578</v>
      </c>
      <c r="V190" s="57">
        <f>E135</f>
        <v>92.332864651416742</v>
      </c>
      <c r="X190" s="1">
        <v>88</v>
      </c>
      <c r="Y190" s="1">
        <v>-225</v>
      </c>
      <c r="Z190" s="57">
        <v>-44.862068965517238</v>
      </c>
      <c r="AA190" s="57">
        <f>E136</f>
        <v>76.421165793782478</v>
      </c>
      <c r="AC190" s="1">
        <v>3</v>
      </c>
      <c r="AD190" s="1">
        <v>-175</v>
      </c>
      <c r="AE190" s="57">
        <v>-58.666666666666664</v>
      </c>
      <c r="AF190" s="57">
        <f>E137</f>
        <v>66.141920316758316</v>
      </c>
      <c r="AH190" s="1">
        <v>0</v>
      </c>
      <c r="AI190" s="1">
        <v>-175</v>
      </c>
      <c r="AJ190" s="57">
        <v>-62.964285714285715</v>
      </c>
      <c r="AK190" s="57">
        <f>E138</f>
        <v>61.342681740975451</v>
      </c>
      <c r="AM190" s="1">
        <v>100</v>
      </c>
      <c r="AN190" s="1">
        <v>-75</v>
      </c>
      <c r="AO190" s="57">
        <v>15.346153846153847</v>
      </c>
      <c r="AP190" s="57">
        <f>E139</f>
        <v>44.884689868766884</v>
      </c>
      <c r="AR190" s="1">
        <v>97</v>
      </c>
      <c r="AS190" s="1">
        <v>-63</v>
      </c>
      <c r="AT190" s="62">
        <v>43.676470588235297</v>
      </c>
      <c r="AU190" s="62">
        <f>E140</f>
        <v>57.461777852573398</v>
      </c>
      <c r="AW190" s="1">
        <v>150</v>
      </c>
      <c r="AX190" s="62">
        <v>-58.5</v>
      </c>
      <c r="AY190" s="62">
        <v>98.921052631578945</v>
      </c>
      <c r="AZ190" s="62">
        <f>J141</f>
        <v>97.634691411572391</v>
      </c>
      <c r="BB190" s="62">
        <v>250</v>
      </c>
      <c r="BC190" s="62">
        <v>-0.5</v>
      </c>
      <c r="BD190" s="62">
        <v>140.21739130434781</v>
      </c>
      <c r="BE190" s="62">
        <f>E142</f>
        <v>102.5516671948557</v>
      </c>
      <c r="BF190" s="62"/>
      <c r="BG190" s="62">
        <v>300</v>
      </c>
      <c r="BH190" s="62">
        <v>-44</v>
      </c>
      <c r="BI190" s="62">
        <v>117.25</v>
      </c>
      <c r="BJ190" s="62">
        <f>E143</f>
        <v>100.67294406476185</v>
      </c>
      <c r="BK190" s="62"/>
      <c r="BL190" s="62">
        <v>300</v>
      </c>
      <c r="BM190" s="62">
        <v>-175</v>
      </c>
      <c r="BN190" s="62">
        <v>53.029411764705884</v>
      </c>
      <c r="BO190" s="62">
        <f>E144</f>
        <v>106.67179474852664</v>
      </c>
      <c r="BP190" s="62"/>
      <c r="BQ190" s="62">
        <v>50</v>
      </c>
      <c r="BR190" s="62">
        <v>-153</v>
      </c>
      <c r="BS190" s="62">
        <v>-34.28125</v>
      </c>
      <c r="BT190" s="62">
        <f>E145</f>
        <v>68.859410842225927</v>
      </c>
    </row>
    <row r="191" spans="1:72" x14ac:dyDescent="0.25">
      <c r="A191" s="92" t="s">
        <v>251</v>
      </c>
      <c r="B191" s="64">
        <f>MAX('Non-shuttle Bids'!$AN785:$AO815)</f>
        <v>138</v>
      </c>
      <c r="C191" s="64">
        <f>MIN('Non-shuttle Bids'!$AN785:$AO815)</f>
        <v>0</v>
      </c>
      <c r="D191" s="66">
        <f>AVERAGE('Non-shuttle Bids'!$AN785:$AO815)</f>
        <v>61.555555555555557</v>
      </c>
      <c r="E191" s="66">
        <f>STDEV('Non-shuttle Bids'!$AN785:$AO815)</f>
        <v>45.741189427652735</v>
      </c>
      <c r="G191" s="66">
        <f>MAX('Shuttle Bids'!$AN785:$AO815)</f>
        <v>700</v>
      </c>
      <c r="H191" s="66">
        <f>MIN('Shuttle Bids'!$AN785:$AO815)</f>
        <v>-150</v>
      </c>
      <c r="I191" s="66">
        <f>AVERAGE('Shuttle Bids'!$AN785:$AO815)</f>
        <v>312.3488372093023</v>
      </c>
      <c r="J191" s="66">
        <f>STDEV('Shuttle Bids'!$AN785:$AO815)</f>
        <v>177.24665135139335</v>
      </c>
      <c r="M191" s="1">
        <v>2009</v>
      </c>
      <c r="N191" s="1">
        <f>B146</f>
        <v>0</v>
      </c>
      <c r="O191" s="1">
        <f>C146</f>
        <v>-132</v>
      </c>
      <c r="P191" s="62">
        <f>D146</f>
        <v>-55.777777777777779</v>
      </c>
      <c r="Q191" s="62">
        <f>E146</f>
        <v>40.162252625415725</v>
      </c>
      <c r="S191" s="1">
        <f>B147</f>
        <v>0</v>
      </c>
      <c r="T191" s="1">
        <f>C147</f>
        <v>-72</v>
      </c>
      <c r="U191" s="62">
        <f>D147</f>
        <v>-36.142857142857146</v>
      </c>
      <c r="V191" s="62">
        <f>E147</f>
        <v>20.902179285928511</v>
      </c>
      <c r="X191" s="1">
        <f>B148</f>
        <v>0</v>
      </c>
      <c r="Y191" s="1">
        <f>C148</f>
        <v>-92</v>
      </c>
      <c r="Z191" s="62">
        <f>D148</f>
        <v>-28.526315789473685</v>
      </c>
      <c r="AA191" s="62">
        <f>E148</f>
        <v>29.468190799671568</v>
      </c>
      <c r="AC191" s="1">
        <f>B149</f>
        <v>0</v>
      </c>
      <c r="AD191" s="1">
        <f>C149</f>
        <v>-43</v>
      </c>
      <c r="AE191" s="62">
        <f>D149</f>
        <v>-12.666666666666666</v>
      </c>
      <c r="AF191" s="62">
        <f>E149</f>
        <v>15.033296378372908</v>
      </c>
      <c r="AH191" s="1">
        <f>B150</f>
        <v>0</v>
      </c>
      <c r="AI191" s="1">
        <f>C150</f>
        <v>-50</v>
      </c>
      <c r="AJ191" s="62">
        <f>D150</f>
        <v>-17.076923076923077</v>
      </c>
      <c r="AK191" s="62">
        <f>E150</f>
        <v>16.009804688185493</v>
      </c>
      <c r="AM191" s="1">
        <f>B151</f>
        <v>25</v>
      </c>
      <c r="AN191" s="1">
        <f>C151</f>
        <v>-34</v>
      </c>
      <c r="AO191" s="62">
        <f>D151</f>
        <v>-4.5238095238095237</v>
      </c>
      <c r="AP191" s="62">
        <f>E151</f>
        <v>16.729073637291002</v>
      </c>
      <c r="AR191" s="1">
        <f>B152</f>
        <v>50</v>
      </c>
      <c r="AS191" s="1">
        <f>C152</f>
        <v>-26</v>
      </c>
      <c r="AT191" s="62">
        <f>D152</f>
        <v>15.931034482758621</v>
      </c>
      <c r="AU191" s="62">
        <f>E152</f>
        <v>19.951604007273556</v>
      </c>
      <c r="AW191" s="1">
        <f>B153</f>
        <v>35</v>
      </c>
      <c r="AX191" s="1">
        <f>C153</f>
        <v>-37</v>
      </c>
      <c r="AY191" s="62">
        <f>D153</f>
        <v>12.411764705882353</v>
      </c>
      <c r="AZ191" s="62">
        <f>J153</f>
        <v>72.75169773833133</v>
      </c>
      <c r="BB191" s="62">
        <f>B154</f>
        <v>58</v>
      </c>
      <c r="BC191" s="62">
        <f>C154</f>
        <v>-15</v>
      </c>
      <c r="BD191" s="62">
        <f>D154</f>
        <v>27</v>
      </c>
      <c r="BE191" s="62">
        <f>E154</f>
        <v>20.295543621915893</v>
      </c>
      <c r="BF191" s="62"/>
      <c r="BG191" s="62">
        <f>B155</f>
        <v>241</v>
      </c>
      <c r="BH191" s="62">
        <f>C155</f>
        <v>0</v>
      </c>
      <c r="BI191" s="62">
        <f>D155</f>
        <v>79.736842105263165</v>
      </c>
      <c r="BJ191" s="62">
        <f>E155</f>
        <v>75.08945931743547</v>
      </c>
      <c r="BK191" s="62"/>
      <c r="BL191" s="62">
        <f>B156</f>
        <v>325</v>
      </c>
      <c r="BM191" s="62">
        <f>C156</f>
        <v>-5</v>
      </c>
      <c r="BN191" s="62">
        <f>D156</f>
        <v>116.52941176470588</v>
      </c>
      <c r="BO191" s="62">
        <f>E156</f>
        <v>113.99184052326883</v>
      </c>
      <c r="BP191" s="62"/>
      <c r="BQ191" s="62">
        <f>B157</f>
        <v>325</v>
      </c>
      <c r="BR191" s="62">
        <f>C157</f>
        <v>-8</v>
      </c>
      <c r="BS191" s="62">
        <f>D157</f>
        <v>67.5625</v>
      </c>
      <c r="BT191" s="62">
        <f>E157</f>
        <v>91.957213782642782</v>
      </c>
    </row>
    <row r="192" spans="1:72" x14ac:dyDescent="0.25">
      <c r="A192" s="92" t="s">
        <v>252</v>
      </c>
      <c r="B192" s="64">
        <f>MAX('Non-shuttle Bids'!$AR789:$AS819)</f>
        <v>25</v>
      </c>
      <c r="C192" s="64">
        <f>MIN('Non-shuttle Bids'!$AR789:$AS819)</f>
        <v>-13</v>
      </c>
      <c r="D192" s="66">
        <f>AVERAGE('Non-shuttle Bids'!$AR789:$AS819)</f>
        <v>-0.83333333333333337</v>
      </c>
      <c r="E192" s="66">
        <f>STDEV('Non-shuttle Bids'!$AR789:$AS819)</f>
        <v>9.6656216781044364</v>
      </c>
      <c r="F192" s="65"/>
      <c r="G192" s="66">
        <f>MAX('Shuttle Bids'!$AR789:$AS819)</f>
        <v>600</v>
      </c>
      <c r="H192" s="66">
        <f>MIN('Shuttle Bids'!$AR789:$AS819)</f>
        <v>-325</v>
      </c>
      <c r="I192" s="66">
        <f>AVERAGE('Shuttle Bids'!$AR789:$AS819)</f>
        <v>67.181818181818187</v>
      </c>
      <c r="J192" s="66">
        <f>STDEV('Shuttle Bids'!$AR789:$AS819)</f>
        <v>326.89384273122124</v>
      </c>
      <c r="M192" s="1">
        <v>2010</v>
      </c>
      <c r="N192" s="1">
        <f>B158</f>
        <v>57</v>
      </c>
      <c r="O192" s="1">
        <f>C158</f>
        <v>-20</v>
      </c>
      <c r="P192" s="62">
        <f>D158</f>
        <v>4.2307692307692308</v>
      </c>
      <c r="Q192" s="62">
        <f>E158</f>
        <v>26.249297914908905</v>
      </c>
      <c r="S192" s="1">
        <f>B159</f>
        <v>82</v>
      </c>
      <c r="T192" s="1">
        <f>C159</f>
        <v>-50</v>
      </c>
      <c r="U192" s="62">
        <f>D159</f>
        <v>8</v>
      </c>
      <c r="V192" s="62">
        <f>E159</f>
        <v>39.588959499912526</v>
      </c>
      <c r="X192" s="1">
        <f>B160</f>
        <v>150</v>
      </c>
      <c r="Y192" s="1">
        <f>C160</f>
        <v>-25</v>
      </c>
      <c r="Z192" s="62">
        <f>D160</f>
        <v>18.5625</v>
      </c>
      <c r="AA192" s="62">
        <f>E160</f>
        <v>40.237575722202749</v>
      </c>
      <c r="AC192" s="1">
        <f>B161</f>
        <v>20</v>
      </c>
      <c r="AD192" s="1">
        <f>C161</f>
        <v>-30</v>
      </c>
      <c r="AE192" s="62">
        <f>D161</f>
        <v>-6.7857142857142856</v>
      </c>
      <c r="AF192" s="62">
        <f>E161</f>
        <v>14.676923652867039</v>
      </c>
      <c r="AH192" s="1">
        <f>B162</f>
        <v>25</v>
      </c>
      <c r="AI192" s="1">
        <f>C162</f>
        <v>-18</v>
      </c>
      <c r="AJ192" s="62">
        <f>D162</f>
        <v>-6.1875</v>
      </c>
      <c r="AK192" s="62">
        <f>E162</f>
        <v>10.590679864862311</v>
      </c>
      <c r="AM192" s="1">
        <f>B163</f>
        <v>10</v>
      </c>
      <c r="AN192" s="1">
        <f>C163</f>
        <v>-63</v>
      </c>
      <c r="AO192" s="62">
        <f>D163</f>
        <v>-7.375</v>
      </c>
      <c r="AP192" s="62">
        <f>E163</f>
        <v>16.768522097469809</v>
      </c>
      <c r="AR192" s="1">
        <f>B164</f>
        <v>63</v>
      </c>
      <c r="AS192" s="1">
        <f>C164</f>
        <v>-25</v>
      </c>
      <c r="AT192" s="62">
        <f>D164</f>
        <v>1.3888888888888888</v>
      </c>
      <c r="AU192" s="62">
        <f>E164</f>
        <v>18.247123508648404</v>
      </c>
      <c r="AW192" s="1">
        <f>B165</f>
        <v>475</v>
      </c>
      <c r="AX192" s="1">
        <f>C165</f>
        <v>0</v>
      </c>
      <c r="AY192" s="62">
        <f>D165</f>
        <v>97.722222222222229</v>
      </c>
      <c r="AZ192" s="62">
        <f>J165</f>
        <v>451.01849819523562</v>
      </c>
      <c r="BB192" s="62">
        <f>B166</f>
        <v>1059</v>
      </c>
      <c r="BC192" s="62">
        <f>C166</f>
        <v>-5</v>
      </c>
      <c r="BD192" s="62">
        <f>D166</f>
        <v>347.30434782608694</v>
      </c>
      <c r="BE192" s="62">
        <f>E166</f>
        <v>302.23236617221414</v>
      </c>
      <c r="BF192" s="62"/>
      <c r="BG192" s="62">
        <f>B167</f>
        <v>1100</v>
      </c>
      <c r="BH192" s="62">
        <f>C167</f>
        <v>113</v>
      </c>
      <c r="BI192" s="62">
        <f>D167</f>
        <v>474.75862068965517</v>
      </c>
      <c r="BJ192" s="62">
        <f>E167</f>
        <v>273.08602192250362</v>
      </c>
      <c r="BK192" s="62"/>
      <c r="BL192" s="62">
        <f>B168</f>
        <v>525</v>
      </c>
      <c r="BM192" s="62">
        <f>C168</f>
        <v>-67</v>
      </c>
      <c r="BN192" s="62">
        <f>D168</f>
        <v>204.77272727272728</v>
      </c>
      <c r="BO192" s="62">
        <f>E168</f>
        <v>192.04858805302416</v>
      </c>
      <c r="BP192" s="62"/>
      <c r="BQ192" s="62">
        <f>B169</f>
        <v>500</v>
      </c>
      <c r="BR192" s="62">
        <f>C169</f>
        <v>-88</v>
      </c>
      <c r="BS192" s="62">
        <f>D169</f>
        <v>91</v>
      </c>
      <c r="BT192" s="62">
        <f>E169</f>
        <v>171.73380564117247</v>
      </c>
    </row>
    <row r="193" spans="1:72" x14ac:dyDescent="0.25">
      <c r="A193" s="92" t="s">
        <v>253</v>
      </c>
      <c r="B193" s="64">
        <f>MAX('Non-shuttle Bids'!$AV793:$AW823)</f>
        <v>25</v>
      </c>
      <c r="C193" s="64">
        <f>MIN('Non-shuttle Bids'!$AV793:$AW823)</f>
        <v>-25</v>
      </c>
      <c r="D193" s="66">
        <f>AVERAGE('Non-shuttle Bids'!$AV793:$AW823)</f>
        <v>0</v>
      </c>
      <c r="E193" s="66">
        <f>STDEV('Non-shuttle Bids'!$AV793:$AW823)</f>
        <v>13.36306209562122</v>
      </c>
      <c r="F193" s="65"/>
      <c r="G193" s="66">
        <f>MAX('Shuttle Bids'!$AV793:$AW823)</f>
        <v>75</v>
      </c>
      <c r="H193" s="66">
        <f>MIN('Shuttle Bids'!$AV793:$AW823)</f>
        <v>-363</v>
      </c>
      <c r="I193" s="66">
        <f>AVERAGE('Shuttle Bids'!$AV793:$AW823)</f>
        <v>-147.86206896551724</v>
      </c>
      <c r="J193" s="66">
        <f>STDEV('Shuttle Bids'!$AV793:$AW823)</f>
        <v>106.76333109731577</v>
      </c>
      <c r="M193" s="1">
        <v>2011</v>
      </c>
      <c r="N193" s="1">
        <f>B170</f>
        <v>150</v>
      </c>
      <c r="O193" s="1">
        <f>C170</f>
        <v>-50</v>
      </c>
      <c r="P193" s="62">
        <f>D170</f>
        <v>18.105263157894736</v>
      </c>
      <c r="Q193" s="62">
        <f>E170</f>
        <v>50.41813467487237</v>
      </c>
      <c r="S193" s="1">
        <f>B171</f>
        <v>250</v>
      </c>
      <c r="T193" s="1">
        <f>C171</f>
        <v>-50</v>
      </c>
      <c r="U193" s="62">
        <f>D171</f>
        <v>48.047619047619051</v>
      </c>
      <c r="V193" s="62">
        <f>E171</f>
        <v>79.82385369704734</v>
      </c>
      <c r="X193" s="1">
        <f>B172</f>
        <v>338</v>
      </c>
      <c r="Y193" s="1">
        <f>C172</f>
        <v>0</v>
      </c>
      <c r="Z193" s="62">
        <f>D172</f>
        <v>67.81481481481481</v>
      </c>
      <c r="AA193" s="62">
        <f>E172</f>
        <v>113.743989540965</v>
      </c>
      <c r="AC193" s="1">
        <f>B173</f>
        <v>350</v>
      </c>
      <c r="AD193" s="1">
        <f>C173</f>
        <v>-25</v>
      </c>
      <c r="AE193" s="62">
        <f>D173</f>
        <v>84.869565217391298</v>
      </c>
      <c r="AF193" s="62">
        <f>E173</f>
        <v>123.6024802442477</v>
      </c>
      <c r="AH193" s="1">
        <f>B174</f>
        <v>300</v>
      </c>
      <c r="AI193" s="1">
        <f>C174</f>
        <v>-13</v>
      </c>
      <c r="AJ193" s="62">
        <f>D174</f>
        <v>37.25</v>
      </c>
      <c r="AK193" s="62">
        <f>E174</f>
        <v>82.011573257365015</v>
      </c>
      <c r="AM193" s="1">
        <f>B175</f>
        <v>100</v>
      </c>
      <c r="AN193" s="1">
        <f>C175</f>
        <v>0</v>
      </c>
      <c r="AO193" s="62">
        <f>D175</f>
        <v>31.210526315789473</v>
      </c>
      <c r="AP193" s="62">
        <f>E175</f>
        <v>28.171259876706539</v>
      </c>
      <c r="AR193" s="1">
        <f>B176</f>
        <v>100</v>
      </c>
      <c r="AS193" s="1">
        <f>C176</f>
        <v>-13</v>
      </c>
      <c r="AT193" s="62">
        <f>D176</f>
        <v>39.35</v>
      </c>
      <c r="AU193" s="62">
        <f>E176</f>
        <v>39.429183688174291</v>
      </c>
      <c r="AW193" s="1">
        <f>B177</f>
        <v>50</v>
      </c>
      <c r="AX193" s="1">
        <f>C177</f>
        <v>0</v>
      </c>
      <c r="AY193" s="62">
        <f>D177</f>
        <v>22.333333333333332</v>
      </c>
      <c r="AZ193" s="62">
        <f>J177</f>
        <v>155.29444174330141</v>
      </c>
      <c r="BB193" s="62">
        <f>B178</f>
        <v>150</v>
      </c>
      <c r="BC193" s="62">
        <f>C178</f>
        <v>-13</v>
      </c>
      <c r="BD193" s="62">
        <f>D178</f>
        <v>61.526315789473685</v>
      </c>
      <c r="BE193" s="62">
        <f>E178</f>
        <v>45.690223147059271</v>
      </c>
      <c r="BF193" s="62"/>
      <c r="BG193" s="62">
        <f>B179</f>
        <v>400</v>
      </c>
      <c r="BH193" s="62">
        <f>C179</f>
        <v>-42</v>
      </c>
      <c r="BI193" s="62">
        <f>D179</f>
        <v>172</v>
      </c>
      <c r="BJ193" s="62">
        <f>E179</f>
        <v>170.5974023372294</v>
      </c>
      <c r="BK193" s="62"/>
      <c r="BL193" s="62">
        <f>B180</f>
        <v>300</v>
      </c>
      <c r="BM193" s="62">
        <f>C180</f>
        <v>-69</v>
      </c>
      <c r="BN193" s="62">
        <f>D180</f>
        <v>79</v>
      </c>
      <c r="BO193" s="62">
        <f>E180</f>
        <v>152.80431242192364</v>
      </c>
      <c r="BP193" s="62"/>
      <c r="BQ193" s="62">
        <f>B181</f>
        <v>200</v>
      </c>
      <c r="BR193" s="62">
        <f>C181</f>
        <v>-75</v>
      </c>
      <c r="BS193" s="62">
        <f>D181</f>
        <v>34.807692307692307</v>
      </c>
      <c r="BT193" s="62">
        <f>E181</f>
        <v>93.799794980914214</v>
      </c>
    </row>
    <row r="194" spans="1:72" x14ac:dyDescent="0.25">
      <c r="A194" s="24" t="s">
        <v>280</v>
      </c>
      <c r="B194" s="64">
        <f>MAX('Non-shuttle Bids'!$D798:$E828)</f>
        <v>25</v>
      </c>
      <c r="C194" s="64">
        <f>MIN('Non-shuttle Bids'!$D798:$E828)</f>
        <v>0</v>
      </c>
      <c r="D194" s="66">
        <f>AVERAGE('Non-shuttle Bids'!$D798:$E828)</f>
        <v>13.8</v>
      </c>
      <c r="E194" s="66">
        <f>STDEV('Non-shuttle Bids'!$D798:$E828)</f>
        <v>12.425779653607252</v>
      </c>
      <c r="F194" s="65"/>
      <c r="G194" s="66">
        <f>MAX('Shuttle Bids'!$D798:$E828)</f>
        <v>81</v>
      </c>
      <c r="H194" s="66">
        <f>MIN('Shuttle Bids'!$D798:$E828)</f>
        <v>-200</v>
      </c>
      <c r="I194" s="66">
        <f>AVERAGE('Shuttle Bids'!$D798:$E828)</f>
        <v>-31.714285714285715</v>
      </c>
      <c r="J194" s="66">
        <f>STDEV('Shuttle Bids'!$D798:$E828)</f>
        <v>95.055796223083604</v>
      </c>
      <c r="M194" s="1">
        <v>2012</v>
      </c>
      <c r="N194" s="1">
        <f>B182</f>
        <v>25</v>
      </c>
      <c r="O194" s="1">
        <f>C182</f>
        <v>-125</v>
      </c>
      <c r="P194" s="62">
        <f t="shared" ref="P194:Q194" si="0">D182</f>
        <v>-29.277777777777779</v>
      </c>
      <c r="Q194" s="62">
        <f t="shared" si="0"/>
        <v>50.786526183920721</v>
      </c>
      <c r="S194" s="1">
        <f>B183</f>
        <v>25</v>
      </c>
      <c r="T194" s="1">
        <f>C183</f>
        <v>-50</v>
      </c>
      <c r="U194" s="62">
        <f>D183</f>
        <v>-1.8666666666666667</v>
      </c>
      <c r="V194" s="62">
        <f>E183</f>
        <v>21.145302303911606</v>
      </c>
      <c r="X194" s="1">
        <f>B184</f>
        <v>13</v>
      </c>
      <c r="Y194" s="1">
        <f>C184</f>
        <v>-13</v>
      </c>
      <c r="Z194" s="62">
        <f>D184</f>
        <v>-1</v>
      </c>
      <c r="AA194" s="62">
        <f>E184</f>
        <v>5.4772255750516612</v>
      </c>
      <c r="AC194" s="1">
        <f>B185</f>
        <v>25</v>
      </c>
      <c r="AD194" s="1">
        <f>C185</f>
        <v>-20</v>
      </c>
      <c r="AE194" s="62">
        <f>D185</f>
        <v>9.75</v>
      </c>
      <c r="AF194" s="62">
        <f>E185</f>
        <v>14.704226797566941</v>
      </c>
      <c r="AH194" s="1">
        <f>B186</f>
        <v>22</v>
      </c>
      <c r="AI194" s="1">
        <f>C186</f>
        <v>-10</v>
      </c>
      <c r="AJ194" s="62">
        <f>D186</f>
        <v>10</v>
      </c>
      <c r="AK194" s="62">
        <f>E186</f>
        <v>14.212670403551895</v>
      </c>
      <c r="AM194" s="1">
        <f>B187</f>
        <v>25</v>
      </c>
      <c r="AN194" s="1">
        <f>C187</f>
        <v>0</v>
      </c>
      <c r="AO194" s="62">
        <f>D187</f>
        <v>9.6</v>
      </c>
      <c r="AP194" s="62">
        <f>E187</f>
        <v>8.0338569282043562</v>
      </c>
      <c r="AR194" s="1">
        <f>B188</f>
        <v>30</v>
      </c>
      <c r="AS194" s="1">
        <f>C188</f>
        <v>-13</v>
      </c>
      <c r="AT194" s="62">
        <f>D188</f>
        <v>5.0625</v>
      </c>
      <c r="AU194" s="62">
        <f>E188</f>
        <v>11.286976270610891</v>
      </c>
      <c r="AW194" s="1">
        <f>B189</f>
        <v>40</v>
      </c>
      <c r="AX194" s="1">
        <f>C189</f>
        <v>-283</v>
      </c>
      <c r="AY194" s="62">
        <f>D189</f>
        <v>-46.5</v>
      </c>
      <c r="AZ194" s="62">
        <f>J189</f>
        <v>93.251273449749732</v>
      </c>
      <c r="BB194" s="62">
        <f>B190</f>
        <v>40</v>
      </c>
      <c r="BC194" s="62">
        <f>C190</f>
        <v>-283</v>
      </c>
      <c r="BD194" s="62">
        <f>D190</f>
        <v>-7.5384615384615383</v>
      </c>
      <c r="BE194" s="62">
        <f>E190</f>
        <v>84.645944364959959</v>
      </c>
      <c r="BF194" s="62"/>
      <c r="BG194" s="62">
        <f>B191</f>
        <v>138</v>
      </c>
      <c r="BH194" s="62">
        <f>C191</f>
        <v>0</v>
      </c>
      <c r="BI194" s="62">
        <f>D191</f>
        <v>61.555555555555557</v>
      </c>
      <c r="BJ194" s="62">
        <f>E191</f>
        <v>45.741189427652735</v>
      </c>
      <c r="BK194" s="62"/>
      <c r="BL194" s="62">
        <f>B192</f>
        <v>25</v>
      </c>
      <c r="BM194" s="62">
        <f>C192</f>
        <v>-13</v>
      </c>
      <c r="BN194" s="62">
        <f>D192</f>
        <v>-0.83333333333333337</v>
      </c>
      <c r="BO194" s="62">
        <f>E192</f>
        <v>9.6656216781044364</v>
      </c>
      <c r="BP194" s="62"/>
      <c r="BQ194" s="62">
        <f>B193</f>
        <v>25</v>
      </c>
      <c r="BR194" s="62">
        <f>C193</f>
        <v>-25</v>
      </c>
      <c r="BS194" s="62">
        <f>D193</f>
        <v>0</v>
      </c>
      <c r="BT194" s="62">
        <f>E193</f>
        <v>13.36306209562122</v>
      </c>
    </row>
    <row r="195" spans="1:72" x14ac:dyDescent="0.25">
      <c r="A195" s="92" t="s">
        <v>281</v>
      </c>
      <c r="B195" s="64">
        <f>MAX('Non-shuttle Bids'!$H802:$I832)</f>
        <v>13</v>
      </c>
      <c r="C195" s="64">
        <f>MIN('Non-shuttle Bids'!$H802:$I832)</f>
        <v>-13</v>
      </c>
      <c r="D195" s="66">
        <f>AVERAGE('Non-shuttle Bids'!$H802:$I832)</f>
        <v>-0.42857142857142855</v>
      </c>
      <c r="E195" s="66">
        <f>STDEV('Non-shuttle Bids'!$H802:$I832)</f>
        <v>10.04750620564033</v>
      </c>
      <c r="G195" s="66">
        <f>MAX('Shuttle Bids'!$H802:$I832)</f>
        <v>242</v>
      </c>
      <c r="H195" s="66">
        <f>MIN('Shuttle Bids'!$H802:$I832)</f>
        <v>-138</v>
      </c>
      <c r="I195" s="66">
        <f>AVERAGE('Shuttle Bids'!$H802:$I832)</f>
        <v>-13.882352941176471</v>
      </c>
      <c r="J195" s="66">
        <f>STDEV('Shuttle Bids'!$H802:$I832)</f>
        <v>93.914776761261834</v>
      </c>
      <c r="M195" s="1">
        <v>2013</v>
      </c>
      <c r="N195" s="1">
        <f>B194</f>
        <v>25</v>
      </c>
      <c r="O195" s="1">
        <f>C194</f>
        <v>0</v>
      </c>
      <c r="P195" s="62">
        <f>D194</f>
        <v>13.8</v>
      </c>
      <c r="Q195" s="62">
        <f>E194</f>
        <v>12.425779653607252</v>
      </c>
      <c r="S195" s="1">
        <f>B195</f>
        <v>13</v>
      </c>
      <c r="T195" s="1">
        <f>C195</f>
        <v>-13</v>
      </c>
      <c r="U195" s="62">
        <f>D195</f>
        <v>-0.42857142857142855</v>
      </c>
      <c r="V195" s="62">
        <f>E195</f>
        <v>10.04750620564033</v>
      </c>
      <c r="X195" s="1">
        <f>B196</f>
        <v>13</v>
      </c>
      <c r="Y195" s="1">
        <f>C196</f>
        <v>-50</v>
      </c>
      <c r="Z195" s="62">
        <f>D196</f>
        <v>-9.545454545454545</v>
      </c>
      <c r="AA195" s="62">
        <f>E196</f>
        <v>17.778434331310709</v>
      </c>
      <c r="AC195" s="1">
        <f>B197</f>
        <v>0</v>
      </c>
      <c r="AD195" s="1">
        <f>C197</f>
        <v>-10</v>
      </c>
      <c r="AE195" s="62">
        <f>D197</f>
        <v>-2.75</v>
      </c>
      <c r="AF195" s="62">
        <f>E197</f>
        <v>3.9910614413425693</v>
      </c>
      <c r="AH195" s="1">
        <f>B198</f>
        <v>0</v>
      </c>
      <c r="AI195" s="1">
        <f>C198</f>
        <v>0</v>
      </c>
      <c r="AJ195" s="62">
        <f>D198</f>
        <v>0</v>
      </c>
      <c r="AK195" s="62">
        <f>E198</f>
        <v>0</v>
      </c>
      <c r="AM195" s="1">
        <f>B199</f>
        <v>25</v>
      </c>
      <c r="AN195" s="1">
        <f>C199</f>
        <v>0</v>
      </c>
      <c r="AO195" s="62">
        <f>D199</f>
        <v>8.0833333333333339</v>
      </c>
      <c r="AP195" s="62">
        <f>E199</f>
        <v>10.500721475934474</v>
      </c>
      <c r="AR195" s="1">
        <f>B200</f>
        <v>25</v>
      </c>
      <c r="AS195" s="1">
        <f>C200</f>
        <v>-13</v>
      </c>
      <c r="AT195" s="62">
        <f>D200</f>
        <v>6.5625</v>
      </c>
      <c r="AU195" s="62">
        <f>E200</f>
        <v>11.860122259066303</v>
      </c>
      <c r="AW195" s="1">
        <f>B201</f>
        <v>25</v>
      </c>
      <c r="AX195" s="1">
        <f>C201</f>
        <v>-200</v>
      </c>
      <c r="AY195" s="62">
        <f>D201</f>
        <v>-1.2142857142857142</v>
      </c>
      <c r="AZ195" s="62">
        <f>J201</f>
        <v>54.109846917434226</v>
      </c>
      <c r="BB195" s="62">
        <f>B202</f>
        <v>500</v>
      </c>
      <c r="BC195" s="62">
        <f>C202</f>
        <v>-10</v>
      </c>
      <c r="BD195" s="62">
        <f>D202</f>
        <v>112.2</v>
      </c>
      <c r="BE195" s="62">
        <f>E202</f>
        <v>159.09940987389683</v>
      </c>
      <c r="BF195" s="62"/>
      <c r="BG195" s="62">
        <f>B203</f>
        <v>750</v>
      </c>
      <c r="BH195" s="62">
        <f>C203</f>
        <v>-50</v>
      </c>
      <c r="BI195" s="62">
        <f>D203</f>
        <v>211.83333333333334</v>
      </c>
      <c r="BJ195" s="62">
        <f>E203</f>
        <v>270.15713721439749</v>
      </c>
      <c r="BK195" s="62"/>
      <c r="BL195" s="62">
        <f>B204</f>
        <v>1617</v>
      </c>
      <c r="BM195" s="62">
        <f>C204</f>
        <v>0</v>
      </c>
      <c r="BN195" s="62">
        <f>D204</f>
        <v>416.07142857142856</v>
      </c>
      <c r="BO195" s="62">
        <f>E204</f>
        <v>418.4667001338089</v>
      </c>
      <c r="BP195" s="62"/>
      <c r="BQ195" s="62">
        <f>B205</f>
        <v>1175</v>
      </c>
      <c r="BR195" s="62">
        <f>C205</f>
        <v>50</v>
      </c>
      <c r="BS195" s="62">
        <f>D205</f>
        <v>400.5</v>
      </c>
      <c r="BT195" s="62">
        <f>E205</f>
        <v>372.80923033399029</v>
      </c>
    </row>
    <row r="196" spans="1:72" x14ac:dyDescent="0.25">
      <c r="A196" s="92" t="s">
        <v>282</v>
      </c>
      <c r="B196" s="64">
        <f>MAX('Non-shuttle Bids'!$L806:$M836)</f>
        <v>13</v>
      </c>
      <c r="C196" s="64">
        <f>MIN('Non-shuttle Bids'!$L806:$M836)</f>
        <v>-50</v>
      </c>
      <c r="D196" s="66">
        <f>AVERAGE('Non-shuttle Bids'!$L806:$M836)</f>
        <v>-9.545454545454545</v>
      </c>
      <c r="E196" s="66">
        <f>STDEV('Non-shuttle Bids'!$L806:$M836)</f>
        <v>17.778434331310709</v>
      </c>
      <c r="G196" s="66">
        <f>MAX('Shuttle Bids'!$L806:$M836)</f>
        <v>125</v>
      </c>
      <c r="H196" s="66">
        <f>MIN('Shuttle Bids'!$L806:$M836)</f>
        <v>-175</v>
      </c>
      <c r="I196" s="66">
        <f>AVERAGE('Shuttle Bids'!$L806:$M836)</f>
        <v>-44.125</v>
      </c>
      <c r="J196" s="66">
        <f>STDEV('Shuttle Bids'!$L806:$M836)</f>
        <v>64.631606549871492</v>
      </c>
    </row>
    <row r="197" spans="1:72" x14ac:dyDescent="0.25">
      <c r="A197" s="92" t="s">
        <v>283</v>
      </c>
      <c r="B197" s="64">
        <f>MAX('Non-shuttle Bids'!$P811:$Q841)</f>
        <v>0</v>
      </c>
      <c r="C197" s="64">
        <f>MIN('Non-shuttle Bids'!$P811:$Q841)</f>
        <v>-10</v>
      </c>
      <c r="D197" s="66">
        <f>AVERAGE('Non-shuttle Bids'!$P811:$Q841)</f>
        <v>-2.75</v>
      </c>
      <c r="E197" s="66">
        <f>STDEV('Non-shuttle Bids'!$P811:$Q841)</f>
        <v>3.9910614413425693</v>
      </c>
      <c r="F197" s="65"/>
      <c r="G197" s="64">
        <f>MAX('Shuttle Bids'!$P811:$Q841)</f>
        <v>-38</v>
      </c>
      <c r="H197" s="64">
        <f>MIN('Shuttle Bids'!$P811:$Q841)</f>
        <v>-225</v>
      </c>
      <c r="I197" s="66">
        <f>AVERAGE('Shuttle Bids'!$P811:$Q841)</f>
        <v>-157.5</v>
      </c>
      <c r="J197" s="66">
        <f>STDEV('Shuttle Bids'!$P811:$Q841)</f>
        <v>52.20089398979038</v>
      </c>
    </row>
    <row r="198" spans="1:72" x14ac:dyDescent="0.25">
      <c r="A198" s="92" t="s">
        <v>284</v>
      </c>
      <c r="B198" s="64">
        <f>MAX('Non-shuttle Bids'!$T815:$U845)</f>
        <v>0</v>
      </c>
      <c r="C198" s="64">
        <f>MIN('Non-shuttle Bids'!$T815:$U845)</f>
        <v>0</v>
      </c>
      <c r="D198" s="66">
        <f>AVERAGE('Non-shuttle Bids'!$T815:$U845)</f>
        <v>0</v>
      </c>
      <c r="E198" s="66">
        <f>STDEV('Non-shuttle Bids'!$T815:$U845)</f>
        <v>0</v>
      </c>
      <c r="F198" s="65"/>
      <c r="G198" s="64">
        <f>MAX('Shuttle Bids'!$T815:$U845)</f>
        <v>-67</v>
      </c>
      <c r="H198" s="64">
        <f>MIN('Shuttle Bids'!$T815:$U845)</f>
        <v>-225</v>
      </c>
      <c r="I198" s="66">
        <f>AVERAGE('Shuttle Bids'!$T815:$U845)</f>
        <v>-154.70588235294119</v>
      </c>
      <c r="J198" s="66">
        <f>STDEV('Shuttle Bids'!$T815:$U845)</f>
        <v>52.126966037122223</v>
      </c>
      <c r="M198" s="60" t="s">
        <v>166</v>
      </c>
      <c r="N198" s="61"/>
    </row>
    <row r="199" spans="1:72" x14ac:dyDescent="0.25">
      <c r="A199" s="92" t="s">
        <v>285</v>
      </c>
      <c r="B199" s="64">
        <f>MAX('Non-shuttle Bids'!$X819:$Y849)</f>
        <v>25</v>
      </c>
      <c r="C199" s="64">
        <f>MIN('Non-shuttle Bids'!$X819:$Y849)</f>
        <v>0</v>
      </c>
      <c r="D199" s="66">
        <f>AVERAGE('Non-shuttle Bids'!$X819:$Y849)</f>
        <v>8.0833333333333339</v>
      </c>
      <c r="E199" s="66">
        <f>STDEV('Non-shuttle Bids'!$X819:$Y849)</f>
        <v>10.500721475934474</v>
      </c>
      <c r="F199" s="65"/>
      <c r="G199" s="64">
        <f>MAX('Shuttle Bids'!$X819:$Y849)</f>
        <v>100</v>
      </c>
      <c r="H199" s="64">
        <f>MIN('Shuttle Bids'!$X819:$Y849)</f>
        <v>-225</v>
      </c>
      <c r="I199" s="66">
        <f>AVERAGE('Shuttle Bids'!$X819:$Y849)</f>
        <v>-108.22727272727273</v>
      </c>
      <c r="J199" s="66">
        <f>STDEV('Shuttle Bids'!$X819:$Y849)</f>
        <v>89.711140582364379</v>
      </c>
      <c r="N199" s="147" t="s">
        <v>159</v>
      </c>
      <c r="O199" s="147"/>
      <c r="P199" s="147"/>
      <c r="Q199" s="54"/>
      <c r="R199" s="54"/>
      <c r="S199" s="147" t="s">
        <v>160</v>
      </c>
      <c r="T199" s="147"/>
      <c r="U199" s="147"/>
      <c r="V199" s="54"/>
      <c r="X199" s="147" t="s">
        <v>124</v>
      </c>
      <c r="Y199" s="147"/>
      <c r="Z199" s="147"/>
      <c r="AA199" s="54"/>
      <c r="AC199" s="147" t="s">
        <v>125</v>
      </c>
      <c r="AD199" s="147"/>
      <c r="AE199" s="147"/>
      <c r="AF199" s="54"/>
      <c r="AH199" s="147" t="s">
        <v>126</v>
      </c>
      <c r="AI199" s="147"/>
      <c r="AJ199" s="147"/>
      <c r="AK199" s="54"/>
      <c r="AM199" s="147" t="s">
        <v>127</v>
      </c>
      <c r="AN199" s="147"/>
      <c r="AO199" s="147"/>
      <c r="AP199" s="54"/>
      <c r="AR199" s="147" t="s">
        <v>128</v>
      </c>
      <c r="AS199" s="147"/>
      <c r="AT199" s="147"/>
      <c r="AU199" s="54"/>
      <c r="AW199" s="147" t="s">
        <v>129</v>
      </c>
      <c r="AX199" s="147"/>
      <c r="AY199" s="147"/>
      <c r="AZ199" s="54"/>
      <c r="BB199" s="147" t="s">
        <v>162</v>
      </c>
      <c r="BC199" s="147"/>
      <c r="BD199" s="147"/>
      <c r="BE199" s="54"/>
      <c r="BG199" s="147" t="s">
        <v>135</v>
      </c>
      <c r="BH199" s="147"/>
      <c r="BI199" s="147"/>
      <c r="BJ199" s="54"/>
      <c r="BL199" s="147" t="s">
        <v>136</v>
      </c>
      <c r="BM199" s="147"/>
      <c r="BN199" s="147"/>
      <c r="BO199" s="54"/>
      <c r="BQ199" s="147" t="s">
        <v>138</v>
      </c>
      <c r="BR199" s="147"/>
      <c r="BS199" s="147"/>
      <c r="BT199" s="54"/>
    </row>
    <row r="200" spans="1:72" ht="15.6" thickBot="1" x14ac:dyDescent="0.3">
      <c r="A200" s="92" t="s">
        <v>286</v>
      </c>
      <c r="B200" s="64">
        <f>MAX('Non-shuttle Bids'!$AB824:$AC854)</f>
        <v>25</v>
      </c>
      <c r="C200" s="64">
        <f>MIN('Non-shuttle Bids'!$AB824:$AC854)</f>
        <v>-13</v>
      </c>
      <c r="D200" s="66">
        <f>AVERAGE('Non-shuttle Bids'!$AB824:$AC854)</f>
        <v>6.5625</v>
      </c>
      <c r="E200" s="66">
        <f>STDEV('Non-shuttle Bids'!$AB824:$AC854)</f>
        <v>11.860122259066303</v>
      </c>
      <c r="F200" s="65"/>
      <c r="G200" s="64">
        <f>MAX('Shuttle Bids'!$AB824:$AC854)</f>
        <v>42</v>
      </c>
      <c r="H200" s="64">
        <f>MIN('Shuttle Bids'!$AB824:$AC854)</f>
        <v>-250</v>
      </c>
      <c r="I200" s="66">
        <f>AVERAGE('Shuttle Bids'!$AB824:$AC854)</f>
        <v>-119.3</v>
      </c>
      <c r="J200" s="66">
        <f>STDEV('Shuttle Bids'!$AB824:$AC854)</f>
        <v>61.838584446248362</v>
      </c>
      <c r="M200" s="52" t="s">
        <v>156</v>
      </c>
      <c r="N200" s="55" t="s">
        <v>157</v>
      </c>
      <c r="O200" s="55" t="s">
        <v>158</v>
      </c>
      <c r="P200" s="55" t="s">
        <v>161</v>
      </c>
      <c r="Q200" s="55" t="s">
        <v>203</v>
      </c>
      <c r="R200" s="56"/>
      <c r="S200" s="55" t="s">
        <v>157</v>
      </c>
      <c r="T200" s="55" t="s">
        <v>158</v>
      </c>
      <c r="U200" s="55" t="s">
        <v>161</v>
      </c>
      <c r="V200" s="55" t="s">
        <v>203</v>
      </c>
      <c r="W200" s="56"/>
      <c r="X200" s="55" t="s">
        <v>157</v>
      </c>
      <c r="Y200" s="55" t="s">
        <v>158</v>
      </c>
      <c r="Z200" s="55" t="s">
        <v>161</v>
      </c>
      <c r="AA200" s="55" t="s">
        <v>203</v>
      </c>
      <c r="AB200" s="56"/>
      <c r="AC200" s="55" t="s">
        <v>157</v>
      </c>
      <c r="AD200" s="55" t="s">
        <v>158</v>
      </c>
      <c r="AE200" s="55" t="s">
        <v>161</v>
      </c>
      <c r="AF200" s="55" t="s">
        <v>203</v>
      </c>
      <c r="AH200" s="55" t="s">
        <v>157</v>
      </c>
      <c r="AI200" s="55" t="s">
        <v>158</v>
      </c>
      <c r="AJ200" s="55" t="s">
        <v>161</v>
      </c>
      <c r="AK200" s="55" t="s">
        <v>203</v>
      </c>
      <c r="AM200" s="55" t="s">
        <v>157</v>
      </c>
      <c r="AN200" s="55" t="s">
        <v>158</v>
      </c>
      <c r="AO200" s="55" t="s">
        <v>161</v>
      </c>
      <c r="AP200" s="55" t="s">
        <v>203</v>
      </c>
      <c r="AR200" s="55" t="s">
        <v>157</v>
      </c>
      <c r="AS200" s="55" t="s">
        <v>158</v>
      </c>
      <c r="AT200" s="55" t="s">
        <v>161</v>
      </c>
      <c r="AU200" s="55" t="s">
        <v>203</v>
      </c>
      <c r="AW200" s="55" t="s">
        <v>157</v>
      </c>
      <c r="AX200" s="55" t="s">
        <v>158</v>
      </c>
      <c r="AY200" s="55" t="s">
        <v>161</v>
      </c>
      <c r="AZ200" s="55" t="s">
        <v>203</v>
      </c>
      <c r="BB200" s="55" t="s">
        <v>157</v>
      </c>
      <c r="BC200" s="55" t="s">
        <v>158</v>
      </c>
      <c r="BD200" s="55" t="s">
        <v>161</v>
      </c>
      <c r="BE200" s="55" t="s">
        <v>203</v>
      </c>
      <c r="BG200" s="55" t="s">
        <v>157</v>
      </c>
      <c r="BH200" s="55" t="s">
        <v>158</v>
      </c>
      <c r="BI200" s="55" t="s">
        <v>161</v>
      </c>
      <c r="BJ200" s="55" t="s">
        <v>203</v>
      </c>
      <c r="BL200" s="55" t="s">
        <v>157</v>
      </c>
      <c r="BM200" s="55" t="s">
        <v>158</v>
      </c>
      <c r="BN200" s="55" t="s">
        <v>161</v>
      </c>
      <c r="BO200" s="55" t="s">
        <v>203</v>
      </c>
      <c r="BQ200" s="55" t="s">
        <v>157</v>
      </c>
      <c r="BR200" s="55" t="s">
        <v>158</v>
      </c>
      <c r="BS200" s="55" t="s">
        <v>161</v>
      </c>
      <c r="BT200" s="55" t="s">
        <v>203</v>
      </c>
    </row>
    <row r="201" spans="1:72" x14ac:dyDescent="0.25">
      <c r="A201" s="92" t="s">
        <v>287</v>
      </c>
      <c r="B201" s="64">
        <f>MAX('Non-shuttle Bids'!$AF828:$AG858)</f>
        <v>25</v>
      </c>
      <c r="C201" s="64">
        <f>MIN('Non-shuttle Bids'!$AF828:$AG858)</f>
        <v>-200</v>
      </c>
      <c r="D201" s="66">
        <f>AVERAGE('Non-shuttle Bids'!$AF828:$AG858)</f>
        <v>-1.2142857142857142</v>
      </c>
      <c r="E201" s="66">
        <f>STDEV('Non-shuttle Bids'!$AF828:$AG858)</f>
        <v>58.453372043849647</v>
      </c>
      <c r="F201" s="65"/>
      <c r="G201" s="64">
        <f>MAX('Shuttle Bids'!$AF828:$AG858)</f>
        <v>0</v>
      </c>
      <c r="H201" s="64">
        <f>MIN('Shuttle Bids'!$AF828:$AG858)</f>
        <v>-213</v>
      </c>
      <c r="I201" s="66">
        <f>AVERAGE('Shuttle Bids'!$AF828:$AG858)</f>
        <v>-118.44736842105263</v>
      </c>
      <c r="J201" s="66">
        <f>STDEV('Shuttle Bids'!$AF828:$AG858)</f>
        <v>54.109846917434226</v>
      </c>
      <c r="M201" s="1">
        <v>2006</v>
      </c>
      <c r="AC201" s="1">
        <v>-13</v>
      </c>
      <c r="AD201" s="1">
        <v>-317</v>
      </c>
      <c r="AE201" s="62">
        <v>-147.73333333333332</v>
      </c>
      <c r="AF201" s="62">
        <f>J113</f>
        <v>93.573093405763871</v>
      </c>
      <c r="AH201" s="1">
        <v>250</v>
      </c>
      <c r="AI201" s="1">
        <v>-275</v>
      </c>
      <c r="AJ201" s="62">
        <v>-102.8</v>
      </c>
      <c r="AK201" s="62">
        <f>J114</f>
        <v>98.901466116534394</v>
      </c>
      <c r="AM201" s="1">
        <v>229</v>
      </c>
      <c r="AN201" s="1">
        <v>-269</v>
      </c>
      <c r="AO201" s="1">
        <v>-74</v>
      </c>
      <c r="AP201" s="62">
        <f>J115</f>
        <v>88.896460251020628</v>
      </c>
      <c r="AR201" s="1">
        <v>200</v>
      </c>
      <c r="AS201" s="1">
        <v>-273</v>
      </c>
      <c r="AT201" s="62">
        <v>-12.805555555555555</v>
      </c>
      <c r="AU201" s="62">
        <f>J116</f>
        <v>101.73574156171031</v>
      </c>
      <c r="AW201" s="1">
        <v>350</v>
      </c>
      <c r="AX201" s="1">
        <v>-188</v>
      </c>
      <c r="AY201" s="62">
        <v>91.682926829268297</v>
      </c>
      <c r="AZ201" s="62">
        <f>J117</f>
        <v>97.46138697566083</v>
      </c>
      <c r="BB201" s="1">
        <v>525</v>
      </c>
      <c r="BC201" s="1">
        <v>-75</v>
      </c>
      <c r="BD201" s="62">
        <v>248.80769230769232</v>
      </c>
      <c r="BE201" s="62">
        <f>J118</f>
        <v>131.58416950818352</v>
      </c>
      <c r="BG201" s="1">
        <v>750</v>
      </c>
      <c r="BH201" s="1">
        <v>65</v>
      </c>
      <c r="BI201" s="62">
        <v>403.95744680851061</v>
      </c>
      <c r="BJ201" s="62">
        <f>J119</f>
        <v>162.10328932730144</v>
      </c>
      <c r="BL201" s="1">
        <v>525</v>
      </c>
      <c r="BM201" s="1">
        <v>-244</v>
      </c>
      <c r="BN201" s="62">
        <v>153.13157894736841</v>
      </c>
      <c r="BO201" s="62">
        <f>J120</f>
        <v>204.53258130101366</v>
      </c>
      <c r="BQ201" s="1">
        <v>250</v>
      </c>
      <c r="BR201" s="1">
        <v>-259</v>
      </c>
      <c r="BS201" s="62">
        <v>-32.421052631578945</v>
      </c>
      <c r="BT201" s="62">
        <f>J121</f>
        <v>149.08724664563209</v>
      </c>
    </row>
    <row r="202" spans="1:72" x14ac:dyDescent="0.25">
      <c r="A202" s="92" t="s">
        <v>288</v>
      </c>
      <c r="B202" s="64">
        <f>MAX('Non-shuttle Bids'!$AJ832:$AK862)</f>
        <v>500</v>
      </c>
      <c r="C202" s="64">
        <f>MIN('Non-shuttle Bids'!$AJ832:$AK862)</f>
        <v>-10</v>
      </c>
      <c r="D202" s="66">
        <f>AVERAGE('Non-shuttle Bids'!$AJ832:$AK862)</f>
        <v>112.2</v>
      </c>
      <c r="E202" s="66">
        <f>STDEV('Non-shuttle Bids'!$AJ832:$AK862)</f>
        <v>159.09940987389683</v>
      </c>
      <c r="F202" s="65"/>
      <c r="G202" s="64">
        <f>MAX('Shuttle Bids'!$AJ832:$AK862)</f>
        <v>433</v>
      </c>
      <c r="H202" s="64">
        <f>MIN('Shuttle Bids'!$AJ832:$AK862)</f>
        <v>-225</v>
      </c>
      <c r="I202" s="66">
        <f>AVERAGE('Shuttle Bids'!$AJ832:$AK862)</f>
        <v>-43.166666666666664</v>
      </c>
      <c r="J202" s="66">
        <f>STDEV('Shuttle Bids'!$AJ832:$AK862)</f>
        <v>145.01604901370303</v>
      </c>
      <c r="M202" s="1">
        <v>2007</v>
      </c>
      <c r="N202" s="1">
        <v>25</v>
      </c>
      <c r="O202" s="1">
        <v>-250</v>
      </c>
      <c r="P202" s="62">
        <v>-132.77777777777777</v>
      </c>
      <c r="Q202" s="62">
        <f>J122</f>
        <v>70.908852476098673</v>
      </c>
      <c r="S202" s="1">
        <v>0</v>
      </c>
      <c r="T202" s="1">
        <v>-288</v>
      </c>
      <c r="U202" s="62">
        <v>-171.0625</v>
      </c>
      <c r="V202" s="62">
        <f>J123</f>
        <v>86.724443882141244</v>
      </c>
      <c r="X202" s="1">
        <v>-13</v>
      </c>
      <c r="Y202" s="1">
        <v>-325</v>
      </c>
      <c r="Z202" s="62">
        <v>-191</v>
      </c>
      <c r="AA202" s="62">
        <f>J124</f>
        <v>74.137464458690758</v>
      </c>
      <c r="AC202" s="1">
        <v>-200</v>
      </c>
      <c r="AD202" s="1">
        <v>-325</v>
      </c>
      <c r="AE202" s="62">
        <v>-269.42105263157896</v>
      </c>
      <c r="AF202" s="62">
        <f>J125</f>
        <v>37.108423406543437</v>
      </c>
      <c r="AH202" s="1">
        <v>-200</v>
      </c>
      <c r="AI202" s="1">
        <v>-345</v>
      </c>
      <c r="AJ202" s="62">
        <v>-262.04347826086956</v>
      </c>
      <c r="AK202" s="62">
        <f>J126</f>
        <v>34.65082743452497</v>
      </c>
      <c r="AM202" s="1">
        <v>-88</v>
      </c>
      <c r="AN202" s="1">
        <v>-475</v>
      </c>
      <c r="AO202" s="62">
        <v>-234.30303030303031</v>
      </c>
      <c r="AP202" s="62">
        <f>J127</f>
        <v>72.946249410304191</v>
      </c>
      <c r="AR202" s="1">
        <v>-69</v>
      </c>
      <c r="AS202" s="1">
        <v>-422</v>
      </c>
      <c r="AT202" s="62">
        <v>-245.32</v>
      </c>
      <c r="AU202" s="62">
        <f>J128</f>
        <v>76.932719523836738</v>
      </c>
      <c r="AW202" s="1">
        <v>1275</v>
      </c>
      <c r="AX202" s="1">
        <v>-300</v>
      </c>
      <c r="AY202" s="62">
        <v>-54.303030303030305</v>
      </c>
      <c r="AZ202" s="62">
        <f>J129</f>
        <v>312.81838629311784</v>
      </c>
      <c r="BB202" s="1">
        <v>1325</v>
      </c>
      <c r="BC202" s="1">
        <v>-250</v>
      </c>
      <c r="BD202" s="62">
        <v>108.76595744680851</v>
      </c>
      <c r="BE202" s="62">
        <f>J130</f>
        <v>425.6006095107374</v>
      </c>
      <c r="BG202" s="1">
        <v>1367</v>
      </c>
      <c r="BH202" s="1">
        <v>50</v>
      </c>
      <c r="BI202" s="62">
        <v>443.07317073170731</v>
      </c>
      <c r="BJ202" s="62">
        <f>J131</f>
        <v>375.45548273023678</v>
      </c>
      <c r="BL202" s="1">
        <v>1000</v>
      </c>
      <c r="BM202" s="1">
        <v>-350</v>
      </c>
      <c r="BN202" s="62">
        <v>229.65384615384616</v>
      </c>
      <c r="BO202" s="62">
        <f>J132</f>
        <v>365.4586096736748</v>
      </c>
      <c r="BQ202" s="1">
        <v>250</v>
      </c>
      <c r="BR202" s="1">
        <v>-400</v>
      </c>
      <c r="BS202" s="62">
        <v>-56.882352941176471</v>
      </c>
      <c r="BT202" s="62">
        <f>J133</f>
        <v>188.85109291216096</v>
      </c>
    </row>
    <row r="203" spans="1:72" x14ac:dyDescent="0.25">
      <c r="A203" s="92" t="s">
        <v>289</v>
      </c>
      <c r="B203" s="64">
        <f>MAX('Non-shuttle Bids'!$AN837:$AO867)</f>
        <v>750</v>
      </c>
      <c r="C203" s="64">
        <f>MIN('Non-shuttle Bids'!$AN837:$AO867)</f>
        <v>-50</v>
      </c>
      <c r="D203" s="66">
        <f>AVERAGE('Non-shuttle Bids'!$AN837:$AO867)</f>
        <v>211.83333333333334</v>
      </c>
      <c r="E203" s="66">
        <f>STDEV('Non-shuttle Bids'!$AN837:$AO867)</f>
        <v>270.15713721439749</v>
      </c>
      <c r="F203" s="65"/>
      <c r="G203" s="64">
        <f>MAX('Shuttle Bids'!$AN837:$AO867)</f>
        <v>1450</v>
      </c>
      <c r="H203" s="64">
        <f>MIN('Shuttle Bids'!$AN837:$AO867)</f>
        <v>250</v>
      </c>
      <c r="I203" s="66">
        <f>AVERAGE('Shuttle Bids'!$AN837:$AO867)</f>
        <v>623.77777777777783</v>
      </c>
      <c r="J203" s="66">
        <f>STDEV('Shuttle Bids'!$AN837:$AO867)</f>
        <v>331.87397206369366</v>
      </c>
      <c r="M203" s="1">
        <v>2008</v>
      </c>
      <c r="N203" s="1">
        <v>125</v>
      </c>
      <c r="O203" s="1">
        <v>-350</v>
      </c>
      <c r="P203" s="62">
        <v>-68.411764705882348</v>
      </c>
      <c r="Q203" s="62">
        <f>J134</f>
        <v>130.50721188095764</v>
      </c>
      <c r="S203" s="1">
        <v>700</v>
      </c>
      <c r="T203" s="1">
        <v>-121</v>
      </c>
      <c r="U203" s="62">
        <v>117.4</v>
      </c>
      <c r="V203" s="62">
        <f>J135</f>
        <v>229.70280315611689</v>
      </c>
      <c r="X203" s="1">
        <v>200</v>
      </c>
      <c r="Y203" s="1">
        <v>-225</v>
      </c>
      <c r="Z203" s="62">
        <v>-40.4</v>
      </c>
      <c r="AA203" s="62">
        <f>J136</f>
        <v>121.77736372491184</v>
      </c>
      <c r="AC203" s="1">
        <v>-100</v>
      </c>
      <c r="AD203" s="1">
        <v>-268</v>
      </c>
      <c r="AE203" s="62">
        <v>-187.27272727272728</v>
      </c>
      <c r="AF203" s="62">
        <f>J137</f>
        <v>49.898077937112795</v>
      </c>
      <c r="AH203" s="1">
        <v>-94</v>
      </c>
      <c r="AI203" s="1">
        <v>-538</v>
      </c>
      <c r="AJ203" s="62">
        <v>-255</v>
      </c>
      <c r="AK203" s="62">
        <f>J138</f>
        <v>136.57598617619425</v>
      </c>
      <c r="AM203" s="1">
        <v>-113</v>
      </c>
      <c r="AN203" s="1">
        <v>-425</v>
      </c>
      <c r="AO203" s="62">
        <v>-204.16666666666666</v>
      </c>
      <c r="AP203" s="62">
        <f>J139</f>
        <v>65.516713259381831</v>
      </c>
      <c r="AR203" s="62">
        <v>106.5</v>
      </c>
      <c r="AS203" s="62">
        <v>-181.5</v>
      </c>
      <c r="AT203" s="62">
        <v>-99.764705882352942</v>
      </c>
      <c r="AU203" s="62">
        <f>J140</f>
        <v>73.029839594951639</v>
      </c>
      <c r="AW203" s="1">
        <v>88</v>
      </c>
      <c r="AX203" s="62">
        <v>-231.5</v>
      </c>
      <c r="AY203" s="62">
        <v>-77.3</v>
      </c>
      <c r="AZ203" s="62">
        <f>J141</f>
        <v>97.634691411572391</v>
      </c>
      <c r="BB203" s="1">
        <v>25</v>
      </c>
      <c r="BC203" s="1">
        <v>-294</v>
      </c>
      <c r="BD203" s="62">
        <v>-135.3125</v>
      </c>
      <c r="BE203" s="62">
        <f>J142</f>
        <v>101.09662443685978</v>
      </c>
      <c r="BG203" s="1">
        <v>225</v>
      </c>
      <c r="BH203" s="1">
        <v>-150</v>
      </c>
      <c r="BI203" s="62">
        <v>69.392857142857139</v>
      </c>
      <c r="BJ203" s="62">
        <f>J143</f>
        <v>137.11113433231722</v>
      </c>
      <c r="BL203" s="62">
        <v>150</v>
      </c>
      <c r="BM203" s="62">
        <v>-456.5</v>
      </c>
      <c r="BN203" s="62">
        <v>2.2727272727272728E-2</v>
      </c>
      <c r="BO203" s="62">
        <f>J144</f>
        <v>158.65801123053708</v>
      </c>
      <c r="BQ203" s="1">
        <v>0</v>
      </c>
      <c r="BR203" s="62">
        <v>-385.5</v>
      </c>
      <c r="BS203" s="1">
        <v>-170</v>
      </c>
      <c r="BT203" s="62">
        <f>J145</f>
        <v>159.15995006873541</v>
      </c>
    </row>
    <row r="204" spans="1:72" x14ac:dyDescent="0.25">
      <c r="A204" s="92" t="s">
        <v>290</v>
      </c>
      <c r="B204" s="64">
        <f>MAX('Non-shuttle Bids'!$AR841:$AS871)</f>
        <v>1617</v>
      </c>
      <c r="C204" s="64">
        <f>MIN('Non-shuttle Bids'!$AR841:$AS871)</f>
        <v>0</v>
      </c>
      <c r="D204" s="66">
        <f>AVERAGE('Non-shuttle Bids'!$AR841:$AS871)</f>
        <v>416.07142857142856</v>
      </c>
      <c r="E204" s="66">
        <f>STDEV('Non-shuttle Bids'!$AR841:$AS871)</f>
        <v>418.4667001338089</v>
      </c>
      <c r="F204" s="65"/>
      <c r="G204" s="64">
        <f>MAX('Shuttle Bids'!$AR841:$AS871)</f>
        <v>2517</v>
      </c>
      <c r="H204" s="64">
        <f>MIN('Shuttle Bids'!$AR841:$AS871)</f>
        <v>250</v>
      </c>
      <c r="I204" s="66">
        <f>AVERAGE('Shuttle Bids'!$AR841:$AS871)</f>
        <v>717.1</v>
      </c>
      <c r="J204" s="66">
        <f>STDEV('Shuttle Bids'!$AR841:$AS871)</f>
        <v>614.03607814456473</v>
      </c>
      <c r="M204" s="1">
        <v>2009</v>
      </c>
      <c r="N204" s="1">
        <f>G146</f>
        <v>0</v>
      </c>
      <c r="O204" s="1">
        <f>H146</f>
        <v>-367</v>
      </c>
      <c r="P204" s="1">
        <f>I146</f>
        <v>-188</v>
      </c>
      <c r="Q204" s="62">
        <f>J146</f>
        <v>93.682248245671587</v>
      </c>
      <c r="S204" s="1">
        <f>G147</f>
        <v>-38</v>
      </c>
      <c r="T204" s="1">
        <f>H147</f>
        <v>-250</v>
      </c>
      <c r="U204" s="62">
        <f>I147</f>
        <v>-127.36363636363636</v>
      </c>
      <c r="V204" s="62">
        <f>J147</f>
        <v>58.291118924365691</v>
      </c>
      <c r="X204" s="1">
        <f>G148</f>
        <v>-88</v>
      </c>
      <c r="Y204" s="1">
        <f>H148</f>
        <v>-209</v>
      </c>
      <c r="Z204" s="62">
        <f>I148</f>
        <v>-158.33333333333334</v>
      </c>
      <c r="AA204" s="62">
        <f>J148</f>
        <v>39.843633763942179</v>
      </c>
      <c r="AC204" s="1">
        <f>G149</f>
        <v>-142</v>
      </c>
      <c r="AD204" s="1">
        <f>H149</f>
        <v>-400</v>
      </c>
      <c r="AE204" s="62">
        <f>I149</f>
        <v>-275.81818181818181</v>
      </c>
      <c r="AF204" s="62">
        <f>J149</f>
        <v>83.063611987221179</v>
      </c>
      <c r="AH204" s="1">
        <f>G150</f>
        <v>-231</v>
      </c>
      <c r="AI204" s="1">
        <f>H150</f>
        <v>-400</v>
      </c>
      <c r="AJ204" s="62">
        <f>I150</f>
        <v>-319.46666666666664</v>
      </c>
      <c r="AK204" s="62">
        <f>J150</f>
        <v>48.622256318725213</v>
      </c>
      <c r="AM204" s="1">
        <f>G151</f>
        <v>-100</v>
      </c>
      <c r="AN204" s="1">
        <f>H151</f>
        <v>-413</v>
      </c>
      <c r="AO204" s="62">
        <f>I151</f>
        <v>-236.11538461538461</v>
      </c>
      <c r="AP204" s="62">
        <f>J151</f>
        <v>80.323011359423958</v>
      </c>
      <c r="AR204" s="62">
        <f>G152</f>
        <v>200</v>
      </c>
      <c r="AS204" s="62">
        <f>H152</f>
        <v>-375</v>
      </c>
      <c r="AT204" s="62">
        <f>I152</f>
        <v>-118.38888888888889</v>
      </c>
      <c r="AU204" s="62">
        <f>J152</f>
        <v>119.42368416637163</v>
      </c>
      <c r="AW204" s="62">
        <f>G153</f>
        <v>50</v>
      </c>
      <c r="AX204" s="62">
        <f>H153</f>
        <v>-200</v>
      </c>
      <c r="AY204" s="62">
        <f>I153</f>
        <v>-66.666666666666671</v>
      </c>
      <c r="AZ204" s="62">
        <f>J153</f>
        <v>72.75169773833133</v>
      </c>
      <c r="BB204" s="62">
        <f>G154</f>
        <v>200</v>
      </c>
      <c r="BC204" s="62">
        <f>H154</f>
        <v>-225</v>
      </c>
      <c r="BD204" s="62">
        <f>I154</f>
        <v>-24.529411764705884</v>
      </c>
      <c r="BE204" s="62">
        <f>J154</f>
        <v>96.74998560617469</v>
      </c>
      <c r="BG204" s="62">
        <f>G155</f>
        <v>600</v>
      </c>
      <c r="BH204" s="62">
        <f>H155</f>
        <v>50</v>
      </c>
      <c r="BI204" s="62">
        <f>I155</f>
        <v>292.3</v>
      </c>
      <c r="BJ204" s="62">
        <f>J155</f>
        <v>133.48892204109038</v>
      </c>
      <c r="BL204" s="62">
        <f>G156</f>
        <v>782</v>
      </c>
      <c r="BM204" s="62">
        <f>H156</f>
        <v>0</v>
      </c>
      <c r="BN204" s="62">
        <f>I156</f>
        <v>209.26470588235293</v>
      </c>
      <c r="BO204" s="62">
        <f>J156</f>
        <v>185.20918702645878</v>
      </c>
      <c r="BQ204" s="62">
        <f>G157</f>
        <v>469</v>
      </c>
      <c r="BR204" s="62">
        <f>H157</f>
        <v>-125</v>
      </c>
      <c r="BS204" s="62">
        <f>I157</f>
        <v>48.310344827586206</v>
      </c>
      <c r="BT204" s="62">
        <f>J157</f>
        <v>144.52807523806476</v>
      </c>
    </row>
    <row r="205" spans="1:72" x14ac:dyDescent="0.25">
      <c r="A205" s="92" t="s">
        <v>291</v>
      </c>
      <c r="B205" s="64">
        <f>MAX('Non-shuttle Bids'!$AV845:$AW875)</f>
        <v>1175</v>
      </c>
      <c r="C205" s="64">
        <f>MIN('Non-shuttle Bids'!$AV845:$AW875)</f>
        <v>50</v>
      </c>
      <c r="D205" s="66">
        <f>AVERAGE('Non-shuttle Bids'!$AV845:$AW875)</f>
        <v>400.5</v>
      </c>
      <c r="E205" s="66">
        <f>STDEV('Non-shuttle Bids'!$AV845:$AW875)</f>
        <v>372.80923033399029</v>
      </c>
      <c r="F205" s="65"/>
      <c r="G205" s="64">
        <f>MAX('Shuttle Bids'!$AV845:$AW875)</f>
        <v>1500</v>
      </c>
      <c r="H205" s="64">
        <f>MIN('Shuttle Bids'!$AV845:$AW875)</f>
        <v>-200</v>
      </c>
      <c r="I205" s="66">
        <f>AVERAGE('Shuttle Bids'!$AV845:$AW875)</f>
        <v>254.54545454545453</v>
      </c>
      <c r="J205" s="66">
        <f>STDEV('Shuttle Bids'!$AV845:$AW875)</f>
        <v>467.69441867962172</v>
      </c>
      <c r="M205" s="1">
        <v>2010</v>
      </c>
      <c r="N205" s="1">
        <f>G158</f>
        <v>384</v>
      </c>
      <c r="O205" s="1">
        <f>H158</f>
        <v>-250</v>
      </c>
      <c r="P205" s="62">
        <f>I158</f>
        <v>0.73684210526315785</v>
      </c>
      <c r="Q205" s="62">
        <f>J158</f>
        <v>155.30358874914182</v>
      </c>
      <c r="S205" s="1">
        <f>G159</f>
        <v>550</v>
      </c>
      <c r="T205" s="1">
        <f>H159</f>
        <v>-175</v>
      </c>
      <c r="U205" s="62">
        <f>I159</f>
        <v>106</v>
      </c>
      <c r="V205" s="62">
        <f>J159</f>
        <v>224.05058952537183</v>
      </c>
      <c r="X205" s="1">
        <f>G160</f>
        <v>363</v>
      </c>
      <c r="Y205" s="1">
        <f>H160</f>
        <v>-350</v>
      </c>
      <c r="Z205" s="62">
        <f>I160</f>
        <v>60.555555555555557</v>
      </c>
      <c r="AA205" s="62">
        <f>J160</f>
        <v>209.60417099077975</v>
      </c>
      <c r="AC205" s="1">
        <f>G161</f>
        <v>-100</v>
      </c>
      <c r="AD205" s="1">
        <f>H161</f>
        <v>-334</v>
      </c>
      <c r="AE205" s="62">
        <f>I161</f>
        <v>-192.4</v>
      </c>
      <c r="AF205" s="62">
        <f>J161</f>
        <v>68.043893396626174</v>
      </c>
      <c r="AH205" s="1">
        <f>G162</f>
        <v>-100</v>
      </c>
      <c r="AI205" s="1">
        <f>H162</f>
        <v>-350</v>
      </c>
      <c r="AJ205" s="62">
        <f>I162</f>
        <v>-257.09523809523807</v>
      </c>
      <c r="AK205" s="62">
        <f>J162</f>
        <v>69.36923292202728</v>
      </c>
      <c r="AM205" s="1">
        <f>G163</f>
        <v>-133</v>
      </c>
      <c r="AN205" s="1">
        <f>H163</f>
        <v>-450</v>
      </c>
      <c r="AO205" s="62">
        <f>I163</f>
        <v>-200.15217391304347</v>
      </c>
      <c r="AP205" s="62">
        <f>J163</f>
        <v>66.330809798331373</v>
      </c>
      <c r="AR205" s="62">
        <f>G164</f>
        <v>125</v>
      </c>
      <c r="AS205" s="62">
        <f>H164</f>
        <v>-475</v>
      </c>
      <c r="AT205" s="62">
        <f>I164</f>
        <v>-231.76923076923077</v>
      </c>
      <c r="AU205" s="62">
        <f>J164</f>
        <v>150.22158846525903</v>
      </c>
      <c r="AW205" s="62">
        <f>G165</f>
        <v>1142</v>
      </c>
      <c r="AX205" s="62">
        <f>H165</f>
        <v>-300</v>
      </c>
      <c r="AY205" s="62">
        <f>I165</f>
        <v>200.6</v>
      </c>
      <c r="AZ205" s="62">
        <f>J165</f>
        <v>451.01849819523562</v>
      </c>
      <c r="BB205" s="62">
        <f>G166</f>
        <v>1400</v>
      </c>
      <c r="BC205" s="62">
        <f>H166</f>
        <v>-200</v>
      </c>
      <c r="BD205" s="62">
        <f>I166</f>
        <v>286.84615384615387</v>
      </c>
      <c r="BE205" s="62">
        <f>J166</f>
        <v>459.67133409058192</v>
      </c>
      <c r="BG205" s="62">
        <f>G167</f>
        <v>1900</v>
      </c>
      <c r="BH205" s="62">
        <f>H167</f>
        <v>-350</v>
      </c>
      <c r="BI205" s="62">
        <f>I167</f>
        <v>718.91666666666663</v>
      </c>
      <c r="BJ205" s="62">
        <f>J167</f>
        <v>517.99478901749137</v>
      </c>
      <c r="BL205" s="62">
        <f>G168</f>
        <v>1100</v>
      </c>
      <c r="BM205" s="62">
        <f>H168</f>
        <v>-525</v>
      </c>
      <c r="BN205" s="62">
        <f>I168</f>
        <v>272.38888888888891</v>
      </c>
      <c r="BO205" s="62">
        <f>J168</f>
        <v>420.82200361929597</v>
      </c>
      <c r="BQ205" s="62">
        <f>G169</f>
        <v>600</v>
      </c>
      <c r="BR205" s="62">
        <f>H169</f>
        <v>-509</v>
      </c>
      <c r="BS205" s="62">
        <f>I169</f>
        <v>-41.470588235294116</v>
      </c>
      <c r="BT205" s="62">
        <f>J169</f>
        <v>327.0806809275154</v>
      </c>
    </row>
    <row r="206" spans="1:72" x14ac:dyDescent="0.25">
      <c r="A206" s="110"/>
      <c r="B206" s="110"/>
      <c r="C206" s="110"/>
      <c r="D206" s="110"/>
      <c r="E206" s="110"/>
      <c r="F206" s="109"/>
      <c r="G206" s="109"/>
      <c r="M206" s="1">
        <v>2011</v>
      </c>
      <c r="N206" s="1">
        <f>G170</f>
        <v>104</v>
      </c>
      <c r="O206" s="1">
        <f>H170</f>
        <v>-600</v>
      </c>
      <c r="P206" s="62">
        <f>I170</f>
        <v>-210.58823529411765</v>
      </c>
      <c r="Q206" s="62">
        <f>J170</f>
        <v>180.82555779795393</v>
      </c>
      <c r="S206" s="1">
        <f>G171</f>
        <v>433</v>
      </c>
      <c r="T206" s="1">
        <f>H171</f>
        <v>-425</v>
      </c>
      <c r="U206" s="62">
        <f>I171</f>
        <v>-163.04761904761904</v>
      </c>
      <c r="V206" s="62">
        <f>J171</f>
        <v>206.91724823959848</v>
      </c>
      <c r="X206" s="1">
        <f>G172</f>
        <v>475</v>
      </c>
      <c r="Y206" s="1">
        <f>H172</f>
        <v>-488</v>
      </c>
      <c r="Z206" s="62">
        <f>I172</f>
        <v>-175.85185185185185</v>
      </c>
      <c r="AA206" s="62">
        <f>J172</f>
        <v>270.26592370417239</v>
      </c>
      <c r="AC206" s="1">
        <f>G173</f>
        <v>88</v>
      </c>
      <c r="AD206" s="1">
        <f>H173</f>
        <v>-800</v>
      </c>
      <c r="AE206" s="62">
        <f>I173</f>
        <v>-330.25</v>
      </c>
      <c r="AF206" s="62">
        <f>J173</f>
        <v>214.25338540591312</v>
      </c>
      <c r="AH206" s="1">
        <f>G174</f>
        <v>38</v>
      </c>
      <c r="AI206" s="1">
        <f>H174</f>
        <v>-900</v>
      </c>
      <c r="AJ206" s="62">
        <f>I174</f>
        <v>-484.48148148148147</v>
      </c>
      <c r="AK206" s="62">
        <f>J174</f>
        <v>194.53403308544762</v>
      </c>
      <c r="AM206" s="1">
        <f>G175</f>
        <v>0</v>
      </c>
      <c r="AN206" s="1">
        <f>H175</f>
        <v>-500</v>
      </c>
      <c r="AO206" s="62">
        <f>I175</f>
        <v>-315.95833333333331</v>
      </c>
      <c r="AP206" s="62">
        <f>J175</f>
        <v>107.65786352937788</v>
      </c>
      <c r="AR206" s="62">
        <f>G176</f>
        <v>0</v>
      </c>
      <c r="AS206" s="62">
        <f>H176</f>
        <v>-450</v>
      </c>
      <c r="AT206" s="62">
        <f>I176</f>
        <v>-323.63333333333333</v>
      </c>
      <c r="AU206" s="62">
        <f>J176</f>
        <v>96.832768510826284</v>
      </c>
      <c r="AW206" s="62">
        <f>G177</f>
        <v>-200</v>
      </c>
      <c r="AX206" s="62">
        <f>H177</f>
        <v>-725</v>
      </c>
      <c r="AY206" s="62">
        <f>I177</f>
        <v>-376</v>
      </c>
      <c r="AZ206" s="62">
        <f>J177</f>
        <v>155.29444174330141</v>
      </c>
      <c r="BB206" s="62">
        <f>G178</f>
        <v>300</v>
      </c>
      <c r="BC206" s="62">
        <f>H178</f>
        <v>-700</v>
      </c>
      <c r="BD206" s="62">
        <f>I178</f>
        <v>-306</v>
      </c>
      <c r="BE206" s="62">
        <f>J178</f>
        <v>169.08699020448103</v>
      </c>
      <c r="BG206" s="62">
        <f>G179</f>
        <v>850</v>
      </c>
      <c r="BH206" s="62">
        <f>H179</f>
        <v>-600</v>
      </c>
      <c r="BI206" s="62">
        <f>I179</f>
        <v>424.15384615384613</v>
      </c>
      <c r="BJ206" s="62">
        <f>J179</f>
        <v>313.68174774187412</v>
      </c>
      <c r="BL206" s="62">
        <f>G180</f>
        <v>450</v>
      </c>
      <c r="BM206" s="62">
        <f>H180</f>
        <v>-450</v>
      </c>
      <c r="BN206" s="62">
        <f>I180</f>
        <v>16.862068965517242</v>
      </c>
      <c r="BO206" s="62">
        <f>J180</f>
        <v>299.49525683555504</v>
      </c>
      <c r="BQ206" s="62">
        <f>G181</f>
        <v>75</v>
      </c>
      <c r="BR206" s="62">
        <f>H181</f>
        <v>-475</v>
      </c>
      <c r="BS206" s="62">
        <f>I181</f>
        <v>-187.63636363636363</v>
      </c>
      <c r="BT206" s="62">
        <f>J181</f>
        <v>147.18118472265277</v>
      </c>
    </row>
    <row r="207" spans="1:72" x14ac:dyDescent="0.25">
      <c r="A207" s="110"/>
      <c r="B207" s="110"/>
      <c r="C207" s="110"/>
      <c r="D207" s="110"/>
      <c r="E207" s="110"/>
      <c r="F207" s="109"/>
      <c r="G207" s="109"/>
      <c r="M207" s="1">
        <v>2012</v>
      </c>
      <c r="N207" s="62">
        <f>G182</f>
        <v>-25</v>
      </c>
      <c r="O207" s="1">
        <f>H182</f>
        <v>-425</v>
      </c>
      <c r="P207" s="62">
        <f>I182</f>
        <v>-211.8</v>
      </c>
      <c r="Q207" s="62">
        <f>J182</f>
        <v>141.19702546441977</v>
      </c>
      <c r="S207" s="62">
        <f>G183</f>
        <v>-125</v>
      </c>
      <c r="T207" s="62">
        <f>H183</f>
        <v>-325</v>
      </c>
      <c r="U207" s="62">
        <f>I183</f>
        <v>-205.06666666666666</v>
      </c>
      <c r="V207" s="62">
        <f>J183</f>
        <v>64.291153209072107</v>
      </c>
      <c r="X207" s="1">
        <f>G184</f>
        <v>-38</v>
      </c>
      <c r="Y207" s="1">
        <f>H184</f>
        <v>-300</v>
      </c>
      <c r="Z207" s="62">
        <f>I184</f>
        <v>-207.52631578947367</v>
      </c>
      <c r="AA207" s="62">
        <f>J184</f>
        <v>62.49477171114453</v>
      </c>
      <c r="AC207" s="1">
        <f>G185</f>
        <v>-150</v>
      </c>
      <c r="AD207" s="1">
        <f>H185</f>
        <v>-475</v>
      </c>
      <c r="AE207" s="62">
        <f>I185</f>
        <v>-281</v>
      </c>
      <c r="AF207" s="62">
        <f>J185</f>
        <v>87.143559716137375</v>
      </c>
      <c r="AH207" s="1">
        <f>G186</f>
        <v>-238</v>
      </c>
      <c r="AI207" s="1">
        <f>H186</f>
        <v>-375</v>
      </c>
      <c r="AJ207" s="62">
        <f>I186</f>
        <v>-306.6875</v>
      </c>
      <c r="AK207" s="62">
        <f>J186</f>
        <v>49.792527886554758</v>
      </c>
      <c r="AM207" s="1">
        <f>G187</f>
        <v>-108</v>
      </c>
      <c r="AN207" s="1">
        <f>H187</f>
        <v>-625</v>
      </c>
      <c r="AO207" s="62">
        <f>I187</f>
        <v>-336.58823529411762</v>
      </c>
      <c r="AP207" s="62">
        <f>J187</f>
        <v>148.22198673928634</v>
      </c>
      <c r="AR207" s="62">
        <f>G188</f>
        <v>-113</v>
      </c>
      <c r="AS207" s="62">
        <f>H188</f>
        <v>-600</v>
      </c>
      <c r="AT207" s="62">
        <f>I188</f>
        <v>-324.44444444444446</v>
      </c>
      <c r="AU207" s="62">
        <f>J188</f>
        <v>92.76286281669357</v>
      </c>
      <c r="AW207" s="62">
        <f>G189</f>
        <v>-125</v>
      </c>
      <c r="AX207" s="62">
        <f>H189</f>
        <v>-525</v>
      </c>
      <c r="AY207" s="62">
        <f>I189</f>
        <v>-360</v>
      </c>
      <c r="AZ207" s="62">
        <f>J189</f>
        <v>93.251273449749732</v>
      </c>
      <c r="BB207" s="62">
        <f>G190</f>
        <v>500</v>
      </c>
      <c r="BC207" s="62">
        <f>H190</f>
        <v>-550</v>
      </c>
      <c r="BD207" s="62">
        <f>I190</f>
        <v>-243.16279069767441</v>
      </c>
      <c r="BE207" s="62">
        <f>J190</f>
        <v>151.46851475952073</v>
      </c>
      <c r="BG207" s="62">
        <f>G191</f>
        <v>700</v>
      </c>
      <c r="BH207" s="62">
        <f>H191</f>
        <v>-150</v>
      </c>
      <c r="BI207" s="62">
        <f>I191</f>
        <v>312.3488372093023</v>
      </c>
      <c r="BJ207" s="62">
        <f>J191</f>
        <v>177.24665135139335</v>
      </c>
      <c r="BL207" s="62">
        <f>G192</f>
        <v>600</v>
      </c>
      <c r="BM207" s="62">
        <f>H192</f>
        <v>-325</v>
      </c>
      <c r="BN207" s="62">
        <f>I192</f>
        <v>67.181818181818187</v>
      </c>
      <c r="BO207" s="62">
        <f>J192</f>
        <v>326.89384273122124</v>
      </c>
      <c r="BQ207" s="62">
        <f>G193</f>
        <v>75</v>
      </c>
      <c r="BR207" s="62">
        <f>H193</f>
        <v>-363</v>
      </c>
      <c r="BS207" s="62">
        <f>I193</f>
        <v>-147.86206896551724</v>
      </c>
      <c r="BT207" s="62">
        <f>J193</f>
        <v>106.76333109731577</v>
      </c>
    </row>
    <row r="208" spans="1:72" x14ac:dyDescent="0.25">
      <c r="A208" s="110"/>
      <c r="B208" s="110"/>
      <c r="C208" s="110"/>
      <c r="D208" s="110"/>
      <c r="E208" s="110"/>
      <c r="F208" s="109"/>
      <c r="G208" s="109"/>
      <c r="M208" s="1">
        <v>2013</v>
      </c>
      <c r="N208" s="62">
        <f>G194</f>
        <v>81</v>
      </c>
      <c r="O208" s="62">
        <f>H194</f>
        <v>-200</v>
      </c>
      <c r="P208" s="62">
        <f>I194</f>
        <v>-31.714285714285715</v>
      </c>
      <c r="Q208" s="62">
        <f>J194</f>
        <v>95.055796223083604</v>
      </c>
      <c r="S208" s="62">
        <f>G195</f>
        <v>242</v>
      </c>
      <c r="T208" s="62">
        <f>H195</f>
        <v>-138</v>
      </c>
      <c r="U208" s="62">
        <f>I195</f>
        <v>-13.882352941176471</v>
      </c>
      <c r="V208" s="62">
        <f>J195</f>
        <v>93.914776761261834</v>
      </c>
      <c r="X208" s="62">
        <f>G196</f>
        <v>125</v>
      </c>
      <c r="Y208" s="62">
        <f>H196</f>
        <v>-175</v>
      </c>
      <c r="Z208" s="62">
        <f>I196</f>
        <v>-44.125</v>
      </c>
      <c r="AA208" s="62">
        <f>J196</f>
        <v>64.631606549871492</v>
      </c>
      <c r="AC208" s="1">
        <f>G197</f>
        <v>-38</v>
      </c>
      <c r="AD208" s="1">
        <f>H197</f>
        <v>-225</v>
      </c>
      <c r="AE208" s="62">
        <f>I197</f>
        <v>-157.5</v>
      </c>
      <c r="AF208" s="62">
        <f>J197</f>
        <v>52.20089398979038</v>
      </c>
      <c r="AH208" s="1">
        <f>G198</f>
        <v>-67</v>
      </c>
      <c r="AI208" s="1">
        <f>H198</f>
        <v>-225</v>
      </c>
      <c r="AJ208" s="62">
        <f>I198</f>
        <v>-154.70588235294119</v>
      </c>
      <c r="AK208" s="62">
        <f>J198</f>
        <v>52.126966037122223</v>
      </c>
      <c r="AM208" s="1">
        <f>G199</f>
        <v>100</v>
      </c>
      <c r="AN208" s="1">
        <f>H199</f>
        <v>-225</v>
      </c>
      <c r="AO208" s="62">
        <f>I199</f>
        <v>-108.22727272727273</v>
      </c>
      <c r="AP208" s="62">
        <f>J199</f>
        <v>89.711140582364379</v>
      </c>
      <c r="AR208" s="62">
        <f>G200</f>
        <v>42</v>
      </c>
      <c r="AS208" s="62">
        <f>H200</f>
        <v>-250</v>
      </c>
      <c r="AT208" s="62">
        <f>I200</f>
        <v>-119.3</v>
      </c>
      <c r="AU208" s="62">
        <f>J200</f>
        <v>61.838584446248362</v>
      </c>
      <c r="AW208" s="62">
        <f>G201</f>
        <v>0</v>
      </c>
      <c r="AX208" s="62">
        <f>H201</f>
        <v>-213</v>
      </c>
      <c r="AY208" s="62">
        <f>I201</f>
        <v>-118.44736842105263</v>
      </c>
      <c r="AZ208" s="62">
        <f>J201</f>
        <v>54.109846917434226</v>
      </c>
      <c r="BB208" s="62">
        <f>G202</f>
        <v>433</v>
      </c>
      <c r="BC208" s="62">
        <f>H202</f>
        <v>-225</v>
      </c>
      <c r="BD208" s="62">
        <f>I202</f>
        <v>-43.166666666666664</v>
      </c>
      <c r="BE208" s="62">
        <f>J202</f>
        <v>145.01604901370303</v>
      </c>
      <c r="BG208" s="62">
        <f>G203</f>
        <v>1450</v>
      </c>
      <c r="BH208" s="62">
        <f>H203</f>
        <v>250</v>
      </c>
      <c r="BI208" s="62">
        <f>I203</f>
        <v>623.77777777777783</v>
      </c>
      <c r="BJ208" s="62">
        <f>J203</f>
        <v>331.87397206369366</v>
      </c>
      <c r="BL208" s="62">
        <f>G204</f>
        <v>2517</v>
      </c>
      <c r="BM208" s="62">
        <f>H204</f>
        <v>250</v>
      </c>
      <c r="BN208" s="62">
        <f>I204</f>
        <v>717.1</v>
      </c>
      <c r="BO208" s="62">
        <f>J204</f>
        <v>614.03607814456473</v>
      </c>
      <c r="BQ208" s="62">
        <f>G205</f>
        <v>1500</v>
      </c>
      <c r="BR208" s="62">
        <f>H205</f>
        <v>-200</v>
      </c>
      <c r="BS208" s="62">
        <f>I205</f>
        <v>254.54545454545453</v>
      </c>
      <c r="BT208" s="62">
        <f>J205</f>
        <v>467.69441867962172</v>
      </c>
    </row>
    <row r="209" spans="1:7" x14ac:dyDescent="0.25">
      <c r="A209" s="110"/>
      <c r="B209" s="110"/>
      <c r="C209" s="110"/>
      <c r="D209" s="110"/>
      <c r="E209" s="110"/>
      <c r="F209" s="109"/>
      <c r="G209" s="109"/>
    </row>
    <row r="210" spans="1:7" x14ac:dyDescent="0.25">
      <c r="A210" s="110"/>
      <c r="B210" s="110"/>
      <c r="C210" s="110"/>
      <c r="D210" s="110"/>
      <c r="E210" s="110"/>
      <c r="F210" s="109"/>
      <c r="G210" s="109"/>
    </row>
    <row r="211" spans="1:7" x14ac:dyDescent="0.25">
      <c r="A211" s="110"/>
      <c r="B211" s="110"/>
      <c r="C211" s="110"/>
      <c r="D211" s="110"/>
      <c r="E211" s="110"/>
      <c r="F211" s="109"/>
      <c r="G211" s="109"/>
    </row>
    <row r="212" spans="1:7" x14ac:dyDescent="0.25">
      <c r="A212" s="111"/>
      <c r="B212" s="111"/>
      <c r="C212" s="111"/>
      <c r="D212" s="111"/>
      <c r="E212" s="111"/>
      <c r="F212" s="56"/>
      <c r="G212" s="56"/>
    </row>
    <row r="213" spans="1:7" x14ac:dyDescent="0.25">
      <c r="A213" s="111"/>
      <c r="B213" s="111"/>
      <c r="C213" s="111"/>
      <c r="D213" s="111"/>
      <c r="E213" s="111"/>
      <c r="F213" s="56"/>
      <c r="G213" s="56"/>
    </row>
    <row r="214" spans="1:7" x14ac:dyDescent="0.25">
      <c r="A214" s="111"/>
      <c r="B214" s="111"/>
      <c r="C214" s="111"/>
      <c r="D214" s="111"/>
      <c r="E214" s="111"/>
      <c r="F214" s="56"/>
      <c r="G214" s="56"/>
    </row>
    <row r="215" spans="1:7" x14ac:dyDescent="0.25">
      <c r="A215" s="111"/>
      <c r="B215" s="111"/>
      <c r="C215" s="111"/>
      <c r="D215" s="111"/>
      <c r="E215" s="111"/>
      <c r="F215" s="56"/>
      <c r="G215" s="56"/>
    </row>
    <row r="216" spans="1:7" x14ac:dyDescent="0.25">
      <c r="A216" s="95"/>
      <c r="B216" s="95"/>
      <c r="C216" s="95"/>
      <c r="D216" s="95"/>
      <c r="E216" s="95"/>
    </row>
    <row r="217" spans="1:7" x14ac:dyDescent="0.25">
      <c r="A217" s="95"/>
      <c r="B217" s="95"/>
      <c r="C217" s="95"/>
      <c r="D217" s="95"/>
      <c r="E217" s="95"/>
    </row>
    <row r="218" spans="1:7" x14ac:dyDescent="0.25">
      <c r="A218" s="95"/>
      <c r="B218" s="95"/>
      <c r="C218" s="95"/>
      <c r="D218" s="95"/>
      <c r="E218" s="95"/>
    </row>
    <row r="219" spans="1:7" x14ac:dyDescent="0.25">
      <c r="A219" s="95"/>
      <c r="B219" s="95"/>
      <c r="C219" s="95"/>
      <c r="D219" s="95"/>
      <c r="E219" s="95"/>
    </row>
    <row r="220" spans="1:7" x14ac:dyDescent="0.25">
      <c r="A220" s="95"/>
      <c r="B220" s="95"/>
      <c r="C220" s="95"/>
      <c r="D220" s="95"/>
      <c r="E220" s="95"/>
    </row>
    <row r="221" spans="1:7" x14ac:dyDescent="0.25">
      <c r="A221" s="95"/>
      <c r="B221" s="95"/>
      <c r="C221" s="95"/>
      <c r="D221" s="95"/>
      <c r="E221" s="95"/>
    </row>
  </sheetData>
  <mergeCells count="26">
    <mergeCell ref="A2:E2"/>
    <mergeCell ref="G2:J2"/>
    <mergeCell ref="X199:Z199"/>
    <mergeCell ref="AC199:AE199"/>
    <mergeCell ref="X177:Z177"/>
    <mergeCell ref="AC177:AE177"/>
    <mergeCell ref="N199:P199"/>
    <mergeCell ref="S199:U199"/>
    <mergeCell ref="N177:P177"/>
    <mergeCell ref="S177:U177"/>
    <mergeCell ref="AW199:AY199"/>
    <mergeCell ref="AH199:AJ199"/>
    <mergeCell ref="AM199:AO199"/>
    <mergeCell ref="BL199:BN199"/>
    <mergeCell ref="BQ177:BS177"/>
    <mergeCell ref="AR177:AT177"/>
    <mergeCell ref="AW177:AY177"/>
    <mergeCell ref="BB177:BD177"/>
    <mergeCell ref="BG177:BI177"/>
    <mergeCell ref="BL177:BN177"/>
    <mergeCell ref="BQ199:BS199"/>
    <mergeCell ref="BB199:BD199"/>
    <mergeCell ref="BG199:BI199"/>
    <mergeCell ref="AH177:AJ177"/>
    <mergeCell ref="AM177:AO177"/>
    <mergeCell ref="AR199:AT199"/>
  </mergeCells>
  <phoneticPr fontId="5" type="noConversion"/>
  <pageMargins left="0.5" right="0.5" top="0.5" bottom="0.5" header="0" footer="0"/>
  <pageSetup orientation="landscape" r:id="rId1"/>
  <headerFooter alignWithMargins="0"/>
  <ignoredErrors>
    <ignoredError sqref="D134 D136 I135" evalError="1"/>
    <ignoredError sqref="H146:H15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72D072"/>
    <pageSetUpPr fitToPage="1"/>
  </sheetPr>
  <dimension ref="A1:AW24"/>
  <sheetViews>
    <sheetView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W3" sqref="W3:Y8"/>
    </sheetView>
  </sheetViews>
  <sheetFormatPr defaultRowHeight="15.6" x14ac:dyDescent="0.3"/>
  <cols>
    <col min="2" max="2" width="20.81640625" customWidth="1"/>
    <col min="27" max="29" width="8.81640625" style="8"/>
  </cols>
  <sheetData>
    <row r="1" spans="1:49" x14ac:dyDescent="0.3">
      <c r="C1" s="8" t="s">
        <v>122</v>
      </c>
      <c r="G1" s="8" t="s">
        <v>123</v>
      </c>
      <c r="K1" s="8" t="s">
        <v>207</v>
      </c>
      <c r="O1" s="8" t="s">
        <v>208</v>
      </c>
      <c r="S1" s="8" t="s">
        <v>126</v>
      </c>
      <c r="W1" s="8" t="s">
        <v>209</v>
      </c>
      <c r="AA1" s="8" t="s">
        <v>210</v>
      </c>
      <c r="AE1" s="8" t="s">
        <v>211</v>
      </c>
      <c r="AI1" s="8" t="s">
        <v>130</v>
      </c>
      <c r="AM1" s="8" t="s">
        <v>131</v>
      </c>
      <c r="AQ1" s="8" t="s">
        <v>132</v>
      </c>
      <c r="AR1" s="8"/>
      <c r="AU1" s="8" t="s">
        <v>133</v>
      </c>
    </row>
    <row r="2" spans="1:49" x14ac:dyDescent="0.3">
      <c r="A2" s="8" t="s">
        <v>205</v>
      </c>
      <c r="C2" s="8" t="s">
        <v>212</v>
      </c>
      <c r="D2" s="8" t="s">
        <v>213</v>
      </c>
      <c r="E2" s="8" t="s">
        <v>143</v>
      </c>
      <c r="G2" s="8" t="s">
        <v>212</v>
      </c>
      <c r="H2" s="8" t="s">
        <v>213</v>
      </c>
      <c r="I2" s="8" t="s">
        <v>143</v>
      </c>
      <c r="K2" s="8" t="s">
        <v>212</v>
      </c>
      <c r="L2" s="8" t="s">
        <v>213</v>
      </c>
      <c r="M2" s="8" t="s">
        <v>143</v>
      </c>
      <c r="O2" s="8" t="s">
        <v>212</v>
      </c>
      <c r="P2" s="8" t="s">
        <v>213</v>
      </c>
      <c r="Q2" s="8" t="s">
        <v>143</v>
      </c>
      <c r="S2" s="8" t="s">
        <v>212</v>
      </c>
      <c r="T2" s="8" t="s">
        <v>213</v>
      </c>
      <c r="U2" s="8" t="s">
        <v>143</v>
      </c>
      <c r="W2" s="8" t="s">
        <v>212</v>
      </c>
      <c r="X2" s="8" t="s">
        <v>213</v>
      </c>
      <c r="Y2" s="8" t="s">
        <v>143</v>
      </c>
      <c r="AA2" s="8" t="s">
        <v>212</v>
      </c>
      <c r="AB2" s="8" t="s">
        <v>213</v>
      </c>
      <c r="AC2" s="8" t="s">
        <v>143</v>
      </c>
      <c r="AE2" s="8" t="s">
        <v>212</v>
      </c>
      <c r="AF2" s="8" t="s">
        <v>213</v>
      </c>
      <c r="AG2" s="8" t="s">
        <v>143</v>
      </c>
      <c r="AI2" s="8" t="s">
        <v>212</v>
      </c>
      <c r="AJ2" s="8" t="s">
        <v>213</v>
      </c>
      <c r="AK2" s="8" t="s">
        <v>143</v>
      </c>
      <c r="AM2" s="8" t="s">
        <v>212</v>
      </c>
      <c r="AN2" s="8" t="s">
        <v>213</v>
      </c>
      <c r="AO2" s="8" t="s">
        <v>143</v>
      </c>
      <c r="AQ2" s="8" t="s">
        <v>212</v>
      </c>
      <c r="AR2" s="8" t="s">
        <v>213</v>
      </c>
      <c r="AS2" s="8" t="s">
        <v>143</v>
      </c>
      <c r="AU2" s="8" t="s">
        <v>212</v>
      </c>
      <c r="AV2" s="8" t="s">
        <v>213</v>
      </c>
      <c r="AW2" s="8" t="s">
        <v>143</v>
      </c>
    </row>
    <row r="3" spans="1:49" ht="15" x14ac:dyDescent="0.25">
      <c r="A3" s="12" t="s">
        <v>206</v>
      </c>
      <c r="C3" s="119">
        <f>IF('Non-shuttle Bids'!D873="", "n/a", 'Non-shuttle Bids'!D873)</f>
        <v>350</v>
      </c>
      <c r="D3" s="119" t="str">
        <f>IF('Non-shuttle Bids'!E873="", "n/a", 'Non-shuttle Bids'!E873)</f>
        <v>n/a</v>
      </c>
      <c r="E3" s="119">
        <f>IF('Non-shuttle Bids'!F873="", "n/a", 'Non-shuttle Bids'!F873)</f>
        <v>350</v>
      </c>
      <c r="F3" s="12"/>
      <c r="G3" s="119" t="str">
        <f>IF('Non-shuttle Bids'!H873="", "n/a", 'Non-shuttle Bids'!H873)</f>
        <v>n/a</v>
      </c>
      <c r="H3" s="119" t="str">
        <f>IF('Non-shuttle Bids'!I873="", "n/a", 'Non-shuttle Bids'!I873)</f>
        <v>n/a</v>
      </c>
      <c r="I3" s="119" t="str">
        <f>IF('Non-shuttle Bids'!J873="", "n/a", 'Non-shuttle Bids'!J873)</f>
        <v>n/a</v>
      </c>
      <c r="J3" s="12"/>
      <c r="K3" s="119" t="str">
        <f>IF('Non-shuttle Bids'!L873="", "n/a", 'Non-shuttle Bids'!L873)</f>
        <v>n/a</v>
      </c>
      <c r="L3" s="119" t="str">
        <f>IF('Non-shuttle Bids'!M873="", "n/a", 'Non-shuttle Bids'!M873)</f>
        <v>n/a</v>
      </c>
      <c r="M3" s="119" t="str">
        <f>IF('Non-shuttle Bids'!N873="", "n/a", 'Non-shuttle Bids'!N873)</f>
        <v>n/a</v>
      </c>
      <c r="N3" s="12"/>
      <c r="O3" s="119" t="str">
        <f>IF('Non-shuttle Bids'!P873="", "n/a", 'Non-shuttle Bids'!P873)</f>
        <v>n/a</v>
      </c>
      <c r="P3" s="119" t="str">
        <f>IF('Non-shuttle Bids'!Q873="", "n/a", 'Non-shuttle Bids'!Q873)</f>
        <v>n/a</v>
      </c>
      <c r="Q3" s="119" t="str">
        <f>IF('Non-shuttle Bids'!R873="", "n/a", 'Non-shuttle Bids'!R873)</f>
        <v>n/a</v>
      </c>
      <c r="R3" s="12"/>
      <c r="S3" s="119" t="str">
        <f>IF('Non-shuttle Bids'!T873="", "n/a", 'Non-shuttle Bids'!T873)</f>
        <v>n/a</v>
      </c>
      <c r="T3" s="119" t="str">
        <f>IF('Non-shuttle Bids'!U873="", "n/a", 'Non-shuttle Bids'!U873)</f>
        <v>n/a</v>
      </c>
      <c r="U3" s="119" t="str">
        <f>IF('Non-shuttle Bids'!V873="", "n/a", 'Non-shuttle Bids'!V873)</f>
        <v>n/a</v>
      </c>
      <c r="V3" s="12"/>
      <c r="W3" s="119" t="str">
        <f>IF('Non-shuttle Bids'!X873="", "n/a", 'Non-shuttle Bids'!X873)</f>
        <v>n/a</v>
      </c>
      <c r="X3" s="119" t="str">
        <f>IF('Non-shuttle Bids'!Y873="", "n/a", 'Non-shuttle Bids'!Y873)</f>
        <v>n/a</v>
      </c>
      <c r="Y3" s="119" t="str">
        <f>IF('Non-shuttle Bids'!Z873="", "n/a", 'Non-shuttle Bids'!Z873)</f>
        <v>n/a</v>
      </c>
      <c r="Z3" s="12"/>
      <c r="AA3" s="119" t="str">
        <f>IF('Non-shuttle Bids'!AB872="", "n/a", 'Non-shuttle Bids'!AB872)</f>
        <v>n/a</v>
      </c>
      <c r="AB3" s="119" t="str">
        <f>IF('Non-shuttle Bids'!AC872="", "n/a", 'Non-shuttle Bids'!AC872)</f>
        <v>n/a</v>
      </c>
      <c r="AC3" s="119" t="str">
        <f>IF('Non-shuttle Bids'!AD872="", "n/a", 'Non-shuttle Bids'!AD872)</f>
        <v>n/a</v>
      </c>
      <c r="AD3" s="12"/>
      <c r="AE3" s="119" t="str">
        <f>IF('Non-shuttle Bids'!AF872="", "n/a", 'Non-shuttle Bids'!AF872)</f>
        <v>n/a</v>
      </c>
      <c r="AF3" s="119" t="str">
        <f>IF('Non-shuttle Bids'!AG872="", "n/a", 'Non-shuttle Bids'!AG872)</f>
        <v>n/a</v>
      </c>
      <c r="AG3" s="119" t="str">
        <f>IF('Non-shuttle Bids'!AH872="", "n/a", 'Non-shuttle Bids'!AH872)</f>
        <v>n/a</v>
      </c>
      <c r="AH3" s="12"/>
      <c r="AI3" s="119" t="str">
        <f>IF('Non-shuttle Bids'!AJ872="", "n/a", 'Non-shuttle Bids'!AJ872)</f>
        <v>n/a</v>
      </c>
      <c r="AJ3" s="119" t="str">
        <f>IF('Non-shuttle Bids'!AK872="", "n/a", 'Non-shuttle Bids'!AK872)</f>
        <v>n/a</v>
      </c>
      <c r="AK3" s="119" t="str">
        <f>IF('Non-shuttle Bids'!AL872="", "n/a", 'Non-shuttle Bids'!AL872)</f>
        <v>n/a</v>
      </c>
      <c r="AL3" s="12"/>
      <c r="AM3" s="119" t="str">
        <f>IF('Non-shuttle Bids'!AN872="", "n/a", 'Non-shuttle Bids'!AN872)</f>
        <v>n/a</v>
      </c>
      <c r="AN3" s="119" t="str">
        <f>IF('Non-shuttle Bids'!AO872="", "n/a", 'Non-shuttle Bids'!AO872)</f>
        <v>n/a</v>
      </c>
      <c r="AO3" s="119" t="str">
        <f>IF('Non-shuttle Bids'!AP872="", "n/a", 'Non-shuttle Bids'!AP872)</f>
        <v>n/a</v>
      </c>
      <c r="AP3" s="12"/>
      <c r="AQ3" s="119" t="str">
        <f>IF('Non-shuttle Bids'!AR872="", "n/a", 'Non-shuttle Bids'!AR872)</f>
        <v>n/a</v>
      </c>
      <c r="AR3" s="119" t="str">
        <f>IF('Non-shuttle Bids'!AS872="", "n/a", 'Non-shuttle Bids'!AS872)</f>
        <v>n/a</v>
      </c>
      <c r="AS3" s="119" t="str">
        <f>IF('Non-shuttle Bids'!AT872="", "n/a", 'Non-shuttle Bids'!AT872)</f>
        <v>n/a</v>
      </c>
      <c r="AT3" s="12"/>
      <c r="AU3" s="119">
        <f>IF('Non-shuttle Bids'!AV873="", "n/a", 'Non-shuttle Bids'!AV873)</f>
        <v>300</v>
      </c>
      <c r="AV3" s="119">
        <f>IF('Non-shuttle Bids'!AW873="", "n/a", 'Non-shuttle Bids'!AW873)</f>
        <v>50</v>
      </c>
      <c r="AW3" s="119">
        <f>IF('Non-shuttle Bids'!AX873="", "n/a", 'Non-shuttle Bids'!AX873)</f>
        <v>175</v>
      </c>
    </row>
    <row r="4" spans="1:49" ht="15" x14ac:dyDescent="0.25">
      <c r="A4" s="12" t="s">
        <v>109</v>
      </c>
      <c r="B4" s="14"/>
      <c r="C4" s="119">
        <f>IF('Non-shuttle Bids'!D873="","n/a",IF('Non-shuttle Bids'!D872="","n/a",'Non-shuttle Bids'!D873-'Non-shuttle Bids'!D872))</f>
        <v>100</v>
      </c>
      <c r="D4" s="119" t="str">
        <f>IF('Non-shuttle Bids'!E873="","n/a",IF('Non-shuttle Bids'!E872="","n/a",'Non-shuttle Bids'!E873-'Non-shuttle Bids'!E872))</f>
        <v>n/a</v>
      </c>
      <c r="E4" s="119">
        <f>IF('Non-shuttle Bids'!F873="","n/a",IF('Non-shuttle Bids'!F872="","n/a",'Non-shuttle Bids'!F873-'Non-shuttle Bids'!F872))</f>
        <v>100</v>
      </c>
      <c r="F4" s="120"/>
      <c r="G4" s="119" t="str">
        <f>IF('Non-shuttle Bids'!H873="","n/a",IF('Non-shuttle Bids'!H872="","n/a",'Non-shuttle Bids'!H873-'Non-shuttle Bids'!H872))</f>
        <v>n/a</v>
      </c>
      <c r="H4" s="119" t="str">
        <f>IF('Non-shuttle Bids'!I873="","n/a",IF('Non-shuttle Bids'!I872="","n/a",'Non-shuttle Bids'!I873-'Non-shuttle Bids'!I872))</f>
        <v>n/a</v>
      </c>
      <c r="I4" s="119" t="str">
        <f>IF('Non-shuttle Bids'!J873="","n/a",IF('Non-shuttle Bids'!J872="","n/a",'Non-shuttle Bids'!J873-'Non-shuttle Bids'!J872))</f>
        <v>n/a</v>
      </c>
      <c r="J4" s="12"/>
      <c r="K4" s="119" t="str">
        <f>IF('Non-shuttle Bids'!L873="","n/a",IF('Non-shuttle Bids'!L872="","n/a",'Non-shuttle Bids'!L873-'Non-shuttle Bids'!L872))</f>
        <v>n/a</v>
      </c>
      <c r="L4" s="119" t="str">
        <f>IF('Non-shuttle Bids'!M873="","n/a",IF('Non-shuttle Bids'!M872="","n/a",'Non-shuttle Bids'!M873-'Non-shuttle Bids'!M872))</f>
        <v>n/a</v>
      </c>
      <c r="M4" s="119" t="str">
        <f>IF('Non-shuttle Bids'!N873="","n/a",IF('Non-shuttle Bids'!N872="","n/a",'Non-shuttle Bids'!N873-'Non-shuttle Bids'!N872))</f>
        <v>n/a</v>
      </c>
      <c r="N4" s="120"/>
      <c r="O4" s="119" t="str">
        <f>IF('Non-shuttle Bids'!P873="","n/a",IF('Non-shuttle Bids'!P872="","n/a",'Non-shuttle Bids'!P873-'Non-shuttle Bids'!P872))</f>
        <v>n/a</v>
      </c>
      <c r="P4" s="119" t="str">
        <f>IF('Non-shuttle Bids'!Q873="","n/a",IF('Non-shuttle Bids'!Q872="","n/a",'Non-shuttle Bids'!Q873-'Non-shuttle Bids'!Q872))</f>
        <v>n/a</v>
      </c>
      <c r="Q4" s="119" t="str">
        <f>IF('Non-shuttle Bids'!R873="","n/a",IF('Non-shuttle Bids'!R872="","n/a",'Non-shuttle Bids'!R873-'Non-shuttle Bids'!R872))</f>
        <v>n/a</v>
      </c>
      <c r="R4" s="120"/>
      <c r="S4" s="119" t="str">
        <f>IF('Non-shuttle Bids'!T873="","n/a",IF('Non-shuttle Bids'!T872="","n/a",'Non-shuttle Bids'!T873-'Non-shuttle Bids'!T872))</f>
        <v>n/a</v>
      </c>
      <c r="T4" s="119" t="str">
        <f>IF('Non-shuttle Bids'!U873="","n/a",IF('Non-shuttle Bids'!U872="","n/a",'Non-shuttle Bids'!U873-'Non-shuttle Bids'!U872))</f>
        <v>n/a</v>
      </c>
      <c r="U4" s="119" t="str">
        <f>IF('Non-shuttle Bids'!V873="","n/a",IF('Non-shuttle Bids'!V872="","n/a",'Non-shuttle Bids'!V873-'Non-shuttle Bids'!V872))</f>
        <v>n/a</v>
      </c>
      <c r="V4" s="12"/>
      <c r="W4" s="119" t="str">
        <f>IF('Non-shuttle Bids'!X873="","n/a",IF('Non-shuttle Bids'!X872="","n/a",'Non-shuttle Bids'!X873-'Non-shuttle Bids'!X872))</f>
        <v>n/a</v>
      </c>
      <c r="X4" s="119" t="str">
        <f>IF('Non-shuttle Bids'!Y873="","n/a",IF('Non-shuttle Bids'!Y872="","n/a",'Non-shuttle Bids'!Y873-'Non-shuttle Bids'!Y872))</f>
        <v>n/a</v>
      </c>
      <c r="Y4" s="119" t="str">
        <f>IF('Non-shuttle Bids'!Z873="","n/a",IF('Non-shuttle Bids'!Z872="","n/a",'Non-shuttle Bids'!Z873-'Non-shuttle Bids'!Z872))</f>
        <v>n/a</v>
      </c>
      <c r="Z4" s="12"/>
      <c r="AA4" s="119" t="str">
        <f>IF('Non-shuttle Bids'!AB872="","n/a",IF('Non-shuttle Bids'!AB871="","n/a",'Non-shuttle Bids'!AB872-'Non-shuttle Bids'!AB871))</f>
        <v>n/a</v>
      </c>
      <c r="AB4" s="119" t="str">
        <f>IF('Non-shuttle Bids'!AC872="","n/a",IF('Non-shuttle Bids'!AC871="","n/a",'Non-shuttle Bids'!AC872-'Non-shuttle Bids'!AC871))</f>
        <v>n/a</v>
      </c>
      <c r="AC4" s="119" t="str">
        <f>IF('Non-shuttle Bids'!AD872="","n/a",IF('Non-shuttle Bids'!AD871="","n/a",'Non-shuttle Bids'!AD872-'Non-shuttle Bids'!AD871))</f>
        <v>n/a</v>
      </c>
      <c r="AD4" s="12"/>
      <c r="AE4" s="119" t="str">
        <f>IF('Non-shuttle Bids'!AF872="","n/a",IF('Non-shuttle Bids'!AF871="","n/a",'Non-shuttle Bids'!AF872-'Non-shuttle Bids'!AF871))</f>
        <v>n/a</v>
      </c>
      <c r="AF4" s="119" t="str">
        <f>IF('Non-shuttle Bids'!AG872="","n/a",IF('Non-shuttle Bids'!AG871="","n/a",'Non-shuttle Bids'!AG872-'Non-shuttle Bids'!AG871))</f>
        <v>n/a</v>
      </c>
      <c r="AG4" s="119" t="str">
        <f>IF('Non-shuttle Bids'!AH872="","n/a",IF('Non-shuttle Bids'!AH871="","n/a",'Non-shuttle Bids'!AH872-'Non-shuttle Bids'!AH871))</f>
        <v>n/a</v>
      </c>
      <c r="AH4" s="12"/>
      <c r="AI4" s="119" t="str">
        <f>IF('Non-shuttle Bids'!AJ872="","n/a",IF('Non-shuttle Bids'!AJ871="","n/a",'Non-shuttle Bids'!AJ872-'Non-shuttle Bids'!AJ871))</f>
        <v>n/a</v>
      </c>
      <c r="AJ4" s="119" t="str">
        <f>IF('Non-shuttle Bids'!AK872="","n/a",IF('Non-shuttle Bids'!AK871="","n/a",'Non-shuttle Bids'!AK872-'Non-shuttle Bids'!AK871))</f>
        <v>n/a</v>
      </c>
      <c r="AK4" s="119" t="str">
        <f>IF('Non-shuttle Bids'!AL872="","n/a",IF('Non-shuttle Bids'!AL871="","n/a",'Non-shuttle Bids'!AL872-'Non-shuttle Bids'!AL871))</f>
        <v>n/a</v>
      </c>
      <c r="AL4" s="84"/>
      <c r="AM4" s="119" t="str">
        <f>IF('Non-shuttle Bids'!AN872="","n/a",IF('Non-shuttle Bids'!AN871="","n/a",'Non-shuttle Bids'!AN872-'Non-shuttle Bids'!AN871))</f>
        <v>n/a</v>
      </c>
      <c r="AN4" s="119" t="str">
        <f>IF('Non-shuttle Bids'!AO872="","n/a",IF('Non-shuttle Bids'!AO871="","n/a",'Non-shuttle Bids'!AO872-'Non-shuttle Bids'!AO871))</f>
        <v>n/a</v>
      </c>
      <c r="AO4" s="119" t="str">
        <f>IF('Non-shuttle Bids'!AP872="","n/a",IF('Non-shuttle Bids'!AP871="","n/a",'Non-shuttle Bids'!AP872-'Non-shuttle Bids'!AP871))</f>
        <v>n/a</v>
      </c>
      <c r="AP4" s="84"/>
      <c r="AQ4" s="119" t="str">
        <f>IF('Non-shuttle Bids'!AR872="","n/a",IF('Non-shuttle Bids'!AR871="","n/a",'Non-shuttle Bids'!AR872-'Non-shuttle Bids'!AR871))</f>
        <v>n/a</v>
      </c>
      <c r="AR4" s="119" t="str">
        <f>IF('Non-shuttle Bids'!AS872="","n/a",IF('Non-shuttle Bids'!AS871="","n/a",'Non-shuttle Bids'!AS872-'Non-shuttle Bids'!AS871))</f>
        <v>n/a</v>
      </c>
      <c r="AS4" s="119" t="str">
        <f>IF('Non-shuttle Bids'!AT872="","n/a",IF('Non-shuttle Bids'!AT871="","n/a",'Non-shuttle Bids'!AT872-'Non-shuttle Bids'!AT871))</f>
        <v>n/a</v>
      </c>
      <c r="AT4" s="84"/>
      <c r="AU4" s="119">
        <f>IF('Non-shuttle Bids'!AV873="","n/a",IF('Non-shuttle Bids'!AV872="","n/a",'Non-shuttle Bids'!AV873-'Non-shuttle Bids'!AV872))</f>
        <v>0</v>
      </c>
      <c r="AV4" s="119">
        <f>IF('Non-shuttle Bids'!AW873="","n/a",IF('Non-shuttle Bids'!AW872="","n/a",'Non-shuttle Bids'!AW873-'Non-shuttle Bids'!AW872))</f>
        <v>0</v>
      </c>
      <c r="AW4" s="119">
        <f>IF('Non-shuttle Bids'!AX873="","n/a",IF('Non-shuttle Bids'!AX872="","n/a",'Non-shuttle Bids'!AX873-'Non-shuttle Bids'!AX872))</f>
        <v>0</v>
      </c>
    </row>
    <row r="5" spans="1:49" ht="15" x14ac:dyDescent="0.25">
      <c r="A5" s="116" t="s">
        <v>150</v>
      </c>
      <c r="B5" s="14"/>
      <c r="C5" s="119" t="str">
        <f>IF('Non-shuttle Bids'!D873="","n/a",IF('Non-shuttle Bids'!D821="","n/a",'Non-shuttle Bids'!D873-'Non-shuttle Bids'!D821))</f>
        <v>n/a</v>
      </c>
      <c r="D5" s="119" t="str">
        <f>IF('Non-shuttle Bids'!E873="","n/a",IF('Non-shuttle Bids'!E821="","n/a",'Non-shuttle Bids'!E873-'Non-shuttle Bids'!E821))</f>
        <v>n/a</v>
      </c>
      <c r="E5" s="119" t="str">
        <f>IF('Non-shuttle Bids'!F873="","n/a",IF('Non-shuttle Bids'!F821="","n/a",'Non-shuttle Bids'!F873-'Non-shuttle Bids'!F821))</f>
        <v>n/a</v>
      </c>
      <c r="F5" s="12"/>
      <c r="G5" s="119" t="str">
        <f>IF('Non-shuttle Bids'!H873="","n/a",IF('Non-shuttle Bids'!H821="","n/a",'Non-shuttle Bids'!H873-'Non-shuttle Bids'!H821))</f>
        <v>n/a</v>
      </c>
      <c r="H5" s="119" t="str">
        <f>IF('Non-shuttle Bids'!I873="","n/a",IF('Non-shuttle Bids'!I821="","n/a",'Non-shuttle Bids'!I873-'Non-shuttle Bids'!I821))</f>
        <v>n/a</v>
      </c>
      <c r="I5" s="119" t="str">
        <f>IF('Non-shuttle Bids'!J873="","n/a",IF('Non-shuttle Bids'!J821="","n/a",'Non-shuttle Bids'!J873-'Non-shuttle Bids'!J821))</f>
        <v>n/a</v>
      </c>
      <c r="J5" s="12"/>
      <c r="K5" s="119" t="str">
        <f>IF('Non-shuttle Bids'!L873="","n/a",IF('Non-shuttle Bids'!L821="","n/a",'Non-shuttle Bids'!L873-'Non-shuttle Bids'!L821))</f>
        <v>n/a</v>
      </c>
      <c r="L5" s="119" t="str">
        <f>IF('Non-shuttle Bids'!M873="","n/a",IF('Non-shuttle Bids'!M821="","n/a",'Non-shuttle Bids'!M873-'Non-shuttle Bids'!M821))</f>
        <v>n/a</v>
      </c>
      <c r="M5" s="119" t="str">
        <f>IF('Non-shuttle Bids'!N873="","n/a",IF('Non-shuttle Bids'!N821="","n/a",'Non-shuttle Bids'!N873-'Non-shuttle Bids'!N821))</f>
        <v>n/a</v>
      </c>
      <c r="N5" s="12"/>
      <c r="O5" s="119" t="str">
        <f>IF('Non-shuttle Bids'!P873="","n/a",IF('Non-shuttle Bids'!P821="","n/a",'Non-shuttle Bids'!P873-'Non-shuttle Bids'!P821))</f>
        <v>n/a</v>
      </c>
      <c r="P5" s="119" t="str">
        <f>IF('Non-shuttle Bids'!Q873="","n/a",IF('Non-shuttle Bids'!Q821="","n/a",'Non-shuttle Bids'!Q873-'Non-shuttle Bids'!Q821))</f>
        <v>n/a</v>
      </c>
      <c r="Q5" s="119" t="str">
        <f>IF('Non-shuttle Bids'!R873="","n/a",IF('Non-shuttle Bids'!R821="","n/a",'Non-shuttle Bids'!R873-'Non-shuttle Bids'!R821))</f>
        <v>n/a</v>
      </c>
      <c r="R5" s="12"/>
      <c r="S5" s="119" t="str">
        <f>IF('Non-shuttle Bids'!T873="","n/a",IF('Non-shuttle Bids'!T821="","n/a",'Non-shuttle Bids'!T873-'Non-shuttle Bids'!T821))</f>
        <v>n/a</v>
      </c>
      <c r="T5" s="119" t="str">
        <f>IF('Non-shuttle Bids'!U873="","n/a",IF('Non-shuttle Bids'!U821="","n/a",'Non-shuttle Bids'!U873-'Non-shuttle Bids'!U821))</f>
        <v>n/a</v>
      </c>
      <c r="U5" s="119" t="str">
        <f>IF('Non-shuttle Bids'!V873="","n/a",IF('Non-shuttle Bids'!V821="","n/a",'Non-shuttle Bids'!V873-'Non-shuttle Bids'!V821))</f>
        <v>n/a</v>
      </c>
      <c r="V5" s="12"/>
      <c r="W5" s="119" t="str">
        <f>IF('Non-shuttle Bids'!X873="","n/a",IF('Non-shuttle Bids'!X821="","n/a",'Non-shuttle Bids'!X873-'Non-shuttle Bids'!X821))</f>
        <v>n/a</v>
      </c>
      <c r="X5" s="119" t="str">
        <f>IF('Non-shuttle Bids'!Y873="","n/a",IF('Non-shuttle Bids'!Y821="","n/a",'Non-shuttle Bids'!Y873-'Non-shuttle Bids'!Y821))</f>
        <v>n/a</v>
      </c>
      <c r="Y5" s="119" t="str">
        <f>IF('Non-shuttle Bids'!Z873="","n/a",IF('Non-shuttle Bids'!Z821="","n/a",'Non-shuttle Bids'!Z873-'Non-shuttle Bids'!Z821))</f>
        <v>n/a</v>
      </c>
      <c r="Z5" s="12"/>
      <c r="AA5" s="119" t="str">
        <f>IF('Non-shuttle Bids'!AB872="","n/a",IF('Non-shuttle Bids'!AB820="","n/a",'Non-shuttle Bids'!AB872-'Non-shuttle Bids'!AB820))</f>
        <v>n/a</v>
      </c>
      <c r="AB5" s="119" t="str">
        <f>IF('Non-shuttle Bids'!AC872="","n/a",IF('Non-shuttle Bids'!AC820="","n/a",'Non-shuttle Bids'!AC872-'Non-shuttle Bids'!AC820))</f>
        <v>n/a</v>
      </c>
      <c r="AC5" s="119" t="str">
        <f>IF('Non-shuttle Bids'!AD872="","n/a",IF('Non-shuttle Bids'!AD820="","n/a",'Non-shuttle Bids'!AD872-'Non-shuttle Bids'!AD820))</f>
        <v>n/a</v>
      </c>
      <c r="AD5" s="12"/>
      <c r="AE5" s="119" t="str">
        <f>IF('Non-shuttle Bids'!AF872="","n/a",IF('Non-shuttle Bids'!AF820="","n/a",'Non-shuttle Bids'!AF872-'Non-shuttle Bids'!AF820))</f>
        <v>n/a</v>
      </c>
      <c r="AF5" s="119" t="str">
        <f>IF('Non-shuttle Bids'!AG872="","n/a",IF('Non-shuttle Bids'!AG820="","n/a",'Non-shuttle Bids'!AG872-'Non-shuttle Bids'!AG820))</f>
        <v>n/a</v>
      </c>
      <c r="AG5" s="119" t="str">
        <f>IF('Non-shuttle Bids'!AH872="","n/a",IF('Non-shuttle Bids'!AH820="","n/a",'Non-shuttle Bids'!AH872-'Non-shuttle Bids'!AH820))</f>
        <v>n/a</v>
      </c>
      <c r="AH5" s="12"/>
      <c r="AI5" s="119" t="str">
        <f>IF('Non-shuttle Bids'!AJ872="","n/a",IF('Non-shuttle Bids'!AJ820="","n/a",'Non-shuttle Bids'!AJ872-'Non-shuttle Bids'!AJ820))</f>
        <v>n/a</v>
      </c>
      <c r="AJ5" s="119" t="str">
        <f>IF('Non-shuttle Bids'!AK872="","n/a",IF('Non-shuttle Bids'!AK820="","n/a",'Non-shuttle Bids'!AK872-'Non-shuttle Bids'!AK820))</f>
        <v>n/a</v>
      </c>
      <c r="AK5" s="119" t="str">
        <f>IF('Non-shuttle Bids'!AL872="","n/a",IF('Non-shuttle Bids'!AL820="","n/a",'Non-shuttle Bids'!AL872-'Non-shuttle Bids'!AL820))</f>
        <v>n/a</v>
      </c>
      <c r="AL5" s="84"/>
      <c r="AM5" s="119" t="str">
        <f>IF('Non-shuttle Bids'!AN872="","n/a",IF('Non-shuttle Bids'!AN820="","n/a",'Non-shuttle Bids'!AN872-'Non-shuttle Bids'!AN820))</f>
        <v>n/a</v>
      </c>
      <c r="AN5" s="119" t="str">
        <f>IF('Non-shuttle Bids'!AO872="","n/a",IF('Non-shuttle Bids'!AO820="","n/a",'Non-shuttle Bids'!AO872-'Non-shuttle Bids'!AO820))</f>
        <v>n/a</v>
      </c>
      <c r="AO5" s="119" t="str">
        <f>IF('Non-shuttle Bids'!AP872="","n/a",IF('Non-shuttle Bids'!AP820="","n/a",'Non-shuttle Bids'!AP872-'Non-shuttle Bids'!AP820))</f>
        <v>n/a</v>
      </c>
      <c r="AP5" s="84"/>
      <c r="AQ5" s="119" t="str">
        <f>IF('Non-shuttle Bids'!AR872="","n/a",IF('Non-shuttle Bids'!AR820="","n/a",'Non-shuttle Bids'!AR872-'Non-shuttle Bids'!AR820))</f>
        <v>n/a</v>
      </c>
      <c r="AR5" s="119" t="str">
        <f>IF('Non-shuttle Bids'!AS872="","n/a",IF('Non-shuttle Bids'!AS820="","n/a",'Non-shuttle Bids'!AS872-'Non-shuttle Bids'!AS820))</f>
        <v>n/a</v>
      </c>
      <c r="AS5" s="119" t="str">
        <f>IF('Non-shuttle Bids'!AT872="","n/a",IF('Non-shuttle Bids'!AT820="","n/a",'Non-shuttle Bids'!AT872-'Non-shuttle Bids'!AT820))</f>
        <v>n/a</v>
      </c>
      <c r="AT5" s="84"/>
      <c r="AU5" s="119">
        <f>IF('Non-shuttle Bids'!AV873="","n/a",IF('Non-shuttle Bids'!AV821="","n/a",'Non-shuttle Bids'!AV873-'Non-shuttle Bids'!AV821))</f>
        <v>325</v>
      </c>
      <c r="AV5" s="119">
        <f>IF('Non-shuttle Bids'!AW873="","n/a",IF('Non-shuttle Bids'!AW821="","n/a",'Non-shuttle Bids'!AW873-'Non-shuttle Bids'!AW821))</f>
        <v>50</v>
      </c>
      <c r="AW5" s="119">
        <f>IF('Non-shuttle Bids'!AX873="","n/a",IF('Non-shuttle Bids'!AX821="","n/a",'Non-shuttle Bids'!AX873-'Non-shuttle Bids'!AX821))</f>
        <v>187.5</v>
      </c>
    </row>
    <row r="6" spans="1:49" ht="15" x14ac:dyDescent="0.25">
      <c r="A6" s="12" t="s">
        <v>144</v>
      </c>
      <c r="B6" s="14"/>
      <c r="C6" s="150">
        <f>IF('Non-shuttle Bids'!F873="","n/a",'Non-shuttle Bids'!F873)</f>
        <v>350</v>
      </c>
      <c r="D6" s="150"/>
      <c r="E6" s="121"/>
      <c r="F6" s="12"/>
      <c r="G6" s="150" t="str">
        <f>IF('Non-shuttle Bids'!J873="","n/a",'Non-shuttle Bids'!J873)</f>
        <v>n/a</v>
      </c>
      <c r="H6" s="150"/>
      <c r="I6" s="121"/>
      <c r="J6" s="12"/>
      <c r="K6" s="150" t="str">
        <f>IF('Non-shuttle Bids'!N873="","n/a",'Non-shuttle Bids'!N873)</f>
        <v>n/a</v>
      </c>
      <c r="L6" s="150"/>
      <c r="M6" s="121"/>
      <c r="N6" s="122"/>
      <c r="O6" s="150" t="str">
        <f>IF('Non-shuttle Bids'!R873="","n/a",'Non-shuttle Bids'!R873)</f>
        <v>n/a</v>
      </c>
      <c r="P6" s="150"/>
      <c r="Q6" s="121"/>
      <c r="R6" s="122"/>
      <c r="S6" s="150" t="str">
        <f>IF('Non-shuttle Bids'!V873="","n/a",'Non-shuttle Bids'!V873)</f>
        <v>n/a</v>
      </c>
      <c r="T6" s="150"/>
      <c r="U6" s="121"/>
      <c r="V6" s="122"/>
      <c r="W6" s="150" t="str">
        <f>IF('Non-shuttle Bids'!Z873="","n/a",'Non-shuttle Bids'!Z873)</f>
        <v>n/a</v>
      </c>
      <c r="X6" s="150"/>
      <c r="Y6" s="121"/>
      <c r="Z6" s="122"/>
      <c r="AA6" s="150" t="str">
        <f>IF('Non-shuttle Bids'!AD872="","n/a",'Non-shuttle Bids'!AD872)</f>
        <v>n/a</v>
      </c>
      <c r="AB6" s="150"/>
      <c r="AC6" s="121"/>
      <c r="AD6" s="122"/>
      <c r="AE6" s="150" t="str">
        <f>IF('Non-shuttle Bids'!AH872="","n/a",'Non-shuttle Bids'!AH872)</f>
        <v>n/a</v>
      </c>
      <c r="AF6" s="150"/>
      <c r="AG6" s="121"/>
      <c r="AH6" s="122"/>
      <c r="AI6" s="150" t="str">
        <f>IF('Non-shuttle Bids'!AL872="","n/a",'Non-shuttle Bids'!AL872)</f>
        <v>n/a</v>
      </c>
      <c r="AJ6" s="150"/>
      <c r="AK6" s="121"/>
      <c r="AL6" s="123"/>
      <c r="AM6" s="150" t="str">
        <f>IF('Non-shuttle Bids'!AP872="","n/a",'Non-shuttle Bids'!AP872)</f>
        <v>n/a</v>
      </c>
      <c r="AN6" s="150"/>
      <c r="AO6" s="121"/>
      <c r="AP6" s="123"/>
      <c r="AQ6" s="150" t="str">
        <f>IF('Non-shuttle Bids'!AT872="","n/a",'Non-shuttle Bids'!AT872)</f>
        <v>n/a</v>
      </c>
      <c r="AR6" s="150"/>
      <c r="AS6" s="121"/>
      <c r="AT6" s="123"/>
      <c r="AU6" s="150">
        <f>IF('Non-shuttle Bids'!AX873="","n/a",'Non-shuttle Bids'!AX873)</f>
        <v>175</v>
      </c>
      <c r="AV6" s="150"/>
      <c r="AW6" s="121"/>
    </row>
    <row r="7" spans="1:49" ht="15" x14ac:dyDescent="0.25">
      <c r="A7" s="117" t="s">
        <v>145</v>
      </c>
      <c r="B7" s="14"/>
      <c r="C7" s="151">
        <f>IF('Non-shuttle Bids'!F873="","n/a",IF('Non-shuttle Bids'!F872="","n/a",'Non-shuttle Bids'!F873-'Non-shuttle Bids'!F872))</f>
        <v>100</v>
      </c>
      <c r="D7" s="151"/>
      <c r="E7" s="124"/>
      <c r="F7" s="12"/>
      <c r="G7" s="151" t="str">
        <f>IF('Non-shuttle Bids'!J873="","n/a",IF('Non-shuttle Bids'!J872="","n/a",'Non-shuttle Bids'!J873-'Non-shuttle Bids'!J872))</f>
        <v>n/a</v>
      </c>
      <c r="H7" s="151"/>
      <c r="I7" s="124"/>
      <c r="J7" s="12"/>
      <c r="K7" s="151" t="str">
        <f>IF('Non-shuttle Bids'!N873="","n/a",IF('Non-shuttle Bids'!N872="","n/a",'Non-shuttle Bids'!N873-'Non-shuttle Bids'!N872))</f>
        <v>n/a</v>
      </c>
      <c r="L7" s="151"/>
      <c r="M7" s="124"/>
      <c r="N7" s="125"/>
      <c r="O7" s="151" t="str">
        <f>IF('Non-shuttle Bids'!R873="","n/a",IF('Non-shuttle Bids'!R872="","n/a",'Non-shuttle Bids'!R873-'Non-shuttle Bids'!R872))</f>
        <v>n/a</v>
      </c>
      <c r="P7" s="151"/>
      <c r="Q7" s="124"/>
      <c r="R7" s="125"/>
      <c r="S7" s="151" t="str">
        <f>IF('Non-shuttle Bids'!V873="","n/a",IF('Non-shuttle Bids'!V872="","n/a",'Non-shuttle Bids'!V873-'Non-shuttle Bids'!V872))</f>
        <v>n/a</v>
      </c>
      <c r="T7" s="151"/>
      <c r="U7" s="124"/>
      <c r="V7" s="125"/>
      <c r="W7" s="151" t="str">
        <f>IF('Non-shuttle Bids'!Z873="","n/a",IF('Non-shuttle Bids'!Z872="","n/a",'Non-shuttle Bids'!Z873-'Non-shuttle Bids'!Z872))</f>
        <v>n/a</v>
      </c>
      <c r="X7" s="151"/>
      <c r="Y7" s="124"/>
      <c r="Z7" s="125"/>
      <c r="AA7" s="151" t="str">
        <f>IF('Non-shuttle Bids'!AD872="","n/a",IF('Non-shuttle Bids'!AD871="","n/a",'Non-shuttle Bids'!AD872-'Non-shuttle Bids'!AD871))</f>
        <v>n/a</v>
      </c>
      <c r="AB7" s="151"/>
      <c r="AC7" s="124"/>
      <c r="AD7" s="126"/>
      <c r="AE7" s="151" t="str">
        <f>IF('Non-shuttle Bids'!AH872="","n/a",IF('Non-shuttle Bids'!AH871="","n/a",'Non-shuttle Bids'!AH872-'Non-shuttle Bids'!AH871))</f>
        <v>n/a</v>
      </c>
      <c r="AF7" s="151"/>
      <c r="AG7" s="124"/>
      <c r="AH7" s="126"/>
      <c r="AI7" s="151" t="str">
        <f>IF('Non-shuttle Bids'!AL872="","n/a",IF('Non-shuttle Bids'!AL871="","n/a",'Non-shuttle Bids'!AL872-'Non-shuttle Bids'!AL871))</f>
        <v>n/a</v>
      </c>
      <c r="AJ7" s="151"/>
      <c r="AK7" s="124"/>
      <c r="AL7" s="127"/>
      <c r="AM7" s="151" t="str">
        <f>IF('Non-shuttle Bids'!AP872="","n/a",IF('Non-shuttle Bids'!AP871="","n/a",'Non-shuttle Bids'!AP872-'Non-shuttle Bids'!AP871))</f>
        <v>n/a</v>
      </c>
      <c r="AN7" s="151"/>
      <c r="AO7" s="124"/>
      <c r="AP7" s="127"/>
      <c r="AQ7" s="151" t="str">
        <f>IF('Non-shuttle Bids'!AT872="","n/a",IF('Non-shuttle Bids'!AT871="","n/a",'Non-shuttle Bids'!AT872-'Non-shuttle Bids'!AT871))</f>
        <v>n/a</v>
      </c>
      <c r="AR7" s="151"/>
      <c r="AS7" s="124"/>
      <c r="AT7" s="127"/>
      <c r="AU7" s="151">
        <f>IF('Non-shuttle Bids'!AX873="","n/a",IF('Non-shuttle Bids'!AX872="","n/a",'Non-shuttle Bids'!AX873-'Non-shuttle Bids'!AX872))</f>
        <v>0</v>
      </c>
      <c r="AV7" s="151"/>
      <c r="AW7" s="124"/>
    </row>
    <row r="8" spans="1:49" ht="15" x14ac:dyDescent="0.25">
      <c r="A8" s="12" t="s">
        <v>146</v>
      </c>
      <c r="B8" s="14"/>
      <c r="C8" s="150">
        <f>IF('Non-shuttle Bids'!F873="","n/a",IF('Non-shuttle Bids'!F869="","n/a",'Non-shuttle Bids'!F873-'Non-shuttle Bids'!F869))</f>
        <v>100</v>
      </c>
      <c r="D8" s="150"/>
      <c r="E8" s="128"/>
      <c r="F8" s="12"/>
      <c r="G8" s="150" t="str">
        <f>IF('Non-shuttle Bids'!J873="","n/a",IF('Non-shuttle Bids'!J869="","n/a",'Non-shuttle Bids'!J873-'Non-shuttle Bids'!J869))</f>
        <v>n/a</v>
      </c>
      <c r="H8" s="150"/>
      <c r="I8" s="128"/>
      <c r="J8" s="12"/>
      <c r="K8" s="150" t="str">
        <f>IF('Non-shuttle Bids'!N873="","n/a",IF('Non-shuttle Bids'!N869="","n/a",'Non-shuttle Bids'!N873-'Non-shuttle Bids'!N869))</f>
        <v>n/a</v>
      </c>
      <c r="L8" s="150"/>
      <c r="M8" s="128"/>
      <c r="N8" s="129"/>
      <c r="O8" s="150" t="str">
        <f>IF('Non-shuttle Bids'!R873="","n/a",IF('Non-shuttle Bids'!R869="","n/a",'Non-shuttle Bids'!R873-'Non-shuttle Bids'!R869))</f>
        <v>n/a</v>
      </c>
      <c r="P8" s="150"/>
      <c r="Q8" s="128"/>
      <c r="R8" s="129"/>
      <c r="S8" s="150" t="str">
        <f>IF('Non-shuttle Bids'!V873="","n/a",IF('Non-shuttle Bids'!V869="","n/a",'Non-shuttle Bids'!V873-'Non-shuttle Bids'!V869))</f>
        <v>n/a</v>
      </c>
      <c r="T8" s="150"/>
      <c r="U8" s="128"/>
      <c r="V8" s="129"/>
      <c r="W8" s="150" t="str">
        <f>IF('Non-shuttle Bids'!Z873="","n/a",IF('Non-shuttle Bids'!Z869="","n/a",'Non-shuttle Bids'!Z873-'Non-shuttle Bids'!Z869))</f>
        <v>n/a</v>
      </c>
      <c r="X8" s="150"/>
      <c r="Y8" s="128"/>
      <c r="Z8" s="129"/>
      <c r="AA8" s="150" t="str">
        <f>IF('Non-shuttle Bids'!AD872="","n/a",IF('Non-shuttle Bids'!AD868="","n/a",'Non-shuttle Bids'!AD872-'Non-shuttle Bids'!AD868))</f>
        <v>n/a</v>
      </c>
      <c r="AB8" s="150"/>
      <c r="AC8" s="128"/>
      <c r="AD8" s="129"/>
      <c r="AE8" s="150" t="str">
        <f>IF('Non-shuttle Bids'!AH872="","n/a",IF('Non-shuttle Bids'!AH868="","n/a",'Non-shuttle Bids'!AH872-'Non-shuttle Bids'!AH868))</f>
        <v>n/a</v>
      </c>
      <c r="AF8" s="150"/>
      <c r="AG8" s="128"/>
      <c r="AH8" s="129"/>
      <c r="AI8" s="150" t="str">
        <f>IF('Non-shuttle Bids'!AL872="","n/a",IF('Non-shuttle Bids'!AL868="","n/a",'Non-shuttle Bids'!AL872-'Non-shuttle Bids'!AL868))</f>
        <v>n/a</v>
      </c>
      <c r="AJ8" s="150"/>
      <c r="AK8" s="128"/>
      <c r="AL8" s="130"/>
      <c r="AM8" s="150" t="str">
        <f>IF('Non-shuttle Bids'!AP872="","n/a",IF('Non-shuttle Bids'!AP868="","n/a",'Non-shuttle Bids'!AP872-'Non-shuttle Bids'!AP868))</f>
        <v>n/a</v>
      </c>
      <c r="AN8" s="150"/>
      <c r="AO8" s="128"/>
      <c r="AP8" s="130"/>
      <c r="AQ8" s="150" t="str">
        <f>IF('Non-shuttle Bids'!AT872="","n/a",IF('Non-shuttle Bids'!AT868="","n/a",'Non-shuttle Bids'!AT872-'Non-shuttle Bids'!AT868))</f>
        <v>n/a</v>
      </c>
      <c r="AR8" s="150"/>
      <c r="AS8" s="128"/>
      <c r="AT8" s="130"/>
      <c r="AU8" s="150">
        <f>IF('Non-shuttle Bids'!AX873="","n/a",IF('Non-shuttle Bids'!AX869="","n/a",'Non-shuttle Bids'!AX873-'Non-shuttle Bids'!AX869))</f>
        <v>-1000</v>
      </c>
      <c r="AV8" s="150"/>
      <c r="AW8" s="128"/>
    </row>
    <row r="9" spans="1:49" ht="15" x14ac:dyDescent="0.25">
      <c r="A9" s="14"/>
      <c r="B9" s="14"/>
      <c r="C9" s="131"/>
      <c r="D9" s="131"/>
      <c r="E9" s="130"/>
      <c r="F9" s="84"/>
      <c r="G9" s="131"/>
      <c r="H9" s="131"/>
      <c r="I9" s="130"/>
      <c r="J9" s="84"/>
      <c r="K9" s="131"/>
      <c r="L9" s="131"/>
      <c r="M9" s="130"/>
      <c r="N9" s="130"/>
      <c r="O9" s="131"/>
      <c r="P9" s="131"/>
      <c r="Q9" s="130"/>
      <c r="R9" s="130"/>
      <c r="S9" s="131"/>
      <c r="T9" s="131"/>
      <c r="U9" s="130"/>
      <c r="V9" s="130"/>
      <c r="W9" s="131"/>
      <c r="X9" s="131"/>
      <c r="Y9" s="130"/>
      <c r="Z9" s="130"/>
      <c r="AA9" s="132"/>
      <c r="AB9" s="132"/>
      <c r="AC9" s="133"/>
      <c r="AD9" s="130"/>
      <c r="AE9" s="131"/>
      <c r="AF9" s="131"/>
      <c r="AG9" s="130"/>
      <c r="AH9" s="130"/>
      <c r="AI9" s="131"/>
      <c r="AJ9" s="131"/>
      <c r="AK9" s="130"/>
      <c r="AL9" s="130"/>
      <c r="AM9" s="131"/>
      <c r="AN9" s="131"/>
      <c r="AO9" s="130"/>
      <c r="AP9" s="130"/>
      <c r="AQ9" s="131"/>
      <c r="AR9" s="131"/>
      <c r="AS9" s="130"/>
      <c r="AT9" s="130"/>
      <c r="AU9" s="131"/>
      <c r="AV9" s="131"/>
      <c r="AW9" s="130"/>
    </row>
    <row r="10" spans="1:49" ht="15" x14ac:dyDescent="0.25">
      <c r="A10" s="14"/>
      <c r="B10" s="14"/>
      <c r="C10" s="134" t="s">
        <v>155</v>
      </c>
      <c r="D10" s="135"/>
      <c r="E10" s="135"/>
      <c r="F10" s="12"/>
      <c r="G10" s="134" t="s">
        <v>155</v>
      </c>
      <c r="H10" s="135"/>
      <c r="I10" s="135"/>
      <c r="J10" s="12"/>
      <c r="K10" s="134" t="s">
        <v>155</v>
      </c>
      <c r="L10" s="135"/>
      <c r="M10" s="135"/>
      <c r="N10" s="12"/>
      <c r="O10" s="134" t="s">
        <v>155</v>
      </c>
      <c r="P10" s="135"/>
      <c r="Q10" s="135"/>
      <c r="R10" s="12"/>
      <c r="S10" s="134" t="s">
        <v>155</v>
      </c>
      <c r="T10" s="135"/>
      <c r="U10" s="135"/>
      <c r="V10" s="12"/>
      <c r="W10" s="134" t="s">
        <v>155</v>
      </c>
      <c r="X10" s="135"/>
      <c r="Y10" s="135"/>
      <c r="Z10" s="12"/>
      <c r="AA10" s="134" t="s">
        <v>155</v>
      </c>
      <c r="AB10" s="134"/>
      <c r="AC10" s="134"/>
      <c r="AD10" s="12"/>
      <c r="AE10" s="134" t="s">
        <v>155</v>
      </c>
      <c r="AF10" s="135"/>
      <c r="AG10" s="135"/>
      <c r="AH10" s="12"/>
      <c r="AI10" s="134" t="s">
        <v>155</v>
      </c>
      <c r="AJ10" s="135"/>
      <c r="AK10" s="135"/>
      <c r="AL10" s="12"/>
      <c r="AM10" s="134" t="s">
        <v>155</v>
      </c>
      <c r="AN10" s="135"/>
      <c r="AO10" s="135"/>
      <c r="AP10" s="12"/>
      <c r="AQ10" s="134" t="s">
        <v>155</v>
      </c>
      <c r="AR10" s="135"/>
      <c r="AS10" s="135"/>
      <c r="AT10" s="12"/>
      <c r="AU10" s="134" t="s">
        <v>155</v>
      </c>
      <c r="AV10" s="135"/>
      <c r="AW10" s="135"/>
    </row>
    <row r="11" spans="1:49" ht="15" x14ac:dyDescent="0.25">
      <c r="A11" s="118" t="s">
        <v>140</v>
      </c>
      <c r="B11" s="14"/>
      <c r="C11" s="149">
        <f>MAX('Non-shuttle Bids'!F850:F880)</f>
        <v>350</v>
      </c>
      <c r="D11" s="149"/>
      <c r="E11" s="143" t="s">
        <v>255</v>
      </c>
      <c r="F11" s="12"/>
      <c r="G11" s="149">
        <f>MAX('Non-shuttle Bids'!J854:J884)</f>
        <v>0</v>
      </c>
      <c r="H11" s="149"/>
      <c r="I11" s="143" t="s">
        <v>256</v>
      </c>
      <c r="J11" s="12"/>
      <c r="K11" s="149">
        <f>MAX('Non-shuttle Bids'!N858:N888)</f>
        <v>0</v>
      </c>
      <c r="L11" s="149"/>
      <c r="M11" s="143" t="s">
        <v>257</v>
      </c>
      <c r="N11" s="125"/>
      <c r="O11" s="149">
        <f>MAX('Non-shuttle Bids'!R863:R893)</f>
        <v>0</v>
      </c>
      <c r="P11" s="149"/>
      <c r="Q11" s="143" t="s">
        <v>258</v>
      </c>
      <c r="R11" s="125"/>
      <c r="S11" s="149">
        <f>MAX('Non-shuttle Bids'!V867:V897)</f>
        <v>0</v>
      </c>
      <c r="T11" s="149"/>
      <c r="U11" s="143" t="s">
        <v>259</v>
      </c>
      <c r="V11" s="125"/>
      <c r="W11" s="149">
        <f>MAX('Non-shuttle Bids'!Z871:Z901)</f>
        <v>0</v>
      </c>
      <c r="X11" s="149"/>
      <c r="Y11" s="143" t="s">
        <v>260</v>
      </c>
      <c r="Z11" s="125"/>
      <c r="AA11" s="149">
        <f>MAX('Non-shuttle Bids'!AD876:AD906)</f>
        <v>0</v>
      </c>
      <c r="AB11" s="149"/>
      <c r="AC11" s="143" t="s">
        <v>261</v>
      </c>
      <c r="AD11" s="125"/>
      <c r="AE11" s="149">
        <f>MAX('Non-shuttle Bids'!AH880:AH910)</f>
        <v>0</v>
      </c>
      <c r="AF11" s="149"/>
      <c r="AG11" s="143" t="s">
        <v>262</v>
      </c>
      <c r="AH11" s="125"/>
      <c r="AI11" s="149">
        <f>MAX('Non-shuttle Bids'!AL884:AL914)</f>
        <v>0</v>
      </c>
      <c r="AJ11" s="149"/>
      <c r="AK11" s="143" t="s">
        <v>292</v>
      </c>
      <c r="AL11" s="131"/>
      <c r="AM11" s="149">
        <f>MAX('Non-shuttle Bids'!AP889:AP919)</f>
        <v>0</v>
      </c>
      <c r="AN11" s="149"/>
      <c r="AO11" s="143" t="s">
        <v>293</v>
      </c>
      <c r="AP11" s="131"/>
      <c r="AQ11" s="149">
        <f>MAX('Non-shuttle Bids'!AT893:AT923)</f>
        <v>0</v>
      </c>
      <c r="AR11" s="149"/>
      <c r="AS11" s="143" t="s">
        <v>295</v>
      </c>
      <c r="AT11" s="131"/>
      <c r="AU11" s="149">
        <f>MAX('Non-shuttle Bids'!AX845:AX875)</f>
        <v>1175</v>
      </c>
      <c r="AV11" s="149"/>
      <c r="AW11" s="142" t="s">
        <v>254</v>
      </c>
    </row>
    <row r="12" spans="1:49" ht="15" x14ac:dyDescent="0.25">
      <c r="A12" s="117" t="s">
        <v>141</v>
      </c>
      <c r="B12" s="14"/>
      <c r="C12" s="149">
        <f>C6-C11</f>
        <v>0</v>
      </c>
      <c r="D12" s="149"/>
      <c r="E12" s="142"/>
      <c r="F12" s="12"/>
      <c r="G12" s="149" t="e">
        <f>G6-G11</f>
        <v>#VALUE!</v>
      </c>
      <c r="H12" s="149"/>
      <c r="I12" s="142"/>
      <c r="J12" s="12"/>
      <c r="K12" s="149" t="e">
        <f>K6-K11</f>
        <v>#VALUE!</v>
      </c>
      <c r="L12" s="149"/>
      <c r="M12" s="142"/>
      <c r="N12" s="125"/>
      <c r="O12" s="149" t="e">
        <f>O6-O11</f>
        <v>#VALUE!</v>
      </c>
      <c r="P12" s="149"/>
      <c r="Q12" s="142"/>
      <c r="R12" s="125"/>
      <c r="S12" s="149" t="e">
        <f>S6-S11</f>
        <v>#VALUE!</v>
      </c>
      <c r="T12" s="149"/>
      <c r="U12" s="142"/>
      <c r="V12" s="125"/>
      <c r="W12" s="149" t="e">
        <f>W6-W11</f>
        <v>#VALUE!</v>
      </c>
      <c r="X12" s="149"/>
      <c r="Y12" s="142"/>
      <c r="Z12" s="125"/>
      <c r="AA12" s="149" t="e">
        <f>AA6-AA11</f>
        <v>#VALUE!</v>
      </c>
      <c r="AB12" s="149"/>
      <c r="AC12" s="142"/>
      <c r="AD12" s="125"/>
      <c r="AE12" s="149" t="e">
        <f>AE6-AE11</f>
        <v>#VALUE!</v>
      </c>
      <c r="AF12" s="149"/>
      <c r="AG12" s="142"/>
      <c r="AH12" s="125"/>
      <c r="AI12" s="149" t="e">
        <f>AI6-AI11</f>
        <v>#VALUE!</v>
      </c>
      <c r="AJ12" s="149"/>
      <c r="AK12" s="142"/>
      <c r="AL12" s="131"/>
      <c r="AM12" s="149" t="e">
        <f>AM6-AM11</f>
        <v>#VALUE!</v>
      </c>
      <c r="AN12" s="149"/>
      <c r="AO12" s="142"/>
      <c r="AP12" s="131"/>
      <c r="AQ12" s="149" t="e">
        <f>AQ6-AQ11</f>
        <v>#VALUE!</v>
      </c>
      <c r="AR12" s="149"/>
      <c r="AS12" s="142"/>
      <c r="AT12" s="131"/>
      <c r="AU12" s="149">
        <f>AU6-AU11</f>
        <v>-1000</v>
      </c>
      <c r="AV12" s="149"/>
      <c r="AW12" s="142"/>
    </row>
    <row r="13" spans="1:49" ht="15" x14ac:dyDescent="0.25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16"/>
      <c r="AB13" s="116"/>
      <c r="AC13" s="116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3">
      <c r="A14" s="8" t="s">
        <v>204</v>
      </c>
      <c r="C14" s="116" t="s">
        <v>212</v>
      </c>
      <c r="D14" s="116" t="s">
        <v>213</v>
      </c>
      <c r="E14" s="116" t="s">
        <v>143</v>
      </c>
      <c r="F14" s="12"/>
      <c r="G14" s="116" t="s">
        <v>212</v>
      </c>
      <c r="H14" s="116" t="s">
        <v>213</v>
      </c>
      <c r="I14" s="116" t="s">
        <v>143</v>
      </c>
      <c r="J14" s="12"/>
      <c r="K14" s="116" t="s">
        <v>212</v>
      </c>
      <c r="L14" s="116" t="s">
        <v>213</v>
      </c>
      <c r="M14" s="116" t="s">
        <v>143</v>
      </c>
      <c r="N14" s="12"/>
      <c r="O14" s="116" t="s">
        <v>212</v>
      </c>
      <c r="P14" s="116" t="s">
        <v>213</v>
      </c>
      <c r="Q14" s="116" t="s">
        <v>143</v>
      </c>
      <c r="R14" s="12"/>
      <c r="S14" s="116" t="s">
        <v>212</v>
      </c>
      <c r="T14" s="116" t="s">
        <v>213</v>
      </c>
      <c r="U14" s="116" t="s">
        <v>143</v>
      </c>
      <c r="V14" s="12"/>
      <c r="W14" s="116" t="s">
        <v>212</v>
      </c>
      <c r="X14" s="116" t="s">
        <v>213</v>
      </c>
      <c r="Y14" s="116" t="s">
        <v>143</v>
      </c>
      <c r="Z14" s="12"/>
      <c r="AA14" s="116" t="s">
        <v>212</v>
      </c>
      <c r="AB14" s="116" t="s">
        <v>213</v>
      </c>
      <c r="AC14" s="116" t="s">
        <v>143</v>
      </c>
      <c r="AD14" s="12"/>
      <c r="AE14" s="116" t="s">
        <v>212</v>
      </c>
      <c r="AF14" s="116" t="s">
        <v>213</v>
      </c>
      <c r="AG14" s="116" t="s">
        <v>143</v>
      </c>
      <c r="AH14" s="12"/>
      <c r="AI14" s="116" t="s">
        <v>212</v>
      </c>
      <c r="AJ14" s="116" t="s">
        <v>213</v>
      </c>
      <c r="AK14" s="116" t="s">
        <v>143</v>
      </c>
      <c r="AL14" s="12"/>
      <c r="AM14" s="116" t="s">
        <v>212</v>
      </c>
      <c r="AN14" s="116" t="s">
        <v>213</v>
      </c>
      <c r="AO14" s="116" t="s">
        <v>143</v>
      </c>
      <c r="AP14" s="12"/>
      <c r="AQ14" s="116" t="s">
        <v>212</v>
      </c>
      <c r="AR14" s="116" t="s">
        <v>213</v>
      </c>
      <c r="AS14" s="116" t="s">
        <v>143</v>
      </c>
      <c r="AT14" s="12"/>
      <c r="AU14" s="116" t="s">
        <v>212</v>
      </c>
      <c r="AV14" s="116" t="s">
        <v>213</v>
      </c>
      <c r="AW14" s="116" t="s">
        <v>143</v>
      </c>
    </row>
    <row r="15" spans="1:49" ht="15" x14ac:dyDescent="0.25">
      <c r="A15" s="12" t="s">
        <v>206</v>
      </c>
      <c r="C15" s="119" t="str">
        <f>IF('Shuttle Bids'!D873="", "n/a", 'Shuttle Bids'!D873)</f>
        <v>n/a</v>
      </c>
      <c r="D15" s="119">
        <f>IF('Shuttle Bids'!E873="", "n/a", 'Shuttle Bids'!E873)</f>
        <v>13</v>
      </c>
      <c r="E15" s="119">
        <f>IF('Shuttle Bids'!F873="", "n/a", 'Shuttle Bids'!F873)</f>
        <v>13</v>
      </c>
      <c r="F15" s="12"/>
      <c r="G15" s="119" t="str">
        <f>IF('Shuttle Bids'!H873="", "n/a", 'Shuttle Bids'!H873)</f>
        <v>n/a</v>
      </c>
      <c r="H15" s="119">
        <f>IF('Shuttle Bids'!I873="", "n/a", 'Shuttle Bids'!I873)</f>
        <v>100</v>
      </c>
      <c r="I15" s="119">
        <f>IF('Shuttle Bids'!J873="", "n/a", 'Shuttle Bids'!J873)</f>
        <v>100</v>
      </c>
      <c r="J15" s="12"/>
      <c r="K15" s="119" t="str">
        <f>IF('Shuttle Bids'!L873="", "n/a", 'Shuttle Bids'!L873)</f>
        <v>n/a</v>
      </c>
      <c r="L15" s="119">
        <f>IF('Shuttle Bids'!M873="", "n/a", 'Shuttle Bids'!M873)</f>
        <v>0</v>
      </c>
      <c r="M15" s="119">
        <f>IF('Shuttle Bids'!N873="", "n/a", 'Shuttle Bids'!N873)</f>
        <v>0</v>
      </c>
      <c r="N15" s="12"/>
      <c r="O15" s="119" t="str">
        <f>IF('Shuttle Bids'!P873="", "n/a", 'Shuttle Bids'!P873)</f>
        <v>n/a</v>
      </c>
      <c r="P15" s="119">
        <f>IF('Shuttle Bids'!Q873="", "n/a", 'Shuttle Bids'!Q873)</f>
        <v>-100</v>
      </c>
      <c r="Q15" s="119">
        <f>IF('Shuttle Bids'!R873="", "n/a", 'Shuttle Bids'!R873)</f>
        <v>-100</v>
      </c>
      <c r="R15" s="12"/>
      <c r="S15" s="119" t="str">
        <f>IF('Shuttle Bids'!T873="", "n/a", 'Shuttle Bids'!T873)</f>
        <v>n/a</v>
      </c>
      <c r="T15" s="119">
        <f>IF('Shuttle Bids'!U873="", "n/a", 'Shuttle Bids'!U873)</f>
        <v>-100</v>
      </c>
      <c r="U15" s="119">
        <f>IF('Shuttle Bids'!V873="", "n/a", 'Shuttle Bids'!V873)</f>
        <v>-100</v>
      </c>
      <c r="V15" s="12"/>
      <c r="W15" s="119" t="str">
        <f>IF('Shuttle Bids'!X873="", "n/a", 'Shuttle Bids'!X873)</f>
        <v>n/a</v>
      </c>
      <c r="X15" s="119">
        <f>IF('Shuttle Bids'!Y873="", "n/a", 'Shuttle Bids'!Y873)</f>
        <v>-100</v>
      </c>
      <c r="Y15" s="119">
        <f>IF('Shuttle Bids'!Z873="", "n/a", 'Shuttle Bids'!Z873)</f>
        <v>-100</v>
      </c>
      <c r="Z15" s="12"/>
      <c r="AA15" s="119" t="str">
        <f>IF('Shuttle Bids'!AB872="", "n/a", 'Shuttle Bids'!AB872)</f>
        <v>n/a</v>
      </c>
      <c r="AB15" s="119" t="str">
        <f>IF('Shuttle Bids'!AC872="", "n/a", 'Shuttle Bids'!AC872)</f>
        <v>n/a</v>
      </c>
      <c r="AC15" s="119" t="str">
        <f>IF('Shuttle Bids'!AD872="", "n/a", 'Shuttle Bids'!AD872)</f>
        <v>n/a</v>
      </c>
      <c r="AD15" s="12"/>
      <c r="AE15" s="119" t="str">
        <f>IF('Shuttle Bids'!AF872="", "n/a", 'Shuttle Bids'!AF872)</f>
        <v>n/a</v>
      </c>
      <c r="AF15" s="119" t="str">
        <f>IF('Shuttle Bids'!AG872="", "n/a", 'Shuttle Bids'!AG872)</f>
        <v>n/a</v>
      </c>
      <c r="AG15" s="119" t="str">
        <f>IF('Shuttle Bids'!AH872="", "n/a", 'Shuttle Bids'!AH872)</f>
        <v>n/a</v>
      </c>
      <c r="AH15" s="12"/>
      <c r="AI15" s="119" t="str">
        <f>IF('Shuttle Bids'!AJ872="", "n/a", 'Shuttle Bids'!AJ872)</f>
        <v>n/a</v>
      </c>
      <c r="AJ15" s="119" t="str">
        <f>IF('Shuttle Bids'!AK872="", "n/a", 'Shuttle Bids'!AK872)</f>
        <v>n/a</v>
      </c>
      <c r="AK15" s="119" t="str">
        <f>IF('Shuttle Bids'!AL872="", "n/a", 'Shuttle Bids'!AL872)</f>
        <v>n/a</v>
      </c>
      <c r="AL15" s="12"/>
      <c r="AM15" s="119" t="str">
        <f>IF('Shuttle Bids'!AN872="", "n/a", 'Shuttle Bids'!AN872)</f>
        <v>n/a</v>
      </c>
      <c r="AN15" s="119" t="str">
        <f>IF('Shuttle Bids'!AO872="", "n/a", 'Shuttle Bids'!AO872)</f>
        <v>n/a</v>
      </c>
      <c r="AO15" s="119" t="str">
        <f>IF('Shuttle Bids'!AP872="", "n/a", 'Shuttle Bids'!AP872)</f>
        <v>n/a</v>
      </c>
      <c r="AP15" s="12"/>
      <c r="AQ15" s="119" t="str">
        <f>IF('Shuttle Bids'!AR872="", "n/a", 'Shuttle Bids'!AR872)</f>
        <v>n/a</v>
      </c>
      <c r="AR15" s="119" t="str">
        <f>IF('Shuttle Bids'!AS872="", "n/a", 'Shuttle Bids'!AS872)</f>
        <v>n/a</v>
      </c>
      <c r="AS15" s="119" t="str">
        <f>IF('Shuttle Bids'!AT872="", "n/a", 'Shuttle Bids'!AT872)</f>
        <v>n/a</v>
      </c>
      <c r="AT15" s="12"/>
      <c r="AU15" s="119">
        <f>IF('Shuttle Bids'!AV873="", "n/a", 'Shuttle Bids'!AV873)</f>
        <v>1275</v>
      </c>
      <c r="AV15" s="119">
        <f>IF('Shuttle Bids'!AW873="", "n/a", 'Shuttle Bids'!AW873)</f>
        <v>50</v>
      </c>
      <c r="AW15" s="119">
        <f>IF('Shuttle Bids'!AX873="", "n/a", 'Shuttle Bids'!AX873)</f>
        <v>662.5</v>
      </c>
    </row>
    <row r="16" spans="1:49" ht="15" x14ac:dyDescent="0.25">
      <c r="A16" s="12" t="s">
        <v>109</v>
      </c>
      <c r="B16" s="14"/>
      <c r="C16" s="119" t="str">
        <f>IF('Shuttle Bids'!D873="","n/a",IF('Shuttle Bids'!D872="","n/a",'Shuttle Bids'!D873-'Shuttle Bids'!D872))</f>
        <v>n/a</v>
      </c>
      <c r="D16" s="119">
        <f>IF('Shuttle Bids'!E873="","n/a",IF('Shuttle Bids'!E872="","n/a",'Shuttle Bids'!E873-'Shuttle Bids'!E872))</f>
        <v>-6</v>
      </c>
      <c r="E16" s="119">
        <f>IF('Shuttle Bids'!F873="","n/a",IF('Shuttle Bids'!F872="","n/a",'Shuttle Bids'!F873-'Shuttle Bids'!F872))</f>
        <v>-6</v>
      </c>
      <c r="F16" s="120"/>
      <c r="G16" s="119" t="str">
        <f>IF('Shuttle Bids'!H873="","n/a",IF('Shuttle Bids'!H872="","n/a",'Shuttle Bids'!H873-'Shuttle Bids'!H872))</f>
        <v>n/a</v>
      </c>
      <c r="H16" s="119">
        <f>IF('Shuttle Bids'!I873="","n/a",IF('Shuttle Bids'!I872="","n/a",'Shuttle Bids'!I873-'Shuttle Bids'!I872))</f>
        <v>0</v>
      </c>
      <c r="I16" s="119">
        <f>IF('Shuttle Bids'!J873="","n/a",IF('Shuttle Bids'!J872="","n/a",'Shuttle Bids'!J873-'Shuttle Bids'!J872))</f>
        <v>0</v>
      </c>
      <c r="J16" s="12"/>
      <c r="K16" s="119" t="str">
        <f>IF('Shuttle Bids'!L873="","n/a",IF('Shuttle Bids'!L872="","n/a",'Shuttle Bids'!L873-'Shuttle Bids'!L872))</f>
        <v>n/a</v>
      </c>
      <c r="L16" s="119">
        <f>IF('Shuttle Bids'!M873="","n/a",IF('Shuttle Bids'!M872="","n/a",'Shuttle Bids'!M873-'Shuttle Bids'!M872))</f>
        <v>0</v>
      </c>
      <c r="M16" s="119">
        <f>IF('Shuttle Bids'!N873="","n/a",IF('Shuttle Bids'!N872="","n/a",'Shuttle Bids'!N873-'Shuttle Bids'!N872))</f>
        <v>0</v>
      </c>
      <c r="N16" s="120"/>
      <c r="O16" s="119" t="str">
        <f>IF('Shuttle Bids'!P873="","n/a",IF('Shuttle Bids'!P872="","n/a",'Shuttle Bids'!P873-'Shuttle Bids'!P872))</f>
        <v>n/a</v>
      </c>
      <c r="P16" s="119">
        <f>IF('Shuttle Bids'!Q873="","n/a",IF('Shuttle Bids'!Q872="","n/a",'Shuttle Bids'!Q873-'Shuttle Bids'!Q872))</f>
        <v>0</v>
      </c>
      <c r="Q16" s="119">
        <f>IF('Shuttle Bids'!R873="","n/a",IF('Shuttle Bids'!R872="","n/a",'Shuttle Bids'!R873-'Shuttle Bids'!R872))</f>
        <v>0</v>
      </c>
      <c r="R16" s="120"/>
      <c r="S16" s="119" t="str">
        <f>IF('Shuttle Bids'!T873="","n/a",IF('Shuttle Bids'!T872="","n/a",'Shuttle Bids'!T873-'Shuttle Bids'!T872))</f>
        <v>n/a</v>
      </c>
      <c r="T16" s="119">
        <f>IF('Shuttle Bids'!U873="","n/a",IF('Shuttle Bids'!U872="","n/a",'Shuttle Bids'!U873-'Shuttle Bids'!U872))</f>
        <v>0</v>
      </c>
      <c r="U16" s="119">
        <f>IF('Shuttle Bids'!V873="","n/a",IF('Shuttle Bids'!V872="","n/a",'Shuttle Bids'!V873-'Shuttle Bids'!V872))</f>
        <v>0</v>
      </c>
      <c r="V16" s="12"/>
      <c r="W16" s="119" t="str">
        <f>IF('Shuttle Bids'!X873="","n/a",IF('Shuttle Bids'!X872="","n/a",'Shuttle Bids'!X873-'Shuttle Bids'!X872))</f>
        <v>n/a</v>
      </c>
      <c r="X16" s="119">
        <f>IF('Shuttle Bids'!Y873="","n/a",IF('Shuttle Bids'!Y872="","n/a",'Shuttle Bids'!Y873-'Shuttle Bids'!Y872))</f>
        <v>0</v>
      </c>
      <c r="Y16" s="119">
        <f>IF('Shuttle Bids'!Z873="","n/a",IF('Shuttle Bids'!Z872="","n/a",'Shuttle Bids'!Z873-'Shuttle Bids'!Z872))</f>
        <v>0</v>
      </c>
      <c r="Z16" s="12"/>
      <c r="AA16" s="119" t="str">
        <f>IF('Shuttle Bids'!AB872="","n/a",IF('Shuttle Bids'!AB871="","n/a",'Shuttle Bids'!AB872-'Shuttle Bids'!AB871))</f>
        <v>n/a</v>
      </c>
      <c r="AB16" s="119" t="str">
        <f>IF('Shuttle Bids'!AC872="","n/a",IF('Shuttle Bids'!AC871="","n/a",'Shuttle Bids'!AC872-'Shuttle Bids'!AC871))</f>
        <v>n/a</v>
      </c>
      <c r="AC16" s="119" t="str">
        <f>IF('Shuttle Bids'!AD872="","n/a",IF('Shuttle Bids'!AD871="","n/a",'Shuttle Bids'!AD872-'Shuttle Bids'!AD871))</f>
        <v>n/a</v>
      </c>
      <c r="AD16" s="12"/>
      <c r="AE16" s="119" t="str">
        <f>IF('Shuttle Bids'!AF872="","n/a",IF('Shuttle Bids'!AF871="","n/a",'Shuttle Bids'!AF872-'Shuttle Bids'!AF871))</f>
        <v>n/a</v>
      </c>
      <c r="AF16" s="119" t="str">
        <f>IF('Shuttle Bids'!AG872="","n/a",IF('Shuttle Bids'!AG871="","n/a",'Shuttle Bids'!AG872-'Shuttle Bids'!AG871))</f>
        <v>n/a</v>
      </c>
      <c r="AG16" s="119" t="str">
        <f>IF('Shuttle Bids'!AH872="","n/a",IF('Shuttle Bids'!AH871="","n/a",'Shuttle Bids'!AH872-'Shuttle Bids'!AH871))</f>
        <v>n/a</v>
      </c>
      <c r="AH16" s="12"/>
      <c r="AI16" s="119" t="str">
        <f>IF('Shuttle Bids'!AJ872="","n/a",IF('Shuttle Bids'!AJ871="","n/a",'Shuttle Bids'!AJ872-'Shuttle Bids'!AJ871))</f>
        <v>n/a</v>
      </c>
      <c r="AJ16" s="119" t="str">
        <f>IF('Shuttle Bids'!AK872="","n/a",IF('Shuttle Bids'!AK871="","n/a",'Shuttle Bids'!AK872-'Shuttle Bids'!AK871))</f>
        <v>n/a</v>
      </c>
      <c r="AK16" s="119" t="str">
        <f>IF('Shuttle Bids'!AL872="","n/a",IF('Shuttle Bids'!AL871="","n/a",'Shuttle Bids'!AL872-'Shuttle Bids'!AL871))</f>
        <v>n/a</v>
      </c>
      <c r="AL16" s="84"/>
      <c r="AM16" s="119" t="str">
        <f>IF('Shuttle Bids'!AN872="","n/a",IF('Shuttle Bids'!AN871="","n/a",'Shuttle Bids'!AN872-'Shuttle Bids'!AN871))</f>
        <v>n/a</v>
      </c>
      <c r="AN16" s="119" t="str">
        <f>IF('Shuttle Bids'!AO872="","n/a",IF('Shuttle Bids'!AO871="","n/a",'Shuttle Bids'!AO872-'Shuttle Bids'!AO871))</f>
        <v>n/a</v>
      </c>
      <c r="AO16" s="119" t="str">
        <f>IF('Shuttle Bids'!AP872="","n/a",IF('Shuttle Bids'!AP871="","n/a",'Shuttle Bids'!AP872-'Shuttle Bids'!AP871))</f>
        <v>n/a</v>
      </c>
      <c r="AP16" s="84"/>
      <c r="AQ16" s="119" t="str">
        <f>IF('Shuttle Bids'!AR872="","n/a",IF('Shuttle Bids'!AR871="","n/a",'Shuttle Bids'!AR872-'Shuttle Bids'!AR871))</f>
        <v>n/a</v>
      </c>
      <c r="AR16" s="119" t="str">
        <f>IF('Shuttle Bids'!AS872="","n/a",IF('Shuttle Bids'!AS871="","n/a",'Shuttle Bids'!AS872-'Shuttle Bids'!AS871))</f>
        <v>n/a</v>
      </c>
      <c r="AS16" s="119" t="str">
        <f>IF('Shuttle Bids'!AT872="","n/a",IF('Shuttle Bids'!AT871="","n/a",'Shuttle Bids'!AT872-'Shuttle Bids'!AT871))</f>
        <v>n/a</v>
      </c>
      <c r="AT16" s="84"/>
      <c r="AU16" s="119">
        <f>IF('Shuttle Bids'!AV873="","n/a",IF('Shuttle Bids'!AV872="","n/a",'Shuttle Bids'!AV873-'Shuttle Bids'!AV872))</f>
        <v>292</v>
      </c>
      <c r="AV16" s="119">
        <f>IF('Shuttle Bids'!AW873="","n/a",IF('Shuttle Bids'!AW872="","n/a",'Shuttle Bids'!AW873-'Shuttle Bids'!AW872))</f>
        <v>-38</v>
      </c>
      <c r="AW16" s="119">
        <f>IF('Shuttle Bids'!AX873="","n/a",IF('Shuttle Bids'!AX872="","n/a",'Shuttle Bids'!AX873-'Shuttle Bids'!AX872))</f>
        <v>127</v>
      </c>
    </row>
    <row r="17" spans="1:49" ht="15" x14ac:dyDescent="0.25">
      <c r="A17" s="116" t="s">
        <v>151</v>
      </c>
      <c r="B17" s="14"/>
      <c r="C17" s="119" t="str">
        <f>IF('Shuttle Bids'!D873="","n/a",IF('Shuttle Bids'!D821="","n/a",'Shuttle Bids'!D873-'Shuttle Bids'!D821))</f>
        <v>n/a</v>
      </c>
      <c r="D17" s="119">
        <f>IF('Shuttle Bids'!E873="","n/a",IF('Shuttle Bids'!E821="","n/a",'Shuttle Bids'!E873-'Shuttle Bids'!E821))</f>
        <v>113</v>
      </c>
      <c r="E17" s="119">
        <f>IF('Shuttle Bids'!F873="","n/a",IF('Shuttle Bids'!F821="","n/a",'Shuttle Bids'!F873-'Shuttle Bids'!F821))</f>
        <v>113</v>
      </c>
      <c r="F17" s="12"/>
      <c r="G17" s="119" t="str">
        <f>IF('Shuttle Bids'!H873="","n/a",IF('Shuttle Bids'!H821="","n/a",'Shuttle Bids'!H873-'Shuttle Bids'!H821))</f>
        <v>n/a</v>
      </c>
      <c r="H17" s="119" t="str">
        <f>IF('Shuttle Bids'!I873="","n/a",IF('Shuttle Bids'!I821="","n/a",'Shuttle Bids'!I873-'Shuttle Bids'!I821))</f>
        <v>n/a</v>
      </c>
      <c r="I17" s="119" t="str">
        <f>IF('Shuttle Bids'!J873="","n/a",IF('Shuttle Bids'!J821="","n/a",'Shuttle Bids'!J873-'Shuttle Bids'!J821))</f>
        <v>n/a</v>
      </c>
      <c r="J17" s="12"/>
      <c r="K17" s="119" t="str">
        <f>IF('Shuttle Bids'!L873="","n/a",IF('Shuttle Bids'!L821="","n/a",'Shuttle Bids'!L873-'Shuttle Bids'!L821))</f>
        <v>n/a</v>
      </c>
      <c r="L17" s="119">
        <f>IF('Shuttle Bids'!M873="","n/a",IF('Shuttle Bids'!M821="","n/a",'Shuttle Bids'!M873-'Shuttle Bids'!M821))</f>
        <v>150</v>
      </c>
      <c r="M17" s="119">
        <f>IF('Shuttle Bids'!N873="","n/a",IF('Shuttle Bids'!N821="","n/a",'Shuttle Bids'!N873-'Shuttle Bids'!N821))</f>
        <v>68.5</v>
      </c>
      <c r="N17" s="12"/>
      <c r="O17" s="119" t="str">
        <f>IF('Shuttle Bids'!P873="","n/a",IF('Shuttle Bids'!P821="","n/a",'Shuttle Bids'!P873-'Shuttle Bids'!P821))</f>
        <v>n/a</v>
      </c>
      <c r="P17" s="119" t="str">
        <f>IF('Shuttle Bids'!Q873="","n/a",IF('Shuttle Bids'!Q821="","n/a",'Shuttle Bids'!Q873-'Shuttle Bids'!Q821))</f>
        <v>n/a</v>
      </c>
      <c r="Q17" s="119" t="str">
        <f>IF('Shuttle Bids'!R873="","n/a",IF('Shuttle Bids'!R821="","n/a",'Shuttle Bids'!R873-'Shuttle Bids'!R821))</f>
        <v>n/a</v>
      </c>
      <c r="R17" s="12"/>
      <c r="S17" s="119" t="str">
        <f>IF('Shuttle Bids'!T873="","n/a",IF('Shuttle Bids'!T821="","n/a",'Shuttle Bids'!T873-'Shuttle Bids'!T821))</f>
        <v>n/a</v>
      </c>
      <c r="T17" s="119" t="str">
        <f>IF('Shuttle Bids'!U873="","n/a",IF('Shuttle Bids'!U821="","n/a",'Shuttle Bids'!U873-'Shuttle Bids'!U821))</f>
        <v>n/a</v>
      </c>
      <c r="U17" s="119" t="str">
        <f>IF('Shuttle Bids'!V873="","n/a",IF('Shuttle Bids'!V821="","n/a",'Shuttle Bids'!V873-'Shuttle Bids'!V821))</f>
        <v>n/a</v>
      </c>
      <c r="V17" s="12"/>
      <c r="W17" s="119" t="str">
        <f>IF('Shuttle Bids'!X873="","n/a",IF('Shuttle Bids'!X821="","n/a",'Shuttle Bids'!X873-'Shuttle Bids'!X821))</f>
        <v>n/a</v>
      </c>
      <c r="X17" s="119">
        <f>IF('Shuttle Bids'!Y873="","n/a",IF('Shuttle Bids'!Y821="","n/a",'Shuttle Bids'!Y873-'Shuttle Bids'!Y821))</f>
        <v>0</v>
      </c>
      <c r="Y17" s="119">
        <f>IF('Shuttle Bids'!Z873="","n/a",IF('Shuttle Bids'!Z821="","n/a",'Shuttle Bids'!Z873-'Shuttle Bids'!Z821))</f>
        <v>0</v>
      </c>
      <c r="Z17" s="12"/>
      <c r="AA17" s="119" t="str">
        <f>IF('Shuttle Bids'!AB872="","n/a",IF('Shuttle Bids'!AB820="","n/a",'Shuttle Bids'!AB872-'Shuttle Bids'!AB820))</f>
        <v>n/a</v>
      </c>
      <c r="AB17" s="119" t="str">
        <f>IF('Shuttle Bids'!AC872="","n/a",IF('Shuttle Bids'!AC820="","n/a",'Shuttle Bids'!AC872-'Shuttle Bids'!AC820))</f>
        <v>n/a</v>
      </c>
      <c r="AC17" s="119" t="str">
        <f>IF('Shuttle Bids'!AD872="","n/a",IF('Shuttle Bids'!AD820="","n/a",'Shuttle Bids'!AD872-'Shuttle Bids'!AD820))</f>
        <v>n/a</v>
      </c>
      <c r="AD17" s="12"/>
      <c r="AE17" s="119" t="str">
        <f>IF('Shuttle Bids'!AF872="","n/a",IF('Shuttle Bids'!AF820="","n/a",'Shuttle Bids'!AF872-'Shuttle Bids'!AF820))</f>
        <v>n/a</v>
      </c>
      <c r="AF17" s="119" t="str">
        <f>IF('Shuttle Bids'!AG872="","n/a",IF('Shuttle Bids'!AG820="","n/a",'Shuttle Bids'!AG872-'Shuttle Bids'!AG820))</f>
        <v>n/a</v>
      </c>
      <c r="AG17" s="119" t="str">
        <f>IF('Shuttle Bids'!AH872="","n/a",IF('Shuttle Bids'!AH820="","n/a",'Shuttle Bids'!AH872-'Shuttle Bids'!AH820))</f>
        <v>n/a</v>
      </c>
      <c r="AH17" s="12"/>
      <c r="AI17" s="119" t="str">
        <f>IF('Shuttle Bids'!AJ872="","n/a",IF('Shuttle Bids'!AJ820="","n/a",'Shuttle Bids'!AJ872-'Shuttle Bids'!AJ820))</f>
        <v>n/a</v>
      </c>
      <c r="AJ17" s="119" t="str">
        <f>IF('Shuttle Bids'!AK872="","n/a",IF('Shuttle Bids'!AK820="","n/a",'Shuttle Bids'!AK872-'Shuttle Bids'!AK820))</f>
        <v>n/a</v>
      </c>
      <c r="AK17" s="119" t="str">
        <f>IF('Shuttle Bids'!AL872="","n/a",IF('Shuttle Bids'!AL820="","n/a",'Shuttle Bids'!AL872-'Shuttle Bids'!AL820))</f>
        <v>n/a</v>
      </c>
      <c r="AL17" s="84"/>
      <c r="AM17" s="119" t="str">
        <f>IF('Shuttle Bids'!AN872="","n/a",IF('Shuttle Bids'!AN820="","n/a",'Shuttle Bids'!AN872-'Shuttle Bids'!AN820))</f>
        <v>n/a</v>
      </c>
      <c r="AN17" s="119" t="str">
        <f>IF('Shuttle Bids'!AO872="","n/a",IF('Shuttle Bids'!AO820="","n/a",'Shuttle Bids'!AO872-'Shuttle Bids'!AO820))</f>
        <v>n/a</v>
      </c>
      <c r="AO17" s="119" t="str">
        <f>IF('Shuttle Bids'!AP872="","n/a",IF('Shuttle Bids'!AP820="","n/a",'Shuttle Bids'!AP872-'Shuttle Bids'!AP820))</f>
        <v>n/a</v>
      </c>
      <c r="AP17" s="84"/>
      <c r="AQ17" s="119" t="str">
        <f>IF('Shuttle Bids'!AR872="","n/a",IF('Shuttle Bids'!AR820="","n/a",'Shuttle Bids'!AR872-'Shuttle Bids'!AR820))</f>
        <v>n/a</v>
      </c>
      <c r="AR17" s="119" t="str">
        <f>IF('Shuttle Bids'!AS872="","n/a",IF('Shuttle Bids'!AS820="","n/a",'Shuttle Bids'!AS872-'Shuttle Bids'!AS820))</f>
        <v>n/a</v>
      </c>
      <c r="AS17" s="119" t="str">
        <f>IF('Shuttle Bids'!AT872="","n/a",IF('Shuttle Bids'!AT820="","n/a",'Shuttle Bids'!AT872-'Shuttle Bids'!AT820))</f>
        <v>n/a</v>
      </c>
      <c r="AT17" s="84"/>
      <c r="AU17" s="119">
        <f>IF('Shuttle Bids'!AV873="","n/a",IF('Shuttle Bids'!AV821="","n/a",'Shuttle Bids'!AV873-'Shuttle Bids'!AV821))</f>
        <v>1496</v>
      </c>
      <c r="AV17" s="119">
        <f>IF('Shuttle Bids'!AW873="","n/a",IF('Shuttle Bids'!AW821="","n/a",'Shuttle Bids'!AW873-'Shuttle Bids'!AW821))</f>
        <v>175</v>
      </c>
      <c r="AW17" s="119">
        <f>IF('Shuttle Bids'!AX873="","n/a",IF('Shuttle Bids'!AX821="","n/a",'Shuttle Bids'!AX873-'Shuttle Bids'!AX821))</f>
        <v>835.5</v>
      </c>
    </row>
    <row r="18" spans="1:49" ht="15" x14ac:dyDescent="0.25">
      <c r="A18" s="12" t="s">
        <v>144</v>
      </c>
      <c r="B18" s="14"/>
      <c r="C18" s="150">
        <f>IF('Shuttle Bids'!F873="","n/a",'Shuttle Bids'!F873)</f>
        <v>13</v>
      </c>
      <c r="D18" s="150"/>
      <c r="E18" s="121"/>
      <c r="F18" s="12"/>
      <c r="G18" s="150">
        <f>IF('Shuttle Bids'!J873="","n/a",'Shuttle Bids'!J873)</f>
        <v>100</v>
      </c>
      <c r="H18" s="150"/>
      <c r="I18" s="121"/>
      <c r="J18" s="12"/>
      <c r="K18" s="150">
        <f>IF('Shuttle Bids'!N873="","n/a",'Shuttle Bids'!N873)</f>
        <v>0</v>
      </c>
      <c r="L18" s="150"/>
      <c r="M18" s="121"/>
      <c r="N18" s="122"/>
      <c r="O18" s="150">
        <f>IF('Shuttle Bids'!R873="","n/a",'Shuttle Bids'!R873)</f>
        <v>-100</v>
      </c>
      <c r="P18" s="150"/>
      <c r="Q18" s="121"/>
      <c r="R18" s="122"/>
      <c r="S18" s="150">
        <f>IF('Shuttle Bids'!V873="","n/a",'Shuttle Bids'!V873)</f>
        <v>-100</v>
      </c>
      <c r="T18" s="150"/>
      <c r="U18" s="121"/>
      <c r="V18" s="122"/>
      <c r="W18" s="150">
        <f>IF('Shuttle Bids'!Z873="","n/a",'Shuttle Bids'!Z873)</f>
        <v>-100</v>
      </c>
      <c r="X18" s="150"/>
      <c r="Y18" s="121"/>
      <c r="Z18" s="122"/>
      <c r="AA18" s="150" t="str">
        <f>IF('Shuttle Bids'!AD872="","n/a",'Shuttle Bids'!AD872)</f>
        <v>n/a</v>
      </c>
      <c r="AB18" s="150"/>
      <c r="AC18" s="121"/>
      <c r="AD18" s="122"/>
      <c r="AE18" s="150" t="str">
        <f>IF('Shuttle Bids'!AH872="","n/a",'Shuttle Bids'!AH872)</f>
        <v>n/a</v>
      </c>
      <c r="AF18" s="150"/>
      <c r="AG18" s="121"/>
      <c r="AH18" s="122"/>
      <c r="AI18" s="150" t="str">
        <f>IF('Shuttle Bids'!AL872="","n/a",'Shuttle Bids'!AL872)</f>
        <v>n/a</v>
      </c>
      <c r="AJ18" s="150"/>
      <c r="AK18" s="121"/>
      <c r="AL18" s="123"/>
      <c r="AM18" s="150" t="str">
        <f>IF('Shuttle Bids'!AP872="","n/a",'Shuttle Bids'!AP872)</f>
        <v>n/a</v>
      </c>
      <c r="AN18" s="150"/>
      <c r="AO18" s="121"/>
      <c r="AP18" s="123"/>
      <c r="AQ18" s="150" t="str">
        <f>IF('Shuttle Bids'!AT872="","n/a",'Shuttle Bids'!AT872)</f>
        <v>n/a</v>
      </c>
      <c r="AR18" s="150"/>
      <c r="AS18" s="121"/>
      <c r="AT18" s="123"/>
      <c r="AU18" s="150">
        <f>IF('Shuttle Bids'!AX873="","n/a",'Shuttle Bids'!AX873)</f>
        <v>662.5</v>
      </c>
      <c r="AV18" s="150"/>
      <c r="AW18" s="121"/>
    </row>
    <row r="19" spans="1:49" ht="15" x14ac:dyDescent="0.25">
      <c r="A19" s="117" t="s">
        <v>145</v>
      </c>
      <c r="B19" s="14"/>
      <c r="C19" s="151">
        <f>IF('Shuttle Bids'!F873="","n/a",IF('Shuttle Bids'!F872="","n/a",'Shuttle Bids'!F873-'Shuttle Bids'!F872))</f>
        <v>-6</v>
      </c>
      <c r="D19" s="151"/>
      <c r="E19" s="124"/>
      <c r="F19" s="12"/>
      <c r="G19" s="151">
        <f>IF('Shuttle Bids'!J873="","n/a",IF('Shuttle Bids'!J872="","n/a",'Shuttle Bids'!J873-'Shuttle Bids'!J872))</f>
        <v>0</v>
      </c>
      <c r="H19" s="151"/>
      <c r="I19" s="124"/>
      <c r="J19" s="12"/>
      <c r="K19" s="151">
        <f>IF('Shuttle Bids'!N873="","n/a",IF('Shuttle Bids'!N872="","n/a",'Shuttle Bids'!N873-'Shuttle Bids'!N872))</f>
        <v>0</v>
      </c>
      <c r="L19" s="151"/>
      <c r="M19" s="124"/>
      <c r="N19" s="125"/>
      <c r="O19" s="151">
        <f>IF('Shuttle Bids'!R873="","n/a",IF('Shuttle Bids'!R872="","n/a",'Shuttle Bids'!R873-'Shuttle Bids'!R872))</f>
        <v>0</v>
      </c>
      <c r="P19" s="151"/>
      <c r="Q19" s="124"/>
      <c r="R19" s="125"/>
      <c r="S19" s="151">
        <f>IF('Shuttle Bids'!V873="","n/a",IF('Shuttle Bids'!V872="","n/a",'Shuttle Bids'!V873-'Shuttle Bids'!V872))</f>
        <v>0</v>
      </c>
      <c r="T19" s="151"/>
      <c r="U19" s="124"/>
      <c r="V19" s="125"/>
      <c r="W19" s="151">
        <f>IF('Shuttle Bids'!Z873="","n/a",IF('Shuttle Bids'!Z872="","n/a",'Shuttle Bids'!Z873-'Shuttle Bids'!Z872))</f>
        <v>0</v>
      </c>
      <c r="X19" s="151"/>
      <c r="Y19" s="124"/>
      <c r="Z19" s="125"/>
      <c r="AA19" s="151" t="str">
        <f>IF('Shuttle Bids'!AD872="","n/a",IF('Shuttle Bids'!AD871="","n/a",'Shuttle Bids'!AD872-'Shuttle Bids'!AD871))</f>
        <v>n/a</v>
      </c>
      <c r="AB19" s="151"/>
      <c r="AC19" s="124"/>
      <c r="AD19" s="126"/>
      <c r="AE19" s="151" t="str">
        <f>IF('Shuttle Bids'!AH872="","n/a",IF('Shuttle Bids'!AH871="","n/a",'Shuttle Bids'!AH872-'Shuttle Bids'!AH871))</f>
        <v>n/a</v>
      </c>
      <c r="AF19" s="151"/>
      <c r="AG19" s="124"/>
      <c r="AH19" s="126"/>
      <c r="AI19" s="151" t="str">
        <f>IF('Shuttle Bids'!AL872="","n/a",IF('Shuttle Bids'!AL871="","n/a",'Shuttle Bids'!AL872-'Shuttle Bids'!AL871))</f>
        <v>n/a</v>
      </c>
      <c r="AJ19" s="151"/>
      <c r="AK19" s="124"/>
      <c r="AL19" s="127"/>
      <c r="AM19" s="151" t="str">
        <f>IF('Shuttle Bids'!AP872="","n/a",IF('Shuttle Bids'!AP871="","n/a",'Shuttle Bids'!AP872-'Shuttle Bids'!AP871))</f>
        <v>n/a</v>
      </c>
      <c r="AN19" s="151"/>
      <c r="AO19" s="124"/>
      <c r="AP19" s="127"/>
      <c r="AQ19" s="151" t="str">
        <f>IF('Shuttle Bids'!AT872="","n/a",IF('Shuttle Bids'!AT871="","n/a",'Shuttle Bids'!AT872-'Shuttle Bids'!AT871))</f>
        <v>n/a</v>
      </c>
      <c r="AR19" s="151"/>
      <c r="AS19" s="124"/>
      <c r="AT19" s="127"/>
      <c r="AU19" s="151">
        <f>IF('Shuttle Bids'!AX873="","n/a",IF('Shuttle Bids'!AX872="","n/a",'Shuttle Bids'!AX873-'Shuttle Bids'!AX872))</f>
        <v>127</v>
      </c>
      <c r="AV19" s="151"/>
      <c r="AW19" s="124"/>
    </row>
    <row r="20" spans="1:49" ht="15" x14ac:dyDescent="0.25">
      <c r="A20" s="12" t="s">
        <v>146</v>
      </c>
      <c r="B20" s="14"/>
      <c r="C20" s="150">
        <f>IF('Shuttle Bids'!F873="","n/a",IF('Shuttle Bids'!F869="","n/a",'Shuttle Bids'!F873-'Shuttle Bids'!F869))</f>
        <v>13</v>
      </c>
      <c r="D20" s="150"/>
      <c r="E20" s="128"/>
      <c r="F20" s="12"/>
      <c r="G20" s="150" t="str">
        <f>IF('Shuttle Bids'!J873="","n/a",IF('Shuttle Bids'!J869="","n/a",'Shuttle Bids'!J873-'Shuttle Bids'!J869))</f>
        <v>n/a</v>
      </c>
      <c r="H20" s="150"/>
      <c r="I20" s="128"/>
      <c r="J20" s="12"/>
      <c r="K20" s="150" t="str">
        <f>IF('Shuttle Bids'!N873="","n/a",IF('Shuttle Bids'!N869="","n/a",'Shuttle Bids'!N873-'Shuttle Bids'!N869))</f>
        <v>n/a</v>
      </c>
      <c r="L20" s="150"/>
      <c r="M20" s="128"/>
      <c r="N20" s="129"/>
      <c r="O20" s="150" t="str">
        <f>IF('Shuttle Bids'!R873="","n/a",IF('Shuttle Bids'!R869="","n/a",'Shuttle Bids'!R873-'Shuttle Bids'!R869))</f>
        <v>n/a</v>
      </c>
      <c r="P20" s="150"/>
      <c r="Q20" s="128"/>
      <c r="R20" s="129"/>
      <c r="S20" s="150" t="str">
        <f>IF('Shuttle Bids'!V873="","n/a",IF('Shuttle Bids'!V869="","n/a",'Shuttle Bids'!V873-'Shuttle Bids'!V869))</f>
        <v>n/a</v>
      </c>
      <c r="T20" s="150"/>
      <c r="U20" s="128"/>
      <c r="V20" s="129"/>
      <c r="W20" s="150" t="str">
        <f>IF('Shuttle Bids'!Z873="","n/a",IF('Shuttle Bids'!Z869="","n/a",'Shuttle Bids'!Z873-'Shuttle Bids'!Z869))</f>
        <v>n/a</v>
      </c>
      <c r="X20" s="150"/>
      <c r="Y20" s="128"/>
      <c r="Z20" s="129"/>
      <c r="AA20" s="150" t="str">
        <f>IF('Shuttle Bids'!AD872="","n/a",IF('Shuttle Bids'!AD868="","n/a",'Shuttle Bids'!AD872-'Shuttle Bids'!AD868))</f>
        <v>n/a</v>
      </c>
      <c r="AB20" s="150"/>
      <c r="AC20" s="128"/>
      <c r="AD20" s="129"/>
      <c r="AE20" s="150" t="str">
        <f>IF('Shuttle Bids'!AH872="","n/a",IF('Shuttle Bids'!AH868="","n/a",'Shuttle Bids'!AH872-'Shuttle Bids'!AH868))</f>
        <v>n/a</v>
      </c>
      <c r="AF20" s="150"/>
      <c r="AG20" s="128"/>
      <c r="AH20" s="129"/>
      <c r="AI20" s="150" t="str">
        <f>IF('Shuttle Bids'!AL872="","n/a",IF('Shuttle Bids'!AL868="","n/a",'Shuttle Bids'!AL872-'Shuttle Bids'!AL868))</f>
        <v>n/a</v>
      </c>
      <c r="AJ20" s="150"/>
      <c r="AK20" s="128"/>
      <c r="AL20" s="130"/>
      <c r="AM20" s="150" t="str">
        <f>IF('Shuttle Bids'!AP872="","n/a",IF('Shuttle Bids'!AP868="","n/a",'Shuttle Bids'!AP872-'Shuttle Bids'!AP868))</f>
        <v>n/a</v>
      </c>
      <c r="AN20" s="150"/>
      <c r="AO20" s="128"/>
      <c r="AP20" s="130"/>
      <c r="AQ20" s="150" t="str">
        <f>IF('Shuttle Bids'!AT872="","n/a",IF('Shuttle Bids'!AT868="","n/a",'Shuttle Bids'!AT872-'Shuttle Bids'!AT868))</f>
        <v>n/a</v>
      </c>
      <c r="AR20" s="150"/>
      <c r="AS20" s="128"/>
      <c r="AT20" s="130"/>
      <c r="AU20" s="150">
        <f>IF('Shuttle Bids'!AX873="","n/a",IF('Shuttle Bids'!AX869="","n/a",'Shuttle Bids'!AX873-'Shuttle Bids'!AX869))</f>
        <v>-212.5</v>
      </c>
      <c r="AV20" s="150"/>
      <c r="AW20" s="128"/>
    </row>
    <row r="21" spans="1:49" ht="15" x14ac:dyDescent="0.25">
      <c r="A21" s="12"/>
      <c r="B21" s="14"/>
      <c r="C21" s="131"/>
      <c r="D21" s="131"/>
      <c r="E21" s="130"/>
      <c r="F21" s="84"/>
      <c r="G21" s="131"/>
      <c r="H21" s="131"/>
      <c r="I21" s="130"/>
      <c r="J21" s="84"/>
      <c r="K21" s="131"/>
      <c r="L21" s="131"/>
      <c r="M21" s="130"/>
      <c r="N21" s="130"/>
      <c r="O21" s="131"/>
      <c r="P21" s="131"/>
      <c r="Q21" s="130"/>
      <c r="R21" s="130"/>
      <c r="S21" s="131"/>
      <c r="T21" s="131"/>
      <c r="U21" s="130"/>
      <c r="V21" s="130"/>
      <c r="W21" s="131"/>
      <c r="X21" s="131"/>
      <c r="Y21" s="130"/>
      <c r="Z21" s="130"/>
      <c r="AA21" s="132"/>
      <c r="AB21" s="132"/>
      <c r="AC21" s="133"/>
      <c r="AD21" s="130"/>
      <c r="AE21" s="130"/>
      <c r="AF21" s="130"/>
      <c r="AG21" s="130"/>
      <c r="AH21" s="130"/>
      <c r="AI21" s="131"/>
      <c r="AJ21" s="131"/>
      <c r="AK21" s="130"/>
      <c r="AL21" s="130"/>
      <c r="AM21" s="131"/>
      <c r="AN21" s="131"/>
      <c r="AO21" s="130"/>
      <c r="AP21" s="130"/>
      <c r="AQ21" s="131"/>
      <c r="AR21" s="131"/>
      <c r="AS21" s="130"/>
      <c r="AT21" s="130"/>
      <c r="AU21" s="131"/>
      <c r="AV21" s="131"/>
      <c r="AW21" s="130"/>
    </row>
    <row r="22" spans="1:49" ht="15" x14ac:dyDescent="0.25">
      <c r="A22" s="12"/>
      <c r="B22" s="14"/>
      <c r="C22" s="134" t="s">
        <v>155</v>
      </c>
      <c r="D22" s="135"/>
      <c r="E22" s="135"/>
      <c r="F22" s="12"/>
      <c r="G22" s="134" t="s">
        <v>155</v>
      </c>
      <c r="H22" s="135"/>
      <c r="I22" s="135"/>
      <c r="J22" s="12"/>
      <c r="K22" s="134" t="s">
        <v>155</v>
      </c>
      <c r="L22" s="135"/>
      <c r="M22" s="135"/>
      <c r="N22" s="12"/>
      <c r="O22" s="134" t="s">
        <v>155</v>
      </c>
      <c r="P22" s="135"/>
      <c r="Q22" s="135"/>
      <c r="R22" s="12"/>
      <c r="S22" s="134" t="s">
        <v>155</v>
      </c>
      <c r="T22" s="135"/>
      <c r="U22" s="135"/>
      <c r="V22" s="12"/>
      <c r="W22" s="134" t="s">
        <v>155</v>
      </c>
      <c r="X22" s="135"/>
      <c r="Y22" s="135"/>
      <c r="Z22" s="12"/>
      <c r="AA22" s="134" t="s">
        <v>155</v>
      </c>
      <c r="AB22" s="134"/>
      <c r="AC22" s="134"/>
      <c r="AD22" s="12"/>
      <c r="AE22" s="134" t="s">
        <v>155</v>
      </c>
      <c r="AF22" s="135"/>
      <c r="AG22" s="135"/>
      <c r="AH22" s="12"/>
      <c r="AI22" s="134" t="s">
        <v>155</v>
      </c>
      <c r="AJ22" s="135"/>
      <c r="AK22" s="135"/>
      <c r="AL22" s="12"/>
      <c r="AM22" s="134" t="s">
        <v>155</v>
      </c>
      <c r="AN22" s="135"/>
      <c r="AO22" s="135"/>
      <c r="AP22" s="12"/>
      <c r="AQ22" s="134" t="s">
        <v>155</v>
      </c>
      <c r="AR22" s="135"/>
      <c r="AS22" s="135"/>
      <c r="AT22" s="12"/>
      <c r="AU22" s="134" t="s">
        <v>155</v>
      </c>
      <c r="AV22" s="135"/>
      <c r="AW22" s="135"/>
    </row>
    <row r="23" spans="1:49" ht="15" x14ac:dyDescent="0.25">
      <c r="A23" s="118" t="s">
        <v>140</v>
      </c>
      <c r="B23" s="14"/>
      <c r="C23" s="149">
        <f>MAX('Shuttle Bids'!F850:F880)</f>
        <v>325</v>
      </c>
      <c r="D23" s="149"/>
      <c r="E23" s="143" t="s">
        <v>255</v>
      </c>
      <c r="F23" s="12"/>
      <c r="G23" s="149">
        <f>MAX('Shuttle Bids'!J854:J884)</f>
        <v>100</v>
      </c>
      <c r="H23" s="149"/>
      <c r="I23" s="143" t="s">
        <v>256</v>
      </c>
      <c r="J23" s="12"/>
      <c r="K23" s="149">
        <f>MAX('Shuttle Bids'!N858:N888)</f>
        <v>0</v>
      </c>
      <c r="L23" s="149"/>
      <c r="M23" s="143" t="s">
        <v>257</v>
      </c>
      <c r="N23" s="125"/>
      <c r="O23" s="149">
        <f>MAX('Shuttle Bids'!R863:R893)</f>
        <v>-100</v>
      </c>
      <c r="P23" s="149"/>
      <c r="Q23" s="143" t="s">
        <v>258</v>
      </c>
      <c r="R23" s="125"/>
      <c r="S23" s="149">
        <f>MAX('Shuttle Bids'!V867:V897)</f>
        <v>-100</v>
      </c>
      <c r="T23" s="149"/>
      <c r="U23" s="143" t="s">
        <v>259</v>
      </c>
      <c r="V23" s="125"/>
      <c r="W23" s="149">
        <f>MAX('Shuttle Bids'!Z871:Z901)</f>
        <v>-100</v>
      </c>
      <c r="X23" s="149"/>
      <c r="Y23" s="143" t="s">
        <v>260</v>
      </c>
      <c r="Z23" s="125"/>
      <c r="AA23" s="149">
        <f>MAX('Shuttle Bids'!AD876:AD906)</f>
        <v>0</v>
      </c>
      <c r="AB23" s="149"/>
      <c r="AC23" s="143" t="s">
        <v>261</v>
      </c>
      <c r="AD23" s="125"/>
      <c r="AE23" s="149">
        <f>MAX('Shuttle Bids'!AH880:AH910)</f>
        <v>0</v>
      </c>
      <c r="AF23" s="149"/>
      <c r="AG23" s="143" t="s">
        <v>262</v>
      </c>
      <c r="AH23" s="125"/>
      <c r="AI23" s="149">
        <f>MAX('Shuttle Bids'!AL884:AL914)</f>
        <v>0</v>
      </c>
      <c r="AJ23" s="149"/>
      <c r="AK23" s="143" t="s">
        <v>292</v>
      </c>
      <c r="AL23" s="131"/>
      <c r="AM23" s="149">
        <f>MAX('Shuttle Bids'!AP889:AP919)</f>
        <v>0</v>
      </c>
      <c r="AN23" s="149"/>
      <c r="AO23" s="143" t="s">
        <v>293</v>
      </c>
      <c r="AP23" s="131"/>
      <c r="AQ23" s="149">
        <f>MAX('Shuttle Bids'!AT893:AT923)</f>
        <v>0</v>
      </c>
      <c r="AR23" s="149"/>
      <c r="AS23" s="143" t="s">
        <v>295</v>
      </c>
      <c r="AT23" s="131"/>
      <c r="AU23" s="149">
        <f>MAX('Shuttle Bids'!AX845:AX875)</f>
        <v>875</v>
      </c>
      <c r="AV23" s="149"/>
      <c r="AW23" s="142" t="s">
        <v>254</v>
      </c>
    </row>
    <row r="24" spans="1:49" ht="15" x14ac:dyDescent="0.25">
      <c r="A24" s="117" t="s">
        <v>141</v>
      </c>
      <c r="B24" s="14"/>
      <c r="C24" s="149">
        <f>C18-C23</f>
        <v>-312</v>
      </c>
      <c r="D24" s="149"/>
      <c r="E24" s="142"/>
      <c r="F24" s="12"/>
      <c r="G24" s="149">
        <f>G18-G23</f>
        <v>0</v>
      </c>
      <c r="H24" s="149"/>
      <c r="I24" s="142"/>
      <c r="J24" s="12"/>
      <c r="K24" s="149">
        <f>K18-K23</f>
        <v>0</v>
      </c>
      <c r="L24" s="149"/>
      <c r="M24" s="142"/>
      <c r="N24" s="125"/>
      <c r="O24" s="149">
        <f>O18-O23</f>
        <v>0</v>
      </c>
      <c r="P24" s="149"/>
      <c r="Q24" s="142"/>
      <c r="R24" s="125"/>
      <c r="S24" s="149">
        <f>S18-S23</f>
        <v>0</v>
      </c>
      <c r="T24" s="149"/>
      <c r="U24" s="142"/>
      <c r="V24" s="125"/>
      <c r="W24" s="149">
        <f>W18-W23</f>
        <v>0</v>
      </c>
      <c r="X24" s="149"/>
      <c r="Y24" s="142"/>
      <c r="Z24" s="125"/>
      <c r="AA24" s="149" t="e">
        <f>AA18-AA23</f>
        <v>#VALUE!</v>
      </c>
      <c r="AB24" s="149"/>
      <c r="AC24" s="142"/>
      <c r="AD24" s="125"/>
      <c r="AE24" s="149" t="e">
        <f>AE18-AE23</f>
        <v>#VALUE!</v>
      </c>
      <c r="AF24" s="149"/>
      <c r="AG24" s="142"/>
      <c r="AH24" s="125"/>
      <c r="AI24" s="149" t="e">
        <f>AI18-AI23</f>
        <v>#VALUE!</v>
      </c>
      <c r="AJ24" s="149"/>
      <c r="AK24" s="142"/>
      <c r="AL24" s="131"/>
      <c r="AM24" s="149" t="e">
        <f>AM18-AM23</f>
        <v>#VALUE!</v>
      </c>
      <c r="AN24" s="149"/>
      <c r="AO24" s="142"/>
      <c r="AP24" s="131"/>
      <c r="AQ24" s="149" t="e">
        <f>AQ18-AQ23</f>
        <v>#VALUE!</v>
      </c>
      <c r="AR24" s="149"/>
      <c r="AS24" s="142"/>
      <c r="AT24" s="131"/>
      <c r="AU24" s="149">
        <f>AU18-AU23</f>
        <v>-212.5</v>
      </c>
      <c r="AV24" s="149"/>
      <c r="AW24" s="142"/>
    </row>
  </sheetData>
  <mergeCells count="120">
    <mergeCell ref="C6:D6"/>
    <mergeCell ref="G6:H6"/>
    <mergeCell ref="G7:H7"/>
    <mergeCell ref="C7:D7"/>
    <mergeCell ref="AQ6:AR6"/>
    <mergeCell ref="AM6:AN6"/>
    <mergeCell ref="AI6:AJ6"/>
    <mergeCell ref="W6:X6"/>
    <mergeCell ref="AE7:AF7"/>
    <mergeCell ref="AA7:AB7"/>
    <mergeCell ref="O6:P6"/>
    <mergeCell ref="O7:P7"/>
    <mergeCell ref="K7:L7"/>
    <mergeCell ref="K6:L6"/>
    <mergeCell ref="S6:T6"/>
    <mergeCell ref="S7:T7"/>
    <mergeCell ref="AA6:AB6"/>
    <mergeCell ref="AI8:AJ8"/>
    <mergeCell ref="AM8:AN8"/>
    <mergeCell ref="AQ8:AR8"/>
    <mergeCell ref="AE18:AF18"/>
    <mergeCell ref="AU8:AV8"/>
    <mergeCell ref="AU6:AV6"/>
    <mergeCell ref="AU7:AV7"/>
    <mergeCell ref="AM7:AN7"/>
    <mergeCell ref="AI7:AJ7"/>
    <mergeCell ref="AQ7:AR7"/>
    <mergeCell ref="AU11:AV11"/>
    <mergeCell ref="AU18:AV18"/>
    <mergeCell ref="AI12:AJ12"/>
    <mergeCell ref="AQ12:AR12"/>
    <mergeCell ref="AI18:AJ18"/>
    <mergeCell ref="AQ18:AR18"/>
    <mergeCell ref="AI11:AJ11"/>
    <mergeCell ref="AM11:AN11"/>
    <mergeCell ref="AQ11:AR11"/>
    <mergeCell ref="O18:P18"/>
    <mergeCell ref="S12:T12"/>
    <mergeCell ref="AE6:AF6"/>
    <mergeCell ref="W7:X7"/>
    <mergeCell ref="W18:X18"/>
    <mergeCell ref="S18:T18"/>
    <mergeCell ref="AE12:AF12"/>
    <mergeCell ref="AE8:AF8"/>
    <mergeCell ref="AA11:AB11"/>
    <mergeCell ref="AE11:AF11"/>
    <mergeCell ref="AA12:AB12"/>
    <mergeCell ref="AA18:AB18"/>
    <mergeCell ref="AA8:AB8"/>
    <mergeCell ref="O8:P8"/>
    <mergeCell ref="S8:T8"/>
    <mergeCell ref="G12:H12"/>
    <mergeCell ref="C11:D11"/>
    <mergeCell ref="K11:L11"/>
    <mergeCell ref="C8:D8"/>
    <mergeCell ref="W8:X8"/>
    <mergeCell ref="AU19:AV19"/>
    <mergeCell ref="AU12:AV12"/>
    <mergeCell ref="AM12:AN12"/>
    <mergeCell ref="AM18:AN18"/>
    <mergeCell ref="AQ19:AR19"/>
    <mergeCell ref="G8:H8"/>
    <mergeCell ref="C12:D12"/>
    <mergeCell ref="S11:T11"/>
    <mergeCell ref="K12:L12"/>
    <mergeCell ref="O11:P11"/>
    <mergeCell ref="AI19:AJ19"/>
    <mergeCell ref="C18:D18"/>
    <mergeCell ref="G18:H18"/>
    <mergeCell ref="K8:L8"/>
    <mergeCell ref="G11:H11"/>
    <mergeCell ref="W11:X11"/>
    <mergeCell ref="W12:X12"/>
    <mergeCell ref="K18:L18"/>
    <mergeCell ref="O12:P12"/>
    <mergeCell ref="AQ24:AR24"/>
    <mergeCell ref="AM24:AN24"/>
    <mergeCell ref="AU20:AV20"/>
    <mergeCell ref="AQ20:AR20"/>
    <mergeCell ref="AM20:AN20"/>
    <mergeCell ref="AU23:AV23"/>
    <mergeCell ref="AU24:AV24"/>
    <mergeCell ref="AQ23:AR23"/>
    <mergeCell ref="AM19:AN19"/>
    <mergeCell ref="AM23:AN23"/>
    <mergeCell ref="AI24:AJ24"/>
    <mergeCell ref="S23:T23"/>
    <mergeCell ref="S24:T24"/>
    <mergeCell ref="AE19:AF19"/>
    <mergeCell ref="AA19:AB19"/>
    <mergeCell ref="K19:L19"/>
    <mergeCell ref="O24:P24"/>
    <mergeCell ref="AE24:AF24"/>
    <mergeCell ref="W24:X24"/>
    <mergeCell ref="W23:X23"/>
    <mergeCell ref="AA24:AB24"/>
    <mergeCell ref="AE23:AF23"/>
    <mergeCell ref="S19:T19"/>
    <mergeCell ref="AI23:AJ23"/>
    <mergeCell ref="AE20:AF20"/>
    <mergeCell ref="AA23:AB23"/>
    <mergeCell ref="AA20:AB20"/>
    <mergeCell ref="AI20:AJ20"/>
    <mergeCell ref="C24:D24"/>
    <mergeCell ref="K20:L20"/>
    <mergeCell ref="G23:H23"/>
    <mergeCell ref="G24:H24"/>
    <mergeCell ref="K24:L24"/>
    <mergeCell ref="K23:L23"/>
    <mergeCell ref="W19:X19"/>
    <mergeCell ref="O19:P19"/>
    <mergeCell ref="G19:H19"/>
    <mergeCell ref="O23:P23"/>
    <mergeCell ref="C19:D19"/>
    <mergeCell ref="O20:P20"/>
    <mergeCell ref="S20:T20"/>
    <mergeCell ref="W20:X20"/>
    <mergeCell ref="C23:D23"/>
    <mergeCell ref="C20:D20"/>
    <mergeCell ref="G20:H20"/>
  </mergeCells>
  <phoneticPr fontId="16" type="noConversion"/>
  <pageMargins left="0.7" right="0.7" top="0.75" bottom="0.75" header="0.3" footer="0.3"/>
  <pageSetup scale="7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D31" workbookViewId="0">
      <selection activeCell="G45" sqref="G45"/>
    </sheetView>
  </sheetViews>
  <sheetFormatPr defaultRowHeight="15" x14ac:dyDescent="0.25"/>
  <sheetData>
    <row r="1" spans="1:17" ht="15.6" x14ac:dyDescent="0.3">
      <c r="A1" s="6"/>
      <c r="B1" s="89"/>
      <c r="C1" s="89"/>
      <c r="D1" s="89"/>
      <c r="E1" s="89"/>
      <c r="F1" s="89"/>
      <c r="G1" s="89"/>
      <c r="H1" s="89"/>
      <c r="I1" s="89"/>
      <c r="J1" s="113"/>
      <c r="K1" s="114"/>
      <c r="L1" s="114"/>
      <c r="M1" s="114"/>
      <c r="N1" s="114"/>
      <c r="O1" s="114"/>
      <c r="P1" s="114"/>
      <c r="Q1" s="114"/>
    </row>
    <row r="2" spans="1:17" ht="15.6" x14ac:dyDescent="0.3">
      <c r="A2" s="90"/>
      <c r="B2" s="91"/>
      <c r="C2" s="89"/>
      <c r="D2" s="89"/>
      <c r="E2" s="89"/>
      <c r="F2" s="89"/>
      <c r="G2" s="89"/>
      <c r="H2" s="89"/>
      <c r="I2" s="89"/>
      <c r="J2" s="113"/>
      <c r="K2" s="114"/>
      <c r="L2" s="114"/>
      <c r="M2" s="114"/>
      <c r="N2" s="114"/>
      <c r="O2" s="114"/>
      <c r="P2" s="114"/>
      <c r="Q2" s="114"/>
    </row>
    <row r="3" spans="1:17" ht="15.6" x14ac:dyDescent="0.3">
      <c r="A3" s="89"/>
      <c r="B3" s="89"/>
      <c r="C3" s="89"/>
      <c r="D3" s="89"/>
      <c r="E3" s="89"/>
      <c r="F3" s="89"/>
      <c r="G3" s="89"/>
      <c r="H3" s="89"/>
      <c r="I3" s="89"/>
      <c r="J3" s="113"/>
      <c r="K3" s="114"/>
      <c r="L3" s="114"/>
      <c r="M3" s="114"/>
      <c r="N3" s="114"/>
      <c r="O3" s="114"/>
      <c r="P3" s="114"/>
      <c r="Q3" s="114"/>
    </row>
    <row r="4" spans="1:17" ht="15.6" x14ac:dyDescent="0.3">
      <c r="A4" s="89"/>
      <c r="B4" s="89"/>
      <c r="C4" s="89"/>
      <c r="D4" s="89"/>
      <c r="E4" s="89"/>
      <c r="F4" s="89"/>
      <c r="G4" s="89"/>
      <c r="H4" s="89"/>
      <c r="I4" s="89"/>
      <c r="J4" s="113"/>
      <c r="K4" s="114"/>
      <c r="L4" s="114"/>
      <c r="M4" s="114"/>
      <c r="N4" s="114"/>
      <c r="O4" s="114"/>
      <c r="P4" s="114"/>
      <c r="Q4" s="114"/>
    </row>
    <row r="5" spans="1:17" ht="15.6" x14ac:dyDescent="0.3">
      <c r="A5" s="89"/>
      <c r="B5" s="89"/>
      <c r="C5" s="89"/>
      <c r="D5" s="89"/>
      <c r="E5" s="89"/>
      <c r="F5" s="89"/>
      <c r="G5" s="89"/>
      <c r="H5" s="89"/>
      <c r="I5" s="89"/>
      <c r="J5" s="113"/>
      <c r="K5" s="114"/>
      <c r="L5" s="114"/>
      <c r="M5" s="114"/>
      <c r="N5" s="114"/>
      <c r="O5" s="114"/>
      <c r="P5" s="114"/>
      <c r="Q5" s="114"/>
    </row>
    <row r="6" spans="1:17" ht="15.6" x14ac:dyDescent="0.3">
      <c r="A6" s="89"/>
      <c r="B6" s="89"/>
      <c r="C6" s="89"/>
      <c r="D6" s="89"/>
      <c r="E6" s="89"/>
      <c r="F6" s="89"/>
      <c r="G6" s="89"/>
      <c r="H6" s="89"/>
      <c r="I6" s="89"/>
      <c r="J6" s="113"/>
      <c r="K6" s="114"/>
      <c r="L6" s="114"/>
      <c r="M6" s="114"/>
      <c r="N6" s="114"/>
      <c r="O6" s="114"/>
      <c r="P6" s="114"/>
      <c r="Q6" s="114"/>
    </row>
    <row r="7" spans="1:17" ht="15.6" x14ac:dyDescent="0.3">
      <c r="A7" s="89"/>
      <c r="B7" s="89"/>
      <c r="C7" s="89"/>
      <c r="D7" s="89"/>
      <c r="E7" s="89"/>
      <c r="F7" s="89"/>
      <c r="G7" s="89"/>
      <c r="H7" s="89"/>
      <c r="I7" s="89"/>
      <c r="J7" s="113"/>
      <c r="K7" s="114"/>
      <c r="L7" s="114"/>
      <c r="M7" s="114"/>
      <c r="N7" s="114"/>
      <c r="O7" s="114"/>
      <c r="P7" s="114"/>
      <c r="Q7" s="114"/>
    </row>
    <row r="8" spans="1:17" ht="15.6" x14ac:dyDescent="0.3">
      <c r="A8" s="89"/>
      <c r="B8" s="89"/>
      <c r="C8" s="89"/>
      <c r="D8" s="89"/>
      <c r="E8" s="89"/>
      <c r="F8" s="89"/>
      <c r="G8" s="89"/>
      <c r="H8" s="89"/>
      <c r="I8" s="89"/>
      <c r="J8" s="113"/>
      <c r="K8" s="114"/>
      <c r="L8" s="114"/>
      <c r="M8" s="114"/>
      <c r="N8" s="114"/>
      <c r="O8" s="114"/>
      <c r="P8" s="114"/>
      <c r="Q8" s="114"/>
    </row>
    <row r="9" spans="1:17" ht="15.6" x14ac:dyDescent="0.3">
      <c r="A9" s="89"/>
      <c r="B9" s="89"/>
      <c r="C9" s="89"/>
      <c r="D9" s="89"/>
      <c r="E9" s="89"/>
      <c r="F9" s="89"/>
      <c r="G9" s="89"/>
      <c r="H9" s="89"/>
      <c r="I9" s="89"/>
      <c r="J9" s="113"/>
      <c r="K9" s="114"/>
      <c r="L9" s="114"/>
      <c r="M9" s="114"/>
      <c r="N9" s="114"/>
      <c r="O9" s="114"/>
      <c r="P9" s="114"/>
      <c r="Q9" s="114"/>
    </row>
    <row r="10" spans="1:17" ht="15.6" x14ac:dyDescent="0.3">
      <c r="A10" s="89"/>
      <c r="B10" s="89"/>
      <c r="C10" s="89"/>
      <c r="D10" s="89"/>
      <c r="E10" s="89"/>
      <c r="F10" s="89"/>
      <c r="G10" s="89"/>
      <c r="H10" s="89"/>
      <c r="I10" s="89"/>
      <c r="J10" s="113"/>
      <c r="K10" s="114"/>
      <c r="L10" s="114"/>
      <c r="M10" s="114"/>
      <c r="N10" s="114"/>
      <c r="O10" s="114"/>
      <c r="P10" s="114"/>
      <c r="Q10" s="114"/>
    </row>
    <row r="11" spans="1:17" ht="15.6" x14ac:dyDescent="0.3">
      <c r="A11" s="89"/>
      <c r="B11" s="89"/>
      <c r="C11" s="89"/>
      <c r="D11" s="89"/>
      <c r="E11" s="89"/>
      <c r="F11" s="89"/>
      <c r="G11" s="89"/>
      <c r="H11" s="89"/>
      <c r="I11" s="89"/>
      <c r="J11" s="113"/>
      <c r="K11" s="114"/>
      <c r="L11" s="114"/>
      <c r="M11" s="114"/>
      <c r="N11" s="114"/>
      <c r="O11" s="114"/>
      <c r="P11" s="114"/>
      <c r="Q11" s="114"/>
    </row>
    <row r="12" spans="1:17" ht="15.6" x14ac:dyDescent="0.3">
      <c r="A12" s="89"/>
      <c r="B12" s="89"/>
      <c r="C12" s="89"/>
      <c r="D12" s="89"/>
      <c r="E12" s="89"/>
      <c r="F12" s="89"/>
      <c r="G12" s="89"/>
      <c r="H12" s="89"/>
      <c r="I12" s="89"/>
      <c r="J12" s="113"/>
      <c r="K12" s="114"/>
      <c r="L12" s="114"/>
      <c r="M12" s="114"/>
      <c r="N12" s="114"/>
      <c r="O12" s="114"/>
      <c r="P12" s="114"/>
      <c r="Q12" s="114"/>
    </row>
    <row r="13" spans="1:17" ht="15.6" x14ac:dyDescent="0.3">
      <c r="A13" s="89"/>
      <c r="B13" s="89"/>
      <c r="C13" s="89"/>
      <c r="D13" s="89"/>
      <c r="E13" s="89"/>
      <c r="F13" s="89"/>
      <c r="G13" s="89"/>
      <c r="H13" s="89"/>
      <c r="I13" s="89"/>
      <c r="J13" s="113"/>
      <c r="K13" s="114"/>
      <c r="L13" s="114"/>
      <c r="M13" s="114"/>
      <c r="N13" s="114"/>
      <c r="O13" s="114"/>
      <c r="P13" s="114"/>
      <c r="Q13" s="114"/>
    </row>
    <row r="14" spans="1:17" ht="15.6" x14ac:dyDescent="0.3">
      <c r="A14" s="89"/>
      <c r="B14" s="89"/>
      <c r="C14" s="89"/>
      <c r="D14" s="89"/>
      <c r="E14" s="89"/>
      <c r="F14" s="89"/>
      <c r="G14" s="89"/>
      <c r="H14" s="89"/>
      <c r="I14" s="89"/>
      <c r="J14" s="113"/>
      <c r="K14" s="114"/>
      <c r="L14" s="114"/>
      <c r="M14" s="114"/>
      <c r="N14" s="114"/>
      <c r="O14" s="114"/>
      <c r="P14" s="114"/>
      <c r="Q14" s="114"/>
    </row>
    <row r="15" spans="1:17" ht="15.6" x14ac:dyDescent="0.3">
      <c r="A15" s="89"/>
      <c r="B15" s="89"/>
      <c r="C15" s="89"/>
      <c r="D15" s="89"/>
      <c r="E15" s="89"/>
      <c r="F15" s="89"/>
      <c r="G15" s="89"/>
      <c r="H15" s="89"/>
      <c r="I15" s="89"/>
      <c r="J15" s="113"/>
      <c r="K15" s="114"/>
      <c r="L15" s="114"/>
      <c r="M15" s="114"/>
      <c r="N15" s="114"/>
      <c r="O15" s="114"/>
      <c r="P15" s="114"/>
      <c r="Q15" s="114"/>
    </row>
    <row r="16" spans="1:17" ht="15.6" x14ac:dyDescent="0.3">
      <c r="A16" s="89"/>
      <c r="B16" s="89"/>
      <c r="C16" s="89"/>
      <c r="D16" s="89"/>
      <c r="E16" s="89"/>
      <c r="F16" s="89"/>
      <c r="G16" s="89"/>
      <c r="H16" s="89"/>
      <c r="I16" s="89"/>
      <c r="J16" s="113"/>
      <c r="K16" s="114"/>
      <c r="L16" s="114"/>
      <c r="M16" s="114"/>
      <c r="N16" s="114"/>
      <c r="O16" s="114"/>
      <c r="P16" s="114"/>
      <c r="Q16" s="114"/>
    </row>
    <row r="17" spans="1:17" ht="15.6" x14ac:dyDescent="0.3">
      <c r="A17" s="89"/>
      <c r="B17" s="89"/>
      <c r="C17" s="89"/>
      <c r="D17" s="89"/>
      <c r="E17" s="89"/>
      <c r="F17" s="89"/>
      <c r="G17" s="89"/>
      <c r="H17" s="89"/>
      <c r="I17" s="89"/>
      <c r="J17" s="113"/>
      <c r="K17" s="114"/>
      <c r="L17" s="114"/>
      <c r="M17" s="114"/>
      <c r="N17" s="114"/>
      <c r="O17" s="114"/>
      <c r="P17" s="114"/>
      <c r="Q17" s="114"/>
    </row>
    <row r="18" spans="1:17" ht="15.6" x14ac:dyDescent="0.3">
      <c r="A18" s="89"/>
      <c r="B18" s="89"/>
      <c r="C18" s="89"/>
      <c r="D18" s="89"/>
      <c r="E18" s="89"/>
      <c r="F18" s="89"/>
      <c r="G18" s="89"/>
      <c r="H18" s="89"/>
      <c r="I18" s="89"/>
      <c r="J18" s="113"/>
      <c r="K18" s="114"/>
      <c r="L18" s="114"/>
      <c r="M18" s="114"/>
      <c r="N18" s="114"/>
      <c r="O18" s="114"/>
      <c r="P18" s="114"/>
      <c r="Q18" s="114"/>
    </row>
    <row r="19" spans="1:17" ht="15.6" x14ac:dyDescent="0.3">
      <c r="A19" s="6"/>
      <c r="B19" s="89"/>
      <c r="C19" s="89"/>
      <c r="D19" s="89"/>
      <c r="E19" s="89"/>
      <c r="F19" s="89"/>
      <c r="G19" s="89"/>
      <c r="H19" s="89"/>
      <c r="I19" s="89"/>
      <c r="J19" s="113"/>
      <c r="K19" s="114"/>
      <c r="L19" s="114"/>
      <c r="M19" s="114"/>
      <c r="N19" s="114"/>
      <c r="O19" s="114"/>
      <c r="P19" s="114"/>
      <c r="Q19" s="114"/>
    </row>
    <row r="20" spans="1:17" ht="15.6" x14ac:dyDescent="0.3">
      <c r="A20" s="6"/>
      <c r="B20" s="89"/>
      <c r="C20" s="89"/>
      <c r="D20" s="89"/>
      <c r="E20" s="89"/>
      <c r="F20" s="89"/>
      <c r="G20" s="89"/>
      <c r="H20" s="89"/>
      <c r="I20" s="89"/>
      <c r="J20" s="113"/>
      <c r="K20" s="114"/>
      <c r="L20" s="114"/>
      <c r="M20" s="114"/>
      <c r="N20" s="114"/>
      <c r="O20" s="114"/>
      <c r="P20" s="114"/>
      <c r="Q20" s="114"/>
    </row>
    <row r="21" spans="1:17" ht="15.6" x14ac:dyDescent="0.3">
      <c r="A21" s="89"/>
      <c r="B21" s="89"/>
      <c r="C21" s="89"/>
      <c r="D21" s="89"/>
      <c r="E21" s="89"/>
      <c r="F21" s="89"/>
      <c r="G21" s="89"/>
      <c r="H21" s="89"/>
      <c r="I21" s="89"/>
      <c r="J21" s="113"/>
      <c r="K21" s="114"/>
      <c r="L21" s="114"/>
      <c r="M21" s="114"/>
      <c r="N21" s="114"/>
      <c r="O21" s="114"/>
      <c r="P21" s="114"/>
      <c r="Q21" s="114"/>
    </row>
    <row r="22" spans="1:17" ht="15.6" x14ac:dyDescent="0.3">
      <c r="A22" s="6"/>
      <c r="B22" s="89"/>
      <c r="C22" s="89"/>
      <c r="D22" s="89"/>
      <c r="E22" s="89"/>
      <c r="F22" s="89"/>
      <c r="G22" s="89"/>
      <c r="H22" s="89"/>
      <c r="I22" s="89"/>
      <c r="J22" s="113"/>
      <c r="K22" s="114"/>
      <c r="L22" s="114"/>
      <c r="M22" s="114"/>
      <c r="N22" s="114"/>
      <c r="O22" s="114"/>
      <c r="P22" s="114"/>
      <c r="Q22" s="114"/>
    </row>
    <row r="23" spans="1:17" ht="15.6" x14ac:dyDescent="0.3">
      <c r="A23" s="90"/>
      <c r="B23" s="91"/>
      <c r="C23" s="89"/>
      <c r="D23" s="89"/>
      <c r="E23" s="89"/>
      <c r="F23" s="89"/>
      <c r="G23" s="89"/>
      <c r="H23" s="89"/>
      <c r="I23" s="89"/>
      <c r="J23" s="113"/>
      <c r="K23" s="114"/>
      <c r="L23" s="114"/>
      <c r="M23" s="114"/>
      <c r="N23" s="114"/>
      <c r="O23" s="114"/>
      <c r="P23" s="114"/>
      <c r="Q23" s="114"/>
    </row>
    <row r="24" spans="1:17" ht="15.6" x14ac:dyDescent="0.3">
      <c r="A24" s="89"/>
      <c r="B24" s="89"/>
      <c r="C24" s="89"/>
      <c r="D24" s="89"/>
      <c r="E24" s="89"/>
      <c r="F24" s="89"/>
      <c r="G24" s="89"/>
      <c r="H24" s="89"/>
      <c r="I24" s="89"/>
      <c r="J24" s="113"/>
      <c r="K24" s="114"/>
      <c r="L24" s="114"/>
      <c r="M24" s="114"/>
      <c r="N24" s="114"/>
      <c r="O24" s="114"/>
      <c r="P24" s="114"/>
      <c r="Q24" s="114"/>
    </row>
    <row r="25" spans="1:17" ht="15.6" x14ac:dyDescent="0.3">
      <c r="A25" s="89"/>
      <c r="B25" s="89"/>
      <c r="C25" s="89"/>
      <c r="D25" s="89"/>
      <c r="E25" s="89"/>
      <c r="F25" s="89"/>
      <c r="G25" s="89"/>
      <c r="H25" s="89"/>
      <c r="I25" s="89"/>
      <c r="J25" s="113"/>
      <c r="K25" s="114"/>
      <c r="L25" s="114"/>
      <c r="M25" s="114"/>
      <c r="N25" s="114"/>
      <c r="O25" s="114"/>
      <c r="P25" s="114"/>
      <c r="Q25" s="114"/>
    </row>
    <row r="26" spans="1:17" ht="15.6" x14ac:dyDescent="0.3">
      <c r="A26" s="89"/>
      <c r="B26" s="89"/>
      <c r="C26" s="89"/>
      <c r="D26" s="89"/>
      <c r="E26" s="89"/>
      <c r="F26" s="89"/>
      <c r="G26" s="89"/>
      <c r="H26" s="89"/>
      <c r="I26" s="89"/>
      <c r="J26" s="113"/>
      <c r="K26" s="114"/>
      <c r="L26" s="114"/>
      <c r="M26" s="114"/>
      <c r="N26" s="114"/>
      <c r="O26" s="114"/>
      <c r="P26" s="114"/>
      <c r="Q26" s="114"/>
    </row>
    <row r="27" spans="1:17" ht="15.6" x14ac:dyDescent="0.3">
      <c r="A27" s="89"/>
      <c r="B27" s="89"/>
      <c r="C27" s="89"/>
      <c r="D27" s="89"/>
      <c r="E27" s="89"/>
      <c r="F27" s="89"/>
      <c r="G27" s="89"/>
      <c r="H27" s="89"/>
      <c r="I27" s="89"/>
      <c r="J27" s="113"/>
      <c r="K27" s="114"/>
      <c r="L27" s="114"/>
      <c r="M27" s="114"/>
      <c r="N27" s="114"/>
      <c r="O27" s="114"/>
      <c r="P27" s="114"/>
      <c r="Q27" s="114"/>
    </row>
    <row r="28" spans="1:17" ht="15.6" x14ac:dyDescent="0.3">
      <c r="A28" s="89"/>
      <c r="B28" s="89"/>
      <c r="C28" s="89"/>
      <c r="D28" s="89"/>
      <c r="E28" s="89"/>
      <c r="F28" s="89"/>
      <c r="G28" s="89"/>
      <c r="H28" s="89"/>
      <c r="I28" s="89"/>
      <c r="J28" s="89"/>
    </row>
    <row r="29" spans="1:17" ht="15.6" x14ac:dyDescent="0.3">
      <c r="A29" s="89"/>
      <c r="B29" s="89"/>
      <c r="C29" s="89"/>
      <c r="D29" s="89"/>
      <c r="E29" s="89"/>
      <c r="F29" s="89"/>
      <c r="G29" s="89"/>
      <c r="H29" s="89"/>
      <c r="I29" s="89"/>
      <c r="J29" s="89"/>
    </row>
    <row r="30" spans="1:17" ht="15.6" x14ac:dyDescent="0.3">
      <c r="A30" s="89"/>
      <c r="B30" s="89"/>
      <c r="C30" s="89"/>
      <c r="D30" s="89"/>
      <c r="E30" s="89"/>
      <c r="F30" s="89"/>
      <c r="G30" s="89"/>
      <c r="H30" s="89"/>
      <c r="I30" s="89"/>
      <c r="J30" s="89"/>
    </row>
    <row r="31" spans="1:17" ht="15.6" x14ac:dyDescent="0.3">
      <c r="A31" s="89"/>
      <c r="B31" s="89"/>
      <c r="C31" s="89"/>
      <c r="D31" s="89"/>
      <c r="E31" s="89"/>
      <c r="F31" s="89"/>
      <c r="G31" s="89"/>
      <c r="H31" s="89"/>
      <c r="I31" s="89"/>
      <c r="J31" s="89"/>
    </row>
    <row r="32" spans="1:17" ht="15.6" x14ac:dyDescent="0.3">
      <c r="A32" s="89"/>
      <c r="B32" s="89"/>
      <c r="C32" s="89"/>
      <c r="D32" s="89"/>
      <c r="E32" s="89"/>
      <c r="F32" s="89"/>
      <c r="G32" s="89"/>
      <c r="H32" s="89"/>
      <c r="I32" s="89"/>
      <c r="J32" s="89"/>
    </row>
    <row r="33" spans="1:16" ht="15.6" x14ac:dyDescent="0.3">
      <c r="A33" s="89"/>
      <c r="B33" s="89"/>
      <c r="C33" s="89"/>
      <c r="D33" s="89"/>
      <c r="E33" s="89"/>
      <c r="F33" s="89"/>
      <c r="G33" s="89"/>
      <c r="H33" s="89"/>
      <c r="I33" s="89"/>
      <c r="J33" s="89"/>
    </row>
    <row r="34" spans="1:16" ht="15.6" x14ac:dyDescent="0.3">
      <c r="A34" s="89"/>
      <c r="B34" s="89"/>
      <c r="C34" s="89"/>
      <c r="D34" s="89"/>
      <c r="E34" s="89"/>
      <c r="F34" s="89"/>
      <c r="G34" s="89"/>
      <c r="H34" s="89"/>
      <c r="I34" s="89"/>
      <c r="J34" s="89"/>
    </row>
    <row r="35" spans="1:16" ht="15.6" x14ac:dyDescent="0.3">
      <c r="A35" s="89"/>
      <c r="B35" s="89"/>
      <c r="C35" s="89"/>
      <c r="D35" s="89"/>
      <c r="E35" s="89"/>
      <c r="F35" s="89"/>
      <c r="G35" s="89"/>
      <c r="H35" s="89"/>
      <c r="I35" s="89"/>
      <c r="J35" s="89"/>
    </row>
    <row r="36" spans="1:16" ht="15.6" x14ac:dyDescent="0.3">
      <c r="A36" s="89"/>
      <c r="B36" s="89"/>
      <c r="C36" s="89"/>
      <c r="D36" s="89"/>
      <c r="E36" s="89"/>
      <c r="F36" s="89"/>
      <c r="G36" s="89"/>
      <c r="H36" s="89"/>
      <c r="I36" s="89"/>
      <c r="J36" s="89"/>
    </row>
    <row r="37" spans="1:16" ht="15.6" x14ac:dyDescent="0.3">
      <c r="A37" s="89"/>
      <c r="B37" s="89"/>
      <c r="C37" s="89"/>
      <c r="D37" s="89"/>
      <c r="E37" s="89"/>
      <c r="F37" s="89"/>
      <c r="G37" s="89"/>
      <c r="H37" s="89"/>
      <c r="I37" s="89"/>
      <c r="J37" s="89"/>
    </row>
    <row r="38" spans="1:16" ht="15.6" x14ac:dyDescent="0.3">
      <c r="A38" s="89"/>
      <c r="B38" s="89"/>
      <c r="C38" s="89"/>
      <c r="D38" s="89"/>
      <c r="E38" s="89"/>
      <c r="F38" s="89"/>
      <c r="G38" s="89"/>
      <c r="H38" s="89"/>
      <c r="I38" s="89"/>
      <c r="J38" s="113"/>
      <c r="K38" s="114"/>
      <c r="L38" s="114"/>
      <c r="M38" s="114"/>
      <c r="N38" s="114"/>
      <c r="O38" s="114"/>
      <c r="P38" s="114"/>
    </row>
    <row r="39" spans="1:16" ht="15.6" x14ac:dyDescent="0.3">
      <c r="A39" s="89"/>
      <c r="B39" s="89"/>
      <c r="C39" s="89"/>
      <c r="D39" s="89"/>
      <c r="E39" s="89"/>
      <c r="F39" s="89"/>
      <c r="G39" s="89"/>
      <c r="H39" s="89"/>
      <c r="I39" s="89"/>
      <c r="J39" s="113"/>
      <c r="K39" s="114"/>
      <c r="L39" s="114"/>
      <c r="M39" s="114"/>
      <c r="N39" s="114"/>
      <c r="O39" s="114"/>
      <c r="P39" s="114"/>
    </row>
    <row r="40" spans="1:16" ht="15.6" x14ac:dyDescent="0.3">
      <c r="A40" s="6" t="s">
        <v>229</v>
      </c>
      <c r="B40" s="89"/>
      <c r="C40" s="89"/>
      <c r="D40" s="89"/>
      <c r="E40" s="89"/>
      <c r="F40" s="89"/>
      <c r="G40" s="89"/>
      <c r="H40" s="89"/>
      <c r="I40" s="89"/>
      <c r="J40" s="113"/>
      <c r="K40" s="114"/>
      <c r="L40" s="114"/>
      <c r="M40" s="114"/>
      <c r="N40" s="114"/>
      <c r="O40" s="114"/>
      <c r="P40" s="114"/>
    </row>
    <row r="41" spans="1:16" ht="15.6" x14ac:dyDescent="0.3">
      <c r="A41" s="6" t="s">
        <v>1</v>
      </c>
      <c r="B41" s="89"/>
      <c r="C41" s="89"/>
      <c r="D41" s="89"/>
      <c r="E41" s="89"/>
      <c r="F41" s="89"/>
      <c r="G41" s="89"/>
      <c r="H41" s="89"/>
      <c r="I41" s="89"/>
      <c r="J41" s="113"/>
      <c r="K41" s="114"/>
      <c r="L41" s="114"/>
      <c r="M41" s="114"/>
      <c r="N41" s="114"/>
      <c r="O41" s="114"/>
      <c r="P41" s="114"/>
    </row>
    <row r="42" spans="1:16" ht="15.6" x14ac:dyDescent="0.3">
      <c r="A42" s="5"/>
      <c r="B42" s="5"/>
      <c r="C42" s="5"/>
      <c r="D42" s="5"/>
      <c r="E42" s="5"/>
      <c r="F42" s="5"/>
      <c r="G42" s="5"/>
      <c r="H42" s="5"/>
      <c r="I42" s="89"/>
      <c r="J42" s="113"/>
      <c r="K42" s="114"/>
      <c r="L42" s="114"/>
      <c r="M42" s="114"/>
      <c r="N42" s="114"/>
      <c r="O42" s="114"/>
      <c r="P42" s="114"/>
    </row>
    <row r="43" spans="1:16" ht="15.6" x14ac:dyDescent="0.3">
      <c r="A43" s="5"/>
      <c r="B43" s="5"/>
      <c r="C43" s="5"/>
      <c r="D43" s="5"/>
      <c r="E43" s="5"/>
      <c r="F43" s="5"/>
      <c r="G43" s="5"/>
      <c r="H43" s="5"/>
      <c r="I43" s="89"/>
      <c r="J43" s="113"/>
      <c r="K43" s="114"/>
      <c r="L43" s="114"/>
      <c r="M43" s="114"/>
      <c r="N43" s="114"/>
      <c r="O43" s="114"/>
      <c r="P43" s="114"/>
    </row>
    <row r="44" spans="1:16" x14ac:dyDescent="0.25">
      <c r="J44" s="114"/>
      <c r="K44" s="114"/>
      <c r="L44" s="114"/>
      <c r="M44" s="114"/>
      <c r="N44" s="114"/>
      <c r="O44" s="114"/>
      <c r="P44" s="114"/>
    </row>
    <row r="45" spans="1:16" x14ac:dyDescent="0.25">
      <c r="J45" s="114"/>
      <c r="K45" s="114"/>
      <c r="L45" s="114"/>
      <c r="M45" s="114"/>
      <c r="N45" s="114"/>
      <c r="O45" s="114"/>
      <c r="P45" s="114"/>
    </row>
    <row r="46" spans="1:16" x14ac:dyDescent="0.25">
      <c r="J46" s="114"/>
      <c r="K46" s="114"/>
      <c r="L46" s="114"/>
      <c r="M46" s="114"/>
      <c r="N46" s="114"/>
      <c r="O46" s="114"/>
      <c r="P46" s="114"/>
    </row>
    <row r="47" spans="1:16" x14ac:dyDescent="0.25">
      <c r="J47" s="114"/>
      <c r="K47" s="114"/>
      <c r="L47" s="114"/>
      <c r="M47" s="114"/>
      <c r="N47" s="114"/>
      <c r="O47" s="114"/>
      <c r="P47" s="114"/>
    </row>
    <row r="48" spans="1:16" x14ac:dyDescent="0.25">
      <c r="J48" s="114"/>
      <c r="K48" s="114"/>
      <c r="L48" s="114"/>
      <c r="M48" s="114"/>
      <c r="N48" s="114"/>
      <c r="O48" s="114"/>
      <c r="P48" s="114"/>
    </row>
    <row r="49" spans="10:16" x14ac:dyDescent="0.25">
      <c r="J49" s="114"/>
      <c r="K49" s="114"/>
      <c r="L49" s="114"/>
      <c r="M49" s="114"/>
      <c r="N49" s="114"/>
      <c r="O49" s="114"/>
      <c r="P49" s="114"/>
    </row>
    <row r="50" spans="10:16" x14ac:dyDescent="0.25">
      <c r="J50" s="114"/>
      <c r="K50" s="114"/>
      <c r="L50" s="114"/>
      <c r="M50" s="114"/>
      <c r="N50" s="114"/>
      <c r="O50" s="114"/>
      <c r="P50" s="114"/>
    </row>
    <row r="51" spans="10:16" x14ac:dyDescent="0.25">
      <c r="J51" s="114"/>
      <c r="K51" s="114"/>
      <c r="L51" s="114"/>
      <c r="M51" s="114"/>
      <c r="N51" s="114"/>
      <c r="O51" s="114"/>
      <c r="P51" s="114"/>
    </row>
    <row r="52" spans="10:16" x14ac:dyDescent="0.25">
      <c r="J52" s="114"/>
      <c r="K52" s="114"/>
      <c r="L52" s="114"/>
      <c r="M52" s="114"/>
      <c r="N52" s="114"/>
      <c r="O52" s="114"/>
      <c r="P52" s="114"/>
    </row>
    <row r="53" spans="10:16" x14ac:dyDescent="0.25">
      <c r="J53" s="114"/>
      <c r="K53" s="114"/>
      <c r="L53" s="114"/>
      <c r="M53" s="114"/>
      <c r="N53" s="114"/>
      <c r="O53" s="114"/>
      <c r="P53" s="114"/>
    </row>
    <row r="54" spans="10:16" x14ac:dyDescent="0.25">
      <c r="J54" s="114"/>
      <c r="K54" s="114"/>
      <c r="L54" s="114"/>
      <c r="M54" s="114"/>
      <c r="N54" s="114"/>
      <c r="O54" s="114"/>
      <c r="P54" s="114"/>
    </row>
    <row r="55" spans="10:16" x14ac:dyDescent="0.25">
      <c r="J55" s="114"/>
      <c r="K55" s="114"/>
      <c r="L55" s="114"/>
      <c r="M55" s="114"/>
      <c r="N55" s="114"/>
      <c r="O55" s="114"/>
      <c r="P55" s="11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Non-shuttle Bids</vt:lpstr>
      <vt:lpstr>Shuttle Bids</vt:lpstr>
      <vt:lpstr>New Fig. 4</vt:lpstr>
      <vt:lpstr>New Fig. 5</vt:lpstr>
      <vt:lpstr>New Fig. 6</vt:lpstr>
      <vt:lpstr>Prior 3-yr.Avg for Week</vt:lpstr>
      <vt:lpstr>MinMaxAvg</vt:lpstr>
      <vt:lpstr>Weekly Comparisons</vt:lpstr>
      <vt:lpstr>Range-Avg bid figure</vt:lpstr>
      <vt:lpstr>MinMaxAvg!Print_Area</vt:lpstr>
      <vt:lpstr>'Non-shuttle Bids'!Print_Area</vt:lpstr>
      <vt:lpstr>'Shuttle Bids'!Print_Area</vt:lpstr>
      <vt:lpstr>'Weekly Comparisons'!Print_Area</vt:lpstr>
      <vt:lpstr>'Non-shuttle Bids'!Print_Titles</vt:lpstr>
      <vt:lpstr>'Shuttle Bids'!Print_Titles</vt:lpstr>
      <vt:lpstr>'Weekly Comparisons'!Print_Titles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Adam Sparger</cp:lastModifiedBy>
  <cp:lastPrinted>2013-11-18T16:40:18Z</cp:lastPrinted>
  <dcterms:created xsi:type="dcterms:W3CDTF">2004-01-15T18:17:56Z</dcterms:created>
  <dcterms:modified xsi:type="dcterms:W3CDTF">2013-12-02T18:49:16Z</dcterms:modified>
</cp:coreProperties>
</file>