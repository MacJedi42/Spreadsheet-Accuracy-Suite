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17145" windowHeight="8985"/>
  </bookViews>
  <sheets>
    <sheet name="Summary" sheetId="11" r:id="rId1"/>
    <sheet name="Loan from State of MI" sheetId="7" r:id="rId2"/>
    <sheet name="Capital Leases" sheetId="10" r:id="rId3"/>
    <sheet name="Installment Contracts" sheetId="19" r:id="rId4"/>
    <sheet name="BuildingAuth general oblig bon " sheetId="12" r:id="rId5"/>
    <sheet name="Del Tax General Obligation Note" sheetId="8" r:id="rId6"/>
    <sheet name="DPW general obligation bonds" sheetId="14" r:id="rId7"/>
    <sheet name="Drains General Obligation Bonds" sheetId="21" r:id="rId8"/>
    <sheet name="Drains Notes Payable" sheetId="16" r:id="rId9"/>
    <sheet name="Roads Special Assessment Notes" sheetId="17" r:id="rId10"/>
    <sheet name="Roads General Obligation Bonds" sheetId="18" r:id="rId11"/>
    <sheet name="Roads Installment Debt" sheetId="20" r:id="rId12"/>
  </sheets>
  <definedNames>
    <definedName name="\A" localSheetId="4">'BuildingAuth general oblig bon '!$A$2034</definedName>
    <definedName name="\A" localSheetId="6">'DPW general obligation bonds'!$A$1812</definedName>
    <definedName name="\A" localSheetId="10">'Roads General Obligation Bonds'!$A$1819</definedName>
    <definedName name="ALL" localSheetId="6">'DPW general obligation bonds'!$F$1806:$HO$7991</definedName>
    <definedName name="ALL" localSheetId="10">'Roads General Obligation Bonds'!$D$1813:$HB$7998</definedName>
    <definedName name="_xlnm.Print_Area" localSheetId="8">'Drains Notes Payable'!$A$1:$V$16</definedName>
    <definedName name="_xlnm.Print_Area" localSheetId="11">'Roads Installment Debt'!$A$1:$H$18</definedName>
    <definedName name="Print_Area_MI" localSheetId="4">'BuildingAuth general oblig bon '!$A$8:$AJ$66</definedName>
    <definedName name="Print_Area_MI" localSheetId="6">'DPW general obligation bonds'!$B$7:$AS$61</definedName>
    <definedName name="Print_Area_MI" localSheetId="7">'Drains General Obligation Bonds'!$B$7:$BN$163</definedName>
    <definedName name="Print_Area_MI" localSheetId="8">'Drains Notes Payable'!$B$7:$V$16</definedName>
    <definedName name="Print_Area_MI" localSheetId="10">'Roads General Obligation Bonds'!$A$1:$N$27</definedName>
    <definedName name="Print_Area_MI" localSheetId="11">'Roads Installment Debt'!$B$7:$H$18</definedName>
    <definedName name="Print_Area_MI" localSheetId="9">'Roads Special Assessment Notes'!$B$1:$R$17</definedName>
    <definedName name="_xlnm.Print_Titles" localSheetId="6">'DPW general obligation bonds'!$A:$A,'DPW general obligation bonds'!$1:$6</definedName>
    <definedName name="_xlnm.Print_Titles" localSheetId="7">'Drains General Obligation Bonds'!$3:$5</definedName>
    <definedName name="_xlnm.Print_Titles" localSheetId="8">'Drains Notes Payable'!$A:$A</definedName>
    <definedName name="_xlnm.Print_Titles" localSheetId="1">'Loan from State of MI'!$3:$4</definedName>
    <definedName name="_xlnm.Print_Titles" localSheetId="11">'Roads Installment Debt'!$A:$A</definedName>
    <definedName name="Print_Titles_MI" localSheetId="7">'Drains General Obligation Bonds'!$1:$5</definedName>
    <definedName name="SPECASSTOT" localSheetId="7">'Drains General Obligation Bonds'!#REF!</definedName>
    <definedName name="SPECASSTOT" localSheetId="8">'Drains Notes Payable'!$GW$7956:$GY$7995</definedName>
    <definedName name="SPECASSTOT" localSheetId="11">'Roads Installment Debt'!$GH$7944:$GJ$7983</definedName>
    <definedName name="SPECASSTOT" localSheetId="9">'Roads Special Assessment Notes'!$GQ$7836:$GS$7875</definedName>
    <definedName name="Z_73F28E31_037E_11D5_BE76_0001025EAD4C_.wvu.Cols" localSheetId="6" hidden="1">'DPW general obligation bonds'!$AP:$AQ</definedName>
    <definedName name="Z_73F28E31_037E_11D5_BE76_0001025EAD4C_.wvu.PrintTitles" localSheetId="6" hidden="1">'DPW general obligation bonds'!$A:$A</definedName>
    <definedName name="Z_73F28E32_037E_11D5_BE76_0001025EAD4C_.wvu.Cols" localSheetId="6" hidden="1">'DPW general obligation bonds'!$AP:$AQ</definedName>
    <definedName name="Z_73F28E32_037E_11D5_BE76_0001025EAD4C_.wvu.PrintTitles" localSheetId="6" hidden="1">'DPW general obligation bonds'!$A:$A</definedName>
    <definedName name="Z_B1AB5843_1A42_11D6_BF96_0001025EAD4C_.wvu.Cols" localSheetId="6" hidden="1">'DPW general obligation bonds'!$AK:$AS</definedName>
    <definedName name="Z_B1AB5843_1A42_11D6_BF96_0001025EAD4C_.wvu.PrintTitles" localSheetId="6" hidden="1">'DPW general obligation bonds'!$A:$A</definedName>
    <definedName name="Z_B1AB5845_1A42_11D6_BF96_0001025EAD4C_.wvu.Cols" localSheetId="6" hidden="1">'DPW general obligation bonds'!$AK:$AS</definedName>
    <definedName name="Z_B1AB5845_1A42_11D6_BF96_0001025EAD4C_.wvu.PrintTitles" localSheetId="6" hidden="1">'DPW general obligation bonds'!$A:$A</definedName>
  </definedNames>
  <calcPr calcId="145621"/>
</workbook>
</file>

<file path=xl/calcChain.xml><?xml version="1.0" encoding="utf-8"?>
<calcChain xmlns="http://schemas.openxmlformats.org/spreadsheetml/2006/main">
  <c r="BI163" i="21" l="1"/>
  <c r="BH163" i="21"/>
  <c r="BG163" i="21"/>
  <c r="BF163" i="21"/>
  <c r="BE163" i="21"/>
  <c r="BD163" i="21"/>
  <c r="BC163" i="21"/>
  <c r="BB163" i="21"/>
  <c r="BA163" i="21"/>
  <c r="AZ163" i="21"/>
  <c r="AY163" i="21"/>
  <c r="AX163" i="21"/>
  <c r="AW163" i="21"/>
  <c r="AV163" i="21"/>
  <c r="AU163" i="21"/>
  <c r="AT163" i="21"/>
  <c r="AS163" i="21"/>
  <c r="AR163" i="21"/>
  <c r="AQ163" i="21"/>
  <c r="AO163" i="21"/>
  <c r="AN163" i="21"/>
  <c r="AM163" i="21"/>
  <c r="AL163" i="21"/>
  <c r="AK163" i="21"/>
  <c r="AJ163" i="21"/>
  <c r="AI163" i="21"/>
  <c r="AH163" i="21"/>
  <c r="AG163" i="21"/>
  <c r="AF163" i="21"/>
  <c r="AE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I163" i="21"/>
  <c r="G163" i="21"/>
  <c r="F163" i="21"/>
  <c r="E163" i="21"/>
  <c r="D163" i="21"/>
  <c r="C163" i="21"/>
  <c r="B163" i="21"/>
  <c r="BK160" i="21"/>
  <c r="BJ160" i="21"/>
  <c r="BK159" i="21"/>
  <c r="BJ159" i="21"/>
  <c r="BK158" i="21"/>
  <c r="BJ158" i="21"/>
  <c r="BK157" i="21"/>
  <c r="BJ157" i="21"/>
  <c r="BK156" i="21"/>
  <c r="BJ156" i="21"/>
  <c r="BK155" i="21"/>
  <c r="BJ155" i="21"/>
  <c r="BK154" i="21"/>
  <c r="BM160" i="21" s="1"/>
  <c r="BJ154" i="21"/>
  <c r="BL160" i="21" s="1"/>
  <c r="BK153" i="21"/>
  <c r="BJ153" i="21"/>
  <c r="BK152" i="21"/>
  <c r="BJ152" i="21"/>
  <c r="BK151" i="21"/>
  <c r="BJ151" i="21"/>
  <c r="BK150" i="21"/>
  <c r="BJ150" i="21"/>
  <c r="BK149" i="21"/>
  <c r="BJ149" i="21"/>
  <c r="BK148" i="21"/>
  <c r="BJ148" i="21"/>
  <c r="BK147" i="21"/>
  <c r="BJ147" i="21"/>
  <c r="BK146" i="21"/>
  <c r="BJ146" i="21"/>
  <c r="BK145" i="21"/>
  <c r="BJ145" i="21"/>
  <c r="BK144" i="21"/>
  <c r="BJ144" i="21"/>
  <c r="BK143" i="21"/>
  <c r="BJ143" i="21"/>
  <c r="BK142" i="21"/>
  <c r="BJ142" i="21"/>
  <c r="BK141" i="21"/>
  <c r="BJ141" i="21"/>
  <c r="BK140" i="21"/>
  <c r="BM146" i="21" s="1"/>
  <c r="BJ140" i="21"/>
  <c r="BL146" i="21" s="1"/>
  <c r="BK139" i="21"/>
  <c r="BJ139" i="21"/>
  <c r="BK138" i="21"/>
  <c r="BJ138" i="21"/>
  <c r="BK137" i="21"/>
  <c r="BJ137" i="21"/>
  <c r="BK136" i="21"/>
  <c r="BJ136" i="21"/>
  <c r="BK135" i="21"/>
  <c r="BJ135" i="21"/>
  <c r="BK134" i="21"/>
  <c r="BM139" i="21" s="1"/>
  <c r="AP134" i="21"/>
  <c r="BJ134" i="21" s="1"/>
  <c r="BK133" i="21"/>
  <c r="BJ133" i="21"/>
  <c r="BK132" i="21"/>
  <c r="BJ132" i="21"/>
  <c r="BK131" i="21"/>
  <c r="BJ131" i="21"/>
  <c r="BK130" i="21"/>
  <c r="BJ130" i="21"/>
  <c r="BK129" i="21"/>
  <c r="BJ129" i="21"/>
  <c r="BK128" i="21"/>
  <c r="BJ128" i="21"/>
  <c r="BK127" i="21"/>
  <c r="BJ127" i="21"/>
  <c r="AD127" i="21"/>
  <c r="AD163" i="21" s="1"/>
  <c r="BK126" i="21"/>
  <c r="BM132" i="21" s="1"/>
  <c r="BJ126" i="21"/>
  <c r="BK125" i="21"/>
  <c r="BJ125" i="21"/>
  <c r="BK124" i="21"/>
  <c r="BJ124" i="21"/>
  <c r="BK123" i="21"/>
  <c r="BJ123" i="21"/>
  <c r="BK122" i="21"/>
  <c r="BJ122" i="21"/>
  <c r="BK121" i="21"/>
  <c r="BJ121" i="21"/>
  <c r="BK120" i="21"/>
  <c r="BM125" i="21" s="1"/>
  <c r="J120" i="21"/>
  <c r="J163" i="21" s="1"/>
  <c r="BK119" i="21"/>
  <c r="BJ119" i="21"/>
  <c r="BK118" i="21"/>
  <c r="BJ118" i="21"/>
  <c r="BK117" i="21"/>
  <c r="BJ117" i="21"/>
  <c r="BK116" i="21"/>
  <c r="BJ116" i="21"/>
  <c r="BK115" i="21"/>
  <c r="BJ115" i="21"/>
  <c r="BK114" i="21"/>
  <c r="BJ114" i="21"/>
  <c r="BK113" i="21"/>
  <c r="BJ113" i="21"/>
  <c r="BK112" i="21"/>
  <c r="BM118" i="21" s="1"/>
  <c r="BJ112" i="21"/>
  <c r="BK111" i="21"/>
  <c r="BJ111" i="21"/>
  <c r="BK110" i="21"/>
  <c r="BJ110" i="21"/>
  <c r="BK109" i="21"/>
  <c r="BJ109" i="21"/>
  <c r="BK108" i="21"/>
  <c r="BJ108" i="21"/>
  <c r="BK107" i="21"/>
  <c r="BJ107" i="21"/>
  <c r="BK106" i="21"/>
  <c r="BJ106" i="21"/>
  <c r="BK105" i="21"/>
  <c r="BJ105" i="21"/>
  <c r="BL111" i="21" s="1"/>
  <c r="BK104" i="21"/>
  <c r="BJ104" i="21"/>
  <c r="BK103" i="21"/>
  <c r="BJ103" i="21"/>
  <c r="BK102" i="21"/>
  <c r="BJ102" i="21"/>
  <c r="BK101" i="21"/>
  <c r="BJ101" i="21"/>
  <c r="BK100" i="21"/>
  <c r="BJ100" i="21"/>
  <c r="BK99" i="21"/>
  <c r="BJ99" i="21"/>
  <c r="BK98" i="21"/>
  <c r="BM104" i="21" s="1"/>
  <c r="BJ98" i="21"/>
  <c r="BK97" i="21"/>
  <c r="BJ97" i="21"/>
  <c r="BK96" i="21"/>
  <c r="BJ96" i="21"/>
  <c r="BK95" i="21"/>
  <c r="BJ95" i="21"/>
  <c r="BK94" i="21"/>
  <c r="BJ94" i="21"/>
  <c r="BK93" i="21"/>
  <c r="BJ93" i="21"/>
  <c r="BK92" i="21"/>
  <c r="BJ92" i="21"/>
  <c r="BK91" i="21"/>
  <c r="BJ91" i="21"/>
  <c r="BL97" i="21" s="1"/>
  <c r="BK90" i="21"/>
  <c r="BJ90" i="21"/>
  <c r="BK89" i="21"/>
  <c r="BJ89" i="21"/>
  <c r="BK88" i="21"/>
  <c r="BJ88" i="21"/>
  <c r="BK87" i="21"/>
  <c r="BJ87" i="21"/>
  <c r="BK86" i="21"/>
  <c r="BJ86" i="21"/>
  <c r="BK85" i="21"/>
  <c r="BJ85" i="21"/>
  <c r="BK84" i="21"/>
  <c r="BM90" i="21" s="1"/>
  <c r="BJ84" i="21"/>
  <c r="BK83" i="21"/>
  <c r="BJ83" i="21"/>
  <c r="BK82" i="21"/>
  <c r="BJ82" i="21"/>
  <c r="BK81" i="21"/>
  <c r="BJ81" i="21"/>
  <c r="BK80" i="21"/>
  <c r="BJ80" i="21"/>
  <c r="BK79" i="21"/>
  <c r="BJ79" i="21"/>
  <c r="BK78" i="21"/>
  <c r="BJ78" i="21"/>
  <c r="BK77" i="21"/>
  <c r="BJ77" i="21"/>
  <c r="BL83" i="21" s="1"/>
  <c r="BK76" i="21"/>
  <c r="BJ76" i="21"/>
  <c r="BK75" i="21"/>
  <c r="BJ75" i="21"/>
  <c r="BK74" i="21"/>
  <c r="BJ74" i="21"/>
  <c r="BK73" i="21"/>
  <c r="BJ73" i="21"/>
  <c r="BK72" i="21"/>
  <c r="BJ72" i="21"/>
  <c r="BK71" i="21"/>
  <c r="BJ71" i="21"/>
  <c r="BK70" i="21"/>
  <c r="BM76" i="21" s="1"/>
  <c r="BJ70" i="21"/>
  <c r="BK69" i="21"/>
  <c r="BJ69" i="21"/>
  <c r="BK68" i="21"/>
  <c r="BJ68" i="21"/>
  <c r="BK67" i="21"/>
  <c r="BJ67" i="21"/>
  <c r="BK66" i="21"/>
  <c r="BJ66" i="21"/>
  <c r="BK65" i="21"/>
  <c r="BJ65" i="21"/>
  <c r="BK64" i="21"/>
  <c r="BJ64" i="21"/>
  <c r="BK63" i="21"/>
  <c r="BJ63" i="21"/>
  <c r="BL69" i="21" s="1"/>
  <c r="BK62" i="21"/>
  <c r="BJ62" i="21"/>
  <c r="BK61" i="21"/>
  <c r="BJ61" i="21"/>
  <c r="BK60" i="21"/>
  <c r="BJ60" i="21"/>
  <c r="BK59" i="21"/>
  <c r="BJ59" i="21"/>
  <c r="BK58" i="21"/>
  <c r="BJ58" i="21"/>
  <c r="BK57" i="21"/>
  <c r="BJ57" i="21"/>
  <c r="BK56" i="21"/>
  <c r="BM62" i="21" s="1"/>
  <c r="BJ56" i="21"/>
  <c r="BK55" i="21"/>
  <c r="BJ55" i="21"/>
  <c r="BK54" i="21"/>
  <c r="BJ54" i="21"/>
  <c r="BK53" i="21"/>
  <c r="BJ53" i="21"/>
  <c r="BK52" i="21"/>
  <c r="BJ52" i="21"/>
  <c r="BK51" i="21"/>
  <c r="BJ51" i="21"/>
  <c r="BK50" i="21"/>
  <c r="H50" i="21"/>
  <c r="H163" i="21" s="1"/>
  <c r="BK49" i="21"/>
  <c r="BJ49" i="21"/>
  <c r="BK48" i="21"/>
  <c r="BJ48" i="21"/>
  <c r="BK47" i="21"/>
  <c r="BJ47" i="21"/>
  <c r="BK46" i="21"/>
  <c r="BJ46" i="21"/>
  <c r="BK45" i="21"/>
  <c r="BJ45" i="21"/>
  <c r="BK44" i="21"/>
  <c r="BJ44" i="21"/>
  <c r="BK43" i="21"/>
  <c r="BJ43" i="21"/>
  <c r="BL48" i="21" s="1"/>
  <c r="BK42" i="21"/>
  <c r="BJ42" i="21"/>
  <c r="BK41" i="21"/>
  <c r="BJ41" i="21"/>
  <c r="BK40" i="21"/>
  <c r="BJ40" i="21"/>
  <c r="BK39" i="21"/>
  <c r="BJ39" i="21"/>
  <c r="BK38" i="21"/>
  <c r="BJ38" i="21"/>
  <c r="BK37" i="21"/>
  <c r="BJ37" i="21"/>
  <c r="BK36" i="21"/>
  <c r="BJ36" i="21"/>
  <c r="BL41" i="21" s="1"/>
  <c r="BK35" i="21"/>
  <c r="BM41" i="21" s="1"/>
  <c r="BJ35" i="21"/>
  <c r="BK34" i="21"/>
  <c r="BJ34" i="21"/>
  <c r="BK33" i="21"/>
  <c r="BJ33" i="21"/>
  <c r="BK32" i="21"/>
  <c r="BJ32" i="21"/>
  <c r="BK31" i="21"/>
  <c r="BJ31" i="21"/>
  <c r="BK30" i="21"/>
  <c r="BJ30" i="21"/>
  <c r="BK29" i="21"/>
  <c r="BJ29" i="21"/>
  <c r="BK28" i="21"/>
  <c r="BJ28" i="21"/>
  <c r="BL34" i="21" s="1"/>
  <c r="BK27" i="21"/>
  <c r="BJ27" i="21"/>
  <c r="BK26" i="21"/>
  <c r="BJ26" i="21"/>
  <c r="BK25" i="21"/>
  <c r="BJ25" i="21"/>
  <c r="BK24" i="21"/>
  <c r="BJ24" i="21"/>
  <c r="BK23" i="21"/>
  <c r="BJ23" i="21"/>
  <c r="BK22" i="21"/>
  <c r="BJ22" i="21"/>
  <c r="BK21" i="21"/>
  <c r="BM27" i="21" s="1"/>
  <c r="BJ21" i="21"/>
  <c r="BK20" i="21"/>
  <c r="BJ20" i="21"/>
  <c r="BK19" i="21"/>
  <c r="BJ19" i="21"/>
  <c r="BK18" i="21"/>
  <c r="BJ18" i="21"/>
  <c r="BK17" i="21"/>
  <c r="BJ17" i="21"/>
  <c r="BK16" i="21"/>
  <c r="BJ16" i="21"/>
  <c r="BK15" i="21"/>
  <c r="BJ15" i="21"/>
  <c r="BK14" i="21"/>
  <c r="BJ14" i="21"/>
  <c r="BL20" i="21" s="1"/>
  <c r="BM13" i="21"/>
  <c r="BK13" i="21"/>
  <c r="BJ13" i="21"/>
  <c r="BK12" i="21"/>
  <c r="BJ12" i="21"/>
  <c r="BK11" i="21"/>
  <c r="BJ11" i="21"/>
  <c r="BK10" i="21"/>
  <c r="BJ10" i="21"/>
  <c r="BK9" i="21"/>
  <c r="BJ9" i="21"/>
  <c r="BK8" i="21"/>
  <c r="BJ8" i="21"/>
  <c r="BK7" i="21"/>
  <c r="BJ7" i="21"/>
  <c r="AD6" i="21"/>
  <c r="BJ6" i="21" s="1"/>
  <c r="BL13" i="21" l="1"/>
  <c r="BM20" i="21"/>
  <c r="BM34" i="21"/>
  <c r="BM163" i="21" s="1"/>
  <c r="BM69" i="21"/>
  <c r="BM83" i="21"/>
  <c r="BM97" i="21"/>
  <c r="BM111" i="21"/>
  <c r="BL132" i="21"/>
  <c r="BL153" i="21"/>
  <c r="BL27" i="21"/>
  <c r="BM48" i="21"/>
  <c r="BJ50" i="21"/>
  <c r="BL55" i="21" s="1"/>
  <c r="BL62" i="21"/>
  <c r="BL76" i="21"/>
  <c r="BL90" i="21"/>
  <c r="BL104" i="21"/>
  <c r="BL118" i="21"/>
  <c r="BM153" i="21"/>
  <c r="BM55" i="21"/>
  <c r="BK163" i="21"/>
  <c r="BL139" i="21"/>
  <c r="BJ120" i="21"/>
  <c r="BJ163" i="21" s="1"/>
  <c r="AP163" i="21"/>
  <c r="AI61" i="14"/>
  <c r="T61" i="14"/>
  <c r="U61" i="14"/>
  <c r="I10" i="8"/>
  <c r="H10" i="8"/>
  <c r="I9" i="8"/>
  <c r="H9" i="8"/>
  <c r="C10" i="8"/>
  <c r="B10" i="8"/>
  <c r="B21" i="8" s="1"/>
  <c r="E10" i="8"/>
  <c r="D10" i="8"/>
  <c r="B27" i="8" s="1"/>
  <c r="G10" i="8"/>
  <c r="F10" i="8"/>
  <c r="B16" i="8" s="1"/>
  <c r="I8" i="8"/>
  <c r="H8" i="8"/>
  <c r="BL125" i="21" l="1"/>
  <c r="BL163" i="21" s="1"/>
  <c r="B23" i="10"/>
  <c r="B18" i="10"/>
  <c r="G11" i="10"/>
  <c r="F11" i="10"/>
  <c r="E11" i="10"/>
  <c r="D11" i="10"/>
  <c r="C11" i="10"/>
  <c r="B11" i="10"/>
  <c r="B10" i="19"/>
  <c r="D8" i="19"/>
  <c r="G8" i="10" l="1"/>
  <c r="G10" i="10"/>
  <c r="G9" i="10"/>
  <c r="F10" i="10"/>
  <c r="F9" i="10"/>
  <c r="F8" i="10"/>
  <c r="C10" i="19" l="1"/>
  <c r="D9" i="19"/>
  <c r="D10" i="19" l="1"/>
  <c r="I27" i="18"/>
  <c r="H27" i="18"/>
  <c r="G27" i="18"/>
  <c r="F27" i="18"/>
  <c r="E27" i="18"/>
  <c r="D27" i="18"/>
  <c r="C27" i="18"/>
  <c r="B27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O17" i="17"/>
  <c r="N17" i="17"/>
  <c r="M17" i="17"/>
  <c r="L17" i="17"/>
  <c r="J17" i="17"/>
  <c r="I17" i="17"/>
  <c r="H17" i="17"/>
  <c r="G17" i="17"/>
  <c r="F17" i="17"/>
  <c r="E17" i="17"/>
  <c r="D17" i="17"/>
  <c r="C17" i="17"/>
  <c r="B17" i="17"/>
  <c r="Q14" i="17"/>
  <c r="P14" i="17"/>
  <c r="P13" i="17"/>
  <c r="Q13" i="17"/>
  <c r="P12" i="17"/>
  <c r="Q12" i="17"/>
  <c r="P11" i="17"/>
  <c r="Q11" i="17"/>
  <c r="P10" i="17"/>
  <c r="Q10" i="17"/>
  <c r="P9" i="17"/>
  <c r="Q9" i="17"/>
  <c r="P8" i="17"/>
  <c r="Q8" i="17"/>
  <c r="P7" i="17"/>
  <c r="Q7" i="17"/>
  <c r="P6" i="17"/>
  <c r="Q6" i="17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S14" i="16"/>
  <c r="U14" i="16" s="1"/>
  <c r="R14" i="16"/>
  <c r="T14" i="16" s="1"/>
  <c r="S13" i="16"/>
  <c r="U13" i="16" s="1"/>
  <c r="R13" i="16"/>
  <c r="T13" i="16" s="1"/>
  <c r="S12" i="16"/>
  <c r="U12" i="16" s="1"/>
  <c r="R12" i="16"/>
  <c r="T12" i="16" s="1"/>
  <c r="S11" i="16"/>
  <c r="U11" i="16" s="1"/>
  <c r="R11" i="16"/>
  <c r="T11" i="16" s="1"/>
  <c r="S10" i="16"/>
  <c r="U10" i="16" s="1"/>
  <c r="R10" i="16"/>
  <c r="T10" i="16" s="1"/>
  <c r="S9" i="16"/>
  <c r="R9" i="16"/>
  <c r="S8" i="16"/>
  <c r="R8" i="16"/>
  <c r="S7" i="16"/>
  <c r="R7" i="16"/>
  <c r="R16" i="16" l="1"/>
  <c r="U8" i="16"/>
  <c r="Q17" i="17"/>
  <c r="M8" i="18"/>
  <c r="M10" i="18"/>
  <c r="M12" i="18"/>
  <c r="M14" i="18"/>
  <c r="M16" i="18"/>
  <c r="M18" i="18"/>
  <c r="M20" i="18"/>
  <c r="M22" i="18"/>
  <c r="M24" i="18"/>
  <c r="J27" i="18"/>
  <c r="L8" i="18"/>
  <c r="L10" i="18"/>
  <c r="L12" i="18"/>
  <c r="L14" i="18"/>
  <c r="L16" i="18"/>
  <c r="L18" i="18"/>
  <c r="L20" i="18"/>
  <c r="L22" i="18"/>
  <c r="L24" i="18"/>
  <c r="P17" i="17"/>
  <c r="K27" i="18"/>
  <c r="K17" i="17"/>
  <c r="S16" i="16"/>
  <c r="T8" i="16"/>
  <c r="U16" i="16" l="1"/>
  <c r="T16" i="16"/>
  <c r="M27" i="18"/>
  <c r="L27" i="18"/>
  <c r="AQ61" i="14" l="1"/>
  <c r="AP61" i="14"/>
  <c r="AE61" i="14"/>
  <c r="AD61" i="14"/>
  <c r="AC61" i="14"/>
  <c r="AB61" i="14"/>
  <c r="AA61" i="14"/>
  <c r="Z61" i="14"/>
  <c r="Y61" i="14"/>
  <c r="X61" i="14"/>
  <c r="W61" i="14"/>
  <c r="V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G60" i="14"/>
  <c r="AI60" i="14" s="1"/>
  <c r="AF60" i="14"/>
  <c r="AH60" i="14" s="1"/>
  <c r="AG59" i="14"/>
  <c r="AF59" i="14"/>
  <c r="AG58" i="14"/>
  <c r="AF58" i="14"/>
  <c r="AH59" i="14" s="1"/>
  <c r="AG57" i="14"/>
  <c r="AF57" i="14"/>
  <c r="AG56" i="14"/>
  <c r="AF56" i="14"/>
  <c r="AG55" i="14"/>
  <c r="AF55" i="14"/>
  <c r="AG54" i="14"/>
  <c r="AF54" i="14"/>
  <c r="AG53" i="14"/>
  <c r="AF53" i="14"/>
  <c r="AG52" i="14"/>
  <c r="AF52" i="14"/>
  <c r="AG51" i="14"/>
  <c r="AF51" i="14"/>
  <c r="AG50" i="14"/>
  <c r="AF50" i="14"/>
  <c r="AG49" i="14"/>
  <c r="AF49" i="14"/>
  <c r="AG48" i="14"/>
  <c r="AF48" i="14"/>
  <c r="AG47" i="14"/>
  <c r="AF47" i="14"/>
  <c r="AG46" i="14"/>
  <c r="AF46" i="14"/>
  <c r="AG45" i="14"/>
  <c r="AF45" i="14"/>
  <c r="AG44" i="14"/>
  <c r="AF44" i="14"/>
  <c r="AG43" i="14"/>
  <c r="AF43" i="14"/>
  <c r="AG42" i="14"/>
  <c r="AF42" i="14"/>
  <c r="AG41" i="14"/>
  <c r="AF41" i="14"/>
  <c r="AO40" i="14"/>
  <c r="AN40" i="14"/>
  <c r="AM40" i="14"/>
  <c r="AL40" i="14"/>
  <c r="AG40" i="14"/>
  <c r="AF40" i="14"/>
  <c r="AH42" i="14" s="1"/>
  <c r="AG39" i="14"/>
  <c r="AF39" i="14"/>
  <c r="AO38" i="14"/>
  <c r="AN38" i="14"/>
  <c r="AM38" i="14"/>
  <c r="AL38" i="14"/>
  <c r="AG38" i="14"/>
  <c r="AF38" i="14"/>
  <c r="AG37" i="14"/>
  <c r="AF37" i="14"/>
  <c r="AO36" i="14"/>
  <c r="AN36" i="14"/>
  <c r="AM36" i="14"/>
  <c r="AL36" i="14"/>
  <c r="AG36" i="14"/>
  <c r="AF36" i="14"/>
  <c r="AG35" i="14"/>
  <c r="AF35" i="14"/>
  <c r="AO34" i="14"/>
  <c r="AN34" i="14"/>
  <c r="AM34" i="14"/>
  <c r="AL34" i="14"/>
  <c r="AG34" i="14"/>
  <c r="AF34" i="14"/>
  <c r="AG33" i="14"/>
  <c r="AF33" i="14"/>
  <c r="AO32" i="14"/>
  <c r="AN32" i="14"/>
  <c r="AM32" i="14"/>
  <c r="AL32" i="14"/>
  <c r="AG32" i="14"/>
  <c r="AF32" i="14"/>
  <c r="AG31" i="14"/>
  <c r="AF31" i="14"/>
  <c r="AO30" i="14"/>
  <c r="AN30" i="14"/>
  <c r="AM30" i="14"/>
  <c r="AL30" i="14"/>
  <c r="AG30" i="14"/>
  <c r="AF30" i="14"/>
  <c r="AG29" i="14"/>
  <c r="AF29" i="14"/>
  <c r="AO28" i="14"/>
  <c r="AN28" i="14"/>
  <c r="AM28" i="14"/>
  <c r="AL28" i="14"/>
  <c r="AG28" i="14"/>
  <c r="AF28" i="14"/>
  <c r="AG27" i="14"/>
  <c r="AF27" i="14"/>
  <c r="AO26" i="14"/>
  <c r="AN26" i="14"/>
  <c r="AM26" i="14"/>
  <c r="AL26" i="14"/>
  <c r="AG26" i="14"/>
  <c r="AF26" i="14"/>
  <c r="AO25" i="14"/>
  <c r="AN25" i="14"/>
  <c r="AM25" i="14"/>
  <c r="AL25" i="14"/>
  <c r="AR25" i="14" s="1"/>
  <c r="AG25" i="14"/>
  <c r="AF25" i="14"/>
  <c r="AO24" i="14"/>
  <c r="AN24" i="14"/>
  <c r="AM24" i="14"/>
  <c r="AL24" i="14"/>
  <c r="AG24" i="14"/>
  <c r="AF24" i="14"/>
  <c r="AO23" i="14"/>
  <c r="AN23" i="14"/>
  <c r="AM23" i="14"/>
  <c r="AL23" i="14"/>
  <c r="AR23" i="14" s="1"/>
  <c r="AG23" i="14"/>
  <c r="AF23" i="14"/>
  <c r="AO22" i="14"/>
  <c r="AN22" i="14"/>
  <c r="AM22" i="14"/>
  <c r="AL22" i="14"/>
  <c r="AG22" i="14"/>
  <c r="AF22" i="14"/>
  <c r="AO21" i="14"/>
  <c r="AN21" i="14"/>
  <c r="AM21" i="14"/>
  <c r="AL21" i="14"/>
  <c r="AG21" i="14"/>
  <c r="AF21" i="14"/>
  <c r="AO20" i="14"/>
  <c r="AN20" i="14"/>
  <c r="AM20" i="14"/>
  <c r="AL20" i="14"/>
  <c r="AG20" i="14"/>
  <c r="AF20" i="14"/>
  <c r="AO19" i="14"/>
  <c r="AN19" i="14"/>
  <c r="AM19" i="14"/>
  <c r="AL19" i="14"/>
  <c r="AG19" i="14"/>
  <c r="AF19" i="14"/>
  <c r="AO18" i="14"/>
  <c r="AN18" i="14"/>
  <c r="AM18" i="14"/>
  <c r="AL18" i="14"/>
  <c r="AG18" i="14"/>
  <c r="AF18" i="14"/>
  <c r="AO17" i="14"/>
  <c r="AN17" i="14"/>
  <c r="AM17" i="14"/>
  <c r="AL17" i="14"/>
  <c r="AG17" i="14"/>
  <c r="AF17" i="14"/>
  <c r="AO16" i="14"/>
  <c r="AN16" i="14"/>
  <c r="AM16" i="14"/>
  <c r="AL16" i="14"/>
  <c r="AG16" i="14"/>
  <c r="AF16" i="14"/>
  <c r="AO15" i="14"/>
  <c r="AN15" i="14"/>
  <c r="AM15" i="14"/>
  <c r="AL15" i="14"/>
  <c r="AG15" i="14"/>
  <c r="AF15" i="14"/>
  <c r="AO14" i="14"/>
  <c r="AN14" i="14"/>
  <c r="AM14" i="14"/>
  <c r="AL14" i="14"/>
  <c r="AG14" i="14"/>
  <c r="AF14" i="14"/>
  <c r="AO13" i="14"/>
  <c r="AN13" i="14"/>
  <c r="AM13" i="14"/>
  <c r="AL13" i="14"/>
  <c r="AR13" i="14" s="1"/>
  <c r="AG13" i="14"/>
  <c r="AF13" i="14"/>
  <c r="AO12" i="14"/>
  <c r="AN12" i="14"/>
  <c r="AM12" i="14"/>
  <c r="AL12" i="14"/>
  <c r="AG12" i="14"/>
  <c r="AF12" i="14"/>
  <c r="AO11" i="14"/>
  <c r="AN11" i="14"/>
  <c r="AM11" i="14"/>
  <c r="AL11" i="14"/>
  <c r="AR11" i="14" s="1"/>
  <c r="AG11" i="14"/>
  <c r="AF11" i="14"/>
  <c r="AO10" i="14"/>
  <c r="AN10" i="14"/>
  <c r="AM10" i="14"/>
  <c r="AL10" i="14"/>
  <c r="AG10" i="14"/>
  <c r="AF10" i="14"/>
  <c r="AO9" i="14"/>
  <c r="AN9" i="14"/>
  <c r="AM9" i="14"/>
  <c r="AL9" i="14"/>
  <c r="AR9" i="14" s="1"/>
  <c r="AG9" i="14"/>
  <c r="AF9" i="14"/>
  <c r="AO8" i="14"/>
  <c r="AN8" i="14"/>
  <c r="AM8" i="14"/>
  <c r="AL8" i="14"/>
  <c r="AG8" i="14"/>
  <c r="AF8" i="14"/>
  <c r="AO7" i="14"/>
  <c r="AO61" i="14" s="1"/>
  <c r="AN7" i="14"/>
  <c r="AM7" i="14"/>
  <c r="AM61" i="14" s="1"/>
  <c r="AL7" i="14"/>
  <c r="AR7" i="14" s="1"/>
  <c r="AG7" i="14"/>
  <c r="AF7" i="14"/>
  <c r="AN61" i="14"/>
  <c r="AF8" i="12"/>
  <c r="AG8" i="12"/>
  <c r="AF9" i="12"/>
  <c r="AG9" i="12"/>
  <c r="AF10" i="12"/>
  <c r="AG10" i="12"/>
  <c r="AF11" i="12"/>
  <c r="AG11" i="12"/>
  <c r="AF12" i="12"/>
  <c r="AH14" i="12" s="1"/>
  <c r="AG12" i="12"/>
  <c r="AF13" i="12"/>
  <c r="AG13" i="12"/>
  <c r="AF14" i="12"/>
  <c r="AG14" i="12"/>
  <c r="AF15" i="12"/>
  <c r="AG15" i="12"/>
  <c r="AF16" i="12"/>
  <c r="AG16" i="12"/>
  <c r="AF17" i="12"/>
  <c r="AG17" i="12"/>
  <c r="AF18" i="12"/>
  <c r="AG18" i="12"/>
  <c r="AF19" i="12"/>
  <c r="AG19" i="12"/>
  <c r="AF20" i="12"/>
  <c r="AG20" i="12"/>
  <c r="AF21" i="12"/>
  <c r="AG21" i="12"/>
  <c r="AF22" i="12"/>
  <c r="AG22" i="12"/>
  <c r="AF23" i="12"/>
  <c r="AG23" i="12"/>
  <c r="AF24" i="12"/>
  <c r="AG24" i="12"/>
  <c r="AF25" i="12"/>
  <c r="AG25" i="12"/>
  <c r="AF26" i="12"/>
  <c r="AG26" i="12"/>
  <c r="AF27" i="12"/>
  <c r="AG27" i="12"/>
  <c r="AF28" i="12"/>
  <c r="AG28" i="12"/>
  <c r="AF29" i="12"/>
  <c r="AG29" i="12"/>
  <c r="AF30" i="12"/>
  <c r="AG30" i="12"/>
  <c r="AF31" i="12"/>
  <c r="AG31" i="12"/>
  <c r="AF32" i="12"/>
  <c r="AG32" i="12"/>
  <c r="AF33" i="12"/>
  <c r="AG33" i="12"/>
  <c r="AF34" i="12"/>
  <c r="AG34" i="12"/>
  <c r="AF35" i="12"/>
  <c r="AG35" i="12"/>
  <c r="AF36" i="12"/>
  <c r="AG36" i="12"/>
  <c r="AF37" i="12"/>
  <c r="AG37" i="12"/>
  <c r="AF38" i="12"/>
  <c r="AG38" i="12"/>
  <c r="AF39" i="12"/>
  <c r="AG39" i="12"/>
  <c r="AF40" i="12"/>
  <c r="AG40" i="12"/>
  <c r="AF41" i="12"/>
  <c r="AG41" i="12"/>
  <c r="AF42" i="12"/>
  <c r="AG42" i="12"/>
  <c r="AF43" i="12"/>
  <c r="AG43" i="12"/>
  <c r="AF44" i="12"/>
  <c r="AG44" i="12"/>
  <c r="AF45" i="12"/>
  <c r="AG45" i="12"/>
  <c r="AF46" i="12"/>
  <c r="AG46" i="12"/>
  <c r="AF47" i="12"/>
  <c r="AG47" i="12"/>
  <c r="AF48" i="12"/>
  <c r="AG48" i="12"/>
  <c r="AF49" i="12"/>
  <c r="AG49" i="12"/>
  <c r="AF50" i="12"/>
  <c r="AG50" i="12"/>
  <c r="AF51" i="12"/>
  <c r="AG51" i="12"/>
  <c r="AF52" i="12"/>
  <c r="AG52" i="12"/>
  <c r="AF53" i="12"/>
  <c r="AG53" i="12"/>
  <c r="AF54" i="12"/>
  <c r="AG54" i="12"/>
  <c r="AF55" i="12"/>
  <c r="AG55" i="12"/>
  <c r="AF56" i="12"/>
  <c r="AG56" i="12"/>
  <c r="AF57" i="12"/>
  <c r="AG57" i="12"/>
  <c r="AF58" i="12"/>
  <c r="AG58" i="12"/>
  <c r="AF59" i="12"/>
  <c r="AG59" i="12"/>
  <c r="AF60" i="12"/>
  <c r="AG60" i="12"/>
  <c r="AF61" i="12"/>
  <c r="AG61" i="12"/>
  <c r="AF62" i="12"/>
  <c r="AG62" i="12"/>
  <c r="AF63" i="12"/>
  <c r="AH63" i="12" s="1"/>
  <c r="AG63" i="12"/>
  <c r="AI63" i="12" s="1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H34" i="14" l="1"/>
  <c r="AS10" i="14"/>
  <c r="AI14" i="14"/>
  <c r="AS12" i="14"/>
  <c r="AS14" i="14"/>
  <c r="AI18" i="14"/>
  <c r="AS16" i="14"/>
  <c r="AS26" i="14"/>
  <c r="AS28" i="14"/>
  <c r="AS30" i="14"/>
  <c r="AI34" i="14"/>
  <c r="AS32" i="14"/>
  <c r="AS34" i="14"/>
  <c r="AS36" i="14"/>
  <c r="AS38" i="14"/>
  <c r="AI42" i="14"/>
  <c r="AS40" i="14"/>
  <c r="AI46" i="14"/>
  <c r="AI50" i="14"/>
  <c r="AI54" i="14"/>
  <c r="AI38" i="12"/>
  <c r="AI62" i="12"/>
  <c r="AH38" i="12"/>
  <c r="AH54" i="12"/>
  <c r="AH46" i="12"/>
  <c r="AI30" i="12"/>
  <c r="AS7" i="14"/>
  <c r="AS61" i="14" s="1"/>
  <c r="AS9" i="14"/>
  <c r="AS19" i="14"/>
  <c r="AI22" i="14"/>
  <c r="AS21" i="14"/>
  <c r="AS23" i="14"/>
  <c r="AS25" i="14"/>
  <c r="AI54" i="12"/>
  <c r="AH10" i="14"/>
  <c r="AR14" i="14"/>
  <c r="AH18" i="14"/>
  <c r="AR16" i="14"/>
  <c r="AR18" i="14"/>
  <c r="AH22" i="14"/>
  <c r="AR20" i="14"/>
  <c r="AH26" i="14"/>
  <c r="AF65" i="12"/>
  <c r="AH62" i="12"/>
  <c r="AH58" i="12"/>
  <c r="AI22" i="12"/>
  <c r="AG61" i="14"/>
  <c r="AR8" i="14"/>
  <c r="AS11" i="14"/>
  <c r="AS13" i="14"/>
  <c r="AR15" i="14"/>
  <c r="AR17" i="14"/>
  <c r="AS18" i="14"/>
  <c r="AS20" i="14"/>
  <c r="AR22" i="14"/>
  <c r="AR24" i="14"/>
  <c r="AI30" i="14"/>
  <c r="AI38" i="14"/>
  <c r="AI57" i="14"/>
  <c r="AI59" i="14"/>
  <c r="AR61" i="14"/>
  <c r="AI10" i="14"/>
  <c r="AS8" i="14"/>
  <c r="AR10" i="14"/>
  <c r="AH14" i="14"/>
  <c r="AR12" i="14"/>
  <c r="AS15" i="14"/>
  <c r="AS17" i="14"/>
  <c r="AR19" i="14"/>
  <c r="AR21" i="14"/>
  <c r="AS22" i="14"/>
  <c r="AI26" i="14"/>
  <c r="AS24" i="14"/>
  <c r="AR26" i="14"/>
  <c r="AH30" i="14"/>
  <c r="AR28" i="14"/>
  <c r="AR30" i="14"/>
  <c r="AR32" i="14"/>
  <c r="AR34" i="14"/>
  <c r="AH38" i="14"/>
  <c r="AR36" i="14"/>
  <c r="AR38" i="14"/>
  <c r="AR40" i="14"/>
  <c r="AH46" i="14"/>
  <c r="AH50" i="14"/>
  <c r="AH54" i="14"/>
  <c r="AH57" i="14"/>
  <c r="AF61" i="14"/>
  <c r="AL61" i="14"/>
  <c r="AH34" i="12"/>
  <c r="AH26" i="12"/>
  <c r="AI18" i="12"/>
  <c r="AI50" i="12"/>
  <c r="AI42" i="12"/>
  <c r="AH18" i="12"/>
  <c r="AI10" i="12"/>
  <c r="AG65" i="12"/>
  <c r="AH50" i="12"/>
  <c r="AH42" i="12"/>
  <c r="AH30" i="12"/>
  <c r="AH10" i="12"/>
  <c r="AI58" i="12"/>
  <c r="AI46" i="12"/>
  <c r="AI34" i="12"/>
  <c r="AI26" i="12"/>
  <c r="AH22" i="12"/>
  <c r="AI14" i="12"/>
  <c r="AH65" i="12" l="1"/>
  <c r="AI65" i="12"/>
  <c r="AH61" i="14"/>
  <c r="C72" i="7"/>
  <c r="C73" i="7" s="1"/>
  <c r="G68" i="7"/>
  <c r="G64" i="7"/>
  <c r="G60" i="7"/>
  <c r="G56" i="7"/>
  <c r="G52" i="7"/>
  <c r="G48" i="7"/>
  <c r="G44" i="7"/>
  <c r="G40" i="7"/>
  <c r="G36" i="7"/>
  <c r="G32" i="7"/>
  <c r="G28" i="7"/>
  <c r="G24" i="7"/>
  <c r="G20" i="7"/>
  <c r="G16" i="7"/>
  <c r="E13" i="7"/>
  <c r="E14" i="7" s="1"/>
  <c r="E15" i="7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G72" i="7"/>
  <c r="G73" i="7" l="1"/>
</calcChain>
</file>

<file path=xl/comments1.xml><?xml version="1.0" encoding="utf-8"?>
<comments xmlns="http://schemas.openxmlformats.org/spreadsheetml/2006/main">
  <authors>
    <author>roberta allen</author>
  </authors>
  <commentList>
    <comment ref="H3" authorId="0">
      <text>
        <r>
          <rPr>
            <b/>
            <sz val="8"/>
            <color indexed="81"/>
            <rFont val="Tahoma"/>
            <family val="2"/>
          </rPr>
          <t>roberta allen:</t>
        </r>
        <r>
          <rPr>
            <sz val="8"/>
            <color indexed="81"/>
            <rFont val="Tahoma"/>
            <family val="2"/>
          </rPr>
          <t xml:space="preserve">
make sure amount on g/l equals year end balance column
</t>
        </r>
      </text>
    </comment>
  </commentList>
</comments>
</file>

<file path=xl/comments2.xml><?xml version="1.0" encoding="utf-8"?>
<comments xmlns="http://schemas.openxmlformats.org/spreadsheetml/2006/main">
  <authors>
    <author>allenr</author>
    <author>Stefanie Thacker</author>
    <author>Sara Wuellner</author>
    <author>Authorized User</author>
  </authors>
  <commentList>
    <comment ref="R4" authorId="0">
      <text>
        <r>
          <rPr>
            <b/>
            <sz val="8"/>
            <color indexed="81"/>
            <rFont val="Tahoma"/>
            <family val="2"/>
          </rPr>
          <t>allenr:</t>
        </r>
        <r>
          <rPr>
            <sz val="8"/>
            <color indexed="81"/>
            <rFont val="Tahoma"/>
            <family val="2"/>
          </rPr>
          <t xml:space="preserve">
may &amp; nov</t>
        </r>
      </text>
    </comment>
    <comment ref="X6" authorId="1">
      <text>
        <r>
          <rPr>
            <b/>
            <sz val="9"/>
            <color indexed="81"/>
            <rFont val="Tahoma"/>
            <family val="2"/>
          </rPr>
          <t>Stefanie Thacker:</t>
        </r>
        <r>
          <rPr>
            <sz val="9"/>
            <color indexed="81"/>
            <rFont val="Tahoma"/>
            <family val="2"/>
          </rPr>
          <t xml:space="preserve">
We need to reimb $1476 to the State for over pmt.</t>
        </r>
      </text>
    </comment>
    <comment ref="AB6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32,033</t>
        </r>
      </text>
    </comment>
    <comment ref="AD6" authorId="1">
      <text>
        <r>
          <rPr>
            <b/>
            <sz val="9"/>
            <color indexed="81"/>
            <rFont val="Tahoma"/>
            <family val="2"/>
          </rPr>
          <t>Stefanie Thacker:</t>
        </r>
        <r>
          <rPr>
            <sz val="9"/>
            <color indexed="81"/>
            <rFont val="Tahoma"/>
            <family val="2"/>
          </rPr>
          <t xml:space="preserve">
2012 Accrued $540, not received as of 12/31/13
2013 accrual 81</t>
        </r>
      </text>
    </comment>
    <comment ref="AF6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17,367
</t>
        </r>
      </text>
    </comment>
    <comment ref="AH6" authorId="3">
      <text>
        <r>
          <rPr>
            <b/>
            <sz val="8"/>
            <color indexed="81"/>
            <rFont val="Tahoma"/>
            <family val="2"/>
          </rPr>
          <t>Stefanie Thacker:</t>
        </r>
        <r>
          <rPr>
            <sz val="8"/>
            <color indexed="81"/>
            <rFont val="Tahoma"/>
            <family val="2"/>
          </rPr>
          <t xml:space="preserve">
2012 accrual 6,003
2013 accrual 3,409</t>
        </r>
      </text>
    </comment>
    <comment ref="AJ6" authorId="1">
      <text>
        <r>
          <rPr>
            <b/>
            <sz val="9"/>
            <color indexed="81"/>
            <rFont val="Tahoma"/>
            <family val="2"/>
          </rPr>
          <t>Stefanie Thacker:</t>
        </r>
        <r>
          <rPr>
            <sz val="9"/>
            <color indexed="81"/>
            <rFont val="Tahoma"/>
            <family val="2"/>
          </rPr>
          <t xml:space="preserve">
2012 accrued $1,820, not received as of 12/31/13</t>
        </r>
      </text>
    </comment>
    <comment ref="AP6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1872
</t>
        </r>
      </text>
    </comment>
    <comment ref="AT6" authorId="3">
      <text>
        <r>
          <rPr>
            <b/>
            <sz val="8"/>
            <color indexed="81"/>
            <rFont val="Tahoma"/>
            <family val="2"/>
          </rPr>
          <t>Thacker:</t>
        </r>
        <r>
          <rPr>
            <sz val="8"/>
            <color indexed="81"/>
            <rFont val="Tahoma"/>
            <family val="2"/>
          </rPr>
          <t xml:space="preserve">
2012 accrued $178, Received 12/12/13
2013 accrual 593,463</t>
        </r>
      </text>
    </comment>
    <comment ref="AV6" authorId="3">
      <text>
        <r>
          <rPr>
            <b/>
            <sz val="8"/>
            <color indexed="81"/>
            <rFont val="Tahoma"/>
            <family val="2"/>
          </rPr>
          <t>Thacker:</t>
        </r>
        <r>
          <rPr>
            <sz val="8"/>
            <color indexed="81"/>
            <rFont val="Tahoma"/>
            <family val="2"/>
          </rPr>
          <t xml:space="preserve">
2012 accrued $158,
Received 10/1/13
2013 accrual 51,242</t>
        </r>
      </text>
    </comment>
    <comment ref="AX6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2,837
</t>
        </r>
      </text>
    </comment>
    <comment ref="BB6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3,745</t>
        </r>
      </text>
    </comment>
    <comment ref="BD6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126,953</t>
        </r>
      </text>
    </comment>
    <comment ref="H50" authorId="3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18,408 added
</t>
        </r>
      </text>
    </comment>
    <comment ref="J50" authorId="3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6135 added
</t>
        </r>
      </text>
    </comment>
    <comment ref="AV67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51,242</t>
        </r>
      </text>
    </comment>
    <comment ref="AF99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17,367</t>
        </r>
      </text>
    </comment>
    <comment ref="AT109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593,463</t>
        </r>
      </text>
    </comment>
    <comment ref="AB120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32,033</t>
        </r>
      </text>
    </comment>
    <comment ref="AD127" authorId="1">
      <text>
        <r>
          <rPr>
            <b/>
            <sz val="9"/>
            <color indexed="81"/>
            <rFont val="Tahoma"/>
            <family val="2"/>
          </rPr>
          <t>Stefanie Thacker:</t>
        </r>
        <r>
          <rPr>
            <sz val="9"/>
            <color indexed="81"/>
            <rFont val="Tahoma"/>
            <family val="2"/>
          </rPr>
          <t xml:space="preserve">
2012 accrual 540 not rec
2013 accrual 81</t>
        </r>
      </text>
    </comment>
    <comment ref="AJ127" authorId="1">
      <text>
        <r>
          <rPr>
            <b/>
            <sz val="9"/>
            <color indexed="81"/>
            <rFont val="Tahoma"/>
            <family val="2"/>
          </rPr>
          <t>Stefanie Thacker:</t>
        </r>
        <r>
          <rPr>
            <sz val="9"/>
            <color indexed="81"/>
            <rFont val="Tahoma"/>
            <family val="2"/>
          </rPr>
          <t xml:space="preserve">
2012 accrued $1,820, not received as of 12/31/13</t>
        </r>
      </text>
    </comment>
    <comment ref="AH134" authorId="3">
      <text>
        <r>
          <rPr>
            <b/>
            <sz val="8"/>
            <color indexed="81"/>
            <rFont val="Tahoma"/>
            <family val="2"/>
          </rPr>
          <t>Stefanie Thacker:</t>
        </r>
        <r>
          <rPr>
            <sz val="8"/>
            <color indexed="81"/>
            <rFont val="Tahoma"/>
            <family val="2"/>
          </rPr>
          <t xml:space="preserve">
2012 accrual 6,003 not rec
2013 accrual 3,409
</t>
        </r>
      </text>
    </comment>
    <comment ref="AP134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1,872</t>
        </r>
      </text>
    </comment>
    <comment ref="AX134" authorId="2">
      <text>
        <r>
          <rPr>
            <b/>
            <sz val="9"/>
            <color indexed="81"/>
            <rFont val="Tahoma"/>
            <family val="2"/>
          </rPr>
          <t>Sara Wuellner:</t>
        </r>
        <r>
          <rPr>
            <sz val="9"/>
            <color indexed="81"/>
            <rFont val="Tahoma"/>
            <family val="2"/>
          </rPr>
          <t xml:space="preserve">
2013 accrual 2,837
</t>
        </r>
      </text>
    </comment>
  </commentList>
</comments>
</file>

<file path=xl/comments3.xml><?xml version="1.0" encoding="utf-8"?>
<comments xmlns="http://schemas.openxmlformats.org/spreadsheetml/2006/main">
  <authors>
    <author>roberta allen</author>
  </authors>
  <commentList>
    <comment ref="D3" authorId="0">
      <text>
        <r>
          <rPr>
            <b/>
            <sz val="8"/>
            <color indexed="81"/>
            <rFont val="Tahoma"/>
            <family val="2"/>
          </rPr>
          <t>roberta allen:</t>
        </r>
        <r>
          <rPr>
            <sz val="8"/>
            <color indexed="81"/>
            <rFont val="Tahoma"/>
            <family val="2"/>
          </rPr>
          <t xml:space="preserve">
include as payable amount in note </t>
        </r>
      </text>
    </comment>
  </commentList>
</comments>
</file>

<file path=xl/sharedStrings.xml><?xml version="1.0" encoding="utf-8"?>
<sst xmlns="http://schemas.openxmlformats.org/spreadsheetml/2006/main" count="1379" uniqueCount="670">
  <si>
    <t xml:space="preserve"> WATER  RESOURCES</t>
  </si>
  <si>
    <t xml:space="preserve">SPECIAL    ASSESSMENT </t>
  </si>
  <si>
    <t>SCHEDULE</t>
  </si>
  <si>
    <t>Bonds Payable</t>
  </si>
  <si>
    <t xml:space="preserve"> </t>
  </si>
  <si>
    <t>more '10</t>
  </si>
  <si>
    <t>more '11</t>
  </si>
  <si>
    <t>new '09</t>
  </si>
  <si>
    <t>new '11</t>
  </si>
  <si>
    <t>new '96</t>
  </si>
  <si>
    <t>new '06</t>
  </si>
  <si>
    <t>new '10</t>
  </si>
  <si>
    <t>8661/8734</t>
  </si>
  <si>
    <t>ISSUE:</t>
  </si>
  <si>
    <t>Allen Creek/ SB Ph II</t>
  </si>
  <si>
    <t>Allen Creek/ West Park</t>
  </si>
  <si>
    <t>Allen Creek/ Sylvan</t>
  </si>
  <si>
    <t>Allen Creek Cistern</t>
  </si>
  <si>
    <t xml:space="preserve">Carpenter Road </t>
  </si>
  <si>
    <t>Michigan Ave East</t>
  </si>
  <si>
    <t>Oak Park Washtenaw</t>
  </si>
  <si>
    <t>Traver Cistern</t>
  </si>
  <si>
    <t xml:space="preserve">               TOTAL</t>
  </si>
  <si>
    <t>Total by year</t>
  </si>
  <si>
    <t>YEAR</t>
  </si>
  <si>
    <t xml:space="preserve"> PRIN</t>
  </si>
  <si>
    <t>INT</t>
  </si>
  <si>
    <t>PRIN</t>
  </si>
  <si>
    <t xml:space="preserve"> INT</t>
  </si>
  <si>
    <t xml:space="preserve"> Apr 1, 2014</t>
  </si>
  <si>
    <t>Jun 1, 2014</t>
  </si>
  <si>
    <t xml:space="preserve"> Oct 1, 2014</t>
  </si>
  <si>
    <t>Dec 1, 2014</t>
  </si>
  <si>
    <t xml:space="preserve"> Apr 1, 2015</t>
  </si>
  <si>
    <t>Jun 1, 2015</t>
  </si>
  <si>
    <t xml:space="preserve"> Oct 1, 2015</t>
  </si>
  <si>
    <t xml:space="preserve"> Dec 1, 2015</t>
  </si>
  <si>
    <t xml:space="preserve"> Apr 1, 2016</t>
  </si>
  <si>
    <t xml:space="preserve"> Jun 1, 2016</t>
  </si>
  <si>
    <t xml:space="preserve"> Oct 1, 2016</t>
  </si>
  <si>
    <t xml:space="preserve"> Dec 1, 2016</t>
  </si>
  <si>
    <t xml:space="preserve"> Apr 1, 2017</t>
  </si>
  <si>
    <t xml:space="preserve"> Jun 1, 2017</t>
  </si>
  <si>
    <t xml:space="preserve"> Oct 1, 2017</t>
  </si>
  <si>
    <t xml:space="preserve"> Dec 1, 2017</t>
  </si>
  <si>
    <t xml:space="preserve"> Apr 1, 2018</t>
  </si>
  <si>
    <t xml:space="preserve"> Jun 1, 2018</t>
  </si>
  <si>
    <t xml:space="preserve"> Oct 1, 2018</t>
  </si>
  <si>
    <t xml:space="preserve"> Dec 1, 2018</t>
  </si>
  <si>
    <t xml:space="preserve"> Apr 1, 2019</t>
  </si>
  <si>
    <t xml:space="preserve"> Jun 1, 2019</t>
  </si>
  <si>
    <t xml:space="preserve"> Oct 1, 2019</t>
  </si>
  <si>
    <t xml:space="preserve"> Dec 1, 2019</t>
  </si>
  <si>
    <t xml:space="preserve"> Apr 1, 2020</t>
  </si>
  <si>
    <t xml:space="preserve"> Jun 1, 2020</t>
  </si>
  <si>
    <t xml:space="preserve"> Oct 1, 2020</t>
  </si>
  <si>
    <t xml:space="preserve"> Dec 1, 2020</t>
  </si>
  <si>
    <t xml:space="preserve"> Apr 1, 2021</t>
  </si>
  <si>
    <t xml:space="preserve"> Jun 1, 2021</t>
  </si>
  <si>
    <t xml:space="preserve"> Oct 1, 2021</t>
  </si>
  <si>
    <t xml:space="preserve"> Dec 1, 2021</t>
  </si>
  <si>
    <t xml:space="preserve"> Apr 1, 2022</t>
  </si>
  <si>
    <t xml:space="preserve"> Jun 1, 2022</t>
  </si>
  <si>
    <t xml:space="preserve"> Oct 1, 2022</t>
  </si>
  <si>
    <t xml:space="preserve"> Dec 1, 2022</t>
  </si>
  <si>
    <t xml:space="preserve"> Apr 1, 2023</t>
  </si>
  <si>
    <t xml:space="preserve"> Jun 1, 2023</t>
  </si>
  <si>
    <t xml:space="preserve"> Oct 1, 2023</t>
  </si>
  <si>
    <t xml:space="preserve"> Dec 1, 2023</t>
  </si>
  <si>
    <t xml:space="preserve"> Apr 1, 2024</t>
  </si>
  <si>
    <t xml:space="preserve"> Jun 1, 2024</t>
  </si>
  <si>
    <t xml:space="preserve"> Oct 1, 2024</t>
  </si>
  <si>
    <t xml:space="preserve"> Dec 1, 2024</t>
  </si>
  <si>
    <t xml:space="preserve"> Apr 1, 2025</t>
  </si>
  <si>
    <t xml:space="preserve"> Jun 1, 2025</t>
  </si>
  <si>
    <t xml:space="preserve"> Oct 1, 2025</t>
  </si>
  <si>
    <t xml:space="preserve"> Dec 1, 2025</t>
  </si>
  <si>
    <t xml:space="preserve"> Apr 1, 2026</t>
  </si>
  <si>
    <t xml:space="preserve"> Jun 1, 2026</t>
  </si>
  <si>
    <t xml:space="preserve"> Oct 1, 2026</t>
  </si>
  <si>
    <t xml:space="preserve"> Dec 1, 2026</t>
  </si>
  <si>
    <t xml:space="preserve"> Apr 1, 2027</t>
  </si>
  <si>
    <t xml:space="preserve"> Jun 1, 2027</t>
  </si>
  <si>
    <t xml:space="preserve"> Oct 1, 2027</t>
  </si>
  <si>
    <t xml:space="preserve"> Dec 1, 2027</t>
  </si>
  <si>
    <t xml:space="preserve"> Apr 1, 2028</t>
  </si>
  <si>
    <t xml:space="preserve"> Jun 1, 2028</t>
  </si>
  <si>
    <t xml:space="preserve"> Oct 1, 2028</t>
  </si>
  <si>
    <t xml:space="preserve"> Dec 1, 2028</t>
  </si>
  <si>
    <t xml:space="preserve"> Apr 1, 2029</t>
  </si>
  <si>
    <t xml:space="preserve"> Jun 1, 2029</t>
  </si>
  <si>
    <t xml:space="preserve"> Oct 1, 2029</t>
  </si>
  <si>
    <t xml:space="preserve"> Dec 1, 2029</t>
  </si>
  <si>
    <t xml:space="preserve"> Apr 1, 2030</t>
  </si>
  <si>
    <t xml:space="preserve"> Jun 1, 2030</t>
  </si>
  <si>
    <t xml:space="preserve"> Oct 1, 2030</t>
  </si>
  <si>
    <t xml:space="preserve"> Apr 1, 2031</t>
  </si>
  <si>
    <t>------------</t>
  </si>
  <si>
    <t>--------------</t>
  </si>
  <si>
    <t>-----------</t>
  </si>
  <si>
    <t>---------------</t>
  </si>
  <si>
    <t>Total</t>
  </si>
  <si>
    <t>WASHTENAW COUNTY BUILDING AUTHORITY DEBT</t>
  </si>
  <si>
    <t>SCHEDULE OF PRINCIPAL &amp; INTEREST REQUIREMENTS</t>
  </si>
  <si>
    <t xml:space="preserve">  new '07</t>
  </si>
  <si>
    <t xml:space="preserve">  new '08</t>
  </si>
  <si>
    <t xml:space="preserve"> new in 04</t>
  </si>
  <si>
    <t xml:space="preserve"> new in 06</t>
  </si>
  <si>
    <t xml:space="preserve"> 3904</t>
  </si>
  <si>
    <t xml:space="preserve"> 3903</t>
  </si>
  <si>
    <t>Headstart</t>
  </si>
  <si>
    <t>Capital - Jail</t>
  </si>
  <si>
    <t>Space Plan II</t>
  </si>
  <si>
    <t>Humane Society</t>
  </si>
  <si>
    <t>D.C.14A&amp;Fiber NW</t>
  </si>
  <si>
    <t>Environment Serv</t>
  </si>
  <si>
    <t xml:space="preserve"> Road Commission</t>
  </si>
  <si>
    <t xml:space="preserve">    County Bldg</t>
  </si>
  <si>
    <t xml:space="preserve"> Safehouse &amp; A2 d.c.</t>
  </si>
  <si>
    <t xml:space="preserve">     Golf course</t>
  </si>
  <si>
    <t>Capital Equipment</t>
  </si>
  <si>
    <t>Space Plan ph I</t>
  </si>
  <si>
    <t>Capital - Chevron</t>
  </si>
  <si>
    <t>Capital - EECS (800mhz)</t>
  </si>
  <si>
    <t>SERIES 2002</t>
  </si>
  <si>
    <t xml:space="preserve">   2006 A Series</t>
  </si>
  <si>
    <t xml:space="preserve"> 2005 refunding</t>
  </si>
  <si>
    <t>2007 Series</t>
  </si>
  <si>
    <t>Series  2008A</t>
  </si>
  <si>
    <t xml:space="preserve"> 2003 C refunding</t>
  </si>
  <si>
    <t xml:space="preserve"> 2003 A refunding</t>
  </si>
  <si>
    <t xml:space="preserve"> 1993-1 SERIES </t>
  </si>
  <si>
    <t xml:space="preserve"> 1993-2 SERIES </t>
  </si>
  <si>
    <t xml:space="preserve"> 1993-3 SERIES </t>
  </si>
  <si>
    <t xml:space="preserve"> 2003  refunding</t>
  </si>
  <si>
    <t xml:space="preserve">   2004 Series</t>
  </si>
  <si>
    <t xml:space="preserve">   2006 Series</t>
  </si>
  <si>
    <t xml:space="preserve">         SUBTOTAL</t>
  </si>
  <si>
    <t xml:space="preserve">       ANNUAL TOTAL </t>
  </si>
  <si>
    <t>DATE</t>
  </si>
  <si>
    <t>principal</t>
  </si>
  <si>
    <t>interest</t>
  </si>
  <si>
    <t xml:space="preserve">  ----------</t>
  </si>
  <si>
    <t>----------</t>
  </si>
  <si>
    <t>Mar 1 2014</t>
  </si>
  <si>
    <t>July 1 2014</t>
  </si>
  <si>
    <t>Sep 1 2014</t>
  </si>
  <si>
    <t>Jan 1 2015</t>
  </si>
  <si>
    <t>Mar 1 2015</t>
  </si>
  <si>
    <t>July 1 2015</t>
  </si>
  <si>
    <t>Sep 1 2015</t>
  </si>
  <si>
    <t>Jan 1 2016</t>
  </si>
  <si>
    <t>Mar 1 2016</t>
  </si>
  <si>
    <t>July 1 2016</t>
  </si>
  <si>
    <t>Sep 1 2016</t>
  </si>
  <si>
    <t>Jan 1 2017</t>
  </si>
  <si>
    <t>Mar 1 2017</t>
  </si>
  <si>
    <t>July 1 2017</t>
  </si>
  <si>
    <t>Sep 1 2017</t>
  </si>
  <si>
    <t>Jan 1 2018</t>
  </si>
  <si>
    <t>Mar 1 2018</t>
  </si>
  <si>
    <t>July 1 2018</t>
  </si>
  <si>
    <t>Sep 1 2018</t>
  </si>
  <si>
    <t>Jan 1 2019</t>
  </si>
  <si>
    <t>Mar 1 2019</t>
  </si>
  <si>
    <t>July 1 2019</t>
  </si>
  <si>
    <t>Sep 1 2019</t>
  </si>
  <si>
    <t>Jan 1 2020</t>
  </si>
  <si>
    <t>Mar 1 2020</t>
  </si>
  <si>
    <t>July 1 2020</t>
  </si>
  <si>
    <t>Sep 1 2020</t>
  </si>
  <si>
    <t>Jan 1 2021</t>
  </si>
  <si>
    <t>Mar 1 2021</t>
  </si>
  <si>
    <t>July 1 2021</t>
  </si>
  <si>
    <t>Sep 1 2021</t>
  </si>
  <si>
    <t>Jan 1 2022</t>
  </si>
  <si>
    <t>Mar 1 2022</t>
  </si>
  <si>
    <t>July 1 2022</t>
  </si>
  <si>
    <t>Sep 1 2022</t>
  </si>
  <si>
    <t>Jan 1 2023</t>
  </si>
  <si>
    <t>Mar 1 2023</t>
  </si>
  <si>
    <t>July 1 2023</t>
  </si>
  <si>
    <t>Sep 1 2023</t>
  </si>
  <si>
    <t>Jan 1 2024</t>
  </si>
  <si>
    <t>Mar 1 2024</t>
  </si>
  <si>
    <t>July 1 2024</t>
  </si>
  <si>
    <t>Sep 1 2024</t>
  </si>
  <si>
    <t>Jan 1 2025</t>
  </si>
  <si>
    <t>Mar 1 2025</t>
  </si>
  <si>
    <t>July 1 2025</t>
  </si>
  <si>
    <t>Sep 1 2025</t>
  </si>
  <si>
    <t>Jan 1 2026</t>
  </si>
  <si>
    <t>Mar 1 2026</t>
  </si>
  <si>
    <t>July 1 2026</t>
  </si>
  <si>
    <t>Sep 1 2026</t>
  </si>
  <si>
    <t>Jan 1 2027</t>
  </si>
  <si>
    <t>Mar 1 2027</t>
  </si>
  <si>
    <t>July 1 2027</t>
  </si>
  <si>
    <t>Sep 1 2027</t>
  </si>
  <si>
    <t>Mar 1 2028</t>
  </si>
  <si>
    <t xml:space="preserve"> --------------- </t>
  </si>
  <si>
    <t>GENERAL OBLIGATION - DPW</t>
  </si>
  <si>
    <t xml:space="preserve">SCHEDULE OF PRINCIPAL AND INTEREST </t>
  </si>
  <si>
    <t>X</t>
  </si>
  <si>
    <t>refunded '10</t>
  </si>
  <si>
    <t>again?</t>
  </si>
  <si>
    <t xml:space="preserve"> new '02</t>
  </si>
  <si>
    <t>new '01</t>
  </si>
  <si>
    <t>state revolving fund</t>
  </si>
  <si>
    <t xml:space="preserve"> Dexter Twp</t>
  </si>
  <si>
    <t>Ref'(3070)</t>
  </si>
  <si>
    <t>Lyndon P II</t>
  </si>
  <si>
    <t>(3120)</t>
  </si>
  <si>
    <t>update  '00</t>
  </si>
  <si>
    <t xml:space="preserve"> (3290)</t>
  </si>
  <si>
    <t xml:space="preserve"> (3190)</t>
  </si>
  <si>
    <t>refunded '07</t>
  </si>
  <si>
    <t xml:space="preserve"> (3350)</t>
  </si>
  <si>
    <t>new '04</t>
  </si>
  <si>
    <t xml:space="preserve"> (3240)</t>
  </si>
  <si>
    <t xml:space="preserve"> (3180)</t>
  </si>
  <si>
    <t xml:space="preserve"> new'07</t>
  </si>
  <si>
    <t>updates'09</t>
  </si>
  <si>
    <t xml:space="preserve"> (3140)</t>
  </si>
  <si>
    <t>updated '99</t>
  </si>
  <si>
    <t xml:space="preserve"> (3310)</t>
  </si>
  <si>
    <t>updated '03</t>
  </si>
  <si>
    <t xml:space="preserve"> (3340)</t>
  </si>
  <si>
    <t>Special</t>
  </si>
  <si>
    <t>Multi Lake Sewer</t>
  </si>
  <si>
    <t xml:space="preserve">  Salem Sewer</t>
  </si>
  <si>
    <t>Salem Collection</t>
  </si>
  <si>
    <t>Northfield sewer&amp;WW</t>
  </si>
  <si>
    <t>Lyndon &amp; Sylvan sewer</t>
  </si>
  <si>
    <t>Bridgewater wastewater</t>
  </si>
  <si>
    <t>Multi-Lakes PIII WW</t>
  </si>
  <si>
    <t>Water (Sylvan) &amp;wastewater</t>
  </si>
  <si>
    <t>Water (Saline I)</t>
  </si>
  <si>
    <t>Water (Saline II)</t>
  </si>
  <si>
    <t xml:space="preserve">   Total General Ob</t>
  </si>
  <si>
    <t>ANNUAL TOTAL GENOB</t>
  </si>
  <si>
    <t>SEWER</t>
  </si>
  <si>
    <t>WATER</t>
  </si>
  <si>
    <t>Assess</t>
  </si>
  <si>
    <t>TOTAL</t>
  </si>
  <si>
    <t xml:space="preserve">  PRIN</t>
  </si>
  <si>
    <t xml:space="preserve">  INT</t>
  </si>
  <si>
    <t>PRINCIPAL</t>
  </si>
  <si>
    <t>INTEREST</t>
  </si>
  <si>
    <t xml:space="preserve">  -----------</t>
  </si>
  <si>
    <t xml:space="preserve">   ----------</t>
  </si>
  <si>
    <t>Apr 1 2014</t>
  </si>
  <si>
    <t>MAY 1,2014</t>
  </si>
  <si>
    <t>Oct 1, 2014</t>
  </si>
  <si>
    <t>Nov 1 2014</t>
  </si>
  <si>
    <t>Apr 1 2015</t>
  </si>
  <si>
    <t>May 1 2015</t>
  </si>
  <si>
    <t>Oct 1, 2015</t>
  </si>
  <si>
    <t>Nov 1 2015</t>
  </si>
  <si>
    <t>Apr 1 2016</t>
  </si>
  <si>
    <t>May 1 2016</t>
  </si>
  <si>
    <t>Oct 1, 2016</t>
  </si>
  <si>
    <t>Nov 1 2016</t>
  </si>
  <si>
    <t>Apr 1 2017</t>
  </si>
  <si>
    <t>May 1 2017</t>
  </si>
  <si>
    <t>Oct 1, 2017</t>
  </si>
  <si>
    <t>Nov 1 2017</t>
  </si>
  <si>
    <t>Apr 1 2018</t>
  </si>
  <si>
    <t>May 1 2018</t>
  </si>
  <si>
    <t>Oct 1, 2018</t>
  </si>
  <si>
    <t>Nov 1 2018</t>
  </si>
  <si>
    <t>Apr 1 2019</t>
  </si>
  <si>
    <t>May 1 2019</t>
  </si>
  <si>
    <t>Oct 1, 2019</t>
  </si>
  <si>
    <t>Nov 1 2019</t>
  </si>
  <si>
    <t>Apr 1 2020</t>
  </si>
  <si>
    <t>May 1 2020</t>
  </si>
  <si>
    <t>Oct 1, 2020</t>
  </si>
  <si>
    <t>Nov 1 2020</t>
  </si>
  <si>
    <t>Apr 1 2021</t>
  </si>
  <si>
    <t>May 1 2021</t>
  </si>
  <si>
    <t>Oct 1, 2021</t>
  </si>
  <si>
    <t>Nov 1 2021</t>
  </si>
  <si>
    <t>Apr 1 2022</t>
  </si>
  <si>
    <t>May 1 2022</t>
  </si>
  <si>
    <t>Oct 1, 2022</t>
  </si>
  <si>
    <t>Nov 1, 2022</t>
  </si>
  <si>
    <t>Apr 1 2023</t>
  </si>
  <si>
    <t>May 1 2023</t>
  </si>
  <si>
    <t>Oct 1, 2023</t>
  </si>
  <si>
    <t>Nov 1, 2023</t>
  </si>
  <si>
    <t>Apr 1 2024</t>
  </si>
  <si>
    <t>May 1 2024</t>
  </si>
  <si>
    <t>Oct 1, 2024</t>
  </si>
  <si>
    <t>Nov 1, 2024</t>
  </si>
  <si>
    <t>Apr 1 2025</t>
  </si>
  <si>
    <t>May 1 2025</t>
  </si>
  <si>
    <t>Oct 1, 2025</t>
  </si>
  <si>
    <t>Nov 1, 2025</t>
  </si>
  <si>
    <t>Apr 1 2026</t>
  </si>
  <si>
    <t>May 1 2026</t>
  </si>
  <si>
    <t>Oct 1, 2026</t>
  </si>
  <si>
    <t>Apr 1 2027</t>
  </si>
  <si>
    <t>Oct 1, 2027</t>
  </si>
  <si>
    <t>Apr 1 2028</t>
  </si>
  <si>
    <t>-------------</t>
  </si>
  <si>
    <t xml:space="preserve"> ROAD COMMISSION</t>
  </si>
  <si>
    <t>SPECIAL ASSESSMENT  SCHEDULE</t>
  </si>
  <si>
    <t>new 2009</t>
  </si>
  <si>
    <t xml:space="preserve"> new 2010</t>
  </si>
  <si>
    <t xml:space="preserve"> new 2011</t>
  </si>
  <si>
    <t xml:space="preserve">    Wing Meadows</t>
  </si>
  <si>
    <t>Varsity Indust Park</t>
  </si>
  <si>
    <t xml:space="preserve"> Scio Hills</t>
  </si>
  <si>
    <t>Uplands Scio Hills</t>
  </si>
  <si>
    <t xml:space="preserve">            Annual totals</t>
  </si>
  <si>
    <t>Principal</t>
  </si>
  <si>
    <t xml:space="preserve"> Interest</t>
  </si>
  <si>
    <t xml:space="preserve">   -----------</t>
  </si>
  <si>
    <t xml:space="preserve">  -------</t>
  </si>
  <si>
    <t xml:space="preserve"> ----------</t>
  </si>
  <si>
    <t xml:space="preserve">  Principal</t>
  </si>
  <si>
    <t>GENERAL OBLIGATION - Road Commission Schedule</t>
  </si>
  <si>
    <t xml:space="preserve"> refunded 04</t>
  </si>
  <si>
    <t>MTF Notes</t>
  </si>
  <si>
    <t>Building Authority</t>
  </si>
  <si>
    <t xml:space="preserve"> 2002 Ypsi Twp</t>
  </si>
  <si>
    <t xml:space="preserve"> TOTAL GENERAL OB</t>
  </si>
  <si>
    <t xml:space="preserve">    ANNUAL TOTAL GENOB</t>
  </si>
  <si>
    <t xml:space="preserve">  Interest</t>
  </si>
  <si>
    <t xml:space="preserve">      2000 Zeeb Rd</t>
  </si>
  <si>
    <t>Interest</t>
  </si>
  <si>
    <t>Bridgewater tile</t>
  </si>
  <si>
    <t>Wing Drain</t>
  </si>
  <si>
    <t>Bazley-Foster</t>
  </si>
  <si>
    <t>Textile Drain</t>
  </si>
  <si>
    <t>Hammond / Wienette</t>
  </si>
  <si>
    <t>Lee Gause</t>
  </si>
  <si>
    <t xml:space="preserve">Lake Forest </t>
  </si>
  <si>
    <t xml:space="preserve"> Jun 1, 2015</t>
  </si>
  <si>
    <t xml:space="preserve"> Jun 1, 2014</t>
  </si>
  <si>
    <t xml:space="preserve"> May 1, 2014</t>
  </si>
  <si>
    <t>TOTAL  by year</t>
  </si>
  <si>
    <t>Portage Baseline</t>
  </si>
  <si>
    <t>new '08</t>
  </si>
  <si>
    <t>new '07</t>
  </si>
  <si>
    <t xml:space="preserve"> SCHEDULE</t>
  </si>
  <si>
    <t xml:space="preserve">   PAYABLE</t>
  </si>
  <si>
    <t>NOTES</t>
  </si>
  <si>
    <t>Water Resources</t>
  </si>
  <si>
    <t>WILLOW  RUN  GRANT</t>
  </si>
  <si>
    <t>Payment</t>
  </si>
  <si>
    <t xml:space="preserve">annual </t>
  </si>
  <si>
    <t>debit</t>
  </si>
  <si>
    <t>credit</t>
  </si>
  <si>
    <t>Number</t>
  </si>
  <si>
    <t xml:space="preserve"> Paid </t>
  </si>
  <si>
    <t>Balance</t>
  </si>
  <si>
    <t>Year</t>
  </si>
  <si>
    <t xml:space="preserve"> payment</t>
  </si>
  <si>
    <t>B-303899</t>
  </si>
  <si>
    <t xml:space="preserve"> B-337519</t>
  </si>
  <si>
    <t xml:space="preserve"> B-376333</t>
  </si>
  <si>
    <t>Terry did je this year</t>
  </si>
  <si>
    <t xml:space="preserve"> B-412930</t>
  </si>
  <si>
    <t>split between long and short term.</t>
  </si>
  <si>
    <t xml:space="preserve"> B-480826</t>
  </si>
  <si>
    <t xml:space="preserve"> B-510270</t>
  </si>
  <si>
    <t>WASHTENAW  COUNTY  DELINQUENT  TAX  NOTES</t>
  </si>
  <si>
    <t>Debt Service Schedule</t>
  </si>
  <si>
    <t>WASHTENAW  COUNTY  CAPITAL  LEASE</t>
  </si>
  <si>
    <t>Payment Schedule</t>
  </si>
  <si>
    <t>IT Equipment</t>
  </si>
  <si>
    <t>Detailed Listing of Debt Service Requirements</t>
  </si>
  <si>
    <t>The tabs that follow list in detail the debt service requirements for each Washtenaw County bond issue.</t>
  </si>
  <si>
    <t xml:space="preserve">  DECEMBER 31, 2012</t>
  </si>
  <si>
    <t xml:space="preserve"> ========= </t>
  </si>
  <si>
    <t>-</t>
  </si>
  <si>
    <t>2012 Series</t>
  </si>
  <si>
    <t>Capital Improvement Refunding Bonds</t>
  </si>
  <si>
    <t>new in 12</t>
  </si>
  <si>
    <t>refunded 2012</t>
  </si>
  <si>
    <t>New '12</t>
  </si>
  <si>
    <t>Refuse System #1</t>
  </si>
  <si>
    <t>-----</t>
  </si>
  <si>
    <t>new '12</t>
  </si>
  <si>
    <t>8686/9705</t>
  </si>
  <si>
    <t>8687/9706</t>
  </si>
  <si>
    <t>Malletts Cistern</t>
  </si>
  <si>
    <t>Swift Run</t>
  </si>
  <si>
    <t>County Farm Std Blvd.</t>
  </si>
  <si>
    <t>Territorial Road Drain</t>
  </si>
  <si>
    <t>Allen Creek Willard St</t>
  </si>
  <si>
    <t>Traver Creek Leslie PK</t>
  </si>
  <si>
    <t>Allen Creek Madison Ave</t>
  </si>
  <si>
    <t>Allen Creek Miller Rd</t>
  </si>
  <si>
    <t>Huron River Green INF</t>
  </si>
  <si>
    <t xml:space="preserve"> Mar 1, 2014</t>
  </si>
  <si>
    <t xml:space="preserve"> Mar 1, 2015</t>
  </si>
  <si>
    <t xml:space="preserve"> Mar 1, 2016</t>
  </si>
  <si>
    <t xml:space="preserve"> Mar 1, 2017</t>
  </si>
  <si>
    <t xml:space="preserve"> Mar 1, 2018</t>
  </si>
  <si>
    <t xml:space="preserve"> Mar 1, 2019</t>
  </si>
  <si>
    <t xml:space="preserve"> Mar 1, 2020</t>
  </si>
  <si>
    <t xml:space="preserve"> Mar 1, 2021</t>
  </si>
  <si>
    <t xml:space="preserve"> Mar 1, 2022</t>
  </si>
  <si>
    <t xml:space="preserve"> Mar 1, 2023</t>
  </si>
  <si>
    <t xml:space="preserve"> Mar 1, 2024</t>
  </si>
  <si>
    <t xml:space="preserve"> Mar 1, 2025</t>
  </si>
  <si>
    <t xml:space="preserve"> Mar 1, 2026</t>
  </si>
  <si>
    <t xml:space="preserve"> Mar 1, 2027</t>
  </si>
  <si>
    <t xml:space="preserve"> Mar 1, 2028</t>
  </si>
  <si>
    <t xml:space="preserve"> Mar 1, 2029</t>
  </si>
  <si>
    <t xml:space="preserve"> Mar 1, 2030</t>
  </si>
  <si>
    <t xml:space="preserve"> Dec 1, 2030</t>
  </si>
  <si>
    <t xml:space="preserve"> Mar 1, 2031</t>
  </si>
  <si>
    <t xml:space="preserve"> Jun 1, 2031</t>
  </si>
  <si>
    <t xml:space="preserve"> Oct 1, 2031</t>
  </si>
  <si>
    <t xml:space="preserve"> Dec 1, 2031</t>
  </si>
  <si>
    <t xml:space="preserve"> Mar 1, 2032</t>
  </si>
  <si>
    <t xml:space="preserve"> Apr 1, 2032</t>
  </si>
  <si>
    <t xml:space="preserve"> Jun 1, 2032</t>
  </si>
  <si>
    <t xml:space="preserve"> Oct 1, 2032</t>
  </si>
  <si>
    <t xml:space="preserve"> Dec 1, 2032</t>
  </si>
  <si>
    <t xml:space="preserve"> Mar 1, 2033</t>
  </si>
  <si>
    <t xml:space="preserve"> Apr 1, 2033</t>
  </si>
  <si>
    <t xml:space="preserve"> Jun 1, 2033</t>
  </si>
  <si>
    <t xml:space="preserve"> Oct 1, 2033</t>
  </si>
  <si>
    <t xml:space="preserve"> Dec 1, 2033</t>
  </si>
  <si>
    <t xml:space="preserve"> Mar 1, 2034</t>
  </si>
  <si>
    <t xml:space="preserve"> Apr 1, 2034</t>
  </si>
  <si>
    <t xml:space="preserve"> Jun 1, 2034</t>
  </si>
  <si>
    <t xml:space="preserve"> Oct 1, 2034</t>
  </si>
  <si>
    <t xml:space="preserve"> Dec 1, 2034</t>
  </si>
  <si>
    <t xml:space="preserve"> Mar 1, 2035</t>
  </si>
  <si>
    <t xml:space="preserve"> Apr 1, 2035</t>
  </si>
  <si>
    <t xml:space="preserve"> Jun 1, 2035</t>
  </si>
  <si>
    <t xml:space="preserve"> Oct 1, 2035</t>
  </si>
  <si>
    <t xml:space="preserve"> Dec 1, 2035</t>
  </si>
  <si>
    <t xml:space="preserve">  --------------</t>
  </si>
  <si>
    <t>--------</t>
  </si>
  <si>
    <t xml:space="preserve"> Dec 1, 2014</t>
  </si>
  <si>
    <t>new 2012</t>
  </si>
  <si>
    <t>Polo Fields Bonds</t>
  </si>
  <si>
    <t>new 12</t>
  </si>
  <si>
    <t>Series 2012</t>
  </si>
  <si>
    <t>Feb 1 2014</t>
  </si>
  <si>
    <t>Aug 1 2014</t>
  </si>
  <si>
    <t>Feb 1 2015</t>
  </si>
  <si>
    <t>Aug 1 2015</t>
  </si>
  <si>
    <t>Feb 1 2016</t>
  </si>
  <si>
    <t>Aug 1 2016</t>
  </si>
  <si>
    <t>Feb 1 2017</t>
  </si>
  <si>
    <t>Aug 1 2017</t>
  </si>
  <si>
    <t>Feb 1 2018</t>
  </si>
  <si>
    <t>Aug 1 2018</t>
  </si>
  <si>
    <t>Feb 1 2019</t>
  </si>
  <si>
    <t>Aug 1 2019</t>
  </si>
  <si>
    <t>Feb 1 2020</t>
  </si>
  <si>
    <t>Aug 1 2020</t>
  </si>
  <si>
    <t>Feb 1 2021</t>
  </si>
  <si>
    <t>Aug 1 2021</t>
  </si>
  <si>
    <t>Feb 1 2022</t>
  </si>
  <si>
    <t>Aug 1 2022</t>
  </si>
  <si>
    <t>WASHTENAW  COUNTY INSTALLMENT  OBLIGATION</t>
  </si>
  <si>
    <t>Del Tax 5320</t>
  </si>
  <si>
    <t xml:space="preserve">Issuance Date </t>
  </si>
  <si>
    <t>Issuance Amount</t>
  </si>
  <si>
    <t>Issuance Date</t>
  </si>
  <si>
    <t>12/1/02</t>
  </si>
  <si>
    <t>2/1/07</t>
  </si>
  <si>
    <t>9/1/08</t>
  </si>
  <si>
    <t>6/1/08</t>
  </si>
  <si>
    <t>5/1/98</t>
  </si>
  <si>
    <t>10/1/97</t>
  </si>
  <si>
    <t>11/1/06</t>
  </si>
  <si>
    <t>12/1/04</t>
  </si>
  <si>
    <t>1/1/05</t>
  </si>
  <si>
    <t>Series 1992 2/1/92</t>
  </si>
  <si>
    <t>Series 1998A 2/1/98</t>
  </si>
  <si>
    <t>Series 2005 1/1/05</t>
  </si>
  <si>
    <t>Series 1999 9/1/99</t>
  </si>
  <si>
    <t>Series 2004 12/1/04</t>
  </si>
  <si>
    <t>8/1/10</t>
  </si>
  <si>
    <t>1/1/02</t>
  </si>
  <si>
    <t>10/3/96</t>
  </si>
  <si>
    <t>6/1/02</t>
  </si>
  <si>
    <t>9/1/07</t>
  </si>
  <si>
    <t>9/1/04</t>
  </si>
  <si>
    <t>6/21/07</t>
  </si>
  <si>
    <t>4/1/10</t>
  </si>
  <si>
    <t>7/2/98</t>
  </si>
  <si>
    <t>6/24/99</t>
  </si>
  <si>
    <t>5/8/12</t>
  </si>
  <si>
    <t>10/2012</t>
  </si>
  <si>
    <t>1/21/04</t>
  </si>
  <si>
    <t>6/21/12</t>
  </si>
  <si>
    <t>delinquent tax revenues are pledged to repay the delinquent tax notes.</t>
  </si>
  <si>
    <t xml:space="preserve">Total  </t>
  </si>
  <si>
    <t>ATT Phone System</t>
  </si>
  <si>
    <t>EMC #12926-11 computer equipment</t>
  </si>
  <si>
    <t>Computer Equipment</t>
  </si>
  <si>
    <t>Ad valorem property taxes</t>
  </si>
  <si>
    <t>Willow Run Airport</t>
  </si>
  <si>
    <t>General Fund</t>
  </si>
  <si>
    <t>Repayment Source:</t>
  </si>
  <si>
    <t>Repayment Source(s):</t>
  </si>
  <si>
    <t>Washtenaw Intermediate School District</t>
  </si>
  <si>
    <t>Delinquent tax fund monies</t>
  </si>
  <si>
    <t>Road Commission</t>
  </si>
  <si>
    <t>Special voted millage</t>
  </si>
  <si>
    <t>City of Ann Arbor</t>
  </si>
  <si>
    <t>Michigan Department of Transportation</t>
  </si>
  <si>
    <t>Pittsfield Township</t>
  </si>
  <si>
    <t>General fund</t>
  </si>
  <si>
    <t>Michigan Dept of Transportation</t>
  </si>
  <si>
    <t>Property Owners</t>
  </si>
  <si>
    <t>Various Townships</t>
  </si>
  <si>
    <t>City of Milan</t>
  </si>
  <si>
    <t>Railroads</t>
  </si>
  <si>
    <t>City of Ypsilanti</t>
  </si>
  <si>
    <t>Various Counties</t>
  </si>
  <si>
    <t>State of Michigan</t>
  </si>
  <si>
    <t>City of Dexter</t>
  </si>
  <si>
    <t>Lyndon Township</t>
  </si>
  <si>
    <t>Salem Township</t>
  </si>
  <si>
    <t>Northfield Township</t>
  </si>
  <si>
    <t>Sylvan Township</t>
  </si>
  <si>
    <t>Bridgewater Township</t>
  </si>
  <si>
    <t>Multi-Lakes Authority</t>
  </si>
  <si>
    <t>Livingston County</t>
  </si>
  <si>
    <t>City of Saline</t>
  </si>
  <si>
    <t>General Fund Road Commission</t>
  </si>
  <si>
    <t>Ypsilanti Township</t>
  </si>
  <si>
    <t>These amounts are presented as of 12-31-13, the date of our last external audit.</t>
  </si>
  <si>
    <t>These amounts will be updated next year after completion of the 12-31-14 audit.</t>
  </si>
  <si>
    <t>Balance at 12-31-13</t>
  </si>
  <si>
    <t>12/31/13 Balance</t>
  </si>
  <si>
    <t>Balance 12/31/13</t>
  </si>
  <si>
    <t>Del Tax 5330</t>
  </si>
  <si>
    <t>Del Tax 5310</t>
  </si>
  <si>
    <r>
      <t>The total amounts listed in the following tabs agree with pages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99 and 100 of the County's 12-31-13 Comprehensive Annual Financial Report (CAFR).</t>
    </r>
  </si>
  <si>
    <t>DECEMBER 31, 2013</t>
  </si>
  <si>
    <t>refunded '13</t>
  </si>
  <si>
    <t xml:space="preserve">  DECEMBER 31, 2013</t>
  </si>
  <si>
    <t>INSTALLMENT OBLIGATION - Road Commission Schedule</t>
  </si>
  <si>
    <t>AA State Bank</t>
  </si>
  <si>
    <t>Chelsea State Bank</t>
  </si>
  <si>
    <t xml:space="preserve"> TOTAL INSTALLMENT OB</t>
  </si>
  <si>
    <t xml:space="preserve">     -----------</t>
  </si>
  <si>
    <t xml:space="preserve">     ----------</t>
  </si>
  <si>
    <t xml:space="preserve">          -----------</t>
  </si>
  <si>
    <t xml:space="preserve">         ----------</t>
  </si>
  <si>
    <t>original amount</t>
  </si>
  <si>
    <t>4/30/2013</t>
  </si>
  <si>
    <t>11/12/2013</t>
  </si>
  <si>
    <t>December 31, 2013</t>
  </si>
  <si>
    <t>last update = 2/7/14</t>
  </si>
  <si>
    <t>Project Numbers:</t>
  </si>
  <si>
    <t>5337-01</t>
  </si>
  <si>
    <t>Final</t>
  </si>
  <si>
    <t>5338-01</t>
  </si>
  <si>
    <t>5337-02</t>
  </si>
  <si>
    <t>5434-01</t>
  </si>
  <si>
    <t>5435-01</t>
  </si>
  <si>
    <t>N/A</t>
  </si>
  <si>
    <t>5505-01</t>
  </si>
  <si>
    <t>5231-01</t>
  </si>
  <si>
    <t>5472-01</t>
  </si>
  <si>
    <t>5464-01</t>
  </si>
  <si>
    <t>5471-01</t>
  </si>
  <si>
    <t>5469-01</t>
  </si>
  <si>
    <t>#5470-01</t>
  </si>
  <si>
    <t>#5470-02</t>
  </si>
  <si>
    <t>5511-01</t>
  </si>
  <si>
    <t>5516-01</t>
  </si>
  <si>
    <t>5437-01</t>
  </si>
  <si>
    <t>5436-01</t>
  </si>
  <si>
    <t>5504-01</t>
  </si>
  <si>
    <t>5504-03</t>
  </si>
  <si>
    <t>5510-01</t>
  </si>
  <si>
    <t>5512-01</t>
  </si>
  <si>
    <t>5504-02</t>
  </si>
  <si>
    <t>n/a</t>
  </si>
  <si>
    <t>8664/8774</t>
  </si>
  <si>
    <t>8665/8773</t>
  </si>
  <si>
    <t>8667/8779</t>
  </si>
  <si>
    <t>8668/8780</t>
  </si>
  <si>
    <t>8603/8751</t>
  </si>
  <si>
    <t>8682/8799</t>
  </si>
  <si>
    <t>8654/8754</t>
  </si>
  <si>
    <t>8659/8799</t>
  </si>
  <si>
    <t>8524/8718</t>
  </si>
  <si>
    <t>8629/8759</t>
  </si>
  <si>
    <t>8676/8793/8797</t>
  </si>
  <si>
    <t>8674/8790/8791/8795</t>
  </si>
  <si>
    <t>8675/8796</t>
  </si>
  <si>
    <t>8677/8798</t>
  </si>
  <si>
    <t>8673/8794</t>
  </si>
  <si>
    <t>8672/8778</t>
  </si>
  <si>
    <t>8683/8782</t>
  </si>
  <si>
    <t>8696/9704</t>
  </si>
  <si>
    <t>8690/9709</t>
  </si>
  <si>
    <t>8685/9703</t>
  </si>
  <si>
    <t>new '13</t>
  </si>
  <si>
    <t>8695/9713</t>
  </si>
  <si>
    <t>8691/9714</t>
  </si>
  <si>
    <t>8692/9715</t>
  </si>
  <si>
    <t>8693/9716</t>
  </si>
  <si>
    <t>new '14</t>
  </si>
  <si>
    <t>8697/8772</t>
  </si>
  <si>
    <t>Allen Creek/Stadium</t>
  </si>
  <si>
    <t>Allen Creek/Pioneer</t>
  </si>
  <si>
    <t>Malletts Creek E. S.</t>
  </si>
  <si>
    <t>Malletts Creek Wetland</t>
  </si>
  <si>
    <t>Traver Crk/Traver Knoll</t>
  </si>
  <si>
    <t>Lake Forest Highland</t>
  </si>
  <si>
    <t>Allen Cistern-veteran west</t>
  </si>
  <si>
    <t>Sugar Creek Extention</t>
  </si>
  <si>
    <t>HRGI 2013 (Rain Garden)</t>
  </si>
  <si>
    <t>Allen Creek S. 4th Ave</t>
  </si>
  <si>
    <t>Allen Creek S. Forest</t>
  </si>
  <si>
    <t>HRGI 2013-2014 Trees</t>
  </si>
  <si>
    <t>Copper Meadows</t>
  </si>
  <si>
    <t>2013 Accruals/Adjustments</t>
  </si>
  <si>
    <t>Accruals/Adjustments</t>
  </si>
  <si>
    <t xml:space="preserve"> Nov 1, 2014</t>
  </si>
  <si>
    <t xml:space="preserve"> May 1, 2015</t>
  </si>
  <si>
    <t xml:space="preserve"> Nov 1, 2015</t>
  </si>
  <si>
    <t xml:space="preserve"> May 1, 2016</t>
  </si>
  <si>
    <t xml:space="preserve"> Nov 1, 2016</t>
  </si>
  <si>
    <t xml:space="preserve"> May 1, 2017</t>
  </si>
  <si>
    <t xml:space="preserve"> Nov 1, 2017</t>
  </si>
  <si>
    <t xml:space="preserve"> May 1, 2018</t>
  </si>
  <si>
    <t xml:space="preserve"> Nov 1, 2018</t>
  </si>
  <si>
    <t xml:space="preserve"> May 1, 2019</t>
  </si>
  <si>
    <t xml:space="preserve"> Nov 1, 2019</t>
  </si>
  <si>
    <t xml:space="preserve"> May 1, 2020</t>
  </si>
  <si>
    <t xml:space="preserve"> Nov 1, 2020</t>
  </si>
  <si>
    <t xml:space="preserve"> May 1, 2021</t>
  </si>
  <si>
    <t xml:space="preserve"> Nov 1, 2021</t>
  </si>
  <si>
    <t xml:space="preserve"> May 1, 2022</t>
  </si>
  <si>
    <t xml:space="preserve"> Nov 1, 2022</t>
  </si>
  <si>
    <t xml:space="preserve"> May 1, 2023</t>
  </si>
  <si>
    <t xml:space="preserve"> Nov 1, 2023</t>
  </si>
  <si>
    <t xml:space="preserve"> May 1, 2024</t>
  </si>
  <si>
    <t xml:space="preserve"> Nov 1, 2024</t>
  </si>
  <si>
    <t xml:space="preserve"> May 1, 2025</t>
  </si>
  <si>
    <t xml:space="preserve"> Nov 1, 2025</t>
  </si>
  <si>
    <t xml:space="preserve"> May 1, 2026</t>
  </si>
  <si>
    <t xml:space="preserve"> Nov 1, 2026</t>
  </si>
  <si>
    <t xml:space="preserve"> May 1, 2027</t>
  </si>
  <si>
    <t xml:space="preserve"> Nov 1, 2027</t>
  </si>
  <si>
    <t xml:space="preserve"> May 1, 2028</t>
  </si>
  <si>
    <t xml:space="preserve"> Nov 1, 2028</t>
  </si>
  <si>
    <t xml:space="preserve"> May 1, 2029</t>
  </si>
  <si>
    <t xml:space="preserve"> Nov 1, 2029</t>
  </si>
  <si>
    <t xml:space="preserve"> May 1, 2030</t>
  </si>
  <si>
    <t xml:space="preserve"> Nov 1, 2030</t>
  </si>
  <si>
    <t xml:space="preserve"> May 1, 2031</t>
  </si>
  <si>
    <t xml:space="preserve"> Nov 1, 2031</t>
  </si>
  <si>
    <t xml:space="preserve"> May 1, 2032</t>
  </si>
  <si>
    <t xml:space="preserve"> Nov 1, 2032</t>
  </si>
  <si>
    <t xml:space="preserve"> May 1, 2033</t>
  </si>
  <si>
    <t xml:space="preserve"> Nov 1, 2033</t>
  </si>
  <si>
    <t xml:space="preserve"> May 1, 2034</t>
  </si>
  <si>
    <t xml:space="preserve"> Nov 1, 2034</t>
  </si>
  <si>
    <t xml:space="preserve"> May 1, 2035</t>
  </si>
  <si>
    <t xml:space="preserve"> Nov 1, 2035</t>
  </si>
  <si>
    <t>Washtenaw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</si>
</sst>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;[Red]#,##0.00"/>
    <numFmt numFmtId="166" formatCode="0_)"/>
    <numFmt numFmtId="167" formatCode="0.00000"/>
    <numFmt numFmtId="168" formatCode="mm/dd/yy;@"/>
    <numFmt numFmtId="169" formatCode="[$-409]mmmm\ d\,\ yyyy;@"/>
    <numFmt numFmtId="170" formatCode="_(* #,##0_);_(* \(#,##0\);_(* &quot;-&quot;_);@"/>
  </numFmts>
  <fonts count="35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helv"/>
    </font>
    <font>
      <sz val="10"/>
      <name val="Helv"/>
    </font>
    <font>
      <b/>
      <sz val="10"/>
      <name val="Helv"/>
    </font>
    <font>
      <sz val="10"/>
      <name val="Arial"/>
    </font>
    <font>
      <sz val="12"/>
      <name val="SWISS"/>
    </font>
    <font>
      <sz val="10"/>
      <name val="SWISS"/>
    </font>
    <font>
      <b/>
      <sz val="10"/>
      <name val="SWISS"/>
    </font>
    <font>
      <u/>
      <sz val="2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FF0000"/>
      <name val="Helv"/>
    </font>
    <font>
      <sz val="10"/>
      <color rgb="FFFF0000"/>
      <name val="SWISS"/>
    </font>
    <font>
      <sz val="12"/>
      <color rgb="FFFF0000"/>
      <name val="Arial"/>
      <family val="2"/>
    </font>
    <font>
      <sz val="12"/>
      <color indexed="17"/>
      <name val="helv"/>
    </font>
    <font>
      <sz val="10"/>
      <color indexed="12"/>
      <name val="Helv"/>
    </font>
    <font>
      <sz val="10"/>
      <name val="Times New Roman"/>
      <family val="1"/>
    </font>
    <font>
      <b/>
      <sz val="10"/>
      <color rgb="FF0070C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Courier"/>
      <family val="3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1">
    <xf numFmtId="0" fontId="0" fillId="0" borderId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0" fillId="0" borderId="0"/>
    <xf numFmtId="166" fontId="7" fillId="0" borderId="0"/>
    <xf numFmtId="0" fontId="1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9" fontId="7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0" fontId="2" fillId="0" borderId="0"/>
    <xf numFmtId="0" fontId="16" fillId="0" borderId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70" fontId="2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" fillId="0" borderId="0"/>
    <xf numFmtId="0" fontId="16" fillId="0" borderId="0"/>
    <xf numFmtId="0" fontId="11" fillId="0" borderId="0"/>
    <xf numFmtId="0" fontId="10" fillId="0" borderId="0"/>
    <xf numFmtId="0" fontId="1" fillId="0" borderId="0"/>
  </cellStyleXfs>
  <cellXfs count="279">
    <xf numFmtId="0" fontId="0" fillId="0" borderId="0" xfId="0"/>
    <xf numFmtId="0" fontId="2" fillId="0" borderId="0" xfId="4" applyFont="1"/>
    <xf numFmtId="37" fontId="2" fillId="0" borderId="0" xfId="4" applyNumberFormat="1" applyFont="1" applyProtection="1"/>
    <xf numFmtId="165" fontId="2" fillId="0" borderId="0" xfId="4" applyNumberFormat="1" applyFont="1" applyAlignment="1"/>
    <xf numFmtId="0" fontId="2" fillId="0" borderId="0" xfId="4" applyFont="1" applyProtection="1"/>
    <xf numFmtId="37" fontId="2" fillId="0" borderId="0" xfId="4" applyNumberFormat="1" applyFont="1" applyAlignment="1" applyProtection="1">
      <alignment horizontal="right"/>
    </xf>
    <xf numFmtId="37" fontId="2" fillId="2" borderId="0" xfId="4" applyNumberFormat="1" applyFont="1" applyFill="1" applyProtection="1"/>
    <xf numFmtId="37" fontId="2" fillId="0" borderId="0" xfId="4" applyNumberFormat="1" applyFont="1" applyFill="1" applyProtection="1"/>
    <xf numFmtId="166" fontId="8" fillId="0" borderId="0" xfId="6" applyFont="1"/>
    <xf numFmtId="166" fontId="9" fillId="0" borderId="0" xfId="6" applyFont="1"/>
    <xf numFmtId="166" fontId="9" fillId="0" borderId="0" xfId="6" quotePrefix="1" applyFont="1" applyAlignment="1">
      <alignment horizontal="left"/>
    </xf>
    <xf numFmtId="166" fontId="8" fillId="0" borderId="0" xfId="6" quotePrefix="1" applyFont="1" applyAlignment="1">
      <alignment horizontal="left"/>
    </xf>
    <xf numFmtId="166" fontId="8" fillId="0" borderId="0" xfId="6" applyFont="1" applyAlignment="1">
      <alignment horizontal="center"/>
    </xf>
    <xf numFmtId="166" fontId="9" fillId="0" borderId="0" xfId="6" applyFont="1" applyAlignment="1">
      <alignment horizontal="center"/>
    </xf>
    <xf numFmtId="166" fontId="8" fillId="0" borderId="0" xfId="6" quotePrefix="1" applyFont="1" applyAlignment="1">
      <alignment horizontal="center"/>
    </xf>
    <xf numFmtId="37" fontId="8" fillId="0" borderId="0" xfId="6" applyNumberFormat="1" applyFont="1" applyProtection="1"/>
    <xf numFmtId="37" fontId="8" fillId="0" borderId="1" xfId="6" applyNumberFormat="1" applyFont="1" applyBorder="1" applyProtection="1"/>
    <xf numFmtId="164" fontId="8" fillId="0" borderId="0" xfId="1" applyNumberFormat="1" applyFont="1" applyProtection="1"/>
    <xf numFmtId="3" fontId="8" fillId="0" borderId="0" xfId="6" applyNumberFormat="1" applyFont="1"/>
    <xf numFmtId="37" fontId="8" fillId="0" borderId="0" xfId="6" applyNumberFormat="1" applyFont="1" applyAlignment="1" applyProtection="1">
      <alignment horizontal="right"/>
    </xf>
    <xf numFmtId="164" fontId="8" fillId="0" borderId="0" xfId="1" applyNumberFormat="1" applyFont="1"/>
    <xf numFmtId="0" fontId="9" fillId="0" borderId="0" xfId="4" applyFont="1"/>
    <xf numFmtId="0" fontId="8" fillId="0" borderId="0" xfId="4" applyFont="1"/>
    <xf numFmtId="0" fontId="9" fillId="0" borderId="0" xfId="4" quotePrefix="1" applyFont="1" applyAlignment="1">
      <alignment horizontal="left"/>
    </xf>
    <xf numFmtId="0" fontId="24" fillId="0" borderId="0" xfId="4" applyFont="1"/>
    <xf numFmtId="0" fontId="8" fillId="0" borderId="0" xfId="4" applyFont="1" applyAlignment="1">
      <alignment horizontal="center"/>
    </xf>
    <xf numFmtId="164" fontId="8" fillId="0" borderId="0" xfId="4" applyNumberFormat="1" applyFont="1"/>
    <xf numFmtId="37" fontId="8" fillId="0" borderId="0" xfId="4" applyNumberFormat="1" applyFont="1" applyProtection="1"/>
    <xf numFmtId="37" fontId="8" fillId="0" borderId="0" xfId="4" applyNumberFormat="1" applyFont="1" applyAlignment="1" applyProtection="1">
      <alignment horizontal="right"/>
    </xf>
    <xf numFmtId="3" fontId="8" fillId="0" borderId="0" xfId="6" applyNumberFormat="1" applyFont="1" applyAlignment="1" applyProtection="1">
      <alignment horizontal="right"/>
    </xf>
    <xf numFmtId="3" fontId="8" fillId="0" borderId="0" xfId="6" applyNumberFormat="1" applyFont="1" applyProtection="1"/>
    <xf numFmtId="37" fontId="9" fillId="4" borderId="1" xfId="6" applyNumberFormat="1" applyFont="1" applyFill="1" applyBorder="1" applyProtection="1"/>
    <xf numFmtId="166" fontId="9" fillId="0" borderId="0" xfId="6" applyFont="1" applyFill="1"/>
    <xf numFmtId="37" fontId="8" fillId="0" borderId="1" xfId="6" applyNumberFormat="1" applyFont="1" applyFill="1" applyBorder="1" applyProtection="1"/>
    <xf numFmtId="0" fontId="12" fillId="0" borderId="0" xfId="7" applyFont="1"/>
    <xf numFmtId="37" fontId="12" fillId="0" borderId="0" xfId="7" applyNumberFormat="1" applyFont="1" applyProtection="1"/>
    <xf numFmtId="0" fontId="13" fillId="0" borderId="0" xfId="7" applyFont="1" applyAlignment="1">
      <alignment horizontal="center"/>
    </xf>
    <xf numFmtId="37" fontId="12" fillId="0" borderId="0" xfId="7" applyNumberFormat="1" applyFont="1" applyAlignment="1" applyProtection="1">
      <alignment horizontal="right"/>
    </xf>
    <xf numFmtId="0" fontId="12" fillId="0" borderId="0" xfId="7" applyFont="1" applyAlignment="1">
      <alignment horizontal="center"/>
    </xf>
    <xf numFmtId="0" fontId="12" fillId="0" borderId="0" xfId="7" applyFont="1" applyAlignment="1">
      <alignment horizontal="left"/>
    </xf>
    <xf numFmtId="0" fontId="12" fillId="0" borderId="0" xfId="7" applyFont="1" applyAlignment="1">
      <alignment horizontal="right"/>
    </xf>
    <xf numFmtId="0" fontId="25" fillId="0" borderId="0" xfId="7" applyFont="1" applyAlignment="1">
      <alignment horizontal="right"/>
    </xf>
    <xf numFmtId="0" fontId="14" fillId="0" borderId="0" xfId="8" applyFont="1" applyAlignment="1"/>
    <xf numFmtId="0" fontId="2" fillId="0" borderId="0" xfId="8" applyAlignment="1">
      <alignment horizontal="centerContinuous"/>
    </xf>
    <xf numFmtId="0" fontId="2" fillId="0" borderId="0" xfId="8"/>
    <xf numFmtId="0" fontId="2" fillId="0" borderId="0" xfId="8" applyAlignment="1">
      <alignment horizontal="left"/>
    </xf>
    <xf numFmtId="0" fontId="2" fillId="0" borderId="0" xfId="8" applyFont="1" applyAlignment="1">
      <alignment horizontal="centerContinuous"/>
    </xf>
    <xf numFmtId="0" fontId="15" fillId="0" borderId="0" xfId="8" applyFont="1"/>
    <xf numFmtId="0" fontId="3" fillId="0" borderId="0" xfId="8" applyFont="1" applyAlignment="1">
      <alignment horizontal="center"/>
    </xf>
    <xf numFmtId="0" fontId="3" fillId="0" borderId="0" xfId="8" applyFont="1"/>
    <xf numFmtId="167" fontId="2" fillId="0" borderId="0" xfId="8" applyNumberFormat="1"/>
    <xf numFmtId="49" fontId="2" fillId="0" borderId="0" xfId="8" applyNumberFormat="1" applyFont="1"/>
    <xf numFmtId="0" fontId="2" fillId="0" borderId="0" xfId="8" applyFont="1"/>
    <xf numFmtId="8" fontId="4" fillId="0" borderId="0" xfId="8" applyNumberFormat="1" applyFont="1" applyAlignment="1">
      <alignment horizontal="center"/>
    </xf>
    <xf numFmtId="0" fontId="4" fillId="0" borderId="0" xfId="8" applyFont="1" applyAlignment="1">
      <alignment horizontal="center"/>
    </xf>
    <xf numFmtId="14" fontId="2" fillId="0" borderId="0" xfId="8" applyNumberFormat="1"/>
    <xf numFmtId="0" fontId="2" fillId="0" borderId="0" xfId="8" applyFont="1" applyAlignment="1">
      <alignment horizontal="right"/>
    </xf>
    <xf numFmtId="43" fontId="2" fillId="0" borderId="0" xfId="8" applyNumberFormat="1" applyFont="1" applyAlignment="1">
      <alignment horizontal="right"/>
    </xf>
    <xf numFmtId="14" fontId="2" fillId="0" borderId="2" xfId="8" applyNumberFormat="1" applyBorder="1"/>
    <xf numFmtId="0" fontId="2" fillId="0" borderId="2" xfId="8" applyFont="1" applyBorder="1" applyAlignment="1">
      <alignment horizontal="right"/>
    </xf>
    <xf numFmtId="43" fontId="2" fillId="0" borderId="2" xfId="8" applyNumberFormat="1" applyFont="1" applyBorder="1" applyAlignment="1">
      <alignment horizontal="right"/>
    </xf>
    <xf numFmtId="43" fontId="2" fillId="0" borderId="0" xfId="1" applyNumberFormat="1"/>
    <xf numFmtId="0" fontId="2" fillId="0" borderId="0" xfId="8" applyAlignment="1">
      <alignment horizontal="center"/>
    </xf>
    <xf numFmtId="43" fontId="2" fillId="0" borderId="0" xfId="1"/>
    <xf numFmtId="8" fontId="2" fillId="0" borderId="0" xfId="1" applyNumberFormat="1"/>
    <xf numFmtId="0" fontId="2" fillId="0" borderId="2" xfId="8" applyBorder="1"/>
    <xf numFmtId="43" fontId="2" fillId="0" borderId="2" xfId="1" applyNumberFormat="1" applyBorder="1"/>
    <xf numFmtId="8" fontId="2" fillId="0" borderId="2" xfId="1" applyNumberFormat="1" applyBorder="1"/>
    <xf numFmtId="43" fontId="2" fillId="0" borderId="2" xfId="8" applyNumberFormat="1" applyBorder="1"/>
    <xf numFmtId="43" fontId="2" fillId="0" borderId="0" xfId="1" applyFont="1"/>
    <xf numFmtId="43" fontId="0" fillId="0" borderId="0" xfId="1" applyFont="1"/>
    <xf numFmtId="43" fontId="2" fillId="0" borderId="0" xfId="8" applyNumberFormat="1"/>
    <xf numFmtId="43" fontId="2" fillId="0" borderId="0" xfId="1" applyNumberFormat="1" applyFont="1"/>
    <xf numFmtId="8" fontId="3" fillId="0" borderId="1" xfId="1" applyNumberFormat="1" applyFont="1" applyBorder="1"/>
    <xf numFmtId="8" fontId="3" fillId="0" borderId="0" xfId="1" applyNumberFormat="1" applyFont="1"/>
    <xf numFmtId="164" fontId="0" fillId="0" borderId="0" xfId="1" applyNumberFormat="1" applyFont="1"/>
    <xf numFmtId="164" fontId="0" fillId="0" borderId="1" xfId="0" applyNumberFormat="1" applyBorder="1"/>
    <xf numFmtId="0" fontId="16" fillId="0" borderId="0" xfId="0" applyFont="1"/>
    <xf numFmtId="14" fontId="0" fillId="0" borderId="0" xfId="0" applyNumberFormat="1"/>
    <xf numFmtId="0" fontId="17" fillId="0" borderId="0" xfId="0" applyFont="1" applyAlignment="1">
      <alignment horizontal="center"/>
    </xf>
    <xf numFmtId="164" fontId="0" fillId="0" borderId="0" xfId="0" applyNumberFormat="1"/>
    <xf numFmtId="0" fontId="18" fillId="0" borderId="0" xfId="0" applyFont="1"/>
    <xf numFmtId="164" fontId="18" fillId="4" borderId="1" xfId="0" applyNumberFormat="1" applyFont="1" applyFill="1" applyBorder="1"/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0" fontId="0" fillId="0" borderId="0" xfId="0" applyAlignment="1">
      <alignment horizontal="left" indent="1"/>
    </xf>
    <xf numFmtId="0" fontId="19" fillId="0" borderId="0" xfId="0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fill"/>
    </xf>
    <xf numFmtId="0" fontId="2" fillId="0" borderId="0" xfId="4" applyFont="1" applyAlignment="1">
      <alignment horizontal="right"/>
    </xf>
    <xf numFmtId="0" fontId="3" fillId="0" borderId="0" xfId="4" applyFont="1"/>
    <xf numFmtId="0" fontId="3" fillId="0" borderId="0" xfId="4" applyFont="1" applyAlignment="1">
      <alignment horizontal="left"/>
    </xf>
    <xf numFmtId="0" fontId="3" fillId="0" borderId="0" xfId="4" applyFont="1" applyAlignment="1"/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22" fillId="0" borderId="0" xfId="4" applyFont="1"/>
    <xf numFmtId="0" fontId="2" fillId="0" borderId="0" xfId="4" quotePrefix="1" applyFont="1" applyAlignment="1">
      <alignment horizontal="left"/>
    </xf>
    <xf numFmtId="166" fontId="8" fillId="3" borderId="0" xfId="6" applyFont="1" applyFill="1" applyAlignment="1">
      <alignment horizontal="right"/>
    </xf>
    <xf numFmtId="166" fontId="8" fillId="0" borderId="0" xfId="6" applyFont="1" applyAlignment="1">
      <alignment horizontal="right"/>
    </xf>
    <xf numFmtId="166" fontId="8" fillId="3" borderId="0" xfId="6" applyFont="1" applyFill="1" applyAlignment="1">
      <alignment horizontal="center"/>
    </xf>
    <xf numFmtId="166" fontId="8" fillId="0" borderId="0" xfId="6" applyFont="1" applyAlignment="1">
      <alignment horizontal="left"/>
    </xf>
    <xf numFmtId="37" fontId="8" fillId="3" borderId="1" xfId="6" applyNumberFormat="1" applyFont="1" applyFill="1" applyBorder="1" applyProtection="1"/>
    <xf numFmtId="37" fontId="8" fillId="5" borderId="1" xfId="6" applyNumberFormat="1" applyFont="1" applyFill="1" applyBorder="1" applyProtection="1"/>
    <xf numFmtId="37" fontId="3" fillId="4" borderId="0" xfId="4" applyNumberFormat="1" applyFont="1" applyFill="1" applyProtection="1"/>
    <xf numFmtId="43" fontId="3" fillId="4" borderId="0" xfId="1" applyNumberFormat="1" applyFont="1" applyFill="1"/>
    <xf numFmtId="0" fontId="2" fillId="0" borderId="0" xfId="10" applyFont="1"/>
    <xf numFmtId="37" fontId="12" fillId="0" borderId="0" xfId="7" applyNumberFormat="1" applyFont="1" applyFill="1" applyProtection="1"/>
    <xf numFmtId="37" fontId="13" fillId="4" borderId="0" xfId="7" applyNumberFormat="1" applyFont="1" applyFill="1" applyProtection="1"/>
    <xf numFmtId="0" fontId="27" fillId="0" borderId="0" xfId="0" applyFont="1"/>
    <xf numFmtId="3" fontId="8" fillId="0" borderId="0" xfId="6" applyNumberFormat="1" applyFont="1" applyFill="1"/>
    <xf numFmtId="3" fontId="8" fillId="0" borderId="0" xfId="6" applyNumberFormat="1" applyFont="1" applyAlignment="1">
      <alignment horizontal="center"/>
    </xf>
    <xf numFmtId="37" fontId="9" fillId="4" borderId="0" xfId="4" applyNumberFormat="1" applyFont="1" applyFill="1" applyProtection="1"/>
    <xf numFmtId="37" fontId="9" fillId="4" borderId="0" xfId="6" applyNumberFormat="1" applyFont="1" applyFill="1" applyProtection="1"/>
    <xf numFmtId="164" fontId="16" fillId="0" borderId="1" xfId="0" applyNumberFormat="1" applyFont="1" applyFill="1" applyBorder="1"/>
    <xf numFmtId="164" fontId="0" fillId="0" borderId="0" xfId="1" applyNumberFormat="1" applyFont="1" applyFill="1"/>
    <xf numFmtId="3" fontId="0" fillId="0" borderId="0" xfId="0" applyNumberFormat="1"/>
    <xf numFmtId="168" fontId="2" fillId="0" borderId="0" xfId="4" applyNumberFormat="1" applyFont="1"/>
    <xf numFmtId="168" fontId="3" fillId="0" borderId="0" xfId="4" applyNumberFormat="1" applyFont="1"/>
    <xf numFmtId="168" fontId="2" fillId="0" borderId="0" xfId="4" quotePrefix="1" applyNumberFormat="1" applyFont="1"/>
    <xf numFmtId="164" fontId="3" fillId="0" borderId="0" xfId="1" applyNumberFormat="1" applyFont="1"/>
    <xf numFmtId="164" fontId="2" fillId="0" borderId="0" xfId="1" applyNumberFormat="1" applyFont="1"/>
    <xf numFmtId="3" fontId="2" fillId="0" borderId="0" xfId="10" applyNumberFormat="1" applyFont="1"/>
    <xf numFmtId="3" fontId="12" fillId="0" borderId="0" xfId="7" applyNumberFormat="1" applyFont="1"/>
    <xf numFmtId="168" fontId="2" fillId="0" borderId="0" xfId="10" applyNumberFormat="1" applyFont="1"/>
    <xf numFmtId="168" fontId="12" fillId="0" borderId="0" xfId="7" applyNumberFormat="1" applyFont="1"/>
    <xf numFmtId="37" fontId="2" fillId="0" borderId="0" xfId="10" applyNumberFormat="1" applyFont="1"/>
    <xf numFmtId="37" fontId="8" fillId="0" borderId="0" xfId="6" applyNumberFormat="1" applyFont="1"/>
    <xf numFmtId="168" fontId="2" fillId="0" borderId="0" xfId="10" applyNumberFormat="1" applyFont="1" applyAlignment="1">
      <alignment horizontal="center"/>
    </xf>
    <xf numFmtId="168" fontId="8" fillId="0" borderId="0" xfId="6" quotePrefix="1" applyNumberFormat="1" applyFont="1" applyAlignment="1">
      <alignment horizontal="center"/>
    </xf>
    <xf numFmtId="168" fontId="8" fillId="0" borderId="0" xfId="6" applyNumberFormat="1" applyFont="1" applyAlignment="1">
      <alignment horizontal="center"/>
    </xf>
    <xf numFmtId="17" fontId="16" fillId="0" borderId="0" xfId="0" quotePrefix="1" applyNumberFormat="1" applyFont="1" applyAlignment="1">
      <alignment horizontal="center"/>
    </xf>
    <xf numFmtId="3" fontId="16" fillId="0" borderId="0" xfId="0" applyNumberFormat="1" applyFont="1"/>
    <xf numFmtId="37" fontId="8" fillId="0" borderId="0" xfId="4" applyNumberFormat="1" applyFont="1"/>
    <xf numFmtId="14" fontId="8" fillId="0" borderId="0" xfId="4" applyNumberFormat="1" applyFont="1"/>
    <xf numFmtId="3" fontId="8" fillId="0" borderId="0" xfId="6" quotePrefix="1" applyNumberFormat="1" applyFont="1" applyAlignment="1">
      <alignment horizontal="center"/>
    </xf>
    <xf numFmtId="43" fontId="3" fillId="0" borderId="2" xfId="1" applyNumberFormat="1" applyFont="1" applyFill="1" applyBorder="1"/>
    <xf numFmtId="164" fontId="2" fillId="0" borderId="0" xfId="1" applyNumberFormat="1"/>
    <xf numFmtId="14" fontId="0" fillId="0" borderId="0" xfId="0" applyNumberFormat="1" applyFill="1"/>
    <xf numFmtId="168" fontId="12" fillId="0" borderId="0" xfId="7" applyNumberFormat="1" applyFont="1" applyFill="1"/>
    <xf numFmtId="164" fontId="18" fillId="0" borderId="1" xfId="0" applyNumberFormat="1" applyFont="1" applyFill="1" applyBorder="1"/>
    <xf numFmtId="3" fontId="18" fillId="0" borderId="0" xfId="0" applyNumberFormat="1" applyFont="1"/>
    <xf numFmtId="3" fontId="0" fillId="0" borderId="2" xfId="0" applyNumberFormat="1" applyBorder="1"/>
    <xf numFmtId="166" fontId="8" fillId="0" borderId="0" xfId="6" applyFont="1" applyAlignment="1">
      <alignment wrapText="1"/>
    </xf>
    <xf numFmtId="43" fontId="2" fillId="0" borderId="0" xfId="1" applyNumberFormat="1" applyFont="1" applyFill="1"/>
    <xf numFmtId="0" fontId="16" fillId="0" borderId="0" xfId="0" applyFont="1" applyFill="1"/>
    <xf numFmtId="0" fontId="0" fillId="0" borderId="0" xfId="0" applyFill="1"/>
    <xf numFmtId="37" fontId="8" fillId="0" borderId="0" xfId="6" applyNumberFormat="1" applyFont="1" applyFill="1" applyProtection="1"/>
    <xf numFmtId="15" fontId="12" fillId="0" borderId="0" xfId="7" applyNumberFormat="1" applyFont="1"/>
    <xf numFmtId="166" fontId="7" fillId="0" borderId="0" xfId="6"/>
    <xf numFmtId="166" fontId="8" fillId="0" borderId="0" xfId="6" applyFont="1"/>
    <xf numFmtId="3" fontId="8" fillId="0" borderId="0" xfId="6" applyNumberFormat="1" applyFont="1"/>
    <xf numFmtId="37" fontId="8" fillId="0" borderId="0" xfId="6" applyNumberFormat="1" applyFont="1" applyProtection="1"/>
    <xf numFmtId="3" fontId="8" fillId="0" borderId="0" xfId="6" applyNumberFormat="1" applyFont="1" applyProtection="1"/>
    <xf numFmtId="164" fontId="28" fillId="0" borderId="0" xfId="1" applyNumberFormat="1" applyFont="1"/>
    <xf numFmtId="37" fontId="28" fillId="0" borderId="0" xfId="6" applyNumberFormat="1" applyFont="1" applyProtection="1"/>
    <xf numFmtId="37" fontId="28" fillId="0" borderId="0" xfId="6" applyNumberFormat="1" applyFont="1" applyAlignment="1" applyProtection="1">
      <alignment horizontal="right"/>
    </xf>
    <xf numFmtId="3" fontId="29" fillId="0" borderId="0" xfId="6" applyNumberFormat="1" applyFont="1"/>
    <xf numFmtId="166" fontId="28" fillId="0" borderId="0" xfId="6" applyFont="1"/>
    <xf numFmtId="3" fontId="29" fillId="0" borderId="0" xfId="6" applyNumberFormat="1" applyFont="1" applyProtection="1"/>
    <xf numFmtId="37" fontId="8" fillId="0" borderId="0" xfId="6" applyNumberFormat="1" applyFont="1" applyAlignment="1" applyProtection="1">
      <alignment horizontal="right"/>
    </xf>
    <xf numFmtId="3" fontId="8" fillId="0" borderId="0" xfId="6" applyNumberFormat="1" applyFont="1" applyAlignment="1" applyProtection="1">
      <alignment horizontal="right"/>
    </xf>
    <xf numFmtId="166" fontId="8" fillId="0" borderId="0" xfId="6" applyFont="1" applyAlignment="1">
      <alignment horizontal="center"/>
    </xf>
    <xf numFmtId="3" fontId="8" fillId="0" borderId="0" xfId="6" applyNumberFormat="1" applyFont="1" applyAlignment="1">
      <alignment horizontal="center"/>
    </xf>
    <xf numFmtId="166" fontId="8" fillId="0" borderId="0" xfId="6" applyFont="1" applyAlignment="1">
      <alignment horizontal="right"/>
    </xf>
    <xf numFmtId="166" fontId="9" fillId="0" borderId="0" xfId="6" quotePrefix="1" applyFont="1" applyAlignment="1">
      <alignment horizontal="left"/>
    </xf>
    <xf numFmtId="37" fontId="28" fillId="0" borderId="0" xfId="6" applyNumberFormat="1" applyFont="1" applyFill="1" applyProtection="1"/>
    <xf numFmtId="164" fontId="8" fillId="0" borderId="0" xfId="1" applyNumberFormat="1" applyFont="1" applyProtection="1"/>
    <xf numFmtId="164" fontId="8" fillId="0" borderId="0" xfId="1" applyNumberFormat="1" applyFont="1"/>
    <xf numFmtId="10" fontId="28" fillId="0" borderId="0" xfId="12" applyNumberFormat="1" applyFont="1"/>
    <xf numFmtId="10" fontId="28" fillId="0" borderId="0" xfId="12" quotePrefix="1" applyNumberFormat="1" applyFont="1" applyProtection="1"/>
    <xf numFmtId="37" fontId="9" fillId="0" borderId="0" xfId="6" applyNumberFormat="1" applyFont="1" applyFill="1" applyProtection="1"/>
    <xf numFmtId="166" fontId="28" fillId="0" borderId="0" xfId="6" applyFont="1" applyAlignment="1">
      <alignment horizontal="right"/>
    </xf>
    <xf numFmtId="0" fontId="2" fillId="0" borderId="0" xfId="10" applyFont="1" applyFill="1" applyAlignment="1">
      <alignment wrapText="1"/>
    </xf>
    <xf numFmtId="0" fontId="30" fillId="0" borderId="0" xfId="13" applyFont="1" applyAlignment="1">
      <alignment horizontal="center"/>
    </xf>
    <xf numFmtId="0" fontId="2" fillId="0" borderId="0" xfId="13" applyFont="1"/>
    <xf numFmtId="0" fontId="3" fillId="0" borderId="0" xfId="13" applyFont="1" applyAlignment="1">
      <alignment horizontal="right"/>
    </xf>
    <xf numFmtId="0" fontId="2" fillId="0" borderId="0" xfId="13" applyFont="1" applyAlignment="1">
      <alignment horizontal="center"/>
    </xf>
    <xf numFmtId="43" fontId="2" fillId="0" borderId="0" xfId="14" applyFont="1"/>
    <xf numFmtId="0" fontId="3" fillId="0" borderId="0" xfId="13" applyFont="1" applyAlignment="1">
      <alignment horizontal="center"/>
    </xf>
    <xf numFmtId="0" fontId="3" fillId="0" borderId="0" xfId="13" applyFont="1" applyFill="1" applyAlignment="1">
      <alignment horizontal="center"/>
    </xf>
    <xf numFmtId="43" fontId="3" fillId="0" borderId="0" xfId="14" applyFont="1" applyAlignment="1">
      <alignment horizontal="center"/>
    </xf>
    <xf numFmtId="0" fontId="2" fillId="0" borderId="0" xfId="13" applyFont="1" applyAlignment="1">
      <alignment horizontal="left"/>
    </xf>
    <xf numFmtId="0" fontId="3" fillId="0" borderId="0" xfId="13" applyFont="1" applyAlignment="1">
      <alignment horizontal="left"/>
    </xf>
    <xf numFmtId="0" fontId="21" fillId="0" borderId="0" xfId="13" applyFont="1" applyAlignment="1">
      <alignment horizontal="center"/>
    </xf>
    <xf numFmtId="0" fontId="3" fillId="0" borderId="0" xfId="13" applyFont="1"/>
    <xf numFmtId="0" fontId="3" fillId="6" borderId="0" xfId="13" applyFont="1" applyFill="1" applyAlignment="1">
      <alignment horizontal="left"/>
    </xf>
    <xf numFmtId="0" fontId="3" fillId="6" borderId="0" xfId="13" applyFont="1" applyFill="1"/>
    <xf numFmtId="0" fontId="3" fillId="6" borderId="0" xfId="13" applyFont="1" applyFill="1" applyAlignment="1"/>
    <xf numFmtId="0" fontId="3" fillId="0" borderId="0" xfId="13" applyFont="1" applyFill="1"/>
    <xf numFmtId="0" fontId="4" fillId="0" borderId="0" xfId="13" applyFont="1" applyAlignment="1">
      <alignment horizontal="center"/>
    </xf>
    <xf numFmtId="43" fontId="4" fillId="0" borderId="0" xfId="14" applyFont="1" applyAlignment="1">
      <alignment horizontal="center"/>
    </xf>
    <xf numFmtId="0" fontId="21" fillId="0" borderId="0" xfId="13" quotePrefix="1" applyFont="1" applyAlignment="1">
      <alignment horizontal="left"/>
    </xf>
    <xf numFmtId="37" fontId="22" fillId="0" borderId="0" xfId="13" applyNumberFormat="1" applyFont="1" applyProtection="1"/>
    <xf numFmtId="37" fontId="22" fillId="0" borderId="0" xfId="13" applyNumberFormat="1" applyFont="1" applyBorder="1" applyProtection="1"/>
    <xf numFmtId="37" fontId="22" fillId="0" borderId="0" xfId="13" applyNumberFormat="1" applyFont="1" applyFill="1" applyProtection="1"/>
    <xf numFmtId="37" fontId="21" fillId="0" borderId="0" xfId="13" applyNumberFormat="1" applyFont="1" applyProtection="1"/>
    <xf numFmtId="0" fontId="21" fillId="0" borderId="0" xfId="13" applyFont="1" applyAlignment="1">
      <alignment horizontal="left"/>
    </xf>
    <xf numFmtId="43" fontId="2" fillId="0" borderId="0" xfId="14" applyFont="1" applyProtection="1"/>
    <xf numFmtId="37" fontId="2" fillId="0" borderId="0" xfId="13" applyNumberFormat="1" applyFont="1"/>
    <xf numFmtId="169" fontId="2" fillId="0" borderId="0" xfId="13" applyNumberFormat="1" applyFont="1"/>
    <xf numFmtId="37" fontId="2" fillId="0" borderId="0" xfId="13" applyNumberFormat="1" applyFont="1" applyProtection="1"/>
    <xf numFmtId="37" fontId="2" fillId="0" borderId="0" xfId="13" applyNumberFormat="1" applyFont="1" applyBorder="1" applyProtection="1"/>
    <xf numFmtId="37" fontId="23" fillId="0" borderId="0" xfId="13" applyNumberFormat="1" applyFont="1" applyProtection="1"/>
    <xf numFmtId="37" fontId="2" fillId="0" borderId="0" xfId="13" applyNumberFormat="1" applyFont="1" applyFill="1" applyProtection="1"/>
    <xf numFmtId="0" fontId="2" fillId="0" borderId="0" xfId="15"/>
    <xf numFmtId="37" fontId="2" fillId="0" borderId="0" xfId="13" applyNumberFormat="1" applyFont="1" applyAlignment="1" applyProtection="1">
      <alignment horizontal="right"/>
    </xf>
    <xf numFmtId="43" fontId="2" fillId="0" borderId="0" xfId="14" applyFont="1" applyAlignment="1" applyProtection="1">
      <alignment horizontal="right"/>
    </xf>
    <xf numFmtId="37" fontId="2" fillId="6" borderId="0" xfId="13" applyNumberFormat="1" applyFont="1" applyFill="1" applyProtection="1"/>
    <xf numFmtId="164" fontId="2" fillId="0" borderId="0" xfId="14" applyNumberFormat="1" applyFont="1" applyProtection="1"/>
    <xf numFmtId="164" fontId="2" fillId="0" borderId="0" xfId="13" applyNumberFormat="1" applyFont="1"/>
    <xf numFmtId="0" fontId="2" fillId="0" borderId="0" xfId="13" applyFont="1" applyFill="1"/>
    <xf numFmtId="0" fontId="12" fillId="0" borderId="4" xfId="13" applyFont="1" applyBorder="1"/>
    <xf numFmtId="0" fontId="12" fillId="0" borderId="3" xfId="13" applyFont="1" applyBorder="1"/>
    <xf numFmtId="15" fontId="3" fillId="0" borderId="0" xfId="13" applyNumberFormat="1" applyFont="1"/>
    <xf numFmtId="14" fontId="2" fillId="0" borderId="0" xfId="13" applyNumberFormat="1" applyFont="1"/>
    <xf numFmtId="37" fontId="3" fillId="4" borderId="0" xfId="13" applyNumberFormat="1" applyFont="1" applyFill="1" applyProtection="1"/>
    <xf numFmtId="164" fontId="2" fillId="0" borderId="0" xfId="14" applyNumberFormat="1" applyFont="1" applyFill="1" applyProtection="1"/>
    <xf numFmtId="0" fontId="2" fillId="0" borderId="0" xfId="10" applyFont="1"/>
    <xf numFmtId="3" fontId="2" fillId="0" borderId="0" xfId="10" applyNumberFormat="1" applyFont="1"/>
    <xf numFmtId="14" fontId="2" fillId="0" borderId="0" xfId="10" applyNumberFormat="1" applyFont="1" applyFill="1"/>
    <xf numFmtId="3" fontId="2" fillId="0" borderId="0" xfId="10" applyNumberFormat="1" applyFont="1" applyFill="1"/>
    <xf numFmtId="0" fontId="0" fillId="0" borderId="0" xfId="0" applyFill="1"/>
    <xf numFmtId="0" fontId="2" fillId="0" borderId="0" xfId="10" applyFont="1" applyFill="1"/>
    <xf numFmtId="0" fontId="0" fillId="0" borderId="0" xfId="0" applyFill="1"/>
    <xf numFmtId="0" fontId="0" fillId="0" borderId="0" xfId="0"/>
    <xf numFmtId="0" fontId="2" fillId="0" borderId="0" xfId="10" applyFont="1"/>
    <xf numFmtId="3" fontId="2" fillId="0" borderId="0" xfId="10" applyNumberFormat="1" applyFont="1"/>
    <xf numFmtId="14" fontId="2" fillId="0" borderId="0" xfId="10" applyNumberFormat="1" applyFont="1"/>
    <xf numFmtId="0" fontId="2" fillId="0" borderId="0" xfId="10" applyFont="1" applyAlignment="1">
      <alignment wrapText="1"/>
    </xf>
    <xf numFmtId="0" fontId="0" fillId="0" borderId="0" xfId="0"/>
    <xf numFmtId="0" fontId="2" fillId="0" borderId="0" xfId="10" applyFont="1"/>
    <xf numFmtId="3" fontId="2" fillId="0" borderId="0" xfId="10" applyNumberFormat="1" applyFont="1"/>
    <xf numFmtId="14" fontId="2" fillId="0" borderId="0" xfId="10" applyNumberFormat="1" applyFont="1"/>
    <xf numFmtId="14" fontId="2" fillId="0" borderId="0" xfId="10" applyNumberFormat="1" applyFont="1" applyFill="1"/>
    <xf numFmtId="3" fontId="2" fillId="0" borderId="0" xfId="10" applyNumberFormat="1" applyFont="1" applyFill="1"/>
    <xf numFmtId="14" fontId="2" fillId="0" borderId="0" xfId="10" applyNumberFormat="1" applyFont="1" applyFill="1"/>
    <xf numFmtId="3" fontId="2" fillId="0" borderId="0" xfId="10" applyNumberFormat="1" applyFont="1" applyFill="1"/>
    <xf numFmtId="0" fontId="2" fillId="0" borderId="0" xfId="10" applyFont="1" applyFill="1"/>
    <xf numFmtId="0" fontId="0" fillId="0" borderId="0" xfId="0" applyFill="1"/>
    <xf numFmtId="14" fontId="2" fillId="0" borderId="0" xfId="10" applyNumberFormat="1" applyFont="1" applyFill="1"/>
    <xf numFmtId="3" fontId="2" fillId="0" borderId="0" xfId="10" applyNumberFormat="1" applyFont="1" applyFill="1"/>
    <xf numFmtId="0" fontId="2" fillId="0" borderId="0" xfId="10" applyFont="1" applyFill="1"/>
    <xf numFmtId="0" fontId="0" fillId="0" borderId="0" xfId="0" applyFill="1"/>
    <xf numFmtId="14" fontId="2" fillId="0" borderId="0" xfId="10" applyNumberFormat="1" applyFont="1" applyFill="1"/>
    <xf numFmtId="3" fontId="2" fillId="0" borderId="0" xfId="10" applyNumberFormat="1" applyFont="1" applyFill="1"/>
    <xf numFmtId="0" fontId="2" fillId="0" borderId="0" xfId="10" applyFont="1" applyFill="1"/>
    <xf numFmtId="0" fontId="2" fillId="0" borderId="0" xfId="10" applyFont="1"/>
    <xf numFmtId="14" fontId="2" fillId="0" borderId="0" xfId="10" applyNumberFormat="1" applyFont="1" applyFill="1"/>
    <xf numFmtId="3" fontId="2" fillId="0" borderId="0" xfId="10" applyNumberFormat="1" applyFont="1" applyFill="1"/>
    <xf numFmtId="0" fontId="0" fillId="0" borderId="0" xfId="0"/>
    <xf numFmtId="0" fontId="2" fillId="0" borderId="0" xfId="10" applyFont="1"/>
    <xf numFmtId="3" fontId="2" fillId="0" borderId="0" xfId="10" applyNumberFormat="1" applyFont="1"/>
    <xf numFmtId="14" fontId="2" fillId="0" borderId="0" xfId="10" applyNumberFormat="1" applyFont="1"/>
    <xf numFmtId="14" fontId="2" fillId="0" borderId="0" xfId="10" applyNumberFormat="1" applyFont="1" applyFill="1"/>
    <xf numFmtId="3" fontId="2" fillId="0" borderId="0" xfId="10" applyNumberFormat="1" applyFont="1" applyFill="1"/>
    <xf numFmtId="0" fontId="3" fillId="0" borderId="0" xfId="10" applyFont="1"/>
    <xf numFmtId="0" fontId="2" fillId="0" borderId="0" xfId="10" applyFont="1"/>
    <xf numFmtId="164" fontId="2" fillId="0" borderId="0" xfId="1" applyNumberFormat="1" applyFont="1"/>
    <xf numFmtId="14" fontId="2" fillId="0" borderId="0" xfId="10" applyNumberFormat="1" applyFont="1" applyFill="1"/>
    <xf numFmtId="3" fontId="2" fillId="0" borderId="0" xfId="10" applyNumberFormat="1" applyFont="1" applyFill="1"/>
    <xf numFmtId="0" fontId="18" fillId="0" borderId="2" xfId="0" applyFont="1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0" xfId="4" quotePrefix="1" applyFont="1" applyAlignment="1">
      <alignment horizontal="center"/>
    </xf>
    <xf numFmtId="0" fontId="2" fillId="0" borderId="0" xfId="4" applyFont="1" applyAlignment="1">
      <alignment horizontal="left" wrapText="1"/>
    </xf>
    <xf numFmtId="0" fontId="3" fillId="2" borderId="0" xfId="4" applyFont="1" applyFill="1" applyAlignment="1">
      <alignment horizontal="center"/>
    </xf>
    <xf numFmtId="0" fontId="3" fillId="0" borderId="0" xfId="4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66" fontId="9" fillId="0" borderId="0" xfId="6" applyFont="1" applyAlignment="1">
      <alignment horizontal="center"/>
    </xf>
    <xf numFmtId="166" fontId="9" fillId="0" borderId="0" xfId="6" quotePrefix="1" applyFont="1" applyAlignment="1">
      <alignment horizontal="center"/>
    </xf>
    <xf numFmtId="0" fontId="3" fillId="6" borderId="0" xfId="13" applyFont="1" applyFill="1" applyAlignment="1">
      <alignment horizontal="center"/>
    </xf>
    <xf numFmtId="43" fontId="3" fillId="0" borderId="0" xfId="14" applyFont="1" applyAlignment="1">
      <alignment horizontal="center"/>
    </xf>
    <xf numFmtId="0" fontId="13" fillId="0" borderId="0" xfId="7" applyFont="1" applyAlignment="1">
      <alignment horizontal="center"/>
    </xf>
    <xf numFmtId="0" fontId="13" fillId="0" borderId="0" xfId="7" quotePrefix="1" applyFont="1" applyAlignment="1">
      <alignment horizontal="center"/>
    </xf>
    <xf numFmtId="0" fontId="9" fillId="0" borderId="0" xfId="4" applyFont="1" applyAlignment="1">
      <alignment horizontal="center"/>
    </xf>
    <xf numFmtId="166" fontId="9" fillId="0" borderId="0" xfId="6" applyFont="1" applyFill="1" applyAlignment="1">
      <alignment horizontal="center"/>
    </xf>
    <xf numFmtId="166" fontId="9" fillId="2" borderId="0" xfId="6" applyFont="1" applyFill="1" applyAlignment="1">
      <alignment horizontal="center"/>
    </xf>
    <xf numFmtId="3" fontId="9" fillId="0" borderId="0" xfId="6" applyNumberFormat="1" applyFont="1" applyAlignment="1">
      <alignment horizontal="center"/>
    </xf>
    <xf numFmtId="14" fontId="3" fillId="0" borderId="0" xfId="8" applyNumberFormat="1" applyFont="1"/>
  </cellXfs>
  <cellStyles count="41">
    <cellStyle name="Comma" xfId="1" builtinId="3"/>
    <cellStyle name="Comma 2" xfId="2"/>
    <cellStyle name="Comma 2 2" xfId="14"/>
    <cellStyle name="Comma 3" xfId="17"/>
    <cellStyle name="Comma 3 2" xfId="18"/>
    <cellStyle name="Comma 3 3" xfId="19"/>
    <cellStyle name="Comma 4" xfId="3"/>
    <cellStyle name="Comma 4 2" xfId="20"/>
    <cellStyle name="Comma 4 3" xfId="21"/>
    <cellStyle name="Comma 5" xfId="22"/>
    <cellStyle name="Comma 5 2" xfId="23"/>
    <cellStyle name="Comma 6" xfId="24"/>
    <cellStyle name="Currency 2" xfId="25"/>
    <cellStyle name="Currency 3" xfId="26"/>
    <cellStyle name="Currency 4" xfId="27"/>
    <cellStyle name="Currency 5" xfId="28"/>
    <cellStyle name="Currency 5 2" xfId="29"/>
    <cellStyle name="Currency 6" xfId="30"/>
    <cellStyle name="Normal" xfId="0" builtinId="0"/>
    <cellStyle name="Normal 14" xfId="31"/>
    <cellStyle name="Normal 2" xfId="4"/>
    <cellStyle name="Normal 2 2" xfId="5"/>
    <cellStyle name="Normal 2 2 2" xfId="40"/>
    <cellStyle name="Normal 3" xfId="6"/>
    <cellStyle name="Normal 3 2" xfId="32"/>
    <cellStyle name="Normal 3 2 2" xfId="33"/>
    <cellStyle name="Normal 3 3" xfId="16"/>
    <cellStyle name="Normal 4" xfId="7"/>
    <cellStyle name="Normal 4 2" xfId="34"/>
    <cellStyle name="Normal 5" xfId="8"/>
    <cellStyle name="Normal 5 2" xfId="35"/>
    <cellStyle name="Normal 6" xfId="10"/>
    <cellStyle name="Normal 7" xfId="11"/>
    <cellStyle name="Normal 7 2" xfId="13"/>
    <cellStyle name="Normal 7 3" xfId="36"/>
    <cellStyle name="Normal 7 4" xfId="37"/>
    <cellStyle name="Normal 8" xfId="38"/>
    <cellStyle name="Normal 9" xfId="39"/>
    <cellStyle name="Normal 9 2" xfId="15"/>
    <cellStyle name="Percent 2" xfId="9"/>
    <cellStyle name="Percent 3" xfId="12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/>
  </sheetViews>
  <sheetFormatPr defaultRowHeight="15"/>
  <sheetData>
    <row r="1" spans="1:1" ht="20.25">
      <c r="A1" s="86" t="s">
        <v>373</v>
      </c>
    </row>
    <row r="4" spans="1:1">
      <c r="A4" s="77" t="s">
        <v>374</v>
      </c>
    </row>
    <row r="6" spans="1:1">
      <c r="A6" s="77" t="s">
        <v>534</v>
      </c>
    </row>
    <row r="8" spans="1:1">
      <c r="A8" s="77" t="s">
        <v>535</v>
      </c>
    </row>
    <row r="10" spans="1:1" s="145" customFormat="1">
      <c r="A10" s="144" t="s">
        <v>541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N1534"/>
  <sheetViews>
    <sheetView workbookViewId="0">
      <pane ySplit="4" topLeftCell="A48" activePane="bottomLeft" state="frozen"/>
      <selection pane="bottomLeft" activeCell="A48" sqref="A48"/>
    </sheetView>
  </sheetViews>
  <sheetFormatPr defaultRowHeight="12.75"/>
  <cols>
    <col min="1" max="1" width="16.5546875" style="44" customWidth="1"/>
    <col min="2" max="2" width="13.5546875" style="44" customWidth="1"/>
    <col min="3" max="3" width="9.109375" style="44" bestFit="1" customWidth="1"/>
    <col min="4" max="4" width="3.6640625" style="44" customWidth="1"/>
    <col min="5" max="5" width="9.5546875" style="44" bestFit="1" customWidth="1"/>
    <col min="6" max="6" width="8.88671875" style="44"/>
    <col min="7" max="7" width="9.109375" style="44" bestFit="1" customWidth="1"/>
    <col min="8" max="8" width="8.77734375" style="44" bestFit="1" customWidth="1"/>
    <col min="9" max="12" width="8.88671875" style="44"/>
    <col min="13" max="13" width="13.109375" style="44" customWidth="1"/>
    <col min="14" max="16384" width="8.88671875" style="44"/>
  </cols>
  <sheetData>
    <row r="1" spans="1:14" ht="25.5">
      <c r="A1" s="42" t="s">
        <v>350</v>
      </c>
      <c r="B1" s="43"/>
      <c r="C1" s="43"/>
      <c r="D1" s="43"/>
      <c r="F1" s="45"/>
      <c r="I1" s="46"/>
    </row>
    <row r="2" spans="1:14">
      <c r="F2" s="47"/>
    </row>
    <row r="3" spans="1:14">
      <c r="B3" s="48" t="s">
        <v>351</v>
      </c>
      <c r="C3" s="48" t="s">
        <v>316</v>
      </c>
      <c r="D3" s="49"/>
      <c r="E3" s="49"/>
      <c r="F3" s="49"/>
      <c r="G3" s="48" t="s">
        <v>352</v>
      </c>
      <c r="H3" s="50"/>
      <c r="M3" s="51"/>
      <c r="N3" s="52" t="s">
        <v>354</v>
      </c>
    </row>
    <row r="4" spans="1:14">
      <c r="B4" s="53" t="s">
        <v>355</v>
      </c>
      <c r="C4" s="54" t="s">
        <v>356</v>
      </c>
      <c r="D4" s="54"/>
      <c r="E4" s="54" t="s">
        <v>357</v>
      </c>
      <c r="F4" s="54" t="s">
        <v>358</v>
      </c>
      <c r="G4" s="54" t="s">
        <v>359</v>
      </c>
      <c r="M4" s="51"/>
      <c r="N4" s="52" t="s">
        <v>353</v>
      </c>
    </row>
    <row r="5" spans="1:14">
      <c r="A5" s="55">
        <v>37711</v>
      </c>
      <c r="B5" s="56">
        <v>0</v>
      </c>
      <c r="C5" s="56">
        <v>0</v>
      </c>
      <c r="D5" s="56"/>
      <c r="E5" s="57">
        <v>292133.37</v>
      </c>
    </row>
    <row r="6" spans="1:14">
      <c r="A6" s="55">
        <v>37802</v>
      </c>
      <c r="B6" s="56">
        <v>0</v>
      </c>
      <c r="C6" s="56">
        <v>0</v>
      </c>
      <c r="D6" s="56"/>
      <c r="E6" s="57">
        <v>292133.37</v>
      </c>
    </row>
    <row r="7" spans="1:14">
      <c r="A7" s="55">
        <v>37894</v>
      </c>
      <c r="B7" s="56">
        <v>0</v>
      </c>
      <c r="C7" s="56">
        <v>0</v>
      </c>
      <c r="D7" s="56"/>
      <c r="E7" s="57">
        <v>292133.37</v>
      </c>
    </row>
    <row r="8" spans="1:14">
      <c r="A8" s="55">
        <v>37986</v>
      </c>
      <c r="B8" s="56">
        <v>0</v>
      </c>
      <c r="C8" s="56">
        <v>0</v>
      </c>
      <c r="D8" s="56"/>
      <c r="E8" s="57">
        <v>292133.37</v>
      </c>
      <c r="F8" s="56">
        <v>2003</v>
      </c>
    </row>
    <row r="9" spans="1:14">
      <c r="A9" s="55">
        <v>38077</v>
      </c>
      <c r="B9" s="56">
        <v>0</v>
      </c>
      <c r="C9" s="56">
        <v>0</v>
      </c>
      <c r="D9" s="56"/>
      <c r="E9" s="57">
        <v>292133.37</v>
      </c>
    </row>
    <row r="10" spans="1:14">
      <c r="A10" s="55">
        <v>38168</v>
      </c>
      <c r="B10" s="56">
        <v>0</v>
      </c>
      <c r="C10" s="56">
        <v>0</v>
      </c>
      <c r="D10" s="56"/>
      <c r="E10" s="57">
        <v>292133.37</v>
      </c>
    </row>
    <row r="11" spans="1:14">
      <c r="A11" s="55">
        <v>38260</v>
      </c>
      <c r="B11" s="56">
        <v>0</v>
      </c>
      <c r="C11" s="56">
        <v>0</v>
      </c>
      <c r="D11" s="56"/>
      <c r="E11" s="57">
        <v>292133.37</v>
      </c>
    </row>
    <row r="12" spans="1:14">
      <c r="A12" s="58">
        <v>38352</v>
      </c>
      <c r="B12" s="59">
        <v>0</v>
      </c>
      <c r="C12" s="59">
        <v>0</v>
      </c>
      <c r="D12" s="59"/>
      <c r="E12" s="60">
        <v>292133.37</v>
      </c>
      <c r="F12" s="59">
        <v>2004</v>
      </c>
    </row>
    <row r="13" spans="1:14">
      <c r="A13" s="55">
        <v>38442</v>
      </c>
      <c r="B13" s="44">
        <v>1</v>
      </c>
      <c r="C13" s="61">
        <v>4868.8900000000003</v>
      </c>
      <c r="D13" s="62"/>
      <c r="E13" s="61">
        <f>E12-C13</f>
        <v>287264.48</v>
      </c>
      <c r="H13" s="63"/>
      <c r="J13" s="63"/>
      <c r="K13" s="64"/>
      <c r="L13" s="63"/>
    </row>
    <row r="14" spans="1:14">
      <c r="A14" s="55">
        <v>38533</v>
      </c>
      <c r="B14" s="44">
        <v>2</v>
      </c>
      <c r="C14" s="61">
        <v>4868.8900000000003</v>
      </c>
      <c r="D14" s="64"/>
      <c r="E14" s="61">
        <f t="shared" ref="E14:E72" si="0">E13-C14</f>
        <v>282395.58999999997</v>
      </c>
      <c r="H14" s="63"/>
      <c r="J14" s="63"/>
      <c r="K14" s="64"/>
      <c r="L14" s="63"/>
    </row>
    <row r="15" spans="1:14">
      <c r="A15" s="55">
        <v>38625</v>
      </c>
      <c r="B15" s="44">
        <v>3</v>
      </c>
      <c r="C15" s="61">
        <v>4868.8900000000003</v>
      </c>
      <c r="D15" s="64"/>
      <c r="E15" s="61">
        <f t="shared" si="0"/>
        <v>277526.69999999995</v>
      </c>
      <c r="H15" s="63"/>
      <c r="J15" s="63"/>
      <c r="K15" s="64"/>
      <c r="L15" s="63"/>
    </row>
    <row r="16" spans="1:14">
      <c r="A16" s="58">
        <v>38717</v>
      </c>
      <c r="B16" s="65">
        <v>4</v>
      </c>
      <c r="C16" s="66">
        <v>4868.8900000000003</v>
      </c>
      <c r="D16" s="67"/>
      <c r="E16" s="66">
        <f t="shared" si="0"/>
        <v>272657.80999999994</v>
      </c>
      <c r="F16" s="65">
        <v>2005</v>
      </c>
      <c r="G16" s="68">
        <f>SUM(C13:C16)</f>
        <v>19475.560000000001</v>
      </c>
      <c r="H16" s="69" t="s">
        <v>360</v>
      </c>
      <c r="I16" s="44">
        <v>19475</v>
      </c>
      <c r="J16" s="63"/>
      <c r="K16" s="64"/>
      <c r="L16" s="63"/>
    </row>
    <row r="17" spans="1:12">
      <c r="A17" s="55">
        <v>38807</v>
      </c>
      <c r="B17" s="44">
        <v>5</v>
      </c>
      <c r="C17" s="61">
        <v>4868.8900000000003</v>
      </c>
      <c r="D17" s="64"/>
      <c r="E17" s="61">
        <f t="shared" si="0"/>
        <v>267788.91999999993</v>
      </c>
      <c r="H17" s="63"/>
      <c r="J17" s="63"/>
      <c r="K17" s="64"/>
      <c r="L17" s="63"/>
    </row>
    <row r="18" spans="1:12">
      <c r="A18" s="55">
        <v>38898</v>
      </c>
      <c r="B18" s="44">
        <v>6</v>
      </c>
      <c r="C18" s="61">
        <v>4868.8900000000003</v>
      </c>
      <c r="D18" s="64"/>
      <c r="E18" s="61">
        <f t="shared" si="0"/>
        <v>262920.02999999991</v>
      </c>
      <c r="H18" s="63"/>
      <c r="J18" s="63"/>
      <c r="K18" s="64"/>
      <c r="L18" s="63"/>
    </row>
    <row r="19" spans="1:12">
      <c r="A19" s="55">
        <v>38990</v>
      </c>
      <c r="B19" s="44">
        <v>7</v>
      </c>
      <c r="C19" s="61">
        <v>4868.8900000000003</v>
      </c>
      <c r="D19" s="64"/>
      <c r="E19" s="61">
        <f t="shared" si="0"/>
        <v>258051.1399999999</v>
      </c>
      <c r="H19" s="63"/>
      <c r="J19" s="63"/>
      <c r="K19" s="64"/>
      <c r="L19" s="63"/>
    </row>
    <row r="20" spans="1:12">
      <c r="A20" s="58">
        <v>39082</v>
      </c>
      <c r="B20" s="65">
        <v>8</v>
      </c>
      <c r="C20" s="66">
        <v>4868.8900000000003</v>
      </c>
      <c r="D20" s="67"/>
      <c r="E20" s="66">
        <f t="shared" si="0"/>
        <v>253182.24999999988</v>
      </c>
      <c r="F20" s="65">
        <v>2006</v>
      </c>
      <c r="G20" s="68">
        <f>SUM(C17:C20)</f>
        <v>19475.560000000001</v>
      </c>
      <c r="H20" s="69" t="s">
        <v>361</v>
      </c>
      <c r="I20" s="44">
        <v>198624</v>
      </c>
      <c r="J20" s="63"/>
      <c r="K20" s="64"/>
      <c r="L20" s="63"/>
    </row>
    <row r="21" spans="1:12">
      <c r="A21" s="55">
        <v>39172</v>
      </c>
      <c r="B21" s="44">
        <v>9</v>
      </c>
      <c r="C21" s="61">
        <v>4868.8900000000003</v>
      </c>
      <c r="D21" s="64"/>
      <c r="E21" s="61">
        <f t="shared" si="0"/>
        <v>248313.35999999987</v>
      </c>
      <c r="H21" s="63"/>
      <c r="J21" s="63"/>
      <c r="K21" s="64"/>
      <c r="L21" s="63"/>
    </row>
    <row r="22" spans="1:12">
      <c r="A22" s="55">
        <v>39263</v>
      </c>
      <c r="B22" s="44">
        <v>10</v>
      </c>
      <c r="C22" s="61">
        <v>4868.8900000000003</v>
      </c>
      <c r="D22" s="64"/>
      <c r="E22" s="61">
        <f t="shared" si="0"/>
        <v>243444.46999999986</v>
      </c>
      <c r="H22" s="63"/>
      <c r="J22" s="63"/>
      <c r="K22" s="64"/>
      <c r="L22" s="63"/>
    </row>
    <row r="23" spans="1:12">
      <c r="A23" s="55">
        <v>39355</v>
      </c>
      <c r="B23" s="44">
        <v>11</v>
      </c>
      <c r="C23" s="61">
        <v>4868.8900000000003</v>
      </c>
      <c r="D23" s="64"/>
      <c r="E23" s="61">
        <f t="shared" si="0"/>
        <v>238575.57999999984</v>
      </c>
      <c r="H23" s="63"/>
      <c r="J23" s="63"/>
      <c r="K23" s="64"/>
      <c r="L23" s="63"/>
    </row>
    <row r="24" spans="1:12" ht="15">
      <c r="A24" s="58">
        <v>39447</v>
      </c>
      <c r="B24" s="65">
        <v>12</v>
      </c>
      <c r="C24" s="66">
        <v>4868.8900000000003</v>
      </c>
      <c r="D24" s="67"/>
      <c r="E24" s="66">
        <f t="shared" si="0"/>
        <v>233706.68999999983</v>
      </c>
      <c r="F24" s="65">
        <v>2007</v>
      </c>
      <c r="G24" s="68">
        <f>SUM(C21:C24)</f>
        <v>19475.560000000001</v>
      </c>
      <c r="H24" s="70" t="s">
        <v>362</v>
      </c>
      <c r="I24" s="44" t="s">
        <v>363</v>
      </c>
      <c r="J24" s="63"/>
      <c r="K24" s="64"/>
      <c r="L24" s="63"/>
    </row>
    <row r="25" spans="1:12">
      <c r="A25" s="55">
        <v>39538</v>
      </c>
      <c r="B25" s="44">
        <v>13</v>
      </c>
      <c r="C25" s="61">
        <v>4868.8900000000003</v>
      </c>
      <c r="D25" s="64"/>
      <c r="E25" s="61">
        <f t="shared" si="0"/>
        <v>228837.79999999981</v>
      </c>
      <c r="H25" s="63"/>
      <c r="J25" s="63"/>
      <c r="K25" s="64"/>
      <c r="L25" s="63"/>
    </row>
    <row r="26" spans="1:12">
      <c r="A26" s="55">
        <v>39629</v>
      </c>
      <c r="B26" s="44">
        <v>14</v>
      </c>
      <c r="C26" s="61">
        <v>4868.8900000000003</v>
      </c>
      <c r="D26" s="64"/>
      <c r="E26" s="61">
        <f t="shared" si="0"/>
        <v>223968.9099999998</v>
      </c>
      <c r="H26" s="63"/>
      <c r="J26" s="63"/>
      <c r="K26" s="64"/>
      <c r="L26" s="63"/>
    </row>
    <row r="27" spans="1:12">
      <c r="A27" s="55">
        <v>39721</v>
      </c>
      <c r="B27" s="44">
        <v>15</v>
      </c>
      <c r="C27" s="61">
        <v>4868.8900000000003</v>
      </c>
      <c r="D27" s="64"/>
      <c r="E27" s="61">
        <f t="shared" si="0"/>
        <v>219100.01999999979</v>
      </c>
      <c r="H27" s="63"/>
      <c r="J27" s="63"/>
      <c r="K27" s="64"/>
      <c r="L27" s="63"/>
    </row>
    <row r="28" spans="1:12">
      <c r="A28" s="58">
        <v>39813</v>
      </c>
      <c r="B28" s="65">
        <v>16</v>
      </c>
      <c r="C28" s="66">
        <v>4868.8900000000003</v>
      </c>
      <c r="D28" s="67"/>
      <c r="E28" s="66">
        <f t="shared" si="0"/>
        <v>214231.12999999977</v>
      </c>
      <c r="F28" s="65">
        <v>2008</v>
      </c>
      <c r="G28" s="68">
        <f>SUM(C25:C28)</f>
        <v>19475.560000000001</v>
      </c>
      <c r="H28" s="69" t="s">
        <v>364</v>
      </c>
      <c r="I28" s="44" t="s">
        <v>365</v>
      </c>
      <c r="J28" s="63"/>
      <c r="K28" s="64"/>
      <c r="L28" s="63"/>
    </row>
    <row r="29" spans="1:12">
      <c r="A29" s="55">
        <v>39903</v>
      </c>
      <c r="B29" s="44">
        <v>17</v>
      </c>
      <c r="C29" s="61">
        <v>4868.8900000000003</v>
      </c>
      <c r="D29" s="64"/>
      <c r="E29" s="61">
        <f t="shared" si="0"/>
        <v>209362.23999999976</v>
      </c>
      <c r="H29" s="63"/>
      <c r="J29" s="63"/>
      <c r="K29" s="64"/>
      <c r="L29" s="63"/>
    </row>
    <row r="30" spans="1:12">
      <c r="A30" s="55">
        <v>39994</v>
      </c>
      <c r="B30" s="44">
        <v>18</v>
      </c>
      <c r="C30" s="61">
        <v>4868.8900000000003</v>
      </c>
      <c r="D30" s="64"/>
      <c r="E30" s="61">
        <f t="shared" si="0"/>
        <v>204493.34999999974</v>
      </c>
      <c r="H30" s="63"/>
      <c r="J30" s="63"/>
      <c r="K30" s="64"/>
      <c r="L30" s="63"/>
    </row>
    <row r="31" spans="1:12">
      <c r="A31" s="55">
        <v>40086</v>
      </c>
      <c r="B31" s="44">
        <v>19</v>
      </c>
      <c r="C31" s="61">
        <v>4868.8900000000003</v>
      </c>
      <c r="D31" s="64"/>
      <c r="E31" s="61">
        <f t="shared" si="0"/>
        <v>199624.45999999973</v>
      </c>
      <c r="H31" s="63"/>
      <c r="J31" s="63"/>
      <c r="K31" s="64"/>
      <c r="L31" s="63"/>
    </row>
    <row r="32" spans="1:12">
      <c r="A32" s="58">
        <v>40178</v>
      </c>
      <c r="B32" s="65">
        <v>20</v>
      </c>
      <c r="C32" s="66">
        <v>4868.8900000000003</v>
      </c>
      <c r="D32" s="67"/>
      <c r="E32" s="66">
        <f t="shared" si="0"/>
        <v>194755.56999999972</v>
      </c>
      <c r="F32" s="65">
        <v>2009</v>
      </c>
      <c r="G32" s="68">
        <f>SUM(C29:C32)</f>
        <v>19475.560000000001</v>
      </c>
      <c r="H32" s="69" t="s">
        <v>366</v>
      </c>
      <c r="I32" s="44" t="s">
        <v>363</v>
      </c>
      <c r="J32" s="63"/>
      <c r="K32" s="64"/>
      <c r="L32" s="63"/>
    </row>
    <row r="33" spans="1:12">
      <c r="A33" s="55">
        <v>40268</v>
      </c>
      <c r="B33" s="44">
        <v>21</v>
      </c>
      <c r="C33" s="61">
        <v>4868.8900000000003</v>
      </c>
      <c r="D33" s="64"/>
      <c r="E33" s="61">
        <f t="shared" si="0"/>
        <v>189886.6799999997</v>
      </c>
      <c r="H33" s="63"/>
      <c r="J33" s="63"/>
      <c r="K33" s="64"/>
      <c r="L33" s="63"/>
    </row>
    <row r="34" spans="1:12">
      <c r="A34" s="55">
        <v>40359</v>
      </c>
      <c r="B34" s="44">
        <v>22</v>
      </c>
      <c r="C34" s="61">
        <v>4868.8900000000003</v>
      </c>
      <c r="D34" s="64"/>
      <c r="E34" s="61">
        <f t="shared" si="0"/>
        <v>185017.78999999969</v>
      </c>
      <c r="H34" s="63"/>
      <c r="J34" s="63"/>
      <c r="K34" s="64"/>
      <c r="L34" s="63"/>
    </row>
    <row r="35" spans="1:12">
      <c r="A35" s="55">
        <v>40451</v>
      </c>
      <c r="B35" s="44">
        <v>23</v>
      </c>
      <c r="C35" s="61">
        <v>4868.8900000000003</v>
      </c>
      <c r="D35" s="64"/>
      <c r="E35" s="61">
        <f t="shared" si="0"/>
        <v>180148.89999999967</v>
      </c>
      <c r="H35" s="63"/>
      <c r="J35" s="63"/>
      <c r="K35" s="64"/>
      <c r="L35" s="63"/>
    </row>
    <row r="36" spans="1:12">
      <c r="A36" s="58">
        <v>40543</v>
      </c>
      <c r="B36" s="65">
        <v>24</v>
      </c>
      <c r="C36" s="66">
        <v>4868.8900000000003</v>
      </c>
      <c r="D36" s="67"/>
      <c r="E36" s="66">
        <f t="shared" si="0"/>
        <v>175280.00999999966</v>
      </c>
      <c r="F36" s="65">
        <v>2010</v>
      </c>
      <c r="G36" s="68">
        <f>SUM(C33:C36)</f>
        <v>19475.560000000001</v>
      </c>
      <c r="H36" s="69" t="s">
        <v>367</v>
      </c>
      <c r="I36" s="44" t="s">
        <v>363</v>
      </c>
      <c r="J36" s="63"/>
      <c r="K36" s="64"/>
      <c r="L36" s="63"/>
    </row>
    <row r="37" spans="1:12">
      <c r="A37" s="55">
        <v>40633</v>
      </c>
      <c r="B37" s="44">
        <v>25</v>
      </c>
      <c r="C37" s="61">
        <v>4868.8900000000003</v>
      </c>
      <c r="D37" s="64"/>
      <c r="E37" s="61">
        <f>E36-C37</f>
        <v>170411.11999999965</v>
      </c>
      <c r="H37" s="63"/>
      <c r="J37" s="63"/>
      <c r="K37" s="64"/>
      <c r="L37" s="63"/>
    </row>
    <row r="38" spans="1:12">
      <c r="A38" s="55">
        <v>40724</v>
      </c>
      <c r="B38" s="44">
        <v>26</v>
      </c>
      <c r="C38" s="61">
        <v>4868.8900000000003</v>
      </c>
      <c r="D38" s="64"/>
      <c r="E38" s="61">
        <f t="shared" si="0"/>
        <v>165542.22999999963</v>
      </c>
      <c r="H38" s="63"/>
      <c r="J38" s="63"/>
      <c r="K38" s="64"/>
      <c r="L38" s="63"/>
    </row>
    <row r="39" spans="1:12">
      <c r="A39" s="55">
        <v>40816</v>
      </c>
      <c r="B39" s="44">
        <v>27</v>
      </c>
      <c r="C39" s="61">
        <v>4868.8900000000003</v>
      </c>
      <c r="D39" s="64"/>
      <c r="E39" s="61">
        <f t="shared" si="0"/>
        <v>160673.33999999962</v>
      </c>
      <c r="G39" s="71"/>
      <c r="H39" s="63"/>
      <c r="J39" s="63"/>
      <c r="K39" s="64"/>
      <c r="L39" s="63"/>
    </row>
    <row r="40" spans="1:12">
      <c r="A40" s="58">
        <v>40908</v>
      </c>
      <c r="B40" s="65">
        <v>28</v>
      </c>
      <c r="C40" s="66">
        <v>4868.8900000000003</v>
      </c>
      <c r="D40" s="67"/>
      <c r="E40" s="135">
        <f t="shared" si="0"/>
        <v>155804.4499999996</v>
      </c>
      <c r="F40" s="65">
        <v>2011</v>
      </c>
      <c r="G40" s="68">
        <f>SUM(C37:C40)</f>
        <v>19475.560000000001</v>
      </c>
      <c r="H40" s="63"/>
      <c r="J40" s="63"/>
      <c r="K40" s="64"/>
      <c r="L40" s="63"/>
    </row>
    <row r="41" spans="1:12">
      <c r="A41" s="55">
        <v>40999</v>
      </c>
      <c r="B41" s="44">
        <v>29</v>
      </c>
      <c r="C41" s="61">
        <v>4868.8900000000003</v>
      </c>
      <c r="D41" s="64"/>
      <c r="E41" s="61">
        <f t="shared" si="0"/>
        <v>150935.55999999959</v>
      </c>
      <c r="H41" s="63"/>
      <c r="I41" s="52"/>
      <c r="J41" s="63"/>
      <c r="K41" s="64"/>
      <c r="L41" s="63"/>
    </row>
    <row r="42" spans="1:12">
      <c r="A42" s="55">
        <v>41090</v>
      </c>
      <c r="B42" s="44">
        <v>30</v>
      </c>
      <c r="C42" s="61">
        <v>4868.8900000000003</v>
      </c>
      <c r="D42" s="64"/>
      <c r="E42" s="61">
        <f t="shared" si="0"/>
        <v>146066.66999999958</v>
      </c>
      <c r="H42" s="63"/>
      <c r="J42" s="63"/>
      <c r="K42" s="64"/>
      <c r="L42" s="63"/>
    </row>
    <row r="43" spans="1:12">
      <c r="A43" s="55">
        <v>41182</v>
      </c>
      <c r="B43" s="44">
        <v>31</v>
      </c>
      <c r="C43" s="61">
        <v>4868.8900000000003</v>
      </c>
      <c r="D43" s="64"/>
      <c r="E43" s="61">
        <f t="shared" si="0"/>
        <v>141197.77999999956</v>
      </c>
      <c r="H43" s="63"/>
      <c r="J43" s="63"/>
      <c r="K43" s="64"/>
      <c r="L43" s="63"/>
    </row>
    <row r="44" spans="1:12">
      <c r="A44" s="55">
        <v>41274</v>
      </c>
      <c r="B44" s="44">
        <v>32</v>
      </c>
      <c r="C44" s="61">
        <v>4868.8900000000003</v>
      </c>
      <c r="D44" s="64"/>
      <c r="E44" s="143">
        <f t="shared" si="0"/>
        <v>136328.88999999955</v>
      </c>
      <c r="F44" s="44">
        <v>2012</v>
      </c>
      <c r="G44" s="71">
        <f>SUM(C41:C44)</f>
        <v>19475.560000000001</v>
      </c>
      <c r="H44" s="63"/>
      <c r="J44" s="63"/>
      <c r="K44" s="64"/>
      <c r="L44" s="63"/>
    </row>
    <row r="45" spans="1:12">
      <c r="A45" s="55">
        <v>41364</v>
      </c>
      <c r="B45" s="44">
        <v>33</v>
      </c>
      <c r="C45" s="61">
        <v>4868.8900000000003</v>
      </c>
      <c r="D45" s="64"/>
      <c r="E45" s="61">
        <f t="shared" si="0"/>
        <v>131459.99999999953</v>
      </c>
      <c r="H45" s="63"/>
      <c r="I45" s="71"/>
      <c r="J45" s="63"/>
      <c r="K45" s="64"/>
      <c r="L45" s="63"/>
    </row>
    <row r="46" spans="1:12">
      <c r="A46" s="55">
        <v>41455</v>
      </c>
      <c r="B46" s="44">
        <v>34</v>
      </c>
      <c r="C46" s="61">
        <v>4868.8900000000003</v>
      </c>
      <c r="D46" s="64"/>
      <c r="E46" s="61">
        <f t="shared" si="0"/>
        <v>126591.10999999953</v>
      </c>
      <c r="H46" s="63"/>
      <c r="J46" s="63"/>
      <c r="K46" s="64"/>
      <c r="L46" s="63"/>
    </row>
    <row r="47" spans="1:12">
      <c r="A47" s="55">
        <v>41547</v>
      </c>
      <c r="B47" s="44">
        <v>35</v>
      </c>
      <c r="C47" s="61">
        <v>4868.8900000000003</v>
      </c>
      <c r="D47" s="64"/>
      <c r="E47" s="61">
        <f t="shared" si="0"/>
        <v>121722.21999999954</v>
      </c>
      <c r="H47" s="63"/>
      <c r="J47" s="63"/>
      <c r="K47" s="64"/>
      <c r="L47" s="63"/>
    </row>
    <row r="48" spans="1:12">
      <c r="A48" s="278">
        <v>41639</v>
      </c>
      <c r="B48" s="44">
        <v>36</v>
      </c>
      <c r="C48" s="61">
        <v>4868.8900000000003</v>
      </c>
      <c r="D48" s="64"/>
      <c r="E48" s="104">
        <f t="shared" si="0"/>
        <v>116853.32999999954</v>
      </c>
      <c r="F48" s="44">
        <v>2013</v>
      </c>
      <c r="G48" s="71">
        <f>SUM(C45:C48)</f>
        <v>19475.560000000001</v>
      </c>
      <c r="H48" s="63"/>
      <c r="J48" s="63"/>
      <c r="K48" s="64"/>
      <c r="L48" s="63"/>
    </row>
    <row r="49" spans="1:12">
      <c r="A49" s="55">
        <v>41729</v>
      </c>
      <c r="B49" s="44">
        <v>37</v>
      </c>
      <c r="C49" s="61">
        <v>4868.8900000000003</v>
      </c>
      <c r="D49" s="64"/>
      <c r="E49" s="61">
        <f t="shared" si="0"/>
        <v>111984.43999999954</v>
      </c>
      <c r="H49" s="63"/>
      <c r="J49" s="63"/>
      <c r="K49" s="64"/>
      <c r="L49" s="63"/>
    </row>
    <row r="50" spans="1:12">
      <c r="A50" s="55">
        <v>41820</v>
      </c>
      <c r="B50" s="44">
        <v>38</v>
      </c>
      <c r="C50" s="61">
        <v>4868.8900000000003</v>
      </c>
      <c r="D50" s="64"/>
      <c r="E50" s="61">
        <f t="shared" si="0"/>
        <v>107115.54999999954</v>
      </c>
      <c r="H50" s="63"/>
      <c r="J50" s="63"/>
      <c r="K50" s="64"/>
      <c r="L50" s="63"/>
    </row>
    <row r="51" spans="1:12">
      <c r="A51" s="55">
        <v>41912</v>
      </c>
      <c r="B51" s="44">
        <v>39</v>
      </c>
      <c r="C51" s="61">
        <v>4868.8900000000003</v>
      </c>
      <c r="D51" s="64"/>
      <c r="E51" s="61">
        <f t="shared" si="0"/>
        <v>102246.65999999954</v>
      </c>
      <c r="H51" s="63"/>
      <c r="J51" s="63"/>
      <c r="K51" s="64"/>
      <c r="L51" s="63"/>
    </row>
    <row r="52" spans="1:12">
      <c r="A52" s="55">
        <v>42004</v>
      </c>
      <c r="B52" s="44">
        <v>40</v>
      </c>
      <c r="C52" s="61">
        <v>4868.8900000000003</v>
      </c>
      <c r="D52" s="64"/>
      <c r="E52" s="61">
        <f t="shared" si="0"/>
        <v>97377.769999999538</v>
      </c>
      <c r="F52" s="44">
        <v>2014</v>
      </c>
      <c r="G52" s="71">
        <f>SUM(C49:C52)</f>
        <v>19475.560000000001</v>
      </c>
      <c r="H52" s="63"/>
      <c r="J52" s="63"/>
      <c r="K52" s="64"/>
      <c r="L52" s="63"/>
    </row>
    <row r="53" spans="1:12">
      <c r="A53" s="55">
        <v>42094</v>
      </c>
      <c r="B53" s="44">
        <v>41</v>
      </c>
      <c r="C53" s="61">
        <v>4868.8900000000003</v>
      </c>
      <c r="D53" s="64"/>
      <c r="E53" s="61">
        <f t="shared" si="0"/>
        <v>92508.879999999539</v>
      </c>
      <c r="H53" s="63"/>
      <c r="J53" s="63"/>
      <c r="K53" s="64"/>
      <c r="L53" s="63"/>
    </row>
    <row r="54" spans="1:12">
      <c r="A54" s="55">
        <v>42185</v>
      </c>
      <c r="B54" s="44">
        <v>42</v>
      </c>
      <c r="C54" s="61">
        <v>4868.8900000000003</v>
      </c>
      <c r="D54" s="64"/>
      <c r="E54" s="61">
        <f>E53-C54</f>
        <v>87639.98999999954</v>
      </c>
      <c r="H54" s="63"/>
      <c r="J54" s="63"/>
      <c r="K54" s="64"/>
      <c r="L54" s="63"/>
    </row>
    <row r="55" spans="1:12">
      <c r="A55" s="55">
        <v>42277</v>
      </c>
      <c r="B55" s="44">
        <v>43</v>
      </c>
      <c r="C55" s="61">
        <v>4868.8900000000003</v>
      </c>
      <c r="D55" s="64"/>
      <c r="E55" s="61">
        <f t="shared" si="0"/>
        <v>82771.09999999954</v>
      </c>
      <c r="H55" s="63"/>
      <c r="J55" s="63"/>
      <c r="K55" s="64"/>
      <c r="L55" s="63"/>
    </row>
    <row r="56" spans="1:12">
      <c r="A56" s="55">
        <v>42369</v>
      </c>
      <c r="B56" s="44">
        <v>44</v>
      </c>
      <c r="C56" s="61">
        <v>4868.8900000000003</v>
      </c>
      <c r="D56" s="64"/>
      <c r="E56" s="61">
        <f t="shared" si="0"/>
        <v>77902.209999999541</v>
      </c>
      <c r="F56" s="44">
        <v>2015</v>
      </c>
      <c r="G56" s="71">
        <f>SUM(C53:C56)</f>
        <v>19475.560000000001</v>
      </c>
      <c r="H56" s="63"/>
      <c r="J56" s="63"/>
      <c r="K56" s="64"/>
      <c r="L56" s="63"/>
    </row>
    <row r="57" spans="1:12">
      <c r="A57" s="55">
        <v>42460</v>
      </c>
      <c r="B57" s="44">
        <v>45</v>
      </c>
      <c r="C57" s="61">
        <v>4868.8900000000003</v>
      </c>
      <c r="D57" s="64"/>
      <c r="E57" s="61">
        <f t="shared" si="0"/>
        <v>73033.319999999541</v>
      </c>
      <c r="H57" s="63"/>
      <c r="J57" s="63"/>
      <c r="K57" s="64"/>
      <c r="L57" s="63"/>
    </row>
    <row r="58" spans="1:12">
      <c r="A58" s="55">
        <v>42551</v>
      </c>
      <c r="B58" s="44">
        <v>46</v>
      </c>
      <c r="C58" s="61">
        <v>4868.8900000000003</v>
      </c>
      <c r="D58" s="64"/>
      <c r="E58" s="61">
        <f t="shared" si="0"/>
        <v>68164.429999999542</v>
      </c>
      <c r="H58" s="63"/>
      <c r="J58" s="63"/>
      <c r="K58" s="64"/>
      <c r="L58" s="63"/>
    </row>
    <row r="59" spans="1:12">
      <c r="A59" s="55">
        <v>42643</v>
      </c>
      <c r="B59" s="44">
        <v>47</v>
      </c>
      <c r="C59" s="61">
        <v>4868.8900000000003</v>
      </c>
      <c r="D59" s="64"/>
      <c r="E59" s="61">
        <f t="shared" si="0"/>
        <v>63295.539999999542</v>
      </c>
      <c r="H59" s="63"/>
      <c r="J59" s="63"/>
      <c r="K59" s="64"/>
      <c r="L59" s="63"/>
    </row>
    <row r="60" spans="1:12">
      <c r="A60" s="55">
        <v>42735</v>
      </c>
      <c r="B60" s="44">
        <v>48</v>
      </c>
      <c r="C60" s="61">
        <v>4868.8900000000003</v>
      </c>
      <c r="D60" s="64"/>
      <c r="E60" s="61">
        <f t="shared" si="0"/>
        <v>58426.649999999543</v>
      </c>
      <c r="F60" s="44">
        <v>2016</v>
      </c>
      <c r="G60" s="71">
        <f>SUM(C57:C60)</f>
        <v>19475.560000000001</v>
      </c>
      <c r="H60" s="63"/>
      <c r="J60" s="63"/>
      <c r="K60" s="64"/>
      <c r="L60" s="63"/>
    </row>
    <row r="61" spans="1:12">
      <c r="A61" s="55">
        <v>42825</v>
      </c>
      <c r="B61" s="44">
        <v>49</v>
      </c>
      <c r="C61" s="61">
        <v>4868.8900000000003</v>
      </c>
      <c r="D61" s="64"/>
      <c r="E61" s="61">
        <f t="shared" si="0"/>
        <v>53557.759999999544</v>
      </c>
      <c r="H61" s="63"/>
      <c r="J61" s="63"/>
      <c r="K61" s="64"/>
      <c r="L61" s="63"/>
    </row>
    <row r="62" spans="1:12">
      <c r="A62" s="55">
        <v>42916</v>
      </c>
      <c r="B62" s="44">
        <v>50</v>
      </c>
      <c r="C62" s="61">
        <v>4868.8900000000003</v>
      </c>
      <c r="D62" s="64"/>
      <c r="E62" s="61">
        <f t="shared" si="0"/>
        <v>48688.869999999544</v>
      </c>
      <c r="H62" s="63"/>
      <c r="J62" s="63"/>
      <c r="K62" s="64"/>
      <c r="L62" s="63"/>
    </row>
    <row r="63" spans="1:12">
      <c r="A63" s="55">
        <v>43008</v>
      </c>
      <c r="B63" s="44">
        <v>51</v>
      </c>
      <c r="C63" s="61">
        <v>4868.8900000000003</v>
      </c>
      <c r="D63" s="64"/>
      <c r="E63" s="61">
        <f t="shared" si="0"/>
        <v>43819.979999999545</v>
      </c>
      <c r="H63" s="63"/>
      <c r="J63" s="63"/>
      <c r="K63" s="64"/>
      <c r="L63" s="63"/>
    </row>
    <row r="64" spans="1:12">
      <c r="A64" s="55">
        <v>43100</v>
      </c>
      <c r="B64" s="44">
        <v>52</v>
      </c>
      <c r="C64" s="61">
        <v>4868.8900000000003</v>
      </c>
      <c r="D64" s="64"/>
      <c r="E64" s="61">
        <f t="shared" si="0"/>
        <v>38951.089999999545</v>
      </c>
      <c r="F64" s="44">
        <v>2017</v>
      </c>
      <c r="G64" s="71">
        <f>SUM(C61:C64)</f>
        <v>19475.560000000001</v>
      </c>
      <c r="H64" s="63"/>
      <c r="J64" s="63"/>
      <c r="K64" s="64"/>
      <c r="L64" s="63"/>
    </row>
    <row r="65" spans="1:12">
      <c r="A65" s="55">
        <v>43190</v>
      </c>
      <c r="B65" s="44">
        <v>53</v>
      </c>
      <c r="C65" s="61">
        <v>4868.8900000000003</v>
      </c>
      <c r="D65" s="64"/>
      <c r="E65" s="61">
        <f t="shared" si="0"/>
        <v>34082.199999999546</v>
      </c>
      <c r="H65" s="63"/>
      <c r="J65" s="63"/>
      <c r="K65" s="64"/>
      <c r="L65" s="63"/>
    </row>
    <row r="66" spans="1:12">
      <c r="A66" s="55">
        <v>43281</v>
      </c>
      <c r="B66" s="44">
        <v>54</v>
      </c>
      <c r="C66" s="61">
        <v>4868.8900000000003</v>
      </c>
      <c r="D66" s="64"/>
      <c r="E66" s="61">
        <f t="shared" si="0"/>
        <v>29213.309999999547</v>
      </c>
      <c r="H66" s="63"/>
      <c r="J66" s="63"/>
      <c r="K66" s="64"/>
      <c r="L66" s="63"/>
    </row>
    <row r="67" spans="1:12">
      <c r="A67" s="55">
        <v>43373</v>
      </c>
      <c r="B67" s="44">
        <v>55</v>
      </c>
      <c r="C67" s="61">
        <v>4868.8900000000003</v>
      </c>
      <c r="D67" s="64"/>
      <c r="E67" s="61">
        <f t="shared" si="0"/>
        <v>24344.419999999547</v>
      </c>
      <c r="H67" s="63"/>
      <c r="J67" s="63"/>
      <c r="K67" s="64"/>
      <c r="L67" s="63"/>
    </row>
    <row r="68" spans="1:12">
      <c r="A68" s="55">
        <v>43465</v>
      </c>
      <c r="B68" s="44">
        <v>56</v>
      </c>
      <c r="C68" s="61">
        <v>4868.8900000000003</v>
      </c>
      <c r="D68" s="64"/>
      <c r="E68" s="61">
        <f t="shared" si="0"/>
        <v>19475.529999999548</v>
      </c>
      <c r="F68" s="44">
        <v>2018</v>
      </c>
      <c r="G68" s="71">
        <f>SUM(C65:C68)</f>
        <v>19475.560000000001</v>
      </c>
      <c r="H68" s="63"/>
      <c r="J68" s="63"/>
      <c r="K68" s="64"/>
      <c r="L68" s="63"/>
    </row>
    <row r="69" spans="1:12">
      <c r="A69" s="55">
        <v>43555</v>
      </c>
      <c r="B69" s="44">
        <v>57</v>
      </c>
      <c r="C69" s="61">
        <v>4868.8900000000003</v>
      </c>
      <c r="D69" s="64"/>
      <c r="E69" s="61">
        <f t="shared" si="0"/>
        <v>14606.639999999548</v>
      </c>
      <c r="H69" s="63"/>
      <c r="J69" s="63"/>
      <c r="K69" s="64"/>
      <c r="L69" s="63"/>
    </row>
    <row r="70" spans="1:12">
      <c r="A70" s="55">
        <v>43646</v>
      </c>
      <c r="B70" s="44">
        <v>58</v>
      </c>
      <c r="C70" s="61">
        <v>4868.8900000000003</v>
      </c>
      <c r="D70" s="64"/>
      <c r="E70" s="61">
        <f t="shared" si="0"/>
        <v>9737.7499999995489</v>
      </c>
      <c r="H70" s="63"/>
      <c r="J70" s="63"/>
      <c r="K70" s="64"/>
      <c r="L70" s="63"/>
    </row>
    <row r="71" spans="1:12">
      <c r="A71" s="55">
        <v>43738</v>
      </c>
      <c r="B71" s="44">
        <v>59</v>
      </c>
      <c r="C71" s="61">
        <v>4868.8900000000003</v>
      </c>
      <c r="D71" s="64"/>
      <c r="E71" s="61">
        <f t="shared" si="0"/>
        <v>4868.8599999995486</v>
      </c>
      <c r="H71" s="63"/>
      <c r="J71" s="63"/>
      <c r="K71" s="64"/>
      <c r="L71" s="63"/>
    </row>
    <row r="72" spans="1:12">
      <c r="A72" s="55">
        <v>43830</v>
      </c>
      <c r="B72" s="44">
        <v>60</v>
      </c>
      <c r="C72" s="72">
        <f>4868.89-0.03</f>
        <v>4868.8600000000006</v>
      </c>
      <c r="D72" s="64"/>
      <c r="E72" s="61">
        <f t="shared" si="0"/>
        <v>-4.5201886678114533E-10</v>
      </c>
      <c r="F72" s="44">
        <v>2019</v>
      </c>
      <c r="G72" s="71">
        <f>SUM(C69:C72)</f>
        <v>19475.530000000002</v>
      </c>
      <c r="H72" s="63"/>
      <c r="J72" s="63"/>
      <c r="K72" s="64"/>
      <c r="L72" s="63"/>
    </row>
    <row r="73" spans="1:12" ht="13.5" thickBot="1">
      <c r="C73" s="73">
        <f>SUM(C13:C72)</f>
        <v>292133.3700000004</v>
      </c>
      <c r="D73" s="64"/>
      <c r="E73" s="61"/>
      <c r="G73" s="73">
        <f>SUM(G13:G72)</f>
        <v>292133.37000000005</v>
      </c>
      <c r="H73" s="63"/>
      <c r="I73" s="49"/>
      <c r="J73" s="63"/>
      <c r="K73" s="74"/>
      <c r="L73" s="63"/>
    </row>
    <row r="74" spans="1:12" ht="13.5" thickTop="1">
      <c r="D74" s="74"/>
      <c r="E74" s="61"/>
    </row>
    <row r="75" spans="1:12">
      <c r="E75" s="71"/>
    </row>
    <row r="76" spans="1:12" ht="15">
      <c r="A76" t="s">
        <v>468</v>
      </c>
      <c r="B76" s="55">
        <v>38353</v>
      </c>
      <c r="E76" s="71"/>
    </row>
    <row r="77" spans="1:12" ht="15">
      <c r="A77" t="s">
        <v>467</v>
      </c>
      <c r="B77" s="136">
        <v>292133.37</v>
      </c>
      <c r="E77" s="71"/>
    </row>
    <row r="78" spans="1:12">
      <c r="E78" s="71"/>
    </row>
    <row r="79" spans="1:12">
      <c r="E79" s="71"/>
    </row>
    <row r="80" spans="1:12" ht="15">
      <c r="A80" s="77" t="s">
        <v>505</v>
      </c>
      <c r="B80" s="44" t="s">
        <v>503</v>
      </c>
      <c r="E80" s="71"/>
    </row>
    <row r="81" spans="5:5">
      <c r="E81" s="71"/>
    </row>
    <row r="82" spans="5:5">
      <c r="E82" s="71"/>
    </row>
    <row r="83" spans="5:5">
      <c r="E83" s="71"/>
    </row>
    <row r="84" spans="5:5">
      <c r="E84" s="71"/>
    </row>
    <row r="85" spans="5:5">
      <c r="E85" s="71"/>
    </row>
    <row r="86" spans="5:5">
      <c r="E86" s="71"/>
    </row>
    <row r="87" spans="5:5">
      <c r="E87" s="71"/>
    </row>
    <row r="88" spans="5:5">
      <c r="E88" s="71"/>
    </row>
    <row r="89" spans="5:5">
      <c r="E89" s="71"/>
    </row>
    <row r="90" spans="5:5">
      <c r="E90" s="71"/>
    </row>
    <row r="91" spans="5:5">
      <c r="E91" s="71"/>
    </row>
    <row r="92" spans="5:5">
      <c r="E92" s="71"/>
    </row>
    <row r="93" spans="5:5">
      <c r="E93" s="71"/>
    </row>
    <row r="94" spans="5:5">
      <c r="E94" s="71"/>
    </row>
    <row r="95" spans="5:5">
      <c r="E95" s="71"/>
    </row>
    <row r="96" spans="5:5">
      <c r="E96" s="71"/>
    </row>
    <row r="97" spans="5:5">
      <c r="E97" s="71"/>
    </row>
    <row r="98" spans="5:5">
      <c r="E98" s="71"/>
    </row>
    <row r="99" spans="5:5">
      <c r="E99" s="71"/>
    </row>
    <row r="100" spans="5:5">
      <c r="E100" s="71"/>
    </row>
    <row r="101" spans="5:5">
      <c r="E101" s="71"/>
    </row>
    <row r="102" spans="5:5">
      <c r="E102" s="71"/>
    </row>
    <row r="103" spans="5:5">
      <c r="E103" s="71"/>
    </row>
    <row r="104" spans="5:5">
      <c r="E104" s="71"/>
    </row>
    <row r="105" spans="5:5">
      <c r="E105" s="71"/>
    </row>
    <row r="106" spans="5:5">
      <c r="E106" s="71"/>
    </row>
    <row r="107" spans="5:5">
      <c r="E107" s="71"/>
    </row>
    <row r="108" spans="5:5">
      <c r="E108" s="71"/>
    </row>
    <row r="109" spans="5:5">
      <c r="E109" s="71"/>
    </row>
    <row r="110" spans="5:5">
      <c r="E110" s="71"/>
    </row>
    <row r="111" spans="5:5">
      <c r="E111" s="71"/>
    </row>
    <row r="112" spans="5:5">
      <c r="E112" s="71"/>
    </row>
    <row r="113" spans="5:5">
      <c r="E113" s="71"/>
    </row>
    <row r="114" spans="5:5">
      <c r="E114" s="71"/>
    </row>
    <row r="115" spans="5:5">
      <c r="E115" s="71"/>
    </row>
    <row r="116" spans="5:5">
      <c r="E116" s="71"/>
    </row>
    <row r="117" spans="5:5">
      <c r="E117" s="71"/>
    </row>
    <row r="118" spans="5:5">
      <c r="E118" s="71"/>
    </row>
    <row r="119" spans="5:5">
      <c r="E119" s="71"/>
    </row>
    <row r="120" spans="5:5">
      <c r="E120" s="71"/>
    </row>
    <row r="121" spans="5:5">
      <c r="E121" s="71"/>
    </row>
    <row r="122" spans="5:5">
      <c r="E122" s="71"/>
    </row>
    <row r="123" spans="5:5">
      <c r="E123" s="71"/>
    </row>
    <row r="124" spans="5:5">
      <c r="E124" s="71"/>
    </row>
    <row r="125" spans="5:5">
      <c r="E125" s="71"/>
    </row>
    <row r="126" spans="5:5">
      <c r="E126" s="71"/>
    </row>
    <row r="127" spans="5:5">
      <c r="E127" s="71"/>
    </row>
    <row r="128" spans="5:5">
      <c r="E128" s="71"/>
    </row>
    <row r="129" spans="5:5">
      <c r="E129" s="71"/>
    </row>
    <row r="130" spans="5:5">
      <c r="E130" s="71"/>
    </row>
    <row r="131" spans="5:5">
      <c r="E131" s="71"/>
    </row>
    <row r="132" spans="5:5">
      <c r="E132" s="71"/>
    </row>
    <row r="133" spans="5:5">
      <c r="E133" s="71"/>
    </row>
    <row r="134" spans="5:5">
      <c r="E134" s="71"/>
    </row>
    <row r="135" spans="5:5">
      <c r="E135" s="71"/>
    </row>
    <row r="136" spans="5:5">
      <c r="E136" s="71"/>
    </row>
    <row r="137" spans="5:5">
      <c r="E137" s="71"/>
    </row>
    <row r="138" spans="5:5">
      <c r="E138" s="71"/>
    </row>
    <row r="139" spans="5:5">
      <c r="E139" s="71"/>
    </row>
    <row r="140" spans="5:5">
      <c r="E140" s="71"/>
    </row>
    <row r="141" spans="5:5">
      <c r="E141" s="71"/>
    </row>
    <row r="142" spans="5:5">
      <c r="E142" s="71"/>
    </row>
    <row r="143" spans="5:5">
      <c r="E143" s="71"/>
    </row>
    <row r="144" spans="5:5">
      <c r="E144" s="71"/>
    </row>
    <row r="145" spans="5:5">
      <c r="E145" s="71"/>
    </row>
    <row r="146" spans="5:5">
      <c r="E146" s="71"/>
    </row>
    <row r="147" spans="5:5">
      <c r="E147" s="71"/>
    </row>
    <row r="148" spans="5:5">
      <c r="E148" s="71"/>
    </row>
    <row r="149" spans="5:5">
      <c r="E149" s="71"/>
    </row>
    <row r="150" spans="5:5">
      <c r="E150" s="71"/>
    </row>
    <row r="151" spans="5:5">
      <c r="E151" s="71"/>
    </row>
    <row r="152" spans="5:5">
      <c r="E152" s="71"/>
    </row>
    <row r="153" spans="5:5">
      <c r="E153" s="71"/>
    </row>
    <row r="154" spans="5:5">
      <c r="E154" s="71"/>
    </row>
    <row r="155" spans="5:5">
      <c r="E155" s="71"/>
    </row>
    <row r="156" spans="5:5">
      <c r="E156" s="71"/>
    </row>
    <row r="157" spans="5:5">
      <c r="E157" s="71"/>
    </row>
    <row r="158" spans="5:5">
      <c r="E158" s="71"/>
    </row>
    <row r="159" spans="5:5">
      <c r="E159" s="71"/>
    </row>
    <row r="160" spans="5:5">
      <c r="E160" s="71"/>
    </row>
    <row r="161" spans="5:5">
      <c r="E161" s="71"/>
    </row>
    <row r="162" spans="5:5">
      <c r="E162" s="71"/>
    </row>
    <row r="163" spans="5:5">
      <c r="E163" s="71"/>
    </row>
    <row r="164" spans="5:5">
      <c r="E164" s="71"/>
    </row>
    <row r="165" spans="5:5">
      <c r="E165" s="71"/>
    </row>
    <row r="166" spans="5:5">
      <c r="E166" s="71"/>
    </row>
    <row r="167" spans="5:5">
      <c r="E167" s="71"/>
    </row>
    <row r="168" spans="5:5">
      <c r="E168" s="71"/>
    </row>
    <row r="169" spans="5:5">
      <c r="E169" s="71"/>
    </row>
    <row r="170" spans="5:5">
      <c r="E170" s="71"/>
    </row>
    <row r="171" spans="5:5">
      <c r="E171" s="71"/>
    </row>
    <row r="172" spans="5:5">
      <c r="E172" s="71"/>
    </row>
    <row r="173" spans="5:5">
      <c r="E173" s="71"/>
    </row>
    <row r="174" spans="5:5">
      <c r="E174" s="71"/>
    </row>
    <row r="175" spans="5:5">
      <c r="E175" s="71"/>
    </row>
    <row r="176" spans="5:5">
      <c r="E176" s="71"/>
    </row>
    <row r="177" spans="5:5">
      <c r="E177" s="71"/>
    </row>
    <row r="178" spans="5:5">
      <c r="E178" s="71"/>
    </row>
    <row r="179" spans="5:5">
      <c r="E179" s="71"/>
    </row>
    <row r="180" spans="5:5">
      <c r="E180" s="71"/>
    </row>
    <row r="181" spans="5:5">
      <c r="E181" s="71"/>
    </row>
    <row r="182" spans="5:5">
      <c r="E182" s="71"/>
    </row>
    <row r="183" spans="5:5">
      <c r="E183" s="71"/>
    </row>
    <row r="184" spans="5:5">
      <c r="E184" s="71"/>
    </row>
    <row r="185" spans="5:5">
      <c r="E185" s="71"/>
    </row>
    <row r="186" spans="5:5">
      <c r="E186" s="71"/>
    </row>
    <row r="187" spans="5:5">
      <c r="E187" s="71"/>
    </row>
    <row r="188" spans="5:5">
      <c r="E188" s="71"/>
    </row>
    <row r="189" spans="5:5">
      <c r="E189" s="71"/>
    </row>
    <row r="190" spans="5:5">
      <c r="E190" s="71"/>
    </row>
    <row r="191" spans="5:5">
      <c r="E191" s="71"/>
    </row>
    <row r="192" spans="5:5">
      <c r="E192" s="71"/>
    </row>
    <row r="193" spans="5:5">
      <c r="E193" s="71"/>
    </row>
    <row r="194" spans="5:5">
      <c r="E194" s="71"/>
    </row>
    <row r="195" spans="5:5">
      <c r="E195" s="71"/>
    </row>
    <row r="196" spans="5:5">
      <c r="E196" s="71"/>
    </row>
    <row r="197" spans="5:5">
      <c r="E197" s="71"/>
    </row>
    <row r="198" spans="5:5">
      <c r="E198" s="71"/>
    </row>
    <row r="199" spans="5:5">
      <c r="E199" s="71"/>
    </row>
    <row r="200" spans="5:5">
      <c r="E200" s="71"/>
    </row>
    <row r="201" spans="5:5">
      <c r="E201" s="71"/>
    </row>
    <row r="202" spans="5:5">
      <c r="E202" s="71"/>
    </row>
    <row r="203" spans="5:5">
      <c r="E203" s="71"/>
    </row>
    <row r="204" spans="5:5">
      <c r="E204" s="71"/>
    </row>
    <row r="205" spans="5:5">
      <c r="E205" s="71"/>
    </row>
    <row r="206" spans="5:5">
      <c r="E206" s="71"/>
    </row>
    <row r="207" spans="5:5">
      <c r="E207" s="71"/>
    </row>
    <row r="208" spans="5:5">
      <c r="E208" s="71"/>
    </row>
    <row r="209" spans="5:5">
      <c r="E209" s="71"/>
    </row>
    <row r="210" spans="5:5">
      <c r="E210" s="71"/>
    </row>
    <row r="211" spans="5:5">
      <c r="E211" s="71"/>
    </row>
    <row r="212" spans="5:5">
      <c r="E212" s="71"/>
    </row>
    <row r="213" spans="5:5">
      <c r="E213" s="71"/>
    </row>
    <row r="214" spans="5:5">
      <c r="E214" s="71"/>
    </row>
    <row r="215" spans="5:5">
      <c r="E215" s="71"/>
    </row>
    <row r="216" spans="5:5">
      <c r="E216" s="71"/>
    </row>
    <row r="217" spans="5:5">
      <c r="E217" s="71"/>
    </row>
    <row r="218" spans="5:5">
      <c r="E218" s="71"/>
    </row>
    <row r="219" spans="5:5">
      <c r="E219" s="71"/>
    </row>
    <row r="220" spans="5:5">
      <c r="E220" s="71"/>
    </row>
    <row r="221" spans="5:5">
      <c r="E221" s="71"/>
    </row>
    <row r="222" spans="5:5">
      <c r="E222" s="71"/>
    </row>
    <row r="223" spans="5:5">
      <c r="E223" s="71"/>
    </row>
    <row r="224" spans="5:5">
      <c r="E224" s="71"/>
    </row>
    <row r="225" spans="5:5">
      <c r="E225" s="71"/>
    </row>
    <row r="226" spans="5:5">
      <c r="E226" s="71"/>
    </row>
    <row r="227" spans="5:5">
      <c r="E227" s="71"/>
    </row>
    <row r="228" spans="5:5">
      <c r="E228" s="71"/>
    </row>
    <row r="229" spans="5:5">
      <c r="E229" s="71"/>
    </row>
    <row r="230" spans="5:5">
      <c r="E230" s="71"/>
    </row>
    <row r="231" spans="5:5">
      <c r="E231" s="71"/>
    </row>
    <row r="232" spans="5:5">
      <c r="E232" s="71"/>
    </row>
    <row r="233" spans="5:5">
      <c r="E233" s="71"/>
    </row>
    <row r="234" spans="5:5">
      <c r="E234" s="71"/>
    </row>
    <row r="235" spans="5:5">
      <c r="E235" s="71"/>
    </row>
    <row r="236" spans="5:5">
      <c r="E236" s="71"/>
    </row>
    <row r="237" spans="5:5">
      <c r="E237" s="71"/>
    </row>
    <row r="238" spans="5:5">
      <c r="E238" s="71"/>
    </row>
    <row r="239" spans="5:5">
      <c r="E239" s="71"/>
    </row>
    <row r="240" spans="5:5">
      <c r="E240" s="71"/>
    </row>
    <row r="241" spans="5:5">
      <c r="E241" s="71"/>
    </row>
    <row r="242" spans="5:5">
      <c r="E242" s="71"/>
    </row>
    <row r="243" spans="5:5">
      <c r="E243" s="71"/>
    </row>
    <row r="244" spans="5:5">
      <c r="E244" s="71"/>
    </row>
    <row r="245" spans="5:5">
      <c r="E245" s="71"/>
    </row>
    <row r="246" spans="5:5">
      <c r="E246" s="71"/>
    </row>
    <row r="247" spans="5:5">
      <c r="E247" s="71"/>
    </row>
    <row r="248" spans="5:5">
      <c r="E248" s="71"/>
    </row>
    <row r="249" spans="5:5">
      <c r="E249" s="71"/>
    </row>
    <row r="250" spans="5:5">
      <c r="E250" s="71"/>
    </row>
    <row r="251" spans="5:5">
      <c r="E251" s="71"/>
    </row>
    <row r="252" spans="5:5">
      <c r="E252" s="71"/>
    </row>
    <row r="253" spans="5:5">
      <c r="E253" s="71"/>
    </row>
    <row r="254" spans="5:5">
      <c r="E254" s="71"/>
    </row>
    <row r="255" spans="5:5">
      <c r="E255" s="71"/>
    </row>
    <row r="256" spans="5:5">
      <c r="E256" s="71"/>
    </row>
    <row r="257" spans="5:5">
      <c r="E257" s="71"/>
    </row>
    <row r="258" spans="5:5">
      <c r="E258" s="71"/>
    </row>
    <row r="259" spans="5:5">
      <c r="E259" s="71"/>
    </row>
    <row r="260" spans="5:5">
      <c r="E260" s="71"/>
    </row>
    <row r="261" spans="5:5">
      <c r="E261" s="71"/>
    </row>
    <row r="262" spans="5:5">
      <c r="E262" s="71"/>
    </row>
    <row r="263" spans="5:5">
      <c r="E263" s="71"/>
    </row>
    <row r="264" spans="5:5">
      <c r="E264" s="71"/>
    </row>
    <row r="265" spans="5:5">
      <c r="E265" s="71"/>
    </row>
    <row r="266" spans="5:5">
      <c r="E266" s="71"/>
    </row>
    <row r="267" spans="5:5">
      <c r="E267" s="71"/>
    </row>
    <row r="268" spans="5:5">
      <c r="E268" s="71"/>
    </row>
    <row r="269" spans="5:5">
      <c r="E269" s="71"/>
    </row>
    <row r="270" spans="5:5">
      <c r="E270" s="71"/>
    </row>
    <row r="271" spans="5:5">
      <c r="E271" s="71"/>
    </row>
    <row r="272" spans="5:5">
      <c r="E272" s="71"/>
    </row>
    <row r="273" spans="5:5">
      <c r="E273" s="71"/>
    </row>
    <row r="274" spans="5:5">
      <c r="E274" s="71"/>
    </row>
    <row r="275" spans="5:5">
      <c r="E275" s="71"/>
    </row>
    <row r="276" spans="5:5">
      <c r="E276" s="71"/>
    </row>
    <row r="277" spans="5:5">
      <c r="E277" s="71"/>
    </row>
    <row r="278" spans="5:5">
      <c r="E278" s="71"/>
    </row>
    <row r="279" spans="5:5">
      <c r="E279" s="71"/>
    </row>
    <row r="280" spans="5:5">
      <c r="E280" s="71"/>
    </row>
    <row r="281" spans="5:5">
      <c r="E281" s="71"/>
    </row>
    <row r="282" spans="5:5">
      <c r="E282" s="71"/>
    </row>
    <row r="283" spans="5:5">
      <c r="E283" s="71"/>
    </row>
    <row r="284" spans="5:5">
      <c r="E284" s="71"/>
    </row>
    <row r="285" spans="5:5">
      <c r="E285" s="71"/>
    </row>
    <row r="286" spans="5:5">
      <c r="E286" s="71"/>
    </row>
    <row r="287" spans="5:5">
      <c r="E287" s="71"/>
    </row>
    <row r="288" spans="5:5">
      <c r="E288" s="71"/>
    </row>
    <row r="289" spans="5:5">
      <c r="E289" s="71"/>
    </row>
    <row r="290" spans="5:5">
      <c r="E290" s="71"/>
    </row>
    <row r="291" spans="5:5">
      <c r="E291" s="71"/>
    </row>
    <row r="292" spans="5:5">
      <c r="E292" s="71"/>
    </row>
    <row r="293" spans="5:5">
      <c r="E293" s="71"/>
    </row>
    <row r="294" spans="5:5">
      <c r="E294" s="71"/>
    </row>
    <row r="295" spans="5:5">
      <c r="E295" s="71"/>
    </row>
    <row r="296" spans="5:5">
      <c r="E296" s="71"/>
    </row>
    <row r="297" spans="5:5">
      <c r="E297" s="71"/>
    </row>
    <row r="298" spans="5:5">
      <c r="E298" s="71"/>
    </row>
    <row r="299" spans="5:5">
      <c r="E299" s="71"/>
    </row>
    <row r="300" spans="5:5">
      <c r="E300" s="71"/>
    </row>
    <row r="301" spans="5:5">
      <c r="E301" s="71"/>
    </row>
    <row r="302" spans="5:5">
      <c r="E302" s="71"/>
    </row>
    <row r="303" spans="5:5">
      <c r="E303" s="71"/>
    </row>
    <row r="304" spans="5:5">
      <c r="E304" s="71"/>
    </row>
    <row r="305" spans="5:5">
      <c r="E305" s="71"/>
    </row>
    <row r="306" spans="5:5">
      <c r="E306" s="71"/>
    </row>
    <row r="307" spans="5:5">
      <c r="E307" s="71"/>
    </row>
    <row r="308" spans="5:5">
      <c r="E308" s="71"/>
    </row>
    <row r="309" spans="5:5">
      <c r="E309" s="71"/>
    </row>
    <row r="310" spans="5:5">
      <c r="E310" s="71"/>
    </row>
    <row r="311" spans="5:5">
      <c r="E311" s="71"/>
    </row>
    <row r="312" spans="5:5">
      <c r="E312" s="71"/>
    </row>
    <row r="313" spans="5:5">
      <c r="E313" s="71"/>
    </row>
    <row r="314" spans="5:5">
      <c r="E314" s="71"/>
    </row>
    <row r="315" spans="5:5">
      <c r="E315" s="71"/>
    </row>
    <row r="316" spans="5:5">
      <c r="E316" s="71"/>
    </row>
    <row r="317" spans="5:5">
      <c r="E317" s="71"/>
    </row>
    <row r="318" spans="5:5">
      <c r="E318" s="71"/>
    </row>
    <row r="319" spans="5:5">
      <c r="E319" s="71"/>
    </row>
    <row r="320" spans="5:5">
      <c r="E320" s="71"/>
    </row>
    <row r="321" spans="5:5">
      <c r="E321" s="71"/>
    </row>
    <row r="322" spans="5:5">
      <c r="E322" s="71"/>
    </row>
    <row r="323" spans="5:5">
      <c r="E323" s="71"/>
    </row>
    <row r="324" spans="5:5">
      <c r="E324" s="71"/>
    </row>
    <row r="325" spans="5:5">
      <c r="E325" s="71"/>
    </row>
    <row r="326" spans="5:5">
      <c r="E326" s="71"/>
    </row>
    <row r="327" spans="5:5">
      <c r="E327" s="71"/>
    </row>
    <row r="328" spans="5:5">
      <c r="E328" s="71"/>
    </row>
    <row r="329" spans="5:5">
      <c r="E329" s="71"/>
    </row>
    <row r="330" spans="5:5">
      <c r="E330" s="71"/>
    </row>
    <row r="331" spans="5:5">
      <c r="E331" s="71"/>
    </row>
    <row r="332" spans="5:5">
      <c r="E332" s="71"/>
    </row>
    <row r="333" spans="5:5">
      <c r="E333" s="71"/>
    </row>
    <row r="334" spans="5:5">
      <c r="E334" s="71"/>
    </row>
    <row r="335" spans="5:5">
      <c r="E335" s="71"/>
    </row>
    <row r="336" spans="5:5">
      <c r="E336" s="71"/>
    </row>
    <row r="337" spans="5:5">
      <c r="E337" s="71"/>
    </row>
    <row r="338" spans="5:5">
      <c r="E338" s="71"/>
    </row>
    <row r="339" spans="5:5">
      <c r="E339" s="71"/>
    </row>
    <row r="340" spans="5:5">
      <c r="E340" s="71"/>
    </row>
    <row r="341" spans="5:5">
      <c r="E341" s="71"/>
    </row>
    <row r="342" spans="5:5">
      <c r="E342" s="71"/>
    </row>
    <row r="343" spans="5:5">
      <c r="E343" s="71"/>
    </row>
    <row r="344" spans="5:5">
      <c r="E344" s="71"/>
    </row>
    <row r="345" spans="5:5">
      <c r="E345" s="71"/>
    </row>
    <row r="346" spans="5:5">
      <c r="E346" s="71"/>
    </row>
    <row r="347" spans="5:5">
      <c r="E347" s="71"/>
    </row>
    <row r="348" spans="5:5">
      <c r="E348" s="71"/>
    </row>
    <row r="349" spans="5:5">
      <c r="E349" s="71"/>
    </row>
    <row r="350" spans="5:5">
      <c r="E350" s="71"/>
    </row>
    <row r="351" spans="5:5">
      <c r="E351" s="71"/>
    </row>
    <row r="352" spans="5:5">
      <c r="E352" s="71"/>
    </row>
    <row r="353" spans="5:5">
      <c r="E353" s="71"/>
    </row>
    <row r="354" spans="5:5">
      <c r="E354" s="71"/>
    </row>
    <row r="355" spans="5:5">
      <c r="E355" s="71"/>
    </row>
    <row r="356" spans="5:5">
      <c r="E356" s="71"/>
    </row>
    <row r="357" spans="5:5">
      <c r="E357" s="71"/>
    </row>
    <row r="358" spans="5:5">
      <c r="E358" s="71"/>
    </row>
    <row r="359" spans="5:5">
      <c r="E359" s="71"/>
    </row>
    <row r="360" spans="5:5">
      <c r="E360" s="71"/>
    </row>
    <row r="361" spans="5:5">
      <c r="E361" s="71"/>
    </row>
    <row r="362" spans="5:5">
      <c r="E362" s="71"/>
    </row>
    <row r="363" spans="5:5">
      <c r="E363" s="71"/>
    </row>
    <row r="364" spans="5:5">
      <c r="E364" s="71"/>
    </row>
    <row r="365" spans="5:5">
      <c r="E365" s="71"/>
    </row>
    <row r="366" spans="5:5">
      <c r="E366" s="71"/>
    </row>
    <row r="367" spans="5:5">
      <c r="E367" s="71"/>
    </row>
    <row r="368" spans="5:5">
      <c r="E368" s="71"/>
    </row>
    <row r="369" spans="5:5">
      <c r="E369" s="71"/>
    </row>
    <row r="370" spans="5:5">
      <c r="E370" s="71"/>
    </row>
    <row r="371" spans="5:5">
      <c r="E371" s="71"/>
    </row>
    <row r="372" spans="5:5">
      <c r="E372" s="71"/>
    </row>
    <row r="373" spans="5:5">
      <c r="E373" s="71"/>
    </row>
    <row r="374" spans="5:5">
      <c r="E374" s="71"/>
    </row>
    <row r="375" spans="5:5">
      <c r="E375" s="71"/>
    </row>
    <row r="376" spans="5:5">
      <c r="E376" s="71"/>
    </row>
    <row r="377" spans="5:5">
      <c r="E377" s="71"/>
    </row>
    <row r="378" spans="5:5">
      <c r="E378" s="71"/>
    </row>
    <row r="379" spans="5:5">
      <c r="E379" s="71"/>
    </row>
    <row r="380" spans="5:5">
      <c r="E380" s="71"/>
    </row>
    <row r="381" spans="5:5">
      <c r="E381" s="71"/>
    </row>
    <row r="382" spans="5:5">
      <c r="E382" s="71"/>
    </row>
    <row r="383" spans="5:5">
      <c r="E383" s="71"/>
    </row>
    <row r="384" spans="5:5">
      <c r="E384" s="71"/>
    </row>
    <row r="385" spans="5:5">
      <c r="E385" s="71"/>
    </row>
    <row r="386" spans="5:5">
      <c r="E386" s="71"/>
    </row>
    <row r="387" spans="5:5">
      <c r="E387" s="71"/>
    </row>
    <row r="388" spans="5:5">
      <c r="E388" s="71"/>
    </row>
    <row r="389" spans="5:5">
      <c r="E389" s="71"/>
    </row>
    <row r="390" spans="5:5">
      <c r="E390" s="71"/>
    </row>
    <row r="391" spans="5:5">
      <c r="E391" s="71"/>
    </row>
    <row r="392" spans="5:5">
      <c r="E392" s="71"/>
    </row>
    <row r="393" spans="5:5">
      <c r="E393" s="71"/>
    </row>
    <row r="394" spans="5:5">
      <c r="E394" s="71"/>
    </row>
    <row r="395" spans="5:5">
      <c r="E395" s="71"/>
    </row>
    <row r="396" spans="5:5">
      <c r="E396" s="71"/>
    </row>
    <row r="397" spans="5:5">
      <c r="E397" s="71"/>
    </row>
    <row r="398" spans="5:5">
      <c r="E398" s="71"/>
    </row>
    <row r="399" spans="5:5">
      <c r="E399" s="71"/>
    </row>
    <row r="400" spans="5:5">
      <c r="E400" s="71"/>
    </row>
    <row r="401" spans="5:5">
      <c r="E401" s="71"/>
    </row>
    <row r="402" spans="5:5">
      <c r="E402" s="71"/>
    </row>
    <row r="403" spans="5:5">
      <c r="E403" s="71"/>
    </row>
    <row r="404" spans="5:5">
      <c r="E404" s="71"/>
    </row>
    <row r="405" spans="5:5">
      <c r="E405" s="71"/>
    </row>
    <row r="406" spans="5:5">
      <c r="E406" s="71"/>
    </row>
    <row r="407" spans="5:5">
      <c r="E407" s="71"/>
    </row>
    <row r="408" spans="5:5">
      <c r="E408" s="71"/>
    </row>
    <row r="409" spans="5:5">
      <c r="E409" s="71"/>
    </row>
    <row r="410" spans="5:5">
      <c r="E410" s="71"/>
    </row>
    <row r="411" spans="5:5">
      <c r="E411" s="71"/>
    </row>
    <row r="412" spans="5:5">
      <c r="E412" s="71"/>
    </row>
    <row r="413" spans="5:5">
      <c r="E413" s="71"/>
    </row>
    <row r="414" spans="5:5">
      <c r="E414" s="71"/>
    </row>
    <row r="415" spans="5:5">
      <c r="E415" s="71"/>
    </row>
    <row r="416" spans="5:5">
      <c r="E416" s="71"/>
    </row>
    <row r="417" spans="5:5">
      <c r="E417" s="71"/>
    </row>
    <row r="418" spans="5:5">
      <c r="E418" s="71"/>
    </row>
    <row r="419" spans="5:5">
      <c r="E419" s="71"/>
    </row>
    <row r="420" spans="5:5">
      <c r="E420" s="71"/>
    </row>
    <row r="421" spans="5:5">
      <c r="E421" s="71"/>
    </row>
    <row r="422" spans="5:5">
      <c r="E422" s="71"/>
    </row>
    <row r="423" spans="5:5">
      <c r="E423" s="71"/>
    </row>
    <row r="424" spans="5:5">
      <c r="E424" s="71"/>
    </row>
    <row r="425" spans="5:5">
      <c r="E425" s="71"/>
    </row>
    <row r="426" spans="5:5">
      <c r="E426" s="71"/>
    </row>
    <row r="427" spans="5:5">
      <c r="E427" s="71"/>
    </row>
    <row r="428" spans="5:5">
      <c r="E428" s="71"/>
    </row>
    <row r="429" spans="5:5">
      <c r="E429" s="71"/>
    </row>
    <row r="430" spans="5:5">
      <c r="E430" s="71"/>
    </row>
    <row r="431" spans="5:5">
      <c r="E431" s="71"/>
    </row>
    <row r="432" spans="5:5">
      <c r="E432" s="71"/>
    </row>
    <row r="433" spans="5:5">
      <c r="E433" s="71"/>
    </row>
    <row r="434" spans="5:5">
      <c r="E434" s="71"/>
    </row>
    <row r="435" spans="5:5">
      <c r="E435" s="71"/>
    </row>
    <row r="436" spans="5:5">
      <c r="E436" s="71"/>
    </row>
    <row r="437" spans="5:5">
      <c r="E437" s="71"/>
    </row>
    <row r="438" spans="5:5">
      <c r="E438" s="71"/>
    </row>
    <row r="439" spans="5:5">
      <c r="E439" s="71"/>
    </row>
    <row r="440" spans="5:5">
      <c r="E440" s="71"/>
    </row>
    <row r="441" spans="5:5">
      <c r="E441" s="71"/>
    </row>
    <row r="442" spans="5:5">
      <c r="E442" s="71"/>
    </row>
    <row r="443" spans="5:5">
      <c r="E443" s="71"/>
    </row>
    <row r="444" spans="5:5">
      <c r="E444" s="71"/>
    </row>
    <row r="445" spans="5:5">
      <c r="E445" s="71"/>
    </row>
    <row r="446" spans="5:5">
      <c r="E446" s="71"/>
    </row>
    <row r="447" spans="5:5">
      <c r="E447" s="71"/>
    </row>
    <row r="448" spans="5:5">
      <c r="E448" s="71"/>
    </row>
    <row r="449" spans="5:5">
      <c r="E449" s="71"/>
    </row>
    <row r="450" spans="5:5">
      <c r="E450" s="71"/>
    </row>
    <row r="451" spans="5:5">
      <c r="E451" s="71"/>
    </row>
    <row r="452" spans="5:5">
      <c r="E452" s="71"/>
    </row>
    <row r="453" spans="5:5">
      <c r="E453" s="71"/>
    </row>
    <row r="454" spans="5:5">
      <c r="E454" s="71"/>
    </row>
    <row r="455" spans="5:5">
      <c r="E455" s="71"/>
    </row>
    <row r="456" spans="5:5">
      <c r="E456" s="71"/>
    </row>
    <row r="457" spans="5:5">
      <c r="E457" s="71"/>
    </row>
    <row r="458" spans="5:5">
      <c r="E458" s="71"/>
    </row>
    <row r="459" spans="5:5">
      <c r="E459" s="71"/>
    </row>
    <row r="460" spans="5:5">
      <c r="E460" s="71"/>
    </row>
    <row r="461" spans="5:5">
      <c r="E461" s="71"/>
    </row>
    <row r="462" spans="5:5">
      <c r="E462" s="71"/>
    </row>
    <row r="463" spans="5:5">
      <c r="E463" s="71"/>
    </row>
    <row r="464" spans="5:5">
      <c r="E464" s="71"/>
    </row>
    <row r="465" spans="5:5">
      <c r="E465" s="71"/>
    </row>
    <row r="466" spans="5:5">
      <c r="E466" s="71"/>
    </row>
    <row r="467" spans="5:5">
      <c r="E467" s="71"/>
    </row>
    <row r="468" spans="5:5">
      <c r="E468" s="71"/>
    </row>
    <row r="469" spans="5:5">
      <c r="E469" s="71"/>
    </row>
    <row r="470" spans="5:5">
      <c r="E470" s="71"/>
    </row>
    <row r="471" spans="5:5">
      <c r="E471" s="71"/>
    </row>
    <row r="472" spans="5:5">
      <c r="E472" s="71"/>
    </row>
    <row r="473" spans="5:5">
      <c r="E473" s="71"/>
    </row>
    <row r="474" spans="5:5">
      <c r="E474" s="71"/>
    </row>
    <row r="475" spans="5:5">
      <c r="E475" s="71"/>
    </row>
    <row r="476" spans="5:5">
      <c r="E476" s="71"/>
    </row>
    <row r="477" spans="5:5">
      <c r="E477" s="71"/>
    </row>
    <row r="478" spans="5:5">
      <c r="E478" s="71"/>
    </row>
    <row r="479" spans="5:5">
      <c r="E479" s="71"/>
    </row>
    <row r="480" spans="5:5">
      <c r="E480" s="71"/>
    </row>
    <row r="481" spans="5:5">
      <c r="E481" s="71"/>
    </row>
    <row r="482" spans="5:5">
      <c r="E482" s="71"/>
    </row>
    <row r="483" spans="5:5">
      <c r="E483" s="71"/>
    </row>
    <row r="484" spans="5:5">
      <c r="E484" s="71"/>
    </row>
    <row r="485" spans="5:5">
      <c r="E485" s="71"/>
    </row>
    <row r="486" spans="5:5">
      <c r="E486" s="71"/>
    </row>
    <row r="487" spans="5:5">
      <c r="E487" s="71"/>
    </row>
    <row r="488" spans="5:5">
      <c r="E488" s="71"/>
    </row>
    <row r="489" spans="5:5">
      <c r="E489" s="71"/>
    </row>
    <row r="490" spans="5:5">
      <c r="E490" s="71"/>
    </row>
    <row r="491" spans="5:5">
      <c r="E491" s="71"/>
    </row>
    <row r="492" spans="5:5">
      <c r="E492" s="71"/>
    </row>
    <row r="493" spans="5:5">
      <c r="E493" s="71"/>
    </row>
    <row r="494" spans="5:5">
      <c r="E494" s="71"/>
    </row>
    <row r="495" spans="5:5">
      <c r="E495" s="71"/>
    </row>
    <row r="496" spans="5:5">
      <c r="E496" s="71"/>
    </row>
    <row r="497" spans="5:5">
      <c r="E497" s="71"/>
    </row>
    <row r="498" spans="5:5">
      <c r="E498" s="71"/>
    </row>
    <row r="499" spans="5:5">
      <c r="E499" s="71"/>
    </row>
    <row r="500" spans="5:5">
      <c r="E500" s="71"/>
    </row>
    <row r="501" spans="5:5">
      <c r="E501" s="71"/>
    </row>
    <row r="502" spans="5:5">
      <c r="E502" s="71"/>
    </row>
    <row r="503" spans="5:5">
      <c r="E503" s="71"/>
    </row>
    <row r="504" spans="5:5">
      <c r="E504" s="71"/>
    </row>
    <row r="505" spans="5:5">
      <c r="E505" s="71"/>
    </row>
    <row r="506" spans="5:5">
      <c r="E506" s="71"/>
    </row>
    <row r="507" spans="5:5">
      <c r="E507" s="71"/>
    </row>
    <row r="508" spans="5:5">
      <c r="E508" s="71"/>
    </row>
    <row r="509" spans="5:5">
      <c r="E509" s="71"/>
    </row>
    <row r="510" spans="5:5">
      <c r="E510" s="71"/>
    </row>
    <row r="511" spans="5:5">
      <c r="E511" s="71"/>
    </row>
    <row r="512" spans="5:5">
      <c r="E512" s="71"/>
    </row>
    <row r="513" spans="5:5">
      <c r="E513" s="71"/>
    </row>
    <row r="514" spans="5:5">
      <c r="E514" s="71"/>
    </row>
    <row r="515" spans="5:5">
      <c r="E515" s="71"/>
    </row>
    <row r="516" spans="5:5">
      <c r="E516" s="71"/>
    </row>
    <row r="517" spans="5:5">
      <c r="E517" s="71"/>
    </row>
    <row r="518" spans="5:5">
      <c r="E518" s="71"/>
    </row>
    <row r="519" spans="5:5">
      <c r="E519" s="71"/>
    </row>
    <row r="520" spans="5:5">
      <c r="E520" s="71"/>
    </row>
    <row r="521" spans="5:5">
      <c r="E521" s="71"/>
    </row>
    <row r="522" spans="5:5">
      <c r="E522" s="71"/>
    </row>
    <row r="523" spans="5:5">
      <c r="E523" s="71"/>
    </row>
    <row r="524" spans="5:5">
      <c r="E524" s="71"/>
    </row>
    <row r="525" spans="5:5">
      <c r="E525" s="71"/>
    </row>
    <row r="526" spans="5:5">
      <c r="E526" s="71"/>
    </row>
    <row r="527" spans="5:5">
      <c r="E527" s="71"/>
    </row>
    <row r="528" spans="5:5">
      <c r="E528" s="71"/>
    </row>
    <row r="529" spans="5:5">
      <c r="E529" s="71"/>
    </row>
    <row r="530" spans="5:5">
      <c r="E530" s="71"/>
    </row>
    <row r="531" spans="5:5">
      <c r="E531" s="71"/>
    </row>
    <row r="532" spans="5:5">
      <c r="E532" s="71"/>
    </row>
    <row r="533" spans="5:5">
      <c r="E533" s="71"/>
    </row>
    <row r="534" spans="5:5">
      <c r="E534" s="71"/>
    </row>
    <row r="535" spans="5:5">
      <c r="E535" s="71"/>
    </row>
    <row r="536" spans="5:5">
      <c r="E536" s="71"/>
    </row>
    <row r="537" spans="5:5">
      <c r="E537" s="71"/>
    </row>
    <row r="538" spans="5:5">
      <c r="E538" s="71"/>
    </row>
    <row r="539" spans="5:5">
      <c r="E539" s="71"/>
    </row>
    <row r="540" spans="5:5">
      <c r="E540" s="71"/>
    </row>
    <row r="541" spans="5:5">
      <c r="E541" s="71"/>
    </row>
    <row r="542" spans="5:5">
      <c r="E542" s="71"/>
    </row>
    <row r="543" spans="5:5">
      <c r="E543" s="71"/>
    </row>
    <row r="544" spans="5:5">
      <c r="E544" s="71"/>
    </row>
    <row r="545" spans="5:5">
      <c r="E545" s="71"/>
    </row>
    <row r="546" spans="5:5">
      <c r="E546" s="71"/>
    </row>
    <row r="547" spans="5:5">
      <c r="E547" s="71"/>
    </row>
    <row r="548" spans="5:5">
      <c r="E548" s="71"/>
    </row>
    <row r="549" spans="5:5">
      <c r="E549" s="71"/>
    </row>
    <row r="550" spans="5:5">
      <c r="E550" s="71"/>
    </row>
    <row r="551" spans="5:5">
      <c r="E551" s="71"/>
    </row>
    <row r="552" spans="5:5">
      <c r="E552" s="71"/>
    </row>
    <row r="553" spans="5:5">
      <c r="E553" s="71"/>
    </row>
    <row r="554" spans="5:5">
      <c r="E554" s="71"/>
    </row>
    <row r="555" spans="5:5">
      <c r="E555" s="71"/>
    </row>
    <row r="556" spans="5:5">
      <c r="E556" s="71"/>
    </row>
    <row r="557" spans="5:5">
      <c r="E557" s="71"/>
    </row>
    <row r="558" spans="5:5">
      <c r="E558" s="71"/>
    </row>
    <row r="559" spans="5:5">
      <c r="E559" s="71"/>
    </row>
    <row r="560" spans="5:5">
      <c r="E560" s="71"/>
    </row>
    <row r="561" spans="5:5">
      <c r="E561" s="71"/>
    </row>
    <row r="562" spans="5:5">
      <c r="E562" s="71"/>
    </row>
    <row r="563" spans="5:5">
      <c r="E563" s="71"/>
    </row>
    <row r="564" spans="5:5">
      <c r="E564" s="71"/>
    </row>
    <row r="565" spans="5:5">
      <c r="E565" s="71"/>
    </row>
    <row r="566" spans="5:5">
      <c r="E566" s="71"/>
    </row>
    <row r="567" spans="5:5">
      <c r="E567" s="71"/>
    </row>
    <row r="568" spans="5:5">
      <c r="E568" s="71"/>
    </row>
    <row r="569" spans="5:5">
      <c r="E569" s="71"/>
    </row>
    <row r="570" spans="5:5">
      <c r="E570" s="71"/>
    </row>
    <row r="571" spans="5:5">
      <c r="E571" s="71"/>
    </row>
    <row r="572" spans="5:5">
      <c r="E572" s="71"/>
    </row>
    <row r="573" spans="5:5">
      <c r="E573" s="71"/>
    </row>
    <row r="574" spans="5:5">
      <c r="E574" s="71"/>
    </row>
    <row r="575" spans="5:5">
      <c r="E575" s="71"/>
    </row>
    <row r="576" spans="5:5">
      <c r="E576" s="71"/>
    </row>
    <row r="577" spans="5:5">
      <c r="E577" s="71"/>
    </row>
    <row r="578" spans="5:5">
      <c r="E578" s="71"/>
    </row>
    <row r="579" spans="5:5">
      <c r="E579" s="71"/>
    </row>
    <row r="580" spans="5:5">
      <c r="E580" s="71"/>
    </row>
    <row r="581" spans="5:5">
      <c r="E581" s="71"/>
    </row>
    <row r="582" spans="5:5">
      <c r="E582" s="71"/>
    </row>
    <row r="583" spans="5:5">
      <c r="E583" s="71"/>
    </row>
    <row r="584" spans="5:5">
      <c r="E584" s="71"/>
    </row>
    <row r="585" spans="5:5">
      <c r="E585" s="71"/>
    </row>
    <row r="586" spans="5:5">
      <c r="E586" s="71"/>
    </row>
    <row r="587" spans="5:5">
      <c r="E587" s="71"/>
    </row>
    <row r="588" spans="5:5">
      <c r="E588" s="71"/>
    </row>
    <row r="589" spans="5:5">
      <c r="E589" s="71"/>
    </row>
    <row r="590" spans="5:5">
      <c r="E590" s="71"/>
    </row>
    <row r="591" spans="5:5">
      <c r="E591" s="71"/>
    </row>
    <row r="592" spans="5:5">
      <c r="E592" s="71"/>
    </row>
    <row r="593" spans="5:5">
      <c r="E593" s="71"/>
    </row>
    <row r="594" spans="5:5">
      <c r="E594" s="71"/>
    </row>
    <row r="595" spans="5:5">
      <c r="E595" s="71"/>
    </row>
    <row r="596" spans="5:5">
      <c r="E596" s="71"/>
    </row>
    <row r="597" spans="5:5">
      <c r="E597" s="71"/>
    </row>
    <row r="598" spans="5:5">
      <c r="E598" s="71"/>
    </row>
    <row r="599" spans="5:5">
      <c r="E599" s="71"/>
    </row>
    <row r="600" spans="5:5">
      <c r="E600" s="71"/>
    </row>
    <row r="601" spans="5:5">
      <c r="E601" s="71"/>
    </row>
    <row r="602" spans="5:5">
      <c r="E602" s="71"/>
    </row>
    <row r="603" spans="5:5">
      <c r="E603" s="71"/>
    </row>
    <row r="604" spans="5:5">
      <c r="E604" s="71"/>
    </row>
    <row r="605" spans="5:5">
      <c r="E605" s="71"/>
    </row>
    <row r="606" spans="5:5">
      <c r="E606" s="71"/>
    </row>
    <row r="607" spans="5:5">
      <c r="E607" s="71"/>
    </row>
    <row r="608" spans="5:5">
      <c r="E608" s="71"/>
    </row>
    <row r="609" spans="5:5">
      <c r="E609" s="71"/>
    </row>
    <row r="610" spans="5:5">
      <c r="E610" s="71"/>
    </row>
    <row r="611" spans="5:5">
      <c r="E611" s="71"/>
    </row>
    <row r="612" spans="5:5">
      <c r="E612" s="71"/>
    </row>
    <row r="613" spans="5:5">
      <c r="E613" s="71"/>
    </row>
    <row r="614" spans="5:5">
      <c r="E614" s="71"/>
    </row>
    <row r="615" spans="5:5">
      <c r="E615" s="71"/>
    </row>
    <row r="616" spans="5:5">
      <c r="E616" s="71"/>
    </row>
    <row r="617" spans="5:5">
      <c r="E617" s="71"/>
    </row>
    <row r="618" spans="5:5">
      <c r="E618" s="71"/>
    </row>
    <row r="619" spans="5:5">
      <c r="E619" s="71"/>
    </row>
    <row r="620" spans="5:5">
      <c r="E620" s="71"/>
    </row>
    <row r="621" spans="5:5">
      <c r="E621" s="71"/>
    </row>
    <row r="622" spans="5:5">
      <c r="E622" s="71"/>
    </row>
    <row r="623" spans="5:5">
      <c r="E623" s="71"/>
    </row>
    <row r="624" spans="5:5">
      <c r="E624" s="71"/>
    </row>
    <row r="625" spans="5:5">
      <c r="E625" s="71"/>
    </row>
    <row r="626" spans="5:5">
      <c r="E626" s="71"/>
    </row>
    <row r="627" spans="5:5">
      <c r="E627" s="71"/>
    </row>
    <row r="628" spans="5:5">
      <c r="E628" s="71"/>
    </row>
    <row r="629" spans="5:5">
      <c r="E629" s="71"/>
    </row>
    <row r="630" spans="5:5">
      <c r="E630" s="71"/>
    </row>
    <row r="631" spans="5:5">
      <c r="E631" s="71"/>
    </row>
    <row r="632" spans="5:5">
      <c r="E632" s="71"/>
    </row>
    <row r="633" spans="5:5">
      <c r="E633" s="71"/>
    </row>
    <row r="634" spans="5:5">
      <c r="E634" s="71"/>
    </row>
    <row r="635" spans="5:5">
      <c r="E635" s="71"/>
    </row>
    <row r="636" spans="5:5">
      <c r="E636" s="71"/>
    </row>
    <row r="637" spans="5:5">
      <c r="E637" s="71"/>
    </row>
    <row r="638" spans="5:5">
      <c r="E638" s="71"/>
    </row>
    <row r="639" spans="5:5">
      <c r="E639" s="71"/>
    </row>
    <row r="640" spans="5:5">
      <c r="E640" s="71"/>
    </row>
    <row r="641" spans="5:5">
      <c r="E641" s="71"/>
    </row>
    <row r="642" spans="5:5">
      <c r="E642" s="71"/>
    </row>
    <row r="643" spans="5:5">
      <c r="E643" s="71"/>
    </row>
    <row r="644" spans="5:5">
      <c r="E644" s="71"/>
    </row>
    <row r="645" spans="5:5">
      <c r="E645" s="71"/>
    </row>
    <row r="646" spans="5:5">
      <c r="E646" s="71"/>
    </row>
    <row r="647" spans="5:5">
      <c r="E647" s="71"/>
    </row>
    <row r="648" spans="5:5">
      <c r="E648" s="71"/>
    </row>
    <row r="649" spans="5:5">
      <c r="E649" s="71"/>
    </row>
    <row r="650" spans="5:5">
      <c r="E650" s="71"/>
    </row>
    <row r="651" spans="5:5">
      <c r="E651" s="71"/>
    </row>
    <row r="652" spans="5:5">
      <c r="E652" s="71"/>
    </row>
    <row r="653" spans="5:5">
      <c r="E653" s="71"/>
    </row>
    <row r="654" spans="5:5">
      <c r="E654" s="71"/>
    </row>
    <row r="655" spans="5:5">
      <c r="E655" s="71"/>
    </row>
    <row r="656" spans="5:5">
      <c r="E656" s="71"/>
    </row>
    <row r="657" spans="5:5">
      <c r="E657" s="71"/>
    </row>
    <row r="658" spans="5:5">
      <c r="E658" s="71"/>
    </row>
    <row r="659" spans="5:5">
      <c r="E659" s="71"/>
    </row>
    <row r="660" spans="5:5">
      <c r="E660" s="71"/>
    </row>
    <row r="661" spans="5:5">
      <c r="E661" s="71"/>
    </row>
    <row r="662" spans="5:5">
      <c r="E662" s="71"/>
    </row>
    <row r="663" spans="5:5">
      <c r="E663" s="71"/>
    </row>
    <row r="664" spans="5:5">
      <c r="E664" s="71"/>
    </row>
    <row r="665" spans="5:5">
      <c r="E665" s="71"/>
    </row>
    <row r="666" spans="5:5">
      <c r="E666" s="71"/>
    </row>
    <row r="667" spans="5:5">
      <c r="E667" s="71"/>
    </row>
    <row r="668" spans="5:5">
      <c r="E668" s="71"/>
    </row>
    <row r="669" spans="5:5">
      <c r="E669" s="71"/>
    </row>
    <row r="670" spans="5:5">
      <c r="E670" s="71"/>
    </row>
    <row r="671" spans="5:5">
      <c r="E671" s="71"/>
    </row>
    <row r="672" spans="5:5">
      <c r="E672" s="71"/>
    </row>
    <row r="673" spans="5:5">
      <c r="E673" s="71"/>
    </row>
    <row r="674" spans="5:5">
      <c r="E674" s="71"/>
    </row>
    <row r="675" spans="5:5">
      <c r="E675" s="71"/>
    </row>
    <row r="676" spans="5:5">
      <c r="E676" s="71"/>
    </row>
    <row r="677" spans="5:5">
      <c r="E677" s="71"/>
    </row>
    <row r="678" spans="5:5">
      <c r="E678" s="71"/>
    </row>
    <row r="679" spans="5:5">
      <c r="E679" s="71"/>
    </row>
    <row r="680" spans="5:5">
      <c r="E680" s="71"/>
    </row>
    <row r="681" spans="5:5">
      <c r="E681" s="71"/>
    </row>
    <row r="682" spans="5:5">
      <c r="E682" s="71"/>
    </row>
    <row r="683" spans="5:5">
      <c r="E683" s="71"/>
    </row>
    <row r="684" spans="5:5">
      <c r="E684" s="71"/>
    </row>
    <row r="685" spans="5:5">
      <c r="E685" s="71"/>
    </row>
    <row r="686" spans="5:5">
      <c r="E686" s="71"/>
    </row>
    <row r="687" spans="5:5">
      <c r="E687" s="71"/>
    </row>
    <row r="688" spans="5:5">
      <c r="E688" s="71"/>
    </row>
    <row r="689" spans="5:5">
      <c r="E689" s="71"/>
    </row>
    <row r="690" spans="5:5">
      <c r="E690" s="71"/>
    </row>
    <row r="691" spans="5:5">
      <c r="E691" s="71"/>
    </row>
    <row r="692" spans="5:5">
      <c r="E692" s="71"/>
    </row>
    <row r="693" spans="5:5">
      <c r="E693" s="71"/>
    </row>
    <row r="694" spans="5:5">
      <c r="E694" s="71"/>
    </row>
    <row r="695" spans="5:5">
      <c r="E695" s="71"/>
    </row>
    <row r="696" spans="5:5">
      <c r="E696" s="71"/>
    </row>
    <row r="697" spans="5:5">
      <c r="E697" s="71"/>
    </row>
    <row r="698" spans="5:5">
      <c r="E698" s="71"/>
    </row>
    <row r="699" spans="5:5">
      <c r="E699" s="71"/>
    </row>
    <row r="700" spans="5:5">
      <c r="E700" s="71"/>
    </row>
    <row r="701" spans="5:5">
      <c r="E701" s="71"/>
    </row>
    <row r="702" spans="5:5">
      <c r="E702" s="71"/>
    </row>
    <row r="703" spans="5:5">
      <c r="E703" s="71"/>
    </row>
    <row r="704" spans="5:5">
      <c r="E704" s="71"/>
    </row>
    <row r="705" spans="5:5">
      <c r="E705" s="71"/>
    </row>
    <row r="706" spans="5:5">
      <c r="E706" s="71"/>
    </row>
    <row r="707" spans="5:5">
      <c r="E707" s="71"/>
    </row>
    <row r="708" spans="5:5">
      <c r="E708" s="71"/>
    </row>
    <row r="709" spans="5:5">
      <c r="E709" s="71"/>
    </row>
    <row r="710" spans="5:5">
      <c r="E710" s="71"/>
    </row>
    <row r="711" spans="5:5">
      <c r="E711" s="71"/>
    </row>
    <row r="712" spans="5:5">
      <c r="E712" s="71"/>
    </row>
    <row r="713" spans="5:5">
      <c r="E713" s="71"/>
    </row>
    <row r="714" spans="5:5">
      <c r="E714" s="71"/>
    </row>
    <row r="715" spans="5:5">
      <c r="E715" s="71"/>
    </row>
    <row r="716" spans="5:5">
      <c r="E716" s="71"/>
    </row>
    <row r="717" spans="5:5">
      <c r="E717" s="71"/>
    </row>
    <row r="718" spans="5:5">
      <c r="E718" s="71"/>
    </row>
    <row r="719" spans="5:5">
      <c r="E719" s="71"/>
    </row>
    <row r="720" spans="5:5">
      <c r="E720" s="71"/>
    </row>
    <row r="721" spans="5:5">
      <c r="E721" s="71"/>
    </row>
    <row r="722" spans="5:5">
      <c r="E722" s="71"/>
    </row>
    <row r="723" spans="5:5">
      <c r="E723" s="71"/>
    </row>
    <row r="724" spans="5:5">
      <c r="E724" s="71"/>
    </row>
    <row r="725" spans="5:5">
      <c r="E725" s="71"/>
    </row>
    <row r="726" spans="5:5">
      <c r="E726" s="71"/>
    </row>
    <row r="727" spans="5:5">
      <c r="E727" s="71"/>
    </row>
    <row r="728" spans="5:5">
      <c r="E728" s="71"/>
    </row>
    <row r="729" spans="5:5">
      <c r="E729" s="71"/>
    </row>
    <row r="730" spans="5:5">
      <c r="E730" s="71"/>
    </row>
    <row r="731" spans="5:5">
      <c r="E731" s="71"/>
    </row>
    <row r="732" spans="5:5">
      <c r="E732" s="71"/>
    </row>
    <row r="733" spans="5:5">
      <c r="E733" s="71"/>
    </row>
    <row r="734" spans="5:5">
      <c r="E734" s="71"/>
    </row>
    <row r="735" spans="5:5">
      <c r="E735" s="71"/>
    </row>
    <row r="736" spans="5:5">
      <c r="E736" s="71"/>
    </row>
    <row r="737" spans="5:5">
      <c r="E737" s="71"/>
    </row>
    <row r="738" spans="5:5">
      <c r="E738" s="71"/>
    </row>
    <row r="739" spans="5:5">
      <c r="E739" s="71"/>
    </row>
    <row r="740" spans="5:5">
      <c r="E740" s="71"/>
    </row>
    <row r="741" spans="5:5">
      <c r="E741" s="71"/>
    </row>
    <row r="742" spans="5:5">
      <c r="E742" s="71"/>
    </row>
    <row r="743" spans="5:5">
      <c r="E743" s="71"/>
    </row>
    <row r="744" spans="5:5">
      <c r="E744" s="71"/>
    </row>
    <row r="745" spans="5:5">
      <c r="E745" s="71"/>
    </row>
    <row r="746" spans="5:5">
      <c r="E746" s="71"/>
    </row>
    <row r="747" spans="5:5">
      <c r="E747" s="71"/>
    </row>
    <row r="748" spans="5:5">
      <c r="E748" s="71"/>
    </row>
    <row r="749" spans="5:5">
      <c r="E749" s="71"/>
    </row>
    <row r="750" spans="5:5">
      <c r="E750" s="71"/>
    </row>
    <row r="751" spans="5:5">
      <c r="E751" s="71"/>
    </row>
    <row r="752" spans="5:5">
      <c r="E752" s="71"/>
    </row>
    <row r="753" spans="5:5">
      <c r="E753" s="71"/>
    </row>
    <row r="754" spans="5:5">
      <c r="E754" s="71"/>
    </row>
    <row r="755" spans="5:5">
      <c r="E755" s="71"/>
    </row>
    <row r="756" spans="5:5">
      <c r="E756" s="71"/>
    </row>
    <row r="757" spans="5:5">
      <c r="E757" s="71"/>
    </row>
    <row r="758" spans="5:5">
      <c r="E758" s="71"/>
    </row>
    <row r="759" spans="5:5">
      <c r="E759" s="71"/>
    </row>
    <row r="760" spans="5:5">
      <c r="E760" s="71"/>
    </row>
    <row r="761" spans="5:5">
      <c r="E761" s="71"/>
    </row>
    <row r="762" spans="5:5">
      <c r="E762" s="71"/>
    </row>
    <row r="763" spans="5:5">
      <c r="E763" s="71"/>
    </row>
    <row r="764" spans="5:5">
      <c r="E764" s="71"/>
    </row>
    <row r="765" spans="5:5">
      <c r="E765" s="71"/>
    </row>
    <row r="766" spans="5:5">
      <c r="E766" s="71"/>
    </row>
    <row r="767" spans="5:5">
      <c r="E767" s="71"/>
    </row>
    <row r="768" spans="5:5">
      <c r="E768" s="71"/>
    </row>
    <row r="769" spans="5:5">
      <c r="E769" s="71"/>
    </row>
    <row r="770" spans="5:5">
      <c r="E770" s="71"/>
    </row>
    <row r="771" spans="5:5">
      <c r="E771" s="71"/>
    </row>
    <row r="772" spans="5:5">
      <c r="E772" s="71"/>
    </row>
    <row r="773" spans="5:5">
      <c r="E773" s="71"/>
    </row>
    <row r="774" spans="5:5">
      <c r="E774" s="71"/>
    </row>
    <row r="775" spans="5:5">
      <c r="E775" s="71"/>
    </row>
    <row r="776" spans="5:5">
      <c r="E776" s="71"/>
    </row>
    <row r="777" spans="5:5">
      <c r="E777" s="71"/>
    </row>
    <row r="778" spans="5:5">
      <c r="E778" s="71"/>
    </row>
    <row r="779" spans="5:5">
      <c r="E779" s="71"/>
    </row>
    <row r="780" spans="5:5">
      <c r="E780" s="71"/>
    </row>
    <row r="781" spans="5:5">
      <c r="E781" s="71"/>
    </row>
    <row r="782" spans="5:5">
      <c r="E782" s="71"/>
    </row>
    <row r="783" spans="5:5">
      <c r="E783" s="71"/>
    </row>
    <row r="784" spans="5:5">
      <c r="E784" s="71"/>
    </row>
    <row r="785" spans="5:5">
      <c r="E785" s="71"/>
    </row>
    <row r="786" spans="5:5">
      <c r="E786" s="71"/>
    </row>
    <row r="787" spans="5:5">
      <c r="E787" s="71"/>
    </row>
    <row r="788" spans="5:5">
      <c r="E788" s="71"/>
    </row>
    <row r="789" spans="5:5">
      <c r="E789" s="71"/>
    </row>
    <row r="790" spans="5:5">
      <c r="E790" s="71"/>
    </row>
    <row r="791" spans="5:5">
      <c r="E791" s="71"/>
    </row>
    <row r="792" spans="5:5">
      <c r="E792" s="71"/>
    </row>
    <row r="793" spans="5:5">
      <c r="E793" s="71"/>
    </row>
    <row r="794" spans="5:5">
      <c r="E794" s="71"/>
    </row>
    <row r="795" spans="5:5">
      <c r="E795" s="71"/>
    </row>
    <row r="796" spans="5:5">
      <c r="E796" s="71"/>
    </row>
    <row r="797" spans="5:5">
      <c r="E797" s="71"/>
    </row>
    <row r="798" spans="5:5">
      <c r="E798" s="71"/>
    </row>
    <row r="799" spans="5:5">
      <c r="E799" s="71"/>
    </row>
    <row r="800" spans="5:5">
      <c r="E800" s="71"/>
    </row>
    <row r="801" spans="5:5">
      <c r="E801" s="71"/>
    </row>
    <row r="802" spans="5:5">
      <c r="E802" s="71"/>
    </row>
    <row r="803" spans="5:5">
      <c r="E803" s="71"/>
    </row>
    <row r="804" spans="5:5">
      <c r="E804" s="71"/>
    </row>
    <row r="805" spans="5:5">
      <c r="E805" s="71"/>
    </row>
    <row r="806" spans="5:5">
      <c r="E806" s="71"/>
    </row>
    <row r="807" spans="5:5">
      <c r="E807" s="71"/>
    </row>
    <row r="808" spans="5:5">
      <c r="E808" s="71"/>
    </row>
    <row r="809" spans="5:5">
      <c r="E809" s="71"/>
    </row>
    <row r="810" spans="5:5">
      <c r="E810" s="71"/>
    </row>
    <row r="811" spans="5:5">
      <c r="E811" s="71"/>
    </row>
    <row r="812" spans="5:5">
      <c r="E812" s="71"/>
    </row>
    <row r="813" spans="5:5">
      <c r="E813" s="71"/>
    </row>
    <row r="814" spans="5:5">
      <c r="E814" s="71"/>
    </row>
    <row r="815" spans="5:5">
      <c r="E815" s="71"/>
    </row>
    <row r="816" spans="5:5">
      <c r="E816" s="71"/>
    </row>
    <row r="817" spans="5:5">
      <c r="E817" s="71"/>
    </row>
    <row r="818" spans="5:5">
      <c r="E818" s="71"/>
    </row>
    <row r="819" spans="5:5">
      <c r="E819" s="71"/>
    </row>
    <row r="820" spans="5:5">
      <c r="E820" s="71"/>
    </row>
    <row r="821" spans="5:5">
      <c r="E821" s="71"/>
    </row>
    <row r="822" spans="5:5">
      <c r="E822" s="71"/>
    </row>
    <row r="823" spans="5:5">
      <c r="E823" s="71"/>
    </row>
    <row r="824" spans="5:5">
      <c r="E824" s="71"/>
    </row>
    <row r="825" spans="5:5">
      <c r="E825" s="71"/>
    </row>
    <row r="826" spans="5:5">
      <c r="E826" s="71"/>
    </row>
    <row r="827" spans="5:5">
      <c r="E827" s="71"/>
    </row>
    <row r="828" spans="5:5">
      <c r="E828" s="71"/>
    </row>
    <row r="829" spans="5:5">
      <c r="E829" s="71"/>
    </row>
    <row r="830" spans="5:5">
      <c r="E830" s="71"/>
    </row>
    <row r="831" spans="5:5">
      <c r="E831" s="71"/>
    </row>
    <row r="832" spans="5:5">
      <c r="E832" s="71"/>
    </row>
    <row r="833" spans="5:5">
      <c r="E833" s="71"/>
    </row>
    <row r="834" spans="5:5">
      <c r="E834" s="71"/>
    </row>
    <row r="835" spans="5:5">
      <c r="E835" s="71"/>
    </row>
    <row r="836" spans="5:5">
      <c r="E836" s="71"/>
    </row>
    <row r="837" spans="5:5">
      <c r="E837" s="71"/>
    </row>
    <row r="838" spans="5:5">
      <c r="E838" s="71"/>
    </row>
    <row r="839" spans="5:5">
      <c r="E839" s="71"/>
    </row>
    <row r="840" spans="5:5">
      <c r="E840" s="71"/>
    </row>
    <row r="841" spans="5:5">
      <c r="E841" s="71"/>
    </row>
    <row r="842" spans="5:5">
      <c r="E842" s="71"/>
    </row>
    <row r="843" spans="5:5">
      <c r="E843" s="71"/>
    </row>
    <row r="844" spans="5:5">
      <c r="E844" s="71"/>
    </row>
    <row r="845" spans="5:5">
      <c r="E845" s="71"/>
    </row>
    <row r="846" spans="5:5">
      <c r="E846" s="71"/>
    </row>
    <row r="847" spans="5:5">
      <c r="E847" s="71"/>
    </row>
    <row r="848" spans="5:5">
      <c r="E848" s="71"/>
    </row>
    <row r="849" spans="5:5">
      <c r="E849" s="71"/>
    </row>
    <row r="850" spans="5:5">
      <c r="E850" s="71"/>
    </row>
    <row r="851" spans="5:5">
      <c r="E851" s="71"/>
    </row>
    <row r="852" spans="5:5">
      <c r="E852" s="71"/>
    </row>
    <row r="853" spans="5:5">
      <c r="E853" s="71"/>
    </row>
    <row r="854" spans="5:5">
      <c r="E854" s="71"/>
    </row>
    <row r="855" spans="5:5">
      <c r="E855" s="71"/>
    </row>
    <row r="856" spans="5:5">
      <c r="E856" s="71"/>
    </row>
    <row r="857" spans="5:5">
      <c r="E857" s="71"/>
    </row>
    <row r="858" spans="5:5">
      <c r="E858" s="71"/>
    </row>
    <row r="859" spans="5:5">
      <c r="E859" s="71"/>
    </row>
    <row r="860" spans="5:5">
      <c r="E860" s="71"/>
    </row>
    <row r="861" spans="5:5">
      <c r="E861" s="71"/>
    </row>
    <row r="862" spans="5:5">
      <c r="E862" s="71"/>
    </row>
    <row r="863" spans="5:5">
      <c r="E863" s="71"/>
    </row>
    <row r="864" spans="5:5">
      <c r="E864" s="71"/>
    </row>
    <row r="865" spans="5:5">
      <c r="E865" s="71"/>
    </row>
    <row r="866" spans="5:5">
      <c r="E866" s="71"/>
    </row>
    <row r="867" spans="5:5">
      <c r="E867" s="71"/>
    </row>
    <row r="868" spans="5:5">
      <c r="E868" s="71"/>
    </row>
    <row r="869" spans="5:5">
      <c r="E869" s="71"/>
    </row>
    <row r="870" spans="5:5">
      <c r="E870" s="71"/>
    </row>
    <row r="871" spans="5:5">
      <c r="E871" s="71"/>
    </row>
    <row r="872" spans="5:5">
      <c r="E872" s="71"/>
    </row>
    <row r="873" spans="5:5">
      <c r="E873" s="71"/>
    </row>
    <row r="874" spans="5:5">
      <c r="E874" s="71"/>
    </row>
    <row r="875" spans="5:5">
      <c r="E875" s="71"/>
    </row>
    <row r="876" spans="5:5">
      <c r="E876" s="71"/>
    </row>
    <row r="877" spans="5:5">
      <c r="E877" s="71"/>
    </row>
    <row r="878" spans="5:5">
      <c r="E878" s="71"/>
    </row>
    <row r="879" spans="5:5">
      <c r="E879" s="71"/>
    </row>
    <row r="880" spans="5:5">
      <c r="E880" s="71"/>
    </row>
    <row r="881" spans="5:5">
      <c r="E881" s="71"/>
    </row>
    <row r="882" spans="5:5">
      <c r="E882" s="71"/>
    </row>
    <row r="883" spans="5:5">
      <c r="E883" s="71"/>
    </row>
    <row r="884" spans="5:5">
      <c r="E884" s="71"/>
    </row>
    <row r="885" spans="5:5">
      <c r="E885" s="71"/>
    </row>
    <row r="886" spans="5:5">
      <c r="E886" s="71"/>
    </row>
    <row r="887" spans="5:5">
      <c r="E887" s="71"/>
    </row>
    <row r="888" spans="5:5">
      <c r="E888" s="71"/>
    </row>
    <row r="889" spans="5:5">
      <c r="E889" s="71"/>
    </row>
    <row r="890" spans="5:5">
      <c r="E890" s="71"/>
    </row>
    <row r="891" spans="5:5">
      <c r="E891" s="71"/>
    </row>
    <row r="892" spans="5:5">
      <c r="E892" s="71"/>
    </row>
    <row r="893" spans="5:5">
      <c r="E893" s="71"/>
    </row>
    <row r="894" spans="5:5">
      <c r="E894" s="71"/>
    </row>
    <row r="895" spans="5:5">
      <c r="E895" s="71"/>
    </row>
    <row r="896" spans="5:5">
      <c r="E896" s="71"/>
    </row>
    <row r="897" spans="5:5">
      <c r="E897" s="71"/>
    </row>
    <row r="898" spans="5:5">
      <c r="E898" s="71"/>
    </row>
    <row r="899" spans="5:5">
      <c r="E899" s="71"/>
    </row>
    <row r="900" spans="5:5">
      <c r="E900" s="71"/>
    </row>
    <row r="901" spans="5:5">
      <c r="E901" s="71"/>
    </row>
    <row r="902" spans="5:5">
      <c r="E902" s="71"/>
    </row>
    <row r="903" spans="5:5">
      <c r="E903" s="71"/>
    </row>
    <row r="904" spans="5:5">
      <c r="E904" s="71"/>
    </row>
    <row r="905" spans="5:5">
      <c r="E905" s="71"/>
    </row>
    <row r="906" spans="5:5">
      <c r="E906" s="71"/>
    </row>
    <row r="907" spans="5:5">
      <c r="E907" s="71"/>
    </row>
    <row r="908" spans="5:5">
      <c r="E908" s="71"/>
    </row>
    <row r="909" spans="5:5">
      <c r="E909" s="71"/>
    </row>
    <row r="910" spans="5:5">
      <c r="E910" s="71"/>
    </row>
    <row r="911" spans="5:5">
      <c r="E911" s="71"/>
    </row>
    <row r="912" spans="5:5">
      <c r="E912" s="71"/>
    </row>
    <row r="913" spans="5:5">
      <c r="E913" s="71"/>
    </row>
    <row r="914" spans="5:5">
      <c r="E914" s="71"/>
    </row>
    <row r="915" spans="5:5">
      <c r="E915" s="71"/>
    </row>
    <row r="916" spans="5:5">
      <c r="E916" s="71"/>
    </row>
    <row r="917" spans="5:5">
      <c r="E917" s="71"/>
    </row>
    <row r="918" spans="5:5">
      <c r="E918" s="71"/>
    </row>
    <row r="919" spans="5:5">
      <c r="E919" s="71"/>
    </row>
    <row r="920" spans="5:5">
      <c r="E920" s="71"/>
    </row>
    <row r="921" spans="5:5">
      <c r="E921" s="71"/>
    </row>
    <row r="922" spans="5:5">
      <c r="E922" s="71"/>
    </row>
    <row r="923" spans="5:5">
      <c r="E923" s="71"/>
    </row>
    <row r="924" spans="5:5">
      <c r="E924" s="71"/>
    </row>
    <row r="925" spans="5:5">
      <c r="E925" s="71"/>
    </row>
    <row r="926" spans="5:5">
      <c r="E926" s="71"/>
    </row>
    <row r="927" spans="5:5">
      <c r="E927" s="71"/>
    </row>
    <row r="928" spans="5:5">
      <c r="E928" s="71"/>
    </row>
    <row r="929" spans="5:5">
      <c r="E929" s="71"/>
    </row>
    <row r="930" spans="5:5">
      <c r="E930" s="71"/>
    </row>
    <row r="931" spans="5:5">
      <c r="E931" s="71"/>
    </row>
    <row r="932" spans="5:5">
      <c r="E932" s="71"/>
    </row>
    <row r="933" spans="5:5">
      <c r="E933" s="71"/>
    </row>
    <row r="934" spans="5:5">
      <c r="E934" s="71"/>
    </row>
    <row r="935" spans="5:5">
      <c r="E935" s="71"/>
    </row>
    <row r="936" spans="5:5">
      <c r="E936" s="71"/>
    </row>
    <row r="937" spans="5:5">
      <c r="E937" s="71"/>
    </row>
    <row r="938" spans="5:5">
      <c r="E938" s="71"/>
    </row>
    <row r="939" spans="5:5">
      <c r="E939" s="71"/>
    </row>
    <row r="940" spans="5:5">
      <c r="E940" s="71"/>
    </row>
    <row r="941" spans="5:5">
      <c r="E941" s="71"/>
    </row>
    <row r="942" spans="5:5">
      <c r="E942" s="71"/>
    </row>
    <row r="943" spans="5:5">
      <c r="E943" s="71"/>
    </row>
    <row r="944" spans="5:5">
      <c r="E944" s="71"/>
    </row>
    <row r="945" spans="5:5">
      <c r="E945" s="71"/>
    </row>
    <row r="946" spans="5:5">
      <c r="E946" s="71"/>
    </row>
    <row r="947" spans="5:5">
      <c r="E947" s="71"/>
    </row>
    <row r="948" spans="5:5">
      <c r="E948" s="71"/>
    </row>
    <row r="949" spans="5:5">
      <c r="E949" s="71"/>
    </row>
    <row r="950" spans="5:5">
      <c r="E950" s="71"/>
    </row>
    <row r="951" spans="5:5">
      <c r="E951" s="71"/>
    </row>
    <row r="952" spans="5:5">
      <c r="E952" s="71"/>
    </row>
    <row r="953" spans="5:5">
      <c r="E953" s="71"/>
    </row>
    <row r="954" spans="5:5">
      <c r="E954" s="71"/>
    </row>
    <row r="955" spans="5:5">
      <c r="E955" s="71"/>
    </row>
    <row r="956" spans="5:5">
      <c r="E956" s="71"/>
    </row>
    <row r="957" spans="5:5">
      <c r="E957" s="71"/>
    </row>
    <row r="958" spans="5:5">
      <c r="E958" s="71"/>
    </row>
    <row r="959" spans="5:5">
      <c r="E959" s="71"/>
    </row>
    <row r="960" spans="5:5">
      <c r="E960" s="71"/>
    </row>
    <row r="961" spans="5:5">
      <c r="E961" s="71"/>
    </row>
    <row r="962" spans="5:5">
      <c r="E962" s="71"/>
    </row>
    <row r="963" spans="5:5">
      <c r="E963" s="71"/>
    </row>
    <row r="964" spans="5:5">
      <c r="E964" s="71"/>
    </row>
    <row r="965" spans="5:5">
      <c r="E965" s="71"/>
    </row>
    <row r="966" spans="5:5">
      <c r="E966" s="71"/>
    </row>
    <row r="967" spans="5:5">
      <c r="E967" s="71"/>
    </row>
    <row r="968" spans="5:5">
      <c r="E968" s="71"/>
    </row>
    <row r="969" spans="5:5">
      <c r="E969" s="71"/>
    </row>
    <row r="970" spans="5:5">
      <c r="E970" s="71"/>
    </row>
    <row r="971" spans="5:5">
      <c r="E971" s="71"/>
    </row>
    <row r="972" spans="5:5">
      <c r="E972" s="71"/>
    </row>
    <row r="973" spans="5:5">
      <c r="E973" s="71"/>
    </row>
    <row r="974" spans="5:5">
      <c r="E974" s="71"/>
    </row>
    <row r="975" spans="5:5">
      <c r="E975" s="71"/>
    </row>
    <row r="976" spans="5:5">
      <c r="E976" s="71"/>
    </row>
    <row r="977" spans="5:5">
      <c r="E977" s="71"/>
    </row>
    <row r="978" spans="5:5">
      <c r="E978" s="71"/>
    </row>
    <row r="979" spans="5:5">
      <c r="E979" s="71"/>
    </row>
    <row r="980" spans="5:5">
      <c r="E980" s="71"/>
    </row>
    <row r="981" spans="5:5">
      <c r="E981" s="71"/>
    </row>
    <row r="982" spans="5:5">
      <c r="E982" s="71"/>
    </row>
    <row r="983" spans="5:5">
      <c r="E983" s="71"/>
    </row>
    <row r="984" spans="5:5">
      <c r="E984" s="71"/>
    </row>
    <row r="985" spans="5:5">
      <c r="E985" s="71"/>
    </row>
    <row r="986" spans="5:5">
      <c r="E986" s="71"/>
    </row>
    <row r="987" spans="5:5">
      <c r="E987" s="71"/>
    </row>
    <row r="988" spans="5:5">
      <c r="E988" s="71"/>
    </row>
    <row r="989" spans="5:5">
      <c r="E989" s="71"/>
    </row>
    <row r="990" spans="5:5">
      <c r="E990" s="71"/>
    </row>
    <row r="991" spans="5:5">
      <c r="E991" s="71"/>
    </row>
    <row r="992" spans="5:5">
      <c r="E992" s="71"/>
    </row>
    <row r="993" spans="5:5">
      <c r="E993" s="71"/>
    </row>
    <row r="994" spans="5:5">
      <c r="E994" s="71"/>
    </row>
    <row r="995" spans="5:5">
      <c r="E995" s="71"/>
    </row>
    <row r="996" spans="5:5">
      <c r="E996" s="71"/>
    </row>
    <row r="997" spans="5:5">
      <c r="E997" s="71"/>
    </row>
    <row r="998" spans="5:5">
      <c r="E998" s="71"/>
    </row>
    <row r="999" spans="5:5">
      <c r="E999" s="71"/>
    </row>
    <row r="1000" spans="5:5">
      <c r="E1000" s="71"/>
    </row>
    <row r="1001" spans="5:5">
      <c r="E1001" s="71"/>
    </row>
    <row r="1002" spans="5:5">
      <c r="E1002" s="71"/>
    </row>
    <row r="1003" spans="5:5">
      <c r="E1003" s="71"/>
    </row>
    <row r="1004" spans="5:5">
      <c r="E1004" s="71"/>
    </row>
    <row r="1005" spans="5:5">
      <c r="E1005" s="71"/>
    </row>
    <row r="1006" spans="5:5">
      <c r="E1006" s="71"/>
    </row>
    <row r="1007" spans="5:5">
      <c r="E1007" s="71"/>
    </row>
    <row r="1008" spans="5:5">
      <c r="E1008" s="71"/>
    </row>
    <row r="1009" spans="5:5">
      <c r="E1009" s="71"/>
    </row>
    <row r="1010" spans="5:5">
      <c r="E1010" s="71"/>
    </row>
    <row r="1011" spans="5:5">
      <c r="E1011" s="71"/>
    </row>
    <row r="1012" spans="5:5">
      <c r="E1012" s="71"/>
    </row>
    <row r="1013" spans="5:5">
      <c r="E1013" s="71"/>
    </row>
    <row r="1014" spans="5:5">
      <c r="E1014" s="71"/>
    </row>
    <row r="1015" spans="5:5">
      <c r="E1015" s="71"/>
    </row>
    <row r="1016" spans="5:5">
      <c r="E1016" s="71"/>
    </row>
    <row r="1017" spans="5:5">
      <c r="E1017" s="71"/>
    </row>
    <row r="1018" spans="5:5">
      <c r="E1018" s="71"/>
    </row>
    <row r="1019" spans="5:5">
      <c r="E1019" s="71"/>
    </row>
    <row r="1020" spans="5:5">
      <c r="E1020" s="71"/>
    </row>
    <row r="1021" spans="5:5">
      <c r="E1021" s="71"/>
    </row>
    <row r="1022" spans="5:5">
      <c r="E1022" s="71"/>
    </row>
    <row r="1023" spans="5:5">
      <c r="E1023" s="71"/>
    </row>
    <row r="1024" spans="5:5">
      <c r="E1024" s="71"/>
    </row>
    <row r="1025" spans="5:5">
      <c r="E1025" s="71"/>
    </row>
    <row r="1026" spans="5:5">
      <c r="E1026" s="71"/>
    </row>
    <row r="1027" spans="5:5">
      <c r="E1027" s="71"/>
    </row>
    <row r="1028" spans="5:5">
      <c r="E1028" s="71"/>
    </row>
    <row r="1029" spans="5:5">
      <c r="E1029" s="71"/>
    </row>
    <row r="1030" spans="5:5">
      <c r="E1030" s="71"/>
    </row>
    <row r="1031" spans="5:5">
      <c r="E1031" s="71"/>
    </row>
    <row r="1032" spans="5:5">
      <c r="E1032" s="71"/>
    </row>
    <row r="1033" spans="5:5">
      <c r="E1033" s="71"/>
    </row>
    <row r="1034" spans="5:5">
      <c r="E1034" s="71"/>
    </row>
    <row r="1035" spans="5:5">
      <c r="E1035" s="71"/>
    </row>
    <row r="1036" spans="5:5">
      <c r="E1036" s="71"/>
    </row>
    <row r="1037" spans="5:5">
      <c r="E1037" s="71"/>
    </row>
    <row r="1038" spans="5:5">
      <c r="E1038" s="71"/>
    </row>
    <row r="1039" spans="5:5">
      <c r="E1039" s="71"/>
    </row>
    <row r="1040" spans="5:5">
      <c r="E1040" s="71"/>
    </row>
    <row r="1041" spans="5:5">
      <c r="E1041" s="71"/>
    </row>
    <row r="1042" spans="5:5">
      <c r="E1042" s="71"/>
    </row>
    <row r="1043" spans="5:5">
      <c r="E1043" s="71"/>
    </row>
    <row r="1044" spans="5:5">
      <c r="E1044" s="71"/>
    </row>
    <row r="1045" spans="5:5">
      <c r="E1045" s="71"/>
    </row>
    <row r="1046" spans="5:5">
      <c r="E1046" s="71"/>
    </row>
    <row r="1047" spans="5:5">
      <c r="E1047" s="71"/>
    </row>
    <row r="1048" spans="5:5">
      <c r="E1048" s="71"/>
    </row>
    <row r="1049" spans="5:5">
      <c r="E1049" s="71"/>
    </row>
    <row r="1050" spans="5:5">
      <c r="E1050" s="71"/>
    </row>
    <row r="1051" spans="5:5">
      <c r="E1051" s="71"/>
    </row>
    <row r="1052" spans="5:5">
      <c r="E1052" s="71"/>
    </row>
    <row r="1053" spans="5:5">
      <c r="E1053" s="71"/>
    </row>
    <row r="1054" spans="5:5">
      <c r="E1054" s="71"/>
    </row>
    <row r="1055" spans="5:5">
      <c r="E1055" s="71"/>
    </row>
    <row r="1056" spans="5:5">
      <c r="E1056" s="71"/>
    </row>
    <row r="1057" spans="5:5">
      <c r="E1057" s="71"/>
    </row>
    <row r="1058" spans="5:5">
      <c r="E1058" s="71"/>
    </row>
    <row r="1059" spans="5:5">
      <c r="E1059" s="71"/>
    </row>
    <row r="1060" spans="5:5">
      <c r="E1060" s="71"/>
    </row>
    <row r="1061" spans="5:5">
      <c r="E1061" s="71"/>
    </row>
    <row r="1062" spans="5:5">
      <c r="E1062" s="71"/>
    </row>
    <row r="1063" spans="5:5">
      <c r="E1063" s="71"/>
    </row>
    <row r="1064" spans="5:5">
      <c r="E1064" s="71"/>
    </row>
    <row r="1065" spans="5:5">
      <c r="E1065" s="71"/>
    </row>
    <row r="1066" spans="5:5">
      <c r="E1066" s="71"/>
    </row>
    <row r="1067" spans="5:5">
      <c r="E1067" s="71"/>
    </row>
    <row r="1068" spans="5:5">
      <c r="E1068" s="71"/>
    </row>
    <row r="1069" spans="5:5">
      <c r="E1069" s="71"/>
    </row>
    <row r="1070" spans="5:5">
      <c r="E1070" s="71"/>
    </row>
    <row r="1071" spans="5:5">
      <c r="E1071" s="71"/>
    </row>
    <row r="1072" spans="5:5">
      <c r="E1072" s="71"/>
    </row>
    <row r="1073" spans="5:5">
      <c r="E1073" s="71"/>
    </row>
    <row r="1074" spans="5:5">
      <c r="E1074" s="71"/>
    </row>
    <row r="1075" spans="5:5">
      <c r="E1075" s="71"/>
    </row>
    <row r="1076" spans="5:5">
      <c r="E1076" s="71"/>
    </row>
    <row r="1077" spans="5:5">
      <c r="E1077" s="71"/>
    </row>
    <row r="1078" spans="5:5">
      <c r="E1078" s="71"/>
    </row>
    <row r="1079" spans="5:5">
      <c r="E1079" s="71"/>
    </row>
    <row r="1080" spans="5:5">
      <c r="E1080" s="71"/>
    </row>
    <row r="1081" spans="5:5">
      <c r="E1081" s="71"/>
    </row>
    <row r="1082" spans="5:5">
      <c r="E1082" s="71"/>
    </row>
    <row r="1083" spans="5:5">
      <c r="E1083" s="71"/>
    </row>
    <row r="1084" spans="5:5">
      <c r="E1084" s="71"/>
    </row>
    <row r="1085" spans="5:5">
      <c r="E1085" s="71"/>
    </row>
    <row r="1086" spans="5:5">
      <c r="E1086" s="71"/>
    </row>
    <row r="1087" spans="5:5">
      <c r="E1087" s="71"/>
    </row>
    <row r="1088" spans="5:5">
      <c r="E1088" s="71"/>
    </row>
    <row r="1089" spans="5:5">
      <c r="E1089" s="71"/>
    </row>
    <row r="1090" spans="5:5">
      <c r="E1090" s="71"/>
    </row>
    <row r="1091" spans="5:5">
      <c r="E1091" s="71"/>
    </row>
    <row r="1092" spans="5:5">
      <c r="E1092" s="71"/>
    </row>
    <row r="1093" spans="5:5">
      <c r="E1093" s="71"/>
    </row>
    <row r="1094" spans="5:5">
      <c r="E1094" s="71"/>
    </row>
    <row r="1095" spans="5:5">
      <c r="E1095" s="71"/>
    </row>
    <row r="1096" spans="5:5">
      <c r="E1096" s="71"/>
    </row>
    <row r="1097" spans="5:5">
      <c r="E1097" s="71"/>
    </row>
    <row r="1098" spans="5:5">
      <c r="E1098" s="71"/>
    </row>
    <row r="1099" spans="5:5">
      <c r="E1099" s="71"/>
    </row>
    <row r="1100" spans="5:5">
      <c r="E1100" s="71"/>
    </row>
    <row r="1101" spans="5:5">
      <c r="E1101" s="71"/>
    </row>
    <row r="1102" spans="5:5">
      <c r="E1102" s="71"/>
    </row>
    <row r="1103" spans="5:5">
      <c r="E1103" s="71"/>
    </row>
    <row r="1104" spans="5:5">
      <c r="E1104" s="71"/>
    </row>
    <row r="1105" spans="5:5">
      <c r="E1105" s="71"/>
    </row>
    <row r="1106" spans="5:5">
      <c r="E1106" s="71"/>
    </row>
    <row r="1107" spans="5:5">
      <c r="E1107" s="71"/>
    </row>
    <row r="1108" spans="5:5">
      <c r="E1108" s="71"/>
    </row>
    <row r="1109" spans="5:5">
      <c r="E1109" s="71"/>
    </row>
    <row r="1110" spans="5:5">
      <c r="E1110" s="71"/>
    </row>
    <row r="1111" spans="5:5">
      <c r="E1111" s="71"/>
    </row>
    <row r="1112" spans="5:5">
      <c r="E1112" s="71"/>
    </row>
    <row r="1113" spans="5:5">
      <c r="E1113" s="71"/>
    </row>
    <row r="1114" spans="5:5">
      <c r="E1114" s="71"/>
    </row>
    <row r="1115" spans="5:5">
      <c r="E1115" s="71"/>
    </row>
    <row r="1116" spans="5:5">
      <c r="E1116" s="71"/>
    </row>
    <row r="1117" spans="5:5">
      <c r="E1117" s="71"/>
    </row>
    <row r="1118" spans="5:5">
      <c r="E1118" s="71"/>
    </row>
    <row r="1119" spans="5:5">
      <c r="E1119" s="71"/>
    </row>
    <row r="1120" spans="5:5">
      <c r="E1120" s="71"/>
    </row>
    <row r="1121" spans="5:5">
      <c r="E1121" s="71"/>
    </row>
    <row r="1122" spans="5:5">
      <c r="E1122" s="71"/>
    </row>
    <row r="1123" spans="5:5">
      <c r="E1123" s="71"/>
    </row>
    <row r="1124" spans="5:5">
      <c r="E1124" s="71"/>
    </row>
    <row r="1125" spans="5:5">
      <c r="E1125" s="71"/>
    </row>
    <row r="1126" spans="5:5">
      <c r="E1126" s="71"/>
    </row>
    <row r="1127" spans="5:5">
      <c r="E1127" s="71"/>
    </row>
    <row r="1128" spans="5:5">
      <c r="E1128" s="71"/>
    </row>
    <row r="1129" spans="5:5">
      <c r="E1129" s="71"/>
    </row>
    <row r="1130" spans="5:5">
      <c r="E1130" s="71"/>
    </row>
    <row r="1131" spans="5:5">
      <c r="E1131" s="71"/>
    </row>
    <row r="1132" spans="5:5">
      <c r="E1132" s="71"/>
    </row>
    <row r="1133" spans="5:5">
      <c r="E1133" s="71"/>
    </row>
    <row r="1134" spans="5:5">
      <c r="E1134" s="71"/>
    </row>
    <row r="1135" spans="5:5">
      <c r="E1135" s="71"/>
    </row>
    <row r="1136" spans="5:5">
      <c r="E1136" s="71"/>
    </row>
    <row r="1137" spans="5:5">
      <c r="E1137" s="71"/>
    </row>
    <row r="1138" spans="5:5">
      <c r="E1138" s="71"/>
    </row>
    <row r="1139" spans="5:5">
      <c r="E1139" s="71"/>
    </row>
    <row r="1140" spans="5:5">
      <c r="E1140" s="71"/>
    </row>
    <row r="1141" spans="5:5">
      <c r="E1141" s="71"/>
    </row>
    <row r="1142" spans="5:5">
      <c r="E1142" s="71"/>
    </row>
    <row r="1143" spans="5:5">
      <c r="E1143" s="71"/>
    </row>
    <row r="1144" spans="5:5">
      <c r="E1144" s="71"/>
    </row>
    <row r="1145" spans="5:5">
      <c r="E1145" s="71"/>
    </row>
    <row r="1146" spans="5:5">
      <c r="E1146" s="71"/>
    </row>
    <row r="1147" spans="5:5">
      <c r="E1147" s="71"/>
    </row>
    <row r="1148" spans="5:5">
      <c r="E1148" s="71"/>
    </row>
    <row r="1149" spans="5:5">
      <c r="E1149" s="71"/>
    </row>
    <row r="1150" spans="5:5">
      <c r="E1150" s="71"/>
    </row>
    <row r="1151" spans="5:5">
      <c r="E1151" s="71"/>
    </row>
    <row r="1152" spans="5:5">
      <c r="E1152" s="71"/>
    </row>
    <row r="1153" spans="5:5">
      <c r="E1153" s="71"/>
    </row>
    <row r="1154" spans="5:5">
      <c r="E1154" s="71"/>
    </row>
    <row r="1155" spans="5:5">
      <c r="E1155" s="71"/>
    </row>
    <row r="1156" spans="5:5">
      <c r="E1156" s="71"/>
    </row>
    <row r="1157" spans="5:5">
      <c r="E1157" s="71"/>
    </row>
    <row r="1158" spans="5:5">
      <c r="E1158" s="71"/>
    </row>
    <row r="1159" spans="5:5">
      <c r="E1159" s="71"/>
    </row>
    <row r="1160" spans="5:5">
      <c r="E1160" s="71"/>
    </row>
    <row r="1161" spans="5:5">
      <c r="E1161" s="71"/>
    </row>
    <row r="1162" spans="5:5">
      <c r="E1162" s="71"/>
    </row>
    <row r="1163" spans="5:5">
      <c r="E1163" s="71"/>
    </row>
    <row r="1164" spans="5:5">
      <c r="E1164" s="71"/>
    </row>
    <row r="1165" spans="5:5">
      <c r="E1165" s="71"/>
    </row>
    <row r="1166" spans="5:5">
      <c r="E1166" s="71"/>
    </row>
    <row r="1167" spans="5:5">
      <c r="E1167" s="71"/>
    </row>
    <row r="1168" spans="5:5">
      <c r="E1168" s="71"/>
    </row>
    <row r="1169" spans="5:5">
      <c r="E1169" s="71"/>
    </row>
    <row r="1170" spans="5:5">
      <c r="E1170" s="71"/>
    </row>
    <row r="1171" spans="5:5">
      <c r="E1171" s="71"/>
    </row>
    <row r="1172" spans="5:5">
      <c r="E1172" s="71"/>
    </row>
    <row r="1173" spans="5:5">
      <c r="E1173" s="71"/>
    </row>
    <row r="1174" spans="5:5">
      <c r="E1174" s="71"/>
    </row>
    <row r="1175" spans="5:5">
      <c r="E1175" s="71"/>
    </row>
    <row r="1176" spans="5:5">
      <c r="E1176" s="71"/>
    </row>
    <row r="1177" spans="5:5">
      <c r="E1177" s="71"/>
    </row>
    <row r="1178" spans="5:5">
      <c r="E1178" s="71"/>
    </row>
    <row r="1179" spans="5:5">
      <c r="E1179" s="71"/>
    </row>
    <row r="1180" spans="5:5">
      <c r="E1180" s="71"/>
    </row>
    <row r="1181" spans="5:5">
      <c r="E1181" s="71"/>
    </row>
    <row r="1182" spans="5:5">
      <c r="E1182" s="71"/>
    </row>
    <row r="1183" spans="5:5">
      <c r="E1183" s="71"/>
    </row>
    <row r="1184" spans="5:5">
      <c r="E1184" s="71"/>
    </row>
    <row r="1185" spans="5:5">
      <c r="E1185" s="71"/>
    </row>
    <row r="1186" spans="5:5">
      <c r="E1186" s="71"/>
    </row>
    <row r="1187" spans="5:5">
      <c r="E1187" s="71"/>
    </row>
    <row r="1188" spans="5:5">
      <c r="E1188" s="71"/>
    </row>
    <row r="1189" spans="5:5">
      <c r="E1189" s="71"/>
    </row>
    <row r="1190" spans="5:5">
      <c r="E1190" s="71"/>
    </row>
    <row r="1191" spans="5:5">
      <c r="E1191" s="71"/>
    </row>
    <row r="1192" spans="5:5">
      <c r="E1192" s="71"/>
    </row>
    <row r="1193" spans="5:5">
      <c r="E1193" s="71"/>
    </row>
    <row r="1194" spans="5:5">
      <c r="E1194" s="71"/>
    </row>
    <row r="1195" spans="5:5">
      <c r="E1195" s="71"/>
    </row>
    <row r="1196" spans="5:5">
      <c r="E1196" s="71"/>
    </row>
    <row r="1197" spans="5:5">
      <c r="E1197" s="71"/>
    </row>
    <row r="1198" spans="5:5">
      <c r="E1198" s="71"/>
    </row>
    <row r="1199" spans="5:5">
      <c r="E1199" s="71"/>
    </row>
    <row r="1200" spans="5:5">
      <c r="E1200" s="71"/>
    </row>
    <row r="1201" spans="5:5">
      <c r="E1201" s="71"/>
    </row>
    <row r="1202" spans="5:5">
      <c r="E1202" s="71"/>
    </row>
    <row r="1203" spans="5:5">
      <c r="E1203" s="71"/>
    </row>
    <row r="1204" spans="5:5">
      <c r="E1204" s="71"/>
    </row>
    <row r="1205" spans="5:5">
      <c r="E1205" s="71"/>
    </row>
    <row r="1206" spans="5:5">
      <c r="E1206" s="71"/>
    </row>
    <row r="1207" spans="5:5">
      <c r="E1207" s="71"/>
    </row>
    <row r="1208" spans="5:5">
      <c r="E1208" s="71"/>
    </row>
    <row r="1209" spans="5:5">
      <c r="E1209" s="71"/>
    </row>
    <row r="1210" spans="5:5">
      <c r="E1210" s="71"/>
    </row>
    <row r="1211" spans="5:5">
      <c r="E1211" s="71"/>
    </row>
    <row r="1212" spans="5:5">
      <c r="E1212" s="71"/>
    </row>
    <row r="1213" spans="5:5">
      <c r="E1213" s="71"/>
    </row>
    <row r="1214" spans="5:5">
      <c r="E1214" s="71"/>
    </row>
    <row r="1215" spans="5:5">
      <c r="E1215" s="71"/>
    </row>
    <row r="1216" spans="5:5">
      <c r="E1216" s="71"/>
    </row>
    <row r="1217" spans="5:5">
      <c r="E1217" s="71"/>
    </row>
    <row r="1218" spans="5:5">
      <c r="E1218" s="71"/>
    </row>
    <row r="1219" spans="5:5">
      <c r="E1219" s="71"/>
    </row>
    <row r="1220" spans="5:5">
      <c r="E1220" s="71"/>
    </row>
    <row r="1221" spans="5:5">
      <c r="E1221" s="71"/>
    </row>
    <row r="1222" spans="5:5">
      <c r="E1222" s="71"/>
    </row>
    <row r="1223" spans="5:5">
      <c r="E1223" s="71"/>
    </row>
    <row r="1224" spans="5:5">
      <c r="E1224" s="71"/>
    </row>
    <row r="1225" spans="5:5">
      <c r="E1225" s="71"/>
    </row>
    <row r="1226" spans="5:5">
      <c r="E1226" s="71"/>
    </row>
    <row r="1227" spans="5:5">
      <c r="E1227" s="71"/>
    </row>
    <row r="1228" spans="5:5">
      <c r="E1228" s="71"/>
    </row>
    <row r="1229" spans="5:5">
      <c r="E1229" s="71"/>
    </row>
    <row r="1230" spans="5:5">
      <c r="E1230" s="71"/>
    </row>
    <row r="1231" spans="5:5">
      <c r="E1231" s="71"/>
    </row>
    <row r="1232" spans="5:5">
      <c r="E1232" s="71"/>
    </row>
    <row r="1233" spans="5:5">
      <c r="E1233" s="71"/>
    </row>
    <row r="1234" spans="5:5">
      <c r="E1234" s="71"/>
    </row>
    <row r="1235" spans="5:5">
      <c r="E1235" s="71"/>
    </row>
    <row r="1236" spans="5:5">
      <c r="E1236" s="71"/>
    </row>
    <row r="1237" spans="5:5">
      <c r="E1237" s="71"/>
    </row>
    <row r="1238" spans="5:5">
      <c r="E1238" s="71"/>
    </row>
    <row r="1239" spans="5:5">
      <c r="E1239" s="71"/>
    </row>
    <row r="1240" spans="5:5">
      <c r="E1240" s="71"/>
    </row>
    <row r="1241" spans="5:5">
      <c r="E1241" s="71"/>
    </row>
    <row r="1242" spans="5:5">
      <c r="E1242" s="71"/>
    </row>
    <row r="1243" spans="5:5">
      <c r="E1243" s="71"/>
    </row>
    <row r="1244" spans="5:5">
      <c r="E1244" s="71"/>
    </row>
    <row r="1245" spans="5:5">
      <c r="E1245" s="71"/>
    </row>
    <row r="1246" spans="5:5">
      <c r="E1246" s="71"/>
    </row>
    <row r="1247" spans="5:5">
      <c r="E1247" s="71"/>
    </row>
    <row r="1248" spans="5:5">
      <c r="E1248" s="71"/>
    </row>
    <row r="1249" spans="5:5">
      <c r="E1249" s="71"/>
    </row>
    <row r="1250" spans="5:5">
      <c r="E1250" s="71"/>
    </row>
    <row r="1251" spans="5:5">
      <c r="E1251" s="71"/>
    </row>
    <row r="1252" spans="5:5">
      <c r="E1252" s="71"/>
    </row>
    <row r="1253" spans="5:5">
      <c r="E1253" s="71"/>
    </row>
    <row r="1254" spans="5:5">
      <c r="E1254" s="71"/>
    </row>
    <row r="1255" spans="5:5">
      <c r="E1255" s="71"/>
    </row>
    <row r="1256" spans="5:5">
      <c r="E1256" s="71"/>
    </row>
    <row r="1257" spans="5:5">
      <c r="E1257" s="71"/>
    </row>
    <row r="1258" spans="5:5">
      <c r="E1258" s="71"/>
    </row>
    <row r="1259" spans="5:5">
      <c r="E1259" s="71"/>
    </row>
    <row r="1260" spans="5:5">
      <c r="E1260" s="71"/>
    </row>
    <row r="1261" spans="5:5">
      <c r="E1261" s="71"/>
    </row>
    <row r="1262" spans="5:5">
      <c r="E1262" s="71"/>
    </row>
    <row r="1263" spans="5:5">
      <c r="E1263" s="71"/>
    </row>
    <row r="1264" spans="5:5">
      <c r="E1264" s="71"/>
    </row>
    <row r="1265" spans="5:5">
      <c r="E1265" s="71"/>
    </row>
    <row r="1266" spans="5:5">
      <c r="E1266" s="71"/>
    </row>
    <row r="1267" spans="5:5">
      <c r="E1267" s="71"/>
    </row>
    <row r="1268" spans="5:5">
      <c r="E1268" s="71"/>
    </row>
    <row r="1269" spans="5:5">
      <c r="E1269" s="71"/>
    </row>
    <row r="1270" spans="5:5">
      <c r="E1270" s="71"/>
    </row>
    <row r="1271" spans="5:5">
      <c r="E1271" s="71"/>
    </row>
    <row r="1272" spans="5:5">
      <c r="E1272" s="71"/>
    </row>
    <row r="1273" spans="5:5">
      <c r="E1273" s="71"/>
    </row>
    <row r="1274" spans="5:5">
      <c r="E1274" s="71"/>
    </row>
    <row r="1275" spans="5:5">
      <c r="E1275" s="71"/>
    </row>
    <row r="1276" spans="5:5">
      <c r="E1276" s="71"/>
    </row>
    <row r="1277" spans="5:5">
      <c r="E1277" s="71"/>
    </row>
    <row r="1278" spans="5:5">
      <c r="E1278" s="71"/>
    </row>
    <row r="1279" spans="5:5">
      <c r="E1279" s="71"/>
    </row>
    <row r="1280" spans="5:5">
      <c r="E1280" s="71"/>
    </row>
    <row r="1281" spans="5:5">
      <c r="E1281" s="71"/>
    </row>
    <row r="1282" spans="5:5">
      <c r="E1282" s="71"/>
    </row>
    <row r="1283" spans="5:5">
      <c r="E1283" s="71"/>
    </row>
    <row r="1284" spans="5:5">
      <c r="E1284" s="71"/>
    </row>
    <row r="1285" spans="5:5">
      <c r="E1285" s="71"/>
    </row>
    <row r="1286" spans="5:5">
      <c r="E1286" s="71"/>
    </row>
    <row r="1287" spans="5:5">
      <c r="E1287" s="71"/>
    </row>
    <row r="1288" spans="5:5">
      <c r="E1288" s="71"/>
    </row>
    <row r="1289" spans="5:5">
      <c r="E1289" s="71"/>
    </row>
    <row r="1290" spans="5:5">
      <c r="E1290" s="71"/>
    </row>
    <row r="1291" spans="5:5">
      <c r="E1291" s="71"/>
    </row>
    <row r="1292" spans="5:5">
      <c r="E1292" s="71"/>
    </row>
    <row r="1293" spans="5:5">
      <c r="E1293" s="71"/>
    </row>
    <row r="1294" spans="5:5">
      <c r="E1294" s="71"/>
    </row>
    <row r="1295" spans="5:5">
      <c r="E1295" s="71"/>
    </row>
    <row r="1296" spans="5:5">
      <c r="E1296" s="71"/>
    </row>
    <row r="1297" spans="5:5">
      <c r="E1297" s="71"/>
    </row>
    <row r="1298" spans="5:5">
      <c r="E1298" s="71"/>
    </row>
    <row r="1299" spans="5:5">
      <c r="E1299" s="71"/>
    </row>
    <row r="1300" spans="5:5">
      <c r="E1300" s="71"/>
    </row>
    <row r="1301" spans="5:5">
      <c r="E1301" s="71"/>
    </row>
    <row r="1302" spans="5:5">
      <c r="E1302" s="71"/>
    </row>
    <row r="1303" spans="5:5">
      <c r="E1303" s="71"/>
    </row>
    <row r="1304" spans="5:5">
      <c r="E1304" s="71"/>
    </row>
    <row r="1305" spans="5:5">
      <c r="E1305" s="71"/>
    </row>
    <row r="1306" spans="5:5">
      <c r="E1306" s="71"/>
    </row>
    <row r="1307" spans="5:5">
      <c r="E1307" s="71"/>
    </row>
    <row r="1308" spans="5:5">
      <c r="E1308" s="71"/>
    </row>
    <row r="1309" spans="5:5">
      <c r="E1309" s="71"/>
    </row>
    <row r="1310" spans="5:5">
      <c r="E1310" s="71"/>
    </row>
    <row r="1311" spans="5:5">
      <c r="E1311" s="71"/>
    </row>
    <row r="1312" spans="5:5">
      <c r="E1312" s="71"/>
    </row>
    <row r="1313" spans="5:5">
      <c r="E1313" s="71"/>
    </row>
    <row r="1314" spans="5:5">
      <c r="E1314" s="71"/>
    </row>
    <row r="1315" spans="5:5">
      <c r="E1315" s="71"/>
    </row>
    <row r="1316" spans="5:5">
      <c r="E1316" s="71"/>
    </row>
    <row r="1317" spans="5:5">
      <c r="E1317" s="71"/>
    </row>
    <row r="1318" spans="5:5">
      <c r="E1318" s="71"/>
    </row>
    <row r="1319" spans="5:5">
      <c r="E1319" s="71"/>
    </row>
    <row r="1320" spans="5:5">
      <c r="E1320" s="71"/>
    </row>
    <row r="1321" spans="5:5">
      <c r="E1321" s="71"/>
    </row>
    <row r="1322" spans="5:5">
      <c r="E1322" s="71"/>
    </row>
    <row r="1323" spans="5:5">
      <c r="E1323" s="71"/>
    </row>
    <row r="1324" spans="5:5">
      <c r="E1324" s="71"/>
    </row>
    <row r="1325" spans="5:5">
      <c r="E1325" s="71"/>
    </row>
    <row r="1326" spans="5:5">
      <c r="E1326" s="71"/>
    </row>
    <row r="1327" spans="5:5">
      <c r="E1327" s="71"/>
    </row>
    <row r="1328" spans="5:5">
      <c r="E1328" s="71"/>
    </row>
    <row r="1329" spans="5:5">
      <c r="E1329" s="71"/>
    </row>
    <row r="1330" spans="5:5">
      <c r="E1330" s="71"/>
    </row>
    <row r="1331" spans="5:5">
      <c r="E1331" s="71"/>
    </row>
    <row r="1332" spans="5:5">
      <c r="E1332" s="71"/>
    </row>
    <row r="1333" spans="5:5">
      <c r="E1333" s="71"/>
    </row>
    <row r="1334" spans="5:5">
      <c r="E1334" s="71"/>
    </row>
    <row r="1335" spans="5:5">
      <c r="E1335" s="71"/>
    </row>
    <row r="1336" spans="5:5">
      <c r="E1336" s="71"/>
    </row>
    <row r="1337" spans="5:5">
      <c r="E1337" s="71"/>
    </row>
    <row r="1338" spans="5:5">
      <c r="E1338" s="71"/>
    </row>
    <row r="1339" spans="5:5">
      <c r="E1339" s="71"/>
    </row>
    <row r="1340" spans="5:5">
      <c r="E1340" s="71"/>
    </row>
    <row r="1341" spans="5:5">
      <c r="E1341" s="71"/>
    </row>
    <row r="1342" spans="5:5">
      <c r="E1342" s="71"/>
    </row>
    <row r="1343" spans="5:5">
      <c r="E1343" s="71"/>
    </row>
    <row r="1344" spans="5:5">
      <c r="E1344" s="71"/>
    </row>
    <row r="1345" spans="5:5">
      <c r="E1345" s="71"/>
    </row>
    <row r="1346" spans="5:5">
      <c r="E1346" s="71"/>
    </row>
    <row r="1347" spans="5:5">
      <c r="E1347" s="71"/>
    </row>
    <row r="1348" spans="5:5">
      <c r="E1348" s="71"/>
    </row>
    <row r="1349" spans="5:5">
      <c r="E1349" s="71"/>
    </row>
    <row r="1350" spans="5:5">
      <c r="E1350" s="71"/>
    </row>
    <row r="1351" spans="5:5">
      <c r="E1351" s="71"/>
    </row>
    <row r="1352" spans="5:5">
      <c r="E1352" s="71"/>
    </row>
    <row r="1353" spans="5:5">
      <c r="E1353" s="71"/>
    </row>
    <row r="1354" spans="5:5">
      <c r="E1354" s="71"/>
    </row>
    <row r="1355" spans="5:5">
      <c r="E1355" s="71"/>
    </row>
    <row r="1356" spans="5:5">
      <c r="E1356" s="71"/>
    </row>
    <row r="1357" spans="5:5">
      <c r="E1357" s="71"/>
    </row>
    <row r="1358" spans="5:5">
      <c r="E1358" s="71"/>
    </row>
    <row r="1359" spans="5:5">
      <c r="E1359" s="71"/>
    </row>
    <row r="1360" spans="5:5">
      <c r="E1360" s="71"/>
    </row>
    <row r="1361" spans="5:5">
      <c r="E1361" s="71"/>
    </row>
    <row r="1362" spans="5:5">
      <c r="E1362" s="71"/>
    </row>
    <row r="1363" spans="5:5">
      <c r="E1363" s="71"/>
    </row>
    <row r="1364" spans="5:5">
      <c r="E1364" s="71"/>
    </row>
    <row r="1365" spans="5:5">
      <c r="E1365" s="71"/>
    </row>
    <row r="1366" spans="5:5">
      <c r="E1366" s="71"/>
    </row>
    <row r="1367" spans="5:5">
      <c r="E1367" s="71"/>
    </row>
    <row r="1368" spans="5:5">
      <c r="E1368" s="71"/>
    </row>
    <row r="1369" spans="5:5">
      <c r="E1369" s="71"/>
    </row>
    <row r="1370" spans="5:5">
      <c r="E1370" s="71"/>
    </row>
    <row r="1371" spans="5:5">
      <c r="E1371" s="71"/>
    </row>
    <row r="1372" spans="5:5">
      <c r="E1372" s="71"/>
    </row>
    <row r="1373" spans="5:5">
      <c r="E1373" s="71"/>
    </row>
    <row r="1374" spans="5:5">
      <c r="E1374" s="71"/>
    </row>
    <row r="1375" spans="5:5">
      <c r="E1375" s="71"/>
    </row>
    <row r="1376" spans="5:5">
      <c r="E1376" s="71"/>
    </row>
    <row r="1377" spans="5:5">
      <c r="E1377" s="71"/>
    </row>
    <row r="1378" spans="5:5">
      <c r="E1378" s="71"/>
    </row>
    <row r="1379" spans="5:5">
      <c r="E1379" s="71"/>
    </row>
    <row r="1380" spans="5:5">
      <c r="E1380" s="71"/>
    </row>
    <row r="1381" spans="5:5">
      <c r="E1381" s="71"/>
    </row>
    <row r="1382" spans="5:5">
      <c r="E1382" s="71"/>
    </row>
    <row r="1383" spans="5:5">
      <c r="E1383" s="71"/>
    </row>
    <row r="1384" spans="5:5">
      <c r="E1384" s="71"/>
    </row>
    <row r="1385" spans="5:5">
      <c r="E1385" s="71"/>
    </row>
    <row r="1386" spans="5:5">
      <c r="E1386" s="71"/>
    </row>
    <row r="1387" spans="5:5">
      <c r="E1387" s="71"/>
    </row>
    <row r="1388" spans="5:5">
      <c r="E1388" s="71"/>
    </row>
    <row r="1389" spans="5:5">
      <c r="E1389" s="71"/>
    </row>
    <row r="1390" spans="5:5">
      <c r="E1390" s="71"/>
    </row>
    <row r="1391" spans="5:5">
      <c r="E1391" s="71"/>
    </row>
    <row r="1392" spans="5:5">
      <c r="E1392" s="71"/>
    </row>
    <row r="1393" spans="5:5">
      <c r="E1393" s="71"/>
    </row>
    <row r="1394" spans="5:5">
      <c r="E1394" s="71"/>
    </row>
    <row r="1395" spans="5:5">
      <c r="E1395" s="71"/>
    </row>
    <row r="1396" spans="5:5">
      <c r="E1396" s="71"/>
    </row>
    <row r="1397" spans="5:5">
      <c r="E1397" s="71"/>
    </row>
    <row r="1398" spans="5:5">
      <c r="E1398" s="71"/>
    </row>
    <row r="1399" spans="5:5">
      <c r="E1399" s="71"/>
    </row>
    <row r="1400" spans="5:5">
      <c r="E1400" s="71"/>
    </row>
    <row r="1401" spans="5:5">
      <c r="E1401" s="71"/>
    </row>
    <row r="1402" spans="5:5">
      <c r="E1402" s="71"/>
    </row>
    <row r="1403" spans="5:5">
      <c r="E1403" s="71"/>
    </row>
    <row r="1404" spans="5:5">
      <c r="E1404" s="71"/>
    </row>
    <row r="1405" spans="5:5">
      <c r="E1405" s="71"/>
    </row>
    <row r="1406" spans="5:5">
      <c r="E1406" s="71"/>
    </row>
    <row r="1407" spans="5:5">
      <c r="E1407" s="71"/>
    </row>
    <row r="1408" spans="5:5">
      <c r="E1408" s="71"/>
    </row>
    <row r="1409" spans="5:5">
      <c r="E1409" s="71"/>
    </row>
    <row r="1410" spans="5:5">
      <c r="E1410" s="71"/>
    </row>
    <row r="1411" spans="5:5">
      <c r="E1411" s="71"/>
    </row>
    <row r="1412" spans="5:5">
      <c r="E1412" s="71"/>
    </row>
    <row r="1413" spans="5:5">
      <c r="E1413" s="71"/>
    </row>
    <row r="1414" spans="5:5">
      <c r="E1414" s="71"/>
    </row>
    <row r="1415" spans="5:5">
      <c r="E1415" s="71"/>
    </row>
    <row r="1416" spans="5:5">
      <c r="E1416" s="71"/>
    </row>
    <row r="1417" spans="5:5">
      <c r="E1417" s="71"/>
    </row>
    <row r="1418" spans="5:5">
      <c r="E1418" s="71"/>
    </row>
    <row r="1419" spans="5:5">
      <c r="E1419" s="71"/>
    </row>
    <row r="1420" spans="5:5">
      <c r="E1420" s="71"/>
    </row>
    <row r="1421" spans="5:5">
      <c r="E1421" s="71"/>
    </row>
    <row r="1422" spans="5:5">
      <c r="E1422" s="71"/>
    </row>
    <row r="1423" spans="5:5">
      <c r="E1423" s="71"/>
    </row>
    <row r="1424" spans="5:5">
      <c r="E1424" s="71"/>
    </row>
    <row r="1425" spans="5:5">
      <c r="E1425" s="71"/>
    </row>
    <row r="1426" spans="5:5">
      <c r="E1426" s="71"/>
    </row>
    <row r="1427" spans="5:5">
      <c r="E1427" s="71"/>
    </row>
    <row r="1428" spans="5:5">
      <c r="E1428" s="71"/>
    </row>
    <row r="1429" spans="5:5">
      <c r="E1429" s="71"/>
    </row>
    <row r="1430" spans="5:5">
      <c r="E1430" s="71"/>
    </row>
    <row r="1431" spans="5:5">
      <c r="E1431" s="71"/>
    </row>
    <row r="1432" spans="5:5">
      <c r="E1432" s="71"/>
    </row>
    <row r="1433" spans="5:5">
      <c r="E1433" s="71"/>
    </row>
    <row r="1434" spans="5:5">
      <c r="E1434" s="71"/>
    </row>
    <row r="1435" spans="5:5">
      <c r="E1435" s="71"/>
    </row>
    <row r="1436" spans="5:5">
      <c r="E1436" s="71"/>
    </row>
    <row r="1437" spans="5:5">
      <c r="E1437" s="71"/>
    </row>
    <row r="1438" spans="5:5">
      <c r="E1438" s="71"/>
    </row>
    <row r="1439" spans="5:5">
      <c r="E1439" s="71"/>
    </row>
    <row r="1440" spans="5:5">
      <c r="E1440" s="71"/>
    </row>
    <row r="1441" spans="5:5">
      <c r="E1441" s="71"/>
    </row>
    <row r="1442" spans="5:5">
      <c r="E1442" s="71"/>
    </row>
    <row r="1443" spans="5:5">
      <c r="E1443" s="71"/>
    </row>
    <row r="1444" spans="5:5">
      <c r="E1444" s="71"/>
    </row>
    <row r="1445" spans="5:5">
      <c r="E1445" s="71"/>
    </row>
    <row r="1446" spans="5:5">
      <c r="E1446" s="71"/>
    </row>
    <row r="1447" spans="5:5">
      <c r="E1447" s="71"/>
    </row>
    <row r="1448" spans="5:5">
      <c r="E1448" s="71"/>
    </row>
    <row r="1449" spans="5:5">
      <c r="E1449" s="71"/>
    </row>
    <row r="1450" spans="5:5">
      <c r="E1450" s="71"/>
    </row>
    <row r="1451" spans="5:5">
      <c r="E1451" s="71"/>
    </row>
    <row r="1452" spans="5:5">
      <c r="E1452" s="71"/>
    </row>
    <row r="1453" spans="5:5">
      <c r="E1453" s="71"/>
    </row>
    <row r="1454" spans="5:5">
      <c r="E1454" s="71"/>
    </row>
    <row r="1455" spans="5:5">
      <c r="E1455" s="71"/>
    </row>
    <row r="1456" spans="5:5">
      <c r="E1456" s="71"/>
    </row>
    <row r="1457" spans="5:5">
      <c r="E1457" s="71"/>
    </row>
    <row r="1458" spans="5:5">
      <c r="E1458" s="71"/>
    </row>
    <row r="1459" spans="5:5">
      <c r="E1459" s="71"/>
    </row>
    <row r="1460" spans="5:5">
      <c r="E1460" s="71"/>
    </row>
    <row r="1461" spans="5:5">
      <c r="E1461" s="71"/>
    </row>
    <row r="1462" spans="5:5">
      <c r="E1462" s="71"/>
    </row>
    <row r="1463" spans="5:5">
      <c r="E1463" s="71"/>
    </row>
    <row r="1464" spans="5:5">
      <c r="E1464" s="71"/>
    </row>
    <row r="1465" spans="5:5">
      <c r="E1465" s="71"/>
    </row>
    <row r="1466" spans="5:5">
      <c r="E1466" s="71"/>
    </row>
    <row r="1467" spans="5:5">
      <c r="E1467" s="71"/>
    </row>
    <row r="1468" spans="5:5">
      <c r="E1468" s="71"/>
    </row>
    <row r="1469" spans="5:5">
      <c r="E1469" s="71"/>
    </row>
    <row r="1470" spans="5:5">
      <c r="E1470" s="71"/>
    </row>
    <row r="1471" spans="5:5">
      <c r="E1471" s="71"/>
    </row>
    <row r="1472" spans="5:5">
      <c r="E1472" s="71"/>
    </row>
    <row r="1473" spans="5:5">
      <c r="E1473" s="71"/>
    </row>
    <row r="1474" spans="5:5">
      <c r="E1474" s="71"/>
    </row>
    <row r="1475" spans="5:5">
      <c r="E1475" s="71"/>
    </row>
    <row r="1476" spans="5:5">
      <c r="E1476" s="71"/>
    </row>
    <row r="1477" spans="5:5">
      <c r="E1477" s="71"/>
    </row>
    <row r="1478" spans="5:5">
      <c r="E1478" s="71"/>
    </row>
    <row r="1479" spans="5:5">
      <c r="E1479" s="71"/>
    </row>
    <row r="1480" spans="5:5">
      <c r="E1480" s="71"/>
    </row>
    <row r="1481" spans="5:5">
      <c r="E1481" s="71"/>
    </row>
    <row r="1482" spans="5:5">
      <c r="E1482" s="71"/>
    </row>
    <row r="1483" spans="5:5">
      <c r="E1483" s="71"/>
    </row>
    <row r="1484" spans="5:5">
      <c r="E1484" s="71"/>
    </row>
    <row r="1485" spans="5:5">
      <c r="E1485" s="71"/>
    </row>
    <row r="1486" spans="5:5">
      <c r="E1486" s="71"/>
    </row>
    <row r="1487" spans="5:5">
      <c r="E1487" s="71"/>
    </row>
    <row r="1488" spans="5:5">
      <c r="E1488" s="71"/>
    </row>
    <row r="1489" spans="5:5">
      <c r="E1489" s="71"/>
    </row>
    <row r="1490" spans="5:5">
      <c r="E1490" s="71"/>
    </row>
    <row r="1491" spans="5:5">
      <c r="E1491" s="71"/>
    </row>
    <row r="1492" spans="5:5">
      <c r="E1492" s="71"/>
    </row>
    <row r="1493" spans="5:5">
      <c r="E1493" s="71"/>
    </row>
    <row r="1494" spans="5:5">
      <c r="E1494" s="71"/>
    </row>
    <row r="1495" spans="5:5">
      <c r="E1495" s="71"/>
    </row>
    <row r="1496" spans="5:5">
      <c r="E1496" s="71"/>
    </row>
    <row r="1497" spans="5:5">
      <c r="E1497" s="71"/>
    </row>
    <row r="1498" spans="5:5">
      <c r="E1498" s="71"/>
    </row>
    <row r="1499" spans="5:5">
      <c r="E1499" s="71"/>
    </row>
    <row r="1500" spans="5:5">
      <c r="E1500" s="71"/>
    </row>
    <row r="1501" spans="5:5">
      <c r="E1501" s="71"/>
    </row>
    <row r="1502" spans="5:5">
      <c r="E1502" s="71"/>
    </row>
    <row r="1503" spans="5:5">
      <c r="E1503" s="71"/>
    </row>
    <row r="1504" spans="5:5">
      <c r="E1504" s="71"/>
    </row>
    <row r="1505" spans="5:5">
      <c r="E1505" s="71"/>
    </row>
    <row r="1506" spans="5:5">
      <c r="E1506" s="71"/>
    </row>
    <row r="1507" spans="5:5">
      <c r="E1507" s="71"/>
    </row>
    <row r="1508" spans="5:5">
      <c r="E1508" s="71"/>
    </row>
    <row r="1509" spans="5:5">
      <c r="E1509" s="71"/>
    </row>
    <row r="1510" spans="5:5">
      <c r="E1510" s="71"/>
    </row>
    <row r="1511" spans="5:5">
      <c r="E1511" s="71"/>
    </row>
    <row r="1512" spans="5:5">
      <c r="E1512" s="71"/>
    </row>
    <row r="1513" spans="5:5">
      <c r="E1513" s="71"/>
    </row>
    <row r="1514" spans="5:5">
      <c r="E1514" s="71"/>
    </row>
    <row r="1515" spans="5:5">
      <c r="E1515" s="71"/>
    </row>
    <row r="1516" spans="5:5">
      <c r="E1516" s="71"/>
    </row>
    <row r="1517" spans="5:5">
      <c r="E1517" s="71"/>
    </row>
    <row r="1518" spans="5:5">
      <c r="E1518" s="71"/>
    </row>
    <row r="1519" spans="5:5">
      <c r="E1519" s="71"/>
    </row>
    <row r="1520" spans="5:5">
      <c r="E1520" s="71"/>
    </row>
    <row r="1521" spans="5:5">
      <c r="E1521" s="71"/>
    </row>
    <row r="1522" spans="5:5">
      <c r="E1522" s="71"/>
    </row>
    <row r="1523" spans="5:5">
      <c r="E1523" s="71"/>
    </row>
    <row r="1524" spans="5:5">
      <c r="E1524" s="71"/>
    </row>
    <row r="1525" spans="5:5">
      <c r="E1525" s="71"/>
    </row>
    <row r="1526" spans="5:5">
      <c r="E1526" s="71"/>
    </row>
    <row r="1527" spans="5:5">
      <c r="E1527" s="71"/>
    </row>
    <row r="1528" spans="5:5">
      <c r="E1528" s="71"/>
    </row>
    <row r="1529" spans="5:5">
      <c r="E1529" s="71"/>
    </row>
    <row r="1530" spans="5:5">
      <c r="E1530" s="71"/>
    </row>
    <row r="1531" spans="5:5">
      <c r="E1531" s="71"/>
    </row>
    <row r="1532" spans="5:5">
      <c r="E1532" s="71"/>
    </row>
    <row r="1533" spans="5:5">
      <c r="E1533" s="71"/>
    </row>
    <row r="1534" spans="5:5">
      <c r="E1534" s="71"/>
    </row>
  </sheetData>
  <printOptions gridLines="1"/>
  <pageMargins left="0.25" right="0.25" top="0.25" bottom="0.25" header="0" footer="0"/>
  <pageSetup scale="67" orientation="portrait" r:id="rId1"/>
  <headerFooter alignWithMargins="0">
    <oddFooter>&amp;Lprinted &amp;D&amp;Cfile: &amp;F&amp;Rpage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23"/>
  <sheetViews>
    <sheetView workbookViewId="0">
      <selection activeCell="B41" sqref="B41"/>
    </sheetView>
  </sheetViews>
  <sheetFormatPr defaultRowHeight="15"/>
  <cols>
    <col min="1" max="1" width="37.5546875" bestFit="1" customWidth="1"/>
    <col min="2" max="2" width="14.5546875" bestFit="1" customWidth="1"/>
    <col min="3" max="3" width="10" bestFit="1" customWidth="1"/>
    <col min="4" max="4" width="16.5546875" customWidth="1"/>
    <col min="5" max="5" width="10" customWidth="1"/>
    <col min="6" max="6" width="11.109375" bestFit="1" customWidth="1"/>
    <col min="7" max="7" width="10" bestFit="1" customWidth="1"/>
  </cols>
  <sheetData>
    <row r="1" spans="1:7" ht="15.75">
      <c r="A1" s="81" t="s">
        <v>370</v>
      </c>
      <c r="C1" s="81" t="s">
        <v>372</v>
      </c>
    </row>
    <row r="3" spans="1:7">
      <c r="A3" s="77" t="s">
        <v>371</v>
      </c>
    </row>
    <row r="5" spans="1:7">
      <c r="A5" s="78">
        <v>41639</v>
      </c>
    </row>
    <row r="6" spans="1:7" ht="15.75">
      <c r="B6" s="260" t="s">
        <v>499</v>
      </c>
      <c r="C6" s="260"/>
      <c r="D6" s="260" t="s">
        <v>501</v>
      </c>
      <c r="E6" s="260"/>
      <c r="F6" s="260" t="s">
        <v>101</v>
      </c>
      <c r="G6" s="260"/>
    </row>
    <row r="7" spans="1:7">
      <c r="B7" s="79" t="s">
        <v>316</v>
      </c>
      <c r="C7" s="79" t="s">
        <v>331</v>
      </c>
      <c r="D7" s="79" t="s">
        <v>316</v>
      </c>
      <c r="E7" s="79" t="s">
        <v>331</v>
      </c>
      <c r="F7" s="79" t="s">
        <v>316</v>
      </c>
      <c r="G7" s="79" t="s">
        <v>331</v>
      </c>
    </row>
    <row r="8" spans="1:7" hidden="1">
      <c r="A8">
        <v>2013</v>
      </c>
      <c r="B8" s="75">
        <v>23539.119999999999</v>
      </c>
      <c r="C8" s="114">
        <v>2246</v>
      </c>
      <c r="D8" s="75">
        <v>312724</v>
      </c>
      <c r="E8" s="114">
        <v>39752.68</v>
      </c>
      <c r="F8" s="75">
        <f t="shared" ref="F8:G10" si="0">B8+D8</f>
        <v>336263.12</v>
      </c>
      <c r="G8" s="75">
        <f t="shared" si="0"/>
        <v>41998.68</v>
      </c>
    </row>
    <row r="9" spans="1:7">
      <c r="A9">
        <v>2014</v>
      </c>
      <c r="B9" s="75">
        <v>24830.12</v>
      </c>
      <c r="C9" s="114">
        <v>955</v>
      </c>
      <c r="D9" s="75">
        <v>325450.31</v>
      </c>
      <c r="E9" s="114">
        <v>27026.69</v>
      </c>
      <c r="F9" s="75">
        <f t="shared" si="0"/>
        <v>350280.43</v>
      </c>
      <c r="G9" s="75">
        <f t="shared" si="0"/>
        <v>27981.69</v>
      </c>
    </row>
    <row r="10" spans="1:7">
      <c r="A10">
        <v>2015</v>
      </c>
      <c r="B10" s="75">
        <v>4268.5200000000004</v>
      </c>
      <c r="C10" s="114">
        <v>29</v>
      </c>
      <c r="D10" s="75">
        <v>338694.18</v>
      </c>
      <c r="E10" s="114">
        <v>13782.82</v>
      </c>
      <c r="F10" s="75">
        <f t="shared" si="0"/>
        <v>342962.7</v>
      </c>
      <c r="G10" s="75">
        <f t="shared" si="0"/>
        <v>13811.82</v>
      </c>
    </row>
    <row r="11" spans="1:7" ht="16.5" thickBot="1">
      <c r="A11" s="84" t="s">
        <v>536</v>
      </c>
      <c r="B11" s="82">
        <f t="shared" ref="B11:G11" si="1">SUM(B9:B10)</f>
        <v>29098.639999999999</v>
      </c>
      <c r="C11" s="139">
        <f t="shared" si="1"/>
        <v>984</v>
      </c>
      <c r="D11" s="82">
        <f t="shared" si="1"/>
        <v>664144.49</v>
      </c>
      <c r="E11" s="139">
        <f t="shared" si="1"/>
        <v>40809.509999999995</v>
      </c>
      <c r="F11" s="82">
        <f t="shared" si="1"/>
        <v>693243.13</v>
      </c>
      <c r="G11" s="82">
        <f t="shared" si="1"/>
        <v>41793.509999999995</v>
      </c>
    </row>
    <row r="12" spans="1:7" ht="15.75" thickTop="1"/>
    <row r="13" spans="1:7">
      <c r="B13" s="75"/>
    </row>
    <row r="15" spans="1:7" ht="15.75">
      <c r="A15" s="81" t="s">
        <v>500</v>
      </c>
      <c r="D15" s="77" t="s">
        <v>505</v>
      </c>
    </row>
    <row r="16" spans="1:7">
      <c r="A16" t="s">
        <v>468</v>
      </c>
      <c r="B16" s="78">
        <v>40756</v>
      </c>
      <c r="D16" s="77" t="s">
        <v>502</v>
      </c>
    </row>
    <row r="17" spans="1:7" s="115" customFormat="1">
      <c r="A17" s="115" t="s">
        <v>467</v>
      </c>
      <c r="B17" s="141">
        <v>1302837</v>
      </c>
    </row>
    <row r="18" spans="1:7" s="115" customFormat="1" ht="15.75">
      <c r="A18" s="131" t="s">
        <v>537</v>
      </c>
      <c r="B18" s="140">
        <f>D11</f>
        <v>664144.49</v>
      </c>
    </row>
    <row r="20" spans="1:7" ht="15.75">
      <c r="A20" s="81" t="s">
        <v>499</v>
      </c>
      <c r="C20" s="70"/>
      <c r="D20" s="70"/>
      <c r="E20" s="70"/>
      <c r="F20" s="70"/>
      <c r="G20" s="70"/>
    </row>
    <row r="21" spans="1:7">
      <c r="A21" t="s">
        <v>468</v>
      </c>
      <c r="B21" s="78">
        <v>40969</v>
      </c>
      <c r="C21" s="70"/>
      <c r="D21" s="77" t="s">
        <v>502</v>
      </c>
      <c r="E21" s="70"/>
      <c r="F21" s="70"/>
      <c r="G21" s="70"/>
    </row>
    <row r="22" spans="1:7" s="115" customFormat="1">
      <c r="A22" s="115" t="s">
        <v>467</v>
      </c>
      <c r="B22" s="141">
        <v>71316.240000000005</v>
      </c>
    </row>
    <row r="23" spans="1:7" s="115" customFormat="1" ht="15.75">
      <c r="A23" s="131" t="s">
        <v>537</v>
      </c>
      <c r="B23" s="140">
        <f>B11</f>
        <v>29098.639999999999</v>
      </c>
    </row>
  </sheetData>
  <mergeCells count="3">
    <mergeCell ref="B6:C6"/>
    <mergeCell ref="F6:G6"/>
    <mergeCell ref="D6:E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1"/>
  <sheetViews>
    <sheetView workbookViewId="0">
      <selection activeCell="E32" sqref="E32"/>
    </sheetView>
  </sheetViews>
  <sheetFormatPr defaultRowHeight="15"/>
  <cols>
    <col min="1" max="1" width="18.44140625" customWidth="1"/>
    <col min="2" max="2" width="11.44140625" customWidth="1"/>
    <col min="3" max="3" width="8.5546875" bestFit="1" customWidth="1"/>
    <col min="4" max="4" width="11" bestFit="1" customWidth="1"/>
  </cols>
  <sheetData>
    <row r="1" spans="1:4" ht="15.75">
      <c r="A1" s="81" t="s">
        <v>464</v>
      </c>
    </row>
    <row r="3" spans="1:4">
      <c r="A3" s="77" t="s">
        <v>369</v>
      </c>
    </row>
    <row r="5" spans="1:4">
      <c r="A5" s="78">
        <v>41639</v>
      </c>
    </row>
    <row r="7" spans="1:4">
      <c r="B7" s="79" t="s">
        <v>316</v>
      </c>
      <c r="C7" s="79" t="s">
        <v>331</v>
      </c>
      <c r="D7" s="79" t="s">
        <v>101</v>
      </c>
    </row>
    <row r="8" spans="1:4" hidden="1">
      <c r="A8">
        <v>2013</v>
      </c>
      <c r="B8" s="75">
        <v>60869</v>
      </c>
      <c r="C8" s="75">
        <v>0</v>
      </c>
      <c r="D8" s="80">
        <f>SUM(B8:C8)</f>
        <v>60869</v>
      </c>
    </row>
    <row r="9" spans="1:4">
      <c r="A9">
        <v>2014</v>
      </c>
      <c r="B9" s="75">
        <v>60869</v>
      </c>
      <c r="C9" s="75">
        <v>0</v>
      </c>
      <c r="D9" s="80">
        <f>SUM(B9:C9)</f>
        <v>60869</v>
      </c>
    </row>
    <row r="10" spans="1:4" ht="16.5" thickBot="1">
      <c r="B10" s="82">
        <f>B9</f>
        <v>60869</v>
      </c>
      <c r="C10" s="113">
        <f>SUM(C8:C9)</f>
        <v>0</v>
      </c>
      <c r="D10" s="113">
        <f>SUM(D8:D9)</f>
        <v>121738</v>
      </c>
    </row>
    <row r="11" spans="1:4" ht="15.75" thickTop="1"/>
    <row r="12" spans="1:4">
      <c r="B12" s="70"/>
    </row>
    <row r="15" spans="1:4">
      <c r="A15" t="s">
        <v>468</v>
      </c>
      <c r="B15" s="130" t="s">
        <v>494</v>
      </c>
    </row>
    <row r="16" spans="1:4">
      <c r="A16" t="s">
        <v>467</v>
      </c>
      <c r="B16" s="115">
        <v>182607</v>
      </c>
    </row>
    <row r="19" spans="1:3">
      <c r="A19" s="77" t="s">
        <v>505</v>
      </c>
      <c r="B19" s="77" t="s">
        <v>504</v>
      </c>
    </row>
    <row r="21" spans="1:3" ht="15.75">
      <c r="C21" s="10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tabColor rgb="FFFFC000"/>
    <pageSetUpPr fitToPage="1"/>
  </sheetPr>
  <dimension ref="A1:AR76"/>
  <sheetViews>
    <sheetView workbookViewId="0">
      <pane xSplit="1" ySplit="7" topLeftCell="H41" activePane="bottomRight" state="frozen"/>
      <selection pane="topRight" activeCell="B1" sqref="B1"/>
      <selection pane="bottomLeft" activeCell="A8" sqref="A8"/>
      <selection pane="bottomRight" activeCell="AE55" sqref="AE55"/>
    </sheetView>
  </sheetViews>
  <sheetFormatPr defaultColWidth="9.77734375" defaultRowHeight="12.75"/>
  <cols>
    <col min="1" max="1" width="16.88671875" style="1" customWidth="1"/>
    <col min="2" max="2" width="12.88671875" style="1" customWidth="1"/>
    <col min="3" max="3" width="9.33203125" style="1" customWidth="1"/>
    <col min="4" max="4" width="10" style="1" customWidth="1"/>
    <col min="5" max="5" width="9.33203125" style="1" customWidth="1"/>
    <col min="6" max="6" width="9.33203125" style="1" hidden="1" customWidth="1"/>
    <col min="7" max="7" width="8.21875" style="1" hidden="1" customWidth="1"/>
    <col min="8" max="8" width="8.33203125" style="1" customWidth="1"/>
    <col min="9" max="9" width="7" style="1" customWidth="1"/>
    <col min="10" max="10" width="9.21875" style="1" customWidth="1"/>
    <col min="11" max="11" width="8.109375" style="1" customWidth="1"/>
    <col min="12" max="12" width="8.21875" style="1" hidden="1" customWidth="1"/>
    <col min="13" max="13" width="8" style="1" hidden="1" customWidth="1"/>
    <col min="14" max="14" width="8.6640625" style="1" hidden="1" customWidth="1"/>
    <col min="15" max="15" width="8.109375" style="1" hidden="1" customWidth="1"/>
    <col min="16" max="16" width="8" style="1" hidden="1" customWidth="1"/>
    <col min="17" max="17" width="7.44140625" style="1" hidden="1" customWidth="1"/>
    <col min="18" max="18" width="8.109375" style="1" hidden="1" customWidth="1"/>
    <col min="19" max="19" width="7.44140625" style="1" hidden="1" customWidth="1"/>
    <col min="20" max="20" width="7.6640625" style="1" hidden="1" customWidth="1"/>
    <col min="21" max="21" width="5.6640625" style="1" hidden="1" customWidth="1"/>
    <col min="22" max="22" width="7.6640625" style="1" hidden="1" customWidth="1"/>
    <col min="23" max="23" width="6.44140625" style="1" hidden="1" customWidth="1"/>
    <col min="24" max="24" width="10" style="1" hidden="1" customWidth="1"/>
    <col min="25" max="25" width="7.88671875" style="1" hidden="1" customWidth="1"/>
    <col min="26" max="26" width="9.77734375" style="1" hidden="1" customWidth="1"/>
    <col min="27" max="27" width="8.77734375" style="1" hidden="1" customWidth="1"/>
    <col min="28" max="28" width="9.109375" style="1" customWidth="1"/>
    <col min="29" max="29" width="8.5546875" style="1" customWidth="1"/>
    <col min="30" max="30" width="13.21875" style="1" customWidth="1"/>
    <col min="31" max="31" width="14.44140625" style="1" customWidth="1"/>
    <col min="32" max="32" width="10" style="1" customWidth="1"/>
    <col min="33" max="34" width="8.88671875" style="1" customWidth="1"/>
    <col min="35" max="35" width="9.21875" style="1" customWidth="1"/>
    <col min="36" max="36" width="4.21875" style="1" customWidth="1"/>
    <col min="37" max="16384" width="9.77734375" style="1"/>
  </cols>
  <sheetData>
    <row r="1" spans="1:42">
      <c r="C1" s="1" t="s">
        <v>102</v>
      </c>
      <c r="J1" s="1" t="s">
        <v>103</v>
      </c>
      <c r="X1" s="96" t="s">
        <v>375</v>
      </c>
      <c r="AE1" s="90" t="s">
        <v>556</v>
      </c>
    </row>
    <row r="2" spans="1:42">
      <c r="D2" s="89" t="s">
        <v>104</v>
      </c>
      <c r="H2" s="89" t="s">
        <v>105</v>
      </c>
      <c r="J2" s="89" t="s">
        <v>105</v>
      </c>
      <c r="N2" s="1" t="s">
        <v>106</v>
      </c>
      <c r="P2" s="1" t="s">
        <v>106</v>
      </c>
      <c r="Z2" s="1" t="s">
        <v>106</v>
      </c>
      <c r="AB2" s="1" t="s">
        <v>107</v>
      </c>
      <c r="AD2" s="95" t="s">
        <v>380</v>
      </c>
    </row>
    <row r="3" spans="1:42">
      <c r="B3" s="261">
        <v>3902</v>
      </c>
      <c r="C3" s="261"/>
      <c r="D3" s="261">
        <v>3908</v>
      </c>
      <c r="E3" s="261"/>
      <c r="F3" s="90"/>
      <c r="G3" s="91">
        <v>3906</v>
      </c>
      <c r="I3" s="94">
        <v>3909</v>
      </c>
      <c r="J3" s="90">
        <v>3910</v>
      </c>
      <c r="K3" s="91">
        <v>3911</v>
      </c>
      <c r="L3" s="90">
        <v>3880</v>
      </c>
      <c r="M3" s="92" t="s">
        <v>108</v>
      </c>
      <c r="N3" s="93">
        <v>3890</v>
      </c>
      <c r="O3" s="90" t="s">
        <v>109</v>
      </c>
      <c r="P3" s="90">
        <v>3810</v>
      </c>
      <c r="Q3" s="92" t="s">
        <v>108</v>
      </c>
      <c r="R3" s="90">
        <v>3820</v>
      </c>
      <c r="S3" s="91">
        <v>3830</v>
      </c>
      <c r="X3" s="90">
        <v>3901</v>
      </c>
      <c r="Z3" s="90">
        <v>3905</v>
      </c>
      <c r="AB3" s="90">
        <v>3907</v>
      </c>
    </row>
    <row r="4" spans="1:42">
      <c r="B4" s="261" t="s">
        <v>110</v>
      </c>
      <c r="C4" s="261"/>
      <c r="D4" s="261" t="s">
        <v>111</v>
      </c>
      <c r="E4" s="261"/>
      <c r="F4" s="261" t="s">
        <v>112</v>
      </c>
      <c r="G4" s="261"/>
      <c r="H4" s="261" t="s">
        <v>113</v>
      </c>
      <c r="I4" s="261"/>
      <c r="J4" s="261" t="s">
        <v>114</v>
      </c>
      <c r="K4" s="261"/>
      <c r="L4" s="262" t="s">
        <v>115</v>
      </c>
      <c r="M4" s="261"/>
      <c r="N4" s="261" t="s">
        <v>116</v>
      </c>
      <c r="O4" s="261"/>
      <c r="P4" s="261" t="s">
        <v>117</v>
      </c>
      <c r="Q4" s="261"/>
      <c r="R4" s="261" t="s">
        <v>118</v>
      </c>
      <c r="S4" s="261"/>
      <c r="T4" s="261" t="s">
        <v>119</v>
      </c>
      <c r="U4" s="261"/>
      <c r="V4" s="262" t="s">
        <v>120</v>
      </c>
      <c r="W4" s="261"/>
      <c r="X4" s="261" t="s">
        <v>121</v>
      </c>
      <c r="Y4" s="261"/>
      <c r="Z4" s="261" t="s">
        <v>122</v>
      </c>
      <c r="AA4" s="261"/>
      <c r="AB4" s="261" t="s">
        <v>123</v>
      </c>
      <c r="AC4" s="261"/>
      <c r="AD4" s="261" t="s">
        <v>379</v>
      </c>
      <c r="AE4" s="261"/>
    </row>
    <row r="5" spans="1:42">
      <c r="B5" s="265" t="s">
        <v>124</v>
      </c>
      <c r="C5" s="265"/>
      <c r="D5" s="261" t="s">
        <v>125</v>
      </c>
      <c r="E5" s="261"/>
      <c r="F5" s="264" t="s">
        <v>126</v>
      </c>
      <c r="G5" s="264"/>
      <c r="H5" s="262" t="s">
        <v>127</v>
      </c>
      <c r="I5" s="261"/>
      <c r="J5" s="261" t="s">
        <v>128</v>
      </c>
      <c r="K5" s="262"/>
      <c r="L5" s="264" t="s">
        <v>129</v>
      </c>
      <c r="M5" s="264"/>
      <c r="N5" s="264" t="s">
        <v>130</v>
      </c>
      <c r="O5" s="264"/>
      <c r="P5" s="264" t="s">
        <v>129</v>
      </c>
      <c r="Q5" s="264"/>
      <c r="R5" s="261" t="s">
        <v>131</v>
      </c>
      <c r="S5" s="261"/>
      <c r="T5" s="261" t="s">
        <v>132</v>
      </c>
      <c r="U5" s="261"/>
      <c r="V5" s="261" t="s">
        <v>133</v>
      </c>
      <c r="W5" s="261"/>
      <c r="X5" s="264" t="s">
        <v>134</v>
      </c>
      <c r="Y5" s="264"/>
      <c r="Z5" s="261" t="s">
        <v>135</v>
      </c>
      <c r="AA5" s="261"/>
      <c r="AB5" s="261" t="s">
        <v>136</v>
      </c>
      <c r="AC5" s="261"/>
      <c r="AD5" s="262" t="s">
        <v>378</v>
      </c>
      <c r="AE5" s="262"/>
      <c r="AF5" s="261" t="s">
        <v>137</v>
      </c>
      <c r="AG5" s="261"/>
      <c r="AH5" s="261" t="s">
        <v>138</v>
      </c>
      <c r="AI5" s="261"/>
    </row>
    <row r="6" spans="1:42">
      <c r="A6" s="87" t="s">
        <v>139</v>
      </c>
      <c r="B6" s="89" t="s">
        <v>140</v>
      </c>
      <c r="C6" s="87" t="s">
        <v>141</v>
      </c>
      <c r="D6" s="89" t="s">
        <v>140</v>
      </c>
      <c r="E6" s="87" t="s">
        <v>141</v>
      </c>
      <c r="F6" s="89" t="s">
        <v>140</v>
      </c>
      <c r="G6" s="87" t="s">
        <v>141</v>
      </c>
      <c r="H6" s="89" t="s">
        <v>140</v>
      </c>
      <c r="I6" s="87" t="s">
        <v>141</v>
      </c>
      <c r="J6" s="89" t="s">
        <v>140</v>
      </c>
      <c r="K6" s="87" t="s">
        <v>141</v>
      </c>
      <c r="L6" s="89" t="s">
        <v>140</v>
      </c>
      <c r="M6" s="87" t="s">
        <v>141</v>
      </c>
      <c r="N6" s="89" t="s">
        <v>140</v>
      </c>
      <c r="O6" s="87" t="s">
        <v>141</v>
      </c>
      <c r="P6" s="89" t="s">
        <v>140</v>
      </c>
      <c r="Q6" s="87" t="s">
        <v>141</v>
      </c>
      <c r="R6" s="89" t="s">
        <v>140</v>
      </c>
      <c r="S6" s="87" t="s">
        <v>141</v>
      </c>
      <c r="T6" s="89" t="s">
        <v>140</v>
      </c>
      <c r="U6" s="87" t="s">
        <v>141</v>
      </c>
      <c r="V6" s="89" t="s">
        <v>140</v>
      </c>
      <c r="W6" s="87" t="s">
        <v>141</v>
      </c>
      <c r="X6" s="89" t="s">
        <v>140</v>
      </c>
      <c r="Y6" s="87" t="s">
        <v>141</v>
      </c>
      <c r="Z6" s="89" t="s">
        <v>140</v>
      </c>
      <c r="AA6" s="87" t="s">
        <v>141</v>
      </c>
      <c r="AB6" s="89" t="s">
        <v>140</v>
      </c>
      <c r="AC6" s="87" t="s">
        <v>141</v>
      </c>
      <c r="AD6" s="89" t="s">
        <v>140</v>
      </c>
      <c r="AE6" s="87" t="s">
        <v>141</v>
      </c>
      <c r="AF6" s="89" t="s">
        <v>140</v>
      </c>
      <c r="AG6" s="87" t="s">
        <v>141</v>
      </c>
      <c r="AH6" s="89" t="s">
        <v>140</v>
      </c>
      <c r="AI6" s="87" t="s">
        <v>141</v>
      </c>
    </row>
    <row r="7" spans="1:42">
      <c r="A7" s="88" t="s">
        <v>377</v>
      </c>
      <c r="B7" s="87" t="s">
        <v>142</v>
      </c>
      <c r="C7" s="87" t="s">
        <v>143</v>
      </c>
      <c r="D7" s="87" t="s">
        <v>142</v>
      </c>
      <c r="E7" s="87" t="s">
        <v>143</v>
      </c>
      <c r="F7" s="87" t="s">
        <v>142</v>
      </c>
      <c r="G7" s="87" t="s">
        <v>143</v>
      </c>
      <c r="H7" s="87" t="s">
        <v>142</v>
      </c>
      <c r="I7" s="87" t="s">
        <v>143</v>
      </c>
      <c r="J7" s="87" t="s">
        <v>142</v>
      </c>
      <c r="K7" s="87" t="s">
        <v>143</v>
      </c>
      <c r="L7" s="87" t="s">
        <v>142</v>
      </c>
      <c r="M7" s="87" t="s">
        <v>143</v>
      </c>
      <c r="N7" s="87" t="s">
        <v>142</v>
      </c>
      <c r="O7" s="87" t="s">
        <v>143</v>
      </c>
      <c r="P7" s="87" t="s">
        <v>142</v>
      </c>
      <c r="Q7" s="87" t="s">
        <v>143</v>
      </c>
      <c r="R7" s="87" t="s">
        <v>142</v>
      </c>
      <c r="S7" s="87" t="s">
        <v>143</v>
      </c>
      <c r="T7" s="87" t="s">
        <v>142</v>
      </c>
      <c r="U7" s="87" t="s">
        <v>143</v>
      </c>
      <c r="V7" s="87" t="s">
        <v>142</v>
      </c>
      <c r="W7" s="87" t="s">
        <v>143</v>
      </c>
      <c r="X7" s="87" t="s">
        <v>142</v>
      </c>
      <c r="Y7" s="87" t="s">
        <v>143</v>
      </c>
      <c r="Z7" s="87" t="s">
        <v>142</v>
      </c>
      <c r="AA7" s="87" t="s">
        <v>143</v>
      </c>
      <c r="AB7" s="87" t="s">
        <v>142</v>
      </c>
      <c r="AC7" s="87" t="s">
        <v>143</v>
      </c>
      <c r="AD7" s="87" t="s">
        <v>142</v>
      </c>
      <c r="AE7" s="87" t="s">
        <v>143</v>
      </c>
      <c r="AF7" s="87" t="s">
        <v>142</v>
      </c>
      <c r="AG7" s="87" t="s">
        <v>143</v>
      </c>
      <c r="AH7" s="87" t="s">
        <v>142</v>
      </c>
      <c r="AI7" s="87" t="s">
        <v>143</v>
      </c>
    </row>
    <row r="8" spans="1:42">
      <c r="A8" s="1" t="s">
        <v>144</v>
      </c>
      <c r="B8" s="2"/>
      <c r="C8" s="2">
        <v>35562</v>
      </c>
      <c r="D8" s="2"/>
      <c r="F8" s="2"/>
      <c r="G8" s="2"/>
      <c r="H8" s="2"/>
      <c r="I8" s="2"/>
      <c r="J8" s="2">
        <v>925000</v>
      </c>
      <c r="K8" s="2">
        <v>228806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  <c r="AA8" s="2"/>
      <c r="AB8" s="2"/>
      <c r="AC8" s="2">
        <v>190750</v>
      </c>
      <c r="AD8" s="2"/>
      <c r="AE8" s="2">
        <v>83541.25</v>
      </c>
      <c r="AF8" s="2">
        <f t="shared" ref="AF8:AF35" si="0">(B8+D8+F8+H8+J8+L8+N8+P8+R8+T8+V8+X8+Z8+AB8+AD8)</f>
        <v>925000</v>
      </c>
      <c r="AG8" s="2">
        <f t="shared" ref="AG8:AG35" si="1">(C8+E8+G8+I8+K8+M8+O8+Q8+S8+U8+W8+Y8+AA8+AC8+AE8)</f>
        <v>538659.25</v>
      </c>
      <c r="AH8" s="2"/>
      <c r="AI8" s="2"/>
      <c r="AJ8" s="4"/>
      <c r="AK8" s="2"/>
      <c r="AL8" s="2"/>
      <c r="AM8" s="2"/>
      <c r="AN8" s="2"/>
      <c r="AO8" s="2"/>
      <c r="AP8" s="2"/>
    </row>
    <row r="9" spans="1:42">
      <c r="A9" s="1" t="s">
        <v>145</v>
      </c>
      <c r="B9" s="2"/>
      <c r="C9" s="2"/>
      <c r="D9" s="2">
        <v>925000</v>
      </c>
      <c r="E9" s="2">
        <v>351141</v>
      </c>
      <c r="F9" s="2"/>
      <c r="G9" s="2"/>
      <c r="H9" s="2"/>
      <c r="I9" s="2">
        <v>21656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  <c r="AA9" s="2"/>
      <c r="AB9" s="2"/>
      <c r="AC9" s="2"/>
      <c r="AD9" s="2"/>
      <c r="AE9" s="2"/>
      <c r="AF9" s="2">
        <f t="shared" si="0"/>
        <v>925000</v>
      </c>
      <c r="AG9" s="2">
        <f t="shared" si="1"/>
        <v>372797</v>
      </c>
      <c r="AH9" s="2"/>
      <c r="AI9" s="2"/>
      <c r="AJ9" s="4"/>
      <c r="AK9" s="2"/>
      <c r="AL9" s="2"/>
      <c r="AM9" s="2"/>
      <c r="AN9" s="2"/>
      <c r="AO9" s="2"/>
      <c r="AP9" s="2"/>
    </row>
    <row r="10" spans="1:42">
      <c r="A10" s="1" t="s">
        <v>146</v>
      </c>
      <c r="B10" s="2">
        <v>150000</v>
      </c>
      <c r="C10" s="2">
        <v>35563</v>
      </c>
      <c r="F10" s="2"/>
      <c r="G10" s="2"/>
      <c r="H10" s="2"/>
      <c r="I10" s="2"/>
      <c r="J10" s="2"/>
      <c r="K10" s="2">
        <v>212619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  <c r="AA10" s="2"/>
      <c r="AB10" s="2">
        <v>3000000</v>
      </c>
      <c r="AC10" s="2">
        <v>190750</v>
      </c>
      <c r="AD10" s="2">
        <v>1285000</v>
      </c>
      <c r="AE10" s="2">
        <v>83541.25</v>
      </c>
      <c r="AF10" s="2">
        <f t="shared" si="0"/>
        <v>4435000</v>
      </c>
      <c r="AG10" s="2">
        <f t="shared" si="1"/>
        <v>522473.25</v>
      </c>
      <c r="AH10" s="2">
        <f>SUM(AF8:AF10)</f>
        <v>6285000</v>
      </c>
      <c r="AI10" s="2">
        <f>SUM(AG8:AG10)</f>
        <v>1433929.5</v>
      </c>
      <c r="AJ10" s="4">
        <v>2014</v>
      </c>
      <c r="AK10" s="2"/>
      <c r="AL10" s="2"/>
      <c r="AM10" s="2"/>
      <c r="AN10" s="2"/>
      <c r="AO10" s="2"/>
      <c r="AP10" s="2"/>
    </row>
    <row r="11" spans="1:42">
      <c r="A11" s="1" t="s">
        <v>147</v>
      </c>
      <c r="B11" s="2"/>
      <c r="C11" s="2"/>
      <c r="D11" s="2"/>
      <c r="E11" s="2">
        <v>332641</v>
      </c>
      <c r="F11" s="2"/>
      <c r="G11" s="2"/>
      <c r="H11" s="2">
        <v>1050000</v>
      </c>
      <c r="I11" s="2">
        <v>21656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2"/>
      <c r="AB11" s="2"/>
      <c r="AC11" s="2"/>
      <c r="AD11" s="2"/>
      <c r="AE11" s="2"/>
      <c r="AF11" s="2">
        <f t="shared" si="0"/>
        <v>1050000</v>
      </c>
      <c r="AG11" s="2">
        <f t="shared" si="1"/>
        <v>354297</v>
      </c>
      <c r="AH11" s="2"/>
      <c r="AI11" s="2"/>
      <c r="AJ11" s="4"/>
      <c r="AK11" s="2"/>
      <c r="AL11" s="2"/>
      <c r="AM11" s="2"/>
      <c r="AN11" s="2"/>
      <c r="AO11" s="2"/>
      <c r="AP11" s="2"/>
    </row>
    <row r="12" spans="1:42">
      <c r="A12" s="1" t="s">
        <v>148</v>
      </c>
      <c r="B12" s="2"/>
      <c r="C12" s="2">
        <v>32562</v>
      </c>
      <c r="D12" s="2"/>
      <c r="F12" s="2"/>
      <c r="G12" s="2"/>
      <c r="H12" s="2"/>
      <c r="I12" s="2"/>
      <c r="J12" s="2">
        <v>950000</v>
      </c>
      <c r="K12" s="2">
        <v>212619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2"/>
      <c r="AB12" s="2"/>
      <c r="AC12" s="2">
        <v>134500</v>
      </c>
      <c r="AD12" s="2"/>
      <c r="AE12" s="2">
        <v>73903.75</v>
      </c>
      <c r="AF12" s="2">
        <f t="shared" si="0"/>
        <v>950000</v>
      </c>
      <c r="AG12" s="2">
        <f t="shared" si="1"/>
        <v>453584.75</v>
      </c>
      <c r="AH12" s="2"/>
      <c r="AI12" s="2"/>
      <c r="AJ12" s="4"/>
      <c r="AK12" s="2"/>
      <c r="AL12" s="2"/>
      <c r="AM12" s="2"/>
      <c r="AN12" s="2"/>
      <c r="AO12" s="2"/>
      <c r="AP12" s="2"/>
    </row>
    <row r="13" spans="1:42">
      <c r="A13" s="1" t="s">
        <v>149</v>
      </c>
      <c r="B13" s="2"/>
      <c r="C13" s="2"/>
      <c r="D13" s="2">
        <v>950000</v>
      </c>
      <c r="E13" s="2">
        <v>332641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2"/>
      <c r="AB13" s="2"/>
      <c r="AC13" s="2"/>
      <c r="AD13" s="2"/>
      <c r="AE13" s="2"/>
      <c r="AF13" s="2">
        <f t="shared" si="0"/>
        <v>950000</v>
      </c>
      <c r="AG13" s="2">
        <f t="shared" si="1"/>
        <v>332641</v>
      </c>
      <c r="AH13" s="2"/>
      <c r="AI13" s="2"/>
      <c r="AJ13" s="4"/>
      <c r="AK13" s="2"/>
      <c r="AL13" s="2"/>
      <c r="AM13" s="2"/>
      <c r="AN13" s="2"/>
      <c r="AO13" s="2"/>
      <c r="AP13" s="2"/>
    </row>
    <row r="14" spans="1:42">
      <c r="A14" s="1" t="s">
        <v>150</v>
      </c>
      <c r="B14" s="2">
        <v>150000</v>
      </c>
      <c r="C14" s="2">
        <v>32563</v>
      </c>
      <c r="D14" s="2"/>
      <c r="E14" s="2"/>
      <c r="F14" s="2"/>
      <c r="G14" s="2"/>
      <c r="H14" s="2"/>
      <c r="I14" s="2"/>
      <c r="J14" s="2"/>
      <c r="K14" s="2">
        <v>195994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A14" s="2"/>
      <c r="AB14" s="2">
        <v>3275000</v>
      </c>
      <c r="AC14" s="2">
        <v>134500</v>
      </c>
      <c r="AD14" s="2">
        <v>1325000</v>
      </c>
      <c r="AE14" s="2">
        <v>73903.75</v>
      </c>
      <c r="AF14" s="2">
        <f t="shared" si="0"/>
        <v>4750000</v>
      </c>
      <c r="AG14" s="2">
        <f t="shared" si="1"/>
        <v>436960.75</v>
      </c>
      <c r="AH14" s="2">
        <f>SUM(AF11:AF14)</f>
        <v>7700000</v>
      </c>
      <c r="AI14" s="2">
        <f>SUM(AG11:AG14)</f>
        <v>1577483.5</v>
      </c>
      <c r="AJ14" s="4">
        <v>2015</v>
      </c>
      <c r="AK14" s="2"/>
      <c r="AL14" s="2"/>
      <c r="AM14" s="2"/>
      <c r="AN14" s="2"/>
      <c r="AO14" s="2"/>
      <c r="AP14" s="2"/>
    </row>
    <row r="15" spans="1:42">
      <c r="A15" s="1" t="s">
        <v>151</v>
      </c>
      <c r="B15" s="2"/>
      <c r="C15" s="2"/>
      <c r="D15" s="2"/>
      <c r="E15" s="2">
        <v>313641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2"/>
      <c r="AB15" s="2"/>
      <c r="AC15" s="2"/>
      <c r="AD15" s="2"/>
      <c r="AE15" s="2"/>
      <c r="AF15" s="2">
        <f t="shared" si="0"/>
        <v>0</v>
      </c>
      <c r="AG15" s="2">
        <f t="shared" si="1"/>
        <v>313641</v>
      </c>
      <c r="AH15" s="2"/>
      <c r="AI15" s="2"/>
      <c r="AJ15" s="4"/>
      <c r="AK15" s="2"/>
      <c r="AL15" s="2"/>
      <c r="AM15" s="2"/>
      <c r="AN15" s="2"/>
      <c r="AO15" s="2"/>
      <c r="AP15" s="2"/>
    </row>
    <row r="16" spans="1:42">
      <c r="A16" s="1" t="s">
        <v>152</v>
      </c>
      <c r="B16" s="2"/>
      <c r="C16" s="2">
        <v>29562</v>
      </c>
      <c r="D16" s="2"/>
      <c r="E16" s="2"/>
      <c r="F16" s="2"/>
      <c r="G16" s="2"/>
      <c r="H16" s="2"/>
      <c r="I16" s="2"/>
      <c r="J16" s="2">
        <v>1000000</v>
      </c>
      <c r="K16" s="2">
        <v>195994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2"/>
      <c r="AB16" s="2"/>
      <c r="AC16" s="2">
        <v>69000</v>
      </c>
      <c r="AD16" s="2"/>
      <c r="AE16" s="2">
        <v>63966.25</v>
      </c>
      <c r="AF16" s="2">
        <f t="shared" si="0"/>
        <v>1000000</v>
      </c>
      <c r="AG16" s="2">
        <f t="shared" si="1"/>
        <v>358522.25</v>
      </c>
      <c r="AH16" s="2"/>
      <c r="AI16" s="2"/>
      <c r="AJ16" s="4"/>
      <c r="AK16" s="2"/>
      <c r="AL16" s="2"/>
      <c r="AM16" s="2"/>
      <c r="AN16" s="2"/>
      <c r="AO16" s="2"/>
      <c r="AP16" s="2"/>
    </row>
    <row r="17" spans="1:42">
      <c r="A17" s="1" t="s">
        <v>153</v>
      </c>
      <c r="B17" s="2"/>
      <c r="C17" s="2"/>
      <c r="D17" s="2">
        <v>1000000</v>
      </c>
      <c r="E17" s="2">
        <v>313641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2"/>
      <c r="AB17" s="2"/>
      <c r="AC17" s="2"/>
      <c r="AD17" s="2"/>
      <c r="AE17" s="2"/>
      <c r="AF17" s="2">
        <f t="shared" si="0"/>
        <v>1000000</v>
      </c>
      <c r="AG17" s="2">
        <f t="shared" si="1"/>
        <v>313641</v>
      </c>
      <c r="AH17" s="2"/>
      <c r="AI17" s="2"/>
      <c r="AJ17" s="4"/>
      <c r="AK17" s="2"/>
      <c r="AL17" s="2"/>
      <c r="AM17" s="2"/>
      <c r="AN17" s="2"/>
      <c r="AO17" s="2"/>
      <c r="AP17" s="2"/>
    </row>
    <row r="18" spans="1:42">
      <c r="A18" s="1" t="s">
        <v>154</v>
      </c>
      <c r="B18" s="2">
        <v>175000</v>
      </c>
      <c r="C18" s="2">
        <v>29563</v>
      </c>
      <c r="D18" s="2"/>
      <c r="E18" s="2"/>
      <c r="F18" s="2"/>
      <c r="G18" s="2"/>
      <c r="H18" s="2"/>
      <c r="I18" s="2"/>
      <c r="J18" s="2"/>
      <c r="K18" s="2">
        <v>177244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2"/>
      <c r="AB18" s="2">
        <v>3450000</v>
      </c>
      <c r="AC18" s="2">
        <v>69000</v>
      </c>
      <c r="AD18" s="2">
        <v>1345000</v>
      </c>
      <c r="AE18" s="2">
        <v>63966.25</v>
      </c>
      <c r="AF18" s="2">
        <f t="shared" si="0"/>
        <v>4970000</v>
      </c>
      <c r="AG18" s="2">
        <f t="shared" si="1"/>
        <v>339773.25</v>
      </c>
      <c r="AH18" s="2">
        <f>SUM(AF15:AF18)</f>
        <v>6970000</v>
      </c>
      <c r="AI18" s="2">
        <f>SUM(AG15:AG18)</f>
        <v>1325577.5</v>
      </c>
      <c r="AJ18" s="4">
        <v>2016</v>
      </c>
      <c r="AK18" s="2"/>
      <c r="AL18" s="2"/>
      <c r="AM18" s="2"/>
      <c r="AN18" s="2"/>
      <c r="AO18" s="2"/>
      <c r="AP18" s="2"/>
    </row>
    <row r="19" spans="1:42">
      <c r="A19" s="1" t="s">
        <v>155</v>
      </c>
      <c r="B19" s="2"/>
      <c r="C19" s="2"/>
      <c r="D19" s="2"/>
      <c r="E19" s="2">
        <v>293641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  <c r="AA19" s="2"/>
      <c r="AB19" s="2"/>
      <c r="AC19" s="2"/>
      <c r="AD19" s="2"/>
      <c r="AE19" s="2"/>
      <c r="AF19" s="2">
        <f t="shared" si="0"/>
        <v>0</v>
      </c>
      <c r="AG19" s="2">
        <f t="shared" si="1"/>
        <v>293641</v>
      </c>
      <c r="AH19" s="2"/>
      <c r="AI19" s="2"/>
      <c r="AJ19" s="4"/>
      <c r="AK19" s="2"/>
      <c r="AL19" s="2"/>
      <c r="AM19" s="2"/>
      <c r="AN19" s="2"/>
      <c r="AO19" s="2"/>
      <c r="AP19" s="2"/>
    </row>
    <row r="20" spans="1:42">
      <c r="A20" s="1" t="s">
        <v>156</v>
      </c>
      <c r="B20" s="2"/>
      <c r="C20" s="2">
        <v>25953</v>
      </c>
      <c r="D20" s="2"/>
      <c r="E20" s="2"/>
      <c r="F20" s="2"/>
      <c r="G20" s="2"/>
      <c r="H20" s="2"/>
      <c r="I20" s="2"/>
      <c r="J20" s="2">
        <v>1025000</v>
      </c>
      <c r="K20" s="2">
        <v>177244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2"/>
      <c r="AB20" s="2"/>
      <c r="AC20" s="2"/>
      <c r="AD20" s="2"/>
      <c r="AE20" s="2">
        <v>53878.75</v>
      </c>
      <c r="AF20" s="2">
        <f t="shared" si="0"/>
        <v>1025000</v>
      </c>
      <c r="AG20" s="2">
        <f t="shared" si="1"/>
        <v>257075.75</v>
      </c>
      <c r="AH20" s="2"/>
      <c r="AI20" s="2"/>
      <c r="AJ20" s="4"/>
      <c r="AK20" s="2"/>
      <c r="AL20" s="2"/>
      <c r="AM20" s="2"/>
      <c r="AN20" s="2"/>
      <c r="AO20" s="2"/>
      <c r="AP20" s="2"/>
    </row>
    <row r="21" spans="1:42">
      <c r="A21" s="1" t="s">
        <v>157</v>
      </c>
      <c r="B21" s="2"/>
      <c r="C21" s="2"/>
      <c r="D21" s="2">
        <v>1025000</v>
      </c>
      <c r="E21" s="2">
        <v>293640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2"/>
      <c r="AB21" s="2"/>
      <c r="AC21" s="2"/>
      <c r="AD21" s="2"/>
      <c r="AE21" s="2"/>
      <c r="AF21" s="2">
        <f t="shared" si="0"/>
        <v>1025000</v>
      </c>
      <c r="AG21" s="2">
        <f t="shared" si="1"/>
        <v>293640</v>
      </c>
      <c r="AH21" s="2"/>
      <c r="AI21" s="2"/>
      <c r="AJ21" s="4"/>
      <c r="AK21" s="2"/>
      <c r="AL21" s="2"/>
      <c r="AM21" s="2"/>
      <c r="AN21" s="2"/>
      <c r="AO21" s="2"/>
      <c r="AP21" s="2"/>
    </row>
    <row r="22" spans="1:42">
      <c r="A22" s="1" t="s">
        <v>158</v>
      </c>
      <c r="B22" s="2">
        <v>175000</v>
      </c>
      <c r="C22" s="2">
        <v>25953</v>
      </c>
      <c r="D22" s="2"/>
      <c r="E22" s="2"/>
      <c r="F22" s="2"/>
      <c r="G22" s="2"/>
      <c r="H22" s="2"/>
      <c r="I22" s="2"/>
      <c r="J22" s="2"/>
      <c r="K22" s="2">
        <v>158025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2"/>
      <c r="AB22" s="2"/>
      <c r="AC22" s="2"/>
      <c r="AD22" s="2">
        <v>1380000</v>
      </c>
      <c r="AE22" s="2">
        <v>53878.75</v>
      </c>
      <c r="AF22" s="2">
        <f t="shared" si="0"/>
        <v>1555000</v>
      </c>
      <c r="AG22" s="2">
        <f t="shared" si="1"/>
        <v>237856.75</v>
      </c>
      <c r="AH22" s="2">
        <f>SUM(AF19:AF22)</f>
        <v>3605000</v>
      </c>
      <c r="AI22" s="2">
        <f>SUM(AG19:AG22)</f>
        <v>1082213.5</v>
      </c>
      <c r="AJ22" s="4">
        <v>2017</v>
      </c>
      <c r="AK22" s="2"/>
      <c r="AL22" s="2"/>
      <c r="AM22" s="2"/>
      <c r="AN22" s="2"/>
      <c r="AO22" s="2"/>
      <c r="AP22" s="2"/>
    </row>
    <row r="23" spans="1:42">
      <c r="A23" s="1" t="s">
        <v>159</v>
      </c>
      <c r="B23" s="2"/>
      <c r="C23" s="2"/>
      <c r="D23" s="2"/>
      <c r="E23" s="2">
        <v>273141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2"/>
      <c r="AB23" s="2"/>
      <c r="AC23" s="2"/>
      <c r="AD23" s="2"/>
      <c r="AE23" s="2"/>
      <c r="AF23" s="2">
        <f t="shared" si="0"/>
        <v>0</v>
      </c>
      <c r="AG23" s="2">
        <f t="shared" si="1"/>
        <v>273141</v>
      </c>
      <c r="AH23" s="2"/>
      <c r="AI23" s="2"/>
      <c r="AJ23" s="4"/>
      <c r="AK23" s="2"/>
      <c r="AL23" s="2"/>
      <c r="AM23" s="2"/>
      <c r="AN23" s="2"/>
      <c r="AO23" s="2"/>
      <c r="AP23" s="2"/>
    </row>
    <row r="24" spans="1:42">
      <c r="A24" s="1" t="s">
        <v>160</v>
      </c>
      <c r="B24" s="2"/>
      <c r="C24" s="2">
        <v>22234</v>
      </c>
      <c r="D24" s="2"/>
      <c r="E24" s="2"/>
      <c r="F24" s="2"/>
      <c r="G24" s="2"/>
      <c r="H24" s="2"/>
      <c r="I24" s="2"/>
      <c r="J24" s="2">
        <v>1055000</v>
      </c>
      <c r="K24" s="2">
        <v>158025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2"/>
      <c r="AB24" s="2"/>
      <c r="AC24" s="2"/>
      <c r="AD24" s="2"/>
      <c r="AE24" s="2">
        <v>43528.75</v>
      </c>
      <c r="AF24" s="2">
        <f t="shared" si="0"/>
        <v>1055000</v>
      </c>
      <c r="AG24" s="2">
        <f t="shared" si="1"/>
        <v>223787.75</v>
      </c>
      <c r="AH24" s="2"/>
      <c r="AI24" s="2"/>
      <c r="AJ24" s="4"/>
      <c r="AK24" s="2"/>
      <c r="AL24" s="2"/>
      <c r="AM24" s="2"/>
      <c r="AN24" s="2"/>
      <c r="AO24" s="2"/>
      <c r="AP24" s="2"/>
    </row>
    <row r="25" spans="1:42">
      <c r="A25" s="1" t="s">
        <v>161</v>
      </c>
      <c r="B25" s="2"/>
      <c r="C25" s="2"/>
      <c r="D25" s="2">
        <v>1075000</v>
      </c>
      <c r="E25" s="2">
        <v>273140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  <c r="AA25" s="2"/>
      <c r="AB25" s="2"/>
      <c r="AC25" s="2"/>
      <c r="AD25" s="2"/>
      <c r="AE25" s="2"/>
      <c r="AF25" s="2">
        <f t="shared" si="0"/>
        <v>1075000</v>
      </c>
      <c r="AG25" s="2">
        <f t="shared" si="1"/>
        <v>273140</v>
      </c>
      <c r="AH25" s="2"/>
      <c r="AI25" s="2"/>
      <c r="AJ25" s="4"/>
      <c r="AK25" s="2"/>
      <c r="AL25" s="2"/>
      <c r="AM25" s="2"/>
      <c r="AN25" s="2"/>
      <c r="AO25" s="2"/>
      <c r="AP25" s="2"/>
    </row>
    <row r="26" spans="1:42">
      <c r="A26" s="1" t="s">
        <v>162</v>
      </c>
      <c r="B26" s="2">
        <v>175000</v>
      </c>
      <c r="C26" s="2">
        <v>22235</v>
      </c>
      <c r="D26" s="2"/>
      <c r="E26" s="2"/>
      <c r="F26" s="2"/>
      <c r="G26" s="2"/>
      <c r="H26" s="2"/>
      <c r="I26" s="2"/>
      <c r="J26" s="2"/>
      <c r="K26" s="2">
        <v>138244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  <c r="AA26" s="2"/>
      <c r="AB26" s="2"/>
      <c r="AC26" s="2"/>
      <c r="AD26" s="2">
        <v>1385000</v>
      </c>
      <c r="AE26" s="2">
        <v>43528.75</v>
      </c>
      <c r="AF26" s="2">
        <f t="shared" si="0"/>
        <v>1560000</v>
      </c>
      <c r="AG26" s="2">
        <f t="shared" si="1"/>
        <v>204007.75</v>
      </c>
      <c r="AH26" s="2">
        <f>SUM(AF23:AF26)</f>
        <v>3690000</v>
      </c>
      <c r="AI26" s="2">
        <f>SUM(AG23:AG26)</f>
        <v>974076.5</v>
      </c>
      <c r="AJ26" s="4">
        <v>2018</v>
      </c>
      <c r="AK26" s="2"/>
      <c r="AL26" s="2"/>
      <c r="AM26" s="2"/>
      <c r="AN26" s="2"/>
      <c r="AO26" s="2"/>
      <c r="AP26" s="2"/>
    </row>
    <row r="27" spans="1:42">
      <c r="A27" s="1" t="s">
        <v>163</v>
      </c>
      <c r="B27" s="2"/>
      <c r="C27" s="2"/>
      <c r="D27" s="2"/>
      <c r="E27" s="2">
        <v>251641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  <c r="AA27" s="2"/>
      <c r="AB27" s="2"/>
      <c r="AC27" s="2"/>
      <c r="AD27" s="2"/>
      <c r="AE27" s="2"/>
      <c r="AF27" s="2">
        <f t="shared" si="0"/>
        <v>0</v>
      </c>
      <c r="AG27" s="2">
        <f t="shared" si="1"/>
        <v>251641</v>
      </c>
      <c r="AH27" s="2"/>
      <c r="AI27" s="2"/>
      <c r="AJ27" s="4"/>
      <c r="AK27" s="2"/>
      <c r="AL27" s="2"/>
      <c r="AM27" s="2"/>
      <c r="AN27" s="2"/>
      <c r="AO27" s="2"/>
      <c r="AP27" s="2"/>
    </row>
    <row r="28" spans="1:42">
      <c r="A28" s="1" t="s">
        <v>164</v>
      </c>
      <c r="B28" s="2"/>
      <c r="C28" s="2">
        <v>18406</v>
      </c>
      <c r="D28" s="2"/>
      <c r="E28" s="2"/>
      <c r="F28" s="2"/>
      <c r="G28" s="2"/>
      <c r="H28" s="2"/>
      <c r="I28" s="2"/>
      <c r="J28" s="2">
        <v>525000</v>
      </c>
      <c r="K28" s="2">
        <v>138244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  <c r="AA28" s="2"/>
      <c r="AB28" s="2"/>
      <c r="AC28" s="2"/>
      <c r="AD28" s="2"/>
      <c r="AE28" s="2">
        <v>33141.25</v>
      </c>
      <c r="AF28" s="2">
        <f t="shared" si="0"/>
        <v>525000</v>
      </c>
      <c r="AG28" s="2">
        <f t="shared" si="1"/>
        <v>189791.25</v>
      </c>
      <c r="AH28" s="2"/>
      <c r="AI28" s="2"/>
      <c r="AJ28" s="4"/>
      <c r="AK28" s="2"/>
      <c r="AL28" s="2"/>
      <c r="AM28" s="2"/>
      <c r="AN28" s="2"/>
      <c r="AO28" s="2"/>
      <c r="AP28" s="2"/>
    </row>
    <row r="29" spans="1:42">
      <c r="A29" s="1" t="s">
        <v>165</v>
      </c>
      <c r="B29" s="2"/>
      <c r="C29" s="2"/>
      <c r="D29" s="2">
        <v>1125000</v>
      </c>
      <c r="E29" s="2">
        <v>251640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2"/>
      <c r="AB29" s="2"/>
      <c r="AC29" s="2"/>
      <c r="AD29" s="2"/>
      <c r="AE29" s="2"/>
      <c r="AF29" s="2">
        <f t="shared" si="0"/>
        <v>1125000</v>
      </c>
      <c r="AG29" s="2">
        <f t="shared" si="1"/>
        <v>251640</v>
      </c>
      <c r="AH29" s="2"/>
      <c r="AI29" s="2"/>
      <c r="AJ29" s="4"/>
      <c r="AK29" s="2"/>
      <c r="AL29" s="2"/>
      <c r="AM29" s="2"/>
      <c r="AN29" s="2"/>
      <c r="AO29" s="2"/>
      <c r="AP29" s="2"/>
    </row>
    <row r="30" spans="1:42">
      <c r="A30" s="1" t="s">
        <v>166</v>
      </c>
      <c r="B30" s="2">
        <v>175000</v>
      </c>
      <c r="C30" s="2">
        <v>18407</v>
      </c>
      <c r="D30" s="2"/>
      <c r="E30" s="2"/>
      <c r="F30" s="2"/>
      <c r="G30" s="2"/>
      <c r="H30" s="2"/>
      <c r="I30" s="2"/>
      <c r="J30" s="2"/>
      <c r="K30" s="2">
        <v>127744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  <c r="AA30" s="2"/>
      <c r="AB30" s="2"/>
      <c r="AC30" s="2"/>
      <c r="AD30" s="2">
        <v>1365000</v>
      </c>
      <c r="AE30" s="2">
        <v>33141.25</v>
      </c>
      <c r="AF30" s="2">
        <f t="shared" si="0"/>
        <v>1540000</v>
      </c>
      <c r="AG30" s="2">
        <f t="shared" si="1"/>
        <v>179292.25</v>
      </c>
      <c r="AH30" s="2">
        <f>SUM(AF27:AF30)</f>
        <v>3190000</v>
      </c>
      <c r="AI30" s="2">
        <f>SUM(AG27:AG30)</f>
        <v>872364.5</v>
      </c>
      <c r="AJ30" s="4">
        <v>2019</v>
      </c>
      <c r="AK30" s="2"/>
      <c r="AL30" s="2"/>
      <c r="AM30" s="2"/>
      <c r="AN30" s="2"/>
      <c r="AO30" s="2"/>
      <c r="AP30" s="2"/>
    </row>
    <row r="31" spans="1:42">
      <c r="A31" s="1" t="s">
        <v>167</v>
      </c>
      <c r="B31" s="2"/>
      <c r="C31" s="2"/>
      <c r="D31" s="2"/>
      <c r="E31" s="2">
        <v>229141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A31" s="2"/>
      <c r="AB31" s="2"/>
      <c r="AC31" s="2"/>
      <c r="AD31" s="2"/>
      <c r="AE31" s="2"/>
      <c r="AF31" s="2">
        <f t="shared" si="0"/>
        <v>0</v>
      </c>
      <c r="AG31" s="2">
        <f t="shared" si="1"/>
        <v>229141</v>
      </c>
      <c r="AH31" s="2"/>
      <c r="AI31" s="2"/>
      <c r="AJ31" s="4"/>
      <c r="AK31" s="2"/>
      <c r="AL31" s="2"/>
      <c r="AM31" s="2"/>
      <c r="AN31" s="2"/>
      <c r="AO31" s="2"/>
      <c r="AP31" s="2"/>
    </row>
    <row r="32" spans="1:42">
      <c r="A32" s="1" t="s">
        <v>168</v>
      </c>
      <c r="B32" s="2"/>
      <c r="C32" s="2">
        <v>14469</v>
      </c>
      <c r="D32" s="2"/>
      <c r="E32" s="2"/>
      <c r="F32" s="2"/>
      <c r="G32" s="2"/>
      <c r="H32" s="2"/>
      <c r="I32" s="2"/>
      <c r="J32" s="2">
        <v>550000</v>
      </c>
      <c r="K32" s="2">
        <v>127744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  <c r="AA32" s="2"/>
      <c r="AB32" s="2"/>
      <c r="AC32" s="2"/>
      <c r="AD32" s="2"/>
      <c r="AE32" s="2">
        <v>21197.5</v>
      </c>
      <c r="AF32" s="2">
        <f t="shared" si="0"/>
        <v>550000</v>
      </c>
      <c r="AG32" s="2">
        <f t="shared" si="1"/>
        <v>163410.5</v>
      </c>
      <c r="AH32" s="2"/>
      <c r="AI32" s="2"/>
      <c r="AJ32" s="4"/>
      <c r="AK32" s="2"/>
      <c r="AL32" s="2"/>
      <c r="AM32" s="2"/>
      <c r="AN32" s="2"/>
      <c r="AO32" s="2"/>
      <c r="AP32" s="2"/>
    </row>
    <row r="33" spans="1:42">
      <c r="A33" s="1" t="s">
        <v>169</v>
      </c>
      <c r="B33" s="2"/>
      <c r="C33" s="2"/>
      <c r="D33" s="2">
        <v>1175000</v>
      </c>
      <c r="E33" s="2">
        <v>229140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  <c r="AA33" s="2"/>
      <c r="AB33" s="2"/>
      <c r="AC33" s="2"/>
      <c r="AD33" s="2"/>
      <c r="AE33" s="2"/>
      <c r="AF33" s="2">
        <f t="shared" si="0"/>
        <v>1175000</v>
      </c>
      <c r="AG33" s="2">
        <f t="shared" si="1"/>
        <v>229140</v>
      </c>
      <c r="AH33" s="2"/>
      <c r="AI33" s="2"/>
      <c r="AJ33" s="4"/>
      <c r="AK33" s="2"/>
      <c r="AL33" s="2"/>
      <c r="AM33" s="2"/>
      <c r="AN33" s="2"/>
      <c r="AO33" s="2"/>
      <c r="AP33" s="2"/>
    </row>
    <row r="34" spans="1:42">
      <c r="A34" s="1" t="s">
        <v>170</v>
      </c>
      <c r="B34" s="2">
        <v>200000</v>
      </c>
      <c r="C34" s="2">
        <v>14469</v>
      </c>
      <c r="D34" s="2"/>
      <c r="E34" s="2"/>
      <c r="F34" s="2"/>
      <c r="G34" s="2"/>
      <c r="H34" s="2"/>
      <c r="I34" s="2"/>
      <c r="J34" s="2"/>
      <c r="K34" s="2">
        <v>116744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  <c r="AA34" s="2"/>
      <c r="AB34" s="2"/>
      <c r="AC34" s="2"/>
      <c r="AD34" s="2">
        <v>375000</v>
      </c>
      <c r="AE34" s="2">
        <v>21197.5</v>
      </c>
      <c r="AF34" s="2">
        <f t="shared" si="0"/>
        <v>575000</v>
      </c>
      <c r="AG34" s="2">
        <f t="shared" si="1"/>
        <v>152410.5</v>
      </c>
      <c r="AH34" s="2">
        <f>SUM(AF31:AF34)</f>
        <v>2300000</v>
      </c>
      <c r="AI34" s="2">
        <f>SUM(AG31:AG34)</f>
        <v>774102</v>
      </c>
      <c r="AJ34" s="4">
        <v>2020</v>
      </c>
      <c r="AK34" s="2"/>
      <c r="AL34" s="2"/>
      <c r="AM34" s="2"/>
      <c r="AN34" s="2"/>
      <c r="AO34" s="2"/>
      <c r="AP34" s="2"/>
    </row>
    <row r="35" spans="1:42">
      <c r="A35" s="1" t="s">
        <v>171</v>
      </c>
      <c r="B35" s="2"/>
      <c r="C35" s="2"/>
      <c r="D35" s="2"/>
      <c r="E35" s="2">
        <v>204906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2"/>
      <c r="AB35" s="2"/>
      <c r="AC35" s="2"/>
      <c r="AD35" s="2"/>
      <c r="AE35" s="2"/>
      <c r="AF35" s="2">
        <f t="shared" si="0"/>
        <v>0</v>
      </c>
      <c r="AG35" s="2">
        <f t="shared" si="1"/>
        <v>204906</v>
      </c>
      <c r="AH35" s="2"/>
      <c r="AI35" s="2"/>
      <c r="AJ35" s="4"/>
      <c r="AK35" s="2"/>
      <c r="AL35" s="2"/>
      <c r="AM35" s="2"/>
      <c r="AN35" s="2"/>
      <c r="AO35" s="2"/>
      <c r="AP35" s="2"/>
    </row>
    <row r="36" spans="1:42">
      <c r="A36" s="1" t="s">
        <v>172</v>
      </c>
      <c r="B36" s="2"/>
      <c r="C36" s="2">
        <v>9968</v>
      </c>
      <c r="D36" s="2"/>
      <c r="E36" s="2"/>
      <c r="F36" s="2"/>
      <c r="G36" s="2"/>
      <c r="H36" s="2"/>
      <c r="I36" s="2"/>
      <c r="J36" s="2">
        <v>575000</v>
      </c>
      <c r="K36" s="2">
        <v>116744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2"/>
      <c r="AB36" s="2"/>
      <c r="AC36" s="2"/>
      <c r="AD36" s="2"/>
      <c r="AE36" s="2">
        <v>17447.5</v>
      </c>
      <c r="AF36" s="2">
        <f t="shared" ref="AF36:AF63" si="2">(B36+D36+F36+H36+J36+L36+N36+P36+R36+T36+V36+X36+Z36+AB36+AD36)</f>
        <v>575000</v>
      </c>
      <c r="AG36" s="2">
        <f t="shared" ref="AG36:AG63" si="3">(C36+E36+G36+I36+K36+M36+O36+Q36+S36+U36+W36+Y36+AA36+AC36+AE36)</f>
        <v>144159.5</v>
      </c>
      <c r="AH36" s="2"/>
      <c r="AI36" s="2"/>
      <c r="AJ36" s="4"/>
      <c r="AK36" s="2"/>
      <c r="AL36" s="2"/>
      <c r="AM36" s="2"/>
      <c r="AN36" s="2"/>
      <c r="AO36" s="2"/>
      <c r="AP36" s="2"/>
    </row>
    <row r="37" spans="1:42">
      <c r="A37" s="1" t="s">
        <v>173</v>
      </c>
      <c r="B37" s="2"/>
      <c r="C37" s="2"/>
      <c r="D37" s="2">
        <v>1200000</v>
      </c>
      <c r="E37" s="2">
        <v>204906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2"/>
      <c r="AB37" s="2"/>
      <c r="AC37" s="2"/>
      <c r="AD37" s="2"/>
      <c r="AE37" s="2"/>
      <c r="AF37" s="2">
        <f t="shared" si="2"/>
        <v>1200000</v>
      </c>
      <c r="AG37" s="2">
        <f t="shared" si="3"/>
        <v>204906</v>
      </c>
      <c r="AH37" s="2"/>
      <c r="AI37" s="2"/>
      <c r="AJ37" s="4"/>
      <c r="AK37" s="2"/>
      <c r="AL37" s="2"/>
      <c r="AM37" s="2"/>
      <c r="AN37" s="2"/>
      <c r="AO37" s="2"/>
      <c r="AP37" s="2"/>
    </row>
    <row r="38" spans="1:42">
      <c r="A38" s="1" t="s">
        <v>174</v>
      </c>
      <c r="B38" s="2">
        <v>200000</v>
      </c>
      <c r="C38" s="2">
        <v>9969</v>
      </c>
      <c r="D38" s="2"/>
      <c r="E38" s="2"/>
      <c r="F38" s="2"/>
      <c r="G38" s="2"/>
      <c r="H38" s="2"/>
      <c r="I38" s="2"/>
      <c r="J38" s="2"/>
      <c r="K38" s="2">
        <v>105244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2"/>
      <c r="AB38" s="2"/>
      <c r="AC38" s="2"/>
      <c r="AD38" s="2">
        <v>370000</v>
      </c>
      <c r="AE38" s="2">
        <v>17447.5</v>
      </c>
      <c r="AF38" s="2">
        <f t="shared" si="2"/>
        <v>570000</v>
      </c>
      <c r="AG38" s="2">
        <f t="shared" si="3"/>
        <v>132660.5</v>
      </c>
      <c r="AH38" s="2">
        <f>SUM(AF35:AF38)</f>
        <v>2345000</v>
      </c>
      <c r="AI38" s="2">
        <f>SUM(AG35:AG38)</f>
        <v>686632</v>
      </c>
      <c r="AJ38" s="4">
        <v>2021</v>
      </c>
      <c r="AK38" s="2"/>
      <c r="AL38" s="2"/>
      <c r="AM38" s="2"/>
      <c r="AN38" s="2"/>
      <c r="AO38" s="2"/>
      <c r="AP38" s="2"/>
    </row>
    <row r="39" spans="1:42">
      <c r="A39" s="1" t="s">
        <v>175</v>
      </c>
      <c r="B39" s="2"/>
      <c r="C39" s="2"/>
      <c r="D39" s="2"/>
      <c r="E39" s="2">
        <v>180156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  <c r="AA39" s="2"/>
      <c r="AB39" s="2"/>
      <c r="AC39" s="2"/>
      <c r="AD39" s="2"/>
      <c r="AE39" s="2"/>
      <c r="AF39" s="2">
        <f t="shared" si="2"/>
        <v>0</v>
      </c>
      <c r="AG39" s="2">
        <f t="shared" si="3"/>
        <v>180156</v>
      </c>
      <c r="AH39" s="2"/>
      <c r="AI39" s="2"/>
      <c r="AJ39" s="4"/>
      <c r="AK39" s="2"/>
      <c r="AL39" s="2"/>
      <c r="AM39" s="2"/>
      <c r="AN39" s="2"/>
      <c r="AO39" s="2"/>
      <c r="AP39" s="2"/>
    </row>
    <row r="40" spans="1:42">
      <c r="A40" s="1" t="s">
        <v>176</v>
      </c>
      <c r="B40" s="2"/>
      <c r="C40" s="2">
        <v>5343</v>
      </c>
      <c r="D40" s="2"/>
      <c r="E40" s="2"/>
      <c r="F40" s="2"/>
      <c r="G40" s="2"/>
      <c r="H40" s="2"/>
      <c r="I40" s="2"/>
      <c r="J40" s="2">
        <v>600000</v>
      </c>
      <c r="K40" s="2">
        <v>105244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2"/>
      <c r="AB40" s="2"/>
      <c r="AC40" s="2"/>
      <c r="AD40" s="2"/>
      <c r="AE40" s="2">
        <v>13747.5</v>
      </c>
      <c r="AF40" s="2">
        <f t="shared" si="2"/>
        <v>600000</v>
      </c>
      <c r="AG40" s="2">
        <f t="shared" si="3"/>
        <v>124334.5</v>
      </c>
      <c r="AH40" s="2"/>
      <c r="AI40" s="2"/>
      <c r="AJ40" s="4"/>
      <c r="AK40" s="2"/>
      <c r="AL40" s="2"/>
      <c r="AM40" s="2"/>
      <c r="AN40" s="2"/>
      <c r="AO40" s="2"/>
      <c r="AP40" s="2"/>
    </row>
    <row r="41" spans="1:42">
      <c r="A41" s="1" t="s">
        <v>177</v>
      </c>
      <c r="B41" s="2"/>
      <c r="C41" s="2"/>
      <c r="D41" s="2">
        <v>1250000</v>
      </c>
      <c r="E41" s="2">
        <v>180156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2"/>
      <c r="AB41" s="2"/>
      <c r="AC41" s="2"/>
      <c r="AD41" s="2"/>
      <c r="AE41" s="2"/>
      <c r="AF41" s="2">
        <f t="shared" si="2"/>
        <v>1250000</v>
      </c>
      <c r="AG41" s="2">
        <f t="shared" si="3"/>
        <v>180156</v>
      </c>
      <c r="AH41" s="2"/>
      <c r="AI41" s="2"/>
      <c r="AJ41" s="4"/>
      <c r="AK41" s="2"/>
      <c r="AL41" s="2"/>
      <c r="AM41" s="2"/>
      <c r="AN41" s="2"/>
      <c r="AO41" s="2"/>
      <c r="AP41" s="2"/>
    </row>
    <row r="42" spans="1:42">
      <c r="A42" s="1" t="s">
        <v>178</v>
      </c>
      <c r="B42" s="2">
        <v>225000</v>
      </c>
      <c r="C42" s="2">
        <v>5344</v>
      </c>
      <c r="D42" s="2"/>
      <c r="E42" s="2"/>
      <c r="F42" s="2"/>
      <c r="G42" s="2"/>
      <c r="H42" s="2"/>
      <c r="I42" s="2"/>
      <c r="J42" s="2"/>
      <c r="K42" s="2">
        <v>92494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2"/>
      <c r="AB42" s="2"/>
      <c r="AC42" s="2"/>
      <c r="AD42" s="2">
        <v>390000</v>
      </c>
      <c r="AE42" s="2">
        <v>13747.5</v>
      </c>
      <c r="AF42" s="2">
        <f t="shared" si="2"/>
        <v>615000</v>
      </c>
      <c r="AG42" s="2">
        <f t="shared" si="3"/>
        <v>111585.5</v>
      </c>
      <c r="AH42" s="2">
        <f>SUM(AF39:AF42)</f>
        <v>2465000</v>
      </c>
      <c r="AI42" s="2">
        <f>SUM(AG39:AG42)</f>
        <v>596232</v>
      </c>
      <c r="AJ42" s="4">
        <v>2022</v>
      </c>
      <c r="AK42" s="2"/>
      <c r="AL42" s="2"/>
      <c r="AM42" s="2"/>
      <c r="AN42" s="2"/>
      <c r="AO42" s="2"/>
      <c r="AP42" s="2"/>
    </row>
    <row r="43" spans="1:42">
      <c r="A43" s="1" t="s">
        <v>179</v>
      </c>
      <c r="B43" s="2"/>
      <c r="C43" s="2"/>
      <c r="D43" s="2"/>
      <c r="E43" s="2">
        <v>154375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2"/>
      <c r="AB43" s="2"/>
      <c r="AC43" s="2"/>
      <c r="AD43" s="2"/>
      <c r="AE43" s="2"/>
      <c r="AF43" s="2">
        <f t="shared" si="2"/>
        <v>0</v>
      </c>
      <c r="AG43" s="2">
        <f t="shared" si="3"/>
        <v>154375</v>
      </c>
      <c r="AH43" s="2"/>
      <c r="AI43" s="2"/>
      <c r="AJ43" s="4"/>
      <c r="AK43" s="2"/>
      <c r="AL43" s="2"/>
      <c r="AM43" s="2"/>
      <c r="AN43" s="2"/>
      <c r="AO43" s="2"/>
      <c r="AP43" s="2"/>
    </row>
    <row r="44" spans="1:42">
      <c r="A44" s="1" t="s">
        <v>180</v>
      </c>
      <c r="B44" s="2"/>
      <c r="C44" s="2"/>
      <c r="D44" s="2"/>
      <c r="E44" s="2"/>
      <c r="F44" s="2"/>
      <c r="G44" s="2"/>
      <c r="H44" s="2"/>
      <c r="I44" s="2"/>
      <c r="J44" s="2">
        <v>625000</v>
      </c>
      <c r="K44" s="2">
        <v>92494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2"/>
      <c r="AB44" s="2"/>
      <c r="AC44" s="2"/>
      <c r="AD44" s="2"/>
      <c r="AE44" s="2">
        <v>9652.5</v>
      </c>
      <c r="AF44" s="2">
        <f t="shared" si="2"/>
        <v>625000</v>
      </c>
      <c r="AG44" s="2">
        <f t="shared" si="3"/>
        <v>102146.5</v>
      </c>
      <c r="AH44" s="2"/>
      <c r="AI44" s="2"/>
      <c r="AJ44" s="4"/>
      <c r="AK44" s="2"/>
      <c r="AL44" s="2"/>
      <c r="AM44" s="2"/>
      <c r="AN44" s="2"/>
      <c r="AO44" s="2"/>
      <c r="AP44" s="2"/>
    </row>
    <row r="45" spans="1:42">
      <c r="A45" s="1" t="s">
        <v>181</v>
      </c>
      <c r="B45" s="2"/>
      <c r="C45" s="2"/>
      <c r="D45" s="2">
        <v>1325000</v>
      </c>
      <c r="E45" s="2">
        <v>154375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2"/>
      <c r="AB45" s="2"/>
      <c r="AC45" s="2"/>
      <c r="AD45" s="2"/>
      <c r="AE45" s="2"/>
      <c r="AF45" s="2">
        <f t="shared" si="2"/>
        <v>1325000</v>
      </c>
      <c r="AG45" s="2">
        <f t="shared" si="3"/>
        <v>154375</v>
      </c>
      <c r="AH45" s="2"/>
      <c r="AI45" s="2"/>
      <c r="AJ45" s="4"/>
      <c r="AK45" s="2"/>
      <c r="AL45" s="2"/>
      <c r="AM45" s="2"/>
      <c r="AN45" s="2"/>
      <c r="AO45" s="2"/>
      <c r="AP45" s="2"/>
    </row>
    <row r="46" spans="1:42">
      <c r="A46" s="1" t="s">
        <v>182</v>
      </c>
      <c r="B46" s="2"/>
      <c r="C46" s="2"/>
      <c r="D46" s="2"/>
      <c r="E46" s="2"/>
      <c r="F46" s="2"/>
      <c r="G46" s="2"/>
      <c r="H46" s="2"/>
      <c r="I46" s="2"/>
      <c r="J46" s="2"/>
      <c r="K46" s="2">
        <v>78821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2"/>
      <c r="AB46" s="2"/>
      <c r="AC46" s="2"/>
      <c r="AD46" s="2">
        <v>410000</v>
      </c>
      <c r="AE46" s="2">
        <v>9652.5</v>
      </c>
      <c r="AF46" s="2">
        <f t="shared" si="2"/>
        <v>410000</v>
      </c>
      <c r="AG46" s="2">
        <f t="shared" si="3"/>
        <v>88473.5</v>
      </c>
      <c r="AH46" s="2">
        <f>SUM(AF43:AF46)</f>
        <v>2360000</v>
      </c>
      <c r="AI46" s="2">
        <f>SUM(AG43:AG46)</f>
        <v>499370</v>
      </c>
      <c r="AJ46" s="4">
        <v>2023</v>
      </c>
      <c r="AK46" s="2"/>
      <c r="AL46" s="2"/>
      <c r="AM46" s="2"/>
      <c r="AN46" s="2"/>
      <c r="AO46" s="2"/>
      <c r="AP46" s="2"/>
    </row>
    <row r="47" spans="1:42">
      <c r="A47" s="1" t="s">
        <v>183</v>
      </c>
      <c r="B47" s="2"/>
      <c r="C47" s="2"/>
      <c r="D47" s="2"/>
      <c r="E47" s="2">
        <v>126219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2"/>
      <c r="AB47" s="2"/>
      <c r="AC47" s="2"/>
      <c r="AD47" s="2"/>
      <c r="AE47" s="2"/>
      <c r="AF47" s="2">
        <f t="shared" si="2"/>
        <v>0</v>
      </c>
      <c r="AG47" s="2">
        <f t="shared" si="3"/>
        <v>126219</v>
      </c>
      <c r="AH47" s="2"/>
      <c r="AI47" s="2"/>
      <c r="AJ47" s="4"/>
      <c r="AK47" s="2"/>
      <c r="AL47" s="2"/>
      <c r="AM47" s="2"/>
      <c r="AN47" s="2"/>
      <c r="AO47" s="2"/>
      <c r="AP47" s="2"/>
    </row>
    <row r="48" spans="1:42">
      <c r="A48" s="1" t="s">
        <v>184</v>
      </c>
      <c r="B48" s="2"/>
      <c r="C48" s="2"/>
      <c r="D48" s="2"/>
      <c r="E48" s="2"/>
      <c r="F48" s="2"/>
      <c r="G48" s="2"/>
      <c r="H48" s="2"/>
      <c r="I48" s="2"/>
      <c r="J48" s="2">
        <v>650000</v>
      </c>
      <c r="K48" s="2">
        <v>78821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2"/>
      <c r="AB48" s="2"/>
      <c r="AC48" s="2"/>
      <c r="AD48" s="2"/>
      <c r="AE48" s="2">
        <v>5040</v>
      </c>
      <c r="AF48" s="2">
        <f t="shared" si="2"/>
        <v>650000</v>
      </c>
      <c r="AG48" s="2">
        <f t="shared" si="3"/>
        <v>83861</v>
      </c>
      <c r="AH48" s="2"/>
      <c r="AI48" s="2"/>
      <c r="AJ48" s="4"/>
      <c r="AK48" s="2"/>
      <c r="AL48" s="2"/>
      <c r="AM48" s="2"/>
      <c r="AN48" s="2"/>
      <c r="AO48" s="2"/>
      <c r="AP48" s="2"/>
    </row>
    <row r="49" spans="1:42">
      <c r="A49" s="1" t="s">
        <v>185</v>
      </c>
      <c r="B49" s="2"/>
      <c r="C49" s="2"/>
      <c r="D49" s="2">
        <v>1375000</v>
      </c>
      <c r="E49" s="2">
        <v>126219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2"/>
      <c r="AB49" s="2"/>
      <c r="AC49" s="2"/>
      <c r="AD49" s="2"/>
      <c r="AE49" s="2"/>
      <c r="AF49" s="2">
        <f t="shared" si="2"/>
        <v>1375000</v>
      </c>
      <c r="AG49" s="2">
        <f t="shared" si="3"/>
        <v>126219</v>
      </c>
      <c r="AH49" s="2"/>
      <c r="AI49" s="2"/>
      <c r="AJ49" s="4"/>
      <c r="AK49" s="2"/>
      <c r="AL49" s="2"/>
      <c r="AM49" s="2"/>
      <c r="AN49" s="2"/>
      <c r="AO49" s="2"/>
      <c r="AP49" s="2"/>
    </row>
    <row r="50" spans="1:42">
      <c r="A50" s="1" t="s">
        <v>186</v>
      </c>
      <c r="B50" s="2"/>
      <c r="C50" s="2"/>
      <c r="D50" s="2"/>
      <c r="E50" s="2"/>
      <c r="F50" s="2"/>
      <c r="G50" s="2"/>
      <c r="H50" s="2"/>
      <c r="I50" s="2"/>
      <c r="J50" s="2"/>
      <c r="K50" s="2">
        <v>64603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2"/>
      <c r="AB50" s="2"/>
      <c r="AC50" s="2"/>
      <c r="AD50" s="2">
        <v>420000</v>
      </c>
      <c r="AE50" s="2">
        <v>5040</v>
      </c>
      <c r="AF50" s="2">
        <f t="shared" si="2"/>
        <v>420000</v>
      </c>
      <c r="AG50" s="2">
        <f t="shared" si="3"/>
        <v>69643</v>
      </c>
      <c r="AH50" s="2">
        <f>SUM(AF47:AF50)</f>
        <v>2445000</v>
      </c>
      <c r="AI50" s="2">
        <f>SUM(AG47:AG50)</f>
        <v>405942</v>
      </c>
      <c r="AJ50" s="4">
        <v>2024</v>
      </c>
      <c r="AK50" s="2"/>
      <c r="AL50" s="2"/>
      <c r="AM50" s="2"/>
      <c r="AN50" s="2"/>
      <c r="AO50" s="2"/>
      <c r="AP50" s="2"/>
    </row>
    <row r="51" spans="1:42">
      <c r="A51" s="1" t="s">
        <v>187</v>
      </c>
      <c r="B51" s="2"/>
      <c r="C51" s="2"/>
      <c r="D51" s="2"/>
      <c r="E51" s="2">
        <v>97000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2"/>
      <c r="AB51" s="2"/>
      <c r="AC51" s="2"/>
      <c r="AD51" s="2"/>
      <c r="AE51" s="2"/>
      <c r="AF51" s="2">
        <f t="shared" si="2"/>
        <v>0</v>
      </c>
      <c r="AG51" s="2">
        <f t="shared" si="3"/>
        <v>97000</v>
      </c>
      <c r="AH51" s="2"/>
      <c r="AI51" s="2"/>
      <c r="AJ51" s="4"/>
      <c r="AK51" s="2"/>
      <c r="AL51" s="2"/>
      <c r="AM51" s="2"/>
      <c r="AN51" s="2"/>
      <c r="AO51" s="2"/>
      <c r="AP51" s="2"/>
    </row>
    <row r="52" spans="1:42">
      <c r="A52" s="1" t="s">
        <v>188</v>
      </c>
      <c r="B52" s="2"/>
      <c r="C52" s="2"/>
      <c r="D52" s="2"/>
      <c r="E52" s="2"/>
      <c r="F52" s="2"/>
      <c r="G52" s="2"/>
      <c r="H52" s="2"/>
      <c r="I52" s="2"/>
      <c r="J52" s="2">
        <v>675000</v>
      </c>
      <c r="K52" s="2">
        <v>64603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2"/>
      <c r="AB52" s="2"/>
      <c r="AC52" s="2"/>
      <c r="AD52" s="2"/>
      <c r="AE52" s="2"/>
      <c r="AF52" s="2">
        <f t="shared" si="2"/>
        <v>675000</v>
      </c>
      <c r="AG52" s="2">
        <f t="shared" si="3"/>
        <v>64603</v>
      </c>
      <c r="AH52" s="2"/>
      <c r="AI52" s="2"/>
      <c r="AJ52" s="4"/>
      <c r="AK52" s="2"/>
      <c r="AL52" s="2"/>
      <c r="AM52" s="2"/>
      <c r="AN52" s="2"/>
      <c r="AO52" s="2"/>
      <c r="AP52" s="2"/>
    </row>
    <row r="53" spans="1:42">
      <c r="A53" s="1" t="s">
        <v>189</v>
      </c>
      <c r="B53" s="2"/>
      <c r="C53" s="2"/>
      <c r="D53" s="2">
        <v>1425000</v>
      </c>
      <c r="E53" s="2">
        <v>97000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2"/>
      <c r="AB53" s="2"/>
      <c r="AC53" s="2"/>
      <c r="AD53" s="2"/>
      <c r="AE53" s="2"/>
      <c r="AF53" s="2">
        <f t="shared" si="2"/>
        <v>1425000</v>
      </c>
      <c r="AG53" s="2">
        <f t="shared" si="3"/>
        <v>97000</v>
      </c>
      <c r="AH53" s="2"/>
      <c r="AI53" s="2"/>
      <c r="AJ53" s="4"/>
      <c r="AK53" s="2"/>
      <c r="AL53" s="2"/>
      <c r="AM53" s="2"/>
      <c r="AN53" s="2"/>
      <c r="AO53" s="2"/>
      <c r="AP53" s="2"/>
    </row>
    <row r="54" spans="1:42">
      <c r="A54" s="1" t="s">
        <v>190</v>
      </c>
      <c r="B54" s="2"/>
      <c r="C54" s="2"/>
      <c r="D54" s="2"/>
      <c r="E54" s="2"/>
      <c r="F54" s="2"/>
      <c r="G54" s="2"/>
      <c r="H54" s="2"/>
      <c r="I54" s="2"/>
      <c r="J54" s="2"/>
      <c r="K54" s="2">
        <v>49837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2"/>
      <c r="AB54" s="2"/>
      <c r="AC54" s="2"/>
      <c r="AD54" s="2"/>
      <c r="AE54" s="2"/>
      <c r="AF54" s="2">
        <f t="shared" si="2"/>
        <v>0</v>
      </c>
      <c r="AG54" s="2">
        <f t="shared" si="3"/>
        <v>49837</v>
      </c>
      <c r="AH54" s="2">
        <f>SUM(AF51:AF54)</f>
        <v>2100000</v>
      </c>
      <c r="AI54" s="2">
        <f>SUM(AG51:AG54)</f>
        <v>308440</v>
      </c>
      <c r="AJ54" s="4">
        <v>2025</v>
      </c>
      <c r="AK54" s="2"/>
      <c r="AL54" s="2"/>
      <c r="AM54" s="2"/>
      <c r="AN54" s="2"/>
      <c r="AO54" s="2"/>
      <c r="AP54" s="2"/>
    </row>
    <row r="55" spans="1:42">
      <c r="A55" s="1" t="s">
        <v>191</v>
      </c>
      <c r="B55" s="2"/>
      <c r="C55" s="2"/>
      <c r="D55" s="2"/>
      <c r="E55" s="2">
        <v>66719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2"/>
      <c r="AB55" s="2"/>
      <c r="AC55" s="2"/>
      <c r="AD55" s="2"/>
      <c r="AE55" s="2"/>
      <c r="AF55" s="2">
        <f t="shared" si="2"/>
        <v>0</v>
      </c>
      <c r="AG55" s="2">
        <f t="shared" si="3"/>
        <v>66719</v>
      </c>
      <c r="AH55" s="2"/>
      <c r="AI55" s="2"/>
      <c r="AJ55" s="4"/>
      <c r="AK55" s="2"/>
      <c r="AL55" s="2"/>
      <c r="AM55" s="2"/>
      <c r="AN55" s="2"/>
      <c r="AO55" s="2"/>
      <c r="AP55" s="2"/>
    </row>
    <row r="56" spans="1:42">
      <c r="A56" s="1" t="s">
        <v>192</v>
      </c>
      <c r="B56" s="2"/>
      <c r="C56" s="2"/>
      <c r="D56" s="2"/>
      <c r="E56" s="2"/>
      <c r="F56" s="2"/>
      <c r="G56" s="2"/>
      <c r="H56" s="2"/>
      <c r="I56" s="2"/>
      <c r="J56" s="2">
        <v>700000</v>
      </c>
      <c r="K56" s="2">
        <v>49837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2"/>
      <c r="AB56" s="2"/>
      <c r="AC56" s="2"/>
      <c r="AD56" s="2"/>
      <c r="AE56" s="2"/>
      <c r="AF56" s="2">
        <f t="shared" si="2"/>
        <v>700000</v>
      </c>
      <c r="AG56" s="2">
        <f t="shared" si="3"/>
        <v>49837</v>
      </c>
      <c r="AH56" s="2"/>
      <c r="AI56" s="2"/>
      <c r="AJ56" s="4"/>
      <c r="AK56" s="2"/>
      <c r="AL56" s="2"/>
      <c r="AM56" s="2"/>
      <c r="AN56" s="2"/>
      <c r="AO56" s="2"/>
      <c r="AP56" s="2"/>
    </row>
    <row r="57" spans="1:42">
      <c r="A57" s="1" t="s">
        <v>193</v>
      </c>
      <c r="B57" s="2"/>
      <c r="C57" s="2"/>
      <c r="D57" s="2">
        <v>1500000</v>
      </c>
      <c r="E57" s="2">
        <v>66719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  <c r="AA57" s="2"/>
      <c r="AB57" s="2"/>
      <c r="AC57" s="2"/>
      <c r="AD57" s="2"/>
      <c r="AE57" s="2"/>
      <c r="AF57" s="2">
        <f t="shared" si="2"/>
        <v>1500000</v>
      </c>
      <c r="AG57" s="2">
        <f t="shared" si="3"/>
        <v>66719</v>
      </c>
      <c r="AH57" s="2"/>
      <c r="AI57" s="2"/>
      <c r="AJ57" s="4"/>
      <c r="AK57" s="2"/>
      <c r="AL57" s="2"/>
      <c r="AM57" s="2"/>
      <c r="AN57" s="2"/>
      <c r="AO57" s="2"/>
      <c r="AP57" s="2"/>
    </row>
    <row r="58" spans="1:42">
      <c r="A58" s="1" t="s">
        <v>194</v>
      </c>
      <c r="B58" s="2"/>
      <c r="C58" s="2"/>
      <c r="D58" s="2"/>
      <c r="E58" s="2"/>
      <c r="F58" s="2"/>
      <c r="G58" s="2"/>
      <c r="H58" s="2"/>
      <c r="I58" s="2"/>
      <c r="J58" s="2"/>
      <c r="K58" s="2">
        <v>34087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  <c r="AA58" s="2"/>
      <c r="AB58" s="2"/>
      <c r="AC58" s="2"/>
      <c r="AD58" s="2"/>
      <c r="AE58" s="2"/>
      <c r="AF58" s="2">
        <f t="shared" si="2"/>
        <v>0</v>
      </c>
      <c r="AG58" s="2">
        <f t="shared" si="3"/>
        <v>34087</v>
      </c>
      <c r="AH58" s="2">
        <f>SUM(AF55:AF58)</f>
        <v>2200000</v>
      </c>
      <c r="AI58" s="2">
        <f>SUM(AG55:AG58)</f>
        <v>217362</v>
      </c>
      <c r="AJ58" s="4">
        <v>2026</v>
      </c>
      <c r="AK58" s="2"/>
      <c r="AL58" s="2"/>
      <c r="AM58" s="2"/>
      <c r="AN58" s="2"/>
      <c r="AO58" s="2"/>
      <c r="AP58" s="2"/>
    </row>
    <row r="59" spans="1:42">
      <c r="A59" s="1" t="s">
        <v>195</v>
      </c>
      <c r="B59" s="2"/>
      <c r="C59" s="2"/>
      <c r="D59" s="2"/>
      <c r="E59" s="2">
        <v>33906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2"/>
      <c r="AB59" s="2"/>
      <c r="AC59" s="2"/>
      <c r="AD59" s="2"/>
      <c r="AE59" s="2"/>
      <c r="AF59" s="2">
        <f t="shared" si="2"/>
        <v>0</v>
      </c>
      <c r="AG59" s="2">
        <f t="shared" si="3"/>
        <v>33906</v>
      </c>
      <c r="AH59" s="2"/>
      <c r="AI59" s="2"/>
      <c r="AJ59" s="4"/>
      <c r="AK59" s="2"/>
      <c r="AL59" s="2"/>
      <c r="AM59" s="2"/>
      <c r="AN59" s="2"/>
      <c r="AO59" s="2"/>
      <c r="AP59" s="2"/>
    </row>
    <row r="60" spans="1:42">
      <c r="A60" s="1" t="s">
        <v>196</v>
      </c>
      <c r="B60" s="2"/>
      <c r="C60" s="2"/>
      <c r="D60" s="2"/>
      <c r="E60" s="2"/>
      <c r="F60" s="2"/>
      <c r="G60" s="2"/>
      <c r="H60" s="2"/>
      <c r="I60" s="2"/>
      <c r="J60" s="2">
        <v>725000</v>
      </c>
      <c r="K60" s="2">
        <v>34087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  <c r="AA60" s="2"/>
      <c r="AB60" s="2"/>
      <c r="AC60" s="2"/>
      <c r="AD60" s="2"/>
      <c r="AE60" s="2"/>
      <c r="AF60" s="2">
        <f t="shared" si="2"/>
        <v>725000</v>
      </c>
      <c r="AG60" s="2">
        <f t="shared" si="3"/>
        <v>34087</v>
      </c>
      <c r="AH60" s="2"/>
      <c r="AI60" s="2"/>
      <c r="AJ60" s="4"/>
      <c r="AK60" s="2"/>
      <c r="AL60" s="2"/>
      <c r="AM60" s="2"/>
      <c r="AN60" s="2"/>
      <c r="AO60" s="2"/>
      <c r="AP60" s="2"/>
    </row>
    <row r="61" spans="1:42">
      <c r="A61" s="1" t="s">
        <v>197</v>
      </c>
      <c r="B61" s="2"/>
      <c r="C61" s="2"/>
      <c r="D61" s="2">
        <v>1550000</v>
      </c>
      <c r="E61" s="2">
        <v>33906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  <c r="AA61" s="2"/>
      <c r="AB61" s="2"/>
      <c r="AC61" s="2"/>
      <c r="AD61" s="2"/>
      <c r="AE61" s="2"/>
      <c r="AF61" s="2">
        <f t="shared" si="2"/>
        <v>1550000</v>
      </c>
      <c r="AG61" s="2">
        <f t="shared" si="3"/>
        <v>33906</v>
      </c>
      <c r="AH61" s="2"/>
      <c r="AI61" s="2"/>
      <c r="AJ61" s="4"/>
      <c r="AK61" s="2"/>
      <c r="AL61" s="2"/>
      <c r="AM61" s="2"/>
      <c r="AN61" s="2"/>
      <c r="AO61" s="2"/>
      <c r="AP61" s="2"/>
    </row>
    <row r="62" spans="1:42">
      <c r="A62" s="1" t="s">
        <v>198</v>
      </c>
      <c r="B62" s="2"/>
      <c r="C62" s="2"/>
      <c r="F62" s="2"/>
      <c r="G62" s="2"/>
      <c r="H62" s="2"/>
      <c r="I62" s="2"/>
      <c r="J62" s="2"/>
      <c r="K62" s="2">
        <v>17775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  <c r="AA62" s="2"/>
      <c r="AB62" s="2"/>
      <c r="AC62" s="2"/>
      <c r="AD62" s="2"/>
      <c r="AE62" s="2"/>
      <c r="AF62" s="2">
        <f t="shared" si="2"/>
        <v>0</v>
      </c>
      <c r="AG62" s="2">
        <f t="shared" si="3"/>
        <v>17775</v>
      </c>
      <c r="AH62" s="2">
        <f>SUM(AF59:AF62)</f>
        <v>2275000</v>
      </c>
      <c r="AI62" s="2">
        <f>SUM(AG59:AG62)</f>
        <v>119674</v>
      </c>
      <c r="AJ62" s="4">
        <v>2027</v>
      </c>
      <c r="AK62" s="2"/>
      <c r="AL62" s="2"/>
      <c r="AM62" s="2"/>
      <c r="AN62" s="2"/>
      <c r="AO62" s="2"/>
      <c r="AP62" s="2"/>
    </row>
    <row r="63" spans="1:42">
      <c r="A63" s="1" t="s">
        <v>199</v>
      </c>
      <c r="B63" s="2"/>
      <c r="C63" s="2"/>
      <c r="D63" s="2"/>
      <c r="E63" s="2"/>
      <c r="F63" s="2"/>
      <c r="G63" s="2"/>
      <c r="H63" s="2"/>
      <c r="I63" s="2"/>
      <c r="J63" s="2">
        <v>790000</v>
      </c>
      <c r="K63" s="2">
        <v>17775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  <c r="AA63" s="2"/>
      <c r="AB63" s="2"/>
      <c r="AC63" s="2"/>
      <c r="AD63" s="2"/>
      <c r="AE63" s="2"/>
      <c r="AF63" s="2">
        <f t="shared" si="2"/>
        <v>790000</v>
      </c>
      <c r="AG63" s="2">
        <f t="shared" si="3"/>
        <v>17775</v>
      </c>
      <c r="AH63" s="2">
        <f>SUM(AF63)</f>
        <v>790000</v>
      </c>
      <c r="AI63" s="2">
        <f>SUM(AG63)</f>
        <v>17775</v>
      </c>
      <c r="AJ63" s="4">
        <v>2028</v>
      </c>
      <c r="AK63" s="2"/>
      <c r="AL63" s="2"/>
      <c r="AM63" s="2"/>
      <c r="AN63" s="2"/>
      <c r="AO63" s="2"/>
      <c r="AP63" s="2"/>
    </row>
    <row r="64" spans="1:42">
      <c r="B64" s="5" t="s">
        <v>200</v>
      </c>
      <c r="C64" s="5" t="s">
        <v>200</v>
      </c>
      <c r="D64" s="5" t="s">
        <v>200</v>
      </c>
      <c r="E64" s="5" t="s">
        <v>200</v>
      </c>
      <c r="F64" s="5" t="s">
        <v>200</v>
      </c>
      <c r="G64" s="5" t="s">
        <v>200</v>
      </c>
      <c r="H64" s="5" t="s">
        <v>200</v>
      </c>
      <c r="I64" s="5" t="s">
        <v>200</v>
      </c>
      <c r="J64" s="5" t="s">
        <v>200</v>
      </c>
      <c r="K64" s="5" t="s">
        <v>200</v>
      </c>
      <c r="L64" s="5" t="s">
        <v>200</v>
      </c>
      <c r="M64" s="5" t="s">
        <v>200</v>
      </c>
      <c r="N64" s="5" t="s">
        <v>200</v>
      </c>
      <c r="O64" s="5" t="s">
        <v>200</v>
      </c>
      <c r="P64" s="5" t="s">
        <v>200</v>
      </c>
      <c r="Q64" s="5" t="s">
        <v>200</v>
      </c>
      <c r="R64" s="5" t="s">
        <v>200</v>
      </c>
      <c r="S64" s="5" t="s">
        <v>200</v>
      </c>
      <c r="T64" s="5" t="s">
        <v>200</v>
      </c>
      <c r="U64" s="5" t="s">
        <v>200</v>
      </c>
      <c r="V64" s="5" t="s">
        <v>200</v>
      </c>
      <c r="W64" s="5" t="s">
        <v>200</v>
      </c>
      <c r="X64" s="5" t="s">
        <v>200</v>
      </c>
      <c r="Y64" s="5" t="s">
        <v>200</v>
      </c>
      <c r="Z64" s="5" t="s">
        <v>200</v>
      </c>
      <c r="AA64" s="5" t="s">
        <v>200</v>
      </c>
      <c r="AB64" s="5" t="s">
        <v>200</v>
      </c>
      <c r="AC64" s="5" t="s">
        <v>200</v>
      </c>
      <c r="AD64" s="5" t="s">
        <v>200</v>
      </c>
      <c r="AE64" s="5" t="s">
        <v>200</v>
      </c>
      <c r="AF64" s="5" t="s">
        <v>200</v>
      </c>
      <c r="AG64" s="5" t="s">
        <v>200</v>
      </c>
      <c r="AH64" s="5" t="s">
        <v>200</v>
      </c>
      <c r="AI64" s="5" t="s">
        <v>200</v>
      </c>
      <c r="AJ64" s="4"/>
    </row>
    <row r="65" spans="1:44">
      <c r="B65" s="2">
        <f t="shared" ref="B65:AH65" si="4">SUM(B7:B64)</f>
        <v>1625000</v>
      </c>
      <c r="C65" s="2">
        <f t="shared" si="4"/>
        <v>388125</v>
      </c>
      <c r="D65" s="2">
        <f t="shared" si="4"/>
        <v>16900000</v>
      </c>
      <c r="E65" s="2">
        <f t="shared" si="4"/>
        <v>5465391</v>
      </c>
      <c r="F65" s="6">
        <f t="shared" si="4"/>
        <v>0</v>
      </c>
      <c r="G65" s="2">
        <f t="shared" si="4"/>
        <v>0</v>
      </c>
      <c r="H65" s="2">
        <f t="shared" si="4"/>
        <v>1050000</v>
      </c>
      <c r="I65" s="2">
        <f t="shared" si="4"/>
        <v>43312</v>
      </c>
      <c r="J65" s="2">
        <f t="shared" si="4"/>
        <v>11370000</v>
      </c>
      <c r="K65" s="2">
        <f t="shared" si="4"/>
        <v>3367756</v>
      </c>
      <c r="L65" s="6">
        <f t="shared" si="4"/>
        <v>0</v>
      </c>
      <c r="M65" s="2">
        <f t="shared" si="4"/>
        <v>0</v>
      </c>
      <c r="N65" s="6">
        <f t="shared" si="4"/>
        <v>0</v>
      </c>
      <c r="O65" s="2">
        <f t="shared" si="4"/>
        <v>0</v>
      </c>
      <c r="P65" s="6">
        <f t="shared" si="4"/>
        <v>0</v>
      </c>
      <c r="Q65" s="2">
        <f t="shared" si="4"/>
        <v>0</v>
      </c>
      <c r="R65" s="2">
        <f t="shared" si="4"/>
        <v>0</v>
      </c>
      <c r="S65" s="2">
        <f t="shared" si="4"/>
        <v>0</v>
      </c>
      <c r="T65" s="2">
        <f t="shared" si="4"/>
        <v>0</v>
      </c>
      <c r="U65" s="2">
        <f t="shared" si="4"/>
        <v>0</v>
      </c>
      <c r="V65" s="2">
        <f t="shared" si="4"/>
        <v>0</v>
      </c>
      <c r="W65" s="2">
        <f t="shared" si="4"/>
        <v>0</v>
      </c>
      <c r="X65" s="6">
        <f t="shared" si="4"/>
        <v>0</v>
      </c>
      <c r="Y65" s="2">
        <f t="shared" si="4"/>
        <v>0</v>
      </c>
      <c r="Z65" s="2">
        <f t="shared" si="4"/>
        <v>0</v>
      </c>
      <c r="AA65" s="2">
        <f t="shared" si="4"/>
        <v>0</v>
      </c>
      <c r="AB65" s="2">
        <f t="shared" si="4"/>
        <v>9725000</v>
      </c>
      <c r="AC65" s="2">
        <f t="shared" si="4"/>
        <v>788500</v>
      </c>
      <c r="AD65" s="6">
        <f t="shared" si="4"/>
        <v>10050000</v>
      </c>
      <c r="AE65" s="2">
        <f t="shared" si="4"/>
        <v>838090</v>
      </c>
      <c r="AF65" s="2">
        <f t="shared" si="4"/>
        <v>50720000</v>
      </c>
      <c r="AG65" s="2">
        <f t="shared" si="4"/>
        <v>10891174</v>
      </c>
      <c r="AH65" s="103">
        <f t="shared" si="4"/>
        <v>50720000</v>
      </c>
      <c r="AI65" s="7">
        <f>SUM(AI7:AI64)+2</f>
        <v>10891176</v>
      </c>
      <c r="AJ65" s="4"/>
    </row>
    <row r="66" spans="1:44">
      <c r="B66" s="5" t="s">
        <v>376</v>
      </c>
      <c r="C66" s="5" t="s">
        <v>376</v>
      </c>
      <c r="D66" s="5" t="s">
        <v>376</v>
      </c>
      <c r="E66" s="5" t="s">
        <v>376</v>
      </c>
      <c r="F66" s="5" t="s">
        <v>376</v>
      </c>
      <c r="G66" s="5" t="s">
        <v>376</v>
      </c>
      <c r="H66" s="5" t="s">
        <v>376</v>
      </c>
      <c r="I66" s="5" t="s">
        <v>376</v>
      </c>
      <c r="J66" s="5" t="s">
        <v>376</v>
      </c>
      <c r="K66" s="5" t="s">
        <v>376</v>
      </c>
      <c r="L66" s="5" t="s">
        <v>376</v>
      </c>
      <c r="M66" s="5" t="s">
        <v>376</v>
      </c>
      <c r="N66" s="5" t="s">
        <v>376</v>
      </c>
      <c r="O66" s="5" t="s">
        <v>376</v>
      </c>
      <c r="P66" s="5" t="s">
        <v>376</v>
      </c>
      <c r="Q66" s="5" t="s">
        <v>376</v>
      </c>
      <c r="R66" s="5" t="s">
        <v>376</v>
      </c>
      <c r="S66" s="5" t="s">
        <v>376</v>
      </c>
      <c r="T66" s="5" t="s">
        <v>376</v>
      </c>
      <c r="U66" s="5" t="s">
        <v>376</v>
      </c>
      <c r="V66" s="5" t="s">
        <v>376</v>
      </c>
      <c r="W66" s="5" t="s">
        <v>376</v>
      </c>
      <c r="X66" s="5" t="s">
        <v>376</v>
      </c>
      <c r="Y66" s="5" t="s">
        <v>376</v>
      </c>
      <c r="Z66" s="5" t="s">
        <v>376</v>
      </c>
      <c r="AA66" s="5" t="s">
        <v>376</v>
      </c>
      <c r="AB66" s="5" t="s">
        <v>376</v>
      </c>
      <c r="AC66" s="5" t="s">
        <v>376</v>
      </c>
      <c r="AD66" s="5" t="s">
        <v>376</v>
      </c>
      <c r="AE66" s="5" t="s">
        <v>376</v>
      </c>
      <c r="AF66" s="5" t="s">
        <v>376</v>
      </c>
      <c r="AG66" s="5" t="s">
        <v>376</v>
      </c>
      <c r="AH66" s="5" t="s">
        <v>376</v>
      </c>
      <c r="AI66" s="5" t="s">
        <v>376</v>
      </c>
      <c r="AJ66" s="4"/>
      <c r="AK66" s="2"/>
      <c r="AL66" s="2"/>
      <c r="AM66" s="2"/>
      <c r="AN66" s="2"/>
      <c r="AO66" s="2"/>
      <c r="AP66" s="2"/>
      <c r="AQ66" s="2"/>
      <c r="AR66" s="2"/>
    </row>
    <row r="68" spans="1:44" s="116" customFormat="1">
      <c r="A68" s="117" t="s">
        <v>468</v>
      </c>
      <c r="B68" s="118" t="s">
        <v>469</v>
      </c>
      <c r="D68" s="118" t="s">
        <v>470</v>
      </c>
      <c r="F68" s="118" t="s">
        <v>477</v>
      </c>
      <c r="H68" s="118" t="s">
        <v>471</v>
      </c>
      <c r="J68" s="118" t="s">
        <v>472</v>
      </c>
      <c r="L68" s="118" t="s">
        <v>478</v>
      </c>
      <c r="N68" s="118" t="s">
        <v>473</v>
      </c>
      <c r="X68" s="118" t="s">
        <v>474</v>
      </c>
      <c r="Z68" s="118" t="s">
        <v>476</v>
      </c>
      <c r="AB68" s="118" t="s">
        <v>475</v>
      </c>
      <c r="AD68" s="116" t="s">
        <v>480</v>
      </c>
    </row>
    <row r="69" spans="1:44" s="120" customFormat="1">
      <c r="A69" s="119" t="s">
        <v>467</v>
      </c>
      <c r="B69" s="120">
        <v>3000000</v>
      </c>
      <c r="D69" s="120">
        <v>21675000</v>
      </c>
      <c r="F69" s="120">
        <v>11475000</v>
      </c>
      <c r="H69" s="120">
        <v>6500000</v>
      </c>
      <c r="J69" s="120">
        <v>15620000</v>
      </c>
      <c r="L69" s="120">
        <v>3350000</v>
      </c>
      <c r="N69" s="120">
        <v>4960000</v>
      </c>
      <c r="X69" s="120">
        <v>11390000</v>
      </c>
      <c r="Z69" s="120">
        <v>6365000</v>
      </c>
      <c r="AB69" s="120">
        <v>23750000</v>
      </c>
      <c r="AD69" s="120">
        <v>11475000</v>
      </c>
    </row>
    <row r="70" spans="1:44">
      <c r="AD70" s="116" t="s">
        <v>481</v>
      </c>
    </row>
    <row r="71" spans="1:44">
      <c r="L71" s="118" t="s">
        <v>479</v>
      </c>
      <c r="AD71" s="120">
        <v>15050000</v>
      </c>
    </row>
    <row r="72" spans="1:44">
      <c r="L72" s="120">
        <v>4830000</v>
      </c>
      <c r="AD72" s="116" t="s">
        <v>482</v>
      </c>
    </row>
    <row r="73" spans="1:44">
      <c r="AD73" s="120">
        <v>6365000</v>
      </c>
    </row>
    <row r="75" spans="1:44">
      <c r="A75" s="90" t="s">
        <v>506</v>
      </c>
      <c r="B75" s="1" t="s">
        <v>504</v>
      </c>
      <c r="D75" s="1" t="s">
        <v>504</v>
      </c>
      <c r="H75" s="1" t="s">
        <v>113</v>
      </c>
      <c r="J75" s="1" t="s">
        <v>504</v>
      </c>
      <c r="L75" s="1" t="s">
        <v>504</v>
      </c>
      <c r="N75" s="1" t="s">
        <v>509</v>
      </c>
      <c r="X75" s="1" t="s">
        <v>504</v>
      </c>
      <c r="Z75" s="1" t="s">
        <v>504</v>
      </c>
      <c r="AB75" s="1" t="s">
        <v>510</v>
      </c>
      <c r="AD75" s="1" t="s">
        <v>504</v>
      </c>
    </row>
    <row r="76" spans="1:44" ht="27" customHeight="1">
      <c r="B76" s="263" t="s">
        <v>507</v>
      </c>
      <c r="C76" s="263"/>
      <c r="D76" s="1" t="s">
        <v>508</v>
      </c>
      <c r="L76" s="1" t="s">
        <v>508</v>
      </c>
      <c r="X76" s="1" t="s">
        <v>508</v>
      </c>
      <c r="Z76" s="1" t="s">
        <v>508</v>
      </c>
      <c r="AD76" s="1" t="s">
        <v>508</v>
      </c>
    </row>
  </sheetData>
  <mergeCells count="35">
    <mergeCell ref="B76:C76"/>
    <mergeCell ref="AF5:AG5"/>
    <mergeCell ref="AH5:AI5"/>
    <mergeCell ref="N5:O5"/>
    <mergeCell ref="P5:Q5"/>
    <mergeCell ref="R5:S5"/>
    <mergeCell ref="T5:U5"/>
    <mergeCell ref="V5:W5"/>
    <mergeCell ref="X5:Y5"/>
    <mergeCell ref="J5:K5"/>
    <mergeCell ref="L5:M5"/>
    <mergeCell ref="B5:C5"/>
    <mergeCell ref="D5:E5"/>
    <mergeCell ref="F5:G5"/>
    <mergeCell ref="H5:I5"/>
    <mergeCell ref="AD4:AE4"/>
    <mergeCell ref="AD5:AE5"/>
    <mergeCell ref="P4:Q4"/>
    <mergeCell ref="R4:S4"/>
    <mergeCell ref="T4:U4"/>
    <mergeCell ref="Z5:AA5"/>
    <mergeCell ref="AB5:AC5"/>
    <mergeCell ref="B3:C3"/>
    <mergeCell ref="D3:E3"/>
    <mergeCell ref="B4:C4"/>
    <mergeCell ref="D4:E4"/>
    <mergeCell ref="F4:G4"/>
    <mergeCell ref="H4:I4"/>
    <mergeCell ref="V4:W4"/>
    <mergeCell ref="X4:Y4"/>
    <mergeCell ref="Z4:AA4"/>
    <mergeCell ref="AB4:AC4"/>
    <mergeCell ref="J4:K4"/>
    <mergeCell ref="L4:M4"/>
    <mergeCell ref="N4:O4"/>
  </mergeCells>
  <printOptions horizontalCentered="1" verticalCentered="1" gridLines="1"/>
  <pageMargins left="0.25" right="0.25" top="0.5" bottom="0.5" header="0" footer="0"/>
  <pageSetup scale="50" orientation="landscape" r:id="rId1"/>
  <headerFooter alignWithMargins="0">
    <oddHeader>&amp;C&amp;A</oddHeader>
    <oddFooter>&amp;L&amp;10printed &amp;D&amp;C&amp;10file &amp;F 
&amp;R&amp;10page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workbookViewId="0">
      <selection activeCell="H10" sqref="H10"/>
    </sheetView>
  </sheetViews>
  <sheetFormatPr defaultRowHeight="15"/>
  <cols>
    <col min="1" max="1" width="22.21875" customWidth="1"/>
    <col min="2" max="2" width="13.5546875" bestFit="1" customWidth="1"/>
    <col min="3" max="3" width="11" bestFit="1" customWidth="1"/>
    <col min="4" max="7" width="11" customWidth="1"/>
    <col min="8" max="8" width="12" bestFit="1" customWidth="1"/>
    <col min="9" max="9" width="10.77734375" bestFit="1" customWidth="1"/>
  </cols>
  <sheetData>
    <row r="1" spans="1:9" ht="15.75">
      <c r="A1" s="81" t="s">
        <v>368</v>
      </c>
    </row>
    <row r="3" spans="1:9">
      <c r="A3" s="77" t="s">
        <v>369</v>
      </c>
    </row>
    <row r="5" spans="1:9">
      <c r="A5" s="78">
        <v>41639</v>
      </c>
    </row>
    <row r="6" spans="1:9" ht="15.75">
      <c r="B6" s="260" t="s">
        <v>465</v>
      </c>
      <c r="C6" s="260"/>
      <c r="D6" s="260" t="s">
        <v>540</v>
      </c>
      <c r="E6" s="260"/>
      <c r="F6" s="260" t="s">
        <v>539</v>
      </c>
      <c r="G6" s="260"/>
      <c r="H6" s="260" t="s">
        <v>498</v>
      </c>
      <c r="I6" s="260"/>
    </row>
    <row r="7" spans="1:9">
      <c r="B7" s="79" t="s">
        <v>316</v>
      </c>
      <c r="C7" s="79" t="s">
        <v>331</v>
      </c>
      <c r="D7" s="79" t="s">
        <v>316</v>
      </c>
      <c r="E7" s="79" t="s">
        <v>331</v>
      </c>
      <c r="F7" s="79"/>
      <c r="G7" s="79"/>
      <c r="H7" s="79" t="s">
        <v>316</v>
      </c>
      <c r="I7" s="79" t="s">
        <v>331</v>
      </c>
    </row>
    <row r="8" spans="1:9">
      <c r="A8">
        <v>2014</v>
      </c>
      <c r="B8" s="75">
        <v>4000000</v>
      </c>
      <c r="C8" s="75">
        <v>31500</v>
      </c>
      <c r="D8" s="75">
        <v>1500000</v>
      </c>
      <c r="E8" s="75">
        <v>12375</v>
      </c>
      <c r="F8" s="75">
        <v>8000000</v>
      </c>
      <c r="G8" s="75">
        <v>34125</v>
      </c>
      <c r="H8" s="80">
        <f>B8+D8+F8</f>
        <v>13500000</v>
      </c>
      <c r="I8" s="80">
        <f>C8+E8+G8</f>
        <v>78000</v>
      </c>
    </row>
    <row r="9" spans="1:9">
      <c r="A9">
        <v>2015</v>
      </c>
      <c r="B9" s="75"/>
      <c r="C9" s="75"/>
      <c r="D9" s="75"/>
      <c r="E9" s="75"/>
      <c r="F9" s="75">
        <v>3500000</v>
      </c>
      <c r="G9" s="75">
        <v>9625</v>
      </c>
      <c r="H9" s="80">
        <f>B9+D9+F9</f>
        <v>3500000</v>
      </c>
      <c r="I9" s="80">
        <f>C9+E9+G9</f>
        <v>9625</v>
      </c>
    </row>
    <row r="10" spans="1:9" ht="16.5" thickBot="1">
      <c r="A10" s="83" t="s">
        <v>536</v>
      </c>
      <c r="B10" s="82">
        <f t="shared" ref="B10:I10" si="0">SUM(B8:B9)</f>
        <v>4000000</v>
      </c>
      <c r="C10" s="76">
        <f t="shared" si="0"/>
        <v>31500</v>
      </c>
      <c r="D10" s="82">
        <f t="shared" si="0"/>
        <v>1500000</v>
      </c>
      <c r="E10" s="76">
        <f t="shared" si="0"/>
        <v>12375</v>
      </c>
      <c r="F10" s="82">
        <f t="shared" si="0"/>
        <v>11500000</v>
      </c>
      <c r="G10" s="76">
        <f t="shared" si="0"/>
        <v>43750</v>
      </c>
      <c r="H10" s="82">
        <f t="shared" si="0"/>
        <v>17000000</v>
      </c>
      <c r="I10" s="76">
        <f t="shared" si="0"/>
        <v>87625</v>
      </c>
    </row>
    <row r="11" spans="1:9" ht="15.75" thickTop="1">
      <c r="A11" s="85"/>
    </row>
    <row r="13" spans="1:9">
      <c r="A13" s="266" t="s">
        <v>539</v>
      </c>
      <c r="B13" s="266"/>
    </row>
    <row r="14" spans="1:9">
      <c r="A14" t="s">
        <v>466</v>
      </c>
      <c r="B14" s="78">
        <v>41409</v>
      </c>
    </row>
    <row r="15" spans="1:9">
      <c r="A15" t="s">
        <v>467</v>
      </c>
      <c r="B15" s="115">
        <v>16000000</v>
      </c>
    </row>
    <row r="16" spans="1:9" ht="16.5" thickBot="1">
      <c r="A16" t="s">
        <v>538</v>
      </c>
      <c r="B16" s="82">
        <f>F10</f>
        <v>11500000</v>
      </c>
    </row>
    <row r="17" spans="1:2" ht="15.75" thickTop="1"/>
    <row r="18" spans="1:2">
      <c r="A18" s="266" t="s">
        <v>465</v>
      </c>
      <c r="B18" s="266"/>
    </row>
    <row r="19" spans="1:2">
      <c r="A19" t="s">
        <v>466</v>
      </c>
      <c r="B19" s="78">
        <v>41059</v>
      </c>
    </row>
    <row r="20" spans="1:2">
      <c r="A20" t="s">
        <v>467</v>
      </c>
      <c r="B20" s="115">
        <v>20000000</v>
      </c>
    </row>
    <row r="21" spans="1:2" ht="16.5" thickBot="1">
      <c r="A21" t="s">
        <v>538</v>
      </c>
      <c r="B21" s="82">
        <f>B10</f>
        <v>4000000</v>
      </c>
    </row>
    <row r="22" spans="1:2" ht="15.75" thickTop="1"/>
    <row r="24" spans="1:2">
      <c r="A24" s="267" t="s">
        <v>540</v>
      </c>
      <c r="B24" s="267"/>
    </row>
    <row r="25" spans="1:2">
      <c r="A25" t="s">
        <v>466</v>
      </c>
      <c r="B25" s="137">
        <v>40682</v>
      </c>
    </row>
    <row r="26" spans="1:2">
      <c r="A26" t="s">
        <v>467</v>
      </c>
      <c r="B26" s="115">
        <v>27500000</v>
      </c>
    </row>
    <row r="27" spans="1:2" ht="16.5" thickBot="1">
      <c r="A27" t="s">
        <v>538</v>
      </c>
      <c r="B27" s="82">
        <f>D10</f>
        <v>1500000</v>
      </c>
    </row>
    <row r="28" spans="1:2" ht="15.75" thickTop="1"/>
    <row r="29" spans="1:2">
      <c r="A29" s="77" t="s">
        <v>505</v>
      </c>
    </row>
    <row r="30" spans="1:2" ht="15.75">
      <c r="A30" s="81" t="s">
        <v>497</v>
      </c>
    </row>
  </sheetData>
  <mergeCells count="7">
    <mergeCell ref="A18:B18"/>
    <mergeCell ref="A24:B24"/>
    <mergeCell ref="B6:C6"/>
    <mergeCell ref="D6:E6"/>
    <mergeCell ref="H6:I6"/>
    <mergeCell ref="F6:G6"/>
    <mergeCell ref="A13:B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tabColor rgb="FFFFC000"/>
    <pageSetUpPr fitToPage="1"/>
  </sheetPr>
  <dimension ref="A1:BR71"/>
  <sheetViews>
    <sheetView zoomScaleNormal="100" workbookViewId="0">
      <pane xSplit="1" ySplit="6" topLeftCell="X34" activePane="bottomRight" state="frozen"/>
      <selection pane="topRight" activeCell="B1" sqref="B1"/>
      <selection pane="bottomLeft" activeCell="A7" sqref="A7"/>
      <selection pane="bottomRight" activeCell="R71" sqref="R71"/>
    </sheetView>
  </sheetViews>
  <sheetFormatPr defaultColWidth="9.77734375" defaultRowHeight="12.75"/>
  <cols>
    <col min="1" max="1" width="17" style="8" customWidth="1"/>
    <col min="2" max="2" width="9" style="8" customWidth="1"/>
    <col min="3" max="4" width="7.88671875" style="8" customWidth="1"/>
    <col min="5" max="5" width="10.109375" style="8" bestFit="1" customWidth="1"/>
    <col min="6" max="6" width="8.109375" style="8" customWidth="1"/>
    <col min="7" max="7" width="7.21875" style="8" customWidth="1"/>
    <col min="8" max="8" width="8" style="8" customWidth="1"/>
    <col min="9" max="9" width="6.77734375" style="8" customWidth="1"/>
    <col min="10" max="11" width="2.109375" style="8" hidden="1" customWidth="1"/>
    <col min="12" max="12" width="9.109375" style="8" customWidth="1"/>
    <col min="13" max="13" width="8.88671875" style="8" customWidth="1"/>
    <col min="14" max="14" width="2.109375" style="8" hidden="1" customWidth="1"/>
    <col min="15" max="15" width="1.77734375" style="8" hidden="1" customWidth="1"/>
    <col min="16" max="17" width="1.88671875" style="8" hidden="1" customWidth="1"/>
    <col min="18" max="18" width="8.77734375" style="8" customWidth="1"/>
    <col min="19" max="19" width="8.88671875" style="8" customWidth="1"/>
    <col min="20" max="20" width="9.77734375" style="8" hidden="1" customWidth="1"/>
    <col min="21" max="21" width="9.21875" style="8" hidden="1" customWidth="1"/>
    <col min="22" max="23" width="9" style="8" customWidth="1"/>
    <col min="24" max="24" width="9.109375" style="8" customWidth="1"/>
    <col min="25" max="25" width="8.77734375" style="8" customWidth="1"/>
    <col min="26" max="26" width="9.44140625" style="8" customWidth="1"/>
    <col min="27" max="27" width="6.33203125" style="8" customWidth="1"/>
    <col min="28" max="28" width="9.6640625" style="8" customWidth="1"/>
    <col min="29" max="31" width="10" style="8" customWidth="1"/>
    <col min="32" max="32" width="10.109375" style="8" customWidth="1"/>
    <col min="33" max="33" width="8.77734375" style="8" customWidth="1"/>
    <col min="34" max="34" width="9.5546875" style="8" customWidth="1"/>
    <col min="35" max="35" width="8.77734375" style="8" customWidth="1"/>
    <col min="36" max="36" width="5" style="8" customWidth="1"/>
    <col min="37" max="37" width="8" style="8" hidden="1" customWidth="1"/>
    <col min="38" max="41" width="8.5546875" style="8" hidden="1" customWidth="1"/>
    <col min="42" max="42" width="9" style="8" hidden="1" customWidth="1"/>
    <col min="43" max="43" width="8.33203125" style="8" hidden="1" customWidth="1"/>
    <col min="44" max="45" width="8.5546875" style="8" hidden="1" customWidth="1"/>
    <col min="46" max="47" width="5.33203125" style="8" customWidth="1"/>
    <col min="48" max="16384" width="9.77734375" style="8"/>
  </cols>
  <sheetData>
    <row r="1" spans="1:70">
      <c r="B1" s="9" t="s">
        <v>201</v>
      </c>
      <c r="F1" s="9" t="s">
        <v>202</v>
      </c>
      <c r="M1" s="10" t="s">
        <v>542</v>
      </c>
      <c r="AK1" s="8" t="s">
        <v>203</v>
      </c>
    </row>
    <row r="2" spans="1:70">
      <c r="B2" s="97" t="s">
        <v>204</v>
      </c>
      <c r="C2" s="8" t="s">
        <v>205</v>
      </c>
      <c r="D2" s="8" t="s">
        <v>206</v>
      </c>
      <c r="E2" s="8" t="s">
        <v>381</v>
      </c>
      <c r="X2" s="98" t="s">
        <v>207</v>
      </c>
      <c r="Z2" s="8" t="s">
        <v>208</v>
      </c>
      <c r="AB2" s="8" t="s">
        <v>208</v>
      </c>
    </row>
    <row r="3" spans="1:70">
      <c r="B3" s="8" t="s">
        <v>209</v>
      </c>
      <c r="C3" s="99" t="s">
        <v>210</v>
      </c>
      <c r="D3" s="8" t="s">
        <v>211</v>
      </c>
      <c r="E3" s="11" t="s">
        <v>212</v>
      </c>
      <c r="F3" s="11" t="s">
        <v>213</v>
      </c>
      <c r="G3" s="12" t="s">
        <v>214</v>
      </c>
      <c r="H3" s="98" t="s">
        <v>206</v>
      </c>
      <c r="I3" s="100" t="s">
        <v>215</v>
      </c>
      <c r="K3" s="100"/>
      <c r="L3" s="97" t="s">
        <v>216</v>
      </c>
      <c r="M3" s="100" t="s">
        <v>217</v>
      </c>
      <c r="R3" s="97" t="s">
        <v>543</v>
      </c>
      <c r="S3" s="8" t="s">
        <v>219</v>
      </c>
      <c r="T3" s="12" t="s">
        <v>218</v>
      </c>
      <c r="U3" s="8" t="s">
        <v>220</v>
      </c>
      <c r="V3" s="12" t="s">
        <v>221</v>
      </c>
      <c r="W3" s="8" t="s">
        <v>222</v>
      </c>
      <c r="X3" s="97" t="s">
        <v>204</v>
      </c>
      <c r="Y3" s="8" t="s">
        <v>223</v>
      </c>
      <c r="Z3" s="8" t="s">
        <v>224</v>
      </c>
      <c r="AA3" s="8" t="s">
        <v>225</v>
      </c>
      <c r="AB3" s="8" t="s">
        <v>226</v>
      </c>
      <c r="AC3" s="8" t="s">
        <v>227</v>
      </c>
      <c r="AD3" s="8" t="s">
        <v>382</v>
      </c>
      <c r="AP3" s="12" t="s">
        <v>228</v>
      </c>
      <c r="AQ3" s="12" t="s">
        <v>228</v>
      </c>
    </row>
    <row r="4" spans="1:70">
      <c r="A4" s="12" t="s">
        <v>13</v>
      </c>
      <c r="B4" s="10" t="s">
        <v>229</v>
      </c>
      <c r="D4" s="10" t="s">
        <v>229</v>
      </c>
      <c r="F4" s="268" t="s">
        <v>230</v>
      </c>
      <c r="G4" s="268"/>
      <c r="H4" s="268" t="s">
        <v>231</v>
      </c>
      <c r="I4" s="268"/>
      <c r="L4" s="9" t="s">
        <v>232</v>
      </c>
      <c r="N4" s="9"/>
      <c r="P4" s="9"/>
      <c r="R4" s="9" t="s">
        <v>233</v>
      </c>
      <c r="T4" s="9" t="s">
        <v>234</v>
      </c>
      <c r="V4" s="268" t="s">
        <v>235</v>
      </c>
      <c r="W4" s="268"/>
      <c r="X4" s="10" t="s">
        <v>236</v>
      </c>
      <c r="Z4" s="269" t="s">
        <v>237</v>
      </c>
      <c r="AA4" s="268"/>
      <c r="AB4" s="269" t="s">
        <v>238</v>
      </c>
      <c r="AC4" s="268"/>
      <c r="AD4" s="268" t="s">
        <v>383</v>
      </c>
      <c r="AE4" s="268"/>
      <c r="AF4" s="8" t="s">
        <v>239</v>
      </c>
      <c r="AH4" s="8" t="s">
        <v>240</v>
      </c>
      <c r="AL4" s="12" t="s">
        <v>241</v>
      </c>
      <c r="AM4" s="12" t="s">
        <v>241</v>
      </c>
      <c r="AN4" s="12" t="s">
        <v>242</v>
      </c>
      <c r="AO4" s="12" t="s">
        <v>242</v>
      </c>
      <c r="AP4" s="14" t="s">
        <v>243</v>
      </c>
      <c r="AQ4" s="14" t="s">
        <v>243</v>
      </c>
      <c r="AR4" s="12" t="s">
        <v>244</v>
      </c>
      <c r="AS4" s="12" t="s">
        <v>244</v>
      </c>
    </row>
    <row r="5" spans="1:70">
      <c r="A5" s="12" t="s">
        <v>24</v>
      </c>
      <c r="B5" s="12" t="s">
        <v>25</v>
      </c>
      <c r="C5" s="12" t="s">
        <v>28</v>
      </c>
      <c r="D5" s="12" t="s">
        <v>245</v>
      </c>
      <c r="E5" s="12" t="s">
        <v>246</v>
      </c>
      <c r="F5" s="12" t="s">
        <v>27</v>
      </c>
      <c r="G5" s="12" t="s">
        <v>26</v>
      </c>
      <c r="H5" s="12" t="s">
        <v>27</v>
      </c>
      <c r="I5" s="12" t="s">
        <v>26</v>
      </c>
      <c r="J5" s="12" t="s">
        <v>25</v>
      </c>
      <c r="K5" s="12" t="s">
        <v>28</v>
      </c>
      <c r="L5" s="12" t="s">
        <v>245</v>
      </c>
      <c r="M5" s="12" t="s">
        <v>246</v>
      </c>
      <c r="N5" s="12" t="s">
        <v>27</v>
      </c>
      <c r="O5" s="12" t="s">
        <v>26</v>
      </c>
      <c r="P5" s="12" t="s">
        <v>27</v>
      </c>
      <c r="Q5" s="12" t="s">
        <v>26</v>
      </c>
      <c r="R5" s="12" t="s">
        <v>245</v>
      </c>
      <c r="S5" s="12" t="s">
        <v>246</v>
      </c>
      <c r="T5" s="12" t="s">
        <v>27</v>
      </c>
      <c r="U5" s="12" t="s">
        <v>26</v>
      </c>
      <c r="V5" s="12" t="s">
        <v>27</v>
      </c>
      <c r="W5" s="12" t="s">
        <v>26</v>
      </c>
      <c r="X5" s="12" t="s">
        <v>245</v>
      </c>
      <c r="Y5" s="12" t="s">
        <v>246</v>
      </c>
      <c r="Z5" s="12" t="s">
        <v>27</v>
      </c>
      <c r="AA5" s="12" t="s">
        <v>26</v>
      </c>
      <c r="AB5" s="12" t="s">
        <v>27</v>
      </c>
      <c r="AC5" s="12" t="s">
        <v>26</v>
      </c>
      <c r="AD5" s="12" t="s">
        <v>27</v>
      </c>
      <c r="AE5" s="12" t="s">
        <v>26</v>
      </c>
      <c r="AF5" s="12" t="s">
        <v>245</v>
      </c>
      <c r="AG5" s="12" t="s">
        <v>246</v>
      </c>
      <c r="AH5" s="12" t="s">
        <v>245</v>
      </c>
      <c r="AI5" s="12" t="s">
        <v>246</v>
      </c>
      <c r="AL5" s="12" t="s">
        <v>247</v>
      </c>
      <c r="AM5" s="12" t="s">
        <v>248</v>
      </c>
      <c r="AN5" s="12" t="s">
        <v>247</v>
      </c>
      <c r="AO5" s="12" t="s">
        <v>248</v>
      </c>
      <c r="AP5" s="12" t="s">
        <v>247</v>
      </c>
      <c r="AQ5" s="12" t="s">
        <v>248</v>
      </c>
      <c r="AR5" s="12" t="s">
        <v>247</v>
      </c>
      <c r="AS5" s="12" t="s">
        <v>248</v>
      </c>
    </row>
    <row r="6" spans="1:70">
      <c r="A6" s="8" t="s">
        <v>99</v>
      </c>
      <c r="B6" s="8" t="s">
        <v>249</v>
      </c>
      <c r="C6" s="8" t="s">
        <v>250</v>
      </c>
      <c r="F6" s="8" t="s">
        <v>249</v>
      </c>
      <c r="G6" s="8" t="s">
        <v>250</v>
      </c>
      <c r="H6" s="8" t="s">
        <v>249</v>
      </c>
      <c r="I6" s="8" t="s">
        <v>250</v>
      </c>
      <c r="J6" s="8" t="s">
        <v>249</v>
      </c>
      <c r="K6" s="8" t="s">
        <v>142</v>
      </c>
      <c r="L6" s="8" t="s">
        <v>249</v>
      </c>
      <c r="M6" s="8" t="s">
        <v>250</v>
      </c>
      <c r="N6" s="8" t="s">
        <v>249</v>
      </c>
      <c r="O6" s="8" t="s">
        <v>249</v>
      </c>
      <c r="P6" s="8" t="s">
        <v>249</v>
      </c>
      <c r="Q6" s="8" t="s">
        <v>142</v>
      </c>
      <c r="R6" s="8" t="s">
        <v>249</v>
      </c>
      <c r="S6" s="8" t="s">
        <v>142</v>
      </c>
      <c r="T6" s="8" t="s">
        <v>249</v>
      </c>
      <c r="U6" s="8" t="s">
        <v>142</v>
      </c>
      <c r="V6" s="8" t="s">
        <v>249</v>
      </c>
      <c r="W6" s="8" t="s">
        <v>142</v>
      </c>
      <c r="X6" s="8" t="s">
        <v>249</v>
      </c>
      <c r="Y6" s="8" t="s">
        <v>249</v>
      </c>
      <c r="Z6" s="8" t="s">
        <v>249</v>
      </c>
      <c r="AA6" s="8" t="s">
        <v>250</v>
      </c>
      <c r="AB6" s="8" t="s">
        <v>249</v>
      </c>
      <c r="AC6" s="8" t="s">
        <v>250</v>
      </c>
      <c r="AD6" s="8" t="s">
        <v>249</v>
      </c>
      <c r="AE6" s="8" t="s">
        <v>250</v>
      </c>
      <c r="AF6" s="8" t="s">
        <v>249</v>
      </c>
      <c r="AG6" s="8" t="s">
        <v>250</v>
      </c>
      <c r="AH6" s="8" t="s">
        <v>249</v>
      </c>
      <c r="AI6" s="8" t="s">
        <v>142</v>
      </c>
      <c r="AL6" s="12" t="s">
        <v>384</v>
      </c>
      <c r="AM6" s="12" t="s">
        <v>384</v>
      </c>
      <c r="AN6" s="12" t="s">
        <v>384</v>
      </c>
      <c r="AO6" s="12" t="s">
        <v>384</v>
      </c>
      <c r="AP6" s="12" t="s">
        <v>99</v>
      </c>
      <c r="AQ6" s="12" t="s">
        <v>99</v>
      </c>
      <c r="AR6" s="12" t="s">
        <v>99</v>
      </c>
      <c r="AS6" s="12" t="s">
        <v>99</v>
      </c>
    </row>
    <row r="7" spans="1:70">
      <c r="A7" s="8" t="s">
        <v>251</v>
      </c>
      <c r="B7" s="15"/>
      <c r="C7" s="15"/>
      <c r="D7" s="15"/>
      <c r="E7" s="15"/>
      <c r="F7" s="15">
        <v>125000</v>
      </c>
      <c r="G7" s="15">
        <v>5400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46"/>
      <c r="U7" s="146"/>
      <c r="V7" s="15">
        <v>165000</v>
      </c>
      <c r="W7" s="146">
        <v>22872</v>
      </c>
      <c r="X7" s="15"/>
      <c r="Y7" s="15"/>
      <c r="Z7" s="15"/>
      <c r="AA7" s="15">
        <v>5125</v>
      </c>
      <c r="AB7" s="15">
        <v>60000</v>
      </c>
      <c r="AC7" s="15">
        <v>5903</v>
      </c>
      <c r="AD7" s="15"/>
      <c r="AE7" s="15"/>
      <c r="AF7" s="15">
        <f t="shared" ref="AF7:AF38" si="0">(B7+D7+F7+H7+J7+L7+N7+P7+R7+T7+V7+X7+Z7+AB7+AD7)</f>
        <v>350000</v>
      </c>
      <c r="AG7" s="15">
        <f t="shared" ref="AG7:AG38" si="1">(C7+E7+G7+I7+K7+M7+O7+Q7+S7+U7+W7+Y7+AA7+AC7+AE7)</f>
        <v>39300</v>
      </c>
      <c r="AH7" s="15"/>
      <c r="AI7" s="15"/>
      <c r="AL7" s="15" t="e">
        <f>B7+#REF!+F7+#REF!+J7+L7+N7+P7+#REF!+#REF!+R7+T7+V7</f>
        <v>#REF!</v>
      </c>
      <c r="AM7" s="15" t="e">
        <f>C7+#REF!+G7+#REF!+K7+M7+O7+Q7+#REF!+#REF!+S7+U7+W7</f>
        <v>#REF!</v>
      </c>
      <c r="AN7" s="15" t="e">
        <f>X7+#REF!+Z7+AB7</f>
        <v>#REF!</v>
      </c>
      <c r="AO7" s="15" t="e">
        <f>Y7+#REF!+AA7+AC7</f>
        <v>#REF!</v>
      </c>
      <c r="AP7" s="15"/>
      <c r="AQ7" s="15"/>
      <c r="AR7" s="15" t="e">
        <f t="shared" ref="AR7:AS18" si="2">(AL7+AN7+AP7)</f>
        <v>#REF!</v>
      </c>
      <c r="AS7" s="15" t="e">
        <f t="shared" si="2"/>
        <v>#REF!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</row>
    <row r="8" spans="1:70">
      <c r="A8" s="8" t="s">
        <v>252</v>
      </c>
      <c r="B8" s="15">
        <v>300000</v>
      </c>
      <c r="C8" s="15">
        <v>29066</v>
      </c>
      <c r="D8" s="15">
        <v>160000</v>
      </c>
      <c r="E8" s="15">
        <v>26960</v>
      </c>
      <c r="F8" s="15"/>
      <c r="G8" s="15"/>
      <c r="H8" s="15">
        <v>55000</v>
      </c>
      <c r="I8" s="15">
        <v>10643</v>
      </c>
      <c r="J8" s="15"/>
      <c r="K8" s="15"/>
      <c r="L8" s="15">
        <v>540000</v>
      </c>
      <c r="M8" s="15">
        <v>43138</v>
      </c>
      <c r="N8" s="15"/>
      <c r="O8" s="15"/>
      <c r="P8" s="15"/>
      <c r="Q8" s="15"/>
      <c r="R8" s="15">
        <v>90000</v>
      </c>
      <c r="S8" s="15">
        <v>6081</v>
      </c>
      <c r="T8" s="146"/>
      <c r="U8" s="146"/>
      <c r="V8" s="15"/>
      <c r="W8" s="15"/>
      <c r="X8" s="15">
        <v>625000</v>
      </c>
      <c r="Y8" s="15">
        <v>175363</v>
      </c>
      <c r="Z8" s="15"/>
      <c r="AA8" s="15"/>
      <c r="AB8" s="15"/>
      <c r="AC8" s="15"/>
      <c r="AD8" s="15">
        <v>145000</v>
      </c>
      <c r="AE8" s="15">
        <v>26340</v>
      </c>
      <c r="AF8" s="15">
        <f t="shared" si="0"/>
        <v>1915000</v>
      </c>
      <c r="AG8" s="15">
        <f t="shared" si="1"/>
        <v>317591</v>
      </c>
      <c r="AH8" s="15"/>
      <c r="AI8" s="15"/>
      <c r="AL8" s="15" t="e">
        <f>B8+#REF!+F8+#REF!+J8+L8+N8+P8+#REF!+#REF!+R8+T8+V8</f>
        <v>#REF!</v>
      </c>
      <c r="AM8" s="15" t="e">
        <f>C8+#REF!+G8+#REF!+K8+M8+O8+Q8+#REF!+#REF!+S8+U8+W8</f>
        <v>#REF!</v>
      </c>
      <c r="AN8" s="15" t="e">
        <f>X8+#REF!+Z8+AB8</f>
        <v>#REF!</v>
      </c>
      <c r="AO8" s="15" t="e">
        <f>Y8+#REF!+AA8+AC8</f>
        <v>#REF!</v>
      </c>
      <c r="AP8" s="15"/>
      <c r="AQ8" s="15"/>
      <c r="AR8" s="15" t="e">
        <f t="shared" si="2"/>
        <v>#REF!</v>
      </c>
      <c r="AS8" s="15" t="e">
        <f t="shared" si="2"/>
        <v>#REF!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</row>
    <row r="9" spans="1:70">
      <c r="A9" s="11" t="s">
        <v>253</v>
      </c>
      <c r="B9" s="15"/>
      <c r="C9" s="15"/>
      <c r="D9" s="15"/>
      <c r="E9" s="15"/>
      <c r="F9" s="15"/>
      <c r="G9" s="15">
        <v>3994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46"/>
      <c r="U9" s="146"/>
      <c r="V9" s="15"/>
      <c r="W9" s="15">
        <v>21531</v>
      </c>
      <c r="X9" s="15"/>
      <c r="Y9" s="15"/>
      <c r="Z9" s="15">
        <v>80000</v>
      </c>
      <c r="AA9" s="15">
        <v>5125</v>
      </c>
      <c r="AB9" s="15"/>
      <c r="AC9" s="15">
        <v>5153</v>
      </c>
      <c r="AD9" s="15"/>
      <c r="AE9" s="15"/>
      <c r="AF9" s="15">
        <f t="shared" si="0"/>
        <v>80000</v>
      </c>
      <c r="AG9" s="15">
        <f t="shared" si="1"/>
        <v>35803</v>
      </c>
      <c r="AH9" s="15"/>
      <c r="AI9" s="15"/>
      <c r="AL9" s="15" t="e">
        <f>B9+#REF!+F9+#REF!+J9+L9+N9+P9+#REF!+#REF!+R9+T9+V9</f>
        <v>#REF!</v>
      </c>
      <c r="AM9" s="15" t="e">
        <f>C9+#REF!+G9+#REF!+K9+M9+O9+Q9+#REF!+#REF!+S9+U9+W9</f>
        <v>#REF!</v>
      </c>
      <c r="AN9" s="15" t="e">
        <f>X9+#REF!+Z9+AB9</f>
        <v>#REF!</v>
      </c>
      <c r="AO9" s="15" t="e">
        <f>Y9+#REF!+AA9+AC9</f>
        <v>#REF!</v>
      </c>
      <c r="AP9" s="15"/>
      <c r="AQ9" s="15"/>
      <c r="AR9" s="15" t="e">
        <f t="shared" si="2"/>
        <v>#REF!</v>
      </c>
      <c r="AS9" s="15" t="e">
        <f t="shared" si="2"/>
        <v>#REF!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</row>
    <row r="10" spans="1:70">
      <c r="A10" s="8" t="s">
        <v>254</v>
      </c>
      <c r="B10" s="15"/>
      <c r="C10" s="15">
        <v>26065</v>
      </c>
      <c r="D10" s="15"/>
      <c r="E10" s="15">
        <v>23360</v>
      </c>
      <c r="F10" s="15"/>
      <c r="G10" s="15"/>
      <c r="H10" s="15"/>
      <c r="I10" s="15">
        <v>9391</v>
      </c>
      <c r="J10" s="15"/>
      <c r="K10" s="15"/>
      <c r="L10" s="15"/>
      <c r="M10" s="15">
        <v>31662</v>
      </c>
      <c r="N10" s="15"/>
      <c r="O10" s="15"/>
      <c r="P10" s="15"/>
      <c r="Q10" s="15"/>
      <c r="R10" s="15"/>
      <c r="S10" s="15">
        <v>5294</v>
      </c>
      <c r="T10" s="146"/>
      <c r="U10" s="146"/>
      <c r="V10" s="15"/>
      <c r="W10" s="15"/>
      <c r="X10" s="15"/>
      <c r="Y10" s="15">
        <v>169112</v>
      </c>
      <c r="Z10" s="15"/>
      <c r="AA10" s="15"/>
      <c r="AB10" s="15"/>
      <c r="AC10" s="15"/>
      <c r="AD10" s="15"/>
      <c r="AE10" s="15">
        <v>24890</v>
      </c>
      <c r="AF10" s="15">
        <f t="shared" si="0"/>
        <v>0</v>
      </c>
      <c r="AG10" s="15">
        <f t="shared" si="1"/>
        <v>289774</v>
      </c>
      <c r="AH10" s="15">
        <f>SUM(AF7:AF10)</f>
        <v>2345000</v>
      </c>
      <c r="AI10" s="15">
        <f>SUM(AG7:AG10)</f>
        <v>682468</v>
      </c>
      <c r="AJ10" s="8">
        <v>2014</v>
      </c>
      <c r="AL10" s="15" t="e">
        <f>B10+#REF!+F10+#REF!+J10+L10+N10+P10+#REF!+#REF!+R10+T10+V10</f>
        <v>#REF!</v>
      </c>
      <c r="AM10" s="15" t="e">
        <f>C10+#REF!+G10+#REF!+K10+M10+O10+Q10+#REF!+#REF!+S10+U10+W10</f>
        <v>#REF!</v>
      </c>
      <c r="AN10" s="15" t="e">
        <f>X10+#REF!+Z10+AB10</f>
        <v>#REF!</v>
      </c>
      <c r="AO10" s="15" t="e">
        <f>Y10+#REF!+AA10+AC10</f>
        <v>#REF!</v>
      </c>
      <c r="AP10" s="15"/>
      <c r="AQ10" s="15"/>
      <c r="AR10" s="15" t="e">
        <f t="shared" si="2"/>
        <v>#REF!</v>
      </c>
      <c r="AS10" s="15" t="e">
        <f t="shared" si="2"/>
        <v>#REF!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</row>
    <row r="11" spans="1:70">
      <c r="A11" s="8" t="s">
        <v>255</v>
      </c>
      <c r="B11" s="15"/>
      <c r="C11" s="15"/>
      <c r="D11" s="15"/>
      <c r="E11" s="15"/>
      <c r="F11" s="15">
        <v>125000</v>
      </c>
      <c r="G11" s="146">
        <v>3994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46"/>
      <c r="U11" s="146"/>
      <c r="V11" s="15">
        <v>170000</v>
      </c>
      <c r="W11" s="15">
        <v>21531</v>
      </c>
      <c r="X11" s="15"/>
      <c r="Y11" s="15"/>
      <c r="Z11" s="15"/>
      <c r="AA11" s="15">
        <v>4125</v>
      </c>
      <c r="AB11" s="15">
        <v>65000</v>
      </c>
      <c r="AC11" s="15">
        <v>5153</v>
      </c>
      <c r="AD11" s="15"/>
      <c r="AE11" s="15"/>
      <c r="AF11" s="15">
        <f t="shared" si="0"/>
        <v>360000</v>
      </c>
      <c r="AG11" s="15">
        <f t="shared" si="1"/>
        <v>34803</v>
      </c>
      <c r="AH11" s="15"/>
      <c r="AI11" s="15"/>
      <c r="AL11" s="15" t="e">
        <f>B11+#REF!+F11+#REF!+J11+L11+N11+P11+#REF!+#REF!+R11+T11+V11</f>
        <v>#REF!</v>
      </c>
      <c r="AM11" s="15" t="e">
        <f>C11+#REF!+G11+#REF!+K11+M11+O11+Q11+#REF!+#REF!+S11+U11+W11</f>
        <v>#REF!</v>
      </c>
      <c r="AN11" s="15" t="e">
        <f>X11+#REF!+Z11+AB11</f>
        <v>#REF!</v>
      </c>
      <c r="AO11" s="15" t="e">
        <f>Y11+#REF!+AA11+AC11</f>
        <v>#REF!</v>
      </c>
      <c r="AP11" s="15"/>
      <c r="AQ11" s="15"/>
      <c r="AR11" s="15" t="e">
        <f t="shared" si="2"/>
        <v>#REF!</v>
      </c>
      <c r="AS11" s="15" t="e">
        <f t="shared" si="2"/>
        <v>#REF!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</row>
    <row r="12" spans="1:70">
      <c r="A12" s="8" t="s">
        <v>256</v>
      </c>
      <c r="B12" s="15">
        <v>305000</v>
      </c>
      <c r="C12" s="15">
        <v>26066</v>
      </c>
      <c r="D12" s="15">
        <v>160000</v>
      </c>
      <c r="E12" s="15">
        <v>23360</v>
      </c>
      <c r="F12" s="15"/>
      <c r="G12" s="146"/>
      <c r="H12" s="15">
        <v>55000</v>
      </c>
      <c r="I12" s="15">
        <v>9391</v>
      </c>
      <c r="J12" s="15"/>
      <c r="K12" s="15"/>
      <c r="L12" s="15">
        <v>535000</v>
      </c>
      <c r="M12" s="15">
        <v>31662</v>
      </c>
      <c r="N12" s="15"/>
      <c r="O12" s="15"/>
      <c r="P12" s="15"/>
      <c r="Q12" s="15"/>
      <c r="R12" s="15">
        <v>85000</v>
      </c>
      <c r="S12" s="15">
        <v>5294</v>
      </c>
      <c r="T12" s="146"/>
      <c r="U12" s="146"/>
      <c r="V12" s="15"/>
      <c r="W12" s="15"/>
      <c r="X12" s="15">
        <v>610000</v>
      </c>
      <c r="Y12" s="15">
        <v>169113</v>
      </c>
      <c r="Z12" s="15"/>
      <c r="AA12" s="15"/>
      <c r="AB12" s="15"/>
      <c r="AC12" s="15"/>
      <c r="AD12" s="15">
        <v>150000</v>
      </c>
      <c r="AE12" s="15">
        <v>24890</v>
      </c>
      <c r="AF12" s="15">
        <f t="shared" si="0"/>
        <v>1900000</v>
      </c>
      <c r="AG12" s="15">
        <f t="shared" si="1"/>
        <v>289776</v>
      </c>
      <c r="AH12" s="15"/>
      <c r="AI12" s="15"/>
      <c r="AL12" s="15" t="e">
        <f>B12+#REF!+F12+#REF!+J12+L12+N12+P12+#REF!+#REF!+R12+T12+V12</f>
        <v>#REF!</v>
      </c>
      <c r="AM12" s="15" t="e">
        <f>C12+#REF!+G12+#REF!+K12+M12+O12+Q12+#REF!+#REF!+S12+U12+W12</f>
        <v>#REF!</v>
      </c>
      <c r="AN12" s="15" t="e">
        <f>X12+#REF!+Z12+AB12</f>
        <v>#REF!</v>
      </c>
      <c r="AO12" s="15" t="e">
        <f>Y12+#REF!+AA12+AC12</f>
        <v>#REF!</v>
      </c>
      <c r="AP12" s="15"/>
      <c r="AQ12" s="15"/>
      <c r="AR12" s="15" t="e">
        <f t="shared" si="2"/>
        <v>#REF!</v>
      </c>
      <c r="AS12" s="15" t="e">
        <f t="shared" si="2"/>
        <v>#REF!</v>
      </c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</row>
    <row r="13" spans="1:70">
      <c r="A13" s="11" t="s">
        <v>257</v>
      </c>
      <c r="B13" s="15"/>
      <c r="C13" s="15"/>
      <c r="D13" s="15"/>
      <c r="E13" s="15"/>
      <c r="F13" s="15"/>
      <c r="G13" s="146">
        <v>2587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46"/>
      <c r="U13" s="146"/>
      <c r="V13" s="15"/>
      <c r="W13" s="15">
        <v>20150</v>
      </c>
      <c r="X13" s="15"/>
      <c r="Y13" s="15"/>
      <c r="Z13" s="15">
        <v>80000</v>
      </c>
      <c r="AA13" s="15">
        <v>4125</v>
      </c>
      <c r="AB13" s="15"/>
      <c r="AC13" s="15">
        <v>4341</v>
      </c>
      <c r="AD13" s="15"/>
      <c r="AE13" s="15"/>
      <c r="AF13" s="15">
        <f t="shared" si="0"/>
        <v>80000</v>
      </c>
      <c r="AG13" s="15">
        <f t="shared" si="1"/>
        <v>31203</v>
      </c>
      <c r="AH13" s="15"/>
      <c r="AI13" s="15"/>
      <c r="AL13" s="15" t="e">
        <f>B13+#REF!+F13+#REF!+J13+L13+N13+P13+#REF!+#REF!+R13+T13+V13</f>
        <v>#REF!</v>
      </c>
      <c r="AM13" s="15" t="e">
        <f>C13+#REF!+G13+#REF!+K13+M13+O13+Q13+#REF!+#REF!+S13+U13+W13</f>
        <v>#REF!</v>
      </c>
      <c r="AN13" s="15" t="e">
        <f>X13+#REF!+Z13+AB13</f>
        <v>#REF!</v>
      </c>
      <c r="AO13" s="15" t="e">
        <f>Y13+#REF!+AA13+AC13</f>
        <v>#REF!</v>
      </c>
      <c r="AP13" s="15"/>
      <c r="AQ13" s="15"/>
      <c r="AR13" s="15" t="e">
        <f t="shared" si="2"/>
        <v>#REF!</v>
      </c>
      <c r="AS13" s="15" t="e">
        <f t="shared" si="2"/>
        <v>#REF!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</row>
    <row r="14" spans="1:70">
      <c r="A14" s="8" t="s">
        <v>258</v>
      </c>
      <c r="B14" s="15"/>
      <c r="C14" s="15">
        <v>22634</v>
      </c>
      <c r="D14" s="15"/>
      <c r="E14" s="15">
        <v>19600</v>
      </c>
      <c r="F14" s="15"/>
      <c r="G14" s="146"/>
      <c r="H14" s="15"/>
      <c r="I14" s="15">
        <v>8113</v>
      </c>
      <c r="J14" s="15"/>
      <c r="K14" s="15"/>
      <c r="L14" s="15"/>
      <c r="M14" s="15">
        <v>20294</v>
      </c>
      <c r="N14" s="15"/>
      <c r="O14" s="15"/>
      <c r="P14" s="15"/>
      <c r="Q14" s="15"/>
      <c r="R14" s="15"/>
      <c r="S14" s="15">
        <v>4550</v>
      </c>
      <c r="T14" s="146"/>
      <c r="U14" s="146"/>
      <c r="V14" s="15"/>
      <c r="W14" s="15"/>
      <c r="X14" s="15"/>
      <c r="Y14" s="15">
        <v>161487</v>
      </c>
      <c r="Z14" s="15"/>
      <c r="AA14" s="15"/>
      <c r="AB14" s="15"/>
      <c r="AC14" s="15"/>
      <c r="AD14" s="15"/>
      <c r="AE14" s="15">
        <v>23390</v>
      </c>
      <c r="AF14" s="15">
        <f t="shared" si="0"/>
        <v>0</v>
      </c>
      <c r="AG14" s="15">
        <f t="shared" si="1"/>
        <v>260068</v>
      </c>
      <c r="AH14" s="15">
        <f>SUM(AF11:AF14)</f>
        <v>2340000</v>
      </c>
      <c r="AI14" s="15">
        <f>SUM(AG11:AG14)</f>
        <v>615850</v>
      </c>
      <c r="AJ14" s="8">
        <v>2015</v>
      </c>
      <c r="AL14" s="15" t="e">
        <f>B14+#REF!+F14+#REF!+J14+L14+N14+P14+#REF!+#REF!+R14+T14+V14</f>
        <v>#REF!</v>
      </c>
      <c r="AM14" s="15" t="e">
        <f>C14+#REF!+G14+#REF!+K14+M14+O14+Q14+#REF!+#REF!+S14+U14+W14</f>
        <v>#REF!</v>
      </c>
      <c r="AN14" s="15" t="e">
        <f>X14+#REF!+Z14+AB14</f>
        <v>#REF!</v>
      </c>
      <c r="AO14" s="15" t="e">
        <f>Y14+#REF!+AA14+AC14</f>
        <v>#REF!</v>
      </c>
      <c r="AP14" s="15"/>
      <c r="AQ14" s="15"/>
      <c r="AR14" s="15" t="e">
        <f t="shared" si="2"/>
        <v>#REF!</v>
      </c>
      <c r="AS14" s="15" t="e">
        <f t="shared" si="2"/>
        <v>#REF!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</row>
    <row r="15" spans="1:70">
      <c r="A15" s="8" t="s">
        <v>259</v>
      </c>
      <c r="B15" s="15"/>
      <c r="C15" s="15"/>
      <c r="D15" s="15"/>
      <c r="E15" s="15"/>
      <c r="F15" s="15">
        <v>130000</v>
      </c>
      <c r="G15" s="146">
        <v>2588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46"/>
      <c r="U15" s="146"/>
      <c r="V15" s="15">
        <v>175000</v>
      </c>
      <c r="W15" s="15">
        <v>20150</v>
      </c>
      <c r="X15" s="15"/>
      <c r="Y15" s="15"/>
      <c r="Z15" s="15"/>
      <c r="AA15" s="15">
        <v>3125</v>
      </c>
      <c r="AB15" s="15">
        <v>65000</v>
      </c>
      <c r="AC15" s="15">
        <v>4341</v>
      </c>
      <c r="AD15" s="15"/>
      <c r="AE15" s="15"/>
      <c r="AF15" s="15">
        <f t="shared" si="0"/>
        <v>370000</v>
      </c>
      <c r="AG15" s="15">
        <f t="shared" si="1"/>
        <v>30204</v>
      </c>
      <c r="AH15" s="15"/>
      <c r="AI15" s="15"/>
      <c r="AL15" s="15" t="e">
        <f>B15+#REF!+F15+#REF!+J15+L15+N15+P15+#REF!+#REF!+R15+T15+V15</f>
        <v>#REF!</v>
      </c>
      <c r="AM15" s="15" t="e">
        <f>C15+#REF!+G15+#REF!+K15+M15+O15+Q15+#REF!+#REF!+S15+U15+W15</f>
        <v>#REF!</v>
      </c>
      <c r="AN15" s="15" t="e">
        <f>X15+#REF!+Z15+AB15</f>
        <v>#REF!</v>
      </c>
      <c r="AO15" s="15" t="e">
        <f>Y15+#REF!+AA15+AC15</f>
        <v>#REF!</v>
      </c>
      <c r="AP15" s="15"/>
      <c r="AQ15" s="15"/>
      <c r="AR15" s="15" t="e">
        <f t="shared" si="2"/>
        <v>#REF!</v>
      </c>
      <c r="AS15" s="15" t="e">
        <f t="shared" si="2"/>
        <v>#REF!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</row>
    <row r="16" spans="1:70">
      <c r="A16" s="8" t="s">
        <v>260</v>
      </c>
      <c r="B16" s="15">
        <v>315000</v>
      </c>
      <c r="C16" s="15">
        <v>22634</v>
      </c>
      <c r="D16" s="15">
        <v>160000</v>
      </c>
      <c r="E16" s="15">
        <v>19600</v>
      </c>
      <c r="F16" s="15"/>
      <c r="G16" s="146"/>
      <c r="H16" s="15">
        <v>55000</v>
      </c>
      <c r="I16" s="15">
        <v>8113</v>
      </c>
      <c r="J16" s="15"/>
      <c r="K16" s="15"/>
      <c r="L16" s="15">
        <v>555000</v>
      </c>
      <c r="M16" s="15">
        <v>20294</v>
      </c>
      <c r="N16" s="15"/>
      <c r="O16" s="15"/>
      <c r="P16" s="15"/>
      <c r="Q16" s="15"/>
      <c r="R16" s="15">
        <v>85000</v>
      </c>
      <c r="S16" s="15">
        <v>4550</v>
      </c>
      <c r="T16" s="146"/>
      <c r="U16" s="146"/>
      <c r="V16" s="15"/>
      <c r="W16" s="15"/>
      <c r="X16" s="15">
        <v>600000</v>
      </c>
      <c r="Y16" s="15">
        <v>161488</v>
      </c>
      <c r="Z16" s="15"/>
      <c r="AA16" s="15"/>
      <c r="AB16" s="15"/>
      <c r="AC16" s="15"/>
      <c r="AD16" s="15">
        <v>155000</v>
      </c>
      <c r="AE16" s="15">
        <v>23390</v>
      </c>
      <c r="AF16" s="15">
        <f t="shared" si="0"/>
        <v>1925000</v>
      </c>
      <c r="AG16" s="15">
        <f t="shared" si="1"/>
        <v>260069</v>
      </c>
      <c r="AH16" s="15"/>
      <c r="AI16" s="15"/>
      <c r="AL16" s="15" t="e">
        <f>B16+#REF!+F16+#REF!+J16+L16+N16+P16+#REF!+#REF!+R16+T16+V16</f>
        <v>#REF!</v>
      </c>
      <c r="AM16" s="15" t="e">
        <f>C16+#REF!+G16+#REF!+K16+M16+O16+Q16+#REF!+#REF!+S16+U16+W16</f>
        <v>#REF!</v>
      </c>
      <c r="AN16" s="15" t="e">
        <f>X16+#REF!+Z16+AB16</f>
        <v>#REF!</v>
      </c>
      <c r="AO16" s="15" t="e">
        <f>Y16+#REF!+AA16+AC16</f>
        <v>#REF!</v>
      </c>
      <c r="AP16" s="15"/>
      <c r="AQ16" s="15"/>
      <c r="AR16" s="15" t="e">
        <f t="shared" si="2"/>
        <v>#REF!</v>
      </c>
      <c r="AS16" s="15" t="e">
        <f t="shared" si="2"/>
        <v>#REF!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</row>
    <row r="17" spans="1:70">
      <c r="A17" s="11" t="s">
        <v>261</v>
      </c>
      <c r="B17" s="15"/>
      <c r="C17" s="15"/>
      <c r="D17" s="15"/>
      <c r="E17" s="15"/>
      <c r="F17" s="15"/>
      <c r="G17" s="15">
        <v>1125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46"/>
      <c r="U17" s="146"/>
      <c r="V17" s="15"/>
      <c r="W17" s="15">
        <v>18728</v>
      </c>
      <c r="X17" s="15"/>
      <c r="Y17" s="15"/>
      <c r="Z17" s="15">
        <v>80000</v>
      </c>
      <c r="AA17" s="15">
        <v>3125</v>
      </c>
      <c r="AB17" s="15"/>
      <c r="AC17" s="15">
        <v>3528</v>
      </c>
      <c r="AD17" s="15"/>
      <c r="AE17" s="15"/>
      <c r="AF17" s="15">
        <f t="shared" si="0"/>
        <v>80000</v>
      </c>
      <c r="AG17" s="15">
        <f t="shared" si="1"/>
        <v>26506</v>
      </c>
      <c r="AH17" s="15"/>
      <c r="AI17" s="15"/>
      <c r="AL17" s="15" t="e">
        <f>B17+#REF!+F17+#REF!+J17+L17+N17+P17+#REF!+#REF!+R17+T17+V17</f>
        <v>#REF!</v>
      </c>
      <c r="AM17" s="15" t="e">
        <f>C17+#REF!+G17+#REF!+K17+M17+O17+Q17+#REF!+#REF!+S17+U17+W17</f>
        <v>#REF!</v>
      </c>
      <c r="AN17" s="15" t="e">
        <f>X17+#REF!+Z17+AB17</f>
        <v>#REF!</v>
      </c>
      <c r="AO17" s="15" t="e">
        <f>Y17+#REF!+AA17+AC17</f>
        <v>#REF!</v>
      </c>
      <c r="AP17" s="15"/>
      <c r="AQ17" s="15"/>
      <c r="AR17" s="15" t="e">
        <f t="shared" si="2"/>
        <v>#REF!</v>
      </c>
      <c r="AS17" s="15" t="e">
        <f t="shared" si="2"/>
        <v>#REF!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</row>
    <row r="18" spans="1:70">
      <c r="A18" s="8" t="s">
        <v>262</v>
      </c>
      <c r="B18" s="15"/>
      <c r="C18" s="15">
        <v>19091</v>
      </c>
      <c r="D18" s="15"/>
      <c r="E18" s="15">
        <v>15800</v>
      </c>
      <c r="F18" s="15"/>
      <c r="G18" s="15"/>
      <c r="H18" s="15"/>
      <c r="I18" s="15">
        <v>6805</v>
      </c>
      <c r="J18" s="15"/>
      <c r="K18" s="15"/>
      <c r="L18" s="15"/>
      <c r="M18" s="15">
        <v>8500</v>
      </c>
      <c r="N18" s="15"/>
      <c r="O18" s="15"/>
      <c r="P18" s="15"/>
      <c r="Q18" s="15"/>
      <c r="R18" s="15"/>
      <c r="S18" s="15">
        <v>3806</v>
      </c>
      <c r="T18" s="146"/>
      <c r="U18" s="146"/>
      <c r="V18" s="15"/>
      <c r="W18" s="15"/>
      <c r="X18" s="15"/>
      <c r="Y18" s="15">
        <v>152487</v>
      </c>
      <c r="Z18" s="15"/>
      <c r="AA18" s="15"/>
      <c r="AB18" s="15"/>
      <c r="AC18" s="15"/>
      <c r="AD18" s="15"/>
      <c r="AE18" s="15">
        <v>21840</v>
      </c>
      <c r="AF18" s="15">
        <f t="shared" si="0"/>
        <v>0</v>
      </c>
      <c r="AG18" s="15">
        <f t="shared" si="1"/>
        <v>228329</v>
      </c>
      <c r="AH18" s="15">
        <f>SUM(AF15:AF18)</f>
        <v>2375000</v>
      </c>
      <c r="AI18" s="15">
        <f>SUM(AG15:AG18)</f>
        <v>545108</v>
      </c>
      <c r="AJ18" s="8">
        <v>2016</v>
      </c>
      <c r="AL18" s="15" t="e">
        <f>B18+#REF!+F18+#REF!+J18+L18+N18+P18+#REF!+#REF!+R18+T18+V18</f>
        <v>#REF!</v>
      </c>
      <c r="AM18" s="15" t="e">
        <f>C18+#REF!+G18+#REF!+K18+M18+O18+Q18+#REF!+#REF!+S18+U18+W18</f>
        <v>#REF!</v>
      </c>
      <c r="AN18" s="15" t="e">
        <f>X18+#REF!+Z18+AB18</f>
        <v>#REF!</v>
      </c>
      <c r="AO18" s="15" t="e">
        <f>Y18+#REF!+AA18+AC18</f>
        <v>#REF!</v>
      </c>
      <c r="AP18" s="15"/>
      <c r="AQ18" s="15"/>
      <c r="AR18" s="15" t="e">
        <f t="shared" si="2"/>
        <v>#REF!</v>
      </c>
      <c r="AS18" s="15" t="e">
        <f t="shared" si="2"/>
        <v>#REF!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</row>
    <row r="19" spans="1:70">
      <c r="A19" s="11" t="s">
        <v>263</v>
      </c>
      <c r="B19" s="15"/>
      <c r="C19" s="15"/>
      <c r="D19" s="15"/>
      <c r="E19" s="15"/>
      <c r="F19" s="15">
        <v>100000</v>
      </c>
      <c r="G19" s="15">
        <v>1125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46"/>
      <c r="U19" s="146"/>
      <c r="V19" s="15">
        <v>175000</v>
      </c>
      <c r="W19" s="146">
        <v>18728</v>
      </c>
      <c r="X19" s="15"/>
      <c r="Y19" s="15"/>
      <c r="Z19" s="15"/>
      <c r="AA19" s="15">
        <v>2125</v>
      </c>
      <c r="AB19" s="15">
        <v>65000</v>
      </c>
      <c r="AC19" s="15">
        <v>3528</v>
      </c>
      <c r="AD19" s="15"/>
      <c r="AE19" s="15"/>
      <c r="AF19" s="15">
        <f t="shared" si="0"/>
        <v>340000</v>
      </c>
      <c r="AG19" s="15">
        <f t="shared" si="1"/>
        <v>25506</v>
      </c>
      <c r="AH19" s="15"/>
      <c r="AI19" s="15"/>
      <c r="AL19" s="15" t="e">
        <f>B19+#REF!+F19+#REF!+J19+L19+N19+P19+#REF!+#REF!+R19+T19+V19</f>
        <v>#REF!</v>
      </c>
      <c r="AM19" s="15" t="e">
        <f>C19+#REF!+G19+#REF!+K19+M19+O19+Q19+#REF!+#REF!+S19+U19+W19</f>
        <v>#REF!</v>
      </c>
      <c r="AN19" s="15" t="e">
        <f>X19+#REF!+Z19+AB19</f>
        <v>#REF!</v>
      </c>
      <c r="AO19" s="15" t="e">
        <f>Y19+#REF!+AA19+AC19</f>
        <v>#REF!</v>
      </c>
      <c r="AP19" s="15"/>
      <c r="AQ19" s="15"/>
      <c r="AR19" s="15" t="e">
        <f t="shared" ref="AR19:AS26" si="3">(AL19+AN19+AP19)</f>
        <v>#REF!</v>
      </c>
      <c r="AS19" s="15" t="e">
        <f t="shared" si="3"/>
        <v>#REF!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</row>
    <row r="20" spans="1:70">
      <c r="A20" s="8" t="s">
        <v>264</v>
      </c>
      <c r="B20" s="15">
        <v>325000</v>
      </c>
      <c r="C20" s="15">
        <v>19091</v>
      </c>
      <c r="D20" s="15">
        <v>160000</v>
      </c>
      <c r="E20" s="15">
        <v>15800</v>
      </c>
      <c r="F20" s="15"/>
      <c r="G20" s="15"/>
      <c r="H20" s="15">
        <v>55000</v>
      </c>
      <c r="I20" s="15">
        <v>6806</v>
      </c>
      <c r="J20" s="15"/>
      <c r="K20" s="15"/>
      <c r="L20" s="15">
        <v>400000</v>
      </c>
      <c r="M20" s="15">
        <v>8500</v>
      </c>
      <c r="N20" s="15"/>
      <c r="O20" s="15"/>
      <c r="P20" s="15"/>
      <c r="Q20" s="15"/>
      <c r="R20" s="15">
        <v>80000</v>
      </c>
      <c r="S20" s="15">
        <v>3806</v>
      </c>
      <c r="T20" s="146"/>
      <c r="U20" s="146"/>
      <c r="V20" s="15"/>
      <c r="W20" s="146"/>
      <c r="X20" s="15">
        <v>590000</v>
      </c>
      <c r="Y20" s="15">
        <v>152488</v>
      </c>
      <c r="Z20" s="15"/>
      <c r="AA20" s="15"/>
      <c r="AB20" s="15"/>
      <c r="AC20" s="15"/>
      <c r="AD20" s="15">
        <v>160000</v>
      </c>
      <c r="AE20" s="15">
        <v>21840</v>
      </c>
      <c r="AF20" s="15">
        <f t="shared" si="0"/>
        <v>1770000</v>
      </c>
      <c r="AG20" s="15">
        <f t="shared" si="1"/>
        <v>228331</v>
      </c>
      <c r="AI20" s="15"/>
      <c r="AL20" s="15" t="e">
        <f>B20+#REF!+F20+#REF!+J20+L20+N20+P20+#REF!+#REF!+R20+T20+V20</f>
        <v>#REF!</v>
      </c>
      <c r="AM20" s="15" t="e">
        <f>C20+#REF!+G20+#REF!+K20+M20+O20+Q20+#REF!+#REF!+S20+U20+W20</f>
        <v>#REF!</v>
      </c>
      <c r="AN20" s="15" t="e">
        <f>X20+#REF!+Z20+AB20</f>
        <v>#REF!</v>
      </c>
      <c r="AO20" s="15" t="e">
        <f>Y20+#REF!+AA20+AC20</f>
        <v>#REF!</v>
      </c>
      <c r="AP20" s="15"/>
      <c r="AQ20" s="15"/>
      <c r="AR20" s="15" t="e">
        <f t="shared" si="3"/>
        <v>#REF!</v>
      </c>
      <c r="AS20" s="15" t="e">
        <f t="shared" si="3"/>
        <v>#REF!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</row>
    <row r="21" spans="1:70">
      <c r="A21" s="11" t="s">
        <v>265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46"/>
      <c r="U21" s="146"/>
      <c r="V21" s="15"/>
      <c r="W21" s="146">
        <v>17307</v>
      </c>
      <c r="X21" s="15"/>
      <c r="Y21" s="15"/>
      <c r="Z21" s="15">
        <v>85000</v>
      </c>
      <c r="AA21" s="15">
        <v>2125</v>
      </c>
      <c r="AB21" s="15"/>
      <c r="AC21" s="15">
        <v>2716</v>
      </c>
      <c r="AD21" s="15"/>
      <c r="AE21" s="15"/>
      <c r="AF21" s="15">
        <f t="shared" si="0"/>
        <v>85000</v>
      </c>
      <c r="AG21" s="15">
        <f t="shared" si="1"/>
        <v>22148</v>
      </c>
      <c r="AL21" s="15" t="e">
        <f>B21+#REF!+F21+#REF!+J21+L21+N21+P21+#REF!+#REF!+R21+T21+V21</f>
        <v>#REF!</v>
      </c>
      <c r="AM21" s="15" t="e">
        <f>C21+#REF!+G21+#REF!+K21+M21+O21+Q21+#REF!+#REF!+S21+U21+W21</f>
        <v>#REF!</v>
      </c>
      <c r="AN21" s="15" t="e">
        <f>X21+#REF!+Z21+AB21</f>
        <v>#REF!</v>
      </c>
      <c r="AO21" s="15" t="e">
        <f>Y21+#REF!+AA21+AC21</f>
        <v>#REF!</v>
      </c>
      <c r="AP21" s="15"/>
      <c r="AQ21" s="15"/>
      <c r="AR21" s="15" t="e">
        <f t="shared" si="3"/>
        <v>#REF!</v>
      </c>
      <c r="AS21" s="15" t="e">
        <f t="shared" si="3"/>
        <v>#REF!</v>
      </c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</row>
    <row r="22" spans="1:70">
      <c r="A22" s="8" t="s">
        <v>266</v>
      </c>
      <c r="B22" s="15"/>
      <c r="C22" s="15">
        <v>15028</v>
      </c>
      <c r="D22" s="15"/>
      <c r="E22" s="15">
        <v>12000</v>
      </c>
      <c r="F22" s="15"/>
      <c r="G22" s="15"/>
      <c r="H22" s="15"/>
      <c r="I22" s="15">
        <v>5472</v>
      </c>
      <c r="J22" s="15"/>
      <c r="K22" s="15"/>
      <c r="L22" s="15"/>
      <c r="M22" s="15"/>
      <c r="N22" s="15"/>
      <c r="O22" s="15"/>
      <c r="P22" s="15"/>
      <c r="Q22" s="15"/>
      <c r="R22" s="15"/>
      <c r="S22" s="15">
        <v>3106</v>
      </c>
      <c r="T22" s="146"/>
      <c r="U22" s="146"/>
      <c r="V22" s="15"/>
      <c r="W22" s="146"/>
      <c r="X22" s="15"/>
      <c r="Y22" s="15">
        <v>143637</v>
      </c>
      <c r="Z22" s="15"/>
      <c r="AA22" s="15"/>
      <c r="AB22" s="15"/>
      <c r="AC22" s="15"/>
      <c r="AD22" s="15"/>
      <c r="AE22" s="15">
        <v>20240</v>
      </c>
      <c r="AF22" s="15">
        <f t="shared" si="0"/>
        <v>0</v>
      </c>
      <c r="AG22" s="15">
        <f t="shared" si="1"/>
        <v>199483</v>
      </c>
      <c r="AH22" s="15">
        <f>SUM(AF19:AF22)</f>
        <v>2195000</v>
      </c>
      <c r="AI22" s="15">
        <f>SUM(AG19:AG22)</f>
        <v>475468</v>
      </c>
      <c r="AJ22" s="8">
        <v>2017</v>
      </c>
      <c r="AL22" s="15" t="e">
        <f>B22+#REF!+F22+#REF!+J22+L22+N22+P22+#REF!+#REF!+R22+T22+V22</f>
        <v>#REF!</v>
      </c>
      <c r="AM22" s="15" t="e">
        <f>C22+#REF!+G22+#REF!+K22+M22+O22+Q22+#REF!+#REF!+S22+U22+W22</f>
        <v>#REF!</v>
      </c>
      <c r="AN22" s="15" t="e">
        <f>X22+#REF!+Z22+AB22</f>
        <v>#REF!</v>
      </c>
      <c r="AO22" s="15" t="e">
        <f>Y22+#REF!+AA22+AC22</f>
        <v>#REF!</v>
      </c>
      <c r="AP22" s="15"/>
      <c r="AQ22" s="15"/>
      <c r="AR22" s="15" t="e">
        <f t="shared" si="3"/>
        <v>#REF!</v>
      </c>
      <c r="AS22" s="15" t="e">
        <f t="shared" si="3"/>
        <v>#REF!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</row>
    <row r="23" spans="1:70">
      <c r="A23" s="11" t="s">
        <v>267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46"/>
      <c r="U23" s="146"/>
      <c r="V23" s="15">
        <v>180000</v>
      </c>
      <c r="W23" s="146">
        <v>17306</v>
      </c>
      <c r="X23" s="15"/>
      <c r="Y23" s="15"/>
      <c r="Z23" s="15"/>
      <c r="AA23" s="15">
        <v>1063</v>
      </c>
      <c r="AB23" s="15">
        <v>70000</v>
      </c>
      <c r="AC23" s="15">
        <v>2716</v>
      </c>
      <c r="AD23" s="15"/>
      <c r="AE23" s="15"/>
      <c r="AF23" s="15">
        <f t="shared" si="0"/>
        <v>250000</v>
      </c>
      <c r="AG23" s="15">
        <f t="shared" si="1"/>
        <v>21085</v>
      </c>
      <c r="AH23" s="15"/>
      <c r="AI23" s="15"/>
      <c r="AL23" s="15" t="e">
        <f>B23+#REF!+F23+#REF!+J23+L23+N23+P23+#REF!+#REF!+R23+T23+V23</f>
        <v>#REF!</v>
      </c>
      <c r="AM23" s="15" t="e">
        <f>C23+#REF!+G23+#REF!+K23+M23+O23+Q23+#REF!+#REF!+S23+U23+W23</f>
        <v>#REF!</v>
      </c>
      <c r="AN23" s="15" t="e">
        <f>X23+#REF!+Z23+AB23</f>
        <v>#REF!</v>
      </c>
      <c r="AO23" s="15" t="e">
        <f>Y23+#REF!+AA23+AC23</f>
        <v>#REF!</v>
      </c>
      <c r="AP23" s="15"/>
      <c r="AQ23" s="15"/>
      <c r="AR23" s="15" t="e">
        <f t="shared" si="3"/>
        <v>#REF!</v>
      </c>
      <c r="AS23" s="15" t="e">
        <f t="shared" si="3"/>
        <v>#REF!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</row>
    <row r="24" spans="1:70">
      <c r="A24" s="8" t="s">
        <v>268</v>
      </c>
      <c r="B24" s="15">
        <v>335000</v>
      </c>
      <c r="C24" s="15">
        <v>15028</v>
      </c>
      <c r="D24" s="15">
        <v>160000</v>
      </c>
      <c r="E24" s="15">
        <v>12000</v>
      </c>
      <c r="F24" s="15"/>
      <c r="G24" s="15"/>
      <c r="H24" s="15">
        <v>55000</v>
      </c>
      <c r="I24" s="15">
        <v>5473</v>
      </c>
      <c r="J24" s="15"/>
      <c r="K24" s="15"/>
      <c r="L24" s="15"/>
      <c r="M24" s="15"/>
      <c r="N24" s="15"/>
      <c r="O24" s="15"/>
      <c r="P24" s="15"/>
      <c r="Q24" s="15"/>
      <c r="R24" s="15">
        <v>75000</v>
      </c>
      <c r="S24" s="15">
        <v>3106</v>
      </c>
      <c r="T24" s="146"/>
      <c r="U24" s="146"/>
      <c r="V24" s="15"/>
      <c r="W24" s="146"/>
      <c r="X24" s="15">
        <v>680000</v>
      </c>
      <c r="Y24" s="15">
        <v>143638</v>
      </c>
      <c r="Z24" s="15"/>
      <c r="AA24" s="15"/>
      <c r="AB24" s="15"/>
      <c r="AC24" s="15"/>
      <c r="AD24" s="15">
        <v>165000</v>
      </c>
      <c r="AE24" s="15">
        <v>20240</v>
      </c>
      <c r="AF24" s="15">
        <f t="shared" si="0"/>
        <v>1470000</v>
      </c>
      <c r="AG24" s="15">
        <f t="shared" si="1"/>
        <v>199485</v>
      </c>
      <c r="AH24" s="15"/>
      <c r="AI24" s="15"/>
      <c r="AL24" s="15" t="e">
        <f>B24+#REF!+F24+#REF!+J24+L24+N24+P24+#REF!+#REF!+R24+T24+V24</f>
        <v>#REF!</v>
      </c>
      <c r="AM24" s="15" t="e">
        <f>C24+#REF!+G24+#REF!+K24+M24+O24+Q24+#REF!+#REF!+S24+U24+W24</f>
        <v>#REF!</v>
      </c>
      <c r="AN24" s="15" t="e">
        <f>X24+#REF!+Z24+AB24</f>
        <v>#REF!</v>
      </c>
      <c r="AO24" s="15" t="e">
        <f>Y24+#REF!+AA24+AC24</f>
        <v>#REF!</v>
      </c>
      <c r="AP24" s="15"/>
      <c r="AQ24" s="15"/>
      <c r="AR24" s="15" t="e">
        <f t="shared" si="3"/>
        <v>#REF!</v>
      </c>
      <c r="AS24" s="15" t="e">
        <f t="shared" si="3"/>
        <v>#REF!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</row>
    <row r="25" spans="1:70">
      <c r="A25" s="11" t="s">
        <v>269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46"/>
      <c r="U25" s="146"/>
      <c r="V25" s="15"/>
      <c r="W25" s="146">
        <v>15844</v>
      </c>
      <c r="X25" s="15"/>
      <c r="Y25" s="15"/>
      <c r="Z25" s="15">
        <v>85000</v>
      </c>
      <c r="AA25" s="15">
        <v>1062</v>
      </c>
      <c r="AB25" s="15"/>
      <c r="AC25" s="15">
        <v>1841</v>
      </c>
      <c r="AD25" s="15"/>
      <c r="AE25" s="15"/>
      <c r="AF25" s="15">
        <f t="shared" si="0"/>
        <v>85000</v>
      </c>
      <c r="AG25" s="15">
        <f t="shared" si="1"/>
        <v>18747</v>
      </c>
      <c r="AL25" s="15" t="e">
        <f>B25+#REF!+F25+#REF!+J25+L25+N25+P25+#REF!+#REF!+R25+T25+V25</f>
        <v>#REF!</v>
      </c>
      <c r="AM25" s="15" t="e">
        <f>C25+#REF!+G25+#REF!+K25+M25+O25+Q25+#REF!+#REF!+S25+U25+W25</f>
        <v>#REF!</v>
      </c>
      <c r="AN25" s="15" t="e">
        <f>X25+#REF!+Z25+AB25</f>
        <v>#REF!</v>
      </c>
      <c r="AO25" s="15" t="e">
        <f>Y25+#REF!+AA25+AC25</f>
        <v>#REF!</v>
      </c>
      <c r="AP25" s="15"/>
      <c r="AQ25" s="15"/>
      <c r="AR25" s="15" t="e">
        <f t="shared" si="3"/>
        <v>#REF!</v>
      </c>
      <c r="AS25" s="15" t="e">
        <f t="shared" si="3"/>
        <v>#REF!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</row>
    <row r="26" spans="1:70">
      <c r="A26" s="8" t="s">
        <v>270</v>
      </c>
      <c r="B26" s="15"/>
      <c r="C26" s="15">
        <v>10422</v>
      </c>
      <c r="D26" s="15"/>
      <c r="E26" s="15">
        <v>8000</v>
      </c>
      <c r="F26" s="15"/>
      <c r="G26" s="15"/>
      <c r="H26" s="15"/>
      <c r="I26" s="15">
        <v>4125</v>
      </c>
      <c r="J26" s="15"/>
      <c r="K26" s="15"/>
      <c r="L26" s="15"/>
      <c r="M26" s="15"/>
      <c r="N26" s="15"/>
      <c r="O26" s="15"/>
      <c r="P26" s="15"/>
      <c r="Q26" s="15"/>
      <c r="R26" s="15"/>
      <c r="S26" s="15">
        <v>2450</v>
      </c>
      <c r="T26" s="146"/>
      <c r="U26" s="146"/>
      <c r="V26" s="15"/>
      <c r="W26" s="146"/>
      <c r="X26" s="15"/>
      <c r="Y26" s="15">
        <v>131737</v>
      </c>
      <c r="Z26" s="15"/>
      <c r="AA26" s="15"/>
      <c r="AB26" s="15"/>
      <c r="AC26" s="15"/>
      <c r="AD26" s="15"/>
      <c r="AE26" s="15">
        <v>18590</v>
      </c>
      <c r="AF26" s="15">
        <f t="shared" si="0"/>
        <v>0</v>
      </c>
      <c r="AG26" s="15">
        <f t="shared" si="1"/>
        <v>175324</v>
      </c>
      <c r="AH26" s="15">
        <f>SUM(AF23:AF26)</f>
        <v>1805000</v>
      </c>
      <c r="AI26" s="15">
        <f>SUM(AG23:AG26)</f>
        <v>414641</v>
      </c>
      <c r="AJ26" s="8">
        <v>2018</v>
      </c>
      <c r="AL26" s="15" t="e">
        <f>B26+#REF!+F26+#REF!+J26+L26+N26+P26+#REF!+#REF!+R26+T26+V26</f>
        <v>#REF!</v>
      </c>
      <c r="AM26" s="15" t="e">
        <f>C26+#REF!+G26+#REF!+K26+M26+O26+Q26+#REF!+#REF!+S26+U26+W26</f>
        <v>#REF!</v>
      </c>
      <c r="AN26" s="15" t="e">
        <f>X26+#REF!+Z26+AB26</f>
        <v>#REF!</v>
      </c>
      <c r="AO26" s="15" t="e">
        <f>Y26+#REF!+AA26+AC26</f>
        <v>#REF!</v>
      </c>
      <c r="AP26" s="15"/>
      <c r="AQ26" s="15"/>
      <c r="AR26" s="15" t="e">
        <f t="shared" si="3"/>
        <v>#REF!</v>
      </c>
      <c r="AS26" s="15" t="e">
        <f t="shared" si="3"/>
        <v>#REF!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</row>
    <row r="27" spans="1:70">
      <c r="A27" s="11" t="s">
        <v>271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46"/>
      <c r="U27" s="146"/>
      <c r="V27" s="15">
        <v>180000</v>
      </c>
      <c r="W27" s="146">
        <v>15844</v>
      </c>
      <c r="X27" s="15"/>
      <c r="Y27" s="15"/>
      <c r="Z27" s="15"/>
      <c r="AA27" s="15"/>
      <c r="AB27" s="15">
        <v>70000</v>
      </c>
      <c r="AC27" s="15">
        <v>1841</v>
      </c>
      <c r="AD27" s="15"/>
      <c r="AE27" s="15"/>
      <c r="AF27" s="15">
        <f t="shared" si="0"/>
        <v>250000</v>
      </c>
      <c r="AG27" s="15">
        <f t="shared" si="1"/>
        <v>17685</v>
      </c>
      <c r="AH27" s="15"/>
      <c r="AI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</row>
    <row r="28" spans="1:70">
      <c r="A28" s="8" t="s">
        <v>272</v>
      </c>
      <c r="B28" s="15">
        <v>325000</v>
      </c>
      <c r="C28" s="15">
        <v>10422</v>
      </c>
      <c r="D28" s="15">
        <v>160000</v>
      </c>
      <c r="E28" s="15">
        <v>8000</v>
      </c>
      <c r="F28" s="15"/>
      <c r="G28" s="15"/>
      <c r="H28" s="15">
        <v>55000</v>
      </c>
      <c r="I28" s="15">
        <v>4125</v>
      </c>
      <c r="J28" s="15"/>
      <c r="K28" s="15"/>
      <c r="L28" s="15"/>
      <c r="M28" s="15"/>
      <c r="N28" s="15"/>
      <c r="O28" s="15"/>
      <c r="P28" s="15"/>
      <c r="Q28" s="15"/>
      <c r="R28" s="15">
        <v>75000</v>
      </c>
      <c r="S28" s="15">
        <v>2450</v>
      </c>
      <c r="T28" s="146"/>
      <c r="U28" s="146"/>
      <c r="V28" s="15"/>
      <c r="W28" s="146"/>
      <c r="X28" s="15">
        <v>665000</v>
      </c>
      <c r="Y28" s="15">
        <v>131738</v>
      </c>
      <c r="Z28" s="15"/>
      <c r="AA28" s="15"/>
      <c r="AB28" s="15"/>
      <c r="AC28" s="15"/>
      <c r="AD28" s="15">
        <v>175000</v>
      </c>
      <c r="AE28" s="15">
        <v>18590</v>
      </c>
      <c r="AF28" s="15">
        <f t="shared" si="0"/>
        <v>1455000</v>
      </c>
      <c r="AG28" s="15">
        <f t="shared" si="1"/>
        <v>175325</v>
      </c>
      <c r="AH28" s="15"/>
      <c r="AI28" s="15"/>
      <c r="AL28" s="15" t="e">
        <f>B28+#REF!+F28+#REF!+J28+L28+N28+P28+#REF!+#REF!+R28+T28+V28</f>
        <v>#REF!</v>
      </c>
      <c r="AM28" s="15" t="e">
        <f>C28+#REF!+G28+#REF!+K28+M28+O28+Q28+#REF!+#REF!+S28+U28+W28</f>
        <v>#REF!</v>
      </c>
      <c r="AN28" s="15" t="e">
        <f>X28+#REF!+Z28+AB28</f>
        <v>#REF!</v>
      </c>
      <c r="AO28" s="15" t="e">
        <f>Y28+#REF!+AA28+AC28</f>
        <v>#REF!</v>
      </c>
      <c r="AP28" s="15"/>
      <c r="AQ28" s="15"/>
      <c r="AR28" s="15" t="e">
        <f>(AL28+AN28+AP28)</f>
        <v>#REF!</v>
      </c>
      <c r="AS28" s="15" t="e">
        <f>(AM28+AO28+AQ28)</f>
        <v>#REF!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</row>
    <row r="29" spans="1:70">
      <c r="A29" s="11" t="s">
        <v>273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46"/>
      <c r="U29" s="146"/>
      <c r="V29" s="15"/>
      <c r="W29" s="146">
        <v>14381</v>
      </c>
      <c r="X29" s="15"/>
      <c r="Y29" s="15"/>
      <c r="Z29" s="15"/>
      <c r="AA29" s="15"/>
      <c r="AB29" s="15"/>
      <c r="AC29" s="15">
        <v>966</v>
      </c>
      <c r="AD29" s="15"/>
      <c r="AE29" s="15"/>
      <c r="AF29" s="15">
        <f t="shared" si="0"/>
        <v>0</v>
      </c>
      <c r="AG29" s="15">
        <f t="shared" si="1"/>
        <v>15347</v>
      </c>
      <c r="AH29" s="15"/>
      <c r="AI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</row>
    <row r="30" spans="1:70">
      <c r="A30" s="8" t="s">
        <v>274</v>
      </c>
      <c r="B30" s="15"/>
      <c r="C30" s="15">
        <v>5547</v>
      </c>
      <c r="D30" s="15"/>
      <c r="E30" s="15">
        <v>4000</v>
      </c>
      <c r="F30" s="15"/>
      <c r="G30" s="15"/>
      <c r="H30" s="15"/>
      <c r="I30" s="15">
        <v>2750</v>
      </c>
      <c r="J30" s="15"/>
      <c r="K30" s="15"/>
      <c r="L30" s="15"/>
      <c r="M30" s="15"/>
      <c r="N30" s="15"/>
      <c r="O30" s="15"/>
      <c r="P30" s="15"/>
      <c r="Q30" s="15"/>
      <c r="R30" s="15"/>
      <c r="S30" s="15">
        <v>1794</v>
      </c>
      <c r="T30" s="146"/>
      <c r="U30" s="146"/>
      <c r="V30" s="15"/>
      <c r="W30" s="146"/>
      <c r="X30" s="15"/>
      <c r="Y30" s="15">
        <v>120100</v>
      </c>
      <c r="Z30" s="15"/>
      <c r="AA30" s="15"/>
      <c r="AB30" s="15"/>
      <c r="AC30" s="15"/>
      <c r="AD30" s="15"/>
      <c r="AE30" s="15">
        <v>16840</v>
      </c>
      <c r="AF30" s="15">
        <f t="shared" si="0"/>
        <v>0</v>
      </c>
      <c r="AG30" s="15">
        <f t="shared" si="1"/>
        <v>151031</v>
      </c>
      <c r="AH30" s="15">
        <f>SUM(AF27:AF30)</f>
        <v>1705000</v>
      </c>
      <c r="AI30" s="15">
        <f>SUM(AG27:AG30)</f>
        <v>359388</v>
      </c>
      <c r="AJ30" s="8">
        <v>2019</v>
      </c>
      <c r="AL30" s="15" t="e">
        <f>B30+#REF!+F30+#REF!+J30+L30+N30+P30+#REF!+#REF!+R30+T30+V30</f>
        <v>#REF!</v>
      </c>
      <c r="AM30" s="15" t="e">
        <f>C30+#REF!+G30+#REF!+K30+M30+O30+Q30+#REF!+#REF!+S30+U30+W30</f>
        <v>#REF!</v>
      </c>
      <c r="AN30" s="15" t="e">
        <f>X30+#REF!+Z30+AB30</f>
        <v>#REF!</v>
      </c>
      <c r="AO30" s="15" t="e">
        <f>Y30+#REF!+AA30+AC30</f>
        <v>#REF!</v>
      </c>
      <c r="AP30" s="15"/>
      <c r="AQ30" s="15"/>
      <c r="AR30" s="15" t="e">
        <f>(AL30+AN30+AP30)</f>
        <v>#REF!</v>
      </c>
      <c r="AS30" s="15" t="e">
        <f>(AM30+AO30+AQ30)</f>
        <v>#REF!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</row>
    <row r="31" spans="1:70">
      <c r="A31" s="11" t="s">
        <v>275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46"/>
      <c r="U31" s="146"/>
      <c r="V31" s="15">
        <v>185000</v>
      </c>
      <c r="W31" s="146">
        <v>14381</v>
      </c>
      <c r="X31" s="15"/>
      <c r="Y31" s="15"/>
      <c r="Z31" s="15"/>
      <c r="AA31" s="15"/>
      <c r="AB31" s="15">
        <v>77279</v>
      </c>
      <c r="AC31" s="15">
        <v>966</v>
      </c>
      <c r="AD31" s="15"/>
      <c r="AE31" s="15"/>
      <c r="AF31" s="15">
        <f t="shared" si="0"/>
        <v>262279</v>
      </c>
      <c r="AG31" s="15">
        <f t="shared" si="1"/>
        <v>15347</v>
      </c>
      <c r="AH31" s="15"/>
      <c r="AI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</row>
    <row r="32" spans="1:70">
      <c r="A32" s="8" t="s">
        <v>276</v>
      </c>
      <c r="B32" s="15">
        <v>355000</v>
      </c>
      <c r="C32" s="15">
        <v>5547</v>
      </c>
      <c r="D32" s="15">
        <v>160000</v>
      </c>
      <c r="E32" s="15">
        <v>4000</v>
      </c>
      <c r="F32" s="15"/>
      <c r="G32" s="15"/>
      <c r="H32" s="15">
        <v>55000</v>
      </c>
      <c r="I32" s="15">
        <v>2750</v>
      </c>
      <c r="J32" s="15"/>
      <c r="K32" s="15"/>
      <c r="L32" s="15"/>
      <c r="M32" s="15"/>
      <c r="N32" s="15"/>
      <c r="O32" s="15"/>
      <c r="P32" s="15"/>
      <c r="Q32" s="15"/>
      <c r="R32" s="15">
        <v>70000</v>
      </c>
      <c r="S32" s="15">
        <v>1794</v>
      </c>
      <c r="T32" s="146"/>
      <c r="U32" s="146"/>
      <c r="V32" s="15"/>
      <c r="W32" s="146"/>
      <c r="X32" s="15">
        <v>655000</v>
      </c>
      <c r="Y32" s="15">
        <v>120100</v>
      </c>
      <c r="Z32" s="15"/>
      <c r="AA32" s="15"/>
      <c r="AB32" s="15"/>
      <c r="AC32" s="15"/>
      <c r="AD32" s="15">
        <v>180000</v>
      </c>
      <c r="AE32" s="15">
        <v>16840</v>
      </c>
      <c r="AF32" s="15">
        <f t="shared" si="0"/>
        <v>1475000</v>
      </c>
      <c r="AG32" s="15">
        <f t="shared" si="1"/>
        <v>151031</v>
      </c>
      <c r="AH32" s="15"/>
      <c r="AI32" s="15"/>
      <c r="AL32" s="15" t="e">
        <f>B32+#REF!+F32+#REF!+J32+L32+N32+P32+#REF!+#REF!+R32+T32+V32</f>
        <v>#REF!</v>
      </c>
      <c r="AM32" s="15" t="e">
        <f>C32+#REF!+G32+#REF!+K32+M32+O32+Q32+#REF!+#REF!+S32+U32+W32</f>
        <v>#REF!</v>
      </c>
      <c r="AN32" s="15" t="e">
        <f>X32+#REF!+Z32+AB32</f>
        <v>#REF!</v>
      </c>
      <c r="AO32" s="15" t="e">
        <f>Y32+#REF!+AA32+AC32</f>
        <v>#REF!</v>
      </c>
      <c r="AP32" s="15"/>
      <c r="AQ32" s="15"/>
      <c r="AR32" s="15" t="e">
        <f t="shared" ref="AR32:AS38" si="4">(AL32+AN32+AP32)</f>
        <v>#REF!</v>
      </c>
      <c r="AS32" s="15" t="e">
        <f t="shared" si="4"/>
        <v>#REF!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</row>
    <row r="33" spans="1:70">
      <c r="A33" s="11" t="s">
        <v>277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46"/>
      <c r="U33" s="146"/>
      <c r="V33" s="15"/>
      <c r="W33" s="146">
        <v>12878</v>
      </c>
      <c r="X33" s="15"/>
      <c r="Y33" s="15"/>
      <c r="Z33" s="15"/>
      <c r="AA33" s="15"/>
      <c r="AB33" s="15"/>
      <c r="AC33" s="15"/>
      <c r="AD33" s="15"/>
      <c r="AE33" s="15"/>
      <c r="AF33" s="15">
        <f t="shared" si="0"/>
        <v>0</v>
      </c>
      <c r="AG33" s="15">
        <f t="shared" si="1"/>
        <v>12878</v>
      </c>
      <c r="AH33" s="15"/>
      <c r="AI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</row>
    <row r="34" spans="1:70">
      <c r="A34" s="8" t="s">
        <v>278</v>
      </c>
      <c r="B34" s="15"/>
      <c r="C34" s="15"/>
      <c r="D34" s="15"/>
      <c r="E34" s="15"/>
      <c r="F34" s="15"/>
      <c r="G34" s="15"/>
      <c r="H34" s="15"/>
      <c r="I34" s="15">
        <v>1375</v>
      </c>
      <c r="J34" s="15"/>
      <c r="K34" s="15"/>
      <c r="L34" s="15"/>
      <c r="M34" s="15"/>
      <c r="N34" s="15"/>
      <c r="O34" s="15"/>
      <c r="P34" s="15"/>
      <c r="Q34" s="15"/>
      <c r="R34" s="15"/>
      <c r="S34" s="15">
        <v>1181</v>
      </c>
      <c r="T34" s="146"/>
      <c r="U34" s="146"/>
      <c r="V34" s="15"/>
      <c r="W34" s="146"/>
      <c r="X34" s="15"/>
      <c r="Y34" s="15">
        <v>107000</v>
      </c>
      <c r="Z34" s="15"/>
      <c r="AA34" s="15"/>
      <c r="AB34" s="15"/>
      <c r="AC34" s="15"/>
      <c r="AD34" s="15"/>
      <c r="AE34" s="15">
        <v>15040</v>
      </c>
      <c r="AF34" s="15">
        <f t="shared" si="0"/>
        <v>0</v>
      </c>
      <c r="AG34" s="15">
        <f t="shared" si="1"/>
        <v>124596</v>
      </c>
      <c r="AH34" s="15">
        <f>SUM(AF31:AF34)</f>
        <v>1737279</v>
      </c>
      <c r="AI34" s="15">
        <f>SUM(AG31:AG34)</f>
        <v>303852</v>
      </c>
      <c r="AJ34" s="8">
        <v>2020</v>
      </c>
      <c r="AL34" s="15" t="e">
        <f>B34+#REF!+F34+#REF!+J34+L34+N34+P34+#REF!+#REF!+R34+T34+V34</f>
        <v>#REF!</v>
      </c>
      <c r="AM34" s="15" t="e">
        <f>C34+#REF!+G34+#REF!+K34+M34+O34+Q34+#REF!+#REF!+S34+U34+W34</f>
        <v>#REF!</v>
      </c>
      <c r="AN34" s="15" t="e">
        <f>X34+#REF!+Z34+AB34</f>
        <v>#REF!</v>
      </c>
      <c r="AO34" s="15" t="e">
        <f>Y34+#REF!+AA34+AC34</f>
        <v>#REF!</v>
      </c>
      <c r="AP34" s="15"/>
      <c r="AQ34" s="15"/>
      <c r="AR34" s="15" t="e">
        <f t="shared" si="4"/>
        <v>#REF!</v>
      </c>
      <c r="AS34" s="15" t="e">
        <f t="shared" si="4"/>
        <v>#REF!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</row>
    <row r="35" spans="1:70">
      <c r="A35" s="11" t="s">
        <v>279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46"/>
      <c r="U35" s="146"/>
      <c r="V35" s="15">
        <v>185000</v>
      </c>
      <c r="W35" s="146">
        <v>12878</v>
      </c>
      <c r="X35" s="15"/>
      <c r="Y35" s="15"/>
      <c r="Z35" s="15"/>
      <c r="AA35" s="15"/>
      <c r="AB35" s="15"/>
      <c r="AC35" s="15"/>
      <c r="AD35" s="15"/>
      <c r="AE35" s="15"/>
      <c r="AF35" s="15">
        <f t="shared" si="0"/>
        <v>185000</v>
      </c>
      <c r="AG35" s="15">
        <f t="shared" si="1"/>
        <v>12878</v>
      </c>
      <c r="AH35" s="15"/>
      <c r="AI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</row>
    <row r="36" spans="1:70">
      <c r="A36" s="8" t="s">
        <v>280</v>
      </c>
      <c r="B36" s="15"/>
      <c r="C36" s="15"/>
      <c r="D36" s="15"/>
      <c r="E36" s="15"/>
      <c r="F36" s="15"/>
      <c r="G36" s="15"/>
      <c r="H36" s="15">
        <v>55000</v>
      </c>
      <c r="I36" s="15">
        <v>1375</v>
      </c>
      <c r="J36" s="15"/>
      <c r="K36" s="15"/>
      <c r="L36" s="15"/>
      <c r="M36" s="15"/>
      <c r="N36" s="15"/>
      <c r="O36" s="15"/>
      <c r="P36" s="15"/>
      <c r="Q36" s="15"/>
      <c r="R36" s="15">
        <v>70000</v>
      </c>
      <c r="S36" s="15">
        <v>1181</v>
      </c>
      <c r="T36" s="146"/>
      <c r="U36" s="146"/>
      <c r="V36" s="15"/>
      <c r="W36" s="146"/>
      <c r="X36" s="15">
        <v>740000</v>
      </c>
      <c r="Y36" s="15">
        <v>107000</v>
      </c>
      <c r="Z36" s="15"/>
      <c r="AA36" s="15"/>
      <c r="AB36" s="15"/>
      <c r="AC36" s="15"/>
      <c r="AD36" s="15">
        <v>185000</v>
      </c>
      <c r="AE36" s="15">
        <v>15040</v>
      </c>
      <c r="AF36" s="15">
        <f t="shared" si="0"/>
        <v>1050000</v>
      </c>
      <c r="AG36" s="15">
        <f t="shared" si="1"/>
        <v>124596</v>
      </c>
      <c r="AH36" s="15"/>
      <c r="AI36" s="15"/>
      <c r="AL36" s="15" t="e">
        <f>B36+#REF!+F36+#REF!+J36+L36+N36+P36+#REF!+#REF!+R36+T36+V36</f>
        <v>#REF!</v>
      </c>
      <c r="AM36" s="15" t="e">
        <f>C36+#REF!+G36+#REF!+K36+M36+O36+Q36+#REF!+#REF!+S36+U36+W36</f>
        <v>#REF!</v>
      </c>
      <c r="AN36" s="15" t="e">
        <f>X36+#REF!+Z36+AB36</f>
        <v>#REF!</v>
      </c>
      <c r="AO36" s="15" t="e">
        <f>Y36+#REF!+AA36+AC36</f>
        <v>#REF!</v>
      </c>
      <c r="AP36" s="15"/>
      <c r="AQ36" s="15"/>
      <c r="AR36" s="15" t="e">
        <f t="shared" si="4"/>
        <v>#REF!</v>
      </c>
      <c r="AS36" s="15" t="e">
        <f t="shared" si="4"/>
        <v>#REF!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</row>
    <row r="37" spans="1:70">
      <c r="A37" s="11" t="s">
        <v>281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46"/>
      <c r="U37" s="146"/>
      <c r="V37" s="15"/>
      <c r="W37" s="146">
        <v>11375</v>
      </c>
      <c r="X37" s="15"/>
      <c r="Y37" s="15"/>
      <c r="Z37" s="15"/>
      <c r="AA37" s="15"/>
      <c r="AB37" s="15"/>
      <c r="AC37" s="15"/>
      <c r="AD37" s="15"/>
      <c r="AE37" s="15"/>
      <c r="AF37" s="15">
        <f t="shared" si="0"/>
        <v>0</v>
      </c>
      <c r="AG37" s="15">
        <f t="shared" si="1"/>
        <v>11375</v>
      </c>
      <c r="AH37" s="15"/>
      <c r="AI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</row>
    <row r="38" spans="1:70">
      <c r="A38" s="8" t="s">
        <v>282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>
        <v>569</v>
      </c>
      <c r="T38" s="146"/>
      <c r="U38" s="146"/>
      <c r="V38" s="15"/>
      <c r="W38" s="146"/>
      <c r="X38" s="15"/>
      <c r="Y38" s="15">
        <v>92200</v>
      </c>
      <c r="Z38" s="15"/>
      <c r="AA38" s="15"/>
      <c r="AB38" s="15"/>
      <c r="AC38" s="15"/>
      <c r="AD38" s="15"/>
      <c r="AE38" s="15">
        <v>13051.25</v>
      </c>
      <c r="AF38" s="15">
        <f t="shared" si="0"/>
        <v>0</v>
      </c>
      <c r="AG38" s="15">
        <f t="shared" si="1"/>
        <v>105820.25</v>
      </c>
      <c r="AH38" s="15">
        <f>SUM(AF35:AF38)</f>
        <v>1235000</v>
      </c>
      <c r="AI38" s="15">
        <f>SUM(AG35:AG38)</f>
        <v>254669.25</v>
      </c>
      <c r="AJ38" s="8">
        <v>2021</v>
      </c>
      <c r="AL38" s="15" t="e">
        <f>B38+#REF!+F38+#REF!+J38+L38+N38+P38+#REF!+#REF!+R38+T38+V38</f>
        <v>#REF!</v>
      </c>
      <c r="AM38" s="15" t="e">
        <f>C38+#REF!+G38+#REF!+K38+M38+O38+Q38+#REF!+#REF!+S38+U38+W38</f>
        <v>#REF!</v>
      </c>
      <c r="AN38" s="15" t="e">
        <f>X38+#REF!+Z38+AB38</f>
        <v>#REF!</v>
      </c>
      <c r="AO38" s="15" t="e">
        <f>Y38+#REF!+AA38+AC38</f>
        <v>#REF!</v>
      </c>
      <c r="AP38" s="15"/>
      <c r="AQ38" s="15"/>
      <c r="AR38" s="15" t="e">
        <f t="shared" si="4"/>
        <v>#REF!</v>
      </c>
      <c r="AS38" s="15" t="e">
        <f t="shared" si="4"/>
        <v>#REF!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</row>
    <row r="39" spans="1:70">
      <c r="A39" s="11" t="s">
        <v>283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46"/>
      <c r="U39" s="146"/>
      <c r="V39" s="15">
        <v>190000</v>
      </c>
      <c r="W39" s="146">
        <v>11375</v>
      </c>
      <c r="X39" s="15"/>
      <c r="Y39" s="15"/>
      <c r="Z39" s="15"/>
      <c r="AA39" s="15"/>
      <c r="AB39" s="15"/>
      <c r="AC39" s="15"/>
      <c r="AD39" s="15"/>
      <c r="AE39" s="15"/>
      <c r="AF39" s="15">
        <f t="shared" ref="AF39:AF60" si="5">(B39+D39+F39+H39+J39+L39+N39+P39+R39+T39+V39+X39+Z39+AB39+AD39)</f>
        <v>190000</v>
      </c>
      <c r="AG39" s="15">
        <f t="shared" ref="AG39:AG60" si="6">(C39+E39+G39+I39+K39+M39+O39+Q39+S39+U39+W39+Y39+AA39+AC39+AE39)</f>
        <v>11375</v>
      </c>
      <c r="AH39" s="15"/>
      <c r="AI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</row>
    <row r="40" spans="1:70">
      <c r="A40" s="8" t="s">
        <v>284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>
        <v>65000</v>
      </c>
      <c r="S40" s="15">
        <v>569</v>
      </c>
      <c r="T40" s="146"/>
      <c r="U40" s="146"/>
      <c r="V40" s="15"/>
      <c r="W40" s="146"/>
      <c r="X40" s="15">
        <v>730000</v>
      </c>
      <c r="Y40" s="15">
        <v>92200</v>
      </c>
      <c r="Z40" s="15"/>
      <c r="AA40" s="15"/>
      <c r="AB40" s="15"/>
      <c r="AC40" s="15"/>
      <c r="AD40" s="15">
        <v>195000</v>
      </c>
      <c r="AE40" s="15">
        <v>13051.25</v>
      </c>
      <c r="AF40" s="15">
        <f t="shared" si="5"/>
        <v>990000</v>
      </c>
      <c r="AG40" s="15">
        <f t="shared" si="6"/>
        <v>105820.25</v>
      </c>
      <c r="AL40" s="15" t="e">
        <f>B40+#REF!+F40+#REF!+J40+L40+N40+P40+#REF!+#REF!+R40+T40+V40</f>
        <v>#REF!</v>
      </c>
      <c r="AM40" s="15" t="e">
        <f>C40+#REF!+G40+#REF!+K40+M40+O40+Q40+#REF!+#REF!+S40+U40+W40</f>
        <v>#REF!</v>
      </c>
      <c r="AN40" s="15" t="e">
        <f>X40+#REF!+Z40+AB40</f>
        <v>#REF!</v>
      </c>
      <c r="AO40" s="15" t="e">
        <f>Y40+#REF!+AA40+AC40</f>
        <v>#REF!</v>
      </c>
      <c r="AP40" s="15"/>
      <c r="AQ40" s="15"/>
      <c r="AR40" s="15" t="e">
        <f>(AL40+AN40+AP40)</f>
        <v>#REF!</v>
      </c>
      <c r="AS40" s="15" t="e">
        <f>(AM40+AO40+AQ40)</f>
        <v>#REF!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</row>
    <row r="41" spans="1:70">
      <c r="A41" s="11" t="s">
        <v>285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46"/>
      <c r="U41" s="146"/>
      <c r="V41" s="15"/>
      <c r="W41" s="146">
        <v>9831</v>
      </c>
      <c r="X41" s="15"/>
      <c r="Y41" s="15"/>
      <c r="Z41" s="15"/>
      <c r="AA41" s="15"/>
      <c r="AB41" s="15"/>
      <c r="AC41" s="15"/>
      <c r="AD41" s="15"/>
      <c r="AE41" s="15"/>
      <c r="AF41" s="15">
        <f t="shared" si="5"/>
        <v>0</v>
      </c>
      <c r="AG41" s="15">
        <f t="shared" si="6"/>
        <v>9831</v>
      </c>
      <c r="AH41" s="15"/>
      <c r="AI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</row>
    <row r="42" spans="1:70">
      <c r="A42" s="11" t="s">
        <v>286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46"/>
      <c r="U42" s="146"/>
      <c r="V42" s="15"/>
      <c r="W42" s="146"/>
      <c r="X42" s="15"/>
      <c r="Y42" s="15">
        <v>77600</v>
      </c>
      <c r="Z42" s="15"/>
      <c r="AA42" s="15"/>
      <c r="AB42" s="15"/>
      <c r="AC42" s="15"/>
      <c r="AD42" s="15"/>
      <c r="AE42" s="15">
        <v>10857.5</v>
      </c>
      <c r="AF42" s="15">
        <f t="shared" si="5"/>
        <v>0</v>
      </c>
      <c r="AG42" s="15">
        <f t="shared" si="6"/>
        <v>88457.5</v>
      </c>
      <c r="AH42" s="15">
        <f>SUM(AF39:AF42)</f>
        <v>1180000</v>
      </c>
      <c r="AI42" s="15">
        <f>SUM(AG39:AG42)</f>
        <v>215483.75</v>
      </c>
      <c r="AJ42" s="8">
        <v>2022</v>
      </c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</row>
    <row r="43" spans="1:70">
      <c r="A43" s="11" t="s">
        <v>287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>
        <v>195000</v>
      </c>
      <c r="W43" s="146">
        <v>9831</v>
      </c>
      <c r="X43" s="15"/>
      <c r="Y43" s="15"/>
      <c r="Z43" s="15"/>
      <c r="AA43" s="15"/>
      <c r="AB43" s="15"/>
      <c r="AC43" s="15"/>
      <c r="AD43" s="15"/>
      <c r="AE43" s="15"/>
      <c r="AF43" s="15">
        <f t="shared" si="5"/>
        <v>195000</v>
      </c>
      <c r="AG43" s="15">
        <f t="shared" si="6"/>
        <v>9831</v>
      </c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</row>
    <row r="44" spans="1:70">
      <c r="A44" s="11" t="s">
        <v>288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46"/>
      <c r="X44" s="15">
        <v>920000</v>
      </c>
      <c r="Y44" s="15">
        <v>77600</v>
      </c>
      <c r="Z44" s="15"/>
      <c r="AA44" s="15"/>
      <c r="AB44" s="15"/>
      <c r="AC44" s="15"/>
      <c r="AD44" s="15">
        <v>200000</v>
      </c>
      <c r="AE44" s="15">
        <v>10857.5</v>
      </c>
      <c r="AF44" s="15">
        <f t="shared" si="5"/>
        <v>1120000</v>
      </c>
      <c r="AG44" s="15">
        <f t="shared" si="6"/>
        <v>88457.5</v>
      </c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</row>
    <row r="45" spans="1:70">
      <c r="A45" s="11" t="s">
        <v>289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46">
        <v>8247</v>
      </c>
      <c r="X45" s="15"/>
      <c r="Y45" s="15"/>
      <c r="Z45" s="15"/>
      <c r="AA45" s="15"/>
      <c r="AB45" s="15"/>
      <c r="AC45" s="15"/>
      <c r="AD45" s="15"/>
      <c r="AE45" s="15"/>
      <c r="AF45" s="15">
        <f t="shared" si="5"/>
        <v>0</v>
      </c>
      <c r="AG45" s="15">
        <f t="shared" si="6"/>
        <v>8247</v>
      </c>
      <c r="AH45" s="15"/>
      <c r="AI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</row>
    <row r="46" spans="1:70">
      <c r="A46" s="11" t="s">
        <v>290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46"/>
      <c r="X46" s="15"/>
      <c r="Y46" s="15">
        <v>59200</v>
      </c>
      <c r="Z46" s="15"/>
      <c r="AA46" s="15"/>
      <c r="AB46" s="15"/>
      <c r="AC46" s="15"/>
      <c r="AD46" s="15"/>
      <c r="AE46" s="15">
        <v>8457.5</v>
      </c>
      <c r="AF46" s="15">
        <f t="shared" si="5"/>
        <v>0</v>
      </c>
      <c r="AG46" s="15">
        <f t="shared" si="6"/>
        <v>67657.5</v>
      </c>
      <c r="AH46" s="15">
        <f>SUM(AF43:AF46)</f>
        <v>1315000</v>
      </c>
      <c r="AI46" s="15">
        <f>SUM(AG43:AG46)</f>
        <v>174193</v>
      </c>
      <c r="AJ46" s="8">
        <v>2023</v>
      </c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</row>
    <row r="47" spans="1:70">
      <c r="A47" s="11" t="s">
        <v>291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>
        <v>195000</v>
      </c>
      <c r="W47" s="146">
        <v>8246</v>
      </c>
      <c r="X47" s="15"/>
      <c r="Y47" s="15"/>
      <c r="Z47" s="15"/>
      <c r="AA47" s="15"/>
      <c r="AB47" s="15"/>
      <c r="AC47" s="15"/>
      <c r="AD47" s="15"/>
      <c r="AE47" s="15"/>
      <c r="AF47" s="15">
        <f t="shared" si="5"/>
        <v>195000</v>
      </c>
      <c r="AG47" s="15">
        <f t="shared" si="6"/>
        <v>8246</v>
      </c>
      <c r="AH47" s="15"/>
      <c r="AI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</row>
    <row r="48" spans="1:70">
      <c r="A48" s="11" t="s">
        <v>292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46"/>
      <c r="X48" s="15">
        <v>960000</v>
      </c>
      <c r="Y48" s="15">
        <v>59200</v>
      </c>
      <c r="Z48" s="15"/>
      <c r="AA48" s="15"/>
      <c r="AB48" s="15"/>
      <c r="AC48" s="15"/>
      <c r="AD48" s="15">
        <v>210000</v>
      </c>
      <c r="AE48" s="15">
        <v>8457.5</v>
      </c>
      <c r="AF48" s="15">
        <f t="shared" si="5"/>
        <v>1170000</v>
      </c>
      <c r="AG48" s="15">
        <f t="shared" si="6"/>
        <v>67657.5</v>
      </c>
      <c r="AH48" s="15"/>
      <c r="AI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</row>
    <row r="49" spans="1:70">
      <c r="A49" s="11" t="s">
        <v>293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>
        <v>6663</v>
      </c>
      <c r="X49" s="15"/>
      <c r="Y49" s="15"/>
      <c r="Z49" s="15"/>
      <c r="AA49" s="15"/>
      <c r="AB49" s="15"/>
      <c r="AC49" s="15"/>
      <c r="AD49" s="15"/>
      <c r="AE49" s="15"/>
      <c r="AF49" s="15">
        <f t="shared" si="5"/>
        <v>0</v>
      </c>
      <c r="AG49" s="15">
        <f t="shared" si="6"/>
        <v>6663</v>
      </c>
      <c r="AH49" s="15"/>
      <c r="AI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</row>
    <row r="50" spans="1:70">
      <c r="A50" s="11" t="s">
        <v>294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>
        <v>40000</v>
      </c>
      <c r="Z50" s="15"/>
      <c r="AA50" s="15"/>
      <c r="AB50" s="15"/>
      <c r="AC50" s="15"/>
      <c r="AD50" s="15"/>
      <c r="AE50" s="15">
        <v>5832.5</v>
      </c>
      <c r="AF50" s="15">
        <f t="shared" si="5"/>
        <v>0</v>
      </c>
      <c r="AG50" s="15">
        <f t="shared" si="6"/>
        <v>45832.5</v>
      </c>
      <c r="AH50" s="15">
        <f>SUM(AF47:AF50)</f>
        <v>1365000</v>
      </c>
      <c r="AI50" s="15">
        <f>SUM(AG47:AG50)</f>
        <v>128399</v>
      </c>
      <c r="AJ50" s="8">
        <v>2024</v>
      </c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</row>
    <row r="51" spans="1:70">
      <c r="A51" s="11" t="s">
        <v>295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>
        <v>200000</v>
      </c>
      <c r="W51" s="15">
        <v>6663</v>
      </c>
      <c r="X51" s="15"/>
      <c r="Y51" s="15"/>
      <c r="Z51" s="15"/>
      <c r="AA51" s="15"/>
      <c r="AB51" s="15"/>
      <c r="AC51" s="15"/>
      <c r="AD51" s="15"/>
      <c r="AE51" s="15"/>
      <c r="AF51" s="15">
        <f t="shared" si="5"/>
        <v>200000</v>
      </c>
      <c r="AG51" s="15">
        <f t="shared" si="6"/>
        <v>6663</v>
      </c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</row>
    <row r="52" spans="1:70">
      <c r="A52" s="11" t="s">
        <v>296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>
        <v>1000000</v>
      </c>
      <c r="Y52" s="15">
        <v>40000</v>
      </c>
      <c r="Z52" s="15"/>
      <c r="AA52" s="15"/>
      <c r="AB52" s="15"/>
      <c r="AC52" s="15"/>
      <c r="AD52" s="15">
        <v>215000</v>
      </c>
      <c r="AE52" s="15">
        <v>5832.5</v>
      </c>
      <c r="AF52" s="15">
        <f t="shared" si="5"/>
        <v>1215000</v>
      </c>
      <c r="AG52" s="15">
        <f t="shared" si="6"/>
        <v>45832.5</v>
      </c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</row>
    <row r="53" spans="1:70">
      <c r="A53" s="11" t="s">
        <v>297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>
        <v>5037</v>
      </c>
      <c r="X53" s="15"/>
      <c r="Y53" s="15"/>
      <c r="Z53" s="15"/>
      <c r="AA53" s="15"/>
      <c r="AB53" s="15"/>
      <c r="AC53" s="15"/>
      <c r="AD53" s="15"/>
      <c r="AE53" s="15"/>
      <c r="AF53" s="15">
        <f t="shared" si="5"/>
        <v>0</v>
      </c>
      <c r="AG53" s="15">
        <f t="shared" si="6"/>
        <v>5037</v>
      </c>
      <c r="AH53" s="15"/>
      <c r="AI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</row>
    <row r="54" spans="1:70">
      <c r="A54" s="11" t="s">
        <v>298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>
        <v>20000</v>
      </c>
      <c r="Z54" s="15"/>
      <c r="AA54" s="15"/>
      <c r="AB54" s="15"/>
      <c r="AC54" s="15"/>
      <c r="AD54" s="15"/>
      <c r="AE54" s="15">
        <v>3037.5</v>
      </c>
      <c r="AF54" s="15">
        <f t="shared" si="5"/>
        <v>0</v>
      </c>
      <c r="AG54" s="15">
        <f t="shared" si="6"/>
        <v>23037.5</v>
      </c>
      <c r="AH54" s="15">
        <f>SUM(AF51:AF54)</f>
        <v>1415000</v>
      </c>
      <c r="AI54" s="15">
        <f>SUM(AG51:AG54)</f>
        <v>80570</v>
      </c>
      <c r="AJ54" s="8">
        <v>2025</v>
      </c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</row>
    <row r="55" spans="1:70">
      <c r="A55" s="11" t="s">
        <v>299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>
        <v>205000</v>
      </c>
      <c r="W55" s="146">
        <v>5038</v>
      </c>
      <c r="X55" s="15"/>
      <c r="Y55" s="15"/>
      <c r="Z55" s="15"/>
      <c r="AA55" s="15"/>
      <c r="AB55" s="15"/>
      <c r="AC55" s="15"/>
      <c r="AD55" s="15"/>
      <c r="AE55" s="15"/>
      <c r="AF55" s="15">
        <f t="shared" si="5"/>
        <v>205000</v>
      </c>
      <c r="AG55" s="15">
        <f t="shared" si="6"/>
        <v>5038</v>
      </c>
      <c r="AH55" s="15"/>
      <c r="AI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</row>
    <row r="56" spans="1:70">
      <c r="A56" s="11" t="s">
        <v>300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>
        <v>1000000</v>
      </c>
      <c r="Y56" s="15">
        <v>20000</v>
      </c>
      <c r="Z56" s="15"/>
      <c r="AA56" s="15"/>
      <c r="AB56" s="15"/>
      <c r="AC56" s="15"/>
      <c r="AD56" s="15">
        <v>225000</v>
      </c>
      <c r="AE56" s="15">
        <v>3037.5</v>
      </c>
      <c r="AF56" s="15">
        <f t="shared" si="5"/>
        <v>1225000</v>
      </c>
      <c r="AG56" s="15">
        <f t="shared" si="6"/>
        <v>23037.5</v>
      </c>
      <c r="AH56" s="15"/>
      <c r="AI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</row>
    <row r="57" spans="1:70">
      <c r="A57" s="11" t="s">
        <v>301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>
        <v>3372</v>
      </c>
      <c r="X57" s="15"/>
      <c r="Y57" s="15"/>
      <c r="Z57" s="15"/>
      <c r="AA57" s="15"/>
      <c r="AB57" s="15"/>
      <c r="AC57" s="15"/>
      <c r="AD57" s="15"/>
      <c r="AE57" s="15"/>
      <c r="AF57" s="15">
        <f t="shared" si="5"/>
        <v>0</v>
      </c>
      <c r="AG57" s="15">
        <f t="shared" si="6"/>
        <v>3372</v>
      </c>
      <c r="AH57" s="15">
        <f>SUM(AF55:AF57)</f>
        <v>1430000</v>
      </c>
      <c r="AI57" s="15">
        <f>SUM(AG55:AG57)</f>
        <v>31447.5</v>
      </c>
      <c r="AJ57" s="8">
        <v>2026</v>
      </c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</row>
    <row r="58" spans="1:70">
      <c r="A58" s="11" t="s">
        <v>302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>
        <v>205000</v>
      </c>
      <c r="W58" s="15">
        <v>3372</v>
      </c>
      <c r="X58" s="15"/>
      <c r="Y58" s="15"/>
      <c r="Z58" s="15"/>
      <c r="AA58" s="15"/>
      <c r="AB58" s="15"/>
      <c r="AC58" s="15"/>
      <c r="AD58" s="15"/>
      <c r="AE58" s="15"/>
      <c r="AF58" s="15">
        <f t="shared" si="5"/>
        <v>205000</v>
      </c>
      <c r="AG58" s="15">
        <f t="shared" si="6"/>
        <v>3372</v>
      </c>
      <c r="AH58" s="15"/>
      <c r="AI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</row>
    <row r="59" spans="1:70">
      <c r="A59" s="11" t="s">
        <v>303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>
        <v>1706</v>
      </c>
      <c r="X59" s="15"/>
      <c r="Y59" s="15"/>
      <c r="Z59" s="15"/>
      <c r="AA59" s="15"/>
      <c r="AB59" s="15"/>
      <c r="AC59" s="15"/>
      <c r="AD59" s="15"/>
      <c r="AE59" s="15"/>
      <c r="AF59" s="15">
        <f t="shared" si="5"/>
        <v>0</v>
      </c>
      <c r="AG59" s="15">
        <f t="shared" si="6"/>
        <v>1706</v>
      </c>
      <c r="AH59" s="15">
        <f>SUM(AF58:AF59)</f>
        <v>205000</v>
      </c>
      <c r="AI59" s="15">
        <f>SUM(AG58:AG59)</f>
        <v>5078</v>
      </c>
      <c r="AJ59" s="8">
        <v>2027</v>
      </c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</row>
    <row r="60" spans="1:70">
      <c r="A60" s="11" t="s">
        <v>304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>
        <v>210000</v>
      </c>
      <c r="W60" s="15">
        <v>1706</v>
      </c>
      <c r="X60" s="15"/>
      <c r="Y60" s="15"/>
      <c r="Z60" s="15"/>
      <c r="AA60" s="15"/>
      <c r="AB60" s="15"/>
      <c r="AC60" s="15"/>
      <c r="AD60" s="15"/>
      <c r="AE60" s="15"/>
      <c r="AF60" s="15">
        <f t="shared" si="5"/>
        <v>210000</v>
      </c>
      <c r="AG60" s="15">
        <f t="shared" si="6"/>
        <v>1706</v>
      </c>
      <c r="AH60" s="15">
        <f>SUM(AF60:AF60)</f>
        <v>210000</v>
      </c>
      <c r="AI60" s="15">
        <f>SUM(AG60:AG60)</f>
        <v>1706</v>
      </c>
      <c r="AJ60" s="8">
        <v>2028</v>
      </c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</row>
    <row r="61" spans="1:70" ht="13.5" thickBot="1">
      <c r="A61" s="13" t="s">
        <v>101</v>
      </c>
      <c r="B61" s="101">
        <f t="shared" ref="B61:AI61" si="7">SUM(B6:B60)</f>
        <v>2260000</v>
      </c>
      <c r="C61" s="16">
        <f t="shared" si="7"/>
        <v>226641</v>
      </c>
      <c r="D61" s="16">
        <f t="shared" si="7"/>
        <v>1120000</v>
      </c>
      <c r="E61" s="16">
        <f t="shared" si="7"/>
        <v>192480</v>
      </c>
      <c r="F61" s="16">
        <f t="shared" si="7"/>
        <v>480000</v>
      </c>
      <c r="G61" s="16">
        <f t="shared" si="7"/>
        <v>20813</v>
      </c>
      <c r="H61" s="16">
        <f t="shared" si="7"/>
        <v>440000</v>
      </c>
      <c r="I61" s="16">
        <f t="shared" si="7"/>
        <v>86707</v>
      </c>
      <c r="J61" s="16">
        <f t="shared" si="7"/>
        <v>0</v>
      </c>
      <c r="K61" s="16">
        <f t="shared" si="7"/>
        <v>0</v>
      </c>
      <c r="L61" s="102">
        <f t="shared" si="7"/>
        <v>2030000</v>
      </c>
      <c r="M61" s="16">
        <f t="shared" si="7"/>
        <v>164050</v>
      </c>
      <c r="N61" s="16">
        <f t="shared" si="7"/>
        <v>0</v>
      </c>
      <c r="O61" s="16">
        <f t="shared" si="7"/>
        <v>0</v>
      </c>
      <c r="P61" s="16">
        <f t="shared" si="7"/>
        <v>0</v>
      </c>
      <c r="Q61" s="16">
        <f t="shared" si="7"/>
        <v>0</v>
      </c>
      <c r="R61" s="102">
        <f t="shared" si="7"/>
        <v>695000</v>
      </c>
      <c r="S61" s="16">
        <f t="shared" si="7"/>
        <v>51581</v>
      </c>
      <c r="T61" s="16">
        <f t="shared" si="7"/>
        <v>0</v>
      </c>
      <c r="U61" s="16">
        <f t="shared" si="7"/>
        <v>0</v>
      </c>
      <c r="V61" s="16">
        <f t="shared" si="7"/>
        <v>2815000</v>
      </c>
      <c r="W61" s="16">
        <f t="shared" si="7"/>
        <v>356971</v>
      </c>
      <c r="X61" s="102">
        <f t="shared" si="7"/>
        <v>9775000</v>
      </c>
      <c r="Y61" s="16">
        <f t="shared" si="7"/>
        <v>2724488</v>
      </c>
      <c r="Z61" s="16">
        <f t="shared" si="7"/>
        <v>410000</v>
      </c>
      <c r="AA61" s="16">
        <f t="shared" si="7"/>
        <v>31125</v>
      </c>
      <c r="AB61" s="16">
        <f t="shared" si="7"/>
        <v>472279</v>
      </c>
      <c r="AC61" s="16">
        <f t="shared" si="7"/>
        <v>42993</v>
      </c>
      <c r="AD61" s="16">
        <f t="shared" si="7"/>
        <v>2360000</v>
      </c>
      <c r="AE61" s="16">
        <f t="shared" si="7"/>
        <v>390472.5</v>
      </c>
      <c r="AF61" s="16">
        <f t="shared" si="7"/>
        <v>22857279</v>
      </c>
      <c r="AG61" s="16">
        <f t="shared" si="7"/>
        <v>4288321.5</v>
      </c>
      <c r="AH61" s="31">
        <f t="shared" si="7"/>
        <v>22857279</v>
      </c>
      <c r="AI61" s="33">
        <f t="shared" si="7"/>
        <v>4288321.5</v>
      </c>
      <c r="AL61" s="16" t="e">
        <f t="shared" ref="AL61:AS61" si="8">SUM(AL6:AL60)</f>
        <v>#REF!</v>
      </c>
      <c r="AM61" s="16" t="e">
        <f t="shared" si="8"/>
        <v>#REF!</v>
      </c>
      <c r="AN61" s="16" t="e">
        <f t="shared" si="8"/>
        <v>#REF!</v>
      </c>
      <c r="AO61" s="16" t="e">
        <f t="shared" si="8"/>
        <v>#REF!</v>
      </c>
      <c r="AP61" s="16">
        <f t="shared" si="8"/>
        <v>0</v>
      </c>
      <c r="AQ61" s="16">
        <f t="shared" si="8"/>
        <v>0</v>
      </c>
      <c r="AR61" s="16" t="e">
        <f t="shared" si="8"/>
        <v>#REF!</v>
      </c>
      <c r="AS61" s="16" t="e">
        <f t="shared" si="8"/>
        <v>#REF!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</row>
    <row r="62" spans="1:70" ht="13.5" thickTop="1"/>
    <row r="63" spans="1:70" s="129" customFormat="1">
      <c r="A63" s="127" t="s">
        <v>468</v>
      </c>
      <c r="B63" s="128" t="s">
        <v>483</v>
      </c>
      <c r="D63" s="128" t="s">
        <v>484</v>
      </c>
      <c r="F63" s="128" t="s">
        <v>485</v>
      </c>
      <c r="H63" s="128" t="s">
        <v>486</v>
      </c>
      <c r="L63" s="128" t="s">
        <v>487</v>
      </c>
      <c r="R63" s="128" t="s">
        <v>488</v>
      </c>
      <c r="T63" s="128" t="s">
        <v>488</v>
      </c>
      <c r="V63" s="128" t="s">
        <v>489</v>
      </c>
      <c r="X63" s="128" t="s">
        <v>490</v>
      </c>
      <c r="Z63" s="128" t="s">
        <v>491</v>
      </c>
      <c r="AB63" s="128" t="s">
        <v>492</v>
      </c>
      <c r="AD63" s="128" t="s">
        <v>493</v>
      </c>
    </row>
    <row r="64" spans="1:70" s="126" customFormat="1">
      <c r="A64" s="125" t="s">
        <v>467</v>
      </c>
      <c r="B64" s="126">
        <v>3095000</v>
      </c>
      <c r="D64" s="126">
        <v>7850000</v>
      </c>
      <c r="F64" s="126">
        <v>2136315</v>
      </c>
      <c r="H64" s="126">
        <v>1090000</v>
      </c>
      <c r="L64" s="126">
        <v>4965000</v>
      </c>
      <c r="R64" s="126">
        <v>5115000</v>
      </c>
      <c r="T64" s="126">
        <v>1095000</v>
      </c>
      <c r="V64" s="126">
        <v>3610000</v>
      </c>
      <c r="X64" s="126">
        <v>9775000</v>
      </c>
      <c r="Z64" s="126">
        <v>1375000</v>
      </c>
      <c r="AB64" s="126">
        <v>1197279</v>
      </c>
      <c r="AD64" s="126">
        <v>2500000</v>
      </c>
    </row>
    <row r="65" spans="1:30">
      <c r="R65" s="20"/>
      <c r="T65" s="20"/>
    </row>
    <row r="68" spans="1:30">
      <c r="A68" s="8" t="s">
        <v>506</v>
      </c>
      <c r="B68" s="8" t="s">
        <v>523</v>
      </c>
      <c r="D68" s="8" t="s">
        <v>524</v>
      </c>
      <c r="F68" s="8" t="s">
        <v>525</v>
      </c>
      <c r="H68" s="8" t="s">
        <v>525</v>
      </c>
      <c r="L68" s="8" t="s">
        <v>526</v>
      </c>
      <c r="R68" s="8" t="s">
        <v>524</v>
      </c>
      <c r="T68" s="8" t="s">
        <v>528</v>
      </c>
      <c r="V68" s="8" t="s">
        <v>524</v>
      </c>
      <c r="X68" s="8" t="s">
        <v>527</v>
      </c>
      <c r="Z68" s="8" t="s">
        <v>531</v>
      </c>
      <c r="AB68" s="8" t="s">
        <v>531</v>
      </c>
      <c r="AD68" s="8" t="s">
        <v>516</v>
      </c>
    </row>
    <row r="69" spans="1:30">
      <c r="R69" s="8" t="s">
        <v>527</v>
      </c>
      <c r="V69" s="8" t="s">
        <v>523</v>
      </c>
    </row>
    <row r="70" spans="1:30">
      <c r="V70" s="8" t="s">
        <v>529</v>
      </c>
    </row>
    <row r="71" spans="1:30">
      <c r="V71" s="8" t="s">
        <v>530</v>
      </c>
    </row>
  </sheetData>
  <mergeCells count="6">
    <mergeCell ref="AD4:AE4"/>
    <mergeCell ref="F4:G4"/>
    <mergeCell ref="H4:I4"/>
    <mergeCell ref="V4:W4"/>
    <mergeCell ref="Z4:AA4"/>
    <mergeCell ref="AB4:AC4"/>
  </mergeCells>
  <printOptions horizontalCentered="1" gridLines="1"/>
  <pageMargins left="0.75" right="0.75" top="0.5" bottom="0.5" header="0" footer="0"/>
  <pageSetup scale="74" fitToWidth="2" fitToHeight="2" pageOrder="overThenDown" orientation="landscape" r:id="rId1"/>
  <headerFooter alignWithMargins="0">
    <oddHeader>&amp;C&amp;A</oddHeader>
    <oddFooter>&amp;L&amp;10prepared &amp;D&amp;C&amp;10file: &amp;F &amp;R&amp;10page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>
    <tabColor rgb="FFFFC000"/>
    <pageSetUpPr fitToPage="1"/>
  </sheetPr>
  <dimension ref="A1:BP177"/>
  <sheetViews>
    <sheetView zoomScaleNormal="100" workbookViewId="0">
      <pane xSplit="1" ySplit="5" topLeftCell="BB142" activePane="bottomRight" state="frozen"/>
      <selection pane="topRight" activeCell="B1" sqref="B1"/>
      <selection pane="bottomLeft" activeCell="A6" sqref="A6"/>
      <selection pane="bottomRight" activeCell="BK167" sqref="BK167"/>
    </sheetView>
  </sheetViews>
  <sheetFormatPr defaultColWidth="9.77734375" defaultRowHeight="12.75" outlineLevelRow="1"/>
  <cols>
    <col min="1" max="1" width="20.21875" style="174" bestFit="1" customWidth="1"/>
    <col min="2" max="2" width="16.5546875" style="174" bestFit="1" customWidth="1"/>
    <col min="3" max="3" width="7.109375" style="174" customWidth="1"/>
    <col min="4" max="4" width="11.77734375" style="174" bestFit="1" customWidth="1"/>
    <col min="5" max="5" width="7.6640625" style="174" customWidth="1"/>
    <col min="6" max="6" width="11.77734375" style="174" bestFit="1" customWidth="1"/>
    <col min="7" max="7" width="7.77734375" style="174" customWidth="1"/>
    <col min="8" max="8" width="11.77734375" style="174" bestFit="1" customWidth="1"/>
    <col min="9" max="9" width="7.77734375" style="174" customWidth="1"/>
    <col min="10" max="10" width="11.77734375" style="174" bestFit="1" customWidth="1"/>
    <col min="11" max="11" width="7.77734375" style="174" customWidth="1"/>
    <col min="12" max="12" width="12.88671875" style="174" bestFit="1" customWidth="1"/>
    <col min="13" max="13" width="7.21875" style="174" customWidth="1"/>
    <col min="14" max="14" width="12.88671875" style="174" bestFit="1" customWidth="1"/>
    <col min="15" max="15" width="7.33203125" style="174" customWidth="1"/>
    <col min="16" max="16" width="12.88671875" style="174" bestFit="1" customWidth="1"/>
    <col min="17" max="17" width="7.33203125" style="174" customWidth="1"/>
    <col min="18" max="18" width="21.44140625" style="174" bestFit="1" customWidth="1"/>
    <col min="19" max="19" width="7.33203125" style="174" customWidth="1"/>
    <col min="20" max="20" width="12.88671875" style="174" bestFit="1" customWidth="1"/>
    <col min="21" max="21" width="8.5546875" style="174" customWidth="1"/>
    <col min="22" max="22" width="17.44140625" style="174" bestFit="1" customWidth="1"/>
    <col min="23" max="23" width="7.88671875" style="174" customWidth="1"/>
    <col min="24" max="24" width="21.44140625" style="174" bestFit="1" customWidth="1"/>
    <col min="25" max="25" width="6.77734375" style="174" customWidth="1"/>
    <col min="26" max="26" width="13" style="174" bestFit="1" customWidth="1"/>
    <col min="27" max="27" width="8.109375" style="174" bestFit="1" customWidth="1"/>
    <col min="28" max="28" width="21.44140625" style="174" bestFit="1" customWidth="1"/>
    <col min="29" max="29" width="7.6640625" style="174" customWidth="1"/>
    <col min="30" max="30" width="11.77734375" style="174" bestFit="1" customWidth="1"/>
    <col min="31" max="31" width="6.88671875" style="174" customWidth="1"/>
    <col min="32" max="32" width="11.77734375" style="174" bestFit="1" customWidth="1"/>
    <col min="33" max="33" width="6.88671875" style="174" customWidth="1"/>
    <col min="34" max="34" width="11.77734375" style="174" bestFit="1" customWidth="1"/>
    <col min="35" max="35" width="7.77734375" style="174" customWidth="1"/>
    <col min="36" max="36" width="19.44140625" style="174" bestFit="1" customWidth="1"/>
    <col min="37" max="37" width="6.88671875" style="174" customWidth="1"/>
    <col min="38" max="38" width="13" style="174" bestFit="1" customWidth="1"/>
    <col min="39" max="39" width="7.44140625" style="174" bestFit="1" customWidth="1"/>
    <col min="40" max="40" width="11.77734375" style="174" bestFit="1" customWidth="1"/>
    <col min="41" max="41" width="9.21875" style="174" customWidth="1"/>
    <col min="42" max="42" width="21.44140625" style="174" bestFit="1" customWidth="1"/>
    <col min="43" max="43" width="7.44140625" style="174" customWidth="1"/>
    <col min="44" max="44" width="21.44140625" style="174" bestFit="1" customWidth="1"/>
    <col min="45" max="45" width="7.44140625" style="174" customWidth="1"/>
    <col min="46" max="46" width="11.77734375" style="174" bestFit="1" customWidth="1"/>
    <col min="47" max="47" width="8.6640625" style="174" customWidth="1"/>
    <col min="48" max="48" width="11.77734375" style="174" bestFit="1" customWidth="1"/>
    <col min="49" max="49" width="7.44140625" style="174" customWidth="1"/>
    <col min="50" max="50" width="11.77734375" style="174" bestFit="1" customWidth="1"/>
    <col min="51" max="51" width="7.44140625" style="174" customWidth="1"/>
    <col min="52" max="52" width="11.77734375" style="174" bestFit="1" customWidth="1"/>
    <col min="53" max="53" width="7.44140625" style="174" customWidth="1"/>
    <col min="54" max="54" width="11.77734375" style="174" bestFit="1" customWidth="1"/>
    <col min="55" max="55" width="7.44140625" style="174" customWidth="1"/>
    <col min="56" max="56" width="11.77734375" style="174" bestFit="1" customWidth="1"/>
    <col min="57" max="57" width="7.44140625" style="174" customWidth="1"/>
    <col min="58" max="58" width="11.77734375" style="174" bestFit="1" customWidth="1"/>
    <col min="59" max="59" width="7.44140625" style="174" customWidth="1"/>
    <col min="60" max="60" width="13.44140625" style="174" bestFit="1" customWidth="1"/>
    <col min="61" max="61" width="7.44140625" style="174" customWidth="1"/>
    <col min="62" max="62" width="9.44140625" style="174" customWidth="1"/>
    <col min="63" max="63" width="8.88671875" style="174" customWidth="1"/>
    <col min="64" max="65" width="12.109375" style="177" customWidth="1"/>
    <col min="66" max="66" width="6.109375" style="174" bestFit="1" customWidth="1"/>
    <col min="67" max="67" width="9.77734375" style="174"/>
    <col min="68" max="69" width="10.77734375" style="174" customWidth="1"/>
    <col min="70" max="72" width="9.77734375" style="174"/>
    <col min="73" max="73" width="11.77734375" style="174" customWidth="1"/>
    <col min="74" max="74" width="12.77734375" style="174" customWidth="1"/>
    <col min="75" max="256" width="9.77734375" style="174"/>
    <col min="257" max="257" width="20.21875" style="174" bestFit="1" customWidth="1"/>
    <col min="258" max="258" width="9.21875" style="174" customWidth="1"/>
    <col min="259" max="259" width="7.109375" style="174" customWidth="1"/>
    <col min="260" max="260" width="7.88671875" style="174" customWidth="1"/>
    <col min="261" max="261" width="7.6640625" style="174" customWidth="1"/>
    <col min="262" max="262" width="8.77734375" style="174" customWidth="1"/>
    <col min="263" max="263" width="7.77734375" style="174" customWidth="1"/>
    <col min="264" max="264" width="8.77734375" style="174" customWidth="1"/>
    <col min="265" max="265" width="7.77734375" style="174" customWidth="1"/>
    <col min="266" max="266" width="8.77734375" style="174" customWidth="1"/>
    <col min="267" max="267" width="7.77734375" style="174" customWidth="1"/>
    <col min="268" max="268" width="9" style="174" customWidth="1"/>
    <col min="269" max="269" width="7.21875" style="174" customWidth="1"/>
    <col min="270" max="270" width="8.6640625" style="174" customWidth="1"/>
    <col min="271" max="271" width="7.33203125" style="174" customWidth="1"/>
    <col min="272" max="272" width="8.6640625" style="174" customWidth="1"/>
    <col min="273" max="273" width="7.33203125" style="174" customWidth="1"/>
    <col min="274" max="274" width="8.77734375" style="174" customWidth="1"/>
    <col min="275" max="275" width="7.33203125" style="174" customWidth="1"/>
    <col min="276" max="276" width="9" style="174" customWidth="1"/>
    <col min="277" max="278" width="8.5546875" style="174" customWidth="1"/>
    <col min="279" max="279" width="7.88671875" style="174" customWidth="1"/>
    <col min="280" max="280" width="9.109375" style="174" customWidth="1"/>
    <col min="281" max="281" width="6.77734375" style="174" customWidth="1"/>
    <col min="282" max="282" width="8.33203125" style="174" customWidth="1"/>
    <col min="283" max="283" width="8.109375" style="174" bestFit="1" customWidth="1"/>
    <col min="284" max="284" width="8" style="174" bestFit="1" customWidth="1"/>
    <col min="285" max="285" width="7.6640625" style="174" customWidth="1"/>
    <col min="286" max="287" width="6.88671875" style="174" customWidth="1"/>
    <col min="288" max="288" width="10.21875" style="174" customWidth="1"/>
    <col min="289" max="289" width="6.88671875" style="174" customWidth="1"/>
    <col min="290" max="290" width="8.77734375" style="174" customWidth="1"/>
    <col min="291" max="291" width="7.77734375" style="174" customWidth="1"/>
    <col min="292" max="292" width="7.5546875" style="174" customWidth="1"/>
    <col min="293" max="293" width="6.88671875" style="174" customWidth="1"/>
    <col min="294" max="294" width="9.77734375" style="174" customWidth="1"/>
    <col min="295" max="295" width="7.44140625" style="174" bestFit="1" customWidth="1"/>
    <col min="296" max="296" width="9.44140625" style="174" customWidth="1"/>
    <col min="297" max="297" width="9.21875" style="174" customWidth="1"/>
    <col min="298" max="298" width="10.77734375" style="174" customWidth="1"/>
    <col min="299" max="299" width="7.44140625" style="174" customWidth="1"/>
    <col min="300" max="300" width="8.6640625" style="174" customWidth="1"/>
    <col min="301" max="301" width="7.44140625" style="174" customWidth="1"/>
    <col min="302" max="302" width="10.33203125" style="174" customWidth="1"/>
    <col min="303" max="303" width="8.6640625" style="174" customWidth="1"/>
    <col min="304" max="304" width="10.5546875" style="174" customWidth="1"/>
    <col min="305" max="305" width="7.44140625" style="174" customWidth="1"/>
    <col min="306" max="306" width="10.5546875" style="174" customWidth="1"/>
    <col min="307" max="307" width="7.44140625" style="174" customWidth="1"/>
    <col min="308" max="308" width="10.5546875" style="174" customWidth="1"/>
    <col min="309" max="309" width="7.44140625" style="174" customWidth="1"/>
    <col min="310" max="310" width="10.5546875" style="174" customWidth="1"/>
    <col min="311" max="311" width="7.44140625" style="174" customWidth="1"/>
    <col min="312" max="312" width="10.5546875" style="174" customWidth="1"/>
    <col min="313" max="313" width="7.44140625" style="174" customWidth="1"/>
    <col min="314" max="314" width="10.5546875" style="174" customWidth="1"/>
    <col min="315" max="315" width="7.44140625" style="174" customWidth="1"/>
    <col min="316" max="316" width="10.5546875" style="174" customWidth="1"/>
    <col min="317" max="317" width="7.44140625" style="174" customWidth="1"/>
    <col min="318" max="318" width="9.44140625" style="174" customWidth="1"/>
    <col min="319" max="319" width="8.88671875" style="174" customWidth="1"/>
    <col min="320" max="321" width="12.109375" style="174" customWidth="1"/>
    <col min="322" max="322" width="6.109375" style="174" bestFit="1" customWidth="1"/>
    <col min="323" max="323" width="9.77734375" style="174"/>
    <col min="324" max="325" width="10.77734375" style="174" customWidth="1"/>
    <col min="326" max="328" width="9.77734375" style="174"/>
    <col min="329" max="329" width="11.77734375" style="174" customWidth="1"/>
    <col min="330" max="330" width="12.77734375" style="174" customWidth="1"/>
    <col min="331" max="512" width="9.77734375" style="174"/>
    <col min="513" max="513" width="20.21875" style="174" bestFit="1" customWidth="1"/>
    <col min="514" max="514" width="9.21875" style="174" customWidth="1"/>
    <col min="515" max="515" width="7.109375" style="174" customWidth="1"/>
    <col min="516" max="516" width="7.88671875" style="174" customWidth="1"/>
    <col min="517" max="517" width="7.6640625" style="174" customWidth="1"/>
    <col min="518" max="518" width="8.77734375" style="174" customWidth="1"/>
    <col min="519" max="519" width="7.77734375" style="174" customWidth="1"/>
    <col min="520" max="520" width="8.77734375" style="174" customWidth="1"/>
    <col min="521" max="521" width="7.77734375" style="174" customWidth="1"/>
    <col min="522" max="522" width="8.77734375" style="174" customWidth="1"/>
    <col min="523" max="523" width="7.77734375" style="174" customWidth="1"/>
    <col min="524" max="524" width="9" style="174" customWidth="1"/>
    <col min="525" max="525" width="7.21875" style="174" customWidth="1"/>
    <col min="526" max="526" width="8.6640625" style="174" customWidth="1"/>
    <col min="527" max="527" width="7.33203125" style="174" customWidth="1"/>
    <col min="528" max="528" width="8.6640625" style="174" customWidth="1"/>
    <col min="529" max="529" width="7.33203125" style="174" customWidth="1"/>
    <col min="530" max="530" width="8.77734375" style="174" customWidth="1"/>
    <col min="531" max="531" width="7.33203125" style="174" customWidth="1"/>
    <col min="532" max="532" width="9" style="174" customWidth="1"/>
    <col min="533" max="534" width="8.5546875" style="174" customWidth="1"/>
    <col min="535" max="535" width="7.88671875" style="174" customWidth="1"/>
    <col min="536" max="536" width="9.109375" style="174" customWidth="1"/>
    <col min="537" max="537" width="6.77734375" style="174" customWidth="1"/>
    <col min="538" max="538" width="8.33203125" style="174" customWidth="1"/>
    <col min="539" max="539" width="8.109375" style="174" bestFit="1" customWidth="1"/>
    <col min="540" max="540" width="8" style="174" bestFit="1" customWidth="1"/>
    <col min="541" max="541" width="7.6640625" style="174" customWidth="1"/>
    <col min="542" max="543" width="6.88671875" style="174" customWidth="1"/>
    <col min="544" max="544" width="10.21875" style="174" customWidth="1"/>
    <col min="545" max="545" width="6.88671875" style="174" customWidth="1"/>
    <col min="546" max="546" width="8.77734375" style="174" customWidth="1"/>
    <col min="547" max="547" width="7.77734375" style="174" customWidth="1"/>
    <col min="548" max="548" width="7.5546875" style="174" customWidth="1"/>
    <col min="549" max="549" width="6.88671875" style="174" customWidth="1"/>
    <col min="550" max="550" width="9.77734375" style="174" customWidth="1"/>
    <col min="551" max="551" width="7.44140625" style="174" bestFit="1" customWidth="1"/>
    <col min="552" max="552" width="9.44140625" style="174" customWidth="1"/>
    <col min="553" max="553" width="9.21875" style="174" customWidth="1"/>
    <col min="554" max="554" width="10.77734375" style="174" customWidth="1"/>
    <col min="555" max="555" width="7.44140625" style="174" customWidth="1"/>
    <col min="556" max="556" width="8.6640625" style="174" customWidth="1"/>
    <col min="557" max="557" width="7.44140625" style="174" customWidth="1"/>
    <col min="558" max="558" width="10.33203125" style="174" customWidth="1"/>
    <col min="559" max="559" width="8.6640625" style="174" customWidth="1"/>
    <col min="560" max="560" width="10.5546875" style="174" customWidth="1"/>
    <col min="561" max="561" width="7.44140625" style="174" customWidth="1"/>
    <col min="562" max="562" width="10.5546875" style="174" customWidth="1"/>
    <col min="563" max="563" width="7.44140625" style="174" customWidth="1"/>
    <col min="564" max="564" width="10.5546875" style="174" customWidth="1"/>
    <col min="565" max="565" width="7.44140625" style="174" customWidth="1"/>
    <col min="566" max="566" width="10.5546875" style="174" customWidth="1"/>
    <col min="567" max="567" width="7.44140625" style="174" customWidth="1"/>
    <col min="568" max="568" width="10.5546875" style="174" customWidth="1"/>
    <col min="569" max="569" width="7.44140625" style="174" customWidth="1"/>
    <col min="570" max="570" width="10.5546875" style="174" customWidth="1"/>
    <col min="571" max="571" width="7.44140625" style="174" customWidth="1"/>
    <col min="572" max="572" width="10.5546875" style="174" customWidth="1"/>
    <col min="573" max="573" width="7.44140625" style="174" customWidth="1"/>
    <col min="574" max="574" width="9.44140625" style="174" customWidth="1"/>
    <col min="575" max="575" width="8.88671875" style="174" customWidth="1"/>
    <col min="576" max="577" width="12.109375" style="174" customWidth="1"/>
    <col min="578" max="578" width="6.109375" style="174" bestFit="1" customWidth="1"/>
    <col min="579" max="579" width="9.77734375" style="174"/>
    <col min="580" max="581" width="10.77734375" style="174" customWidth="1"/>
    <col min="582" max="584" width="9.77734375" style="174"/>
    <col min="585" max="585" width="11.77734375" style="174" customWidth="1"/>
    <col min="586" max="586" width="12.77734375" style="174" customWidth="1"/>
    <col min="587" max="768" width="9.77734375" style="174"/>
    <col min="769" max="769" width="20.21875" style="174" bestFit="1" customWidth="1"/>
    <col min="770" max="770" width="9.21875" style="174" customWidth="1"/>
    <col min="771" max="771" width="7.109375" style="174" customWidth="1"/>
    <col min="772" max="772" width="7.88671875" style="174" customWidth="1"/>
    <col min="773" max="773" width="7.6640625" style="174" customWidth="1"/>
    <col min="774" max="774" width="8.77734375" style="174" customWidth="1"/>
    <col min="775" max="775" width="7.77734375" style="174" customWidth="1"/>
    <col min="776" max="776" width="8.77734375" style="174" customWidth="1"/>
    <col min="777" max="777" width="7.77734375" style="174" customWidth="1"/>
    <col min="778" max="778" width="8.77734375" style="174" customWidth="1"/>
    <col min="779" max="779" width="7.77734375" style="174" customWidth="1"/>
    <col min="780" max="780" width="9" style="174" customWidth="1"/>
    <col min="781" max="781" width="7.21875" style="174" customWidth="1"/>
    <col min="782" max="782" width="8.6640625" style="174" customWidth="1"/>
    <col min="783" max="783" width="7.33203125" style="174" customWidth="1"/>
    <col min="784" max="784" width="8.6640625" style="174" customWidth="1"/>
    <col min="785" max="785" width="7.33203125" style="174" customWidth="1"/>
    <col min="786" max="786" width="8.77734375" style="174" customWidth="1"/>
    <col min="787" max="787" width="7.33203125" style="174" customWidth="1"/>
    <col min="788" max="788" width="9" style="174" customWidth="1"/>
    <col min="789" max="790" width="8.5546875" style="174" customWidth="1"/>
    <col min="791" max="791" width="7.88671875" style="174" customWidth="1"/>
    <col min="792" max="792" width="9.109375" style="174" customWidth="1"/>
    <col min="793" max="793" width="6.77734375" style="174" customWidth="1"/>
    <col min="794" max="794" width="8.33203125" style="174" customWidth="1"/>
    <col min="795" max="795" width="8.109375" style="174" bestFit="1" customWidth="1"/>
    <col min="796" max="796" width="8" style="174" bestFit="1" customWidth="1"/>
    <col min="797" max="797" width="7.6640625" style="174" customWidth="1"/>
    <col min="798" max="799" width="6.88671875" style="174" customWidth="1"/>
    <col min="800" max="800" width="10.21875" style="174" customWidth="1"/>
    <col min="801" max="801" width="6.88671875" style="174" customWidth="1"/>
    <col min="802" max="802" width="8.77734375" style="174" customWidth="1"/>
    <col min="803" max="803" width="7.77734375" style="174" customWidth="1"/>
    <col min="804" max="804" width="7.5546875" style="174" customWidth="1"/>
    <col min="805" max="805" width="6.88671875" style="174" customWidth="1"/>
    <col min="806" max="806" width="9.77734375" style="174" customWidth="1"/>
    <col min="807" max="807" width="7.44140625" style="174" bestFit="1" customWidth="1"/>
    <col min="808" max="808" width="9.44140625" style="174" customWidth="1"/>
    <col min="809" max="809" width="9.21875" style="174" customWidth="1"/>
    <col min="810" max="810" width="10.77734375" style="174" customWidth="1"/>
    <col min="811" max="811" width="7.44140625" style="174" customWidth="1"/>
    <col min="812" max="812" width="8.6640625" style="174" customWidth="1"/>
    <col min="813" max="813" width="7.44140625" style="174" customWidth="1"/>
    <col min="814" max="814" width="10.33203125" style="174" customWidth="1"/>
    <col min="815" max="815" width="8.6640625" style="174" customWidth="1"/>
    <col min="816" max="816" width="10.5546875" style="174" customWidth="1"/>
    <col min="817" max="817" width="7.44140625" style="174" customWidth="1"/>
    <col min="818" max="818" width="10.5546875" style="174" customWidth="1"/>
    <col min="819" max="819" width="7.44140625" style="174" customWidth="1"/>
    <col min="820" max="820" width="10.5546875" style="174" customWidth="1"/>
    <col min="821" max="821" width="7.44140625" style="174" customWidth="1"/>
    <col min="822" max="822" width="10.5546875" style="174" customWidth="1"/>
    <col min="823" max="823" width="7.44140625" style="174" customWidth="1"/>
    <col min="824" max="824" width="10.5546875" style="174" customWidth="1"/>
    <col min="825" max="825" width="7.44140625" style="174" customWidth="1"/>
    <col min="826" max="826" width="10.5546875" style="174" customWidth="1"/>
    <col min="827" max="827" width="7.44140625" style="174" customWidth="1"/>
    <col min="828" max="828" width="10.5546875" style="174" customWidth="1"/>
    <col min="829" max="829" width="7.44140625" style="174" customWidth="1"/>
    <col min="830" max="830" width="9.44140625" style="174" customWidth="1"/>
    <col min="831" max="831" width="8.88671875" style="174" customWidth="1"/>
    <col min="832" max="833" width="12.109375" style="174" customWidth="1"/>
    <col min="834" max="834" width="6.109375" style="174" bestFit="1" customWidth="1"/>
    <col min="835" max="835" width="9.77734375" style="174"/>
    <col min="836" max="837" width="10.77734375" style="174" customWidth="1"/>
    <col min="838" max="840" width="9.77734375" style="174"/>
    <col min="841" max="841" width="11.77734375" style="174" customWidth="1"/>
    <col min="842" max="842" width="12.77734375" style="174" customWidth="1"/>
    <col min="843" max="1024" width="9.77734375" style="174"/>
    <col min="1025" max="1025" width="20.21875" style="174" bestFit="1" customWidth="1"/>
    <col min="1026" max="1026" width="9.21875" style="174" customWidth="1"/>
    <col min="1027" max="1027" width="7.109375" style="174" customWidth="1"/>
    <col min="1028" max="1028" width="7.88671875" style="174" customWidth="1"/>
    <col min="1029" max="1029" width="7.6640625" style="174" customWidth="1"/>
    <col min="1030" max="1030" width="8.77734375" style="174" customWidth="1"/>
    <col min="1031" max="1031" width="7.77734375" style="174" customWidth="1"/>
    <col min="1032" max="1032" width="8.77734375" style="174" customWidth="1"/>
    <col min="1033" max="1033" width="7.77734375" style="174" customWidth="1"/>
    <col min="1034" max="1034" width="8.77734375" style="174" customWidth="1"/>
    <col min="1035" max="1035" width="7.77734375" style="174" customWidth="1"/>
    <col min="1036" max="1036" width="9" style="174" customWidth="1"/>
    <col min="1037" max="1037" width="7.21875" style="174" customWidth="1"/>
    <col min="1038" max="1038" width="8.6640625" style="174" customWidth="1"/>
    <col min="1039" max="1039" width="7.33203125" style="174" customWidth="1"/>
    <col min="1040" max="1040" width="8.6640625" style="174" customWidth="1"/>
    <col min="1041" max="1041" width="7.33203125" style="174" customWidth="1"/>
    <col min="1042" max="1042" width="8.77734375" style="174" customWidth="1"/>
    <col min="1043" max="1043" width="7.33203125" style="174" customWidth="1"/>
    <col min="1044" max="1044" width="9" style="174" customWidth="1"/>
    <col min="1045" max="1046" width="8.5546875" style="174" customWidth="1"/>
    <col min="1047" max="1047" width="7.88671875" style="174" customWidth="1"/>
    <col min="1048" max="1048" width="9.109375" style="174" customWidth="1"/>
    <col min="1049" max="1049" width="6.77734375" style="174" customWidth="1"/>
    <col min="1050" max="1050" width="8.33203125" style="174" customWidth="1"/>
    <col min="1051" max="1051" width="8.109375" style="174" bestFit="1" customWidth="1"/>
    <col min="1052" max="1052" width="8" style="174" bestFit="1" customWidth="1"/>
    <col min="1053" max="1053" width="7.6640625" style="174" customWidth="1"/>
    <col min="1054" max="1055" width="6.88671875" style="174" customWidth="1"/>
    <col min="1056" max="1056" width="10.21875" style="174" customWidth="1"/>
    <col min="1057" max="1057" width="6.88671875" style="174" customWidth="1"/>
    <col min="1058" max="1058" width="8.77734375" style="174" customWidth="1"/>
    <col min="1059" max="1059" width="7.77734375" style="174" customWidth="1"/>
    <col min="1060" max="1060" width="7.5546875" style="174" customWidth="1"/>
    <col min="1061" max="1061" width="6.88671875" style="174" customWidth="1"/>
    <col min="1062" max="1062" width="9.77734375" style="174" customWidth="1"/>
    <col min="1063" max="1063" width="7.44140625" style="174" bestFit="1" customWidth="1"/>
    <col min="1064" max="1064" width="9.44140625" style="174" customWidth="1"/>
    <col min="1065" max="1065" width="9.21875" style="174" customWidth="1"/>
    <col min="1066" max="1066" width="10.77734375" style="174" customWidth="1"/>
    <col min="1067" max="1067" width="7.44140625" style="174" customWidth="1"/>
    <col min="1068" max="1068" width="8.6640625" style="174" customWidth="1"/>
    <col min="1069" max="1069" width="7.44140625" style="174" customWidth="1"/>
    <col min="1070" max="1070" width="10.33203125" style="174" customWidth="1"/>
    <col min="1071" max="1071" width="8.6640625" style="174" customWidth="1"/>
    <col min="1072" max="1072" width="10.5546875" style="174" customWidth="1"/>
    <col min="1073" max="1073" width="7.44140625" style="174" customWidth="1"/>
    <col min="1074" max="1074" width="10.5546875" style="174" customWidth="1"/>
    <col min="1075" max="1075" width="7.44140625" style="174" customWidth="1"/>
    <col min="1076" max="1076" width="10.5546875" style="174" customWidth="1"/>
    <col min="1077" max="1077" width="7.44140625" style="174" customWidth="1"/>
    <col min="1078" max="1078" width="10.5546875" style="174" customWidth="1"/>
    <col min="1079" max="1079" width="7.44140625" style="174" customWidth="1"/>
    <col min="1080" max="1080" width="10.5546875" style="174" customWidth="1"/>
    <col min="1081" max="1081" width="7.44140625" style="174" customWidth="1"/>
    <col min="1082" max="1082" width="10.5546875" style="174" customWidth="1"/>
    <col min="1083" max="1083" width="7.44140625" style="174" customWidth="1"/>
    <col min="1084" max="1084" width="10.5546875" style="174" customWidth="1"/>
    <col min="1085" max="1085" width="7.44140625" style="174" customWidth="1"/>
    <col min="1086" max="1086" width="9.44140625" style="174" customWidth="1"/>
    <col min="1087" max="1087" width="8.88671875" style="174" customWidth="1"/>
    <col min="1088" max="1089" width="12.109375" style="174" customWidth="1"/>
    <col min="1090" max="1090" width="6.109375" style="174" bestFit="1" customWidth="1"/>
    <col min="1091" max="1091" width="9.77734375" style="174"/>
    <col min="1092" max="1093" width="10.77734375" style="174" customWidth="1"/>
    <col min="1094" max="1096" width="9.77734375" style="174"/>
    <col min="1097" max="1097" width="11.77734375" style="174" customWidth="1"/>
    <col min="1098" max="1098" width="12.77734375" style="174" customWidth="1"/>
    <col min="1099" max="1280" width="9.77734375" style="174"/>
    <col min="1281" max="1281" width="20.21875" style="174" bestFit="1" customWidth="1"/>
    <col min="1282" max="1282" width="9.21875" style="174" customWidth="1"/>
    <col min="1283" max="1283" width="7.109375" style="174" customWidth="1"/>
    <col min="1284" max="1284" width="7.88671875" style="174" customWidth="1"/>
    <col min="1285" max="1285" width="7.6640625" style="174" customWidth="1"/>
    <col min="1286" max="1286" width="8.77734375" style="174" customWidth="1"/>
    <col min="1287" max="1287" width="7.77734375" style="174" customWidth="1"/>
    <col min="1288" max="1288" width="8.77734375" style="174" customWidth="1"/>
    <col min="1289" max="1289" width="7.77734375" style="174" customWidth="1"/>
    <col min="1290" max="1290" width="8.77734375" style="174" customWidth="1"/>
    <col min="1291" max="1291" width="7.77734375" style="174" customWidth="1"/>
    <col min="1292" max="1292" width="9" style="174" customWidth="1"/>
    <col min="1293" max="1293" width="7.21875" style="174" customWidth="1"/>
    <col min="1294" max="1294" width="8.6640625" style="174" customWidth="1"/>
    <col min="1295" max="1295" width="7.33203125" style="174" customWidth="1"/>
    <col min="1296" max="1296" width="8.6640625" style="174" customWidth="1"/>
    <col min="1297" max="1297" width="7.33203125" style="174" customWidth="1"/>
    <col min="1298" max="1298" width="8.77734375" style="174" customWidth="1"/>
    <col min="1299" max="1299" width="7.33203125" style="174" customWidth="1"/>
    <col min="1300" max="1300" width="9" style="174" customWidth="1"/>
    <col min="1301" max="1302" width="8.5546875" style="174" customWidth="1"/>
    <col min="1303" max="1303" width="7.88671875" style="174" customWidth="1"/>
    <col min="1304" max="1304" width="9.109375" style="174" customWidth="1"/>
    <col min="1305" max="1305" width="6.77734375" style="174" customWidth="1"/>
    <col min="1306" max="1306" width="8.33203125" style="174" customWidth="1"/>
    <col min="1307" max="1307" width="8.109375" style="174" bestFit="1" customWidth="1"/>
    <col min="1308" max="1308" width="8" style="174" bestFit="1" customWidth="1"/>
    <col min="1309" max="1309" width="7.6640625" style="174" customWidth="1"/>
    <col min="1310" max="1311" width="6.88671875" style="174" customWidth="1"/>
    <col min="1312" max="1312" width="10.21875" style="174" customWidth="1"/>
    <col min="1313" max="1313" width="6.88671875" style="174" customWidth="1"/>
    <col min="1314" max="1314" width="8.77734375" style="174" customWidth="1"/>
    <col min="1315" max="1315" width="7.77734375" style="174" customWidth="1"/>
    <col min="1316" max="1316" width="7.5546875" style="174" customWidth="1"/>
    <col min="1317" max="1317" width="6.88671875" style="174" customWidth="1"/>
    <col min="1318" max="1318" width="9.77734375" style="174" customWidth="1"/>
    <col min="1319" max="1319" width="7.44140625" style="174" bestFit="1" customWidth="1"/>
    <col min="1320" max="1320" width="9.44140625" style="174" customWidth="1"/>
    <col min="1321" max="1321" width="9.21875" style="174" customWidth="1"/>
    <col min="1322" max="1322" width="10.77734375" style="174" customWidth="1"/>
    <col min="1323" max="1323" width="7.44140625" style="174" customWidth="1"/>
    <col min="1324" max="1324" width="8.6640625" style="174" customWidth="1"/>
    <col min="1325" max="1325" width="7.44140625" style="174" customWidth="1"/>
    <col min="1326" max="1326" width="10.33203125" style="174" customWidth="1"/>
    <col min="1327" max="1327" width="8.6640625" style="174" customWidth="1"/>
    <col min="1328" max="1328" width="10.5546875" style="174" customWidth="1"/>
    <col min="1329" max="1329" width="7.44140625" style="174" customWidth="1"/>
    <col min="1330" max="1330" width="10.5546875" style="174" customWidth="1"/>
    <col min="1331" max="1331" width="7.44140625" style="174" customWidth="1"/>
    <col min="1332" max="1332" width="10.5546875" style="174" customWidth="1"/>
    <col min="1333" max="1333" width="7.44140625" style="174" customWidth="1"/>
    <col min="1334" max="1334" width="10.5546875" style="174" customWidth="1"/>
    <col min="1335" max="1335" width="7.44140625" style="174" customWidth="1"/>
    <col min="1336" max="1336" width="10.5546875" style="174" customWidth="1"/>
    <col min="1337" max="1337" width="7.44140625" style="174" customWidth="1"/>
    <col min="1338" max="1338" width="10.5546875" style="174" customWidth="1"/>
    <col min="1339" max="1339" width="7.44140625" style="174" customWidth="1"/>
    <col min="1340" max="1340" width="10.5546875" style="174" customWidth="1"/>
    <col min="1341" max="1341" width="7.44140625" style="174" customWidth="1"/>
    <col min="1342" max="1342" width="9.44140625" style="174" customWidth="1"/>
    <col min="1343" max="1343" width="8.88671875" style="174" customWidth="1"/>
    <col min="1344" max="1345" width="12.109375" style="174" customWidth="1"/>
    <col min="1346" max="1346" width="6.109375" style="174" bestFit="1" customWidth="1"/>
    <col min="1347" max="1347" width="9.77734375" style="174"/>
    <col min="1348" max="1349" width="10.77734375" style="174" customWidth="1"/>
    <col min="1350" max="1352" width="9.77734375" style="174"/>
    <col min="1353" max="1353" width="11.77734375" style="174" customWidth="1"/>
    <col min="1354" max="1354" width="12.77734375" style="174" customWidth="1"/>
    <col min="1355" max="1536" width="9.77734375" style="174"/>
    <col min="1537" max="1537" width="20.21875" style="174" bestFit="1" customWidth="1"/>
    <col min="1538" max="1538" width="9.21875" style="174" customWidth="1"/>
    <col min="1539" max="1539" width="7.109375" style="174" customWidth="1"/>
    <col min="1540" max="1540" width="7.88671875" style="174" customWidth="1"/>
    <col min="1541" max="1541" width="7.6640625" style="174" customWidth="1"/>
    <col min="1542" max="1542" width="8.77734375" style="174" customWidth="1"/>
    <col min="1543" max="1543" width="7.77734375" style="174" customWidth="1"/>
    <col min="1544" max="1544" width="8.77734375" style="174" customWidth="1"/>
    <col min="1545" max="1545" width="7.77734375" style="174" customWidth="1"/>
    <col min="1546" max="1546" width="8.77734375" style="174" customWidth="1"/>
    <col min="1547" max="1547" width="7.77734375" style="174" customWidth="1"/>
    <col min="1548" max="1548" width="9" style="174" customWidth="1"/>
    <col min="1549" max="1549" width="7.21875" style="174" customWidth="1"/>
    <col min="1550" max="1550" width="8.6640625" style="174" customWidth="1"/>
    <col min="1551" max="1551" width="7.33203125" style="174" customWidth="1"/>
    <col min="1552" max="1552" width="8.6640625" style="174" customWidth="1"/>
    <col min="1553" max="1553" width="7.33203125" style="174" customWidth="1"/>
    <col min="1554" max="1554" width="8.77734375" style="174" customWidth="1"/>
    <col min="1555" max="1555" width="7.33203125" style="174" customWidth="1"/>
    <col min="1556" max="1556" width="9" style="174" customWidth="1"/>
    <col min="1557" max="1558" width="8.5546875" style="174" customWidth="1"/>
    <col min="1559" max="1559" width="7.88671875" style="174" customWidth="1"/>
    <col min="1560" max="1560" width="9.109375" style="174" customWidth="1"/>
    <col min="1561" max="1561" width="6.77734375" style="174" customWidth="1"/>
    <col min="1562" max="1562" width="8.33203125" style="174" customWidth="1"/>
    <col min="1563" max="1563" width="8.109375" style="174" bestFit="1" customWidth="1"/>
    <col min="1564" max="1564" width="8" style="174" bestFit="1" customWidth="1"/>
    <col min="1565" max="1565" width="7.6640625" style="174" customWidth="1"/>
    <col min="1566" max="1567" width="6.88671875" style="174" customWidth="1"/>
    <col min="1568" max="1568" width="10.21875" style="174" customWidth="1"/>
    <col min="1569" max="1569" width="6.88671875" style="174" customWidth="1"/>
    <col min="1570" max="1570" width="8.77734375" style="174" customWidth="1"/>
    <col min="1571" max="1571" width="7.77734375" style="174" customWidth="1"/>
    <col min="1572" max="1572" width="7.5546875" style="174" customWidth="1"/>
    <col min="1573" max="1573" width="6.88671875" style="174" customWidth="1"/>
    <col min="1574" max="1574" width="9.77734375" style="174" customWidth="1"/>
    <col min="1575" max="1575" width="7.44140625" style="174" bestFit="1" customWidth="1"/>
    <col min="1576" max="1576" width="9.44140625" style="174" customWidth="1"/>
    <col min="1577" max="1577" width="9.21875" style="174" customWidth="1"/>
    <col min="1578" max="1578" width="10.77734375" style="174" customWidth="1"/>
    <col min="1579" max="1579" width="7.44140625" style="174" customWidth="1"/>
    <col min="1580" max="1580" width="8.6640625" style="174" customWidth="1"/>
    <col min="1581" max="1581" width="7.44140625" style="174" customWidth="1"/>
    <col min="1582" max="1582" width="10.33203125" style="174" customWidth="1"/>
    <col min="1583" max="1583" width="8.6640625" style="174" customWidth="1"/>
    <col min="1584" max="1584" width="10.5546875" style="174" customWidth="1"/>
    <col min="1585" max="1585" width="7.44140625" style="174" customWidth="1"/>
    <col min="1586" max="1586" width="10.5546875" style="174" customWidth="1"/>
    <col min="1587" max="1587" width="7.44140625" style="174" customWidth="1"/>
    <col min="1588" max="1588" width="10.5546875" style="174" customWidth="1"/>
    <col min="1589" max="1589" width="7.44140625" style="174" customWidth="1"/>
    <col min="1590" max="1590" width="10.5546875" style="174" customWidth="1"/>
    <col min="1591" max="1591" width="7.44140625" style="174" customWidth="1"/>
    <col min="1592" max="1592" width="10.5546875" style="174" customWidth="1"/>
    <col min="1593" max="1593" width="7.44140625" style="174" customWidth="1"/>
    <col min="1594" max="1594" width="10.5546875" style="174" customWidth="1"/>
    <col min="1595" max="1595" width="7.44140625" style="174" customWidth="1"/>
    <col min="1596" max="1596" width="10.5546875" style="174" customWidth="1"/>
    <col min="1597" max="1597" width="7.44140625" style="174" customWidth="1"/>
    <col min="1598" max="1598" width="9.44140625" style="174" customWidth="1"/>
    <col min="1599" max="1599" width="8.88671875" style="174" customWidth="1"/>
    <col min="1600" max="1601" width="12.109375" style="174" customWidth="1"/>
    <col min="1602" max="1602" width="6.109375" style="174" bestFit="1" customWidth="1"/>
    <col min="1603" max="1603" width="9.77734375" style="174"/>
    <col min="1604" max="1605" width="10.77734375" style="174" customWidth="1"/>
    <col min="1606" max="1608" width="9.77734375" style="174"/>
    <col min="1609" max="1609" width="11.77734375" style="174" customWidth="1"/>
    <col min="1610" max="1610" width="12.77734375" style="174" customWidth="1"/>
    <col min="1611" max="1792" width="9.77734375" style="174"/>
    <col min="1793" max="1793" width="20.21875" style="174" bestFit="1" customWidth="1"/>
    <col min="1794" max="1794" width="9.21875" style="174" customWidth="1"/>
    <col min="1795" max="1795" width="7.109375" style="174" customWidth="1"/>
    <col min="1796" max="1796" width="7.88671875" style="174" customWidth="1"/>
    <col min="1797" max="1797" width="7.6640625" style="174" customWidth="1"/>
    <col min="1798" max="1798" width="8.77734375" style="174" customWidth="1"/>
    <col min="1799" max="1799" width="7.77734375" style="174" customWidth="1"/>
    <col min="1800" max="1800" width="8.77734375" style="174" customWidth="1"/>
    <col min="1801" max="1801" width="7.77734375" style="174" customWidth="1"/>
    <col min="1802" max="1802" width="8.77734375" style="174" customWidth="1"/>
    <col min="1803" max="1803" width="7.77734375" style="174" customWidth="1"/>
    <col min="1804" max="1804" width="9" style="174" customWidth="1"/>
    <col min="1805" max="1805" width="7.21875" style="174" customWidth="1"/>
    <col min="1806" max="1806" width="8.6640625" style="174" customWidth="1"/>
    <col min="1807" max="1807" width="7.33203125" style="174" customWidth="1"/>
    <col min="1808" max="1808" width="8.6640625" style="174" customWidth="1"/>
    <col min="1809" max="1809" width="7.33203125" style="174" customWidth="1"/>
    <col min="1810" max="1810" width="8.77734375" style="174" customWidth="1"/>
    <col min="1811" max="1811" width="7.33203125" style="174" customWidth="1"/>
    <col min="1812" max="1812" width="9" style="174" customWidth="1"/>
    <col min="1813" max="1814" width="8.5546875" style="174" customWidth="1"/>
    <col min="1815" max="1815" width="7.88671875" style="174" customWidth="1"/>
    <col min="1816" max="1816" width="9.109375" style="174" customWidth="1"/>
    <col min="1817" max="1817" width="6.77734375" style="174" customWidth="1"/>
    <col min="1818" max="1818" width="8.33203125" style="174" customWidth="1"/>
    <col min="1819" max="1819" width="8.109375" style="174" bestFit="1" customWidth="1"/>
    <col min="1820" max="1820" width="8" style="174" bestFit="1" customWidth="1"/>
    <col min="1821" max="1821" width="7.6640625" style="174" customWidth="1"/>
    <col min="1822" max="1823" width="6.88671875" style="174" customWidth="1"/>
    <col min="1824" max="1824" width="10.21875" style="174" customWidth="1"/>
    <col min="1825" max="1825" width="6.88671875" style="174" customWidth="1"/>
    <col min="1826" max="1826" width="8.77734375" style="174" customWidth="1"/>
    <col min="1827" max="1827" width="7.77734375" style="174" customWidth="1"/>
    <col min="1828" max="1828" width="7.5546875" style="174" customWidth="1"/>
    <col min="1829" max="1829" width="6.88671875" style="174" customWidth="1"/>
    <col min="1830" max="1830" width="9.77734375" style="174" customWidth="1"/>
    <col min="1831" max="1831" width="7.44140625" style="174" bestFit="1" customWidth="1"/>
    <col min="1832" max="1832" width="9.44140625" style="174" customWidth="1"/>
    <col min="1833" max="1833" width="9.21875" style="174" customWidth="1"/>
    <col min="1834" max="1834" width="10.77734375" style="174" customWidth="1"/>
    <col min="1835" max="1835" width="7.44140625" style="174" customWidth="1"/>
    <col min="1836" max="1836" width="8.6640625" style="174" customWidth="1"/>
    <col min="1837" max="1837" width="7.44140625" style="174" customWidth="1"/>
    <col min="1838" max="1838" width="10.33203125" style="174" customWidth="1"/>
    <col min="1839" max="1839" width="8.6640625" style="174" customWidth="1"/>
    <col min="1840" max="1840" width="10.5546875" style="174" customWidth="1"/>
    <col min="1841" max="1841" width="7.44140625" style="174" customWidth="1"/>
    <col min="1842" max="1842" width="10.5546875" style="174" customWidth="1"/>
    <col min="1843" max="1843" width="7.44140625" style="174" customWidth="1"/>
    <col min="1844" max="1844" width="10.5546875" style="174" customWidth="1"/>
    <col min="1845" max="1845" width="7.44140625" style="174" customWidth="1"/>
    <col min="1846" max="1846" width="10.5546875" style="174" customWidth="1"/>
    <col min="1847" max="1847" width="7.44140625" style="174" customWidth="1"/>
    <col min="1848" max="1848" width="10.5546875" style="174" customWidth="1"/>
    <col min="1849" max="1849" width="7.44140625" style="174" customWidth="1"/>
    <col min="1850" max="1850" width="10.5546875" style="174" customWidth="1"/>
    <col min="1851" max="1851" width="7.44140625" style="174" customWidth="1"/>
    <col min="1852" max="1852" width="10.5546875" style="174" customWidth="1"/>
    <col min="1853" max="1853" width="7.44140625" style="174" customWidth="1"/>
    <col min="1854" max="1854" width="9.44140625" style="174" customWidth="1"/>
    <col min="1855" max="1855" width="8.88671875" style="174" customWidth="1"/>
    <col min="1856" max="1857" width="12.109375" style="174" customWidth="1"/>
    <col min="1858" max="1858" width="6.109375" style="174" bestFit="1" customWidth="1"/>
    <col min="1859" max="1859" width="9.77734375" style="174"/>
    <col min="1860" max="1861" width="10.77734375" style="174" customWidth="1"/>
    <col min="1862" max="1864" width="9.77734375" style="174"/>
    <col min="1865" max="1865" width="11.77734375" style="174" customWidth="1"/>
    <col min="1866" max="1866" width="12.77734375" style="174" customWidth="1"/>
    <col min="1867" max="2048" width="9.77734375" style="174"/>
    <col min="2049" max="2049" width="20.21875" style="174" bestFit="1" customWidth="1"/>
    <col min="2050" max="2050" width="9.21875" style="174" customWidth="1"/>
    <col min="2051" max="2051" width="7.109375" style="174" customWidth="1"/>
    <col min="2052" max="2052" width="7.88671875" style="174" customWidth="1"/>
    <col min="2053" max="2053" width="7.6640625" style="174" customWidth="1"/>
    <col min="2054" max="2054" width="8.77734375" style="174" customWidth="1"/>
    <col min="2055" max="2055" width="7.77734375" style="174" customWidth="1"/>
    <col min="2056" max="2056" width="8.77734375" style="174" customWidth="1"/>
    <col min="2057" max="2057" width="7.77734375" style="174" customWidth="1"/>
    <col min="2058" max="2058" width="8.77734375" style="174" customWidth="1"/>
    <col min="2059" max="2059" width="7.77734375" style="174" customWidth="1"/>
    <col min="2060" max="2060" width="9" style="174" customWidth="1"/>
    <col min="2061" max="2061" width="7.21875" style="174" customWidth="1"/>
    <col min="2062" max="2062" width="8.6640625" style="174" customWidth="1"/>
    <col min="2063" max="2063" width="7.33203125" style="174" customWidth="1"/>
    <col min="2064" max="2064" width="8.6640625" style="174" customWidth="1"/>
    <col min="2065" max="2065" width="7.33203125" style="174" customWidth="1"/>
    <col min="2066" max="2066" width="8.77734375" style="174" customWidth="1"/>
    <col min="2067" max="2067" width="7.33203125" style="174" customWidth="1"/>
    <col min="2068" max="2068" width="9" style="174" customWidth="1"/>
    <col min="2069" max="2070" width="8.5546875" style="174" customWidth="1"/>
    <col min="2071" max="2071" width="7.88671875" style="174" customWidth="1"/>
    <col min="2072" max="2072" width="9.109375" style="174" customWidth="1"/>
    <col min="2073" max="2073" width="6.77734375" style="174" customWidth="1"/>
    <col min="2074" max="2074" width="8.33203125" style="174" customWidth="1"/>
    <col min="2075" max="2075" width="8.109375" style="174" bestFit="1" customWidth="1"/>
    <col min="2076" max="2076" width="8" style="174" bestFit="1" customWidth="1"/>
    <col min="2077" max="2077" width="7.6640625" style="174" customWidth="1"/>
    <col min="2078" max="2079" width="6.88671875" style="174" customWidth="1"/>
    <col min="2080" max="2080" width="10.21875" style="174" customWidth="1"/>
    <col min="2081" max="2081" width="6.88671875" style="174" customWidth="1"/>
    <col min="2082" max="2082" width="8.77734375" style="174" customWidth="1"/>
    <col min="2083" max="2083" width="7.77734375" style="174" customWidth="1"/>
    <col min="2084" max="2084" width="7.5546875" style="174" customWidth="1"/>
    <col min="2085" max="2085" width="6.88671875" style="174" customWidth="1"/>
    <col min="2086" max="2086" width="9.77734375" style="174" customWidth="1"/>
    <col min="2087" max="2087" width="7.44140625" style="174" bestFit="1" customWidth="1"/>
    <col min="2088" max="2088" width="9.44140625" style="174" customWidth="1"/>
    <col min="2089" max="2089" width="9.21875" style="174" customWidth="1"/>
    <col min="2090" max="2090" width="10.77734375" style="174" customWidth="1"/>
    <col min="2091" max="2091" width="7.44140625" style="174" customWidth="1"/>
    <col min="2092" max="2092" width="8.6640625" style="174" customWidth="1"/>
    <col min="2093" max="2093" width="7.44140625" style="174" customWidth="1"/>
    <col min="2094" max="2094" width="10.33203125" style="174" customWidth="1"/>
    <col min="2095" max="2095" width="8.6640625" style="174" customWidth="1"/>
    <col min="2096" max="2096" width="10.5546875" style="174" customWidth="1"/>
    <col min="2097" max="2097" width="7.44140625" style="174" customWidth="1"/>
    <col min="2098" max="2098" width="10.5546875" style="174" customWidth="1"/>
    <col min="2099" max="2099" width="7.44140625" style="174" customWidth="1"/>
    <col min="2100" max="2100" width="10.5546875" style="174" customWidth="1"/>
    <col min="2101" max="2101" width="7.44140625" style="174" customWidth="1"/>
    <col min="2102" max="2102" width="10.5546875" style="174" customWidth="1"/>
    <col min="2103" max="2103" width="7.44140625" style="174" customWidth="1"/>
    <col min="2104" max="2104" width="10.5546875" style="174" customWidth="1"/>
    <col min="2105" max="2105" width="7.44140625" style="174" customWidth="1"/>
    <col min="2106" max="2106" width="10.5546875" style="174" customWidth="1"/>
    <col min="2107" max="2107" width="7.44140625" style="174" customWidth="1"/>
    <col min="2108" max="2108" width="10.5546875" style="174" customWidth="1"/>
    <col min="2109" max="2109" width="7.44140625" style="174" customWidth="1"/>
    <col min="2110" max="2110" width="9.44140625" style="174" customWidth="1"/>
    <col min="2111" max="2111" width="8.88671875" style="174" customWidth="1"/>
    <col min="2112" max="2113" width="12.109375" style="174" customWidth="1"/>
    <col min="2114" max="2114" width="6.109375" style="174" bestFit="1" customWidth="1"/>
    <col min="2115" max="2115" width="9.77734375" style="174"/>
    <col min="2116" max="2117" width="10.77734375" style="174" customWidth="1"/>
    <col min="2118" max="2120" width="9.77734375" style="174"/>
    <col min="2121" max="2121" width="11.77734375" style="174" customWidth="1"/>
    <col min="2122" max="2122" width="12.77734375" style="174" customWidth="1"/>
    <col min="2123" max="2304" width="9.77734375" style="174"/>
    <col min="2305" max="2305" width="20.21875" style="174" bestFit="1" customWidth="1"/>
    <col min="2306" max="2306" width="9.21875" style="174" customWidth="1"/>
    <col min="2307" max="2307" width="7.109375" style="174" customWidth="1"/>
    <col min="2308" max="2308" width="7.88671875" style="174" customWidth="1"/>
    <col min="2309" max="2309" width="7.6640625" style="174" customWidth="1"/>
    <col min="2310" max="2310" width="8.77734375" style="174" customWidth="1"/>
    <col min="2311" max="2311" width="7.77734375" style="174" customWidth="1"/>
    <col min="2312" max="2312" width="8.77734375" style="174" customWidth="1"/>
    <col min="2313" max="2313" width="7.77734375" style="174" customWidth="1"/>
    <col min="2314" max="2314" width="8.77734375" style="174" customWidth="1"/>
    <col min="2315" max="2315" width="7.77734375" style="174" customWidth="1"/>
    <col min="2316" max="2316" width="9" style="174" customWidth="1"/>
    <col min="2317" max="2317" width="7.21875" style="174" customWidth="1"/>
    <col min="2318" max="2318" width="8.6640625" style="174" customWidth="1"/>
    <col min="2319" max="2319" width="7.33203125" style="174" customWidth="1"/>
    <col min="2320" max="2320" width="8.6640625" style="174" customWidth="1"/>
    <col min="2321" max="2321" width="7.33203125" style="174" customWidth="1"/>
    <col min="2322" max="2322" width="8.77734375" style="174" customWidth="1"/>
    <col min="2323" max="2323" width="7.33203125" style="174" customWidth="1"/>
    <col min="2324" max="2324" width="9" style="174" customWidth="1"/>
    <col min="2325" max="2326" width="8.5546875" style="174" customWidth="1"/>
    <col min="2327" max="2327" width="7.88671875" style="174" customWidth="1"/>
    <col min="2328" max="2328" width="9.109375" style="174" customWidth="1"/>
    <col min="2329" max="2329" width="6.77734375" style="174" customWidth="1"/>
    <col min="2330" max="2330" width="8.33203125" style="174" customWidth="1"/>
    <col min="2331" max="2331" width="8.109375" style="174" bestFit="1" customWidth="1"/>
    <col min="2332" max="2332" width="8" style="174" bestFit="1" customWidth="1"/>
    <col min="2333" max="2333" width="7.6640625" style="174" customWidth="1"/>
    <col min="2334" max="2335" width="6.88671875" style="174" customWidth="1"/>
    <col min="2336" max="2336" width="10.21875" style="174" customWidth="1"/>
    <col min="2337" max="2337" width="6.88671875" style="174" customWidth="1"/>
    <col min="2338" max="2338" width="8.77734375" style="174" customWidth="1"/>
    <col min="2339" max="2339" width="7.77734375" style="174" customWidth="1"/>
    <col min="2340" max="2340" width="7.5546875" style="174" customWidth="1"/>
    <col min="2341" max="2341" width="6.88671875" style="174" customWidth="1"/>
    <col min="2342" max="2342" width="9.77734375" style="174" customWidth="1"/>
    <col min="2343" max="2343" width="7.44140625" style="174" bestFit="1" customWidth="1"/>
    <col min="2344" max="2344" width="9.44140625" style="174" customWidth="1"/>
    <col min="2345" max="2345" width="9.21875" style="174" customWidth="1"/>
    <col min="2346" max="2346" width="10.77734375" style="174" customWidth="1"/>
    <col min="2347" max="2347" width="7.44140625" style="174" customWidth="1"/>
    <col min="2348" max="2348" width="8.6640625" style="174" customWidth="1"/>
    <col min="2349" max="2349" width="7.44140625" style="174" customWidth="1"/>
    <col min="2350" max="2350" width="10.33203125" style="174" customWidth="1"/>
    <col min="2351" max="2351" width="8.6640625" style="174" customWidth="1"/>
    <col min="2352" max="2352" width="10.5546875" style="174" customWidth="1"/>
    <col min="2353" max="2353" width="7.44140625" style="174" customWidth="1"/>
    <col min="2354" max="2354" width="10.5546875" style="174" customWidth="1"/>
    <col min="2355" max="2355" width="7.44140625" style="174" customWidth="1"/>
    <col min="2356" max="2356" width="10.5546875" style="174" customWidth="1"/>
    <col min="2357" max="2357" width="7.44140625" style="174" customWidth="1"/>
    <col min="2358" max="2358" width="10.5546875" style="174" customWidth="1"/>
    <col min="2359" max="2359" width="7.44140625" style="174" customWidth="1"/>
    <col min="2360" max="2360" width="10.5546875" style="174" customWidth="1"/>
    <col min="2361" max="2361" width="7.44140625" style="174" customWidth="1"/>
    <col min="2362" max="2362" width="10.5546875" style="174" customWidth="1"/>
    <col min="2363" max="2363" width="7.44140625" style="174" customWidth="1"/>
    <col min="2364" max="2364" width="10.5546875" style="174" customWidth="1"/>
    <col min="2365" max="2365" width="7.44140625" style="174" customWidth="1"/>
    <col min="2366" max="2366" width="9.44140625" style="174" customWidth="1"/>
    <col min="2367" max="2367" width="8.88671875" style="174" customWidth="1"/>
    <col min="2368" max="2369" width="12.109375" style="174" customWidth="1"/>
    <col min="2370" max="2370" width="6.109375" style="174" bestFit="1" customWidth="1"/>
    <col min="2371" max="2371" width="9.77734375" style="174"/>
    <col min="2372" max="2373" width="10.77734375" style="174" customWidth="1"/>
    <col min="2374" max="2376" width="9.77734375" style="174"/>
    <col min="2377" max="2377" width="11.77734375" style="174" customWidth="1"/>
    <col min="2378" max="2378" width="12.77734375" style="174" customWidth="1"/>
    <col min="2379" max="2560" width="9.77734375" style="174"/>
    <col min="2561" max="2561" width="20.21875" style="174" bestFit="1" customWidth="1"/>
    <col min="2562" max="2562" width="9.21875" style="174" customWidth="1"/>
    <col min="2563" max="2563" width="7.109375" style="174" customWidth="1"/>
    <col min="2564" max="2564" width="7.88671875" style="174" customWidth="1"/>
    <col min="2565" max="2565" width="7.6640625" style="174" customWidth="1"/>
    <col min="2566" max="2566" width="8.77734375" style="174" customWidth="1"/>
    <col min="2567" max="2567" width="7.77734375" style="174" customWidth="1"/>
    <col min="2568" max="2568" width="8.77734375" style="174" customWidth="1"/>
    <col min="2569" max="2569" width="7.77734375" style="174" customWidth="1"/>
    <col min="2570" max="2570" width="8.77734375" style="174" customWidth="1"/>
    <col min="2571" max="2571" width="7.77734375" style="174" customWidth="1"/>
    <col min="2572" max="2572" width="9" style="174" customWidth="1"/>
    <col min="2573" max="2573" width="7.21875" style="174" customWidth="1"/>
    <col min="2574" max="2574" width="8.6640625" style="174" customWidth="1"/>
    <col min="2575" max="2575" width="7.33203125" style="174" customWidth="1"/>
    <col min="2576" max="2576" width="8.6640625" style="174" customWidth="1"/>
    <col min="2577" max="2577" width="7.33203125" style="174" customWidth="1"/>
    <col min="2578" max="2578" width="8.77734375" style="174" customWidth="1"/>
    <col min="2579" max="2579" width="7.33203125" style="174" customWidth="1"/>
    <col min="2580" max="2580" width="9" style="174" customWidth="1"/>
    <col min="2581" max="2582" width="8.5546875" style="174" customWidth="1"/>
    <col min="2583" max="2583" width="7.88671875" style="174" customWidth="1"/>
    <col min="2584" max="2584" width="9.109375" style="174" customWidth="1"/>
    <col min="2585" max="2585" width="6.77734375" style="174" customWidth="1"/>
    <col min="2586" max="2586" width="8.33203125" style="174" customWidth="1"/>
    <col min="2587" max="2587" width="8.109375" style="174" bestFit="1" customWidth="1"/>
    <col min="2588" max="2588" width="8" style="174" bestFit="1" customWidth="1"/>
    <col min="2589" max="2589" width="7.6640625" style="174" customWidth="1"/>
    <col min="2590" max="2591" width="6.88671875" style="174" customWidth="1"/>
    <col min="2592" max="2592" width="10.21875" style="174" customWidth="1"/>
    <col min="2593" max="2593" width="6.88671875" style="174" customWidth="1"/>
    <col min="2594" max="2594" width="8.77734375" style="174" customWidth="1"/>
    <col min="2595" max="2595" width="7.77734375" style="174" customWidth="1"/>
    <col min="2596" max="2596" width="7.5546875" style="174" customWidth="1"/>
    <col min="2597" max="2597" width="6.88671875" style="174" customWidth="1"/>
    <col min="2598" max="2598" width="9.77734375" style="174" customWidth="1"/>
    <col min="2599" max="2599" width="7.44140625" style="174" bestFit="1" customWidth="1"/>
    <col min="2600" max="2600" width="9.44140625" style="174" customWidth="1"/>
    <col min="2601" max="2601" width="9.21875" style="174" customWidth="1"/>
    <col min="2602" max="2602" width="10.77734375" style="174" customWidth="1"/>
    <col min="2603" max="2603" width="7.44140625" style="174" customWidth="1"/>
    <col min="2604" max="2604" width="8.6640625" style="174" customWidth="1"/>
    <col min="2605" max="2605" width="7.44140625" style="174" customWidth="1"/>
    <col min="2606" max="2606" width="10.33203125" style="174" customWidth="1"/>
    <col min="2607" max="2607" width="8.6640625" style="174" customWidth="1"/>
    <col min="2608" max="2608" width="10.5546875" style="174" customWidth="1"/>
    <col min="2609" max="2609" width="7.44140625" style="174" customWidth="1"/>
    <col min="2610" max="2610" width="10.5546875" style="174" customWidth="1"/>
    <col min="2611" max="2611" width="7.44140625" style="174" customWidth="1"/>
    <col min="2612" max="2612" width="10.5546875" style="174" customWidth="1"/>
    <col min="2613" max="2613" width="7.44140625" style="174" customWidth="1"/>
    <col min="2614" max="2614" width="10.5546875" style="174" customWidth="1"/>
    <col min="2615" max="2615" width="7.44140625" style="174" customWidth="1"/>
    <col min="2616" max="2616" width="10.5546875" style="174" customWidth="1"/>
    <col min="2617" max="2617" width="7.44140625" style="174" customWidth="1"/>
    <col min="2618" max="2618" width="10.5546875" style="174" customWidth="1"/>
    <col min="2619" max="2619" width="7.44140625" style="174" customWidth="1"/>
    <col min="2620" max="2620" width="10.5546875" style="174" customWidth="1"/>
    <col min="2621" max="2621" width="7.44140625" style="174" customWidth="1"/>
    <col min="2622" max="2622" width="9.44140625" style="174" customWidth="1"/>
    <col min="2623" max="2623" width="8.88671875" style="174" customWidth="1"/>
    <col min="2624" max="2625" width="12.109375" style="174" customWidth="1"/>
    <col min="2626" max="2626" width="6.109375" style="174" bestFit="1" customWidth="1"/>
    <col min="2627" max="2627" width="9.77734375" style="174"/>
    <col min="2628" max="2629" width="10.77734375" style="174" customWidth="1"/>
    <col min="2630" max="2632" width="9.77734375" style="174"/>
    <col min="2633" max="2633" width="11.77734375" style="174" customWidth="1"/>
    <col min="2634" max="2634" width="12.77734375" style="174" customWidth="1"/>
    <col min="2635" max="2816" width="9.77734375" style="174"/>
    <col min="2817" max="2817" width="20.21875" style="174" bestFit="1" customWidth="1"/>
    <col min="2818" max="2818" width="9.21875" style="174" customWidth="1"/>
    <col min="2819" max="2819" width="7.109375" style="174" customWidth="1"/>
    <col min="2820" max="2820" width="7.88671875" style="174" customWidth="1"/>
    <col min="2821" max="2821" width="7.6640625" style="174" customWidth="1"/>
    <col min="2822" max="2822" width="8.77734375" style="174" customWidth="1"/>
    <col min="2823" max="2823" width="7.77734375" style="174" customWidth="1"/>
    <col min="2824" max="2824" width="8.77734375" style="174" customWidth="1"/>
    <col min="2825" max="2825" width="7.77734375" style="174" customWidth="1"/>
    <col min="2826" max="2826" width="8.77734375" style="174" customWidth="1"/>
    <col min="2827" max="2827" width="7.77734375" style="174" customWidth="1"/>
    <col min="2828" max="2828" width="9" style="174" customWidth="1"/>
    <col min="2829" max="2829" width="7.21875" style="174" customWidth="1"/>
    <col min="2830" max="2830" width="8.6640625" style="174" customWidth="1"/>
    <col min="2831" max="2831" width="7.33203125" style="174" customWidth="1"/>
    <col min="2832" max="2832" width="8.6640625" style="174" customWidth="1"/>
    <col min="2833" max="2833" width="7.33203125" style="174" customWidth="1"/>
    <col min="2834" max="2834" width="8.77734375" style="174" customWidth="1"/>
    <col min="2835" max="2835" width="7.33203125" style="174" customWidth="1"/>
    <col min="2836" max="2836" width="9" style="174" customWidth="1"/>
    <col min="2837" max="2838" width="8.5546875" style="174" customWidth="1"/>
    <col min="2839" max="2839" width="7.88671875" style="174" customWidth="1"/>
    <col min="2840" max="2840" width="9.109375" style="174" customWidth="1"/>
    <col min="2841" max="2841" width="6.77734375" style="174" customWidth="1"/>
    <col min="2842" max="2842" width="8.33203125" style="174" customWidth="1"/>
    <col min="2843" max="2843" width="8.109375" style="174" bestFit="1" customWidth="1"/>
    <col min="2844" max="2844" width="8" style="174" bestFit="1" customWidth="1"/>
    <col min="2845" max="2845" width="7.6640625" style="174" customWidth="1"/>
    <col min="2846" max="2847" width="6.88671875" style="174" customWidth="1"/>
    <col min="2848" max="2848" width="10.21875" style="174" customWidth="1"/>
    <col min="2849" max="2849" width="6.88671875" style="174" customWidth="1"/>
    <col min="2850" max="2850" width="8.77734375" style="174" customWidth="1"/>
    <col min="2851" max="2851" width="7.77734375" style="174" customWidth="1"/>
    <col min="2852" max="2852" width="7.5546875" style="174" customWidth="1"/>
    <col min="2853" max="2853" width="6.88671875" style="174" customWidth="1"/>
    <col min="2854" max="2854" width="9.77734375" style="174" customWidth="1"/>
    <col min="2855" max="2855" width="7.44140625" style="174" bestFit="1" customWidth="1"/>
    <col min="2856" max="2856" width="9.44140625" style="174" customWidth="1"/>
    <col min="2857" max="2857" width="9.21875" style="174" customWidth="1"/>
    <col min="2858" max="2858" width="10.77734375" style="174" customWidth="1"/>
    <col min="2859" max="2859" width="7.44140625" style="174" customWidth="1"/>
    <col min="2860" max="2860" width="8.6640625" style="174" customWidth="1"/>
    <col min="2861" max="2861" width="7.44140625" style="174" customWidth="1"/>
    <col min="2862" max="2862" width="10.33203125" style="174" customWidth="1"/>
    <col min="2863" max="2863" width="8.6640625" style="174" customWidth="1"/>
    <col min="2864" max="2864" width="10.5546875" style="174" customWidth="1"/>
    <col min="2865" max="2865" width="7.44140625" style="174" customWidth="1"/>
    <col min="2866" max="2866" width="10.5546875" style="174" customWidth="1"/>
    <col min="2867" max="2867" width="7.44140625" style="174" customWidth="1"/>
    <col min="2868" max="2868" width="10.5546875" style="174" customWidth="1"/>
    <col min="2869" max="2869" width="7.44140625" style="174" customWidth="1"/>
    <col min="2870" max="2870" width="10.5546875" style="174" customWidth="1"/>
    <col min="2871" max="2871" width="7.44140625" style="174" customWidth="1"/>
    <col min="2872" max="2872" width="10.5546875" style="174" customWidth="1"/>
    <col min="2873" max="2873" width="7.44140625" style="174" customWidth="1"/>
    <col min="2874" max="2874" width="10.5546875" style="174" customWidth="1"/>
    <col min="2875" max="2875" width="7.44140625" style="174" customWidth="1"/>
    <col min="2876" max="2876" width="10.5546875" style="174" customWidth="1"/>
    <col min="2877" max="2877" width="7.44140625" style="174" customWidth="1"/>
    <col min="2878" max="2878" width="9.44140625" style="174" customWidth="1"/>
    <col min="2879" max="2879" width="8.88671875" style="174" customWidth="1"/>
    <col min="2880" max="2881" width="12.109375" style="174" customWidth="1"/>
    <col min="2882" max="2882" width="6.109375" style="174" bestFit="1" customWidth="1"/>
    <col min="2883" max="2883" width="9.77734375" style="174"/>
    <col min="2884" max="2885" width="10.77734375" style="174" customWidth="1"/>
    <col min="2886" max="2888" width="9.77734375" style="174"/>
    <col min="2889" max="2889" width="11.77734375" style="174" customWidth="1"/>
    <col min="2890" max="2890" width="12.77734375" style="174" customWidth="1"/>
    <col min="2891" max="3072" width="9.77734375" style="174"/>
    <col min="3073" max="3073" width="20.21875" style="174" bestFit="1" customWidth="1"/>
    <col min="3074" max="3074" width="9.21875" style="174" customWidth="1"/>
    <col min="3075" max="3075" width="7.109375" style="174" customWidth="1"/>
    <col min="3076" max="3076" width="7.88671875" style="174" customWidth="1"/>
    <col min="3077" max="3077" width="7.6640625" style="174" customWidth="1"/>
    <col min="3078" max="3078" width="8.77734375" style="174" customWidth="1"/>
    <col min="3079" max="3079" width="7.77734375" style="174" customWidth="1"/>
    <col min="3080" max="3080" width="8.77734375" style="174" customWidth="1"/>
    <col min="3081" max="3081" width="7.77734375" style="174" customWidth="1"/>
    <col min="3082" max="3082" width="8.77734375" style="174" customWidth="1"/>
    <col min="3083" max="3083" width="7.77734375" style="174" customWidth="1"/>
    <col min="3084" max="3084" width="9" style="174" customWidth="1"/>
    <col min="3085" max="3085" width="7.21875" style="174" customWidth="1"/>
    <col min="3086" max="3086" width="8.6640625" style="174" customWidth="1"/>
    <col min="3087" max="3087" width="7.33203125" style="174" customWidth="1"/>
    <col min="3088" max="3088" width="8.6640625" style="174" customWidth="1"/>
    <col min="3089" max="3089" width="7.33203125" style="174" customWidth="1"/>
    <col min="3090" max="3090" width="8.77734375" style="174" customWidth="1"/>
    <col min="3091" max="3091" width="7.33203125" style="174" customWidth="1"/>
    <col min="3092" max="3092" width="9" style="174" customWidth="1"/>
    <col min="3093" max="3094" width="8.5546875" style="174" customWidth="1"/>
    <col min="3095" max="3095" width="7.88671875" style="174" customWidth="1"/>
    <col min="3096" max="3096" width="9.109375" style="174" customWidth="1"/>
    <col min="3097" max="3097" width="6.77734375" style="174" customWidth="1"/>
    <col min="3098" max="3098" width="8.33203125" style="174" customWidth="1"/>
    <col min="3099" max="3099" width="8.109375" style="174" bestFit="1" customWidth="1"/>
    <col min="3100" max="3100" width="8" style="174" bestFit="1" customWidth="1"/>
    <col min="3101" max="3101" width="7.6640625" style="174" customWidth="1"/>
    <col min="3102" max="3103" width="6.88671875" style="174" customWidth="1"/>
    <col min="3104" max="3104" width="10.21875" style="174" customWidth="1"/>
    <col min="3105" max="3105" width="6.88671875" style="174" customWidth="1"/>
    <col min="3106" max="3106" width="8.77734375" style="174" customWidth="1"/>
    <col min="3107" max="3107" width="7.77734375" style="174" customWidth="1"/>
    <col min="3108" max="3108" width="7.5546875" style="174" customWidth="1"/>
    <col min="3109" max="3109" width="6.88671875" style="174" customWidth="1"/>
    <col min="3110" max="3110" width="9.77734375" style="174" customWidth="1"/>
    <col min="3111" max="3111" width="7.44140625" style="174" bestFit="1" customWidth="1"/>
    <col min="3112" max="3112" width="9.44140625" style="174" customWidth="1"/>
    <col min="3113" max="3113" width="9.21875" style="174" customWidth="1"/>
    <col min="3114" max="3114" width="10.77734375" style="174" customWidth="1"/>
    <col min="3115" max="3115" width="7.44140625" style="174" customWidth="1"/>
    <col min="3116" max="3116" width="8.6640625" style="174" customWidth="1"/>
    <col min="3117" max="3117" width="7.44140625" style="174" customWidth="1"/>
    <col min="3118" max="3118" width="10.33203125" style="174" customWidth="1"/>
    <col min="3119" max="3119" width="8.6640625" style="174" customWidth="1"/>
    <col min="3120" max="3120" width="10.5546875" style="174" customWidth="1"/>
    <col min="3121" max="3121" width="7.44140625" style="174" customWidth="1"/>
    <col min="3122" max="3122" width="10.5546875" style="174" customWidth="1"/>
    <col min="3123" max="3123" width="7.44140625" style="174" customWidth="1"/>
    <col min="3124" max="3124" width="10.5546875" style="174" customWidth="1"/>
    <col min="3125" max="3125" width="7.44140625" style="174" customWidth="1"/>
    <col min="3126" max="3126" width="10.5546875" style="174" customWidth="1"/>
    <col min="3127" max="3127" width="7.44140625" style="174" customWidth="1"/>
    <col min="3128" max="3128" width="10.5546875" style="174" customWidth="1"/>
    <col min="3129" max="3129" width="7.44140625" style="174" customWidth="1"/>
    <col min="3130" max="3130" width="10.5546875" style="174" customWidth="1"/>
    <col min="3131" max="3131" width="7.44140625" style="174" customWidth="1"/>
    <col min="3132" max="3132" width="10.5546875" style="174" customWidth="1"/>
    <col min="3133" max="3133" width="7.44140625" style="174" customWidth="1"/>
    <col min="3134" max="3134" width="9.44140625" style="174" customWidth="1"/>
    <col min="3135" max="3135" width="8.88671875" style="174" customWidth="1"/>
    <col min="3136" max="3137" width="12.109375" style="174" customWidth="1"/>
    <col min="3138" max="3138" width="6.109375" style="174" bestFit="1" customWidth="1"/>
    <col min="3139" max="3139" width="9.77734375" style="174"/>
    <col min="3140" max="3141" width="10.77734375" style="174" customWidth="1"/>
    <col min="3142" max="3144" width="9.77734375" style="174"/>
    <col min="3145" max="3145" width="11.77734375" style="174" customWidth="1"/>
    <col min="3146" max="3146" width="12.77734375" style="174" customWidth="1"/>
    <col min="3147" max="3328" width="9.77734375" style="174"/>
    <col min="3329" max="3329" width="20.21875" style="174" bestFit="1" customWidth="1"/>
    <col min="3330" max="3330" width="9.21875" style="174" customWidth="1"/>
    <col min="3331" max="3331" width="7.109375" style="174" customWidth="1"/>
    <col min="3332" max="3332" width="7.88671875" style="174" customWidth="1"/>
    <col min="3333" max="3333" width="7.6640625" style="174" customWidth="1"/>
    <col min="3334" max="3334" width="8.77734375" style="174" customWidth="1"/>
    <col min="3335" max="3335" width="7.77734375" style="174" customWidth="1"/>
    <col min="3336" max="3336" width="8.77734375" style="174" customWidth="1"/>
    <col min="3337" max="3337" width="7.77734375" style="174" customWidth="1"/>
    <col min="3338" max="3338" width="8.77734375" style="174" customWidth="1"/>
    <col min="3339" max="3339" width="7.77734375" style="174" customWidth="1"/>
    <col min="3340" max="3340" width="9" style="174" customWidth="1"/>
    <col min="3341" max="3341" width="7.21875" style="174" customWidth="1"/>
    <col min="3342" max="3342" width="8.6640625" style="174" customWidth="1"/>
    <col min="3343" max="3343" width="7.33203125" style="174" customWidth="1"/>
    <col min="3344" max="3344" width="8.6640625" style="174" customWidth="1"/>
    <col min="3345" max="3345" width="7.33203125" style="174" customWidth="1"/>
    <col min="3346" max="3346" width="8.77734375" style="174" customWidth="1"/>
    <col min="3347" max="3347" width="7.33203125" style="174" customWidth="1"/>
    <col min="3348" max="3348" width="9" style="174" customWidth="1"/>
    <col min="3349" max="3350" width="8.5546875" style="174" customWidth="1"/>
    <col min="3351" max="3351" width="7.88671875" style="174" customWidth="1"/>
    <col min="3352" max="3352" width="9.109375" style="174" customWidth="1"/>
    <col min="3353" max="3353" width="6.77734375" style="174" customWidth="1"/>
    <col min="3354" max="3354" width="8.33203125" style="174" customWidth="1"/>
    <col min="3355" max="3355" width="8.109375" style="174" bestFit="1" customWidth="1"/>
    <col min="3356" max="3356" width="8" style="174" bestFit="1" customWidth="1"/>
    <col min="3357" max="3357" width="7.6640625" style="174" customWidth="1"/>
    <col min="3358" max="3359" width="6.88671875" style="174" customWidth="1"/>
    <col min="3360" max="3360" width="10.21875" style="174" customWidth="1"/>
    <col min="3361" max="3361" width="6.88671875" style="174" customWidth="1"/>
    <col min="3362" max="3362" width="8.77734375" style="174" customWidth="1"/>
    <col min="3363" max="3363" width="7.77734375" style="174" customWidth="1"/>
    <col min="3364" max="3364" width="7.5546875" style="174" customWidth="1"/>
    <col min="3365" max="3365" width="6.88671875" style="174" customWidth="1"/>
    <col min="3366" max="3366" width="9.77734375" style="174" customWidth="1"/>
    <col min="3367" max="3367" width="7.44140625" style="174" bestFit="1" customWidth="1"/>
    <col min="3368" max="3368" width="9.44140625" style="174" customWidth="1"/>
    <col min="3369" max="3369" width="9.21875" style="174" customWidth="1"/>
    <col min="3370" max="3370" width="10.77734375" style="174" customWidth="1"/>
    <col min="3371" max="3371" width="7.44140625" style="174" customWidth="1"/>
    <col min="3372" max="3372" width="8.6640625" style="174" customWidth="1"/>
    <col min="3373" max="3373" width="7.44140625" style="174" customWidth="1"/>
    <col min="3374" max="3374" width="10.33203125" style="174" customWidth="1"/>
    <col min="3375" max="3375" width="8.6640625" style="174" customWidth="1"/>
    <col min="3376" max="3376" width="10.5546875" style="174" customWidth="1"/>
    <col min="3377" max="3377" width="7.44140625" style="174" customWidth="1"/>
    <col min="3378" max="3378" width="10.5546875" style="174" customWidth="1"/>
    <col min="3379" max="3379" width="7.44140625" style="174" customWidth="1"/>
    <col min="3380" max="3380" width="10.5546875" style="174" customWidth="1"/>
    <col min="3381" max="3381" width="7.44140625" style="174" customWidth="1"/>
    <col min="3382" max="3382" width="10.5546875" style="174" customWidth="1"/>
    <col min="3383" max="3383" width="7.44140625" style="174" customWidth="1"/>
    <col min="3384" max="3384" width="10.5546875" style="174" customWidth="1"/>
    <col min="3385" max="3385" width="7.44140625" style="174" customWidth="1"/>
    <col min="3386" max="3386" width="10.5546875" style="174" customWidth="1"/>
    <col min="3387" max="3387" width="7.44140625" style="174" customWidth="1"/>
    <col min="3388" max="3388" width="10.5546875" style="174" customWidth="1"/>
    <col min="3389" max="3389" width="7.44140625" style="174" customWidth="1"/>
    <col min="3390" max="3390" width="9.44140625" style="174" customWidth="1"/>
    <col min="3391" max="3391" width="8.88671875" style="174" customWidth="1"/>
    <col min="3392" max="3393" width="12.109375" style="174" customWidth="1"/>
    <col min="3394" max="3394" width="6.109375" style="174" bestFit="1" customWidth="1"/>
    <col min="3395" max="3395" width="9.77734375" style="174"/>
    <col min="3396" max="3397" width="10.77734375" style="174" customWidth="1"/>
    <col min="3398" max="3400" width="9.77734375" style="174"/>
    <col min="3401" max="3401" width="11.77734375" style="174" customWidth="1"/>
    <col min="3402" max="3402" width="12.77734375" style="174" customWidth="1"/>
    <col min="3403" max="3584" width="9.77734375" style="174"/>
    <col min="3585" max="3585" width="20.21875" style="174" bestFit="1" customWidth="1"/>
    <col min="3586" max="3586" width="9.21875" style="174" customWidth="1"/>
    <col min="3587" max="3587" width="7.109375" style="174" customWidth="1"/>
    <col min="3588" max="3588" width="7.88671875" style="174" customWidth="1"/>
    <col min="3589" max="3589" width="7.6640625" style="174" customWidth="1"/>
    <col min="3590" max="3590" width="8.77734375" style="174" customWidth="1"/>
    <col min="3591" max="3591" width="7.77734375" style="174" customWidth="1"/>
    <col min="3592" max="3592" width="8.77734375" style="174" customWidth="1"/>
    <col min="3593" max="3593" width="7.77734375" style="174" customWidth="1"/>
    <col min="3594" max="3594" width="8.77734375" style="174" customWidth="1"/>
    <col min="3595" max="3595" width="7.77734375" style="174" customWidth="1"/>
    <col min="3596" max="3596" width="9" style="174" customWidth="1"/>
    <col min="3597" max="3597" width="7.21875" style="174" customWidth="1"/>
    <col min="3598" max="3598" width="8.6640625" style="174" customWidth="1"/>
    <col min="3599" max="3599" width="7.33203125" style="174" customWidth="1"/>
    <col min="3600" max="3600" width="8.6640625" style="174" customWidth="1"/>
    <col min="3601" max="3601" width="7.33203125" style="174" customWidth="1"/>
    <col min="3602" max="3602" width="8.77734375" style="174" customWidth="1"/>
    <col min="3603" max="3603" width="7.33203125" style="174" customWidth="1"/>
    <col min="3604" max="3604" width="9" style="174" customWidth="1"/>
    <col min="3605" max="3606" width="8.5546875" style="174" customWidth="1"/>
    <col min="3607" max="3607" width="7.88671875" style="174" customWidth="1"/>
    <col min="3608" max="3608" width="9.109375" style="174" customWidth="1"/>
    <col min="3609" max="3609" width="6.77734375" style="174" customWidth="1"/>
    <col min="3610" max="3610" width="8.33203125" style="174" customWidth="1"/>
    <col min="3611" max="3611" width="8.109375" style="174" bestFit="1" customWidth="1"/>
    <col min="3612" max="3612" width="8" style="174" bestFit="1" customWidth="1"/>
    <col min="3613" max="3613" width="7.6640625" style="174" customWidth="1"/>
    <col min="3614" max="3615" width="6.88671875" style="174" customWidth="1"/>
    <col min="3616" max="3616" width="10.21875" style="174" customWidth="1"/>
    <col min="3617" max="3617" width="6.88671875" style="174" customWidth="1"/>
    <col min="3618" max="3618" width="8.77734375" style="174" customWidth="1"/>
    <col min="3619" max="3619" width="7.77734375" style="174" customWidth="1"/>
    <col min="3620" max="3620" width="7.5546875" style="174" customWidth="1"/>
    <col min="3621" max="3621" width="6.88671875" style="174" customWidth="1"/>
    <col min="3622" max="3622" width="9.77734375" style="174" customWidth="1"/>
    <col min="3623" max="3623" width="7.44140625" style="174" bestFit="1" customWidth="1"/>
    <col min="3624" max="3624" width="9.44140625" style="174" customWidth="1"/>
    <col min="3625" max="3625" width="9.21875" style="174" customWidth="1"/>
    <col min="3626" max="3626" width="10.77734375" style="174" customWidth="1"/>
    <col min="3627" max="3627" width="7.44140625" style="174" customWidth="1"/>
    <col min="3628" max="3628" width="8.6640625" style="174" customWidth="1"/>
    <col min="3629" max="3629" width="7.44140625" style="174" customWidth="1"/>
    <col min="3630" max="3630" width="10.33203125" style="174" customWidth="1"/>
    <col min="3631" max="3631" width="8.6640625" style="174" customWidth="1"/>
    <col min="3632" max="3632" width="10.5546875" style="174" customWidth="1"/>
    <col min="3633" max="3633" width="7.44140625" style="174" customWidth="1"/>
    <col min="3634" max="3634" width="10.5546875" style="174" customWidth="1"/>
    <col min="3635" max="3635" width="7.44140625" style="174" customWidth="1"/>
    <col min="3636" max="3636" width="10.5546875" style="174" customWidth="1"/>
    <col min="3637" max="3637" width="7.44140625" style="174" customWidth="1"/>
    <col min="3638" max="3638" width="10.5546875" style="174" customWidth="1"/>
    <col min="3639" max="3639" width="7.44140625" style="174" customWidth="1"/>
    <col min="3640" max="3640" width="10.5546875" style="174" customWidth="1"/>
    <col min="3641" max="3641" width="7.44140625" style="174" customWidth="1"/>
    <col min="3642" max="3642" width="10.5546875" style="174" customWidth="1"/>
    <col min="3643" max="3643" width="7.44140625" style="174" customWidth="1"/>
    <col min="3644" max="3644" width="10.5546875" style="174" customWidth="1"/>
    <col min="3645" max="3645" width="7.44140625" style="174" customWidth="1"/>
    <col min="3646" max="3646" width="9.44140625" style="174" customWidth="1"/>
    <col min="3647" max="3647" width="8.88671875" style="174" customWidth="1"/>
    <col min="3648" max="3649" width="12.109375" style="174" customWidth="1"/>
    <col min="3650" max="3650" width="6.109375" style="174" bestFit="1" customWidth="1"/>
    <col min="3651" max="3651" width="9.77734375" style="174"/>
    <col min="3652" max="3653" width="10.77734375" style="174" customWidth="1"/>
    <col min="3654" max="3656" width="9.77734375" style="174"/>
    <col min="3657" max="3657" width="11.77734375" style="174" customWidth="1"/>
    <col min="3658" max="3658" width="12.77734375" style="174" customWidth="1"/>
    <col min="3659" max="3840" width="9.77734375" style="174"/>
    <col min="3841" max="3841" width="20.21875" style="174" bestFit="1" customWidth="1"/>
    <col min="3842" max="3842" width="9.21875" style="174" customWidth="1"/>
    <col min="3843" max="3843" width="7.109375" style="174" customWidth="1"/>
    <col min="3844" max="3844" width="7.88671875" style="174" customWidth="1"/>
    <col min="3845" max="3845" width="7.6640625" style="174" customWidth="1"/>
    <col min="3846" max="3846" width="8.77734375" style="174" customWidth="1"/>
    <col min="3847" max="3847" width="7.77734375" style="174" customWidth="1"/>
    <col min="3848" max="3848" width="8.77734375" style="174" customWidth="1"/>
    <col min="3849" max="3849" width="7.77734375" style="174" customWidth="1"/>
    <col min="3850" max="3850" width="8.77734375" style="174" customWidth="1"/>
    <col min="3851" max="3851" width="7.77734375" style="174" customWidth="1"/>
    <col min="3852" max="3852" width="9" style="174" customWidth="1"/>
    <col min="3853" max="3853" width="7.21875" style="174" customWidth="1"/>
    <col min="3854" max="3854" width="8.6640625" style="174" customWidth="1"/>
    <col min="3855" max="3855" width="7.33203125" style="174" customWidth="1"/>
    <col min="3856" max="3856" width="8.6640625" style="174" customWidth="1"/>
    <col min="3857" max="3857" width="7.33203125" style="174" customWidth="1"/>
    <col min="3858" max="3858" width="8.77734375" style="174" customWidth="1"/>
    <col min="3859" max="3859" width="7.33203125" style="174" customWidth="1"/>
    <col min="3860" max="3860" width="9" style="174" customWidth="1"/>
    <col min="3861" max="3862" width="8.5546875" style="174" customWidth="1"/>
    <col min="3863" max="3863" width="7.88671875" style="174" customWidth="1"/>
    <col min="3864" max="3864" width="9.109375" style="174" customWidth="1"/>
    <col min="3865" max="3865" width="6.77734375" style="174" customWidth="1"/>
    <col min="3866" max="3866" width="8.33203125" style="174" customWidth="1"/>
    <col min="3867" max="3867" width="8.109375" style="174" bestFit="1" customWidth="1"/>
    <col min="3868" max="3868" width="8" style="174" bestFit="1" customWidth="1"/>
    <col min="3869" max="3869" width="7.6640625" style="174" customWidth="1"/>
    <col min="3870" max="3871" width="6.88671875" style="174" customWidth="1"/>
    <col min="3872" max="3872" width="10.21875" style="174" customWidth="1"/>
    <col min="3873" max="3873" width="6.88671875" style="174" customWidth="1"/>
    <col min="3874" max="3874" width="8.77734375" style="174" customWidth="1"/>
    <col min="3875" max="3875" width="7.77734375" style="174" customWidth="1"/>
    <col min="3876" max="3876" width="7.5546875" style="174" customWidth="1"/>
    <col min="3877" max="3877" width="6.88671875" style="174" customWidth="1"/>
    <col min="3878" max="3878" width="9.77734375" style="174" customWidth="1"/>
    <col min="3879" max="3879" width="7.44140625" style="174" bestFit="1" customWidth="1"/>
    <col min="3880" max="3880" width="9.44140625" style="174" customWidth="1"/>
    <col min="3881" max="3881" width="9.21875" style="174" customWidth="1"/>
    <col min="3882" max="3882" width="10.77734375" style="174" customWidth="1"/>
    <col min="3883" max="3883" width="7.44140625" style="174" customWidth="1"/>
    <col min="3884" max="3884" width="8.6640625" style="174" customWidth="1"/>
    <col min="3885" max="3885" width="7.44140625" style="174" customWidth="1"/>
    <col min="3886" max="3886" width="10.33203125" style="174" customWidth="1"/>
    <col min="3887" max="3887" width="8.6640625" style="174" customWidth="1"/>
    <col min="3888" max="3888" width="10.5546875" style="174" customWidth="1"/>
    <col min="3889" max="3889" width="7.44140625" style="174" customWidth="1"/>
    <col min="3890" max="3890" width="10.5546875" style="174" customWidth="1"/>
    <col min="3891" max="3891" width="7.44140625" style="174" customWidth="1"/>
    <col min="3892" max="3892" width="10.5546875" style="174" customWidth="1"/>
    <col min="3893" max="3893" width="7.44140625" style="174" customWidth="1"/>
    <col min="3894" max="3894" width="10.5546875" style="174" customWidth="1"/>
    <col min="3895" max="3895" width="7.44140625" style="174" customWidth="1"/>
    <col min="3896" max="3896" width="10.5546875" style="174" customWidth="1"/>
    <col min="3897" max="3897" width="7.44140625" style="174" customWidth="1"/>
    <col min="3898" max="3898" width="10.5546875" style="174" customWidth="1"/>
    <col min="3899" max="3899" width="7.44140625" style="174" customWidth="1"/>
    <col min="3900" max="3900" width="10.5546875" style="174" customWidth="1"/>
    <col min="3901" max="3901" width="7.44140625" style="174" customWidth="1"/>
    <col min="3902" max="3902" width="9.44140625" style="174" customWidth="1"/>
    <col min="3903" max="3903" width="8.88671875" style="174" customWidth="1"/>
    <col min="3904" max="3905" width="12.109375" style="174" customWidth="1"/>
    <col min="3906" max="3906" width="6.109375" style="174" bestFit="1" customWidth="1"/>
    <col min="3907" max="3907" width="9.77734375" style="174"/>
    <col min="3908" max="3909" width="10.77734375" style="174" customWidth="1"/>
    <col min="3910" max="3912" width="9.77734375" style="174"/>
    <col min="3913" max="3913" width="11.77734375" style="174" customWidth="1"/>
    <col min="3914" max="3914" width="12.77734375" style="174" customWidth="1"/>
    <col min="3915" max="4096" width="9.77734375" style="174"/>
    <col min="4097" max="4097" width="20.21875" style="174" bestFit="1" customWidth="1"/>
    <col min="4098" max="4098" width="9.21875" style="174" customWidth="1"/>
    <col min="4099" max="4099" width="7.109375" style="174" customWidth="1"/>
    <col min="4100" max="4100" width="7.88671875" style="174" customWidth="1"/>
    <col min="4101" max="4101" width="7.6640625" style="174" customWidth="1"/>
    <col min="4102" max="4102" width="8.77734375" style="174" customWidth="1"/>
    <col min="4103" max="4103" width="7.77734375" style="174" customWidth="1"/>
    <col min="4104" max="4104" width="8.77734375" style="174" customWidth="1"/>
    <col min="4105" max="4105" width="7.77734375" style="174" customWidth="1"/>
    <col min="4106" max="4106" width="8.77734375" style="174" customWidth="1"/>
    <col min="4107" max="4107" width="7.77734375" style="174" customWidth="1"/>
    <col min="4108" max="4108" width="9" style="174" customWidth="1"/>
    <col min="4109" max="4109" width="7.21875" style="174" customWidth="1"/>
    <col min="4110" max="4110" width="8.6640625" style="174" customWidth="1"/>
    <col min="4111" max="4111" width="7.33203125" style="174" customWidth="1"/>
    <col min="4112" max="4112" width="8.6640625" style="174" customWidth="1"/>
    <col min="4113" max="4113" width="7.33203125" style="174" customWidth="1"/>
    <col min="4114" max="4114" width="8.77734375" style="174" customWidth="1"/>
    <col min="4115" max="4115" width="7.33203125" style="174" customWidth="1"/>
    <col min="4116" max="4116" width="9" style="174" customWidth="1"/>
    <col min="4117" max="4118" width="8.5546875" style="174" customWidth="1"/>
    <col min="4119" max="4119" width="7.88671875" style="174" customWidth="1"/>
    <col min="4120" max="4120" width="9.109375" style="174" customWidth="1"/>
    <col min="4121" max="4121" width="6.77734375" style="174" customWidth="1"/>
    <col min="4122" max="4122" width="8.33203125" style="174" customWidth="1"/>
    <col min="4123" max="4123" width="8.109375" style="174" bestFit="1" customWidth="1"/>
    <col min="4124" max="4124" width="8" style="174" bestFit="1" customWidth="1"/>
    <col min="4125" max="4125" width="7.6640625" style="174" customWidth="1"/>
    <col min="4126" max="4127" width="6.88671875" style="174" customWidth="1"/>
    <col min="4128" max="4128" width="10.21875" style="174" customWidth="1"/>
    <col min="4129" max="4129" width="6.88671875" style="174" customWidth="1"/>
    <col min="4130" max="4130" width="8.77734375" style="174" customWidth="1"/>
    <col min="4131" max="4131" width="7.77734375" style="174" customWidth="1"/>
    <col min="4132" max="4132" width="7.5546875" style="174" customWidth="1"/>
    <col min="4133" max="4133" width="6.88671875" style="174" customWidth="1"/>
    <col min="4134" max="4134" width="9.77734375" style="174" customWidth="1"/>
    <col min="4135" max="4135" width="7.44140625" style="174" bestFit="1" customWidth="1"/>
    <col min="4136" max="4136" width="9.44140625" style="174" customWidth="1"/>
    <col min="4137" max="4137" width="9.21875" style="174" customWidth="1"/>
    <col min="4138" max="4138" width="10.77734375" style="174" customWidth="1"/>
    <col min="4139" max="4139" width="7.44140625" style="174" customWidth="1"/>
    <col min="4140" max="4140" width="8.6640625" style="174" customWidth="1"/>
    <col min="4141" max="4141" width="7.44140625" style="174" customWidth="1"/>
    <col min="4142" max="4142" width="10.33203125" style="174" customWidth="1"/>
    <col min="4143" max="4143" width="8.6640625" style="174" customWidth="1"/>
    <col min="4144" max="4144" width="10.5546875" style="174" customWidth="1"/>
    <col min="4145" max="4145" width="7.44140625" style="174" customWidth="1"/>
    <col min="4146" max="4146" width="10.5546875" style="174" customWidth="1"/>
    <col min="4147" max="4147" width="7.44140625" style="174" customWidth="1"/>
    <col min="4148" max="4148" width="10.5546875" style="174" customWidth="1"/>
    <col min="4149" max="4149" width="7.44140625" style="174" customWidth="1"/>
    <col min="4150" max="4150" width="10.5546875" style="174" customWidth="1"/>
    <col min="4151" max="4151" width="7.44140625" style="174" customWidth="1"/>
    <col min="4152" max="4152" width="10.5546875" style="174" customWidth="1"/>
    <col min="4153" max="4153" width="7.44140625" style="174" customWidth="1"/>
    <col min="4154" max="4154" width="10.5546875" style="174" customWidth="1"/>
    <col min="4155" max="4155" width="7.44140625" style="174" customWidth="1"/>
    <col min="4156" max="4156" width="10.5546875" style="174" customWidth="1"/>
    <col min="4157" max="4157" width="7.44140625" style="174" customWidth="1"/>
    <col min="4158" max="4158" width="9.44140625" style="174" customWidth="1"/>
    <col min="4159" max="4159" width="8.88671875" style="174" customWidth="1"/>
    <col min="4160" max="4161" width="12.109375" style="174" customWidth="1"/>
    <col min="4162" max="4162" width="6.109375" style="174" bestFit="1" customWidth="1"/>
    <col min="4163" max="4163" width="9.77734375" style="174"/>
    <col min="4164" max="4165" width="10.77734375" style="174" customWidth="1"/>
    <col min="4166" max="4168" width="9.77734375" style="174"/>
    <col min="4169" max="4169" width="11.77734375" style="174" customWidth="1"/>
    <col min="4170" max="4170" width="12.77734375" style="174" customWidth="1"/>
    <col min="4171" max="4352" width="9.77734375" style="174"/>
    <col min="4353" max="4353" width="20.21875" style="174" bestFit="1" customWidth="1"/>
    <col min="4354" max="4354" width="9.21875" style="174" customWidth="1"/>
    <col min="4355" max="4355" width="7.109375" style="174" customWidth="1"/>
    <col min="4356" max="4356" width="7.88671875" style="174" customWidth="1"/>
    <col min="4357" max="4357" width="7.6640625" style="174" customWidth="1"/>
    <col min="4358" max="4358" width="8.77734375" style="174" customWidth="1"/>
    <col min="4359" max="4359" width="7.77734375" style="174" customWidth="1"/>
    <col min="4360" max="4360" width="8.77734375" style="174" customWidth="1"/>
    <col min="4361" max="4361" width="7.77734375" style="174" customWidth="1"/>
    <col min="4362" max="4362" width="8.77734375" style="174" customWidth="1"/>
    <col min="4363" max="4363" width="7.77734375" style="174" customWidth="1"/>
    <col min="4364" max="4364" width="9" style="174" customWidth="1"/>
    <col min="4365" max="4365" width="7.21875" style="174" customWidth="1"/>
    <col min="4366" max="4366" width="8.6640625" style="174" customWidth="1"/>
    <col min="4367" max="4367" width="7.33203125" style="174" customWidth="1"/>
    <col min="4368" max="4368" width="8.6640625" style="174" customWidth="1"/>
    <col min="4369" max="4369" width="7.33203125" style="174" customWidth="1"/>
    <col min="4370" max="4370" width="8.77734375" style="174" customWidth="1"/>
    <col min="4371" max="4371" width="7.33203125" style="174" customWidth="1"/>
    <col min="4372" max="4372" width="9" style="174" customWidth="1"/>
    <col min="4373" max="4374" width="8.5546875" style="174" customWidth="1"/>
    <col min="4375" max="4375" width="7.88671875" style="174" customWidth="1"/>
    <col min="4376" max="4376" width="9.109375" style="174" customWidth="1"/>
    <col min="4377" max="4377" width="6.77734375" style="174" customWidth="1"/>
    <col min="4378" max="4378" width="8.33203125" style="174" customWidth="1"/>
    <col min="4379" max="4379" width="8.109375" style="174" bestFit="1" customWidth="1"/>
    <col min="4380" max="4380" width="8" style="174" bestFit="1" customWidth="1"/>
    <col min="4381" max="4381" width="7.6640625" style="174" customWidth="1"/>
    <col min="4382" max="4383" width="6.88671875" style="174" customWidth="1"/>
    <col min="4384" max="4384" width="10.21875" style="174" customWidth="1"/>
    <col min="4385" max="4385" width="6.88671875" style="174" customWidth="1"/>
    <col min="4386" max="4386" width="8.77734375" style="174" customWidth="1"/>
    <col min="4387" max="4387" width="7.77734375" style="174" customWidth="1"/>
    <col min="4388" max="4388" width="7.5546875" style="174" customWidth="1"/>
    <col min="4389" max="4389" width="6.88671875" style="174" customWidth="1"/>
    <col min="4390" max="4390" width="9.77734375" style="174" customWidth="1"/>
    <col min="4391" max="4391" width="7.44140625" style="174" bestFit="1" customWidth="1"/>
    <col min="4392" max="4392" width="9.44140625" style="174" customWidth="1"/>
    <col min="4393" max="4393" width="9.21875" style="174" customWidth="1"/>
    <col min="4394" max="4394" width="10.77734375" style="174" customWidth="1"/>
    <col min="4395" max="4395" width="7.44140625" style="174" customWidth="1"/>
    <col min="4396" max="4396" width="8.6640625" style="174" customWidth="1"/>
    <col min="4397" max="4397" width="7.44140625" style="174" customWidth="1"/>
    <col min="4398" max="4398" width="10.33203125" style="174" customWidth="1"/>
    <col min="4399" max="4399" width="8.6640625" style="174" customWidth="1"/>
    <col min="4400" max="4400" width="10.5546875" style="174" customWidth="1"/>
    <col min="4401" max="4401" width="7.44140625" style="174" customWidth="1"/>
    <col min="4402" max="4402" width="10.5546875" style="174" customWidth="1"/>
    <col min="4403" max="4403" width="7.44140625" style="174" customWidth="1"/>
    <col min="4404" max="4404" width="10.5546875" style="174" customWidth="1"/>
    <col min="4405" max="4405" width="7.44140625" style="174" customWidth="1"/>
    <col min="4406" max="4406" width="10.5546875" style="174" customWidth="1"/>
    <col min="4407" max="4407" width="7.44140625" style="174" customWidth="1"/>
    <col min="4408" max="4408" width="10.5546875" style="174" customWidth="1"/>
    <col min="4409" max="4409" width="7.44140625" style="174" customWidth="1"/>
    <col min="4410" max="4410" width="10.5546875" style="174" customWidth="1"/>
    <col min="4411" max="4411" width="7.44140625" style="174" customWidth="1"/>
    <col min="4412" max="4412" width="10.5546875" style="174" customWidth="1"/>
    <col min="4413" max="4413" width="7.44140625" style="174" customWidth="1"/>
    <col min="4414" max="4414" width="9.44140625" style="174" customWidth="1"/>
    <col min="4415" max="4415" width="8.88671875" style="174" customWidth="1"/>
    <col min="4416" max="4417" width="12.109375" style="174" customWidth="1"/>
    <col min="4418" max="4418" width="6.109375" style="174" bestFit="1" customWidth="1"/>
    <col min="4419" max="4419" width="9.77734375" style="174"/>
    <col min="4420" max="4421" width="10.77734375" style="174" customWidth="1"/>
    <col min="4422" max="4424" width="9.77734375" style="174"/>
    <col min="4425" max="4425" width="11.77734375" style="174" customWidth="1"/>
    <col min="4426" max="4426" width="12.77734375" style="174" customWidth="1"/>
    <col min="4427" max="4608" width="9.77734375" style="174"/>
    <col min="4609" max="4609" width="20.21875" style="174" bestFit="1" customWidth="1"/>
    <col min="4610" max="4610" width="9.21875" style="174" customWidth="1"/>
    <col min="4611" max="4611" width="7.109375" style="174" customWidth="1"/>
    <col min="4612" max="4612" width="7.88671875" style="174" customWidth="1"/>
    <col min="4613" max="4613" width="7.6640625" style="174" customWidth="1"/>
    <col min="4614" max="4614" width="8.77734375" style="174" customWidth="1"/>
    <col min="4615" max="4615" width="7.77734375" style="174" customWidth="1"/>
    <col min="4616" max="4616" width="8.77734375" style="174" customWidth="1"/>
    <col min="4617" max="4617" width="7.77734375" style="174" customWidth="1"/>
    <col min="4618" max="4618" width="8.77734375" style="174" customWidth="1"/>
    <col min="4619" max="4619" width="7.77734375" style="174" customWidth="1"/>
    <col min="4620" max="4620" width="9" style="174" customWidth="1"/>
    <col min="4621" max="4621" width="7.21875" style="174" customWidth="1"/>
    <col min="4622" max="4622" width="8.6640625" style="174" customWidth="1"/>
    <col min="4623" max="4623" width="7.33203125" style="174" customWidth="1"/>
    <col min="4624" max="4624" width="8.6640625" style="174" customWidth="1"/>
    <col min="4625" max="4625" width="7.33203125" style="174" customWidth="1"/>
    <col min="4626" max="4626" width="8.77734375" style="174" customWidth="1"/>
    <col min="4627" max="4627" width="7.33203125" style="174" customWidth="1"/>
    <col min="4628" max="4628" width="9" style="174" customWidth="1"/>
    <col min="4629" max="4630" width="8.5546875" style="174" customWidth="1"/>
    <col min="4631" max="4631" width="7.88671875" style="174" customWidth="1"/>
    <col min="4632" max="4632" width="9.109375" style="174" customWidth="1"/>
    <col min="4633" max="4633" width="6.77734375" style="174" customWidth="1"/>
    <col min="4634" max="4634" width="8.33203125" style="174" customWidth="1"/>
    <col min="4635" max="4635" width="8.109375" style="174" bestFit="1" customWidth="1"/>
    <col min="4636" max="4636" width="8" style="174" bestFit="1" customWidth="1"/>
    <col min="4637" max="4637" width="7.6640625" style="174" customWidth="1"/>
    <col min="4638" max="4639" width="6.88671875" style="174" customWidth="1"/>
    <col min="4640" max="4640" width="10.21875" style="174" customWidth="1"/>
    <col min="4641" max="4641" width="6.88671875" style="174" customWidth="1"/>
    <col min="4642" max="4642" width="8.77734375" style="174" customWidth="1"/>
    <col min="4643" max="4643" width="7.77734375" style="174" customWidth="1"/>
    <col min="4644" max="4644" width="7.5546875" style="174" customWidth="1"/>
    <col min="4645" max="4645" width="6.88671875" style="174" customWidth="1"/>
    <col min="4646" max="4646" width="9.77734375" style="174" customWidth="1"/>
    <col min="4647" max="4647" width="7.44140625" style="174" bestFit="1" customWidth="1"/>
    <col min="4648" max="4648" width="9.44140625" style="174" customWidth="1"/>
    <col min="4649" max="4649" width="9.21875" style="174" customWidth="1"/>
    <col min="4650" max="4650" width="10.77734375" style="174" customWidth="1"/>
    <col min="4651" max="4651" width="7.44140625" style="174" customWidth="1"/>
    <col min="4652" max="4652" width="8.6640625" style="174" customWidth="1"/>
    <col min="4653" max="4653" width="7.44140625" style="174" customWidth="1"/>
    <col min="4654" max="4654" width="10.33203125" style="174" customWidth="1"/>
    <col min="4655" max="4655" width="8.6640625" style="174" customWidth="1"/>
    <col min="4656" max="4656" width="10.5546875" style="174" customWidth="1"/>
    <col min="4657" max="4657" width="7.44140625" style="174" customWidth="1"/>
    <col min="4658" max="4658" width="10.5546875" style="174" customWidth="1"/>
    <col min="4659" max="4659" width="7.44140625" style="174" customWidth="1"/>
    <col min="4660" max="4660" width="10.5546875" style="174" customWidth="1"/>
    <col min="4661" max="4661" width="7.44140625" style="174" customWidth="1"/>
    <col min="4662" max="4662" width="10.5546875" style="174" customWidth="1"/>
    <col min="4663" max="4663" width="7.44140625" style="174" customWidth="1"/>
    <col min="4664" max="4664" width="10.5546875" style="174" customWidth="1"/>
    <col min="4665" max="4665" width="7.44140625" style="174" customWidth="1"/>
    <col min="4666" max="4666" width="10.5546875" style="174" customWidth="1"/>
    <col min="4667" max="4667" width="7.44140625" style="174" customWidth="1"/>
    <col min="4668" max="4668" width="10.5546875" style="174" customWidth="1"/>
    <col min="4669" max="4669" width="7.44140625" style="174" customWidth="1"/>
    <col min="4670" max="4670" width="9.44140625" style="174" customWidth="1"/>
    <col min="4671" max="4671" width="8.88671875" style="174" customWidth="1"/>
    <col min="4672" max="4673" width="12.109375" style="174" customWidth="1"/>
    <col min="4674" max="4674" width="6.109375" style="174" bestFit="1" customWidth="1"/>
    <col min="4675" max="4675" width="9.77734375" style="174"/>
    <col min="4676" max="4677" width="10.77734375" style="174" customWidth="1"/>
    <col min="4678" max="4680" width="9.77734375" style="174"/>
    <col min="4681" max="4681" width="11.77734375" style="174" customWidth="1"/>
    <col min="4682" max="4682" width="12.77734375" style="174" customWidth="1"/>
    <col min="4683" max="4864" width="9.77734375" style="174"/>
    <col min="4865" max="4865" width="20.21875" style="174" bestFit="1" customWidth="1"/>
    <col min="4866" max="4866" width="9.21875" style="174" customWidth="1"/>
    <col min="4867" max="4867" width="7.109375" style="174" customWidth="1"/>
    <col min="4868" max="4868" width="7.88671875" style="174" customWidth="1"/>
    <col min="4869" max="4869" width="7.6640625" style="174" customWidth="1"/>
    <col min="4870" max="4870" width="8.77734375" style="174" customWidth="1"/>
    <col min="4871" max="4871" width="7.77734375" style="174" customWidth="1"/>
    <col min="4872" max="4872" width="8.77734375" style="174" customWidth="1"/>
    <col min="4873" max="4873" width="7.77734375" style="174" customWidth="1"/>
    <col min="4874" max="4874" width="8.77734375" style="174" customWidth="1"/>
    <col min="4875" max="4875" width="7.77734375" style="174" customWidth="1"/>
    <col min="4876" max="4876" width="9" style="174" customWidth="1"/>
    <col min="4877" max="4877" width="7.21875" style="174" customWidth="1"/>
    <col min="4878" max="4878" width="8.6640625" style="174" customWidth="1"/>
    <col min="4879" max="4879" width="7.33203125" style="174" customWidth="1"/>
    <col min="4880" max="4880" width="8.6640625" style="174" customWidth="1"/>
    <col min="4881" max="4881" width="7.33203125" style="174" customWidth="1"/>
    <col min="4882" max="4882" width="8.77734375" style="174" customWidth="1"/>
    <col min="4883" max="4883" width="7.33203125" style="174" customWidth="1"/>
    <col min="4884" max="4884" width="9" style="174" customWidth="1"/>
    <col min="4885" max="4886" width="8.5546875" style="174" customWidth="1"/>
    <col min="4887" max="4887" width="7.88671875" style="174" customWidth="1"/>
    <col min="4888" max="4888" width="9.109375" style="174" customWidth="1"/>
    <col min="4889" max="4889" width="6.77734375" style="174" customWidth="1"/>
    <col min="4890" max="4890" width="8.33203125" style="174" customWidth="1"/>
    <col min="4891" max="4891" width="8.109375" style="174" bestFit="1" customWidth="1"/>
    <col min="4892" max="4892" width="8" style="174" bestFit="1" customWidth="1"/>
    <col min="4893" max="4893" width="7.6640625" style="174" customWidth="1"/>
    <col min="4894" max="4895" width="6.88671875" style="174" customWidth="1"/>
    <col min="4896" max="4896" width="10.21875" style="174" customWidth="1"/>
    <col min="4897" max="4897" width="6.88671875" style="174" customWidth="1"/>
    <col min="4898" max="4898" width="8.77734375" style="174" customWidth="1"/>
    <col min="4899" max="4899" width="7.77734375" style="174" customWidth="1"/>
    <col min="4900" max="4900" width="7.5546875" style="174" customWidth="1"/>
    <col min="4901" max="4901" width="6.88671875" style="174" customWidth="1"/>
    <col min="4902" max="4902" width="9.77734375" style="174" customWidth="1"/>
    <col min="4903" max="4903" width="7.44140625" style="174" bestFit="1" customWidth="1"/>
    <col min="4904" max="4904" width="9.44140625" style="174" customWidth="1"/>
    <col min="4905" max="4905" width="9.21875" style="174" customWidth="1"/>
    <col min="4906" max="4906" width="10.77734375" style="174" customWidth="1"/>
    <col min="4907" max="4907" width="7.44140625" style="174" customWidth="1"/>
    <col min="4908" max="4908" width="8.6640625" style="174" customWidth="1"/>
    <col min="4909" max="4909" width="7.44140625" style="174" customWidth="1"/>
    <col min="4910" max="4910" width="10.33203125" style="174" customWidth="1"/>
    <col min="4911" max="4911" width="8.6640625" style="174" customWidth="1"/>
    <col min="4912" max="4912" width="10.5546875" style="174" customWidth="1"/>
    <col min="4913" max="4913" width="7.44140625" style="174" customWidth="1"/>
    <col min="4914" max="4914" width="10.5546875" style="174" customWidth="1"/>
    <col min="4915" max="4915" width="7.44140625" style="174" customWidth="1"/>
    <col min="4916" max="4916" width="10.5546875" style="174" customWidth="1"/>
    <col min="4917" max="4917" width="7.44140625" style="174" customWidth="1"/>
    <col min="4918" max="4918" width="10.5546875" style="174" customWidth="1"/>
    <col min="4919" max="4919" width="7.44140625" style="174" customWidth="1"/>
    <col min="4920" max="4920" width="10.5546875" style="174" customWidth="1"/>
    <col min="4921" max="4921" width="7.44140625" style="174" customWidth="1"/>
    <col min="4922" max="4922" width="10.5546875" style="174" customWidth="1"/>
    <col min="4923" max="4923" width="7.44140625" style="174" customWidth="1"/>
    <col min="4924" max="4924" width="10.5546875" style="174" customWidth="1"/>
    <col min="4925" max="4925" width="7.44140625" style="174" customWidth="1"/>
    <col min="4926" max="4926" width="9.44140625" style="174" customWidth="1"/>
    <col min="4927" max="4927" width="8.88671875" style="174" customWidth="1"/>
    <col min="4928" max="4929" width="12.109375" style="174" customWidth="1"/>
    <col min="4930" max="4930" width="6.109375" style="174" bestFit="1" customWidth="1"/>
    <col min="4931" max="4931" width="9.77734375" style="174"/>
    <col min="4932" max="4933" width="10.77734375" style="174" customWidth="1"/>
    <col min="4934" max="4936" width="9.77734375" style="174"/>
    <col min="4937" max="4937" width="11.77734375" style="174" customWidth="1"/>
    <col min="4938" max="4938" width="12.77734375" style="174" customWidth="1"/>
    <col min="4939" max="5120" width="9.77734375" style="174"/>
    <col min="5121" max="5121" width="20.21875" style="174" bestFit="1" customWidth="1"/>
    <col min="5122" max="5122" width="9.21875" style="174" customWidth="1"/>
    <col min="5123" max="5123" width="7.109375" style="174" customWidth="1"/>
    <col min="5124" max="5124" width="7.88671875" style="174" customWidth="1"/>
    <col min="5125" max="5125" width="7.6640625" style="174" customWidth="1"/>
    <col min="5126" max="5126" width="8.77734375" style="174" customWidth="1"/>
    <col min="5127" max="5127" width="7.77734375" style="174" customWidth="1"/>
    <col min="5128" max="5128" width="8.77734375" style="174" customWidth="1"/>
    <col min="5129" max="5129" width="7.77734375" style="174" customWidth="1"/>
    <col min="5130" max="5130" width="8.77734375" style="174" customWidth="1"/>
    <col min="5131" max="5131" width="7.77734375" style="174" customWidth="1"/>
    <col min="5132" max="5132" width="9" style="174" customWidth="1"/>
    <col min="5133" max="5133" width="7.21875" style="174" customWidth="1"/>
    <col min="5134" max="5134" width="8.6640625" style="174" customWidth="1"/>
    <col min="5135" max="5135" width="7.33203125" style="174" customWidth="1"/>
    <col min="5136" max="5136" width="8.6640625" style="174" customWidth="1"/>
    <col min="5137" max="5137" width="7.33203125" style="174" customWidth="1"/>
    <col min="5138" max="5138" width="8.77734375" style="174" customWidth="1"/>
    <col min="5139" max="5139" width="7.33203125" style="174" customWidth="1"/>
    <col min="5140" max="5140" width="9" style="174" customWidth="1"/>
    <col min="5141" max="5142" width="8.5546875" style="174" customWidth="1"/>
    <col min="5143" max="5143" width="7.88671875" style="174" customWidth="1"/>
    <col min="5144" max="5144" width="9.109375" style="174" customWidth="1"/>
    <col min="5145" max="5145" width="6.77734375" style="174" customWidth="1"/>
    <col min="5146" max="5146" width="8.33203125" style="174" customWidth="1"/>
    <col min="5147" max="5147" width="8.109375" style="174" bestFit="1" customWidth="1"/>
    <col min="5148" max="5148" width="8" style="174" bestFit="1" customWidth="1"/>
    <col min="5149" max="5149" width="7.6640625" style="174" customWidth="1"/>
    <col min="5150" max="5151" width="6.88671875" style="174" customWidth="1"/>
    <col min="5152" max="5152" width="10.21875" style="174" customWidth="1"/>
    <col min="5153" max="5153" width="6.88671875" style="174" customWidth="1"/>
    <col min="5154" max="5154" width="8.77734375" style="174" customWidth="1"/>
    <col min="5155" max="5155" width="7.77734375" style="174" customWidth="1"/>
    <col min="5156" max="5156" width="7.5546875" style="174" customWidth="1"/>
    <col min="5157" max="5157" width="6.88671875" style="174" customWidth="1"/>
    <col min="5158" max="5158" width="9.77734375" style="174" customWidth="1"/>
    <col min="5159" max="5159" width="7.44140625" style="174" bestFit="1" customWidth="1"/>
    <col min="5160" max="5160" width="9.44140625" style="174" customWidth="1"/>
    <col min="5161" max="5161" width="9.21875" style="174" customWidth="1"/>
    <col min="5162" max="5162" width="10.77734375" style="174" customWidth="1"/>
    <col min="5163" max="5163" width="7.44140625" style="174" customWidth="1"/>
    <col min="5164" max="5164" width="8.6640625" style="174" customWidth="1"/>
    <col min="5165" max="5165" width="7.44140625" style="174" customWidth="1"/>
    <col min="5166" max="5166" width="10.33203125" style="174" customWidth="1"/>
    <col min="5167" max="5167" width="8.6640625" style="174" customWidth="1"/>
    <col min="5168" max="5168" width="10.5546875" style="174" customWidth="1"/>
    <col min="5169" max="5169" width="7.44140625" style="174" customWidth="1"/>
    <col min="5170" max="5170" width="10.5546875" style="174" customWidth="1"/>
    <col min="5171" max="5171" width="7.44140625" style="174" customWidth="1"/>
    <col min="5172" max="5172" width="10.5546875" style="174" customWidth="1"/>
    <col min="5173" max="5173" width="7.44140625" style="174" customWidth="1"/>
    <col min="5174" max="5174" width="10.5546875" style="174" customWidth="1"/>
    <col min="5175" max="5175" width="7.44140625" style="174" customWidth="1"/>
    <col min="5176" max="5176" width="10.5546875" style="174" customWidth="1"/>
    <col min="5177" max="5177" width="7.44140625" style="174" customWidth="1"/>
    <col min="5178" max="5178" width="10.5546875" style="174" customWidth="1"/>
    <col min="5179" max="5179" width="7.44140625" style="174" customWidth="1"/>
    <col min="5180" max="5180" width="10.5546875" style="174" customWidth="1"/>
    <col min="5181" max="5181" width="7.44140625" style="174" customWidth="1"/>
    <col min="5182" max="5182" width="9.44140625" style="174" customWidth="1"/>
    <col min="5183" max="5183" width="8.88671875" style="174" customWidth="1"/>
    <col min="5184" max="5185" width="12.109375" style="174" customWidth="1"/>
    <col min="5186" max="5186" width="6.109375" style="174" bestFit="1" customWidth="1"/>
    <col min="5187" max="5187" width="9.77734375" style="174"/>
    <col min="5188" max="5189" width="10.77734375" style="174" customWidth="1"/>
    <col min="5190" max="5192" width="9.77734375" style="174"/>
    <col min="5193" max="5193" width="11.77734375" style="174" customWidth="1"/>
    <col min="5194" max="5194" width="12.77734375" style="174" customWidth="1"/>
    <col min="5195" max="5376" width="9.77734375" style="174"/>
    <col min="5377" max="5377" width="20.21875" style="174" bestFit="1" customWidth="1"/>
    <col min="5378" max="5378" width="9.21875" style="174" customWidth="1"/>
    <col min="5379" max="5379" width="7.109375" style="174" customWidth="1"/>
    <col min="5380" max="5380" width="7.88671875" style="174" customWidth="1"/>
    <col min="5381" max="5381" width="7.6640625" style="174" customWidth="1"/>
    <col min="5382" max="5382" width="8.77734375" style="174" customWidth="1"/>
    <col min="5383" max="5383" width="7.77734375" style="174" customWidth="1"/>
    <col min="5384" max="5384" width="8.77734375" style="174" customWidth="1"/>
    <col min="5385" max="5385" width="7.77734375" style="174" customWidth="1"/>
    <col min="5386" max="5386" width="8.77734375" style="174" customWidth="1"/>
    <col min="5387" max="5387" width="7.77734375" style="174" customWidth="1"/>
    <col min="5388" max="5388" width="9" style="174" customWidth="1"/>
    <col min="5389" max="5389" width="7.21875" style="174" customWidth="1"/>
    <col min="5390" max="5390" width="8.6640625" style="174" customWidth="1"/>
    <col min="5391" max="5391" width="7.33203125" style="174" customWidth="1"/>
    <col min="5392" max="5392" width="8.6640625" style="174" customWidth="1"/>
    <col min="5393" max="5393" width="7.33203125" style="174" customWidth="1"/>
    <col min="5394" max="5394" width="8.77734375" style="174" customWidth="1"/>
    <col min="5395" max="5395" width="7.33203125" style="174" customWidth="1"/>
    <col min="5396" max="5396" width="9" style="174" customWidth="1"/>
    <col min="5397" max="5398" width="8.5546875" style="174" customWidth="1"/>
    <col min="5399" max="5399" width="7.88671875" style="174" customWidth="1"/>
    <col min="5400" max="5400" width="9.109375" style="174" customWidth="1"/>
    <col min="5401" max="5401" width="6.77734375" style="174" customWidth="1"/>
    <col min="5402" max="5402" width="8.33203125" style="174" customWidth="1"/>
    <col min="5403" max="5403" width="8.109375" style="174" bestFit="1" customWidth="1"/>
    <col min="5404" max="5404" width="8" style="174" bestFit="1" customWidth="1"/>
    <col min="5405" max="5405" width="7.6640625" style="174" customWidth="1"/>
    <col min="5406" max="5407" width="6.88671875" style="174" customWidth="1"/>
    <col min="5408" max="5408" width="10.21875" style="174" customWidth="1"/>
    <col min="5409" max="5409" width="6.88671875" style="174" customWidth="1"/>
    <col min="5410" max="5410" width="8.77734375" style="174" customWidth="1"/>
    <col min="5411" max="5411" width="7.77734375" style="174" customWidth="1"/>
    <col min="5412" max="5412" width="7.5546875" style="174" customWidth="1"/>
    <col min="5413" max="5413" width="6.88671875" style="174" customWidth="1"/>
    <col min="5414" max="5414" width="9.77734375" style="174" customWidth="1"/>
    <col min="5415" max="5415" width="7.44140625" style="174" bestFit="1" customWidth="1"/>
    <col min="5416" max="5416" width="9.44140625" style="174" customWidth="1"/>
    <col min="5417" max="5417" width="9.21875" style="174" customWidth="1"/>
    <col min="5418" max="5418" width="10.77734375" style="174" customWidth="1"/>
    <col min="5419" max="5419" width="7.44140625" style="174" customWidth="1"/>
    <col min="5420" max="5420" width="8.6640625" style="174" customWidth="1"/>
    <col min="5421" max="5421" width="7.44140625" style="174" customWidth="1"/>
    <col min="5422" max="5422" width="10.33203125" style="174" customWidth="1"/>
    <col min="5423" max="5423" width="8.6640625" style="174" customWidth="1"/>
    <col min="5424" max="5424" width="10.5546875" style="174" customWidth="1"/>
    <col min="5425" max="5425" width="7.44140625" style="174" customWidth="1"/>
    <col min="5426" max="5426" width="10.5546875" style="174" customWidth="1"/>
    <col min="5427" max="5427" width="7.44140625" style="174" customWidth="1"/>
    <col min="5428" max="5428" width="10.5546875" style="174" customWidth="1"/>
    <col min="5429" max="5429" width="7.44140625" style="174" customWidth="1"/>
    <col min="5430" max="5430" width="10.5546875" style="174" customWidth="1"/>
    <col min="5431" max="5431" width="7.44140625" style="174" customWidth="1"/>
    <col min="5432" max="5432" width="10.5546875" style="174" customWidth="1"/>
    <col min="5433" max="5433" width="7.44140625" style="174" customWidth="1"/>
    <col min="5434" max="5434" width="10.5546875" style="174" customWidth="1"/>
    <col min="5435" max="5435" width="7.44140625" style="174" customWidth="1"/>
    <col min="5436" max="5436" width="10.5546875" style="174" customWidth="1"/>
    <col min="5437" max="5437" width="7.44140625" style="174" customWidth="1"/>
    <col min="5438" max="5438" width="9.44140625" style="174" customWidth="1"/>
    <col min="5439" max="5439" width="8.88671875" style="174" customWidth="1"/>
    <col min="5440" max="5441" width="12.109375" style="174" customWidth="1"/>
    <col min="5442" max="5442" width="6.109375" style="174" bestFit="1" customWidth="1"/>
    <col min="5443" max="5443" width="9.77734375" style="174"/>
    <col min="5444" max="5445" width="10.77734375" style="174" customWidth="1"/>
    <col min="5446" max="5448" width="9.77734375" style="174"/>
    <col min="5449" max="5449" width="11.77734375" style="174" customWidth="1"/>
    <col min="5450" max="5450" width="12.77734375" style="174" customWidth="1"/>
    <col min="5451" max="5632" width="9.77734375" style="174"/>
    <col min="5633" max="5633" width="20.21875" style="174" bestFit="1" customWidth="1"/>
    <col min="5634" max="5634" width="9.21875" style="174" customWidth="1"/>
    <col min="5635" max="5635" width="7.109375" style="174" customWidth="1"/>
    <col min="5636" max="5636" width="7.88671875" style="174" customWidth="1"/>
    <col min="5637" max="5637" width="7.6640625" style="174" customWidth="1"/>
    <col min="5638" max="5638" width="8.77734375" style="174" customWidth="1"/>
    <col min="5639" max="5639" width="7.77734375" style="174" customWidth="1"/>
    <col min="5640" max="5640" width="8.77734375" style="174" customWidth="1"/>
    <col min="5641" max="5641" width="7.77734375" style="174" customWidth="1"/>
    <col min="5642" max="5642" width="8.77734375" style="174" customWidth="1"/>
    <col min="5643" max="5643" width="7.77734375" style="174" customWidth="1"/>
    <col min="5644" max="5644" width="9" style="174" customWidth="1"/>
    <col min="5645" max="5645" width="7.21875" style="174" customWidth="1"/>
    <col min="5646" max="5646" width="8.6640625" style="174" customWidth="1"/>
    <col min="5647" max="5647" width="7.33203125" style="174" customWidth="1"/>
    <col min="5648" max="5648" width="8.6640625" style="174" customWidth="1"/>
    <col min="5649" max="5649" width="7.33203125" style="174" customWidth="1"/>
    <col min="5650" max="5650" width="8.77734375" style="174" customWidth="1"/>
    <col min="5651" max="5651" width="7.33203125" style="174" customWidth="1"/>
    <col min="5652" max="5652" width="9" style="174" customWidth="1"/>
    <col min="5653" max="5654" width="8.5546875" style="174" customWidth="1"/>
    <col min="5655" max="5655" width="7.88671875" style="174" customWidth="1"/>
    <col min="5656" max="5656" width="9.109375" style="174" customWidth="1"/>
    <col min="5657" max="5657" width="6.77734375" style="174" customWidth="1"/>
    <col min="5658" max="5658" width="8.33203125" style="174" customWidth="1"/>
    <col min="5659" max="5659" width="8.109375" style="174" bestFit="1" customWidth="1"/>
    <col min="5660" max="5660" width="8" style="174" bestFit="1" customWidth="1"/>
    <col min="5661" max="5661" width="7.6640625" style="174" customWidth="1"/>
    <col min="5662" max="5663" width="6.88671875" style="174" customWidth="1"/>
    <col min="5664" max="5664" width="10.21875" style="174" customWidth="1"/>
    <col min="5665" max="5665" width="6.88671875" style="174" customWidth="1"/>
    <col min="5666" max="5666" width="8.77734375" style="174" customWidth="1"/>
    <col min="5667" max="5667" width="7.77734375" style="174" customWidth="1"/>
    <col min="5668" max="5668" width="7.5546875" style="174" customWidth="1"/>
    <col min="5669" max="5669" width="6.88671875" style="174" customWidth="1"/>
    <col min="5670" max="5670" width="9.77734375" style="174" customWidth="1"/>
    <col min="5671" max="5671" width="7.44140625" style="174" bestFit="1" customWidth="1"/>
    <col min="5672" max="5672" width="9.44140625" style="174" customWidth="1"/>
    <col min="5673" max="5673" width="9.21875" style="174" customWidth="1"/>
    <col min="5674" max="5674" width="10.77734375" style="174" customWidth="1"/>
    <col min="5675" max="5675" width="7.44140625" style="174" customWidth="1"/>
    <col min="5676" max="5676" width="8.6640625" style="174" customWidth="1"/>
    <col min="5677" max="5677" width="7.44140625" style="174" customWidth="1"/>
    <col min="5678" max="5678" width="10.33203125" style="174" customWidth="1"/>
    <col min="5679" max="5679" width="8.6640625" style="174" customWidth="1"/>
    <col min="5680" max="5680" width="10.5546875" style="174" customWidth="1"/>
    <col min="5681" max="5681" width="7.44140625" style="174" customWidth="1"/>
    <col min="5682" max="5682" width="10.5546875" style="174" customWidth="1"/>
    <col min="5683" max="5683" width="7.44140625" style="174" customWidth="1"/>
    <col min="5684" max="5684" width="10.5546875" style="174" customWidth="1"/>
    <col min="5685" max="5685" width="7.44140625" style="174" customWidth="1"/>
    <col min="5686" max="5686" width="10.5546875" style="174" customWidth="1"/>
    <col min="5687" max="5687" width="7.44140625" style="174" customWidth="1"/>
    <col min="5688" max="5688" width="10.5546875" style="174" customWidth="1"/>
    <col min="5689" max="5689" width="7.44140625" style="174" customWidth="1"/>
    <col min="5690" max="5690" width="10.5546875" style="174" customWidth="1"/>
    <col min="5691" max="5691" width="7.44140625" style="174" customWidth="1"/>
    <col min="5692" max="5692" width="10.5546875" style="174" customWidth="1"/>
    <col min="5693" max="5693" width="7.44140625" style="174" customWidth="1"/>
    <col min="5694" max="5694" width="9.44140625" style="174" customWidth="1"/>
    <col min="5695" max="5695" width="8.88671875" style="174" customWidth="1"/>
    <col min="5696" max="5697" width="12.109375" style="174" customWidth="1"/>
    <col min="5698" max="5698" width="6.109375" style="174" bestFit="1" customWidth="1"/>
    <col min="5699" max="5699" width="9.77734375" style="174"/>
    <col min="5700" max="5701" width="10.77734375" style="174" customWidth="1"/>
    <col min="5702" max="5704" width="9.77734375" style="174"/>
    <col min="5705" max="5705" width="11.77734375" style="174" customWidth="1"/>
    <col min="5706" max="5706" width="12.77734375" style="174" customWidth="1"/>
    <col min="5707" max="5888" width="9.77734375" style="174"/>
    <col min="5889" max="5889" width="20.21875" style="174" bestFit="1" customWidth="1"/>
    <col min="5890" max="5890" width="9.21875" style="174" customWidth="1"/>
    <col min="5891" max="5891" width="7.109375" style="174" customWidth="1"/>
    <col min="5892" max="5892" width="7.88671875" style="174" customWidth="1"/>
    <col min="5893" max="5893" width="7.6640625" style="174" customWidth="1"/>
    <col min="5894" max="5894" width="8.77734375" style="174" customWidth="1"/>
    <col min="5895" max="5895" width="7.77734375" style="174" customWidth="1"/>
    <col min="5896" max="5896" width="8.77734375" style="174" customWidth="1"/>
    <col min="5897" max="5897" width="7.77734375" style="174" customWidth="1"/>
    <col min="5898" max="5898" width="8.77734375" style="174" customWidth="1"/>
    <col min="5899" max="5899" width="7.77734375" style="174" customWidth="1"/>
    <col min="5900" max="5900" width="9" style="174" customWidth="1"/>
    <col min="5901" max="5901" width="7.21875" style="174" customWidth="1"/>
    <col min="5902" max="5902" width="8.6640625" style="174" customWidth="1"/>
    <col min="5903" max="5903" width="7.33203125" style="174" customWidth="1"/>
    <col min="5904" max="5904" width="8.6640625" style="174" customWidth="1"/>
    <col min="5905" max="5905" width="7.33203125" style="174" customWidth="1"/>
    <col min="5906" max="5906" width="8.77734375" style="174" customWidth="1"/>
    <col min="5907" max="5907" width="7.33203125" style="174" customWidth="1"/>
    <col min="5908" max="5908" width="9" style="174" customWidth="1"/>
    <col min="5909" max="5910" width="8.5546875" style="174" customWidth="1"/>
    <col min="5911" max="5911" width="7.88671875" style="174" customWidth="1"/>
    <col min="5912" max="5912" width="9.109375" style="174" customWidth="1"/>
    <col min="5913" max="5913" width="6.77734375" style="174" customWidth="1"/>
    <col min="5914" max="5914" width="8.33203125" style="174" customWidth="1"/>
    <col min="5915" max="5915" width="8.109375" style="174" bestFit="1" customWidth="1"/>
    <col min="5916" max="5916" width="8" style="174" bestFit="1" customWidth="1"/>
    <col min="5917" max="5917" width="7.6640625" style="174" customWidth="1"/>
    <col min="5918" max="5919" width="6.88671875" style="174" customWidth="1"/>
    <col min="5920" max="5920" width="10.21875" style="174" customWidth="1"/>
    <col min="5921" max="5921" width="6.88671875" style="174" customWidth="1"/>
    <col min="5922" max="5922" width="8.77734375" style="174" customWidth="1"/>
    <col min="5923" max="5923" width="7.77734375" style="174" customWidth="1"/>
    <col min="5924" max="5924" width="7.5546875" style="174" customWidth="1"/>
    <col min="5925" max="5925" width="6.88671875" style="174" customWidth="1"/>
    <col min="5926" max="5926" width="9.77734375" style="174" customWidth="1"/>
    <col min="5927" max="5927" width="7.44140625" style="174" bestFit="1" customWidth="1"/>
    <col min="5928" max="5928" width="9.44140625" style="174" customWidth="1"/>
    <col min="5929" max="5929" width="9.21875" style="174" customWidth="1"/>
    <col min="5930" max="5930" width="10.77734375" style="174" customWidth="1"/>
    <col min="5931" max="5931" width="7.44140625" style="174" customWidth="1"/>
    <col min="5932" max="5932" width="8.6640625" style="174" customWidth="1"/>
    <col min="5933" max="5933" width="7.44140625" style="174" customWidth="1"/>
    <col min="5934" max="5934" width="10.33203125" style="174" customWidth="1"/>
    <col min="5935" max="5935" width="8.6640625" style="174" customWidth="1"/>
    <col min="5936" max="5936" width="10.5546875" style="174" customWidth="1"/>
    <col min="5937" max="5937" width="7.44140625" style="174" customWidth="1"/>
    <col min="5938" max="5938" width="10.5546875" style="174" customWidth="1"/>
    <col min="5939" max="5939" width="7.44140625" style="174" customWidth="1"/>
    <col min="5940" max="5940" width="10.5546875" style="174" customWidth="1"/>
    <col min="5941" max="5941" width="7.44140625" style="174" customWidth="1"/>
    <col min="5942" max="5942" width="10.5546875" style="174" customWidth="1"/>
    <col min="5943" max="5943" width="7.44140625" style="174" customWidth="1"/>
    <col min="5944" max="5944" width="10.5546875" style="174" customWidth="1"/>
    <col min="5945" max="5945" width="7.44140625" style="174" customWidth="1"/>
    <col min="5946" max="5946" width="10.5546875" style="174" customWidth="1"/>
    <col min="5947" max="5947" width="7.44140625" style="174" customWidth="1"/>
    <col min="5948" max="5948" width="10.5546875" style="174" customWidth="1"/>
    <col min="5949" max="5949" width="7.44140625" style="174" customWidth="1"/>
    <col min="5950" max="5950" width="9.44140625" style="174" customWidth="1"/>
    <col min="5951" max="5951" width="8.88671875" style="174" customWidth="1"/>
    <col min="5952" max="5953" width="12.109375" style="174" customWidth="1"/>
    <col min="5954" max="5954" width="6.109375" style="174" bestFit="1" customWidth="1"/>
    <col min="5955" max="5955" width="9.77734375" style="174"/>
    <col min="5956" max="5957" width="10.77734375" style="174" customWidth="1"/>
    <col min="5958" max="5960" width="9.77734375" style="174"/>
    <col min="5961" max="5961" width="11.77734375" style="174" customWidth="1"/>
    <col min="5962" max="5962" width="12.77734375" style="174" customWidth="1"/>
    <col min="5963" max="6144" width="9.77734375" style="174"/>
    <col min="6145" max="6145" width="20.21875" style="174" bestFit="1" customWidth="1"/>
    <col min="6146" max="6146" width="9.21875" style="174" customWidth="1"/>
    <col min="6147" max="6147" width="7.109375" style="174" customWidth="1"/>
    <col min="6148" max="6148" width="7.88671875" style="174" customWidth="1"/>
    <col min="6149" max="6149" width="7.6640625" style="174" customWidth="1"/>
    <col min="6150" max="6150" width="8.77734375" style="174" customWidth="1"/>
    <col min="6151" max="6151" width="7.77734375" style="174" customWidth="1"/>
    <col min="6152" max="6152" width="8.77734375" style="174" customWidth="1"/>
    <col min="6153" max="6153" width="7.77734375" style="174" customWidth="1"/>
    <col min="6154" max="6154" width="8.77734375" style="174" customWidth="1"/>
    <col min="6155" max="6155" width="7.77734375" style="174" customWidth="1"/>
    <col min="6156" max="6156" width="9" style="174" customWidth="1"/>
    <col min="6157" max="6157" width="7.21875" style="174" customWidth="1"/>
    <col min="6158" max="6158" width="8.6640625" style="174" customWidth="1"/>
    <col min="6159" max="6159" width="7.33203125" style="174" customWidth="1"/>
    <col min="6160" max="6160" width="8.6640625" style="174" customWidth="1"/>
    <col min="6161" max="6161" width="7.33203125" style="174" customWidth="1"/>
    <col min="6162" max="6162" width="8.77734375" style="174" customWidth="1"/>
    <col min="6163" max="6163" width="7.33203125" style="174" customWidth="1"/>
    <col min="6164" max="6164" width="9" style="174" customWidth="1"/>
    <col min="6165" max="6166" width="8.5546875" style="174" customWidth="1"/>
    <col min="6167" max="6167" width="7.88671875" style="174" customWidth="1"/>
    <col min="6168" max="6168" width="9.109375" style="174" customWidth="1"/>
    <col min="6169" max="6169" width="6.77734375" style="174" customWidth="1"/>
    <col min="6170" max="6170" width="8.33203125" style="174" customWidth="1"/>
    <col min="6171" max="6171" width="8.109375" style="174" bestFit="1" customWidth="1"/>
    <col min="6172" max="6172" width="8" style="174" bestFit="1" customWidth="1"/>
    <col min="6173" max="6173" width="7.6640625" style="174" customWidth="1"/>
    <col min="6174" max="6175" width="6.88671875" style="174" customWidth="1"/>
    <col min="6176" max="6176" width="10.21875" style="174" customWidth="1"/>
    <col min="6177" max="6177" width="6.88671875" style="174" customWidth="1"/>
    <col min="6178" max="6178" width="8.77734375" style="174" customWidth="1"/>
    <col min="6179" max="6179" width="7.77734375" style="174" customWidth="1"/>
    <col min="6180" max="6180" width="7.5546875" style="174" customWidth="1"/>
    <col min="6181" max="6181" width="6.88671875" style="174" customWidth="1"/>
    <col min="6182" max="6182" width="9.77734375" style="174" customWidth="1"/>
    <col min="6183" max="6183" width="7.44140625" style="174" bestFit="1" customWidth="1"/>
    <col min="6184" max="6184" width="9.44140625" style="174" customWidth="1"/>
    <col min="6185" max="6185" width="9.21875" style="174" customWidth="1"/>
    <col min="6186" max="6186" width="10.77734375" style="174" customWidth="1"/>
    <col min="6187" max="6187" width="7.44140625" style="174" customWidth="1"/>
    <col min="6188" max="6188" width="8.6640625" style="174" customWidth="1"/>
    <col min="6189" max="6189" width="7.44140625" style="174" customWidth="1"/>
    <col min="6190" max="6190" width="10.33203125" style="174" customWidth="1"/>
    <col min="6191" max="6191" width="8.6640625" style="174" customWidth="1"/>
    <col min="6192" max="6192" width="10.5546875" style="174" customWidth="1"/>
    <col min="6193" max="6193" width="7.44140625" style="174" customWidth="1"/>
    <col min="6194" max="6194" width="10.5546875" style="174" customWidth="1"/>
    <col min="6195" max="6195" width="7.44140625" style="174" customWidth="1"/>
    <col min="6196" max="6196" width="10.5546875" style="174" customWidth="1"/>
    <col min="6197" max="6197" width="7.44140625" style="174" customWidth="1"/>
    <col min="6198" max="6198" width="10.5546875" style="174" customWidth="1"/>
    <col min="6199" max="6199" width="7.44140625" style="174" customWidth="1"/>
    <col min="6200" max="6200" width="10.5546875" style="174" customWidth="1"/>
    <col min="6201" max="6201" width="7.44140625" style="174" customWidth="1"/>
    <col min="6202" max="6202" width="10.5546875" style="174" customWidth="1"/>
    <col min="6203" max="6203" width="7.44140625" style="174" customWidth="1"/>
    <col min="6204" max="6204" width="10.5546875" style="174" customWidth="1"/>
    <col min="6205" max="6205" width="7.44140625" style="174" customWidth="1"/>
    <col min="6206" max="6206" width="9.44140625" style="174" customWidth="1"/>
    <col min="6207" max="6207" width="8.88671875" style="174" customWidth="1"/>
    <col min="6208" max="6209" width="12.109375" style="174" customWidth="1"/>
    <col min="6210" max="6210" width="6.109375" style="174" bestFit="1" customWidth="1"/>
    <col min="6211" max="6211" width="9.77734375" style="174"/>
    <col min="6212" max="6213" width="10.77734375" style="174" customWidth="1"/>
    <col min="6214" max="6216" width="9.77734375" style="174"/>
    <col min="6217" max="6217" width="11.77734375" style="174" customWidth="1"/>
    <col min="6218" max="6218" width="12.77734375" style="174" customWidth="1"/>
    <col min="6219" max="6400" width="9.77734375" style="174"/>
    <col min="6401" max="6401" width="20.21875" style="174" bestFit="1" customWidth="1"/>
    <col min="6402" max="6402" width="9.21875" style="174" customWidth="1"/>
    <col min="6403" max="6403" width="7.109375" style="174" customWidth="1"/>
    <col min="6404" max="6404" width="7.88671875" style="174" customWidth="1"/>
    <col min="6405" max="6405" width="7.6640625" style="174" customWidth="1"/>
    <col min="6406" max="6406" width="8.77734375" style="174" customWidth="1"/>
    <col min="6407" max="6407" width="7.77734375" style="174" customWidth="1"/>
    <col min="6408" max="6408" width="8.77734375" style="174" customWidth="1"/>
    <col min="6409" max="6409" width="7.77734375" style="174" customWidth="1"/>
    <col min="6410" max="6410" width="8.77734375" style="174" customWidth="1"/>
    <col min="6411" max="6411" width="7.77734375" style="174" customWidth="1"/>
    <col min="6412" max="6412" width="9" style="174" customWidth="1"/>
    <col min="6413" max="6413" width="7.21875" style="174" customWidth="1"/>
    <col min="6414" max="6414" width="8.6640625" style="174" customWidth="1"/>
    <col min="6415" max="6415" width="7.33203125" style="174" customWidth="1"/>
    <col min="6416" max="6416" width="8.6640625" style="174" customWidth="1"/>
    <col min="6417" max="6417" width="7.33203125" style="174" customWidth="1"/>
    <col min="6418" max="6418" width="8.77734375" style="174" customWidth="1"/>
    <col min="6419" max="6419" width="7.33203125" style="174" customWidth="1"/>
    <col min="6420" max="6420" width="9" style="174" customWidth="1"/>
    <col min="6421" max="6422" width="8.5546875" style="174" customWidth="1"/>
    <col min="6423" max="6423" width="7.88671875" style="174" customWidth="1"/>
    <col min="6424" max="6424" width="9.109375" style="174" customWidth="1"/>
    <col min="6425" max="6425" width="6.77734375" style="174" customWidth="1"/>
    <col min="6426" max="6426" width="8.33203125" style="174" customWidth="1"/>
    <col min="6427" max="6427" width="8.109375" style="174" bestFit="1" customWidth="1"/>
    <col min="6428" max="6428" width="8" style="174" bestFit="1" customWidth="1"/>
    <col min="6429" max="6429" width="7.6640625" style="174" customWidth="1"/>
    <col min="6430" max="6431" width="6.88671875" style="174" customWidth="1"/>
    <col min="6432" max="6432" width="10.21875" style="174" customWidth="1"/>
    <col min="6433" max="6433" width="6.88671875" style="174" customWidth="1"/>
    <col min="6434" max="6434" width="8.77734375" style="174" customWidth="1"/>
    <col min="6435" max="6435" width="7.77734375" style="174" customWidth="1"/>
    <col min="6436" max="6436" width="7.5546875" style="174" customWidth="1"/>
    <col min="6437" max="6437" width="6.88671875" style="174" customWidth="1"/>
    <col min="6438" max="6438" width="9.77734375" style="174" customWidth="1"/>
    <col min="6439" max="6439" width="7.44140625" style="174" bestFit="1" customWidth="1"/>
    <col min="6440" max="6440" width="9.44140625" style="174" customWidth="1"/>
    <col min="6441" max="6441" width="9.21875" style="174" customWidth="1"/>
    <col min="6442" max="6442" width="10.77734375" style="174" customWidth="1"/>
    <col min="6443" max="6443" width="7.44140625" style="174" customWidth="1"/>
    <col min="6444" max="6444" width="8.6640625" style="174" customWidth="1"/>
    <col min="6445" max="6445" width="7.44140625" style="174" customWidth="1"/>
    <col min="6446" max="6446" width="10.33203125" style="174" customWidth="1"/>
    <col min="6447" max="6447" width="8.6640625" style="174" customWidth="1"/>
    <col min="6448" max="6448" width="10.5546875" style="174" customWidth="1"/>
    <col min="6449" max="6449" width="7.44140625" style="174" customWidth="1"/>
    <col min="6450" max="6450" width="10.5546875" style="174" customWidth="1"/>
    <col min="6451" max="6451" width="7.44140625" style="174" customWidth="1"/>
    <col min="6452" max="6452" width="10.5546875" style="174" customWidth="1"/>
    <col min="6453" max="6453" width="7.44140625" style="174" customWidth="1"/>
    <col min="6454" max="6454" width="10.5546875" style="174" customWidth="1"/>
    <col min="6455" max="6455" width="7.44140625" style="174" customWidth="1"/>
    <col min="6456" max="6456" width="10.5546875" style="174" customWidth="1"/>
    <col min="6457" max="6457" width="7.44140625" style="174" customWidth="1"/>
    <col min="6458" max="6458" width="10.5546875" style="174" customWidth="1"/>
    <col min="6459" max="6459" width="7.44140625" style="174" customWidth="1"/>
    <col min="6460" max="6460" width="10.5546875" style="174" customWidth="1"/>
    <col min="6461" max="6461" width="7.44140625" style="174" customWidth="1"/>
    <col min="6462" max="6462" width="9.44140625" style="174" customWidth="1"/>
    <col min="6463" max="6463" width="8.88671875" style="174" customWidth="1"/>
    <col min="6464" max="6465" width="12.109375" style="174" customWidth="1"/>
    <col min="6466" max="6466" width="6.109375" style="174" bestFit="1" customWidth="1"/>
    <col min="6467" max="6467" width="9.77734375" style="174"/>
    <col min="6468" max="6469" width="10.77734375" style="174" customWidth="1"/>
    <col min="6470" max="6472" width="9.77734375" style="174"/>
    <col min="6473" max="6473" width="11.77734375" style="174" customWidth="1"/>
    <col min="6474" max="6474" width="12.77734375" style="174" customWidth="1"/>
    <col min="6475" max="6656" width="9.77734375" style="174"/>
    <col min="6657" max="6657" width="20.21875" style="174" bestFit="1" customWidth="1"/>
    <col min="6658" max="6658" width="9.21875" style="174" customWidth="1"/>
    <col min="6659" max="6659" width="7.109375" style="174" customWidth="1"/>
    <col min="6660" max="6660" width="7.88671875" style="174" customWidth="1"/>
    <col min="6661" max="6661" width="7.6640625" style="174" customWidth="1"/>
    <col min="6662" max="6662" width="8.77734375" style="174" customWidth="1"/>
    <col min="6663" max="6663" width="7.77734375" style="174" customWidth="1"/>
    <col min="6664" max="6664" width="8.77734375" style="174" customWidth="1"/>
    <col min="6665" max="6665" width="7.77734375" style="174" customWidth="1"/>
    <col min="6666" max="6666" width="8.77734375" style="174" customWidth="1"/>
    <col min="6667" max="6667" width="7.77734375" style="174" customWidth="1"/>
    <col min="6668" max="6668" width="9" style="174" customWidth="1"/>
    <col min="6669" max="6669" width="7.21875" style="174" customWidth="1"/>
    <col min="6670" max="6670" width="8.6640625" style="174" customWidth="1"/>
    <col min="6671" max="6671" width="7.33203125" style="174" customWidth="1"/>
    <col min="6672" max="6672" width="8.6640625" style="174" customWidth="1"/>
    <col min="6673" max="6673" width="7.33203125" style="174" customWidth="1"/>
    <col min="6674" max="6674" width="8.77734375" style="174" customWidth="1"/>
    <col min="6675" max="6675" width="7.33203125" style="174" customWidth="1"/>
    <col min="6676" max="6676" width="9" style="174" customWidth="1"/>
    <col min="6677" max="6678" width="8.5546875" style="174" customWidth="1"/>
    <col min="6679" max="6679" width="7.88671875" style="174" customWidth="1"/>
    <col min="6680" max="6680" width="9.109375" style="174" customWidth="1"/>
    <col min="6681" max="6681" width="6.77734375" style="174" customWidth="1"/>
    <col min="6682" max="6682" width="8.33203125" style="174" customWidth="1"/>
    <col min="6683" max="6683" width="8.109375" style="174" bestFit="1" customWidth="1"/>
    <col min="6684" max="6684" width="8" style="174" bestFit="1" customWidth="1"/>
    <col min="6685" max="6685" width="7.6640625" style="174" customWidth="1"/>
    <col min="6686" max="6687" width="6.88671875" style="174" customWidth="1"/>
    <col min="6688" max="6688" width="10.21875" style="174" customWidth="1"/>
    <col min="6689" max="6689" width="6.88671875" style="174" customWidth="1"/>
    <col min="6690" max="6690" width="8.77734375" style="174" customWidth="1"/>
    <col min="6691" max="6691" width="7.77734375" style="174" customWidth="1"/>
    <col min="6692" max="6692" width="7.5546875" style="174" customWidth="1"/>
    <col min="6693" max="6693" width="6.88671875" style="174" customWidth="1"/>
    <col min="6694" max="6694" width="9.77734375" style="174" customWidth="1"/>
    <col min="6695" max="6695" width="7.44140625" style="174" bestFit="1" customWidth="1"/>
    <col min="6696" max="6696" width="9.44140625" style="174" customWidth="1"/>
    <col min="6697" max="6697" width="9.21875" style="174" customWidth="1"/>
    <col min="6698" max="6698" width="10.77734375" style="174" customWidth="1"/>
    <col min="6699" max="6699" width="7.44140625" style="174" customWidth="1"/>
    <col min="6700" max="6700" width="8.6640625" style="174" customWidth="1"/>
    <col min="6701" max="6701" width="7.44140625" style="174" customWidth="1"/>
    <col min="6702" max="6702" width="10.33203125" style="174" customWidth="1"/>
    <col min="6703" max="6703" width="8.6640625" style="174" customWidth="1"/>
    <col min="6704" max="6704" width="10.5546875" style="174" customWidth="1"/>
    <col min="6705" max="6705" width="7.44140625" style="174" customWidth="1"/>
    <col min="6706" max="6706" width="10.5546875" style="174" customWidth="1"/>
    <col min="6707" max="6707" width="7.44140625" style="174" customWidth="1"/>
    <col min="6708" max="6708" width="10.5546875" style="174" customWidth="1"/>
    <col min="6709" max="6709" width="7.44140625" style="174" customWidth="1"/>
    <col min="6710" max="6710" width="10.5546875" style="174" customWidth="1"/>
    <col min="6711" max="6711" width="7.44140625" style="174" customWidth="1"/>
    <col min="6712" max="6712" width="10.5546875" style="174" customWidth="1"/>
    <col min="6713" max="6713" width="7.44140625" style="174" customWidth="1"/>
    <col min="6714" max="6714" width="10.5546875" style="174" customWidth="1"/>
    <col min="6715" max="6715" width="7.44140625" style="174" customWidth="1"/>
    <col min="6716" max="6716" width="10.5546875" style="174" customWidth="1"/>
    <col min="6717" max="6717" width="7.44140625" style="174" customWidth="1"/>
    <col min="6718" max="6718" width="9.44140625" style="174" customWidth="1"/>
    <col min="6719" max="6719" width="8.88671875" style="174" customWidth="1"/>
    <col min="6720" max="6721" width="12.109375" style="174" customWidth="1"/>
    <col min="6722" max="6722" width="6.109375" style="174" bestFit="1" customWidth="1"/>
    <col min="6723" max="6723" width="9.77734375" style="174"/>
    <col min="6724" max="6725" width="10.77734375" style="174" customWidth="1"/>
    <col min="6726" max="6728" width="9.77734375" style="174"/>
    <col min="6729" max="6729" width="11.77734375" style="174" customWidth="1"/>
    <col min="6730" max="6730" width="12.77734375" style="174" customWidth="1"/>
    <col min="6731" max="6912" width="9.77734375" style="174"/>
    <col min="6913" max="6913" width="20.21875" style="174" bestFit="1" customWidth="1"/>
    <col min="6914" max="6914" width="9.21875" style="174" customWidth="1"/>
    <col min="6915" max="6915" width="7.109375" style="174" customWidth="1"/>
    <col min="6916" max="6916" width="7.88671875" style="174" customWidth="1"/>
    <col min="6917" max="6917" width="7.6640625" style="174" customWidth="1"/>
    <col min="6918" max="6918" width="8.77734375" style="174" customWidth="1"/>
    <col min="6919" max="6919" width="7.77734375" style="174" customWidth="1"/>
    <col min="6920" max="6920" width="8.77734375" style="174" customWidth="1"/>
    <col min="6921" max="6921" width="7.77734375" style="174" customWidth="1"/>
    <col min="6922" max="6922" width="8.77734375" style="174" customWidth="1"/>
    <col min="6923" max="6923" width="7.77734375" style="174" customWidth="1"/>
    <col min="6924" max="6924" width="9" style="174" customWidth="1"/>
    <col min="6925" max="6925" width="7.21875" style="174" customWidth="1"/>
    <col min="6926" max="6926" width="8.6640625" style="174" customWidth="1"/>
    <col min="6927" max="6927" width="7.33203125" style="174" customWidth="1"/>
    <col min="6928" max="6928" width="8.6640625" style="174" customWidth="1"/>
    <col min="6929" max="6929" width="7.33203125" style="174" customWidth="1"/>
    <col min="6930" max="6930" width="8.77734375" style="174" customWidth="1"/>
    <col min="6931" max="6931" width="7.33203125" style="174" customWidth="1"/>
    <col min="6932" max="6932" width="9" style="174" customWidth="1"/>
    <col min="6933" max="6934" width="8.5546875" style="174" customWidth="1"/>
    <col min="6935" max="6935" width="7.88671875" style="174" customWidth="1"/>
    <col min="6936" max="6936" width="9.109375" style="174" customWidth="1"/>
    <col min="6937" max="6937" width="6.77734375" style="174" customWidth="1"/>
    <col min="6938" max="6938" width="8.33203125" style="174" customWidth="1"/>
    <col min="6939" max="6939" width="8.109375" style="174" bestFit="1" customWidth="1"/>
    <col min="6940" max="6940" width="8" style="174" bestFit="1" customWidth="1"/>
    <col min="6941" max="6941" width="7.6640625" style="174" customWidth="1"/>
    <col min="6942" max="6943" width="6.88671875" style="174" customWidth="1"/>
    <col min="6944" max="6944" width="10.21875" style="174" customWidth="1"/>
    <col min="6945" max="6945" width="6.88671875" style="174" customWidth="1"/>
    <col min="6946" max="6946" width="8.77734375" style="174" customWidth="1"/>
    <col min="6947" max="6947" width="7.77734375" style="174" customWidth="1"/>
    <col min="6948" max="6948" width="7.5546875" style="174" customWidth="1"/>
    <col min="6949" max="6949" width="6.88671875" style="174" customWidth="1"/>
    <col min="6950" max="6950" width="9.77734375" style="174" customWidth="1"/>
    <col min="6951" max="6951" width="7.44140625" style="174" bestFit="1" customWidth="1"/>
    <col min="6952" max="6952" width="9.44140625" style="174" customWidth="1"/>
    <col min="6953" max="6953" width="9.21875" style="174" customWidth="1"/>
    <col min="6954" max="6954" width="10.77734375" style="174" customWidth="1"/>
    <col min="6955" max="6955" width="7.44140625" style="174" customWidth="1"/>
    <col min="6956" max="6956" width="8.6640625" style="174" customWidth="1"/>
    <col min="6957" max="6957" width="7.44140625" style="174" customWidth="1"/>
    <col min="6958" max="6958" width="10.33203125" style="174" customWidth="1"/>
    <col min="6959" max="6959" width="8.6640625" style="174" customWidth="1"/>
    <col min="6960" max="6960" width="10.5546875" style="174" customWidth="1"/>
    <col min="6961" max="6961" width="7.44140625" style="174" customWidth="1"/>
    <col min="6962" max="6962" width="10.5546875" style="174" customWidth="1"/>
    <col min="6963" max="6963" width="7.44140625" style="174" customWidth="1"/>
    <col min="6964" max="6964" width="10.5546875" style="174" customWidth="1"/>
    <col min="6965" max="6965" width="7.44140625" style="174" customWidth="1"/>
    <col min="6966" max="6966" width="10.5546875" style="174" customWidth="1"/>
    <col min="6967" max="6967" width="7.44140625" style="174" customWidth="1"/>
    <col min="6968" max="6968" width="10.5546875" style="174" customWidth="1"/>
    <col min="6969" max="6969" width="7.44140625" style="174" customWidth="1"/>
    <col min="6970" max="6970" width="10.5546875" style="174" customWidth="1"/>
    <col min="6971" max="6971" width="7.44140625" style="174" customWidth="1"/>
    <col min="6972" max="6972" width="10.5546875" style="174" customWidth="1"/>
    <col min="6973" max="6973" width="7.44140625" style="174" customWidth="1"/>
    <col min="6974" max="6974" width="9.44140625" style="174" customWidth="1"/>
    <col min="6975" max="6975" width="8.88671875" style="174" customWidth="1"/>
    <col min="6976" max="6977" width="12.109375" style="174" customWidth="1"/>
    <col min="6978" max="6978" width="6.109375" style="174" bestFit="1" customWidth="1"/>
    <col min="6979" max="6979" width="9.77734375" style="174"/>
    <col min="6980" max="6981" width="10.77734375" style="174" customWidth="1"/>
    <col min="6982" max="6984" width="9.77734375" style="174"/>
    <col min="6985" max="6985" width="11.77734375" style="174" customWidth="1"/>
    <col min="6986" max="6986" width="12.77734375" style="174" customWidth="1"/>
    <col min="6987" max="7168" width="9.77734375" style="174"/>
    <col min="7169" max="7169" width="20.21875" style="174" bestFit="1" customWidth="1"/>
    <col min="7170" max="7170" width="9.21875" style="174" customWidth="1"/>
    <col min="7171" max="7171" width="7.109375" style="174" customWidth="1"/>
    <col min="7172" max="7172" width="7.88671875" style="174" customWidth="1"/>
    <col min="7173" max="7173" width="7.6640625" style="174" customWidth="1"/>
    <col min="7174" max="7174" width="8.77734375" style="174" customWidth="1"/>
    <col min="7175" max="7175" width="7.77734375" style="174" customWidth="1"/>
    <col min="7176" max="7176" width="8.77734375" style="174" customWidth="1"/>
    <col min="7177" max="7177" width="7.77734375" style="174" customWidth="1"/>
    <col min="7178" max="7178" width="8.77734375" style="174" customWidth="1"/>
    <col min="7179" max="7179" width="7.77734375" style="174" customWidth="1"/>
    <col min="7180" max="7180" width="9" style="174" customWidth="1"/>
    <col min="7181" max="7181" width="7.21875" style="174" customWidth="1"/>
    <col min="7182" max="7182" width="8.6640625" style="174" customWidth="1"/>
    <col min="7183" max="7183" width="7.33203125" style="174" customWidth="1"/>
    <col min="7184" max="7184" width="8.6640625" style="174" customWidth="1"/>
    <col min="7185" max="7185" width="7.33203125" style="174" customWidth="1"/>
    <col min="7186" max="7186" width="8.77734375" style="174" customWidth="1"/>
    <col min="7187" max="7187" width="7.33203125" style="174" customWidth="1"/>
    <col min="7188" max="7188" width="9" style="174" customWidth="1"/>
    <col min="7189" max="7190" width="8.5546875" style="174" customWidth="1"/>
    <col min="7191" max="7191" width="7.88671875" style="174" customWidth="1"/>
    <col min="7192" max="7192" width="9.109375" style="174" customWidth="1"/>
    <col min="7193" max="7193" width="6.77734375" style="174" customWidth="1"/>
    <col min="7194" max="7194" width="8.33203125" style="174" customWidth="1"/>
    <col min="7195" max="7195" width="8.109375" style="174" bestFit="1" customWidth="1"/>
    <col min="7196" max="7196" width="8" style="174" bestFit="1" customWidth="1"/>
    <col min="7197" max="7197" width="7.6640625" style="174" customWidth="1"/>
    <col min="7198" max="7199" width="6.88671875" style="174" customWidth="1"/>
    <col min="7200" max="7200" width="10.21875" style="174" customWidth="1"/>
    <col min="7201" max="7201" width="6.88671875" style="174" customWidth="1"/>
    <col min="7202" max="7202" width="8.77734375" style="174" customWidth="1"/>
    <col min="7203" max="7203" width="7.77734375" style="174" customWidth="1"/>
    <col min="7204" max="7204" width="7.5546875" style="174" customWidth="1"/>
    <col min="7205" max="7205" width="6.88671875" style="174" customWidth="1"/>
    <col min="7206" max="7206" width="9.77734375" style="174" customWidth="1"/>
    <col min="7207" max="7207" width="7.44140625" style="174" bestFit="1" customWidth="1"/>
    <col min="7208" max="7208" width="9.44140625" style="174" customWidth="1"/>
    <col min="7209" max="7209" width="9.21875" style="174" customWidth="1"/>
    <col min="7210" max="7210" width="10.77734375" style="174" customWidth="1"/>
    <col min="7211" max="7211" width="7.44140625" style="174" customWidth="1"/>
    <col min="7212" max="7212" width="8.6640625" style="174" customWidth="1"/>
    <col min="7213" max="7213" width="7.44140625" style="174" customWidth="1"/>
    <col min="7214" max="7214" width="10.33203125" style="174" customWidth="1"/>
    <col min="7215" max="7215" width="8.6640625" style="174" customWidth="1"/>
    <col min="7216" max="7216" width="10.5546875" style="174" customWidth="1"/>
    <col min="7217" max="7217" width="7.44140625" style="174" customWidth="1"/>
    <col min="7218" max="7218" width="10.5546875" style="174" customWidth="1"/>
    <col min="7219" max="7219" width="7.44140625" style="174" customWidth="1"/>
    <col min="7220" max="7220" width="10.5546875" style="174" customWidth="1"/>
    <col min="7221" max="7221" width="7.44140625" style="174" customWidth="1"/>
    <col min="7222" max="7222" width="10.5546875" style="174" customWidth="1"/>
    <col min="7223" max="7223" width="7.44140625" style="174" customWidth="1"/>
    <col min="7224" max="7224" width="10.5546875" style="174" customWidth="1"/>
    <col min="7225" max="7225" width="7.44140625" style="174" customWidth="1"/>
    <col min="7226" max="7226" width="10.5546875" style="174" customWidth="1"/>
    <col min="7227" max="7227" width="7.44140625" style="174" customWidth="1"/>
    <col min="7228" max="7228" width="10.5546875" style="174" customWidth="1"/>
    <col min="7229" max="7229" width="7.44140625" style="174" customWidth="1"/>
    <col min="7230" max="7230" width="9.44140625" style="174" customWidth="1"/>
    <col min="7231" max="7231" width="8.88671875" style="174" customWidth="1"/>
    <col min="7232" max="7233" width="12.109375" style="174" customWidth="1"/>
    <col min="7234" max="7234" width="6.109375" style="174" bestFit="1" customWidth="1"/>
    <col min="7235" max="7235" width="9.77734375" style="174"/>
    <col min="7236" max="7237" width="10.77734375" style="174" customWidth="1"/>
    <col min="7238" max="7240" width="9.77734375" style="174"/>
    <col min="7241" max="7241" width="11.77734375" style="174" customWidth="1"/>
    <col min="7242" max="7242" width="12.77734375" style="174" customWidth="1"/>
    <col min="7243" max="7424" width="9.77734375" style="174"/>
    <col min="7425" max="7425" width="20.21875" style="174" bestFit="1" customWidth="1"/>
    <col min="7426" max="7426" width="9.21875" style="174" customWidth="1"/>
    <col min="7427" max="7427" width="7.109375" style="174" customWidth="1"/>
    <col min="7428" max="7428" width="7.88671875" style="174" customWidth="1"/>
    <col min="7429" max="7429" width="7.6640625" style="174" customWidth="1"/>
    <col min="7430" max="7430" width="8.77734375" style="174" customWidth="1"/>
    <col min="7431" max="7431" width="7.77734375" style="174" customWidth="1"/>
    <col min="7432" max="7432" width="8.77734375" style="174" customWidth="1"/>
    <col min="7433" max="7433" width="7.77734375" style="174" customWidth="1"/>
    <col min="7434" max="7434" width="8.77734375" style="174" customWidth="1"/>
    <col min="7435" max="7435" width="7.77734375" style="174" customWidth="1"/>
    <col min="7436" max="7436" width="9" style="174" customWidth="1"/>
    <col min="7437" max="7437" width="7.21875" style="174" customWidth="1"/>
    <col min="7438" max="7438" width="8.6640625" style="174" customWidth="1"/>
    <col min="7439" max="7439" width="7.33203125" style="174" customWidth="1"/>
    <col min="7440" max="7440" width="8.6640625" style="174" customWidth="1"/>
    <col min="7441" max="7441" width="7.33203125" style="174" customWidth="1"/>
    <col min="7442" max="7442" width="8.77734375" style="174" customWidth="1"/>
    <col min="7443" max="7443" width="7.33203125" style="174" customWidth="1"/>
    <col min="7444" max="7444" width="9" style="174" customWidth="1"/>
    <col min="7445" max="7446" width="8.5546875" style="174" customWidth="1"/>
    <col min="7447" max="7447" width="7.88671875" style="174" customWidth="1"/>
    <col min="7448" max="7448" width="9.109375" style="174" customWidth="1"/>
    <col min="7449" max="7449" width="6.77734375" style="174" customWidth="1"/>
    <col min="7450" max="7450" width="8.33203125" style="174" customWidth="1"/>
    <col min="7451" max="7451" width="8.109375" style="174" bestFit="1" customWidth="1"/>
    <col min="7452" max="7452" width="8" style="174" bestFit="1" customWidth="1"/>
    <col min="7453" max="7453" width="7.6640625" style="174" customWidth="1"/>
    <col min="7454" max="7455" width="6.88671875" style="174" customWidth="1"/>
    <col min="7456" max="7456" width="10.21875" style="174" customWidth="1"/>
    <col min="7457" max="7457" width="6.88671875" style="174" customWidth="1"/>
    <col min="7458" max="7458" width="8.77734375" style="174" customWidth="1"/>
    <col min="7459" max="7459" width="7.77734375" style="174" customWidth="1"/>
    <col min="7460" max="7460" width="7.5546875" style="174" customWidth="1"/>
    <col min="7461" max="7461" width="6.88671875" style="174" customWidth="1"/>
    <col min="7462" max="7462" width="9.77734375" style="174" customWidth="1"/>
    <col min="7463" max="7463" width="7.44140625" style="174" bestFit="1" customWidth="1"/>
    <col min="7464" max="7464" width="9.44140625" style="174" customWidth="1"/>
    <col min="7465" max="7465" width="9.21875" style="174" customWidth="1"/>
    <col min="7466" max="7466" width="10.77734375" style="174" customWidth="1"/>
    <col min="7467" max="7467" width="7.44140625" style="174" customWidth="1"/>
    <col min="7468" max="7468" width="8.6640625" style="174" customWidth="1"/>
    <col min="7469" max="7469" width="7.44140625" style="174" customWidth="1"/>
    <col min="7470" max="7470" width="10.33203125" style="174" customWidth="1"/>
    <col min="7471" max="7471" width="8.6640625" style="174" customWidth="1"/>
    <col min="7472" max="7472" width="10.5546875" style="174" customWidth="1"/>
    <col min="7473" max="7473" width="7.44140625" style="174" customWidth="1"/>
    <col min="7474" max="7474" width="10.5546875" style="174" customWidth="1"/>
    <col min="7475" max="7475" width="7.44140625" style="174" customWidth="1"/>
    <col min="7476" max="7476" width="10.5546875" style="174" customWidth="1"/>
    <col min="7477" max="7477" width="7.44140625" style="174" customWidth="1"/>
    <col min="7478" max="7478" width="10.5546875" style="174" customWidth="1"/>
    <col min="7479" max="7479" width="7.44140625" style="174" customWidth="1"/>
    <col min="7480" max="7480" width="10.5546875" style="174" customWidth="1"/>
    <col min="7481" max="7481" width="7.44140625" style="174" customWidth="1"/>
    <col min="7482" max="7482" width="10.5546875" style="174" customWidth="1"/>
    <col min="7483" max="7483" width="7.44140625" style="174" customWidth="1"/>
    <col min="7484" max="7484" width="10.5546875" style="174" customWidth="1"/>
    <col min="7485" max="7485" width="7.44140625" style="174" customWidth="1"/>
    <col min="7486" max="7486" width="9.44140625" style="174" customWidth="1"/>
    <col min="7487" max="7487" width="8.88671875" style="174" customWidth="1"/>
    <col min="7488" max="7489" width="12.109375" style="174" customWidth="1"/>
    <col min="7490" max="7490" width="6.109375" style="174" bestFit="1" customWidth="1"/>
    <col min="7491" max="7491" width="9.77734375" style="174"/>
    <col min="7492" max="7493" width="10.77734375" style="174" customWidth="1"/>
    <col min="7494" max="7496" width="9.77734375" style="174"/>
    <col min="7497" max="7497" width="11.77734375" style="174" customWidth="1"/>
    <col min="7498" max="7498" width="12.77734375" style="174" customWidth="1"/>
    <col min="7499" max="7680" width="9.77734375" style="174"/>
    <col min="7681" max="7681" width="20.21875" style="174" bestFit="1" customWidth="1"/>
    <col min="7682" max="7682" width="9.21875" style="174" customWidth="1"/>
    <col min="7683" max="7683" width="7.109375" style="174" customWidth="1"/>
    <col min="7684" max="7684" width="7.88671875" style="174" customWidth="1"/>
    <col min="7685" max="7685" width="7.6640625" style="174" customWidth="1"/>
    <col min="7686" max="7686" width="8.77734375" style="174" customWidth="1"/>
    <col min="7687" max="7687" width="7.77734375" style="174" customWidth="1"/>
    <col min="7688" max="7688" width="8.77734375" style="174" customWidth="1"/>
    <col min="7689" max="7689" width="7.77734375" style="174" customWidth="1"/>
    <col min="7690" max="7690" width="8.77734375" style="174" customWidth="1"/>
    <col min="7691" max="7691" width="7.77734375" style="174" customWidth="1"/>
    <col min="7692" max="7692" width="9" style="174" customWidth="1"/>
    <col min="7693" max="7693" width="7.21875" style="174" customWidth="1"/>
    <col min="7694" max="7694" width="8.6640625" style="174" customWidth="1"/>
    <col min="7695" max="7695" width="7.33203125" style="174" customWidth="1"/>
    <col min="7696" max="7696" width="8.6640625" style="174" customWidth="1"/>
    <col min="7697" max="7697" width="7.33203125" style="174" customWidth="1"/>
    <col min="7698" max="7698" width="8.77734375" style="174" customWidth="1"/>
    <col min="7699" max="7699" width="7.33203125" style="174" customWidth="1"/>
    <col min="7700" max="7700" width="9" style="174" customWidth="1"/>
    <col min="7701" max="7702" width="8.5546875" style="174" customWidth="1"/>
    <col min="7703" max="7703" width="7.88671875" style="174" customWidth="1"/>
    <col min="7704" max="7704" width="9.109375" style="174" customWidth="1"/>
    <col min="7705" max="7705" width="6.77734375" style="174" customWidth="1"/>
    <col min="7706" max="7706" width="8.33203125" style="174" customWidth="1"/>
    <col min="7707" max="7707" width="8.109375" style="174" bestFit="1" customWidth="1"/>
    <col min="7708" max="7708" width="8" style="174" bestFit="1" customWidth="1"/>
    <col min="7709" max="7709" width="7.6640625" style="174" customWidth="1"/>
    <col min="7710" max="7711" width="6.88671875" style="174" customWidth="1"/>
    <col min="7712" max="7712" width="10.21875" style="174" customWidth="1"/>
    <col min="7713" max="7713" width="6.88671875" style="174" customWidth="1"/>
    <col min="7714" max="7714" width="8.77734375" style="174" customWidth="1"/>
    <col min="7715" max="7715" width="7.77734375" style="174" customWidth="1"/>
    <col min="7716" max="7716" width="7.5546875" style="174" customWidth="1"/>
    <col min="7717" max="7717" width="6.88671875" style="174" customWidth="1"/>
    <col min="7718" max="7718" width="9.77734375" style="174" customWidth="1"/>
    <col min="7719" max="7719" width="7.44140625" style="174" bestFit="1" customWidth="1"/>
    <col min="7720" max="7720" width="9.44140625" style="174" customWidth="1"/>
    <col min="7721" max="7721" width="9.21875" style="174" customWidth="1"/>
    <col min="7722" max="7722" width="10.77734375" style="174" customWidth="1"/>
    <col min="7723" max="7723" width="7.44140625" style="174" customWidth="1"/>
    <col min="7724" max="7724" width="8.6640625" style="174" customWidth="1"/>
    <col min="7725" max="7725" width="7.44140625" style="174" customWidth="1"/>
    <col min="7726" max="7726" width="10.33203125" style="174" customWidth="1"/>
    <col min="7727" max="7727" width="8.6640625" style="174" customWidth="1"/>
    <col min="7728" max="7728" width="10.5546875" style="174" customWidth="1"/>
    <col min="7729" max="7729" width="7.44140625" style="174" customWidth="1"/>
    <col min="7730" max="7730" width="10.5546875" style="174" customWidth="1"/>
    <col min="7731" max="7731" width="7.44140625" style="174" customWidth="1"/>
    <col min="7732" max="7732" width="10.5546875" style="174" customWidth="1"/>
    <col min="7733" max="7733" width="7.44140625" style="174" customWidth="1"/>
    <col min="7734" max="7734" width="10.5546875" style="174" customWidth="1"/>
    <col min="7735" max="7735" width="7.44140625" style="174" customWidth="1"/>
    <col min="7736" max="7736" width="10.5546875" style="174" customWidth="1"/>
    <col min="7737" max="7737" width="7.44140625" style="174" customWidth="1"/>
    <col min="7738" max="7738" width="10.5546875" style="174" customWidth="1"/>
    <col min="7739" max="7739" width="7.44140625" style="174" customWidth="1"/>
    <col min="7740" max="7740" width="10.5546875" style="174" customWidth="1"/>
    <col min="7741" max="7741" width="7.44140625" style="174" customWidth="1"/>
    <col min="7742" max="7742" width="9.44140625" style="174" customWidth="1"/>
    <col min="7743" max="7743" width="8.88671875" style="174" customWidth="1"/>
    <col min="7744" max="7745" width="12.109375" style="174" customWidth="1"/>
    <col min="7746" max="7746" width="6.109375" style="174" bestFit="1" customWidth="1"/>
    <col min="7747" max="7747" width="9.77734375" style="174"/>
    <col min="7748" max="7749" width="10.77734375" style="174" customWidth="1"/>
    <col min="7750" max="7752" width="9.77734375" style="174"/>
    <col min="7753" max="7753" width="11.77734375" style="174" customWidth="1"/>
    <col min="7754" max="7754" width="12.77734375" style="174" customWidth="1"/>
    <col min="7755" max="7936" width="9.77734375" style="174"/>
    <col min="7937" max="7937" width="20.21875" style="174" bestFit="1" customWidth="1"/>
    <col min="7938" max="7938" width="9.21875" style="174" customWidth="1"/>
    <col min="7939" max="7939" width="7.109375" style="174" customWidth="1"/>
    <col min="7940" max="7940" width="7.88671875" style="174" customWidth="1"/>
    <col min="7941" max="7941" width="7.6640625" style="174" customWidth="1"/>
    <col min="7942" max="7942" width="8.77734375" style="174" customWidth="1"/>
    <col min="7943" max="7943" width="7.77734375" style="174" customWidth="1"/>
    <col min="7944" max="7944" width="8.77734375" style="174" customWidth="1"/>
    <col min="7945" max="7945" width="7.77734375" style="174" customWidth="1"/>
    <col min="7946" max="7946" width="8.77734375" style="174" customWidth="1"/>
    <col min="7947" max="7947" width="7.77734375" style="174" customWidth="1"/>
    <col min="7948" max="7948" width="9" style="174" customWidth="1"/>
    <col min="7949" max="7949" width="7.21875" style="174" customWidth="1"/>
    <col min="7950" max="7950" width="8.6640625" style="174" customWidth="1"/>
    <col min="7951" max="7951" width="7.33203125" style="174" customWidth="1"/>
    <col min="7952" max="7952" width="8.6640625" style="174" customWidth="1"/>
    <col min="7953" max="7953" width="7.33203125" style="174" customWidth="1"/>
    <col min="7954" max="7954" width="8.77734375" style="174" customWidth="1"/>
    <col min="7955" max="7955" width="7.33203125" style="174" customWidth="1"/>
    <col min="7956" max="7956" width="9" style="174" customWidth="1"/>
    <col min="7957" max="7958" width="8.5546875" style="174" customWidth="1"/>
    <col min="7959" max="7959" width="7.88671875" style="174" customWidth="1"/>
    <col min="7960" max="7960" width="9.109375" style="174" customWidth="1"/>
    <col min="7961" max="7961" width="6.77734375" style="174" customWidth="1"/>
    <col min="7962" max="7962" width="8.33203125" style="174" customWidth="1"/>
    <col min="7963" max="7963" width="8.109375" style="174" bestFit="1" customWidth="1"/>
    <col min="7964" max="7964" width="8" style="174" bestFit="1" customWidth="1"/>
    <col min="7965" max="7965" width="7.6640625" style="174" customWidth="1"/>
    <col min="7966" max="7967" width="6.88671875" style="174" customWidth="1"/>
    <col min="7968" max="7968" width="10.21875" style="174" customWidth="1"/>
    <col min="7969" max="7969" width="6.88671875" style="174" customWidth="1"/>
    <col min="7970" max="7970" width="8.77734375" style="174" customWidth="1"/>
    <col min="7971" max="7971" width="7.77734375" style="174" customWidth="1"/>
    <col min="7972" max="7972" width="7.5546875" style="174" customWidth="1"/>
    <col min="7973" max="7973" width="6.88671875" style="174" customWidth="1"/>
    <col min="7974" max="7974" width="9.77734375" style="174" customWidth="1"/>
    <col min="7975" max="7975" width="7.44140625" style="174" bestFit="1" customWidth="1"/>
    <col min="7976" max="7976" width="9.44140625" style="174" customWidth="1"/>
    <col min="7977" max="7977" width="9.21875" style="174" customWidth="1"/>
    <col min="7978" max="7978" width="10.77734375" style="174" customWidth="1"/>
    <col min="7979" max="7979" width="7.44140625" style="174" customWidth="1"/>
    <col min="7980" max="7980" width="8.6640625" style="174" customWidth="1"/>
    <col min="7981" max="7981" width="7.44140625" style="174" customWidth="1"/>
    <col min="7982" max="7982" width="10.33203125" style="174" customWidth="1"/>
    <col min="7983" max="7983" width="8.6640625" style="174" customWidth="1"/>
    <col min="7984" max="7984" width="10.5546875" style="174" customWidth="1"/>
    <col min="7985" max="7985" width="7.44140625" style="174" customWidth="1"/>
    <col min="7986" max="7986" width="10.5546875" style="174" customWidth="1"/>
    <col min="7987" max="7987" width="7.44140625" style="174" customWidth="1"/>
    <col min="7988" max="7988" width="10.5546875" style="174" customWidth="1"/>
    <col min="7989" max="7989" width="7.44140625" style="174" customWidth="1"/>
    <col min="7990" max="7990" width="10.5546875" style="174" customWidth="1"/>
    <col min="7991" max="7991" width="7.44140625" style="174" customWidth="1"/>
    <col min="7992" max="7992" width="10.5546875" style="174" customWidth="1"/>
    <col min="7993" max="7993" width="7.44140625" style="174" customWidth="1"/>
    <col min="7994" max="7994" width="10.5546875" style="174" customWidth="1"/>
    <col min="7995" max="7995" width="7.44140625" style="174" customWidth="1"/>
    <col min="7996" max="7996" width="10.5546875" style="174" customWidth="1"/>
    <col min="7997" max="7997" width="7.44140625" style="174" customWidth="1"/>
    <col min="7998" max="7998" width="9.44140625" style="174" customWidth="1"/>
    <col min="7999" max="7999" width="8.88671875" style="174" customWidth="1"/>
    <col min="8000" max="8001" width="12.109375" style="174" customWidth="1"/>
    <col min="8002" max="8002" width="6.109375" style="174" bestFit="1" customWidth="1"/>
    <col min="8003" max="8003" width="9.77734375" style="174"/>
    <col min="8004" max="8005" width="10.77734375" style="174" customWidth="1"/>
    <col min="8006" max="8008" width="9.77734375" style="174"/>
    <col min="8009" max="8009" width="11.77734375" style="174" customWidth="1"/>
    <col min="8010" max="8010" width="12.77734375" style="174" customWidth="1"/>
    <col min="8011" max="8192" width="9.77734375" style="174"/>
    <col min="8193" max="8193" width="20.21875" style="174" bestFit="1" customWidth="1"/>
    <col min="8194" max="8194" width="9.21875" style="174" customWidth="1"/>
    <col min="8195" max="8195" width="7.109375" style="174" customWidth="1"/>
    <col min="8196" max="8196" width="7.88671875" style="174" customWidth="1"/>
    <col min="8197" max="8197" width="7.6640625" style="174" customWidth="1"/>
    <col min="8198" max="8198" width="8.77734375" style="174" customWidth="1"/>
    <col min="8199" max="8199" width="7.77734375" style="174" customWidth="1"/>
    <col min="8200" max="8200" width="8.77734375" style="174" customWidth="1"/>
    <col min="8201" max="8201" width="7.77734375" style="174" customWidth="1"/>
    <col min="8202" max="8202" width="8.77734375" style="174" customWidth="1"/>
    <col min="8203" max="8203" width="7.77734375" style="174" customWidth="1"/>
    <col min="8204" max="8204" width="9" style="174" customWidth="1"/>
    <col min="8205" max="8205" width="7.21875" style="174" customWidth="1"/>
    <col min="8206" max="8206" width="8.6640625" style="174" customWidth="1"/>
    <col min="8207" max="8207" width="7.33203125" style="174" customWidth="1"/>
    <col min="8208" max="8208" width="8.6640625" style="174" customWidth="1"/>
    <col min="8209" max="8209" width="7.33203125" style="174" customWidth="1"/>
    <col min="8210" max="8210" width="8.77734375" style="174" customWidth="1"/>
    <col min="8211" max="8211" width="7.33203125" style="174" customWidth="1"/>
    <col min="8212" max="8212" width="9" style="174" customWidth="1"/>
    <col min="8213" max="8214" width="8.5546875" style="174" customWidth="1"/>
    <col min="8215" max="8215" width="7.88671875" style="174" customWidth="1"/>
    <col min="8216" max="8216" width="9.109375" style="174" customWidth="1"/>
    <col min="8217" max="8217" width="6.77734375" style="174" customWidth="1"/>
    <col min="8218" max="8218" width="8.33203125" style="174" customWidth="1"/>
    <col min="8219" max="8219" width="8.109375" style="174" bestFit="1" customWidth="1"/>
    <col min="8220" max="8220" width="8" style="174" bestFit="1" customWidth="1"/>
    <col min="8221" max="8221" width="7.6640625" style="174" customWidth="1"/>
    <col min="8222" max="8223" width="6.88671875" style="174" customWidth="1"/>
    <col min="8224" max="8224" width="10.21875" style="174" customWidth="1"/>
    <col min="8225" max="8225" width="6.88671875" style="174" customWidth="1"/>
    <col min="8226" max="8226" width="8.77734375" style="174" customWidth="1"/>
    <col min="8227" max="8227" width="7.77734375" style="174" customWidth="1"/>
    <col min="8228" max="8228" width="7.5546875" style="174" customWidth="1"/>
    <col min="8229" max="8229" width="6.88671875" style="174" customWidth="1"/>
    <col min="8230" max="8230" width="9.77734375" style="174" customWidth="1"/>
    <col min="8231" max="8231" width="7.44140625" style="174" bestFit="1" customWidth="1"/>
    <col min="8232" max="8232" width="9.44140625" style="174" customWidth="1"/>
    <col min="8233" max="8233" width="9.21875" style="174" customWidth="1"/>
    <col min="8234" max="8234" width="10.77734375" style="174" customWidth="1"/>
    <col min="8235" max="8235" width="7.44140625" style="174" customWidth="1"/>
    <col min="8236" max="8236" width="8.6640625" style="174" customWidth="1"/>
    <col min="8237" max="8237" width="7.44140625" style="174" customWidth="1"/>
    <col min="8238" max="8238" width="10.33203125" style="174" customWidth="1"/>
    <col min="8239" max="8239" width="8.6640625" style="174" customWidth="1"/>
    <col min="8240" max="8240" width="10.5546875" style="174" customWidth="1"/>
    <col min="8241" max="8241" width="7.44140625" style="174" customWidth="1"/>
    <col min="8242" max="8242" width="10.5546875" style="174" customWidth="1"/>
    <col min="8243" max="8243" width="7.44140625" style="174" customWidth="1"/>
    <col min="8244" max="8244" width="10.5546875" style="174" customWidth="1"/>
    <col min="8245" max="8245" width="7.44140625" style="174" customWidth="1"/>
    <col min="8246" max="8246" width="10.5546875" style="174" customWidth="1"/>
    <col min="8247" max="8247" width="7.44140625" style="174" customWidth="1"/>
    <col min="8248" max="8248" width="10.5546875" style="174" customWidth="1"/>
    <col min="8249" max="8249" width="7.44140625" style="174" customWidth="1"/>
    <col min="8250" max="8250" width="10.5546875" style="174" customWidth="1"/>
    <col min="8251" max="8251" width="7.44140625" style="174" customWidth="1"/>
    <col min="8252" max="8252" width="10.5546875" style="174" customWidth="1"/>
    <col min="8253" max="8253" width="7.44140625" style="174" customWidth="1"/>
    <col min="8254" max="8254" width="9.44140625" style="174" customWidth="1"/>
    <col min="8255" max="8255" width="8.88671875" style="174" customWidth="1"/>
    <col min="8256" max="8257" width="12.109375" style="174" customWidth="1"/>
    <col min="8258" max="8258" width="6.109375" style="174" bestFit="1" customWidth="1"/>
    <col min="8259" max="8259" width="9.77734375" style="174"/>
    <col min="8260" max="8261" width="10.77734375" style="174" customWidth="1"/>
    <col min="8262" max="8264" width="9.77734375" style="174"/>
    <col min="8265" max="8265" width="11.77734375" style="174" customWidth="1"/>
    <col min="8266" max="8266" width="12.77734375" style="174" customWidth="1"/>
    <col min="8267" max="8448" width="9.77734375" style="174"/>
    <col min="8449" max="8449" width="20.21875" style="174" bestFit="1" customWidth="1"/>
    <col min="8450" max="8450" width="9.21875" style="174" customWidth="1"/>
    <col min="8451" max="8451" width="7.109375" style="174" customWidth="1"/>
    <col min="8452" max="8452" width="7.88671875" style="174" customWidth="1"/>
    <col min="8453" max="8453" width="7.6640625" style="174" customWidth="1"/>
    <col min="8454" max="8454" width="8.77734375" style="174" customWidth="1"/>
    <col min="8455" max="8455" width="7.77734375" style="174" customWidth="1"/>
    <col min="8456" max="8456" width="8.77734375" style="174" customWidth="1"/>
    <col min="8457" max="8457" width="7.77734375" style="174" customWidth="1"/>
    <col min="8458" max="8458" width="8.77734375" style="174" customWidth="1"/>
    <col min="8459" max="8459" width="7.77734375" style="174" customWidth="1"/>
    <col min="8460" max="8460" width="9" style="174" customWidth="1"/>
    <col min="8461" max="8461" width="7.21875" style="174" customWidth="1"/>
    <col min="8462" max="8462" width="8.6640625" style="174" customWidth="1"/>
    <col min="8463" max="8463" width="7.33203125" style="174" customWidth="1"/>
    <col min="8464" max="8464" width="8.6640625" style="174" customWidth="1"/>
    <col min="8465" max="8465" width="7.33203125" style="174" customWidth="1"/>
    <col min="8466" max="8466" width="8.77734375" style="174" customWidth="1"/>
    <col min="8467" max="8467" width="7.33203125" style="174" customWidth="1"/>
    <col min="8468" max="8468" width="9" style="174" customWidth="1"/>
    <col min="8469" max="8470" width="8.5546875" style="174" customWidth="1"/>
    <col min="8471" max="8471" width="7.88671875" style="174" customWidth="1"/>
    <col min="8472" max="8472" width="9.109375" style="174" customWidth="1"/>
    <col min="8473" max="8473" width="6.77734375" style="174" customWidth="1"/>
    <col min="8474" max="8474" width="8.33203125" style="174" customWidth="1"/>
    <col min="8475" max="8475" width="8.109375" style="174" bestFit="1" customWidth="1"/>
    <col min="8476" max="8476" width="8" style="174" bestFit="1" customWidth="1"/>
    <col min="8477" max="8477" width="7.6640625" style="174" customWidth="1"/>
    <col min="8478" max="8479" width="6.88671875" style="174" customWidth="1"/>
    <col min="8480" max="8480" width="10.21875" style="174" customWidth="1"/>
    <col min="8481" max="8481" width="6.88671875" style="174" customWidth="1"/>
    <col min="8482" max="8482" width="8.77734375" style="174" customWidth="1"/>
    <col min="8483" max="8483" width="7.77734375" style="174" customWidth="1"/>
    <col min="8484" max="8484" width="7.5546875" style="174" customWidth="1"/>
    <col min="8485" max="8485" width="6.88671875" style="174" customWidth="1"/>
    <col min="8486" max="8486" width="9.77734375" style="174" customWidth="1"/>
    <col min="8487" max="8487" width="7.44140625" style="174" bestFit="1" customWidth="1"/>
    <col min="8488" max="8488" width="9.44140625" style="174" customWidth="1"/>
    <col min="8489" max="8489" width="9.21875" style="174" customWidth="1"/>
    <col min="8490" max="8490" width="10.77734375" style="174" customWidth="1"/>
    <col min="8491" max="8491" width="7.44140625" style="174" customWidth="1"/>
    <col min="8492" max="8492" width="8.6640625" style="174" customWidth="1"/>
    <col min="8493" max="8493" width="7.44140625" style="174" customWidth="1"/>
    <col min="8494" max="8494" width="10.33203125" style="174" customWidth="1"/>
    <col min="8495" max="8495" width="8.6640625" style="174" customWidth="1"/>
    <col min="8496" max="8496" width="10.5546875" style="174" customWidth="1"/>
    <col min="8497" max="8497" width="7.44140625" style="174" customWidth="1"/>
    <col min="8498" max="8498" width="10.5546875" style="174" customWidth="1"/>
    <col min="8499" max="8499" width="7.44140625" style="174" customWidth="1"/>
    <col min="8500" max="8500" width="10.5546875" style="174" customWidth="1"/>
    <col min="8501" max="8501" width="7.44140625" style="174" customWidth="1"/>
    <col min="8502" max="8502" width="10.5546875" style="174" customWidth="1"/>
    <col min="8503" max="8503" width="7.44140625" style="174" customWidth="1"/>
    <col min="8504" max="8504" width="10.5546875" style="174" customWidth="1"/>
    <col min="8505" max="8505" width="7.44140625" style="174" customWidth="1"/>
    <col min="8506" max="8506" width="10.5546875" style="174" customWidth="1"/>
    <col min="8507" max="8507" width="7.44140625" style="174" customWidth="1"/>
    <col min="8508" max="8508" width="10.5546875" style="174" customWidth="1"/>
    <col min="8509" max="8509" width="7.44140625" style="174" customWidth="1"/>
    <col min="8510" max="8510" width="9.44140625" style="174" customWidth="1"/>
    <col min="8511" max="8511" width="8.88671875" style="174" customWidth="1"/>
    <col min="8512" max="8513" width="12.109375" style="174" customWidth="1"/>
    <col min="8514" max="8514" width="6.109375" style="174" bestFit="1" customWidth="1"/>
    <col min="8515" max="8515" width="9.77734375" style="174"/>
    <col min="8516" max="8517" width="10.77734375" style="174" customWidth="1"/>
    <col min="8518" max="8520" width="9.77734375" style="174"/>
    <col min="8521" max="8521" width="11.77734375" style="174" customWidth="1"/>
    <col min="8522" max="8522" width="12.77734375" style="174" customWidth="1"/>
    <col min="8523" max="8704" width="9.77734375" style="174"/>
    <col min="8705" max="8705" width="20.21875" style="174" bestFit="1" customWidth="1"/>
    <col min="8706" max="8706" width="9.21875" style="174" customWidth="1"/>
    <col min="8707" max="8707" width="7.109375" style="174" customWidth="1"/>
    <col min="8708" max="8708" width="7.88671875" style="174" customWidth="1"/>
    <col min="8709" max="8709" width="7.6640625" style="174" customWidth="1"/>
    <col min="8710" max="8710" width="8.77734375" style="174" customWidth="1"/>
    <col min="8711" max="8711" width="7.77734375" style="174" customWidth="1"/>
    <col min="8712" max="8712" width="8.77734375" style="174" customWidth="1"/>
    <col min="8713" max="8713" width="7.77734375" style="174" customWidth="1"/>
    <col min="8714" max="8714" width="8.77734375" style="174" customWidth="1"/>
    <col min="8715" max="8715" width="7.77734375" style="174" customWidth="1"/>
    <col min="8716" max="8716" width="9" style="174" customWidth="1"/>
    <col min="8717" max="8717" width="7.21875" style="174" customWidth="1"/>
    <col min="8718" max="8718" width="8.6640625" style="174" customWidth="1"/>
    <col min="8719" max="8719" width="7.33203125" style="174" customWidth="1"/>
    <col min="8720" max="8720" width="8.6640625" style="174" customWidth="1"/>
    <col min="8721" max="8721" width="7.33203125" style="174" customWidth="1"/>
    <col min="8722" max="8722" width="8.77734375" style="174" customWidth="1"/>
    <col min="8723" max="8723" width="7.33203125" style="174" customWidth="1"/>
    <col min="8724" max="8724" width="9" style="174" customWidth="1"/>
    <col min="8725" max="8726" width="8.5546875" style="174" customWidth="1"/>
    <col min="8727" max="8727" width="7.88671875" style="174" customWidth="1"/>
    <col min="8728" max="8728" width="9.109375" style="174" customWidth="1"/>
    <col min="8729" max="8729" width="6.77734375" style="174" customWidth="1"/>
    <col min="8730" max="8730" width="8.33203125" style="174" customWidth="1"/>
    <col min="8731" max="8731" width="8.109375" style="174" bestFit="1" customWidth="1"/>
    <col min="8732" max="8732" width="8" style="174" bestFit="1" customWidth="1"/>
    <col min="8733" max="8733" width="7.6640625" style="174" customWidth="1"/>
    <col min="8734" max="8735" width="6.88671875" style="174" customWidth="1"/>
    <col min="8736" max="8736" width="10.21875" style="174" customWidth="1"/>
    <col min="8737" max="8737" width="6.88671875" style="174" customWidth="1"/>
    <col min="8738" max="8738" width="8.77734375" style="174" customWidth="1"/>
    <col min="8739" max="8739" width="7.77734375" style="174" customWidth="1"/>
    <col min="8740" max="8740" width="7.5546875" style="174" customWidth="1"/>
    <col min="8741" max="8741" width="6.88671875" style="174" customWidth="1"/>
    <col min="8742" max="8742" width="9.77734375" style="174" customWidth="1"/>
    <col min="8743" max="8743" width="7.44140625" style="174" bestFit="1" customWidth="1"/>
    <col min="8744" max="8744" width="9.44140625" style="174" customWidth="1"/>
    <col min="8745" max="8745" width="9.21875" style="174" customWidth="1"/>
    <col min="8746" max="8746" width="10.77734375" style="174" customWidth="1"/>
    <col min="8747" max="8747" width="7.44140625" style="174" customWidth="1"/>
    <col min="8748" max="8748" width="8.6640625" style="174" customWidth="1"/>
    <col min="8749" max="8749" width="7.44140625" style="174" customWidth="1"/>
    <col min="8750" max="8750" width="10.33203125" style="174" customWidth="1"/>
    <col min="8751" max="8751" width="8.6640625" style="174" customWidth="1"/>
    <col min="8752" max="8752" width="10.5546875" style="174" customWidth="1"/>
    <col min="8753" max="8753" width="7.44140625" style="174" customWidth="1"/>
    <col min="8754" max="8754" width="10.5546875" style="174" customWidth="1"/>
    <col min="8755" max="8755" width="7.44140625" style="174" customWidth="1"/>
    <col min="8756" max="8756" width="10.5546875" style="174" customWidth="1"/>
    <col min="8757" max="8757" width="7.44140625" style="174" customWidth="1"/>
    <col min="8758" max="8758" width="10.5546875" style="174" customWidth="1"/>
    <col min="8759" max="8759" width="7.44140625" style="174" customWidth="1"/>
    <col min="8760" max="8760" width="10.5546875" style="174" customWidth="1"/>
    <col min="8761" max="8761" width="7.44140625" style="174" customWidth="1"/>
    <col min="8762" max="8762" width="10.5546875" style="174" customWidth="1"/>
    <col min="8763" max="8763" width="7.44140625" style="174" customWidth="1"/>
    <col min="8764" max="8764" width="10.5546875" style="174" customWidth="1"/>
    <col min="8765" max="8765" width="7.44140625" style="174" customWidth="1"/>
    <col min="8766" max="8766" width="9.44140625" style="174" customWidth="1"/>
    <col min="8767" max="8767" width="8.88671875" style="174" customWidth="1"/>
    <col min="8768" max="8769" width="12.109375" style="174" customWidth="1"/>
    <col min="8770" max="8770" width="6.109375" style="174" bestFit="1" customWidth="1"/>
    <col min="8771" max="8771" width="9.77734375" style="174"/>
    <col min="8772" max="8773" width="10.77734375" style="174" customWidth="1"/>
    <col min="8774" max="8776" width="9.77734375" style="174"/>
    <col min="8777" max="8777" width="11.77734375" style="174" customWidth="1"/>
    <col min="8778" max="8778" width="12.77734375" style="174" customWidth="1"/>
    <col min="8779" max="8960" width="9.77734375" style="174"/>
    <col min="8961" max="8961" width="20.21875" style="174" bestFit="1" customWidth="1"/>
    <col min="8962" max="8962" width="9.21875" style="174" customWidth="1"/>
    <col min="8963" max="8963" width="7.109375" style="174" customWidth="1"/>
    <col min="8964" max="8964" width="7.88671875" style="174" customWidth="1"/>
    <col min="8965" max="8965" width="7.6640625" style="174" customWidth="1"/>
    <col min="8966" max="8966" width="8.77734375" style="174" customWidth="1"/>
    <col min="8967" max="8967" width="7.77734375" style="174" customWidth="1"/>
    <col min="8968" max="8968" width="8.77734375" style="174" customWidth="1"/>
    <col min="8969" max="8969" width="7.77734375" style="174" customWidth="1"/>
    <col min="8970" max="8970" width="8.77734375" style="174" customWidth="1"/>
    <col min="8971" max="8971" width="7.77734375" style="174" customWidth="1"/>
    <col min="8972" max="8972" width="9" style="174" customWidth="1"/>
    <col min="8973" max="8973" width="7.21875" style="174" customWidth="1"/>
    <col min="8974" max="8974" width="8.6640625" style="174" customWidth="1"/>
    <col min="8975" max="8975" width="7.33203125" style="174" customWidth="1"/>
    <col min="8976" max="8976" width="8.6640625" style="174" customWidth="1"/>
    <col min="8977" max="8977" width="7.33203125" style="174" customWidth="1"/>
    <col min="8978" max="8978" width="8.77734375" style="174" customWidth="1"/>
    <col min="8979" max="8979" width="7.33203125" style="174" customWidth="1"/>
    <col min="8980" max="8980" width="9" style="174" customWidth="1"/>
    <col min="8981" max="8982" width="8.5546875" style="174" customWidth="1"/>
    <col min="8983" max="8983" width="7.88671875" style="174" customWidth="1"/>
    <col min="8984" max="8984" width="9.109375" style="174" customWidth="1"/>
    <col min="8985" max="8985" width="6.77734375" style="174" customWidth="1"/>
    <col min="8986" max="8986" width="8.33203125" style="174" customWidth="1"/>
    <col min="8987" max="8987" width="8.109375" style="174" bestFit="1" customWidth="1"/>
    <col min="8988" max="8988" width="8" style="174" bestFit="1" customWidth="1"/>
    <col min="8989" max="8989" width="7.6640625" style="174" customWidth="1"/>
    <col min="8990" max="8991" width="6.88671875" style="174" customWidth="1"/>
    <col min="8992" max="8992" width="10.21875" style="174" customWidth="1"/>
    <col min="8993" max="8993" width="6.88671875" style="174" customWidth="1"/>
    <col min="8994" max="8994" width="8.77734375" style="174" customWidth="1"/>
    <col min="8995" max="8995" width="7.77734375" style="174" customWidth="1"/>
    <col min="8996" max="8996" width="7.5546875" style="174" customWidth="1"/>
    <col min="8997" max="8997" width="6.88671875" style="174" customWidth="1"/>
    <col min="8998" max="8998" width="9.77734375" style="174" customWidth="1"/>
    <col min="8999" max="8999" width="7.44140625" style="174" bestFit="1" customWidth="1"/>
    <col min="9000" max="9000" width="9.44140625" style="174" customWidth="1"/>
    <col min="9001" max="9001" width="9.21875" style="174" customWidth="1"/>
    <col min="9002" max="9002" width="10.77734375" style="174" customWidth="1"/>
    <col min="9003" max="9003" width="7.44140625" style="174" customWidth="1"/>
    <col min="9004" max="9004" width="8.6640625" style="174" customWidth="1"/>
    <col min="9005" max="9005" width="7.44140625" style="174" customWidth="1"/>
    <col min="9006" max="9006" width="10.33203125" style="174" customWidth="1"/>
    <col min="9007" max="9007" width="8.6640625" style="174" customWidth="1"/>
    <col min="9008" max="9008" width="10.5546875" style="174" customWidth="1"/>
    <col min="9009" max="9009" width="7.44140625" style="174" customWidth="1"/>
    <col min="9010" max="9010" width="10.5546875" style="174" customWidth="1"/>
    <col min="9011" max="9011" width="7.44140625" style="174" customWidth="1"/>
    <col min="9012" max="9012" width="10.5546875" style="174" customWidth="1"/>
    <col min="9013" max="9013" width="7.44140625" style="174" customWidth="1"/>
    <col min="9014" max="9014" width="10.5546875" style="174" customWidth="1"/>
    <col min="9015" max="9015" width="7.44140625" style="174" customWidth="1"/>
    <col min="9016" max="9016" width="10.5546875" style="174" customWidth="1"/>
    <col min="9017" max="9017" width="7.44140625" style="174" customWidth="1"/>
    <col min="9018" max="9018" width="10.5546875" style="174" customWidth="1"/>
    <col min="9019" max="9019" width="7.44140625" style="174" customWidth="1"/>
    <col min="9020" max="9020" width="10.5546875" style="174" customWidth="1"/>
    <col min="9021" max="9021" width="7.44140625" style="174" customWidth="1"/>
    <col min="9022" max="9022" width="9.44140625" style="174" customWidth="1"/>
    <col min="9023" max="9023" width="8.88671875" style="174" customWidth="1"/>
    <col min="9024" max="9025" width="12.109375" style="174" customWidth="1"/>
    <col min="9026" max="9026" width="6.109375" style="174" bestFit="1" customWidth="1"/>
    <col min="9027" max="9027" width="9.77734375" style="174"/>
    <col min="9028" max="9029" width="10.77734375" style="174" customWidth="1"/>
    <col min="9030" max="9032" width="9.77734375" style="174"/>
    <col min="9033" max="9033" width="11.77734375" style="174" customWidth="1"/>
    <col min="9034" max="9034" width="12.77734375" style="174" customWidth="1"/>
    <col min="9035" max="9216" width="9.77734375" style="174"/>
    <col min="9217" max="9217" width="20.21875" style="174" bestFit="1" customWidth="1"/>
    <col min="9218" max="9218" width="9.21875" style="174" customWidth="1"/>
    <col min="9219" max="9219" width="7.109375" style="174" customWidth="1"/>
    <col min="9220" max="9220" width="7.88671875" style="174" customWidth="1"/>
    <col min="9221" max="9221" width="7.6640625" style="174" customWidth="1"/>
    <col min="9222" max="9222" width="8.77734375" style="174" customWidth="1"/>
    <col min="9223" max="9223" width="7.77734375" style="174" customWidth="1"/>
    <col min="9224" max="9224" width="8.77734375" style="174" customWidth="1"/>
    <col min="9225" max="9225" width="7.77734375" style="174" customWidth="1"/>
    <col min="9226" max="9226" width="8.77734375" style="174" customWidth="1"/>
    <col min="9227" max="9227" width="7.77734375" style="174" customWidth="1"/>
    <col min="9228" max="9228" width="9" style="174" customWidth="1"/>
    <col min="9229" max="9229" width="7.21875" style="174" customWidth="1"/>
    <col min="9230" max="9230" width="8.6640625" style="174" customWidth="1"/>
    <col min="9231" max="9231" width="7.33203125" style="174" customWidth="1"/>
    <col min="9232" max="9232" width="8.6640625" style="174" customWidth="1"/>
    <col min="9233" max="9233" width="7.33203125" style="174" customWidth="1"/>
    <col min="9234" max="9234" width="8.77734375" style="174" customWidth="1"/>
    <col min="9235" max="9235" width="7.33203125" style="174" customWidth="1"/>
    <col min="9236" max="9236" width="9" style="174" customWidth="1"/>
    <col min="9237" max="9238" width="8.5546875" style="174" customWidth="1"/>
    <col min="9239" max="9239" width="7.88671875" style="174" customWidth="1"/>
    <col min="9240" max="9240" width="9.109375" style="174" customWidth="1"/>
    <col min="9241" max="9241" width="6.77734375" style="174" customWidth="1"/>
    <col min="9242" max="9242" width="8.33203125" style="174" customWidth="1"/>
    <col min="9243" max="9243" width="8.109375" style="174" bestFit="1" customWidth="1"/>
    <col min="9244" max="9244" width="8" style="174" bestFit="1" customWidth="1"/>
    <col min="9245" max="9245" width="7.6640625" style="174" customWidth="1"/>
    <col min="9246" max="9247" width="6.88671875" style="174" customWidth="1"/>
    <col min="9248" max="9248" width="10.21875" style="174" customWidth="1"/>
    <col min="9249" max="9249" width="6.88671875" style="174" customWidth="1"/>
    <col min="9250" max="9250" width="8.77734375" style="174" customWidth="1"/>
    <col min="9251" max="9251" width="7.77734375" style="174" customWidth="1"/>
    <col min="9252" max="9252" width="7.5546875" style="174" customWidth="1"/>
    <col min="9253" max="9253" width="6.88671875" style="174" customWidth="1"/>
    <col min="9254" max="9254" width="9.77734375" style="174" customWidth="1"/>
    <col min="9255" max="9255" width="7.44140625" style="174" bestFit="1" customWidth="1"/>
    <col min="9256" max="9256" width="9.44140625" style="174" customWidth="1"/>
    <col min="9257" max="9257" width="9.21875" style="174" customWidth="1"/>
    <col min="9258" max="9258" width="10.77734375" style="174" customWidth="1"/>
    <col min="9259" max="9259" width="7.44140625" style="174" customWidth="1"/>
    <col min="9260" max="9260" width="8.6640625" style="174" customWidth="1"/>
    <col min="9261" max="9261" width="7.44140625" style="174" customWidth="1"/>
    <col min="9262" max="9262" width="10.33203125" style="174" customWidth="1"/>
    <col min="9263" max="9263" width="8.6640625" style="174" customWidth="1"/>
    <col min="9264" max="9264" width="10.5546875" style="174" customWidth="1"/>
    <col min="9265" max="9265" width="7.44140625" style="174" customWidth="1"/>
    <col min="9266" max="9266" width="10.5546875" style="174" customWidth="1"/>
    <col min="9267" max="9267" width="7.44140625" style="174" customWidth="1"/>
    <col min="9268" max="9268" width="10.5546875" style="174" customWidth="1"/>
    <col min="9269" max="9269" width="7.44140625" style="174" customWidth="1"/>
    <col min="9270" max="9270" width="10.5546875" style="174" customWidth="1"/>
    <col min="9271" max="9271" width="7.44140625" style="174" customWidth="1"/>
    <col min="9272" max="9272" width="10.5546875" style="174" customWidth="1"/>
    <col min="9273" max="9273" width="7.44140625" style="174" customWidth="1"/>
    <col min="9274" max="9274" width="10.5546875" style="174" customWidth="1"/>
    <col min="9275" max="9275" width="7.44140625" style="174" customWidth="1"/>
    <col min="9276" max="9276" width="10.5546875" style="174" customWidth="1"/>
    <col min="9277" max="9277" width="7.44140625" style="174" customWidth="1"/>
    <col min="9278" max="9278" width="9.44140625" style="174" customWidth="1"/>
    <col min="9279" max="9279" width="8.88671875" style="174" customWidth="1"/>
    <col min="9280" max="9281" width="12.109375" style="174" customWidth="1"/>
    <col min="9282" max="9282" width="6.109375" style="174" bestFit="1" customWidth="1"/>
    <col min="9283" max="9283" width="9.77734375" style="174"/>
    <col min="9284" max="9285" width="10.77734375" style="174" customWidth="1"/>
    <col min="9286" max="9288" width="9.77734375" style="174"/>
    <col min="9289" max="9289" width="11.77734375" style="174" customWidth="1"/>
    <col min="9290" max="9290" width="12.77734375" style="174" customWidth="1"/>
    <col min="9291" max="9472" width="9.77734375" style="174"/>
    <col min="9473" max="9473" width="20.21875" style="174" bestFit="1" customWidth="1"/>
    <col min="9474" max="9474" width="9.21875" style="174" customWidth="1"/>
    <col min="9475" max="9475" width="7.109375" style="174" customWidth="1"/>
    <col min="9476" max="9476" width="7.88671875" style="174" customWidth="1"/>
    <col min="9477" max="9477" width="7.6640625" style="174" customWidth="1"/>
    <col min="9478" max="9478" width="8.77734375" style="174" customWidth="1"/>
    <col min="9479" max="9479" width="7.77734375" style="174" customWidth="1"/>
    <col min="9480" max="9480" width="8.77734375" style="174" customWidth="1"/>
    <col min="9481" max="9481" width="7.77734375" style="174" customWidth="1"/>
    <col min="9482" max="9482" width="8.77734375" style="174" customWidth="1"/>
    <col min="9483" max="9483" width="7.77734375" style="174" customWidth="1"/>
    <col min="9484" max="9484" width="9" style="174" customWidth="1"/>
    <col min="9485" max="9485" width="7.21875" style="174" customWidth="1"/>
    <col min="9486" max="9486" width="8.6640625" style="174" customWidth="1"/>
    <col min="9487" max="9487" width="7.33203125" style="174" customWidth="1"/>
    <col min="9488" max="9488" width="8.6640625" style="174" customWidth="1"/>
    <col min="9489" max="9489" width="7.33203125" style="174" customWidth="1"/>
    <col min="9490" max="9490" width="8.77734375" style="174" customWidth="1"/>
    <col min="9491" max="9491" width="7.33203125" style="174" customWidth="1"/>
    <col min="9492" max="9492" width="9" style="174" customWidth="1"/>
    <col min="9493" max="9494" width="8.5546875" style="174" customWidth="1"/>
    <col min="9495" max="9495" width="7.88671875" style="174" customWidth="1"/>
    <col min="9496" max="9496" width="9.109375" style="174" customWidth="1"/>
    <col min="9497" max="9497" width="6.77734375" style="174" customWidth="1"/>
    <col min="9498" max="9498" width="8.33203125" style="174" customWidth="1"/>
    <col min="9499" max="9499" width="8.109375" style="174" bestFit="1" customWidth="1"/>
    <col min="9500" max="9500" width="8" style="174" bestFit="1" customWidth="1"/>
    <col min="9501" max="9501" width="7.6640625" style="174" customWidth="1"/>
    <col min="9502" max="9503" width="6.88671875" style="174" customWidth="1"/>
    <col min="9504" max="9504" width="10.21875" style="174" customWidth="1"/>
    <col min="9505" max="9505" width="6.88671875" style="174" customWidth="1"/>
    <col min="9506" max="9506" width="8.77734375" style="174" customWidth="1"/>
    <col min="9507" max="9507" width="7.77734375" style="174" customWidth="1"/>
    <col min="9508" max="9508" width="7.5546875" style="174" customWidth="1"/>
    <col min="9509" max="9509" width="6.88671875" style="174" customWidth="1"/>
    <col min="9510" max="9510" width="9.77734375" style="174" customWidth="1"/>
    <col min="9511" max="9511" width="7.44140625" style="174" bestFit="1" customWidth="1"/>
    <col min="9512" max="9512" width="9.44140625" style="174" customWidth="1"/>
    <col min="9513" max="9513" width="9.21875" style="174" customWidth="1"/>
    <col min="9514" max="9514" width="10.77734375" style="174" customWidth="1"/>
    <col min="9515" max="9515" width="7.44140625" style="174" customWidth="1"/>
    <col min="9516" max="9516" width="8.6640625" style="174" customWidth="1"/>
    <col min="9517" max="9517" width="7.44140625" style="174" customWidth="1"/>
    <col min="9518" max="9518" width="10.33203125" style="174" customWidth="1"/>
    <col min="9519" max="9519" width="8.6640625" style="174" customWidth="1"/>
    <col min="9520" max="9520" width="10.5546875" style="174" customWidth="1"/>
    <col min="9521" max="9521" width="7.44140625" style="174" customWidth="1"/>
    <col min="9522" max="9522" width="10.5546875" style="174" customWidth="1"/>
    <col min="9523" max="9523" width="7.44140625" style="174" customWidth="1"/>
    <col min="9524" max="9524" width="10.5546875" style="174" customWidth="1"/>
    <col min="9525" max="9525" width="7.44140625" style="174" customWidth="1"/>
    <col min="9526" max="9526" width="10.5546875" style="174" customWidth="1"/>
    <col min="9527" max="9527" width="7.44140625" style="174" customWidth="1"/>
    <col min="9528" max="9528" width="10.5546875" style="174" customWidth="1"/>
    <col min="9529" max="9529" width="7.44140625" style="174" customWidth="1"/>
    <col min="9530" max="9530" width="10.5546875" style="174" customWidth="1"/>
    <col min="9531" max="9531" width="7.44140625" style="174" customWidth="1"/>
    <col min="9532" max="9532" width="10.5546875" style="174" customWidth="1"/>
    <col min="9533" max="9533" width="7.44140625" style="174" customWidth="1"/>
    <col min="9534" max="9534" width="9.44140625" style="174" customWidth="1"/>
    <col min="9535" max="9535" width="8.88671875" style="174" customWidth="1"/>
    <col min="9536" max="9537" width="12.109375" style="174" customWidth="1"/>
    <col min="9538" max="9538" width="6.109375" style="174" bestFit="1" customWidth="1"/>
    <col min="9539" max="9539" width="9.77734375" style="174"/>
    <col min="9540" max="9541" width="10.77734375" style="174" customWidth="1"/>
    <col min="9542" max="9544" width="9.77734375" style="174"/>
    <col min="9545" max="9545" width="11.77734375" style="174" customWidth="1"/>
    <col min="9546" max="9546" width="12.77734375" style="174" customWidth="1"/>
    <col min="9547" max="9728" width="9.77734375" style="174"/>
    <col min="9729" max="9729" width="20.21875" style="174" bestFit="1" customWidth="1"/>
    <col min="9730" max="9730" width="9.21875" style="174" customWidth="1"/>
    <col min="9731" max="9731" width="7.109375" style="174" customWidth="1"/>
    <col min="9732" max="9732" width="7.88671875" style="174" customWidth="1"/>
    <col min="9733" max="9733" width="7.6640625" style="174" customWidth="1"/>
    <col min="9734" max="9734" width="8.77734375" style="174" customWidth="1"/>
    <col min="9735" max="9735" width="7.77734375" style="174" customWidth="1"/>
    <col min="9736" max="9736" width="8.77734375" style="174" customWidth="1"/>
    <col min="9737" max="9737" width="7.77734375" style="174" customWidth="1"/>
    <col min="9738" max="9738" width="8.77734375" style="174" customWidth="1"/>
    <col min="9739" max="9739" width="7.77734375" style="174" customWidth="1"/>
    <col min="9740" max="9740" width="9" style="174" customWidth="1"/>
    <col min="9741" max="9741" width="7.21875" style="174" customWidth="1"/>
    <col min="9742" max="9742" width="8.6640625" style="174" customWidth="1"/>
    <col min="9743" max="9743" width="7.33203125" style="174" customWidth="1"/>
    <col min="9744" max="9744" width="8.6640625" style="174" customWidth="1"/>
    <col min="9745" max="9745" width="7.33203125" style="174" customWidth="1"/>
    <col min="9746" max="9746" width="8.77734375" style="174" customWidth="1"/>
    <col min="9747" max="9747" width="7.33203125" style="174" customWidth="1"/>
    <col min="9748" max="9748" width="9" style="174" customWidth="1"/>
    <col min="9749" max="9750" width="8.5546875" style="174" customWidth="1"/>
    <col min="9751" max="9751" width="7.88671875" style="174" customWidth="1"/>
    <col min="9752" max="9752" width="9.109375" style="174" customWidth="1"/>
    <col min="9753" max="9753" width="6.77734375" style="174" customWidth="1"/>
    <col min="9754" max="9754" width="8.33203125" style="174" customWidth="1"/>
    <col min="9755" max="9755" width="8.109375" style="174" bestFit="1" customWidth="1"/>
    <col min="9756" max="9756" width="8" style="174" bestFit="1" customWidth="1"/>
    <col min="9757" max="9757" width="7.6640625" style="174" customWidth="1"/>
    <col min="9758" max="9759" width="6.88671875" style="174" customWidth="1"/>
    <col min="9760" max="9760" width="10.21875" style="174" customWidth="1"/>
    <col min="9761" max="9761" width="6.88671875" style="174" customWidth="1"/>
    <col min="9762" max="9762" width="8.77734375" style="174" customWidth="1"/>
    <col min="9763" max="9763" width="7.77734375" style="174" customWidth="1"/>
    <col min="9764" max="9764" width="7.5546875" style="174" customWidth="1"/>
    <col min="9765" max="9765" width="6.88671875" style="174" customWidth="1"/>
    <col min="9766" max="9766" width="9.77734375" style="174" customWidth="1"/>
    <col min="9767" max="9767" width="7.44140625" style="174" bestFit="1" customWidth="1"/>
    <col min="9768" max="9768" width="9.44140625" style="174" customWidth="1"/>
    <col min="9769" max="9769" width="9.21875" style="174" customWidth="1"/>
    <col min="9770" max="9770" width="10.77734375" style="174" customWidth="1"/>
    <col min="9771" max="9771" width="7.44140625" style="174" customWidth="1"/>
    <col min="9772" max="9772" width="8.6640625" style="174" customWidth="1"/>
    <col min="9773" max="9773" width="7.44140625" style="174" customWidth="1"/>
    <col min="9774" max="9774" width="10.33203125" style="174" customWidth="1"/>
    <col min="9775" max="9775" width="8.6640625" style="174" customWidth="1"/>
    <col min="9776" max="9776" width="10.5546875" style="174" customWidth="1"/>
    <col min="9777" max="9777" width="7.44140625" style="174" customWidth="1"/>
    <col min="9778" max="9778" width="10.5546875" style="174" customWidth="1"/>
    <col min="9779" max="9779" width="7.44140625" style="174" customWidth="1"/>
    <col min="9780" max="9780" width="10.5546875" style="174" customWidth="1"/>
    <col min="9781" max="9781" width="7.44140625" style="174" customWidth="1"/>
    <col min="9782" max="9782" width="10.5546875" style="174" customWidth="1"/>
    <col min="9783" max="9783" width="7.44140625" style="174" customWidth="1"/>
    <col min="9784" max="9784" width="10.5546875" style="174" customWidth="1"/>
    <col min="9785" max="9785" width="7.44140625" style="174" customWidth="1"/>
    <col min="9786" max="9786" width="10.5546875" style="174" customWidth="1"/>
    <col min="9787" max="9787" width="7.44140625" style="174" customWidth="1"/>
    <col min="9788" max="9788" width="10.5546875" style="174" customWidth="1"/>
    <col min="9789" max="9789" width="7.44140625" style="174" customWidth="1"/>
    <col min="9790" max="9790" width="9.44140625" style="174" customWidth="1"/>
    <col min="9791" max="9791" width="8.88671875" style="174" customWidth="1"/>
    <col min="9792" max="9793" width="12.109375" style="174" customWidth="1"/>
    <col min="9794" max="9794" width="6.109375" style="174" bestFit="1" customWidth="1"/>
    <col min="9795" max="9795" width="9.77734375" style="174"/>
    <col min="9796" max="9797" width="10.77734375" style="174" customWidth="1"/>
    <col min="9798" max="9800" width="9.77734375" style="174"/>
    <col min="9801" max="9801" width="11.77734375" style="174" customWidth="1"/>
    <col min="9802" max="9802" width="12.77734375" style="174" customWidth="1"/>
    <col min="9803" max="9984" width="9.77734375" style="174"/>
    <col min="9985" max="9985" width="20.21875" style="174" bestFit="1" customWidth="1"/>
    <col min="9986" max="9986" width="9.21875" style="174" customWidth="1"/>
    <col min="9987" max="9987" width="7.109375" style="174" customWidth="1"/>
    <col min="9988" max="9988" width="7.88671875" style="174" customWidth="1"/>
    <col min="9989" max="9989" width="7.6640625" style="174" customWidth="1"/>
    <col min="9990" max="9990" width="8.77734375" style="174" customWidth="1"/>
    <col min="9991" max="9991" width="7.77734375" style="174" customWidth="1"/>
    <col min="9992" max="9992" width="8.77734375" style="174" customWidth="1"/>
    <col min="9993" max="9993" width="7.77734375" style="174" customWidth="1"/>
    <col min="9994" max="9994" width="8.77734375" style="174" customWidth="1"/>
    <col min="9995" max="9995" width="7.77734375" style="174" customWidth="1"/>
    <col min="9996" max="9996" width="9" style="174" customWidth="1"/>
    <col min="9997" max="9997" width="7.21875" style="174" customWidth="1"/>
    <col min="9998" max="9998" width="8.6640625" style="174" customWidth="1"/>
    <col min="9999" max="9999" width="7.33203125" style="174" customWidth="1"/>
    <col min="10000" max="10000" width="8.6640625" style="174" customWidth="1"/>
    <col min="10001" max="10001" width="7.33203125" style="174" customWidth="1"/>
    <col min="10002" max="10002" width="8.77734375" style="174" customWidth="1"/>
    <col min="10003" max="10003" width="7.33203125" style="174" customWidth="1"/>
    <col min="10004" max="10004" width="9" style="174" customWidth="1"/>
    <col min="10005" max="10006" width="8.5546875" style="174" customWidth="1"/>
    <col min="10007" max="10007" width="7.88671875" style="174" customWidth="1"/>
    <col min="10008" max="10008" width="9.109375" style="174" customWidth="1"/>
    <col min="10009" max="10009" width="6.77734375" style="174" customWidth="1"/>
    <col min="10010" max="10010" width="8.33203125" style="174" customWidth="1"/>
    <col min="10011" max="10011" width="8.109375" style="174" bestFit="1" customWidth="1"/>
    <col min="10012" max="10012" width="8" style="174" bestFit="1" customWidth="1"/>
    <col min="10013" max="10013" width="7.6640625" style="174" customWidth="1"/>
    <col min="10014" max="10015" width="6.88671875" style="174" customWidth="1"/>
    <col min="10016" max="10016" width="10.21875" style="174" customWidth="1"/>
    <col min="10017" max="10017" width="6.88671875" style="174" customWidth="1"/>
    <col min="10018" max="10018" width="8.77734375" style="174" customWidth="1"/>
    <col min="10019" max="10019" width="7.77734375" style="174" customWidth="1"/>
    <col min="10020" max="10020" width="7.5546875" style="174" customWidth="1"/>
    <col min="10021" max="10021" width="6.88671875" style="174" customWidth="1"/>
    <col min="10022" max="10022" width="9.77734375" style="174" customWidth="1"/>
    <col min="10023" max="10023" width="7.44140625" style="174" bestFit="1" customWidth="1"/>
    <col min="10024" max="10024" width="9.44140625" style="174" customWidth="1"/>
    <col min="10025" max="10025" width="9.21875" style="174" customWidth="1"/>
    <col min="10026" max="10026" width="10.77734375" style="174" customWidth="1"/>
    <col min="10027" max="10027" width="7.44140625" style="174" customWidth="1"/>
    <col min="10028" max="10028" width="8.6640625" style="174" customWidth="1"/>
    <col min="10029" max="10029" width="7.44140625" style="174" customWidth="1"/>
    <col min="10030" max="10030" width="10.33203125" style="174" customWidth="1"/>
    <col min="10031" max="10031" width="8.6640625" style="174" customWidth="1"/>
    <col min="10032" max="10032" width="10.5546875" style="174" customWidth="1"/>
    <col min="10033" max="10033" width="7.44140625" style="174" customWidth="1"/>
    <col min="10034" max="10034" width="10.5546875" style="174" customWidth="1"/>
    <col min="10035" max="10035" width="7.44140625" style="174" customWidth="1"/>
    <col min="10036" max="10036" width="10.5546875" style="174" customWidth="1"/>
    <col min="10037" max="10037" width="7.44140625" style="174" customWidth="1"/>
    <col min="10038" max="10038" width="10.5546875" style="174" customWidth="1"/>
    <col min="10039" max="10039" width="7.44140625" style="174" customWidth="1"/>
    <col min="10040" max="10040" width="10.5546875" style="174" customWidth="1"/>
    <col min="10041" max="10041" width="7.44140625" style="174" customWidth="1"/>
    <col min="10042" max="10042" width="10.5546875" style="174" customWidth="1"/>
    <col min="10043" max="10043" width="7.44140625" style="174" customWidth="1"/>
    <col min="10044" max="10044" width="10.5546875" style="174" customWidth="1"/>
    <col min="10045" max="10045" width="7.44140625" style="174" customWidth="1"/>
    <col min="10046" max="10046" width="9.44140625" style="174" customWidth="1"/>
    <col min="10047" max="10047" width="8.88671875" style="174" customWidth="1"/>
    <col min="10048" max="10049" width="12.109375" style="174" customWidth="1"/>
    <col min="10050" max="10050" width="6.109375" style="174" bestFit="1" customWidth="1"/>
    <col min="10051" max="10051" width="9.77734375" style="174"/>
    <col min="10052" max="10053" width="10.77734375" style="174" customWidth="1"/>
    <col min="10054" max="10056" width="9.77734375" style="174"/>
    <col min="10057" max="10057" width="11.77734375" style="174" customWidth="1"/>
    <col min="10058" max="10058" width="12.77734375" style="174" customWidth="1"/>
    <col min="10059" max="10240" width="9.77734375" style="174"/>
    <col min="10241" max="10241" width="20.21875" style="174" bestFit="1" customWidth="1"/>
    <col min="10242" max="10242" width="9.21875" style="174" customWidth="1"/>
    <col min="10243" max="10243" width="7.109375" style="174" customWidth="1"/>
    <col min="10244" max="10244" width="7.88671875" style="174" customWidth="1"/>
    <col min="10245" max="10245" width="7.6640625" style="174" customWidth="1"/>
    <col min="10246" max="10246" width="8.77734375" style="174" customWidth="1"/>
    <col min="10247" max="10247" width="7.77734375" style="174" customWidth="1"/>
    <col min="10248" max="10248" width="8.77734375" style="174" customWidth="1"/>
    <col min="10249" max="10249" width="7.77734375" style="174" customWidth="1"/>
    <col min="10250" max="10250" width="8.77734375" style="174" customWidth="1"/>
    <col min="10251" max="10251" width="7.77734375" style="174" customWidth="1"/>
    <col min="10252" max="10252" width="9" style="174" customWidth="1"/>
    <col min="10253" max="10253" width="7.21875" style="174" customWidth="1"/>
    <col min="10254" max="10254" width="8.6640625" style="174" customWidth="1"/>
    <col min="10255" max="10255" width="7.33203125" style="174" customWidth="1"/>
    <col min="10256" max="10256" width="8.6640625" style="174" customWidth="1"/>
    <col min="10257" max="10257" width="7.33203125" style="174" customWidth="1"/>
    <col min="10258" max="10258" width="8.77734375" style="174" customWidth="1"/>
    <col min="10259" max="10259" width="7.33203125" style="174" customWidth="1"/>
    <col min="10260" max="10260" width="9" style="174" customWidth="1"/>
    <col min="10261" max="10262" width="8.5546875" style="174" customWidth="1"/>
    <col min="10263" max="10263" width="7.88671875" style="174" customWidth="1"/>
    <col min="10264" max="10264" width="9.109375" style="174" customWidth="1"/>
    <col min="10265" max="10265" width="6.77734375" style="174" customWidth="1"/>
    <col min="10266" max="10266" width="8.33203125" style="174" customWidth="1"/>
    <col min="10267" max="10267" width="8.109375" style="174" bestFit="1" customWidth="1"/>
    <col min="10268" max="10268" width="8" style="174" bestFit="1" customWidth="1"/>
    <col min="10269" max="10269" width="7.6640625" style="174" customWidth="1"/>
    <col min="10270" max="10271" width="6.88671875" style="174" customWidth="1"/>
    <col min="10272" max="10272" width="10.21875" style="174" customWidth="1"/>
    <col min="10273" max="10273" width="6.88671875" style="174" customWidth="1"/>
    <col min="10274" max="10274" width="8.77734375" style="174" customWidth="1"/>
    <col min="10275" max="10275" width="7.77734375" style="174" customWidth="1"/>
    <col min="10276" max="10276" width="7.5546875" style="174" customWidth="1"/>
    <col min="10277" max="10277" width="6.88671875" style="174" customWidth="1"/>
    <col min="10278" max="10278" width="9.77734375" style="174" customWidth="1"/>
    <col min="10279" max="10279" width="7.44140625" style="174" bestFit="1" customWidth="1"/>
    <col min="10280" max="10280" width="9.44140625" style="174" customWidth="1"/>
    <col min="10281" max="10281" width="9.21875" style="174" customWidth="1"/>
    <col min="10282" max="10282" width="10.77734375" style="174" customWidth="1"/>
    <col min="10283" max="10283" width="7.44140625" style="174" customWidth="1"/>
    <col min="10284" max="10284" width="8.6640625" style="174" customWidth="1"/>
    <col min="10285" max="10285" width="7.44140625" style="174" customWidth="1"/>
    <col min="10286" max="10286" width="10.33203125" style="174" customWidth="1"/>
    <col min="10287" max="10287" width="8.6640625" style="174" customWidth="1"/>
    <col min="10288" max="10288" width="10.5546875" style="174" customWidth="1"/>
    <col min="10289" max="10289" width="7.44140625" style="174" customWidth="1"/>
    <col min="10290" max="10290" width="10.5546875" style="174" customWidth="1"/>
    <col min="10291" max="10291" width="7.44140625" style="174" customWidth="1"/>
    <col min="10292" max="10292" width="10.5546875" style="174" customWidth="1"/>
    <col min="10293" max="10293" width="7.44140625" style="174" customWidth="1"/>
    <col min="10294" max="10294" width="10.5546875" style="174" customWidth="1"/>
    <col min="10295" max="10295" width="7.44140625" style="174" customWidth="1"/>
    <col min="10296" max="10296" width="10.5546875" style="174" customWidth="1"/>
    <col min="10297" max="10297" width="7.44140625" style="174" customWidth="1"/>
    <col min="10298" max="10298" width="10.5546875" style="174" customWidth="1"/>
    <col min="10299" max="10299" width="7.44140625" style="174" customWidth="1"/>
    <col min="10300" max="10300" width="10.5546875" style="174" customWidth="1"/>
    <col min="10301" max="10301" width="7.44140625" style="174" customWidth="1"/>
    <col min="10302" max="10302" width="9.44140625" style="174" customWidth="1"/>
    <col min="10303" max="10303" width="8.88671875" style="174" customWidth="1"/>
    <col min="10304" max="10305" width="12.109375" style="174" customWidth="1"/>
    <col min="10306" max="10306" width="6.109375" style="174" bestFit="1" customWidth="1"/>
    <col min="10307" max="10307" width="9.77734375" style="174"/>
    <col min="10308" max="10309" width="10.77734375" style="174" customWidth="1"/>
    <col min="10310" max="10312" width="9.77734375" style="174"/>
    <col min="10313" max="10313" width="11.77734375" style="174" customWidth="1"/>
    <col min="10314" max="10314" width="12.77734375" style="174" customWidth="1"/>
    <col min="10315" max="10496" width="9.77734375" style="174"/>
    <col min="10497" max="10497" width="20.21875" style="174" bestFit="1" customWidth="1"/>
    <col min="10498" max="10498" width="9.21875" style="174" customWidth="1"/>
    <col min="10499" max="10499" width="7.109375" style="174" customWidth="1"/>
    <col min="10500" max="10500" width="7.88671875" style="174" customWidth="1"/>
    <col min="10501" max="10501" width="7.6640625" style="174" customWidth="1"/>
    <col min="10502" max="10502" width="8.77734375" style="174" customWidth="1"/>
    <col min="10503" max="10503" width="7.77734375" style="174" customWidth="1"/>
    <col min="10504" max="10504" width="8.77734375" style="174" customWidth="1"/>
    <col min="10505" max="10505" width="7.77734375" style="174" customWidth="1"/>
    <col min="10506" max="10506" width="8.77734375" style="174" customWidth="1"/>
    <col min="10507" max="10507" width="7.77734375" style="174" customWidth="1"/>
    <col min="10508" max="10508" width="9" style="174" customWidth="1"/>
    <col min="10509" max="10509" width="7.21875" style="174" customWidth="1"/>
    <col min="10510" max="10510" width="8.6640625" style="174" customWidth="1"/>
    <col min="10511" max="10511" width="7.33203125" style="174" customWidth="1"/>
    <col min="10512" max="10512" width="8.6640625" style="174" customWidth="1"/>
    <col min="10513" max="10513" width="7.33203125" style="174" customWidth="1"/>
    <col min="10514" max="10514" width="8.77734375" style="174" customWidth="1"/>
    <col min="10515" max="10515" width="7.33203125" style="174" customWidth="1"/>
    <col min="10516" max="10516" width="9" style="174" customWidth="1"/>
    <col min="10517" max="10518" width="8.5546875" style="174" customWidth="1"/>
    <col min="10519" max="10519" width="7.88671875" style="174" customWidth="1"/>
    <col min="10520" max="10520" width="9.109375" style="174" customWidth="1"/>
    <col min="10521" max="10521" width="6.77734375" style="174" customWidth="1"/>
    <col min="10522" max="10522" width="8.33203125" style="174" customWidth="1"/>
    <col min="10523" max="10523" width="8.109375" style="174" bestFit="1" customWidth="1"/>
    <col min="10524" max="10524" width="8" style="174" bestFit="1" customWidth="1"/>
    <col min="10525" max="10525" width="7.6640625" style="174" customWidth="1"/>
    <col min="10526" max="10527" width="6.88671875" style="174" customWidth="1"/>
    <col min="10528" max="10528" width="10.21875" style="174" customWidth="1"/>
    <col min="10529" max="10529" width="6.88671875" style="174" customWidth="1"/>
    <col min="10530" max="10530" width="8.77734375" style="174" customWidth="1"/>
    <col min="10531" max="10531" width="7.77734375" style="174" customWidth="1"/>
    <col min="10532" max="10532" width="7.5546875" style="174" customWidth="1"/>
    <col min="10533" max="10533" width="6.88671875" style="174" customWidth="1"/>
    <col min="10534" max="10534" width="9.77734375" style="174" customWidth="1"/>
    <col min="10535" max="10535" width="7.44140625" style="174" bestFit="1" customWidth="1"/>
    <col min="10536" max="10536" width="9.44140625" style="174" customWidth="1"/>
    <col min="10537" max="10537" width="9.21875" style="174" customWidth="1"/>
    <col min="10538" max="10538" width="10.77734375" style="174" customWidth="1"/>
    <col min="10539" max="10539" width="7.44140625" style="174" customWidth="1"/>
    <col min="10540" max="10540" width="8.6640625" style="174" customWidth="1"/>
    <col min="10541" max="10541" width="7.44140625" style="174" customWidth="1"/>
    <col min="10542" max="10542" width="10.33203125" style="174" customWidth="1"/>
    <col min="10543" max="10543" width="8.6640625" style="174" customWidth="1"/>
    <col min="10544" max="10544" width="10.5546875" style="174" customWidth="1"/>
    <col min="10545" max="10545" width="7.44140625" style="174" customWidth="1"/>
    <col min="10546" max="10546" width="10.5546875" style="174" customWidth="1"/>
    <col min="10547" max="10547" width="7.44140625" style="174" customWidth="1"/>
    <col min="10548" max="10548" width="10.5546875" style="174" customWidth="1"/>
    <col min="10549" max="10549" width="7.44140625" style="174" customWidth="1"/>
    <col min="10550" max="10550" width="10.5546875" style="174" customWidth="1"/>
    <col min="10551" max="10551" width="7.44140625" style="174" customWidth="1"/>
    <col min="10552" max="10552" width="10.5546875" style="174" customWidth="1"/>
    <col min="10553" max="10553" width="7.44140625" style="174" customWidth="1"/>
    <col min="10554" max="10554" width="10.5546875" style="174" customWidth="1"/>
    <col min="10555" max="10555" width="7.44140625" style="174" customWidth="1"/>
    <col min="10556" max="10556" width="10.5546875" style="174" customWidth="1"/>
    <col min="10557" max="10557" width="7.44140625" style="174" customWidth="1"/>
    <col min="10558" max="10558" width="9.44140625" style="174" customWidth="1"/>
    <col min="10559" max="10559" width="8.88671875" style="174" customWidth="1"/>
    <col min="10560" max="10561" width="12.109375" style="174" customWidth="1"/>
    <col min="10562" max="10562" width="6.109375" style="174" bestFit="1" customWidth="1"/>
    <col min="10563" max="10563" width="9.77734375" style="174"/>
    <col min="10564" max="10565" width="10.77734375" style="174" customWidth="1"/>
    <col min="10566" max="10568" width="9.77734375" style="174"/>
    <col min="10569" max="10569" width="11.77734375" style="174" customWidth="1"/>
    <col min="10570" max="10570" width="12.77734375" style="174" customWidth="1"/>
    <col min="10571" max="10752" width="9.77734375" style="174"/>
    <col min="10753" max="10753" width="20.21875" style="174" bestFit="1" customWidth="1"/>
    <col min="10754" max="10754" width="9.21875" style="174" customWidth="1"/>
    <col min="10755" max="10755" width="7.109375" style="174" customWidth="1"/>
    <col min="10756" max="10756" width="7.88671875" style="174" customWidth="1"/>
    <col min="10757" max="10757" width="7.6640625" style="174" customWidth="1"/>
    <col min="10758" max="10758" width="8.77734375" style="174" customWidth="1"/>
    <col min="10759" max="10759" width="7.77734375" style="174" customWidth="1"/>
    <col min="10760" max="10760" width="8.77734375" style="174" customWidth="1"/>
    <col min="10761" max="10761" width="7.77734375" style="174" customWidth="1"/>
    <col min="10762" max="10762" width="8.77734375" style="174" customWidth="1"/>
    <col min="10763" max="10763" width="7.77734375" style="174" customWidth="1"/>
    <col min="10764" max="10764" width="9" style="174" customWidth="1"/>
    <col min="10765" max="10765" width="7.21875" style="174" customWidth="1"/>
    <col min="10766" max="10766" width="8.6640625" style="174" customWidth="1"/>
    <col min="10767" max="10767" width="7.33203125" style="174" customWidth="1"/>
    <col min="10768" max="10768" width="8.6640625" style="174" customWidth="1"/>
    <col min="10769" max="10769" width="7.33203125" style="174" customWidth="1"/>
    <col min="10770" max="10770" width="8.77734375" style="174" customWidth="1"/>
    <col min="10771" max="10771" width="7.33203125" style="174" customWidth="1"/>
    <col min="10772" max="10772" width="9" style="174" customWidth="1"/>
    <col min="10773" max="10774" width="8.5546875" style="174" customWidth="1"/>
    <col min="10775" max="10775" width="7.88671875" style="174" customWidth="1"/>
    <col min="10776" max="10776" width="9.109375" style="174" customWidth="1"/>
    <col min="10777" max="10777" width="6.77734375" style="174" customWidth="1"/>
    <col min="10778" max="10778" width="8.33203125" style="174" customWidth="1"/>
    <col min="10779" max="10779" width="8.109375" style="174" bestFit="1" customWidth="1"/>
    <col min="10780" max="10780" width="8" style="174" bestFit="1" customWidth="1"/>
    <col min="10781" max="10781" width="7.6640625" style="174" customWidth="1"/>
    <col min="10782" max="10783" width="6.88671875" style="174" customWidth="1"/>
    <col min="10784" max="10784" width="10.21875" style="174" customWidth="1"/>
    <col min="10785" max="10785" width="6.88671875" style="174" customWidth="1"/>
    <col min="10786" max="10786" width="8.77734375" style="174" customWidth="1"/>
    <col min="10787" max="10787" width="7.77734375" style="174" customWidth="1"/>
    <col min="10788" max="10788" width="7.5546875" style="174" customWidth="1"/>
    <col min="10789" max="10789" width="6.88671875" style="174" customWidth="1"/>
    <col min="10790" max="10790" width="9.77734375" style="174" customWidth="1"/>
    <col min="10791" max="10791" width="7.44140625" style="174" bestFit="1" customWidth="1"/>
    <col min="10792" max="10792" width="9.44140625" style="174" customWidth="1"/>
    <col min="10793" max="10793" width="9.21875" style="174" customWidth="1"/>
    <col min="10794" max="10794" width="10.77734375" style="174" customWidth="1"/>
    <col min="10795" max="10795" width="7.44140625" style="174" customWidth="1"/>
    <col min="10796" max="10796" width="8.6640625" style="174" customWidth="1"/>
    <col min="10797" max="10797" width="7.44140625" style="174" customWidth="1"/>
    <col min="10798" max="10798" width="10.33203125" style="174" customWidth="1"/>
    <col min="10799" max="10799" width="8.6640625" style="174" customWidth="1"/>
    <col min="10800" max="10800" width="10.5546875" style="174" customWidth="1"/>
    <col min="10801" max="10801" width="7.44140625" style="174" customWidth="1"/>
    <col min="10802" max="10802" width="10.5546875" style="174" customWidth="1"/>
    <col min="10803" max="10803" width="7.44140625" style="174" customWidth="1"/>
    <col min="10804" max="10804" width="10.5546875" style="174" customWidth="1"/>
    <col min="10805" max="10805" width="7.44140625" style="174" customWidth="1"/>
    <col min="10806" max="10806" width="10.5546875" style="174" customWidth="1"/>
    <col min="10807" max="10807" width="7.44140625" style="174" customWidth="1"/>
    <col min="10808" max="10808" width="10.5546875" style="174" customWidth="1"/>
    <col min="10809" max="10809" width="7.44140625" style="174" customWidth="1"/>
    <col min="10810" max="10810" width="10.5546875" style="174" customWidth="1"/>
    <col min="10811" max="10811" width="7.44140625" style="174" customWidth="1"/>
    <col min="10812" max="10812" width="10.5546875" style="174" customWidth="1"/>
    <col min="10813" max="10813" width="7.44140625" style="174" customWidth="1"/>
    <col min="10814" max="10814" width="9.44140625" style="174" customWidth="1"/>
    <col min="10815" max="10815" width="8.88671875" style="174" customWidth="1"/>
    <col min="10816" max="10817" width="12.109375" style="174" customWidth="1"/>
    <col min="10818" max="10818" width="6.109375" style="174" bestFit="1" customWidth="1"/>
    <col min="10819" max="10819" width="9.77734375" style="174"/>
    <col min="10820" max="10821" width="10.77734375" style="174" customWidth="1"/>
    <col min="10822" max="10824" width="9.77734375" style="174"/>
    <col min="10825" max="10825" width="11.77734375" style="174" customWidth="1"/>
    <col min="10826" max="10826" width="12.77734375" style="174" customWidth="1"/>
    <col min="10827" max="11008" width="9.77734375" style="174"/>
    <col min="11009" max="11009" width="20.21875" style="174" bestFit="1" customWidth="1"/>
    <col min="11010" max="11010" width="9.21875" style="174" customWidth="1"/>
    <col min="11011" max="11011" width="7.109375" style="174" customWidth="1"/>
    <col min="11012" max="11012" width="7.88671875" style="174" customWidth="1"/>
    <col min="11013" max="11013" width="7.6640625" style="174" customWidth="1"/>
    <col min="11014" max="11014" width="8.77734375" style="174" customWidth="1"/>
    <col min="11015" max="11015" width="7.77734375" style="174" customWidth="1"/>
    <col min="11016" max="11016" width="8.77734375" style="174" customWidth="1"/>
    <col min="11017" max="11017" width="7.77734375" style="174" customWidth="1"/>
    <col min="11018" max="11018" width="8.77734375" style="174" customWidth="1"/>
    <col min="11019" max="11019" width="7.77734375" style="174" customWidth="1"/>
    <col min="11020" max="11020" width="9" style="174" customWidth="1"/>
    <col min="11021" max="11021" width="7.21875" style="174" customWidth="1"/>
    <col min="11022" max="11022" width="8.6640625" style="174" customWidth="1"/>
    <col min="11023" max="11023" width="7.33203125" style="174" customWidth="1"/>
    <col min="11024" max="11024" width="8.6640625" style="174" customWidth="1"/>
    <col min="11025" max="11025" width="7.33203125" style="174" customWidth="1"/>
    <col min="11026" max="11026" width="8.77734375" style="174" customWidth="1"/>
    <col min="11027" max="11027" width="7.33203125" style="174" customWidth="1"/>
    <col min="11028" max="11028" width="9" style="174" customWidth="1"/>
    <col min="11029" max="11030" width="8.5546875" style="174" customWidth="1"/>
    <col min="11031" max="11031" width="7.88671875" style="174" customWidth="1"/>
    <col min="11032" max="11032" width="9.109375" style="174" customWidth="1"/>
    <col min="11033" max="11033" width="6.77734375" style="174" customWidth="1"/>
    <col min="11034" max="11034" width="8.33203125" style="174" customWidth="1"/>
    <col min="11035" max="11035" width="8.109375" style="174" bestFit="1" customWidth="1"/>
    <col min="11036" max="11036" width="8" style="174" bestFit="1" customWidth="1"/>
    <col min="11037" max="11037" width="7.6640625" style="174" customWidth="1"/>
    <col min="11038" max="11039" width="6.88671875" style="174" customWidth="1"/>
    <col min="11040" max="11040" width="10.21875" style="174" customWidth="1"/>
    <col min="11041" max="11041" width="6.88671875" style="174" customWidth="1"/>
    <col min="11042" max="11042" width="8.77734375" style="174" customWidth="1"/>
    <col min="11043" max="11043" width="7.77734375" style="174" customWidth="1"/>
    <col min="11044" max="11044" width="7.5546875" style="174" customWidth="1"/>
    <col min="11045" max="11045" width="6.88671875" style="174" customWidth="1"/>
    <col min="11046" max="11046" width="9.77734375" style="174" customWidth="1"/>
    <col min="11047" max="11047" width="7.44140625" style="174" bestFit="1" customWidth="1"/>
    <col min="11048" max="11048" width="9.44140625" style="174" customWidth="1"/>
    <col min="11049" max="11049" width="9.21875" style="174" customWidth="1"/>
    <col min="11050" max="11050" width="10.77734375" style="174" customWidth="1"/>
    <col min="11051" max="11051" width="7.44140625" style="174" customWidth="1"/>
    <col min="11052" max="11052" width="8.6640625" style="174" customWidth="1"/>
    <col min="11053" max="11053" width="7.44140625" style="174" customWidth="1"/>
    <col min="11054" max="11054" width="10.33203125" style="174" customWidth="1"/>
    <col min="11055" max="11055" width="8.6640625" style="174" customWidth="1"/>
    <col min="11056" max="11056" width="10.5546875" style="174" customWidth="1"/>
    <col min="11057" max="11057" width="7.44140625" style="174" customWidth="1"/>
    <col min="11058" max="11058" width="10.5546875" style="174" customWidth="1"/>
    <col min="11059" max="11059" width="7.44140625" style="174" customWidth="1"/>
    <col min="11060" max="11060" width="10.5546875" style="174" customWidth="1"/>
    <col min="11061" max="11061" width="7.44140625" style="174" customWidth="1"/>
    <col min="11062" max="11062" width="10.5546875" style="174" customWidth="1"/>
    <col min="11063" max="11063" width="7.44140625" style="174" customWidth="1"/>
    <col min="11064" max="11064" width="10.5546875" style="174" customWidth="1"/>
    <col min="11065" max="11065" width="7.44140625" style="174" customWidth="1"/>
    <col min="11066" max="11066" width="10.5546875" style="174" customWidth="1"/>
    <col min="11067" max="11067" width="7.44140625" style="174" customWidth="1"/>
    <col min="11068" max="11068" width="10.5546875" style="174" customWidth="1"/>
    <col min="11069" max="11069" width="7.44140625" style="174" customWidth="1"/>
    <col min="11070" max="11070" width="9.44140625" style="174" customWidth="1"/>
    <col min="11071" max="11071" width="8.88671875" style="174" customWidth="1"/>
    <col min="11072" max="11073" width="12.109375" style="174" customWidth="1"/>
    <col min="11074" max="11074" width="6.109375" style="174" bestFit="1" customWidth="1"/>
    <col min="11075" max="11075" width="9.77734375" style="174"/>
    <col min="11076" max="11077" width="10.77734375" style="174" customWidth="1"/>
    <col min="11078" max="11080" width="9.77734375" style="174"/>
    <col min="11081" max="11081" width="11.77734375" style="174" customWidth="1"/>
    <col min="11082" max="11082" width="12.77734375" style="174" customWidth="1"/>
    <col min="11083" max="11264" width="9.77734375" style="174"/>
    <col min="11265" max="11265" width="20.21875" style="174" bestFit="1" customWidth="1"/>
    <col min="11266" max="11266" width="9.21875" style="174" customWidth="1"/>
    <col min="11267" max="11267" width="7.109375" style="174" customWidth="1"/>
    <col min="11268" max="11268" width="7.88671875" style="174" customWidth="1"/>
    <col min="11269" max="11269" width="7.6640625" style="174" customWidth="1"/>
    <col min="11270" max="11270" width="8.77734375" style="174" customWidth="1"/>
    <col min="11271" max="11271" width="7.77734375" style="174" customWidth="1"/>
    <col min="11272" max="11272" width="8.77734375" style="174" customWidth="1"/>
    <col min="11273" max="11273" width="7.77734375" style="174" customWidth="1"/>
    <col min="11274" max="11274" width="8.77734375" style="174" customWidth="1"/>
    <col min="11275" max="11275" width="7.77734375" style="174" customWidth="1"/>
    <col min="11276" max="11276" width="9" style="174" customWidth="1"/>
    <col min="11277" max="11277" width="7.21875" style="174" customWidth="1"/>
    <col min="11278" max="11278" width="8.6640625" style="174" customWidth="1"/>
    <col min="11279" max="11279" width="7.33203125" style="174" customWidth="1"/>
    <col min="11280" max="11280" width="8.6640625" style="174" customWidth="1"/>
    <col min="11281" max="11281" width="7.33203125" style="174" customWidth="1"/>
    <col min="11282" max="11282" width="8.77734375" style="174" customWidth="1"/>
    <col min="11283" max="11283" width="7.33203125" style="174" customWidth="1"/>
    <col min="11284" max="11284" width="9" style="174" customWidth="1"/>
    <col min="11285" max="11286" width="8.5546875" style="174" customWidth="1"/>
    <col min="11287" max="11287" width="7.88671875" style="174" customWidth="1"/>
    <col min="11288" max="11288" width="9.109375" style="174" customWidth="1"/>
    <col min="11289" max="11289" width="6.77734375" style="174" customWidth="1"/>
    <col min="11290" max="11290" width="8.33203125" style="174" customWidth="1"/>
    <col min="11291" max="11291" width="8.109375" style="174" bestFit="1" customWidth="1"/>
    <col min="11292" max="11292" width="8" style="174" bestFit="1" customWidth="1"/>
    <col min="11293" max="11293" width="7.6640625" style="174" customWidth="1"/>
    <col min="11294" max="11295" width="6.88671875" style="174" customWidth="1"/>
    <col min="11296" max="11296" width="10.21875" style="174" customWidth="1"/>
    <col min="11297" max="11297" width="6.88671875" style="174" customWidth="1"/>
    <col min="11298" max="11298" width="8.77734375" style="174" customWidth="1"/>
    <col min="11299" max="11299" width="7.77734375" style="174" customWidth="1"/>
    <col min="11300" max="11300" width="7.5546875" style="174" customWidth="1"/>
    <col min="11301" max="11301" width="6.88671875" style="174" customWidth="1"/>
    <col min="11302" max="11302" width="9.77734375" style="174" customWidth="1"/>
    <col min="11303" max="11303" width="7.44140625" style="174" bestFit="1" customWidth="1"/>
    <col min="11304" max="11304" width="9.44140625" style="174" customWidth="1"/>
    <col min="11305" max="11305" width="9.21875" style="174" customWidth="1"/>
    <col min="11306" max="11306" width="10.77734375" style="174" customWidth="1"/>
    <col min="11307" max="11307" width="7.44140625" style="174" customWidth="1"/>
    <col min="11308" max="11308" width="8.6640625" style="174" customWidth="1"/>
    <col min="11309" max="11309" width="7.44140625" style="174" customWidth="1"/>
    <col min="11310" max="11310" width="10.33203125" style="174" customWidth="1"/>
    <col min="11311" max="11311" width="8.6640625" style="174" customWidth="1"/>
    <col min="11312" max="11312" width="10.5546875" style="174" customWidth="1"/>
    <col min="11313" max="11313" width="7.44140625" style="174" customWidth="1"/>
    <col min="11314" max="11314" width="10.5546875" style="174" customWidth="1"/>
    <col min="11315" max="11315" width="7.44140625" style="174" customWidth="1"/>
    <col min="11316" max="11316" width="10.5546875" style="174" customWidth="1"/>
    <col min="11317" max="11317" width="7.44140625" style="174" customWidth="1"/>
    <col min="11318" max="11318" width="10.5546875" style="174" customWidth="1"/>
    <col min="11319" max="11319" width="7.44140625" style="174" customWidth="1"/>
    <col min="11320" max="11320" width="10.5546875" style="174" customWidth="1"/>
    <col min="11321" max="11321" width="7.44140625" style="174" customWidth="1"/>
    <col min="11322" max="11322" width="10.5546875" style="174" customWidth="1"/>
    <col min="11323" max="11323" width="7.44140625" style="174" customWidth="1"/>
    <col min="11324" max="11324" width="10.5546875" style="174" customWidth="1"/>
    <col min="11325" max="11325" width="7.44140625" style="174" customWidth="1"/>
    <col min="11326" max="11326" width="9.44140625" style="174" customWidth="1"/>
    <col min="11327" max="11327" width="8.88671875" style="174" customWidth="1"/>
    <col min="11328" max="11329" width="12.109375" style="174" customWidth="1"/>
    <col min="11330" max="11330" width="6.109375" style="174" bestFit="1" customWidth="1"/>
    <col min="11331" max="11331" width="9.77734375" style="174"/>
    <col min="11332" max="11333" width="10.77734375" style="174" customWidth="1"/>
    <col min="11334" max="11336" width="9.77734375" style="174"/>
    <col min="11337" max="11337" width="11.77734375" style="174" customWidth="1"/>
    <col min="11338" max="11338" width="12.77734375" style="174" customWidth="1"/>
    <col min="11339" max="11520" width="9.77734375" style="174"/>
    <col min="11521" max="11521" width="20.21875" style="174" bestFit="1" customWidth="1"/>
    <col min="11522" max="11522" width="9.21875" style="174" customWidth="1"/>
    <col min="11523" max="11523" width="7.109375" style="174" customWidth="1"/>
    <col min="11524" max="11524" width="7.88671875" style="174" customWidth="1"/>
    <col min="11525" max="11525" width="7.6640625" style="174" customWidth="1"/>
    <col min="11526" max="11526" width="8.77734375" style="174" customWidth="1"/>
    <col min="11527" max="11527" width="7.77734375" style="174" customWidth="1"/>
    <col min="11528" max="11528" width="8.77734375" style="174" customWidth="1"/>
    <col min="11529" max="11529" width="7.77734375" style="174" customWidth="1"/>
    <col min="11530" max="11530" width="8.77734375" style="174" customWidth="1"/>
    <col min="11531" max="11531" width="7.77734375" style="174" customWidth="1"/>
    <col min="11532" max="11532" width="9" style="174" customWidth="1"/>
    <col min="11533" max="11533" width="7.21875" style="174" customWidth="1"/>
    <col min="11534" max="11534" width="8.6640625" style="174" customWidth="1"/>
    <col min="11535" max="11535" width="7.33203125" style="174" customWidth="1"/>
    <col min="11536" max="11536" width="8.6640625" style="174" customWidth="1"/>
    <col min="11537" max="11537" width="7.33203125" style="174" customWidth="1"/>
    <col min="11538" max="11538" width="8.77734375" style="174" customWidth="1"/>
    <col min="11539" max="11539" width="7.33203125" style="174" customWidth="1"/>
    <col min="11540" max="11540" width="9" style="174" customWidth="1"/>
    <col min="11541" max="11542" width="8.5546875" style="174" customWidth="1"/>
    <col min="11543" max="11543" width="7.88671875" style="174" customWidth="1"/>
    <col min="11544" max="11544" width="9.109375" style="174" customWidth="1"/>
    <col min="11545" max="11545" width="6.77734375" style="174" customWidth="1"/>
    <col min="11546" max="11546" width="8.33203125" style="174" customWidth="1"/>
    <col min="11547" max="11547" width="8.109375" style="174" bestFit="1" customWidth="1"/>
    <col min="11548" max="11548" width="8" style="174" bestFit="1" customWidth="1"/>
    <col min="11549" max="11549" width="7.6640625" style="174" customWidth="1"/>
    <col min="11550" max="11551" width="6.88671875" style="174" customWidth="1"/>
    <col min="11552" max="11552" width="10.21875" style="174" customWidth="1"/>
    <col min="11553" max="11553" width="6.88671875" style="174" customWidth="1"/>
    <col min="11554" max="11554" width="8.77734375" style="174" customWidth="1"/>
    <col min="11555" max="11555" width="7.77734375" style="174" customWidth="1"/>
    <col min="11556" max="11556" width="7.5546875" style="174" customWidth="1"/>
    <col min="11557" max="11557" width="6.88671875" style="174" customWidth="1"/>
    <col min="11558" max="11558" width="9.77734375" style="174" customWidth="1"/>
    <col min="11559" max="11559" width="7.44140625" style="174" bestFit="1" customWidth="1"/>
    <col min="11560" max="11560" width="9.44140625" style="174" customWidth="1"/>
    <col min="11561" max="11561" width="9.21875" style="174" customWidth="1"/>
    <col min="11562" max="11562" width="10.77734375" style="174" customWidth="1"/>
    <col min="11563" max="11563" width="7.44140625" style="174" customWidth="1"/>
    <col min="11564" max="11564" width="8.6640625" style="174" customWidth="1"/>
    <col min="11565" max="11565" width="7.44140625" style="174" customWidth="1"/>
    <col min="11566" max="11566" width="10.33203125" style="174" customWidth="1"/>
    <col min="11567" max="11567" width="8.6640625" style="174" customWidth="1"/>
    <col min="11568" max="11568" width="10.5546875" style="174" customWidth="1"/>
    <col min="11569" max="11569" width="7.44140625" style="174" customWidth="1"/>
    <col min="11570" max="11570" width="10.5546875" style="174" customWidth="1"/>
    <col min="11571" max="11571" width="7.44140625" style="174" customWidth="1"/>
    <col min="11572" max="11572" width="10.5546875" style="174" customWidth="1"/>
    <col min="11573" max="11573" width="7.44140625" style="174" customWidth="1"/>
    <col min="11574" max="11574" width="10.5546875" style="174" customWidth="1"/>
    <col min="11575" max="11575" width="7.44140625" style="174" customWidth="1"/>
    <col min="11576" max="11576" width="10.5546875" style="174" customWidth="1"/>
    <col min="11577" max="11577" width="7.44140625" style="174" customWidth="1"/>
    <col min="11578" max="11578" width="10.5546875" style="174" customWidth="1"/>
    <col min="11579" max="11579" width="7.44140625" style="174" customWidth="1"/>
    <col min="11580" max="11580" width="10.5546875" style="174" customWidth="1"/>
    <col min="11581" max="11581" width="7.44140625" style="174" customWidth="1"/>
    <col min="11582" max="11582" width="9.44140625" style="174" customWidth="1"/>
    <col min="11583" max="11583" width="8.88671875" style="174" customWidth="1"/>
    <col min="11584" max="11585" width="12.109375" style="174" customWidth="1"/>
    <col min="11586" max="11586" width="6.109375" style="174" bestFit="1" customWidth="1"/>
    <col min="11587" max="11587" width="9.77734375" style="174"/>
    <col min="11588" max="11589" width="10.77734375" style="174" customWidth="1"/>
    <col min="11590" max="11592" width="9.77734375" style="174"/>
    <col min="11593" max="11593" width="11.77734375" style="174" customWidth="1"/>
    <col min="11594" max="11594" width="12.77734375" style="174" customWidth="1"/>
    <col min="11595" max="11776" width="9.77734375" style="174"/>
    <col min="11777" max="11777" width="20.21875" style="174" bestFit="1" customWidth="1"/>
    <col min="11778" max="11778" width="9.21875" style="174" customWidth="1"/>
    <col min="11779" max="11779" width="7.109375" style="174" customWidth="1"/>
    <col min="11780" max="11780" width="7.88671875" style="174" customWidth="1"/>
    <col min="11781" max="11781" width="7.6640625" style="174" customWidth="1"/>
    <col min="11782" max="11782" width="8.77734375" style="174" customWidth="1"/>
    <col min="11783" max="11783" width="7.77734375" style="174" customWidth="1"/>
    <col min="11784" max="11784" width="8.77734375" style="174" customWidth="1"/>
    <col min="11785" max="11785" width="7.77734375" style="174" customWidth="1"/>
    <col min="11786" max="11786" width="8.77734375" style="174" customWidth="1"/>
    <col min="11787" max="11787" width="7.77734375" style="174" customWidth="1"/>
    <col min="11788" max="11788" width="9" style="174" customWidth="1"/>
    <col min="11789" max="11789" width="7.21875" style="174" customWidth="1"/>
    <col min="11790" max="11790" width="8.6640625" style="174" customWidth="1"/>
    <col min="11791" max="11791" width="7.33203125" style="174" customWidth="1"/>
    <col min="11792" max="11792" width="8.6640625" style="174" customWidth="1"/>
    <col min="11793" max="11793" width="7.33203125" style="174" customWidth="1"/>
    <col min="11794" max="11794" width="8.77734375" style="174" customWidth="1"/>
    <col min="11795" max="11795" width="7.33203125" style="174" customWidth="1"/>
    <col min="11796" max="11796" width="9" style="174" customWidth="1"/>
    <col min="11797" max="11798" width="8.5546875" style="174" customWidth="1"/>
    <col min="11799" max="11799" width="7.88671875" style="174" customWidth="1"/>
    <col min="11800" max="11800" width="9.109375" style="174" customWidth="1"/>
    <col min="11801" max="11801" width="6.77734375" style="174" customWidth="1"/>
    <col min="11802" max="11802" width="8.33203125" style="174" customWidth="1"/>
    <col min="11803" max="11803" width="8.109375" style="174" bestFit="1" customWidth="1"/>
    <col min="11804" max="11804" width="8" style="174" bestFit="1" customWidth="1"/>
    <col min="11805" max="11805" width="7.6640625" style="174" customWidth="1"/>
    <col min="11806" max="11807" width="6.88671875" style="174" customWidth="1"/>
    <col min="11808" max="11808" width="10.21875" style="174" customWidth="1"/>
    <col min="11809" max="11809" width="6.88671875" style="174" customWidth="1"/>
    <col min="11810" max="11810" width="8.77734375" style="174" customWidth="1"/>
    <col min="11811" max="11811" width="7.77734375" style="174" customWidth="1"/>
    <col min="11812" max="11812" width="7.5546875" style="174" customWidth="1"/>
    <col min="11813" max="11813" width="6.88671875" style="174" customWidth="1"/>
    <col min="11814" max="11814" width="9.77734375" style="174" customWidth="1"/>
    <col min="11815" max="11815" width="7.44140625" style="174" bestFit="1" customWidth="1"/>
    <col min="11816" max="11816" width="9.44140625" style="174" customWidth="1"/>
    <col min="11817" max="11817" width="9.21875" style="174" customWidth="1"/>
    <col min="11818" max="11818" width="10.77734375" style="174" customWidth="1"/>
    <col min="11819" max="11819" width="7.44140625" style="174" customWidth="1"/>
    <col min="11820" max="11820" width="8.6640625" style="174" customWidth="1"/>
    <col min="11821" max="11821" width="7.44140625" style="174" customWidth="1"/>
    <col min="11822" max="11822" width="10.33203125" style="174" customWidth="1"/>
    <col min="11823" max="11823" width="8.6640625" style="174" customWidth="1"/>
    <col min="11824" max="11824" width="10.5546875" style="174" customWidth="1"/>
    <col min="11825" max="11825" width="7.44140625" style="174" customWidth="1"/>
    <col min="11826" max="11826" width="10.5546875" style="174" customWidth="1"/>
    <col min="11827" max="11827" width="7.44140625" style="174" customWidth="1"/>
    <col min="11828" max="11828" width="10.5546875" style="174" customWidth="1"/>
    <col min="11829" max="11829" width="7.44140625" style="174" customWidth="1"/>
    <col min="11830" max="11830" width="10.5546875" style="174" customWidth="1"/>
    <col min="11831" max="11831" width="7.44140625" style="174" customWidth="1"/>
    <col min="11832" max="11832" width="10.5546875" style="174" customWidth="1"/>
    <col min="11833" max="11833" width="7.44140625" style="174" customWidth="1"/>
    <col min="11834" max="11834" width="10.5546875" style="174" customWidth="1"/>
    <col min="11835" max="11835" width="7.44140625" style="174" customWidth="1"/>
    <col min="11836" max="11836" width="10.5546875" style="174" customWidth="1"/>
    <col min="11837" max="11837" width="7.44140625" style="174" customWidth="1"/>
    <col min="11838" max="11838" width="9.44140625" style="174" customWidth="1"/>
    <col min="11839" max="11839" width="8.88671875" style="174" customWidth="1"/>
    <col min="11840" max="11841" width="12.109375" style="174" customWidth="1"/>
    <col min="11842" max="11842" width="6.109375" style="174" bestFit="1" customWidth="1"/>
    <col min="11843" max="11843" width="9.77734375" style="174"/>
    <col min="11844" max="11845" width="10.77734375" style="174" customWidth="1"/>
    <col min="11846" max="11848" width="9.77734375" style="174"/>
    <col min="11849" max="11849" width="11.77734375" style="174" customWidth="1"/>
    <col min="11850" max="11850" width="12.77734375" style="174" customWidth="1"/>
    <col min="11851" max="12032" width="9.77734375" style="174"/>
    <col min="12033" max="12033" width="20.21875" style="174" bestFit="1" customWidth="1"/>
    <col min="12034" max="12034" width="9.21875" style="174" customWidth="1"/>
    <col min="12035" max="12035" width="7.109375" style="174" customWidth="1"/>
    <col min="12036" max="12036" width="7.88671875" style="174" customWidth="1"/>
    <col min="12037" max="12037" width="7.6640625" style="174" customWidth="1"/>
    <col min="12038" max="12038" width="8.77734375" style="174" customWidth="1"/>
    <col min="12039" max="12039" width="7.77734375" style="174" customWidth="1"/>
    <col min="12040" max="12040" width="8.77734375" style="174" customWidth="1"/>
    <col min="12041" max="12041" width="7.77734375" style="174" customWidth="1"/>
    <col min="12042" max="12042" width="8.77734375" style="174" customWidth="1"/>
    <col min="12043" max="12043" width="7.77734375" style="174" customWidth="1"/>
    <col min="12044" max="12044" width="9" style="174" customWidth="1"/>
    <col min="12045" max="12045" width="7.21875" style="174" customWidth="1"/>
    <col min="12046" max="12046" width="8.6640625" style="174" customWidth="1"/>
    <col min="12047" max="12047" width="7.33203125" style="174" customWidth="1"/>
    <col min="12048" max="12048" width="8.6640625" style="174" customWidth="1"/>
    <col min="12049" max="12049" width="7.33203125" style="174" customWidth="1"/>
    <col min="12050" max="12050" width="8.77734375" style="174" customWidth="1"/>
    <col min="12051" max="12051" width="7.33203125" style="174" customWidth="1"/>
    <col min="12052" max="12052" width="9" style="174" customWidth="1"/>
    <col min="12053" max="12054" width="8.5546875" style="174" customWidth="1"/>
    <col min="12055" max="12055" width="7.88671875" style="174" customWidth="1"/>
    <col min="12056" max="12056" width="9.109375" style="174" customWidth="1"/>
    <col min="12057" max="12057" width="6.77734375" style="174" customWidth="1"/>
    <col min="12058" max="12058" width="8.33203125" style="174" customWidth="1"/>
    <col min="12059" max="12059" width="8.109375" style="174" bestFit="1" customWidth="1"/>
    <col min="12060" max="12060" width="8" style="174" bestFit="1" customWidth="1"/>
    <col min="12061" max="12061" width="7.6640625" style="174" customWidth="1"/>
    <col min="12062" max="12063" width="6.88671875" style="174" customWidth="1"/>
    <col min="12064" max="12064" width="10.21875" style="174" customWidth="1"/>
    <col min="12065" max="12065" width="6.88671875" style="174" customWidth="1"/>
    <col min="12066" max="12066" width="8.77734375" style="174" customWidth="1"/>
    <col min="12067" max="12067" width="7.77734375" style="174" customWidth="1"/>
    <col min="12068" max="12068" width="7.5546875" style="174" customWidth="1"/>
    <col min="12069" max="12069" width="6.88671875" style="174" customWidth="1"/>
    <col min="12070" max="12070" width="9.77734375" style="174" customWidth="1"/>
    <col min="12071" max="12071" width="7.44140625" style="174" bestFit="1" customWidth="1"/>
    <col min="12072" max="12072" width="9.44140625" style="174" customWidth="1"/>
    <col min="12073" max="12073" width="9.21875" style="174" customWidth="1"/>
    <col min="12074" max="12074" width="10.77734375" style="174" customWidth="1"/>
    <col min="12075" max="12075" width="7.44140625" style="174" customWidth="1"/>
    <col min="12076" max="12076" width="8.6640625" style="174" customWidth="1"/>
    <col min="12077" max="12077" width="7.44140625" style="174" customWidth="1"/>
    <col min="12078" max="12078" width="10.33203125" style="174" customWidth="1"/>
    <col min="12079" max="12079" width="8.6640625" style="174" customWidth="1"/>
    <col min="12080" max="12080" width="10.5546875" style="174" customWidth="1"/>
    <col min="12081" max="12081" width="7.44140625" style="174" customWidth="1"/>
    <col min="12082" max="12082" width="10.5546875" style="174" customWidth="1"/>
    <col min="12083" max="12083" width="7.44140625" style="174" customWidth="1"/>
    <col min="12084" max="12084" width="10.5546875" style="174" customWidth="1"/>
    <col min="12085" max="12085" width="7.44140625" style="174" customWidth="1"/>
    <col min="12086" max="12086" width="10.5546875" style="174" customWidth="1"/>
    <col min="12087" max="12087" width="7.44140625" style="174" customWidth="1"/>
    <col min="12088" max="12088" width="10.5546875" style="174" customWidth="1"/>
    <col min="12089" max="12089" width="7.44140625" style="174" customWidth="1"/>
    <col min="12090" max="12090" width="10.5546875" style="174" customWidth="1"/>
    <col min="12091" max="12091" width="7.44140625" style="174" customWidth="1"/>
    <col min="12092" max="12092" width="10.5546875" style="174" customWidth="1"/>
    <col min="12093" max="12093" width="7.44140625" style="174" customWidth="1"/>
    <col min="12094" max="12094" width="9.44140625" style="174" customWidth="1"/>
    <col min="12095" max="12095" width="8.88671875" style="174" customWidth="1"/>
    <col min="12096" max="12097" width="12.109375" style="174" customWidth="1"/>
    <col min="12098" max="12098" width="6.109375" style="174" bestFit="1" customWidth="1"/>
    <col min="12099" max="12099" width="9.77734375" style="174"/>
    <col min="12100" max="12101" width="10.77734375" style="174" customWidth="1"/>
    <col min="12102" max="12104" width="9.77734375" style="174"/>
    <col min="12105" max="12105" width="11.77734375" style="174" customWidth="1"/>
    <col min="12106" max="12106" width="12.77734375" style="174" customWidth="1"/>
    <col min="12107" max="12288" width="9.77734375" style="174"/>
    <col min="12289" max="12289" width="20.21875" style="174" bestFit="1" customWidth="1"/>
    <col min="12290" max="12290" width="9.21875" style="174" customWidth="1"/>
    <col min="12291" max="12291" width="7.109375" style="174" customWidth="1"/>
    <col min="12292" max="12292" width="7.88671875" style="174" customWidth="1"/>
    <col min="12293" max="12293" width="7.6640625" style="174" customWidth="1"/>
    <col min="12294" max="12294" width="8.77734375" style="174" customWidth="1"/>
    <col min="12295" max="12295" width="7.77734375" style="174" customWidth="1"/>
    <col min="12296" max="12296" width="8.77734375" style="174" customWidth="1"/>
    <col min="12297" max="12297" width="7.77734375" style="174" customWidth="1"/>
    <col min="12298" max="12298" width="8.77734375" style="174" customWidth="1"/>
    <col min="12299" max="12299" width="7.77734375" style="174" customWidth="1"/>
    <col min="12300" max="12300" width="9" style="174" customWidth="1"/>
    <col min="12301" max="12301" width="7.21875" style="174" customWidth="1"/>
    <col min="12302" max="12302" width="8.6640625" style="174" customWidth="1"/>
    <col min="12303" max="12303" width="7.33203125" style="174" customWidth="1"/>
    <col min="12304" max="12304" width="8.6640625" style="174" customWidth="1"/>
    <col min="12305" max="12305" width="7.33203125" style="174" customWidth="1"/>
    <col min="12306" max="12306" width="8.77734375" style="174" customWidth="1"/>
    <col min="12307" max="12307" width="7.33203125" style="174" customWidth="1"/>
    <col min="12308" max="12308" width="9" style="174" customWidth="1"/>
    <col min="12309" max="12310" width="8.5546875" style="174" customWidth="1"/>
    <col min="12311" max="12311" width="7.88671875" style="174" customWidth="1"/>
    <col min="12312" max="12312" width="9.109375" style="174" customWidth="1"/>
    <col min="12313" max="12313" width="6.77734375" style="174" customWidth="1"/>
    <col min="12314" max="12314" width="8.33203125" style="174" customWidth="1"/>
    <col min="12315" max="12315" width="8.109375" style="174" bestFit="1" customWidth="1"/>
    <col min="12316" max="12316" width="8" style="174" bestFit="1" customWidth="1"/>
    <col min="12317" max="12317" width="7.6640625" style="174" customWidth="1"/>
    <col min="12318" max="12319" width="6.88671875" style="174" customWidth="1"/>
    <col min="12320" max="12320" width="10.21875" style="174" customWidth="1"/>
    <col min="12321" max="12321" width="6.88671875" style="174" customWidth="1"/>
    <col min="12322" max="12322" width="8.77734375" style="174" customWidth="1"/>
    <col min="12323" max="12323" width="7.77734375" style="174" customWidth="1"/>
    <col min="12324" max="12324" width="7.5546875" style="174" customWidth="1"/>
    <col min="12325" max="12325" width="6.88671875" style="174" customWidth="1"/>
    <col min="12326" max="12326" width="9.77734375" style="174" customWidth="1"/>
    <col min="12327" max="12327" width="7.44140625" style="174" bestFit="1" customWidth="1"/>
    <col min="12328" max="12328" width="9.44140625" style="174" customWidth="1"/>
    <col min="12329" max="12329" width="9.21875" style="174" customWidth="1"/>
    <col min="12330" max="12330" width="10.77734375" style="174" customWidth="1"/>
    <col min="12331" max="12331" width="7.44140625" style="174" customWidth="1"/>
    <col min="12332" max="12332" width="8.6640625" style="174" customWidth="1"/>
    <col min="12333" max="12333" width="7.44140625" style="174" customWidth="1"/>
    <col min="12334" max="12334" width="10.33203125" style="174" customWidth="1"/>
    <col min="12335" max="12335" width="8.6640625" style="174" customWidth="1"/>
    <col min="12336" max="12336" width="10.5546875" style="174" customWidth="1"/>
    <col min="12337" max="12337" width="7.44140625" style="174" customWidth="1"/>
    <col min="12338" max="12338" width="10.5546875" style="174" customWidth="1"/>
    <col min="12339" max="12339" width="7.44140625" style="174" customWidth="1"/>
    <col min="12340" max="12340" width="10.5546875" style="174" customWidth="1"/>
    <col min="12341" max="12341" width="7.44140625" style="174" customWidth="1"/>
    <col min="12342" max="12342" width="10.5546875" style="174" customWidth="1"/>
    <col min="12343" max="12343" width="7.44140625" style="174" customWidth="1"/>
    <col min="12344" max="12344" width="10.5546875" style="174" customWidth="1"/>
    <col min="12345" max="12345" width="7.44140625" style="174" customWidth="1"/>
    <col min="12346" max="12346" width="10.5546875" style="174" customWidth="1"/>
    <col min="12347" max="12347" width="7.44140625" style="174" customWidth="1"/>
    <col min="12348" max="12348" width="10.5546875" style="174" customWidth="1"/>
    <col min="12349" max="12349" width="7.44140625" style="174" customWidth="1"/>
    <col min="12350" max="12350" width="9.44140625" style="174" customWidth="1"/>
    <col min="12351" max="12351" width="8.88671875" style="174" customWidth="1"/>
    <col min="12352" max="12353" width="12.109375" style="174" customWidth="1"/>
    <col min="12354" max="12354" width="6.109375" style="174" bestFit="1" customWidth="1"/>
    <col min="12355" max="12355" width="9.77734375" style="174"/>
    <col min="12356" max="12357" width="10.77734375" style="174" customWidth="1"/>
    <col min="12358" max="12360" width="9.77734375" style="174"/>
    <col min="12361" max="12361" width="11.77734375" style="174" customWidth="1"/>
    <col min="12362" max="12362" width="12.77734375" style="174" customWidth="1"/>
    <col min="12363" max="12544" width="9.77734375" style="174"/>
    <col min="12545" max="12545" width="20.21875" style="174" bestFit="1" customWidth="1"/>
    <col min="12546" max="12546" width="9.21875" style="174" customWidth="1"/>
    <col min="12547" max="12547" width="7.109375" style="174" customWidth="1"/>
    <col min="12548" max="12548" width="7.88671875" style="174" customWidth="1"/>
    <col min="12549" max="12549" width="7.6640625" style="174" customWidth="1"/>
    <col min="12550" max="12550" width="8.77734375" style="174" customWidth="1"/>
    <col min="12551" max="12551" width="7.77734375" style="174" customWidth="1"/>
    <col min="12552" max="12552" width="8.77734375" style="174" customWidth="1"/>
    <col min="12553" max="12553" width="7.77734375" style="174" customWidth="1"/>
    <col min="12554" max="12554" width="8.77734375" style="174" customWidth="1"/>
    <col min="12555" max="12555" width="7.77734375" style="174" customWidth="1"/>
    <col min="12556" max="12556" width="9" style="174" customWidth="1"/>
    <col min="12557" max="12557" width="7.21875" style="174" customWidth="1"/>
    <col min="12558" max="12558" width="8.6640625" style="174" customWidth="1"/>
    <col min="12559" max="12559" width="7.33203125" style="174" customWidth="1"/>
    <col min="12560" max="12560" width="8.6640625" style="174" customWidth="1"/>
    <col min="12561" max="12561" width="7.33203125" style="174" customWidth="1"/>
    <col min="12562" max="12562" width="8.77734375" style="174" customWidth="1"/>
    <col min="12563" max="12563" width="7.33203125" style="174" customWidth="1"/>
    <col min="12564" max="12564" width="9" style="174" customWidth="1"/>
    <col min="12565" max="12566" width="8.5546875" style="174" customWidth="1"/>
    <col min="12567" max="12567" width="7.88671875" style="174" customWidth="1"/>
    <col min="12568" max="12568" width="9.109375" style="174" customWidth="1"/>
    <col min="12569" max="12569" width="6.77734375" style="174" customWidth="1"/>
    <col min="12570" max="12570" width="8.33203125" style="174" customWidth="1"/>
    <col min="12571" max="12571" width="8.109375" style="174" bestFit="1" customWidth="1"/>
    <col min="12572" max="12572" width="8" style="174" bestFit="1" customWidth="1"/>
    <col min="12573" max="12573" width="7.6640625" style="174" customWidth="1"/>
    <col min="12574" max="12575" width="6.88671875" style="174" customWidth="1"/>
    <col min="12576" max="12576" width="10.21875" style="174" customWidth="1"/>
    <col min="12577" max="12577" width="6.88671875" style="174" customWidth="1"/>
    <col min="12578" max="12578" width="8.77734375" style="174" customWidth="1"/>
    <col min="12579" max="12579" width="7.77734375" style="174" customWidth="1"/>
    <col min="12580" max="12580" width="7.5546875" style="174" customWidth="1"/>
    <col min="12581" max="12581" width="6.88671875" style="174" customWidth="1"/>
    <col min="12582" max="12582" width="9.77734375" style="174" customWidth="1"/>
    <col min="12583" max="12583" width="7.44140625" style="174" bestFit="1" customWidth="1"/>
    <col min="12584" max="12584" width="9.44140625" style="174" customWidth="1"/>
    <col min="12585" max="12585" width="9.21875" style="174" customWidth="1"/>
    <col min="12586" max="12586" width="10.77734375" style="174" customWidth="1"/>
    <col min="12587" max="12587" width="7.44140625" style="174" customWidth="1"/>
    <col min="12588" max="12588" width="8.6640625" style="174" customWidth="1"/>
    <col min="12589" max="12589" width="7.44140625" style="174" customWidth="1"/>
    <col min="12590" max="12590" width="10.33203125" style="174" customWidth="1"/>
    <col min="12591" max="12591" width="8.6640625" style="174" customWidth="1"/>
    <col min="12592" max="12592" width="10.5546875" style="174" customWidth="1"/>
    <col min="12593" max="12593" width="7.44140625" style="174" customWidth="1"/>
    <col min="12594" max="12594" width="10.5546875" style="174" customWidth="1"/>
    <col min="12595" max="12595" width="7.44140625" style="174" customWidth="1"/>
    <col min="12596" max="12596" width="10.5546875" style="174" customWidth="1"/>
    <col min="12597" max="12597" width="7.44140625" style="174" customWidth="1"/>
    <col min="12598" max="12598" width="10.5546875" style="174" customWidth="1"/>
    <col min="12599" max="12599" width="7.44140625" style="174" customWidth="1"/>
    <col min="12600" max="12600" width="10.5546875" style="174" customWidth="1"/>
    <col min="12601" max="12601" width="7.44140625" style="174" customWidth="1"/>
    <col min="12602" max="12602" width="10.5546875" style="174" customWidth="1"/>
    <col min="12603" max="12603" width="7.44140625" style="174" customWidth="1"/>
    <col min="12604" max="12604" width="10.5546875" style="174" customWidth="1"/>
    <col min="12605" max="12605" width="7.44140625" style="174" customWidth="1"/>
    <col min="12606" max="12606" width="9.44140625" style="174" customWidth="1"/>
    <col min="12607" max="12607" width="8.88671875" style="174" customWidth="1"/>
    <col min="12608" max="12609" width="12.109375" style="174" customWidth="1"/>
    <col min="12610" max="12610" width="6.109375" style="174" bestFit="1" customWidth="1"/>
    <col min="12611" max="12611" width="9.77734375" style="174"/>
    <col min="12612" max="12613" width="10.77734375" style="174" customWidth="1"/>
    <col min="12614" max="12616" width="9.77734375" style="174"/>
    <col min="12617" max="12617" width="11.77734375" style="174" customWidth="1"/>
    <col min="12618" max="12618" width="12.77734375" style="174" customWidth="1"/>
    <col min="12619" max="12800" width="9.77734375" style="174"/>
    <col min="12801" max="12801" width="20.21875" style="174" bestFit="1" customWidth="1"/>
    <col min="12802" max="12802" width="9.21875" style="174" customWidth="1"/>
    <col min="12803" max="12803" width="7.109375" style="174" customWidth="1"/>
    <col min="12804" max="12804" width="7.88671875" style="174" customWidth="1"/>
    <col min="12805" max="12805" width="7.6640625" style="174" customWidth="1"/>
    <col min="12806" max="12806" width="8.77734375" style="174" customWidth="1"/>
    <col min="12807" max="12807" width="7.77734375" style="174" customWidth="1"/>
    <col min="12808" max="12808" width="8.77734375" style="174" customWidth="1"/>
    <col min="12809" max="12809" width="7.77734375" style="174" customWidth="1"/>
    <col min="12810" max="12810" width="8.77734375" style="174" customWidth="1"/>
    <col min="12811" max="12811" width="7.77734375" style="174" customWidth="1"/>
    <col min="12812" max="12812" width="9" style="174" customWidth="1"/>
    <col min="12813" max="12813" width="7.21875" style="174" customWidth="1"/>
    <col min="12814" max="12814" width="8.6640625" style="174" customWidth="1"/>
    <col min="12815" max="12815" width="7.33203125" style="174" customWidth="1"/>
    <col min="12816" max="12816" width="8.6640625" style="174" customWidth="1"/>
    <col min="12817" max="12817" width="7.33203125" style="174" customWidth="1"/>
    <col min="12818" max="12818" width="8.77734375" style="174" customWidth="1"/>
    <col min="12819" max="12819" width="7.33203125" style="174" customWidth="1"/>
    <col min="12820" max="12820" width="9" style="174" customWidth="1"/>
    <col min="12821" max="12822" width="8.5546875" style="174" customWidth="1"/>
    <col min="12823" max="12823" width="7.88671875" style="174" customWidth="1"/>
    <col min="12824" max="12824" width="9.109375" style="174" customWidth="1"/>
    <col min="12825" max="12825" width="6.77734375" style="174" customWidth="1"/>
    <col min="12826" max="12826" width="8.33203125" style="174" customWidth="1"/>
    <col min="12827" max="12827" width="8.109375" style="174" bestFit="1" customWidth="1"/>
    <col min="12828" max="12828" width="8" style="174" bestFit="1" customWidth="1"/>
    <col min="12829" max="12829" width="7.6640625" style="174" customWidth="1"/>
    <col min="12830" max="12831" width="6.88671875" style="174" customWidth="1"/>
    <col min="12832" max="12832" width="10.21875" style="174" customWidth="1"/>
    <col min="12833" max="12833" width="6.88671875" style="174" customWidth="1"/>
    <col min="12834" max="12834" width="8.77734375" style="174" customWidth="1"/>
    <col min="12835" max="12835" width="7.77734375" style="174" customWidth="1"/>
    <col min="12836" max="12836" width="7.5546875" style="174" customWidth="1"/>
    <col min="12837" max="12837" width="6.88671875" style="174" customWidth="1"/>
    <col min="12838" max="12838" width="9.77734375" style="174" customWidth="1"/>
    <col min="12839" max="12839" width="7.44140625" style="174" bestFit="1" customWidth="1"/>
    <col min="12840" max="12840" width="9.44140625" style="174" customWidth="1"/>
    <col min="12841" max="12841" width="9.21875" style="174" customWidth="1"/>
    <col min="12842" max="12842" width="10.77734375" style="174" customWidth="1"/>
    <col min="12843" max="12843" width="7.44140625" style="174" customWidth="1"/>
    <col min="12844" max="12844" width="8.6640625" style="174" customWidth="1"/>
    <col min="12845" max="12845" width="7.44140625" style="174" customWidth="1"/>
    <col min="12846" max="12846" width="10.33203125" style="174" customWidth="1"/>
    <col min="12847" max="12847" width="8.6640625" style="174" customWidth="1"/>
    <col min="12848" max="12848" width="10.5546875" style="174" customWidth="1"/>
    <col min="12849" max="12849" width="7.44140625" style="174" customWidth="1"/>
    <col min="12850" max="12850" width="10.5546875" style="174" customWidth="1"/>
    <col min="12851" max="12851" width="7.44140625" style="174" customWidth="1"/>
    <col min="12852" max="12852" width="10.5546875" style="174" customWidth="1"/>
    <col min="12853" max="12853" width="7.44140625" style="174" customWidth="1"/>
    <col min="12854" max="12854" width="10.5546875" style="174" customWidth="1"/>
    <col min="12855" max="12855" width="7.44140625" style="174" customWidth="1"/>
    <col min="12856" max="12856" width="10.5546875" style="174" customWidth="1"/>
    <col min="12857" max="12857" width="7.44140625" style="174" customWidth="1"/>
    <col min="12858" max="12858" width="10.5546875" style="174" customWidth="1"/>
    <col min="12859" max="12859" width="7.44140625" style="174" customWidth="1"/>
    <col min="12860" max="12860" width="10.5546875" style="174" customWidth="1"/>
    <col min="12861" max="12861" width="7.44140625" style="174" customWidth="1"/>
    <col min="12862" max="12862" width="9.44140625" style="174" customWidth="1"/>
    <col min="12863" max="12863" width="8.88671875" style="174" customWidth="1"/>
    <col min="12864" max="12865" width="12.109375" style="174" customWidth="1"/>
    <col min="12866" max="12866" width="6.109375" style="174" bestFit="1" customWidth="1"/>
    <col min="12867" max="12867" width="9.77734375" style="174"/>
    <col min="12868" max="12869" width="10.77734375" style="174" customWidth="1"/>
    <col min="12870" max="12872" width="9.77734375" style="174"/>
    <col min="12873" max="12873" width="11.77734375" style="174" customWidth="1"/>
    <col min="12874" max="12874" width="12.77734375" style="174" customWidth="1"/>
    <col min="12875" max="13056" width="9.77734375" style="174"/>
    <col min="13057" max="13057" width="20.21875" style="174" bestFit="1" customWidth="1"/>
    <col min="13058" max="13058" width="9.21875" style="174" customWidth="1"/>
    <col min="13059" max="13059" width="7.109375" style="174" customWidth="1"/>
    <col min="13060" max="13060" width="7.88671875" style="174" customWidth="1"/>
    <col min="13061" max="13061" width="7.6640625" style="174" customWidth="1"/>
    <col min="13062" max="13062" width="8.77734375" style="174" customWidth="1"/>
    <col min="13063" max="13063" width="7.77734375" style="174" customWidth="1"/>
    <col min="13064" max="13064" width="8.77734375" style="174" customWidth="1"/>
    <col min="13065" max="13065" width="7.77734375" style="174" customWidth="1"/>
    <col min="13066" max="13066" width="8.77734375" style="174" customWidth="1"/>
    <col min="13067" max="13067" width="7.77734375" style="174" customWidth="1"/>
    <col min="13068" max="13068" width="9" style="174" customWidth="1"/>
    <col min="13069" max="13069" width="7.21875" style="174" customWidth="1"/>
    <col min="13070" max="13070" width="8.6640625" style="174" customWidth="1"/>
    <col min="13071" max="13071" width="7.33203125" style="174" customWidth="1"/>
    <col min="13072" max="13072" width="8.6640625" style="174" customWidth="1"/>
    <col min="13073" max="13073" width="7.33203125" style="174" customWidth="1"/>
    <col min="13074" max="13074" width="8.77734375" style="174" customWidth="1"/>
    <col min="13075" max="13075" width="7.33203125" style="174" customWidth="1"/>
    <col min="13076" max="13076" width="9" style="174" customWidth="1"/>
    <col min="13077" max="13078" width="8.5546875" style="174" customWidth="1"/>
    <col min="13079" max="13079" width="7.88671875" style="174" customWidth="1"/>
    <col min="13080" max="13080" width="9.109375" style="174" customWidth="1"/>
    <col min="13081" max="13081" width="6.77734375" style="174" customWidth="1"/>
    <col min="13082" max="13082" width="8.33203125" style="174" customWidth="1"/>
    <col min="13083" max="13083" width="8.109375" style="174" bestFit="1" customWidth="1"/>
    <col min="13084" max="13084" width="8" style="174" bestFit="1" customWidth="1"/>
    <col min="13085" max="13085" width="7.6640625" style="174" customWidth="1"/>
    <col min="13086" max="13087" width="6.88671875" style="174" customWidth="1"/>
    <col min="13088" max="13088" width="10.21875" style="174" customWidth="1"/>
    <col min="13089" max="13089" width="6.88671875" style="174" customWidth="1"/>
    <col min="13090" max="13090" width="8.77734375" style="174" customWidth="1"/>
    <col min="13091" max="13091" width="7.77734375" style="174" customWidth="1"/>
    <col min="13092" max="13092" width="7.5546875" style="174" customWidth="1"/>
    <col min="13093" max="13093" width="6.88671875" style="174" customWidth="1"/>
    <col min="13094" max="13094" width="9.77734375" style="174" customWidth="1"/>
    <col min="13095" max="13095" width="7.44140625" style="174" bestFit="1" customWidth="1"/>
    <col min="13096" max="13096" width="9.44140625" style="174" customWidth="1"/>
    <col min="13097" max="13097" width="9.21875" style="174" customWidth="1"/>
    <col min="13098" max="13098" width="10.77734375" style="174" customWidth="1"/>
    <col min="13099" max="13099" width="7.44140625" style="174" customWidth="1"/>
    <col min="13100" max="13100" width="8.6640625" style="174" customWidth="1"/>
    <col min="13101" max="13101" width="7.44140625" style="174" customWidth="1"/>
    <col min="13102" max="13102" width="10.33203125" style="174" customWidth="1"/>
    <col min="13103" max="13103" width="8.6640625" style="174" customWidth="1"/>
    <col min="13104" max="13104" width="10.5546875" style="174" customWidth="1"/>
    <col min="13105" max="13105" width="7.44140625" style="174" customWidth="1"/>
    <col min="13106" max="13106" width="10.5546875" style="174" customWidth="1"/>
    <col min="13107" max="13107" width="7.44140625" style="174" customWidth="1"/>
    <col min="13108" max="13108" width="10.5546875" style="174" customWidth="1"/>
    <col min="13109" max="13109" width="7.44140625" style="174" customWidth="1"/>
    <col min="13110" max="13110" width="10.5546875" style="174" customWidth="1"/>
    <col min="13111" max="13111" width="7.44140625" style="174" customWidth="1"/>
    <col min="13112" max="13112" width="10.5546875" style="174" customWidth="1"/>
    <col min="13113" max="13113" width="7.44140625" style="174" customWidth="1"/>
    <col min="13114" max="13114" width="10.5546875" style="174" customWidth="1"/>
    <col min="13115" max="13115" width="7.44140625" style="174" customWidth="1"/>
    <col min="13116" max="13116" width="10.5546875" style="174" customWidth="1"/>
    <col min="13117" max="13117" width="7.44140625" style="174" customWidth="1"/>
    <col min="13118" max="13118" width="9.44140625" style="174" customWidth="1"/>
    <col min="13119" max="13119" width="8.88671875" style="174" customWidth="1"/>
    <col min="13120" max="13121" width="12.109375" style="174" customWidth="1"/>
    <col min="13122" max="13122" width="6.109375" style="174" bestFit="1" customWidth="1"/>
    <col min="13123" max="13123" width="9.77734375" style="174"/>
    <col min="13124" max="13125" width="10.77734375" style="174" customWidth="1"/>
    <col min="13126" max="13128" width="9.77734375" style="174"/>
    <col min="13129" max="13129" width="11.77734375" style="174" customWidth="1"/>
    <col min="13130" max="13130" width="12.77734375" style="174" customWidth="1"/>
    <col min="13131" max="13312" width="9.77734375" style="174"/>
    <col min="13313" max="13313" width="20.21875" style="174" bestFit="1" customWidth="1"/>
    <col min="13314" max="13314" width="9.21875" style="174" customWidth="1"/>
    <col min="13315" max="13315" width="7.109375" style="174" customWidth="1"/>
    <col min="13316" max="13316" width="7.88671875" style="174" customWidth="1"/>
    <col min="13317" max="13317" width="7.6640625" style="174" customWidth="1"/>
    <col min="13318" max="13318" width="8.77734375" style="174" customWidth="1"/>
    <col min="13319" max="13319" width="7.77734375" style="174" customWidth="1"/>
    <col min="13320" max="13320" width="8.77734375" style="174" customWidth="1"/>
    <col min="13321" max="13321" width="7.77734375" style="174" customWidth="1"/>
    <col min="13322" max="13322" width="8.77734375" style="174" customWidth="1"/>
    <col min="13323" max="13323" width="7.77734375" style="174" customWidth="1"/>
    <col min="13324" max="13324" width="9" style="174" customWidth="1"/>
    <col min="13325" max="13325" width="7.21875" style="174" customWidth="1"/>
    <col min="13326" max="13326" width="8.6640625" style="174" customWidth="1"/>
    <col min="13327" max="13327" width="7.33203125" style="174" customWidth="1"/>
    <col min="13328" max="13328" width="8.6640625" style="174" customWidth="1"/>
    <col min="13329" max="13329" width="7.33203125" style="174" customWidth="1"/>
    <col min="13330" max="13330" width="8.77734375" style="174" customWidth="1"/>
    <col min="13331" max="13331" width="7.33203125" style="174" customWidth="1"/>
    <col min="13332" max="13332" width="9" style="174" customWidth="1"/>
    <col min="13333" max="13334" width="8.5546875" style="174" customWidth="1"/>
    <col min="13335" max="13335" width="7.88671875" style="174" customWidth="1"/>
    <col min="13336" max="13336" width="9.109375" style="174" customWidth="1"/>
    <col min="13337" max="13337" width="6.77734375" style="174" customWidth="1"/>
    <col min="13338" max="13338" width="8.33203125" style="174" customWidth="1"/>
    <col min="13339" max="13339" width="8.109375" style="174" bestFit="1" customWidth="1"/>
    <col min="13340" max="13340" width="8" style="174" bestFit="1" customWidth="1"/>
    <col min="13341" max="13341" width="7.6640625" style="174" customWidth="1"/>
    <col min="13342" max="13343" width="6.88671875" style="174" customWidth="1"/>
    <col min="13344" max="13344" width="10.21875" style="174" customWidth="1"/>
    <col min="13345" max="13345" width="6.88671875" style="174" customWidth="1"/>
    <col min="13346" max="13346" width="8.77734375" style="174" customWidth="1"/>
    <col min="13347" max="13347" width="7.77734375" style="174" customWidth="1"/>
    <col min="13348" max="13348" width="7.5546875" style="174" customWidth="1"/>
    <col min="13349" max="13349" width="6.88671875" style="174" customWidth="1"/>
    <col min="13350" max="13350" width="9.77734375" style="174" customWidth="1"/>
    <col min="13351" max="13351" width="7.44140625" style="174" bestFit="1" customWidth="1"/>
    <col min="13352" max="13352" width="9.44140625" style="174" customWidth="1"/>
    <col min="13353" max="13353" width="9.21875" style="174" customWidth="1"/>
    <col min="13354" max="13354" width="10.77734375" style="174" customWidth="1"/>
    <col min="13355" max="13355" width="7.44140625" style="174" customWidth="1"/>
    <col min="13356" max="13356" width="8.6640625" style="174" customWidth="1"/>
    <col min="13357" max="13357" width="7.44140625" style="174" customWidth="1"/>
    <col min="13358" max="13358" width="10.33203125" style="174" customWidth="1"/>
    <col min="13359" max="13359" width="8.6640625" style="174" customWidth="1"/>
    <col min="13360" max="13360" width="10.5546875" style="174" customWidth="1"/>
    <col min="13361" max="13361" width="7.44140625" style="174" customWidth="1"/>
    <col min="13362" max="13362" width="10.5546875" style="174" customWidth="1"/>
    <col min="13363" max="13363" width="7.44140625" style="174" customWidth="1"/>
    <col min="13364" max="13364" width="10.5546875" style="174" customWidth="1"/>
    <col min="13365" max="13365" width="7.44140625" style="174" customWidth="1"/>
    <col min="13366" max="13366" width="10.5546875" style="174" customWidth="1"/>
    <col min="13367" max="13367" width="7.44140625" style="174" customWidth="1"/>
    <col min="13368" max="13368" width="10.5546875" style="174" customWidth="1"/>
    <col min="13369" max="13369" width="7.44140625" style="174" customWidth="1"/>
    <col min="13370" max="13370" width="10.5546875" style="174" customWidth="1"/>
    <col min="13371" max="13371" width="7.44140625" style="174" customWidth="1"/>
    <col min="13372" max="13372" width="10.5546875" style="174" customWidth="1"/>
    <col min="13373" max="13373" width="7.44140625" style="174" customWidth="1"/>
    <col min="13374" max="13374" width="9.44140625" style="174" customWidth="1"/>
    <col min="13375" max="13375" width="8.88671875" style="174" customWidth="1"/>
    <col min="13376" max="13377" width="12.109375" style="174" customWidth="1"/>
    <col min="13378" max="13378" width="6.109375" style="174" bestFit="1" customWidth="1"/>
    <col min="13379" max="13379" width="9.77734375" style="174"/>
    <col min="13380" max="13381" width="10.77734375" style="174" customWidth="1"/>
    <col min="13382" max="13384" width="9.77734375" style="174"/>
    <col min="13385" max="13385" width="11.77734375" style="174" customWidth="1"/>
    <col min="13386" max="13386" width="12.77734375" style="174" customWidth="1"/>
    <col min="13387" max="13568" width="9.77734375" style="174"/>
    <col min="13569" max="13569" width="20.21875" style="174" bestFit="1" customWidth="1"/>
    <col min="13570" max="13570" width="9.21875" style="174" customWidth="1"/>
    <col min="13571" max="13571" width="7.109375" style="174" customWidth="1"/>
    <col min="13572" max="13572" width="7.88671875" style="174" customWidth="1"/>
    <col min="13573" max="13573" width="7.6640625" style="174" customWidth="1"/>
    <col min="13574" max="13574" width="8.77734375" style="174" customWidth="1"/>
    <col min="13575" max="13575" width="7.77734375" style="174" customWidth="1"/>
    <col min="13576" max="13576" width="8.77734375" style="174" customWidth="1"/>
    <col min="13577" max="13577" width="7.77734375" style="174" customWidth="1"/>
    <col min="13578" max="13578" width="8.77734375" style="174" customWidth="1"/>
    <col min="13579" max="13579" width="7.77734375" style="174" customWidth="1"/>
    <col min="13580" max="13580" width="9" style="174" customWidth="1"/>
    <col min="13581" max="13581" width="7.21875" style="174" customWidth="1"/>
    <col min="13582" max="13582" width="8.6640625" style="174" customWidth="1"/>
    <col min="13583" max="13583" width="7.33203125" style="174" customWidth="1"/>
    <col min="13584" max="13584" width="8.6640625" style="174" customWidth="1"/>
    <col min="13585" max="13585" width="7.33203125" style="174" customWidth="1"/>
    <col min="13586" max="13586" width="8.77734375" style="174" customWidth="1"/>
    <col min="13587" max="13587" width="7.33203125" style="174" customWidth="1"/>
    <col min="13588" max="13588" width="9" style="174" customWidth="1"/>
    <col min="13589" max="13590" width="8.5546875" style="174" customWidth="1"/>
    <col min="13591" max="13591" width="7.88671875" style="174" customWidth="1"/>
    <col min="13592" max="13592" width="9.109375" style="174" customWidth="1"/>
    <col min="13593" max="13593" width="6.77734375" style="174" customWidth="1"/>
    <col min="13594" max="13594" width="8.33203125" style="174" customWidth="1"/>
    <col min="13595" max="13595" width="8.109375" style="174" bestFit="1" customWidth="1"/>
    <col min="13596" max="13596" width="8" style="174" bestFit="1" customWidth="1"/>
    <col min="13597" max="13597" width="7.6640625" style="174" customWidth="1"/>
    <col min="13598" max="13599" width="6.88671875" style="174" customWidth="1"/>
    <col min="13600" max="13600" width="10.21875" style="174" customWidth="1"/>
    <col min="13601" max="13601" width="6.88671875" style="174" customWidth="1"/>
    <col min="13602" max="13602" width="8.77734375" style="174" customWidth="1"/>
    <col min="13603" max="13603" width="7.77734375" style="174" customWidth="1"/>
    <col min="13604" max="13604" width="7.5546875" style="174" customWidth="1"/>
    <col min="13605" max="13605" width="6.88671875" style="174" customWidth="1"/>
    <col min="13606" max="13606" width="9.77734375" style="174" customWidth="1"/>
    <col min="13607" max="13607" width="7.44140625" style="174" bestFit="1" customWidth="1"/>
    <col min="13608" max="13608" width="9.44140625" style="174" customWidth="1"/>
    <col min="13609" max="13609" width="9.21875" style="174" customWidth="1"/>
    <col min="13610" max="13610" width="10.77734375" style="174" customWidth="1"/>
    <col min="13611" max="13611" width="7.44140625" style="174" customWidth="1"/>
    <col min="13612" max="13612" width="8.6640625" style="174" customWidth="1"/>
    <col min="13613" max="13613" width="7.44140625" style="174" customWidth="1"/>
    <col min="13614" max="13614" width="10.33203125" style="174" customWidth="1"/>
    <col min="13615" max="13615" width="8.6640625" style="174" customWidth="1"/>
    <col min="13616" max="13616" width="10.5546875" style="174" customWidth="1"/>
    <col min="13617" max="13617" width="7.44140625" style="174" customWidth="1"/>
    <col min="13618" max="13618" width="10.5546875" style="174" customWidth="1"/>
    <col min="13619" max="13619" width="7.44140625" style="174" customWidth="1"/>
    <col min="13620" max="13620" width="10.5546875" style="174" customWidth="1"/>
    <col min="13621" max="13621" width="7.44140625" style="174" customWidth="1"/>
    <col min="13622" max="13622" width="10.5546875" style="174" customWidth="1"/>
    <col min="13623" max="13623" width="7.44140625" style="174" customWidth="1"/>
    <col min="13624" max="13624" width="10.5546875" style="174" customWidth="1"/>
    <col min="13625" max="13625" width="7.44140625" style="174" customWidth="1"/>
    <col min="13626" max="13626" width="10.5546875" style="174" customWidth="1"/>
    <col min="13627" max="13627" width="7.44140625" style="174" customWidth="1"/>
    <col min="13628" max="13628" width="10.5546875" style="174" customWidth="1"/>
    <col min="13629" max="13629" width="7.44140625" style="174" customWidth="1"/>
    <col min="13630" max="13630" width="9.44140625" style="174" customWidth="1"/>
    <col min="13631" max="13631" width="8.88671875" style="174" customWidth="1"/>
    <col min="13632" max="13633" width="12.109375" style="174" customWidth="1"/>
    <col min="13634" max="13634" width="6.109375" style="174" bestFit="1" customWidth="1"/>
    <col min="13635" max="13635" width="9.77734375" style="174"/>
    <col min="13636" max="13637" width="10.77734375" style="174" customWidth="1"/>
    <col min="13638" max="13640" width="9.77734375" style="174"/>
    <col min="13641" max="13641" width="11.77734375" style="174" customWidth="1"/>
    <col min="13642" max="13642" width="12.77734375" style="174" customWidth="1"/>
    <col min="13643" max="13824" width="9.77734375" style="174"/>
    <col min="13825" max="13825" width="20.21875" style="174" bestFit="1" customWidth="1"/>
    <col min="13826" max="13826" width="9.21875" style="174" customWidth="1"/>
    <col min="13827" max="13827" width="7.109375" style="174" customWidth="1"/>
    <col min="13828" max="13828" width="7.88671875" style="174" customWidth="1"/>
    <col min="13829" max="13829" width="7.6640625" style="174" customWidth="1"/>
    <col min="13830" max="13830" width="8.77734375" style="174" customWidth="1"/>
    <col min="13831" max="13831" width="7.77734375" style="174" customWidth="1"/>
    <col min="13832" max="13832" width="8.77734375" style="174" customWidth="1"/>
    <col min="13833" max="13833" width="7.77734375" style="174" customWidth="1"/>
    <col min="13834" max="13834" width="8.77734375" style="174" customWidth="1"/>
    <col min="13835" max="13835" width="7.77734375" style="174" customWidth="1"/>
    <col min="13836" max="13836" width="9" style="174" customWidth="1"/>
    <col min="13837" max="13837" width="7.21875" style="174" customWidth="1"/>
    <col min="13838" max="13838" width="8.6640625" style="174" customWidth="1"/>
    <col min="13839" max="13839" width="7.33203125" style="174" customWidth="1"/>
    <col min="13840" max="13840" width="8.6640625" style="174" customWidth="1"/>
    <col min="13841" max="13841" width="7.33203125" style="174" customWidth="1"/>
    <col min="13842" max="13842" width="8.77734375" style="174" customWidth="1"/>
    <col min="13843" max="13843" width="7.33203125" style="174" customWidth="1"/>
    <col min="13844" max="13844" width="9" style="174" customWidth="1"/>
    <col min="13845" max="13846" width="8.5546875" style="174" customWidth="1"/>
    <col min="13847" max="13847" width="7.88671875" style="174" customWidth="1"/>
    <col min="13848" max="13848" width="9.109375" style="174" customWidth="1"/>
    <col min="13849" max="13849" width="6.77734375" style="174" customWidth="1"/>
    <col min="13850" max="13850" width="8.33203125" style="174" customWidth="1"/>
    <col min="13851" max="13851" width="8.109375" style="174" bestFit="1" customWidth="1"/>
    <col min="13852" max="13852" width="8" style="174" bestFit="1" customWidth="1"/>
    <col min="13853" max="13853" width="7.6640625" style="174" customWidth="1"/>
    <col min="13854" max="13855" width="6.88671875" style="174" customWidth="1"/>
    <col min="13856" max="13856" width="10.21875" style="174" customWidth="1"/>
    <col min="13857" max="13857" width="6.88671875" style="174" customWidth="1"/>
    <col min="13858" max="13858" width="8.77734375" style="174" customWidth="1"/>
    <col min="13859" max="13859" width="7.77734375" style="174" customWidth="1"/>
    <col min="13860" max="13860" width="7.5546875" style="174" customWidth="1"/>
    <col min="13861" max="13861" width="6.88671875" style="174" customWidth="1"/>
    <col min="13862" max="13862" width="9.77734375" style="174" customWidth="1"/>
    <col min="13863" max="13863" width="7.44140625" style="174" bestFit="1" customWidth="1"/>
    <col min="13864" max="13864" width="9.44140625" style="174" customWidth="1"/>
    <col min="13865" max="13865" width="9.21875" style="174" customWidth="1"/>
    <col min="13866" max="13866" width="10.77734375" style="174" customWidth="1"/>
    <col min="13867" max="13867" width="7.44140625" style="174" customWidth="1"/>
    <col min="13868" max="13868" width="8.6640625" style="174" customWidth="1"/>
    <col min="13869" max="13869" width="7.44140625" style="174" customWidth="1"/>
    <col min="13870" max="13870" width="10.33203125" style="174" customWidth="1"/>
    <col min="13871" max="13871" width="8.6640625" style="174" customWidth="1"/>
    <col min="13872" max="13872" width="10.5546875" style="174" customWidth="1"/>
    <col min="13873" max="13873" width="7.44140625" style="174" customWidth="1"/>
    <col min="13874" max="13874" width="10.5546875" style="174" customWidth="1"/>
    <col min="13875" max="13875" width="7.44140625" style="174" customWidth="1"/>
    <col min="13876" max="13876" width="10.5546875" style="174" customWidth="1"/>
    <col min="13877" max="13877" width="7.44140625" style="174" customWidth="1"/>
    <col min="13878" max="13878" width="10.5546875" style="174" customWidth="1"/>
    <col min="13879" max="13879" width="7.44140625" style="174" customWidth="1"/>
    <col min="13880" max="13880" width="10.5546875" style="174" customWidth="1"/>
    <col min="13881" max="13881" width="7.44140625" style="174" customWidth="1"/>
    <col min="13882" max="13882" width="10.5546875" style="174" customWidth="1"/>
    <col min="13883" max="13883" width="7.44140625" style="174" customWidth="1"/>
    <col min="13884" max="13884" width="10.5546875" style="174" customWidth="1"/>
    <col min="13885" max="13885" width="7.44140625" style="174" customWidth="1"/>
    <col min="13886" max="13886" width="9.44140625" style="174" customWidth="1"/>
    <col min="13887" max="13887" width="8.88671875" style="174" customWidth="1"/>
    <col min="13888" max="13889" width="12.109375" style="174" customWidth="1"/>
    <col min="13890" max="13890" width="6.109375" style="174" bestFit="1" customWidth="1"/>
    <col min="13891" max="13891" width="9.77734375" style="174"/>
    <col min="13892" max="13893" width="10.77734375" style="174" customWidth="1"/>
    <col min="13894" max="13896" width="9.77734375" style="174"/>
    <col min="13897" max="13897" width="11.77734375" style="174" customWidth="1"/>
    <col min="13898" max="13898" width="12.77734375" style="174" customWidth="1"/>
    <col min="13899" max="14080" width="9.77734375" style="174"/>
    <col min="14081" max="14081" width="20.21875" style="174" bestFit="1" customWidth="1"/>
    <col min="14082" max="14082" width="9.21875" style="174" customWidth="1"/>
    <col min="14083" max="14083" width="7.109375" style="174" customWidth="1"/>
    <col min="14084" max="14084" width="7.88671875" style="174" customWidth="1"/>
    <col min="14085" max="14085" width="7.6640625" style="174" customWidth="1"/>
    <col min="14086" max="14086" width="8.77734375" style="174" customWidth="1"/>
    <col min="14087" max="14087" width="7.77734375" style="174" customWidth="1"/>
    <col min="14088" max="14088" width="8.77734375" style="174" customWidth="1"/>
    <col min="14089" max="14089" width="7.77734375" style="174" customWidth="1"/>
    <col min="14090" max="14090" width="8.77734375" style="174" customWidth="1"/>
    <col min="14091" max="14091" width="7.77734375" style="174" customWidth="1"/>
    <col min="14092" max="14092" width="9" style="174" customWidth="1"/>
    <col min="14093" max="14093" width="7.21875" style="174" customWidth="1"/>
    <col min="14094" max="14094" width="8.6640625" style="174" customWidth="1"/>
    <col min="14095" max="14095" width="7.33203125" style="174" customWidth="1"/>
    <col min="14096" max="14096" width="8.6640625" style="174" customWidth="1"/>
    <col min="14097" max="14097" width="7.33203125" style="174" customWidth="1"/>
    <col min="14098" max="14098" width="8.77734375" style="174" customWidth="1"/>
    <col min="14099" max="14099" width="7.33203125" style="174" customWidth="1"/>
    <col min="14100" max="14100" width="9" style="174" customWidth="1"/>
    <col min="14101" max="14102" width="8.5546875" style="174" customWidth="1"/>
    <col min="14103" max="14103" width="7.88671875" style="174" customWidth="1"/>
    <col min="14104" max="14104" width="9.109375" style="174" customWidth="1"/>
    <col min="14105" max="14105" width="6.77734375" style="174" customWidth="1"/>
    <col min="14106" max="14106" width="8.33203125" style="174" customWidth="1"/>
    <col min="14107" max="14107" width="8.109375" style="174" bestFit="1" customWidth="1"/>
    <col min="14108" max="14108" width="8" style="174" bestFit="1" customWidth="1"/>
    <col min="14109" max="14109" width="7.6640625" style="174" customWidth="1"/>
    <col min="14110" max="14111" width="6.88671875" style="174" customWidth="1"/>
    <col min="14112" max="14112" width="10.21875" style="174" customWidth="1"/>
    <col min="14113" max="14113" width="6.88671875" style="174" customWidth="1"/>
    <col min="14114" max="14114" width="8.77734375" style="174" customWidth="1"/>
    <col min="14115" max="14115" width="7.77734375" style="174" customWidth="1"/>
    <col min="14116" max="14116" width="7.5546875" style="174" customWidth="1"/>
    <col min="14117" max="14117" width="6.88671875" style="174" customWidth="1"/>
    <col min="14118" max="14118" width="9.77734375" style="174" customWidth="1"/>
    <col min="14119" max="14119" width="7.44140625" style="174" bestFit="1" customWidth="1"/>
    <col min="14120" max="14120" width="9.44140625" style="174" customWidth="1"/>
    <col min="14121" max="14121" width="9.21875" style="174" customWidth="1"/>
    <col min="14122" max="14122" width="10.77734375" style="174" customWidth="1"/>
    <col min="14123" max="14123" width="7.44140625" style="174" customWidth="1"/>
    <col min="14124" max="14124" width="8.6640625" style="174" customWidth="1"/>
    <col min="14125" max="14125" width="7.44140625" style="174" customWidth="1"/>
    <col min="14126" max="14126" width="10.33203125" style="174" customWidth="1"/>
    <col min="14127" max="14127" width="8.6640625" style="174" customWidth="1"/>
    <col min="14128" max="14128" width="10.5546875" style="174" customWidth="1"/>
    <col min="14129" max="14129" width="7.44140625" style="174" customWidth="1"/>
    <col min="14130" max="14130" width="10.5546875" style="174" customWidth="1"/>
    <col min="14131" max="14131" width="7.44140625" style="174" customWidth="1"/>
    <col min="14132" max="14132" width="10.5546875" style="174" customWidth="1"/>
    <col min="14133" max="14133" width="7.44140625" style="174" customWidth="1"/>
    <col min="14134" max="14134" width="10.5546875" style="174" customWidth="1"/>
    <col min="14135" max="14135" width="7.44140625" style="174" customWidth="1"/>
    <col min="14136" max="14136" width="10.5546875" style="174" customWidth="1"/>
    <col min="14137" max="14137" width="7.44140625" style="174" customWidth="1"/>
    <col min="14138" max="14138" width="10.5546875" style="174" customWidth="1"/>
    <col min="14139" max="14139" width="7.44140625" style="174" customWidth="1"/>
    <col min="14140" max="14140" width="10.5546875" style="174" customWidth="1"/>
    <col min="14141" max="14141" width="7.44140625" style="174" customWidth="1"/>
    <col min="14142" max="14142" width="9.44140625" style="174" customWidth="1"/>
    <col min="14143" max="14143" width="8.88671875" style="174" customWidth="1"/>
    <col min="14144" max="14145" width="12.109375" style="174" customWidth="1"/>
    <col min="14146" max="14146" width="6.109375" style="174" bestFit="1" customWidth="1"/>
    <col min="14147" max="14147" width="9.77734375" style="174"/>
    <col min="14148" max="14149" width="10.77734375" style="174" customWidth="1"/>
    <col min="14150" max="14152" width="9.77734375" style="174"/>
    <col min="14153" max="14153" width="11.77734375" style="174" customWidth="1"/>
    <col min="14154" max="14154" width="12.77734375" style="174" customWidth="1"/>
    <col min="14155" max="14336" width="9.77734375" style="174"/>
    <col min="14337" max="14337" width="20.21875" style="174" bestFit="1" customWidth="1"/>
    <col min="14338" max="14338" width="9.21875" style="174" customWidth="1"/>
    <col min="14339" max="14339" width="7.109375" style="174" customWidth="1"/>
    <col min="14340" max="14340" width="7.88671875" style="174" customWidth="1"/>
    <col min="14341" max="14341" width="7.6640625" style="174" customWidth="1"/>
    <col min="14342" max="14342" width="8.77734375" style="174" customWidth="1"/>
    <col min="14343" max="14343" width="7.77734375" style="174" customWidth="1"/>
    <col min="14344" max="14344" width="8.77734375" style="174" customWidth="1"/>
    <col min="14345" max="14345" width="7.77734375" style="174" customWidth="1"/>
    <col min="14346" max="14346" width="8.77734375" style="174" customWidth="1"/>
    <col min="14347" max="14347" width="7.77734375" style="174" customWidth="1"/>
    <col min="14348" max="14348" width="9" style="174" customWidth="1"/>
    <col min="14349" max="14349" width="7.21875" style="174" customWidth="1"/>
    <col min="14350" max="14350" width="8.6640625" style="174" customWidth="1"/>
    <col min="14351" max="14351" width="7.33203125" style="174" customWidth="1"/>
    <col min="14352" max="14352" width="8.6640625" style="174" customWidth="1"/>
    <col min="14353" max="14353" width="7.33203125" style="174" customWidth="1"/>
    <col min="14354" max="14354" width="8.77734375" style="174" customWidth="1"/>
    <col min="14355" max="14355" width="7.33203125" style="174" customWidth="1"/>
    <col min="14356" max="14356" width="9" style="174" customWidth="1"/>
    <col min="14357" max="14358" width="8.5546875" style="174" customWidth="1"/>
    <col min="14359" max="14359" width="7.88671875" style="174" customWidth="1"/>
    <col min="14360" max="14360" width="9.109375" style="174" customWidth="1"/>
    <col min="14361" max="14361" width="6.77734375" style="174" customWidth="1"/>
    <col min="14362" max="14362" width="8.33203125" style="174" customWidth="1"/>
    <col min="14363" max="14363" width="8.109375" style="174" bestFit="1" customWidth="1"/>
    <col min="14364" max="14364" width="8" style="174" bestFit="1" customWidth="1"/>
    <col min="14365" max="14365" width="7.6640625" style="174" customWidth="1"/>
    <col min="14366" max="14367" width="6.88671875" style="174" customWidth="1"/>
    <col min="14368" max="14368" width="10.21875" style="174" customWidth="1"/>
    <col min="14369" max="14369" width="6.88671875" style="174" customWidth="1"/>
    <col min="14370" max="14370" width="8.77734375" style="174" customWidth="1"/>
    <col min="14371" max="14371" width="7.77734375" style="174" customWidth="1"/>
    <col min="14372" max="14372" width="7.5546875" style="174" customWidth="1"/>
    <col min="14373" max="14373" width="6.88671875" style="174" customWidth="1"/>
    <col min="14374" max="14374" width="9.77734375" style="174" customWidth="1"/>
    <col min="14375" max="14375" width="7.44140625" style="174" bestFit="1" customWidth="1"/>
    <col min="14376" max="14376" width="9.44140625" style="174" customWidth="1"/>
    <col min="14377" max="14377" width="9.21875" style="174" customWidth="1"/>
    <col min="14378" max="14378" width="10.77734375" style="174" customWidth="1"/>
    <col min="14379" max="14379" width="7.44140625" style="174" customWidth="1"/>
    <col min="14380" max="14380" width="8.6640625" style="174" customWidth="1"/>
    <col min="14381" max="14381" width="7.44140625" style="174" customWidth="1"/>
    <col min="14382" max="14382" width="10.33203125" style="174" customWidth="1"/>
    <col min="14383" max="14383" width="8.6640625" style="174" customWidth="1"/>
    <col min="14384" max="14384" width="10.5546875" style="174" customWidth="1"/>
    <col min="14385" max="14385" width="7.44140625" style="174" customWidth="1"/>
    <col min="14386" max="14386" width="10.5546875" style="174" customWidth="1"/>
    <col min="14387" max="14387" width="7.44140625" style="174" customWidth="1"/>
    <col min="14388" max="14388" width="10.5546875" style="174" customWidth="1"/>
    <col min="14389" max="14389" width="7.44140625" style="174" customWidth="1"/>
    <col min="14390" max="14390" width="10.5546875" style="174" customWidth="1"/>
    <col min="14391" max="14391" width="7.44140625" style="174" customWidth="1"/>
    <col min="14392" max="14392" width="10.5546875" style="174" customWidth="1"/>
    <col min="14393" max="14393" width="7.44140625" style="174" customWidth="1"/>
    <col min="14394" max="14394" width="10.5546875" style="174" customWidth="1"/>
    <col min="14395" max="14395" width="7.44140625" style="174" customWidth="1"/>
    <col min="14396" max="14396" width="10.5546875" style="174" customWidth="1"/>
    <col min="14397" max="14397" width="7.44140625" style="174" customWidth="1"/>
    <col min="14398" max="14398" width="9.44140625" style="174" customWidth="1"/>
    <col min="14399" max="14399" width="8.88671875" style="174" customWidth="1"/>
    <col min="14400" max="14401" width="12.109375" style="174" customWidth="1"/>
    <col min="14402" max="14402" width="6.109375" style="174" bestFit="1" customWidth="1"/>
    <col min="14403" max="14403" width="9.77734375" style="174"/>
    <col min="14404" max="14405" width="10.77734375" style="174" customWidth="1"/>
    <col min="14406" max="14408" width="9.77734375" style="174"/>
    <col min="14409" max="14409" width="11.77734375" style="174" customWidth="1"/>
    <col min="14410" max="14410" width="12.77734375" style="174" customWidth="1"/>
    <col min="14411" max="14592" width="9.77734375" style="174"/>
    <col min="14593" max="14593" width="20.21875" style="174" bestFit="1" customWidth="1"/>
    <col min="14594" max="14594" width="9.21875" style="174" customWidth="1"/>
    <col min="14595" max="14595" width="7.109375" style="174" customWidth="1"/>
    <col min="14596" max="14596" width="7.88671875" style="174" customWidth="1"/>
    <col min="14597" max="14597" width="7.6640625" style="174" customWidth="1"/>
    <col min="14598" max="14598" width="8.77734375" style="174" customWidth="1"/>
    <col min="14599" max="14599" width="7.77734375" style="174" customWidth="1"/>
    <col min="14600" max="14600" width="8.77734375" style="174" customWidth="1"/>
    <col min="14601" max="14601" width="7.77734375" style="174" customWidth="1"/>
    <col min="14602" max="14602" width="8.77734375" style="174" customWidth="1"/>
    <col min="14603" max="14603" width="7.77734375" style="174" customWidth="1"/>
    <col min="14604" max="14604" width="9" style="174" customWidth="1"/>
    <col min="14605" max="14605" width="7.21875" style="174" customWidth="1"/>
    <col min="14606" max="14606" width="8.6640625" style="174" customWidth="1"/>
    <col min="14607" max="14607" width="7.33203125" style="174" customWidth="1"/>
    <col min="14608" max="14608" width="8.6640625" style="174" customWidth="1"/>
    <col min="14609" max="14609" width="7.33203125" style="174" customWidth="1"/>
    <col min="14610" max="14610" width="8.77734375" style="174" customWidth="1"/>
    <col min="14611" max="14611" width="7.33203125" style="174" customWidth="1"/>
    <col min="14612" max="14612" width="9" style="174" customWidth="1"/>
    <col min="14613" max="14614" width="8.5546875" style="174" customWidth="1"/>
    <col min="14615" max="14615" width="7.88671875" style="174" customWidth="1"/>
    <col min="14616" max="14616" width="9.109375" style="174" customWidth="1"/>
    <col min="14617" max="14617" width="6.77734375" style="174" customWidth="1"/>
    <col min="14618" max="14618" width="8.33203125" style="174" customWidth="1"/>
    <col min="14619" max="14619" width="8.109375" style="174" bestFit="1" customWidth="1"/>
    <col min="14620" max="14620" width="8" style="174" bestFit="1" customWidth="1"/>
    <col min="14621" max="14621" width="7.6640625" style="174" customWidth="1"/>
    <col min="14622" max="14623" width="6.88671875" style="174" customWidth="1"/>
    <col min="14624" max="14624" width="10.21875" style="174" customWidth="1"/>
    <col min="14625" max="14625" width="6.88671875" style="174" customWidth="1"/>
    <col min="14626" max="14626" width="8.77734375" style="174" customWidth="1"/>
    <col min="14627" max="14627" width="7.77734375" style="174" customWidth="1"/>
    <col min="14628" max="14628" width="7.5546875" style="174" customWidth="1"/>
    <col min="14629" max="14629" width="6.88671875" style="174" customWidth="1"/>
    <col min="14630" max="14630" width="9.77734375" style="174" customWidth="1"/>
    <col min="14631" max="14631" width="7.44140625" style="174" bestFit="1" customWidth="1"/>
    <col min="14632" max="14632" width="9.44140625" style="174" customWidth="1"/>
    <col min="14633" max="14633" width="9.21875" style="174" customWidth="1"/>
    <col min="14634" max="14634" width="10.77734375" style="174" customWidth="1"/>
    <col min="14635" max="14635" width="7.44140625" style="174" customWidth="1"/>
    <col min="14636" max="14636" width="8.6640625" style="174" customWidth="1"/>
    <col min="14637" max="14637" width="7.44140625" style="174" customWidth="1"/>
    <col min="14638" max="14638" width="10.33203125" style="174" customWidth="1"/>
    <col min="14639" max="14639" width="8.6640625" style="174" customWidth="1"/>
    <col min="14640" max="14640" width="10.5546875" style="174" customWidth="1"/>
    <col min="14641" max="14641" width="7.44140625" style="174" customWidth="1"/>
    <col min="14642" max="14642" width="10.5546875" style="174" customWidth="1"/>
    <col min="14643" max="14643" width="7.44140625" style="174" customWidth="1"/>
    <col min="14644" max="14644" width="10.5546875" style="174" customWidth="1"/>
    <col min="14645" max="14645" width="7.44140625" style="174" customWidth="1"/>
    <col min="14646" max="14646" width="10.5546875" style="174" customWidth="1"/>
    <col min="14647" max="14647" width="7.44140625" style="174" customWidth="1"/>
    <col min="14648" max="14648" width="10.5546875" style="174" customWidth="1"/>
    <col min="14649" max="14649" width="7.44140625" style="174" customWidth="1"/>
    <col min="14650" max="14650" width="10.5546875" style="174" customWidth="1"/>
    <col min="14651" max="14651" width="7.44140625" style="174" customWidth="1"/>
    <col min="14652" max="14652" width="10.5546875" style="174" customWidth="1"/>
    <col min="14653" max="14653" width="7.44140625" style="174" customWidth="1"/>
    <col min="14654" max="14654" width="9.44140625" style="174" customWidth="1"/>
    <col min="14655" max="14655" width="8.88671875" style="174" customWidth="1"/>
    <col min="14656" max="14657" width="12.109375" style="174" customWidth="1"/>
    <col min="14658" max="14658" width="6.109375" style="174" bestFit="1" customWidth="1"/>
    <col min="14659" max="14659" width="9.77734375" style="174"/>
    <col min="14660" max="14661" width="10.77734375" style="174" customWidth="1"/>
    <col min="14662" max="14664" width="9.77734375" style="174"/>
    <col min="14665" max="14665" width="11.77734375" style="174" customWidth="1"/>
    <col min="14666" max="14666" width="12.77734375" style="174" customWidth="1"/>
    <col min="14667" max="14848" width="9.77734375" style="174"/>
    <col min="14849" max="14849" width="20.21875" style="174" bestFit="1" customWidth="1"/>
    <col min="14850" max="14850" width="9.21875" style="174" customWidth="1"/>
    <col min="14851" max="14851" width="7.109375" style="174" customWidth="1"/>
    <col min="14852" max="14852" width="7.88671875" style="174" customWidth="1"/>
    <col min="14853" max="14853" width="7.6640625" style="174" customWidth="1"/>
    <col min="14854" max="14854" width="8.77734375" style="174" customWidth="1"/>
    <col min="14855" max="14855" width="7.77734375" style="174" customWidth="1"/>
    <col min="14856" max="14856" width="8.77734375" style="174" customWidth="1"/>
    <col min="14857" max="14857" width="7.77734375" style="174" customWidth="1"/>
    <col min="14858" max="14858" width="8.77734375" style="174" customWidth="1"/>
    <col min="14859" max="14859" width="7.77734375" style="174" customWidth="1"/>
    <col min="14860" max="14860" width="9" style="174" customWidth="1"/>
    <col min="14861" max="14861" width="7.21875" style="174" customWidth="1"/>
    <col min="14862" max="14862" width="8.6640625" style="174" customWidth="1"/>
    <col min="14863" max="14863" width="7.33203125" style="174" customWidth="1"/>
    <col min="14864" max="14864" width="8.6640625" style="174" customWidth="1"/>
    <col min="14865" max="14865" width="7.33203125" style="174" customWidth="1"/>
    <col min="14866" max="14866" width="8.77734375" style="174" customWidth="1"/>
    <col min="14867" max="14867" width="7.33203125" style="174" customWidth="1"/>
    <col min="14868" max="14868" width="9" style="174" customWidth="1"/>
    <col min="14869" max="14870" width="8.5546875" style="174" customWidth="1"/>
    <col min="14871" max="14871" width="7.88671875" style="174" customWidth="1"/>
    <col min="14872" max="14872" width="9.109375" style="174" customWidth="1"/>
    <col min="14873" max="14873" width="6.77734375" style="174" customWidth="1"/>
    <col min="14874" max="14874" width="8.33203125" style="174" customWidth="1"/>
    <col min="14875" max="14875" width="8.109375" style="174" bestFit="1" customWidth="1"/>
    <col min="14876" max="14876" width="8" style="174" bestFit="1" customWidth="1"/>
    <col min="14877" max="14877" width="7.6640625" style="174" customWidth="1"/>
    <col min="14878" max="14879" width="6.88671875" style="174" customWidth="1"/>
    <col min="14880" max="14880" width="10.21875" style="174" customWidth="1"/>
    <col min="14881" max="14881" width="6.88671875" style="174" customWidth="1"/>
    <col min="14882" max="14882" width="8.77734375" style="174" customWidth="1"/>
    <col min="14883" max="14883" width="7.77734375" style="174" customWidth="1"/>
    <col min="14884" max="14884" width="7.5546875" style="174" customWidth="1"/>
    <col min="14885" max="14885" width="6.88671875" style="174" customWidth="1"/>
    <col min="14886" max="14886" width="9.77734375" style="174" customWidth="1"/>
    <col min="14887" max="14887" width="7.44140625" style="174" bestFit="1" customWidth="1"/>
    <col min="14888" max="14888" width="9.44140625" style="174" customWidth="1"/>
    <col min="14889" max="14889" width="9.21875" style="174" customWidth="1"/>
    <col min="14890" max="14890" width="10.77734375" style="174" customWidth="1"/>
    <col min="14891" max="14891" width="7.44140625" style="174" customWidth="1"/>
    <col min="14892" max="14892" width="8.6640625" style="174" customWidth="1"/>
    <col min="14893" max="14893" width="7.44140625" style="174" customWidth="1"/>
    <col min="14894" max="14894" width="10.33203125" style="174" customWidth="1"/>
    <col min="14895" max="14895" width="8.6640625" style="174" customWidth="1"/>
    <col min="14896" max="14896" width="10.5546875" style="174" customWidth="1"/>
    <col min="14897" max="14897" width="7.44140625" style="174" customWidth="1"/>
    <col min="14898" max="14898" width="10.5546875" style="174" customWidth="1"/>
    <col min="14899" max="14899" width="7.44140625" style="174" customWidth="1"/>
    <col min="14900" max="14900" width="10.5546875" style="174" customWidth="1"/>
    <col min="14901" max="14901" width="7.44140625" style="174" customWidth="1"/>
    <col min="14902" max="14902" width="10.5546875" style="174" customWidth="1"/>
    <col min="14903" max="14903" width="7.44140625" style="174" customWidth="1"/>
    <col min="14904" max="14904" width="10.5546875" style="174" customWidth="1"/>
    <col min="14905" max="14905" width="7.44140625" style="174" customWidth="1"/>
    <col min="14906" max="14906" width="10.5546875" style="174" customWidth="1"/>
    <col min="14907" max="14907" width="7.44140625" style="174" customWidth="1"/>
    <col min="14908" max="14908" width="10.5546875" style="174" customWidth="1"/>
    <col min="14909" max="14909" width="7.44140625" style="174" customWidth="1"/>
    <col min="14910" max="14910" width="9.44140625" style="174" customWidth="1"/>
    <col min="14911" max="14911" width="8.88671875" style="174" customWidth="1"/>
    <col min="14912" max="14913" width="12.109375" style="174" customWidth="1"/>
    <col min="14914" max="14914" width="6.109375" style="174" bestFit="1" customWidth="1"/>
    <col min="14915" max="14915" width="9.77734375" style="174"/>
    <col min="14916" max="14917" width="10.77734375" style="174" customWidth="1"/>
    <col min="14918" max="14920" width="9.77734375" style="174"/>
    <col min="14921" max="14921" width="11.77734375" style="174" customWidth="1"/>
    <col min="14922" max="14922" width="12.77734375" style="174" customWidth="1"/>
    <col min="14923" max="15104" width="9.77734375" style="174"/>
    <col min="15105" max="15105" width="20.21875" style="174" bestFit="1" customWidth="1"/>
    <col min="15106" max="15106" width="9.21875" style="174" customWidth="1"/>
    <col min="15107" max="15107" width="7.109375" style="174" customWidth="1"/>
    <col min="15108" max="15108" width="7.88671875" style="174" customWidth="1"/>
    <col min="15109" max="15109" width="7.6640625" style="174" customWidth="1"/>
    <col min="15110" max="15110" width="8.77734375" style="174" customWidth="1"/>
    <col min="15111" max="15111" width="7.77734375" style="174" customWidth="1"/>
    <col min="15112" max="15112" width="8.77734375" style="174" customWidth="1"/>
    <col min="15113" max="15113" width="7.77734375" style="174" customWidth="1"/>
    <col min="15114" max="15114" width="8.77734375" style="174" customWidth="1"/>
    <col min="15115" max="15115" width="7.77734375" style="174" customWidth="1"/>
    <col min="15116" max="15116" width="9" style="174" customWidth="1"/>
    <col min="15117" max="15117" width="7.21875" style="174" customWidth="1"/>
    <col min="15118" max="15118" width="8.6640625" style="174" customWidth="1"/>
    <col min="15119" max="15119" width="7.33203125" style="174" customWidth="1"/>
    <col min="15120" max="15120" width="8.6640625" style="174" customWidth="1"/>
    <col min="15121" max="15121" width="7.33203125" style="174" customWidth="1"/>
    <col min="15122" max="15122" width="8.77734375" style="174" customWidth="1"/>
    <col min="15123" max="15123" width="7.33203125" style="174" customWidth="1"/>
    <col min="15124" max="15124" width="9" style="174" customWidth="1"/>
    <col min="15125" max="15126" width="8.5546875" style="174" customWidth="1"/>
    <col min="15127" max="15127" width="7.88671875" style="174" customWidth="1"/>
    <col min="15128" max="15128" width="9.109375" style="174" customWidth="1"/>
    <col min="15129" max="15129" width="6.77734375" style="174" customWidth="1"/>
    <col min="15130" max="15130" width="8.33203125" style="174" customWidth="1"/>
    <col min="15131" max="15131" width="8.109375" style="174" bestFit="1" customWidth="1"/>
    <col min="15132" max="15132" width="8" style="174" bestFit="1" customWidth="1"/>
    <col min="15133" max="15133" width="7.6640625" style="174" customWidth="1"/>
    <col min="15134" max="15135" width="6.88671875" style="174" customWidth="1"/>
    <col min="15136" max="15136" width="10.21875" style="174" customWidth="1"/>
    <col min="15137" max="15137" width="6.88671875" style="174" customWidth="1"/>
    <col min="15138" max="15138" width="8.77734375" style="174" customWidth="1"/>
    <col min="15139" max="15139" width="7.77734375" style="174" customWidth="1"/>
    <col min="15140" max="15140" width="7.5546875" style="174" customWidth="1"/>
    <col min="15141" max="15141" width="6.88671875" style="174" customWidth="1"/>
    <col min="15142" max="15142" width="9.77734375" style="174" customWidth="1"/>
    <col min="15143" max="15143" width="7.44140625" style="174" bestFit="1" customWidth="1"/>
    <col min="15144" max="15144" width="9.44140625" style="174" customWidth="1"/>
    <col min="15145" max="15145" width="9.21875" style="174" customWidth="1"/>
    <col min="15146" max="15146" width="10.77734375" style="174" customWidth="1"/>
    <col min="15147" max="15147" width="7.44140625" style="174" customWidth="1"/>
    <col min="15148" max="15148" width="8.6640625" style="174" customWidth="1"/>
    <col min="15149" max="15149" width="7.44140625" style="174" customWidth="1"/>
    <col min="15150" max="15150" width="10.33203125" style="174" customWidth="1"/>
    <col min="15151" max="15151" width="8.6640625" style="174" customWidth="1"/>
    <col min="15152" max="15152" width="10.5546875" style="174" customWidth="1"/>
    <col min="15153" max="15153" width="7.44140625" style="174" customWidth="1"/>
    <col min="15154" max="15154" width="10.5546875" style="174" customWidth="1"/>
    <col min="15155" max="15155" width="7.44140625" style="174" customWidth="1"/>
    <col min="15156" max="15156" width="10.5546875" style="174" customWidth="1"/>
    <col min="15157" max="15157" width="7.44140625" style="174" customWidth="1"/>
    <col min="15158" max="15158" width="10.5546875" style="174" customWidth="1"/>
    <col min="15159" max="15159" width="7.44140625" style="174" customWidth="1"/>
    <col min="15160" max="15160" width="10.5546875" style="174" customWidth="1"/>
    <col min="15161" max="15161" width="7.44140625" style="174" customWidth="1"/>
    <col min="15162" max="15162" width="10.5546875" style="174" customWidth="1"/>
    <col min="15163" max="15163" width="7.44140625" style="174" customWidth="1"/>
    <col min="15164" max="15164" width="10.5546875" style="174" customWidth="1"/>
    <col min="15165" max="15165" width="7.44140625" style="174" customWidth="1"/>
    <col min="15166" max="15166" width="9.44140625" style="174" customWidth="1"/>
    <col min="15167" max="15167" width="8.88671875" style="174" customWidth="1"/>
    <col min="15168" max="15169" width="12.109375" style="174" customWidth="1"/>
    <col min="15170" max="15170" width="6.109375" style="174" bestFit="1" customWidth="1"/>
    <col min="15171" max="15171" width="9.77734375" style="174"/>
    <col min="15172" max="15173" width="10.77734375" style="174" customWidth="1"/>
    <col min="15174" max="15176" width="9.77734375" style="174"/>
    <col min="15177" max="15177" width="11.77734375" style="174" customWidth="1"/>
    <col min="15178" max="15178" width="12.77734375" style="174" customWidth="1"/>
    <col min="15179" max="15360" width="9.77734375" style="174"/>
    <col min="15361" max="15361" width="20.21875" style="174" bestFit="1" customWidth="1"/>
    <col min="15362" max="15362" width="9.21875" style="174" customWidth="1"/>
    <col min="15363" max="15363" width="7.109375" style="174" customWidth="1"/>
    <col min="15364" max="15364" width="7.88671875" style="174" customWidth="1"/>
    <col min="15365" max="15365" width="7.6640625" style="174" customWidth="1"/>
    <col min="15366" max="15366" width="8.77734375" style="174" customWidth="1"/>
    <col min="15367" max="15367" width="7.77734375" style="174" customWidth="1"/>
    <col min="15368" max="15368" width="8.77734375" style="174" customWidth="1"/>
    <col min="15369" max="15369" width="7.77734375" style="174" customWidth="1"/>
    <col min="15370" max="15370" width="8.77734375" style="174" customWidth="1"/>
    <col min="15371" max="15371" width="7.77734375" style="174" customWidth="1"/>
    <col min="15372" max="15372" width="9" style="174" customWidth="1"/>
    <col min="15373" max="15373" width="7.21875" style="174" customWidth="1"/>
    <col min="15374" max="15374" width="8.6640625" style="174" customWidth="1"/>
    <col min="15375" max="15375" width="7.33203125" style="174" customWidth="1"/>
    <col min="15376" max="15376" width="8.6640625" style="174" customWidth="1"/>
    <col min="15377" max="15377" width="7.33203125" style="174" customWidth="1"/>
    <col min="15378" max="15378" width="8.77734375" style="174" customWidth="1"/>
    <col min="15379" max="15379" width="7.33203125" style="174" customWidth="1"/>
    <col min="15380" max="15380" width="9" style="174" customWidth="1"/>
    <col min="15381" max="15382" width="8.5546875" style="174" customWidth="1"/>
    <col min="15383" max="15383" width="7.88671875" style="174" customWidth="1"/>
    <col min="15384" max="15384" width="9.109375" style="174" customWidth="1"/>
    <col min="15385" max="15385" width="6.77734375" style="174" customWidth="1"/>
    <col min="15386" max="15386" width="8.33203125" style="174" customWidth="1"/>
    <col min="15387" max="15387" width="8.109375" style="174" bestFit="1" customWidth="1"/>
    <col min="15388" max="15388" width="8" style="174" bestFit="1" customWidth="1"/>
    <col min="15389" max="15389" width="7.6640625" style="174" customWidth="1"/>
    <col min="15390" max="15391" width="6.88671875" style="174" customWidth="1"/>
    <col min="15392" max="15392" width="10.21875" style="174" customWidth="1"/>
    <col min="15393" max="15393" width="6.88671875" style="174" customWidth="1"/>
    <col min="15394" max="15394" width="8.77734375" style="174" customWidth="1"/>
    <col min="15395" max="15395" width="7.77734375" style="174" customWidth="1"/>
    <col min="15396" max="15396" width="7.5546875" style="174" customWidth="1"/>
    <col min="15397" max="15397" width="6.88671875" style="174" customWidth="1"/>
    <col min="15398" max="15398" width="9.77734375" style="174" customWidth="1"/>
    <col min="15399" max="15399" width="7.44140625" style="174" bestFit="1" customWidth="1"/>
    <col min="15400" max="15400" width="9.44140625" style="174" customWidth="1"/>
    <col min="15401" max="15401" width="9.21875" style="174" customWidth="1"/>
    <col min="15402" max="15402" width="10.77734375" style="174" customWidth="1"/>
    <col min="15403" max="15403" width="7.44140625" style="174" customWidth="1"/>
    <col min="15404" max="15404" width="8.6640625" style="174" customWidth="1"/>
    <col min="15405" max="15405" width="7.44140625" style="174" customWidth="1"/>
    <col min="15406" max="15406" width="10.33203125" style="174" customWidth="1"/>
    <col min="15407" max="15407" width="8.6640625" style="174" customWidth="1"/>
    <col min="15408" max="15408" width="10.5546875" style="174" customWidth="1"/>
    <col min="15409" max="15409" width="7.44140625" style="174" customWidth="1"/>
    <col min="15410" max="15410" width="10.5546875" style="174" customWidth="1"/>
    <col min="15411" max="15411" width="7.44140625" style="174" customWidth="1"/>
    <col min="15412" max="15412" width="10.5546875" style="174" customWidth="1"/>
    <col min="15413" max="15413" width="7.44140625" style="174" customWidth="1"/>
    <col min="15414" max="15414" width="10.5546875" style="174" customWidth="1"/>
    <col min="15415" max="15415" width="7.44140625" style="174" customWidth="1"/>
    <col min="15416" max="15416" width="10.5546875" style="174" customWidth="1"/>
    <col min="15417" max="15417" width="7.44140625" style="174" customWidth="1"/>
    <col min="15418" max="15418" width="10.5546875" style="174" customWidth="1"/>
    <col min="15419" max="15419" width="7.44140625" style="174" customWidth="1"/>
    <col min="15420" max="15420" width="10.5546875" style="174" customWidth="1"/>
    <col min="15421" max="15421" width="7.44140625" style="174" customWidth="1"/>
    <col min="15422" max="15422" width="9.44140625" style="174" customWidth="1"/>
    <col min="15423" max="15423" width="8.88671875" style="174" customWidth="1"/>
    <col min="15424" max="15425" width="12.109375" style="174" customWidth="1"/>
    <col min="15426" max="15426" width="6.109375" style="174" bestFit="1" customWidth="1"/>
    <col min="15427" max="15427" width="9.77734375" style="174"/>
    <col min="15428" max="15429" width="10.77734375" style="174" customWidth="1"/>
    <col min="15430" max="15432" width="9.77734375" style="174"/>
    <col min="15433" max="15433" width="11.77734375" style="174" customWidth="1"/>
    <col min="15434" max="15434" width="12.77734375" style="174" customWidth="1"/>
    <col min="15435" max="15616" width="9.77734375" style="174"/>
    <col min="15617" max="15617" width="20.21875" style="174" bestFit="1" customWidth="1"/>
    <col min="15618" max="15618" width="9.21875" style="174" customWidth="1"/>
    <col min="15619" max="15619" width="7.109375" style="174" customWidth="1"/>
    <col min="15620" max="15620" width="7.88671875" style="174" customWidth="1"/>
    <col min="15621" max="15621" width="7.6640625" style="174" customWidth="1"/>
    <col min="15622" max="15622" width="8.77734375" style="174" customWidth="1"/>
    <col min="15623" max="15623" width="7.77734375" style="174" customWidth="1"/>
    <col min="15624" max="15624" width="8.77734375" style="174" customWidth="1"/>
    <col min="15625" max="15625" width="7.77734375" style="174" customWidth="1"/>
    <col min="15626" max="15626" width="8.77734375" style="174" customWidth="1"/>
    <col min="15627" max="15627" width="7.77734375" style="174" customWidth="1"/>
    <col min="15628" max="15628" width="9" style="174" customWidth="1"/>
    <col min="15629" max="15629" width="7.21875" style="174" customWidth="1"/>
    <col min="15630" max="15630" width="8.6640625" style="174" customWidth="1"/>
    <col min="15631" max="15631" width="7.33203125" style="174" customWidth="1"/>
    <col min="15632" max="15632" width="8.6640625" style="174" customWidth="1"/>
    <col min="15633" max="15633" width="7.33203125" style="174" customWidth="1"/>
    <col min="15634" max="15634" width="8.77734375" style="174" customWidth="1"/>
    <col min="15635" max="15635" width="7.33203125" style="174" customWidth="1"/>
    <col min="15636" max="15636" width="9" style="174" customWidth="1"/>
    <col min="15637" max="15638" width="8.5546875" style="174" customWidth="1"/>
    <col min="15639" max="15639" width="7.88671875" style="174" customWidth="1"/>
    <col min="15640" max="15640" width="9.109375" style="174" customWidth="1"/>
    <col min="15641" max="15641" width="6.77734375" style="174" customWidth="1"/>
    <col min="15642" max="15642" width="8.33203125" style="174" customWidth="1"/>
    <col min="15643" max="15643" width="8.109375" style="174" bestFit="1" customWidth="1"/>
    <col min="15644" max="15644" width="8" style="174" bestFit="1" customWidth="1"/>
    <col min="15645" max="15645" width="7.6640625" style="174" customWidth="1"/>
    <col min="15646" max="15647" width="6.88671875" style="174" customWidth="1"/>
    <col min="15648" max="15648" width="10.21875" style="174" customWidth="1"/>
    <col min="15649" max="15649" width="6.88671875" style="174" customWidth="1"/>
    <col min="15650" max="15650" width="8.77734375" style="174" customWidth="1"/>
    <col min="15651" max="15651" width="7.77734375" style="174" customWidth="1"/>
    <col min="15652" max="15652" width="7.5546875" style="174" customWidth="1"/>
    <col min="15653" max="15653" width="6.88671875" style="174" customWidth="1"/>
    <col min="15654" max="15654" width="9.77734375" style="174" customWidth="1"/>
    <col min="15655" max="15655" width="7.44140625" style="174" bestFit="1" customWidth="1"/>
    <col min="15656" max="15656" width="9.44140625" style="174" customWidth="1"/>
    <col min="15657" max="15657" width="9.21875" style="174" customWidth="1"/>
    <col min="15658" max="15658" width="10.77734375" style="174" customWidth="1"/>
    <col min="15659" max="15659" width="7.44140625" style="174" customWidth="1"/>
    <col min="15660" max="15660" width="8.6640625" style="174" customWidth="1"/>
    <col min="15661" max="15661" width="7.44140625" style="174" customWidth="1"/>
    <col min="15662" max="15662" width="10.33203125" style="174" customWidth="1"/>
    <col min="15663" max="15663" width="8.6640625" style="174" customWidth="1"/>
    <col min="15664" max="15664" width="10.5546875" style="174" customWidth="1"/>
    <col min="15665" max="15665" width="7.44140625" style="174" customWidth="1"/>
    <col min="15666" max="15666" width="10.5546875" style="174" customWidth="1"/>
    <col min="15667" max="15667" width="7.44140625" style="174" customWidth="1"/>
    <col min="15668" max="15668" width="10.5546875" style="174" customWidth="1"/>
    <col min="15669" max="15669" width="7.44140625" style="174" customWidth="1"/>
    <col min="15670" max="15670" width="10.5546875" style="174" customWidth="1"/>
    <col min="15671" max="15671" width="7.44140625" style="174" customWidth="1"/>
    <col min="15672" max="15672" width="10.5546875" style="174" customWidth="1"/>
    <col min="15673" max="15673" width="7.44140625" style="174" customWidth="1"/>
    <col min="15674" max="15674" width="10.5546875" style="174" customWidth="1"/>
    <col min="15675" max="15675" width="7.44140625" style="174" customWidth="1"/>
    <col min="15676" max="15676" width="10.5546875" style="174" customWidth="1"/>
    <col min="15677" max="15677" width="7.44140625" style="174" customWidth="1"/>
    <col min="15678" max="15678" width="9.44140625" style="174" customWidth="1"/>
    <col min="15679" max="15679" width="8.88671875" style="174" customWidth="1"/>
    <col min="15680" max="15681" width="12.109375" style="174" customWidth="1"/>
    <col min="15682" max="15682" width="6.109375" style="174" bestFit="1" customWidth="1"/>
    <col min="15683" max="15683" width="9.77734375" style="174"/>
    <col min="15684" max="15685" width="10.77734375" style="174" customWidth="1"/>
    <col min="15686" max="15688" width="9.77734375" style="174"/>
    <col min="15689" max="15689" width="11.77734375" style="174" customWidth="1"/>
    <col min="15690" max="15690" width="12.77734375" style="174" customWidth="1"/>
    <col min="15691" max="15872" width="9.77734375" style="174"/>
    <col min="15873" max="15873" width="20.21875" style="174" bestFit="1" customWidth="1"/>
    <col min="15874" max="15874" width="9.21875" style="174" customWidth="1"/>
    <col min="15875" max="15875" width="7.109375" style="174" customWidth="1"/>
    <col min="15876" max="15876" width="7.88671875" style="174" customWidth="1"/>
    <col min="15877" max="15877" width="7.6640625" style="174" customWidth="1"/>
    <col min="15878" max="15878" width="8.77734375" style="174" customWidth="1"/>
    <col min="15879" max="15879" width="7.77734375" style="174" customWidth="1"/>
    <col min="15880" max="15880" width="8.77734375" style="174" customWidth="1"/>
    <col min="15881" max="15881" width="7.77734375" style="174" customWidth="1"/>
    <col min="15882" max="15882" width="8.77734375" style="174" customWidth="1"/>
    <col min="15883" max="15883" width="7.77734375" style="174" customWidth="1"/>
    <col min="15884" max="15884" width="9" style="174" customWidth="1"/>
    <col min="15885" max="15885" width="7.21875" style="174" customWidth="1"/>
    <col min="15886" max="15886" width="8.6640625" style="174" customWidth="1"/>
    <col min="15887" max="15887" width="7.33203125" style="174" customWidth="1"/>
    <col min="15888" max="15888" width="8.6640625" style="174" customWidth="1"/>
    <col min="15889" max="15889" width="7.33203125" style="174" customWidth="1"/>
    <col min="15890" max="15890" width="8.77734375" style="174" customWidth="1"/>
    <col min="15891" max="15891" width="7.33203125" style="174" customWidth="1"/>
    <col min="15892" max="15892" width="9" style="174" customWidth="1"/>
    <col min="15893" max="15894" width="8.5546875" style="174" customWidth="1"/>
    <col min="15895" max="15895" width="7.88671875" style="174" customWidth="1"/>
    <col min="15896" max="15896" width="9.109375" style="174" customWidth="1"/>
    <col min="15897" max="15897" width="6.77734375" style="174" customWidth="1"/>
    <col min="15898" max="15898" width="8.33203125" style="174" customWidth="1"/>
    <col min="15899" max="15899" width="8.109375" style="174" bestFit="1" customWidth="1"/>
    <col min="15900" max="15900" width="8" style="174" bestFit="1" customWidth="1"/>
    <col min="15901" max="15901" width="7.6640625" style="174" customWidth="1"/>
    <col min="15902" max="15903" width="6.88671875" style="174" customWidth="1"/>
    <col min="15904" max="15904" width="10.21875" style="174" customWidth="1"/>
    <col min="15905" max="15905" width="6.88671875" style="174" customWidth="1"/>
    <col min="15906" max="15906" width="8.77734375" style="174" customWidth="1"/>
    <col min="15907" max="15907" width="7.77734375" style="174" customWidth="1"/>
    <col min="15908" max="15908" width="7.5546875" style="174" customWidth="1"/>
    <col min="15909" max="15909" width="6.88671875" style="174" customWidth="1"/>
    <col min="15910" max="15910" width="9.77734375" style="174" customWidth="1"/>
    <col min="15911" max="15911" width="7.44140625" style="174" bestFit="1" customWidth="1"/>
    <col min="15912" max="15912" width="9.44140625" style="174" customWidth="1"/>
    <col min="15913" max="15913" width="9.21875" style="174" customWidth="1"/>
    <col min="15914" max="15914" width="10.77734375" style="174" customWidth="1"/>
    <col min="15915" max="15915" width="7.44140625" style="174" customWidth="1"/>
    <col min="15916" max="15916" width="8.6640625" style="174" customWidth="1"/>
    <col min="15917" max="15917" width="7.44140625" style="174" customWidth="1"/>
    <col min="15918" max="15918" width="10.33203125" style="174" customWidth="1"/>
    <col min="15919" max="15919" width="8.6640625" style="174" customWidth="1"/>
    <col min="15920" max="15920" width="10.5546875" style="174" customWidth="1"/>
    <col min="15921" max="15921" width="7.44140625" style="174" customWidth="1"/>
    <col min="15922" max="15922" width="10.5546875" style="174" customWidth="1"/>
    <col min="15923" max="15923" width="7.44140625" style="174" customWidth="1"/>
    <col min="15924" max="15924" width="10.5546875" style="174" customWidth="1"/>
    <col min="15925" max="15925" width="7.44140625" style="174" customWidth="1"/>
    <col min="15926" max="15926" width="10.5546875" style="174" customWidth="1"/>
    <col min="15927" max="15927" width="7.44140625" style="174" customWidth="1"/>
    <col min="15928" max="15928" width="10.5546875" style="174" customWidth="1"/>
    <col min="15929" max="15929" width="7.44140625" style="174" customWidth="1"/>
    <col min="15930" max="15930" width="10.5546875" style="174" customWidth="1"/>
    <col min="15931" max="15931" width="7.44140625" style="174" customWidth="1"/>
    <col min="15932" max="15932" width="10.5546875" style="174" customWidth="1"/>
    <col min="15933" max="15933" width="7.44140625" style="174" customWidth="1"/>
    <col min="15934" max="15934" width="9.44140625" style="174" customWidth="1"/>
    <col min="15935" max="15935" width="8.88671875" style="174" customWidth="1"/>
    <col min="15936" max="15937" width="12.109375" style="174" customWidth="1"/>
    <col min="15938" max="15938" width="6.109375" style="174" bestFit="1" customWidth="1"/>
    <col min="15939" max="15939" width="9.77734375" style="174"/>
    <col min="15940" max="15941" width="10.77734375" style="174" customWidth="1"/>
    <col min="15942" max="15944" width="9.77734375" style="174"/>
    <col min="15945" max="15945" width="11.77734375" style="174" customWidth="1"/>
    <col min="15946" max="15946" width="12.77734375" style="174" customWidth="1"/>
    <col min="15947" max="16128" width="9.77734375" style="174"/>
    <col min="16129" max="16129" width="20.21875" style="174" bestFit="1" customWidth="1"/>
    <col min="16130" max="16130" width="9.21875" style="174" customWidth="1"/>
    <col min="16131" max="16131" width="7.109375" style="174" customWidth="1"/>
    <col min="16132" max="16132" width="7.88671875" style="174" customWidth="1"/>
    <col min="16133" max="16133" width="7.6640625" style="174" customWidth="1"/>
    <col min="16134" max="16134" width="8.77734375" style="174" customWidth="1"/>
    <col min="16135" max="16135" width="7.77734375" style="174" customWidth="1"/>
    <col min="16136" max="16136" width="8.77734375" style="174" customWidth="1"/>
    <col min="16137" max="16137" width="7.77734375" style="174" customWidth="1"/>
    <col min="16138" max="16138" width="8.77734375" style="174" customWidth="1"/>
    <col min="16139" max="16139" width="7.77734375" style="174" customWidth="1"/>
    <col min="16140" max="16140" width="9" style="174" customWidth="1"/>
    <col min="16141" max="16141" width="7.21875" style="174" customWidth="1"/>
    <col min="16142" max="16142" width="8.6640625" style="174" customWidth="1"/>
    <col min="16143" max="16143" width="7.33203125" style="174" customWidth="1"/>
    <col min="16144" max="16144" width="8.6640625" style="174" customWidth="1"/>
    <col min="16145" max="16145" width="7.33203125" style="174" customWidth="1"/>
    <col min="16146" max="16146" width="8.77734375" style="174" customWidth="1"/>
    <col min="16147" max="16147" width="7.33203125" style="174" customWidth="1"/>
    <col min="16148" max="16148" width="9" style="174" customWidth="1"/>
    <col min="16149" max="16150" width="8.5546875" style="174" customWidth="1"/>
    <col min="16151" max="16151" width="7.88671875" style="174" customWidth="1"/>
    <col min="16152" max="16152" width="9.109375" style="174" customWidth="1"/>
    <col min="16153" max="16153" width="6.77734375" style="174" customWidth="1"/>
    <col min="16154" max="16154" width="8.33203125" style="174" customWidth="1"/>
    <col min="16155" max="16155" width="8.109375" style="174" bestFit="1" customWidth="1"/>
    <col min="16156" max="16156" width="8" style="174" bestFit="1" customWidth="1"/>
    <col min="16157" max="16157" width="7.6640625" style="174" customWidth="1"/>
    <col min="16158" max="16159" width="6.88671875" style="174" customWidth="1"/>
    <col min="16160" max="16160" width="10.21875" style="174" customWidth="1"/>
    <col min="16161" max="16161" width="6.88671875" style="174" customWidth="1"/>
    <col min="16162" max="16162" width="8.77734375" style="174" customWidth="1"/>
    <col min="16163" max="16163" width="7.77734375" style="174" customWidth="1"/>
    <col min="16164" max="16164" width="7.5546875" style="174" customWidth="1"/>
    <col min="16165" max="16165" width="6.88671875" style="174" customWidth="1"/>
    <col min="16166" max="16166" width="9.77734375" style="174" customWidth="1"/>
    <col min="16167" max="16167" width="7.44140625" style="174" bestFit="1" customWidth="1"/>
    <col min="16168" max="16168" width="9.44140625" style="174" customWidth="1"/>
    <col min="16169" max="16169" width="9.21875" style="174" customWidth="1"/>
    <col min="16170" max="16170" width="10.77734375" style="174" customWidth="1"/>
    <col min="16171" max="16171" width="7.44140625" style="174" customWidth="1"/>
    <col min="16172" max="16172" width="8.6640625" style="174" customWidth="1"/>
    <col min="16173" max="16173" width="7.44140625" style="174" customWidth="1"/>
    <col min="16174" max="16174" width="10.33203125" style="174" customWidth="1"/>
    <col min="16175" max="16175" width="8.6640625" style="174" customWidth="1"/>
    <col min="16176" max="16176" width="10.5546875" style="174" customWidth="1"/>
    <col min="16177" max="16177" width="7.44140625" style="174" customWidth="1"/>
    <col min="16178" max="16178" width="10.5546875" style="174" customWidth="1"/>
    <col min="16179" max="16179" width="7.44140625" style="174" customWidth="1"/>
    <col min="16180" max="16180" width="10.5546875" style="174" customWidth="1"/>
    <col min="16181" max="16181" width="7.44140625" style="174" customWidth="1"/>
    <col min="16182" max="16182" width="10.5546875" style="174" customWidth="1"/>
    <col min="16183" max="16183" width="7.44140625" style="174" customWidth="1"/>
    <col min="16184" max="16184" width="10.5546875" style="174" customWidth="1"/>
    <col min="16185" max="16185" width="7.44140625" style="174" customWidth="1"/>
    <col min="16186" max="16186" width="10.5546875" style="174" customWidth="1"/>
    <col min="16187" max="16187" width="7.44140625" style="174" customWidth="1"/>
    <col min="16188" max="16188" width="10.5546875" style="174" customWidth="1"/>
    <col min="16189" max="16189" width="7.44140625" style="174" customWidth="1"/>
    <col min="16190" max="16190" width="9.44140625" style="174" customWidth="1"/>
    <col min="16191" max="16191" width="8.88671875" style="174" customWidth="1"/>
    <col min="16192" max="16193" width="12.109375" style="174" customWidth="1"/>
    <col min="16194" max="16194" width="6.109375" style="174" bestFit="1" customWidth="1"/>
    <col min="16195" max="16195" width="9.77734375" style="174"/>
    <col min="16196" max="16197" width="10.77734375" style="174" customWidth="1"/>
    <col min="16198" max="16200" width="9.77734375" style="174"/>
    <col min="16201" max="16201" width="11.77734375" style="174" customWidth="1"/>
    <col min="16202" max="16202" width="12.77734375" style="174" customWidth="1"/>
    <col min="16203" max="16384" width="9.77734375" style="174"/>
  </cols>
  <sheetData>
    <row r="1" spans="1:68">
      <c r="A1" s="173" t="s">
        <v>557</v>
      </c>
      <c r="B1" s="174" t="s">
        <v>0</v>
      </c>
      <c r="E1" s="174" t="s">
        <v>1</v>
      </c>
      <c r="H1" s="174" t="s">
        <v>2</v>
      </c>
      <c r="J1" s="213">
        <v>41639</v>
      </c>
      <c r="L1" s="174" t="s">
        <v>3</v>
      </c>
      <c r="N1" s="175"/>
      <c r="P1" s="175"/>
      <c r="AH1" s="176"/>
    </row>
    <row r="2" spans="1:68" s="178" customFormat="1">
      <c r="A2" s="178" t="s">
        <v>558</v>
      </c>
      <c r="B2" s="179" t="s">
        <v>559</v>
      </c>
      <c r="C2" s="178" t="s">
        <v>560</v>
      </c>
      <c r="D2" s="179" t="s">
        <v>561</v>
      </c>
      <c r="E2" s="178" t="s">
        <v>560</v>
      </c>
      <c r="F2" s="179" t="s">
        <v>562</v>
      </c>
      <c r="G2" s="178" t="s">
        <v>560</v>
      </c>
      <c r="H2" s="179" t="s">
        <v>563</v>
      </c>
      <c r="I2" s="178" t="s">
        <v>560</v>
      </c>
      <c r="J2" s="179" t="s">
        <v>564</v>
      </c>
      <c r="K2" s="178" t="s">
        <v>560</v>
      </c>
      <c r="L2" s="179" t="s">
        <v>565</v>
      </c>
      <c r="M2" s="178" t="s">
        <v>560</v>
      </c>
      <c r="N2" s="179" t="s">
        <v>566</v>
      </c>
      <c r="O2" s="179" t="s">
        <v>560</v>
      </c>
      <c r="P2" s="179" t="s">
        <v>567</v>
      </c>
      <c r="Q2" s="178" t="s">
        <v>560</v>
      </c>
      <c r="R2" s="179" t="s">
        <v>565</v>
      </c>
      <c r="S2" s="178" t="s">
        <v>560</v>
      </c>
      <c r="T2" s="179" t="s">
        <v>565</v>
      </c>
      <c r="U2" s="179"/>
      <c r="V2" s="179" t="s">
        <v>565</v>
      </c>
      <c r="X2" s="179" t="s">
        <v>568</v>
      </c>
      <c r="Z2" s="179" t="s">
        <v>565</v>
      </c>
      <c r="AA2" s="178" t="s">
        <v>560</v>
      </c>
      <c r="AB2" s="179" t="s">
        <v>569</v>
      </c>
      <c r="AD2" s="179" t="s">
        <v>570</v>
      </c>
      <c r="AF2" s="179" t="s">
        <v>571</v>
      </c>
      <c r="AH2" s="179" t="s">
        <v>572</v>
      </c>
      <c r="AI2" s="179"/>
      <c r="AJ2" s="179" t="s">
        <v>573</v>
      </c>
      <c r="AL2" s="178" t="s">
        <v>565</v>
      </c>
      <c r="AM2" s="178" t="s">
        <v>560</v>
      </c>
      <c r="AN2" s="179" t="s">
        <v>574</v>
      </c>
      <c r="AO2" s="178" t="s">
        <v>560</v>
      </c>
      <c r="AP2" s="179" t="s">
        <v>575</v>
      </c>
      <c r="AR2" s="178" t="s">
        <v>565</v>
      </c>
      <c r="AT2" s="179" t="s">
        <v>576</v>
      </c>
      <c r="AV2" s="179" t="s">
        <v>577</v>
      </c>
      <c r="AX2" s="179" t="s">
        <v>578</v>
      </c>
      <c r="AZ2" s="178" t="s">
        <v>579</v>
      </c>
      <c r="BB2" s="179" t="s">
        <v>580</v>
      </c>
      <c r="BD2" s="178" t="s">
        <v>581</v>
      </c>
      <c r="BF2" s="178" t="s">
        <v>582</v>
      </c>
      <c r="BH2" s="179" t="s">
        <v>583</v>
      </c>
      <c r="BL2" s="180"/>
      <c r="BM2" s="180"/>
    </row>
    <row r="3" spans="1:68">
      <c r="A3" s="176">
        <v>2013</v>
      </c>
      <c r="B3" s="175" t="s">
        <v>7</v>
      </c>
      <c r="C3" s="181" t="s">
        <v>584</v>
      </c>
      <c r="D3" s="175" t="s">
        <v>7</v>
      </c>
      <c r="E3" s="181" t="s">
        <v>585</v>
      </c>
      <c r="F3" s="175" t="s">
        <v>6</v>
      </c>
      <c r="G3" s="181" t="s">
        <v>586</v>
      </c>
      <c r="H3" s="175" t="s">
        <v>6</v>
      </c>
      <c r="I3" s="181" t="s">
        <v>587</v>
      </c>
      <c r="J3" s="175" t="s">
        <v>6</v>
      </c>
      <c r="K3" s="176">
        <v>86708781</v>
      </c>
      <c r="L3" s="175" t="s">
        <v>9</v>
      </c>
      <c r="M3" s="182" t="s">
        <v>588</v>
      </c>
      <c r="N3" s="178" t="s">
        <v>8</v>
      </c>
      <c r="O3" s="178" t="s">
        <v>589</v>
      </c>
      <c r="P3" s="178" t="s">
        <v>5</v>
      </c>
      <c r="Q3" s="178" t="s">
        <v>590</v>
      </c>
      <c r="R3" s="178" t="s">
        <v>7</v>
      </c>
      <c r="S3" s="182" t="s">
        <v>591</v>
      </c>
      <c r="T3" s="178" t="s">
        <v>10</v>
      </c>
      <c r="U3" s="178" t="s">
        <v>592</v>
      </c>
      <c r="V3" s="178" t="s">
        <v>10</v>
      </c>
      <c r="W3" s="178" t="s">
        <v>593</v>
      </c>
      <c r="X3" s="178" t="s">
        <v>8</v>
      </c>
      <c r="Y3" s="182" t="s">
        <v>594</v>
      </c>
      <c r="Z3" s="175" t="s">
        <v>11</v>
      </c>
      <c r="AA3" s="178" t="s">
        <v>12</v>
      </c>
      <c r="AB3" s="178" t="s">
        <v>8</v>
      </c>
      <c r="AC3" s="182" t="s">
        <v>595</v>
      </c>
      <c r="AD3" s="178" t="s">
        <v>8</v>
      </c>
      <c r="AE3" s="182" t="s">
        <v>596</v>
      </c>
      <c r="AF3" s="178" t="s">
        <v>8</v>
      </c>
      <c r="AG3" s="182" t="s">
        <v>597</v>
      </c>
      <c r="AH3" s="175" t="s">
        <v>8</v>
      </c>
      <c r="AI3" s="176" t="s">
        <v>598</v>
      </c>
      <c r="AJ3" s="178" t="s">
        <v>8</v>
      </c>
      <c r="AK3" s="176"/>
      <c r="AL3" s="178" t="s">
        <v>385</v>
      </c>
      <c r="AM3" s="182" t="s">
        <v>599</v>
      </c>
      <c r="AN3" s="178" t="s">
        <v>385</v>
      </c>
      <c r="AO3" s="178" t="s">
        <v>386</v>
      </c>
      <c r="AP3" s="178" t="s">
        <v>385</v>
      </c>
      <c r="AQ3" s="182" t="s">
        <v>387</v>
      </c>
      <c r="AR3" s="178" t="s">
        <v>385</v>
      </c>
      <c r="AS3" s="182" t="s">
        <v>600</v>
      </c>
      <c r="AT3" s="178" t="s">
        <v>385</v>
      </c>
      <c r="AU3" s="182" t="s">
        <v>601</v>
      </c>
      <c r="AV3" s="178" t="s">
        <v>385</v>
      </c>
      <c r="AW3" s="182" t="s">
        <v>602</v>
      </c>
      <c r="AX3" s="178" t="s">
        <v>385</v>
      </c>
      <c r="AY3" s="182" t="s">
        <v>603</v>
      </c>
      <c r="AZ3" s="183" t="s">
        <v>604</v>
      </c>
      <c r="BA3" s="182" t="s">
        <v>605</v>
      </c>
      <c r="BB3" s="183" t="s">
        <v>604</v>
      </c>
      <c r="BC3" s="182" t="s">
        <v>606</v>
      </c>
      <c r="BD3" s="183" t="s">
        <v>604</v>
      </c>
      <c r="BE3" s="182" t="s">
        <v>607</v>
      </c>
      <c r="BF3" s="183" t="s">
        <v>604</v>
      </c>
      <c r="BG3" s="182" t="s">
        <v>608</v>
      </c>
      <c r="BH3" s="183" t="s">
        <v>609</v>
      </c>
      <c r="BI3" s="182" t="s">
        <v>610</v>
      </c>
      <c r="BJ3" s="184"/>
      <c r="BK3" s="184"/>
    </row>
    <row r="4" spans="1:68">
      <c r="A4" s="176" t="s">
        <v>13</v>
      </c>
      <c r="B4" s="270" t="s">
        <v>611</v>
      </c>
      <c r="C4" s="270"/>
      <c r="D4" s="270" t="s">
        <v>612</v>
      </c>
      <c r="E4" s="270"/>
      <c r="F4" s="270" t="s">
        <v>14</v>
      </c>
      <c r="G4" s="270"/>
      <c r="H4" s="270" t="s">
        <v>15</v>
      </c>
      <c r="I4" s="270"/>
      <c r="J4" s="270" t="s">
        <v>16</v>
      </c>
      <c r="K4" s="270"/>
      <c r="L4" s="270" t="s">
        <v>18</v>
      </c>
      <c r="M4" s="270"/>
      <c r="N4" s="270" t="s">
        <v>613</v>
      </c>
      <c r="O4" s="270"/>
      <c r="P4" s="270" t="s">
        <v>614</v>
      </c>
      <c r="Q4" s="270"/>
      <c r="R4" s="270" t="s">
        <v>19</v>
      </c>
      <c r="S4" s="270"/>
      <c r="T4" s="270" t="s">
        <v>20</v>
      </c>
      <c r="U4" s="270"/>
      <c r="V4" s="185" t="s">
        <v>615</v>
      </c>
      <c r="W4" s="186"/>
      <c r="X4" s="270" t="s">
        <v>21</v>
      </c>
      <c r="Y4" s="270"/>
      <c r="Z4" s="270" t="s">
        <v>616</v>
      </c>
      <c r="AA4" s="270"/>
      <c r="AB4" s="270" t="s">
        <v>388</v>
      </c>
      <c r="AC4" s="270"/>
      <c r="AD4" s="270" t="s">
        <v>389</v>
      </c>
      <c r="AE4" s="270"/>
      <c r="AF4" s="270" t="s">
        <v>390</v>
      </c>
      <c r="AG4" s="270"/>
      <c r="AH4" s="270" t="s">
        <v>17</v>
      </c>
      <c r="AI4" s="270"/>
      <c r="AJ4" s="187" t="s">
        <v>617</v>
      </c>
      <c r="AK4" s="187"/>
      <c r="AL4" s="270" t="s">
        <v>391</v>
      </c>
      <c r="AM4" s="270"/>
      <c r="AN4" s="270" t="s">
        <v>392</v>
      </c>
      <c r="AO4" s="270"/>
      <c r="AP4" s="270" t="s">
        <v>393</v>
      </c>
      <c r="AQ4" s="270"/>
      <c r="AR4" s="270" t="s">
        <v>618</v>
      </c>
      <c r="AS4" s="270"/>
      <c r="AT4" s="270" t="s">
        <v>394</v>
      </c>
      <c r="AU4" s="270"/>
      <c r="AV4" s="270" t="s">
        <v>395</v>
      </c>
      <c r="AW4" s="270"/>
      <c r="AX4" s="270" t="s">
        <v>396</v>
      </c>
      <c r="AY4" s="270"/>
      <c r="AZ4" s="270" t="s">
        <v>619</v>
      </c>
      <c r="BA4" s="270"/>
      <c r="BB4" s="270" t="s">
        <v>620</v>
      </c>
      <c r="BC4" s="270"/>
      <c r="BD4" s="270" t="s">
        <v>621</v>
      </c>
      <c r="BE4" s="270"/>
      <c r="BF4" s="270" t="s">
        <v>622</v>
      </c>
      <c r="BG4" s="270"/>
      <c r="BH4" s="270" t="s">
        <v>623</v>
      </c>
      <c r="BI4" s="270"/>
      <c r="BJ4" s="188" t="s">
        <v>22</v>
      </c>
      <c r="BK4" s="188"/>
      <c r="BL4" s="271" t="s">
        <v>23</v>
      </c>
      <c r="BM4" s="271"/>
    </row>
    <row r="5" spans="1:68">
      <c r="A5" s="176" t="s">
        <v>24</v>
      </c>
      <c r="B5" s="189" t="s">
        <v>25</v>
      </c>
      <c r="C5" s="189" t="s">
        <v>26</v>
      </c>
      <c r="D5" s="189" t="s">
        <v>25</v>
      </c>
      <c r="E5" s="189" t="s">
        <v>26</v>
      </c>
      <c r="F5" s="189" t="s">
        <v>27</v>
      </c>
      <c r="G5" s="189" t="s">
        <v>28</v>
      </c>
      <c r="H5" s="189" t="s">
        <v>27</v>
      </c>
      <c r="I5" s="189" t="s">
        <v>28</v>
      </c>
      <c r="J5" s="189" t="s">
        <v>27</v>
      </c>
      <c r="K5" s="189" t="s">
        <v>28</v>
      </c>
      <c r="L5" s="189" t="s">
        <v>25</v>
      </c>
      <c r="M5" s="189" t="s">
        <v>26</v>
      </c>
      <c r="N5" s="189" t="s">
        <v>27</v>
      </c>
      <c r="O5" s="189" t="s">
        <v>28</v>
      </c>
      <c r="P5" s="189" t="s">
        <v>27</v>
      </c>
      <c r="Q5" s="189" t="s">
        <v>28</v>
      </c>
      <c r="R5" s="189" t="s">
        <v>25</v>
      </c>
      <c r="S5" s="189" t="s">
        <v>26</v>
      </c>
      <c r="T5" s="189" t="s">
        <v>27</v>
      </c>
      <c r="U5" s="189" t="s">
        <v>28</v>
      </c>
      <c r="V5" s="189" t="s">
        <v>27</v>
      </c>
      <c r="W5" s="189" t="s">
        <v>28</v>
      </c>
      <c r="X5" s="189" t="s">
        <v>25</v>
      </c>
      <c r="Y5" s="189" t="s">
        <v>26</v>
      </c>
      <c r="Z5" s="189" t="s">
        <v>27</v>
      </c>
      <c r="AA5" s="189" t="s">
        <v>28</v>
      </c>
      <c r="AB5" s="189" t="s">
        <v>27</v>
      </c>
      <c r="AC5" s="189" t="s">
        <v>28</v>
      </c>
      <c r="AD5" s="189" t="s">
        <v>27</v>
      </c>
      <c r="AE5" s="189" t="s">
        <v>28</v>
      </c>
      <c r="AF5" s="189" t="s">
        <v>27</v>
      </c>
      <c r="AG5" s="189" t="s">
        <v>28</v>
      </c>
      <c r="AH5" s="189" t="s">
        <v>27</v>
      </c>
      <c r="AI5" s="189" t="s">
        <v>28</v>
      </c>
      <c r="AJ5" s="189" t="s">
        <v>27</v>
      </c>
      <c r="AK5" s="189" t="s">
        <v>28</v>
      </c>
      <c r="AL5" s="189" t="s">
        <v>27</v>
      </c>
      <c r="AM5" s="189" t="s">
        <v>28</v>
      </c>
      <c r="AN5" s="189" t="s">
        <v>27</v>
      </c>
      <c r="AO5" s="189" t="s">
        <v>28</v>
      </c>
      <c r="AP5" s="189" t="s">
        <v>27</v>
      </c>
      <c r="AQ5" s="189" t="s">
        <v>28</v>
      </c>
      <c r="AR5" s="189" t="s">
        <v>27</v>
      </c>
      <c r="AS5" s="189" t="s">
        <v>28</v>
      </c>
      <c r="AT5" s="189" t="s">
        <v>27</v>
      </c>
      <c r="AU5" s="189" t="s">
        <v>28</v>
      </c>
      <c r="AV5" s="189" t="s">
        <v>27</v>
      </c>
      <c r="AW5" s="189" t="s">
        <v>28</v>
      </c>
      <c r="AX5" s="189" t="s">
        <v>27</v>
      </c>
      <c r="AY5" s="189" t="s">
        <v>28</v>
      </c>
      <c r="AZ5" s="189" t="s">
        <v>27</v>
      </c>
      <c r="BA5" s="189" t="s">
        <v>28</v>
      </c>
      <c r="BB5" s="189" t="s">
        <v>27</v>
      </c>
      <c r="BC5" s="189" t="s">
        <v>28</v>
      </c>
      <c r="BD5" s="189" t="s">
        <v>27</v>
      </c>
      <c r="BE5" s="189" t="s">
        <v>28</v>
      </c>
      <c r="BF5" s="189" t="s">
        <v>27</v>
      </c>
      <c r="BG5" s="189" t="s">
        <v>28</v>
      </c>
      <c r="BH5" s="189" t="s">
        <v>27</v>
      </c>
      <c r="BI5" s="189" t="s">
        <v>28</v>
      </c>
      <c r="BJ5" s="189" t="s">
        <v>27</v>
      </c>
      <c r="BK5" s="189" t="s">
        <v>28</v>
      </c>
      <c r="BL5" s="190" t="s">
        <v>27</v>
      </c>
      <c r="BM5" s="190" t="s">
        <v>28</v>
      </c>
    </row>
    <row r="6" spans="1:68" ht="13.5" customHeight="1">
      <c r="A6" s="191" t="s">
        <v>624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3"/>
      <c r="T6" s="193"/>
      <c r="U6" s="193"/>
      <c r="V6" s="192"/>
      <c r="W6" s="192"/>
      <c r="X6" s="192"/>
      <c r="Y6" s="192"/>
      <c r="Z6" s="192"/>
      <c r="AA6" s="192"/>
      <c r="AB6" s="192">
        <v>32033</v>
      </c>
      <c r="AC6" s="192"/>
      <c r="AD6" s="192">
        <f>540+81</f>
        <v>621</v>
      </c>
      <c r="AE6" s="192"/>
      <c r="AF6" s="192">
        <v>17367</v>
      </c>
      <c r="AG6" s="192"/>
      <c r="AH6" s="192">
        <v>9412</v>
      </c>
      <c r="AI6" s="192"/>
      <c r="AJ6" s="192">
        <v>1820</v>
      </c>
      <c r="AK6" s="192"/>
      <c r="AL6" s="192"/>
      <c r="AM6" s="192"/>
      <c r="AN6" s="192"/>
      <c r="AO6" s="192"/>
      <c r="AP6" s="192">
        <v>1872</v>
      </c>
      <c r="AQ6" s="192"/>
      <c r="AR6" s="192"/>
      <c r="AS6" s="192"/>
      <c r="AT6" s="194">
        <v>593463</v>
      </c>
      <c r="AU6" s="194"/>
      <c r="AV6" s="194">
        <v>51242</v>
      </c>
      <c r="AW6" s="192"/>
      <c r="AX6" s="192">
        <v>2837</v>
      </c>
      <c r="AY6" s="192"/>
      <c r="AZ6" s="192"/>
      <c r="BA6" s="192"/>
      <c r="BB6" s="192">
        <v>3745</v>
      </c>
      <c r="BC6" s="192"/>
      <c r="BD6" s="192">
        <v>126953</v>
      </c>
      <c r="BE6" s="192"/>
      <c r="BF6" s="192"/>
      <c r="BG6" s="192"/>
      <c r="BH6" s="192"/>
      <c r="BI6" s="192"/>
      <c r="BJ6" s="195">
        <f>(B6+D6+F6+H6+J6+AH6+L6+N6+P6+R6+T6+V6+X6+Z6+AB6+AD6+AF6+AJ6+AL6+AN6+AP6+AX6+AR6+AT6+AV6+AZ6+BB6+BD6+BF6+BH6)</f>
        <v>841365</v>
      </c>
      <c r="BK6" s="196" t="s">
        <v>625</v>
      </c>
      <c r="BL6" s="197"/>
      <c r="BM6" s="197"/>
      <c r="BP6" s="198"/>
    </row>
    <row r="7" spans="1:68">
      <c r="A7" s="199" t="s">
        <v>397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201"/>
      <c r="U7" s="201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>
        <f>SUM(BH7,BF7,BD7,BB7,AZ7,AX7,AV7,AT7,AR7,AP7,AN7,AL7,AJ7,AH7,AF7,AD7,AB7,Z7,X7,V7,T7,R7,P7,N7,L7,J7,H7,F7,D7,B7)</f>
        <v>0</v>
      </c>
      <c r="BK7" s="200">
        <f>SUM(BI7,BG7,BE7,BC7,BA7,AY7,AW7,AU7,AS7,AQ7,AO7,AM7,AK7,AI7,AG7,AE7,AC7,AA7,Y7,W7,U7,S7,Q7,O7,M7,K7,I7,G7,E7,C7)</f>
        <v>0</v>
      </c>
      <c r="BL7" s="197"/>
      <c r="BM7" s="197"/>
    </row>
    <row r="8" spans="1:68">
      <c r="A8" s="199" t="s">
        <v>29</v>
      </c>
      <c r="B8" s="200">
        <v>5000</v>
      </c>
      <c r="C8" s="200">
        <v>1812.5</v>
      </c>
      <c r="D8" s="200">
        <v>105000</v>
      </c>
      <c r="E8" s="200">
        <v>28889.08</v>
      </c>
      <c r="F8" s="200"/>
      <c r="G8" s="200">
        <v>10437.5</v>
      </c>
      <c r="H8" s="200">
        <v>45000</v>
      </c>
      <c r="I8" s="200">
        <v>11937.5</v>
      </c>
      <c r="J8" s="200">
        <v>15000</v>
      </c>
      <c r="K8" s="200">
        <v>4500</v>
      </c>
      <c r="L8" s="200"/>
      <c r="M8" s="200"/>
      <c r="N8" s="200"/>
      <c r="O8" s="200">
        <v>1840.11</v>
      </c>
      <c r="P8" s="200"/>
      <c r="Q8" s="200">
        <v>11261</v>
      </c>
      <c r="R8" s="200"/>
      <c r="S8" s="200"/>
      <c r="V8" s="200">
        <v>55000</v>
      </c>
      <c r="W8" s="200">
        <v>3410</v>
      </c>
      <c r="X8" s="200">
        <v>10000</v>
      </c>
      <c r="Y8" s="200">
        <v>2460.67</v>
      </c>
      <c r="Z8" s="200"/>
      <c r="AA8" s="200"/>
      <c r="AB8" s="200">
        <v>50000</v>
      </c>
      <c r="AC8" s="200">
        <v>11919.58</v>
      </c>
      <c r="AD8" s="200">
        <v>1000</v>
      </c>
      <c r="AE8" s="200">
        <v>301.3</v>
      </c>
      <c r="AF8" s="200">
        <v>15000</v>
      </c>
      <c r="AG8" s="200">
        <v>3150.39</v>
      </c>
      <c r="AH8" s="200">
        <v>5000</v>
      </c>
      <c r="AI8" s="200">
        <v>1526.01</v>
      </c>
      <c r="AJ8" s="200">
        <v>1000</v>
      </c>
      <c r="AK8" s="200">
        <v>346.28</v>
      </c>
      <c r="AL8" s="200"/>
      <c r="AM8" s="200"/>
      <c r="AN8" s="200">
        <v>5000</v>
      </c>
      <c r="AO8" s="200">
        <v>1734.58</v>
      </c>
      <c r="AP8" s="200">
        <v>27500</v>
      </c>
      <c r="AQ8" s="200">
        <v>8137.08</v>
      </c>
      <c r="AR8" s="200"/>
      <c r="AS8" s="200"/>
      <c r="AT8" s="200"/>
      <c r="AU8" s="200">
        <v>858.12</v>
      </c>
      <c r="AV8" s="200"/>
      <c r="AW8" s="200">
        <v>2263.12</v>
      </c>
      <c r="AX8" s="200">
        <v>7500</v>
      </c>
      <c r="AY8" s="200">
        <v>1269.51</v>
      </c>
      <c r="AZ8" s="200"/>
      <c r="BA8" s="200"/>
      <c r="BB8" s="200">
        <v>10000</v>
      </c>
      <c r="BC8" s="200">
        <v>858.08</v>
      </c>
      <c r="BD8" s="200"/>
      <c r="BE8" s="200">
        <v>2775</v>
      </c>
      <c r="BF8" s="200"/>
      <c r="BG8" s="200"/>
      <c r="BH8" s="200"/>
      <c r="BI8" s="200"/>
      <c r="BJ8" s="200">
        <f>SUM(BH8,BF8,BD8,BB8,AZ8,AX8,AV8,AT8,AR8,AP8,AN8,AL8,AJ8,AH8,AF8,AD8,AB8,Z8,X8,V8,T8,R8,P8,N8,L8,J8,H8,F8,D8,B8)</f>
        <v>357000</v>
      </c>
      <c r="BK8" s="200">
        <f>SUM(BI8,BG8,BE8,BC8,BA8,AY8,AW8,AU8,AS8,AQ8,AO8,AM8,AK8,AI8,AG8,AE8,AC8,AA8,Y8,W8,U8,S8,Q8,O8,M8,K8,I8,G8,E8,C8)</f>
        <v>111687.40999999999</v>
      </c>
      <c r="BL8" s="197"/>
      <c r="BM8" s="197"/>
    </row>
    <row r="9" spans="1:68">
      <c r="A9" s="199" t="s">
        <v>341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>
        <v>65000</v>
      </c>
      <c r="S9" s="200">
        <v>30336</v>
      </c>
      <c r="T9" s="200">
        <v>75000</v>
      </c>
      <c r="U9" s="200">
        <v>26193.75</v>
      </c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>
        <f t="shared" ref="BJ9:BK72" si="0">SUM(BH9,BF9,BD9,BB9,AZ9,AX9,AV9,AT9,AR9,AP9,AN9,AL9,AJ9,AH9,AF9,AD9,AB9,Z9,X9,V9,T9,R9,P9,N9,L9,J9,H9,F9,D9,B9)</f>
        <v>140000</v>
      </c>
      <c r="BK9" s="200">
        <f t="shared" si="0"/>
        <v>56529.75</v>
      </c>
      <c r="BL9" s="197"/>
      <c r="BM9" s="197"/>
    </row>
    <row r="10" spans="1:68">
      <c r="A10" s="199" t="s">
        <v>30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>
        <v>75000</v>
      </c>
      <c r="M10" s="200">
        <v>3750</v>
      </c>
      <c r="N10" s="200"/>
      <c r="O10" s="200"/>
      <c r="P10" s="200"/>
      <c r="Q10" s="200"/>
      <c r="T10" s="200"/>
      <c r="U10" s="200"/>
      <c r="V10" s="200"/>
      <c r="W10" s="200"/>
      <c r="X10" s="200"/>
      <c r="Y10" s="200"/>
      <c r="Z10" s="200">
        <v>60000</v>
      </c>
      <c r="AA10" s="200">
        <v>18485</v>
      </c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>
        <v>10000</v>
      </c>
      <c r="AM10" s="200">
        <v>4611.25</v>
      </c>
      <c r="AN10" s="200"/>
      <c r="AO10" s="200"/>
      <c r="AP10" s="200"/>
      <c r="AQ10" s="200"/>
      <c r="AR10" s="200">
        <v>90000</v>
      </c>
      <c r="AS10" s="200">
        <v>1102.5</v>
      </c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>
        <v>8047.92</v>
      </c>
      <c r="BJ10" s="200">
        <f t="shared" si="0"/>
        <v>235000</v>
      </c>
      <c r="BK10" s="200">
        <f t="shared" si="0"/>
        <v>35996.67</v>
      </c>
      <c r="BL10" s="197"/>
      <c r="BM10" s="197"/>
    </row>
    <row r="11" spans="1:68">
      <c r="A11" s="199" t="s">
        <v>31</v>
      </c>
      <c r="B11" s="200"/>
      <c r="C11" s="200">
        <v>1750</v>
      </c>
      <c r="D11" s="200"/>
      <c r="E11" s="200">
        <v>27576.58</v>
      </c>
      <c r="F11" s="200">
        <v>40000</v>
      </c>
      <c r="G11" s="200">
        <v>10437.5</v>
      </c>
      <c r="H11" s="200"/>
      <c r="I11" s="200">
        <v>11375</v>
      </c>
      <c r="J11" s="200"/>
      <c r="K11" s="200">
        <v>4312.5</v>
      </c>
      <c r="L11" s="200"/>
      <c r="M11" s="200"/>
      <c r="N11" s="200">
        <v>5000</v>
      </c>
      <c r="O11" s="200">
        <v>1840.11</v>
      </c>
      <c r="P11" s="200">
        <v>90000</v>
      </c>
      <c r="Q11" s="200">
        <v>11261</v>
      </c>
      <c r="R11" s="200"/>
      <c r="S11" s="200"/>
      <c r="T11" s="200"/>
      <c r="U11" s="200"/>
      <c r="V11" s="200"/>
      <c r="W11" s="200">
        <v>2296</v>
      </c>
      <c r="X11" s="200"/>
      <c r="Y11" s="200">
        <v>2232.36</v>
      </c>
      <c r="Z11" s="200"/>
      <c r="AA11" s="200"/>
      <c r="AB11" s="200"/>
      <c r="AC11" s="200">
        <v>11285.64</v>
      </c>
      <c r="AD11" s="200"/>
      <c r="AE11" s="200">
        <v>288.8</v>
      </c>
      <c r="AF11" s="200"/>
      <c r="AG11" s="200">
        <v>2962.89</v>
      </c>
      <c r="AH11" s="200"/>
      <c r="AI11" s="200">
        <v>1463.51</v>
      </c>
      <c r="AJ11" s="200"/>
      <c r="AK11" s="200">
        <v>333.78</v>
      </c>
      <c r="AL11" s="200"/>
      <c r="AM11" s="200"/>
      <c r="AN11" s="200"/>
      <c r="AO11" s="200">
        <v>1391.49</v>
      </c>
      <c r="AP11" s="200"/>
      <c r="AQ11" s="200">
        <v>8150.56</v>
      </c>
      <c r="AR11" s="200"/>
      <c r="AS11" s="200"/>
      <c r="AT11" s="200">
        <v>44664</v>
      </c>
      <c r="AU11" s="200">
        <v>1471.07</v>
      </c>
      <c r="AV11" s="200">
        <v>34350</v>
      </c>
      <c r="AW11" s="200">
        <v>2497.7199999999998</v>
      </c>
      <c r="AX11" s="200"/>
      <c r="AY11" s="200">
        <v>1901.21</v>
      </c>
      <c r="AZ11" s="200"/>
      <c r="BA11" s="200"/>
      <c r="BB11" s="200"/>
      <c r="BC11" s="200">
        <v>1220.1300000000001</v>
      </c>
      <c r="BD11" s="200">
        <v>10000</v>
      </c>
      <c r="BE11" s="200">
        <v>2775</v>
      </c>
      <c r="BF11" s="200"/>
      <c r="BG11" s="200"/>
      <c r="BH11" s="200"/>
      <c r="BI11" s="200"/>
      <c r="BJ11" s="200">
        <f t="shared" si="0"/>
        <v>224014</v>
      </c>
      <c r="BK11" s="200">
        <f t="shared" si="0"/>
        <v>108822.84999999999</v>
      </c>
      <c r="BL11" s="197"/>
      <c r="BM11" s="197"/>
    </row>
    <row r="12" spans="1:68">
      <c r="A12" s="174" t="s">
        <v>626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>
        <v>29524</v>
      </c>
      <c r="T12" s="200"/>
      <c r="U12" s="200">
        <v>24656.25</v>
      </c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>
        <f t="shared" si="0"/>
        <v>0</v>
      </c>
      <c r="BK12" s="200">
        <f t="shared" si="0"/>
        <v>54180.25</v>
      </c>
      <c r="BL12" s="197"/>
      <c r="BM12" s="197"/>
    </row>
    <row r="13" spans="1:68">
      <c r="A13" s="199" t="s">
        <v>32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>
        <v>1875</v>
      </c>
      <c r="N13" s="200"/>
      <c r="O13" s="200"/>
      <c r="P13" s="200"/>
      <c r="Q13" s="200"/>
      <c r="R13" s="192"/>
      <c r="S13" s="192"/>
      <c r="T13" s="200"/>
      <c r="U13" s="200"/>
      <c r="V13" s="200"/>
      <c r="W13" s="200"/>
      <c r="X13" s="200"/>
      <c r="Y13" s="200"/>
      <c r="Z13" s="200"/>
      <c r="AA13" s="200">
        <v>17660</v>
      </c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>
        <v>4436.25</v>
      </c>
      <c r="AN13" s="200"/>
      <c r="AO13" s="200"/>
      <c r="AP13" s="200"/>
      <c r="AQ13" s="200"/>
      <c r="AR13" s="200"/>
      <c r="AS13" s="200">
        <v>607.5</v>
      </c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>
        <v>9657.5</v>
      </c>
      <c r="BJ13" s="200">
        <f t="shared" si="0"/>
        <v>0</v>
      </c>
      <c r="BK13" s="200">
        <f t="shared" si="0"/>
        <v>34236.25</v>
      </c>
      <c r="BL13" s="197">
        <f>SUM(BJ7:BJ13)</f>
        <v>956014</v>
      </c>
      <c r="BM13" s="197">
        <f>SUM(BK7:BK13)</f>
        <v>401453.17999999993</v>
      </c>
      <c r="BN13" s="174">
        <v>2014</v>
      </c>
    </row>
    <row r="14" spans="1:68" outlineLevel="1">
      <c r="A14" s="174" t="s">
        <v>398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>
        <f t="shared" si="0"/>
        <v>0</v>
      </c>
      <c r="BK14" s="200">
        <f t="shared" si="0"/>
        <v>0</v>
      </c>
      <c r="BL14" s="197"/>
      <c r="BM14" s="197"/>
    </row>
    <row r="15" spans="1:68" outlineLevel="1">
      <c r="A15" s="174" t="s">
        <v>33</v>
      </c>
      <c r="B15" s="200">
        <v>5000</v>
      </c>
      <c r="C15" s="200">
        <v>1750</v>
      </c>
      <c r="D15" s="200">
        <v>105000</v>
      </c>
      <c r="E15" s="200">
        <v>27576.58</v>
      </c>
      <c r="F15" s="200"/>
      <c r="G15" s="200">
        <v>9937.5</v>
      </c>
      <c r="H15" s="200">
        <v>45000</v>
      </c>
      <c r="I15" s="200">
        <v>11375</v>
      </c>
      <c r="J15" s="200">
        <v>15000</v>
      </c>
      <c r="K15" s="200">
        <v>4313</v>
      </c>
      <c r="L15" s="200"/>
      <c r="M15" s="200"/>
      <c r="N15" s="200"/>
      <c r="O15" s="200">
        <v>1777.61</v>
      </c>
      <c r="P15" s="200"/>
      <c r="Q15" s="200">
        <v>10530</v>
      </c>
      <c r="R15" s="200"/>
      <c r="S15" s="200"/>
      <c r="V15" s="200">
        <v>55000</v>
      </c>
      <c r="W15" s="200">
        <v>2296</v>
      </c>
      <c r="X15" s="200">
        <v>10000</v>
      </c>
      <c r="Y15" s="200">
        <v>2232.36</v>
      </c>
      <c r="Z15" s="200"/>
      <c r="AA15" s="200"/>
      <c r="AB15" s="200">
        <v>50000</v>
      </c>
      <c r="AC15" s="200">
        <v>11285.64</v>
      </c>
      <c r="AD15" s="200">
        <v>1000</v>
      </c>
      <c r="AE15" s="200">
        <v>288.8</v>
      </c>
      <c r="AF15" s="200">
        <v>15000</v>
      </c>
      <c r="AG15" s="200">
        <v>2962.89</v>
      </c>
      <c r="AH15" s="200">
        <v>5000</v>
      </c>
      <c r="AI15" s="200">
        <v>1463.51</v>
      </c>
      <c r="AJ15" s="200">
        <v>1000</v>
      </c>
      <c r="AK15" s="200">
        <v>333.78</v>
      </c>
      <c r="AL15" s="200"/>
      <c r="AM15" s="200"/>
      <c r="AN15" s="200">
        <v>5000</v>
      </c>
      <c r="AO15" s="200">
        <v>1391.49</v>
      </c>
      <c r="AP15" s="200">
        <v>30000</v>
      </c>
      <c r="AQ15" s="200">
        <v>8150.56</v>
      </c>
      <c r="AR15" s="200"/>
      <c r="AS15" s="200"/>
      <c r="AT15" s="200"/>
      <c r="AU15" s="200">
        <v>1024.43</v>
      </c>
      <c r="AV15" s="200"/>
      <c r="AW15" s="200">
        <v>2154.2199999999998</v>
      </c>
      <c r="AX15" s="200">
        <v>5000</v>
      </c>
      <c r="AY15" s="200">
        <v>1901.21</v>
      </c>
      <c r="AZ15" s="200"/>
      <c r="BA15" s="200"/>
      <c r="BB15" s="200">
        <v>10000</v>
      </c>
      <c r="BC15" s="200">
        <v>1220.1300000000001</v>
      </c>
      <c r="BD15" s="200"/>
      <c r="BE15" s="200">
        <v>2675</v>
      </c>
      <c r="BF15" s="200"/>
      <c r="BG15" s="200"/>
      <c r="BH15" s="200"/>
      <c r="BI15" s="200"/>
      <c r="BJ15" s="200">
        <f t="shared" si="0"/>
        <v>357000</v>
      </c>
      <c r="BK15" s="200">
        <f t="shared" si="0"/>
        <v>106639.71</v>
      </c>
      <c r="BL15" s="197"/>
      <c r="BM15" s="197"/>
    </row>
    <row r="16" spans="1:68" outlineLevel="1">
      <c r="A16" s="174" t="s">
        <v>627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>
        <v>65000</v>
      </c>
      <c r="S16" s="200">
        <v>29524</v>
      </c>
      <c r="T16" s="200">
        <v>80000</v>
      </c>
      <c r="U16" s="200">
        <v>24656</v>
      </c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>
        <f t="shared" si="0"/>
        <v>145000</v>
      </c>
      <c r="BK16" s="200">
        <f t="shared" si="0"/>
        <v>54180</v>
      </c>
      <c r="BL16" s="197"/>
      <c r="BM16" s="197"/>
    </row>
    <row r="17" spans="1:66" outlineLevel="1">
      <c r="A17" s="174" t="s">
        <v>34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>
        <v>75000</v>
      </c>
      <c r="M17" s="200">
        <v>1875</v>
      </c>
      <c r="N17" s="200"/>
      <c r="O17" s="200"/>
      <c r="P17" s="200"/>
      <c r="Q17" s="200"/>
      <c r="T17" s="200"/>
      <c r="U17" s="200"/>
      <c r="V17" s="200"/>
      <c r="W17" s="200"/>
      <c r="X17" s="200"/>
      <c r="Y17" s="200"/>
      <c r="Z17" s="200">
        <v>60000</v>
      </c>
      <c r="AA17" s="200">
        <v>17660</v>
      </c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>
        <v>10000</v>
      </c>
      <c r="AM17" s="200">
        <v>4436.25</v>
      </c>
      <c r="AN17" s="200"/>
      <c r="AO17" s="200"/>
      <c r="AP17" s="200"/>
      <c r="AQ17" s="200"/>
      <c r="AR17" s="200">
        <v>90000</v>
      </c>
      <c r="AS17" s="200">
        <v>607.5</v>
      </c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00">
        <v>9200</v>
      </c>
      <c r="BI17" s="200">
        <v>9657.5</v>
      </c>
      <c r="BJ17" s="200">
        <f t="shared" si="0"/>
        <v>244200</v>
      </c>
      <c r="BK17" s="200">
        <f t="shared" si="0"/>
        <v>34236.25</v>
      </c>
    </row>
    <row r="18" spans="1:66" outlineLevel="1">
      <c r="A18" s="174" t="s">
        <v>35</v>
      </c>
      <c r="B18" s="200"/>
      <c r="C18" s="200">
        <v>1688</v>
      </c>
      <c r="D18" s="200"/>
      <c r="E18" s="200">
        <v>26264.080000000002</v>
      </c>
      <c r="F18" s="200">
        <v>40000</v>
      </c>
      <c r="G18" s="200">
        <v>9937.5</v>
      </c>
      <c r="H18" s="200"/>
      <c r="I18" s="200">
        <v>10812.5</v>
      </c>
      <c r="J18" s="200"/>
      <c r="K18" s="200">
        <v>4125</v>
      </c>
      <c r="L18" s="200"/>
      <c r="M18" s="200"/>
      <c r="N18" s="200">
        <v>5000</v>
      </c>
      <c r="O18" s="200">
        <v>1777.61</v>
      </c>
      <c r="P18" s="200">
        <v>100000</v>
      </c>
      <c r="Q18" s="200">
        <v>10530</v>
      </c>
      <c r="R18" s="200"/>
      <c r="T18" s="200"/>
      <c r="V18" s="200"/>
      <c r="W18" s="200">
        <v>1155</v>
      </c>
      <c r="X18" s="200"/>
      <c r="Y18" s="200">
        <v>2107.36</v>
      </c>
      <c r="Z18" s="200"/>
      <c r="AA18" s="200"/>
      <c r="AB18" s="200"/>
      <c r="AC18" s="200">
        <v>10660.64</v>
      </c>
      <c r="AD18" s="200"/>
      <c r="AE18" s="200">
        <v>276.3</v>
      </c>
      <c r="AF18" s="200"/>
      <c r="AG18" s="200">
        <v>2775.39</v>
      </c>
      <c r="AH18" s="200"/>
      <c r="AI18" s="200">
        <v>1401.01</v>
      </c>
      <c r="AJ18" s="200"/>
      <c r="AK18" s="200">
        <v>321.27999999999997</v>
      </c>
      <c r="AL18" s="200"/>
      <c r="AM18" s="200"/>
      <c r="AN18" s="200"/>
      <c r="AO18" s="200">
        <v>1328.99</v>
      </c>
      <c r="AP18" s="200"/>
      <c r="AQ18" s="200">
        <v>7775.56</v>
      </c>
      <c r="AR18" s="200"/>
      <c r="AS18" s="200"/>
      <c r="AT18" s="200">
        <v>45000</v>
      </c>
      <c r="AU18" s="200">
        <v>1024.43</v>
      </c>
      <c r="AV18" s="200">
        <v>35000</v>
      </c>
      <c r="AW18" s="200">
        <v>2154.2199999999998</v>
      </c>
      <c r="AX18" s="200"/>
      <c r="AY18" s="200">
        <v>1838.71</v>
      </c>
      <c r="AZ18" s="200"/>
      <c r="BA18" s="200"/>
      <c r="BB18" s="200"/>
      <c r="BC18" s="200">
        <v>1120.1300000000001</v>
      </c>
      <c r="BD18" s="200">
        <v>10000</v>
      </c>
      <c r="BE18" s="200">
        <v>2675</v>
      </c>
      <c r="BF18" s="200"/>
      <c r="BG18" s="200"/>
      <c r="BH18" s="200"/>
      <c r="BI18" s="200"/>
      <c r="BJ18" s="200">
        <f t="shared" si="0"/>
        <v>235000</v>
      </c>
      <c r="BK18" s="200">
        <f t="shared" si="0"/>
        <v>101748.71</v>
      </c>
      <c r="BL18" s="197"/>
      <c r="BM18" s="197"/>
    </row>
    <row r="19" spans="1:66" outlineLevel="1">
      <c r="A19" s="174" t="s">
        <v>628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>
        <v>28630</v>
      </c>
      <c r="T19" s="200"/>
      <c r="U19" s="200">
        <v>22976</v>
      </c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0">
        <f t="shared" si="0"/>
        <v>0</v>
      </c>
      <c r="BK19" s="200">
        <f t="shared" si="0"/>
        <v>51606</v>
      </c>
      <c r="BL19" s="197"/>
      <c r="BM19" s="197"/>
    </row>
    <row r="20" spans="1:66" outlineLevel="1">
      <c r="A20" s="174" t="s">
        <v>36</v>
      </c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>
        <v>16835</v>
      </c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>
        <v>4261.25</v>
      </c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  <c r="BE20" s="200"/>
      <c r="BF20" s="200"/>
      <c r="BG20" s="200"/>
      <c r="BH20" s="200"/>
      <c r="BI20" s="200"/>
      <c r="BJ20" s="200">
        <f t="shared" si="0"/>
        <v>0</v>
      </c>
      <c r="BK20" s="200">
        <f t="shared" si="0"/>
        <v>21096.25</v>
      </c>
      <c r="BL20" s="197">
        <f>SUM(BJ14:BJ20)</f>
        <v>981200</v>
      </c>
      <c r="BM20" s="197">
        <f>SUM(BK14:BK20)</f>
        <v>369506.92000000004</v>
      </c>
      <c r="BN20" s="174">
        <v>2015</v>
      </c>
    </row>
    <row r="21" spans="1:66" outlineLevel="1">
      <c r="A21" s="174" t="s">
        <v>399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>
        <f t="shared" si="0"/>
        <v>0</v>
      </c>
      <c r="BK21" s="200">
        <f t="shared" si="0"/>
        <v>0</v>
      </c>
      <c r="BL21" s="197"/>
      <c r="BM21" s="197"/>
    </row>
    <row r="22" spans="1:66" outlineLevel="1">
      <c r="A22" s="174" t="s">
        <v>37</v>
      </c>
      <c r="B22" s="200">
        <v>5000</v>
      </c>
      <c r="C22" s="200">
        <v>1688</v>
      </c>
      <c r="D22" s="200">
        <v>110000</v>
      </c>
      <c r="E22" s="200">
        <v>26264.080000000002</v>
      </c>
      <c r="F22" s="200"/>
      <c r="G22" s="200">
        <v>9437.5</v>
      </c>
      <c r="H22" s="200">
        <v>45000</v>
      </c>
      <c r="I22" s="200">
        <v>10812.5</v>
      </c>
      <c r="J22" s="200">
        <v>20000</v>
      </c>
      <c r="K22" s="200">
        <v>4125</v>
      </c>
      <c r="L22" s="200"/>
      <c r="M22" s="200"/>
      <c r="N22" s="200"/>
      <c r="O22" s="200">
        <v>1715.11</v>
      </c>
      <c r="P22" s="200"/>
      <c r="Q22" s="200">
        <v>9717</v>
      </c>
      <c r="V22" s="200">
        <v>55000</v>
      </c>
      <c r="W22" s="200">
        <v>1155</v>
      </c>
      <c r="X22" s="200">
        <v>10000</v>
      </c>
      <c r="Y22" s="200">
        <v>2107.36</v>
      </c>
      <c r="Z22" s="200"/>
      <c r="AA22" s="200"/>
      <c r="AB22" s="200">
        <v>50000</v>
      </c>
      <c r="AC22" s="200">
        <v>10660.64</v>
      </c>
      <c r="AD22" s="200">
        <v>1000</v>
      </c>
      <c r="AE22" s="200">
        <v>276.3</v>
      </c>
      <c r="AF22" s="200">
        <v>15000</v>
      </c>
      <c r="AG22" s="200">
        <v>2775.39</v>
      </c>
      <c r="AH22" s="200">
        <v>5000</v>
      </c>
      <c r="AI22" s="200">
        <v>1401.01</v>
      </c>
      <c r="AJ22" s="200">
        <v>1000</v>
      </c>
      <c r="AK22" s="200">
        <v>321.27999999999997</v>
      </c>
      <c r="AL22" s="200"/>
      <c r="AM22" s="200"/>
      <c r="AN22" s="200">
        <v>5000</v>
      </c>
      <c r="AO22" s="200">
        <v>1328.99</v>
      </c>
      <c r="AP22" s="200">
        <v>30000</v>
      </c>
      <c r="AQ22" s="200">
        <v>7775.56</v>
      </c>
      <c r="AR22" s="200"/>
      <c r="AS22" s="200"/>
      <c r="AT22" s="200"/>
      <c r="AU22" s="200">
        <v>574.42999999999995</v>
      </c>
      <c r="AV22" s="200"/>
      <c r="AW22" s="200">
        <v>1804.22</v>
      </c>
      <c r="AX22" s="200">
        <v>5000</v>
      </c>
      <c r="AY22" s="200">
        <v>1838.71</v>
      </c>
      <c r="AZ22" s="200"/>
      <c r="BA22" s="200"/>
      <c r="BB22" s="200">
        <v>10000</v>
      </c>
      <c r="BC22" s="200">
        <v>1120.1300000000001</v>
      </c>
      <c r="BD22" s="200"/>
      <c r="BE22" s="200">
        <v>2575</v>
      </c>
      <c r="BF22" s="200"/>
      <c r="BG22" s="200"/>
      <c r="BH22" s="200"/>
      <c r="BI22" s="200"/>
      <c r="BJ22" s="200">
        <f t="shared" si="0"/>
        <v>367000</v>
      </c>
      <c r="BK22" s="200">
        <f t="shared" si="0"/>
        <v>99473.21</v>
      </c>
      <c r="BL22" s="197"/>
      <c r="BM22" s="197"/>
    </row>
    <row r="23" spans="1:66" outlineLevel="1">
      <c r="A23" s="174" t="s">
        <v>629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>
        <v>70000</v>
      </c>
      <c r="S23" s="200">
        <v>28630</v>
      </c>
      <c r="T23" s="200">
        <v>80000</v>
      </c>
      <c r="U23" s="200">
        <v>22976</v>
      </c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>
        <f t="shared" si="0"/>
        <v>150000</v>
      </c>
      <c r="BK23" s="200">
        <f t="shared" si="0"/>
        <v>51606</v>
      </c>
      <c r="BL23" s="197"/>
      <c r="BM23" s="197"/>
    </row>
    <row r="24" spans="1:66" outlineLevel="1">
      <c r="A24" s="174" t="s">
        <v>38</v>
      </c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>
        <v>65000</v>
      </c>
      <c r="AA24" s="200">
        <v>16835</v>
      </c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>
        <v>10000</v>
      </c>
      <c r="AM24" s="200">
        <v>4261.25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>
        <f t="shared" si="0"/>
        <v>75000</v>
      </c>
      <c r="BK24" s="200">
        <f t="shared" si="0"/>
        <v>21096.25</v>
      </c>
      <c r="BL24" s="197"/>
      <c r="BM24" s="197"/>
    </row>
    <row r="25" spans="1:66" outlineLevel="1">
      <c r="A25" s="174" t="s">
        <v>39</v>
      </c>
      <c r="B25" s="200"/>
      <c r="C25" s="200">
        <v>1625</v>
      </c>
      <c r="D25" s="200"/>
      <c r="E25" s="200">
        <v>24889.08</v>
      </c>
      <c r="F25" s="200">
        <v>40000</v>
      </c>
      <c r="G25" s="200">
        <v>9437.5</v>
      </c>
      <c r="H25" s="200"/>
      <c r="I25" s="200">
        <v>10250</v>
      </c>
      <c r="J25" s="200"/>
      <c r="K25" s="200">
        <v>3875</v>
      </c>
      <c r="L25" s="200"/>
      <c r="M25" s="200"/>
      <c r="N25" s="200">
        <v>5000</v>
      </c>
      <c r="O25" s="200">
        <v>1715.11</v>
      </c>
      <c r="P25" s="200">
        <v>100000</v>
      </c>
      <c r="Q25" s="200">
        <v>9717</v>
      </c>
      <c r="R25" s="200"/>
      <c r="T25" s="200"/>
      <c r="U25" s="200"/>
      <c r="V25" s="200"/>
      <c r="W25" s="200"/>
      <c r="X25" s="200"/>
      <c r="Y25" s="200">
        <v>1982.36</v>
      </c>
      <c r="Z25" s="200"/>
      <c r="AA25" s="200"/>
      <c r="AB25" s="200"/>
      <c r="AC25" s="200">
        <v>10035.64</v>
      </c>
      <c r="AD25" s="200"/>
      <c r="AE25" s="200">
        <v>263.8</v>
      </c>
      <c r="AF25" s="200"/>
      <c r="AG25" s="200">
        <v>2587.89</v>
      </c>
      <c r="AH25" s="200"/>
      <c r="AI25" s="200">
        <v>1338.51</v>
      </c>
      <c r="AJ25" s="200"/>
      <c r="AK25" s="200">
        <v>308.77999999999997</v>
      </c>
      <c r="AL25" s="200"/>
      <c r="AM25" s="200"/>
      <c r="AN25" s="200"/>
      <c r="AO25" s="200">
        <v>1266.49</v>
      </c>
      <c r="AP25" s="200"/>
      <c r="AQ25" s="200">
        <v>7400.56</v>
      </c>
      <c r="AR25" s="200"/>
      <c r="AS25" s="200"/>
      <c r="AT25" s="200">
        <v>45000</v>
      </c>
      <c r="AU25" s="200">
        <v>574.42999999999995</v>
      </c>
      <c r="AV25" s="200">
        <v>35000</v>
      </c>
      <c r="AW25" s="200">
        <v>1804.22</v>
      </c>
      <c r="AX25" s="200"/>
      <c r="AY25" s="200">
        <v>1776.21</v>
      </c>
      <c r="AZ25" s="200"/>
      <c r="BA25" s="200"/>
      <c r="BB25" s="200"/>
      <c r="BC25" s="200">
        <v>1020.13</v>
      </c>
      <c r="BD25" s="200">
        <v>10000</v>
      </c>
      <c r="BE25" s="200">
        <v>2575</v>
      </c>
      <c r="BF25" s="200"/>
      <c r="BG25" s="200"/>
      <c r="BH25" s="200"/>
      <c r="BI25" s="200"/>
      <c r="BJ25" s="200">
        <f t="shared" si="0"/>
        <v>235000</v>
      </c>
      <c r="BK25" s="200">
        <f t="shared" si="0"/>
        <v>94442.71</v>
      </c>
      <c r="BL25" s="197"/>
      <c r="BM25" s="197"/>
    </row>
    <row r="26" spans="1:66" outlineLevel="1">
      <c r="A26" s="174" t="s">
        <v>630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>
        <v>27580</v>
      </c>
      <c r="T26" s="200"/>
      <c r="U26" s="200">
        <v>21276</v>
      </c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  <c r="BE26" s="200"/>
      <c r="BF26" s="200"/>
      <c r="BG26" s="200"/>
      <c r="BH26" s="200"/>
      <c r="BI26" s="200"/>
      <c r="BJ26" s="200">
        <f t="shared" si="0"/>
        <v>0</v>
      </c>
      <c r="BK26" s="200">
        <f t="shared" si="0"/>
        <v>48856</v>
      </c>
      <c r="BL26" s="197"/>
      <c r="BM26" s="197"/>
    </row>
    <row r="27" spans="1:66" outlineLevel="1">
      <c r="A27" s="174" t="s">
        <v>40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>
        <v>15941</v>
      </c>
      <c r="AB27" s="200"/>
      <c r="AC27" s="200"/>
      <c r="AD27" s="200"/>
      <c r="AE27" s="200"/>
      <c r="AF27" s="200"/>
      <c r="AG27" s="200"/>
      <c r="AH27" s="200"/>
      <c r="AI27" s="200"/>
      <c r="AJ27" s="200"/>
      <c r="AK27" s="200"/>
      <c r="AL27" s="200"/>
      <c r="AM27" s="200">
        <v>4086.25</v>
      </c>
      <c r="AN27" s="200"/>
      <c r="AO27" s="200"/>
      <c r="AP27" s="200"/>
      <c r="AQ27" s="200"/>
      <c r="AR27" s="200"/>
      <c r="AS27" s="200"/>
      <c r="AT27" s="200"/>
      <c r="AU27" s="200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0"/>
      <c r="BG27" s="200"/>
      <c r="BH27" s="200"/>
      <c r="BI27" s="200"/>
      <c r="BJ27" s="200">
        <f t="shared" si="0"/>
        <v>0</v>
      </c>
      <c r="BK27" s="200">
        <f t="shared" si="0"/>
        <v>20027.25</v>
      </c>
      <c r="BL27" s="197">
        <f>SUM(BJ21:BJ27)</f>
        <v>827000</v>
      </c>
      <c r="BM27" s="197">
        <f>SUM(BK21:BK27)</f>
        <v>335501.42000000004</v>
      </c>
      <c r="BN27" s="174">
        <v>2016</v>
      </c>
    </row>
    <row r="28" spans="1:66" outlineLevel="1">
      <c r="A28" s="174" t="s">
        <v>400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0"/>
      <c r="AX28" s="200"/>
      <c r="AY28" s="200"/>
      <c r="AZ28" s="200"/>
      <c r="BA28" s="200"/>
      <c r="BB28" s="200"/>
      <c r="BC28" s="200"/>
      <c r="BD28" s="200"/>
      <c r="BE28" s="200"/>
      <c r="BF28" s="200"/>
      <c r="BG28" s="200"/>
      <c r="BH28" s="200"/>
      <c r="BI28" s="200"/>
      <c r="BJ28" s="200">
        <f t="shared" si="0"/>
        <v>0</v>
      </c>
      <c r="BK28" s="200">
        <f t="shared" si="0"/>
        <v>0</v>
      </c>
      <c r="BL28" s="197"/>
      <c r="BM28" s="197"/>
    </row>
    <row r="29" spans="1:66" outlineLevel="1">
      <c r="A29" s="174" t="s">
        <v>41</v>
      </c>
      <c r="B29" s="200">
        <v>10000</v>
      </c>
      <c r="C29" s="200">
        <v>1625</v>
      </c>
      <c r="D29" s="200">
        <v>110000</v>
      </c>
      <c r="E29" s="200">
        <v>24889.08</v>
      </c>
      <c r="F29" s="200"/>
      <c r="G29" s="200">
        <v>8937.5</v>
      </c>
      <c r="H29" s="200">
        <v>45000</v>
      </c>
      <c r="I29" s="200">
        <v>10250</v>
      </c>
      <c r="J29" s="200">
        <v>20000</v>
      </c>
      <c r="K29" s="200">
        <v>3875</v>
      </c>
      <c r="L29" s="200"/>
      <c r="M29" s="200"/>
      <c r="N29" s="200"/>
      <c r="O29" s="200">
        <v>1652.61</v>
      </c>
      <c r="P29" s="200"/>
      <c r="Q29" s="200">
        <v>8905</v>
      </c>
      <c r="T29" s="200"/>
      <c r="U29" s="200"/>
      <c r="V29" s="200"/>
      <c r="W29" s="200"/>
      <c r="X29" s="200">
        <v>10000</v>
      </c>
      <c r="Y29" s="200">
        <v>1982.36</v>
      </c>
      <c r="Z29" s="200"/>
      <c r="AA29" s="200"/>
      <c r="AB29" s="200">
        <v>50000</v>
      </c>
      <c r="AC29" s="200">
        <v>10035.64</v>
      </c>
      <c r="AD29" s="200">
        <v>1000</v>
      </c>
      <c r="AE29" s="200">
        <v>263.8</v>
      </c>
      <c r="AF29" s="200">
        <v>20000</v>
      </c>
      <c r="AG29" s="200">
        <v>2587.89</v>
      </c>
      <c r="AH29" s="200">
        <v>5000</v>
      </c>
      <c r="AI29" s="200">
        <v>1338.51</v>
      </c>
      <c r="AJ29" s="200">
        <v>1000</v>
      </c>
      <c r="AK29" s="200">
        <v>308.77999999999997</v>
      </c>
      <c r="AL29" s="200"/>
      <c r="AM29" s="200"/>
      <c r="AN29" s="200">
        <v>5000</v>
      </c>
      <c r="AO29" s="200">
        <v>1266.49</v>
      </c>
      <c r="AP29" s="200">
        <v>30000</v>
      </c>
      <c r="AQ29" s="200">
        <v>7400.56</v>
      </c>
      <c r="AR29" s="200"/>
      <c r="AS29" s="200"/>
      <c r="AT29" s="200"/>
      <c r="AU29" s="200">
        <v>124.43</v>
      </c>
      <c r="AV29" s="200"/>
      <c r="AW29" s="200">
        <v>1454.22</v>
      </c>
      <c r="AX29" s="200">
        <v>5000</v>
      </c>
      <c r="AY29" s="200">
        <v>1776.21</v>
      </c>
      <c r="AZ29" s="200"/>
      <c r="BA29" s="200"/>
      <c r="BB29" s="200">
        <v>10000</v>
      </c>
      <c r="BC29" s="200">
        <v>1020.13</v>
      </c>
      <c r="BD29" s="200"/>
      <c r="BE29" s="200">
        <v>2475</v>
      </c>
      <c r="BF29" s="200"/>
      <c r="BG29" s="200"/>
      <c r="BH29" s="200"/>
      <c r="BI29" s="200"/>
      <c r="BJ29" s="200">
        <f t="shared" si="0"/>
        <v>322000</v>
      </c>
      <c r="BK29" s="200">
        <f t="shared" si="0"/>
        <v>92168.21</v>
      </c>
      <c r="BL29" s="197"/>
      <c r="BM29" s="197"/>
    </row>
    <row r="30" spans="1:66" outlineLevel="1">
      <c r="A30" s="174" t="s">
        <v>631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>
        <v>70000</v>
      </c>
      <c r="S30" s="200">
        <v>27580</v>
      </c>
      <c r="T30" s="200">
        <v>85000</v>
      </c>
      <c r="U30" s="200">
        <v>21276</v>
      </c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0"/>
      <c r="BG30" s="200"/>
      <c r="BH30" s="200"/>
      <c r="BI30" s="200"/>
      <c r="BJ30" s="200">
        <f t="shared" si="0"/>
        <v>155000</v>
      </c>
      <c r="BK30" s="200">
        <f t="shared" si="0"/>
        <v>48856</v>
      </c>
      <c r="BL30" s="197"/>
      <c r="BM30" s="197"/>
    </row>
    <row r="31" spans="1:66" outlineLevel="1">
      <c r="A31" s="174" t="s">
        <v>42</v>
      </c>
      <c r="B31" s="200"/>
      <c r="C31" s="200"/>
      <c r="D31" s="202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>
        <v>65000</v>
      </c>
      <c r="AA31" s="200">
        <v>15941</v>
      </c>
      <c r="AB31" s="200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>
        <v>10000</v>
      </c>
      <c r="AM31" s="200">
        <v>4086.25</v>
      </c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0"/>
      <c r="BJ31" s="200">
        <f t="shared" si="0"/>
        <v>75000</v>
      </c>
      <c r="BK31" s="200">
        <f t="shared" si="0"/>
        <v>20027.25</v>
      </c>
      <c r="BL31" s="197"/>
      <c r="BM31" s="197"/>
    </row>
    <row r="32" spans="1:66" outlineLevel="1">
      <c r="A32" s="174" t="s">
        <v>43</v>
      </c>
      <c r="B32" s="200"/>
      <c r="C32" s="200">
        <v>1500</v>
      </c>
      <c r="D32" s="200"/>
      <c r="E32" s="200">
        <v>23514.080000000002</v>
      </c>
      <c r="F32" s="200">
        <v>45000</v>
      </c>
      <c r="G32" s="200">
        <v>8937.5</v>
      </c>
      <c r="H32" s="200"/>
      <c r="I32" s="200">
        <v>9687.5</v>
      </c>
      <c r="J32" s="200"/>
      <c r="K32" s="200">
        <v>3625</v>
      </c>
      <c r="L32" s="200"/>
      <c r="M32" s="200"/>
      <c r="N32" s="200">
        <v>5000</v>
      </c>
      <c r="O32" s="200">
        <v>1652.61</v>
      </c>
      <c r="P32" s="200">
        <v>100000</v>
      </c>
      <c r="Q32" s="200">
        <v>8905</v>
      </c>
      <c r="R32" s="200"/>
      <c r="T32" s="200"/>
      <c r="U32" s="200"/>
      <c r="V32" s="200"/>
      <c r="W32" s="200"/>
      <c r="X32" s="200"/>
      <c r="Y32" s="200">
        <v>1857.36</v>
      </c>
      <c r="Z32" s="200"/>
      <c r="AA32" s="200"/>
      <c r="AB32" s="200"/>
      <c r="AC32" s="200">
        <v>9410.64</v>
      </c>
      <c r="AD32" s="200"/>
      <c r="AE32" s="200">
        <v>251.3</v>
      </c>
      <c r="AF32" s="200"/>
      <c r="AG32" s="200">
        <v>2337.89</v>
      </c>
      <c r="AH32" s="200"/>
      <c r="AI32" s="200">
        <v>1276.01</v>
      </c>
      <c r="AJ32" s="200"/>
      <c r="AK32" s="200">
        <v>296.27999999999997</v>
      </c>
      <c r="AL32" s="200"/>
      <c r="AM32" s="200"/>
      <c r="AN32" s="200"/>
      <c r="AO32" s="200">
        <v>1203.99</v>
      </c>
      <c r="AP32" s="200"/>
      <c r="AQ32" s="200">
        <v>7025.56</v>
      </c>
      <c r="AR32" s="200"/>
      <c r="AS32" s="200"/>
      <c r="AT32" s="200">
        <v>45000</v>
      </c>
      <c r="AU32" s="200">
        <v>124.43</v>
      </c>
      <c r="AV32" s="200">
        <v>35000</v>
      </c>
      <c r="AW32" s="200">
        <v>1454.22</v>
      </c>
      <c r="AX32" s="200"/>
      <c r="AY32" s="200">
        <v>1713.71</v>
      </c>
      <c r="AZ32" s="200"/>
      <c r="BA32" s="200"/>
      <c r="BB32" s="200"/>
      <c r="BC32" s="200">
        <v>920.13</v>
      </c>
      <c r="BD32" s="200">
        <v>10000</v>
      </c>
      <c r="BE32" s="200">
        <v>2475</v>
      </c>
      <c r="BF32" s="200"/>
      <c r="BG32" s="200"/>
      <c r="BH32" s="200"/>
      <c r="BI32" s="200"/>
      <c r="BJ32" s="200">
        <f t="shared" si="0"/>
        <v>240000</v>
      </c>
      <c r="BK32" s="200">
        <f t="shared" si="0"/>
        <v>88168.21</v>
      </c>
      <c r="BL32" s="197"/>
      <c r="BM32" s="197"/>
    </row>
    <row r="33" spans="1:66" outlineLevel="1">
      <c r="A33" s="174" t="s">
        <v>632</v>
      </c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>
        <v>26425</v>
      </c>
      <c r="T33" s="200"/>
      <c r="U33" s="200">
        <v>19427</v>
      </c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0"/>
      <c r="BJ33" s="200">
        <f t="shared" si="0"/>
        <v>0</v>
      </c>
      <c r="BK33" s="200">
        <f t="shared" si="0"/>
        <v>45852</v>
      </c>
      <c r="BL33" s="197"/>
      <c r="BM33" s="197"/>
    </row>
    <row r="34" spans="1:66" outlineLevel="1">
      <c r="A34" s="174" t="s">
        <v>44</v>
      </c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>
        <v>14966</v>
      </c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>
        <v>3911.25</v>
      </c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200"/>
      <c r="AY34" s="200"/>
      <c r="AZ34" s="200"/>
      <c r="BA34" s="200"/>
      <c r="BB34" s="200"/>
      <c r="BC34" s="200"/>
      <c r="BD34" s="200"/>
      <c r="BE34" s="200"/>
      <c r="BF34" s="200"/>
      <c r="BG34" s="200"/>
      <c r="BH34" s="200"/>
      <c r="BI34" s="200"/>
      <c r="BJ34" s="200">
        <f t="shared" si="0"/>
        <v>0</v>
      </c>
      <c r="BK34" s="200">
        <f t="shared" si="0"/>
        <v>18877.25</v>
      </c>
      <c r="BL34" s="197">
        <f>SUM(BJ28:BJ34)</f>
        <v>792000</v>
      </c>
      <c r="BM34" s="197">
        <f>SUM(BK28:BK34)</f>
        <v>313948.92000000004</v>
      </c>
      <c r="BN34" s="174">
        <v>2017</v>
      </c>
    </row>
    <row r="35" spans="1:66" outlineLevel="1">
      <c r="A35" s="174" t="s">
        <v>401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00"/>
      <c r="BH35" s="200"/>
      <c r="BI35" s="200"/>
      <c r="BJ35" s="200">
        <f t="shared" si="0"/>
        <v>0</v>
      </c>
      <c r="BK35" s="200">
        <f t="shared" si="0"/>
        <v>0</v>
      </c>
      <c r="BL35" s="197"/>
      <c r="BM35" s="197"/>
    </row>
    <row r="36" spans="1:66" outlineLevel="1">
      <c r="A36" s="174" t="s">
        <v>45</v>
      </c>
      <c r="B36" s="200">
        <v>10000</v>
      </c>
      <c r="C36" s="200">
        <v>1500</v>
      </c>
      <c r="D36" s="200">
        <v>115000</v>
      </c>
      <c r="E36" s="200">
        <v>23514.080000000002</v>
      </c>
      <c r="F36" s="200"/>
      <c r="G36" s="200">
        <v>8375</v>
      </c>
      <c r="H36" s="200">
        <v>45000</v>
      </c>
      <c r="I36" s="200">
        <v>9687.5</v>
      </c>
      <c r="J36" s="200">
        <v>20000</v>
      </c>
      <c r="K36" s="200">
        <v>3625</v>
      </c>
      <c r="L36" s="200"/>
      <c r="M36" s="200"/>
      <c r="N36" s="200"/>
      <c r="O36" s="200">
        <v>1590.11</v>
      </c>
      <c r="P36" s="200"/>
      <c r="Q36" s="200">
        <v>8092</v>
      </c>
      <c r="T36" s="200"/>
      <c r="U36" s="200"/>
      <c r="V36" s="200"/>
      <c r="W36" s="200"/>
      <c r="X36" s="200">
        <v>10000</v>
      </c>
      <c r="Y36" s="200">
        <v>1857.36</v>
      </c>
      <c r="Z36" s="200"/>
      <c r="AA36" s="200"/>
      <c r="AB36" s="200">
        <v>55000</v>
      </c>
      <c r="AC36" s="200">
        <v>9410.64</v>
      </c>
      <c r="AD36" s="200">
        <v>1000</v>
      </c>
      <c r="AE36" s="200">
        <v>251.3</v>
      </c>
      <c r="AF36" s="200">
        <v>20000</v>
      </c>
      <c r="AG36" s="200">
        <v>2337.89</v>
      </c>
      <c r="AH36" s="200">
        <v>5000</v>
      </c>
      <c r="AI36" s="200">
        <v>1276.01</v>
      </c>
      <c r="AJ36" s="200">
        <v>1000</v>
      </c>
      <c r="AK36" s="200">
        <v>296.27999999999997</v>
      </c>
      <c r="AL36" s="200"/>
      <c r="AM36" s="200"/>
      <c r="AN36" s="200">
        <v>5000</v>
      </c>
      <c r="AO36" s="200">
        <v>1203.99</v>
      </c>
      <c r="AP36" s="200">
        <v>30000</v>
      </c>
      <c r="AQ36" s="200">
        <v>7025.56</v>
      </c>
      <c r="AR36" s="200"/>
      <c r="AS36" s="200"/>
      <c r="AT36" s="200"/>
      <c r="AU36" s="200"/>
      <c r="AV36" s="200"/>
      <c r="AW36" s="200">
        <v>1104.22</v>
      </c>
      <c r="AX36" s="200">
        <v>5000</v>
      </c>
      <c r="AY36" s="200">
        <v>1713.71</v>
      </c>
      <c r="AZ36" s="200"/>
      <c r="BA36" s="200"/>
      <c r="BB36" s="200">
        <v>10000</v>
      </c>
      <c r="BC36" s="200">
        <v>920.13</v>
      </c>
      <c r="BD36" s="200"/>
      <c r="BE36" s="200">
        <v>2375</v>
      </c>
      <c r="BF36" s="200"/>
      <c r="BG36" s="200"/>
      <c r="BH36" s="200"/>
      <c r="BI36" s="200"/>
      <c r="BJ36" s="200">
        <f t="shared" si="0"/>
        <v>332000</v>
      </c>
      <c r="BK36" s="200">
        <f t="shared" si="0"/>
        <v>86155.78</v>
      </c>
      <c r="BL36" s="197"/>
      <c r="BM36" s="197"/>
    </row>
    <row r="37" spans="1:66" outlineLevel="1">
      <c r="A37" s="174" t="s">
        <v>633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>
        <v>75000</v>
      </c>
      <c r="S37" s="200">
        <v>26425</v>
      </c>
      <c r="T37" s="200">
        <v>85000</v>
      </c>
      <c r="U37" s="200">
        <v>19427</v>
      </c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0"/>
      <c r="BJ37" s="200">
        <f t="shared" si="0"/>
        <v>160000</v>
      </c>
      <c r="BK37" s="200">
        <f t="shared" si="0"/>
        <v>45852</v>
      </c>
      <c r="BL37" s="197"/>
      <c r="BM37" s="197"/>
    </row>
    <row r="38" spans="1:66" outlineLevel="1">
      <c r="A38" s="174" t="s">
        <v>46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>
        <v>65000</v>
      </c>
      <c r="AA38" s="200">
        <v>14966</v>
      </c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>
        <v>10000</v>
      </c>
      <c r="AM38" s="200">
        <v>3911.25</v>
      </c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0">
        <f t="shared" si="0"/>
        <v>75000</v>
      </c>
      <c r="BK38" s="200">
        <f t="shared" si="0"/>
        <v>18877.25</v>
      </c>
      <c r="BL38" s="197"/>
      <c r="BM38" s="197"/>
    </row>
    <row r="39" spans="1:66" outlineLevel="1">
      <c r="A39" s="174" t="s">
        <v>47</v>
      </c>
      <c r="B39" s="200"/>
      <c r="C39" s="200">
        <v>1375</v>
      </c>
      <c r="D39" s="200"/>
      <c r="E39" s="200">
        <v>22076.58</v>
      </c>
      <c r="F39" s="200">
        <v>45000</v>
      </c>
      <c r="G39" s="200">
        <v>8375</v>
      </c>
      <c r="H39" s="200"/>
      <c r="I39" s="200">
        <v>9125</v>
      </c>
      <c r="J39" s="200"/>
      <c r="K39" s="200">
        <v>3375</v>
      </c>
      <c r="L39" s="200"/>
      <c r="M39" s="200"/>
      <c r="N39" s="200">
        <v>5000</v>
      </c>
      <c r="O39" s="200">
        <v>1590.11</v>
      </c>
      <c r="P39" s="200">
        <v>100000</v>
      </c>
      <c r="Q39" s="200">
        <v>8092</v>
      </c>
      <c r="R39" s="200"/>
      <c r="T39" s="200"/>
      <c r="U39" s="200"/>
      <c r="V39" s="200"/>
      <c r="W39" s="200"/>
      <c r="X39" s="200"/>
      <c r="Y39" s="200">
        <v>1732.36</v>
      </c>
      <c r="Z39" s="200"/>
      <c r="AA39" s="200"/>
      <c r="AB39" s="200"/>
      <c r="AC39" s="200">
        <v>8723.14</v>
      </c>
      <c r="AD39" s="200"/>
      <c r="AE39" s="200">
        <v>238.8</v>
      </c>
      <c r="AF39" s="200"/>
      <c r="AG39" s="200">
        <v>2087.89</v>
      </c>
      <c r="AH39" s="200"/>
      <c r="AI39" s="200">
        <v>1213.51</v>
      </c>
      <c r="AJ39" s="200"/>
      <c r="AK39" s="200">
        <v>283.77999999999997</v>
      </c>
      <c r="AL39" s="200"/>
      <c r="AM39" s="200"/>
      <c r="AN39" s="200"/>
      <c r="AO39" s="200">
        <v>1141.49</v>
      </c>
      <c r="AP39" s="200"/>
      <c r="AQ39" s="200">
        <v>6650.56</v>
      </c>
      <c r="AR39" s="200"/>
      <c r="AS39" s="200"/>
      <c r="AT39" s="200">
        <v>45000</v>
      </c>
      <c r="AU39" s="200"/>
      <c r="AV39" s="200">
        <v>35000</v>
      </c>
      <c r="AW39" s="200">
        <v>1104.22</v>
      </c>
      <c r="AX39" s="200"/>
      <c r="AY39" s="200">
        <v>1651.21</v>
      </c>
      <c r="AZ39" s="200"/>
      <c r="BA39" s="200"/>
      <c r="BB39" s="200"/>
      <c r="BC39" s="200">
        <v>820.13</v>
      </c>
      <c r="BD39" s="200">
        <v>12500</v>
      </c>
      <c r="BE39" s="200">
        <v>2375</v>
      </c>
      <c r="BF39" s="200"/>
      <c r="BG39" s="200"/>
      <c r="BH39" s="200"/>
      <c r="BI39" s="200"/>
      <c r="BJ39" s="200">
        <f t="shared" si="0"/>
        <v>242500</v>
      </c>
      <c r="BK39" s="200">
        <f t="shared" si="0"/>
        <v>82030.78</v>
      </c>
      <c r="BL39" s="197"/>
      <c r="BM39" s="197"/>
    </row>
    <row r="40" spans="1:66" outlineLevel="1">
      <c r="A40" s="174" t="s">
        <v>634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>
        <v>25075</v>
      </c>
      <c r="T40" s="200"/>
      <c r="U40" s="200">
        <v>17557</v>
      </c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0">
        <f t="shared" si="0"/>
        <v>0</v>
      </c>
      <c r="BK40" s="200">
        <f t="shared" si="0"/>
        <v>42632</v>
      </c>
      <c r="BL40" s="197"/>
      <c r="BM40" s="197"/>
    </row>
    <row r="41" spans="1:66" outlineLevel="1">
      <c r="A41" s="174" t="s">
        <v>48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>
        <v>13991</v>
      </c>
      <c r="AB41" s="200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>
        <v>3736.25</v>
      </c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0">
        <f t="shared" si="0"/>
        <v>0</v>
      </c>
      <c r="BK41" s="200">
        <f t="shared" si="0"/>
        <v>17727.25</v>
      </c>
      <c r="BL41" s="197">
        <f>SUM(BJ35:BJ41)</f>
        <v>809500</v>
      </c>
      <c r="BM41" s="197">
        <f>SUM(BK35:BK41)</f>
        <v>293275.06</v>
      </c>
      <c r="BN41" s="174">
        <v>2018</v>
      </c>
    </row>
    <row r="42" spans="1:66" outlineLevel="1">
      <c r="A42" s="174" t="s">
        <v>402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0"/>
      <c r="BG42" s="200"/>
      <c r="BH42" s="200"/>
      <c r="BI42" s="200"/>
      <c r="BJ42" s="200">
        <f t="shared" si="0"/>
        <v>0</v>
      </c>
      <c r="BK42" s="200">
        <f t="shared" si="0"/>
        <v>0</v>
      </c>
      <c r="BL42" s="197"/>
      <c r="BM42" s="197"/>
    </row>
    <row r="43" spans="1:66" outlineLevel="1">
      <c r="A43" s="174" t="s">
        <v>49</v>
      </c>
      <c r="B43" s="200">
        <v>10000</v>
      </c>
      <c r="C43" s="200">
        <v>1375</v>
      </c>
      <c r="D43" s="200">
        <v>115000</v>
      </c>
      <c r="E43" s="200">
        <v>22076.58</v>
      </c>
      <c r="F43" s="200"/>
      <c r="G43" s="200">
        <v>7812.5</v>
      </c>
      <c r="H43" s="200">
        <v>50000</v>
      </c>
      <c r="I43" s="200">
        <v>9125</v>
      </c>
      <c r="J43" s="200">
        <v>20000</v>
      </c>
      <c r="K43" s="200">
        <v>3375</v>
      </c>
      <c r="L43" s="200"/>
      <c r="M43" s="200"/>
      <c r="N43" s="200"/>
      <c r="O43" s="200">
        <v>1527.61</v>
      </c>
      <c r="P43" s="200"/>
      <c r="Q43" s="200">
        <v>7280</v>
      </c>
      <c r="T43" s="200"/>
      <c r="U43" s="200"/>
      <c r="V43" s="200"/>
      <c r="W43" s="200"/>
      <c r="X43" s="200">
        <v>10000</v>
      </c>
      <c r="Y43" s="200">
        <v>1732.36</v>
      </c>
      <c r="Z43" s="200"/>
      <c r="AA43" s="200"/>
      <c r="AB43" s="200">
        <v>55000</v>
      </c>
      <c r="AC43" s="200">
        <v>8723.14</v>
      </c>
      <c r="AD43" s="200">
        <v>1000</v>
      </c>
      <c r="AE43" s="200">
        <v>238.8</v>
      </c>
      <c r="AF43" s="200">
        <v>20000</v>
      </c>
      <c r="AG43" s="200">
        <v>2087.89</v>
      </c>
      <c r="AH43" s="200">
        <v>5000</v>
      </c>
      <c r="AI43" s="200">
        <v>1213.51</v>
      </c>
      <c r="AJ43" s="200">
        <v>1000</v>
      </c>
      <c r="AK43" s="200">
        <v>283.77999999999997</v>
      </c>
      <c r="AL43" s="200"/>
      <c r="AM43" s="200"/>
      <c r="AN43" s="200">
        <v>5000</v>
      </c>
      <c r="AO43" s="200">
        <v>1141.49</v>
      </c>
      <c r="AP43" s="200">
        <v>35000</v>
      </c>
      <c r="AQ43" s="200">
        <v>6650.56</v>
      </c>
      <c r="AR43" s="200"/>
      <c r="AS43" s="200"/>
      <c r="AT43" s="200"/>
      <c r="AU43" s="200"/>
      <c r="AV43" s="200"/>
      <c r="AW43" s="200">
        <v>754.22</v>
      </c>
      <c r="AX43" s="200">
        <v>5000</v>
      </c>
      <c r="AY43" s="200">
        <v>1651.21</v>
      </c>
      <c r="AZ43" s="200"/>
      <c r="BA43" s="200"/>
      <c r="BB43" s="200">
        <v>10000</v>
      </c>
      <c r="BC43" s="200">
        <v>820.13</v>
      </c>
      <c r="BD43" s="200"/>
      <c r="BE43" s="200">
        <v>2250</v>
      </c>
      <c r="BF43" s="200"/>
      <c r="BG43" s="200"/>
      <c r="BH43" s="200"/>
      <c r="BI43" s="200"/>
      <c r="BJ43" s="200">
        <f t="shared" si="0"/>
        <v>342000</v>
      </c>
      <c r="BK43" s="200">
        <f t="shared" si="0"/>
        <v>80118.78</v>
      </c>
      <c r="BL43" s="197"/>
      <c r="BM43" s="197"/>
    </row>
    <row r="44" spans="1:66" outlineLevel="1">
      <c r="A44" s="174" t="s">
        <v>635</v>
      </c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>
        <v>80000</v>
      </c>
      <c r="S44" s="200">
        <v>25075</v>
      </c>
      <c r="T44" s="200">
        <v>90000</v>
      </c>
      <c r="U44" s="200">
        <v>17557</v>
      </c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0"/>
      <c r="AQ44" s="200"/>
      <c r="AR44" s="200"/>
      <c r="AS44" s="200"/>
      <c r="AT44" s="200"/>
      <c r="AU44" s="200"/>
      <c r="AV44" s="200"/>
      <c r="AW44" s="200"/>
      <c r="AX44" s="200"/>
      <c r="AY44" s="200"/>
      <c r="AZ44" s="200"/>
      <c r="BA44" s="200"/>
      <c r="BB44" s="200"/>
      <c r="BC44" s="200"/>
      <c r="BD44" s="200"/>
      <c r="BE44" s="200"/>
      <c r="BF44" s="200"/>
      <c r="BG44" s="200"/>
      <c r="BH44" s="200"/>
      <c r="BI44" s="200"/>
      <c r="BJ44" s="200">
        <f t="shared" si="0"/>
        <v>170000</v>
      </c>
      <c r="BK44" s="200">
        <f t="shared" si="0"/>
        <v>42632</v>
      </c>
      <c r="BL44" s="197"/>
      <c r="BM44" s="197"/>
    </row>
    <row r="45" spans="1:66" outlineLevel="1">
      <c r="A45" s="174" t="s">
        <v>50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>
        <v>65000</v>
      </c>
      <c r="AA45" s="200">
        <v>13991</v>
      </c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>
        <v>10000</v>
      </c>
      <c r="AM45" s="200">
        <v>3736.25</v>
      </c>
      <c r="AN45" s="200"/>
      <c r="AO45" s="200"/>
      <c r="AP45" s="200"/>
      <c r="AQ45" s="200"/>
      <c r="AR45" s="200"/>
      <c r="AS45" s="200"/>
      <c r="AT45" s="200"/>
      <c r="AU45" s="200"/>
      <c r="AV45" s="200"/>
      <c r="AW45" s="200"/>
      <c r="AX45" s="200"/>
      <c r="AY45" s="200"/>
      <c r="AZ45" s="200"/>
      <c r="BA45" s="200"/>
      <c r="BB45" s="200"/>
      <c r="BC45" s="200"/>
      <c r="BD45" s="200"/>
      <c r="BE45" s="200"/>
      <c r="BF45" s="200"/>
      <c r="BG45" s="200"/>
      <c r="BH45" s="200"/>
      <c r="BI45" s="200"/>
      <c r="BJ45" s="200">
        <f t="shared" si="0"/>
        <v>75000</v>
      </c>
      <c r="BK45" s="200">
        <f t="shared" si="0"/>
        <v>17727.25</v>
      </c>
      <c r="BL45" s="197"/>
      <c r="BM45" s="197"/>
    </row>
    <row r="46" spans="1:66" outlineLevel="1">
      <c r="A46" s="174" t="s">
        <v>51</v>
      </c>
      <c r="B46" s="200"/>
      <c r="C46" s="200">
        <v>1250</v>
      </c>
      <c r="D46" s="200"/>
      <c r="E46" s="200">
        <v>20639.080000000002</v>
      </c>
      <c r="F46" s="200">
        <v>45000</v>
      </c>
      <c r="G46" s="200">
        <v>7812.5</v>
      </c>
      <c r="H46" s="200"/>
      <c r="I46" s="200">
        <v>8500</v>
      </c>
      <c r="J46" s="200"/>
      <c r="K46" s="200">
        <v>3125</v>
      </c>
      <c r="L46" s="200"/>
      <c r="M46" s="200"/>
      <c r="N46" s="200">
        <v>5000</v>
      </c>
      <c r="O46" s="200">
        <v>1527.61</v>
      </c>
      <c r="P46" s="200">
        <v>105000</v>
      </c>
      <c r="Q46" s="200">
        <v>7280</v>
      </c>
      <c r="R46" s="200"/>
      <c r="T46" s="200"/>
      <c r="U46" s="200"/>
      <c r="V46" s="200"/>
      <c r="W46" s="200"/>
      <c r="X46" s="200"/>
      <c r="Y46" s="200">
        <v>1607.36</v>
      </c>
      <c r="Z46" s="200"/>
      <c r="AA46" s="200"/>
      <c r="AB46" s="200"/>
      <c r="AC46" s="200">
        <v>8035.64</v>
      </c>
      <c r="AD46" s="200"/>
      <c r="AE46" s="200">
        <v>226.3</v>
      </c>
      <c r="AF46" s="200"/>
      <c r="AG46" s="200">
        <v>1837.89</v>
      </c>
      <c r="AH46" s="200"/>
      <c r="AI46" s="200">
        <v>1151.01</v>
      </c>
      <c r="AJ46" s="200"/>
      <c r="AK46" s="200">
        <v>271.27999999999997</v>
      </c>
      <c r="AL46" s="200"/>
      <c r="AM46" s="200"/>
      <c r="AN46" s="200"/>
      <c r="AO46" s="200">
        <v>1078.99</v>
      </c>
      <c r="AP46" s="200"/>
      <c r="AQ46" s="200">
        <v>6213.06</v>
      </c>
      <c r="AR46" s="200"/>
      <c r="AS46" s="200"/>
      <c r="AT46" s="200">
        <v>50000</v>
      </c>
      <c r="AU46" s="200"/>
      <c r="AV46" s="200">
        <v>35000</v>
      </c>
      <c r="AW46" s="200">
        <v>754.22</v>
      </c>
      <c r="AX46" s="200"/>
      <c r="AY46" s="200">
        <v>1588.71</v>
      </c>
      <c r="AZ46" s="200"/>
      <c r="BA46" s="200"/>
      <c r="BB46" s="200"/>
      <c r="BC46" s="200">
        <v>720.13</v>
      </c>
      <c r="BD46" s="200">
        <v>15000</v>
      </c>
      <c r="BE46" s="200">
        <v>2250</v>
      </c>
      <c r="BF46" s="200"/>
      <c r="BG46" s="200"/>
      <c r="BH46" s="200"/>
      <c r="BI46" s="200"/>
      <c r="BJ46" s="200">
        <f t="shared" si="0"/>
        <v>255000</v>
      </c>
      <c r="BK46" s="200">
        <f t="shared" si="0"/>
        <v>75868.78</v>
      </c>
      <c r="BL46" s="197"/>
      <c r="BM46" s="197"/>
    </row>
    <row r="47" spans="1:66" outlineLevel="1">
      <c r="A47" s="174" t="s">
        <v>636</v>
      </c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>
        <v>23555</v>
      </c>
      <c r="T47" s="200"/>
      <c r="U47" s="200">
        <v>15555</v>
      </c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0"/>
      <c r="AQ47" s="200"/>
      <c r="AR47" s="200"/>
      <c r="AS47" s="200"/>
      <c r="AT47" s="200"/>
      <c r="AU47" s="200"/>
      <c r="AV47" s="200"/>
      <c r="AW47" s="200"/>
      <c r="AX47" s="200"/>
      <c r="AY47" s="200"/>
      <c r="AZ47" s="200"/>
      <c r="BA47" s="200"/>
      <c r="BB47" s="200"/>
      <c r="BC47" s="200"/>
      <c r="BD47" s="200"/>
      <c r="BE47" s="200"/>
      <c r="BF47" s="200"/>
      <c r="BG47" s="200"/>
      <c r="BH47" s="200"/>
      <c r="BI47" s="200"/>
      <c r="BJ47" s="200">
        <f t="shared" si="0"/>
        <v>0</v>
      </c>
      <c r="BK47" s="200">
        <f t="shared" si="0"/>
        <v>39110</v>
      </c>
      <c r="BL47" s="197"/>
      <c r="BM47" s="197"/>
    </row>
    <row r="48" spans="1:66" outlineLevel="1">
      <c r="A48" s="174" t="s">
        <v>52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>
        <v>13016</v>
      </c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>
        <v>3536.25</v>
      </c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0"/>
      <c r="BG48" s="200"/>
      <c r="BH48" s="200"/>
      <c r="BI48" s="200"/>
      <c r="BJ48" s="200">
        <f t="shared" si="0"/>
        <v>0</v>
      </c>
      <c r="BK48" s="200">
        <f t="shared" si="0"/>
        <v>16552.25</v>
      </c>
      <c r="BL48" s="197">
        <f>SUM(BJ42:BJ48)</f>
        <v>842000</v>
      </c>
      <c r="BM48" s="197">
        <f>SUM(BK42:BK48)</f>
        <v>272009.06</v>
      </c>
      <c r="BN48" s="174">
        <v>2019</v>
      </c>
    </row>
    <row r="49" spans="1:66" outlineLevel="1">
      <c r="A49" s="174" t="s">
        <v>403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200"/>
      <c r="AY49" s="200"/>
      <c r="AZ49" s="200"/>
      <c r="BA49" s="200"/>
      <c r="BB49" s="200"/>
      <c r="BC49" s="200"/>
      <c r="BD49" s="200"/>
      <c r="BE49" s="200"/>
      <c r="BF49" s="200"/>
      <c r="BG49" s="200"/>
      <c r="BH49" s="200"/>
      <c r="BI49" s="200"/>
      <c r="BJ49" s="200">
        <f t="shared" si="0"/>
        <v>0</v>
      </c>
      <c r="BK49" s="200">
        <f t="shared" si="0"/>
        <v>0</v>
      </c>
      <c r="BL49" s="197"/>
      <c r="BM49" s="197"/>
    </row>
    <row r="50" spans="1:66" outlineLevel="1">
      <c r="A50" s="174" t="s">
        <v>53</v>
      </c>
      <c r="B50" s="200">
        <v>10000</v>
      </c>
      <c r="C50" s="200">
        <v>1250</v>
      </c>
      <c r="D50" s="200">
        <v>120000</v>
      </c>
      <c r="E50" s="200">
        <v>20639.080000000002</v>
      </c>
      <c r="F50" s="200"/>
      <c r="G50" s="200">
        <v>7250</v>
      </c>
      <c r="H50" s="200">
        <f>50000</f>
        <v>50000</v>
      </c>
      <c r="I50" s="200">
        <v>8500</v>
      </c>
      <c r="J50" s="200">
        <v>20000</v>
      </c>
      <c r="K50" s="200">
        <v>3125</v>
      </c>
      <c r="L50" s="200"/>
      <c r="M50" s="200"/>
      <c r="N50" s="200"/>
      <c r="O50" s="200">
        <v>1465.11</v>
      </c>
      <c r="P50" s="200"/>
      <c r="Q50" s="200">
        <v>6427</v>
      </c>
      <c r="T50" s="200"/>
      <c r="U50" s="200"/>
      <c r="V50" s="200"/>
      <c r="W50" s="200"/>
      <c r="X50" s="200">
        <v>10000</v>
      </c>
      <c r="Y50" s="200">
        <v>1607.36</v>
      </c>
      <c r="Z50" s="200"/>
      <c r="AA50" s="200"/>
      <c r="AB50" s="200">
        <v>55000</v>
      </c>
      <c r="AC50" s="200">
        <v>8035.64</v>
      </c>
      <c r="AD50" s="200">
        <v>1000</v>
      </c>
      <c r="AE50" s="200">
        <v>226.3</v>
      </c>
      <c r="AF50" s="200">
        <v>20000</v>
      </c>
      <c r="AG50" s="200">
        <v>1837.89</v>
      </c>
      <c r="AH50" s="200">
        <v>5000</v>
      </c>
      <c r="AI50" s="200">
        <v>1151.01</v>
      </c>
      <c r="AJ50" s="200">
        <v>2000</v>
      </c>
      <c r="AK50" s="200">
        <v>271.27999999999997</v>
      </c>
      <c r="AL50" s="200"/>
      <c r="AM50" s="200"/>
      <c r="AN50" s="200">
        <v>5000</v>
      </c>
      <c r="AO50" s="200">
        <v>1078.99</v>
      </c>
      <c r="AP50" s="200">
        <v>35000</v>
      </c>
      <c r="AQ50" s="200">
        <v>6213.06</v>
      </c>
      <c r="AR50" s="200"/>
      <c r="AS50" s="200"/>
      <c r="AT50" s="200"/>
      <c r="AU50" s="200"/>
      <c r="AV50" s="200"/>
      <c r="AW50" s="200">
        <v>404.22</v>
      </c>
      <c r="AX50" s="200">
        <v>10000</v>
      </c>
      <c r="AY50" s="200">
        <v>1588.71</v>
      </c>
      <c r="AZ50" s="200"/>
      <c r="BA50" s="200"/>
      <c r="BB50" s="200">
        <v>10000</v>
      </c>
      <c r="BC50" s="200">
        <v>720.13</v>
      </c>
      <c r="BD50" s="200"/>
      <c r="BE50" s="200">
        <v>2100</v>
      </c>
      <c r="BF50" s="200"/>
      <c r="BG50" s="200"/>
      <c r="BH50" s="200"/>
      <c r="BI50" s="200"/>
      <c r="BJ50" s="200">
        <f t="shared" si="0"/>
        <v>353000</v>
      </c>
      <c r="BK50" s="200">
        <f t="shared" si="0"/>
        <v>73890.78</v>
      </c>
      <c r="BL50" s="197"/>
      <c r="BM50" s="197"/>
    </row>
    <row r="51" spans="1:66" outlineLevel="1">
      <c r="A51" s="174" t="s">
        <v>637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>
        <v>85000</v>
      </c>
      <c r="S51" s="200">
        <v>23555</v>
      </c>
      <c r="T51" s="200">
        <v>90000</v>
      </c>
      <c r="U51" s="200">
        <v>15555</v>
      </c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200"/>
      <c r="AQ51" s="200"/>
      <c r="AR51" s="200"/>
      <c r="AS51" s="200"/>
      <c r="AT51" s="200"/>
      <c r="AU51" s="200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0"/>
      <c r="BG51" s="200"/>
      <c r="BH51" s="200"/>
      <c r="BI51" s="200"/>
      <c r="BJ51" s="200">
        <f t="shared" si="0"/>
        <v>175000</v>
      </c>
      <c r="BK51" s="200">
        <f t="shared" si="0"/>
        <v>39110</v>
      </c>
      <c r="BL51" s="197"/>
      <c r="BM51" s="197"/>
    </row>
    <row r="52" spans="1:66" outlineLevel="1">
      <c r="A52" s="174" t="s">
        <v>54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>
        <v>65000</v>
      </c>
      <c r="AA52" s="200">
        <v>13016</v>
      </c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>
        <v>10000</v>
      </c>
      <c r="AM52" s="200">
        <v>3536.25</v>
      </c>
      <c r="AN52" s="200"/>
      <c r="AO52" s="200"/>
      <c r="AP52" s="200"/>
      <c r="AQ52" s="200"/>
      <c r="AR52" s="200"/>
      <c r="AS52" s="200"/>
      <c r="AT52" s="200"/>
      <c r="AU52" s="200"/>
      <c r="AV52" s="200"/>
      <c r="AW52" s="200"/>
      <c r="AX52" s="200"/>
      <c r="AY52" s="200"/>
      <c r="AZ52" s="200"/>
      <c r="BA52" s="200"/>
      <c r="BB52" s="200"/>
      <c r="BC52" s="200"/>
      <c r="BD52" s="200"/>
      <c r="BE52" s="200"/>
      <c r="BF52" s="200"/>
      <c r="BG52" s="200"/>
      <c r="BH52" s="200"/>
      <c r="BI52" s="200"/>
      <c r="BJ52" s="200">
        <f t="shared" si="0"/>
        <v>75000</v>
      </c>
      <c r="BK52" s="200">
        <f t="shared" si="0"/>
        <v>16552.25</v>
      </c>
      <c r="BL52" s="197"/>
      <c r="BM52" s="197"/>
    </row>
    <row r="53" spans="1:66" outlineLevel="1">
      <c r="A53" s="174" t="s">
        <v>55</v>
      </c>
      <c r="B53" s="200"/>
      <c r="C53" s="200">
        <v>1125</v>
      </c>
      <c r="D53" s="200"/>
      <c r="E53" s="200">
        <v>19139.080000000002</v>
      </c>
      <c r="F53" s="200">
        <v>45000</v>
      </c>
      <c r="G53" s="200">
        <v>7250</v>
      </c>
      <c r="H53" s="200"/>
      <c r="I53" s="200">
        <v>7875</v>
      </c>
      <c r="J53" s="200"/>
      <c r="K53" s="200">
        <v>2875</v>
      </c>
      <c r="L53" s="200"/>
      <c r="M53" s="200"/>
      <c r="N53" s="200">
        <v>5000</v>
      </c>
      <c r="O53" s="200">
        <v>1465.11</v>
      </c>
      <c r="P53" s="200">
        <v>105000</v>
      </c>
      <c r="Q53" s="200">
        <v>6427</v>
      </c>
      <c r="R53" s="200"/>
      <c r="T53" s="200"/>
      <c r="U53" s="200"/>
      <c r="V53" s="200"/>
      <c r="W53" s="200"/>
      <c r="X53" s="200"/>
      <c r="Y53" s="200">
        <v>1482.36</v>
      </c>
      <c r="Z53" s="200"/>
      <c r="AA53" s="200"/>
      <c r="AB53" s="200"/>
      <c r="AC53" s="200">
        <v>7348.14</v>
      </c>
      <c r="AD53" s="200"/>
      <c r="AE53" s="200">
        <v>213.8</v>
      </c>
      <c r="AF53" s="200"/>
      <c r="AG53" s="200">
        <v>1587.89</v>
      </c>
      <c r="AH53" s="200"/>
      <c r="AI53" s="200">
        <v>1088.51</v>
      </c>
      <c r="AJ53" s="200"/>
      <c r="AK53" s="200">
        <v>246.28</v>
      </c>
      <c r="AL53" s="200"/>
      <c r="AM53" s="200"/>
      <c r="AN53" s="200"/>
      <c r="AO53" s="200">
        <v>1016.49</v>
      </c>
      <c r="AP53" s="200"/>
      <c r="AQ53" s="200">
        <v>5775.56</v>
      </c>
      <c r="AR53" s="200"/>
      <c r="AS53" s="200"/>
      <c r="AT53" s="200">
        <v>50000</v>
      </c>
      <c r="AU53" s="200"/>
      <c r="AV53" s="200">
        <v>35000</v>
      </c>
      <c r="AW53" s="200">
        <v>404.22</v>
      </c>
      <c r="AX53" s="200"/>
      <c r="AY53" s="200">
        <v>1463.71</v>
      </c>
      <c r="AZ53" s="200"/>
      <c r="BA53" s="200"/>
      <c r="BB53" s="200"/>
      <c r="BC53" s="200">
        <v>620.13</v>
      </c>
      <c r="BD53" s="200">
        <v>15000</v>
      </c>
      <c r="BE53" s="200">
        <v>2100</v>
      </c>
      <c r="BF53" s="200"/>
      <c r="BG53" s="200"/>
      <c r="BH53" s="200"/>
      <c r="BI53" s="200"/>
      <c r="BJ53" s="200">
        <f t="shared" si="0"/>
        <v>255000</v>
      </c>
      <c r="BK53" s="200">
        <f t="shared" si="0"/>
        <v>69503.28</v>
      </c>
      <c r="BL53" s="197"/>
      <c r="BM53" s="197"/>
    </row>
    <row r="54" spans="1:66" outlineLevel="1">
      <c r="A54" s="174" t="s">
        <v>638</v>
      </c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>
        <v>21897</v>
      </c>
      <c r="T54" s="200"/>
      <c r="U54" s="200">
        <v>13530</v>
      </c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200"/>
      <c r="AQ54" s="200"/>
      <c r="AR54" s="200"/>
      <c r="AS54" s="200"/>
      <c r="AT54" s="200"/>
      <c r="AU54" s="200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0"/>
      <c r="BG54" s="200"/>
      <c r="BH54" s="200"/>
      <c r="BI54" s="200"/>
      <c r="BJ54" s="200">
        <f t="shared" si="0"/>
        <v>0</v>
      </c>
      <c r="BK54" s="200">
        <f t="shared" si="0"/>
        <v>35427</v>
      </c>
      <c r="BL54" s="197"/>
      <c r="BM54" s="197"/>
    </row>
    <row r="55" spans="1:66" outlineLevel="1">
      <c r="A55" s="174" t="s">
        <v>56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>
        <v>11976</v>
      </c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>
        <v>3336.25</v>
      </c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0"/>
      <c r="BG55" s="200"/>
      <c r="BH55" s="200"/>
      <c r="BI55" s="200"/>
      <c r="BJ55" s="200">
        <f t="shared" si="0"/>
        <v>0</v>
      </c>
      <c r="BK55" s="200">
        <f t="shared" si="0"/>
        <v>15312.25</v>
      </c>
      <c r="BL55" s="197">
        <f>SUM(BJ49:BJ55)</f>
        <v>858000</v>
      </c>
      <c r="BM55" s="197">
        <f>SUM(BK49:BK55)</f>
        <v>249795.56</v>
      </c>
      <c r="BN55" s="174">
        <v>2020</v>
      </c>
    </row>
    <row r="56" spans="1:66" outlineLevel="1">
      <c r="A56" s="174" t="s">
        <v>404</v>
      </c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00"/>
      <c r="AK56" s="200"/>
      <c r="AL56" s="200"/>
      <c r="AM56" s="200"/>
      <c r="AN56" s="200"/>
      <c r="AO56" s="200"/>
      <c r="AP56" s="200"/>
      <c r="AQ56" s="200"/>
      <c r="AR56" s="200"/>
      <c r="AS56" s="200"/>
      <c r="AT56" s="200"/>
      <c r="AU56" s="200"/>
      <c r="AV56" s="200"/>
      <c r="AW56" s="200"/>
      <c r="AX56" s="200"/>
      <c r="AY56" s="200"/>
      <c r="AZ56" s="200"/>
      <c r="BA56" s="200"/>
      <c r="BB56" s="200"/>
      <c r="BC56" s="200"/>
      <c r="BD56" s="200"/>
      <c r="BE56" s="200"/>
      <c r="BF56" s="200"/>
      <c r="BG56" s="200"/>
      <c r="BH56" s="200"/>
      <c r="BI56" s="200"/>
      <c r="BJ56" s="200">
        <f t="shared" si="0"/>
        <v>0</v>
      </c>
      <c r="BK56" s="200">
        <f t="shared" si="0"/>
        <v>0</v>
      </c>
      <c r="BL56" s="197"/>
      <c r="BM56" s="197"/>
    </row>
    <row r="57" spans="1:66" outlineLevel="1">
      <c r="A57" s="174" t="s">
        <v>57</v>
      </c>
      <c r="B57" s="200">
        <v>10000</v>
      </c>
      <c r="C57" s="200">
        <v>1125</v>
      </c>
      <c r="D57" s="200">
        <v>125000</v>
      </c>
      <c r="E57" s="200">
        <v>19139.080000000002</v>
      </c>
      <c r="F57" s="200"/>
      <c r="G57" s="200">
        <v>6687.5</v>
      </c>
      <c r="H57" s="200">
        <v>50000</v>
      </c>
      <c r="I57" s="200">
        <v>7875</v>
      </c>
      <c r="J57" s="200">
        <v>20000</v>
      </c>
      <c r="K57" s="200">
        <v>2875</v>
      </c>
      <c r="L57" s="200"/>
      <c r="M57" s="200"/>
      <c r="N57" s="200"/>
      <c r="O57" s="200">
        <v>1402.61</v>
      </c>
      <c r="P57" s="200"/>
      <c r="Q57" s="200">
        <v>5573</v>
      </c>
      <c r="T57" s="200"/>
      <c r="U57" s="200"/>
      <c r="V57" s="200"/>
      <c r="W57" s="200"/>
      <c r="X57" s="200">
        <v>10000</v>
      </c>
      <c r="Y57" s="200">
        <v>1482.36</v>
      </c>
      <c r="Z57" s="200"/>
      <c r="AA57" s="200"/>
      <c r="AB57" s="200">
        <v>60000</v>
      </c>
      <c r="AC57" s="200">
        <v>7348.14</v>
      </c>
      <c r="AD57" s="200">
        <v>1000</v>
      </c>
      <c r="AE57" s="200">
        <v>213.8</v>
      </c>
      <c r="AF57" s="200">
        <v>20000</v>
      </c>
      <c r="AG57" s="200">
        <v>1587.89</v>
      </c>
      <c r="AH57" s="200">
        <v>5000</v>
      </c>
      <c r="AI57" s="200">
        <v>1088.51</v>
      </c>
      <c r="AJ57" s="200">
        <v>2000</v>
      </c>
      <c r="AK57" s="200">
        <v>246.28</v>
      </c>
      <c r="AL57" s="200"/>
      <c r="AM57" s="200"/>
      <c r="AN57" s="200">
        <v>5000</v>
      </c>
      <c r="AO57" s="200">
        <v>1016.49</v>
      </c>
      <c r="AP57" s="200">
        <v>35000</v>
      </c>
      <c r="AQ57" s="200">
        <v>5775.56</v>
      </c>
      <c r="AR57" s="200"/>
      <c r="AS57" s="200"/>
      <c r="AT57" s="200"/>
      <c r="AU57" s="200"/>
      <c r="AV57" s="200"/>
      <c r="AW57" s="200">
        <v>54.22</v>
      </c>
      <c r="AX57" s="200">
        <v>10000</v>
      </c>
      <c r="AY57" s="200">
        <v>1463.71</v>
      </c>
      <c r="AZ57" s="200"/>
      <c r="BA57" s="200"/>
      <c r="BB57" s="200">
        <v>10000</v>
      </c>
      <c r="BC57" s="200">
        <v>620.13</v>
      </c>
      <c r="BD57" s="200"/>
      <c r="BE57" s="200">
        <v>1950</v>
      </c>
      <c r="BF57" s="200"/>
      <c r="BG57" s="200"/>
      <c r="BH57" s="200"/>
      <c r="BI57" s="200"/>
      <c r="BJ57" s="200">
        <f t="shared" si="0"/>
        <v>363000</v>
      </c>
      <c r="BK57" s="200">
        <f t="shared" si="0"/>
        <v>67524.28</v>
      </c>
      <c r="BL57" s="197"/>
      <c r="BM57" s="197"/>
    </row>
    <row r="58" spans="1:66" outlineLevel="1">
      <c r="A58" s="174" t="s">
        <v>639</v>
      </c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>
        <v>90000</v>
      </c>
      <c r="S58" s="200">
        <v>21897</v>
      </c>
      <c r="T58" s="200">
        <v>95000</v>
      </c>
      <c r="U58" s="200">
        <v>13530</v>
      </c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00"/>
      <c r="AK58" s="200"/>
      <c r="AL58" s="200"/>
      <c r="AM58" s="200"/>
      <c r="AN58" s="200"/>
      <c r="AO58" s="200"/>
      <c r="AP58" s="200"/>
      <c r="AQ58" s="200"/>
      <c r="AR58" s="200"/>
      <c r="AS58" s="200"/>
      <c r="AT58" s="200"/>
      <c r="AU58" s="200"/>
      <c r="AV58" s="200"/>
      <c r="AW58" s="200"/>
      <c r="AX58" s="200"/>
      <c r="AY58" s="200"/>
      <c r="AZ58" s="200"/>
      <c r="BA58" s="200"/>
      <c r="BB58" s="200"/>
      <c r="BC58" s="200"/>
      <c r="BD58" s="200"/>
      <c r="BE58" s="200"/>
      <c r="BF58" s="200"/>
      <c r="BG58" s="200"/>
      <c r="BH58" s="200"/>
      <c r="BI58" s="200"/>
      <c r="BJ58" s="200">
        <f t="shared" si="0"/>
        <v>185000</v>
      </c>
      <c r="BK58" s="200">
        <f t="shared" si="0"/>
        <v>35427</v>
      </c>
      <c r="BL58" s="197"/>
      <c r="BM58" s="197"/>
    </row>
    <row r="59" spans="1:66" outlineLevel="1">
      <c r="A59" s="174" t="s">
        <v>58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>
        <v>65000</v>
      </c>
      <c r="AA59" s="200">
        <v>11976</v>
      </c>
      <c r="AB59" s="200"/>
      <c r="AC59" s="200"/>
      <c r="AD59" s="200"/>
      <c r="AE59" s="200"/>
      <c r="AF59" s="200"/>
      <c r="AG59" s="200"/>
      <c r="AH59" s="200"/>
      <c r="AI59" s="200"/>
      <c r="AJ59" s="200"/>
      <c r="AK59" s="200"/>
      <c r="AL59" s="200">
        <v>10000</v>
      </c>
      <c r="AM59" s="200">
        <v>3336.25</v>
      </c>
      <c r="AN59" s="200"/>
      <c r="AO59" s="200"/>
      <c r="AP59" s="200"/>
      <c r="AQ59" s="200"/>
      <c r="AR59" s="200"/>
      <c r="AS59" s="200"/>
      <c r="AT59" s="200"/>
      <c r="AU59" s="200"/>
      <c r="AV59" s="200"/>
      <c r="AW59" s="200"/>
      <c r="AX59" s="200"/>
      <c r="AY59" s="200"/>
      <c r="AZ59" s="200"/>
      <c r="BA59" s="200"/>
      <c r="BB59" s="200"/>
      <c r="BC59" s="200"/>
      <c r="BD59" s="200"/>
      <c r="BE59" s="200"/>
      <c r="BF59" s="200"/>
      <c r="BG59" s="200"/>
      <c r="BH59" s="200"/>
      <c r="BI59" s="200"/>
      <c r="BJ59" s="200">
        <f t="shared" si="0"/>
        <v>75000</v>
      </c>
      <c r="BK59" s="200">
        <f t="shared" si="0"/>
        <v>15312.25</v>
      </c>
      <c r="BL59" s="197"/>
      <c r="BM59" s="197"/>
    </row>
    <row r="60" spans="1:66" outlineLevel="1">
      <c r="A60" s="174" t="s">
        <v>59</v>
      </c>
      <c r="B60" s="200"/>
      <c r="C60" s="200">
        <v>1000</v>
      </c>
      <c r="D60" s="200"/>
      <c r="E60" s="200">
        <v>17576.580000000002</v>
      </c>
      <c r="F60" s="200">
        <v>45000</v>
      </c>
      <c r="G60" s="200">
        <v>6687.5</v>
      </c>
      <c r="H60" s="200"/>
      <c r="I60" s="200">
        <v>7250</v>
      </c>
      <c r="J60" s="200"/>
      <c r="K60" s="200">
        <v>2625</v>
      </c>
      <c r="L60" s="200"/>
      <c r="M60" s="200"/>
      <c r="N60" s="200">
        <v>5000</v>
      </c>
      <c r="O60" s="200">
        <v>1402.61</v>
      </c>
      <c r="P60" s="200">
        <v>105000</v>
      </c>
      <c r="Q60" s="200">
        <v>5573</v>
      </c>
      <c r="R60" s="200"/>
      <c r="T60" s="200"/>
      <c r="U60" s="200"/>
      <c r="V60" s="200"/>
      <c r="W60" s="200"/>
      <c r="X60" s="200"/>
      <c r="Y60" s="200">
        <v>1357.36</v>
      </c>
      <c r="Z60" s="200"/>
      <c r="AA60" s="200"/>
      <c r="AB60" s="200"/>
      <c r="AC60" s="200">
        <v>6598.14</v>
      </c>
      <c r="AD60" s="200"/>
      <c r="AE60" s="200">
        <v>201.3</v>
      </c>
      <c r="AF60" s="200"/>
      <c r="AG60" s="200">
        <v>1337.89</v>
      </c>
      <c r="AH60" s="200"/>
      <c r="AI60" s="200">
        <v>1026.01</v>
      </c>
      <c r="AJ60" s="200"/>
      <c r="AK60" s="200">
        <v>221.28</v>
      </c>
      <c r="AL60" s="200"/>
      <c r="AM60" s="200"/>
      <c r="AN60" s="200"/>
      <c r="AO60" s="200">
        <v>953.99</v>
      </c>
      <c r="AP60" s="200"/>
      <c r="AQ60" s="200">
        <v>5338.06</v>
      </c>
      <c r="AR60" s="200"/>
      <c r="AS60" s="200"/>
      <c r="AT60" s="200">
        <v>50000</v>
      </c>
      <c r="AU60" s="200"/>
      <c r="AV60" s="200">
        <v>40000</v>
      </c>
      <c r="AW60" s="200">
        <v>54.22</v>
      </c>
      <c r="AX60" s="200"/>
      <c r="AY60" s="200">
        <v>1338.71</v>
      </c>
      <c r="AZ60" s="200"/>
      <c r="BA60" s="200"/>
      <c r="BB60" s="200"/>
      <c r="BC60" s="200">
        <v>520.13</v>
      </c>
      <c r="BD60" s="200">
        <v>15000</v>
      </c>
      <c r="BE60" s="200">
        <v>1950</v>
      </c>
      <c r="BF60" s="200"/>
      <c r="BG60" s="200"/>
      <c r="BH60" s="200"/>
      <c r="BI60" s="200"/>
      <c r="BJ60" s="200">
        <f t="shared" si="0"/>
        <v>260000</v>
      </c>
      <c r="BK60" s="200">
        <f t="shared" si="0"/>
        <v>63011.78</v>
      </c>
      <c r="BL60" s="197"/>
      <c r="BM60" s="197"/>
    </row>
    <row r="61" spans="1:66" outlineLevel="1">
      <c r="A61" s="174" t="s">
        <v>640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>
        <v>20097</v>
      </c>
      <c r="T61" s="200"/>
      <c r="U61" s="200">
        <v>11369</v>
      </c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0"/>
      <c r="AT61" s="200"/>
      <c r="AU61" s="200"/>
      <c r="AV61" s="200"/>
      <c r="AW61" s="200"/>
      <c r="AX61" s="200"/>
      <c r="AY61" s="200"/>
      <c r="AZ61" s="200"/>
      <c r="BA61" s="200"/>
      <c r="BB61" s="200"/>
      <c r="BC61" s="200"/>
      <c r="BD61" s="200"/>
      <c r="BE61" s="200"/>
      <c r="BF61" s="200"/>
      <c r="BG61" s="200"/>
      <c r="BH61" s="200"/>
      <c r="BI61" s="200"/>
      <c r="BJ61" s="200">
        <f t="shared" si="0"/>
        <v>0</v>
      </c>
      <c r="BK61" s="200">
        <f t="shared" si="0"/>
        <v>31466</v>
      </c>
      <c r="BL61" s="197"/>
      <c r="BM61" s="197"/>
    </row>
    <row r="62" spans="1:66" outlineLevel="1">
      <c r="A62" s="174" t="s">
        <v>60</v>
      </c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>
        <v>10936</v>
      </c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>
        <v>3136.25</v>
      </c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AX62" s="200"/>
      <c r="AY62" s="200"/>
      <c r="AZ62" s="200"/>
      <c r="BA62" s="200"/>
      <c r="BB62" s="200"/>
      <c r="BC62" s="200"/>
      <c r="BD62" s="200"/>
      <c r="BE62" s="200"/>
      <c r="BF62" s="200"/>
      <c r="BG62" s="200"/>
      <c r="BH62" s="200"/>
      <c r="BI62" s="200"/>
      <c r="BJ62" s="200">
        <f t="shared" si="0"/>
        <v>0</v>
      </c>
      <c r="BK62" s="200">
        <f t="shared" si="0"/>
        <v>14072.25</v>
      </c>
      <c r="BL62" s="197">
        <f>SUM(BJ56:BJ62)</f>
        <v>883000</v>
      </c>
      <c r="BM62" s="197">
        <f>SUM(BK56:BK62)</f>
        <v>226813.56</v>
      </c>
      <c r="BN62" s="174">
        <v>2021</v>
      </c>
    </row>
    <row r="63" spans="1:66" outlineLevel="1">
      <c r="A63" s="174" t="s">
        <v>405</v>
      </c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0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0"/>
      <c r="BG63" s="200"/>
      <c r="BH63" s="200"/>
      <c r="BI63" s="200"/>
      <c r="BJ63" s="200">
        <f t="shared" si="0"/>
        <v>0</v>
      </c>
      <c r="BK63" s="200">
        <f t="shared" si="0"/>
        <v>0</v>
      </c>
      <c r="BL63" s="197"/>
      <c r="BM63" s="197"/>
    </row>
    <row r="64" spans="1:66" outlineLevel="1">
      <c r="A64" s="174" t="s">
        <v>61</v>
      </c>
      <c r="B64" s="200">
        <v>10000</v>
      </c>
      <c r="C64" s="200">
        <v>1000</v>
      </c>
      <c r="D64" s="200">
        <v>125000</v>
      </c>
      <c r="E64" s="200">
        <v>17576.580000000002</v>
      </c>
      <c r="F64" s="200"/>
      <c r="G64" s="200">
        <v>6125</v>
      </c>
      <c r="H64" s="200">
        <v>50000</v>
      </c>
      <c r="I64" s="200">
        <v>7250</v>
      </c>
      <c r="J64" s="200">
        <v>20000</v>
      </c>
      <c r="K64" s="200">
        <v>2625</v>
      </c>
      <c r="L64" s="200"/>
      <c r="M64" s="200"/>
      <c r="N64" s="200"/>
      <c r="O64" s="200">
        <v>1340.11</v>
      </c>
      <c r="P64" s="200"/>
      <c r="Q64" s="200">
        <v>4720</v>
      </c>
      <c r="T64" s="200"/>
      <c r="U64" s="200"/>
      <c r="V64" s="200"/>
      <c r="W64" s="200"/>
      <c r="X64" s="200">
        <v>10000</v>
      </c>
      <c r="Y64" s="200">
        <v>1357.36</v>
      </c>
      <c r="Z64" s="200"/>
      <c r="AA64" s="200"/>
      <c r="AB64" s="200">
        <v>60000</v>
      </c>
      <c r="AC64" s="200">
        <v>6598.14</v>
      </c>
      <c r="AD64" s="200">
        <v>1000</v>
      </c>
      <c r="AE64" s="200">
        <v>201.3</v>
      </c>
      <c r="AF64" s="200">
        <v>20000</v>
      </c>
      <c r="AG64" s="200">
        <v>1337.89</v>
      </c>
      <c r="AH64" s="200">
        <v>5000</v>
      </c>
      <c r="AI64" s="200">
        <v>1026.01</v>
      </c>
      <c r="AJ64" s="200">
        <v>2000</v>
      </c>
      <c r="AK64" s="200">
        <v>221.28</v>
      </c>
      <c r="AL64" s="200"/>
      <c r="AM64" s="200"/>
      <c r="AN64" s="200">
        <v>5000</v>
      </c>
      <c r="AO64" s="200">
        <v>953.99</v>
      </c>
      <c r="AP64" s="200">
        <v>35000</v>
      </c>
      <c r="AQ64" s="200">
        <v>5338.06</v>
      </c>
      <c r="AR64" s="200"/>
      <c r="AS64" s="200"/>
      <c r="AT64" s="200"/>
      <c r="AU64" s="200"/>
      <c r="AV64" s="200"/>
      <c r="AW64" s="200"/>
      <c r="AX64" s="200">
        <v>10000</v>
      </c>
      <c r="AY64" s="200">
        <v>1338.71</v>
      </c>
      <c r="AZ64" s="200"/>
      <c r="BA64" s="200"/>
      <c r="BB64" s="200">
        <v>10000</v>
      </c>
      <c r="BC64" s="200">
        <v>520.13</v>
      </c>
      <c r="BD64" s="200"/>
      <c r="BE64" s="200">
        <v>1800</v>
      </c>
      <c r="BF64" s="200"/>
      <c r="BG64" s="200"/>
      <c r="BH64" s="200"/>
      <c r="BI64" s="200"/>
      <c r="BJ64" s="200">
        <f t="shared" si="0"/>
        <v>363000</v>
      </c>
      <c r="BK64" s="200">
        <f t="shared" si="0"/>
        <v>61329.560000000005</v>
      </c>
      <c r="BL64" s="197"/>
      <c r="BM64" s="197"/>
    </row>
    <row r="65" spans="1:66" outlineLevel="1">
      <c r="A65" s="174" t="s">
        <v>641</v>
      </c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>
        <v>95000</v>
      </c>
      <c r="S65" s="200">
        <v>20098</v>
      </c>
      <c r="T65" s="200">
        <v>95000</v>
      </c>
      <c r="U65" s="200">
        <v>11369</v>
      </c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>
        <f t="shared" si="0"/>
        <v>190000</v>
      </c>
      <c r="BK65" s="200">
        <f t="shared" si="0"/>
        <v>31467</v>
      </c>
      <c r="BL65" s="197"/>
      <c r="BM65" s="197"/>
    </row>
    <row r="66" spans="1:66" outlineLevel="1">
      <c r="A66" s="174" t="s">
        <v>62</v>
      </c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>
        <v>65000</v>
      </c>
      <c r="AA66" s="200">
        <v>10936</v>
      </c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>
        <v>10000</v>
      </c>
      <c r="AM66" s="200">
        <v>3136.25</v>
      </c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>
        <f t="shared" si="0"/>
        <v>75000</v>
      </c>
      <c r="BK66" s="200">
        <f t="shared" si="0"/>
        <v>14072.25</v>
      </c>
      <c r="BL66" s="197"/>
      <c r="BM66" s="197"/>
    </row>
    <row r="67" spans="1:66" outlineLevel="1">
      <c r="A67" s="174" t="s">
        <v>63</v>
      </c>
      <c r="B67" s="200"/>
      <c r="C67" s="200">
        <v>875</v>
      </c>
      <c r="D67" s="200"/>
      <c r="E67" s="200">
        <v>16014.08</v>
      </c>
      <c r="F67" s="200">
        <v>50000</v>
      </c>
      <c r="G67" s="200">
        <v>6125</v>
      </c>
      <c r="H67" s="200"/>
      <c r="I67" s="200">
        <v>6625</v>
      </c>
      <c r="J67" s="200"/>
      <c r="K67" s="200">
        <v>2375</v>
      </c>
      <c r="L67" s="200"/>
      <c r="M67" s="200"/>
      <c r="N67" s="200">
        <v>5000</v>
      </c>
      <c r="O67" s="200">
        <v>1340.11</v>
      </c>
      <c r="P67" s="200">
        <v>110000</v>
      </c>
      <c r="Q67" s="200">
        <v>4720</v>
      </c>
      <c r="R67" s="200"/>
      <c r="T67" s="200"/>
      <c r="U67" s="200"/>
      <c r="V67" s="200"/>
      <c r="W67" s="200"/>
      <c r="X67" s="200"/>
      <c r="Y67" s="200">
        <v>1232.3599999999999</v>
      </c>
      <c r="Z67" s="200"/>
      <c r="AA67" s="200"/>
      <c r="AB67" s="200"/>
      <c r="AC67" s="200">
        <v>5848.14</v>
      </c>
      <c r="AD67" s="200"/>
      <c r="AE67" s="200">
        <v>188.8</v>
      </c>
      <c r="AF67" s="200"/>
      <c r="AG67" s="200">
        <v>1087.8900000000001</v>
      </c>
      <c r="AH67" s="200"/>
      <c r="AI67" s="200">
        <v>963.51</v>
      </c>
      <c r="AJ67" s="200"/>
      <c r="AK67" s="200">
        <v>196.28</v>
      </c>
      <c r="AL67" s="200"/>
      <c r="AM67" s="200"/>
      <c r="AN67" s="200"/>
      <c r="AO67" s="200">
        <v>891.49</v>
      </c>
      <c r="AP67" s="200"/>
      <c r="AQ67" s="200">
        <v>4900.5600000000004</v>
      </c>
      <c r="AR67" s="200"/>
      <c r="AS67" s="200"/>
      <c r="AT67" s="200">
        <v>50000</v>
      </c>
      <c r="AU67" s="200"/>
      <c r="AV67" s="200">
        <v>16664</v>
      </c>
      <c r="AW67" s="200"/>
      <c r="AX67" s="200"/>
      <c r="AY67" s="200">
        <v>1213.71</v>
      </c>
      <c r="AZ67" s="200"/>
      <c r="BA67" s="200"/>
      <c r="BB67" s="200"/>
      <c r="BC67" s="200">
        <v>420.13</v>
      </c>
      <c r="BD67" s="200">
        <v>15000</v>
      </c>
      <c r="BE67" s="200">
        <v>1800</v>
      </c>
      <c r="BF67" s="200"/>
      <c r="BG67" s="200"/>
      <c r="BH67" s="200"/>
      <c r="BI67" s="200"/>
      <c r="BJ67" s="200">
        <f t="shared" si="0"/>
        <v>246664</v>
      </c>
      <c r="BK67" s="200">
        <f t="shared" si="0"/>
        <v>56817.060000000005</v>
      </c>
      <c r="BL67" s="197"/>
      <c r="BM67" s="197"/>
    </row>
    <row r="68" spans="1:66" outlineLevel="1">
      <c r="A68" s="174" t="s">
        <v>642</v>
      </c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>
        <v>18150</v>
      </c>
      <c r="T68" s="200"/>
      <c r="U68" s="200">
        <v>9184</v>
      </c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200"/>
      <c r="BJ68" s="200">
        <f t="shared" si="0"/>
        <v>0</v>
      </c>
      <c r="BK68" s="200">
        <f t="shared" si="0"/>
        <v>27334</v>
      </c>
      <c r="BL68" s="197"/>
      <c r="BM68" s="197"/>
    </row>
    <row r="69" spans="1:66" outlineLevel="1">
      <c r="A69" s="174" t="s">
        <v>64</v>
      </c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>
        <v>9864</v>
      </c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>
        <v>2936.25</v>
      </c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0"/>
      <c r="BG69" s="200"/>
      <c r="BH69" s="200"/>
      <c r="BI69" s="200"/>
      <c r="BJ69" s="200">
        <f t="shared" si="0"/>
        <v>0</v>
      </c>
      <c r="BK69" s="200">
        <f t="shared" si="0"/>
        <v>12800.25</v>
      </c>
      <c r="BL69" s="197">
        <f>SUM(BJ63:BJ69)</f>
        <v>874664</v>
      </c>
      <c r="BM69" s="197">
        <f>SUM(BK63:BK69)</f>
        <v>203820.12</v>
      </c>
      <c r="BN69" s="174">
        <v>2022</v>
      </c>
    </row>
    <row r="70" spans="1:66" outlineLevel="1">
      <c r="A70" s="174" t="s">
        <v>406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200"/>
      <c r="BJ70" s="200">
        <f t="shared" si="0"/>
        <v>0</v>
      </c>
      <c r="BK70" s="200">
        <f t="shared" si="0"/>
        <v>0</v>
      </c>
      <c r="BL70" s="197"/>
      <c r="BM70" s="197"/>
    </row>
    <row r="71" spans="1:66" outlineLevel="1">
      <c r="A71" s="174" t="s">
        <v>65</v>
      </c>
      <c r="B71" s="200">
        <v>10000</v>
      </c>
      <c r="C71" s="200">
        <v>875</v>
      </c>
      <c r="D71" s="200">
        <v>130000</v>
      </c>
      <c r="E71" s="200">
        <v>16014.08</v>
      </c>
      <c r="F71" s="200"/>
      <c r="G71" s="200">
        <v>5500</v>
      </c>
      <c r="H71" s="200">
        <v>55000</v>
      </c>
      <c r="I71" s="200">
        <v>6625</v>
      </c>
      <c r="J71" s="200">
        <v>20000</v>
      </c>
      <c r="K71" s="200">
        <v>2375</v>
      </c>
      <c r="L71" s="200"/>
      <c r="M71" s="200"/>
      <c r="N71" s="200"/>
      <c r="O71" s="200">
        <v>1277.6099999999999</v>
      </c>
      <c r="P71" s="200"/>
      <c r="Q71" s="200">
        <v>3827</v>
      </c>
      <c r="T71" s="200"/>
      <c r="U71" s="200"/>
      <c r="V71" s="200"/>
      <c r="W71" s="200"/>
      <c r="X71" s="200">
        <v>10000</v>
      </c>
      <c r="Y71" s="200">
        <v>1232.3599999999999</v>
      </c>
      <c r="Z71" s="200"/>
      <c r="AA71" s="200"/>
      <c r="AB71" s="200">
        <v>60000</v>
      </c>
      <c r="AC71" s="200">
        <v>5848.14</v>
      </c>
      <c r="AD71" s="200">
        <v>1000</v>
      </c>
      <c r="AE71" s="200">
        <v>188.8</v>
      </c>
      <c r="AF71" s="200">
        <v>20000</v>
      </c>
      <c r="AG71" s="200">
        <v>1087.8900000000001</v>
      </c>
      <c r="AH71" s="200">
        <v>5000</v>
      </c>
      <c r="AI71" s="200">
        <v>963.51</v>
      </c>
      <c r="AJ71" s="200">
        <v>2000</v>
      </c>
      <c r="AK71" s="200">
        <v>196.28</v>
      </c>
      <c r="AL71" s="200"/>
      <c r="AM71" s="200"/>
      <c r="AN71" s="200">
        <v>5000</v>
      </c>
      <c r="AO71" s="200">
        <v>891.49</v>
      </c>
      <c r="AP71" s="200">
        <v>35000</v>
      </c>
      <c r="AQ71" s="200">
        <v>4900.5600000000004</v>
      </c>
      <c r="AR71" s="200"/>
      <c r="AS71" s="200"/>
      <c r="AT71" s="200"/>
      <c r="AU71" s="200"/>
      <c r="AV71" s="200"/>
      <c r="AW71" s="200"/>
      <c r="AX71" s="200">
        <v>10000</v>
      </c>
      <c r="AY71" s="200">
        <v>1213.71</v>
      </c>
      <c r="AZ71" s="200"/>
      <c r="BA71" s="200"/>
      <c r="BB71" s="200">
        <v>10000</v>
      </c>
      <c r="BC71" s="200">
        <v>420.13</v>
      </c>
      <c r="BD71" s="200"/>
      <c r="BE71" s="200">
        <v>1650</v>
      </c>
      <c r="BF71" s="200"/>
      <c r="BG71" s="200"/>
      <c r="BH71" s="200"/>
      <c r="BI71" s="200"/>
      <c r="BJ71" s="200">
        <f t="shared" si="0"/>
        <v>373000</v>
      </c>
      <c r="BK71" s="200">
        <f t="shared" si="0"/>
        <v>55086.560000000005</v>
      </c>
      <c r="BL71" s="197"/>
      <c r="BM71" s="197"/>
    </row>
    <row r="72" spans="1:66" outlineLevel="1">
      <c r="A72" s="174" t="s">
        <v>643</v>
      </c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>
        <v>100000</v>
      </c>
      <c r="S72" s="200">
        <v>18150</v>
      </c>
      <c r="T72" s="200">
        <v>95000</v>
      </c>
      <c r="U72" s="200">
        <v>9184</v>
      </c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200">
        <f t="shared" si="0"/>
        <v>195000</v>
      </c>
      <c r="BK72" s="200">
        <f t="shared" si="0"/>
        <v>27334</v>
      </c>
      <c r="BL72" s="197"/>
      <c r="BM72" s="197"/>
    </row>
    <row r="73" spans="1:66" outlineLevel="1">
      <c r="A73" s="174" t="s">
        <v>66</v>
      </c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>
        <v>65000</v>
      </c>
      <c r="AA73" s="200">
        <v>9864</v>
      </c>
      <c r="AB73" s="200"/>
      <c r="AC73" s="200"/>
      <c r="AE73" s="200"/>
      <c r="AF73" s="200"/>
      <c r="AG73" s="200"/>
      <c r="AH73" s="200"/>
      <c r="AI73" s="200"/>
      <c r="AJ73" s="200"/>
      <c r="AK73" s="200"/>
      <c r="AL73" s="200">
        <v>10000</v>
      </c>
      <c r="AM73" s="200">
        <v>2936.25</v>
      </c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0"/>
      <c r="BC73" s="200"/>
      <c r="BD73" s="200"/>
      <c r="BE73" s="200"/>
      <c r="BF73" s="200"/>
      <c r="BG73" s="200"/>
      <c r="BH73" s="200"/>
      <c r="BI73" s="200"/>
      <c r="BJ73" s="200">
        <f t="shared" ref="BJ73:BK136" si="1">SUM(BH73,BF73,BD73,BB73,AZ73,AX73,AV73,AT73,AR73,AP73,AN73,AL73,AJ73,AH73,AF73,AD73,AB73,Z73,X73,V73,T73,R73,P73,N73,L73,J73,H73,F73,D73,B73)</f>
        <v>75000</v>
      </c>
      <c r="BK73" s="200">
        <f t="shared" si="1"/>
        <v>12800.25</v>
      </c>
      <c r="BL73" s="197"/>
      <c r="BM73" s="197"/>
    </row>
    <row r="74" spans="1:66" outlineLevel="1">
      <c r="A74" s="174" t="s">
        <v>67</v>
      </c>
      <c r="B74" s="200"/>
      <c r="C74" s="200">
        <v>750</v>
      </c>
      <c r="D74" s="200"/>
      <c r="E74" s="200">
        <v>14389.08</v>
      </c>
      <c r="F74" s="200">
        <v>50000</v>
      </c>
      <c r="G74" s="200">
        <v>5500</v>
      </c>
      <c r="H74" s="200"/>
      <c r="I74" s="200">
        <v>5937.5</v>
      </c>
      <c r="J74" s="200"/>
      <c r="K74" s="200">
        <v>2125</v>
      </c>
      <c r="L74" s="200"/>
      <c r="M74" s="200"/>
      <c r="N74" s="200">
        <v>10000</v>
      </c>
      <c r="O74" s="200">
        <v>1277.6099999999999</v>
      </c>
      <c r="P74" s="200">
        <v>115000</v>
      </c>
      <c r="Q74" s="200">
        <v>3827</v>
      </c>
      <c r="R74" s="200"/>
      <c r="T74" s="200"/>
      <c r="U74" s="200"/>
      <c r="V74" s="200"/>
      <c r="W74" s="200"/>
      <c r="X74" s="200"/>
      <c r="Y74" s="200">
        <v>1107.3599999999999</v>
      </c>
      <c r="Z74" s="200"/>
      <c r="AA74" s="200"/>
      <c r="AB74" s="200"/>
      <c r="AC74" s="200">
        <v>5098.1400000000003</v>
      </c>
      <c r="AD74" s="200"/>
      <c r="AE74" s="200">
        <v>176.3</v>
      </c>
      <c r="AF74" s="200"/>
      <c r="AG74" s="200">
        <v>837.89</v>
      </c>
      <c r="AH74" s="200"/>
      <c r="AI74" s="200">
        <v>901.01</v>
      </c>
      <c r="AJ74" s="200"/>
      <c r="AK74" s="200">
        <v>171.28</v>
      </c>
      <c r="AL74" s="200"/>
      <c r="AM74" s="200"/>
      <c r="AN74" s="200"/>
      <c r="AO74" s="200">
        <v>828.99</v>
      </c>
      <c r="AP74" s="200"/>
      <c r="AQ74" s="200">
        <v>4463.0600000000004</v>
      </c>
      <c r="AR74" s="200"/>
      <c r="AS74" s="200"/>
      <c r="AT74" s="200">
        <v>50000</v>
      </c>
      <c r="AU74" s="200"/>
      <c r="AV74" s="200"/>
      <c r="AW74" s="200"/>
      <c r="AX74" s="200"/>
      <c r="AY74" s="200">
        <v>1088.71</v>
      </c>
      <c r="AZ74" s="200"/>
      <c r="BA74" s="200"/>
      <c r="BB74" s="200"/>
      <c r="BC74" s="200">
        <v>320.13</v>
      </c>
      <c r="BD74" s="200">
        <v>14453</v>
      </c>
      <c r="BE74" s="200">
        <v>1650</v>
      </c>
      <c r="BF74" s="200"/>
      <c r="BG74" s="200"/>
      <c r="BH74" s="200"/>
      <c r="BI74" s="200"/>
      <c r="BJ74" s="200">
        <f t="shared" si="1"/>
        <v>239453</v>
      </c>
      <c r="BK74" s="200">
        <f t="shared" si="1"/>
        <v>50449.060000000005</v>
      </c>
      <c r="BL74" s="197"/>
      <c r="BM74" s="197"/>
    </row>
    <row r="75" spans="1:66" outlineLevel="1">
      <c r="A75" s="174" t="s">
        <v>644</v>
      </c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>
        <v>16050</v>
      </c>
      <c r="T75" s="200"/>
      <c r="U75" s="200">
        <v>6975</v>
      </c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200"/>
      <c r="BJ75" s="200">
        <f t="shared" si="1"/>
        <v>0</v>
      </c>
      <c r="BK75" s="200">
        <f t="shared" si="1"/>
        <v>23025</v>
      </c>
      <c r="BL75" s="197"/>
      <c r="BM75" s="197"/>
    </row>
    <row r="76" spans="1:66" outlineLevel="1">
      <c r="A76" s="174" t="s">
        <v>68</v>
      </c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>
        <v>8759</v>
      </c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>
        <v>2736.25</v>
      </c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  <c r="BE76" s="200"/>
      <c r="BF76" s="200"/>
      <c r="BG76" s="200"/>
      <c r="BH76" s="200"/>
      <c r="BI76" s="200"/>
      <c r="BJ76" s="200">
        <f t="shared" si="1"/>
        <v>0</v>
      </c>
      <c r="BK76" s="200">
        <f t="shared" si="1"/>
        <v>11495.25</v>
      </c>
      <c r="BL76" s="197">
        <f>SUM(BJ70:BJ76)</f>
        <v>882453</v>
      </c>
      <c r="BM76" s="197">
        <f>SUM(BK70:BK76)</f>
        <v>180190.12</v>
      </c>
      <c r="BN76" s="174">
        <v>2023</v>
      </c>
    </row>
    <row r="77" spans="1:66" outlineLevel="1">
      <c r="A77" s="174" t="s">
        <v>407</v>
      </c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AX77" s="200"/>
      <c r="AY77" s="200"/>
      <c r="AZ77" s="200"/>
      <c r="BA77" s="200"/>
      <c r="BB77" s="200"/>
      <c r="BC77" s="200"/>
      <c r="BD77" s="200"/>
      <c r="BE77" s="200"/>
      <c r="BF77" s="200"/>
      <c r="BG77" s="200"/>
      <c r="BH77" s="200"/>
      <c r="BI77" s="200"/>
      <c r="BJ77" s="200">
        <f t="shared" si="1"/>
        <v>0</v>
      </c>
      <c r="BK77" s="200">
        <f t="shared" si="1"/>
        <v>0</v>
      </c>
      <c r="BL77" s="197"/>
      <c r="BM77" s="197"/>
    </row>
    <row r="78" spans="1:66" outlineLevel="1">
      <c r="A78" s="174" t="s">
        <v>69</v>
      </c>
      <c r="B78" s="200">
        <v>10000</v>
      </c>
      <c r="C78" s="200">
        <v>750</v>
      </c>
      <c r="D78" s="200">
        <v>130000</v>
      </c>
      <c r="E78" s="200">
        <v>14389.08</v>
      </c>
      <c r="F78" s="200"/>
      <c r="G78" s="200">
        <v>4875</v>
      </c>
      <c r="H78" s="200">
        <v>55000</v>
      </c>
      <c r="I78" s="200">
        <v>5937.5</v>
      </c>
      <c r="J78" s="200">
        <v>20000</v>
      </c>
      <c r="K78" s="200">
        <v>2125</v>
      </c>
      <c r="L78" s="200"/>
      <c r="M78" s="200"/>
      <c r="N78" s="200"/>
      <c r="O78" s="200">
        <v>1152.6099999999999</v>
      </c>
      <c r="P78" s="200"/>
      <c r="Q78" s="200">
        <v>2892</v>
      </c>
      <c r="T78" s="200"/>
      <c r="U78" s="200"/>
      <c r="V78" s="200"/>
      <c r="W78" s="200"/>
      <c r="X78" s="200">
        <v>10000</v>
      </c>
      <c r="Y78" s="200">
        <v>1107.3599999999999</v>
      </c>
      <c r="Z78" s="200"/>
      <c r="AA78" s="200"/>
      <c r="AB78" s="200">
        <v>65000</v>
      </c>
      <c r="AC78" s="200">
        <v>5098.1400000000003</v>
      </c>
      <c r="AD78" s="200">
        <v>1000</v>
      </c>
      <c r="AE78" s="200">
        <v>176.3</v>
      </c>
      <c r="AF78" s="200">
        <v>20000</v>
      </c>
      <c r="AG78" s="200">
        <v>837.89</v>
      </c>
      <c r="AH78" s="200">
        <v>10000</v>
      </c>
      <c r="AI78" s="200">
        <v>901.01</v>
      </c>
      <c r="AJ78" s="200">
        <v>2000</v>
      </c>
      <c r="AK78" s="200">
        <v>171.28</v>
      </c>
      <c r="AL78" s="200"/>
      <c r="AM78" s="200"/>
      <c r="AN78" s="200">
        <v>5000</v>
      </c>
      <c r="AO78" s="200">
        <v>828.99</v>
      </c>
      <c r="AP78" s="200">
        <v>35000</v>
      </c>
      <c r="AQ78" s="200">
        <v>4463.0600000000004</v>
      </c>
      <c r="AR78" s="200"/>
      <c r="AS78" s="200"/>
      <c r="AT78" s="200"/>
      <c r="AU78" s="200"/>
      <c r="AV78" s="200"/>
      <c r="AW78" s="200"/>
      <c r="AX78" s="200">
        <v>10000</v>
      </c>
      <c r="AY78" s="200">
        <v>1088.71</v>
      </c>
      <c r="AZ78" s="200"/>
      <c r="BA78" s="200"/>
      <c r="BB78" s="200">
        <v>10000</v>
      </c>
      <c r="BC78" s="200">
        <v>320.13</v>
      </c>
      <c r="BD78" s="200"/>
      <c r="BE78" s="200"/>
      <c r="BF78" s="200"/>
      <c r="BG78" s="200"/>
      <c r="BH78" s="200"/>
      <c r="BI78" s="200"/>
      <c r="BJ78" s="200">
        <f t="shared" si="1"/>
        <v>383000</v>
      </c>
      <c r="BK78" s="200">
        <f t="shared" si="1"/>
        <v>47114.06</v>
      </c>
      <c r="BL78" s="197"/>
      <c r="BM78" s="197"/>
    </row>
    <row r="79" spans="1:66" outlineLevel="1">
      <c r="A79" s="174" t="s">
        <v>645</v>
      </c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>
        <v>105000</v>
      </c>
      <c r="S79" s="200">
        <v>16050</v>
      </c>
      <c r="T79" s="200">
        <v>100000</v>
      </c>
      <c r="U79" s="200">
        <v>6975</v>
      </c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0"/>
      <c r="BC79" s="200"/>
      <c r="BD79" s="200"/>
      <c r="BE79" s="200"/>
      <c r="BF79" s="200"/>
      <c r="BG79" s="200"/>
      <c r="BH79" s="200"/>
      <c r="BI79" s="200"/>
      <c r="BJ79" s="200">
        <f t="shared" si="1"/>
        <v>205000</v>
      </c>
      <c r="BK79" s="200">
        <f t="shared" si="1"/>
        <v>23025</v>
      </c>
      <c r="BL79" s="197"/>
      <c r="BM79" s="197"/>
    </row>
    <row r="80" spans="1:66" outlineLevel="1">
      <c r="A80" s="174" t="s">
        <v>70</v>
      </c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>
        <v>65000</v>
      </c>
      <c r="AA80" s="200">
        <v>8759</v>
      </c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>
        <v>10000</v>
      </c>
      <c r="AM80" s="200">
        <v>2736.25</v>
      </c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200"/>
      <c r="BJ80" s="200">
        <f t="shared" si="1"/>
        <v>75000</v>
      </c>
      <c r="BK80" s="200">
        <f t="shared" si="1"/>
        <v>11495.25</v>
      </c>
      <c r="BL80" s="197"/>
      <c r="BM80" s="197"/>
    </row>
    <row r="81" spans="1:66" outlineLevel="1">
      <c r="A81" s="174" t="s">
        <v>71</v>
      </c>
      <c r="B81" s="200"/>
      <c r="C81" s="200">
        <v>625</v>
      </c>
      <c r="D81" s="200"/>
      <c r="E81" s="200">
        <v>12764.08</v>
      </c>
      <c r="F81" s="200">
        <v>50000</v>
      </c>
      <c r="G81" s="200">
        <v>4875</v>
      </c>
      <c r="H81" s="200"/>
      <c r="I81" s="200">
        <v>5250</v>
      </c>
      <c r="J81" s="200"/>
      <c r="K81" s="200">
        <v>1875</v>
      </c>
      <c r="L81" s="200"/>
      <c r="M81" s="200"/>
      <c r="N81" s="200">
        <v>10000</v>
      </c>
      <c r="O81" s="200">
        <v>1152.6099999999999</v>
      </c>
      <c r="P81" s="200">
        <v>115000</v>
      </c>
      <c r="Q81" s="200">
        <v>2892</v>
      </c>
      <c r="R81" s="200"/>
      <c r="T81" s="200"/>
      <c r="U81" s="200"/>
      <c r="V81" s="200"/>
      <c r="W81" s="200"/>
      <c r="X81" s="200"/>
      <c r="Y81" s="200">
        <v>982.36</v>
      </c>
      <c r="Z81" s="200"/>
      <c r="AA81" s="200"/>
      <c r="AB81" s="200"/>
      <c r="AC81" s="200">
        <v>4285.6400000000003</v>
      </c>
      <c r="AD81" s="200"/>
      <c r="AE81" s="200">
        <v>163.80000000000001</v>
      </c>
      <c r="AF81" s="200"/>
      <c r="AG81" s="200">
        <v>587.89</v>
      </c>
      <c r="AH81" s="200"/>
      <c r="AI81" s="200">
        <v>776.01</v>
      </c>
      <c r="AJ81" s="200"/>
      <c r="AK81" s="200">
        <v>146.28</v>
      </c>
      <c r="AL81" s="200"/>
      <c r="AM81" s="200"/>
      <c r="AN81" s="200"/>
      <c r="AO81" s="200">
        <v>766.49</v>
      </c>
      <c r="AP81" s="200"/>
      <c r="AQ81" s="200">
        <v>4025.56</v>
      </c>
      <c r="AR81" s="200"/>
      <c r="AS81" s="200"/>
      <c r="AT81" s="200">
        <v>55000</v>
      </c>
      <c r="AU81" s="200"/>
      <c r="AV81" s="200"/>
      <c r="AW81" s="200"/>
      <c r="AX81" s="200"/>
      <c r="AY81" s="200">
        <v>963.71</v>
      </c>
      <c r="AZ81" s="200"/>
      <c r="BA81" s="200"/>
      <c r="BB81" s="200"/>
      <c r="BC81" s="200">
        <v>220.13</v>
      </c>
      <c r="BD81" s="200"/>
      <c r="BE81" s="200"/>
      <c r="BF81" s="200"/>
      <c r="BG81" s="200"/>
      <c r="BH81" s="200"/>
      <c r="BI81" s="200"/>
      <c r="BJ81" s="200">
        <f t="shared" si="1"/>
        <v>230000</v>
      </c>
      <c r="BK81" s="200">
        <f t="shared" si="1"/>
        <v>42351.56</v>
      </c>
      <c r="BL81" s="197"/>
      <c r="BM81" s="197"/>
    </row>
    <row r="82" spans="1:66" outlineLevel="1">
      <c r="A82" s="174" t="s">
        <v>646</v>
      </c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>
        <v>13793</v>
      </c>
      <c r="T82" s="200"/>
      <c r="U82" s="200">
        <v>4650</v>
      </c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0"/>
      <c r="AZ82" s="200"/>
      <c r="BA82" s="200"/>
      <c r="BB82" s="200"/>
      <c r="BC82" s="200"/>
      <c r="BD82" s="200"/>
      <c r="BE82" s="200"/>
      <c r="BF82" s="200"/>
      <c r="BG82" s="200"/>
      <c r="BH82" s="200"/>
      <c r="BI82" s="200"/>
      <c r="BJ82" s="200">
        <f t="shared" si="1"/>
        <v>0</v>
      </c>
      <c r="BK82" s="200">
        <f t="shared" si="1"/>
        <v>18443</v>
      </c>
      <c r="BL82" s="197"/>
      <c r="BM82" s="197"/>
    </row>
    <row r="83" spans="1:66" outlineLevel="1">
      <c r="A83" s="174" t="s">
        <v>72</v>
      </c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>
        <v>7621</v>
      </c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>
        <v>2536.25</v>
      </c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X83" s="200"/>
      <c r="AY83" s="200"/>
      <c r="AZ83" s="200"/>
      <c r="BA83" s="200"/>
      <c r="BB83" s="200"/>
      <c r="BC83" s="200"/>
      <c r="BD83" s="200"/>
      <c r="BE83" s="200"/>
      <c r="BF83" s="200"/>
      <c r="BG83" s="200"/>
      <c r="BH83" s="200"/>
      <c r="BI83" s="200"/>
      <c r="BJ83" s="200">
        <f t="shared" si="1"/>
        <v>0</v>
      </c>
      <c r="BK83" s="200">
        <f t="shared" si="1"/>
        <v>10157.25</v>
      </c>
      <c r="BL83" s="197">
        <f>SUM(BJ77:BJ83)</f>
        <v>893000</v>
      </c>
      <c r="BM83" s="197">
        <f>SUM(BK77:BK83)</f>
        <v>152586.12</v>
      </c>
      <c r="BN83" s="174">
        <v>2024</v>
      </c>
    </row>
    <row r="84" spans="1:66" outlineLevel="1">
      <c r="A84" s="174" t="s">
        <v>408</v>
      </c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200"/>
      <c r="AY84" s="200"/>
      <c r="AZ84" s="200"/>
      <c r="BA84" s="200"/>
      <c r="BB84" s="200"/>
      <c r="BC84" s="200"/>
      <c r="BD84" s="200"/>
      <c r="BE84" s="200"/>
      <c r="BF84" s="200"/>
      <c r="BG84" s="200"/>
      <c r="BH84" s="200"/>
      <c r="BI84" s="200"/>
      <c r="BJ84" s="200">
        <f t="shared" si="1"/>
        <v>0</v>
      </c>
      <c r="BK84" s="200">
        <f t="shared" si="1"/>
        <v>0</v>
      </c>
      <c r="BL84" s="197"/>
      <c r="BM84" s="197"/>
    </row>
    <row r="85" spans="1:66" outlineLevel="1">
      <c r="A85" s="174" t="s">
        <v>73</v>
      </c>
      <c r="B85" s="200">
        <v>10000</v>
      </c>
      <c r="C85" s="200">
        <v>625</v>
      </c>
      <c r="D85" s="200">
        <v>135000</v>
      </c>
      <c r="E85" s="200">
        <v>12764.08</v>
      </c>
      <c r="F85" s="200"/>
      <c r="G85" s="200">
        <v>4250</v>
      </c>
      <c r="H85" s="200">
        <v>55000</v>
      </c>
      <c r="I85" s="200">
        <v>5250</v>
      </c>
      <c r="J85" s="200">
        <v>25000</v>
      </c>
      <c r="K85" s="200">
        <v>1875</v>
      </c>
      <c r="L85" s="200"/>
      <c r="M85" s="200"/>
      <c r="N85" s="200"/>
      <c r="O85" s="200">
        <v>1027.6099999999999</v>
      </c>
      <c r="P85" s="200"/>
      <c r="Q85" s="200">
        <v>1958</v>
      </c>
      <c r="T85" s="200"/>
      <c r="U85" s="200"/>
      <c r="V85" s="200"/>
      <c r="W85" s="200"/>
      <c r="X85" s="200">
        <v>10000</v>
      </c>
      <c r="Y85" s="200">
        <v>982.36</v>
      </c>
      <c r="Z85" s="200"/>
      <c r="AA85" s="200"/>
      <c r="AB85" s="200">
        <v>65000</v>
      </c>
      <c r="AC85" s="200">
        <v>4285.6400000000003</v>
      </c>
      <c r="AD85" s="200">
        <v>2000</v>
      </c>
      <c r="AE85" s="200">
        <v>163.80000000000001</v>
      </c>
      <c r="AF85" s="200">
        <v>20000</v>
      </c>
      <c r="AG85" s="200">
        <v>587.89</v>
      </c>
      <c r="AH85" s="200">
        <v>10000</v>
      </c>
      <c r="AI85" s="200">
        <v>776.01</v>
      </c>
      <c r="AJ85" s="200">
        <v>2000</v>
      </c>
      <c r="AK85" s="200">
        <v>146.28</v>
      </c>
      <c r="AL85" s="200"/>
      <c r="AM85" s="200"/>
      <c r="AN85" s="200">
        <v>5000</v>
      </c>
      <c r="AO85" s="200">
        <v>766.49</v>
      </c>
      <c r="AP85" s="200">
        <v>40000</v>
      </c>
      <c r="AQ85" s="200">
        <v>4025.56</v>
      </c>
      <c r="AR85" s="200"/>
      <c r="AS85" s="200"/>
      <c r="AT85" s="200"/>
      <c r="AU85" s="200"/>
      <c r="AV85" s="200"/>
      <c r="AW85" s="200"/>
      <c r="AX85" s="200">
        <v>10000</v>
      </c>
      <c r="AY85" s="200">
        <v>963.71</v>
      </c>
      <c r="AZ85" s="200"/>
      <c r="BA85" s="200"/>
      <c r="BB85" s="200">
        <v>10000</v>
      </c>
      <c r="BC85" s="200">
        <v>220.13</v>
      </c>
      <c r="BD85" s="200"/>
      <c r="BE85" s="200"/>
      <c r="BF85" s="200"/>
      <c r="BG85" s="200"/>
      <c r="BH85" s="200"/>
      <c r="BI85" s="200"/>
      <c r="BJ85" s="200">
        <f t="shared" si="1"/>
        <v>399000</v>
      </c>
      <c r="BK85" s="200">
        <f t="shared" si="1"/>
        <v>40667.560000000005</v>
      </c>
      <c r="BL85" s="197"/>
      <c r="BM85" s="197"/>
    </row>
    <row r="86" spans="1:66" outlineLevel="1">
      <c r="A86" s="174" t="s">
        <v>647</v>
      </c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>
        <v>110000</v>
      </c>
      <c r="S86" s="200">
        <v>13793</v>
      </c>
      <c r="T86" s="200">
        <v>100000</v>
      </c>
      <c r="U86" s="200">
        <v>4650</v>
      </c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X86" s="200"/>
      <c r="AY86" s="200"/>
      <c r="AZ86" s="200"/>
      <c r="BA86" s="200"/>
      <c r="BB86" s="200"/>
      <c r="BC86" s="200"/>
      <c r="BD86" s="200"/>
      <c r="BE86" s="200"/>
      <c r="BF86" s="200"/>
      <c r="BG86" s="200"/>
      <c r="BH86" s="200"/>
      <c r="BI86" s="200"/>
      <c r="BJ86" s="200">
        <f t="shared" si="1"/>
        <v>210000</v>
      </c>
      <c r="BK86" s="200">
        <f t="shared" si="1"/>
        <v>18443</v>
      </c>
      <c r="BL86" s="197"/>
      <c r="BM86" s="197"/>
    </row>
    <row r="87" spans="1:66" outlineLevel="1">
      <c r="A87" s="174" t="s">
        <v>74</v>
      </c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>
        <v>65000</v>
      </c>
      <c r="AA87" s="200">
        <v>7621</v>
      </c>
      <c r="AB87" s="200"/>
      <c r="AC87" s="200"/>
      <c r="AD87" s="200"/>
      <c r="AE87" s="200"/>
      <c r="AF87" s="200"/>
      <c r="AG87" s="200"/>
      <c r="AH87" s="200"/>
      <c r="AI87" s="200"/>
      <c r="AJ87" s="200"/>
      <c r="AK87" s="200"/>
      <c r="AL87" s="200">
        <v>10000</v>
      </c>
      <c r="AM87" s="200">
        <v>2536.25</v>
      </c>
      <c r="AN87" s="200"/>
      <c r="AO87" s="200"/>
      <c r="AP87" s="200"/>
      <c r="AQ87" s="200"/>
      <c r="AR87" s="200"/>
      <c r="AS87" s="200"/>
      <c r="AT87" s="200"/>
      <c r="AU87" s="200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0"/>
      <c r="BG87" s="200"/>
      <c r="BH87" s="200"/>
      <c r="BI87" s="200"/>
      <c r="BJ87" s="200">
        <f t="shared" si="1"/>
        <v>75000</v>
      </c>
      <c r="BK87" s="200">
        <f t="shared" si="1"/>
        <v>10157.25</v>
      </c>
      <c r="BL87" s="197"/>
      <c r="BM87" s="197"/>
    </row>
    <row r="88" spans="1:66" outlineLevel="1">
      <c r="A88" s="174" t="s">
        <v>75</v>
      </c>
      <c r="B88" s="200"/>
      <c r="C88" s="200">
        <v>500</v>
      </c>
      <c r="D88" s="200"/>
      <c r="E88" s="200">
        <v>11076.58</v>
      </c>
      <c r="F88" s="200">
        <v>55000</v>
      </c>
      <c r="G88" s="200">
        <v>4250</v>
      </c>
      <c r="H88" s="200"/>
      <c r="I88" s="200">
        <v>4562.5</v>
      </c>
      <c r="J88" s="200"/>
      <c r="K88" s="200">
        <v>1562</v>
      </c>
      <c r="L88" s="200"/>
      <c r="M88" s="200"/>
      <c r="N88" s="200">
        <v>10000</v>
      </c>
      <c r="O88" s="200">
        <v>1027.6099999999999</v>
      </c>
      <c r="P88" s="200">
        <v>120000</v>
      </c>
      <c r="Q88" s="200">
        <v>1958</v>
      </c>
      <c r="R88" s="200"/>
      <c r="T88" s="200"/>
      <c r="U88" s="200"/>
      <c r="V88" s="200"/>
      <c r="W88" s="200"/>
      <c r="X88" s="200"/>
      <c r="Y88" s="200">
        <v>857.36</v>
      </c>
      <c r="Z88" s="200"/>
      <c r="AA88" s="200"/>
      <c r="AB88" s="200"/>
      <c r="AC88" s="200">
        <v>3473.14</v>
      </c>
      <c r="AD88" s="200"/>
      <c r="AE88" s="200">
        <v>138.80000000000001</v>
      </c>
      <c r="AF88" s="200"/>
      <c r="AG88" s="200">
        <v>337.89</v>
      </c>
      <c r="AH88" s="200"/>
      <c r="AI88" s="200">
        <v>651.01</v>
      </c>
      <c r="AJ88" s="200"/>
      <c r="AK88" s="200">
        <v>121.28</v>
      </c>
      <c r="AL88" s="200"/>
      <c r="AM88" s="200"/>
      <c r="AN88" s="200"/>
      <c r="AO88" s="200">
        <v>703.99</v>
      </c>
      <c r="AP88" s="200"/>
      <c r="AQ88" s="200">
        <v>3525.56</v>
      </c>
      <c r="AR88" s="200"/>
      <c r="AS88" s="200"/>
      <c r="AT88" s="200">
        <v>55000</v>
      </c>
      <c r="AU88" s="200"/>
      <c r="AV88" s="200"/>
      <c r="AW88" s="200"/>
      <c r="AX88" s="200"/>
      <c r="AY88" s="200">
        <v>838.71</v>
      </c>
      <c r="AZ88" s="200"/>
      <c r="BA88" s="200"/>
      <c r="BB88" s="200"/>
      <c r="BC88" s="200">
        <v>120.13</v>
      </c>
      <c r="BD88" s="200"/>
      <c r="BE88" s="200"/>
      <c r="BF88" s="200"/>
      <c r="BG88" s="200"/>
      <c r="BH88" s="200"/>
      <c r="BI88" s="200"/>
      <c r="BJ88" s="200">
        <f t="shared" si="1"/>
        <v>240000</v>
      </c>
      <c r="BK88" s="200">
        <f t="shared" si="1"/>
        <v>35704.560000000005</v>
      </c>
      <c r="BL88" s="197"/>
      <c r="BM88" s="197"/>
    </row>
    <row r="89" spans="1:66" outlineLevel="1">
      <c r="A89" s="174" t="s">
        <v>648</v>
      </c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>
        <v>11372</v>
      </c>
      <c r="T89" s="200"/>
      <c r="U89" s="200">
        <v>2325</v>
      </c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Q89" s="200"/>
      <c r="AR89" s="200"/>
      <c r="AS89" s="200"/>
      <c r="AT89" s="200"/>
      <c r="AU89" s="200"/>
      <c r="AV89" s="200"/>
      <c r="AW89" s="200"/>
      <c r="AX89" s="200"/>
      <c r="AY89" s="200"/>
      <c r="AZ89" s="200"/>
      <c r="BA89" s="200"/>
      <c r="BB89" s="200"/>
      <c r="BC89" s="200"/>
      <c r="BD89" s="200"/>
      <c r="BE89" s="200"/>
      <c r="BF89" s="200"/>
      <c r="BG89" s="200"/>
      <c r="BH89" s="200"/>
      <c r="BI89" s="200"/>
      <c r="BJ89" s="200">
        <f t="shared" si="1"/>
        <v>0</v>
      </c>
      <c r="BK89" s="200">
        <f t="shared" si="1"/>
        <v>13697</v>
      </c>
      <c r="BL89" s="197"/>
      <c r="BM89" s="197"/>
    </row>
    <row r="90" spans="1:66" outlineLevel="1">
      <c r="A90" s="174" t="s">
        <v>76</v>
      </c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2"/>
      <c r="O90" s="200"/>
      <c r="P90" s="202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>
        <v>6451</v>
      </c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>
        <v>2336.25</v>
      </c>
      <c r="AN90" s="200"/>
      <c r="AO90" s="200"/>
      <c r="AP90" s="200"/>
      <c r="AQ90" s="200"/>
      <c r="AR90" s="200"/>
      <c r="AS90" s="200"/>
      <c r="AT90" s="200"/>
      <c r="AU90" s="200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0"/>
      <c r="BG90" s="200"/>
      <c r="BH90" s="200"/>
      <c r="BI90" s="200"/>
      <c r="BJ90" s="200">
        <f t="shared" si="1"/>
        <v>0</v>
      </c>
      <c r="BK90" s="200">
        <f t="shared" si="1"/>
        <v>8787.25</v>
      </c>
      <c r="BL90" s="197">
        <f>SUM(BJ84:BJ90)</f>
        <v>924000</v>
      </c>
      <c r="BM90" s="197">
        <f>SUM(BK84:BK90)</f>
        <v>127456.62</v>
      </c>
      <c r="BN90" s="174">
        <v>2025</v>
      </c>
    </row>
    <row r="91" spans="1:66" outlineLevel="1">
      <c r="A91" s="174" t="s">
        <v>409</v>
      </c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2"/>
      <c r="O91" s="200"/>
      <c r="P91" s="202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  <c r="AT91" s="200"/>
      <c r="AU91" s="200"/>
      <c r="AV91" s="200"/>
      <c r="AW91" s="200"/>
      <c r="AX91" s="200"/>
      <c r="AY91" s="200"/>
      <c r="AZ91" s="200"/>
      <c r="BA91" s="200"/>
      <c r="BB91" s="200"/>
      <c r="BC91" s="200"/>
      <c r="BD91" s="200"/>
      <c r="BE91" s="200"/>
      <c r="BF91" s="200"/>
      <c r="BG91" s="200"/>
      <c r="BH91" s="200"/>
      <c r="BI91" s="200"/>
      <c r="BJ91" s="200">
        <f t="shared" si="1"/>
        <v>0</v>
      </c>
      <c r="BK91" s="200">
        <f t="shared" si="1"/>
        <v>0</v>
      </c>
      <c r="BL91" s="197"/>
      <c r="BM91" s="197"/>
    </row>
    <row r="92" spans="1:66" outlineLevel="1">
      <c r="A92" s="174" t="s">
        <v>77</v>
      </c>
      <c r="B92" s="200">
        <v>10000</v>
      </c>
      <c r="C92" s="200">
        <v>500</v>
      </c>
      <c r="D92" s="200">
        <v>140000</v>
      </c>
      <c r="E92" s="200">
        <v>11076.58</v>
      </c>
      <c r="F92" s="200"/>
      <c r="G92" s="200">
        <v>3562.5</v>
      </c>
      <c r="H92" s="200">
        <v>55000</v>
      </c>
      <c r="I92" s="200">
        <v>4562.5</v>
      </c>
      <c r="J92" s="200">
        <v>25000</v>
      </c>
      <c r="K92" s="200">
        <v>1563</v>
      </c>
      <c r="L92" s="200"/>
      <c r="M92" s="200"/>
      <c r="N92" s="200"/>
      <c r="O92" s="200">
        <v>902.61</v>
      </c>
      <c r="P92" s="200"/>
      <c r="Q92" s="200">
        <v>983</v>
      </c>
      <c r="T92" s="200"/>
      <c r="U92" s="200"/>
      <c r="V92" s="200"/>
      <c r="W92" s="200"/>
      <c r="X92" s="200">
        <v>10000</v>
      </c>
      <c r="Y92" s="200">
        <v>857.36</v>
      </c>
      <c r="Z92" s="200"/>
      <c r="AA92" s="200"/>
      <c r="AB92" s="200">
        <v>65000</v>
      </c>
      <c r="AC92" s="200">
        <v>3473.14</v>
      </c>
      <c r="AD92" s="200">
        <v>2000</v>
      </c>
      <c r="AE92" s="200">
        <v>138.80000000000001</v>
      </c>
      <c r="AF92" s="200">
        <v>20000</v>
      </c>
      <c r="AG92" s="200">
        <v>337.89</v>
      </c>
      <c r="AH92" s="200">
        <v>10000</v>
      </c>
      <c r="AI92" s="200">
        <v>651.01</v>
      </c>
      <c r="AJ92" s="200">
        <v>2000</v>
      </c>
      <c r="AK92" s="200">
        <v>121.28</v>
      </c>
      <c r="AL92" s="200"/>
      <c r="AM92" s="200"/>
      <c r="AN92" s="200">
        <v>5000</v>
      </c>
      <c r="AO92" s="200">
        <v>703.99</v>
      </c>
      <c r="AP92" s="200">
        <v>40000</v>
      </c>
      <c r="AQ92" s="200">
        <v>3525.56</v>
      </c>
      <c r="AR92" s="200"/>
      <c r="AS92" s="200"/>
      <c r="AT92" s="200"/>
      <c r="AU92" s="200"/>
      <c r="AV92" s="200"/>
      <c r="AW92" s="200"/>
      <c r="AX92" s="200">
        <v>10000</v>
      </c>
      <c r="AY92" s="200">
        <v>838.71</v>
      </c>
      <c r="AZ92" s="200"/>
      <c r="BA92" s="200"/>
      <c r="BB92" s="200">
        <v>10000</v>
      </c>
      <c r="BC92" s="200">
        <v>120.13</v>
      </c>
      <c r="BD92" s="200"/>
      <c r="BE92" s="200"/>
      <c r="BF92" s="200"/>
      <c r="BG92" s="200"/>
      <c r="BH92" s="200"/>
      <c r="BI92" s="200"/>
      <c r="BJ92" s="200">
        <f t="shared" si="1"/>
        <v>404000</v>
      </c>
      <c r="BK92" s="200">
        <f t="shared" si="1"/>
        <v>33918.060000000005</v>
      </c>
      <c r="BL92" s="197"/>
      <c r="BM92" s="197"/>
    </row>
    <row r="93" spans="1:66" outlineLevel="1">
      <c r="A93" s="174" t="s">
        <v>649</v>
      </c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>
        <v>115000</v>
      </c>
      <c r="S93" s="200">
        <v>11373</v>
      </c>
      <c r="T93" s="200">
        <v>100000</v>
      </c>
      <c r="U93" s="200">
        <v>2325</v>
      </c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  <c r="AT93" s="200"/>
      <c r="AU93" s="200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0"/>
      <c r="BG93" s="200"/>
      <c r="BH93" s="200"/>
      <c r="BI93" s="200"/>
      <c r="BJ93" s="200">
        <f t="shared" si="1"/>
        <v>215000</v>
      </c>
      <c r="BK93" s="200">
        <f t="shared" si="1"/>
        <v>13698</v>
      </c>
      <c r="BL93" s="197"/>
      <c r="BM93" s="197"/>
    </row>
    <row r="94" spans="1:66" outlineLevel="1">
      <c r="A94" s="174" t="s">
        <v>78</v>
      </c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>
        <v>65000</v>
      </c>
      <c r="AA94" s="200">
        <v>6451</v>
      </c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>
        <v>15000</v>
      </c>
      <c r="AM94" s="200">
        <v>2336.25</v>
      </c>
      <c r="AN94" s="200"/>
      <c r="AO94" s="200"/>
      <c r="AP94" s="200"/>
      <c r="AQ94" s="200"/>
      <c r="AR94" s="200"/>
      <c r="AS94" s="200"/>
      <c r="AT94" s="200"/>
      <c r="AU94" s="200"/>
      <c r="AV94" s="200"/>
      <c r="AW94" s="200"/>
      <c r="AX94" s="200"/>
      <c r="AY94" s="200"/>
      <c r="AZ94" s="200"/>
      <c r="BA94" s="200"/>
      <c r="BB94" s="200"/>
      <c r="BC94" s="200"/>
      <c r="BD94" s="200"/>
      <c r="BE94" s="200"/>
      <c r="BF94" s="200"/>
      <c r="BG94" s="200"/>
      <c r="BH94" s="200"/>
      <c r="BI94" s="200"/>
      <c r="BJ94" s="200">
        <f t="shared" si="1"/>
        <v>80000</v>
      </c>
      <c r="BK94" s="200">
        <f t="shared" si="1"/>
        <v>8787.25</v>
      </c>
      <c r="BL94" s="197"/>
      <c r="BM94" s="197"/>
    </row>
    <row r="95" spans="1:66" outlineLevel="1">
      <c r="A95" s="174" t="s">
        <v>79</v>
      </c>
      <c r="B95" s="200"/>
      <c r="C95" s="200">
        <v>375</v>
      </c>
      <c r="D95" s="200"/>
      <c r="E95" s="200">
        <v>9326.58</v>
      </c>
      <c r="F95" s="200">
        <v>55000</v>
      </c>
      <c r="G95" s="200">
        <v>3562.5</v>
      </c>
      <c r="H95" s="200"/>
      <c r="I95" s="200">
        <v>3875</v>
      </c>
      <c r="J95" s="200"/>
      <c r="K95" s="200">
        <v>1250</v>
      </c>
      <c r="L95" s="200"/>
      <c r="M95" s="200"/>
      <c r="N95" s="200">
        <v>10000</v>
      </c>
      <c r="O95" s="200">
        <v>902.61</v>
      </c>
      <c r="P95" s="200">
        <v>120962</v>
      </c>
      <c r="Q95" s="200">
        <v>983</v>
      </c>
      <c r="R95" s="200"/>
      <c r="T95" s="200"/>
      <c r="U95" s="200"/>
      <c r="V95" s="200"/>
      <c r="W95" s="200"/>
      <c r="X95" s="200"/>
      <c r="Y95" s="200">
        <v>732.36</v>
      </c>
      <c r="Z95" s="200"/>
      <c r="AA95" s="200"/>
      <c r="AB95" s="200"/>
      <c r="AC95" s="200">
        <v>2660.64</v>
      </c>
      <c r="AD95" s="200"/>
      <c r="AE95" s="200">
        <v>113.8</v>
      </c>
      <c r="AF95" s="200"/>
      <c r="AG95" s="200">
        <v>87.89</v>
      </c>
      <c r="AH95" s="200"/>
      <c r="AI95" s="200">
        <v>526.01</v>
      </c>
      <c r="AJ95" s="200"/>
      <c r="AK95" s="200">
        <v>96.28</v>
      </c>
      <c r="AL95" s="200"/>
      <c r="AM95" s="200"/>
      <c r="AN95" s="200"/>
      <c r="AO95" s="200">
        <v>641.49</v>
      </c>
      <c r="AP95" s="200"/>
      <c r="AQ95" s="200">
        <v>3025.56</v>
      </c>
      <c r="AR95" s="200"/>
      <c r="AS95" s="200"/>
      <c r="AT95" s="200">
        <v>55000</v>
      </c>
      <c r="AU95" s="200"/>
      <c r="AV95" s="200"/>
      <c r="AW95" s="200"/>
      <c r="AX95" s="200"/>
      <c r="AY95" s="200">
        <v>713.71</v>
      </c>
      <c r="AZ95" s="200"/>
      <c r="BA95" s="200"/>
      <c r="BB95" s="200"/>
      <c r="BC95" s="200">
        <v>20.13</v>
      </c>
      <c r="BD95" s="200"/>
      <c r="BE95" s="200"/>
      <c r="BF95" s="200"/>
      <c r="BG95" s="200"/>
      <c r="BH95" s="200"/>
      <c r="BI95" s="200"/>
      <c r="BJ95" s="200">
        <f t="shared" si="1"/>
        <v>240962</v>
      </c>
      <c r="BK95" s="200">
        <f t="shared" si="1"/>
        <v>28892.560000000005</v>
      </c>
      <c r="BL95" s="197"/>
      <c r="BM95" s="197"/>
    </row>
    <row r="96" spans="1:66" outlineLevel="1">
      <c r="A96" s="174" t="s">
        <v>650</v>
      </c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>
        <v>8785</v>
      </c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  <c r="AT96" s="200"/>
      <c r="AU96" s="200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0"/>
      <c r="BG96" s="200"/>
      <c r="BH96" s="200"/>
      <c r="BI96" s="200"/>
      <c r="BJ96" s="200">
        <f t="shared" si="1"/>
        <v>0</v>
      </c>
      <c r="BK96" s="200">
        <f t="shared" si="1"/>
        <v>8785</v>
      </c>
      <c r="BL96" s="197"/>
      <c r="BM96" s="197"/>
    </row>
    <row r="97" spans="1:66" outlineLevel="1">
      <c r="A97" s="174" t="s">
        <v>80</v>
      </c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0">
        <v>5233</v>
      </c>
      <c r="AB97" s="200"/>
      <c r="AC97" s="200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>
        <v>2025</v>
      </c>
      <c r="AN97" s="200"/>
      <c r="AO97" s="200"/>
      <c r="AP97" s="200"/>
      <c r="AQ97" s="200"/>
      <c r="AR97" s="200"/>
      <c r="AS97" s="200"/>
      <c r="AT97" s="200"/>
      <c r="AU97" s="200"/>
      <c r="AV97" s="200"/>
      <c r="AW97" s="200"/>
      <c r="AX97" s="200"/>
      <c r="AY97" s="200"/>
      <c r="AZ97" s="200"/>
      <c r="BA97" s="200"/>
      <c r="BB97" s="200"/>
      <c r="BC97" s="200"/>
      <c r="BD97" s="200"/>
      <c r="BE97" s="200"/>
      <c r="BF97" s="200"/>
      <c r="BG97" s="200"/>
      <c r="BH97" s="200"/>
      <c r="BI97" s="200"/>
      <c r="BJ97" s="200">
        <f t="shared" si="1"/>
        <v>0</v>
      </c>
      <c r="BK97" s="200">
        <f t="shared" si="1"/>
        <v>7258</v>
      </c>
      <c r="BL97" s="197">
        <f>SUM(BJ91:BJ97)</f>
        <v>939962</v>
      </c>
      <c r="BM97" s="197">
        <f>SUM(BK91:BK97)</f>
        <v>101338.87000000001</v>
      </c>
      <c r="BN97" s="174">
        <v>2026</v>
      </c>
    </row>
    <row r="98" spans="1:66" outlineLevel="1">
      <c r="A98" s="174" t="s">
        <v>410</v>
      </c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0"/>
      <c r="BA98" s="200"/>
      <c r="BB98" s="200"/>
      <c r="BC98" s="200"/>
      <c r="BD98" s="200"/>
      <c r="BE98" s="200"/>
      <c r="BF98" s="200"/>
      <c r="BG98" s="200"/>
      <c r="BH98" s="200"/>
      <c r="BI98" s="200"/>
      <c r="BJ98" s="200">
        <f t="shared" si="1"/>
        <v>0</v>
      </c>
      <c r="BK98" s="200">
        <f t="shared" si="1"/>
        <v>0</v>
      </c>
      <c r="BL98" s="197"/>
      <c r="BM98" s="197"/>
    </row>
    <row r="99" spans="1:66" outlineLevel="1">
      <c r="A99" s="174" t="s">
        <v>81</v>
      </c>
      <c r="B99" s="200">
        <v>10000</v>
      </c>
      <c r="C99" s="200">
        <v>375</v>
      </c>
      <c r="D99" s="200">
        <v>140000</v>
      </c>
      <c r="E99" s="200">
        <v>9326.58</v>
      </c>
      <c r="F99" s="200"/>
      <c r="G99" s="200">
        <v>2875</v>
      </c>
      <c r="H99" s="200">
        <v>60000</v>
      </c>
      <c r="I99" s="200">
        <v>3875</v>
      </c>
      <c r="J99" s="200">
        <v>25000</v>
      </c>
      <c r="K99" s="200">
        <v>1250</v>
      </c>
      <c r="L99" s="200"/>
      <c r="M99" s="200"/>
      <c r="N99" s="200"/>
      <c r="O99" s="200">
        <v>777.61</v>
      </c>
      <c r="P99" s="200"/>
      <c r="Q99" s="200"/>
      <c r="T99" s="200"/>
      <c r="U99" s="200"/>
      <c r="V99" s="200"/>
      <c r="W99" s="200"/>
      <c r="X99" s="200">
        <v>10000</v>
      </c>
      <c r="Y99" s="200">
        <v>732.36</v>
      </c>
      <c r="Z99" s="200"/>
      <c r="AA99" s="200"/>
      <c r="AB99" s="200">
        <v>65000</v>
      </c>
      <c r="AC99" s="200">
        <v>2660.64</v>
      </c>
      <c r="AD99" s="200">
        <v>2000</v>
      </c>
      <c r="AE99" s="200">
        <v>113.8</v>
      </c>
      <c r="AF99" s="200">
        <v>24398</v>
      </c>
      <c r="AG99" s="200">
        <v>87.89</v>
      </c>
      <c r="AH99" s="200">
        <v>10000</v>
      </c>
      <c r="AI99" s="200">
        <v>526.01</v>
      </c>
      <c r="AJ99" s="200">
        <v>2000</v>
      </c>
      <c r="AK99" s="200">
        <v>96.28</v>
      </c>
      <c r="AL99" s="200"/>
      <c r="AM99" s="200"/>
      <c r="AN99" s="200">
        <v>5000</v>
      </c>
      <c r="AO99" s="200">
        <v>641.49</v>
      </c>
      <c r="AP99" s="200">
        <v>40000</v>
      </c>
      <c r="AQ99" s="200">
        <v>3025.56</v>
      </c>
      <c r="AR99" s="200"/>
      <c r="AS99" s="200"/>
      <c r="AT99" s="200"/>
      <c r="AU99" s="200"/>
      <c r="AV99" s="200"/>
      <c r="AW99" s="200"/>
      <c r="AX99" s="200">
        <v>10000</v>
      </c>
      <c r="AY99" s="200">
        <v>713.71</v>
      </c>
      <c r="AZ99" s="200"/>
      <c r="BA99" s="200"/>
      <c r="BB99" s="200">
        <v>5758</v>
      </c>
      <c r="BC99" s="200">
        <v>20.13</v>
      </c>
      <c r="BD99" s="200"/>
      <c r="BE99" s="200"/>
      <c r="BF99" s="200"/>
      <c r="BG99" s="200"/>
      <c r="BH99" s="200"/>
      <c r="BI99" s="200"/>
      <c r="BJ99" s="200">
        <f t="shared" si="1"/>
        <v>409156</v>
      </c>
      <c r="BK99" s="200">
        <f t="shared" si="1"/>
        <v>27097.060000000005</v>
      </c>
      <c r="BL99" s="197"/>
      <c r="BM99" s="197"/>
    </row>
    <row r="100" spans="1:66" outlineLevel="1">
      <c r="A100" s="174" t="s">
        <v>651</v>
      </c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>
        <v>120000</v>
      </c>
      <c r="S100" s="200">
        <v>8785</v>
      </c>
      <c r="T100" s="200"/>
      <c r="U100" s="200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  <c r="BE100" s="200"/>
      <c r="BF100" s="200"/>
      <c r="BG100" s="200"/>
      <c r="BH100" s="200"/>
      <c r="BI100" s="200"/>
      <c r="BJ100" s="200">
        <f t="shared" si="1"/>
        <v>120000</v>
      </c>
      <c r="BK100" s="200">
        <f t="shared" si="1"/>
        <v>8785</v>
      </c>
      <c r="BL100" s="197"/>
      <c r="BM100" s="197"/>
    </row>
    <row r="101" spans="1:66" outlineLevel="1">
      <c r="A101" s="174" t="s">
        <v>82</v>
      </c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>
        <v>65000</v>
      </c>
      <c r="AA101" s="200">
        <v>5233</v>
      </c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>
        <v>15000</v>
      </c>
      <c r="AM101" s="200">
        <v>2025</v>
      </c>
      <c r="AN101" s="200"/>
      <c r="AO101" s="200"/>
      <c r="AP101" s="200"/>
      <c r="AQ101" s="200"/>
      <c r="AR101" s="200"/>
      <c r="AS101" s="200"/>
      <c r="AT101" s="200"/>
      <c r="AU101" s="200"/>
      <c r="AV101" s="200"/>
      <c r="AW101" s="200"/>
      <c r="AX101" s="200"/>
      <c r="AY101" s="200"/>
      <c r="AZ101" s="200"/>
      <c r="BA101" s="200"/>
      <c r="BB101" s="200"/>
      <c r="BC101" s="200"/>
      <c r="BD101" s="200"/>
      <c r="BE101" s="200"/>
      <c r="BF101" s="200"/>
      <c r="BG101" s="200"/>
      <c r="BH101" s="200"/>
      <c r="BI101" s="200"/>
      <c r="BJ101" s="200">
        <f t="shared" si="1"/>
        <v>80000</v>
      </c>
      <c r="BK101" s="200">
        <f t="shared" si="1"/>
        <v>7258</v>
      </c>
      <c r="BL101" s="197"/>
      <c r="BM101" s="197"/>
    </row>
    <row r="102" spans="1:66" outlineLevel="1">
      <c r="A102" s="174" t="s">
        <v>83</v>
      </c>
      <c r="B102" s="200"/>
      <c r="C102" s="200">
        <v>250</v>
      </c>
      <c r="D102" s="200"/>
      <c r="E102" s="200">
        <v>7576.58</v>
      </c>
      <c r="F102" s="200">
        <v>55000</v>
      </c>
      <c r="G102" s="200">
        <v>2875</v>
      </c>
      <c r="H102" s="200"/>
      <c r="I102" s="200">
        <v>3125</v>
      </c>
      <c r="J102" s="200"/>
      <c r="K102" s="200">
        <v>937</v>
      </c>
      <c r="L102" s="200"/>
      <c r="M102" s="200"/>
      <c r="N102" s="200">
        <v>10000</v>
      </c>
      <c r="O102" s="200">
        <v>777.61</v>
      </c>
      <c r="P102" s="200"/>
      <c r="Q102" s="200"/>
      <c r="R102" s="200"/>
      <c r="T102" s="200"/>
      <c r="U102" s="200"/>
      <c r="V102" s="200"/>
      <c r="W102" s="200"/>
      <c r="X102" s="200"/>
      <c r="Y102" s="200">
        <v>607.36</v>
      </c>
      <c r="Z102" s="200"/>
      <c r="AA102" s="200"/>
      <c r="AB102" s="200"/>
      <c r="AC102" s="200">
        <v>1848.14</v>
      </c>
      <c r="AD102" s="200"/>
      <c r="AE102" s="200">
        <v>88.8</v>
      </c>
      <c r="AF102" s="200"/>
      <c r="AG102" s="200"/>
      <c r="AH102" s="200"/>
      <c r="AI102" s="200">
        <v>401.01</v>
      </c>
      <c r="AJ102" s="200"/>
      <c r="AK102" s="200">
        <v>71.28</v>
      </c>
      <c r="AL102" s="200"/>
      <c r="AM102" s="200"/>
      <c r="AN102" s="200"/>
      <c r="AO102" s="200">
        <v>578.99</v>
      </c>
      <c r="AP102" s="200"/>
      <c r="AQ102" s="200">
        <v>2525.56</v>
      </c>
      <c r="AR102" s="200"/>
      <c r="AS102" s="200"/>
      <c r="AT102" s="200">
        <v>55000</v>
      </c>
      <c r="AU102" s="200"/>
      <c r="AV102" s="200"/>
      <c r="AW102" s="200"/>
      <c r="AX102" s="200"/>
      <c r="AY102" s="200">
        <v>588.71</v>
      </c>
      <c r="AZ102" s="200"/>
      <c r="BA102" s="200"/>
      <c r="BB102" s="200"/>
      <c r="BC102" s="200"/>
      <c r="BD102" s="200"/>
      <c r="BE102" s="200"/>
      <c r="BF102" s="200"/>
      <c r="BG102" s="200"/>
      <c r="BH102" s="200"/>
      <c r="BI102" s="200"/>
      <c r="BJ102" s="200">
        <f t="shared" si="1"/>
        <v>120000</v>
      </c>
      <c r="BK102" s="200">
        <f t="shared" si="1"/>
        <v>22251.040000000001</v>
      </c>
      <c r="BL102" s="197"/>
      <c r="BM102" s="197"/>
    </row>
    <row r="103" spans="1:66" outlineLevel="1">
      <c r="A103" s="174" t="s">
        <v>652</v>
      </c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>
        <v>6025</v>
      </c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  <c r="AU103" s="200"/>
      <c r="AV103" s="200"/>
      <c r="AW103" s="200"/>
      <c r="AX103" s="200"/>
      <c r="AY103" s="200"/>
      <c r="AZ103" s="200"/>
      <c r="BA103" s="200"/>
      <c r="BB103" s="200"/>
      <c r="BC103" s="200"/>
      <c r="BD103" s="200"/>
      <c r="BE103" s="200"/>
      <c r="BF103" s="200"/>
      <c r="BG103" s="200"/>
      <c r="BH103" s="200"/>
      <c r="BI103" s="200"/>
      <c r="BJ103" s="200">
        <f t="shared" si="1"/>
        <v>0</v>
      </c>
      <c r="BK103" s="200">
        <f t="shared" si="1"/>
        <v>6025</v>
      </c>
      <c r="BL103" s="197"/>
      <c r="BM103" s="197"/>
    </row>
    <row r="104" spans="1:66" outlineLevel="1">
      <c r="A104" s="174" t="s">
        <v>84</v>
      </c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>
        <v>3933</v>
      </c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>
        <v>1706.25</v>
      </c>
      <c r="AN104" s="200"/>
      <c r="AO104" s="200"/>
      <c r="AP104" s="200"/>
      <c r="AQ104" s="200"/>
      <c r="AR104" s="200"/>
      <c r="AS104" s="200"/>
      <c r="AT104" s="200"/>
      <c r="AU104" s="200"/>
      <c r="AV104" s="200"/>
      <c r="AW104" s="200"/>
      <c r="AX104" s="200"/>
      <c r="AY104" s="200"/>
      <c r="AZ104" s="200"/>
      <c r="BA104" s="200"/>
      <c r="BB104" s="200"/>
      <c r="BC104" s="200"/>
      <c r="BD104" s="200"/>
      <c r="BE104" s="200"/>
      <c r="BF104" s="200"/>
      <c r="BG104" s="200"/>
      <c r="BH104" s="200"/>
      <c r="BI104" s="200"/>
      <c r="BJ104" s="200">
        <f t="shared" si="1"/>
        <v>0</v>
      </c>
      <c r="BK104" s="200">
        <f t="shared" si="1"/>
        <v>5639.25</v>
      </c>
      <c r="BL104" s="197">
        <f>SUM(BJ98:BJ104)</f>
        <v>729156</v>
      </c>
      <c r="BM104" s="197">
        <f>SUM(BK98:BK104)</f>
        <v>77055.350000000006</v>
      </c>
      <c r="BN104" s="174">
        <v>2027</v>
      </c>
    </row>
    <row r="105" spans="1:66" outlineLevel="1">
      <c r="A105" s="174" t="s">
        <v>411</v>
      </c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  <c r="AU105" s="200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0"/>
      <c r="BG105" s="200"/>
      <c r="BH105" s="200"/>
      <c r="BI105" s="200"/>
      <c r="BJ105" s="200">
        <f t="shared" si="1"/>
        <v>0</v>
      </c>
      <c r="BK105" s="200">
        <f t="shared" si="1"/>
        <v>0</v>
      </c>
      <c r="BL105" s="197"/>
      <c r="BM105" s="197"/>
    </row>
    <row r="106" spans="1:66" outlineLevel="1">
      <c r="A106" s="174" t="s">
        <v>85</v>
      </c>
      <c r="B106" s="200">
        <v>10000</v>
      </c>
      <c r="C106" s="200">
        <v>250</v>
      </c>
      <c r="D106" s="200">
        <v>145000</v>
      </c>
      <c r="E106" s="200">
        <v>7576.58</v>
      </c>
      <c r="F106" s="200"/>
      <c r="G106" s="200">
        <v>2187.5</v>
      </c>
      <c r="H106" s="200">
        <v>60000</v>
      </c>
      <c r="I106" s="200">
        <v>3125</v>
      </c>
      <c r="J106" s="200">
        <v>25000</v>
      </c>
      <c r="K106" s="200">
        <v>938</v>
      </c>
      <c r="L106" s="200"/>
      <c r="M106" s="200"/>
      <c r="N106" s="200"/>
      <c r="O106" s="200">
        <v>652.61</v>
      </c>
      <c r="P106" s="200"/>
      <c r="Q106" s="200"/>
      <c r="T106" s="200"/>
      <c r="U106" s="200"/>
      <c r="V106" s="200"/>
      <c r="W106" s="200"/>
      <c r="X106" s="200">
        <v>10000</v>
      </c>
      <c r="Y106" s="200">
        <v>607.36</v>
      </c>
      <c r="Z106" s="200"/>
      <c r="AA106" s="200"/>
      <c r="AB106" s="200">
        <v>70000</v>
      </c>
      <c r="AC106" s="200">
        <v>1848.14</v>
      </c>
      <c r="AD106" s="200">
        <v>2000</v>
      </c>
      <c r="AE106" s="200">
        <v>88.8</v>
      </c>
      <c r="AF106" s="200"/>
      <c r="AG106" s="200"/>
      <c r="AH106" s="200">
        <v>10000</v>
      </c>
      <c r="AI106" s="200">
        <v>401.01</v>
      </c>
      <c r="AJ106" s="200">
        <v>2000</v>
      </c>
      <c r="AK106" s="200">
        <v>71.28</v>
      </c>
      <c r="AL106" s="200"/>
      <c r="AM106" s="200"/>
      <c r="AN106" s="200">
        <v>5000</v>
      </c>
      <c r="AO106" s="200">
        <v>578.99</v>
      </c>
      <c r="AP106" s="200">
        <v>40000</v>
      </c>
      <c r="AQ106" s="200">
        <v>2525.56</v>
      </c>
      <c r="AR106" s="200"/>
      <c r="AS106" s="200"/>
      <c r="AT106" s="200"/>
      <c r="AU106" s="200"/>
      <c r="AV106" s="200"/>
      <c r="AW106" s="200"/>
      <c r="AX106" s="200">
        <v>10000</v>
      </c>
      <c r="AY106" s="200">
        <v>588.71</v>
      </c>
      <c r="AZ106" s="200"/>
      <c r="BA106" s="200"/>
      <c r="BB106" s="200"/>
      <c r="BC106" s="200"/>
      <c r="BD106" s="200"/>
      <c r="BE106" s="200"/>
      <c r="BF106" s="200"/>
      <c r="BG106" s="200"/>
      <c r="BH106" s="200"/>
      <c r="BI106" s="200"/>
      <c r="BJ106" s="200">
        <f t="shared" si="1"/>
        <v>389000</v>
      </c>
      <c r="BK106" s="200">
        <f t="shared" si="1"/>
        <v>21439.54</v>
      </c>
      <c r="BL106" s="197"/>
      <c r="BM106" s="197"/>
    </row>
    <row r="107" spans="1:66" outlineLevel="1">
      <c r="A107" s="174" t="s">
        <v>653</v>
      </c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>
        <v>125000</v>
      </c>
      <c r="S107" s="200">
        <v>6025</v>
      </c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  <c r="AU107" s="200"/>
      <c r="AV107" s="200"/>
      <c r="AW107" s="200"/>
      <c r="AX107" s="200"/>
      <c r="AY107" s="200"/>
      <c r="AZ107" s="200"/>
      <c r="BA107" s="200"/>
      <c r="BB107" s="200"/>
      <c r="BC107" s="200"/>
      <c r="BD107" s="200"/>
      <c r="BE107" s="200"/>
      <c r="BF107" s="200"/>
      <c r="BG107" s="200"/>
      <c r="BH107" s="200"/>
      <c r="BI107" s="200"/>
      <c r="BJ107" s="200">
        <f t="shared" si="1"/>
        <v>125000</v>
      </c>
      <c r="BK107" s="200">
        <f t="shared" si="1"/>
        <v>6025</v>
      </c>
      <c r="BL107" s="197"/>
      <c r="BM107" s="197"/>
    </row>
    <row r="108" spans="1:66" outlineLevel="1">
      <c r="A108" s="174" t="s">
        <v>86</v>
      </c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>
        <v>65000</v>
      </c>
      <c r="AA108" s="200">
        <v>3933</v>
      </c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>
        <v>15000</v>
      </c>
      <c r="AM108" s="200">
        <v>1706.25</v>
      </c>
      <c r="AN108" s="200"/>
      <c r="AO108" s="200"/>
      <c r="AP108" s="200"/>
      <c r="AQ108" s="200"/>
      <c r="AR108" s="200"/>
      <c r="AS108" s="200"/>
      <c r="AT108" s="200"/>
      <c r="AU108" s="200"/>
      <c r="AV108" s="200"/>
      <c r="AW108" s="200"/>
      <c r="AX108" s="200"/>
      <c r="AY108" s="200"/>
      <c r="AZ108" s="200"/>
      <c r="BA108" s="200"/>
      <c r="BB108" s="200"/>
      <c r="BC108" s="200"/>
      <c r="BD108" s="200"/>
      <c r="BE108" s="200"/>
      <c r="BF108" s="200"/>
      <c r="BG108" s="200"/>
      <c r="BH108" s="200"/>
      <c r="BI108" s="200"/>
      <c r="BJ108" s="200">
        <f t="shared" si="1"/>
        <v>80000</v>
      </c>
      <c r="BK108" s="200">
        <f t="shared" si="1"/>
        <v>5639.25</v>
      </c>
      <c r="BL108" s="197"/>
      <c r="BM108" s="197"/>
    </row>
    <row r="109" spans="1:66" outlineLevel="1">
      <c r="A109" s="174" t="s">
        <v>87</v>
      </c>
      <c r="B109" s="200"/>
      <c r="C109" s="200">
        <v>125</v>
      </c>
      <c r="D109" s="200"/>
      <c r="E109" s="200">
        <v>5764.08</v>
      </c>
      <c r="F109" s="200">
        <v>55000</v>
      </c>
      <c r="G109" s="200">
        <v>2187.5</v>
      </c>
      <c r="H109" s="200"/>
      <c r="I109" s="200">
        <v>2375</v>
      </c>
      <c r="J109" s="200"/>
      <c r="K109" s="200">
        <v>625</v>
      </c>
      <c r="L109" s="200"/>
      <c r="M109" s="200"/>
      <c r="N109" s="200">
        <v>10000</v>
      </c>
      <c r="O109" s="200">
        <v>652.61</v>
      </c>
      <c r="P109" s="200"/>
      <c r="Q109" s="200"/>
      <c r="R109" s="200"/>
      <c r="T109" s="200"/>
      <c r="U109" s="200"/>
      <c r="V109" s="200"/>
      <c r="W109" s="200"/>
      <c r="X109" s="200"/>
      <c r="Y109" s="200">
        <v>482.36</v>
      </c>
      <c r="Z109" s="200"/>
      <c r="AA109" s="200"/>
      <c r="AB109" s="200"/>
      <c r="AC109" s="200">
        <v>973.14</v>
      </c>
      <c r="AD109" s="200"/>
      <c r="AE109" s="200">
        <v>63.8</v>
      </c>
      <c r="AF109" s="200"/>
      <c r="AG109" s="200"/>
      <c r="AH109" s="200"/>
      <c r="AI109" s="200">
        <v>276.01</v>
      </c>
      <c r="AJ109" s="200"/>
      <c r="AK109" s="200">
        <v>46.28</v>
      </c>
      <c r="AL109" s="200"/>
      <c r="AM109" s="200"/>
      <c r="AN109" s="200"/>
      <c r="AO109" s="200">
        <v>516.49</v>
      </c>
      <c r="AP109" s="200"/>
      <c r="AQ109" s="200">
        <v>2025.56</v>
      </c>
      <c r="AR109" s="200"/>
      <c r="AS109" s="200"/>
      <c r="AT109" s="200">
        <v>45906</v>
      </c>
      <c r="AU109" s="200"/>
      <c r="AV109" s="200"/>
      <c r="AW109" s="200"/>
      <c r="AX109" s="200"/>
      <c r="AY109" s="200">
        <v>463.71</v>
      </c>
      <c r="AZ109" s="200"/>
      <c r="BA109" s="200"/>
      <c r="BB109" s="200"/>
      <c r="BC109" s="200"/>
      <c r="BD109" s="200"/>
      <c r="BE109" s="200"/>
      <c r="BF109" s="200"/>
      <c r="BG109" s="200"/>
      <c r="BH109" s="200"/>
      <c r="BI109" s="200"/>
      <c r="BJ109" s="200">
        <f t="shared" si="1"/>
        <v>110906</v>
      </c>
      <c r="BK109" s="200">
        <f t="shared" si="1"/>
        <v>16576.54</v>
      </c>
      <c r="BL109" s="197"/>
      <c r="BM109" s="197"/>
    </row>
    <row r="110" spans="1:66" outlineLevel="1">
      <c r="A110" s="174" t="s">
        <v>654</v>
      </c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>
        <v>3088</v>
      </c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  <c r="AT110" s="200"/>
      <c r="AU110" s="200"/>
      <c r="AV110" s="200"/>
      <c r="AW110" s="200"/>
      <c r="AX110" s="200"/>
      <c r="AY110" s="200"/>
      <c r="AZ110" s="200"/>
      <c r="BA110" s="200"/>
      <c r="BB110" s="200"/>
      <c r="BC110" s="200"/>
      <c r="BD110" s="200"/>
      <c r="BE110" s="200"/>
      <c r="BF110" s="200"/>
      <c r="BG110" s="200"/>
      <c r="BH110" s="200"/>
      <c r="BI110" s="200"/>
      <c r="BJ110" s="200">
        <f t="shared" si="1"/>
        <v>0</v>
      </c>
      <c r="BK110" s="200">
        <f t="shared" si="1"/>
        <v>3088</v>
      </c>
      <c r="BL110" s="197"/>
      <c r="BM110" s="197"/>
    </row>
    <row r="111" spans="1:66" outlineLevel="1">
      <c r="A111" s="174" t="s">
        <v>88</v>
      </c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>
        <v>2633</v>
      </c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>
        <v>1380</v>
      </c>
      <c r="AN111" s="200"/>
      <c r="AO111" s="200"/>
      <c r="AP111" s="200"/>
      <c r="AQ111" s="200"/>
      <c r="AR111" s="200"/>
      <c r="AS111" s="200"/>
      <c r="AT111" s="200"/>
      <c r="AU111" s="200"/>
      <c r="AV111" s="200"/>
      <c r="AW111" s="200"/>
      <c r="AX111" s="200"/>
      <c r="AY111" s="200"/>
      <c r="AZ111" s="200"/>
      <c r="BA111" s="200"/>
      <c r="BB111" s="200"/>
      <c r="BC111" s="200"/>
      <c r="BD111" s="200"/>
      <c r="BE111" s="200"/>
      <c r="BF111" s="200"/>
      <c r="BG111" s="200"/>
      <c r="BH111" s="200"/>
      <c r="BI111" s="200"/>
      <c r="BJ111" s="200">
        <f t="shared" si="1"/>
        <v>0</v>
      </c>
      <c r="BK111" s="200">
        <f t="shared" si="1"/>
        <v>4013</v>
      </c>
      <c r="BL111" s="197">
        <f>SUM(BJ105:BJ111)</f>
        <v>704906</v>
      </c>
      <c r="BM111" s="197">
        <f>SUM(BK105:BK111)</f>
        <v>56781.33</v>
      </c>
      <c r="BN111" s="174">
        <v>2028</v>
      </c>
    </row>
    <row r="112" spans="1:66" outlineLevel="1">
      <c r="A112" s="174" t="s">
        <v>412</v>
      </c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  <c r="AU112" s="200"/>
      <c r="AV112" s="200"/>
      <c r="AW112" s="200"/>
      <c r="AX112" s="200"/>
      <c r="AY112" s="200"/>
      <c r="AZ112" s="200"/>
      <c r="BA112" s="200"/>
      <c r="BB112" s="200"/>
      <c r="BC112" s="200"/>
      <c r="BD112" s="200"/>
      <c r="BE112" s="200"/>
      <c r="BF112" s="200"/>
      <c r="BG112" s="200"/>
      <c r="BH112" s="200"/>
      <c r="BI112" s="200"/>
      <c r="BJ112" s="200">
        <f t="shared" si="1"/>
        <v>0</v>
      </c>
      <c r="BK112" s="200">
        <f t="shared" si="1"/>
        <v>0</v>
      </c>
      <c r="BL112" s="197"/>
      <c r="BM112" s="197"/>
    </row>
    <row r="113" spans="1:66" outlineLevel="1">
      <c r="A113" s="174" t="s">
        <v>89</v>
      </c>
      <c r="B113" s="200">
        <v>10000</v>
      </c>
      <c r="C113" s="200">
        <v>125</v>
      </c>
      <c r="D113" s="200">
        <v>150000</v>
      </c>
      <c r="E113" s="200">
        <v>5764.08</v>
      </c>
      <c r="F113" s="200"/>
      <c r="G113" s="200">
        <v>1500</v>
      </c>
      <c r="H113" s="200">
        <v>60000</v>
      </c>
      <c r="I113" s="200">
        <v>2375</v>
      </c>
      <c r="J113" s="200">
        <v>25000</v>
      </c>
      <c r="K113" s="200">
        <v>625</v>
      </c>
      <c r="L113" s="200"/>
      <c r="M113" s="200"/>
      <c r="N113" s="200"/>
      <c r="O113" s="200">
        <v>527.61</v>
      </c>
      <c r="P113" s="200"/>
      <c r="Q113" s="200"/>
      <c r="T113" s="200"/>
      <c r="U113" s="200"/>
      <c r="V113" s="200"/>
      <c r="W113" s="200"/>
      <c r="X113" s="200">
        <v>15000</v>
      </c>
      <c r="Y113" s="200">
        <v>482.36</v>
      </c>
      <c r="Z113" s="200"/>
      <c r="AA113" s="200"/>
      <c r="AB113" s="200">
        <v>70000</v>
      </c>
      <c r="AC113" s="200">
        <v>973.14</v>
      </c>
      <c r="AD113" s="200">
        <v>2000</v>
      </c>
      <c r="AE113" s="200">
        <v>63.8</v>
      </c>
      <c r="AF113" s="200"/>
      <c r="AG113" s="200"/>
      <c r="AH113" s="200">
        <v>10000</v>
      </c>
      <c r="AI113" s="200">
        <v>276.01</v>
      </c>
      <c r="AJ113" s="200">
        <v>2000</v>
      </c>
      <c r="AK113" s="200">
        <v>46.28</v>
      </c>
      <c r="AL113" s="200"/>
      <c r="AM113" s="200"/>
      <c r="AN113" s="200">
        <v>10000</v>
      </c>
      <c r="AO113" s="200">
        <v>516.49</v>
      </c>
      <c r="AP113" s="200">
        <v>45000</v>
      </c>
      <c r="AQ113" s="200">
        <v>2025.56</v>
      </c>
      <c r="AR113" s="200"/>
      <c r="AS113" s="200"/>
      <c r="AT113" s="200"/>
      <c r="AU113" s="200"/>
      <c r="AV113" s="200"/>
      <c r="AW113" s="200"/>
      <c r="AX113" s="200">
        <v>10000</v>
      </c>
      <c r="AY113" s="200">
        <v>463.71</v>
      </c>
      <c r="AZ113" s="200"/>
      <c r="BA113" s="200"/>
      <c r="BB113" s="200"/>
      <c r="BC113" s="200"/>
      <c r="BD113" s="200"/>
      <c r="BE113" s="200"/>
      <c r="BF113" s="200"/>
      <c r="BG113" s="200"/>
      <c r="BH113" s="200"/>
      <c r="BI113" s="200"/>
      <c r="BJ113" s="200">
        <f t="shared" si="1"/>
        <v>409000</v>
      </c>
      <c r="BK113" s="200">
        <f t="shared" si="1"/>
        <v>15764.039999999999</v>
      </c>
      <c r="BL113" s="197"/>
      <c r="BM113" s="197"/>
    </row>
    <row r="114" spans="1:66" outlineLevel="1">
      <c r="A114" s="174" t="s">
        <v>655</v>
      </c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>
        <v>130000</v>
      </c>
      <c r="S114" s="200">
        <v>3088</v>
      </c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  <c r="AU114" s="200"/>
      <c r="AV114" s="200"/>
      <c r="AW114" s="200"/>
      <c r="AX114" s="200"/>
      <c r="AY114" s="200"/>
      <c r="AZ114" s="200"/>
      <c r="BA114" s="200"/>
      <c r="BB114" s="200"/>
      <c r="BC114" s="200"/>
      <c r="BD114" s="200"/>
      <c r="BE114" s="200"/>
      <c r="BF114" s="200"/>
      <c r="BG114" s="200"/>
      <c r="BH114" s="200"/>
      <c r="BI114" s="200"/>
      <c r="BJ114" s="200">
        <f t="shared" si="1"/>
        <v>130000</v>
      </c>
      <c r="BK114" s="200">
        <f t="shared" si="1"/>
        <v>3088</v>
      </c>
      <c r="BL114" s="197"/>
      <c r="BM114" s="197"/>
    </row>
    <row r="115" spans="1:66" outlineLevel="1">
      <c r="A115" s="174" t="s">
        <v>90</v>
      </c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>
        <v>65000</v>
      </c>
      <c r="AA115" s="200">
        <v>2633</v>
      </c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>
        <v>15000</v>
      </c>
      <c r="AM115" s="200">
        <v>1380</v>
      </c>
      <c r="AN115" s="200"/>
      <c r="AO115" s="200"/>
      <c r="AP115" s="200"/>
      <c r="AQ115" s="200"/>
      <c r="AR115" s="200"/>
      <c r="AS115" s="200"/>
      <c r="AT115" s="200"/>
      <c r="AU115" s="200"/>
      <c r="AV115" s="200"/>
      <c r="AW115" s="200"/>
      <c r="AX115" s="200"/>
      <c r="AY115" s="200"/>
      <c r="AZ115" s="200"/>
      <c r="BA115" s="200"/>
      <c r="BB115" s="200"/>
      <c r="BC115" s="200"/>
      <c r="BD115" s="200"/>
      <c r="BE115" s="200"/>
      <c r="BF115" s="200"/>
      <c r="BG115" s="200"/>
      <c r="BH115" s="200"/>
      <c r="BI115" s="200"/>
      <c r="BJ115" s="200">
        <f t="shared" si="1"/>
        <v>80000</v>
      </c>
      <c r="BK115" s="200">
        <f t="shared" si="1"/>
        <v>4013</v>
      </c>
      <c r="BL115" s="197"/>
      <c r="BM115" s="197"/>
    </row>
    <row r="116" spans="1:66" outlineLevel="1">
      <c r="A116" s="174" t="s">
        <v>91</v>
      </c>
      <c r="B116" s="200"/>
      <c r="C116" s="200"/>
      <c r="D116" s="200"/>
      <c r="E116" s="200">
        <v>3889.08</v>
      </c>
      <c r="F116" s="203">
        <v>60000</v>
      </c>
      <c r="G116" s="200">
        <v>1500</v>
      </c>
      <c r="H116" s="200"/>
      <c r="I116" s="200">
        <v>1625</v>
      </c>
      <c r="J116" s="200"/>
      <c r="K116" s="200">
        <v>312</v>
      </c>
      <c r="L116" s="200"/>
      <c r="M116" s="200"/>
      <c r="N116" s="200">
        <v>10000</v>
      </c>
      <c r="O116" s="200">
        <v>527.61</v>
      </c>
      <c r="P116" s="200"/>
      <c r="Q116" s="200"/>
      <c r="R116" s="200"/>
      <c r="S116" s="200"/>
      <c r="T116" s="200"/>
      <c r="U116" s="200"/>
      <c r="V116" s="200"/>
      <c r="W116" s="200"/>
      <c r="X116" s="200"/>
      <c r="Y116" s="200">
        <v>294.86</v>
      </c>
      <c r="Z116" s="200"/>
      <c r="AA116" s="200"/>
      <c r="AB116" s="200"/>
      <c r="AC116" s="200">
        <v>98.14</v>
      </c>
      <c r="AD116" s="200"/>
      <c r="AE116" s="200">
        <v>38.799999999999997</v>
      </c>
      <c r="AF116" s="200"/>
      <c r="AG116" s="200"/>
      <c r="AH116" s="200"/>
      <c r="AI116" s="200">
        <v>151.01</v>
      </c>
      <c r="AJ116" s="200"/>
      <c r="AK116" s="200">
        <v>21.28</v>
      </c>
      <c r="AL116" s="200"/>
      <c r="AM116" s="200"/>
      <c r="AN116" s="200"/>
      <c r="AO116" s="200">
        <v>391.49</v>
      </c>
      <c r="AP116" s="200"/>
      <c r="AQ116" s="200">
        <v>1463.06</v>
      </c>
      <c r="AR116" s="200"/>
      <c r="AS116" s="200"/>
      <c r="AT116" s="200"/>
      <c r="AU116" s="200"/>
      <c r="AV116" s="200"/>
      <c r="AW116" s="200"/>
      <c r="AX116" s="200"/>
      <c r="AY116" s="200">
        <v>338.71</v>
      </c>
      <c r="AZ116" s="200"/>
      <c r="BA116" s="200"/>
      <c r="BB116" s="200"/>
      <c r="BC116" s="200"/>
      <c r="BD116" s="200"/>
      <c r="BE116" s="200"/>
      <c r="BF116" s="200"/>
      <c r="BG116" s="200"/>
      <c r="BH116" s="200"/>
      <c r="BI116" s="200"/>
      <c r="BJ116" s="200">
        <f t="shared" si="1"/>
        <v>70000</v>
      </c>
      <c r="BK116" s="200">
        <f t="shared" si="1"/>
        <v>10651.04</v>
      </c>
      <c r="BL116" s="197"/>
      <c r="BM116" s="197"/>
    </row>
    <row r="117" spans="1:66" outlineLevel="1">
      <c r="A117" s="174" t="s">
        <v>656</v>
      </c>
      <c r="B117" s="200"/>
      <c r="C117" s="200"/>
      <c r="D117" s="200"/>
      <c r="E117" s="200"/>
      <c r="F117" s="203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0"/>
      <c r="BC117" s="200"/>
      <c r="BD117" s="200"/>
      <c r="BE117" s="200"/>
      <c r="BF117" s="200"/>
      <c r="BG117" s="200"/>
      <c r="BH117" s="200"/>
      <c r="BI117" s="200"/>
      <c r="BJ117" s="200">
        <f t="shared" si="1"/>
        <v>0</v>
      </c>
      <c r="BK117" s="200">
        <f t="shared" si="1"/>
        <v>0</v>
      </c>
      <c r="BL117" s="197"/>
      <c r="BM117" s="197"/>
    </row>
    <row r="118" spans="1:66" outlineLevel="1">
      <c r="A118" s="174" t="s">
        <v>92</v>
      </c>
      <c r="B118" s="200"/>
      <c r="C118" s="200"/>
      <c r="D118" s="200"/>
      <c r="E118" s="200"/>
      <c r="F118" s="203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>
        <v>1316</v>
      </c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>
        <v>1046.25</v>
      </c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  <c r="BE118" s="200"/>
      <c r="BF118" s="200"/>
      <c r="BG118" s="200"/>
      <c r="BH118" s="200"/>
      <c r="BI118" s="200"/>
      <c r="BJ118" s="200">
        <f t="shared" si="1"/>
        <v>0</v>
      </c>
      <c r="BK118" s="200">
        <f t="shared" si="1"/>
        <v>2362.25</v>
      </c>
      <c r="BL118" s="197">
        <f>SUM(BJ112:BJ118)</f>
        <v>689000</v>
      </c>
      <c r="BM118" s="197">
        <f>SUM(BK112:BK118)</f>
        <v>35878.33</v>
      </c>
      <c r="BN118" s="174">
        <v>2029</v>
      </c>
    </row>
    <row r="119" spans="1:66" outlineLevel="1">
      <c r="A119" s="174" t="s">
        <v>413</v>
      </c>
      <c r="B119" s="200"/>
      <c r="C119" s="200"/>
      <c r="D119" s="200"/>
      <c r="E119" s="200"/>
      <c r="F119" s="203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0"/>
      <c r="BF119" s="200"/>
      <c r="BG119" s="200"/>
      <c r="BH119" s="200"/>
      <c r="BI119" s="200"/>
      <c r="BJ119" s="200">
        <f t="shared" si="1"/>
        <v>0</v>
      </c>
      <c r="BK119" s="200">
        <f t="shared" si="1"/>
        <v>0</v>
      </c>
      <c r="BL119" s="197"/>
      <c r="BM119" s="197"/>
    </row>
    <row r="120" spans="1:66" outlineLevel="1">
      <c r="A120" s="174" t="s">
        <v>93</v>
      </c>
      <c r="B120" s="200"/>
      <c r="C120" s="200"/>
      <c r="D120" s="200">
        <v>155000</v>
      </c>
      <c r="E120" s="200">
        <v>3889.08</v>
      </c>
      <c r="F120" s="203"/>
      <c r="G120" s="200">
        <v>750</v>
      </c>
      <c r="H120" s="200">
        <v>65000</v>
      </c>
      <c r="I120" s="200">
        <v>1625</v>
      </c>
      <c r="J120" s="200">
        <f>25000</f>
        <v>25000</v>
      </c>
      <c r="K120" s="200">
        <v>313</v>
      </c>
      <c r="L120" s="200"/>
      <c r="M120" s="200"/>
      <c r="N120" s="200"/>
      <c r="O120" s="200">
        <v>402.61</v>
      </c>
      <c r="P120" s="200"/>
      <c r="Q120" s="200"/>
      <c r="R120" s="200"/>
      <c r="S120" s="200"/>
      <c r="T120" s="200"/>
      <c r="U120" s="200"/>
      <c r="V120" s="200"/>
      <c r="W120" s="200"/>
      <c r="X120" s="200">
        <v>15000</v>
      </c>
      <c r="Y120" s="200">
        <v>294.86</v>
      </c>
      <c r="Z120" s="200"/>
      <c r="AA120" s="200"/>
      <c r="AB120" s="200">
        <v>39884</v>
      </c>
      <c r="AC120" s="200">
        <v>98.14</v>
      </c>
      <c r="AD120" s="200">
        <v>2000</v>
      </c>
      <c r="AE120" s="200">
        <v>38.799999999999997</v>
      </c>
      <c r="AF120" s="200"/>
      <c r="AG120" s="200"/>
      <c r="AH120" s="200">
        <v>10000</v>
      </c>
      <c r="AI120" s="200">
        <v>151.01</v>
      </c>
      <c r="AJ120" s="120">
        <v>2000</v>
      </c>
      <c r="AK120" s="200">
        <v>21.28</v>
      </c>
      <c r="AL120" s="200"/>
      <c r="AM120" s="200"/>
      <c r="AN120" s="200">
        <v>10000</v>
      </c>
      <c r="AO120" s="200">
        <v>391.49</v>
      </c>
      <c r="AP120" s="200">
        <v>45000</v>
      </c>
      <c r="AQ120" s="200">
        <v>1463.06</v>
      </c>
      <c r="AR120" s="200"/>
      <c r="AS120" s="200"/>
      <c r="AT120" s="200"/>
      <c r="AU120" s="200"/>
      <c r="AV120" s="200"/>
      <c r="AW120" s="200"/>
      <c r="AX120" s="200">
        <v>10000</v>
      </c>
      <c r="AY120" s="200">
        <v>338.71</v>
      </c>
      <c r="AZ120" s="200"/>
      <c r="BA120" s="200"/>
      <c r="BB120" s="200"/>
      <c r="BC120" s="200"/>
      <c r="BD120" s="200"/>
      <c r="BE120" s="200"/>
      <c r="BF120" s="200"/>
      <c r="BG120" s="200"/>
      <c r="BH120" s="200"/>
      <c r="BI120" s="200"/>
      <c r="BJ120" s="200">
        <f t="shared" si="1"/>
        <v>378884</v>
      </c>
      <c r="BK120" s="200">
        <f t="shared" si="1"/>
        <v>9777.0400000000009</v>
      </c>
      <c r="BL120" s="197"/>
      <c r="BM120" s="197"/>
    </row>
    <row r="121" spans="1:66" outlineLevel="1">
      <c r="A121" s="174" t="s">
        <v>657</v>
      </c>
      <c r="B121" s="200"/>
      <c r="C121" s="200"/>
      <c r="D121" s="200"/>
      <c r="E121" s="200"/>
      <c r="F121" s="203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192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200"/>
      <c r="AW121" s="200"/>
      <c r="AX121" s="200"/>
      <c r="AY121" s="200"/>
      <c r="AZ121" s="200"/>
      <c r="BA121" s="200"/>
      <c r="BB121" s="200"/>
      <c r="BC121" s="200"/>
      <c r="BD121" s="200"/>
      <c r="BE121" s="200"/>
      <c r="BF121" s="200"/>
      <c r="BG121" s="200"/>
      <c r="BH121" s="200"/>
      <c r="BI121" s="200"/>
      <c r="BJ121" s="200">
        <f t="shared" si="1"/>
        <v>0</v>
      </c>
      <c r="BK121" s="200">
        <f t="shared" si="1"/>
        <v>0</v>
      </c>
      <c r="BL121" s="197"/>
      <c r="BM121" s="197"/>
    </row>
    <row r="122" spans="1:66" outlineLevel="1">
      <c r="A122" s="174" t="s">
        <v>94</v>
      </c>
      <c r="B122" s="200"/>
      <c r="C122" s="200"/>
      <c r="D122" s="200"/>
      <c r="E122" s="200"/>
      <c r="F122" s="203"/>
      <c r="G122" s="200"/>
      <c r="I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>
        <v>65000</v>
      </c>
      <c r="AA122" s="200">
        <v>1316</v>
      </c>
      <c r="AB122" s="200"/>
      <c r="AC122" s="200"/>
      <c r="AD122" s="200"/>
      <c r="AE122" s="200"/>
      <c r="AF122" s="200"/>
      <c r="AG122" s="200"/>
      <c r="AH122" s="204"/>
      <c r="AI122" s="200"/>
      <c r="AJ122" s="200"/>
      <c r="AK122" s="200"/>
      <c r="AL122" s="200">
        <v>15000</v>
      </c>
      <c r="AM122" s="200">
        <v>1046.25</v>
      </c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00"/>
      <c r="AZ122" s="200"/>
      <c r="BA122" s="200"/>
      <c r="BB122" s="200"/>
      <c r="BC122" s="200"/>
      <c r="BD122" s="200"/>
      <c r="BE122" s="200"/>
      <c r="BF122" s="200"/>
      <c r="BG122" s="200"/>
      <c r="BH122" s="200"/>
      <c r="BI122" s="200"/>
      <c r="BJ122" s="200">
        <f t="shared" si="1"/>
        <v>80000</v>
      </c>
      <c r="BK122" s="200">
        <f t="shared" si="1"/>
        <v>2362.25</v>
      </c>
      <c r="BL122" s="197"/>
      <c r="BM122" s="197"/>
    </row>
    <row r="123" spans="1:66" outlineLevel="1">
      <c r="A123" s="174" t="s">
        <v>95</v>
      </c>
      <c r="B123" s="200"/>
      <c r="C123" s="200"/>
      <c r="D123" s="200"/>
      <c r="E123" s="200">
        <v>1951.58</v>
      </c>
      <c r="F123" s="203">
        <v>60000</v>
      </c>
      <c r="G123" s="200">
        <v>750</v>
      </c>
      <c r="I123" s="200">
        <v>812.5</v>
      </c>
      <c r="K123" s="200"/>
      <c r="L123" s="200"/>
      <c r="M123" s="200"/>
      <c r="N123" s="200">
        <v>10000</v>
      </c>
      <c r="O123" s="200">
        <v>402.61</v>
      </c>
      <c r="P123" s="200"/>
      <c r="Q123" s="200"/>
      <c r="R123" s="200"/>
      <c r="S123" s="200"/>
      <c r="T123" s="200"/>
      <c r="U123" s="200"/>
      <c r="V123" s="200"/>
      <c r="W123" s="200"/>
      <c r="X123" s="200"/>
      <c r="Y123" s="200">
        <v>107.36</v>
      </c>
      <c r="Z123" s="200"/>
      <c r="AA123" s="200"/>
      <c r="AB123" s="200"/>
      <c r="AC123" s="200"/>
      <c r="AD123" s="200"/>
      <c r="AE123" s="200">
        <v>13.8</v>
      </c>
      <c r="AF123" s="200"/>
      <c r="AG123" s="200"/>
      <c r="AH123" s="200"/>
      <c r="AI123" s="200">
        <v>26.01</v>
      </c>
      <c r="AJ123" s="200"/>
      <c r="AK123" s="200"/>
      <c r="AL123" s="200"/>
      <c r="AM123" s="200"/>
      <c r="AN123" s="200"/>
      <c r="AO123" s="200">
        <v>266.49</v>
      </c>
      <c r="AP123" s="200"/>
      <c r="AQ123" s="200">
        <v>900.56</v>
      </c>
      <c r="AR123" s="200"/>
      <c r="AS123" s="200"/>
      <c r="AT123" s="200"/>
      <c r="AU123" s="200"/>
      <c r="AV123" s="200"/>
      <c r="AW123" s="200"/>
      <c r="AX123" s="200"/>
      <c r="AY123" s="200">
        <v>213.71</v>
      </c>
      <c r="AZ123" s="200"/>
      <c r="BA123" s="200"/>
      <c r="BB123" s="200"/>
      <c r="BC123" s="200"/>
      <c r="BD123" s="200"/>
      <c r="BE123" s="200"/>
      <c r="BF123" s="200"/>
      <c r="BG123" s="200"/>
      <c r="BH123" s="200"/>
      <c r="BI123" s="200"/>
      <c r="BJ123" s="200">
        <f t="shared" si="1"/>
        <v>70000</v>
      </c>
      <c r="BK123" s="200">
        <f t="shared" si="1"/>
        <v>5444.62</v>
      </c>
    </row>
    <row r="124" spans="1:66" outlineLevel="1">
      <c r="A124" s="174" t="s">
        <v>658</v>
      </c>
      <c r="B124" s="200"/>
      <c r="C124" s="200"/>
      <c r="D124" s="200"/>
      <c r="E124" s="200"/>
      <c r="F124" s="203"/>
      <c r="G124" s="200"/>
      <c r="I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200"/>
      <c r="AY124" s="200"/>
      <c r="AZ124" s="200"/>
      <c r="BA124" s="200"/>
      <c r="BB124" s="200"/>
      <c r="BC124" s="200"/>
      <c r="BD124" s="200"/>
      <c r="BE124" s="200"/>
      <c r="BF124" s="200"/>
      <c r="BG124" s="200"/>
      <c r="BH124" s="200"/>
      <c r="BI124" s="200"/>
      <c r="BJ124" s="200">
        <f t="shared" si="1"/>
        <v>0</v>
      </c>
      <c r="BK124" s="200">
        <f t="shared" si="1"/>
        <v>0</v>
      </c>
    </row>
    <row r="125" spans="1:66" outlineLevel="1">
      <c r="A125" s="174" t="s">
        <v>414</v>
      </c>
      <c r="B125" s="200"/>
      <c r="C125" s="200"/>
      <c r="D125" s="200"/>
      <c r="E125" s="200"/>
      <c r="F125" s="203"/>
      <c r="G125" s="200"/>
      <c r="I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I125" s="200"/>
      <c r="AJ125" s="200"/>
      <c r="AK125" s="200"/>
      <c r="AL125" s="200"/>
      <c r="AM125" s="200">
        <v>705</v>
      </c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00"/>
      <c r="AZ125" s="200"/>
      <c r="BA125" s="200"/>
      <c r="BB125" s="200"/>
      <c r="BC125" s="200"/>
      <c r="BD125" s="200"/>
      <c r="BE125" s="200"/>
      <c r="BF125" s="200"/>
      <c r="BG125" s="200"/>
      <c r="BH125" s="200"/>
      <c r="BI125" s="200"/>
      <c r="BJ125" s="200">
        <f t="shared" si="1"/>
        <v>0</v>
      </c>
      <c r="BK125" s="200">
        <f t="shared" si="1"/>
        <v>705</v>
      </c>
      <c r="BL125" s="197">
        <f>SUM(BJ119:BJ125)</f>
        <v>528884</v>
      </c>
      <c r="BM125" s="197">
        <f>SUM(BK119:BK125)</f>
        <v>18288.91</v>
      </c>
      <c r="BN125" s="174">
        <v>2030</v>
      </c>
    </row>
    <row r="126" spans="1:66" outlineLevel="1">
      <c r="A126" s="174" t="s">
        <v>415</v>
      </c>
      <c r="B126" s="200"/>
      <c r="C126" s="200"/>
      <c r="D126" s="200"/>
      <c r="E126" s="200"/>
      <c r="F126" s="203"/>
      <c r="G126" s="200"/>
      <c r="I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  <c r="BB126" s="200"/>
      <c r="BC126" s="200"/>
      <c r="BD126" s="200"/>
      <c r="BE126" s="200"/>
      <c r="BF126" s="200"/>
      <c r="BG126" s="200"/>
      <c r="BH126" s="200"/>
      <c r="BI126" s="200"/>
      <c r="BJ126" s="200">
        <f t="shared" si="1"/>
        <v>0</v>
      </c>
      <c r="BK126" s="200">
        <f t="shared" si="1"/>
        <v>0</v>
      </c>
      <c r="BL126" s="197"/>
      <c r="BM126" s="197"/>
    </row>
    <row r="127" spans="1:66" ht="13.5" customHeight="1" outlineLevel="1">
      <c r="A127" s="174" t="s">
        <v>96</v>
      </c>
      <c r="B127" s="200"/>
      <c r="C127" s="200"/>
      <c r="D127" s="200">
        <v>156126</v>
      </c>
      <c r="E127" s="200">
        <v>1951.58</v>
      </c>
      <c r="F127" s="200"/>
      <c r="G127" s="200"/>
      <c r="H127" s="200">
        <v>65000</v>
      </c>
      <c r="I127" s="200">
        <v>812.5</v>
      </c>
      <c r="J127" s="200"/>
      <c r="K127" s="200"/>
      <c r="L127" s="200"/>
      <c r="M127" s="200"/>
      <c r="N127" s="200"/>
      <c r="O127" s="200">
        <v>277.61</v>
      </c>
      <c r="P127" s="200"/>
      <c r="Q127" s="200"/>
      <c r="R127" s="200"/>
      <c r="S127" s="200"/>
      <c r="T127" s="200"/>
      <c r="U127" s="200"/>
      <c r="V127" s="200"/>
      <c r="W127" s="200"/>
      <c r="X127" s="200">
        <v>8589</v>
      </c>
      <c r="Y127" s="200">
        <v>107.36</v>
      </c>
      <c r="Z127" s="200"/>
      <c r="AA127" s="200"/>
      <c r="AB127" s="200"/>
      <c r="AC127" s="200"/>
      <c r="AD127" s="200">
        <f>1104+621</f>
        <v>1725</v>
      </c>
      <c r="AE127" s="200">
        <v>13.8</v>
      </c>
      <c r="AF127" s="200"/>
      <c r="AG127" s="200"/>
      <c r="AH127" s="120">
        <v>10000</v>
      </c>
      <c r="AI127" s="200">
        <v>26.01</v>
      </c>
      <c r="AJ127" s="200">
        <v>1522</v>
      </c>
      <c r="AK127" s="200"/>
      <c r="AL127" s="200"/>
      <c r="AM127" s="200"/>
      <c r="AN127" s="200">
        <v>10000</v>
      </c>
      <c r="AO127" s="200">
        <v>266.49</v>
      </c>
      <c r="AP127" s="200">
        <v>45000</v>
      </c>
      <c r="AQ127" s="200">
        <v>900.56</v>
      </c>
      <c r="AR127" s="200"/>
      <c r="AS127" s="200"/>
      <c r="AT127" s="200"/>
      <c r="AU127" s="200"/>
      <c r="AV127" s="200"/>
      <c r="AW127" s="200"/>
      <c r="AX127" s="200">
        <v>10000</v>
      </c>
      <c r="AY127" s="200">
        <v>213.71</v>
      </c>
      <c r="AZ127" s="200"/>
      <c r="BA127" s="200"/>
      <c r="BB127" s="200"/>
      <c r="BC127" s="200"/>
      <c r="BD127" s="200"/>
      <c r="BE127" s="200"/>
      <c r="BF127" s="200"/>
      <c r="BG127" s="200"/>
      <c r="BH127" s="200"/>
      <c r="BI127" s="200"/>
      <c r="BJ127" s="200">
        <f t="shared" si="1"/>
        <v>307962</v>
      </c>
      <c r="BK127" s="200">
        <f t="shared" si="1"/>
        <v>4569.62</v>
      </c>
    </row>
    <row r="128" spans="1:66" ht="13.5" customHeight="1" outlineLevel="1">
      <c r="A128" s="174" t="s">
        <v>659</v>
      </c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00"/>
      <c r="AZ128" s="200"/>
      <c r="BA128" s="200"/>
      <c r="BB128" s="200"/>
      <c r="BC128" s="200"/>
      <c r="BD128" s="200"/>
      <c r="BE128" s="200"/>
      <c r="BF128" s="200"/>
      <c r="BG128" s="200"/>
      <c r="BH128" s="200"/>
      <c r="BI128" s="200"/>
      <c r="BJ128" s="200">
        <f t="shared" si="1"/>
        <v>0</v>
      </c>
      <c r="BK128" s="200">
        <f t="shared" si="1"/>
        <v>0</v>
      </c>
    </row>
    <row r="129" spans="1:66" ht="13.5" customHeight="1" outlineLevel="1">
      <c r="A129" s="174" t="s">
        <v>416</v>
      </c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>
        <v>15000</v>
      </c>
      <c r="AM129" s="200">
        <v>705</v>
      </c>
      <c r="AN129" s="200"/>
      <c r="AO129" s="200"/>
      <c r="AP129" s="200"/>
      <c r="AQ129" s="200"/>
      <c r="AR129" s="200"/>
      <c r="AS129" s="200"/>
      <c r="AT129" s="200"/>
      <c r="AU129" s="200"/>
      <c r="AV129" s="200"/>
      <c r="AW129" s="200"/>
      <c r="AX129" s="200"/>
      <c r="AY129" s="200"/>
      <c r="AZ129" s="200"/>
      <c r="BA129" s="200"/>
      <c r="BB129" s="200"/>
      <c r="BC129" s="200"/>
      <c r="BD129" s="200"/>
      <c r="BE129" s="200"/>
      <c r="BF129" s="200"/>
      <c r="BG129" s="200"/>
      <c r="BH129" s="200"/>
      <c r="BI129" s="200"/>
      <c r="BJ129" s="200">
        <f t="shared" si="1"/>
        <v>15000</v>
      </c>
      <c r="BK129" s="200">
        <f t="shared" si="1"/>
        <v>705</v>
      </c>
      <c r="BL129" s="197"/>
      <c r="BM129" s="197"/>
    </row>
    <row r="130" spans="1:66" ht="13.5" customHeight="1" outlineLevel="1">
      <c r="A130" s="174" t="s">
        <v>417</v>
      </c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>
        <v>10000</v>
      </c>
      <c r="O130" s="200">
        <v>277.61</v>
      </c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>
        <v>141.49</v>
      </c>
      <c r="AP130" s="200"/>
      <c r="AQ130" s="200">
        <v>338.06</v>
      </c>
      <c r="AR130" s="200"/>
      <c r="AS130" s="200"/>
      <c r="AT130" s="200"/>
      <c r="AU130" s="200"/>
      <c r="AV130" s="200"/>
      <c r="AW130" s="200"/>
      <c r="AX130" s="200"/>
      <c r="AY130" s="200">
        <v>88.71</v>
      </c>
      <c r="AZ130" s="200"/>
      <c r="BA130" s="200"/>
      <c r="BB130" s="200"/>
      <c r="BC130" s="200"/>
      <c r="BD130" s="200"/>
      <c r="BE130" s="200"/>
      <c r="BF130" s="200"/>
      <c r="BG130" s="200"/>
      <c r="BH130" s="200"/>
      <c r="BI130" s="200"/>
      <c r="BJ130" s="200">
        <f t="shared" si="1"/>
        <v>10000</v>
      </c>
      <c r="BK130" s="200">
        <f t="shared" si="1"/>
        <v>845.87</v>
      </c>
      <c r="BL130" s="197"/>
      <c r="BM130" s="197"/>
    </row>
    <row r="131" spans="1:66" ht="13.5" customHeight="1" outlineLevel="1">
      <c r="A131" s="174" t="s">
        <v>660</v>
      </c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200"/>
      <c r="AW131" s="200"/>
      <c r="AX131" s="200"/>
      <c r="AY131" s="200"/>
      <c r="AZ131" s="200"/>
      <c r="BA131" s="200"/>
      <c r="BB131" s="200"/>
      <c r="BC131" s="200"/>
      <c r="BD131" s="200"/>
      <c r="BE131" s="200"/>
      <c r="BF131" s="200"/>
      <c r="BG131" s="200"/>
      <c r="BH131" s="200"/>
      <c r="BI131" s="200"/>
      <c r="BJ131" s="200">
        <f t="shared" si="1"/>
        <v>0</v>
      </c>
      <c r="BK131" s="200">
        <f t="shared" si="1"/>
        <v>0</v>
      </c>
      <c r="BL131" s="197"/>
      <c r="BM131" s="197"/>
    </row>
    <row r="132" spans="1:66" ht="13.5" customHeight="1" outlineLevel="1">
      <c r="A132" s="174" t="s">
        <v>418</v>
      </c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>
        <v>356.25</v>
      </c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>
        <f t="shared" si="1"/>
        <v>0</v>
      </c>
      <c r="BK132" s="200">
        <f t="shared" si="1"/>
        <v>356.25</v>
      </c>
      <c r="BL132" s="197">
        <f>SUM(BJ126:BJ132)</f>
        <v>332962</v>
      </c>
      <c r="BM132" s="197">
        <f>SUM(BK126:BK132)</f>
        <v>6476.74</v>
      </c>
      <c r="BN132" s="174">
        <v>2031</v>
      </c>
    </row>
    <row r="133" spans="1:66" ht="13.5" customHeight="1" outlineLevel="1">
      <c r="A133" s="174" t="s">
        <v>419</v>
      </c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AX133" s="200"/>
      <c r="AY133" s="200"/>
      <c r="AZ133" s="200"/>
      <c r="BA133" s="200"/>
      <c r="BB133" s="200"/>
      <c r="BC133" s="200"/>
      <c r="BD133" s="200"/>
      <c r="BE133" s="200"/>
      <c r="BF133" s="200"/>
      <c r="BG133" s="200"/>
      <c r="BH133" s="200"/>
      <c r="BI133" s="200"/>
      <c r="BJ133" s="200">
        <f t="shared" si="1"/>
        <v>0</v>
      </c>
      <c r="BK133" s="200">
        <f t="shared" si="1"/>
        <v>0</v>
      </c>
      <c r="BL133" s="197"/>
      <c r="BM133" s="197"/>
    </row>
    <row r="134" spans="1:66" ht="13.5" customHeight="1" outlineLevel="1">
      <c r="A134" s="174" t="s">
        <v>420</v>
      </c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>
        <v>152.61000000000001</v>
      </c>
      <c r="P134" s="200"/>
      <c r="Q134" s="200"/>
      <c r="R134" s="200"/>
      <c r="S134" s="200"/>
      <c r="T134" s="200"/>
      <c r="U134" s="200"/>
      <c r="V134" s="200"/>
      <c r="W134" s="200"/>
      <c r="X134" s="192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>
        <v>1493</v>
      </c>
      <c r="AK134" s="200"/>
      <c r="AL134" s="200"/>
      <c r="AM134" s="200"/>
      <c r="AN134" s="200">
        <v>11319</v>
      </c>
      <c r="AO134" s="200">
        <v>141.49</v>
      </c>
      <c r="AP134" s="200">
        <f>27045+1872</f>
        <v>28917</v>
      </c>
      <c r="AQ134" s="200">
        <v>338.06</v>
      </c>
      <c r="AR134" s="200"/>
      <c r="AS134" s="200"/>
      <c r="AT134" s="200"/>
      <c r="AU134" s="200"/>
      <c r="AV134" s="200"/>
      <c r="AW134" s="200"/>
      <c r="AX134" s="200">
        <v>9934</v>
      </c>
      <c r="AY134" s="200">
        <v>88.71</v>
      </c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>
        <f t="shared" si="1"/>
        <v>51663</v>
      </c>
      <c r="BK134" s="200">
        <f t="shared" si="1"/>
        <v>720.87</v>
      </c>
      <c r="BL134" s="197"/>
      <c r="BM134" s="197"/>
    </row>
    <row r="135" spans="1:66" ht="13.5" customHeight="1" outlineLevel="1">
      <c r="A135" s="174" t="s">
        <v>661</v>
      </c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192"/>
      <c r="Y135" s="200"/>
      <c r="Z135" s="200"/>
      <c r="AA135" s="200"/>
      <c r="AB135" s="200"/>
      <c r="AC135" s="200"/>
      <c r="AD135" s="200"/>
      <c r="AE135" s="200"/>
      <c r="AF135" s="200"/>
      <c r="AG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200"/>
      <c r="AW135" s="200"/>
      <c r="AX135" s="200"/>
      <c r="AY135" s="200"/>
      <c r="AZ135" s="200"/>
      <c r="BA135" s="200"/>
      <c r="BB135" s="200"/>
      <c r="BC135" s="200"/>
      <c r="BD135" s="200"/>
      <c r="BE135" s="200"/>
      <c r="BF135" s="200"/>
      <c r="BG135" s="200"/>
      <c r="BH135" s="200"/>
      <c r="BI135" s="200"/>
      <c r="BJ135" s="200">
        <f t="shared" si="1"/>
        <v>0</v>
      </c>
      <c r="BK135" s="200">
        <f t="shared" si="1"/>
        <v>0</v>
      </c>
      <c r="BL135" s="197"/>
      <c r="BM135" s="197"/>
    </row>
    <row r="136" spans="1:66" ht="13.5" customHeight="1" outlineLevel="1">
      <c r="A136" s="174" t="s">
        <v>421</v>
      </c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>
        <v>15000</v>
      </c>
      <c r="AM136" s="200">
        <v>356.25</v>
      </c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00"/>
      <c r="AZ136" s="200"/>
      <c r="BA136" s="200"/>
      <c r="BB136" s="200"/>
      <c r="BC136" s="200"/>
      <c r="BD136" s="200"/>
      <c r="BE136" s="200"/>
      <c r="BF136" s="200"/>
      <c r="BG136" s="200"/>
      <c r="BH136" s="200"/>
      <c r="BI136" s="200"/>
      <c r="BJ136" s="200">
        <f t="shared" si="1"/>
        <v>15000</v>
      </c>
      <c r="BK136" s="200">
        <f t="shared" si="1"/>
        <v>356.25</v>
      </c>
      <c r="BL136" s="197"/>
      <c r="BM136" s="197"/>
    </row>
    <row r="137" spans="1:66" ht="13.5" customHeight="1" outlineLevel="1">
      <c r="A137" s="174" t="s">
        <v>422</v>
      </c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>
        <v>12209</v>
      </c>
      <c r="O137" s="200">
        <v>152.61000000000001</v>
      </c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 s="200"/>
      <c r="AY137" s="200"/>
      <c r="AZ137" s="200"/>
      <c r="BA137" s="200"/>
      <c r="BB137" s="200"/>
      <c r="BC137" s="200"/>
      <c r="BD137" s="200"/>
      <c r="BE137" s="200"/>
      <c r="BF137" s="200"/>
      <c r="BG137" s="200"/>
      <c r="BH137" s="200"/>
      <c r="BI137" s="200"/>
      <c r="BJ137" s="200">
        <f t="shared" ref="BJ137:BK160" si="2">SUM(BH137,BF137,BD137,BB137,AZ137,AX137,AV137,AT137,AR137,AP137,AN137,AL137,AJ137,AH137,AF137,AD137,AB137,Z137,X137,V137,T137,R137,P137,N137,L137,J137,H137,F137,D137,B137)</f>
        <v>12209</v>
      </c>
      <c r="BK137" s="200">
        <f t="shared" si="2"/>
        <v>152.61000000000001</v>
      </c>
      <c r="BL137" s="197"/>
      <c r="BM137" s="197"/>
    </row>
    <row r="138" spans="1:66" ht="13.5" customHeight="1" outlineLevel="1">
      <c r="A138" s="174" t="s">
        <v>662</v>
      </c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200"/>
      <c r="AW138" s="200"/>
      <c r="AX138" s="200"/>
      <c r="AY138" s="200"/>
      <c r="AZ138" s="200"/>
      <c r="BA138" s="200"/>
      <c r="BB138" s="200"/>
      <c r="BC138" s="200"/>
      <c r="BD138" s="200"/>
      <c r="BE138" s="200"/>
      <c r="BF138" s="200"/>
      <c r="BG138" s="200"/>
      <c r="BH138" s="200"/>
      <c r="BI138" s="200"/>
      <c r="BJ138" s="200">
        <f t="shared" si="2"/>
        <v>0</v>
      </c>
      <c r="BK138" s="200">
        <f t="shared" si="2"/>
        <v>0</v>
      </c>
      <c r="BL138" s="197"/>
      <c r="BM138" s="197"/>
    </row>
    <row r="139" spans="1:66" ht="13.5" customHeight="1" outlineLevel="1">
      <c r="A139" s="174" t="s">
        <v>423</v>
      </c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AX139" s="200"/>
      <c r="AY139" s="200"/>
      <c r="AZ139" s="200"/>
      <c r="BA139" s="200"/>
      <c r="BB139" s="200"/>
      <c r="BC139" s="200"/>
      <c r="BD139" s="200"/>
      <c r="BE139" s="200"/>
      <c r="BF139" s="200"/>
      <c r="BG139" s="200"/>
      <c r="BH139" s="200"/>
      <c r="BI139" s="200"/>
      <c r="BJ139" s="200">
        <f t="shared" si="2"/>
        <v>0</v>
      </c>
      <c r="BK139" s="200">
        <f t="shared" si="2"/>
        <v>0</v>
      </c>
      <c r="BL139" s="197">
        <f>SUM(BJ133:BJ139)</f>
        <v>78872</v>
      </c>
      <c r="BM139" s="197">
        <f>SUM(BK133:BK139)</f>
        <v>1229.73</v>
      </c>
      <c r="BN139" s="174">
        <v>2032</v>
      </c>
    </row>
    <row r="140" spans="1:66" ht="13.5" customHeight="1" outlineLevel="1">
      <c r="A140" s="174" t="s">
        <v>424</v>
      </c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200"/>
      <c r="AW140" s="200"/>
      <c r="AX140" s="200"/>
      <c r="AY140" s="200"/>
      <c r="AZ140" s="200"/>
      <c r="BA140" s="200"/>
      <c r="BB140" s="200"/>
      <c r="BC140" s="200"/>
      <c r="BD140" s="200"/>
      <c r="BE140" s="200"/>
      <c r="BF140" s="200"/>
      <c r="BG140" s="200"/>
      <c r="BH140" s="200"/>
      <c r="BI140" s="200"/>
      <c r="BJ140" s="200">
        <f t="shared" si="2"/>
        <v>0</v>
      </c>
      <c r="BK140" s="200">
        <f t="shared" si="2"/>
        <v>0</v>
      </c>
      <c r="BL140" s="197"/>
      <c r="BM140" s="197"/>
    </row>
    <row r="141" spans="1:66" ht="13.5" customHeight="1" outlineLevel="1">
      <c r="A141" s="174" t="s">
        <v>425</v>
      </c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194"/>
      <c r="AU141" s="194"/>
      <c r="AV141" s="194"/>
      <c r="AW141" s="200"/>
      <c r="AX141" s="200"/>
      <c r="AY141" s="200"/>
      <c r="AZ141" s="200"/>
      <c r="BA141" s="200"/>
      <c r="BB141" s="200"/>
      <c r="BC141" s="200"/>
      <c r="BD141" s="200"/>
      <c r="BE141" s="200"/>
      <c r="BF141" s="200"/>
      <c r="BG141" s="200"/>
      <c r="BH141" s="200"/>
      <c r="BI141" s="200"/>
      <c r="BJ141" s="200">
        <f t="shared" si="2"/>
        <v>0</v>
      </c>
      <c r="BK141" s="200">
        <f t="shared" si="2"/>
        <v>0</v>
      </c>
      <c r="BL141" s="197"/>
      <c r="BM141" s="197"/>
    </row>
    <row r="142" spans="1:66" ht="13.5" customHeight="1" outlineLevel="1">
      <c r="A142" s="174" t="s">
        <v>663</v>
      </c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194"/>
      <c r="AU142" s="194"/>
      <c r="AV142" s="194"/>
      <c r="AW142" s="200"/>
      <c r="AX142" s="200"/>
      <c r="AY142" s="200"/>
      <c r="AZ142" s="200"/>
      <c r="BA142" s="200"/>
      <c r="BB142" s="200"/>
      <c r="BC142" s="200"/>
      <c r="BD142" s="200"/>
      <c r="BE142" s="200"/>
      <c r="BF142" s="200"/>
      <c r="BG142" s="200"/>
      <c r="BH142" s="200"/>
      <c r="BI142" s="200"/>
      <c r="BJ142" s="200">
        <f t="shared" si="2"/>
        <v>0</v>
      </c>
      <c r="BK142" s="200">
        <f t="shared" si="2"/>
        <v>0</v>
      </c>
      <c r="BL142" s="197"/>
      <c r="BM142" s="197"/>
    </row>
    <row r="143" spans="1:66" ht="13.5" customHeight="1" outlineLevel="1">
      <c r="A143" s="174" t="s">
        <v>426</v>
      </c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AX143" s="200"/>
      <c r="AY143" s="200"/>
      <c r="AZ143" s="200"/>
      <c r="BA143" s="200"/>
      <c r="BB143" s="200"/>
      <c r="BC143" s="200"/>
      <c r="BD143" s="200"/>
      <c r="BE143" s="200"/>
      <c r="BF143" s="200"/>
      <c r="BG143" s="200"/>
      <c r="BH143" s="200"/>
      <c r="BI143" s="200"/>
      <c r="BJ143" s="200">
        <f t="shared" si="2"/>
        <v>0</v>
      </c>
      <c r="BK143" s="200">
        <f t="shared" si="2"/>
        <v>0</v>
      </c>
      <c r="BL143" s="197"/>
      <c r="BM143" s="197"/>
    </row>
    <row r="144" spans="1:66" ht="13.5" customHeight="1" outlineLevel="1">
      <c r="A144" s="174" t="s">
        <v>427</v>
      </c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>
        <f t="shared" si="2"/>
        <v>0</v>
      </c>
      <c r="BK144" s="200">
        <f t="shared" si="2"/>
        <v>0</v>
      </c>
      <c r="BL144" s="197"/>
      <c r="BM144" s="197"/>
    </row>
    <row r="145" spans="1:66" ht="13.5" customHeight="1" outlineLevel="1">
      <c r="A145" s="174" t="s">
        <v>664</v>
      </c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  <c r="AU145" s="200"/>
      <c r="AV145" s="200"/>
      <c r="AW145" s="200"/>
      <c r="AX145" s="200"/>
      <c r="AY145" s="200"/>
      <c r="AZ145" s="200"/>
      <c r="BA145" s="200"/>
      <c r="BB145" s="200"/>
      <c r="BC145" s="200"/>
      <c r="BD145" s="200"/>
      <c r="BE145" s="200"/>
      <c r="BF145" s="200"/>
      <c r="BG145" s="200"/>
      <c r="BH145" s="200"/>
      <c r="BI145" s="200"/>
      <c r="BJ145" s="200">
        <f t="shared" si="2"/>
        <v>0</v>
      </c>
      <c r="BK145" s="200">
        <f t="shared" si="2"/>
        <v>0</v>
      </c>
      <c r="BL145" s="197"/>
      <c r="BM145" s="197"/>
    </row>
    <row r="146" spans="1:66" ht="13.5" customHeight="1" outlineLevel="1">
      <c r="A146" s="174" t="s">
        <v>428</v>
      </c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AX146" s="200"/>
      <c r="AY146" s="200"/>
      <c r="AZ146" s="200"/>
      <c r="BA146" s="200"/>
      <c r="BB146" s="200"/>
      <c r="BC146" s="200"/>
      <c r="BD146" s="200"/>
      <c r="BE146" s="200"/>
      <c r="BF146" s="200"/>
      <c r="BG146" s="200"/>
      <c r="BH146" s="200"/>
      <c r="BI146" s="200"/>
      <c r="BJ146" s="200">
        <f t="shared" si="2"/>
        <v>0</v>
      </c>
      <c r="BK146" s="200">
        <f t="shared" si="2"/>
        <v>0</v>
      </c>
      <c r="BL146" s="197">
        <f>SUM(BJ140:BJ146)</f>
        <v>0</v>
      </c>
      <c r="BM146" s="197">
        <f>SUM(BK140:BK146)</f>
        <v>0</v>
      </c>
      <c r="BN146" s="174">
        <v>2033</v>
      </c>
    </row>
    <row r="147" spans="1:66" ht="13.5" customHeight="1" outlineLevel="1">
      <c r="A147" s="174" t="s">
        <v>429</v>
      </c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  <c r="AU147" s="200"/>
      <c r="AV147" s="200"/>
      <c r="AW147" s="200"/>
      <c r="AX147" s="200"/>
      <c r="AY147" s="200"/>
      <c r="AZ147" s="200"/>
      <c r="BA147" s="200"/>
      <c r="BB147" s="200"/>
      <c r="BC147" s="200"/>
      <c r="BD147" s="200"/>
      <c r="BE147" s="200"/>
      <c r="BF147" s="200"/>
      <c r="BG147" s="200"/>
      <c r="BH147" s="200"/>
      <c r="BI147" s="200"/>
      <c r="BJ147" s="200">
        <f t="shared" si="2"/>
        <v>0</v>
      </c>
      <c r="BK147" s="200">
        <f t="shared" si="2"/>
        <v>0</v>
      </c>
      <c r="BL147" s="197"/>
      <c r="BM147" s="197"/>
    </row>
    <row r="148" spans="1:66" ht="13.5" customHeight="1" outlineLevel="1">
      <c r="A148" s="174" t="s">
        <v>430</v>
      </c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00"/>
      <c r="AZ148" s="200"/>
      <c r="BA148" s="200"/>
      <c r="BB148" s="200"/>
      <c r="BC148" s="200"/>
      <c r="BD148" s="200"/>
      <c r="BE148" s="200"/>
      <c r="BF148" s="200"/>
      <c r="BG148" s="200"/>
      <c r="BH148" s="200"/>
      <c r="BI148" s="200"/>
      <c r="BJ148" s="200">
        <f t="shared" si="2"/>
        <v>0</v>
      </c>
      <c r="BK148" s="200">
        <f t="shared" si="2"/>
        <v>0</v>
      </c>
      <c r="BL148" s="197"/>
      <c r="BM148" s="197"/>
    </row>
    <row r="149" spans="1:66" ht="13.5" customHeight="1" outlineLevel="1">
      <c r="A149" s="174" t="s">
        <v>665</v>
      </c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AX149" s="200"/>
      <c r="AY149" s="200"/>
      <c r="AZ149" s="200"/>
      <c r="BA149" s="200"/>
      <c r="BB149" s="200"/>
      <c r="BC149" s="200"/>
      <c r="BD149" s="200"/>
      <c r="BE149" s="200"/>
      <c r="BF149" s="200"/>
      <c r="BG149" s="200"/>
      <c r="BH149" s="200"/>
      <c r="BI149" s="200"/>
      <c r="BJ149" s="200">
        <f t="shared" si="2"/>
        <v>0</v>
      </c>
      <c r="BK149" s="200">
        <f t="shared" si="2"/>
        <v>0</v>
      </c>
      <c r="BL149" s="197"/>
      <c r="BM149" s="197"/>
    </row>
    <row r="150" spans="1:66" ht="13.5" customHeight="1" outlineLevel="1">
      <c r="A150" s="174" t="s">
        <v>431</v>
      </c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  <c r="AU150" s="200"/>
      <c r="AV150" s="200"/>
      <c r="AW150" s="200"/>
      <c r="AX150" s="200"/>
      <c r="AY150" s="200"/>
      <c r="AZ150" s="200"/>
      <c r="BA150" s="200"/>
      <c r="BB150" s="200"/>
      <c r="BC150" s="200"/>
      <c r="BD150" s="200"/>
      <c r="BE150" s="200"/>
      <c r="BF150" s="200"/>
      <c r="BG150" s="200"/>
      <c r="BH150" s="200"/>
      <c r="BI150" s="200"/>
      <c r="BJ150" s="200">
        <f t="shared" si="2"/>
        <v>0</v>
      </c>
      <c r="BK150" s="200">
        <f t="shared" si="2"/>
        <v>0</v>
      </c>
      <c r="BL150" s="197"/>
      <c r="BM150" s="197"/>
    </row>
    <row r="151" spans="1:66" ht="13.5" customHeight="1" outlineLevel="1">
      <c r="A151" s="174" t="s">
        <v>432</v>
      </c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  <c r="AU151" s="200"/>
      <c r="AV151" s="200"/>
      <c r="AW151" s="200"/>
      <c r="AX151" s="200"/>
      <c r="AY151" s="200"/>
      <c r="AZ151" s="200"/>
      <c r="BA151" s="200"/>
      <c r="BB151" s="200"/>
      <c r="BC151" s="200"/>
      <c r="BD151" s="200"/>
      <c r="BE151" s="200"/>
      <c r="BF151" s="200"/>
      <c r="BG151" s="200"/>
      <c r="BH151" s="200"/>
      <c r="BI151" s="200"/>
      <c r="BJ151" s="200">
        <f t="shared" si="2"/>
        <v>0</v>
      </c>
      <c r="BK151" s="200">
        <f t="shared" si="2"/>
        <v>0</v>
      </c>
      <c r="BL151" s="197"/>
      <c r="BM151" s="197"/>
    </row>
    <row r="152" spans="1:66" ht="13.5" customHeight="1" outlineLevel="1">
      <c r="A152" s="174" t="s">
        <v>666</v>
      </c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00"/>
      <c r="AV152" s="200"/>
      <c r="AW152" s="200"/>
      <c r="AX152" s="200"/>
      <c r="AY152" s="200"/>
      <c r="AZ152" s="200"/>
      <c r="BA152" s="200"/>
      <c r="BB152" s="200"/>
      <c r="BC152" s="200"/>
      <c r="BD152" s="200"/>
      <c r="BE152" s="200"/>
      <c r="BF152" s="200"/>
      <c r="BG152" s="200"/>
      <c r="BH152" s="200"/>
      <c r="BI152" s="200"/>
      <c r="BJ152" s="200">
        <f t="shared" si="2"/>
        <v>0</v>
      </c>
      <c r="BK152" s="200">
        <f t="shared" si="2"/>
        <v>0</v>
      </c>
      <c r="BL152" s="197"/>
      <c r="BM152" s="197"/>
    </row>
    <row r="153" spans="1:66" ht="13.5" customHeight="1" outlineLevel="1">
      <c r="A153" s="174" t="s">
        <v>433</v>
      </c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200"/>
      <c r="AV153" s="200"/>
      <c r="AW153" s="200"/>
      <c r="AX153" s="200"/>
      <c r="AY153" s="200"/>
      <c r="AZ153" s="200"/>
      <c r="BA153" s="200"/>
      <c r="BB153" s="200"/>
      <c r="BC153" s="200"/>
      <c r="BD153" s="200"/>
      <c r="BE153" s="200"/>
      <c r="BF153" s="200"/>
      <c r="BG153" s="200"/>
      <c r="BH153" s="200"/>
      <c r="BI153" s="200"/>
      <c r="BJ153" s="200">
        <f t="shared" si="2"/>
        <v>0</v>
      </c>
      <c r="BK153" s="200">
        <f t="shared" si="2"/>
        <v>0</v>
      </c>
      <c r="BL153" s="197">
        <f>SUM(BJ147:BJ153)</f>
        <v>0</v>
      </c>
      <c r="BM153" s="197">
        <f>SUM(BK147:BK153)</f>
        <v>0</v>
      </c>
      <c r="BN153" s="174">
        <v>2034</v>
      </c>
    </row>
    <row r="154" spans="1:66" ht="13.5" customHeight="1" outlineLevel="1">
      <c r="A154" s="174" t="s">
        <v>434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  <c r="AU154" s="200"/>
      <c r="AV154" s="200"/>
      <c r="AW154" s="200"/>
      <c r="AX154" s="200"/>
      <c r="AY154" s="200"/>
      <c r="AZ154" s="200"/>
      <c r="BA154" s="200"/>
      <c r="BB154" s="200"/>
      <c r="BC154" s="200"/>
      <c r="BD154" s="200"/>
      <c r="BE154" s="200"/>
      <c r="BF154" s="200"/>
      <c r="BG154" s="200"/>
      <c r="BH154" s="200"/>
      <c r="BI154" s="200"/>
      <c r="BJ154" s="200">
        <f t="shared" si="2"/>
        <v>0</v>
      </c>
      <c r="BK154" s="200">
        <f t="shared" si="2"/>
        <v>0</v>
      </c>
      <c r="BL154" s="197"/>
      <c r="BM154" s="197"/>
    </row>
    <row r="155" spans="1:66" ht="13.5" customHeight="1" outlineLevel="1">
      <c r="A155" s="174" t="s">
        <v>435</v>
      </c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AX155" s="200"/>
      <c r="AY155" s="200"/>
      <c r="AZ155" s="200"/>
      <c r="BA155" s="200"/>
      <c r="BB155" s="200"/>
      <c r="BC155" s="200"/>
      <c r="BD155" s="200"/>
      <c r="BE155" s="200"/>
      <c r="BF155" s="200"/>
      <c r="BG155" s="200"/>
      <c r="BH155" s="200"/>
      <c r="BI155" s="200"/>
      <c r="BJ155" s="200">
        <f t="shared" si="2"/>
        <v>0</v>
      </c>
      <c r="BK155" s="200">
        <f t="shared" si="2"/>
        <v>0</v>
      </c>
      <c r="BL155" s="197"/>
      <c r="BM155" s="197"/>
    </row>
    <row r="156" spans="1:66" ht="13.5" customHeight="1" outlineLevel="1">
      <c r="A156" s="174" t="s">
        <v>667</v>
      </c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  <c r="AU156" s="200"/>
      <c r="AV156" s="200"/>
      <c r="AW156" s="200"/>
      <c r="AX156" s="200"/>
      <c r="AY156" s="200"/>
      <c r="AZ156" s="200"/>
      <c r="BA156" s="200"/>
      <c r="BB156" s="200"/>
      <c r="BC156" s="200"/>
      <c r="BD156" s="200"/>
      <c r="BE156" s="200"/>
      <c r="BF156" s="200"/>
      <c r="BG156" s="200"/>
      <c r="BH156" s="200"/>
      <c r="BI156" s="200"/>
      <c r="BJ156" s="200">
        <f t="shared" si="2"/>
        <v>0</v>
      </c>
      <c r="BK156" s="200">
        <f t="shared" si="2"/>
        <v>0</v>
      </c>
      <c r="BL156" s="197"/>
      <c r="BM156" s="197"/>
    </row>
    <row r="157" spans="1:66" ht="13.5" customHeight="1" outlineLevel="1">
      <c r="A157" s="174" t="s">
        <v>436</v>
      </c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  <c r="AU157" s="200"/>
      <c r="AV157" s="200"/>
      <c r="AW157" s="200"/>
      <c r="AX157" s="200"/>
      <c r="AY157" s="200"/>
      <c r="AZ157" s="200"/>
      <c r="BA157" s="200"/>
      <c r="BB157" s="200"/>
      <c r="BC157" s="200"/>
      <c r="BD157" s="200"/>
      <c r="BE157" s="200"/>
      <c r="BF157" s="200"/>
      <c r="BG157" s="200"/>
      <c r="BH157" s="200"/>
      <c r="BI157" s="200"/>
      <c r="BJ157" s="200">
        <f t="shared" si="2"/>
        <v>0</v>
      </c>
      <c r="BK157" s="200">
        <f t="shared" si="2"/>
        <v>0</v>
      </c>
      <c r="BL157" s="197"/>
      <c r="BM157" s="197"/>
    </row>
    <row r="158" spans="1:66" ht="13.5" customHeight="1" outlineLevel="1">
      <c r="A158" s="174" t="s">
        <v>437</v>
      </c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AX158" s="200"/>
      <c r="AY158" s="200"/>
      <c r="AZ158" s="200"/>
      <c r="BA158" s="200"/>
      <c r="BB158" s="200"/>
      <c r="BC158" s="200"/>
      <c r="BD158" s="200"/>
      <c r="BE158" s="200"/>
      <c r="BF158" s="200"/>
      <c r="BG158" s="200"/>
      <c r="BH158" s="200"/>
      <c r="BI158" s="200"/>
      <c r="BJ158" s="200">
        <f t="shared" si="2"/>
        <v>0</v>
      </c>
      <c r="BK158" s="200">
        <f t="shared" si="2"/>
        <v>0</v>
      </c>
      <c r="BL158" s="197"/>
      <c r="BM158" s="197"/>
    </row>
    <row r="159" spans="1:66" ht="13.5" customHeight="1" outlineLevel="1">
      <c r="A159" s="174" t="s">
        <v>668</v>
      </c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  <c r="AU159" s="200"/>
      <c r="AV159" s="200"/>
      <c r="AW159" s="200"/>
      <c r="AX159" s="200"/>
      <c r="AY159" s="200"/>
      <c r="AZ159" s="200"/>
      <c r="BA159" s="200"/>
      <c r="BB159" s="200"/>
      <c r="BC159" s="200"/>
      <c r="BD159" s="200"/>
      <c r="BE159" s="200"/>
      <c r="BF159" s="200"/>
      <c r="BG159" s="200"/>
      <c r="BH159" s="200"/>
      <c r="BI159" s="200"/>
      <c r="BJ159" s="200">
        <f t="shared" si="2"/>
        <v>0</v>
      </c>
      <c r="BK159" s="200">
        <f t="shared" si="2"/>
        <v>0</v>
      </c>
      <c r="BL159" s="197"/>
      <c r="BM159" s="197"/>
    </row>
    <row r="160" spans="1:66" ht="13.5" customHeight="1" outlineLevel="1">
      <c r="A160" s="174" t="s">
        <v>438</v>
      </c>
      <c r="T160" s="200"/>
      <c r="U160" s="200"/>
      <c r="BJ160" s="200">
        <f t="shared" si="2"/>
        <v>0</v>
      </c>
      <c r="BK160" s="200">
        <f t="shared" si="2"/>
        <v>0</v>
      </c>
      <c r="BL160" s="197">
        <f>SUM(BJ154:BJ160)</f>
        <v>0</v>
      </c>
      <c r="BM160" s="197">
        <f>SUM(BK154:BK160)</f>
        <v>0</v>
      </c>
      <c r="BN160" s="174">
        <v>2035</v>
      </c>
    </row>
    <row r="161" spans="1:65" ht="13.5" customHeight="1"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  <c r="AU161" s="200"/>
      <c r="AV161" s="200"/>
      <c r="AW161" s="200"/>
      <c r="AX161" s="200"/>
      <c r="AY161" s="200"/>
      <c r="AZ161" s="200"/>
      <c r="BA161" s="200"/>
      <c r="BB161" s="200"/>
      <c r="BC161" s="200"/>
      <c r="BD161" s="200"/>
      <c r="BE161" s="200"/>
      <c r="BF161" s="200"/>
      <c r="BG161" s="200"/>
      <c r="BH161" s="200"/>
      <c r="BI161" s="200"/>
      <c r="BJ161" s="200"/>
      <c r="BK161" s="200"/>
      <c r="BL161" s="197"/>
      <c r="BM161" s="197"/>
    </row>
    <row r="162" spans="1:65">
      <c r="A162" s="198"/>
      <c r="B162" s="205" t="s">
        <v>439</v>
      </c>
      <c r="C162" s="200" t="s">
        <v>97</v>
      </c>
      <c r="D162" s="205" t="s">
        <v>439</v>
      </c>
      <c r="E162" s="200" t="s">
        <v>97</v>
      </c>
      <c r="F162" s="205" t="s">
        <v>98</v>
      </c>
      <c r="G162" s="200" t="s">
        <v>99</v>
      </c>
      <c r="H162" s="205" t="s">
        <v>98</v>
      </c>
      <c r="I162" s="200" t="s">
        <v>99</v>
      </c>
      <c r="J162" s="205" t="s">
        <v>98</v>
      </c>
      <c r="K162" s="200" t="s">
        <v>99</v>
      </c>
      <c r="L162" s="205" t="s">
        <v>439</v>
      </c>
      <c r="M162" s="200" t="s">
        <v>97</v>
      </c>
      <c r="N162" s="205" t="s">
        <v>98</v>
      </c>
      <c r="O162" s="200" t="s">
        <v>99</v>
      </c>
      <c r="P162" s="205" t="s">
        <v>98</v>
      </c>
      <c r="Q162" s="200" t="s">
        <v>99</v>
      </c>
      <c r="R162" s="205" t="s">
        <v>98</v>
      </c>
      <c r="S162" s="200" t="s">
        <v>99</v>
      </c>
      <c r="T162" s="205" t="s">
        <v>98</v>
      </c>
      <c r="U162" s="200" t="s">
        <v>99</v>
      </c>
      <c r="V162" s="205" t="s">
        <v>97</v>
      </c>
      <c r="W162" s="200" t="s">
        <v>97</v>
      </c>
      <c r="X162" s="205" t="s">
        <v>439</v>
      </c>
      <c r="Y162" s="200" t="s">
        <v>97</v>
      </c>
      <c r="Z162" s="205" t="s">
        <v>97</v>
      </c>
      <c r="AA162" s="200" t="s">
        <v>97</v>
      </c>
      <c r="AB162" s="205" t="s">
        <v>97</v>
      </c>
      <c r="AC162" s="200" t="s">
        <v>97</v>
      </c>
      <c r="AD162" s="205" t="s">
        <v>97</v>
      </c>
      <c r="AE162" s="200" t="s">
        <v>97</v>
      </c>
      <c r="AF162" s="205" t="s">
        <v>97</v>
      </c>
      <c r="AG162" s="200" t="s">
        <v>97</v>
      </c>
      <c r="AH162" s="205" t="s">
        <v>98</v>
      </c>
      <c r="AI162" s="200" t="s">
        <v>99</v>
      </c>
      <c r="AJ162" s="205" t="s">
        <v>97</v>
      </c>
      <c r="AK162" s="200" t="s">
        <v>97</v>
      </c>
      <c r="AL162" s="205" t="s">
        <v>97</v>
      </c>
      <c r="AM162" s="200" t="s">
        <v>97</v>
      </c>
      <c r="AN162" s="205" t="s">
        <v>97</v>
      </c>
      <c r="AO162" s="200" t="s">
        <v>97</v>
      </c>
      <c r="AP162" s="205" t="s">
        <v>97</v>
      </c>
      <c r="AQ162" s="200" t="s">
        <v>97</v>
      </c>
      <c r="AR162" s="205" t="s">
        <v>97</v>
      </c>
      <c r="AS162" s="200" t="s">
        <v>97</v>
      </c>
      <c r="AT162" s="205" t="s">
        <v>97</v>
      </c>
      <c r="AU162" s="200" t="s">
        <v>97</v>
      </c>
      <c r="AV162" s="205" t="s">
        <v>97</v>
      </c>
      <c r="AW162" s="200" t="s">
        <v>97</v>
      </c>
      <c r="AX162" s="205" t="s">
        <v>97</v>
      </c>
      <c r="AY162" s="200" t="s">
        <v>97</v>
      </c>
      <c r="AZ162" s="205" t="s">
        <v>97</v>
      </c>
      <c r="BA162" s="200" t="s">
        <v>97</v>
      </c>
      <c r="BB162" s="205" t="s">
        <v>97</v>
      </c>
      <c r="BC162" s="200" t="s">
        <v>97</v>
      </c>
      <c r="BD162" s="205" t="s">
        <v>97</v>
      </c>
      <c r="BE162" s="200" t="s">
        <v>97</v>
      </c>
      <c r="BF162" s="205" t="s">
        <v>97</v>
      </c>
      <c r="BG162" s="200" t="s">
        <v>97</v>
      </c>
      <c r="BH162" s="205" t="s">
        <v>97</v>
      </c>
      <c r="BI162" s="200" t="s">
        <v>97</v>
      </c>
      <c r="BJ162" s="205" t="s">
        <v>98</v>
      </c>
      <c r="BK162" s="200" t="s">
        <v>100</v>
      </c>
      <c r="BL162" s="206" t="s">
        <v>98</v>
      </c>
      <c r="BM162" s="197" t="s">
        <v>100</v>
      </c>
    </row>
    <row r="163" spans="1:65">
      <c r="A163" s="178" t="s">
        <v>101</v>
      </c>
      <c r="B163" s="207">
        <f t="shared" ref="B163:BG163" si="3">SUM(B7:B162)</f>
        <v>145000</v>
      </c>
      <c r="C163" s="203">
        <f t="shared" si="3"/>
        <v>31438.5</v>
      </c>
      <c r="D163" s="207">
        <f t="shared" si="3"/>
        <v>2311126</v>
      </c>
      <c r="E163" s="203">
        <f t="shared" si="3"/>
        <v>557742.80000000005</v>
      </c>
      <c r="F163" s="207">
        <f t="shared" si="3"/>
        <v>835000</v>
      </c>
      <c r="G163" s="203">
        <f t="shared" si="3"/>
        <v>201000</v>
      </c>
      <c r="H163" s="207">
        <f t="shared" si="3"/>
        <v>955000</v>
      </c>
      <c r="I163" s="203">
        <f t="shared" si="3"/>
        <v>230062.5</v>
      </c>
      <c r="J163" s="207">
        <f t="shared" si="3"/>
        <v>360000</v>
      </c>
      <c r="K163" s="203">
        <f t="shared" si="3"/>
        <v>82500.5</v>
      </c>
      <c r="L163" s="207">
        <f t="shared" si="3"/>
        <v>150000</v>
      </c>
      <c r="M163" s="203">
        <f t="shared" si="3"/>
        <v>7500</v>
      </c>
      <c r="N163" s="207">
        <f t="shared" si="3"/>
        <v>147209</v>
      </c>
      <c r="O163" s="203">
        <f t="shared" si="3"/>
        <v>42924.180000000015</v>
      </c>
      <c r="P163" s="207">
        <f t="shared" si="3"/>
        <v>1385962</v>
      </c>
      <c r="Q163" s="203">
        <f t="shared" si="3"/>
        <v>164330</v>
      </c>
      <c r="R163" s="207">
        <f t="shared" si="3"/>
        <v>1500000</v>
      </c>
      <c r="S163" s="203">
        <f t="shared" si="3"/>
        <v>590430</v>
      </c>
      <c r="T163" s="207">
        <f t="shared" si="3"/>
        <v>1170000</v>
      </c>
      <c r="U163" s="203">
        <f t="shared" si="3"/>
        <v>365154</v>
      </c>
      <c r="V163" s="207">
        <f t="shared" si="3"/>
        <v>165000</v>
      </c>
      <c r="W163" s="203">
        <f t="shared" si="3"/>
        <v>10312</v>
      </c>
      <c r="X163" s="207">
        <f t="shared" si="3"/>
        <v>188589</v>
      </c>
      <c r="Y163" s="203">
        <f t="shared" si="3"/>
        <v>43985.910000000018</v>
      </c>
      <c r="Z163" s="207">
        <f t="shared" si="3"/>
        <v>1095000</v>
      </c>
      <c r="AA163" s="203">
        <f t="shared" si="3"/>
        <v>340747</v>
      </c>
      <c r="AB163" s="207">
        <f t="shared" si="3"/>
        <v>984884</v>
      </c>
      <c r="AC163" s="203">
        <f t="shared" si="3"/>
        <v>204685.06000000026</v>
      </c>
      <c r="AD163" s="207">
        <f t="shared" si="3"/>
        <v>24725</v>
      </c>
      <c r="AE163" s="203">
        <f t="shared" si="3"/>
        <v>6195.5000000000045</v>
      </c>
      <c r="AF163" s="207">
        <f t="shared" si="3"/>
        <v>269398</v>
      </c>
      <c r="AG163" s="203">
        <f t="shared" si="3"/>
        <v>44060.529999999992</v>
      </c>
      <c r="AH163" s="207">
        <f>SUM(AH7:AH162)</f>
        <v>131493</v>
      </c>
      <c r="AI163" s="203">
        <f t="shared" si="3"/>
        <v>30785.349999999966</v>
      </c>
      <c r="AJ163" s="207">
        <f t="shared" si="3"/>
        <v>29522</v>
      </c>
      <c r="AK163" s="203">
        <f t="shared" si="3"/>
        <v>6652.2399999999934</v>
      </c>
      <c r="AL163" s="207">
        <f t="shared" si="3"/>
        <v>225000</v>
      </c>
      <c r="AM163" s="203">
        <f t="shared" si="3"/>
        <v>101018.75</v>
      </c>
      <c r="AN163" s="207">
        <f t="shared" si="3"/>
        <v>116319</v>
      </c>
      <c r="AO163" s="203">
        <f t="shared" si="3"/>
        <v>31953.220000000038</v>
      </c>
      <c r="AP163" s="207">
        <f t="shared" si="3"/>
        <v>681417</v>
      </c>
      <c r="AQ163" s="203">
        <f t="shared" si="3"/>
        <v>171182.23999999993</v>
      </c>
      <c r="AR163" s="207">
        <f t="shared" si="3"/>
        <v>180000</v>
      </c>
      <c r="AS163" s="203">
        <f t="shared" si="3"/>
        <v>2317.5</v>
      </c>
      <c r="AT163" s="207">
        <f t="shared" si="3"/>
        <v>740570</v>
      </c>
      <c r="AU163" s="200">
        <f t="shared" si="3"/>
        <v>5775.7700000000013</v>
      </c>
      <c r="AV163" s="207">
        <f t="shared" si="3"/>
        <v>301014</v>
      </c>
      <c r="AW163" s="200">
        <f t="shared" si="3"/>
        <v>20219.920000000006</v>
      </c>
      <c r="AX163" s="207">
        <f t="shared" si="3"/>
        <v>162434</v>
      </c>
      <c r="AY163" s="200">
        <f t="shared" si="3"/>
        <v>40838.069999999978</v>
      </c>
      <c r="AZ163" s="207">
        <f t="shared" si="3"/>
        <v>0</v>
      </c>
      <c r="BA163" s="200">
        <f t="shared" si="3"/>
        <v>0</v>
      </c>
      <c r="BB163" s="207">
        <f t="shared" si="3"/>
        <v>135758</v>
      </c>
      <c r="BC163" s="200">
        <f t="shared" si="3"/>
        <v>16981.459999999995</v>
      </c>
      <c r="BD163" s="207">
        <f t="shared" si="3"/>
        <v>126953</v>
      </c>
      <c r="BE163" s="200">
        <f t="shared" si="3"/>
        <v>45250</v>
      </c>
      <c r="BF163" s="207">
        <f t="shared" si="3"/>
        <v>0</v>
      </c>
      <c r="BG163" s="200">
        <f t="shared" si="3"/>
        <v>0</v>
      </c>
      <c r="BH163" s="207">
        <f>SUM(BH7:BH162)</f>
        <v>9200</v>
      </c>
      <c r="BI163" s="200">
        <f>SUM(BI7:BI162)</f>
        <v>27362.92</v>
      </c>
      <c r="BJ163" s="215">
        <f>SUM(BJ7:BJ160)</f>
        <v>14526573</v>
      </c>
      <c r="BK163" s="200">
        <f>SUM(BK7:BK162)</f>
        <v>3423405.9200000004</v>
      </c>
      <c r="BL163" s="216">
        <f>SUM(BL7:BL162)</f>
        <v>14526573</v>
      </c>
      <c r="BM163" s="208">
        <f>SUM(BM7:BM162)</f>
        <v>3423405.9200000013</v>
      </c>
    </row>
    <row r="164" spans="1:65">
      <c r="A164" s="211"/>
    </row>
    <row r="165" spans="1:65" ht="13.5" thickBot="1">
      <c r="A165" s="212"/>
      <c r="AR165" s="209"/>
    </row>
    <row r="167" spans="1:65">
      <c r="AT167" s="255"/>
    </row>
    <row r="168" spans="1:65" ht="15">
      <c r="A168" s="217" t="s">
        <v>468</v>
      </c>
      <c r="B168" s="219">
        <v>39986</v>
      </c>
      <c r="C168" s="221"/>
      <c r="D168" s="219">
        <v>40084</v>
      </c>
      <c r="F168" s="227">
        <v>40200</v>
      </c>
      <c r="G168" s="224"/>
      <c r="H168" s="227">
        <v>40200</v>
      </c>
      <c r="I168" s="224"/>
      <c r="J168" s="227">
        <v>40353</v>
      </c>
      <c r="L168" s="233">
        <v>35156</v>
      </c>
      <c r="M168" s="229"/>
      <c r="N168" s="232">
        <v>40893</v>
      </c>
      <c r="O168" s="229"/>
      <c r="P168" s="232">
        <v>38806</v>
      </c>
      <c r="Q168" s="229"/>
      <c r="R168" s="233">
        <v>39934</v>
      </c>
      <c r="S168" s="229"/>
      <c r="T168" s="233">
        <v>38930</v>
      </c>
      <c r="V168" s="235">
        <v>38869</v>
      </c>
      <c r="W168" s="238"/>
      <c r="X168" s="235">
        <v>40809</v>
      </c>
      <c r="Y168" s="238"/>
      <c r="Z168" s="235">
        <v>40452</v>
      </c>
      <c r="AB168" s="239">
        <v>40809</v>
      </c>
      <c r="AC168" s="242"/>
      <c r="AD168" s="239">
        <v>40809</v>
      </c>
      <c r="AE168" s="242"/>
      <c r="AF168" s="239">
        <v>40809</v>
      </c>
      <c r="AG168" s="242"/>
      <c r="AH168" s="243">
        <v>40809</v>
      </c>
      <c r="AJ168" s="247">
        <v>40893</v>
      </c>
      <c r="AL168" s="253">
        <v>40940</v>
      </c>
      <c r="AM168" s="249"/>
      <c r="AN168" s="252">
        <v>41170</v>
      </c>
      <c r="AO168" s="249"/>
      <c r="AP168" s="253">
        <v>41170</v>
      </c>
      <c r="AQ168" s="249"/>
      <c r="AR168" s="253">
        <v>41061</v>
      </c>
      <c r="AS168" s="249"/>
      <c r="AT168" s="253">
        <v>41534</v>
      </c>
      <c r="AV168" s="258">
        <v>41450</v>
      </c>
      <c r="AX168" s="214">
        <v>41170</v>
      </c>
      <c r="AZ168" s="214">
        <v>41534</v>
      </c>
      <c r="BB168" s="214">
        <v>41534</v>
      </c>
      <c r="BD168" s="214">
        <v>41534</v>
      </c>
      <c r="BF168" s="214">
        <v>41534</v>
      </c>
      <c r="BH168" s="214">
        <v>41646</v>
      </c>
    </row>
    <row r="169" spans="1:65">
      <c r="A169" s="218" t="s">
        <v>467</v>
      </c>
      <c r="B169" s="220">
        <v>165000</v>
      </c>
      <c r="C169" s="220"/>
      <c r="D169" s="220">
        <v>2661000</v>
      </c>
      <c r="F169" s="226">
        <v>953386</v>
      </c>
      <c r="G169" s="226"/>
      <c r="H169" s="226">
        <v>1035000</v>
      </c>
      <c r="I169" s="226"/>
      <c r="J169" s="226">
        <v>405000</v>
      </c>
      <c r="L169" s="231">
        <v>1850000</v>
      </c>
      <c r="M169" s="231"/>
      <c r="N169" s="231">
        <v>415000</v>
      </c>
      <c r="O169" s="234"/>
      <c r="P169" s="231">
        <v>2040962</v>
      </c>
      <c r="Q169" s="231"/>
      <c r="R169" s="231">
        <v>1750000</v>
      </c>
      <c r="S169" s="231"/>
      <c r="T169" s="231">
        <v>1650000</v>
      </c>
      <c r="V169" s="236">
        <v>520000</v>
      </c>
      <c r="W169" s="236"/>
      <c r="X169" s="236">
        <v>217500</v>
      </c>
      <c r="Y169" s="236"/>
      <c r="Z169" s="236">
        <v>1275000</v>
      </c>
      <c r="AB169" s="240">
        <v>1212500</v>
      </c>
      <c r="AC169" s="240"/>
      <c r="AD169" s="240">
        <v>27500</v>
      </c>
      <c r="AE169" s="240"/>
      <c r="AF169" s="240">
        <v>412500</v>
      </c>
      <c r="AG169" s="240"/>
      <c r="AH169" s="244">
        <v>145000</v>
      </c>
      <c r="AJ169" s="248">
        <v>32500</v>
      </c>
      <c r="AL169" s="251">
        <v>235000</v>
      </c>
      <c r="AM169" s="251"/>
      <c r="AN169" s="251">
        <v>172500</v>
      </c>
      <c r="AO169" s="251"/>
      <c r="AP169" s="254">
        <v>747500</v>
      </c>
      <c r="AQ169" s="251"/>
      <c r="AR169" s="251">
        <v>270000</v>
      </c>
      <c r="AS169" s="251"/>
      <c r="AT169" s="254">
        <v>1049664</v>
      </c>
      <c r="AV169" s="259">
        <v>809350</v>
      </c>
      <c r="AX169" s="257">
        <v>172500</v>
      </c>
      <c r="AZ169" s="257">
        <v>232500</v>
      </c>
      <c r="BB169" s="257">
        <v>215000</v>
      </c>
      <c r="BD169" s="257">
        <v>277500</v>
      </c>
      <c r="BF169" s="257">
        <v>300000</v>
      </c>
      <c r="BH169" s="257">
        <v>460000</v>
      </c>
    </row>
    <row r="170" spans="1:65">
      <c r="V170" s="210"/>
      <c r="W170" s="210"/>
      <c r="X170" s="210"/>
      <c r="Y170" s="210"/>
      <c r="Z170" s="210"/>
      <c r="AB170" s="210"/>
      <c r="AC170" s="210"/>
      <c r="AD170" s="210"/>
      <c r="AE170" s="210"/>
      <c r="AF170" s="210"/>
      <c r="AG170" s="210"/>
      <c r="AH170" s="210"/>
    </row>
    <row r="171" spans="1:65">
      <c r="V171" s="210"/>
      <c r="W171" s="210"/>
      <c r="X171" s="210"/>
      <c r="Y171" s="210"/>
      <c r="Z171" s="210"/>
      <c r="AB171" s="210"/>
      <c r="AC171" s="210"/>
      <c r="AD171" s="210"/>
      <c r="AE171" s="210"/>
      <c r="AF171" s="210"/>
      <c r="AG171" s="210"/>
      <c r="AH171" s="210"/>
    </row>
    <row r="172" spans="1:65" ht="15">
      <c r="A172" s="217" t="s">
        <v>506</v>
      </c>
      <c r="B172" s="222" t="s">
        <v>511</v>
      </c>
      <c r="C172" s="223"/>
      <c r="D172" s="222" t="s">
        <v>511</v>
      </c>
      <c r="F172" s="225" t="s">
        <v>511</v>
      </c>
      <c r="G172" s="224"/>
      <c r="H172" s="225" t="s">
        <v>511</v>
      </c>
      <c r="I172" s="224"/>
      <c r="J172" s="225" t="s">
        <v>511</v>
      </c>
      <c r="L172" s="230" t="s">
        <v>513</v>
      </c>
      <c r="M172" s="229"/>
      <c r="N172" s="230" t="s">
        <v>511</v>
      </c>
      <c r="O172" s="229"/>
      <c r="P172" s="230" t="s">
        <v>511</v>
      </c>
      <c r="Q172" s="229"/>
      <c r="R172" s="230" t="s">
        <v>515</v>
      </c>
      <c r="S172" s="229"/>
      <c r="T172" s="230" t="s">
        <v>513</v>
      </c>
      <c r="V172" s="237" t="s">
        <v>511</v>
      </c>
      <c r="W172" s="238"/>
      <c r="X172" s="237" t="s">
        <v>511</v>
      </c>
      <c r="Y172" s="238"/>
      <c r="Z172" s="237" t="s">
        <v>509</v>
      </c>
      <c r="AB172" s="241" t="s">
        <v>511</v>
      </c>
      <c r="AC172" s="242"/>
      <c r="AD172" s="241" t="s">
        <v>511</v>
      </c>
      <c r="AE172" s="242"/>
      <c r="AF172" s="241" t="s">
        <v>511</v>
      </c>
      <c r="AG172" s="242"/>
      <c r="AH172" s="245" t="s">
        <v>511</v>
      </c>
      <c r="AJ172" s="246" t="s">
        <v>511</v>
      </c>
      <c r="AL172" s="250" t="s">
        <v>516</v>
      </c>
      <c r="AM172" s="249"/>
      <c r="AN172" s="250" t="s">
        <v>511</v>
      </c>
      <c r="AO172" s="249"/>
      <c r="AP172" s="250" t="s">
        <v>511</v>
      </c>
      <c r="AQ172" s="249"/>
      <c r="AR172" s="250" t="s">
        <v>518</v>
      </c>
      <c r="AS172" s="249"/>
      <c r="AT172" s="250" t="s">
        <v>511</v>
      </c>
      <c r="AV172" s="256" t="s">
        <v>511</v>
      </c>
      <c r="AX172" s="256" t="s">
        <v>511</v>
      </c>
      <c r="AZ172" s="256" t="s">
        <v>511</v>
      </c>
      <c r="BB172" s="256" t="s">
        <v>511</v>
      </c>
      <c r="BD172" s="256" t="s">
        <v>511</v>
      </c>
      <c r="BF172" s="256" t="s">
        <v>511</v>
      </c>
      <c r="BH172" s="174" t="s">
        <v>516</v>
      </c>
    </row>
    <row r="173" spans="1:65" ht="38.25">
      <c r="B173" s="172" t="s">
        <v>512</v>
      </c>
      <c r="C173" s="172"/>
      <c r="D173" s="172" t="s">
        <v>512</v>
      </c>
      <c r="F173" s="228" t="s">
        <v>512</v>
      </c>
      <c r="G173" s="224"/>
      <c r="H173" s="228" t="s">
        <v>512</v>
      </c>
      <c r="I173" s="224"/>
      <c r="J173" s="228" t="s">
        <v>512</v>
      </c>
      <c r="L173" s="230" t="s">
        <v>504</v>
      </c>
      <c r="M173" s="229"/>
      <c r="N173" s="230" t="s">
        <v>513</v>
      </c>
      <c r="O173" s="229"/>
      <c r="P173" s="230" t="s">
        <v>513</v>
      </c>
      <c r="Q173" s="229"/>
      <c r="R173" s="230" t="s">
        <v>513</v>
      </c>
      <c r="S173" s="229"/>
      <c r="T173" s="230" t="s">
        <v>516</v>
      </c>
      <c r="V173" s="237" t="s">
        <v>504</v>
      </c>
      <c r="W173" s="238"/>
      <c r="X173" s="237" t="s">
        <v>515</v>
      </c>
      <c r="Y173" s="238"/>
      <c r="Z173" s="237" t="s">
        <v>516</v>
      </c>
      <c r="AB173" s="241" t="s">
        <v>515</v>
      </c>
      <c r="AC173" s="242"/>
      <c r="AD173" s="242"/>
      <c r="AE173" s="242"/>
      <c r="AF173" s="242"/>
      <c r="AG173" s="242"/>
      <c r="AH173" s="172" t="s">
        <v>512</v>
      </c>
      <c r="AL173" s="250" t="s">
        <v>509</v>
      </c>
      <c r="AM173" s="249"/>
      <c r="AN173" s="249"/>
      <c r="AO173" s="249"/>
      <c r="AP173" s="250" t="s">
        <v>515</v>
      </c>
      <c r="AQ173" s="249"/>
      <c r="AR173" s="250" t="s">
        <v>515</v>
      </c>
      <c r="AS173" s="249"/>
      <c r="AT173" s="249"/>
      <c r="BH173" s="174" t="s">
        <v>517</v>
      </c>
    </row>
    <row r="174" spans="1:65" ht="15">
      <c r="B174" s="222" t="s">
        <v>504</v>
      </c>
      <c r="C174" s="223"/>
      <c r="D174" s="223"/>
      <c r="F174" s="224"/>
      <c r="G174" s="224"/>
      <c r="H174" s="224"/>
      <c r="I174" s="224"/>
      <c r="J174" s="224"/>
      <c r="L174" s="229"/>
      <c r="M174" s="229"/>
      <c r="N174" s="230" t="s">
        <v>514</v>
      </c>
      <c r="O174" s="229"/>
      <c r="P174" s="230" t="s">
        <v>514</v>
      </c>
      <c r="Q174" s="229"/>
      <c r="R174" s="230" t="s">
        <v>514</v>
      </c>
      <c r="S174" s="229"/>
      <c r="T174" s="230" t="s">
        <v>504</v>
      </c>
      <c r="V174" s="238"/>
      <c r="W174" s="238"/>
      <c r="X174" s="237" t="s">
        <v>504</v>
      </c>
      <c r="Y174" s="238"/>
      <c r="Z174" s="237" t="s">
        <v>517</v>
      </c>
      <c r="AB174" s="241" t="s">
        <v>504</v>
      </c>
      <c r="AC174" s="242"/>
      <c r="AD174" s="242"/>
      <c r="AE174" s="242"/>
      <c r="AF174" s="242"/>
      <c r="AG174" s="242"/>
      <c r="AL174" s="250" t="s">
        <v>517</v>
      </c>
      <c r="AM174" s="249"/>
      <c r="AN174" s="249"/>
      <c r="AO174" s="249"/>
      <c r="AP174" s="249"/>
      <c r="AQ174" s="249"/>
      <c r="AR174" s="250" t="s">
        <v>519</v>
      </c>
      <c r="BH174" s="174" t="s">
        <v>669</v>
      </c>
    </row>
    <row r="175" spans="1:65" ht="15">
      <c r="F175" s="224"/>
      <c r="G175" s="224"/>
      <c r="H175" s="224"/>
      <c r="I175" s="224"/>
      <c r="J175" s="224"/>
      <c r="L175" s="229"/>
      <c r="M175" s="229"/>
      <c r="N175" s="229"/>
      <c r="O175" s="229"/>
      <c r="P175" s="229"/>
      <c r="Q175" s="229"/>
      <c r="R175" s="229"/>
      <c r="S175" s="229"/>
      <c r="T175" s="229"/>
      <c r="AL175" s="249"/>
      <c r="AM175" s="249"/>
      <c r="AN175" s="249"/>
      <c r="AO175" s="249"/>
      <c r="AP175" s="249"/>
      <c r="AQ175" s="249"/>
      <c r="AR175" s="250" t="s">
        <v>516</v>
      </c>
    </row>
    <row r="176" spans="1:65" ht="15">
      <c r="L176" s="229"/>
      <c r="M176" s="229"/>
      <c r="N176" s="229"/>
      <c r="O176" s="229"/>
      <c r="P176" s="229"/>
      <c r="Q176" s="229"/>
      <c r="R176" s="229"/>
      <c r="S176" s="229"/>
      <c r="T176" s="229"/>
      <c r="AL176" s="249"/>
      <c r="AM176" s="249"/>
      <c r="AN176" s="249"/>
      <c r="AO176" s="249"/>
      <c r="AP176" s="249"/>
      <c r="AQ176" s="249"/>
      <c r="AR176" s="250" t="s">
        <v>509</v>
      </c>
    </row>
    <row r="177" spans="12:44" ht="15">
      <c r="L177" s="229"/>
      <c r="M177" s="229"/>
      <c r="N177" s="229"/>
      <c r="O177" s="229"/>
      <c r="P177" s="229"/>
      <c r="Q177" s="229"/>
      <c r="R177" s="229"/>
      <c r="S177" s="229"/>
      <c r="T177" s="229"/>
      <c r="AL177" s="249"/>
      <c r="AM177" s="249"/>
      <c r="AN177" s="249"/>
      <c r="AO177" s="249"/>
      <c r="AP177" s="249"/>
      <c r="AQ177" s="249"/>
      <c r="AR177" s="250" t="s">
        <v>517</v>
      </c>
    </row>
  </sheetData>
  <mergeCells count="29">
    <mergeCell ref="Z4:AA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X4:Y4"/>
    <mergeCell ref="AZ4:BA4"/>
    <mergeCell ref="AB4:AC4"/>
    <mergeCell ref="AD4:AE4"/>
    <mergeCell ref="AF4:AG4"/>
    <mergeCell ref="AH4:AI4"/>
    <mergeCell ref="AL4:AM4"/>
    <mergeCell ref="AN4:AO4"/>
    <mergeCell ref="AP4:AQ4"/>
    <mergeCell ref="AR4:AS4"/>
    <mergeCell ref="AT4:AU4"/>
    <mergeCell ref="AV4:AW4"/>
    <mergeCell ref="AX4:AY4"/>
    <mergeCell ref="BB4:BC4"/>
    <mergeCell ref="BD4:BE4"/>
    <mergeCell ref="BF4:BG4"/>
    <mergeCell ref="BH4:BI4"/>
    <mergeCell ref="BL4:BM4"/>
  </mergeCells>
  <printOptions horizontalCentered="1" gridLines="1"/>
  <pageMargins left="0.5" right="0.5" top="0.5" bottom="0.5" header="0" footer="0"/>
  <pageSetup scale="36" fitToWidth="2" fitToHeight="2" pageOrder="overThenDown" orientation="landscape" r:id="rId1"/>
  <headerFooter alignWithMargins="0">
    <oddHeader>&amp;C&amp;A</oddHeader>
    <oddFooter>&amp;L&amp;10&amp;D&amp;C&amp;10&amp;Z&amp;F&amp;R&amp;10page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C000"/>
    <pageSetUpPr fitToPage="1"/>
  </sheetPr>
  <dimension ref="A1:V26"/>
  <sheetViews>
    <sheetView defaultGridColor="0" colorId="22" zoomScale="87" zoomScaleNormal="87" workbookViewId="0">
      <pane xSplit="1" topLeftCell="B1" activePane="topRight" state="frozen"/>
      <selection activeCell="A28" sqref="A28"/>
      <selection pane="topRight" activeCell="O26" sqref="O26"/>
    </sheetView>
  </sheetViews>
  <sheetFormatPr defaultColWidth="9.77734375" defaultRowHeight="12.75"/>
  <cols>
    <col min="1" max="1" width="17.44140625" style="34" bestFit="1" customWidth="1"/>
    <col min="2" max="2" width="13.44140625" style="34" customWidth="1"/>
    <col min="3" max="3" width="6.6640625" style="34" customWidth="1"/>
    <col min="4" max="4" width="11.6640625" style="34" hidden="1" customWidth="1"/>
    <col min="5" max="5" width="6.21875" style="34" hidden="1" customWidth="1"/>
    <col min="6" max="6" width="9.21875" style="34" customWidth="1"/>
    <col min="7" max="7" width="8.109375" style="34" customWidth="1"/>
    <col min="8" max="8" width="12" style="34" customWidth="1"/>
    <col min="9" max="9" width="6.88671875" style="34" customWidth="1"/>
    <col min="10" max="10" width="14.6640625" style="34" hidden="1" customWidth="1"/>
    <col min="11" max="11" width="6.44140625" style="34" hidden="1" customWidth="1"/>
    <col min="12" max="12" width="7.44140625" style="34" hidden="1" customWidth="1"/>
    <col min="13" max="13" width="6.44140625" style="34" hidden="1" customWidth="1"/>
    <col min="14" max="14" width="12.6640625" style="34" customWidth="1"/>
    <col min="15" max="15" width="7.33203125" style="34" customWidth="1"/>
    <col min="16" max="16" width="8.6640625" style="34" hidden="1" customWidth="1"/>
    <col min="17" max="17" width="6.109375" style="34" hidden="1" customWidth="1"/>
    <col min="18" max="18" width="9.88671875" style="34" customWidth="1"/>
    <col min="19" max="19" width="8.44140625" style="34" customWidth="1"/>
    <col min="20" max="20" width="8.33203125" style="34" customWidth="1"/>
    <col min="21" max="21" width="7.5546875" style="34" bestFit="1" customWidth="1"/>
    <col min="22" max="22" width="5.6640625" style="34" customWidth="1"/>
    <col min="23" max="23" width="9.77734375" style="34"/>
    <col min="24" max="24" width="10.33203125" style="34" bestFit="1" customWidth="1"/>
    <col min="25" max="16384" width="9.77734375" style="34"/>
  </cols>
  <sheetData>
    <row r="1" spans="1:22">
      <c r="B1" s="34" t="s">
        <v>349</v>
      </c>
      <c r="F1" s="34" t="s">
        <v>348</v>
      </c>
      <c r="G1" s="34" t="s">
        <v>347</v>
      </c>
      <c r="H1" s="34" t="s">
        <v>346</v>
      </c>
      <c r="L1" s="34">
        <v>2012</v>
      </c>
      <c r="R1" s="147">
        <v>41639</v>
      </c>
    </row>
    <row r="2" spans="1:22">
      <c r="A2" s="34" t="s">
        <v>4</v>
      </c>
      <c r="J2" s="40"/>
    </row>
    <row r="3" spans="1:22">
      <c r="B3" s="40" t="s">
        <v>345</v>
      </c>
      <c r="C3" s="39">
        <v>8732</v>
      </c>
      <c r="D3" s="40" t="s">
        <v>344</v>
      </c>
      <c r="E3" s="39">
        <v>8662</v>
      </c>
      <c r="F3" s="41" t="s">
        <v>11</v>
      </c>
      <c r="G3" s="39">
        <v>8666</v>
      </c>
      <c r="H3" s="41" t="s">
        <v>11</v>
      </c>
      <c r="I3" s="39">
        <v>8671</v>
      </c>
      <c r="J3" s="40" t="s">
        <v>7</v>
      </c>
      <c r="K3" s="39">
        <v>8660</v>
      </c>
      <c r="L3" s="40" t="s">
        <v>218</v>
      </c>
      <c r="M3" s="39">
        <v>8502</v>
      </c>
      <c r="N3" s="41" t="s">
        <v>11</v>
      </c>
      <c r="O3" s="39">
        <v>8669</v>
      </c>
      <c r="P3" s="40" t="s">
        <v>10</v>
      </c>
      <c r="Q3" s="39">
        <v>8518</v>
      </c>
    </row>
    <row r="4" spans="1:22">
      <c r="A4" s="38" t="s">
        <v>13</v>
      </c>
      <c r="B4" s="272" t="s">
        <v>338</v>
      </c>
      <c r="C4" s="272"/>
      <c r="D4" s="272" t="s">
        <v>337</v>
      </c>
      <c r="E4" s="272"/>
      <c r="F4" s="272" t="s">
        <v>336</v>
      </c>
      <c r="G4" s="272"/>
      <c r="H4" s="272" t="s">
        <v>343</v>
      </c>
      <c r="I4" s="272"/>
      <c r="J4" s="272" t="s">
        <v>335</v>
      </c>
      <c r="K4" s="272"/>
      <c r="L4" s="272" t="s">
        <v>334</v>
      </c>
      <c r="M4" s="272"/>
      <c r="N4" s="272" t="s">
        <v>333</v>
      </c>
      <c r="O4" s="272"/>
      <c r="P4" s="272" t="s">
        <v>332</v>
      </c>
      <c r="Q4" s="272"/>
      <c r="R4" s="273" t="s">
        <v>244</v>
      </c>
      <c r="S4" s="272"/>
      <c r="T4" s="273" t="s">
        <v>342</v>
      </c>
      <c r="U4" s="272"/>
    </row>
    <row r="5" spans="1:22">
      <c r="A5" s="38" t="s">
        <v>24</v>
      </c>
      <c r="B5" s="38" t="s">
        <v>25</v>
      </c>
      <c r="C5" s="38" t="s">
        <v>246</v>
      </c>
      <c r="D5" s="38" t="s">
        <v>27</v>
      </c>
      <c r="E5" s="38" t="s">
        <v>246</v>
      </c>
      <c r="F5" s="38" t="s">
        <v>27</v>
      </c>
      <c r="G5" s="38" t="s">
        <v>246</v>
      </c>
      <c r="H5" s="38" t="s">
        <v>27</v>
      </c>
      <c r="I5" s="38" t="s">
        <v>28</v>
      </c>
      <c r="J5" s="38" t="s">
        <v>27</v>
      </c>
      <c r="K5" s="38" t="s">
        <v>28</v>
      </c>
      <c r="L5" s="38" t="s">
        <v>27</v>
      </c>
      <c r="M5" s="38" t="s">
        <v>28</v>
      </c>
      <c r="N5" s="38" t="s">
        <v>27</v>
      </c>
      <c r="O5" s="38" t="s">
        <v>28</v>
      </c>
      <c r="P5" s="38" t="s">
        <v>27</v>
      </c>
      <c r="Q5" s="38" t="s">
        <v>28</v>
      </c>
      <c r="R5" s="38" t="s">
        <v>27</v>
      </c>
      <c r="S5" s="38" t="s">
        <v>28</v>
      </c>
      <c r="T5" s="38" t="s">
        <v>27</v>
      </c>
      <c r="U5" s="38" t="s">
        <v>28</v>
      </c>
    </row>
    <row r="6" spans="1:22">
      <c r="B6" s="37" t="s">
        <v>97</v>
      </c>
      <c r="C6" s="35" t="s">
        <v>97</v>
      </c>
      <c r="D6" s="37" t="s">
        <v>99</v>
      </c>
      <c r="E6" s="35" t="s">
        <v>143</v>
      </c>
      <c r="F6" s="37" t="s">
        <v>99</v>
      </c>
      <c r="G6" s="35" t="s">
        <v>143</v>
      </c>
      <c r="H6" s="37" t="s">
        <v>99</v>
      </c>
      <c r="I6" s="35" t="s">
        <v>440</v>
      </c>
      <c r="J6" s="37" t="s">
        <v>97</v>
      </c>
      <c r="K6" s="35" t="s">
        <v>99</v>
      </c>
      <c r="L6" s="37" t="s">
        <v>143</v>
      </c>
      <c r="M6" s="35" t="s">
        <v>99</v>
      </c>
      <c r="N6" s="37" t="s">
        <v>143</v>
      </c>
      <c r="O6" s="35" t="s">
        <v>143</v>
      </c>
      <c r="P6" s="37" t="s">
        <v>97</v>
      </c>
      <c r="Q6" s="35" t="s">
        <v>97</v>
      </c>
      <c r="R6" s="37" t="s">
        <v>98</v>
      </c>
      <c r="S6" s="35" t="s">
        <v>100</v>
      </c>
      <c r="T6" s="37" t="s">
        <v>98</v>
      </c>
      <c r="U6" s="35" t="s">
        <v>305</v>
      </c>
    </row>
    <row r="7" spans="1:22">
      <c r="A7" s="34" t="s">
        <v>341</v>
      </c>
      <c r="B7" s="35">
        <v>73600</v>
      </c>
      <c r="C7" s="35">
        <v>3054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>
        <v>29950</v>
      </c>
      <c r="O7" s="35">
        <v>10796.98</v>
      </c>
      <c r="P7" s="35"/>
      <c r="Q7" s="35"/>
      <c r="R7" s="35">
        <f t="shared" ref="R7:S14" si="0">(B7+D7+F7+H7+J7+L7+N7+P7)</f>
        <v>103550</v>
      </c>
      <c r="S7" s="35">
        <f t="shared" si="0"/>
        <v>13850.98</v>
      </c>
      <c r="T7" s="35"/>
      <c r="U7" s="35"/>
    </row>
    <row r="8" spans="1:22">
      <c r="A8" s="34" t="s">
        <v>340</v>
      </c>
      <c r="B8" s="35"/>
      <c r="C8" s="35"/>
      <c r="D8" s="35"/>
      <c r="E8" s="35"/>
      <c r="F8" s="35">
        <v>5000</v>
      </c>
      <c r="G8" s="35">
        <v>440</v>
      </c>
      <c r="H8" s="35">
        <v>66666</v>
      </c>
      <c r="I8" s="35">
        <v>2647</v>
      </c>
      <c r="J8" s="35"/>
      <c r="K8" s="35"/>
      <c r="L8" s="35"/>
      <c r="M8" s="35"/>
      <c r="N8" s="35">
        <v>29950</v>
      </c>
      <c r="O8" s="35">
        <v>9254.5499999999993</v>
      </c>
      <c r="P8" s="35"/>
      <c r="Q8" s="35"/>
      <c r="R8" s="35">
        <f t="shared" si="0"/>
        <v>101616</v>
      </c>
      <c r="S8" s="35">
        <f t="shared" si="0"/>
        <v>12341.55</v>
      </c>
      <c r="T8" s="35">
        <f>SUM(R7:R9)</f>
        <v>205166</v>
      </c>
      <c r="U8" s="35">
        <f>SUM(S7:S9)</f>
        <v>26192.53</v>
      </c>
      <c r="V8" s="34">
        <v>2014</v>
      </c>
    </row>
    <row r="9" spans="1:22">
      <c r="A9" s="34" t="s">
        <v>441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>
        <f t="shared" si="0"/>
        <v>0</v>
      </c>
      <c r="S9" s="35">
        <f t="shared" si="0"/>
        <v>0</v>
      </c>
      <c r="T9" s="35"/>
      <c r="U9" s="35"/>
    </row>
    <row r="10" spans="1:22">
      <c r="A10" s="34" t="s">
        <v>339</v>
      </c>
      <c r="B10" s="35"/>
      <c r="C10" s="35"/>
      <c r="D10" s="35"/>
      <c r="E10" s="35"/>
      <c r="F10" s="35">
        <v>5000</v>
      </c>
      <c r="G10" s="35">
        <v>220</v>
      </c>
      <c r="H10" s="35"/>
      <c r="I10" s="35"/>
      <c r="J10" s="35"/>
      <c r="K10" s="35"/>
      <c r="L10" s="35"/>
      <c r="M10" s="35"/>
      <c r="N10" s="35">
        <v>29950</v>
      </c>
      <c r="O10" s="35">
        <v>7733.25</v>
      </c>
      <c r="P10" s="35"/>
      <c r="Q10" s="35"/>
      <c r="R10" s="35">
        <f t="shared" si="0"/>
        <v>34950</v>
      </c>
      <c r="S10" s="35">
        <f t="shared" si="0"/>
        <v>7953.25</v>
      </c>
      <c r="T10" s="35">
        <f>SUM(R10)</f>
        <v>34950</v>
      </c>
      <c r="U10" s="35">
        <f t="shared" ref="T10:U14" si="1">SUM(S10)</f>
        <v>7953.25</v>
      </c>
      <c r="V10" s="34">
        <v>2015</v>
      </c>
    </row>
    <row r="11" spans="1:22">
      <c r="A11" s="34" t="s">
        <v>38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>
        <v>29950</v>
      </c>
      <c r="O11" s="35">
        <v>6169.7</v>
      </c>
      <c r="P11" s="35"/>
      <c r="Q11" s="35"/>
      <c r="R11" s="35">
        <f t="shared" si="0"/>
        <v>29950</v>
      </c>
      <c r="S11" s="35">
        <f t="shared" si="0"/>
        <v>6169.7</v>
      </c>
      <c r="T11" s="35">
        <f t="shared" si="1"/>
        <v>29950</v>
      </c>
      <c r="U11" s="35">
        <f t="shared" si="1"/>
        <v>6169.7</v>
      </c>
      <c r="V11" s="34">
        <v>2016</v>
      </c>
    </row>
    <row r="12" spans="1:22">
      <c r="A12" s="34" t="s">
        <v>42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>
        <v>29950</v>
      </c>
      <c r="O12" s="35">
        <v>4627.28</v>
      </c>
      <c r="P12" s="35"/>
      <c r="Q12" s="35"/>
      <c r="R12" s="35">
        <f t="shared" si="0"/>
        <v>29950</v>
      </c>
      <c r="S12" s="35">
        <f t="shared" si="0"/>
        <v>4627.28</v>
      </c>
      <c r="T12" s="35">
        <f t="shared" si="1"/>
        <v>29950</v>
      </c>
      <c r="U12" s="35">
        <f t="shared" si="1"/>
        <v>4627.28</v>
      </c>
      <c r="V12" s="34">
        <v>2017</v>
      </c>
    </row>
    <row r="13" spans="1:22">
      <c r="A13" s="34" t="s">
        <v>46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>
        <v>29950</v>
      </c>
      <c r="O13" s="35">
        <v>3084.85</v>
      </c>
      <c r="P13" s="35"/>
      <c r="Q13" s="35"/>
      <c r="R13" s="35">
        <f t="shared" si="0"/>
        <v>29950</v>
      </c>
      <c r="S13" s="35">
        <f t="shared" si="0"/>
        <v>3084.85</v>
      </c>
      <c r="T13" s="35">
        <f t="shared" si="1"/>
        <v>29950</v>
      </c>
      <c r="U13" s="35">
        <f t="shared" si="1"/>
        <v>3084.85</v>
      </c>
      <c r="V13" s="34">
        <v>2018</v>
      </c>
    </row>
    <row r="14" spans="1:22">
      <c r="A14" s="34" t="s">
        <v>50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>
        <v>29950</v>
      </c>
      <c r="O14" s="35">
        <v>1546.65</v>
      </c>
      <c r="P14" s="35"/>
      <c r="Q14" s="35"/>
      <c r="R14" s="35">
        <f t="shared" si="0"/>
        <v>29950</v>
      </c>
      <c r="S14" s="35">
        <f t="shared" si="0"/>
        <v>1546.65</v>
      </c>
      <c r="T14" s="35">
        <f t="shared" si="1"/>
        <v>29950</v>
      </c>
      <c r="U14" s="35">
        <f t="shared" si="1"/>
        <v>1546.65</v>
      </c>
      <c r="V14" s="34">
        <v>2019</v>
      </c>
    </row>
    <row r="15" spans="1:22">
      <c r="B15" s="37" t="s">
        <v>97</v>
      </c>
      <c r="C15" s="35" t="s">
        <v>97</v>
      </c>
      <c r="D15" s="37" t="s">
        <v>99</v>
      </c>
      <c r="E15" s="35" t="s">
        <v>143</v>
      </c>
      <c r="F15" s="37" t="s">
        <v>99</v>
      </c>
      <c r="G15" s="35" t="s">
        <v>143</v>
      </c>
      <c r="H15" s="37" t="s">
        <v>99</v>
      </c>
      <c r="I15" s="35" t="s">
        <v>440</v>
      </c>
      <c r="J15" s="37" t="s">
        <v>97</v>
      </c>
      <c r="K15" s="35" t="s">
        <v>99</v>
      </c>
      <c r="L15" s="37" t="s">
        <v>143</v>
      </c>
      <c r="M15" s="35" t="s">
        <v>99</v>
      </c>
      <c r="N15" s="35" t="s">
        <v>143</v>
      </c>
      <c r="O15" s="35" t="s">
        <v>143</v>
      </c>
      <c r="P15" s="37" t="s">
        <v>97</v>
      </c>
      <c r="Q15" s="35" t="s">
        <v>97</v>
      </c>
      <c r="R15" s="37" t="s">
        <v>98</v>
      </c>
      <c r="S15" s="35" t="s">
        <v>100</v>
      </c>
      <c r="T15" s="37" t="s">
        <v>98</v>
      </c>
      <c r="U15" s="35" t="s">
        <v>305</v>
      </c>
    </row>
    <row r="16" spans="1:22">
      <c r="A16" s="36" t="s">
        <v>101</v>
      </c>
      <c r="B16" s="35">
        <f t="shared" ref="B16:S16" si="2">SUM(B6:B15)</f>
        <v>73600</v>
      </c>
      <c r="C16" s="35">
        <f t="shared" si="2"/>
        <v>3054</v>
      </c>
      <c r="D16" s="35">
        <f t="shared" si="2"/>
        <v>0</v>
      </c>
      <c r="E16" s="35">
        <f t="shared" si="2"/>
        <v>0</v>
      </c>
      <c r="F16" s="35">
        <f t="shared" si="2"/>
        <v>10000</v>
      </c>
      <c r="G16" s="35">
        <f t="shared" si="2"/>
        <v>660</v>
      </c>
      <c r="H16" s="35">
        <f t="shared" si="2"/>
        <v>66666</v>
      </c>
      <c r="I16" s="35">
        <f t="shared" si="2"/>
        <v>2647</v>
      </c>
      <c r="J16" s="35">
        <f t="shared" si="2"/>
        <v>0</v>
      </c>
      <c r="K16" s="35">
        <f t="shared" si="2"/>
        <v>0</v>
      </c>
      <c r="L16" s="35">
        <f t="shared" si="2"/>
        <v>0</v>
      </c>
      <c r="M16" s="35">
        <f t="shared" si="2"/>
        <v>0</v>
      </c>
      <c r="N16" s="35">
        <f t="shared" si="2"/>
        <v>209650</v>
      </c>
      <c r="O16" s="35">
        <f t="shared" si="2"/>
        <v>43213.259999999995</v>
      </c>
      <c r="P16" s="35">
        <f t="shared" si="2"/>
        <v>0</v>
      </c>
      <c r="Q16" s="35">
        <f t="shared" si="2"/>
        <v>0</v>
      </c>
      <c r="R16" s="106">
        <f>SUM(R6:R15)</f>
        <v>359916</v>
      </c>
      <c r="S16" s="35">
        <f t="shared" si="2"/>
        <v>49574.259999999995</v>
      </c>
      <c r="T16" s="107">
        <f>SUM(T6:T15)</f>
        <v>359916</v>
      </c>
      <c r="U16" s="35">
        <f>SUM(U6:U15)</f>
        <v>49574.259999999995</v>
      </c>
    </row>
    <row r="19" spans="1:14" s="124" customFormat="1">
      <c r="A19" s="123" t="s">
        <v>468</v>
      </c>
      <c r="B19" s="138">
        <v>39569</v>
      </c>
      <c r="D19" s="138">
        <v>40330</v>
      </c>
      <c r="F19" s="138">
        <v>40330</v>
      </c>
      <c r="H19" s="138">
        <v>40437</v>
      </c>
      <c r="J19" s="138">
        <v>40053</v>
      </c>
      <c r="N19" s="138">
        <v>40330</v>
      </c>
    </row>
    <row r="20" spans="1:14" s="122" customFormat="1">
      <c r="A20" s="121" t="s">
        <v>467</v>
      </c>
      <c r="B20" s="122">
        <v>515200</v>
      </c>
      <c r="D20" s="122">
        <v>275000</v>
      </c>
      <c r="F20" s="122">
        <v>25000</v>
      </c>
      <c r="H20" s="122">
        <v>200000</v>
      </c>
      <c r="J20" s="122">
        <v>50000</v>
      </c>
      <c r="N20" s="122">
        <v>299500</v>
      </c>
    </row>
    <row r="21" spans="1:14">
      <c r="A21" s="105"/>
    </row>
    <row r="23" spans="1:14">
      <c r="A23" s="34" t="s">
        <v>506</v>
      </c>
      <c r="B23" s="34" t="s">
        <v>513</v>
      </c>
      <c r="D23" s="34" t="s">
        <v>520</v>
      </c>
      <c r="F23" s="34" t="s">
        <v>516</v>
      </c>
      <c r="H23" s="34" t="s">
        <v>521</v>
      </c>
      <c r="J23" s="34" t="s">
        <v>513</v>
      </c>
      <c r="N23" s="34" t="s">
        <v>516</v>
      </c>
    </row>
    <row r="24" spans="1:14">
      <c r="B24" s="34" t="s">
        <v>516</v>
      </c>
      <c r="D24" s="34" t="s">
        <v>516</v>
      </c>
      <c r="H24" s="34" t="s">
        <v>516</v>
      </c>
      <c r="J24" s="34" t="s">
        <v>516</v>
      </c>
    </row>
    <row r="25" spans="1:14">
      <c r="B25" s="34" t="s">
        <v>504</v>
      </c>
      <c r="D25" s="34" t="s">
        <v>504</v>
      </c>
      <c r="H25" s="34" t="s">
        <v>522</v>
      </c>
      <c r="J25" s="34" t="s">
        <v>522</v>
      </c>
    </row>
    <row r="26" spans="1:14">
      <c r="J26" s="34" t="s">
        <v>504</v>
      </c>
    </row>
  </sheetData>
  <mergeCells count="10">
    <mergeCell ref="N4:O4"/>
    <mergeCell ref="P4:Q4"/>
    <mergeCell ref="R4:S4"/>
    <mergeCell ref="T4:U4"/>
    <mergeCell ref="B4:C4"/>
    <mergeCell ref="D4:E4"/>
    <mergeCell ref="F4:G4"/>
    <mergeCell ref="H4:I4"/>
    <mergeCell ref="J4:K4"/>
    <mergeCell ref="L4:M4"/>
  </mergeCells>
  <printOptions horizontalCentered="1" gridLines="1"/>
  <pageMargins left="0.75" right="0.25" top="0.5" bottom="0.5" header="0" footer="0"/>
  <pageSetup scale="81" fitToWidth="2" pageOrder="overThenDown" orientation="landscape" r:id="rId1"/>
  <headerFooter alignWithMargins="0">
    <oddHeader>&amp;C&amp;A</oddHeader>
    <oddFooter>&amp;L&amp;10&amp;D&amp;C&amp;10file: &amp;Z&amp;F&amp;R&amp;10page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C000"/>
    <pageSetUpPr fitToPage="1"/>
  </sheetPr>
  <dimension ref="A1:R25"/>
  <sheetViews>
    <sheetView workbookViewId="0">
      <pane xSplit="1" ySplit="5" topLeftCell="B6" activePane="bottomRight" state="frozen"/>
      <selection activeCell="H43" sqref="H43"/>
      <selection pane="topRight" activeCell="H43" sqref="H43"/>
      <selection pane="bottomLeft" activeCell="H43" sqref="H43"/>
      <selection pane="bottomRight" activeCell="P31" sqref="P31"/>
    </sheetView>
  </sheetViews>
  <sheetFormatPr defaultColWidth="9.77734375" defaultRowHeight="12.75"/>
  <cols>
    <col min="1" max="1" width="16.88671875" style="22" customWidth="1"/>
    <col min="2" max="2" width="10.77734375" style="22" customWidth="1"/>
    <col min="3" max="3" width="6.77734375" style="22" customWidth="1"/>
    <col min="4" max="4" width="10.44140625" style="22" customWidth="1"/>
    <col min="5" max="5" width="6.77734375" style="22" customWidth="1"/>
    <col min="6" max="6" width="7.21875" style="22" customWidth="1"/>
    <col min="7" max="7" width="6.77734375" style="22" customWidth="1"/>
    <col min="8" max="8" width="8.5546875" style="22" customWidth="1"/>
    <col min="9" max="9" width="6.77734375" style="22" customWidth="1"/>
    <col min="10" max="10" width="8.5546875" style="22" customWidth="1"/>
    <col min="11" max="11" width="6.77734375" style="22" customWidth="1"/>
    <col min="12" max="12" width="8.77734375" style="22" hidden="1" customWidth="1"/>
    <col min="13" max="13" width="7.77734375" style="22" hidden="1" customWidth="1"/>
    <col min="14" max="14" width="9.6640625" style="22" hidden="1" customWidth="1"/>
    <col min="15" max="15" width="7.77734375" style="22" hidden="1" customWidth="1"/>
    <col min="16" max="16" width="9.77734375" style="22" customWidth="1"/>
    <col min="17" max="17" width="8.5546875" style="22" customWidth="1"/>
    <col min="18" max="18" width="4.77734375" style="22" customWidth="1"/>
    <col min="19" max="16384" width="9.77734375" style="22"/>
  </cols>
  <sheetData>
    <row r="1" spans="1:18">
      <c r="A1" s="21" t="s">
        <v>306</v>
      </c>
      <c r="C1" s="22" t="s">
        <v>307</v>
      </c>
      <c r="I1" s="23" t="s">
        <v>542</v>
      </c>
      <c r="K1" s="23"/>
      <c r="O1" s="22" t="s">
        <v>4</v>
      </c>
    </row>
    <row r="2" spans="1:18">
      <c r="A2" s="22" t="s">
        <v>4</v>
      </c>
      <c r="B2" s="22" t="s">
        <v>308</v>
      </c>
      <c r="D2" s="22" t="s">
        <v>308</v>
      </c>
      <c r="F2" s="22" t="s">
        <v>309</v>
      </c>
      <c r="H2" s="24" t="s">
        <v>310</v>
      </c>
      <c r="J2" s="24" t="s">
        <v>442</v>
      </c>
    </row>
    <row r="3" spans="1:18">
      <c r="A3" s="25" t="s">
        <v>13</v>
      </c>
      <c r="B3" s="21" t="s">
        <v>311</v>
      </c>
      <c r="D3" s="21" t="s">
        <v>312</v>
      </c>
      <c r="F3" s="274" t="s">
        <v>313</v>
      </c>
      <c r="G3" s="274"/>
      <c r="H3" s="274" t="s">
        <v>314</v>
      </c>
      <c r="I3" s="274"/>
      <c r="J3" s="274" t="s">
        <v>443</v>
      </c>
      <c r="K3" s="274"/>
      <c r="L3" s="21"/>
      <c r="N3" s="21"/>
      <c r="P3" s="21" t="s">
        <v>315</v>
      </c>
    </row>
    <row r="4" spans="1:18">
      <c r="A4" s="25" t="s">
        <v>24</v>
      </c>
      <c r="B4" s="25" t="s">
        <v>316</v>
      </c>
      <c r="C4" s="25" t="s">
        <v>317</v>
      </c>
      <c r="D4" s="25" t="s">
        <v>316</v>
      </c>
      <c r="E4" s="25" t="s">
        <v>317</v>
      </c>
      <c r="F4" s="25" t="s">
        <v>316</v>
      </c>
      <c r="G4" s="25" t="s">
        <v>317</v>
      </c>
      <c r="H4" s="25" t="s">
        <v>316</v>
      </c>
      <c r="I4" s="25" t="s">
        <v>317</v>
      </c>
      <c r="J4" s="25" t="s">
        <v>316</v>
      </c>
      <c r="K4" s="25" t="s">
        <v>317</v>
      </c>
      <c r="L4" s="25" t="s">
        <v>316</v>
      </c>
      <c r="M4" s="25" t="s">
        <v>317</v>
      </c>
      <c r="N4" s="25" t="s">
        <v>316</v>
      </c>
      <c r="O4" s="25" t="s">
        <v>317</v>
      </c>
      <c r="P4" s="25" t="s">
        <v>316</v>
      </c>
      <c r="Q4" s="25" t="s">
        <v>317</v>
      </c>
    </row>
    <row r="5" spans="1:18">
      <c r="B5" s="22" t="s">
        <v>318</v>
      </c>
      <c r="C5" s="22" t="s">
        <v>319</v>
      </c>
      <c r="D5" s="22" t="s">
        <v>318</v>
      </c>
      <c r="E5" s="22" t="s">
        <v>319</v>
      </c>
      <c r="F5" s="22" t="s">
        <v>318</v>
      </c>
      <c r="G5" s="22" t="s">
        <v>319</v>
      </c>
      <c r="H5" s="22" t="s">
        <v>318</v>
      </c>
      <c r="I5" s="22" t="s">
        <v>319</v>
      </c>
      <c r="J5" s="22" t="s">
        <v>318</v>
      </c>
      <c r="K5" s="22" t="s">
        <v>319</v>
      </c>
      <c r="L5" s="22" t="s">
        <v>318</v>
      </c>
      <c r="M5" s="22" t="s">
        <v>142</v>
      </c>
      <c r="N5" s="22" t="s">
        <v>318</v>
      </c>
      <c r="O5" s="22" t="s">
        <v>320</v>
      </c>
      <c r="P5" s="22" t="s">
        <v>318</v>
      </c>
      <c r="Q5" s="22" t="s">
        <v>318</v>
      </c>
    </row>
    <row r="6" spans="1:18">
      <c r="A6" s="22">
        <v>2014</v>
      </c>
      <c r="B6" s="20">
        <v>5000</v>
      </c>
      <c r="C6" s="20">
        <v>553</v>
      </c>
      <c r="D6" s="20">
        <v>29000</v>
      </c>
      <c r="E6" s="20">
        <v>4278</v>
      </c>
      <c r="F6" s="26">
        <v>36000</v>
      </c>
      <c r="G6" s="22">
        <v>7921</v>
      </c>
      <c r="H6" s="26">
        <v>36000</v>
      </c>
      <c r="I6" s="22">
        <v>5266</v>
      </c>
      <c r="J6" s="26">
        <v>75000</v>
      </c>
      <c r="K6" s="20">
        <v>13070</v>
      </c>
      <c r="P6" s="26">
        <f t="shared" ref="P6:P14" si="0">+B6+D6+F6+J6+H6</f>
        <v>181000</v>
      </c>
      <c r="Q6" s="26">
        <f t="shared" ref="Q6:Q14" si="1">+C6+E6+K6+G6+I6</f>
        <v>31088</v>
      </c>
      <c r="R6" s="22">
        <v>2014</v>
      </c>
    </row>
    <row r="7" spans="1:18">
      <c r="A7" s="22">
        <v>2015</v>
      </c>
      <c r="B7" s="20">
        <v>5000</v>
      </c>
      <c r="C7" s="20">
        <v>446</v>
      </c>
      <c r="D7" s="20">
        <v>29000</v>
      </c>
      <c r="E7" s="20">
        <v>3661</v>
      </c>
      <c r="F7" s="26">
        <v>36000</v>
      </c>
      <c r="G7" s="22">
        <v>6557</v>
      </c>
      <c r="H7" s="26">
        <v>36000</v>
      </c>
      <c r="I7" s="22">
        <v>4861</v>
      </c>
      <c r="J7" s="26">
        <v>75000</v>
      </c>
      <c r="K7" s="20">
        <v>12226.25</v>
      </c>
      <c r="P7" s="26">
        <f t="shared" si="0"/>
        <v>181000</v>
      </c>
      <c r="Q7" s="26">
        <f t="shared" si="1"/>
        <v>27751.25</v>
      </c>
      <c r="R7" s="22">
        <v>2015</v>
      </c>
    </row>
    <row r="8" spans="1:18">
      <c r="A8" s="22">
        <v>2016</v>
      </c>
      <c r="B8" s="20">
        <v>4000</v>
      </c>
      <c r="C8" s="20">
        <v>340</v>
      </c>
      <c r="D8" s="20">
        <v>29000</v>
      </c>
      <c r="E8" s="20">
        <v>2973</v>
      </c>
      <c r="F8" s="26">
        <v>36000</v>
      </c>
      <c r="G8" s="22">
        <v>5192</v>
      </c>
      <c r="H8" s="26">
        <v>36000</v>
      </c>
      <c r="I8" s="22">
        <v>4366</v>
      </c>
      <c r="J8" s="26">
        <v>75000</v>
      </c>
      <c r="K8" s="20">
        <v>11195</v>
      </c>
      <c r="P8" s="26">
        <f t="shared" si="0"/>
        <v>180000</v>
      </c>
      <c r="Q8" s="26">
        <f t="shared" si="1"/>
        <v>24066</v>
      </c>
      <c r="R8" s="22">
        <v>2016</v>
      </c>
    </row>
    <row r="9" spans="1:18">
      <c r="A9" s="22">
        <v>2017</v>
      </c>
      <c r="B9" s="20">
        <v>5000</v>
      </c>
      <c r="C9" s="20">
        <v>221</v>
      </c>
      <c r="D9" s="20">
        <v>29000</v>
      </c>
      <c r="E9" s="20">
        <v>2211</v>
      </c>
      <c r="F9" s="26">
        <v>36000</v>
      </c>
      <c r="G9" s="22">
        <v>3828</v>
      </c>
      <c r="H9" s="26">
        <v>36000</v>
      </c>
      <c r="I9" s="22">
        <v>3772</v>
      </c>
      <c r="J9" s="26">
        <v>75000</v>
      </c>
      <c r="K9" s="20">
        <v>9976.2199999999993</v>
      </c>
      <c r="P9" s="26">
        <f t="shared" si="0"/>
        <v>181000</v>
      </c>
      <c r="Q9" s="26">
        <f t="shared" si="1"/>
        <v>20008.22</v>
      </c>
      <c r="R9" s="22">
        <v>2017</v>
      </c>
    </row>
    <row r="10" spans="1:18">
      <c r="A10" s="22">
        <v>2018</v>
      </c>
      <c r="B10" s="20">
        <v>4000</v>
      </c>
      <c r="C10" s="20">
        <v>93</v>
      </c>
      <c r="D10" s="20">
        <v>29000</v>
      </c>
      <c r="E10" s="20">
        <v>1378</v>
      </c>
      <c r="F10" s="26">
        <v>36000</v>
      </c>
      <c r="G10" s="22">
        <v>2464</v>
      </c>
      <c r="H10" s="26">
        <v>35000</v>
      </c>
      <c r="I10" s="22">
        <v>3054</v>
      </c>
      <c r="J10" s="26">
        <v>75000</v>
      </c>
      <c r="K10" s="20">
        <v>8570</v>
      </c>
      <c r="P10" s="26">
        <f t="shared" si="0"/>
        <v>179000</v>
      </c>
      <c r="Q10" s="26">
        <f t="shared" si="1"/>
        <v>15559</v>
      </c>
      <c r="R10" s="22">
        <v>2018</v>
      </c>
    </row>
    <row r="11" spans="1:18">
      <c r="A11" s="22">
        <v>2019</v>
      </c>
      <c r="B11" s="20">
        <v>1000</v>
      </c>
      <c r="C11" s="20">
        <v>16</v>
      </c>
      <c r="D11" s="20">
        <v>29000</v>
      </c>
      <c r="E11" s="20">
        <v>471</v>
      </c>
      <c r="F11" s="26">
        <v>36000</v>
      </c>
      <c r="G11" s="22">
        <v>1099</v>
      </c>
      <c r="H11" s="26">
        <v>35000</v>
      </c>
      <c r="I11" s="22">
        <v>2179</v>
      </c>
      <c r="J11" s="26">
        <v>75000</v>
      </c>
      <c r="K11" s="20">
        <v>6976.25</v>
      </c>
      <c r="P11" s="26">
        <f t="shared" si="0"/>
        <v>176000</v>
      </c>
      <c r="Q11" s="26">
        <f t="shared" si="1"/>
        <v>10741.25</v>
      </c>
      <c r="R11" s="22">
        <v>2019</v>
      </c>
    </row>
    <row r="12" spans="1:18">
      <c r="A12" s="22">
        <v>2020</v>
      </c>
      <c r="B12" s="20"/>
      <c r="C12" s="20"/>
      <c r="D12" s="20"/>
      <c r="E12" s="20"/>
      <c r="F12" s="26">
        <v>11000</v>
      </c>
      <c r="G12" s="22">
        <v>208</v>
      </c>
      <c r="H12" s="26">
        <v>35000</v>
      </c>
      <c r="I12" s="22">
        <v>1129</v>
      </c>
      <c r="J12" s="26">
        <v>75000</v>
      </c>
      <c r="K12" s="20">
        <v>5101.25</v>
      </c>
      <c r="P12" s="26">
        <f t="shared" si="0"/>
        <v>121000</v>
      </c>
      <c r="Q12" s="26">
        <f t="shared" si="1"/>
        <v>6438.25</v>
      </c>
      <c r="R12" s="22">
        <v>2020</v>
      </c>
    </row>
    <row r="13" spans="1:18">
      <c r="A13" s="22">
        <v>2021</v>
      </c>
      <c r="B13" s="20"/>
      <c r="C13" s="20"/>
      <c r="D13" s="20"/>
      <c r="E13" s="20"/>
      <c r="H13" s="26">
        <v>16000</v>
      </c>
      <c r="I13" s="22">
        <v>280</v>
      </c>
      <c r="J13" s="26">
        <v>75000</v>
      </c>
      <c r="K13" s="20">
        <v>2945</v>
      </c>
      <c r="P13" s="26">
        <f t="shared" si="0"/>
        <v>91000</v>
      </c>
      <c r="Q13" s="26">
        <f t="shared" si="1"/>
        <v>3225</v>
      </c>
      <c r="R13" s="22">
        <v>2021</v>
      </c>
    </row>
    <row r="14" spans="1:18">
      <c r="A14" s="22">
        <v>2022</v>
      </c>
      <c r="B14" s="20"/>
      <c r="C14" s="20"/>
      <c r="D14" s="20"/>
      <c r="E14" s="20"/>
      <c r="J14" s="20">
        <v>56000</v>
      </c>
      <c r="K14" s="20">
        <v>910</v>
      </c>
      <c r="P14" s="26">
        <f t="shared" si="0"/>
        <v>56000</v>
      </c>
      <c r="Q14" s="26">
        <f t="shared" si="1"/>
        <v>910</v>
      </c>
      <c r="R14" s="22">
        <v>2022</v>
      </c>
    </row>
    <row r="15" spans="1:18">
      <c r="B15" s="27"/>
      <c r="C15" s="27"/>
      <c r="D15" s="27"/>
      <c r="E15" s="27"/>
      <c r="F15" s="27"/>
      <c r="G15" s="27"/>
      <c r="H15" s="27"/>
      <c r="I15" s="27"/>
      <c r="J15" s="27"/>
      <c r="K15" s="17"/>
      <c r="L15" s="27"/>
      <c r="M15" s="27"/>
      <c r="N15" s="27"/>
      <c r="O15" s="27"/>
      <c r="P15" s="27"/>
      <c r="Q15" s="27"/>
    </row>
    <row r="16" spans="1:18">
      <c r="B16" s="28" t="s">
        <v>143</v>
      </c>
      <c r="C16" s="28" t="s">
        <v>143</v>
      </c>
      <c r="D16" s="28" t="s">
        <v>143</v>
      </c>
      <c r="E16" s="28" t="s">
        <v>143</v>
      </c>
      <c r="F16" s="28" t="s">
        <v>143</v>
      </c>
      <c r="G16" s="28" t="s">
        <v>143</v>
      </c>
      <c r="H16" s="28" t="s">
        <v>143</v>
      </c>
      <c r="I16" s="28" t="s">
        <v>143</v>
      </c>
      <c r="J16" s="28" t="s">
        <v>143</v>
      </c>
      <c r="K16" s="28" t="s">
        <v>143</v>
      </c>
      <c r="L16" s="28" t="s">
        <v>143</v>
      </c>
      <c r="M16" s="28" t="s">
        <v>143</v>
      </c>
      <c r="N16" s="28" t="s">
        <v>143</v>
      </c>
      <c r="O16" s="28" t="s">
        <v>143</v>
      </c>
      <c r="P16" s="28" t="s">
        <v>143</v>
      </c>
      <c r="Q16" s="28" t="s">
        <v>143</v>
      </c>
    </row>
    <row r="17" spans="1:17">
      <c r="B17" s="27">
        <f>SUM(B5:B16)</f>
        <v>24000</v>
      </c>
      <c r="C17" s="27">
        <f t="shared" ref="C17:Q17" si="2">SUM(C5:C16)</f>
        <v>1669</v>
      </c>
      <c r="D17" s="27">
        <f t="shared" si="2"/>
        <v>174000</v>
      </c>
      <c r="E17" s="27">
        <f t="shared" si="2"/>
        <v>14972</v>
      </c>
      <c r="F17" s="27">
        <f t="shared" si="2"/>
        <v>227000</v>
      </c>
      <c r="G17" s="27">
        <f t="shared" si="2"/>
        <v>27269</v>
      </c>
      <c r="H17" s="27">
        <f t="shared" si="2"/>
        <v>265000</v>
      </c>
      <c r="I17" s="27">
        <f t="shared" si="2"/>
        <v>24907</v>
      </c>
      <c r="J17" s="27">
        <f t="shared" si="2"/>
        <v>656000</v>
      </c>
      <c r="K17" s="27">
        <f t="shared" si="2"/>
        <v>70969.97</v>
      </c>
      <c r="L17" s="27">
        <f t="shared" si="2"/>
        <v>0</v>
      </c>
      <c r="M17" s="27">
        <f t="shared" si="2"/>
        <v>0</v>
      </c>
      <c r="N17" s="27">
        <f t="shared" si="2"/>
        <v>0</v>
      </c>
      <c r="O17" s="27">
        <f t="shared" si="2"/>
        <v>0</v>
      </c>
      <c r="P17" s="111">
        <f>SUM(P5:P16)</f>
        <v>1346000</v>
      </c>
      <c r="Q17" s="27">
        <f t="shared" si="2"/>
        <v>139786.97</v>
      </c>
    </row>
    <row r="20" spans="1:17">
      <c r="A20" s="123" t="s">
        <v>468</v>
      </c>
      <c r="B20" s="133">
        <v>40087</v>
      </c>
      <c r="D20" s="133">
        <v>40087</v>
      </c>
      <c r="F20" s="133">
        <v>40402</v>
      </c>
      <c r="H20" s="133">
        <v>40759</v>
      </c>
      <c r="J20" s="133">
        <v>41162</v>
      </c>
    </row>
    <row r="21" spans="1:17" s="132" customFormat="1">
      <c r="A21" s="125" t="s">
        <v>467</v>
      </c>
      <c r="B21" s="132">
        <v>43000</v>
      </c>
      <c r="D21" s="132">
        <v>277000</v>
      </c>
      <c r="F21" s="132">
        <v>349000</v>
      </c>
      <c r="H21" s="132">
        <v>349000</v>
      </c>
      <c r="J21" s="132">
        <v>738000</v>
      </c>
    </row>
    <row r="24" spans="1:17">
      <c r="A24" s="22" t="s">
        <v>506</v>
      </c>
      <c r="B24" s="22" t="s">
        <v>516</v>
      </c>
      <c r="D24" s="22" t="s">
        <v>516</v>
      </c>
      <c r="F24" s="22" t="s">
        <v>516</v>
      </c>
      <c r="H24" s="22" t="s">
        <v>516</v>
      </c>
      <c r="J24" s="22" t="s">
        <v>516</v>
      </c>
    </row>
    <row r="25" spans="1:17" ht="12" customHeight="1"/>
  </sheetData>
  <mergeCells count="3">
    <mergeCell ref="F3:G3"/>
    <mergeCell ref="H3:I3"/>
    <mergeCell ref="J3:K3"/>
  </mergeCells>
  <printOptions gridLines="1"/>
  <pageMargins left="0.5" right="0.5" top="1" bottom="0.75" header="0.25" footer="0.25"/>
  <pageSetup scale="83" orientation="portrait" r:id="rId1"/>
  <headerFooter alignWithMargins="0">
    <oddHeader>&amp;C&amp;A</oddHeader>
    <oddFooter>&amp;L&amp;10prepared by bert &amp;D&amp;C&amp;10file: &amp;F&amp;R&amp;10page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>
    <tabColor rgb="FFFFC000"/>
    <pageSetUpPr fitToPage="1"/>
  </sheetPr>
  <dimension ref="A1:BE32"/>
  <sheetViews>
    <sheetView workbookViewId="0">
      <pane xSplit="1" ySplit="6" topLeftCell="B7" activePane="bottomRight" state="frozen"/>
      <selection activeCell="R26" sqref="R26"/>
      <selection pane="topRight" activeCell="R26" sqref="R26"/>
      <selection pane="bottomLeft" activeCell="R26" sqref="R26"/>
      <selection pane="bottomRight" activeCell="J41" sqref="J41"/>
    </sheetView>
  </sheetViews>
  <sheetFormatPr defaultColWidth="9.77734375" defaultRowHeight="12.75"/>
  <cols>
    <col min="1" max="1" width="15.88671875" style="8" customWidth="1"/>
    <col min="2" max="2" width="2.88671875" style="8" hidden="1" customWidth="1"/>
    <col min="3" max="3" width="7.88671875" style="8" hidden="1" customWidth="1"/>
    <col min="4" max="4" width="15" style="8" hidden="1" customWidth="1"/>
    <col min="5" max="5" width="7.44140625" style="8" hidden="1" customWidth="1"/>
    <col min="6" max="6" width="8.5546875" style="8" hidden="1" customWidth="1"/>
    <col min="7" max="7" width="7.77734375" style="18" hidden="1" customWidth="1"/>
    <col min="8" max="8" width="13.33203125" style="18" customWidth="1"/>
    <col min="9" max="9" width="7.77734375" style="18" customWidth="1"/>
    <col min="10" max="11" width="8.88671875" style="8" customWidth="1"/>
    <col min="12" max="12" width="10.21875" style="8" customWidth="1"/>
    <col min="13" max="13" width="9.44140625" style="8" customWidth="1"/>
    <col min="14" max="14" width="5.77734375" style="8" customWidth="1"/>
    <col min="15" max="15" width="6.21875" style="8" bestFit="1" customWidth="1"/>
    <col min="16" max="16" width="5.88671875" style="8" bestFit="1" customWidth="1"/>
    <col min="17" max="22" width="12.77734375" style="8" customWidth="1"/>
    <col min="23" max="24" width="15.77734375" style="8" customWidth="1"/>
    <col min="25" max="30" width="12.77734375" style="8" customWidth="1"/>
    <col min="31" max="33" width="15.77734375" style="8" customWidth="1"/>
    <col min="34" max="16384" width="9.77734375" style="8"/>
  </cols>
  <sheetData>
    <row r="1" spans="1:57">
      <c r="A1" s="8" t="s">
        <v>322</v>
      </c>
      <c r="J1" s="10" t="s">
        <v>544</v>
      </c>
    </row>
    <row r="2" spans="1:57">
      <c r="D2" s="8" t="s">
        <v>323</v>
      </c>
      <c r="H2" s="18" t="s">
        <v>444</v>
      </c>
    </row>
    <row r="3" spans="1:57">
      <c r="B3" s="268" t="s">
        <v>324</v>
      </c>
      <c r="C3" s="268"/>
      <c r="D3" s="268" t="s">
        <v>325</v>
      </c>
      <c r="E3" s="268"/>
      <c r="F3" s="275" t="s">
        <v>324</v>
      </c>
      <c r="G3" s="275"/>
      <c r="H3" s="268" t="s">
        <v>324</v>
      </c>
      <c r="I3" s="268"/>
    </row>
    <row r="4" spans="1:57">
      <c r="A4" s="12" t="s">
        <v>13</v>
      </c>
      <c r="B4" s="268" t="s">
        <v>326</v>
      </c>
      <c r="C4" s="268"/>
      <c r="D4" s="276" t="s">
        <v>130</v>
      </c>
      <c r="E4" s="276"/>
      <c r="F4" s="32" t="s">
        <v>330</v>
      </c>
      <c r="G4" s="109"/>
      <c r="H4" s="277" t="s">
        <v>445</v>
      </c>
      <c r="I4" s="277"/>
      <c r="J4" s="11" t="s">
        <v>327</v>
      </c>
      <c r="L4" s="8" t="s">
        <v>328</v>
      </c>
    </row>
    <row r="5" spans="1:57">
      <c r="A5" s="12" t="s">
        <v>139</v>
      </c>
      <c r="B5" s="98" t="s">
        <v>140</v>
      </c>
      <c r="C5" s="12" t="s">
        <v>141</v>
      </c>
      <c r="D5" s="98" t="s">
        <v>140</v>
      </c>
      <c r="E5" s="12" t="s">
        <v>141</v>
      </c>
      <c r="F5" s="12" t="s">
        <v>321</v>
      </c>
      <c r="G5" s="110" t="s">
        <v>329</v>
      </c>
      <c r="H5" s="12" t="s">
        <v>321</v>
      </c>
      <c r="I5" s="110" t="s">
        <v>329</v>
      </c>
      <c r="J5" s="12" t="s">
        <v>321</v>
      </c>
      <c r="K5" s="12" t="s">
        <v>329</v>
      </c>
      <c r="L5" s="12" t="s">
        <v>321</v>
      </c>
      <c r="M5" s="12" t="s">
        <v>329</v>
      </c>
    </row>
    <row r="6" spans="1:57">
      <c r="A6" s="8" t="s">
        <v>99</v>
      </c>
      <c r="B6" s="12" t="s">
        <v>142</v>
      </c>
      <c r="C6" s="12" t="s">
        <v>143</v>
      </c>
      <c r="D6" s="12" t="s">
        <v>142</v>
      </c>
      <c r="E6" s="12" t="s">
        <v>143</v>
      </c>
      <c r="F6" s="8" t="s">
        <v>249</v>
      </c>
      <c r="G6" s="18" t="s">
        <v>142</v>
      </c>
      <c r="H6" s="8" t="s">
        <v>249</v>
      </c>
      <c r="I6" s="18" t="s">
        <v>142</v>
      </c>
      <c r="J6" s="8" t="s">
        <v>249</v>
      </c>
      <c r="K6" s="8" t="s">
        <v>250</v>
      </c>
      <c r="L6" s="8" t="s">
        <v>249</v>
      </c>
      <c r="M6" s="8" t="s">
        <v>142</v>
      </c>
    </row>
    <row r="7" spans="1:57">
      <c r="A7" s="8" t="s">
        <v>446</v>
      </c>
      <c r="B7" s="15"/>
      <c r="C7" s="15"/>
      <c r="D7" s="15"/>
      <c r="E7" s="15"/>
      <c r="I7" s="18">
        <v>54000</v>
      </c>
      <c r="J7" s="15">
        <f t="shared" ref="J7:K22" si="0">(B7+D7+F7+H7)</f>
        <v>0</v>
      </c>
      <c r="K7" s="15">
        <f t="shared" si="0"/>
        <v>54000</v>
      </c>
      <c r="L7" s="15"/>
      <c r="M7" s="15"/>
      <c r="O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</row>
    <row r="8" spans="1:57">
      <c r="A8" s="8" t="s">
        <v>447</v>
      </c>
      <c r="B8" s="15"/>
      <c r="C8" s="15"/>
      <c r="D8" s="15"/>
      <c r="E8" s="15"/>
      <c r="H8" s="18">
        <v>600000</v>
      </c>
      <c r="I8" s="18">
        <v>54000</v>
      </c>
      <c r="J8" s="15">
        <f t="shared" si="0"/>
        <v>600000</v>
      </c>
      <c r="K8" s="15">
        <f t="shared" si="0"/>
        <v>54000</v>
      </c>
      <c r="L8" s="15">
        <f>SUM(J7:J8)</f>
        <v>600000</v>
      </c>
      <c r="M8" s="15">
        <f>SUM(K7:K8)</f>
        <v>108000</v>
      </c>
      <c r="O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</row>
    <row r="9" spans="1:57">
      <c r="A9" s="8" t="s">
        <v>448</v>
      </c>
      <c r="B9" s="15"/>
      <c r="C9" s="15"/>
      <c r="D9" s="15"/>
      <c r="E9" s="15"/>
      <c r="I9" s="18">
        <v>51000</v>
      </c>
      <c r="J9" s="15">
        <f t="shared" si="0"/>
        <v>0</v>
      </c>
      <c r="K9" s="15">
        <f t="shared" si="0"/>
        <v>51000</v>
      </c>
      <c r="L9" s="15"/>
      <c r="M9" s="15"/>
      <c r="O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 spans="1:57">
      <c r="A10" s="8" t="s">
        <v>449</v>
      </c>
      <c r="B10" s="15"/>
      <c r="C10" s="15"/>
      <c r="D10" s="15"/>
      <c r="E10" s="15"/>
      <c r="H10" s="18">
        <v>600000</v>
      </c>
      <c r="I10" s="18">
        <v>51000</v>
      </c>
      <c r="J10" s="15">
        <f t="shared" si="0"/>
        <v>600000</v>
      </c>
      <c r="K10" s="15">
        <f t="shared" si="0"/>
        <v>51000</v>
      </c>
      <c r="L10" s="15">
        <f>SUM(J9:J10)</f>
        <v>600000</v>
      </c>
      <c r="M10" s="15">
        <f>SUM(K9:K10)</f>
        <v>102000</v>
      </c>
      <c r="O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</row>
    <row r="11" spans="1:57">
      <c r="A11" s="8" t="s">
        <v>450</v>
      </c>
      <c r="B11" s="15"/>
      <c r="C11" s="15"/>
      <c r="D11" s="15"/>
      <c r="E11" s="15"/>
      <c r="I11" s="18">
        <v>45000</v>
      </c>
      <c r="J11" s="15">
        <f t="shared" si="0"/>
        <v>0</v>
      </c>
      <c r="K11" s="15">
        <f t="shared" si="0"/>
        <v>45000</v>
      </c>
      <c r="L11" s="15"/>
      <c r="M11" s="15"/>
      <c r="O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1:57">
      <c r="A12" s="8" t="s">
        <v>451</v>
      </c>
      <c r="B12" s="15"/>
      <c r="C12" s="15"/>
      <c r="D12" s="15"/>
      <c r="E12" s="15"/>
      <c r="H12" s="18">
        <v>600000</v>
      </c>
      <c r="I12" s="18">
        <v>45000</v>
      </c>
      <c r="J12" s="15">
        <f t="shared" si="0"/>
        <v>600000</v>
      </c>
      <c r="K12" s="15">
        <f t="shared" si="0"/>
        <v>45000</v>
      </c>
      <c r="L12" s="15">
        <f>SUM(J11:J12)</f>
        <v>600000</v>
      </c>
      <c r="M12" s="15">
        <f>SUM(K11:K12)</f>
        <v>90000</v>
      </c>
      <c r="O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 spans="1:57">
      <c r="A13" s="8" t="s">
        <v>452</v>
      </c>
      <c r="B13" s="15"/>
      <c r="C13" s="15"/>
      <c r="D13" s="15"/>
      <c r="E13" s="15"/>
      <c r="I13" s="18">
        <v>39000</v>
      </c>
      <c r="J13" s="15">
        <f t="shared" si="0"/>
        <v>0</v>
      </c>
      <c r="K13" s="15">
        <f t="shared" si="0"/>
        <v>39000</v>
      </c>
      <c r="L13" s="15"/>
      <c r="M13" s="15"/>
      <c r="O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</row>
    <row r="14" spans="1:57">
      <c r="A14" s="8" t="s">
        <v>453</v>
      </c>
      <c r="B14" s="15"/>
      <c r="C14" s="15"/>
      <c r="D14" s="15"/>
      <c r="E14" s="15"/>
      <c r="H14" s="18">
        <v>600000</v>
      </c>
      <c r="I14" s="18">
        <v>39000</v>
      </c>
      <c r="J14" s="15">
        <f t="shared" si="0"/>
        <v>600000</v>
      </c>
      <c r="K14" s="15">
        <f t="shared" si="0"/>
        <v>39000</v>
      </c>
      <c r="L14" s="15">
        <f>SUM(J13:J14)</f>
        <v>600000</v>
      </c>
      <c r="M14" s="15">
        <f>SUM(K13:K14)</f>
        <v>78000</v>
      </c>
      <c r="O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</row>
    <row r="15" spans="1:57">
      <c r="A15" s="8" t="s">
        <v>454</v>
      </c>
      <c r="B15" s="15"/>
      <c r="C15" s="15"/>
      <c r="D15" s="15"/>
      <c r="E15" s="15"/>
      <c r="I15" s="18">
        <v>33000</v>
      </c>
      <c r="J15" s="15">
        <f t="shared" si="0"/>
        <v>0</v>
      </c>
      <c r="K15" s="15">
        <f t="shared" si="0"/>
        <v>33000</v>
      </c>
      <c r="L15" s="15"/>
      <c r="M15" s="15"/>
      <c r="O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 spans="1:57">
      <c r="A16" s="8" t="s">
        <v>455</v>
      </c>
      <c r="B16" s="15"/>
      <c r="C16" s="15"/>
      <c r="D16" s="15"/>
      <c r="E16" s="15"/>
      <c r="H16" s="18">
        <v>600000</v>
      </c>
      <c r="I16" s="18">
        <v>33000</v>
      </c>
      <c r="J16" s="15">
        <f t="shared" si="0"/>
        <v>600000</v>
      </c>
      <c r="K16" s="15">
        <f t="shared" si="0"/>
        <v>33000</v>
      </c>
      <c r="L16" s="15">
        <f>SUM(J15:J16)</f>
        <v>600000</v>
      </c>
      <c r="M16" s="15">
        <f>SUM(K15:K16)</f>
        <v>66000</v>
      </c>
      <c r="O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 spans="1:57">
      <c r="A17" s="8" t="s">
        <v>456</v>
      </c>
      <c r="B17" s="15"/>
      <c r="C17" s="15"/>
      <c r="D17" s="15"/>
      <c r="E17" s="15"/>
      <c r="I17" s="18">
        <v>27000</v>
      </c>
      <c r="J17" s="15">
        <f t="shared" si="0"/>
        <v>0</v>
      </c>
      <c r="K17" s="15">
        <f t="shared" si="0"/>
        <v>27000</v>
      </c>
      <c r="L17" s="15"/>
      <c r="M17" s="15"/>
      <c r="O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</row>
    <row r="18" spans="1:57">
      <c r="A18" s="8" t="s">
        <v>457</v>
      </c>
      <c r="B18" s="15"/>
      <c r="C18" s="15"/>
      <c r="D18" s="15"/>
      <c r="E18" s="15"/>
      <c r="H18" s="18">
        <v>600000</v>
      </c>
      <c r="I18" s="18">
        <v>27000</v>
      </c>
      <c r="J18" s="15">
        <f t="shared" si="0"/>
        <v>600000</v>
      </c>
      <c r="K18" s="15">
        <f t="shared" si="0"/>
        <v>27000</v>
      </c>
      <c r="L18" s="15">
        <f>SUM(J17:J18)</f>
        <v>600000</v>
      </c>
      <c r="M18" s="15">
        <f>SUM(K17:K18)</f>
        <v>54000</v>
      </c>
      <c r="O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 spans="1:57">
      <c r="A19" s="8" t="s">
        <v>458</v>
      </c>
      <c r="B19" s="15"/>
      <c r="C19" s="15"/>
      <c r="D19" s="15"/>
      <c r="E19" s="15"/>
      <c r="I19" s="18">
        <v>21000</v>
      </c>
      <c r="J19" s="15">
        <f t="shared" si="0"/>
        <v>0</v>
      </c>
      <c r="K19" s="15">
        <f t="shared" si="0"/>
        <v>21000</v>
      </c>
      <c r="L19" s="15"/>
      <c r="M19" s="15"/>
      <c r="O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</row>
    <row r="20" spans="1:57">
      <c r="A20" s="8" t="s">
        <v>459</v>
      </c>
      <c r="B20" s="15"/>
      <c r="C20" s="15"/>
      <c r="D20" s="15"/>
      <c r="E20" s="15"/>
      <c r="H20" s="18">
        <v>600000</v>
      </c>
      <c r="I20" s="18">
        <v>21000</v>
      </c>
      <c r="J20" s="15">
        <f t="shared" si="0"/>
        <v>600000</v>
      </c>
      <c r="K20" s="15">
        <f t="shared" si="0"/>
        <v>21000</v>
      </c>
      <c r="L20" s="15">
        <f>SUM(J19:J20)</f>
        <v>600000</v>
      </c>
      <c r="M20" s="15">
        <f>SUM(K19:K20)</f>
        <v>42000</v>
      </c>
      <c r="O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 spans="1:57">
      <c r="A21" s="8" t="s">
        <v>460</v>
      </c>
      <c r="B21" s="15"/>
      <c r="C21" s="15"/>
      <c r="D21" s="15"/>
      <c r="E21" s="15"/>
      <c r="I21" s="18">
        <v>15000</v>
      </c>
      <c r="J21" s="15">
        <f t="shared" si="0"/>
        <v>0</v>
      </c>
      <c r="K21" s="15">
        <f t="shared" si="0"/>
        <v>15000</v>
      </c>
      <c r="L21" s="15"/>
      <c r="M21" s="15"/>
      <c r="O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</row>
    <row r="22" spans="1:57">
      <c r="A22" s="8" t="s">
        <v>461</v>
      </c>
      <c r="B22" s="15"/>
      <c r="C22" s="15"/>
      <c r="D22" s="15"/>
      <c r="E22" s="15"/>
      <c r="H22" s="18">
        <v>600000</v>
      </c>
      <c r="I22" s="18">
        <v>15000</v>
      </c>
      <c r="J22" s="15">
        <f t="shared" si="0"/>
        <v>600000</v>
      </c>
      <c r="K22" s="15">
        <f t="shared" si="0"/>
        <v>15000</v>
      </c>
      <c r="L22" s="15">
        <f>SUM(J21:J22)</f>
        <v>600000</v>
      </c>
      <c r="M22" s="15">
        <f>SUM(K21:K22)</f>
        <v>30000</v>
      </c>
      <c r="O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spans="1:57">
      <c r="A23" s="8" t="s">
        <v>462</v>
      </c>
      <c r="B23" s="15"/>
      <c r="C23" s="15"/>
      <c r="D23" s="15"/>
      <c r="E23" s="15"/>
      <c r="I23" s="18">
        <v>7500</v>
      </c>
      <c r="J23" s="15">
        <f t="shared" ref="J23:K24" si="1">(B23+D23+F23+H23)</f>
        <v>0</v>
      </c>
      <c r="K23" s="15">
        <f t="shared" si="1"/>
        <v>7500</v>
      </c>
      <c r="L23" s="15"/>
      <c r="M23" s="15"/>
      <c r="O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</row>
    <row r="24" spans="1:57">
      <c r="A24" s="8" t="s">
        <v>463</v>
      </c>
      <c r="B24" s="15"/>
      <c r="C24" s="15"/>
      <c r="D24" s="15"/>
      <c r="E24" s="15"/>
      <c r="H24" s="18">
        <v>600000</v>
      </c>
      <c r="I24" s="18">
        <v>7500</v>
      </c>
      <c r="J24" s="15">
        <f t="shared" si="1"/>
        <v>600000</v>
      </c>
      <c r="K24" s="15">
        <f t="shared" si="1"/>
        <v>7500</v>
      </c>
      <c r="L24" s="15">
        <f>SUM(J23:J24)</f>
        <v>600000</v>
      </c>
      <c r="M24" s="15">
        <f>SUM(K23:K24)</f>
        <v>15000</v>
      </c>
      <c r="O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spans="1:57">
      <c r="B25" s="15"/>
      <c r="C25" s="15"/>
      <c r="D25" s="15"/>
      <c r="E25" s="15"/>
      <c r="J25" s="15">
        <f>(B25+D25+F25+H25)</f>
        <v>0</v>
      </c>
      <c r="K25" s="15">
        <f>(C25+E25+G25+I25)</f>
        <v>0</v>
      </c>
      <c r="L25" s="15"/>
      <c r="M25" s="15"/>
      <c r="O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</row>
    <row r="26" spans="1:57">
      <c r="B26" s="19" t="s">
        <v>200</v>
      </c>
      <c r="C26" s="19" t="s">
        <v>200</v>
      </c>
      <c r="D26" s="19" t="s">
        <v>200</v>
      </c>
      <c r="E26" s="19" t="s">
        <v>200</v>
      </c>
      <c r="F26" s="19" t="s">
        <v>97</v>
      </c>
      <c r="G26" s="29" t="s">
        <v>97</v>
      </c>
      <c r="H26" s="19" t="s">
        <v>97</v>
      </c>
      <c r="I26" s="29" t="s">
        <v>97</v>
      </c>
      <c r="J26" s="19" t="s">
        <v>97</v>
      </c>
      <c r="K26" s="19" t="s">
        <v>97</v>
      </c>
      <c r="L26" s="19" t="s">
        <v>97</v>
      </c>
      <c r="M26" s="19" t="s">
        <v>97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</row>
    <row r="27" spans="1:57">
      <c r="B27" s="15">
        <f>SUM(B6:B26)</f>
        <v>0</v>
      </c>
      <c r="C27" s="15">
        <f>SUM(C6:C26)</f>
        <v>0</v>
      </c>
      <c r="D27" s="15">
        <f>SUM(D2:D26)</f>
        <v>0</v>
      </c>
      <c r="E27" s="15">
        <f>SUM(E2:E26)</f>
        <v>0</v>
      </c>
      <c r="F27" s="15">
        <f t="shared" ref="F27:M27" si="2">SUM(F6:F26)</f>
        <v>0</v>
      </c>
      <c r="G27" s="30">
        <f t="shared" si="2"/>
        <v>0</v>
      </c>
      <c r="H27" s="15">
        <f t="shared" si="2"/>
        <v>5400000</v>
      </c>
      <c r="I27" s="30">
        <f t="shared" si="2"/>
        <v>585000</v>
      </c>
      <c r="J27" s="15">
        <f t="shared" si="2"/>
        <v>5400000</v>
      </c>
      <c r="K27" s="15">
        <f t="shared" si="2"/>
        <v>585000</v>
      </c>
      <c r="L27" s="112">
        <f t="shared" si="2"/>
        <v>5400000</v>
      </c>
      <c r="M27" s="15">
        <f t="shared" si="2"/>
        <v>585000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</row>
    <row r="28" spans="1:57"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</row>
    <row r="29" spans="1:57">
      <c r="A29" s="123" t="s">
        <v>468</v>
      </c>
      <c r="D29" s="14" t="s">
        <v>495</v>
      </c>
      <c r="E29" s="12"/>
      <c r="F29" s="12"/>
      <c r="G29" s="110"/>
      <c r="H29" s="134" t="s">
        <v>496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 spans="1:57" s="126" customFormat="1">
      <c r="A30" s="125" t="s">
        <v>467</v>
      </c>
      <c r="D30" s="126">
        <v>3535000</v>
      </c>
      <c r="H30" s="126">
        <v>6000000</v>
      </c>
    </row>
    <row r="32" spans="1:57" ht="25.5">
      <c r="A32" s="8" t="s">
        <v>506</v>
      </c>
      <c r="D32" s="142" t="s">
        <v>532</v>
      </c>
      <c r="H32" s="18" t="s">
        <v>533</v>
      </c>
    </row>
  </sheetData>
  <mergeCells count="7">
    <mergeCell ref="B3:C3"/>
    <mergeCell ref="D3:E3"/>
    <mergeCell ref="F3:G3"/>
    <mergeCell ref="H3:I3"/>
    <mergeCell ref="B4:C4"/>
    <mergeCell ref="D4:E4"/>
    <mergeCell ref="H4:I4"/>
  </mergeCells>
  <printOptions horizontalCentered="1" gridLines="1"/>
  <pageMargins left="0.5" right="0.5" top="1" bottom="0.55000000000000004" header="0.25" footer="0.25"/>
  <pageSetup orientation="landscape" r:id="rId1"/>
  <headerFooter alignWithMargins="0">
    <oddHeader>&amp;C&amp;A</oddHeader>
    <oddFooter>&amp;L&amp;10printed &amp;D&amp;C&amp;10file: &amp;F&amp;R&amp;10page &amp;P of 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C000"/>
    <pageSetUpPr fitToPage="1"/>
  </sheetPr>
  <dimension ref="A1:H23"/>
  <sheetViews>
    <sheetView defaultGridColor="0" colorId="22" zoomScale="87" zoomScaleNormal="87" workbookViewId="0">
      <pane xSplit="1" topLeftCell="B1" activePane="topRight" state="frozen"/>
      <selection activeCell="A28" sqref="A28"/>
      <selection pane="topRight" activeCell="C30" sqref="C30"/>
    </sheetView>
  </sheetViews>
  <sheetFormatPr defaultColWidth="9.77734375" defaultRowHeight="12.75"/>
  <cols>
    <col min="1" max="1" width="17.44140625" style="34" bestFit="1" customWidth="1"/>
    <col min="2" max="2" width="13.44140625" style="34" customWidth="1"/>
    <col min="3" max="3" width="6.6640625" style="34" customWidth="1"/>
    <col min="4" max="4" width="11.6640625" style="34" customWidth="1"/>
    <col min="5" max="5" width="6.21875" style="34" customWidth="1"/>
    <col min="6" max="6" width="9.21875" style="34" customWidth="1"/>
    <col min="7" max="7" width="8.109375" style="34" customWidth="1"/>
    <col min="8" max="8" width="12" style="34" customWidth="1"/>
    <col min="9" max="9" width="10.33203125" style="34" bestFit="1" customWidth="1"/>
    <col min="10" max="16384" width="9.77734375" style="34"/>
  </cols>
  <sheetData>
    <row r="1" spans="1:8" ht="15.75">
      <c r="A1" s="149" t="s">
        <v>545</v>
      </c>
      <c r="B1" s="148"/>
      <c r="C1" s="148"/>
      <c r="D1" s="148"/>
      <c r="E1" s="148"/>
      <c r="F1" s="164" t="s">
        <v>544</v>
      </c>
      <c r="G1" s="148"/>
      <c r="H1" s="148"/>
    </row>
    <row r="3" spans="1:8" ht="15.75">
      <c r="A3" s="148"/>
      <c r="B3" s="268"/>
      <c r="C3" s="268"/>
      <c r="D3" s="268"/>
      <c r="E3" s="268"/>
      <c r="F3" s="148"/>
      <c r="G3" s="148"/>
      <c r="H3" s="148"/>
    </row>
    <row r="4" spans="1:8" ht="15.75">
      <c r="A4" s="161" t="s">
        <v>13</v>
      </c>
      <c r="B4" s="275" t="s">
        <v>546</v>
      </c>
      <c r="C4" s="275"/>
      <c r="D4" s="277" t="s">
        <v>547</v>
      </c>
      <c r="E4" s="277"/>
      <c r="F4" s="164" t="s">
        <v>548</v>
      </c>
      <c r="G4" s="148"/>
      <c r="H4" s="148"/>
    </row>
    <row r="5" spans="1:8" ht="15.75">
      <c r="A5" s="161" t="s">
        <v>139</v>
      </c>
      <c r="B5" s="163" t="s">
        <v>140</v>
      </c>
      <c r="C5" s="161" t="s">
        <v>141</v>
      </c>
      <c r="D5" s="161" t="s">
        <v>321</v>
      </c>
      <c r="E5" s="162" t="s">
        <v>329</v>
      </c>
      <c r="F5" s="161" t="s">
        <v>321</v>
      </c>
      <c r="G5" s="161" t="s">
        <v>329</v>
      </c>
      <c r="H5" s="148"/>
    </row>
    <row r="6" spans="1:8" ht="15.75">
      <c r="A6" s="149" t="s">
        <v>99</v>
      </c>
      <c r="B6" s="161" t="s">
        <v>142</v>
      </c>
      <c r="C6" s="161" t="s">
        <v>143</v>
      </c>
      <c r="D6" s="149" t="s">
        <v>549</v>
      </c>
      <c r="E6" s="150" t="s">
        <v>550</v>
      </c>
      <c r="F6" s="149" t="s">
        <v>551</v>
      </c>
      <c r="G6" s="149" t="s">
        <v>552</v>
      </c>
      <c r="H6" s="148"/>
    </row>
    <row r="7" spans="1:8" ht="15.75">
      <c r="A7" s="161">
        <v>2014</v>
      </c>
      <c r="B7" s="151">
        <v>136334</v>
      </c>
      <c r="C7" s="151">
        <v>16445.2</v>
      </c>
      <c r="D7" s="166">
        <v>120000</v>
      </c>
      <c r="E7" s="166">
        <v>9427.7800000000007</v>
      </c>
      <c r="F7" s="151">
        <v>256334</v>
      </c>
      <c r="G7" s="151">
        <v>25872.980000000003</v>
      </c>
      <c r="H7" s="148"/>
    </row>
    <row r="8" spans="1:8" ht="15.75">
      <c r="A8" s="161">
        <v>2015</v>
      </c>
      <c r="B8" s="151">
        <v>140990.85999999999</v>
      </c>
      <c r="C8" s="151">
        <v>11788.34</v>
      </c>
      <c r="D8" s="166">
        <v>120000</v>
      </c>
      <c r="E8" s="166">
        <v>6994.45</v>
      </c>
      <c r="F8" s="151">
        <v>260990.86</v>
      </c>
      <c r="G8" s="151">
        <v>18782.79</v>
      </c>
      <c r="H8" s="148"/>
    </row>
    <row r="9" spans="1:8" ht="15.75">
      <c r="A9" s="161">
        <v>2016</v>
      </c>
      <c r="B9" s="151">
        <v>144224.87</v>
      </c>
      <c r="C9" s="151">
        <v>8554.33</v>
      </c>
      <c r="D9" s="167">
        <v>120000</v>
      </c>
      <c r="E9" s="167">
        <v>4575.5600000000004</v>
      </c>
      <c r="F9" s="151">
        <v>264224.87</v>
      </c>
      <c r="G9" s="151">
        <v>13129.89</v>
      </c>
      <c r="H9" s="148"/>
    </row>
    <row r="10" spans="1:8" ht="15.75">
      <c r="A10" s="161">
        <v>2017</v>
      </c>
      <c r="B10" s="151">
        <v>147533.06</v>
      </c>
      <c r="C10" s="151">
        <v>5246.14</v>
      </c>
      <c r="D10" s="167">
        <v>120000</v>
      </c>
      <c r="E10" s="167">
        <v>2127.7800000000002</v>
      </c>
      <c r="F10" s="151">
        <v>267533.06</v>
      </c>
      <c r="G10" s="151">
        <v>7373.92</v>
      </c>
      <c r="H10" s="148"/>
    </row>
    <row r="11" spans="1:8" ht="15.75">
      <c r="A11" s="161">
        <v>2018</v>
      </c>
      <c r="B11" s="151">
        <v>150917.21</v>
      </c>
      <c r="C11" s="151">
        <v>1862.89</v>
      </c>
      <c r="D11" s="167">
        <v>40000</v>
      </c>
      <c r="E11" s="167">
        <v>168.89</v>
      </c>
      <c r="F11" s="151">
        <v>190917.21</v>
      </c>
      <c r="G11" s="151">
        <v>2031.7800000000002</v>
      </c>
      <c r="H11" s="148"/>
    </row>
    <row r="12" spans="1:8" ht="15.75">
      <c r="A12" s="148"/>
      <c r="B12" s="151"/>
      <c r="C12" s="151"/>
      <c r="D12" s="148"/>
      <c r="E12" s="148"/>
      <c r="F12" s="151"/>
      <c r="G12" s="151"/>
      <c r="H12" s="148"/>
    </row>
    <row r="13" spans="1:8" ht="15.75">
      <c r="A13" s="148"/>
      <c r="B13" s="159" t="s">
        <v>200</v>
      </c>
      <c r="C13" s="159" t="s">
        <v>200</v>
      </c>
      <c r="D13" s="159" t="s">
        <v>97</v>
      </c>
      <c r="E13" s="160" t="s">
        <v>97</v>
      </c>
      <c r="F13" s="159" t="s">
        <v>97</v>
      </c>
      <c r="G13" s="159" t="s">
        <v>97</v>
      </c>
      <c r="H13" s="148"/>
    </row>
    <row r="14" spans="1:8" ht="15.75">
      <c r="A14" s="148"/>
      <c r="B14" s="151">
        <v>720000</v>
      </c>
      <c r="C14" s="151">
        <v>43896.9</v>
      </c>
      <c r="D14" s="151">
        <v>520000</v>
      </c>
      <c r="E14" s="152">
        <v>23294.46</v>
      </c>
      <c r="F14" s="112">
        <v>1240000</v>
      </c>
      <c r="G14" s="151">
        <v>67191.360000000001</v>
      </c>
      <c r="H14" s="148"/>
    </row>
    <row r="15" spans="1:8" ht="15.75">
      <c r="A15" s="148"/>
      <c r="B15" s="151"/>
      <c r="C15" s="151"/>
      <c r="D15" s="151"/>
      <c r="E15" s="152"/>
      <c r="F15" s="170"/>
      <c r="G15" s="151"/>
      <c r="H15" s="148"/>
    </row>
    <row r="16" spans="1:8" ht="15.75">
      <c r="A16" s="157" t="s">
        <v>468</v>
      </c>
      <c r="B16" s="171" t="s">
        <v>555</v>
      </c>
      <c r="C16" s="171"/>
      <c r="D16" s="171" t="s">
        <v>554</v>
      </c>
      <c r="E16" s="152"/>
      <c r="F16" s="170"/>
      <c r="G16" s="151"/>
      <c r="H16" s="148"/>
    </row>
    <row r="17" spans="1:8" ht="15.75">
      <c r="A17" s="157" t="s">
        <v>553</v>
      </c>
      <c r="B17" s="165">
        <v>720000</v>
      </c>
      <c r="C17" s="148"/>
      <c r="D17" s="154">
        <v>600000</v>
      </c>
      <c r="E17" s="148"/>
      <c r="F17" s="158"/>
      <c r="G17" s="151"/>
      <c r="H17" s="148"/>
    </row>
    <row r="18" spans="1:8" ht="15.75">
      <c r="A18" s="148"/>
      <c r="B18" s="168">
        <v>2.2700000000000001E-2</v>
      </c>
      <c r="C18" s="148"/>
      <c r="D18" s="169">
        <v>0.02</v>
      </c>
      <c r="E18" s="156"/>
      <c r="F18" s="154"/>
      <c r="G18" s="148"/>
      <c r="H18" s="148"/>
    </row>
    <row r="19" spans="1:8" ht="15.75">
      <c r="A19" s="148"/>
      <c r="B19" s="155"/>
      <c r="C19" s="148"/>
      <c r="D19" s="148"/>
      <c r="E19" s="148"/>
      <c r="F19" s="154"/>
      <c r="G19" s="148"/>
      <c r="H19" s="148"/>
    </row>
    <row r="20" spans="1:8" ht="15.75">
      <c r="A20" s="148"/>
      <c r="B20" s="153"/>
      <c r="C20" s="148"/>
      <c r="D20" s="148"/>
      <c r="E20" s="148"/>
      <c r="F20" s="154"/>
      <c r="G20" s="148"/>
      <c r="H20" s="148"/>
    </row>
    <row r="21" spans="1:8" s="124" customFormat="1" ht="15.75">
      <c r="A21" s="148"/>
      <c r="B21" s="153"/>
      <c r="C21" s="148"/>
      <c r="D21" s="148"/>
      <c r="E21" s="148"/>
      <c r="F21" s="148"/>
      <c r="G21" s="148"/>
      <c r="H21" s="148"/>
    </row>
    <row r="22" spans="1:8" s="122" customFormat="1" ht="15.75">
      <c r="A22" s="148"/>
      <c r="B22" s="153"/>
      <c r="C22" s="148"/>
      <c r="D22" s="148"/>
      <c r="E22" s="148"/>
      <c r="F22" s="148"/>
      <c r="G22" s="148"/>
      <c r="H22" s="148"/>
    </row>
    <row r="23" spans="1:8" ht="15.75">
      <c r="A23" s="148"/>
      <c r="B23" s="148"/>
      <c r="C23" s="148"/>
      <c r="D23" s="148"/>
      <c r="E23" s="148"/>
      <c r="F23" s="148"/>
      <c r="G23" s="148"/>
      <c r="H23" s="148"/>
    </row>
  </sheetData>
  <mergeCells count="4">
    <mergeCell ref="B3:C3"/>
    <mergeCell ref="D3:E3"/>
    <mergeCell ref="B4:C4"/>
    <mergeCell ref="D4:E4"/>
  </mergeCells>
  <printOptions horizontalCentered="1" gridLines="1"/>
  <pageMargins left="0.75" right="0.25" top="0.5" bottom="0.5" header="0" footer="0"/>
  <pageSetup scale="81" fitToWidth="2" pageOrder="overThenDown" orientation="landscape" r:id="rId1"/>
  <headerFooter alignWithMargins="0">
    <oddHeader>&amp;C&amp;A</oddHeader>
    <oddFooter>&amp;L&amp;10&amp;D&amp;C&amp;10file: &amp;Z&amp;F&amp;R&amp;10page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Summary</vt:lpstr>
      <vt:lpstr>Loan from State of MI</vt:lpstr>
      <vt:lpstr>Capital Leases</vt:lpstr>
      <vt:lpstr>Installment Contracts</vt:lpstr>
      <vt:lpstr>BuildingAuth general oblig bon </vt:lpstr>
      <vt:lpstr>Del Tax General Obligation Note</vt:lpstr>
      <vt:lpstr>DPW general obligation bonds</vt:lpstr>
      <vt:lpstr>Drains General Obligation Bonds</vt:lpstr>
      <vt:lpstr>Drains Notes Payable</vt:lpstr>
      <vt:lpstr>Roads Special Assessment Notes</vt:lpstr>
      <vt:lpstr>Roads General Obligation Bonds</vt:lpstr>
      <vt:lpstr>Roads Installment Debt</vt:lpstr>
      <vt:lpstr>'BuildingAuth general oblig bon '!\A</vt:lpstr>
      <vt:lpstr>'DPW general obligation bonds'!\A</vt:lpstr>
      <vt:lpstr>'Roads General Obligation Bonds'!\A</vt:lpstr>
      <vt:lpstr>'DPW general obligation bonds'!ALL</vt:lpstr>
      <vt:lpstr>'Roads General Obligation Bonds'!ALL</vt:lpstr>
      <vt:lpstr>'Drains Notes Payable'!Print_Area</vt:lpstr>
      <vt:lpstr>'Roads Installment Debt'!Print_Area</vt:lpstr>
      <vt:lpstr>'BuildingAuth general oblig bon '!Print_Area_MI</vt:lpstr>
      <vt:lpstr>'DPW general obligation bonds'!Print_Area_MI</vt:lpstr>
      <vt:lpstr>'Drains General Obligation Bonds'!Print_Area_MI</vt:lpstr>
      <vt:lpstr>'Drains Notes Payable'!Print_Area_MI</vt:lpstr>
      <vt:lpstr>'Roads General Obligation Bonds'!Print_Area_MI</vt:lpstr>
      <vt:lpstr>'Roads Installment Debt'!Print_Area_MI</vt:lpstr>
      <vt:lpstr>'Roads Special Assessment Notes'!Print_Area_MI</vt:lpstr>
      <vt:lpstr>'DPW general obligation bonds'!Print_Titles</vt:lpstr>
      <vt:lpstr>'Drains General Obligation Bonds'!Print_Titles</vt:lpstr>
      <vt:lpstr>'Drains Notes Payable'!Print_Titles</vt:lpstr>
      <vt:lpstr>'Loan from State of MI'!Print_Titles</vt:lpstr>
      <vt:lpstr>'Roads Installment Debt'!Print_Titles</vt:lpstr>
      <vt:lpstr>'Drains General Obligation Bonds'!Print_Titles_MI</vt:lpstr>
      <vt:lpstr>'Drains Notes Payable'!SPECASSTOT</vt:lpstr>
      <vt:lpstr>'Roads Installment Debt'!SPECASSTOT</vt:lpstr>
      <vt:lpstr>'Roads Special Assessment Notes'!SPECASSTOT</vt:lpstr>
    </vt:vector>
  </TitlesOfParts>
  <Company>Washtenaw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Sara Wuellner</cp:lastModifiedBy>
  <dcterms:created xsi:type="dcterms:W3CDTF">2012-09-11T15:32:31Z</dcterms:created>
  <dcterms:modified xsi:type="dcterms:W3CDTF">2014-07-01T14:09:27Z</dcterms:modified>
</cp:coreProperties>
</file>