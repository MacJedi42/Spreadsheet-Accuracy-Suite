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135" windowWidth="14160" windowHeight="8520"/>
  </bookViews>
  <sheets>
    <sheet name="Base SOW - Cost Table" sheetId="1" r:id="rId1"/>
  </sheets>
  <definedNames>
    <definedName name="_xlnm.Print_Area" localSheetId="0">'Base SOW - Cost Table'!$A$1:$M$61</definedName>
  </definedNames>
  <calcPr calcId="145621"/>
</workbook>
</file>

<file path=xl/calcChain.xml><?xml version="1.0" encoding="utf-8"?>
<calcChain xmlns="http://schemas.openxmlformats.org/spreadsheetml/2006/main">
  <c r="M34" i="1"/>
  <c r="M33"/>
  <c r="M32"/>
  <c r="M31"/>
  <c r="M30"/>
  <c r="M29"/>
  <c r="M28"/>
  <c r="M27"/>
  <c r="M26"/>
  <c r="M25"/>
  <c r="M24"/>
  <c r="M23"/>
  <c r="M22"/>
  <c r="M21"/>
  <c r="M20"/>
  <c r="M19"/>
  <c r="M18"/>
  <c r="M17"/>
  <c r="M15"/>
  <c r="M14"/>
  <c r="M13"/>
  <c r="M12"/>
  <c r="M10"/>
  <c r="M35"/>
  <c r="H36"/>
  <c r="H37"/>
  <c r="G36"/>
  <c r="G37"/>
  <c r="J36"/>
  <c r="J37"/>
  <c r="K36"/>
  <c r="K37"/>
  <c r="L36"/>
  <c r="L37"/>
  <c r="E37"/>
  <c r="I36"/>
  <c r="I37"/>
  <c r="F36"/>
  <c r="F37"/>
  <c r="D36"/>
  <c r="D37"/>
  <c r="C36"/>
  <c r="C37"/>
  <c r="M37"/>
</calcChain>
</file>

<file path=xl/sharedStrings.xml><?xml version="1.0" encoding="utf-8"?>
<sst xmlns="http://schemas.openxmlformats.org/spreadsheetml/2006/main" count="86" uniqueCount="70">
  <si>
    <t>COST COMPONENT</t>
  </si>
  <si>
    <t>Base SOW Subtotal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</si>
  <si>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</si>
  <si>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</si>
  <si>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</si>
  <si>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</si>
  <si>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</si>
  <si>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</si>
  <si>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</si>
  <si>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</si>
  <si>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</si>
  <si>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</si>
  <si>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</si>
  <si>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Waste Disposal</t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</si>
  <si>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</si>
  <si>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</si>
  <si>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</si>
  <si>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</si>
  <si>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</si>
  <si>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</si>
  <si>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Sr. Hydrogeologist, P.G.</t>
  </si>
  <si>
    <t>Project Manager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</si>
  <si>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</si>
  <si>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</si>
  <si>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</si>
  <si>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</si>
  <si>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</si>
  <si>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</si>
  <si>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</si>
  <si>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</si>
  <si>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</si>
  <si>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</si>
  <si>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 xml:space="preserve"> (A mark-up percentage no greater than 10% is acceptable to the Solicitor &amp; USTIF)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</si>
  <si>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</si>
  <si>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</si>
  <si>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Equipment Rental</t>
  </si>
  <si>
    <t>Schedule of Unit Rates</t>
  </si>
  <si>
    <t>Additional Cost per Unit</t>
  </si>
  <si>
    <t>Analytical Laboratory - Water</t>
  </si>
  <si>
    <t>Professional Surveyor</t>
  </si>
  <si>
    <t>Table 1.</t>
  </si>
  <si>
    <t>Bid Cost Worksheet</t>
  </si>
  <si>
    <t>Milestone A.                                    Quarterly Groundwater Monitoring, Sampling and Reporting</t>
  </si>
  <si>
    <t>Milestone B.                                           Continued Interim Remedial Actions</t>
  </si>
  <si>
    <t>Milestone C.                                       Supplemental Site Characterization Activities</t>
  </si>
  <si>
    <t>Milestone E.                                            Soil Attainment Demonstration</t>
  </si>
  <si>
    <t>Milestone F.                                    Groundwater Attainment Demonstration</t>
  </si>
  <si>
    <t>Milestone G.                                   Prepare and Submit a Draft and Final RACR</t>
  </si>
  <si>
    <t>Milestone H.                                  Site Restoration</t>
  </si>
  <si>
    <t>Milestones A1 - A4</t>
  </si>
  <si>
    <t>Milestone D.                                                                                        Implementation of Remedial Solution</t>
  </si>
  <si>
    <t>Milestone D1</t>
  </si>
  <si>
    <t>Milestone D2</t>
  </si>
  <si>
    <t>Milestone D3</t>
  </si>
  <si>
    <t>Milestones F1 - F8</t>
  </si>
  <si>
    <t>Santiago Distributing Company, Inc., Imperial, Pennsylvania</t>
  </si>
  <si>
    <t>Sub-Milestones</t>
  </si>
  <si>
    <t>Fixed Value Cost</t>
  </si>
  <si>
    <t>NA</t>
  </si>
  <si>
    <t>Milestone A - All-inclusive fixed unit-rate per quarterly groundwater monitoring, sampling and reporting event ($/event).</t>
  </si>
  <si>
    <t>Milestone B - Fixed unit-cost per absorbent sock ($/sock).</t>
  </si>
  <si>
    <t>Milestone D1 (if implemented) - Fixed unit-cost for contaminated soil transportation and disposal ($/ton).</t>
  </si>
  <si>
    <t>Milestone D1 (if implemented) - Fixed unit-cost for clean fill importation ($/ton).</t>
  </si>
  <si>
    <t>Milestone F - All-inclusive fixed unit-cost per well for gauging, purging, sample collection, sample management and analysis ($/well)</t>
  </si>
  <si>
    <t>Months of remedial System O&amp;M &gt;&gt;&gt;</t>
  </si>
  <si>
    <t>3 - Regardless of the number of quarters of remedial system O&amp;M that are expected to be needed for the site to achieve SHS for all COCs in groundwater as entered on this Bid Form by any Bidder, the "Totals for Milestones A through H" will reflect 24 months of remedial system O&amp;M.</t>
  </si>
  <si>
    <t>4- Bidders shall only enter data into Bid Form areas (Excel file cells) that are shaded in blue.</t>
  </si>
  <si>
    <t>Milestones B1 - B4</t>
  </si>
  <si>
    <t>Milestone B - Fixed unit-cost per quarter of monthly IRA events (inclusive of absorbent socks) ($/quarter)</t>
  </si>
  <si>
    <t>Independent of the 24-month O&amp;M period indicated above, all bidders shall indicate below the number of remedial system O&amp;M quarters that are expected to be needed for the site to achieve SHS for all COCs in groundwater under the bidder's care.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</si>
</sst>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</font>
    <font>
      <sz val="8"/>
      <name val="Arial"/>
    </font>
    <font>
      <b/>
      <sz val="9"/>
      <name val="Arial"/>
      <family val="2"/>
    </font>
    <font>
      <b/>
      <sz val="1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164" fontId="3" fillId="2" borderId="2" xfId="0" applyNumberFormat="1" applyFont="1" applyFill="1" applyBorder="1" applyAlignment="1" applyProtection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Border="1"/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Border="1" applyAlignment="1" applyProtection="1">
      <alignment vertical="top"/>
      <protection locked="0"/>
    </xf>
    <xf numFmtId="0" fontId="3" fillId="0" borderId="3" xfId="0" applyFont="1" applyBorder="1" applyProtection="1"/>
    <xf numFmtId="0" fontId="3" fillId="0" borderId="4" xfId="0" applyFont="1" applyBorder="1" applyProtection="1"/>
    <xf numFmtId="0" fontId="4" fillId="0" borderId="4" xfId="0" applyFont="1" applyBorder="1" applyAlignment="1" applyProtection="1">
      <alignment horizontal="left"/>
    </xf>
    <xf numFmtId="0" fontId="4" fillId="0" borderId="4" xfId="0" applyFont="1" applyBorder="1" applyProtection="1"/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vertical="top"/>
    </xf>
    <xf numFmtId="0" fontId="2" fillId="0" borderId="8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left" vertical="top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Protection="1"/>
    <xf numFmtId="0" fontId="3" fillId="4" borderId="8" xfId="0" applyFont="1" applyFill="1" applyBorder="1" applyAlignment="1" applyProtection="1">
      <alignment horizontal="center" vertical="center" wrapText="1"/>
    </xf>
    <xf numFmtId="0" fontId="3" fillId="4" borderId="10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/>
    </xf>
    <xf numFmtId="164" fontId="3" fillId="0" borderId="11" xfId="0" applyNumberFormat="1" applyFont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4" fontId="13" fillId="0" borderId="12" xfId="0" applyNumberFormat="1" applyFont="1" applyBorder="1" applyAlignment="1" applyProtection="1">
      <alignment horizontal="center"/>
    </xf>
    <xf numFmtId="0" fontId="3" fillId="0" borderId="13" xfId="0" applyFont="1" applyFill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left" vertical="center" wrapText="1"/>
    </xf>
    <xf numFmtId="0" fontId="2" fillId="0" borderId="13" xfId="0" applyFont="1" applyBorder="1" applyAlignment="1" applyProtection="1">
      <alignment horizontal="left" vertical="center" wrapText="1"/>
    </xf>
    <xf numFmtId="0" fontId="2" fillId="0" borderId="13" xfId="0" applyFont="1" applyBorder="1" applyAlignment="1" applyProtection="1">
      <alignment horizontal="left" vertical="center"/>
    </xf>
    <xf numFmtId="0" fontId="3" fillId="3" borderId="14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top" wrapText="1"/>
      <protection locked="0"/>
    </xf>
    <xf numFmtId="164" fontId="2" fillId="5" borderId="1" xfId="0" applyNumberFormat="1" applyFont="1" applyFill="1" applyBorder="1" applyAlignment="1" applyProtection="1">
      <alignment horizontal="center"/>
      <protection locked="0"/>
    </xf>
    <xf numFmtId="164" fontId="3" fillId="0" borderId="1" xfId="0" applyNumberFormat="1" applyFont="1" applyFill="1" applyBorder="1" applyAlignment="1" applyProtection="1">
      <alignment horizontal="center"/>
    </xf>
    <xf numFmtId="164" fontId="2" fillId="5" borderId="15" xfId="0" applyNumberFormat="1" applyFont="1" applyFill="1" applyBorder="1" applyAlignment="1" applyProtection="1">
      <alignment horizontal="center"/>
      <protection locked="0"/>
    </xf>
    <xf numFmtId="164" fontId="2" fillId="5" borderId="16" xfId="0" applyNumberFormat="1" applyFont="1" applyFill="1" applyBorder="1" applyAlignment="1" applyProtection="1">
      <alignment horizontal="center"/>
      <protection locked="0"/>
    </xf>
    <xf numFmtId="164" fontId="2" fillId="5" borderId="6" xfId="0" applyNumberFormat="1" applyFont="1" applyFill="1" applyBorder="1" applyAlignment="1" applyProtection="1">
      <alignment horizontal="center"/>
      <protection locked="0"/>
    </xf>
    <xf numFmtId="164" fontId="2" fillId="5" borderId="17" xfId="0" applyNumberFormat="1" applyFont="1" applyFill="1" applyBorder="1" applyAlignment="1" applyProtection="1">
      <alignment horizontal="center"/>
      <protection locked="0"/>
    </xf>
    <xf numFmtId="10" fontId="2" fillId="5" borderId="1" xfId="0" applyNumberFormat="1" applyFont="1" applyFill="1" applyBorder="1" applyAlignment="1" applyProtection="1">
      <alignment horizontal="center"/>
      <protection locked="0"/>
    </xf>
    <xf numFmtId="0" fontId="4" fillId="5" borderId="4" xfId="0" applyFont="1" applyFill="1" applyBorder="1" applyAlignment="1" applyProtection="1">
      <alignment horizontal="left"/>
      <protection locked="0"/>
    </xf>
    <xf numFmtId="0" fontId="2" fillId="5" borderId="7" xfId="0" applyFont="1" applyFill="1" applyBorder="1" applyAlignment="1" applyProtection="1">
      <alignment vertical="top"/>
      <protection locked="0"/>
    </xf>
    <xf numFmtId="0" fontId="2" fillId="5" borderId="18" xfId="0" applyFont="1" applyFill="1" applyBorder="1" applyAlignment="1" applyProtection="1">
      <alignment vertical="top"/>
      <protection locked="0"/>
    </xf>
    <xf numFmtId="164" fontId="2" fillId="0" borderId="1" xfId="0" applyNumberFormat="1" applyFont="1" applyFill="1" applyBorder="1" applyAlignment="1" applyProtection="1">
      <alignment horizontal="center"/>
    </xf>
    <xf numFmtId="0" fontId="4" fillId="0" borderId="11" xfId="0" applyFont="1" applyBorder="1" applyAlignment="1" applyProtection="1">
      <alignment horizontal="left"/>
    </xf>
    <xf numFmtId="164" fontId="2" fillId="0" borderId="1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</xf>
    <xf numFmtId="0" fontId="2" fillId="0" borderId="36" xfId="0" applyFont="1" applyBorder="1" applyAlignment="1" applyProtection="1">
      <alignment horizontal="left" vertical="top" wrapText="1"/>
      <protection locked="0"/>
    </xf>
    <xf numFmtId="0" fontId="2" fillId="0" borderId="37" xfId="0" applyFont="1" applyBorder="1" applyAlignment="1" applyProtection="1">
      <alignment horizontal="left" vertical="top" wrapText="1"/>
      <protection locked="0"/>
    </xf>
    <xf numFmtId="0" fontId="2" fillId="0" borderId="38" xfId="0" applyFont="1" applyBorder="1" applyAlignment="1" applyProtection="1">
      <alignment horizontal="left" vertical="top" wrapText="1"/>
      <protection locked="0"/>
    </xf>
    <xf numFmtId="0" fontId="5" fillId="3" borderId="3" xfId="0" applyFont="1" applyFill="1" applyBorder="1" applyAlignment="1" applyProtection="1">
      <alignment horizontal="center" textRotation="90" wrapText="1"/>
    </xf>
    <xf numFmtId="0" fontId="5" fillId="3" borderId="4" xfId="0" applyFont="1" applyFill="1" applyBorder="1" applyAlignment="1" applyProtection="1">
      <alignment horizontal="center" textRotation="90" wrapText="1"/>
    </xf>
    <xf numFmtId="0" fontId="5" fillId="3" borderId="11" xfId="0" applyFont="1" applyFill="1" applyBorder="1" applyAlignment="1" applyProtection="1">
      <alignment horizontal="center" textRotation="90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1" fillId="0" borderId="10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2" fillId="0" borderId="24" xfId="0" applyFont="1" applyBorder="1" applyAlignment="1" applyProtection="1">
      <alignment horizontal="left" vertical="center" wrapText="1"/>
    </xf>
    <xf numFmtId="0" fontId="2" fillId="0" borderId="25" xfId="0" applyFont="1" applyBorder="1" applyAlignment="1" applyProtection="1">
      <alignment horizontal="left" vertical="center" wrapText="1"/>
    </xf>
    <xf numFmtId="0" fontId="2" fillId="0" borderId="26" xfId="0" applyFont="1" applyBorder="1" applyAlignment="1" applyProtection="1">
      <alignment horizontal="left" vertical="center" wrapText="1"/>
    </xf>
    <xf numFmtId="0" fontId="2" fillId="0" borderId="30" xfId="0" applyFont="1" applyBorder="1" applyAlignment="1" applyProtection="1">
      <alignment horizontal="left" vertical="center" wrapText="1"/>
    </xf>
    <xf numFmtId="0" fontId="2" fillId="0" borderId="31" xfId="0" applyFont="1" applyBorder="1" applyAlignment="1" applyProtection="1">
      <alignment horizontal="left" vertical="center" wrapText="1"/>
    </xf>
    <xf numFmtId="0" fontId="2" fillId="0" borderId="32" xfId="0" applyFont="1" applyBorder="1" applyAlignment="1" applyProtection="1">
      <alignment horizontal="left" vertical="center" wrapText="1"/>
    </xf>
    <xf numFmtId="0" fontId="2" fillId="0" borderId="19" xfId="0" applyFont="1" applyFill="1" applyBorder="1" applyAlignment="1" applyProtection="1">
      <alignment horizontal="left" vertical="center" wrapText="1"/>
      <protection locked="0"/>
    </xf>
    <xf numFmtId="0" fontId="3" fillId="3" borderId="20" xfId="0" applyFont="1" applyFill="1" applyBorder="1" applyAlignment="1" applyProtection="1">
      <alignment horizontal="center" vertical="center" wrapText="1"/>
    </xf>
    <xf numFmtId="0" fontId="3" fillId="3" borderId="19" xfId="0" applyFont="1" applyFill="1" applyBorder="1" applyAlignment="1" applyProtection="1">
      <alignment horizontal="center" vertical="center" wrapText="1"/>
    </xf>
    <xf numFmtId="0" fontId="3" fillId="3" borderId="21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</xf>
    <xf numFmtId="0" fontId="3" fillId="3" borderId="27" xfId="0" applyFont="1" applyFill="1" applyBorder="1" applyAlignment="1" applyProtection="1">
      <alignment horizontal="center" vertical="center" wrapText="1"/>
    </xf>
    <xf numFmtId="0" fontId="2" fillId="0" borderId="33" xfId="0" applyFont="1" applyBorder="1" applyAlignment="1" applyProtection="1">
      <alignment horizontal="left" vertical="center" wrapText="1"/>
    </xf>
    <xf numFmtId="0" fontId="2" fillId="0" borderId="34" xfId="0" applyFont="1" applyBorder="1" applyAlignment="1" applyProtection="1">
      <alignment horizontal="left" vertical="center" wrapText="1"/>
    </xf>
    <xf numFmtId="0" fontId="2" fillId="0" borderId="35" xfId="0" applyFont="1" applyBorder="1" applyAlignment="1" applyProtection="1">
      <alignment horizontal="left" vertical="center" wrapText="1"/>
    </xf>
    <xf numFmtId="0" fontId="10" fillId="6" borderId="8" xfId="0" applyFont="1" applyFill="1" applyBorder="1" applyAlignment="1" applyProtection="1">
      <alignment horizontal="center" vertical="center" wrapText="1"/>
    </xf>
    <xf numFmtId="0" fontId="10" fillId="6" borderId="27" xfId="0" applyFont="1" applyFill="1" applyBorder="1" applyAlignment="1" applyProtection="1">
      <alignment horizontal="center" vertical="center" wrapText="1"/>
    </xf>
    <xf numFmtId="0" fontId="10" fillId="6" borderId="2" xfId="0" applyFont="1" applyFill="1" applyBorder="1" applyAlignment="1" applyProtection="1">
      <alignment horizontal="center" vertical="center" wrapText="1"/>
    </xf>
    <xf numFmtId="0" fontId="2" fillId="5" borderId="28" xfId="0" applyNumberFormat="1" applyFont="1" applyFill="1" applyBorder="1" applyAlignment="1" applyProtection="1">
      <alignment horizontal="center" vertical="center"/>
      <protection locked="0"/>
    </xf>
    <xf numFmtId="0" fontId="2" fillId="5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</xf>
    <xf numFmtId="164" fontId="2" fillId="0" borderId="20" xfId="0" applyNumberFormat="1" applyFont="1" applyFill="1" applyBorder="1" applyAlignment="1" applyProtection="1">
      <alignment horizontal="center" vertical="center"/>
    </xf>
    <xf numFmtId="164" fontId="2" fillId="0" borderId="22" xfId="0" applyNumberFormat="1" applyFont="1" applyFill="1" applyBorder="1" applyAlignment="1" applyProtection="1">
      <alignment horizontal="center" vertical="center"/>
    </xf>
    <xf numFmtId="164" fontId="2" fillId="0" borderId="10" xfId="0" applyNumberFormat="1" applyFont="1" applyFill="1" applyBorder="1" applyAlignment="1" applyProtection="1">
      <alignment horizontal="center" vertical="center"/>
    </xf>
    <xf numFmtId="164" fontId="2" fillId="0" borderId="23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vertical="top"/>
    </xf>
    <xf numFmtId="0" fontId="2" fillId="0" borderId="0" xfId="0" applyFont="1" applyProtection="1"/>
    <xf numFmtId="0" fontId="2" fillId="0" borderId="0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5"/>
  <sheetViews>
    <sheetView tabSelected="1" topLeftCell="A7" zoomScale="75" zoomScaleNormal="75" zoomScaleSheetLayoutView="70" workbookViewId="0">
      <selection activeCell="M40" sqref="M40:M41"/>
    </sheetView>
  </sheetViews>
  <sheetFormatPr defaultColWidth="8.7109375" defaultRowHeight="12"/>
  <cols>
    <col min="1" max="1" width="31.28515625" style="1" customWidth="1"/>
    <col min="2" max="2" width="16.140625" style="1" customWidth="1"/>
    <col min="3" max="3" width="21.5703125" style="1" customWidth="1"/>
    <col min="4" max="4" width="23" style="1" customWidth="1"/>
    <col min="5" max="5" width="20" style="1" customWidth="1"/>
    <col min="6" max="8" width="19.28515625" style="1" customWidth="1"/>
    <col min="9" max="9" width="22" style="1" customWidth="1"/>
    <col min="10" max="10" width="22.140625" style="1" customWidth="1"/>
    <col min="11" max="11" width="21.5703125" style="1" customWidth="1"/>
    <col min="12" max="12" width="15.28515625" style="1" customWidth="1"/>
    <col min="13" max="13" width="15.7109375" style="1" customWidth="1"/>
    <col min="14" max="16384" width="8.7109375" style="1"/>
  </cols>
  <sheetData>
    <row r="1" spans="1:1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6">
      <c r="A2" s="58" t="s">
        <v>40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6">
      <c r="A3" s="58" t="s">
        <v>41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6">
      <c r="A4" s="58" t="s">
        <v>55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6" ht="25.5" customHeight="1" thickBot="1">
      <c r="A5" s="22"/>
      <c r="B5" s="22"/>
      <c r="C5" s="22"/>
      <c r="D5" s="23"/>
      <c r="E5" s="23"/>
      <c r="F5" s="22"/>
      <c r="G5" s="22"/>
      <c r="H5" s="22"/>
      <c r="I5" s="22"/>
      <c r="J5" s="22"/>
      <c r="K5" s="22"/>
      <c r="L5" s="22"/>
      <c r="M5" s="22"/>
    </row>
    <row r="6" spans="1:16" s="2" customFormat="1" ht="57" customHeight="1">
      <c r="A6" s="78" t="s">
        <v>0</v>
      </c>
      <c r="B6" s="80"/>
      <c r="C6" s="78" t="s">
        <v>42</v>
      </c>
      <c r="D6" s="84" t="s">
        <v>43</v>
      </c>
      <c r="E6" s="78" t="s">
        <v>44</v>
      </c>
      <c r="F6" s="78" t="s">
        <v>50</v>
      </c>
      <c r="G6" s="79"/>
      <c r="H6" s="80"/>
      <c r="I6" s="84" t="s">
        <v>45</v>
      </c>
      <c r="J6" s="84" t="s">
        <v>46</v>
      </c>
      <c r="K6" s="84" t="s">
        <v>47</v>
      </c>
      <c r="L6" s="84" t="s">
        <v>48</v>
      </c>
      <c r="M6" s="84" t="s">
        <v>1</v>
      </c>
    </row>
    <row r="7" spans="1:16" s="2" customFormat="1" ht="53.45" customHeight="1" thickBot="1">
      <c r="A7" s="95"/>
      <c r="B7" s="96"/>
      <c r="C7" s="95"/>
      <c r="D7" s="85"/>
      <c r="E7" s="81"/>
      <c r="F7" s="81"/>
      <c r="G7" s="82"/>
      <c r="H7" s="83"/>
      <c r="I7" s="85"/>
      <c r="J7" s="85"/>
      <c r="K7" s="85"/>
      <c r="L7" s="85"/>
      <c r="M7" s="85"/>
    </row>
    <row r="8" spans="1:16" s="2" customFormat="1" ht="16.5" thickBot="1">
      <c r="A8" s="65" t="s">
        <v>56</v>
      </c>
      <c r="B8" s="66"/>
      <c r="C8" s="28" t="s">
        <v>49</v>
      </c>
      <c r="D8" s="29" t="s">
        <v>67</v>
      </c>
      <c r="E8" s="29" t="s">
        <v>58</v>
      </c>
      <c r="F8" s="30" t="s">
        <v>51</v>
      </c>
      <c r="G8" s="28" t="s">
        <v>52</v>
      </c>
      <c r="H8" s="28" t="s">
        <v>53</v>
      </c>
      <c r="I8" s="28" t="s">
        <v>58</v>
      </c>
      <c r="J8" s="28" t="s">
        <v>54</v>
      </c>
      <c r="K8" s="28" t="s">
        <v>58</v>
      </c>
      <c r="L8" s="28" t="s">
        <v>58</v>
      </c>
      <c r="M8" s="3"/>
      <c r="N8" s="34"/>
      <c r="O8" s="35"/>
      <c r="P8" s="36"/>
    </row>
    <row r="9" spans="1:16" s="2" customFormat="1" ht="16.5" thickBot="1">
      <c r="A9" s="65" t="s">
        <v>2</v>
      </c>
      <c r="B9" s="66"/>
      <c r="C9" s="28">
        <v>4</v>
      </c>
      <c r="D9" s="30">
        <v>4</v>
      </c>
      <c r="E9" s="31">
        <v>1</v>
      </c>
      <c r="F9" s="31">
        <v>1</v>
      </c>
      <c r="G9" s="31">
        <v>1</v>
      </c>
      <c r="H9" s="31">
        <v>8</v>
      </c>
      <c r="I9" s="30">
        <v>1</v>
      </c>
      <c r="J9" s="31">
        <v>8</v>
      </c>
      <c r="K9" s="31">
        <v>1</v>
      </c>
      <c r="L9" s="31">
        <v>1</v>
      </c>
      <c r="M9" s="3"/>
    </row>
    <row r="10" spans="1:16" s="4" customFormat="1" ht="16.5" thickBot="1">
      <c r="A10" s="11" t="s">
        <v>3</v>
      </c>
      <c r="B10" s="62" t="s">
        <v>4</v>
      </c>
      <c r="C10" s="45">
        <v>0</v>
      </c>
      <c r="D10" s="45">
        <v>0</v>
      </c>
      <c r="E10" s="55"/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32">
        <f>+(C10*4)+(D10*4)+F10+G10+(H10*8)+I10+(J10*8)+K10+L10</f>
        <v>0</v>
      </c>
    </row>
    <row r="11" spans="1:16" s="4" customFormat="1" ht="19.5" thickBot="1">
      <c r="A11" s="12" t="s">
        <v>5</v>
      </c>
      <c r="B11" s="63"/>
      <c r="C11" s="5"/>
      <c r="D11" s="5"/>
      <c r="E11" s="5"/>
      <c r="F11" s="5"/>
      <c r="G11" s="5"/>
      <c r="H11" s="5"/>
      <c r="I11" s="5"/>
      <c r="J11" s="5"/>
      <c r="K11" s="5"/>
      <c r="L11" s="5"/>
      <c r="M11" s="3"/>
    </row>
    <row r="12" spans="1:16" s="4" customFormat="1" ht="16.5" thickBot="1">
      <c r="A12" s="52" t="s">
        <v>6</v>
      </c>
      <c r="B12" s="63"/>
      <c r="C12" s="45">
        <v>0</v>
      </c>
      <c r="D12" s="45">
        <v>0</v>
      </c>
      <c r="E12" s="55"/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6">
        <f>+(C12*4)+(D12*4)+F12+G12+(H12*8)+I12+(J12*8)+K12+L12</f>
        <v>0</v>
      </c>
    </row>
    <row r="13" spans="1:16" s="4" customFormat="1" ht="16.5" thickBot="1">
      <c r="A13" s="52" t="s">
        <v>6</v>
      </c>
      <c r="B13" s="63"/>
      <c r="C13" s="45">
        <v>0</v>
      </c>
      <c r="D13" s="45">
        <v>0</v>
      </c>
      <c r="E13" s="55"/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6">
        <f>+(C13*4)+(D13*4)+F13+G13+(H13*8)+I13+(J13*8)+K13+L13</f>
        <v>0</v>
      </c>
    </row>
    <row r="14" spans="1:16" s="4" customFormat="1" ht="16.5" thickBot="1">
      <c r="A14" s="52" t="s">
        <v>6</v>
      </c>
      <c r="B14" s="63"/>
      <c r="C14" s="45">
        <v>0</v>
      </c>
      <c r="D14" s="45">
        <v>0</v>
      </c>
      <c r="E14" s="55"/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6">
        <f>+(C14*4)+(D14*4)+F14+G14+(H14*8)+I14+(J14*8)+K14+L14</f>
        <v>0</v>
      </c>
    </row>
    <row r="15" spans="1:16" s="4" customFormat="1" ht="16.5" thickBot="1">
      <c r="A15" s="14" t="s">
        <v>7</v>
      </c>
      <c r="B15" s="63"/>
      <c r="C15" s="45">
        <v>0</v>
      </c>
      <c r="D15" s="45">
        <v>0</v>
      </c>
      <c r="E15" s="55"/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6">
        <f>+(C15*4)+(D15*4)+F15+G15+(H15*8)+I15+(J15*8)+K15+L15</f>
        <v>0</v>
      </c>
    </row>
    <row r="16" spans="1:16" s="4" customFormat="1" ht="19.5" thickBot="1">
      <c r="A16" s="12" t="s">
        <v>8</v>
      </c>
      <c r="B16" s="63"/>
      <c r="C16" s="5"/>
      <c r="D16" s="5"/>
      <c r="E16" s="5"/>
      <c r="F16" s="5"/>
      <c r="G16" s="5"/>
      <c r="H16" s="5"/>
      <c r="I16" s="5"/>
      <c r="J16" s="5"/>
      <c r="K16" s="5"/>
      <c r="L16" s="5"/>
      <c r="M16" s="3"/>
    </row>
    <row r="17" spans="1:15" s="4" customFormat="1" ht="16.5" thickBot="1">
      <c r="A17" s="13" t="s">
        <v>38</v>
      </c>
      <c r="B17" s="63"/>
      <c r="C17" s="45">
        <v>0</v>
      </c>
      <c r="D17" s="45">
        <v>0</v>
      </c>
      <c r="E17" s="55"/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32">
        <f t="shared" ref="M17:M34" si="0">+(C17*4)+(D17*4)+F17+G17+(H17*8)+I17+(J17*8)+K17+L17</f>
        <v>0</v>
      </c>
    </row>
    <row r="18" spans="1:15" s="4" customFormat="1" ht="16.5" thickBot="1">
      <c r="A18" s="14" t="s">
        <v>9</v>
      </c>
      <c r="B18" s="63"/>
      <c r="C18" s="45">
        <v>0</v>
      </c>
      <c r="D18" s="45">
        <v>0</v>
      </c>
      <c r="E18" s="55"/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32">
        <f t="shared" si="0"/>
        <v>0</v>
      </c>
    </row>
    <row r="19" spans="1:15" s="4" customFormat="1" ht="16.5" thickBot="1">
      <c r="A19" s="14" t="s">
        <v>10</v>
      </c>
      <c r="B19" s="63"/>
      <c r="C19" s="45">
        <v>0</v>
      </c>
      <c r="D19" s="45">
        <v>0</v>
      </c>
      <c r="E19" s="55"/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32">
        <f t="shared" si="0"/>
        <v>0</v>
      </c>
    </row>
    <row r="20" spans="1:15" s="4" customFormat="1" ht="16.5" thickBot="1">
      <c r="A20" s="14" t="s">
        <v>11</v>
      </c>
      <c r="B20" s="63"/>
      <c r="C20" s="45">
        <v>0</v>
      </c>
      <c r="D20" s="45">
        <v>0</v>
      </c>
      <c r="E20" s="55"/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32">
        <f t="shared" si="0"/>
        <v>0</v>
      </c>
    </row>
    <row r="21" spans="1:15" s="4" customFormat="1" ht="16.5" thickBot="1">
      <c r="A21" s="14" t="s">
        <v>35</v>
      </c>
      <c r="B21" s="63"/>
      <c r="C21" s="45">
        <v>0</v>
      </c>
      <c r="D21" s="45">
        <v>0</v>
      </c>
      <c r="E21" s="55"/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32">
        <f t="shared" si="0"/>
        <v>0</v>
      </c>
    </row>
    <row r="22" spans="1:15" s="4" customFormat="1" ht="16.5" thickBot="1">
      <c r="A22" s="13" t="s">
        <v>12</v>
      </c>
      <c r="B22" s="63"/>
      <c r="C22" s="45">
        <v>0</v>
      </c>
      <c r="D22" s="45">
        <v>0</v>
      </c>
      <c r="E22" s="55"/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32">
        <f t="shared" si="0"/>
        <v>0</v>
      </c>
      <c r="O22" s="37"/>
    </row>
    <row r="23" spans="1:15" s="4" customFormat="1" ht="16.5" thickBot="1">
      <c r="A23" s="13" t="s">
        <v>39</v>
      </c>
      <c r="B23" s="63"/>
      <c r="C23" s="45">
        <v>0</v>
      </c>
      <c r="D23" s="45">
        <v>0</v>
      </c>
      <c r="E23" s="55"/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32">
        <f t="shared" si="0"/>
        <v>0</v>
      </c>
    </row>
    <row r="24" spans="1:15" s="4" customFormat="1" ht="16.5" thickBot="1">
      <c r="A24" s="13" t="s">
        <v>13</v>
      </c>
      <c r="B24" s="63"/>
      <c r="C24" s="45">
        <v>0</v>
      </c>
      <c r="D24" s="45">
        <v>0</v>
      </c>
      <c r="E24" s="55"/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32">
        <f t="shared" si="0"/>
        <v>0</v>
      </c>
    </row>
    <row r="25" spans="1:15" s="4" customFormat="1" ht="16.5" thickBot="1">
      <c r="A25" s="52" t="s">
        <v>14</v>
      </c>
      <c r="B25" s="63"/>
      <c r="C25" s="45">
        <v>0</v>
      </c>
      <c r="D25" s="45">
        <v>0</v>
      </c>
      <c r="E25" s="55"/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32">
        <f t="shared" si="0"/>
        <v>0</v>
      </c>
    </row>
    <row r="26" spans="1:15" s="4" customFormat="1" ht="16.5" thickBot="1">
      <c r="A26" s="52" t="s">
        <v>14</v>
      </c>
      <c r="B26" s="63"/>
      <c r="C26" s="45">
        <v>0</v>
      </c>
      <c r="D26" s="45">
        <v>0</v>
      </c>
      <c r="E26" s="55"/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32">
        <f t="shared" si="0"/>
        <v>0</v>
      </c>
    </row>
    <row r="27" spans="1:15" s="4" customFormat="1" ht="16.5" thickBot="1">
      <c r="A27" s="52" t="s">
        <v>14</v>
      </c>
      <c r="B27" s="63"/>
      <c r="C27" s="45">
        <v>0</v>
      </c>
      <c r="D27" s="45">
        <v>0</v>
      </c>
      <c r="E27" s="55"/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32">
        <f t="shared" si="0"/>
        <v>0</v>
      </c>
    </row>
    <row r="28" spans="1:15" s="4" customFormat="1" ht="16.5" thickBot="1">
      <c r="A28" s="52" t="s">
        <v>14</v>
      </c>
      <c r="B28" s="63"/>
      <c r="C28" s="45">
        <v>0</v>
      </c>
      <c r="D28" s="45">
        <v>0</v>
      </c>
      <c r="E28" s="55"/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32">
        <f t="shared" si="0"/>
        <v>0</v>
      </c>
    </row>
    <row r="29" spans="1:15" s="4" customFormat="1" ht="16.5" thickBot="1">
      <c r="A29" s="52" t="s">
        <v>14</v>
      </c>
      <c r="B29" s="63"/>
      <c r="C29" s="45">
        <v>0</v>
      </c>
      <c r="D29" s="45">
        <v>0</v>
      </c>
      <c r="E29" s="55"/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32">
        <f t="shared" si="0"/>
        <v>0</v>
      </c>
    </row>
    <row r="30" spans="1:15" s="4" customFormat="1" ht="16.5" thickBot="1">
      <c r="A30" s="52" t="s">
        <v>14</v>
      </c>
      <c r="B30" s="63"/>
      <c r="C30" s="45">
        <v>0</v>
      </c>
      <c r="D30" s="45">
        <v>0</v>
      </c>
      <c r="E30" s="55"/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32">
        <f t="shared" si="0"/>
        <v>0</v>
      </c>
    </row>
    <row r="31" spans="1:15" s="4" customFormat="1" ht="16.5" thickBot="1">
      <c r="A31" s="52" t="s">
        <v>14</v>
      </c>
      <c r="B31" s="63"/>
      <c r="C31" s="45">
        <v>0</v>
      </c>
      <c r="D31" s="45">
        <v>0</v>
      </c>
      <c r="E31" s="55"/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32">
        <f t="shared" si="0"/>
        <v>0</v>
      </c>
    </row>
    <row r="32" spans="1:15" s="4" customFormat="1" ht="16.5" thickBot="1">
      <c r="A32" s="52" t="s">
        <v>14</v>
      </c>
      <c r="B32" s="63"/>
      <c r="C32" s="45">
        <v>0</v>
      </c>
      <c r="D32" s="45">
        <v>0</v>
      </c>
      <c r="E32" s="55"/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32">
        <f t="shared" si="0"/>
        <v>0</v>
      </c>
    </row>
    <row r="33" spans="1:13" s="4" customFormat="1" ht="16.5" thickBot="1">
      <c r="A33" s="52" t="s">
        <v>14</v>
      </c>
      <c r="B33" s="63"/>
      <c r="C33" s="45">
        <v>0</v>
      </c>
      <c r="D33" s="45">
        <v>0</v>
      </c>
      <c r="E33" s="55"/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32">
        <f t="shared" si="0"/>
        <v>0</v>
      </c>
    </row>
    <row r="34" spans="1:13" s="4" customFormat="1" ht="16.5" thickBot="1">
      <c r="A34" s="52" t="s">
        <v>14</v>
      </c>
      <c r="B34" s="63"/>
      <c r="C34" s="45">
        <v>0</v>
      </c>
      <c r="D34" s="45">
        <v>0</v>
      </c>
      <c r="E34" s="55"/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32">
        <f t="shared" si="0"/>
        <v>0</v>
      </c>
    </row>
    <row r="35" spans="1:13" s="4" customFormat="1" ht="16.5" thickBot="1">
      <c r="A35" s="56" t="s">
        <v>57</v>
      </c>
      <c r="B35" s="64"/>
      <c r="C35" s="55">
        <v>0</v>
      </c>
      <c r="D35" s="55">
        <v>0</v>
      </c>
      <c r="E35" s="55">
        <v>10000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32">
        <f>+(C35*4)+(D35*12)+E35+F35+G35+(H35*8)+I35+(J35*8)+K35+L35</f>
        <v>10000</v>
      </c>
    </row>
    <row r="36" spans="1:13" s="4" customFormat="1" ht="18.75" thickBot="1">
      <c r="A36" s="67" t="s">
        <v>15</v>
      </c>
      <c r="B36" s="68"/>
      <c r="C36" s="32">
        <f t="shared" ref="C36:I36" si="1">SUM(C10:C35)</f>
        <v>0</v>
      </c>
      <c r="D36" s="32">
        <f t="shared" si="1"/>
        <v>0</v>
      </c>
      <c r="E36" s="32">
        <v>10000</v>
      </c>
      <c r="F36" s="32">
        <f t="shared" si="1"/>
        <v>0</v>
      </c>
      <c r="G36" s="32">
        <f>SUM(G10:G35)</f>
        <v>0</v>
      </c>
      <c r="H36" s="32">
        <f>SUM(H10:H35)</f>
        <v>0</v>
      </c>
      <c r="I36" s="32">
        <f t="shared" si="1"/>
        <v>0</v>
      </c>
      <c r="J36" s="32">
        <f>SUM(J10:J35)</f>
        <v>0</v>
      </c>
      <c r="K36" s="32">
        <f>SUM(K10:K35)</f>
        <v>0</v>
      </c>
      <c r="L36" s="32">
        <f>SUM(L10:L35)</f>
        <v>0</v>
      </c>
      <c r="M36" s="6">
        <v>0</v>
      </c>
    </row>
    <row r="37" spans="1:13" s="4" customFormat="1" ht="18.75" thickBot="1">
      <c r="A37" s="69" t="s">
        <v>16</v>
      </c>
      <c r="B37" s="70"/>
      <c r="C37" s="33">
        <f t="shared" ref="C37:I37" si="2">+C36*C9</f>
        <v>0</v>
      </c>
      <c r="D37" s="33">
        <f t="shared" si="2"/>
        <v>0</v>
      </c>
      <c r="E37" s="33">
        <f t="shared" si="2"/>
        <v>10000</v>
      </c>
      <c r="F37" s="33">
        <f t="shared" si="2"/>
        <v>0</v>
      </c>
      <c r="G37" s="33">
        <f>+G36*G9</f>
        <v>0</v>
      </c>
      <c r="H37" s="33">
        <f>+H36*H9</f>
        <v>0</v>
      </c>
      <c r="I37" s="33">
        <f t="shared" si="2"/>
        <v>0</v>
      </c>
      <c r="J37" s="33">
        <f>+J36*J9</f>
        <v>0</v>
      </c>
      <c r="K37" s="33">
        <f>+K36*K9</f>
        <v>0</v>
      </c>
      <c r="L37" s="33">
        <f>+L36*L9</f>
        <v>0</v>
      </c>
      <c r="M37" s="38">
        <f>SUM(C37:L37)</f>
        <v>10000</v>
      </c>
    </row>
    <row r="38" spans="1:13" s="4" customFormat="1" ht="18.75" thickBot="1">
      <c r="A38" s="24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6"/>
    </row>
    <row r="39" spans="1:13" s="7" customFormat="1" ht="80.25" customHeight="1" thickBot="1">
      <c r="A39" s="15" t="s">
        <v>17</v>
      </c>
      <c r="B39" s="16" t="s">
        <v>18</v>
      </c>
      <c r="C39" s="27"/>
      <c r="D39" s="65" t="s">
        <v>36</v>
      </c>
      <c r="E39" s="86"/>
      <c r="F39" s="86"/>
      <c r="G39" s="86"/>
      <c r="H39" s="86"/>
      <c r="I39" s="43" t="s">
        <v>37</v>
      </c>
      <c r="J39" s="39"/>
      <c r="K39" s="90" t="s">
        <v>69</v>
      </c>
      <c r="L39" s="91"/>
      <c r="M39" s="92"/>
    </row>
    <row r="40" spans="1:13" s="9" customFormat="1" ht="26.25" customHeight="1">
      <c r="A40" s="17" t="s">
        <v>19</v>
      </c>
      <c r="B40" s="47">
        <v>0</v>
      </c>
      <c r="C40" s="19"/>
      <c r="D40" s="87" t="s">
        <v>59</v>
      </c>
      <c r="E40" s="88"/>
      <c r="F40" s="88"/>
      <c r="G40" s="88"/>
      <c r="H40" s="89"/>
      <c r="I40" s="49">
        <v>0</v>
      </c>
      <c r="J40" s="40"/>
      <c r="K40" s="97" t="s">
        <v>64</v>
      </c>
      <c r="L40" s="98"/>
      <c r="M40" s="93"/>
    </row>
    <row r="41" spans="1:13" s="9" customFormat="1" ht="26.25" customHeight="1" thickBot="1">
      <c r="A41" s="17" t="s">
        <v>20</v>
      </c>
      <c r="B41" s="47">
        <v>0</v>
      </c>
      <c r="C41" s="19"/>
      <c r="D41" s="71" t="s">
        <v>68</v>
      </c>
      <c r="E41" s="72"/>
      <c r="F41" s="72"/>
      <c r="G41" s="72"/>
      <c r="H41" s="73"/>
      <c r="I41" s="47">
        <v>0</v>
      </c>
      <c r="J41" s="40"/>
      <c r="K41" s="99"/>
      <c r="L41" s="100"/>
      <c r="M41" s="94"/>
    </row>
    <row r="42" spans="1:13" s="9" customFormat="1" ht="26.25" customHeight="1">
      <c r="A42" s="17" t="s">
        <v>21</v>
      </c>
      <c r="B42" s="47">
        <v>0</v>
      </c>
      <c r="C42" s="19"/>
      <c r="D42" s="71" t="s">
        <v>60</v>
      </c>
      <c r="E42" s="72"/>
      <c r="F42" s="72"/>
      <c r="G42" s="72"/>
      <c r="H42" s="73"/>
      <c r="I42" s="50">
        <v>0</v>
      </c>
      <c r="J42" s="41"/>
      <c r="K42" s="21"/>
      <c r="L42" s="21"/>
    </row>
    <row r="43" spans="1:13" s="9" customFormat="1" ht="26.25" customHeight="1">
      <c r="A43" s="17" t="s">
        <v>22</v>
      </c>
      <c r="B43" s="47">
        <v>0</v>
      </c>
      <c r="C43" s="19"/>
      <c r="D43" s="71" t="s">
        <v>61</v>
      </c>
      <c r="E43" s="72"/>
      <c r="F43" s="72"/>
      <c r="G43" s="72"/>
      <c r="H43" s="73"/>
      <c r="I43" s="47">
        <v>0</v>
      </c>
      <c r="J43" s="41"/>
      <c r="K43" s="21"/>
      <c r="L43" s="21"/>
    </row>
    <row r="44" spans="1:13" s="9" customFormat="1" ht="21.75" customHeight="1">
      <c r="A44" s="17" t="s">
        <v>23</v>
      </c>
      <c r="B44" s="47">
        <v>0</v>
      </c>
      <c r="C44" s="19"/>
      <c r="D44" s="71" t="s">
        <v>62</v>
      </c>
      <c r="E44" s="72"/>
      <c r="F44" s="72"/>
      <c r="G44" s="72"/>
      <c r="H44" s="73"/>
      <c r="I44" s="47">
        <v>0</v>
      </c>
      <c r="J44" s="41"/>
      <c r="K44" s="21"/>
      <c r="L44" s="21"/>
    </row>
    <row r="45" spans="1:13" s="9" customFormat="1" ht="25.5" customHeight="1" thickBot="1">
      <c r="A45" s="17" t="s">
        <v>24</v>
      </c>
      <c r="B45" s="47">
        <v>0</v>
      </c>
      <c r="C45" s="19"/>
      <c r="D45" s="74" t="s">
        <v>63</v>
      </c>
      <c r="E45" s="75"/>
      <c r="F45" s="75"/>
      <c r="G45" s="75"/>
      <c r="H45" s="76"/>
      <c r="I45" s="48">
        <v>0</v>
      </c>
      <c r="J45" s="42"/>
      <c r="K45" s="21"/>
      <c r="L45" s="21"/>
    </row>
    <row r="46" spans="1:13" s="9" customFormat="1" ht="18" customHeight="1">
      <c r="A46" s="17" t="s">
        <v>25</v>
      </c>
      <c r="B46" s="47">
        <v>0</v>
      </c>
      <c r="C46" s="19"/>
      <c r="D46" s="77"/>
      <c r="E46" s="77"/>
      <c r="F46" s="77"/>
      <c r="G46" s="77"/>
      <c r="H46" s="77"/>
      <c r="I46" s="57"/>
      <c r="J46" s="44"/>
      <c r="K46" s="21"/>
      <c r="L46" s="21"/>
    </row>
    <row r="47" spans="1:13" s="9" customFormat="1" ht="21" customHeight="1">
      <c r="A47" s="17" t="s">
        <v>26</v>
      </c>
      <c r="B47" s="47">
        <v>0</v>
      </c>
      <c r="C47" s="19"/>
      <c r="D47" s="103"/>
      <c r="E47" s="103"/>
      <c r="F47" s="103"/>
      <c r="G47" s="103"/>
      <c r="H47" s="103"/>
      <c r="I47" s="21"/>
      <c r="J47" s="44"/>
      <c r="K47" s="21"/>
      <c r="L47" s="21"/>
    </row>
    <row r="48" spans="1:13" s="9" customFormat="1" ht="18.75" customHeight="1">
      <c r="A48" s="17" t="s">
        <v>27</v>
      </c>
      <c r="B48" s="47">
        <v>0</v>
      </c>
      <c r="C48" s="19"/>
      <c r="D48" s="103"/>
      <c r="E48" s="103"/>
      <c r="F48" s="103"/>
      <c r="G48" s="103"/>
      <c r="H48" s="103"/>
      <c r="I48" s="21"/>
      <c r="J48" s="44"/>
      <c r="K48" s="21"/>
      <c r="L48" s="21"/>
    </row>
    <row r="49" spans="1:13" s="9" customFormat="1" ht="18" customHeight="1">
      <c r="A49" s="17" t="s">
        <v>28</v>
      </c>
      <c r="B49" s="47">
        <v>0</v>
      </c>
      <c r="C49" s="19"/>
      <c r="D49" s="103"/>
      <c r="E49" s="103"/>
      <c r="F49" s="103"/>
      <c r="G49" s="103"/>
      <c r="H49" s="103"/>
      <c r="I49" s="21"/>
      <c r="J49" s="44"/>
      <c r="K49" s="21"/>
      <c r="L49" s="21"/>
    </row>
    <row r="50" spans="1:13" s="9" customFormat="1" ht="18" customHeight="1">
      <c r="A50" s="17" t="s">
        <v>29</v>
      </c>
      <c r="B50" s="47">
        <v>0</v>
      </c>
      <c r="C50" s="19"/>
      <c r="D50" s="103"/>
      <c r="E50" s="103"/>
      <c r="F50" s="103"/>
      <c r="G50" s="103"/>
      <c r="H50" s="103"/>
      <c r="I50" s="21"/>
      <c r="J50" s="44"/>
      <c r="K50" s="21"/>
      <c r="L50" s="21"/>
    </row>
    <row r="51" spans="1:13" s="9" customFormat="1" ht="19.5" customHeight="1">
      <c r="A51" s="17" t="s">
        <v>30</v>
      </c>
      <c r="B51" s="47">
        <v>0</v>
      </c>
      <c r="C51" s="19"/>
      <c r="D51" s="103"/>
      <c r="E51" s="103"/>
      <c r="F51" s="103"/>
      <c r="G51" s="103"/>
      <c r="H51" s="103"/>
      <c r="I51" s="21"/>
      <c r="J51" s="44"/>
      <c r="K51" s="21"/>
      <c r="L51" s="21"/>
    </row>
    <row r="52" spans="1:13" s="9" customFormat="1">
      <c r="A52" s="53" t="s">
        <v>14</v>
      </c>
      <c r="B52" s="47">
        <v>0</v>
      </c>
      <c r="C52" s="19"/>
      <c r="D52" s="59"/>
      <c r="E52" s="60"/>
      <c r="F52" s="60"/>
      <c r="G52" s="60"/>
      <c r="H52" s="60"/>
      <c r="I52" s="60"/>
      <c r="J52" s="61"/>
      <c r="K52" s="21"/>
      <c r="L52" s="10"/>
    </row>
    <row r="53" spans="1:13" s="9" customFormat="1" ht="12.75" thickBot="1">
      <c r="A53" s="54" t="s">
        <v>14</v>
      </c>
      <c r="B53" s="48">
        <v>0</v>
      </c>
      <c r="C53" s="19"/>
      <c r="D53" s="59"/>
      <c r="E53" s="60"/>
      <c r="F53" s="60"/>
      <c r="G53" s="60"/>
      <c r="H53" s="60"/>
      <c r="I53" s="60"/>
      <c r="J53" s="61"/>
      <c r="K53" s="21"/>
      <c r="L53" s="10"/>
    </row>
    <row r="54" spans="1:13" s="9" customFormat="1">
      <c r="A54" s="10"/>
      <c r="B54" s="21"/>
      <c r="C54" s="19"/>
      <c r="D54" s="59"/>
      <c r="E54" s="60"/>
      <c r="F54" s="60"/>
      <c r="G54" s="60"/>
      <c r="H54" s="60"/>
      <c r="I54" s="60"/>
      <c r="J54" s="61"/>
      <c r="K54" s="21"/>
      <c r="L54" s="10"/>
    </row>
    <row r="55" spans="1:13" s="9" customFormat="1" ht="12" customHeight="1" thickBot="1">
      <c r="C55" s="19"/>
      <c r="D55" s="19"/>
      <c r="E55" s="19"/>
      <c r="F55" s="19"/>
      <c r="G55" s="19"/>
      <c r="H55" s="19"/>
      <c r="I55" s="19"/>
      <c r="J55" s="19"/>
      <c r="K55" s="19"/>
    </row>
    <row r="56" spans="1:13" s="9" customFormat="1" ht="12.75" thickBot="1">
      <c r="A56" s="18" t="s">
        <v>31</v>
      </c>
      <c r="B56" s="51">
        <v>0</v>
      </c>
      <c r="C56" s="19" t="s">
        <v>32</v>
      </c>
      <c r="D56" s="19"/>
      <c r="E56" s="19"/>
      <c r="F56" s="19"/>
      <c r="G56" s="19"/>
      <c r="H56" s="19"/>
      <c r="I56" s="19"/>
      <c r="J56" s="19"/>
      <c r="K56" s="19"/>
      <c r="L56" s="19"/>
    </row>
    <row r="57" spans="1:13" s="9" customForma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1:13" s="9" customFormat="1">
      <c r="A58" s="20" t="s">
        <v>33</v>
      </c>
      <c r="B58" s="20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3" s="9" customFormat="1">
      <c r="A59" s="19" t="s">
        <v>34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1:13" s="9" customFormat="1">
      <c r="A60" s="101" t="s">
        <v>65</v>
      </c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9"/>
    </row>
    <row r="61" spans="1:13" s="7" customFormat="1" ht="12" customHeight="1">
      <c r="A61" s="102" t="s">
        <v>66</v>
      </c>
      <c r="B61" s="102"/>
      <c r="C61" s="102"/>
      <c r="D61" s="102"/>
    </row>
    <row r="72" spans="1:2">
      <c r="A72" s="8"/>
      <c r="B72" s="8"/>
    </row>
    <row r="73" spans="1:2">
      <c r="A73" s="8"/>
      <c r="B73" s="8"/>
    </row>
    <row r="75" spans="1:2" ht="12" customHeight="1"/>
  </sheetData>
  <sheetProtection password="D9B1" sheet="1" selectLockedCells="1"/>
  <protectedRanges>
    <protectedRange password="BDBF" sqref="B56 J52:K54 B40:B54 C10:L10 C17:L35 C12:L15 I40:L51" name="Range1"/>
  </protectedRanges>
  <mergeCells count="39">
    <mergeCell ref="K40:L41"/>
    <mergeCell ref="A60:K60"/>
    <mergeCell ref="A61:D61"/>
    <mergeCell ref="D47:H47"/>
    <mergeCell ref="D48:H48"/>
    <mergeCell ref="D49:H49"/>
    <mergeCell ref="D50:H50"/>
    <mergeCell ref="D51:H51"/>
    <mergeCell ref="D41:H41"/>
    <mergeCell ref="K39:M39"/>
    <mergeCell ref="M40:M41"/>
    <mergeCell ref="M6:M7"/>
    <mergeCell ref="A9:B9"/>
    <mergeCell ref="J6:J7"/>
    <mergeCell ref="K6:K7"/>
    <mergeCell ref="L6:L7"/>
    <mergeCell ref="I6:I7"/>
    <mergeCell ref="C6:C7"/>
    <mergeCell ref="A6:B7"/>
    <mergeCell ref="D42:H42"/>
    <mergeCell ref="D43:H43"/>
    <mergeCell ref="D44:H44"/>
    <mergeCell ref="D45:H45"/>
    <mergeCell ref="D46:H46"/>
    <mergeCell ref="F6:H7"/>
    <mergeCell ref="D6:D7"/>
    <mergeCell ref="E6:E7"/>
    <mergeCell ref="D39:H39"/>
    <mergeCell ref="D40:H40"/>
    <mergeCell ref="A3:M3"/>
    <mergeCell ref="A4:M4"/>
    <mergeCell ref="A2:M2"/>
    <mergeCell ref="D52:J52"/>
    <mergeCell ref="D53:J53"/>
    <mergeCell ref="D54:J54"/>
    <mergeCell ref="B10:B35"/>
    <mergeCell ref="A8:B8"/>
    <mergeCell ref="A36:B36"/>
    <mergeCell ref="A37:B37"/>
  </mergeCells>
  <phoneticPr fontId="8" type="noConversion"/>
  <printOptions horizontalCentered="1"/>
  <pageMargins left="0.75" right="0.75" top="0.75" bottom="1" header="0.5" footer="0.5"/>
  <pageSetup scale="42" orientation="landscape" horizontalDpi="1200" verticalDpi="1200" r:id="rId1"/>
  <headerFooter alignWithMargins="0"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Roberts</dc:creator>
  <cp:lastModifiedBy>Amy Steiner</cp:lastModifiedBy>
  <cp:lastPrinted>2012-11-28T21:35:04Z</cp:lastPrinted>
  <dcterms:created xsi:type="dcterms:W3CDTF">2009-03-12T14:50:14Z</dcterms:created>
  <dcterms:modified xsi:type="dcterms:W3CDTF">2012-12-04T17:49:16Z</dcterms:modified>
</cp:coreProperties>
</file>