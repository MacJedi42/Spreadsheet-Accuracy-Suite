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tabRatio="790"/>
  </bookViews>
  <sheets>
    <sheet name="Bid Proposal." sheetId="7" r:id="rId1"/>
  </sheets>
  <definedNames>
    <definedName name="_xlnm.Print_Area" localSheetId="0">'Bid Proposal.'!$A$1:$F$153</definedName>
  </definedNames>
  <calcPr calcId="125725"/>
</workbook>
</file>

<file path=xl/calcChain.xml><?xml version="1.0" encoding="utf-8"?>
<calcChain xmlns="http://schemas.openxmlformats.org/spreadsheetml/2006/main">
  <c r="F146" i="7"/>
  <c r="F145"/>
  <c r="F144"/>
  <c r="F143"/>
  <c r="F142"/>
  <c r="F141"/>
  <c r="F140"/>
  <c r="F139"/>
  <c r="F138"/>
  <c r="F137"/>
  <c r="F136"/>
  <c r="F135"/>
  <c r="F134"/>
  <c r="F133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F147" l="1"/>
</calcChain>
</file>

<file path=xl/sharedStrings.xml><?xml version="1.0" encoding="utf-8"?>
<sst xmlns="http://schemas.openxmlformats.org/spreadsheetml/2006/main" count="301" uniqueCount="167">
  <si>
    <t>ITEM</t>
  </si>
  <si>
    <t xml:space="preserve">          DESCRIPTION</t>
  </si>
  <si>
    <t>UNIT</t>
  </si>
  <si>
    <t>UNIT PRICE</t>
  </si>
  <si>
    <t>ROADWAY EXCAVATION</t>
  </si>
  <si>
    <t>CY</t>
  </si>
  <si>
    <t>FILL CONSTRUCTION</t>
  </si>
  <si>
    <t>BORROW EXCAVATION</t>
  </si>
  <si>
    <t>HAUL FOR CITY PROVIDED FILL</t>
  </si>
  <si>
    <t>YD-MI</t>
  </si>
  <si>
    <t xml:space="preserve">SUBGRADE PREPARATION </t>
  </si>
  <si>
    <t>SY</t>
  </si>
  <si>
    <t>BASE MATERIAL IN PLACE</t>
  </si>
  <si>
    <t>TON</t>
  </si>
  <si>
    <t>BASE MATERIAL AT PLANT</t>
  </si>
  <si>
    <t>REMOVE AND REPLACE CONCRETE CURB, GUTTER</t>
  </si>
  <si>
    <t>LF</t>
  </si>
  <si>
    <t>2' CONC.  C. &amp; G. (STD OR MONT. 6" FACE)</t>
  </si>
  <si>
    <t>2' CONC.  C. &amp; G. PLACED WITH MACHINE</t>
  </si>
  <si>
    <t>2' CONCRETE CURB AND GUTTER 8" FACE</t>
  </si>
  <si>
    <t>30" C &amp; G (STD OR MOUNT.) 6" FACE</t>
  </si>
  <si>
    <t>VERTICAL CURB</t>
  </si>
  <si>
    <t>COMMERCIAL CURB WITH REBAR</t>
  </si>
  <si>
    <t xml:space="preserve">ASPHALT CURB </t>
  </si>
  <si>
    <t>REMOVE  AND REPLACE DRIVEPAD OR SIDEWALK(INC. SAWCUT)</t>
  </si>
  <si>
    <t xml:space="preserve">4" CONC. SDWLK OR SLOPE PAV. </t>
  </si>
  <si>
    <t>4" CONCRETE SIDEWALK, COLORED &amp; STMPD</t>
  </si>
  <si>
    <t>4" CONCRETE HANDICAP RAMP</t>
  </si>
  <si>
    <t>6" CONCRETE DRIVEPAD</t>
  </si>
  <si>
    <t>VALLEY GUTTER 6"</t>
  </si>
  <si>
    <t>SIDEWALK  SCUPPER (STD DET. D - 326)</t>
  </si>
  <si>
    <t>EA</t>
  </si>
  <si>
    <t>DETECTABLE WARNING DEVICE (2' X 4')</t>
  </si>
  <si>
    <t>PULVERIZE EXISTING  PAVEMENT  (0" TO 6")</t>
  </si>
  <si>
    <t>PULVERIZE EXISTING  PAVEMENT  (6.1" TO 12")</t>
  </si>
  <si>
    <t>COLD MILLING, 0" - 3" DEPTH 2000 SQ YDS OR LESS</t>
  </si>
  <si>
    <t>COLD MILLING, ADD.  DEPTH 1"  INCREMENTS.</t>
  </si>
  <si>
    <t>COLD MILLING 0" - 3" DEPTH MORE THAN 10000 SQ YDS</t>
  </si>
  <si>
    <t>TACK OR PRIME COAT IN PLACE</t>
  </si>
  <si>
    <t>GAL</t>
  </si>
  <si>
    <t>ASPHALT REJUVENATNG AGENT AT PLANT</t>
  </si>
  <si>
    <t>ASPHALT REJUVENATNG AGENT IN PLACE</t>
  </si>
  <si>
    <t>POLYMER COLD MIX AT PLANT</t>
  </si>
  <si>
    <t>POLYMER COLD MIX IN PLACE</t>
  </si>
  <si>
    <t>TYPE B HOT-MIX PG 58-28 AT PLANT</t>
  </si>
  <si>
    <t>TYPE B HOT MIX  PG 58-28 IN PLACE</t>
  </si>
  <si>
    <t>TYPE C HOT-MIX PG 58-28 AT PLANT</t>
  </si>
  <si>
    <t>TYPE C HOT-MIX PG 58-28 IN PLACE</t>
  </si>
  <si>
    <t>HOT-MIX PG 76-28 AT PLANT</t>
  </si>
  <si>
    <t>HOT MIX PG 76-28 IN PLACE</t>
  </si>
  <si>
    <t>HOT-MIX PG 70-28 AT PLANT</t>
  </si>
  <si>
    <t>HOT MIX PG 70-28 IN PLACE</t>
  </si>
  <si>
    <t>HOT-MIX PG 64-22 AT PLANT</t>
  </si>
  <si>
    <t>HOT-MIX PG 64-22 IN PLACE</t>
  </si>
  <si>
    <t>ASPHALT REPLACEMENT 3 " NOM.</t>
  </si>
  <si>
    <t>ADDITIONAL ASPHALT 1" INCREMENTS</t>
  </si>
  <si>
    <t>ASPHALT UNDER 400 TONS WITH LAYDOWN</t>
  </si>
  <si>
    <t xml:space="preserve">TON </t>
  </si>
  <si>
    <t>MANFCTRNG LESS THAN 50 TONS OF HOT MIX AT PLANT/DAY</t>
  </si>
  <si>
    <t>REMOVE COLD MIX, RPLC /HOT MIX</t>
  </si>
  <si>
    <t>2" ROCK AT PLANT</t>
  </si>
  <si>
    <t>6" ROCK WITH BINDER AT PLANT</t>
  </si>
  <si>
    <t>3/4" ROCK AT PLANT</t>
  </si>
  <si>
    <t>LOOSE 3/4" ROCK IN PLACE</t>
  </si>
  <si>
    <t>LOOSE 2" ROCK IN PLACE</t>
  </si>
  <si>
    <t>LOOSE 6" ROCK IN PLACE</t>
  </si>
  <si>
    <t>LOOSE RIPRAP AT PLANT</t>
  </si>
  <si>
    <t>LOOSE RIPRAP IN PLACE</t>
  </si>
  <si>
    <t>WIRE ENCLOSED RIPRAP</t>
  </si>
  <si>
    <t>GABION BASKET (3' X 3' X 6')  (GALV.) FILLED W/ 6" TO 9" (NOM. DIA) ROCK</t>
  </si>
  <si>
    <t>TRENCH &amp; BACKFILL 0' - 6' DEEP</t>
  </si>
  <si>
    <t>TRENCH &amp; BACKFILL 6.01' - 8' DEEP</t>
  </si>
  <si>
    <t>TRENCH &amp; BACKFILL 8.01' - 10' DEEP</t>
  </si>
  <si>
    <t>TRENCH &amp; BACKFILL 10.01' - 12' DEEP</t>
  </si>
  <si>
    <t>TRENCH &amp; BACKFILL  12'-14' DEEP</t>
  </si>
  <si>
    <t>TRENCH &amp; BACKFILL  14'-16' DEEP</t>
  </si>
  <si>
    <t>TRENCH &amp; BACKFILL  16'-18' DEEP</t>
  </si>
  <si>
    <t>TRENCH &amp; BACKFILL  18'-20' DEEP</t>
  </si>
  <si>
    <t xml:space="preserve">TRENCH &amp; BACKFILL OVER 20' DEEP </t>
  </si>
  <si>
    <t>TRENCH DEWATERING</t>
  </si>
  <si>
    <t>HR</t>
  </si>
  <si>
    <t>LOAD HAUL AND DISPOSE UNSUITABLE MATERIAL 10 MIILE FREE HAUL</t>
  </si>
  <si>
    <t>12" RCP*</t>
  </si>
  <si>
    <t>15" RCP*</t>
  </si>
  <si>
    <t>18" RCP*</t>
  </si>
  <si>
    <t>24" RCP*</t>
  </si>
  <si>
    <t>30" RCP*</t>
  </si>
  <si>
    <t>36" RCP*</t>
  </si>
  <si>
    <t>48" RCP*</t>
  </si>
  <si>
    <t>8" PVC PERFORATED SDR-35*</t>
  </si>
  <si>
    <t>12" SMOOTH INTERIOR POLYETHYLENE, ADS N-12*</t>
  </si>
  <si>
    <t>15" SMOOTH INTERIOR POLYETHYLENE, ADS N-12*</t>
  </si>
  <si>
    <t>18" SMOOTH INTERIOR POLYETHYLENE, ADS N-12*</t>
  </si>
  <si>
    <t>24" SMOOTH INTERIOR POLYETHYLENE, ADS N-12*</t>
  </si>
  <si>
    <t>30" SMOOTH INTERIOR POLYETHYLENE, ADS N-12*</t>
  </si>
  <si>
    <t>36" SMOOTH INTERIOR POLYETHYLENE, ADS N-12*</t>
  </si>
  <si>
    <t>48" SMOOTH INTERIOR POLYETHYLENE, ADS N-12*</t>
  </si>
  <si>
    <t>54" SMOOTH INTERIOR POLYETHYLENE, ADS N-12*</t>
  </si>
  <si>
    <t>60" SMOOTH INTERIOR POLYETHYLENE, ADS N-12*</t>
  </si>
  <si>
    <t>REMOVE AND DISPOSE PIPE 6" TO 24" DIA.</t>
  </si>
  <si>
    <t>REMOVE AND DISPOSE PIPE 30" AND GREATER</t>
  </si>
  <si>
    <t>PIPE COLLAR 16" DIA. OR LESS</t>
  </si>
  <si>
    <t>PIPE COLLAR 18" DIA. OR GREATER</t>
  </si>
  <si>
    <t>MANHOLE TYPE "A", 0' TO 3', 4' DIA.</t>
  </si>
  <si>
    <t>MANHOLE TYPE "B", 3' TO 6', 4' DIA.</t>
  </si>
  <si>
    <t>MANHOLE  TYPE "E", 6' TO 8', 4' DIA.</t>
  </si>
  <si>
    <t>ADDITIONAL DEPTH PER FOOT, TYPE E MH</t>
  </si>
  <si>
    <t>MANHOLE  TYPE "B", 3' TO 6', 6' DIA.</t>
  </si>
  <si>
    <t>MANHOLE  TYPE "E", 6' TO 8', 6' DIA.</t>
  </si>
  <si>
    <t>CURB INLET- SINGLE OR SURFACE INLET</t>
  </si>
  <si>
    <t>CURB INLET-DOUBLE OR SURFACE INLET</t>
  </si>
  <si>
    <t>REMOVE/ABANDON MANHOLE ( ALL SIZES AND TYPES)</t>
  </si>
  <si>
    <t>TIE INTO EXISTING MANHOLES</t>
  </si>
  <si>
    <t>REMOVE/REPLACE/DISPOSE  METER CAN</t>
  </si>
  <si>
    <t>REMOVE  &amp;  RELOCATE  EXISTING  F.H.</t>
  </si>
  <si>
    <t>ADJUST MANHOLE TO GRADE</t>
  </si>
  <si>
    <t>ADJUST VALVE BOX TO GRADE</t>
  </si>
  <si>
    <t>ADJUST DRAIN. FRAME &amp; GRATE TO GRADE</t>
  </si>
  <si>
    <t xml:space="preserve">ADJUST METER CANS TO GRADE </t>
  </si>
  <si>
    <t>TEST PITS</t>
  </si>
  <si>
    <t>VACUUM EXTRACTION TEST PITS</t>
  </si>
  <si>
    <t>STRUCTURAL CONCRETE  3 C.Y.  OR  LESS PER WORK ORDER</t>
  </si>
  <si>
    <t>STRUCTURAL CONCRETE  GREATER THAN 3 C.Y. PER WORK ORDER</t>
  </si>
  <si>
    <t>CONCRETE FOR FOOTERS AND FOUNDATION</t>
  </si>
  <si>
    <t>FIBER MESH CONCRETE</t>
  </si>
  <si>
    <t>FLOWABLE FILL</t>
  </si>
  <si>
    <t>INSTALL CITY FURNISHED SNGL CONDUIT IN TRENCH ALL SIZE &amp; TYPE</t>
  </si>
  <si>
    <t>INSTALL CITY FURNISHED CONDUIT, UP TO 4 IN TRENCH, ALL SIZES &amp; TYPES</t>
  </si>
  <si>
    <t>INSTALL CITY FURNISHED PULL BOXES, ALL SIZES &amp; TYPES</t>
  </si>
  <si>
    <t>TRAFFIC CONTROL COLLECTOR STREET</t>
  </si>
  <si>
    <t>DAY</t>
  </si>
  <si>
    <t>TRAFFIC CONTROL ARTERIAL STREET</t>
  </si>
  <si>
    <t>FLAGMAN</t>
  </si>
  <si>
    <t>NIGHT WORK CREW OF 0-6 PEOPLE</t>
  </si>
  <si>
    <t>MOB JOBS COSTING UNDER $400, &gt; 1/2 MILE  FROM JOB</t>
  </si>
  <si>
    <t>TESTING ALLOWANCE</t>
  </si>
  <si>
    <t>LS</t>
  </si>
  <si>
    <t>PORTABLE TOILET</t>
  </si>
  <si>
    <t>CONTRACT PROJECT SIGN (4' X 4')</t>
  </si>
  <si>
    <t>WELDER AND HELPER WITH EQUIPMENT</t>
  </si>
  <si>
    <t>950 CAT. LOADER ( OR EQUAL) W/OPERATOR</t>
  </si>
  <si>
    <t>690 JOHN DEERE TRACKHOE OR EQUAL  W/OPERATOR</t>
  </si>
  <si>
    <t>BULLDOZER CAT D-8 OR EQUAL WITH OPERATOR</t>
  </si>
  <si>
    <t>RUBBER TIRED BACKHOE  WITH OPERATOR</t>
  </si>
  <si>
    <t>TANDEM TRUCK (12 YARD)</t>
  </si>
  <si>
    <t xml:space="preserve">STRAW  WATTLES  (9"  DIA.) </t>
  </si>
  <si>
    <t xml:space="preserve">STRAW BALES </t>
  </si>
  <si>
    <t xml:space="preserve">SILT FENCE </t>
  </si>
  <si>
    <t>FILTER CLOTH</t>
  </si>
  <si>
    <t>FURNISH AND APPLY SOIL STERILENT</t>
  </si>
  <si>
    <t>ACRE</t>
  </si>
  <si>
    <t>NOTE: UNLESS OTHERWISE INDICATED, ALL ITEMS INCLUDE ALL LABOR, EQUIPMENT AND MATERIALS NECESSARY TO PROPERLY FURNISH, INSTALL AND/OR COMPLETE THE WORK.</t>
  </si>
  <si>
    <t>ASTERISK (*) ITEMS THUS INDICATED DO NOT INCLUDE TRENCHING AND BACKFILL .  SEE TECHNICAL SPECIFICATIONS FOR FURTHER INFORMATION.</t>
  </si>
  <si>
    <t>ASPHALT PLANT WEEKEND OPENING 6 A.M. TO 8 P.M.</t>
  </si>
  <si>
    <t>NIGHT OPENING OF ASPHALT PLANT 5 P.M. to 8 A.M.</t>
  </si>
  <si>
    <t xml:space="preserve">  QTY</t>
  </si>
  <si>
    <t>TOTAL</t>
  </si>
  <si>
    <t>ADDITIONAL COST FOR FIBER MESH FOR STRUCTURAL CONCRETE</t>
  </si>
  <si>
    <t>SELECT FILL MATERIAL FOR ROADWAY</t>
  </si>
  <si>
    <t>ASPHALT REM.  &amp; DISPL, 10 MI. FREE HAUL</t>
  </si>
  <si>
    <t>COLD MILLING 0" - 3" DEPTH 2001 SQ YDS UP TO 10000 SQ YDS</t>
  </si>
  <si>
    <t>PIPE BEDDING MATERIAL OR SELECT BACKFILL MATERIAL FOR PIPE TRENCH</t>
  </si>
  <si>
    <t xml:space="preserve">NATIVE GRASS SEEDING </t>
  </si>
  <si>
    <t xml:space="preserve">TOTAL OF ITEMS 1 THROUGH 145:  </t>
  </si>
  <si>
    <t xml:space="preserve">TOTAL OF ITEMS 1 THROUGH 145 INCLUSIVE IN WORDS:  </t>
  </si>
  <si>
    <r>
      <t xml:space="preserve">ASPHALT UNDER 400 TONS </t>
    </r>
    <r>
      <rPr>
        <u/>
        <sz val="14"/>
        <rFont val="Arial"/>
        <family val="2"/>
      </rPr>
      <t>WITHOUT</t>
    </r>
    <r>
      <rPr>
        <sz val="14"/>
        <rFont val="Arial"/>
        <family val="2"/>
      </rPr>
      <t xml:space="preserve"> LAYDOWN</t>
    </r>
  </si>
  <si>
    <t>THE SUM OF _______________________________________________________________________________________DOLLARS AND ________________CENTS.</t>
  </si>
</sst>
</file>

<file path=xl/styles.xml><?xml version="1.0" encoding="utf-8"?>
<styleSheet xmlns="http://schemas.openxmlformats.org/spreadsheetml/2006/main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Fill="1"/>
    <xf numFmtId="0" fontId="5" fillId="0" borderId="0" xfId="0" applyFont="1" applyFill="1" applyBorder="1"/>
    <xf numFmtId="0" fontId="5" fillId="0" borderId="0" xfId="0" applyFont="1" applyFill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Border="1" applyAlignment="1"/>
    <xf numFmtId="7" fontId="3" fillId="0" borderId="0" xfId="0" applyNumberFormat="1" applyFont="1" applyFill="1"/>
    <xf numFmtId="0" fontId="7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8" fillId="0" borderId="1" xfId="0" applyFont="1" applyFill="1" applyBorder="1" applyAlignment="1" applyProtection="1">
      <alignment horizontal="center"/>
    </xf>
    <xf numFmtId="0" fontId="8" fillId="0" borderId="1" xfId="0" applyFont="1" applyFill="1" applyBorder="1" applyProtection="1"/>
    <xf numFmtId="0" fontId="8" fillId="0" borderId="1" xfId="0" applyFont="1" applyFill="1" applyBorder="1" applyAlignment="1">
      <alignment horizontal="center"/>
    </xf>
    <xf numFmtId="7" fontId="8" fillId="0" borderId="1" xfId="0" applyNumberFormat="1" applyFont="1" applyFill="1" applyBorder="1" applyAlignment="1">
      <alignment horizontal="center" wrapText="1"/>
    </xf>
    <xf numFmtId="0" fontId="9" fillId="0" borderId="0" xfId="0" applyFont="1" applyFill="1" applyBorder="1"/>
    <xf numFmtId="0" fontId="9" fillId="0" borderId="0" xfId="0" applyFont="1" applyFill="1"/>
    <xf numFmtId="4" fontId="8" fillId="0" borderId="2" xfId="0" applyNumberFormat="1" applyFont="1" applyFill="1" applyBorder="1" applyAlignment="1" applyProtection="1">
      <alignment horizontal="right"/>
      <protection locked="0"/>
    </xf>
    <xf numFmtId="4" fontId="8" fillId="0" borderId="1" xfId="0" applyNumberFormat="1" applyFont="1" applyFill="1" applyBorder="1" applyAlignment="1" applyProtection="1">
      <alignment horizontal="right"/>
      <protection locked="0"/>
    </xf>
    <xf numFmtId="4" fontId="8" fillId="0" borderId="1" xfId="1" applyNumberFormat="1" applyFont="1" applyFill="1" applyBorder="1" applyProtection="1">
      <protection locked="0"/>
    </xf>
    <xf numFmtId="44" fontId="8" fillId="0" borderId="1" xfId="1" applyNumberFormat="1" applyFont="1" applyFill="1" applyBorder="1" applyAlignment="1" applyProtection="1">
      <alignment horizontal="center"/>
      <protection locked="0"/>
    </xf>
    <xf numFmtId="0" fontId="10" fillId="0" borderId="0" xfId="0" applyFont="1" applyFill="1" applyBorder="1"/>
    <xf numFmtId="0" fontId="10" fillId="0" borderId="0" xfId="0" applyFont="1" applyFill="1"/>
    <xf numFmtId="0" fontId="8" fillId="0" borderId="0" xfId="0" applyFont="1" applyFill="1" applyBorder="1"/>
    <xf numFmtId="0" fontId="8" fillId="0" borderId="0" xfId="0" applyFont="1" applyFill="1"/>
    <xf numFmtId="4" fontId="8" fillId="0" borderId="1" xfId="1" applyNumberFormat="1" applyFont="1" applyFill="1" applyBorder="1" applyAlignment="1" applyProtection="1">
      <alignment horizontal="right" wrapText="1"/>
      <protection locked="0"/>
    </xf>
    <xf numFmtId="0" fontId="8" fillId="0" borderId="0" xfId="0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4" fontId="8" fillId="0" borderId="3" xfId="0" applyNumberFormat="1" applyFont="1" applyFill="1" applyBorder="1" applyAlignment="1" applyProtection="1">
      <alignment horizontal="right"/>
      <protection locked="0"/>
    </xf>
    <xf numFmtId="2" fontId="8" fillId="0" borderId="4" xfId="0" applyNumberFormat="1" applyFont="1" applyFill="1" applyBorder="1" applyAlignment="1" applyProtection="1">
      <protection locked="0"/>
    </xf>
    <xf numFmtId="0" fontId="2" fillId="0" borderId="0" xfId="0" applyFont="1" applyFill="1" applyBorder="1" applyAlignment="1">
      <alignment horizontal="left"/>
    </xf>
    <xf numFmtId="1" fontId="2" fillId="0" borderId="2" xfId="0" applyNumberFormat="1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wrapText="1"/>
    </xf>
    <xf numFmtId="0" fontId="2" fillId="0" borderId="2" xfId="0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/>
    <xf numFmtId="0" fontId="2" fillId="0" borderId="1" xfId="0" applyFont="1" applyFill="1" applyBorder="1" applyProtection="1"/>
    <xf numFmtId="0" fontId="2" fillId="0" borderId="1" xfId="0" applyFont="1" applyFill="1" applyBorder="1" applyAlignment="1" applyProtection="1">
      <alignment horizontal="center" wrapText="1"/>
    </xf>
    <xf numFmtId="7" fontId="8" fillId="0" borderId="2" xfId="0" applyNumberFormat="1" applyFont="1" applyFill="1" applyBorder="1" applyProtection="1"/>
    <xf numFmtId="7" fontId="8" fillId="0" borderId="1" xfId="0" applyNumberFormat="1" applyFont="1" applyFill="1" applyBorder="1" applyProtection="1"/>
    <xf numFmtId="0" fontId="8" fillId="0" borderId="5" xfId="0" applyNumberFormat="1" applyFont="1" applyFill="1" applyBorder="1" applyAlignment="1">
      <alignment horizontal="right"/>
    </xf>
    <xf numFmtId="0" fontId="8" fillId="0" borderId="6" xfId="0" applyNumberFormat="1" applyFont="1" applyFill="1" applyBorder="1" applyAlignment="1">
      <alignment horizontal="right"/>
    </xf>
    <xf numFmtId="0" fontId="8" fillId="0" borderId="7" xfId="0" applyNumberFormat="1" applyFont="1" applyFill="1" applyBorder="1" applyAlignment="1">
      <alignment horizontal="right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44" fontId="8" fillId="0" borderId="1" xfId="1" applyFont="1" applyFill="1" applyBorder="1" applyAlignment="1" applyProtection="1">
      <alignment horizontal="right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1524000</xdr:colOff>
      <xdr:row>38</xdr:row>
      <xdr:rowOff>38100</xdr:rowOff>
    </xdr:from>
    <xdr:to>
      <xdr:col>1</xdr:col>
      <xdr:colOff>1524000</xdr:colOff>
      <xdr:row>38</xdr:row>
      <xdr:rowOff>190500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105025" y="137922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38</xdr:row>
      <xdr:rowOff>38100</xdr:rowOff>
    </xdr:from>
    <xdr:to>
      <xdr:col>6</xdr:col>
      <xdr:colOff>104775</xdr:colOff>
      <xdr:row>38</xdr:row>
      <xdr:rowOff>190500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2849225" y="13792200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8" name="Text Box 7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9" name="Text Box 8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10" name="Text Box 9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11" name="Text Box 10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12" name="Text Box 11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14" name="Text Box 13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15" name="Text Box 14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16" name="Text Box 15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17" name="Text Box 16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28575</xdr:rowOff>
    </xdr:from>
    <xdr:to>
      <xdr:col>2</xdr:col>
      <xdr:colOff>104775</xdr:colOff>
      <xdr:row>38</xdr:row>
      <xdr:rowOff>190500</xdr:rowOff>
    </xdr:to>
    <xdr:sp macro="" textlink="">
      <xdr:nvSpPr>
        <xdr:cNvPr id="18" name="Text Box 17"/>
        <xdr:cNvSpPr txBox="1">
          <a:spLocks noChangeArrowheads="1"/>
        </xdr:cNvSpPr>
      </xdr:nvSpPr>
      <xdr:spPr bwMode="auto">
        <a:xfrm>
          <a:off x="7448550" y="137826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38</xdr:row>
      <xdr:rowOff>28575</xdr:rowOff>
    </xdr:from>
    <xdr:to>
      <xdr:col>1</xdr:col>
      <xdr:colOff>1524000</xdr:colOff>
      <xdr:row>38</xdr:row>
      <xdr:rowOff>190500</xdr:rowOff>
    </xdr:to>
    <xdr:sp macro="" textlink="">
      <xdr:nvSpPr>
        <xdr:cNvPr id="19" name="Text Box 18"/>
        <xdr:cNvSpPr txBox="1">
          <a:spLocks noChangeArrowheads="1"/>
        </xdr:cNvSpPr>
      </xdr:nvSpPr>
      <xdr:spPr bwMode="auto">
        <a:xfrm>
          <a:off x="2105025" y="137826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20" name="Text Box 19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21" name="Text Box 20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22" name="Text Box 21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23" name="Text Box 22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24" name="Text Box 23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25" name="Text Box 24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26" name="Text Box 25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27" name="Text Box 26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28" name="Text Box 27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190500</xdr:rowOff>
    </xdr:to>
    <xdr:sp macro="" textlink="">
      <xdr:nvSpPr>
        <xdr:cNvPr id="29" name="Text Box 28"/>
        <xdr:cNvSpPr txBox="1">
          <a:spLocks noChangeArrowheads="1"/>
        </xdr:cNvSpPr>
      </xdr:nvSpPr>
      <xdr:spPr bwMode="auto">
        <a:xfrm>
          <a:off x="7448550" y="752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30" name="Text Box 29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31" name="Text Box 30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190500</xdr:rowOff>
    </xdr:to>
    <xdr:sp macro="" textlink="">
      <xdr:nvSpPr>
        <xdr:cNvPr id="32" name="Text Box 31"/>
        <xdr:cNvSpPr txBox="1">
          <a:spLocks noChangeArrowheads="1"/>
        </xdr:cNvSpPr>
      </xdr:nvSpPr>
      <xdr:spPr bwMode="auto">
        <a:xfrm>
          <a:off x="7448550" y="752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33" name="Text Box 1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34" name="Text Box 3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35" name="Text Box 4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36" name="Text Box 5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37" name="Text Box 6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28575</xdr:rowOff>
    </xdr:from>
    <xdr:to>
      <xdr:col>2</xdr:col>
      <xdr:colOff>104775</xdr:colOff>
      <xdr:row>38</xdr:row>
      <xdr:rowOff>190500</xdr:rowOff>
    </xdr:to>
    <xdr:sp macro="" textlink="">
      <xdr:nvSpPr>
        <xdr:cNvPr id="38" name="Text Box 7"/>
        <xdr:cNvSpPr txBox="1">
          <a:spLocks noChangeArrowheads="1"/>
        </xdr:cNvSpPr>
      </xdr:nvSpPr>
      <xdr:spPr bwMode="auto">
        <a:xfrm>
          <a:off x="7448550" y="137826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38</xdr:row>
      <xdr:rowOff>28575</xdr:rowOff>
    </xdr:from>
    <xdr:to>
      <xdr:col>1</xdr:col>
      <xdr:colOff>1524000</xdr:colOff>
      <xdr:row>38</xdr:row>
      <xdr:rowOff>190500</xdr:rowOff>
    </xdr:to>
    <xdr:sp macro="" textlink="">
      <xdr:nvSpPr>
        <xdr:cNvPr id="39" name="Text Box 8"/>
        <xdr:cNvSpPr txBox="1">
          <a:spLocks noChangeArrowheads="1"/>
        </xdr:cNvSpPr>
      </xdr:nvSpPr>
      <xdr:spPr bwMode="auto">
        <a:xfrm>
          <a:off x="2105025" y="137826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40" name="Text Box 9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41" name="Text Box 10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42" name="Text Box 11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43" name="Text Box 12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44" name="Text Box 13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45" name="Text Box 14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46" name="Text Box 15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47" name="Text Box 16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48" name="Text Box 17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190500</xdr:rowOff>
    </xdr:to>
    <xdr:sp macro="" textlink="">
      <xdr:nvSpPr>
        <xdr:cNvPr id="49" name="Text Box 18"/>
        <xdr:cNvSpPr txBox="1">
          <a:spLocks noChangeArrowheads="1"/>
        </xdr:cNvSpPr>
      </xdr:nvSpPr>
      <xdr:spPr bwMode="auto">
        <a:xfrm>
          <a:off x="7448550" y="752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50" name="Text Box 19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51" name="Text Box 20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190500</xdr:rowOff>
    </xdr:to>
    <xdr:sp macro="" textlink="">
      <xdr:nvSpPr>
        <xdr:cNvPr id="52" name="Text Box 21"/>
        <xdr:cNvSpPr txBox="1">
          <a:spLocks noChangeArrowheads="1"/>
        </xdr:cNvSpPr>
      </xdr:nvSpPr>
      <xdr:spPr bwMode="auto">
        <a:xfrm>
          <a:off x="7448550" y="752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190500</xdr:rowOff>
    </xdr:to>
    <xdr:sp macro="" textlink="">
      <xdr:nvSpPr>
        <xdr:cNvPr id="53" name="Text Box 1"/>
        <xdr:cNvSpPr txBox="1">
          <a:spLocks noChangeArrowheads="1"/>
        </xdr:cNvSpPr>
      </xdr:nvSpPr>
      <xdr:spPr bwMode="auto">
        <a:xfrm>
          <a:off x="7448550" y="752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54" name="Text Box 2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55" name="Text Box 3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190500</xdr:rowOff>
    </xdr:to>
    <xdr:sp macro="" textlink="">
      <xdr:nvSpPr>
        <xdr:cNvPr id="56" name="Text Box 4"/>
        <xdr:cNvSpPr txBox="1">
          <a:spLocks noChangeArrowheads="1"/>
        </xdr:cNvSpPr>
      </xdr:nvSpPr>
      <xdr:spPr bwMode="auto">
        <a:xfrm>
          <a:off x="7448550" y="752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57" name="Text Box 3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58" name="Text Box 4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59" name="Text Box 5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60" name="Text Box 6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61" name="Text Box 9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62" name="Text Box 10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63" name="Text Box 11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64" name="Text Box 12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65" name="Text Box 14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66" name="Text Box 15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67" name="Text Box 16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68" name="Text Box 17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69" name="Text Box 1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70" name="Text Box 3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71" name="Text Box 4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72" name="Text Box 5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73" name="Text Box 6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28575</xdr:rowOff>
    </xdr:from>
    <xdr:to>
      <xdr:col>2</xdr:col>
      <xdr:colOff>104775</xdr:colOff>
      <xdr:row>38</xdr:row>
      <xdr:rowOff>190500</xdr:rowOff>
    </xdr:to>
    <xdr:sp macro="" textlink="">
      <xdr:nvSpPr>
        <xdr:cNvPr id="74" name="Text Box 7"/>
        <xdr:cNvSpPr txBox="1">
          <a:spLocks noChangeArrowheads="1"/>
        </xdr:cNvSpPr>
      </xdr:nvSpPr>
      <xdr:spPr bwMode="auto">
        <a:xfrm>
          <a:off x="7448550" y="137826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38</xdr:row>
      <xdr:rowOff>28575</xdr:rowOff>
    </xdr:from>
    <xdr:to>
      <xdr:col>1</xdr:col>
      <xdr:colOff>1524000</xdr:colOff>
      <xdr:row>38</xdr:row>
      <xdr:rowOff>190500</xdr:rowOff>
    </xdr:to>
    <xdr:sp macro="" textlink="">
      <xdr:nvSpPr>
        <xdr:cNvPr id="75" name="Text Box 8"/>
        <xdr:cNvSpPr txBox="1">
          <a:spLocks noChangeArrowheads="1"/>
        </xdr:cNvSpPr>
      </xdr:nvSpPr>
      <xdr:spPr bwMode="auto">
        <a:xfrm>
          <a:off x="2105025" y="137826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76" name="Text Box 9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77" name="Text Box 10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78" name="Text Box 11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79" name="Text Box 12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80" name="Text Box 13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81" name="Text Box 14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82" name="Text Box 15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83" name="Text Box 16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84" name="Text Box 17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190500</xdr:rowOff>
    </xdr:to>
    <xdr:sp macro="" textlink="">
      <xdr:nvSpPr>
        <xdr:cNvPr id="85" name="Text Box 18"/>
        <xdr:cNvSpPr txBox="1">
          <a:spLocks noChangeArrowheads="1"/>
        </xdr:cNvSpPr>
      </xdr:nvSpPr>
      <xdr:spPr bwMode="auto">
        <a:xfrm>
          <a:off x="7448550" y="752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86" name="Text Box 19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87" name="Text Box 20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190500</xdr:rowOff>
    </xdr:to>
    <xdr:sp macro="" textlink="">
      <xdr:nvSpPr>
        <xdr:cNvPr id="88" name="Text Box 21"/>
        <xdr:cNvSpPr txBox="1">
          <a:spLocks noChangeArrowheads="1"/>
        </xdr:cNvSpPr>
      </xdr:nvSpPr>
      <xdr:spPr bwMode="auto">
        <a:xfrm>
          <a:off x="7448550" y="752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190500</xdr:rowOff>
    </xdr:to>
    <xdr:sp macro="" textlink="">
      <xdr:nvSpPr>
        <xdr:cNvPr id="89" name="Text Box 1"/>
        <xdr:cNvSpPr txBox="1">
          <a:spLocks noChangeArrowheads="1"/>
        </xdr:cNvSpPr>
      </xdr:nvSpPr>
      <xdr:spPr bwMode="auto">
        <a:xfrm>
          <a:off x="7448550" y="752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90" name="Text Box 2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91" name="Text Box 3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190500</xdr:rowOff>
    </xdr:to>
    <xdr:sp macro="" textlink="">
      <xdr:nvSpPr>
        <xdr:cNvPr id="92" name="Text Box 4"/>
        <xdr:cNvSpPr txBox="1">
          <a:spLocks noChangeArrowheads="1"/>
        </xdr:cNvSpPr>
      </xdr:nvSpPr>
      <xdr:spPr bwMode="auto">
        <a:xfrm>
          <a:off x="7448550" y="752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93" name="Text Box 1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94" name="Text Box 3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95" name="Text Box 4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96" name="Text Box 5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97" name="Text Box 6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28575</xdr:rowOff>
    </xdr:from>
    <xdr:to>
      <xdr:col>2</xdr:col>
      <xdr:colOff>104775</xdr:colOff>
      <xdr:row>38</xdr:row>
      <xdr:rowOff>190500</xdr:rowOff>
    </xdr:to>
    <xdr:sp macro="" textlink="">
      <xdr:nvSpPr>
        <xdr:cNvPr id="98" name="Text Box 7"/>
        <xdr:cNvSpPr txBox="1">
          <a:spLocks noChangeArrowheads="1"/>
        </xdr:cNvSpPr>
      </xdr:nvSpPr>
      <xdr:spPr bwMode="auto">
        <a:xfrm>
          <a:off x="7448550" y="137826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38</xdr:row>
      <xdr:rowOff>28575</xdr:rowOff>
    </xdr:from>
    <xdr:to>
      <xdr:col>1</xdr:col>
      <xdr:colOff>1524000</xdr:colOff>
      <xdr:row>38</xdr:row>
      <xdr:rowOff>190500</xdr:rowOff>
    </xdr:to>
    <xdr:sp macro="" textlink="">
      <xdr:nvSpPr>
        <xdr:cNvPr id="99" name="Text Box 8"/>
        <xdr:cNvSpPr txBox="1">
          <a:spLocks noChangeArrowheads="1"/>
        </xdr:cNvSpPr>
      </xdr:nvSpPr>
      <xdr:spPr bwMode="auto">
        <a:xfrm>
          <a:off x="2105025" y="137826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100" name="Text Box 9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101" name="Text Box 10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102" name="Text Box 11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103" name="Text Box 12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190500</xdr:rowOff>
    </xdr:to>
    <xdr:sp macro="" textlink="">
      <xdr:nvSpPr>
        <xdr:cNvPr id="104" name="Text Box 13"/>
        <xdr:cNvSpPr txBox="1">
          <a:spLocks noChangeArrowheads="1"/>
        </xdr:cNvSpPr>
      </xdr:nvSpPr>
      <xdr:spPr bwMode="auto">
        <a:xfrm>
          <a:off x="2105025" y="134302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105" name="Text Box 14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190500</xdr:rowOff>
    </xdr:to>
    <xdr:sp macro="" textlink="">
      <xdr:nvSpPr>
        <xdr:cNvPr id="106" name="Text Box 15"/>
        <xdr:cNvSpPr txBox="1">
          <a:spLocks noChangeArrowheads="1"/>
        </xdr:cNvSpPr>
      </xdr:nvSpPr>
      <xdr:spPr bwMode="auto">
        <a:xfrm>
          <a:off x="2105025" y="152400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190500</xdr:rowOff>
    </xdr:to>
    <xdr:sp macro="" textlink="">
      <xdr:nvSpPr>
        <xdr:cNvPr id="107" name="Text Box 16"/>
        <xdr:cNvSpPr txBox="1">
          <a:spLocks noChangeArrowheads="1"/>
        </xdr:cNvSpPr>
      </xdr:nvSpPr>
      <xdr:spPr bwMode="auto">
        <a:xfrm>
          <a:off x="2105025" y="15230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190500</xdr:rowOff>
    </xdr:to>
    <xdr:sp macro="" textlink="">
      <xdr:nvSpPr>
        <xdr:cNvPr id="108" name="Text Box 17"/>
        <xdr:cNvSpPr txBox="1">
          <a:spLocks noChangeArrowheads="1"/>
        </xdr:cNvSpPr>
      </xdr:nvSpPr>
      <xdr:spPr bwMode="auto">
        <a:xfrm>
          <a:off x="7448550" y="15230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190500</xdr:rowOff>
    </xdr:to>
    <xdr:sp macro="" textlink="">
      <xdr:nvSpPr>
        <xdr:cNvPr id="109" name="Text Box 18"/>
        <xdr:cNvSpPr txBox="1">
          <a:spLocks noChangeArrowheads="1"/>
        </xdr:cNvSpPr>
      </xdr:nvSpPr>
      <xdr:spPr bwMode="auto">
        <a:xfrm>
          <a:off x="7448550" y="752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110" name="Text Box 19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111" name="Text Box 20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190500</xdr:rowOff>
    </xdr:to>
    <xdr:sp macro="" textlink="">
      <xdr:nvSpPr>
        <xdr:cNvPr id="112" name="Text Box 21"/>
        <xdr:cNvSpPr txBox="1">
          <a:spLocks noChangeArrowheads="1"/>
        </xdr:cNvSpPr>
      </xdr:nvSpPr>
      <xdr:spPr bwMode="auto">
        <a:xfrm>
          <a:off x="7448550" y="75247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190500</xdr:rowOff>
    </xdr:to>
    <xdr:sp macro="" textlink="">
      <xdr:nvSpPr>
        <xdr:cNvPr id="113" name="Text Box 1"/>
        <xdr:cNvSpPr txBox="1">
          <a:spLocks noChangeArrowheads="1"/>
        </xdr:cNvSpPr>
      </xdr:nvSpPr>
      <xdr:spPr bwMode="auto">
        <a:xfrm>
          <a:off x="7448550" y="752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114" name="Text Box 2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190500</xdr:rowOff>
    </xdr:to>
    <xdr:sp macro="" textlink="">
      <xdr:nvSpPr>
        <xdr:cNvPr id="115" name="Text Box 3"/>
        <xdr:cNvSpPr txBox="1">
          <a:spLocks noChangeArrowheads="1"/>
        </xdr:cNvSpPr>
      </xdr:nvSpPr>
      <xdr:spPr bwMode="auto">
        <a:xfrm>
          <a:off x="2105025" y="75247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190500</xdr:rowOff>
    </xdr:to>
    <xdr:sp macro="" textlink="">
      <xdr:nvSpPr>
        <xdr:cNvPr id="116" name="Text Box 4"/>
        <xdr:cNvSpPr txBox="1">
          <a:spLocks noChangeArrowheads="1"/>
        </xdr:cNvSpPr>
      </xdr:nvSpPr>
      <xdr:spPr bwMode="auto">
        <a:xfrm>
          <a:off x="7448550" y="75247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238125</xdr:rowOff>
    </xdr:to>
    <xdr:sp macro="" textlink="">
      <xdr:nvSpPr>
        <xdr:cNvPr id="117" name="Text Box 1"/>
        <xdr:cNvSpPr txBox="1">
          <a:spLocks noChangeArrowheads="1"/>
        </xdr:cNvSpPr>
      </xdr:nvSpPr>
      <xdr:spPr bwMode="auto">
        <a:xfrm>
          <a:off x="2105025" y="129254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18" name="Text Box 3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19" name="Text Box 4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20" name="Text Box 5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21" name="Text Box 6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28575</xdr:rowOff>
    </xdr:from>
    <xdr:to>
      <xdr:col>2</xdr:col>
      <xdr:colOff>104775</xdr:colOff>
      <xdr:row>38</xdr:row>
      <xdr:rowOff>228600</xdr:rowOff>
    </xdr:to>
    <xdr:sp macro="" textlink="">
      <xdr:nvSpPr>
        <xdr:cNvPr id="122" name="Text Box 7"/>
        <xdr:cNvSpPr txBox="1">
          <a:spLocks noChangeArrowheads="1"/>
        </xdr:cNvSpPr>
      </xdr:nvSpPr>
      <xdr:spPr bwMode="auto">
        <a:xfrm>
          <a:off x="7448550" y="132302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38</xdr:row>
      <xdr:rowOff>28575</xdr:rowOff>
    </xdr:from>
    <xdr:to>
      <xdr:col>1</xdr:col>
      <xdr:colOff>1524000</xdr:colOff>
      <xdr:row>38</xdr:row>
      <xdr:rowOff>228600</xdr:rowOff>
    </xdr:to>
    <xdr:sp macro="" textlink="">
      <xdr:nvSpPr>
        <xdr:cNvPr id="123" name="Text Box 8"/>
        <xdr:cNvSpPr txBox="1">
          <a:spLocks noChangeArrowheads="1"/>
        </xdr:cNvSpPr>
      </xdr:nvSpPr>
      <xdr:spPr bwMode="auto">
        <a:xfrm>
          <a:off x="2105025" y="132302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24" name="Text Box 9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25" name="Text Box 10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26" name="Text Box 11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27" name="Text Box 12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238125</xdr:rowOff>
    </xdr:to>
    <xdr:sp macro="" textlink="">
      <xdr:nvSpPr>
        <xdr:cNvPr id="128" name="Text Box 13"/>
        <xdr:cNvSpPr txBox="1">
          <a:spLocks noChangeArrowheads="1"/>
        </xdr:cNvSpPr>
      </xdr:nvSpPr>
      <xdr:spPr bwMode="auto">
        <a:xfrm>
          <a:off x="2105025" y="129254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29" name="Text Box 14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30" name="Text Box 15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31" name="Text Box 16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32" name="Text Box 17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228600</xdr:rowOff>
    </xdr:to>
    <xdr:sp macro="" textlink="">
      <xdr:nvSpPr>
        <xdr:cNvPr id="133" name="Text Box 18"/>
        <xdr:cNvSpPr txBox="1">
          <a:spLocks noChangeArrowheads="1"/>
        </xdr:cNvSpPr>
      </xdr:nvSpPr>
      <xdr:spPr bwMode="auto">
        <a:xfrm>
          <a:off x="7448550" y="1914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34" name="Text Box 19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35" name="Text Box 20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228600</xdr:rowOff>
    </xdr:to>
    <xdr:sp macro="" textlink="">
      <xdr:nvSpPr>
        <xdr:cNvPr id="136" name="Text Box 21"/>
        <xdr:cNvSpPr txBox="1">
          <a:spLocks noChangeArrowheads="1"/>
        </xdr:cNvSpPr>
      </xdr:nvSpPr>
      <xdr:spPr bwMode="auto">
        <a:xfrm>
          <a:off x="7448550" y="1914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228600</xdr:rowOff>
    </xdr:to>
    <xdr:sp macro="" textlink="">
      <xdr:nvSpPr>
        <xdr:cNvPr id="137" name="Text Box 1"/>
        <xdr:cNvSpPr txBox="1">
          <a:spLocks noChangeArrowheads="1"/>
        </xdr:cNvSpPr>
      </xdr:nvSpPr>
      <xdr:spPr bwMode="auto">
        <a:xfrm>
          <a:off x="7448550" y="1914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38" name="Text Box 2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39" name="Text Box 3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228600</xdr:rowOff>
    </xdr:to>
    <xdr:sp macro="" textlink="">
      <xdr:nvSpPr>
        <xdr:cNvPr id="140" name="Text Box 4"/>
        <xdr:cNvSpPr txBox="1">
          <a:spLocks noChangeArrowheads="1"/>
        </xdr:cNvSpPr>
      </xdr:nvSpPr>
      <xdr:spPr bwMode="auto">
        <a:xfrm>
          <a:off x="7448550" y="1914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238125</xdr:rowOff>
    </xdr:to>
    <xdr:sp macro="" textlink="">
      <xdr:nvSpPr>
        <xdr:cNvPr id="141" name="Text Box 1"/>
        <xdr:cNvSpPr txBox="1">
          <a:spLocks noChangeArrowheads="1"/>
        </xdr:cNvSpPr>
      </xdr:nvSpPr>
      <xdr:spPr bwMode="auto">
        <a:xfrm>
          <a:off x="2105025" y="129254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42" name="Text Box 3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43" name="Text Box 4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44" name="Text Box 5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45" name="Text Box 6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28575</xdr:rowOff>
    </xdr:from>
    <xdr:to>
      <xdr:col>2</xdr:col>
      <xdr:colOff>104775</xdr:colOff>
      <xdr:row>38</xdr:row>
      <xdr:rowOff>228600</xdr:rowOff>
    </xdr:to>
    <xdr:sp macro="" textlink="">
      <xdr:nvSpPr>
        <xdr:cNvPr id="146" name="Text Box 7"/>
        <xdr:cNvSpPr txBox="1">
          <a:spLocks noChangeArrowheads="1"/>
        </xdr:cNvSpPr>
      </xdr:nvSpPr>
      <xdr:spPr bwMode="auto">
        <a:xfrm>
          <a:off x="7448550" y="132302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38</xdr:row>
      <xdr:rowOff>28575</xdr:rowOff>
    </xdr:from>
    <xdr:to>
      <xdr:col>1</xdr:col>
      <xdr:colOff>1524000</xdr:colOff>
      <xdr:row>38</xdr:row>
      <xdr:rowOff>228600</xdr:rowOff>
    </xdr:to>
    <xdr:sp macro="" textlink="">
      <xdr:nvSpPr>
        <xdr:cNvPr id="147" name="Text Box 8"/>
        <xdr:cNvSpPr txBox="1">
          <a:spLocks noChangeArrowheads="1"/>
        </xdr:cNvSpPr>
      </xdr:nvSpPr>
      <xdr:spPr bwMode="auto">
        <a:xfrm>
          <a:off x="2105025" y="132302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48" name="Text Box 9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49" name="Text Box 10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50" name="Text Box 11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51" name="Text Box 12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238125</xdr:rowOff>
    </xdr:to>
    <xdr:sp macro="" textlink="">
      <xdr:nvSpPr>
        <xdr:cNvPr id="152" name="Text Box 13"/>
        <xdr:cNvSpPr txBox="1">
          <a:spLocks noChangeArrowheads="1"/>
        </xdr:cNvSpPr>
      </xdr:nvSpPr>
      <xdr:spPr bwMode="auto">
        <a:xfrm>
          <a:off x="2105025" y="129254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53" name="Text Box 14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54" name="Text Box 15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55" name="Text Box 16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56" name="Text Box 17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228600</xdr:rowOff>
    </xdr:to>
    <xdr:sp macro="" textlink="">
      <xdr:nvSpPr>
        <xdr:cNvPr id="157" name="Text Box 18"/>
        <xdr:cNvSpPr txBox="1">
          <a:spLocks noChangeArrowheads="1"/>
        </xdr:cNvSpPr>
      </xdr:nvSpPr>
      <xdr:spPr bwMode="auto">
        <a:xfrm>
          <a:off x="7448550" y="1914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58" name="Text Box 19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59" name="Text Box 20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228600</xdr:rowOff>
    </xdr:to>
    <xdr:sp macro="" textlink="">
      <xdr:nvSpPr>
        <xdr:cNvPr id="160" name="Text Box 21"/>
        <xdr:cNvSpPr txBox="1">
          <a:spLocks noChangeArrowheads="1"/>
        </xdr:cNvSpPr>
      </xdr:nvSpPr>
      <xdr:spPr bwMode="auto">
        <a:xfrm>
          <a:off x="7448550" y="1914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228600</xdr:rowOff>
    </xdr:to>
    <xdr:sp macro="" textlink="">
      <xdr:nvSpPr>
        <xdr:cNvPr id="161" name="Text Box 1"/>
        <xdr:cNvSpPr txBox="1">
          <a:spLocks noChangeArrowheads="1"/>
        </xdr:cNvSpPr>
      </xdr:nvSpPr>
      <xdr:spPr bwMode="auto">
        <a:xfrm>
          <a:off x="7448550" y="1914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62" name="Text Box 2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63" name="Text Box 3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228600</xdr:rowOff>
    </xdr:to>
    <xdr:sp macro="" textlink="">
      <xdr:nvSpPr>
        <xdr:cNvPr id="164" name="Text Box 4"/>
        <xdr:cNvSpPr txBox="1">
          <a:spLocks noChangeArrowheads="1"/>
        </xdr:cNvSpPr>
      </xdr:nvSpPr>
      <xdr:spPr bwMode="auto">
        <a:xfrm>
          <a:off x="7448550" y="1914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238125</xdr:rowOff>
    </xdr:to>
    <xdr:sp macro="" textlink="">
      <xdr:nvSpPr>
        <xdr:cNvPr id="165" name="Text Box 1"/>
        <xdr:cNvSpPr txBox="1">
          <a:spLocks noChangeArrowheads="1"/>
        </xdr:cNvSpPr>
      </xdr:nvSpPr>
      <xdr:spPr bwMode="auto">
        <a:xfrm>
          <a:off x="2105025" y="129254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66" name="Text Box 3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67" name="Text Box 4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68" name="Text Box 5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69" name="Text Box 6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28575</xdr:rowOff>
    </xdr:from>
    <xdr:to>
      <xdr:col>2</xdr:col>
      <xdr:colOff>104775</xdr:colOff>
      <xdr:row>38</xdr:row>
      <xdr:rowOff>228600</xdr:rowOff>
    </xdr:to>
    <xdr:sp macro="" textlink="">
      <xdr:nvSpPr>
        <xdr:cNvPr id="170" name="Text Box 7"/>
        <xdr:cNvSpPr txBox="1">
          <a:spLocks noChangeArrowheads="1"/>
        </xdr:cNvSpPr>
      </xdr:nvSpPr>
      <xdr:spPr bwMode="auto">
        <a:xfrm>
          <a:off x="7448550" y="132302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38</xdr:row>
      <xdr:rowOff>28575</xdr:rowOff>
    </xdr:from>
    <xdr:to>
      <xdr:col>1</xdr:col>
      <xdr:colOff>1524000</xdr:colOff>
      <xdr:row>38</xdr:row>
      <xdr:rowOff>228600</xdr:rowOff>
    </xdr:to>
    <xdr:sp macro="" textlink="">
      <xdr:nvSpPr>
        <xdr:cNvPr id="171" name="Text Box 8"/>
        <xdr:cNvSpPr txBox="1">
          <a:spLocks noChangeArrowheads="1"/>
        </xdr:cNvSpPr>
      </xdr:nvSpPr>
      <xdr:spPr bwMode="auto">
        <a:xfrm>
          <a:off x="2105025" y="132302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72" name="Text Box 9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73" name="Text Box 10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74" name="Text Box 11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75" name="Text Box 12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238125</xdr:rowOff>
    </xdr:to>
    <xdr:sp macro="" textlink="">
      <xdr:nvSpPr>
        <xdr:cNvPr id="176" name="Text Box 13"/>
        <xdr:cNvSpPr txBox="1">
          <a:spLocks noChangeArrowheads="1"/>
        </xdr:cNvSpPr>
      </xdr:nvSpPr>
      <xdr:spPr bwMode="auto">
        <a:xfrm>
          <a:off x="2105025" y="129254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77" name="Text Box 14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78" name="Text Box 15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79" name="Text Box 16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80" name="Text Box 17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228600</xdr:rowOff>
    </xdr:to>
    <xdr:sp macro="" textlink="">
      <xdr:nvSpPr>
        <xdr:cNvPr id="181" name="Text Box 18"/>
        <xdr:cNvSpPr txBox="1">
          <a:spLocks noChangeArrowheads="1"/>
        </xdr:cNvSpPr>
      </xdr:nvSpPr>
      <xdr:spPr bwMode="auto">
        <a:xfrm>
          <a:off x="7448550" y="1914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82" name="Text Box 19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83" name="Text Box 20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228600</xdr:rowOff>
    </xdr:to>
    <xdr:sp macro="" textlink="">
      <xdr:nvSpPr>
        <xdr:cNvPr id="184" name="Text Box 21"/>
        <xdr:cNvSpPr txBox="1">
          <a:spLocks noChangeArrowheads="1"/>
        </xdr:cNvSpPr>
      </xdr:nvSpPr>
      <xdr:spPr bwMode="auto">
        <a:xfrm>
          <a:off x="7448550" y="1914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228600</xdr:rowOff>
    </xdr:to>
    <xdr:sp macro="" textlink="">
      <xdr:nvSpPr>
        <xdr:cNvPr id="185" name="Text Box 1"/>
        <xdr:cNvSpPr txBox="1">
          <a:spLocks noChangeArrowheads="1"/>
        </xdr:cNvSpPr>
      </xdr:nvSpPr>
      <xdr:spPr bwMode="auto">
        <a:xfrm>
          <a:off x="7448550" y="1914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86" name="Text Box 2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187" name="Text Box 3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228600</xdr:rowOff>
    </xdr:to>
    <xdr:sp macro="" textlink="">
      <xdr:nvSpPr>
        <xdr:cNvPr id="188" name="Text Box 4"/>
        <xdr:cNvSpPr txBox="1">
          <a:spLocks noChangeArrowheads="1"/>
        </xdr:cNvSpPr>
      </xdr:nvSpPr>
      <xdr:spPr bwMode="auto">
        <a:xfrm>
          <a:off x="7448550" y="1914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238125</xdr:rowOff>
    </xdr:to>
    <xdr:sp macro="" textlink="">
      <xdr:nvSpPr>
        <xdr:cNvPr id="189" name="Text Box 1"/>
        <xdr:cNvSpPr txBox="1">
          <a:spLocks noChangeArrowheads="1"/>
        </xdr:cNvSpPr>
      </xdr:nvSpPr>
      <xdr:spPr bwMode="auto">
        <a:xfrm>
          <a:off x="2105025" y="129254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90" name="Text Box 3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91" name="Text Box 4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92" name="Text Box 5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93" name="Text Box 6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38</xdr:row>
      <xdr:rowOff>28575</xdr:rowOff>
    </xdr:from>
    <xdr:to>
      <xdr:col>2</xdr:col>
      <xdr:colOff>104775</xdr:colOff>
      <xdr:row>38</xdr:row>
      <xdr:rowOff>228600</xdr:rowOff>
    </xdr:to>
    <xdr:sp macro="" textlink="">
      <xdr:nvSpPr>
        <xdr:cNvPr id="194" name="Text Box 7"/>
        <xdr:cNvSpPr txBox="1">
          <a:spLocks noChangeArrowheads="1"/>
        </xdr:cNvSpPr>
      </xdr:nvSpPr>
      <xdr:spPr bwMode="auto">
        <a:xfrm>
          <a:off x="7448550" y="132302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38</xdr:row>
      <xdr:rowOff>28575</xdr:rowOff>
    </xdr:from>
    <xdr:to>
      <xdr:col>1</xdr:col>
      <xdr:colOff>1524000</xdr:colOff>
      <xdr:row>38</xdr:row>
      <xdr:rowOff>228600</xdr:rowOff>
    </xdr:to>
    <xdr:sp macro="" textlink="">
      <xdr:nvSpPr>
        <xdr:cNvPr id="195" name="Text Box 8"/>
        <xdr:cNvSpPr txBox="1">
          <a:spLocks noChangeArrowheads="1"/>
        </xdr:cNvSpPr>
      </xdr:nvSpPr>
      <xdr:spPr bwMode="auto">
        <a:xfrm>
          <a:off x="2105025" y="132302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96" name="Text Box 9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197" name="Text Box 10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198" name="Text Box 11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199" name="Text Box 12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37</xdr:row>
      <xdr:rowOff>38100</xdr:rowOff>
    </xdr:from>
    <xdr:to>
      <xdr:col>1</xdr:col>
      <xdr:colOff>1524000</xdr:colOff>
      <xdr:row>37</xdr:row>
      <xdr:rowOff>238125</xdr:rowOff>
    </xdr:to>
    <xdr:sp macro="" textlink="">
      <xdr:nvSpPr>
        <xdr:cNvPr id="200" name="Text Box 13"/>
        <xdr:cNvSpPr txBox="1">
          <a:spLocks noChangeArrowheads="1"/>
        </xdr:cNvSpPr>
      </xdr:nvSpPr>
      <xdr:spPr bwMode="auto">
        <a:xfrm>
          <a:off x="2105025" y="129254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201" name="Text Box 14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38100</xdr:rowOff>
    </xdr:from>
    <xdr:to>
      <xdr:col>1</xdr:col>
      <xdr:colOff>1524000</xdr:colOff>
      <xdr:row>42</xdr:row>
      <xdr:rowOff>238125</xdr:rowOff>
    </xdr:to>
    <xdr:sp macro="" textlink="">
      <xdr:nvSpPr>
        <xdr:cNvPr id="202" name="Text Box 15"/>
        <xdr:cNvSpPr txBox="1">
          <a:spLocks noChangeArrowheads="1"/>
        </xdr:cNvSpPr>
      </xdr:nvSpPr>
      <xdr:spPr bwMode="auto">
        <a:xfrm>
          <a:off x="2105025" y="144970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42</xdr:row>
      <xdr:rowOff>28575</xdr:rowOff>
    </xdr:from>
    <xdr:to>
      <xdr:col>1</xdr:col>
      <xdr:colOff>1524000</xdr:colOff>
      <xdr:row>42</xdr:row>
      <xdr:rowOff>228600</xdr:rowOff>
    </xdr:to>
    <xdr:sp macro="" textlink="">
      <xdr:nvSpPr>
        <xdr:cNvPr id="203" name="Text Box 16"/>
        <xdr:cNvSpPr txBox="1">
          <a:spLocks noChangeArrowheads="1"/>
        </xdr:cNvSpPr>
      </xdr:nvSpPr>
      <xdr:spPr bwMode="auto">
        <a:xfrm>
          <a:off x="2105025" y="14487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42</xdr:row>
      <xdr:rowOff>28575</xdr:rowOff>
    </xdr:from>
    <xdr:to>
      <xdr:col>2</xdr:col>
      <xdr:colOff>104775</xdr:colOff>
      <xdr:row>42</xdr:row>
      <xdr:rowOff>228600</xdr:rowOff>
    </xdr:to>
    <xdr:sp macro="" textlink="">
      <xdr:nvSpPr>
        <xdr:cNvPr id="204" name="Text Box 17"/>
        <xdr:cNvSpPr txBox="1">
          <a:spLocks noChangeArrowheads="1"/>
        </xdr:cNvSpPr>
      </xdr:nvSpPr>
      <xdr:spPr bwMode="auto">
        <a:xfrm>
          <a:off x="7448550" y="14487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228600</xdr:rowOff>
    </xdr:to>
    <xdr:sp macro="" textlink="">
      <xdr:nvSpPr>
        <xdr:cNvPr id="205" name="Text Box 18"/>
        <xdr:cNvSpPr txBox="1">
          <a:spLocks noChangeArrowheads="1"/>
        </xdr:cNvSpPr>
      </xdr:nvSpPr>
      <xdr:spPr bwMode="auto">
        <a:xfrm>
          <a:off x="7448550" y="1914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206" name="Text Box 19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207" name="Text Box 20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104775</xdr:colOff>
      <xdr:row>2</xdr:row>
      <xdr:rowOff>228600</xdr:rowOff>
    </xdr:to>
    <xdr:sp macro="" textlink="">
      <xdr:nvSpPr>
        <xdr:cNvPr id="208" name="Text Box 21"/>
        <xdr:cNvSpPr txBox="1">
          <a:spLocks noChangeArrowheads="1"/>
        </xdr:cNvSpPr>
      </xdr:nvSpPr>
      <xdr:spPr bwMode="auto">
        <a:xfrm>
          <a:off x="7448550" y="1914525"/>
          <a:ext cx="1047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228600</xdr:rowOff>
    </xdr:to>
    <xdr:sp macro="" textlink="">
      <xdr:nvSpPr>
        <xdr:cNvPr id="209" name="Text Box 1"/>
        <xdr:cNvSpPr txBox="1">
          <a:spLocks noChangeArrowheads="1"/>
        </xdr:cNvSpPr>
      </xdr:nvSpPr>
      <xdr:spPr bwMode="auto">
        <a:xfrm>
          <a:off x="7448550" y="1914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210" name="Text Box 2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1524000</xdr:colOff>
      <xdr:row>2</xdr:row>
      <xdr:rowOff>28575</xdr:rowOff>
    </xdr:from>
    <xdr:to>
      <xdr:col>1</xdr:col>
      <xdr:colOff>1524000</xdr:colOff>
      <xdr:row>2</xdr:row>
      <xdr:rowOff>228600</xdr:rowOff>
    </xdr:to>
    <xdr:sp macro="" textlink="">
      <xdr:nvSpPr>
        <xdr:cNvPr id="211" name="Text Box 3"/>
        <xdr:cNvSpPr txBox="1">
          <a:spLocks noChangeArrowheads="1"/>
        </xdr:cNvSpPr>
      </xdr:nvSpPr>
      <xdr:spPr bwMode="auto">
        <a:xfrm>
          <a:off x="2105025" y="1914525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28575</xdr:rowOff>
    </xdr:from>
    <xdr:to>
      <xdr:col>2</xdr:col>
      <xdr:colOff>76200</xdr:colOff>
      <xdr:row>2</xdr:row>
      <xdr:rowOff>228600</xdr:rowOff>
    </xdr:to>
    <xdr:sp macro="" textlink="">
      <xdr:nvSpPr>
        <xdr:cNvPr id="212" name="Text Box 4"/>
        <xdr:cNvSpPr txBox="1">
          <a:spLocks noChangeArrowheads="1"/>
        </xdr:cNvSpPr>
      </xdr:nvSpPr>
      <xdr:spPr bwMode="auto">
        <a:xfrm>
          <a:off x="7448550" y="19145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55"/>
  <sheetViews>
    <sheetView tabSelected="1" zoomScaleNormal="100" workbookViewId="0">
      <selection activeCell="B6" sqref="B6"/>
    </sheetView>
  </sheetViews>
  <sheetFormatPr defaultRowHeight="22.5" customHeight="1"/>
  <cols>
    <col min="1" max="1" width="8.7109375" style="6" customWidth="1"/>
    <col min="2" max="2" width="103" style="1" customWidth="1"/>
    <col min="3" max="3" width="10.42578125" style="6" customWidth="1"/>
    <col min="4" max="4" width="11.5703125" style="6" customWidth="1"/>
    <col min="5" max="5" width="23.140625" style="6" customWidth="1"/>
    <col min="6" max="6" width="35.85546875" style="8" customWidth="1"/>
    <col min="7" max="256" width="9.140625" style="1"/>
    <col min="257" max="257" width="8.7109375" style="1" customWidth="1"/>
    <col min="258" max="258" width="103" style="1" customWidth="1"/>
    <col min="259" max="259" width="10.42578125" style="1" customWidth="1"/>
    <col min="260" max="260" width="11.5703125" style="1" customWidth="1"/>
    <col min="261" max="261" width="19.140625" style="1" customWidth="1"/>
    <col min="262" max="262" width="23" style="1" customWidth="1"/>
    <col min="263" max="512" width="9.140625" style="1"/>
    <col min="513" max="513" width="8.7109375" style="1" customWidth="1"/>
    <col min="514" max="514" width="103" style="1" customWidth="1"/>
    <col min="515" max="515" width="10.42578125" style="1" customWidth="1"/>
    <col min="516" max="516" width="11.5703125" style="1" customWidth="1"/>
    <col min="517" max="517" width="19.140625" style="1" customWidth="1"/>
    <col min="518" max="518" width="23" style="1" customWidth="1"/>
    <col min="519" max="768" width="9.140625" style="1"/>
    <col min="769" max="769" width="8.7109375" style="1" customWidth="1"/>
    <col min="770" max="770" width="103" style="1" customWidth="1"/>
    <col min="771" max="771" width="10.42578125" style="1" customWidth="1"/>
    <col min="772" max="772" width="11.5703125" style="1" customWidth="1"/>
    <col min="773" max="773" width="19.140625" style="1" customWidth="1"/>
    <col min="774" max="774" width="23" style="1" customWidth="1"/>
    <col min="775" max="1024" width="9.140625" style="1"/>
    <col min="1025" max="1025" width="8.7109375" style="1" customWidth="1"/>
    <col min="1026" max="1026" width="103" style="1" customWidth="1"/>
    <col min="1027" max="1027" width="10.42578125" style="1" customWidth="1"/>
    <col min="1028" max="1028" width="11.5703125" style="1" customWidth="1"/>
    <col min="1029" max="1029" width="19.140625" style="1" customWidth="1"/>
    <col min="1030" max="1030" width="23" style="1" customWidth="1"/>
    <col min="1031" max="1280" width="9.140625" style="1"/>
    <col min="1281" max="1281" width="8.7109375" style="1" customWidth="1"/>
    <col min="1282" max="1282" width="103" style="1" customWidth="1"/>
    <col min="1283" max="1283" width="10.42578125" style="1" customWidth="1"/>
    <col min="1284" max="1284" width="11.5703125" style="1" customWidth="1"/>
    <col min="1285" max="1285" width="19.140625" style="1" customWidth="1"/>
    <col min="1286" max="1286" width="23" style="1" customWidth="1"/>
    <col min="1287" max="1536" width="9.140625" style="1"/>
    <col min="1537" max="1537" width="8.7109375" style="1" customWidth="1"/>
    <col min="1538" max="1538" width="103" style="1" customWidth="1"/>
    <col min="1539" max="1539" width="10.42578125" style="1" customWidth="1"/>
    <col min="1540" max="1540" width="11.5703125" style="1" customWidth="1"/>
    <col min="1541" max="1541" width="19.140625" style="1" customWidth="1"/>
    <col min="1542" max="1542" width="23" style="1" customWidth="1"/>
    <col min="1543" max="1792" width="9.140625" style="1"/>
    <col min="1793" max="1793" width="8.7109375" style="1" customWidth="1"/>
    <col min="1794" max="1794" width="103" style="1" customWidth="1"/>
    <col min="1795" max="1795" width="10.42578125" style="1" customWidth="1"/>
    <col min="1796" max="1796" width="11.5703125" style="1" customWidth="1"/>
    <col min="1797" max="1797" width="19.140625" style="1" customWidth="1"/>
    <col min="1798" max="1798" width="23" style="1" customWidth="1"/>
    <col min="1799" max="2048" width="9.140625" style="1"/>
    <col min="2049" max="2049" width="8.7109375" style="1" customWidth="1"/>
    <col min="2050" max="2050" width="103" style="1" customWidth="1"/>
    <col min="2051" max="2051" width="10.42578125" style="1" customWidth="1"/>
    <col min="2052" max="2052" width="11.5703125" style="1" customWidth="1"/>
    <col min="2053" max="2053" width="19.140625" style="1" customWidth="1"/>
    <col min="2054" max="2054" width="23" style="1" customWidth="1"/>
    <col min="2055" max="2304" width="9.140625" style="1"/>
    <col min="2305" max="2305" width="8.7109375" style="1" customWidth="1"/>
    <col min="2306" max="2306" width="103" style="1" customWidth="1"/>
    <col min="2307" max="2307" width="10.42578125" style="1" customWidth="1"/>
    <col min="2308" max="2308" width="11.5703125" style="1" customWidth="1"/>
    <col min="2309" max="2309" width="19.140625" style="1" customWidth="1"/>
    <col min="2310" max="2310" width="23" style="1" customWidth="1"/>
    <col min="2311" max="2560" width="9.140625" style="1"/>
    <col min="2561" max="2561" width="8.7109375" style="1" customWidth="1"/>
    <col min="2562" max="2562" width="103" style="1" customWidth="1"/>
    <col min="2563" max="2563" width="10.42578125" style="1" customWidth="1"/>
    <col min="2564" max="2564" width="11.5703125" style="1" customWidth="1"/>
    <col min="2565" max="2565" width="19.140625" style="1" customWidth="1"/>
    <col min="2566" max="2566" width="23" style="1" customWidth="1"/>
    <col min="2567" max="2816" width="9.140625" style="1"/>
    <col min="2817" max="2817" width="8.7109375" style="1" customWidth="1"/>
    <col min="2818" max="2818" width="103" style="1" customWidth="1"/>
    <col min="2819" max="2819" width="10.42578125" style="1" customWidth="1"/>
    <col min="2820" max="2820" width="11.5703125" style="1" customWidth="1"/>
    <col min="2821" max="2821" width="19.140625" style="1" customWidth="1"/>
    <col min="2822" max="2822" width="23" style="1" customWidth="1"/>
    <col min="2823" max="3072" width="9.140625" style="1"/>
    <col min="3073" max="3073" width="8.7109375" style="1" customWidth="1"/>
    <col min="3074" max="3074" width="103" style="1" customWidth="1"/>
    <col min="3075" max="3075" width="10.42578125" style="1" customWidth="1"/>
    <col min="3076" max="3076" width="11.5703125" style="1" customWidth="1"/>
    <col min="3077" max="3077" width="19.140625" style="1" customWidth="1"/>
    <col min="3078" max="3078" width="23" style="1" customWidth="1"/>
    <col min="3079" max="3328" width="9.140625" style="1"/>
    <col min="3329" max="3329" width="8.7109375" style="1" customWidth="1"/>
    <col min="3330" max="3330" width="103" style="1" customWidth="1"/>
    <col min="3331" max="3331" width="10.42578125" style="1" customWidth="1"/>
    <col min="3332" max="3332" width="11.5703125" style="1" customWidth="1"/>
    <col min="3333" max="3333" width="19.140625" style="1" customWidth="1"/>
    <col min="3334" max="3334" width="23" style="1" customWidth="1"/>
    <col min="3335" max="3584" width="9.140625" style="1"/>
    <col min="3585" max="3585" width="8.7109375" style="1" customWidth="1"/>
    <col min="3586" max="3586" width="103" style="1" customWidth="1"/>
    <col min="3587" max="3587" width="10.42578125" style="1" customWidth="1"/>
    <col min="3588" max="3588" width="11.5703125" style="1" customWidth="1"/>
    <col min="3589" max="3589" width="19.140625" style="1" customWidth="1"/>
    <col min="3590" max="3590" width="23" style="1" customWidth="1"/>
    <col min="3591" max="3840" width="9.140625" style="1"/>
    <col min="3841" max="3841" width="8.7109375" style="1" customWidth="1"/>
    <col min="3842" max="3842" width="103" style="1" customWidth="1"/>
    <col min="3843" max="3843" width="10.42578125" style="1" customWidth="1"/>
    <col min="3844" max="3844" width="11.5703125" style="1" customWidth="1"/>
    <col min="3845" max="3845" width="19.140625" style="1" customWidth="1"/>
    <col min="3846" max="3846" width="23" style="1" customWidth="1"/>
    <col min="3847" max="4096" width="9.140625" style="1"/>
    <col min="4097" max="4097" width="8.7109375" style="1" customWidth="1"/>
    <col min="4098" max="4098" width="103" style="1" customWidth="1"/>
    <col min="4099" max="4099" width="10.42578125" style="1" customWidth="1"/>
    <col min="4100" max="4100" width="11.5703125" style="1" customWidth="1"/>
    <col min="4101" max="4101" width="19.140625" style="1" customWidth="1"/>
    <col min="4102" max="4102" width="23" style="1" customWidth="1"/>
    <col min="4103" max="4352" width="9.140625" style="1"/>
    <col min="4353" max="4353" width="8.7109375" style="1" customWidth="1"/>
    <col min="4354" max="4354" width="103" style="1" customWidth="1"/>
    <col min="4355" max="4355" width="10.42578125" style="1" customWidth="1"/>
    <col min="4356" max="4356" width="11.5703125" style="1" customWidth="1"/>
    <col min="4357" max="4357" width="19.140625" style="1" customWidth="1"/>
    <col min="4358" max="4358" width="23" style="1" customWidth="1"/>
    <col min="4359" max="4608" width="9.140625" style="1"/>
    <col min="4609" max="4609" width="8.7109375" style="1" customWidth="1"/>
    <col min="4610" max="4610" width="103" style="1" customWidth="1"/>
    <col min="4611" max="4611" width="10.42578125" style="1" customWidth="1"/>
    <col min="4612" max="4612" width="11.5703125" style="1" customWidth="1"/>
    <col min="4613" max="4613" width="19.140625" style="1" customWidth="1"/>
    <col min="4614" max="4614" width="23" style="1" customWidth="1"/>
    <col min="4615" max="4864" width="9.140625" style="1"/>
    <col min="4865" max="4865" width="8.7109375" style="1" customWidth="1"/>
    <col min="4866" max="4866" width="103" style="1" customWidth="1"/>
    <col min="4867" max="4867" width="10.42578125" style="1" customWidth="1"/>
    <col min="4868" max="4868" width="11.5703125" style="1" customWidth="1"/>
    <col min="4869" max="4869" width="19.140625" style="1" customWidth="1"/>
    <col min="4870" max="4870" width="23" style="1" customWidth="1"/>
    <col min="4871" max="5120" width="9.140625" style="1"/>
    <col min="5121" max="5121" width="8.7109375" style="1" customWidth="1"/>
    <col min="5122" max="5122" width="103" style="1" customWidth="1"/>
    <col min="5123" max="5123" width="10.42578125" style="1" customWidth="1"/>
    <col min="5124" max="5124" width="11.5703125" style="1" customWidth="1"/>
    <col min="5125" max="5125" width="19.140625" style="1" customWidth="1"/>
    <col min="5126" max="5126" width="23" style="1" customWidth="1"/>
    <col min="5127" max="5376" width="9.140625" style="1"/>
    <col min="5377" max="5377" width="8.7109375" style="1" customWidth="1"/>
    <col min="5378" max="5378" width="103" style="1" customWidth="1"/>
    <col min="5379" max="5379" width="10.42578125" style="1" customWidth="1"/>
    <col min="5380" max="5380" width="11.5703125" style="1" customWidth="1"/>
    <col min="5381" max="5381" width="19.140625" style="1" customWidth="1"/>
    <col min="5382" max="5382" width="23" style="1" customWidth="1"/>
    <col min="5383" max="5632" width="9.140625" style="1"/>
    <col min="5633" max="5633" width="8.7109375" style="1" customWidth="1"/>
    <col min="5634" max="5634" width="103" style="1" customWidth="1"/>
    <col min="5635" max="5635" width="10.42578125" style="1" customWidth="1"/>
    <col min="5636" max="5636" width="11.5703125" style="1" customWidth="1"/>
    <col min="5637" max="5637" width="19.140625" style="1" customWidth="1"/>
    <col min="5638" max="5638" width="23" style="1" customWidth="1"/>
    <col min="5639" max="5888" width="9.140625" style="1"/>
    <col min="5889" max="5889" width="8.7109375" style="1" customWidth="1"/>
    <col min="5890" max="5890" width="103" style="1" customWidth="1"/>
    <col min="5891" max="5891" width="10.42578125" style="1" customWidth="1"/>
    <col min="5892" max="5892" width="11.5703125" style="1" customWidth="1"/>
    <col min="5893" max="5893" width="19.140625" style="1" customWidth="1"/>
    <col min="5894" max="5894" width="23" style="1" customWidth="1"/>
    <col min="5895" max="6144" width="9.140625" style="1"/>
    <col min="6145" max="6145" width="8.7109375" style="1" customWidth="1"/>
    <col min="6146" max="6146" width="103" style="1" customWidth="1"/>
    <col min="6147" max="6147" width="10.42578125" style="1" customWidth="1"/>
    <col min="6148" max="6148" width="11.5703125" style="1" customWidth="1"/>
    <col min="6149" max="6149" width="19.140625" style="1" customWidth="1"/>
    <col min="6150" max="6150" width="23" style="1" customWidth="1"/>
    <col min="6151" max="6400" width="9.140625" style="1"/>
    <col min="6401" max="6401" width="8.7109375" style="1" customWidth="1"/>
    <col min="6402" max="6402" width="103" style="1" customWidth="1"/>
    <col min="6403" max="6403" width="10.42578125" style="1" customWidth="1"/>
    <col min="6404" max="6404" width="11.5703125" style="1" customWidth="1"/>
    <col min="6405" max="6405" width="19.140625" style="1" customWidth="1"/>
    <col min="6406" max="6406" width="23" style="1" customWidth="1"/>
    <col min="6407" max="6656" width="9.140625" style="1"/>
    <col min="6657" max="6657" width="8.7109375" style="1" customWidth="1"/>
    <col min="6658" max="6658" width="103" style="1" customWidth="1"/>
    <col min="6659" max="6659" width="10.42578125" style="1" customWidth="1"/>
    <col min="6660" max="6660" width="11.5703125" style="1" customWidth="1"/>
    <col min="6661" max="6661" width="19.140625" style="1" customWidth="1"/>
    <col min="6662" max="6662" width="23" style="1" customWidth="1"/>
    <col min="6663" max="6912" width="9.140625" style="1"/>
    <col min="6913" max="6913" width="8.7109375" style="1" customWidth="1"/>
    <col min="6914" max="6914" width="103" style="1" customWidth="1"/>
    <col min="6915" max="6915" width="10.42578125" style="1" customWidth="1"/>
    <col min="6916" max="6916" width="11.5703125" style="1" customWidth="1"/>
    <col min="6917" max="6917" width="19.140625" style="1" customWidth="1"/>
    <col min="6918" max="6918" width="23" style="1" customWidth="1"/>
    <col min="6919" max="7168" width="9.140625" style="1"/>
    <col min="7169" max="7169" width="8.7109375" style="1" customWidth="1"/>
    <col min="7170" max="7170" width="103" style="1" customWidth="1"/>
    <col min="7171" max="7171" width="10.42578125" style="1" customWidth="1"/>
    <col min="7172" max="7172" width="11.5703125" style="1" customWidth="1"/>
    <col min="7173" max="7173" width="19.140625" style="1" customWidth="1"/>
    <col min="7174" max="7174" width="23" style="1" customWidth="1"/>
    <col min="7175" max="7424" width="9.140625" style="1"/>
    <col min="7425" max="7425" width="8.7109375" style="1" customWidth="1"/>
    <col min="7426" max="7426" width="103" style="1" customWidth="1"/>
    <col min="7427" max="7427" width="10.42578125" style="1" customWidth="1"/>
    <col min="7428" max="7428" width="11.5703125" style="1" customWidth="1"/>
    <col min="7429" max="7429" width="19.140625" style="1" customWidth="1"/>
    <col min="7430" max="7430" width="23" style="1" customWidth="1"/>
    <col min="7431" max="7680" width="9.140625" style="1"/>
    <col min="7681" max="7681" width="8.7109375" style="1" customWidth="1"/>
    <col min="7682" max="7682" width="103" style="1" customWidth="1"/>
    <col min="7683" max="7683" width="10.42578125" style="1" customWidth="1"/>
    <col min="7684" max="7684" width="11.5703125" style="1" customWidth="1"/>
    <col min="7685" max="7685" width="19.140625" style="1" customWidth="1"/>
    <col min="7686" max="7686" width="23" style="1" customWidth="1"/>
    <col min="7687" max="7936" width="9.140625" style="1"/>
    <col min="7937" max="7937" width="8.7109375" style="1" customWidth="1"/>
    <col min="7938" max="7938" width="103" style="1" customWidth="1"/>
    <col min="7939" max="7939" width="10.42578125" style="1" customWidth="1"/>
    <col min="7940" max="7940" width="11.5703125" style="1" customWidth="1"/>
    <col min="7941" max="7941" width="19.140625" style="1" customWidth="1"/>
    <col min="7942" max="7942" width="23" style="1" customWidth="1"/>
    <col min="7943" max="8192" width="9.140625" style="1"/>
    <col min="8193" max="8193" width="8.7109375" style="1" customWidth="1"/>
    <col min="8194" max="8194" width="103" style="1" customWidth="1"/>
    <col min="8195" max="8195" width="10.42578125" style="1" customWidth="1"/>
    <col min="8196" max="8196" width="11.5703125" style="1" customWidth="1"/>
    <col min="8197" max="8197" width="19.140625" style="1" customWidth="1"/>
    <col min="8198" max="8198" width="23" style="1" customWidth="1"/>
    <col min="8199" max="8448" width="9.140625" style="1"/>
    <col min="8449" max="8449" width="8.7109375" style="1" customWidth="1"/>
    <col min="8450" max="8450" width="103" style="1" customWidth="1"/>
    <col min="8451" max="8451" width="10.42578125" style="1" customWidth="1"/>
    <col min="8452" max="8452" width="11.5703125" style="1" customWidth="1"/>
    <col min="8453" max="8453" width="19.140625" style="1" customWidth="1"/>
    <col min="8454" max="8454" width="23" style="1" customWidth="1"/>
    <col min="8455" max="8704" width="9.140625" style="1"/>
    <col min="8705" max="8705" width="8.7109375" style="1" customWidth="1"/>
    <col min="8706" max="8706" width="103" style="1" customWidth="1"/>
    <col min="8707" max="8707" width="10.42578125" style="1" customWidth="1"/>
    <col min="8708" max="8708" width="11.5703125" style="1" customWidth="1"/>
    <col min="8709" max="8709" width="19.140625" style="1" customWidth="1"/>
    <col min="8710" max="8710" width="23" style="1" customWidth="1"/>
    <col min="8711" max="8960" width="9.140625" style="1"/>
    <col min="8961" max="8961" width="8.7109375" style="1" customWidth="1"/>
    <col min="8962" max="8962" width="103" style="1" customWidth="1"/>
    <col min="8963" max="8963" width="10.42578125" style="1" customWidth="1"/>
    <col min="8964" max="8964" width="11.5703125" style="1" customWidth="1"/>
    <col min="8965" max="8965" width="19.140625" style="1" customWidth="1"/>
    <col min="8966" max="8966" width="23" style="1" customWidth="1"/>
    <col min="8967" max="9216" width="9.140625" style="1"/>
    <col min="9217" max="9217" width="8.7109375" style="1" customWidth="1"/>
    <col min="9218" max="9218" width="103" style="1" customWidth="1"/>
    <col min="9219" max="9219" width="10.42578125" style="1" customWidth="1"/>
    <col min="9220" max="9220" width="11.5703125" style="1" customWidth="1"/>
    <col min="9221" max="9221" width="19.140625" style="1" customWidth="1"/>
    <col min="9222" max="9222" width="23" style="1" customWidth="1"/>
    <col min="9223" max="9472" width="9.140625" style="1"/>
    <col min="9473" max="9473" width="8.7109375" style="1" customWidth="1"/>
    <col min="9474" max="9474" width="103" style="1" customWidth="1"/>
    <col min="9475" max="9475" width="10.42578125" style="1" customWidth="1"/>
    <col min="9476" max="9476" width="11.5703125" style="1" customWidth="1"/>
    <col min="9477" max="9477" width="19.140625" style="1" customWidth="1"/>
    <col min="9478" max="9478" width="23" style="1" customWidth="1"/>
    <col min="9479" max="9728" width="9.140625" style="1"/>
    <col min="9729" max="9729" width="8.7109375" style="1" customWidth="1"/>
    <col min="9730" max="9730" width="103" style="1" customWidth="1"/>
    <col min="9731" max="9731" width="10.42578125" style="1" customWidth="1"/>
    <col min="9732" max="9732" width="11.5703125" style="1" customWidth="1"/>
    <col min="9733" max="9733" width="19.140625" style="1" customWidth="1"/>
    <col min="9734" max="9734" width="23" style="1" customWidth="1"/>
    <col min="9735" max="9984" width="9.140625" style="1"/>
    <col min="9985" max="9985" width="8.7109375" style="1" customWidth="1"/>
    <col min="9986" max="9986" width="103" style="1" customWidth="1"/>
    <col min="9987" max="9987" width="10.42578125" style="1" customWidth="1"/>
    <col min="9988" max="9988" width="11.5703125" style="1" customWidth="1"/>
    <col min="9989" max="9989" width="19.140625" style="1" customWidth="1"/>
    <col min="9990" max="9990" width="23" style="1" customWidth="1"/>
    <col min="9991" max="10240" width="9.140625" style="1"/>
    <col min="10241" max="10241" width="8.7109375" style="1" customWidth="1"/>
    <col min="10242" max="10242" width="103" style="1" customWidth="1"/>
    <col min="10243" max="10243" width="10.42578125" style="1" customWidth="1"/>
    <col min="10244" max="10244" width="11.5703125" style="1" customWidth="1"/>
    <col min="10245" max="10245" width="19.140625" style="1" customWidth="1"/>
    <col min="10246" max="10246" width="23" style="1" customWidth="1"/>
    <col min="10247" max="10496" width="9.140625" style="1"/>
    <col min="10497" max="10497" width="8.7109375" style="1" customWidth="1"/>
    <col min="10498" max="10498" width="103" style="1" customWidth="1"/>
    <col min="10499" max="10499" width="10.42578125" style="1" customWidth="1"/>
    <col min="10500" max="10500" width="11.5703125" style="1" customWidth="1"/>
    <col min="10501" max="10501" width="19.140625" style="1" customWidth="1"/>
    <col min="10502" max="10502" width="23" style="1" customWidth="1"/>
    <col min="10503" max="10752" width="9.140625" style="1"/>
    <col min="10753" max="10753" width="8.7109375" style="1" customWidth="1"/>
    <col min="10754" max="10754" width="103" style="1" customWidth="1"/>
    <col min="10755" max="10755" width="10.42578125" style="1" customWidth="1"/>
    <col min="10756" max="10756" width="11.5703125" style="1" customWidth="1"/>
    <col min="10757" max="10757" width="19.140625" style="1" customWidth="1"/>
    <col min="10758" max="10758" width="23" style="1" customWidth="1"/>
    <col min="10759" max="11008" width="9.140625" style="1"/>
    <col min="11009" max="11009" width="8.7109375" style="1" customWidth="1"/>
    <col min="11010" max="11010" width="103" style="1" customWidth="1"/>
    <col min="11011" max="11011" width="10.42578125" style="1" customWidth="1"/>
    <col min="11012" max="11012" width="11.5703125" style="1" customWidth="1"/>
    <col min="11013" max="11013" width="19.140625" style="1" customWidth="1"/>
    <col min="11014" max="11014" width="23" style="1" customWidth="1"/>
    <col min="11015" max="11264" width="9.140625" style="1"/>
    <col min="11265" max="11265" width="8.7109375" style="1" customWidth="1"/>
    <col min="11266" max="11266" width="103" style="1" customWidth="1"/>
    <col min="11267" max="11267" width="10.42578125" style="1" customWidth="1"/>
    <col min="11268" max="11268" width="11.5703125" style="1" customWidth="1"/>
    <col min="11269" max="11269" width="19.140625" style="1" customWidth="1"/>
    <col min="11270" max="11270" width="23" style="1" customWidth="1"/>
    <col min="11271" max="11520" width="9.140625" style="1"/>
    <col min="11521" max="11521" width="8.7109375" style="1" customWidth="1"/>
    <col min="11522" max="11522" width="103" style="1" customWidth="1"/>
    <col min="11523" max="11523" width="10.42578125" style="1" customWidth="1"/>
    <col min="11524" max="11524" width="11.5703125" style="1" customWidth="1"/>
    <col min="11525" max="11525" width="19.140625" style="1" customWidth="1"/>
    <col min="11526" max="11526" width="23" style="1" customWidth="1"/>
    <col min="11527" max="11776" width="9.140625" style="1"/>
    <col min="11777" max="11777" width="8.7109375" style="1" customWidth="1"/>
    <col min="11778" max="11778" width="103" style="1" customWidth="1"/>
    <col min="11779" max="11779" width="10.42578125" style="1" customWidth="1"/>
    <col min="11780" max="11780" width="11.5703125" style="1" customWidth="1"/>
    <col min="11781" max="11781" width="19.140625" style="1" customWidth="1"/>
    <col min="11782" max="11782" width="23" style="1" customWidth="1"/>
    <col min="11783" max="12032" width="9.140625" style="1"/>
    <col min="12033" max="12033" width="8.7109375" style="1" customWidth="1"/>
    <col min="12034" max="12034" width="103" style="1" customWidth="1"/>
    <col min="12035" max="12035" width="10.42578125" style="1" customWidth="1"/>
    <col min="12036" max="12036" width="11.5703125" style="1" customWidth="1"/>
    <col min="12037" max="12037" width="19.140625" style="1" customWidth="1"/>
    <col min="12038" max="12038" width="23" style="1" customWidth="1"/>
    <col min="12039" max="12288" width="9.140625" style="1"/>
    <col min="12289" max="12289" width="8.7109375" style="1" customWidth="1"/>
    <col min="12290" max="12290" width="103" style="1" customWidth="1"/>
    <col min="12291" max="12291" width="10.42578125" style="1" customWidth="1"/>
    <col min="12292" max="12292" width="11.5703125" style="1" customWidth="1"/>
    <col min="12293" max="12293" width="19.140625" style="1" customWidth="1"/>
    <col min="12294" max="12294" width="23" style="1" customWidth="1"/>
    <col min="12295" max="12544" width="9.140625" style="1"/>
    <col min="12545" max="12545" width="8.7109375" style="1" customWidth="1"/>
    <col min="12546" max="12546" width="103" style="1" customWidth="1"/>
    <col min="12547" max="12547" width="10.42578125" style="1" customWidth="1"/>
    <col min="12548" max="12548" width="11.5703125" style="1" customWidth="1"/>
    <col min="12549" max="12549" width="19.140625" style="1" customWidth="1"/>
    <col min="12550" max="12550" width="23" style="1" customWidth="1"/>
    <col min="12551" max="12800" width="9.140625" style="1"/>
    <col min="12801" max="12801" width="8.7109375" style="1" customWidth="1"/>
    <col min="12802" max="12802" width="103" style="1" customWidth="1"/>
    <col min="12803" max="12803" width="10.42578125" style="1" customWidth="1"/>
    <col min="12804" max="12804" width="11.5703125" style="1" customWidth="1"/>
    <col min="12805" max="12805" width="19.140625" style="1" customWidth="1"/>
    <col min="12806" max="12806" width="23" style="1" customWidth="1"/>
    <col min="12807" max="13056" width="9.140625" style="1"/>
    <col min="13057" max="13057" width="8.7109375" style="1" customWidth="1"/>
    <col min="13058" max="13058" width="103" style="1" customWidth="1"/>
    <col min="13059" max="13059" width="10.42578125" style="1" customWidth="1"/>
    <col min="13060" max="13060" width="11.5703125" style="1" customWidth="1"/>
    <col min="13061" max="13061" width="19.140625" style="1" customWidth="1"/>
    <col min="13062" max="13062" width="23" style="1" customWidth="1"/>
    <col min="13063" max="13312" width="9.140625" style="1"/>
    <col min="13313" max="13313" width="8.7109375" style="1" customWidth="1"/>
    <col min="13314" max="13314" width="103" style="1" customWidth="1"/>
    <col min="13315" max="13315" width="10.42578125" style="1" customWidth="1"/>
    <col min="13316" max="13316" width="11.5703125" style="1" customWidth="1"/>
    <col min="13317" max="13317" width="19.140625" style="1" customWidth="1"/>
    <col min="13318" max="13318" width="23" style="1" customWidth="1"/>
    <col min="13319" max="13568" width="9.140625" style="1"/>
    <col min="13569" max="13569" width="8.7109375" style="1" customWidth="1"/>
    <col min="13570" max="13570" width="103" style="1" customWidth="1"/>
    <col min="13571" max="13571" width="10.42578125" style="1" customWidth="1"/>
    <col min="13572" max="13572" width="11.5703125" style="1" customWidth="1"/>
    <col min="13573" max="13573" width="19.140625" style="1" customWidth="1"/>
    <col min="13574" max="13574" width="23" style="1" customWidth="1"/>
    <col min="13575" max="13824" width="9.140625" style="1"/>
    <col min="13825" max="13825" width="8.7109375" style="1" customWidth="1"/>
    <col min="13826" max="13826" width="103" style="1" customWidth="1"/>
    <col min="13827" max="13827" width="10.42578125" style="1" customWidth="1"/>
    <col min="13828" max="13828" width="11.5703125" style="1" customWidth="1"/>
    <col min="13829" max="13829" width="19.140625" style="1" customWidth="1"/>
    <col min="13830" max="13830" width="23" style="1" customWidth="1"/>
    <col min="13831" max="14080" width="9.140625" style="1"/>
    <col min="14081" max="14081" width="8.7109375" style="1" customWidth="1"/>
    <col min="14082" max="14082" width="103" style="1" customWidth="1"/>
    <col min="14083" max="14083" width="10.42578125" style="1" customWidth="1"/>
    <col min="14084" max="14084" width="11.5703125" style="1" customWidth="1"/>
    <col min="14085" max="14085" width="19.140625" style="1" customWidth="1"/>
    <col min="14086" max="14086" width="23" style="1" customWidth="1"/>
    <col min="14087" max="14336" width="9.140625" style="1"/>
    <col min="14337" max="14337" width="8.7109375" style="1" customWidth="1"/>
    <col min="14338" max="14338" width="103" style="1" customWidth="1"/>
    <col min="14339" max="14339" width="10.42578125" style="1" customWidth="1"/>
    <col min="14340" max="14340" width="11.5703125" style="1" customWidth="1"/>
    <col min="14341" max="14341" width="19.140625" style="1" customWidth="1"/>
    <col min="14342" max="14342" width="23" style="1" customWidth="1"/>
    <col min="14343" max="14592" width="9.140625" style="1"/>
    <col min="14593" max="14593" width="8.7109375" style="1" customWidth="1"/>
    <col min="14594" max="14594" width="103" style="1" customWidth="1"/>
    <col min="14595" max="14595" width="10.42578125" style="1" customWidth="1"/>
    <col min="14596" max="14596" width="11.5703125" style="1" customWidth="1"/>
    <col min="14597" max="14597" width="19.140625" style="1" customWidth="1"/>
    <col min="14598" max="14598" width="23" style="1" customWidth="1"/>
    <col min="14599" max="14848" width="9.140625" style="1"/>
    <col min="14849" max="14849" width="8.7109375" style="1" customWidth="1"/>
    <col min="14850" max="14850" width="103" style="1" customWidth="1"/>
    <col min="14851" max="14851" width="10.42578125" style="1" customWidth="1"/>
    <col min="14852" max="14852" width="11.5703125" style="1" customWidth="1"/>
    <col min="14853" max="14853" width="19.140625" style="1" customWidth="1"/>
    <col min="14854" max="14854" width="23" style="1" customWidth="1"/>
    <col min="14855" max="15104" width="9.140625" style="1"/>
    <col min="15105" max="15105" width="8.7109375" style="1" customWidth="1"/>
    <col min="15106" max="15106" width="103" style="1" customWidth="1"/>
    <col min="15107" max="15107" width="10.42578125" style="1" customWidth="1"/>
    <col min="15108" max="15108" width="11.5703125" style="1" customWidth="1"/>
    <col min="15109" max="15109" width="19.140625" style="1" customWidth="1"/>
    <col min="15110" max="15110" width="23" style="1" customWidth="1"/>
    <col min="15111" max="15360" width="9.140625" style="1"/>
    <col min="15361" max="15361" width="8.7109375" style="1" customWidth="1"/>
    <col min="15362" max="15362" width="103" style="1" customWidth="1"/>
    <col min="15363" max="15363" width="10.42578125" style="1" customWidth="1"/>
    <col min="15364" max="15364" width="11.5703125" style="1" customWidth="1"/>
    <col min="15365" max="15365" width="19.140625" style="1" customWidth="1"/>
    <col min="15366" max="15366" width="23" style="1" customWidth="1"/>
    <col min="15367" max="15616" width="9.140625" style="1"/>
    <col min="15617" max="15617" width="8.7109375" style="1" customWidth="1"/>
    <col min="15618" max="15618" width="103" style="1" customWidth="1"/>
    <col min="15619" max="15619" width="10.42578125" style="1" customWidth="1"/>
    <col min="15620" max="15620" width="11.5703125" style="1" customWidth="1"/>
    <col min="15621" max="15621" width="19.140625" style="1" customWidth="1"/>
    <col min="15622" max="15622" width="23" style="1" customWidth="1"/>
    <col min="15623" max="15872" width="9.140625" style="1"/>
    <col min="15873" max="15873" width="8.7109375" style="1" customWidth="1"/>
    <col min="15874" max="15874" width="103" style="1" customWidth="1"/>
    <col min="15875" max="15875" width="10.42578125" style="1" customWidth="1"/>
    <col min="15876" max="15876" width="11.5703125" style="1" customWidth="1"/>
    <col min="15877" max="15877" width="19.140625" style="1" customWidth="1"/>
    <col min="15878" max="15878" width="23" style="1" customWidth="1"/>
    <col min="15879" max="16128" width="9.140625" style="1"/>
    <col min="16129" max="16129" width="8.7109375" style="1" customWidth="1"/>
    <col min="16130" max="16130" width="103" style="1" customWidth="1"/>
    <col min="16131" max="16131" width="10.42578125" style="1" customWidth="1"/>
    <col min="16132" max="16132" width="11.5703125" style="1" customWidth="1"/>
    <col min="16133" max="16133" width="19.140625" style="1" customWidth="1"/>
    <col min="16134" max="16134" width="23" style="1" customWidth="1"/>
    <col min="16135" max="16384" width="9.140625" style="1"/>
  </cols>
  <sheetData>
    <row r="1" spans="1:7" s="17" customFormat="1" ht="22.5" customHeight="1">
      <c r="A1" s="12" t="s">
        <v>0</v>
      </c>
      <c r="B1" s="13" t="s">
        <v>1</v>
      </c>
      <c r="C1" s="12" t="s">
        <v>2</v>
      </c>
      <c r="D1" s="12" t="s">
        <v>155</v>
      </c>
      <c r="E1" s="14" t="s">
        <v>3</v>
      </c>
      <c r="F1" s="15" t="s">
        <v>156</v>
      </c>
      <c r="G1" s="16"/>
    </row>
    <row r="2" spans="1:7" s="17" customFormat="1" ht="22.5" customHeight="1">
      <c r="A2" s="32">
        <v>1</v>
      </c>
      <c r="B2" s="33" t="s">
        <v>4</v>
      </c>
      <c r="C2" s="34" t="s">
        <v>5</v>
      </c>
      <c r="D2" s="34">
        <v>500</v>
      </c>
      <c r="E2" s="18"/>
      <c r="F2" s="41">
        <f>E2*D2</f>
        <v>0</v>
      </c>
      <c r="G2" s="16"/>
    </row>
    <row r="3" spans="1:7" s="17" customFormat="1" ht="22.5" customHeight="1">
      <c r="A3" s="35">
        <f t="shared" ref="A3:A66" si="0">1+A2</f>
        <v>2</v>
      </c>
      <c r="B3" s="36" t="s">
        <v>6</v>
      </c>
      <c r="C3" s="37" t="s">
        <v>5</v>
      </c>
      <c r="D3" s="37">
        <v>500</v>
      </c>
      <c r="E3" s="19"/>
      <c r="F3" s="41">
        <f t="shared" ref="F3:F66" si="1">E3*D3</f>
        <v>0</v>
      </c>
      <c r="G3" s="16"/>
    </row>
    <row r="4" spans="1:7" s="17" customFormat="1" ht="22.5" customHeight="1">
      <c r="A4" s="35">
        <f t="shared" si="0"/>
        <v>3</v>
      </c>
      <c r="B4" s="36" t="s">
        <v>7</v>
      </c>
      <c r="C4" s="37" t="s">
        <v>5</v>
      </c>
      <c r="D4" s="37">
        <v>500</v>
      </c>
      <c r="E4" s="19"/>
      <c r="F4" s="41">
        <f t="shared" si="1"/>
        <v>0</v>
      </c>
      <c r="G4" s="16"/>
    </row>
    <row r="5" spans="1:7" s="17" customFormat="1" ht="22.5" customHeight="1">
      <c r="A5" s="35">
        <f t="shared" si="0"/>
        <v>4</v>
      </c>
      <c r="B5" s="36" t="s">
        <v>158</v>
      </c>
      <c r="C5" s="37" t="s">
        <v>5</v>
      </c>
      <c r="D5" s="37">
        <v>250</v>
      </c>
      <c r="E5" s="19"/>
      <c r="F5" s="41">
        <f t="shared" si="1"/>
        <v>0</v>
      </c>
      <c r="G5" s="16"/>
    </row>
    <row r="6" spans="1:7" s="17" customFormat="1" ht="22.5" customHeight="1">
      <c r="A6" s="35">
        <f t="shared" si="0"/>
        <v>5</v>
      </c>
      <c r="B6" s="36" t="s">
        <v>8</v>
      </c>
      <c r="C6" s="37" t="s">
        <v>9</v>
      </c>
      <c r="D6" s="37">
        <v>500</v>
      </c>
      <c r="E6" s="19"/>
      <c r="F6" s="41">
        <f t="shared" si="1"/>
        <v>0</v>
      </c>
      <c r="G6" s="16"/>
    </row>
    <row r="7" spans="1:7" s="17" customFormat="1" ht="22.5" customHeight="1">
      <c r="A7" s="35">
        <f t="shared" si="0"/>
        <v>6</v>
      </c>
      <c r="B7" s="36" t="s">
        <v>10</v>
      </c>
      <c r="C7" s="37" t="s">
        <v>11</v>
      </c>
      <c r="D7" s="37">
        <v>1000</v>
      </c>
      <c r="E7" s="19"/>
      <c r="F7" s="41">
        <f t="shared" si="1"/>
        <v>0</v>
      </c>
      <c r="G7" s="16"/>
    </row>
    <row r="8" spans="1:7" s="17" customFormat="1" ht="22.5" customHeight="1">
      <c r="A8" s="35">
        <f t="shared" si="0"/>
        <v>7</v>
      </c>
      <c r="B8" s="36" t="s">
        <v>12</v>
      </c>
      <c r="C8" s="37" t="s">
        <v>13</v>
      </c>
      <c r="D8" s="37">
        <v>1000</v>
      </c>
      <c r="E8" s="19"/>
      <c r="F8" s="41">
        <f t="shared" si="1"/>
        <v>0</v>
      </c>
      <c r="G8" s="16"/>
    </row>
    <row r="9" spans="1:7" s="17" customFormat="1" ht="22.5" customHeight="1">
      <c r="A9" s="35">
        <f t="shared" si="0"/>
        <v>8</v>
      </c>
      <c r="B9" s="36" t="s">
        <v>14</v>
      </c>
      <c r="C9" s="37" t="s">
        <v>13</v>
      </c>
      <c r="D9" s="37">
        <v>5000</v>
      </c>
      <c r="E9" s="19"/>
      <c r="F9" s="41">
        <f t="shared" si="1"/>
        <v>0</v>
      </c>
      <c r="G9" s="16"/>
    </row>
    <row r="10" spans="1:7" s="17" customFormat="1" ht="22.5" customHeight="1">
      <c r="A10" s="35">
        <f t="shared" si="0"/>
        <v>9</v>
      </c>
      <c r="B10" s="36" t="s">
        <v>15</v>
      </c>
      <c r="C10" s="37" t="s">
        <v>16</v>
      </c>
      <c r="D10" s="37">
        <v>4000</v>
      </c>
      <c r="E10" s="19"/>
      <c r="F10" s="41">
        <f t="shared" si="1"/>
        <v>0</v>
      </c>
      <c r="G10" s="16"/>
    </row>
    <row r="11" spans="1:7" s="17" customFormat="1" ht="22.5" customHeight="1">
      <c r="A11" s="35">
        <f t="shared" si="0"/>
        <v>10</v>
      </c>
      <c r="B11" s="36" t="s">
        <v>17</v>
      </c>
      <c r="C11" s="37" t="s">
        <v>16</v>
      </c>
      <c r="D11" s="37">
        <v>1000</v>
      </c>
      <c r="E11" s="19"/>
      <c r="F11" s="41">
        <f t="shared" si="1"/>
        <v>0</v>
      </c>
      <c r="G11" s="16"/>
    </row>
    <row r="12" spans="1:7" s="17" customFormat="1" ht="22.5" customHeight="1">
      <c r="A12" s="35">
        <f t="shared" si="0"/>
        <v>11</v>
      </c>
      <c r="B12" s="36" t="s">
        <v>18</v>
      </c>
      <c r="C12" s="37" t="s">
        <v>16</v>
      </c>
      <c r="D12" s="37">
        <v>1000</v>
      </c>
      <c r="E12" s="19"/>
      <c r="F12" s="41">
        <f t="shared" si="1"/>
        <v>0</v>
      </c>
      <c r="G12" s="16"/>
    </row>
    <row r="13" spans="1:7" s="17" customFormat="1" ht="22.5" customHeight="1">
      <c r="A13" s="35">
        <f t="shared" si="0"/>
        <v>12</v>
      </c>
      <c r="B13" s="36" t="s">
        <v>19</v>
      </c>
      <c r="C13" s="37" t="s">
        <v>16</v>
      </c>
      <c r="D13" s="37">
        <v>50</v>
      </c>
      <c r="E13" s="19"/>
      <c r="F13" s="41">
        <f t="shared" si="1"/>
        <v>0</v>
      </c>
      <c r="G13" s="16"/>
    </row>
    <row r="14" spans="1:7" s="17" customFormat="1" ht="22.5" customHeight="1">
      <c r="A14" s="35">
        <f t="shared" si="0"/>
        <v>13</v>
      </c>
      <c r="B14" s="36" t="s">
        <v>20</v>
      </c>
      <c r="C14" s="37" t="s">
        <v>16</v>
      </c>
      <c r="D14" s="37">
        <v>50</v>
      </c>
      <c r="E14" s="19"/>
      <c r="F14" s="41">
        <f t="shared" si="1"/>
        <v>0</v>
      </c>
      <c r="G14" s="16"/>
    </row>
    <row r="15" spans="1:7" s="17" customFormat="1" ht="22.5" customHeight="1">
      <c r="A15" s="35">
        <f t="shared" si="0"/>
        <v>14</v>
      </c>
      <c r="B15" s="36" t="s">
        <v>21</v>
      </c>
      <c r="C15" s="37" t="s">
        <v>16</v>
      </c>
      <c r="D15" s="37">
        <v>50</v>
      </c>
      <c r="E15" s="20"/>
      <c r="F15" s="41">
        <f t="shared" si="1"/>
        <v>0</v>
      </c>
      <c r="G15" s="16"/>
    </row>
    <row r="16" spans="1:7" s="17" customFormat="1" ht="22.5" customHeight="1">
      <c r="A16" s="35">
        <f t="shared" si="0"/>
        <v>15</v>
      </c>
      <c r="B16" s="36" t="s">
        <v>22</v>
      </c>
      <c r="C16" s="37" t="s">
        <v>16</v>
      </c>
      <c r="D16" s="37">
        <v>100</v>
      </c>
      <c r="E16" s="20"/>
      <c r="F16" s="41">
        <f t="shared" si="1"/>
        <v>0</v>
      </c>
      <c r="G16" s="16"/>
    </row>
    <row r="17" spans="1:7" s="17" customFormat="1" ht="22.5" customHeight="1">
      <c r="A17" s="35">
        <f t="shared" si="0"/>
        <v>16</v>
      </c>
      <c r="B17" s="36" t="s">
        <v>23</v>
      </c>
      <c r="C17" s="37" t="s">
        <v>16</v>
      </c>
      <c r="D17" s="37">
        <v>250</v>
      </c>
      <c r="E17" s="19"/>
      <c r="F17" s="41">
        <f t="shared" si="1"/>
        <v>0</v>
      </c>
      <c r="G17" s="16"/>
    </row>
    <row r="18" spans="1:7" s="17" customFormat="1" ht="22.5" customHeight="1">
      <c r="A18" s="35">
        <f t="shared" si="0"/>
        <v>17</v>
      </c>
      <c r="B18" s="36" t="s">
        <v>24</v>
      </c>
      <c r="C18" s="37" t="s">
        <v>11</v>
      </c>
      <c r="D18" s="37">
        <v>1000</v>
      </c>
      <c r="E18" s="19"/>
      <c r="F18" s="41">
        <f t="shared" si="1"/>
        <v>0</v>
      </c>
      <c r="G18" s="16"/>
    </row>
    <row r="19" spans="1:7" s="17" customFormat="1" ht="22.5" customHeight="1">
      <c r="A19" s="35">
        <f t="shared" si="0"/>
        <v>18</v>
      </c>
      <c r="B19" s="36" t="s">
        <v>25</v>
      </c>
      <c r="C19" s="37" t="s">
        <v>11</v>
      </c>
      <c r="D19" s="37">
        <v>1000</v>
      </c>
      <c r="E19" s="19"/>
      <c r="F19" s="41">
        <f t="shared" si="1"/>
        <v>0</v>
      </c>
      <c r="G19" s="16"/>
    </row>
    <row r="20" spans="1:7" s="17" customFormat="1" ht="22.5" customHeight="1">
      <c r="A20" s="35">
        <f t="shared" si="0"/>
        <v>19</v>
      </c>
      <c r="B20" s="36" t="s">
        <v>26</v>
      </c>
      <c r="C20" s="37" t="s">
        <v>11</v>
      </c>
      <c r="D20" s="37">
        <v>25</v>
      </c>
      <c r="E20" s="19"/>
      <c r="F20" s="41">
        <f t="shared" si="1"/>
        <v>0</v>
      </c>
      <c r="G20" s="16"/>
    </row>
    <row r="21" spans="1:7" s="17" customFormat="1" ht="22.5" customHeight="1">
      <c r="A21" s="35">
        <f t="shared" si="0"/>
        <v>20</v>
      </c>
      <c r="B21" s="36" t="s">
        <v>27</v>
      </c>
      <c r="C21" s="37" t="s">
        <v>11</v>
      </c>
      <c r="D21" s="37">
        <v>300</v>
      </c>
      <c r="E21" s="19"/>
      <c r="F21" s="41">
        <f t="shared" si="1"/>
        <v>0</v>
      </c>
      <c r="G21" s="16"/>
    </row>
    <row r="22" spans="1:7" s="17" customFormat="1" ht="22.5" customHeight="1">
      <c r="A22" s="35">
        <f t="shared" si="0"/>
        <v>21</v>
      </c>
      <c r="B22" s="36" t="s">
        <v>28</v>
      </c>
      <c r="C22" s="37" t="s">
        <v>11</v>
      </c>
      <c r="D22" s="37">
        <v>100</v>
      </c>
      <c r="E22" s="19"/>
      <c r="F22" s="41">
        <f t="shared" si="1"/>
        <v>0</v>
      </c>
      <c r="G22" s="16"/>
    </row>
    <row r="23" spans="1:7" s="17" customFormat="1" ht="22.5" customHeight="1">
      <c r="A23" s="35">
        <f t="shared" si="0"/>
        <v>22</v>
      </c>
      <c r="B23" s="36" t="s">
        <v>29</v>
      </c>
      <c r="C23" s="37" t="s">
        <v>11</v>
      </c>
      <c r="D23" s="37">
        <v>150</v>
      </c>
      <c r="E23" s="19"/>
      <c r="F23" s="41">
        <f t="shared" si="1"/>
        <v>0</v>
      </c>
      <c r="G23" s="16"/>
    </row>
    <row r="24" spans="1:7" s="17" customFormat="1" ht="22.5" customHeight="1">
      <c r="A24" s="35">
        <f t="shared" si="0"/>
        <v>23</v>
      </c>
      <c r="B24" s="36" t="s">
        <v>30</v>
      </c>
      <c r="C24" s="37" t="s">
        <v>31</v>
      </c>
      <c r="D24" s="37">
        <v>2</v>
      </c>
      <c r="E24" s="20"/>
      <c r="F24" s="41">
        <f t="shared" si="1"/>
        <v>0</v>
      </c>
      <c r="G24" s="16"/>
    </row>
    <row r="25" spans="1:7" s="17" customFormat="1" ht="22.5" customHeight="1">
      <c r="A25" s="35">
        <f t="shared" si="0"/>
        <v>24</v>
      </c>
      <c r="B25" s="36" t="s">
        <v>32</v>
      </c>
      <c r="C25" s="37" t="s">
        <v>31</v>
      </c>
      <c r="D25" s="37">
        <v>20</v>
      </c>
      <c r="E25" s="19"/>
      <c r="F25" s="41">
        <f t="shared" si="1"/>
        <v>0</v>
      </c>
      <c r="G25" s="16"/>
    </row>
    <row r="26" spans="1:7" s="17" customFormat="1" ht="22.5" customHeight="1">
      <c r="A26" s="35">
        <f t="shared" si="0"/>
        <v>25</v>
      </c>
      <c r="B26" s="36" t="s">
        <v>33</v>
      </c>
      <c r="C26" s="37" t="s">
        <v>11</v>
      </c>
      <c r="D26" s="37">
        <v>1000</v>
      </c>
      <c r="E26" s="19"/>
      <c r="F26" s="41">
        <f t="shared" si="1"/>
        <v>0</v>
      </c>
      <c r="G26" s="16"/>
    </row>
    <row r="27" spans="1:7" s="17" customFormat="1" ht="22.5" customHeight="1">
      <c r="A27" s="35">
        <f t="shared" si="0"/>
        <v>26</v>
      </c>
      <c r="B27" s="36" t="s">
        <v>34</v>
      </c>
      <c r="C27" s="37" t="s">
        <v>11</v>
      </c>
      <c r="D27" s="37">
        <v>200</v>
      </c>
      <c r="E27" s="19"/>
      <c r="F27" s="41">
        <f t="shared" si="1"/>
        <v>0</v>
      </c>
      <c r="G27" s="16"/>
    </row>
    <row r="28" spans="1:7" s="17" customFormat="1" ht="22.5" customHeight="1">
      <c r="A28" s="35">
        <f t="shared" si="0"/>
        <v>27</v>
      </c>
      <c r="B28" s="36" t="s">
        <v>159</v>
      </c>
      <c r="C28" s="37" t="s">
        <v>11</v>
      </c>
      <c r="D28" s="37">
        <v>300</v>
      </c>
      <c r="E28" s="19"/>
      <c r="F28" s="41">
        <f t="shared" si="1"/>
        <v>0</v>
      </c>
      <c r="G28" s="16"/>
    </row>
    <row r="29" spans="1:7" s="17" customFormat="1" ht="22.5" customHeight="1">
      <c r="A29" s="35">
        <f t="shared" si="0"/>
        <v>28</v>
      </c>
      <c r="B29" s="36" t="s">
        <v>35</v>
      </c>
      <c r="C29" s="37" t="s">
        <v>11</v>
      </c>
      <c r="D29" s="37">
        <v>1000</v>
      </c>
      <c r="E29" s="19"/>
      <c r="F29" s="41">
        <f t="shared" si="1"/>
        <v>0</v>
      </c>
      <c r="G29" s="16"/>
    </row>
    <row r="30" spans="1:7" s="17" customFormat="1" ht="22.5" customHeight="1">
      <c r="A30" s="35">
        <f t="shared" si="0"/>
        <v>29</v>
      </c>
      <c r="B30" s="36" t="s">
        <v>160</v>
      </c>
      <c r="C30" s="37" t="s">
        <v>11</v>
      </c>
      <c r="D30" s="37">
        <v>7500</v>
      </c>
      <c r="E30" s="19"/>
      <c r="F30" s="41">
        <f t="shared" si="1"/>
        <v>0</v>
      </c>
      <c r="G30" s="16"/>
    </row>
    <row r="31" spans="1:7" s="17" customFormat="1" ht="22.5" customHeight="1">
      <c r="A31" s="35">
        <f t="shared" si="0"/>
        <v>30</v>
      </c>
      <c r="B31" s="36" t="s">
        <v>37</v>
      </c>
      <c r="C31" s="37" t="s">
        <v>11</v>
      </c>
      <c r="D31" s="37">
        <v>10000</v>
      </c>
      <c r="E31" s="19"/>
      <c r="F31" s="41">
        <f t="shared" si="1"/>
        <v>0</v>
      </c>
      <c r="G31" s="16"/>
    </row>
    <row r="32" spans="1:7" s="17" customFormat="1" ht="22.5" customHeight="1">
      <c r="A32" s="35">
        <f t="shared" si="0"/>
        <v>31</v>
      </c>
      <c r="B32" s="36" t="s">
        <v>36</v>
      </c>
      <c r="C32" s="37" t="s">
        <v>11</v>
      </c>
      <c r="D32" s="37">
        <v>5000</v>
      </c>
      <c r="E32" s="19"/>
      <c r="F32" s="41">
        <f t="shared" si="1"/>
        <v>0</v>
      </c>
      <c r="G32" s="16"/>
    </row>
    <row r="33" spans="1:7" s="17" customFormat="1" ht="22.5" customHeight="1">
      <c r="A33" s="35">
        <f t="shared" si="0"/>
        <v>32</v>
      </c>
      <c r="B33" s="36" t="s">
        <v>38</v>
      </c>
      <c r="C33" s="37" t="s">
        <v>39</v>
      </c>
      <c r="D33" s="37">
        <v>100</v>
      </c>
      <c r="E33" s="19"/>
      <c r="F33" s="41">
        <f t="shared" si="1"/>
        <v>0</v>
      </c>
      <c r="G33" s="16"/>
    </row>
    <row r="34" spans="1:7" s="17" customFormat="1" ht="22.5" customHeight="1">
      <c r="A34" s="35">
        <f t="shared" si="0"/>
        <v>33</v>
      </c>
      <c r="B34" s="36" t="s">
        <v>40</v>
      </c>
      <c r="C34" s="37" t="s">
        <v>39</v>
      </c>
      <c r="D34" s="34">
        <v>2000</v>
      </c>
      <c r="E34" s="18"/>
      <c r="F34" s="41">
        <f t="shared" si="1"/>
        <v>0</v>
      </c>
      <c r="G34" s="16"/>
    </row>
    <row r="35" spans="1:7" s="17" customFormat="1" ht="22.5" customHeight="1">
      <c r="A35" s="35">
        <f t="shared" si="0"/>
        <v>34</v>
      </c>
      <c r="B35" s="36" t="s">
        <v>41</v>
      </c>
      <c r="C35" s="37" t="s">
        <v>39</v>
      </c>
      <c r="D35" s="37">
        <v>1000</v>
      </c>
      <c r="E35" s="19"/>
      <c r="F35" s="41">
        <f t="shared" si="1"/>
        <v>0</v>
      </c>
      <c r="G35" s="16"/>
    </row>
    <row r="36" spans="1:7" s="17" customFormat="1" ht="22.5" customHeight="1">
      <c r="A36" s="35">
        <f t="shared" si="0"/>
        <v>35</v>
      </c>
      <c r="B36" s="36" t="s">
        <v>42</v>
      </c>
      <c r="C36" s="37" t="s">
        <v>13</v>
      </c>
      <c r="D36" s="37">
        <v>100</v>
      </c>
      <c r="E36" s="19"/>
      <c r="F36" s="41">
        <f t="shared" si="1"/>
        <v>0</v>
      </c>
      <c r="G36" s="16"/>
    </row>
    <row r="37" spans="1:7" s="17" customFormat="1" ht="22.5" customHeight="1">
      <c r="A37" s="35">
        <f t="shared" si="0"/>
        <v>36</v>
      </c>
      <c r="B37" s="36" t="s">
        <v>43</v>
      </c>
      <c r="C37" s="37" t="s">
        <v>11</v>
      </c>
      <c r="D37" s="37">
        <v>100</v>
      </c>
      <c r="E37" s="19"/>
      <c r="F37" s="41">
        <f t="shared" si="1"/>
        <v>0</v>
      </c>
      <c r="G37" s="16"/>
    </row>
    <row r="38" spans="1:7" s="17" customFormat="1" ht="22.5" customHeight="1">
      <c r="A38" s="35">
        <f t="shared" si="0"/>
        <v>37</v>
      </c>
      <c r="B38" s="36" t="s">
        <v>44</v>
      </c>
      <c r="C38" s="37" t="s">
        <v>13</v>
      </c>
      <c r="D38" s="37">
        <v>2000</v>
      </c>
      <c r="E38" s="19"/>
      <c r="F38" s="41">
        <f t="shared" si="1"/>
        <v>0</v>
      </c>
      <c r="G38" s="16"/>
    </row>
    <row r="39" spans="1:7" s="17" customFormat="1" ht="22.5" customHeight="1">
      <c r="A39" s="35">
        <f t="shared" si="0"/>
        <v>38</v>
      </c>
      <c r="B39" s="36" t="s">
        <v>45</v>
      </c>
      <c r="C39" s="37" t="s">
        <v>13</v>
      </c>
      <c r="D39" s="37">
        <v>500</v>
      </c>
      <c r="E39" s="19"/>
      <c r="F39" s="41">
        <f t="shared" si="1"/>
        <v>0</v>
      </c>
      <c r="G39" s="16"/>
    </row>
    <row r="40" spans="1:7" s="17" customFormat="1" ht="22.5" customHeight="1">
      <c r="A40" s="35">
        <f t="shared" si="0"/>
        <v>39</v>
      </c>
      <c r="B40" s="36" t="s">
        <v>46</v>
      </c>
      <c r="C40" s="37" t="s">
        <v>13</v>
      </c>
      <c r="D40" s="37">
        <v>1000</v>
      </c>
      <c r="E40" s="19"/>
      <c r="F40" s="41">
        <f t="shared" si="1"/>
        <v>0</v>
      </c>
      <c r="G40" s="16"/>
    </row>
    <row r="41" spans="1:7" s="17" customFormat="1" ht="22.5" customHeight="1">
      <c r="A41" s="35">
        <f t="shared" si="0"/>
        <v>40</v>
      </c>
      <c r="B41" s="36" t="s">
        <v>47</v>
      </c>
      <c r="C41" s="37" t="s">
        <v>13</v>
      </c>
      <c r="D41" s="37">
        <v>500</v>
      </c>
      <c r="E41" s="19"/>
      <c r="F41" s="41">
        <f t="shared" si="1"/>
        <v>0</v>
      </c>
      <c r="G41" s="16"/>
    </row>
    <row r="42" spans="1:7" s="17" customFormat="1" ht="22.5" customHeight="1">
      <c r="A42" s="35">
        <f t="shared" si="0"/>
        <v>41</v>
      </c>
      <c r="B42" s="36" t="s">
        <v>48</v>
      </c>
      <c r="C42" s="37" t="s">
        <v>13</v>
      </c>
      <c r="D42" s="37">
        <v>750</v>
      </c>
      <c r="E42" s="19"/>
      <c r="F42" s="41">
        <f t="shared" si="1"/>
        <v>0</v>
      </c>
      <c r="G42" s="16"/>
    </row>
    <row r="43" spans="1:7" s="17" customFormat="1" ht="22.5" customHeight="1">
      <c r="A43" s="35">
        <f t="shared" si="0"/>
        <v>42</v>
      </c>
      <c r="B43" s="36" t="s">
        <v>49</v>
      </c>
      <c r="C43" s="37" t="s">
        <v>13</v>
      </c>
      <c r="D43" s="37">
        <v>500</v>
      </c>
      <c r="E43" s="19"/>
      <c r="F43" s="41">
        <f t="shared" si="1"/>
        <v>0</v>
      </c>
      <c r="G43" s="16"/>
    </row>
    <row r="44" spans="1:7" s="17" customFormat="1" ht="22.5" customHeight="1">
      <c r="A44" s="35">
        <f t="shared" si="0"/>
        <v>43</v>
      </c>
      <c r="B44" s="36" t="s">
        <v>50</v>
      </c>
      <c r="C44" s="37" t="s">
        <v>13</v>
      </c>
      <c r="D44" s="37">
        <v>750</v>
      </c>
      <c r="E44" s="19"/>
      <c r="F44" s="41">
        <f t="shared" si="1"/>
        <v>0</v>
      </c>
      <c r="G44" s="16"/>
    </row>
    <row r="45" spans="1:7" s="17" customFormat="1" ht="22.5" customHeight="1">
      <c r="A45" s="35">
        <f t="shared" si="0"/>
        <v>44</v>
      </c>
      <c r="B45" s="36" t="s">
        <v>51</v>
      </c>
      <c r="C45" s="37" t="s">
        <v>13</v>
      </c>
      <c r="D45" s="37">
        <v>500</v>
      </c>
      <c r="E45" s="19"/>
      <c r="F45" s="41">
        <f t="shared" si="1"/>
        <v>0</v>
      </c>
      <c r="G45" s="16"/>
    </row>
    <row r="46" spans="1:7" s="17" customFormat="1" ht="22.5" customHeight="1">
      <c r="A46" s="35">
        <f t="shared" si="0"/>
        <v>45</v>
      </c>
      <c r="B46" s="36" t="s">
        <v>52</v>
      </c>
      <c r="C46" s="37" t="s">
        <v>13</v>
      </c>
      <c r="D46" s="37">
        <v>500</v>
      </c>
      <c r="E46" s="19"/>
      <c r="F46" s="41">
        <f t="shared" si="1"/>
        <v>0</v>
      </c>
      <c r="G46" s="16"/>
    </row>
    <row r="47" spans="1:7" s="17" customFormat="1" ht="22.5" customHeight="1">
      <c r="A47" s="35">
        <f t="shared" si="0"/>
        <v>46</v>
      </c>
      <c r="B47" s="36" t="s">
        <v>53</v>
      </c>
      <c r="C47" s="37" t="s">
        <v>13</v>
      </c>
      <c r="D47" s="37">
        <v>500</v>
      </c>
      <c r="E47" s="19"/>
      <c r="F47" s="41">
        <f t="shared" si="1"/>
        <v>0</v>
      </c>
      <c r="G47" s="16"/>
    </row>
    <row r="48" spans="1:7" s="17" customFormat="1" ht="22.5" customHeight="1">
      <c r="A48" s="35">
        <f t="shared" si="0"/>
        <v>47</v>
      </c>
      <c r="B48" s="36" t="s">
        <v>54</v>
      </c>
      <c r="C48" s="37" t="s">
        <v>11</v>
      </c>
      <c r="D48" s="37">
        <v>2000</v>
      </c>
      <c r="E48" s="19"/>
      <c r="F48" s="41">
        <f t="shared" si="1"/>
        <v>0</v>
      </c>
      <c r="G48" s="16"/>
    </row>
    <row r="49" spans="1:7" s="17" customFormat="1" ht="22.5" customHeight="1">
      <c r="A49" s="35">
        <f t="shared" si="0"/>
        <v>48</v>
      </c>
      <c r="B49" s="36" t="s">
        <v>55</v>
      </c>
      <c r="C49" s="37" t="s">
        <v>11</v>
      </c>
      <c r="D49" s="37">
        <v>1000</v>
      </c>
      <c r="E49" s="19"/>
      <c r="F49" s="41">
        <f t="shared" si="1"/>
        <v>0</v>
      </c>
      <c r="G49" s="16"/>
    </row>
    <row r="50" spans="1:7" s="17" customFormat="1" ht="22.5" customHeight="1">
      <c r="A50" s="35">
        <f t="shared" si="0"/>
        <v>49</v>
      </c>
      <c r="B50" s="36" t="s">
        <v>56</v>
      </c>
      <c r="C50" s="37" t="s">
        <v>13</v>
      </c>
      <c r="D50" s="37">
        <v>50</v>
      </c>
      <c r="E50" s="19"/>
      <c r="F50" s="41">
        <f t="shared" si="1"/>
        <v>0</v>
      </c>
      <c r="G50" s="16"/>
    </row>
    <row r="51" spans="1:7" s="17" customFormat="1" ht="22.5" customHeight="1">
      <c r="A51" s="35">
        <f t="shared" si="0"/>
        <v>50</v>
      </c>
      <c r="B51" s="36" t="s">
        <v>165</v>
      </c>
      <c r="C51" s="37" t="s">
        <v>57</v>
      </c>
      <c r="D51" s="37">
        <v>50</v>
      </c>
      <c r="E51" s="19"/>
      <c r="F51" s="41">
        <f t="shared" si="1"/>
        <v>0</v>
      </c>
      <c r="G51" s="16"/>
    </row>
    <row r="52" spans="1:7" s="17" customFormat="1" ht="22.5" customHeight="1">
      <c r="A52" s="35">
        <f t="shared" si="0"/>
        <v>51</v>
      </c>
      <c r="B52" s="38" t="s">
        <v>58</v>
      </c>
      <c r="C52" s="37" t="s">
        <v>13</v>
      </c>
      <c r="D52" s="37">
        <v>50</v>
      </c>
      <c r="E52" s="19"/>
      <c r="F52" s="41">
        <f t="shared" si="1"/>
        <v>0</v>
      </c>
      <c r="G52" s="16"/>
    </row>
    <row r="53" spans="1:7" s="17" customFormat="1" ht="22.5" customHeight="1">
      <c r="A53" s="35">
        <f t="shared" si="0"/>
        <v>52</v>
      </c>
      <c r="B53" s="36" t="s">
        <v>154</v>
      </c>
      <c r="C53" s="37" t="s">
        <v>31</v>
      </c>
      <c r="D53" s="37">
        <v>5</v>
      </c>
      <c r="E53" s="19"/>
      <c r="F53" s="41">
        <f t="shared" si="1"/>
        <v>0</v>
      </c>
      <c r="G53" s="16"/>
    </row>
    <row r="54" spans="1:7" s="23" customFormat="1" ht="22.5" customHeight="1">
      <c r="A54" s="35">
        <f t="shared" si="0"/>
        <v>53</v>
      </c>
      <c r="B54" s="36" t="s">
        <v>153</v>
      </c>
      <c r="C54" s="37" t="s">
        <v>31</v>
      </c>
      <c r="D54" s="37">
        <v>5</v>
      </c>
      <c r="E54" s="21"/>
      <c r="F54" s="41">
        <f t="shared" si="1"/>
        <v>0</v>
      </c>
      <c r="G54" s="22"/>
    </row>
    <row r="55" spans="1:7" s="17" customFormat="1" ht="22.5" customHeight="1">
      <c r="A55" s="35">
        <f t="shared" si="0"/>
        <v>54</v>
      </c>
      <c r="B55" s="36" t="s">
        <v>59</v>
      </c>
      <c r="C55" s="37" t="s">
        <v>11</v>
      </c>
      <c r="D55" s="37">
        <v>50</v>
      </c>
      <c r="E55" s="19"/>
      <c r="F55" s="41">
        <f t="shared" si="1"/>
        <v>0</v>
      </c>
      <c r="G55" s="16"/>
    </row>
    <row r="56" spans="1:7" s="17" customFormat="1" ht="22.5" customHeight="1">
      <c r="A56" s="35">
        <f t="shared" si="0"/>
        <v>55</v>
      </c>
      <c r="B56" s="36" t="s">
        <v>60</v>
      </c>
      <c r="C56" s="37" t="s">
        <v>13</v>
      </c>
      <c r="D56" s="37">
        <v>10</v>
      </c>
      <c r="E56" s="19"/>
      <c r="F56" s="41">
        <f t="shared" si="1"/>
        <v>0</v>
      </c>
      <c r="G56" s="16"/>
    </row>
    <row r="57" spans="1:7" s="17" customFormat="1" ht="22.5" customHeight="1">
      <c r="A57" s="35">
        <f t="shared" si="0"/>
        <v>56</v>
      </c>
      <c r="B57" s="36" t="s">
        <v>61</v>
      </c>
      <c r="C57" s="37" t="s">
        <v>13</v>
      </c>
      <c r="D57" s="37">
        <v>10</v>
      </c>
      <c r="E57" s="19"/>
      <c r="F57" s="41">
        <f t="shared" si="1"/>
        <v>0</v>
      </c>
      <c r="G57" s="16"/>
    </row>
    <row r="58" spans="1:7" s="17" customFormat="1" ht="22.5" customHeight="1">
      <c r="A58" s="35">
        <f t="shared" si="0"/>
        <v>57</v>
      </c>
      <c r="B58" s="36" t="s">
        <v>62</v>
      </c>
      <c r="C58" s="37" t="s">
        <v>13</v>
      </c>
      <c r="D58" s="37">
        <v>10</v>
      </c>
      <c r="E58" s="19"/>
      <c r="F58" s="41">
        <f t="shared" si="1"/>
        <v>0</v>
      </c>
      <c r="G58" s="16"/>
    </row>
    <row r="59" spans="1:7" s="17" customFormat="1" ht="22.5" customHeight="1">
      <c r="A59" s="35">
        <f t="shared" si="0"/>
        <v>58</v>
      </c>
      <c r="B59" s="36" t="s">
        <v>63</v>
      </c>
      <c r="C59" s="37" t="s">
        <v>13</v>
      </c>
      <c r="D59" s="37">
        <v>10</v>
      </c>
      <c r="E59" s="19"/>
      <c r="F59" s="41">
        <f t="shared" si="1"/>
        <v>0</v>
      </c>
      <c r="G59" s="16"/>
    </row>
    <row r="60" spans="1:7" s="17" customFormat="1" ht="22.5" customHeight="1">
      <c r="A60" s="35">
        <f t="shared" si="0"/>
        <v>59</v>
      </c>
      <c r="B60" s="36" t="s">
        <v>64</v>
      </c>
      <c r="C60" s="37" t="s">
        <v>13</v>
      </c>
      <c r="D60" s="37">
        <v>10</v>
      </c>
      <c r="E60" s="19"/>
      <c r="F60" s="41">
        <f t="shared" si="1"/>
        <v>0</v>
      </c>
      <c r="G60" s="16"/>
    </row>
    <row r="61" spans="1:7" s="17" customFormat="1" ht="22.5" customHeight="1">
      <c r="A61" s="35">
        <f t="shared" si="0"/>
        <v>60</v>
      </c>
      <c r="B61" s="36" t="s">
        <v>65</v>
      </c>
      <c r="C61" s="37" t="s">
        <v>13</v>
      </c>
      <c r="D61" s="37">
        <v>10</v>
      </c>
      <c r="E61" s="19"/>
      <c r="F61" s="41">
        <f t="shared" si="1"/>
        <v>0</v>
      </c>
      <c r="G61" s="16"/>
    </row>
    <row r="62" spans="1:7" s="17" customFormat="1" ht="22.5" customHeight="1">
      <c r="A62" s="35">
        <f t="shared" si="0"/>
        <v>61</v>
      </c>
      <c r="B62" s="36" t="s">
        <v>66</v>
      </c>
      <c r="C62" s="37" t="s">
        <v>13</v>
      </c>
      <c r="D62" s="37">
        <v>10</v>
      </c>
      <c r="E62" s="19"/>
      <c r="F62" s="41">
        <f t="shared" si="1"/>
        <v>0</v>
      </c>
      <c r="G62" s="16"/>
    </row>
    <row r="63" spans="1:7" s="17" customFormat="1" ht="22.5" customHeight="1">
      <c r="A63" s="35">
        <f t="shared" si="0"/>
        <v>62</v>
      </c>
      <c r="B63" s="36" t="s">
        <v>67</v>
      </c>
      <c r="C63" s="37" t="s">
        <v>13</v>
      </c>
      <c r="D63" s="37">
        <v>10</v>
      </c>
      <c r="E63" s="19"/>
      <c r="F63" s="41">
        <f t="shared" si="1"/>
        <v>0</v>
      </c>
      <c r="G63" s="16"/>
    </row>
    <row r="64" spans="1:7" s="17" customFormat="1" ht="22.5" customHeight="1">
      <c r="A64" s="35">
        <f t="shared" si="0"/>
        <v>63</v>
      </c>
      <c r="B64" s="36" t="s">
        <v>68</v>
      </c>
      <c r="C64" s="37" t="s">
        <v>5</v>
      </c>
      <c r="D64" s="37">
        <v>25</v>
      </c>
      <c r="E64" s="19"/>
      <c r="F64" s="41">
        <f t="shared" si="1"/>
        <v>0</v>
      </c>
      <c r="G64" s="16"/>
    </row>
    <row r="65" spans="1:7" s="25" customFormat="1" ht="22.5" customHeight="1">
      <c r="A65" s="35">
        <f t="shared" si="0"/>
        <v>64</v>
      </c>
      <c r="B65" s="36" t="s">
        <v>69</v>
      </c>
      <c r="C65" s="37" t="s">
        <v>31</v>
      </c>
      <c r="D65" s="37">
        <v>20</v>
      </c>
      <c r="E65" s="19"/>
      <c r="F65" s="41">
        <f t="shared" si="1"/>
        <v>0</v>
      </c>
      <c r="G65" s="24"/>
    </row>
    <row r="66" spans="1:7" s="25" customFormat="1" ht="22.5" customHeight="1">
      <c r="A66" s="35">
        <f t="shared" si="0"/>
        <v>65</v>
      </c>
      <c r="B66" s="36" t="s">
        <v>70</v>
      </c>
      <c r="C66" s="37" t="s">
        <v>16</v>
      </c>
      <c r="D66" s="37">
        <v>200</v>
      </c>
      <c r="E66" s="19"/>
      <c r="F66" s="41">
        <f t="shared" si="1"/>
        <v>0</v>
      </c>
      <c r="G66" s="24"/>
    </row>
    <row r="67" spans="1:7" s="25" customFormat="1" ht="22.5" customHeight="1">
      <c r="A67" s="35">
        <f t="shared" ref="A67:A130" si="2">1+A66</f>
        <v>66</v>
      </c>
      <c r="B67" s="36" t="s">
        <v>71</v>
      </c>
      <c r="C67" s="37" t="s">
        <v>16</v>
      </c>
      <c r="D67" s="37">
        <v>200</v>
      </c>
      <c r="E67" s="19"/>
      <c r="F67" s="41">
        <f t="shared" ref="F67:F130" si="3">E67*D67</f>
        <v>0</v>
      </c>
      <c r="G67" s="24"/>
    </row>
    <row r="68" spans="1:7" s="25" customFormat="1" ht="22.5" customHeight="1">
      <c r="A68" s="35">
        <f t="shared" si="2"/>
        <v>67</v>
      </c>
      <c r="B68" s="36" t="s">
        <v>72</v>
      </c>
      <c r="C68" s="37" t="s">
        <v>16</v>
      </c>
      <c r="D68" s="37">
        <v>25</v>
      </c>
      <c r="E68" s="19"/>
      <c r="F68" s="41">
        <f t="shared" si="3"/>
        <v>0</v>
      </c>
      <c r="G68" s="24"/>
    </row>
    <row r="69" spans="1:7" s="25" customFormat="1" ht="22.5" customHeight="1">
      <c r="A69" s="35">
        <f t="shared" si="2"/>
        <v>68</v>
      </c>
      <c r="B69" s="36" t="s">
        <v>73</v>
      </c>
      <c r="C69" s="37" t="s">
        <v>16</v>
      </c>
      <c r="D69" s="37">
        <v>25</v>
      </c>
      <c r="E69" s="19"/>
      <c r="F69" s="41">
        <f t="shared" si="3"/>
        <v>0</v>
      </c>
      <c r="G69" s="24"/>
    </row>
    <row r="70" spans="1:7" s="17" customFormat="1" ht="22.5" customHeight="1">
      <c r="A70" s="35">
        <f t="shared" si="2"/>
        <v>69</v>
      </c>
      <c r="B70" s="39" t="s">
        <v>74</v>
      </c>
      <c r="C70" s="37" t="s">
        <v>16</v>
      </c>
      <c r="D70" s="37">
        <v>25</v>
      </c>
      <c r="E70" s="19"/>
      <c r="F70" s="41">
        <f t="shared" si="3"/>
        <v>0</v>
      </c>
      <c r="G70" s="16"/>
    </row>
    <row r="71" spans="1:7" s="17" customFormat="1" ht="22.5" customHeight="1">
      <c r="A71" s="35">
        <f t="shared" si="2"/>
        <v>70</v>
      </c>
      <c r="B71" s="39" t="s">
        <v>75</v>
      </c>
      <c r="C71" s="37" t="s">
        <v>16</v>
      </c>
      <c r="D71" s="37">
        <v>10</v>
      </c>
      <c r="E71" s="19"/>
      <c r="F71" s="41">
        <f t="shared" si="3"/>
        <v>0</v>
      </c>
      <c r="G71" s="16"/>
    </row>
    <row r="72" spans="1:7" s="17" customFormat="1" ht="22.5" customHeight="1">
      <c r="A72" s="35">
        <f t="shared" si="2"/>
        <v>71</v>
      </c>
      <c r="B72" s="39" t="s">
        <v>76</v>
      </c>
      <c r="C72" s="37" t="s">
        <v>16</v>
      </c>
      <c r="D72" s="37">
        <v>10</v>
      </c>
      <c r="E72" s="19"/>
      <c r="F72" s="41">
        <f t="shared" si="3"/>
        <v>0</v>
      </c>
      <c r="G72" s="16"/>
    </row>
    <row r="73" spans="1:7" s="17" customFormat="1" ht="22.5" customHeight="1">
      <c r="A73" s="35">
        <f t="shared" si="2"/>
        <v>72</v>
      </c>
      <c r="B73" s="39" t="s">
        <v>77</v>
      </c>
      <c r="C73" s="37" t="s">
        <v>16</v>
      </c>
      <c r="D73" s="37">
        <v>10</v>
      </c>
      <c r="E73" s="19"/>
      <c r="F73" s="41">
        <f t="shared" si="3"/>
        <v>0</v>
      </c>
      <c r="G73" s="16"/>
    </row>
    <row r="74" spans="1:7" s="17" customFormat="1" ht="22.5" customHeight="1">
      <c r="A74" s="35">
        <f t="shared" si="2"/>
        <v>73</v>
      </c>
      <c r="B74" s="39" t="s">
        <v>78</v>
      </c>
      <c r="C74" s="37" t="s">
        <v>16</v>
      </c>
      <c r="D74" s="37">
        <v>10</v>
      </c>
      <c r="E74" s="19"/>
      <c r="F74" s="41">
        <f t="shared" si="3"/>
        <v>0</v>
      </c>
      <c r="G74" s="16"/>
    </row>
    <row r="75" spans="1:7" s="17" customFormat="1" ht="22.5" customHeight="1">
      <c r="A75" s="35">
        <f t="shared" si="2"/>
        <v>74</v>
      </c>
      <c r="B75" s="39" t="s">
        <v>79</v>
      </c>
      <c r="C75" s="37" t="s">
        <v>80</v>
      </c>
      <c r="D75" s="37">
        <v>40</v>
      </c>
      <c r="E75" s="19"/>
      <c r="F75" s="41">
        <f t="shared" si="3"/>
        <v>0</v>
      </c>
      <c r="G75" s="16"/>
    </row>
    <row r="76" spans="1:7" s="17" customFormat="1" ht="22.5" customHeight="1">
      <c r="A76" s="35">
        <f t="shared" si="2"/>
        <v>75</v>
      </c>
      <c r="B76" s="36" t="s">
        <v>161</v>
      </c>
      <c r="C76" s="37" t="s">
        <v>13</v>
      </c>
      <c r="D76" s="37">
        <v>500</v>
      </c>
      <c r="E76" s="19"/>
      <c r="F76" s="41">
        <f t="shared" si="3"/>
        <v>0</v>
      </c>
      <c r="G76" s="16"/>
    </row>
    <row r="77" spans="1:7" s="17" customFormat="1" ht="22.5" customHeight="1">
      <c r="A77" s="35">
        <f t="shared" si="2"/>
        <v>76</v>
      </c>
      <c r="B77" s="36" t="s">
        <v>81</v>
      </c>
      <c r="C77" s="37" t="s">
        <v>5</v>
      </c>
      <c r="D77" s="37">
        <v>250</v>
      </c>
      <c r="E77" s="19"/>
      <c r="F77" s="41">
        <f t="shared" si="3"/>
        <v>0</v>
      </c>
      <c r="G77" s="16"/>
    </row>
    <row r="78" spans="1:7" s="17" customFormat="1" ht="22.5" customHeight="1">
      <c r="A78" s="35">
        <f t="shared" si="2"/>
        <v>77</v>
      </c>
      <c r="B78" s="36" t="s">
        <v>82</v>
      </c>
      <c r="C78" s="37" t="s">
        <v>16</v>
      </c>
      <c r="D78" s="37">
        <v>20</v>
      </c>
      <c r="E78" s="19"/>
      <c r="F78" s="41">
        <f t="shared" si="3"/>
        <v>0</v>
      </c>
      <c r="G78" s="16"/>
    </row>
    <row r="79" spans="1:7" s="17" customFormat="1" ht="22.5" customHeight="1">
      <c r="A79" s="35">
        <f t="shared" si="2"/>
        <v>78</v>
      </c>
      <c r="B79" s="36" t="s">
        <v>83</v>
      </c>
      <c r="C79" s="37" t="s">
        <v>16</v>
      </c>
      <c r="D79" s="37">
        <v>20</v>
      </c>
      <c r="E79" s="19"/>
      <c r="F79" s="41">
        <f t="shared" si="3"/>
        <v>0</v>
      </c>
      <c r="G79" s="16"/>
    </row>
    <row r="80" spans="1:7" s="17" customFormat="1" ht="22.5" customHeight="1">
      <c r="A80" s="35">
        <f t="shared" si="2"/>
        <v>79</v>
      </c>
      <c r="B80" s="36" t="s">
        <v>84</v>
      </c>
      <c r="C80" s="37" t="s">
        <v>16</v>
      </c>
      <c r="D80" s="37">
        <v>20</v>
      </c>
      <c r="E80" s="19"/>
      <c r="F80" s="41">
        <f t="shared" si="3"/>
        <v>0</v>
      </c>
      <c r="G80" s="16"/>
    </row>
    <row r="81" spans="1:7" s="17" customFormat="1" ht="22.5" customHeight="1">
      <c r="A81" s="35">
        <f t="shared" si="2"/>
        <v>80</v>
      </c>
      <c r="B81" s="36" t="s">
        <v>85</v>
      </c>
      <c r="C81" s="37" t="s">
        <v>16</v>
      </c>
      <c r="D81" s="37">
        <v>20</v>
      </c>
      <c r="E81" s="26"/>
      <c r="F81" s="41">
        <f t="shared" si="3"/>
        <v>0</v>
      </c>
      <c r="G81" s="16"/>
    </row>
    <row r="82" spans="1:7" s="17" customFormat="1" ht="22.5" customHeight="1">
      <c r="A82" s="35">
        <f t="shared" si="2"/>
        <v>81</v>
      </c>
      <c r="B82" s="36" t="s">
        <v>86</v>
      </c>
      <c r="C82" s="37" t="s">
        <v>16</v>
      </c>
      <c r="D82" s="37">
        <v>20</v>
      </c>
      <c r="E82" s="26"/>
      <c r="F82" s="41">
        <f t="shared" si="3"/>
        <v>0</v>
      </c>
      <c r="G82" s="16"/>
    </row>
    <row r="83" spans="1:7" s="17" customFormat="1" ht="22.5" customHeight="1">
      <c r="A83" s="35">
        <f t="shared" si="2"/>
        <v>82</v>
      </c>
      <c r="B83" s="36" t="s">
        <v>87</v>
      </c>
      <c r="C83" s="37" t="s">
        <v>16</v>
      </c>
      <c r="D83" s="37">
        <v>20</v>
      </c>
      <c r="E83" s="26"/>
      <c r="F83" s="41">
        <f t="shared" si="3"/>
        <v>0</v>
      </c>
      <c r="G83" s="16"/>
    </row>
    <row r="84" spans="1:7" s="17" customFormat="1" ht="22.5" customHeight="1">
      <c r="A84" s="35">
        <f t="shared" si="2"/>
        <v>83</v>
      </c>
      <c r="B84" s="36" t="s">
        <v>88</v>
      </c>
      <c r="C84" s="37" t="s">
        <v>16</v>
      </c>
      <c r="D84" s="37">
        <v>20</v>
      </c>
      <c r="E84" s="19"/>
      <c r="F84" s="41">
        <f t="shared" si="3"/>
        <v>0</v>
      </c>
      <c r="G84" s="16"/>
    </row>
    <row r="85" spans="1:7" s="17" customFormat="1" ht="22.5" customHeight="1">
      <c r="A85" s="35">
        <f t="shared" si="2"/>
        <v>84</v>
      </c>
      <c r="B85" s="36" t="s">
        <v>89</v>
      </c>
      <c r="C85" s="37" t="s">
        <v>16</v>
      </c>
      <c r="D85" s="37">
        <v>50</v>
      </c>
      <c r="E85" s="19"/>
      <c r="F85" s="41">
        <f t="shared" si="3"/>
        <v>0</v>
      </c>
      <c r="G85" s="16"/>
    </row>
    <row r="86" spans="1:7" s="17" customFormat="1" ht="22.5" customHeight="1">
      <c r="A86" s="35">
        <f t="shared" si="2"/>
        <v>85</v>
      </c>
      <c r="B86" s="36" t="s">
        <v>90</v>
      </c>
      <c r="C86" s="37" t="s">
        <v>16</v>
      </c>
      <c r="D86" s="37">
        <v>20</v>
      </c>
      <c r="E86" s="19"/>
      <c r="F86" s="41">
        <f t="shared" si="3"/>
        <v>0</v>
      </c>
      <c r="G86" s="16"/>
    </row>
    <row r="87" spans="1:7" s="17" customFormat="1" ht="22.5" customHeight="1">
      <c r="A87" s="35">
        <f t="shared" si="2"/>
        <v>86</v>
      </c>
      <c r="B87" s="36" t="s">
        <v>91</v>
      </c>
      <c r="C87" s="37" t="s">
        <v>16</v>
      </c>
      <c r="D87" s="37">
        <v>20</v>
      </c>
      <c r="E87" s="19"/>
      <c r="F87" s="41">
        <f t="shared" si="3"/>
        <v>0</v>
      </c>
      <c r="G87" s="16"/>
    </row>
    <row r="88" spans="1:7" s="17" customFormat="1" ht="22.5" customHeight="1">
      <c r="A88" s="35">
        <f t="shared" si="2"/>
        <v>87</v>
      </c>
      <c r="B88" s="36" t="s">
        <v>92</v>
      </c>
      <c r="C88" s="37" t="s">
        <v>16</v>
      </c>
      <c r="D88" s="37">
        <v>20</v>
      </c>
      <c r="E88" s="19"/>
      <c r="F88" s="41">
        <f t="shared" si="3"/>
        <v>0</v>
      </c>
      <c r="G88" s="16"/>
    </row>
    <row r="89" spans="1:7" s="17" customFormat="1" ht="22.5" customHeight="1">
      <c r="A89" s="35">
        <f t="shared" si="2"/>
        <v>88</v>
      </c>
      <c r="B89" s="36" t="s">
        <v>93</v>
      </c>
      <c r="C89" s="37" t="s">
        <v>16</v>
      </c>
      <c r="D89" s="37">
        <v>200</v>
      </c>
      <c r="E89" s="19"/>
      <c r="F89" s="41">
        <f t="shared" si="3"/>
        <v>0</v>
      </c>
      <c r="G89" s="16"/>
    </row>
    <row r="90" spans="1:7" s="17" customFormat="1" ht="22.5" customHeight="1">
      <c r="A90" s="35">
        <f t="shared" si="2"/>
        <v>89</v>
      </c>
      <c r="B90" s="36" t="s">
        <v>94</v>
      </c>
      <c r="C90" s="37" t="s">
        <v>16</v>
      </c>
      <c r="D90" s="37">
        <v>20</v>
      </c>
      <c r="E90" s="19"/>
      <c r="F90" s="41">
        <f t="shared" si="3"/>
        <v>0</v>
      </c>
      <c r="G90" s="16"/>
    </row>
    <row r="91" spans="1:7" s="28" customFormat="1" ht="22.5" customHeight="1">
      <c r="A91" s="35">
        <f t="shared" si="2"/>
        <v>90</v>
      </c>
      <c r="B91" s="36" t="s">
        <v>95</v>
      </c>
      <c r="C91" s="37" t="s">
        <v>16</v>
      </c>
      <c r="D91" s="37">
        <v>100</v>
      </c>
      <c r="E91" s="19"/>
      <c r="F91" s="41">
        <f t="shared" si="3"/>
        <v>0</v>
      </c>
      <c r="G91" s="27"/>
    </row>
    <row r="92" spans="1:7" s="28" customFormat="1" ht="22.5" customHeight="1">
      <c r="A92" s="35">
        <f t="shared" si="2"/>
        <v>91</v>
      </c>
      <c r="B92" s="36" t="s">
        <v>96</v>
      </c>
      <c r="C92" s="37" t="s">
        <v>16</v>
      </c>
      <c r="D92" s="37">
        <v>100</v>
      </c>
      <c r="E92" s="19"/>
      <c r="F92" s="41">
        <f t="shared" si="3"/>
        <v>0</v>
      </c>
      <c r="G92" s="27"/>
    </row>
    <row r="93" spans="1:7" s="28" customFormat="1" ht="22.5" customHeight="1">
      <c r="A93" s="35">
        <f t="shared" si="2"/>
        <v>92</v>
      </c>
      <c r="B93" s="36" t="s">
        <v>97</v>
      </c>
      <c r="C93" s="37" t="s">
        <v>16</v>
      </c>
      <c r="D93" s="37">
        <v>20</v>
      </c>
      <c r="E93" s="19"/>
      <c r="F93" s="41">
        <f t="shared" si="3"/>
        <v>0</v>
      </c>
      <c r="G93" s="27"/>
    </row>
    <row r="94" spans="1:7" s="17" customFormat="1" ht="22.5" customHeight="1">
      <c r="A94" s="35">
        <f t="shared" si="2"/>
        <v>93</v>
      </c>
      <c r="B94" s="36" t="s">
        <v>98</v>
      </c>
      <c r="C94" s="37" t="s">
        <v>16</v>
      </c>
      <c r="D94" s="37">
        <v>100</v>
      </c>
      <c r="E94" s="19"/>
      <c r="F94" s="41">
        <f t="shared" si="3"/>
        <v>0</v>
      </c>
      <c r="G94" s="16"/>
    </row>
    <row r="95" spans="1:7" s="17" customFormat="1" ht="22.5" customHeight="1">
      <c r="A95" s="35">
        <f t="shared" si="2"/>
        <v>94</v>
      </c>
      <c r="B95" s="36" t="s">
        <v>99</v>
      </c>
      <c r="C95" s="37" t="s">
        <v>16</v>
      </c>
      <c r="D95" s="37">
        <v>100</v>
      </c>
      <c r="E95" s="19"/>
      <c r="F95" s="41">
        <f t="shared" si="3"/>
        <v>0</v>
      </c>
      <c r="G95" s="16"/>
    </row>
    <row r="96" spans="1:7" s="17" customFormat="1" ht="22.5" customHeight="1">
      <c r="A96" s="35">
        <f t="shared" si="2"/>
        <v>95</v>
      </c>
      <c r="B96" s="36" t="s">
        <v>100</v>
      </c>
      <c r="C96" s="37" t="s">
        <v>16</v>
      </c>
      <c r="D96" s="37">
        <v>100</v>
      </c>
      <c r="E96" s="19"/>
      <c r="F96" s="41">
        <f t="shared" si="3"/>
        <v>0</v>
      </c>
      <c r="G96" s="16"/>
    </row>
    <row r="97" spans="1:7" s="17" customFormat="1" ht="22.5" customHeight="1">
      <c r="A97" s="35">
        <f t="shared" si="2"/>
        <v>96</v>
      </c>
      <c r="B97" s="36" t="s">
        <v>101</v>
      </c>
      <c r="C97" s="37" t="s">
        <v>31</v>
      </c>
      <c r="D97" s="37">
        <v>4</v>
      </c>
      <c r="E97" s="19"/>
      <c r="F97" s="41">
        <f t="shared" si="3"/>
        <v>0</v>
      </c>
      <c r="G97" s="16"/>
    </row>
    <row r="98" spans="1:7" s="17" customFormat="1" ht="22.5" customHeight="1">
      <c r="A98" s="35">
        <f t="shared" si="2"/>
        <v>97</v>
      </c>
      <c r="B98" s="36" t="s">
        <v>102</v>
      </c>
      <c r="C98" s="37" t="s">
        <v>31</v>
      </c>
      <c r="D98" s="37">
        <v>4</v>
      </c>
      <c r="E98" s="19"/>
      <c r="F98" s="41">
        <f t="shared" si="3"/>
        <v>0</v>
      </c>
      <c r="G98" s="16"/>
    </row>
    <row r="99" spans="1:7" s="17" customFormat="1" ht="22.5" customHeight="1">
      <c r="A99" s="35">
        <f t="shared" si="2"/>
        <v>98</v>
      </c>
      <c r="B99" s="36" t="s">
        <v>103</v>
      </c>
      <c r="C99" s="37" t="s">
        <v>31</v>
      </c>
      <c r="D99" s="37">
        <v>4</v>
      </c>
      <c r="E99" s="19"/>
      <c r="F99" s="41">
        <f t="shared" si="3"/>
        <v>0</v>
      </c>
      <c r="G99" s="16"/>
    </row>
    <row r="100" spans="1:7" s="17" customFormat="1" ht="22.5" customHeight="1">
      <c r="A100" s="35">
        <f t="shared" si="2"/>
        <v>99</v>
      </c>
      <c r="B100" s="36" t="s">
        <v>104</v>
      </c>
      <c r="C100" s="37" t="s">
        <v>31</v>
      </c>
      <c r="D100" s="37">
        <v>4</v>
      </c>
      <c r="E100" s="19"/>
      <c r="F100" s="41">
        <f t="shared" si="3"/>
        <v>0</v>
      </c>
      <c r="G100" s="16"/>
    </row>
    <row r="101" spans="1:7" s="17" customFormat="1" ht="22.5" customHeight="1">
      <c r="A101" s="35">
        <f t="shared" si="2"/>
        <v>100</v>
      </c>
      <c r="B101" s="36" t="s">
        <v>105</v>
      </c>
      <c r="C101" s="37" t="s">
        <v>31</v>
      </c>
      <c r="D101" s="37">
        <v>2</v>
      </c>
      <c r="E101" s="19"/>
      <c r="F101" s="41">
        <f t="shared" si="3"/>
        <v>0</v>
      </c>
      <c r="G101" s="16"/>
    </row>
    <row r="102" spans="1:7" s="17" customFormat="1" ht="22.5" customHeight="1">
      <c r="A102" s="35">
        <f t="shared" si="2"/>
        <v>101</v>
      </c>
      <c r="B102" s="36" t="s">
        <v>106</v>
      </c>
      <c r="C102" s="37" t="s">
        <v>16</v>
      </c>
      <c r="D102" s="37">
        <v>5</v>
      </c>
      <c r="E102" s="19"/>
      <c r="F102" s="41">
        <f t="shared" si="3"/>
        <v>0</v>
      </c>
      <c r="G102" s="16"/>
    </row>
    <row r="103" spans="1:7" s="17" customFormat="1" ht="22.5" customHeight="1">
      <c r="A103" s="35">
        <f t="shared" si="2"/>
        <v>102</v>
      </c>
      <c r="B103" s="36" t="s">
        <v>107</v>
      </c>
      <c r="C103" s="37" t="s">
        <v>31</v>
      </c>
      <c r="D103" s="37">
        <v>1</v>
      </c>
      <c r="E103" s="19"/>
      <c r="F103" s="41">
        <f t="shared" si="3"/>
        <v>0</v>
      </c>
      <c r="G103" s="16"/>
    </row>
    <row r="104" spans="1:7" s="17" customFormat="1" ht="22.5" customHeight="1">
      <c r="A104" s="35">
        <f t="shared" si="2"/>
        <v>103</v>
      </c>
      <c r="B104" s="36" t="s">
        <v>108</v>
      </c>
      <c r="C104" s="37" t="s">
        <v>31</v>
      </c>
      <c r="D104" s="37">
        <v>1</v>
      </c>
      <c r="E104" s="19"/>
      <c r="F104" s="41">
        <f t="shared" si="3"/>
        <v>0</v>
      </c>
      <c r="G104" s="16"/>
    </row>
    <row r="105" spans="1:7" s="17" customFormat="1" ht="22.5" customHeight="1">
      <c r="A105" s="35">
        <f t="shared" si="2"/>
        <v>104</v>
      </c>
      <c r="B105" s="36" t="s">
        <v>106</v>
      </c>
      <c r="C105" s="37" t="s">
        <v>16</v>
      </c>
      <c r="D105" s="37">
        <v>10</v>
      </c>
      <c r="E105" s="19"/>
      <c r="F105" s="41">
        <f t="shared" si="3"/>
        <v>0</v>
      </c>
      <c r="G105" s="16"/>
    </row>
    <row r="106" spans="1:7" s="17" customFormat="1" ht="22.5" customHeight="1">
      <c r="A106" s="35">
        <f t="shared" si="2"/>
        <v>105</v>
      </c>
      <c r="B106" s="36" t="s">
        <v>109</v>
      </c>
      <c r="C106" s="37" t="s">
        <v>31</v>
      </c>
      <c r="D106" s="37">
        <v>3</v>
      </c>
      <c r="E106" s="19"/>
      <c r="F106" s="41">
        <f t="shared" si="3"/>
        <v>0</v>
      </c>
      <c r="G106" s="16"/>
    </row>
    <row r="107" spans="1:7" s="17" customFormat="1" ht="22.5" customHeight="1">
      <c r="A107" s="35">
        <f t="shared" si="2"/>
        <v>106</v>
      </c>
      <c r="B107" s="36" t="s">
        <v>110</v>
      </c>
      <c r="C107" s="37" t="s">
        <v>31</v>
      </c>
      <c r="D107" s="37">
        <v>2</v>
      </c>
      <c r="E107" s="19"/>
      <c r="F107" s="41">
        <f t="shared" si="3"/>
        <v>0</v>
      </c>
      <c r="G107" s="16"/>
    </row>
    <row r="108" spans="1:7" s="17" customFormat="1" ht="22.5" customHeight="1">
      <c r="A108" s="35">
        <f t="shared" si="2"/>
        <v>107</v>
      </c>
      <c r="B108" s="36" t="s">
        <v>111</v>
      </c>
      <c r="C108" s="37" t="s">
        <v>31</v>
      </c>
      <c r="D108" s="37">
        <v>3</v>
      </c>
      <c r="E108" s="19"/>
      <c r="F108" s="41">
        <f t="shared" si="3"/>
        <v>0</v>
      </c>
      <c r="G108" s="16"/>
    </row>
    <row r="109" spans="1:7" s="17" customFormat="1" ht="22.5" customHeight="1">
      <c r="A109" s="35">
        <f t="shared" si="2"/>
        <v>108</v>
      </c>
      <c r="B109" s="36" t="s">
        <v>112</v>
      </c>
      <c r="C109" s="37" t="s">
        <v>31</v>
      </c>
      <c r="D109" s="37">
        <v>5</v>
      </c>
      <c r="E109" s="19"/>
      <c r="F109" s="41">
        <f t="shared" si="3"/>
        <v>0</v>
      </c>
      <c r="G109" s="16"/>
    </row>
    <row r="110" spans="1:7" s="17" customFormat="1" ht="22.5" customHeight="1">
      <c r="A110" s="35">
        <f t="shared" si="2"/>
        <v>109</v>
      </c>
      <c r="B110" s="36" t="s">
        <v>113</v>
      </c>
      <c r="C110" s="37" t="s">
        <v>31</v>
      </c>
      <c r="D110" s="37">
        <v>20</v>
      </c>
      <c r="E110" s="19"/>
      <c r="F110" s="41">
        <f t="shared" si="3"/>
        <v>0</v>
      </c>
      <c r="G110" s="16"/>
    </row>
    <row r="111" spans="1:7" s="17" customFormat="1" ht="22.5" customHeight="1">
      <c r="A111" s="35">
        <f t="shared" si="2"/>
        <v>110</v>
      </c>
      <c r="B111" s="36" t="s">
        <v>114</v>
      </c>
      <c r="C111" s="37" t="s">
        <v>31</v>
      </c>
      <c r="D111" s="37">
        <v>1</v>
      </c>
      <c r="E111" s="19"/>
      <c r="F111" s="41">
        <f t="shared" si="3"/>
        <v>0</v>
      </c>
      <c r="G111" s="16"/>
    </row>
    <row r="112" spans="1:7" s="17" customFormat="1" ht="22.5" customHeight="1">
      <c r="A112" s="35">
        <f t="shared" si="2"/>
        <v>111</v>
      </c>
      <c r="B112" s="36" t="s">
        <v>115</v>
      </c>
      <c r="C112" s="37" t="s">
        <v>31</v>
      </c>
      <c r="D112" s="37">
        <v>30</v>
      </c>
      <c r="E112" s="19"/>
      <c r="F112" s="41">
        <f t="shared" si="3"/>
        <v>0</v>
      </c>
      <c r="G112" s="16"/>
    </row>
    <row r="113" spans="1:7" s="17" customFormat="1" ht="22.5" customHeight="1">
      <c r="A113" s="35">
        <f t="shared" si="2"/>
        <v>112</v>
      </c>
      <c r="B113" s="36" t="s">
        <v>116</v>
      </c>
      <c r="C113" s="37" t="s">
        <v>31</v>
      </c>
      <c r="D113" s="37">
        <v>25</v>
      </c>
      <c r="E113" s="19"/>
      <c r="F113" s="41">
        <f t="shared" si="3"/>
        <v>0</v>
      </c>
      <c r="G113" s="16"/>
    </row>
    <row r="114" spans="1:7" s="17" customFormat="1" ht="22.5" customHeight="1">
      <c r="A114" s="35">
        <f t="shared" si="2"/>
        <v>113</v>
      </c>
      <c r="B114" s="36" t="s">
        <v>117</v>
      </c>
      <c r="C114" s="37" t="s">
        <v>31</v>
      </c>
      <c r="D114" s="37">
        <v>1</v>
      </c>
      <c r="E114" s="19"/>
      <c r="F114" s="41">
        <f t="shared" si="3"/>
        <v>0</v>
      </c>
      <c r="G114" s="16"/>
    </row>
    <row r="115" spans="1:7" s="17" customFormat="1" ht="22.5" customHeight="1">
      <c r="A115" s="35">
        <f t="shared" si="2"/>
        <v>114</v>
      </c>
      <c r="B115" s="36" t="s">
        <v>118</v>
      </c>
      <c r="C115" s="37" t="s">
        <v>31</v>
      </c>
      <c r="D115" s="37">
        <v>20</v>
      </c>
      <c r="E115" s="19"/>
      <c r="F115" s="41">
        <f t="shared" si="3"/>
        <v>0</v>
      </c>
      <c r="G115" s="16"/>
    </row>
    <row r="116" spans="1:7" s="17" customFormat="1" ht="22.5" customHeight="1">
      <c r="A116" s="35">
        <f t="shared" si="2"/>
        <v>115</v>
      </c>
      <c r="B116" s="36" t="s">
        <v>119</v>
      </c>
      <c r="C116" s="37" t="s">
        <v>5</v>
      </c>
      <c r="D116" s="37">
        <v>100</v>
      </c>
      <c r="E116" s="19"/>
      <c r="F116" s="41">
        <f t="shared" si="3"/>
        <v>0</v>
      </c>
      <c r="G116" s="16"/>
    </row>
    <row r="117" spans="1:7" s="17" customFormat="1" ht="22.5" customHeight="1">
      <c r="A117" s="35">
        <f t="shared" si="2"/>
        <v>116</v>
      </c>
      <c r="B117" s="36" t="s">
        <v>120</v>
      </c>
      <c r="C117" s="37" t="s">
        <v>31</v>
      </c>
      <c r="D117" s="37">
        <v>10</v>
      </c>
      <c r="E117" s="19"/>
      <c r="F117" s="41">
        <f t="shared" si="3"/>
        <v>0</v>
      </c>
      <c r="G117" s="16"/>
    </row>
    <row r="118" spans="1:7" s="17" customFormat="1" ht="22.5" customHeight="1">
      <c r="A118" s="35">
        <f t="shared" si="2"/>
        <v>117</v>
      </c>
      <c r="B118" s="36" t="s">
        <v>121</v>
      </c>
      <c r="C118" s="40" t="s">
        <v>5</v>
      </c>
      <c r="D118" s="40">
        <v>10</v>
      </c>
      <c r="E118" s="20"/>
      <c r="F118" s="41">
        <f t="shared" si="3"/>
        <v>0</v>
      </c>
      <c r="G118" s="16"/>
    </row>
    <row r="119" spans="1:7" s="17" customFormat="1" ht="22.5" customHeight="1">
      <c r="A119" s="35">
        <f t="shared" si="2"/>
        <v>118</v>
      </c>
      <c r="B119" s="36" t="s">
        <v>122</v>
      </c>
      <c r="C119" s="40" t="s">
        <v>5</v>
      </c>
      <c r="D119" s="40">
        <v>10</v>
      </c>
      <c r="E119" s="20"/>
      <c r="F119" s="41">
        <f t="shared" si="3"/>
        <v>0</v>
      </c>
      <c r="G119" s="16"/>
    </row>
    <row r="120" spans="1:7" s="17" customFormat="1" ht="22.5" customHeight="1">
      <c r="A120" s="35">
        <f t="shared" si="2"/>
        <v>119</v>
      </c>
      <c r="B120" s="36" t="s">
        <v>157</v>
      </c>
      <c r="C120" s="37" t="s">
        <v>5</v>
      </c>
      <c r="D120" s="37">
        <v>10</v>
      </c>
      <c r="E120" s="19"/>
      <c r="F120" s="41">
        <f t="shared" si="3"/>
        <v>0</v>
      </c>
      <c r="G120" s="16"/>
    </row>
    <row r="121" spans="1:7" s="17" customFormat="1" ht="22.5" customHeight="1">
      <c r="A121" s="35">
        <f t="shared" si="2"/>
        <v>120</v>
      </c>
      <c r="B121" s="36" t="s">
        <v>123</v>
      </c>
      <c r="C121" s="40" t="s">
        <v>5</v>
      </c>
      <c r="D121" s="40">
        <v>5</v>
      </c>
      <c r="E121" s="19"/>
      <c r="F121" s="41">
        <f t="shared" si="3"/>
        <v>0</v>
      </c>
      <c r="G121" s="16"/>
    </row>
    <row r="122" spans="1:7" s="17" customFormat="1" ht="22.5" customHeight="1">
      <c r="A122" s="35">
        <f t="shared" si="2"/>
        <v>121</v>
      </c>
      <c r="B122" s="36" t="s">
        <v>124</v>
      </c>
      <c r="C122" s="37" t="s">
        <v>5</v>
      </c>
      <c r="D122" s="37">
        <v>10</v>
      </c>
      <c r="E122" s="19"/>
      <c r="F122" s="41">
        <f t="shared" si="3"/>
        <v>0</v>
      </c>
      <c r="G122" s="16"/>
    </row>
    <row r="123" spans="1:7" s="17" customFormat="1" ht="22.5" customHeight="1">
      <c r="A123" s="35">
        <f t="shared" si="2"/>
        <v>122</v>
      </c>
      <c r="B123" s="36" t="s">
        <v>125</v>
      </c>
      <c r="C123" s="37" t="s">
        <v>5</v>
      </c>
      <c r="D123" s="37">
        <v>25</v>
      </c>
      <c r="E123" s="19"/>
      <c r="F123" s="41">
        <f t="shared" si="3"/>
        <v>0</v>
      </c>
      <c r="G123" s="16"/>
    </row>
    <row r="124" spans="1:7" s="17" customFormat="1" ht="22.5" customHeight="1">
      <c r="A124" s="35">
        <f t="shared" si="2"/>
        <v>123</v>
      </c>
      <c r="B124" s="36" t="s">
        <v>126</v>
      </c>
      <c r="C124" s="37" t="s">
        <v>16</v>
      </c>
      <c r="D124" s="37">
        <v>100</v>
      </c>
      <c r="E124" s="19"/>
      <c r="F124" s="41">
        <f t="shared" si="3"/>
        <v>0</v>
      </c>
      <c r="G124" s="16"/>
    </row>
    <row r="125" spans="1:7" s="17" customFormat="1" ht="22.5" customHeight="1">
      <c r="A125" s="35">
        <f t="shared" si="2"/>
        <v>124</v>
      </c>
      <c r="B125" s="36" t="s">
        <v>127</v>
      </c>
      <c r="C125" s="37" t="s">
        <v>16</v>
      </c>
      <c r="D125" s="37">
        <v>150</v>
      </c>
      <c r="E125" s="19"/>
      <c r="F125" s="41">
        <f t="shared" si="3"/>
        <v>0</v>
      </c>
      <c r="G125" s="16"/>
    </row>
    <row r="126" spans="1:7" s="17" customFormat="1" ht="22.5" customHeight="1">
      <c r="A126" s="35">
        <f t="shared" si="2"/>
        <v>125</v>
      </c>
      <c r="B126" s="36" t="s">
        <v>128</v>
      </c>
      <c r="C126" s="37" t="s">
        <v>31</v>
      </c>
      <c r="D126" s="37">
        <v>5</v>
      </c>
      <c r="E126" s="19"/>
      <c r="F126" s="41">
        <f t="shared" si="3"/>
        <v>0</v>
      </c>
      <c r="G126" s="16"/>
    </row>
    <row r="127" spans="1:7" s="17" customFormat="1" ht="22.5" customHeight="1">
      <c r="A127" s="35">
        <f t="shared" si="2"/>
        <v>126</v>
      </c>
      <c r="B127" s="36" t="s">
        <v>129</v>
      </c>
      <c r="C127" s="37" t="s">
        <v>130</v>
      </c>
      <c r="D127" s="37">
        <v>5</v>
      </c>
      <c r="E127" s="19"/>
      <c r="F127" s="41">
        <f t="shared" si="3"/>
        <v>0</v>
      </c>
      <c r="G127" s="16"/>
    </row>
    <row r="128" spans="1:7" s="17" customFormat="1" ht="22.5" customHeight="1">
      <c r="A128" s="35">
        <f t="shared" si="2"/>
        <v>127</v>
      </c>
      <c r="B128" s="36" t="s">
        <v>131</v>
      </c>
      <c r="C128" s="37" t="s">
        <v>130</v>
      </c>
      <c r="D128" s="37">
        <v>5</v>
      </c>
      <c r="E128" s="29"/>
      <c r="F128" s="41">
        <f t="shared" si="3"/>
        <v>0</v>
      </c>
      <c r="G128" s="16"/>
    </row>
    <row r="129" spans="1:7" s="17" customFormat="1" ht="22.5" customHeight="1">
      <c r="A129" s="35">
        <f t="shared" si="2"/>
        <v>128</v>
      </c>
      <c r="B129" s="36" t="s">
        <v>132</v>
      </c>
      <c r="C129" s="37" t="s">
        <v>80</v>
      </c>
      <c r="D129" s="37">
        <v>200</v>
      </c>
      <c r="E129" s="19"/>
      <c r="F129" s="41">
        <f t="shared" si="3"/>
        <v>0</v>
      </c>
      <c r="G129" s="16"/>
    </row>
    <row r="130" spans="1:7" s="17" customFormat="1" ht="22.5" customHeight="1">
      <c r="A130" s="35">
        <f t="shared" si="2"/>
        <v>129</v>
      </c>
      <c r="B130" s="36" t="s">
        <v>133</v>
      </c>
      <c r="C130" s="37" t="s">
        <v>31</v>
      </c>
      <c r="D130" s="37">
        <v>5</v>
      </c>
      <c r="E130" s="19"/>
      <c r="F130" s="41">
        <f t="shared" si="3"/>
        <v>0</v>
      </c>
      <c r="G130" s="16"/>
    </row>
    <row r="131" spans="1:7" s="17" customFormat="1" ht="22.5" customHeight="1">
      <c r="A131" s="35">
        <f t="shared" ref="A131:A146" si="4">1+A130</f>
        <v>130</v>
      </c>
      <c r="B131" s="36" t="s">
        <v>134</v>
      </c>
      <c r="C131" s="37" t="s">
        <v>31</v>
      </c>
      <c r="D131" s="37">
        <v>10</v>
      </c>
      <c r="E131" s="19"/>
      <c r="F131" s="41">
        <f t="shared" ref="F131" si="5">E131*D131</f>
        <v>0</v>
      </c>
      <c r="G131" s="16"/>
    </row>
    <row r="132" spans="1:7" s="17" customFormat="1" ht="22.5" customHeight="1">
      <c r="A132" s="35">
        <f t="shared" si="4"/>
        <v>131</v>
      </c>
      <c r="B132" s="36" t="s">
        <v>135</v>
      </c>
      <c r="C132" s="37" t="s">
        <v>136</v>
      </c>
      <c r="D132" s="37">
        <v>1</v>
      </c>
      <c r="E132" s="52">
        <v>20000</v>
      </c>
      <c r="F132" s="41">
        <v>20000</v>
      </c>
      <c r="G132" s="16"/>
    </row>
    <row r="133" spans="1:7" s="17" customFormat="1" ht="22.5" customHeight="1">
      <c r="A133" s="35">
        <f t="shared" si="4"/>
        <v>132</v>
      </c>
      <c r="B133" s="36" t="s">
        <v>137</v>
      </c>
      <c r="C133" s="37" t="s">
        <v>130</v>
      </c>
      <c r="D133" s="37">
        <v>200</v>
      </c>
      <c r="E133" s="19"/>
      <c r="F133" s="41">
        <f t="shared" ref="F133:F146" si="6">E133*D133</f>
        <v>0</v>
      </c>
      <c r="G133" s="16"/>
    </row>
    <row r="134" spans="1:7" s="17" customFormat="1" ht="22.5" customHeight="1">
      <c r="A134" s="35">
        <f t="shared" si="4"/>
        <v>133</v>
      </c>
      <c r="B134" s="36" t="s">
        <v>138</v>
      </c>
      <c r="C134" s="37" t="s">
        <v>31</v>
      </c>
      <c r="D134" s="37">
        <v>4</v>
      </c>
      <c r="E134" s="19"/>
      <c r="F134" s="41">
        <f t="shared" si="6"/>
        <v>0</v>
      </c>
      <c r="G134" s="16"/>
    </row>
    <row r="135" spans="1:7" s="17" customFormat="1" ht="22.5" customHeight="1">
      <c r="A135" s="35">
        <f t="shared" si="4"/>
        <v>134</v>
      </c>
      <c r="B135" s="36" t="s">
        <v>139</v>
      </c>
      <c r="C135" s="37" t="s">
        <v>80</v>
      </c>
      <c r="D135" s="37">
        <v>8</v>
      </c>
      <c r="E135" s="19"/>
      <c r="F135" s="41">
        <f t="shared" si="6"/>
        <v>0</v>
      </c>
      <c r="G135" s="16"/>
    </row>
    <row r="136" spans="1:7" s="17" customFormat="1" ht="22.5" customHeight="1">
      <c r="A136" s="35">
        <f t="shared" si="4"/>
        <v>135</v>
      </c>
      <c r="B136" s="36" t="s">
        <v>140</v>
      </c>
      <c r="C136" s="37" t="s">
        <v>80</v>
      </c>
      <c r="D136" s="37">
        <v>8</v>
      </c>
      <c r="E136" s="19"/>
      <c r="F136" s="41">
        <f t="shared" si="6"/>
        <v>0</v>
      </c>
      <c r="G136" s="16"/>
    </row>
    <row r="137" spans="1:7" s="17" customFormat="1" ht="22.5" customHeight="1">
      <c r="A137" s="35">
        <f t="shared" si="4"/>
        <v>136</v>
      </c>
      <c r="B137" s="36" t="s">
        <v>141</v>
      </c>
      <c r="C137" s="37" t="s">
        <v>80</v>
      </c>
      <c r="D137" s="37">
        <v>8</v>
      </c>
      <c r="E137" s="19"/>
      <c r="F137" s="41">
        <f t="shared" si="6"/>
        <v>0</v>
      </c>
      <c r="G137" s="16"/>
    </row>
    <row r="138" spans="1:7" s="17" customFormat="1" ht="22.5" customHeight="1">
      <c r="A138" s="35">
        <f t="shared" si="4"/>
        <v>137</v>
      </c>
      <c r="B138" s="36" t="s">
        <v>142</v>
      </c>
      <c r="C138" s="37" t="s">
        <v>80</v>
      </c>
      <c r="D138" s="37">
        <v>8</v>
      </c>
      <c r="E138" s="19"/>
      <c r="F138" s="41">
        <f t="shared" si="6"/>
        <v>0</v>
      </c>
      <c r="G138" s="16"/>
    </row>
    <row r="139" spans="1:7" s="17" customFormat="1" ht="22.5" customHeight="1">
      <c r="A139" s="35">
        <f t="shared" si="4"/>
        <v>138</v>
      </c>
      <c r="B139" s="36" t="s">
        <v>143</v>
      </c>
      <c r="C139" s="37" t="s">
        <v>80</v>
      </c>
      <c r="D139" s="37">
        <v>8</v>
      </c>
      <c r="E139" s="19"/>
      <c r="F139" s="41">
        <f t="shared" si="6"/>
        <v>0</v>
      </c>
      <c r="G139" s="16"/>
    </row>
    <row r="140" spans="1:7" s="17" customFormat="1" ht="22.5" customHeight="1">
      <c r="A140" s="35">
        <f t="shared" si="4"/>
        <v>139</v>
      </c>
      <c r="B140" s="36" t="s">
        <v>144</v>
      </c>
      <c r="C140" s="37" t="s">
        <v>80</v>
      </c>
      <c r="D140" s="37">
        <v>40</v>
      </c>
      <c r="E140" s="19"/>
      <c r="F140" s="41">
        <f t="shared" si="6"/>
        <v>0</v>
      </c>
      <c r="G140" s="16"/>
    </row>
    <row r="141" spans="1:7" s="17" customFormat="1" ht="22.5" customHeight="1">
      <c r="A141" s="35">
        <f t="shared" si="4"/>
        <v>140</v>
      </c>
      <c r="B141" s="36" t="s">
        <v>145</v>
      </c>
      <c r="C141" s="37" t="s">
        <v>16</v>
      </c>
      <c r="D141" s="37">
        <v>200</v>
      </c>
      <c r="E141" s="18"/>
      <c r="F141" s="41">
        <f t="shared" si="6"/>
        <v>0</v>
      </c>
      <c r="G141" s="16"/>
    </row>
    <row r="142" spans="1:7" s="17" customFormat="1" ht="22.5" customHeight="1">
      <c r="A142" s="35">
        <f t="shared" si="4"/>
        <v>141</v>
      </c>
      <c r="B142" s="36" t="s">
        <v>146</v>
      </c>
      <c r="C142" s="37" t="s">
        <v>31</v>
      </c>
      <c r="D142" s="37">
        <v>100</v>
      </c>
      <c r="E142" s="18"/>
      <c r="F142" s="41">
        <f t="shared" si="6"/>
        <v>0</v>
      </c>
      <c r="G142" s="16"/>
    </row>
    <row r="143" spans="1:7" s="17" customFormat="1" ht="22.5" customHeight="1">
      <c r="A143" s="35">
        <f t="shared" si="4"/>
        <v>142</v>
      </c>
      <c r="B143" s="36" t="s">
        <v>147</v>
      </c>
      <c r="C143" s="37" t="s">
        <v>16</v>
      </c>
      <c r="D143" s="37">
        <v>250</v>
      </c>
      <c r="E143" s="30"/>
      <c r="F143" s="41">
        <f t="shared" si="6"/>
        <v>0</v>
      </c>
      <c r="G143" s="16"/>
    </row>
    <row r="144" spans="1:7" s="17" customFormat="1" ht="22.5" customHeight="1">
      <c r="A144" s="35">
        <f t="shared" si="4"/>
        <v>143</v>
      </c>
      <c r="B144" s="36" t="s">
        <v>148</v>
      </c>
      <c r="C144" s="37" t="s">
        <v>11</v>
      </c>
      <c r="D144" s="37">
        <v>500</v>
      </c>
      <c r="E144" s="19"/>
      <c r="F144" s="41">
        <f t="shared" si="6"/>
        <v>0</v>
      </c>
      <c r="G144" s="16"/>
    </row>
    <row r="145" spans="1:14" s="17" customFormat="1" ht="22.5" customHeight="1">
      <c r="A145" s="35">
        <f t="shared" si="4"/>
        <v>144</v>
      </c>
      <c r="B145" s="36" t="s">
        <v>149</v>
      </c>
      <c r="C145" s="37" t="s">
        <v>150</v>
      </c>
      <c r="D145" s="37">
        <v>1</v>
      </c>
      <c r="E145" s="29"/>
      <c r="F145" s="41">
        <f t="shared" si="6"/>
        <v>0</v>
      </c>
      <c r="G145" s="16"/>
    </row>
    <row r="146" spans="1:14" s="17" customFormat="1" ht="22.5" customHeight="1">
      <c r="A146" s="35">
        <f t="shared" si="4"/>
        <v>145</v>
      </c>
      <c r="B146" s="36" t="s">
        <v>162</v>
      </c>
      <c r="C146" s="37" t="s">
        <v>150</v>
      </c>
      <c r="D146" s="37">
        <v>5</v>
      </c>
      <c r="E146" s="29"/>
      <c r="F146" s="41">
        <f t="shared" si="6"/>
        <v>0</v>
      </c>
      <c r="G146" s="16"/>
    </row>
    <row r="147" spans="1:14" s="16" customFormat="1" ht="22.5" customHeight="1">
      <c r="A147" s="43" t="s">
        <v>163</v>
      </c>
      <c r="B147" s="44"/>
      <c r="C147" s="44"/>
      <c r="D147" s="44"/>
      <c r="E147" s="45"/>
      <c r="F147" s="42">
        <f>SUM(F2:F146)</f>
        <v>20000</v>
      </c>
    </row>
    <row r="148" spans="1:14" s="4" customFormat="1" ht="22.5" customHeight="1">
      <c r="A148" s="31" t="s">
        <v>164</v>
      </c>
      <c r="B148" s="9"/>
      <c r="C148" s="9"/>
      <c r="D148" s="9"/>
      <c r="E148" s="9"/>
      <c r="F148" s="9"/>
    </row>
    <row r="149" spans="1:14" s="4" customFormat="1" ht="22.5" customHeight="1">
      <c r="A149" s="46" t="s">
        <v>166</v>
      </c>
      <c r="B149" s="47"/>
      <c r="C149" s="47"/>
      <c r="D149" s="47"/>
      <c r="E149" s="47"/>
      <c r="F149" s="47"/>
    </row>
    <row r="150" spans="1:14" s="3" customFormat="1" ht="22.5" customHeight="1">
      <c r="A150" s="10"/>
      <c r="B150" s="11"/>
      <c r="C150" s="11"/>
      <c r="D150" s="11"/>
      <c r="E150" s="11"/>
      <c r="F150" s="11"/>
      <c r="G150" s="2"/>
      <c r="N150" s="2"/>
    </row>
    <row r="151" spans="1:14" s="3" customFormat="1" ht="37.5" customHeight="1">
      <c r="A151" s="48" t="s">
        <v>151</v>
      </c>
      <c r="B151" s="49"/>
      <c r="C151" s="49"/>
      <c r="D151" s="49"/>
      <c r="E151" s="49"/>
      <c r="F151" s="49"/>
      <c r="G151" s="2"/>
      <c r="N151" s="2"/>
    </row>
    <row r="152" spans="1:14" s="3" customFormat="1" ht="22.5" customHeight="1">
      <c r="A152" s="50" t="s">
        <v>152</v>
      </c>
      <c r="B152" s="51"/>
      <c r="C152" s="51"/>
      <c r="D152" s="51"/>
      <c r="E152" s="51"/>
      <c r="F152" s="51"/>
    </row>
    <row r="153" spans="1:14" s="3" customFormat="1" ht="22.5" customHeight="1">
      <c r="A153" s="51"/>
      <c r="B153" s="51"/>
      <c r="C153" s="51"/>
      <c r="D153" s="51"/>
      <c r="E153" s="51"/>
      <c r="F153" s="51"/>
    </row>
    <row r="154" spans="1:14" s="3" customFormat="1" ht="22.5" customHeight="1">
      <c r="A154" s="5"/>
      <c r="B154" s="5"/>
      <c r="C154" s="5"/>
      <c r="D154" s="5"/>
      <c r="E154" s="5"/>
      <c r="F154" s="5"/>
    </row>
    <row r="155" spans="1:14" ht="22.5" customHeight="1">
      <c r="D155" s="7"/>
      <c r="E155" s="7"/>
    </row>
  </sheetData>
  <sheetProtection password="CB1C" sheet="1" objects="1" scenarios="1"/>
  <mergeCells count="4">
    <mergeCell ref="A147:E147"/>
    <mergeCell ref="A149:F149"/>
    <mergeCell ref="A151:F151"/>
    <mergeCell ref="A152:F153"/>
  </mergeCells>
  <printOptions horizontalCentered="1" verticalCentered="1"/>
  <pageMargins left="0.35" right="0.25" top="0.75" bottom="0.5" header="0.25" footer="0.25"/>
  <pageSetup scale="52" fitToHeight="3" orientation="portrait" verticalDpi="0" r:id="rId1"/>
  <headerFooter>
    <oddHeader>&amp;L&amp;"Arial,Regular"&amp;16 2013 ANNUAL STREET MAINTENANCE
PROJECT #13-02, CONTRACT CONTROL #13-98678
OPENING DATE: JULY 17, 2013 AT 2:00 P.M.&amp;C&amp;G&amp;R&amp;"Arial,Regular"&amp;16CITY OF FARMINGTON, NM
BID  PROPOSAL, FORM AF-3</oddHeader>
    <oddFooter>&amp;C&amp;P</oddFooter>
  </headerFooter>
  <rowBreaks count="2" manualBreakCount="2">
    <brk id="55" max="5" man="1"/>
    <brk id="105" max="5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Bid Proposal.</vt:lpstr>
      <vt:lpstr>'Bid Proposal.'!Print_Area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2013-07-23T16:55:31Z</dcterms:modified>
</cp:coreProperties>
</file>