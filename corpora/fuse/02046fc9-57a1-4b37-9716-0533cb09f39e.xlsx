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4.xml" ContentType="application/vnd.openxmlformats-officedocument.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drawings/drawing5.xml" ContentType="application/vnd.openxmlformats-officedocument.drawing+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10" yWindow="420" windowWidth="18315" windowHeight="10950"/>
  </bookViews>
  <sheets>
    <sheet name="MENU" sheetId="23" r:id="rId1"/>
    <sheet name="Arts" sheetId="17" r:id="rId2"/>
    <sheet name="Science" sheetId="19" r:id="rId3"/>
    <sheet name="Courses" sheetId="31" r:id="rId4"/>
    <sheet name="Help" sheetId="30" r:id="rId5"/>
    <sheet name="M1" sheetId="10" state="hidden" r:id="rId6"/>
    <sheet name="M2" sheetId="20" state="hidden" r:id="rId7"/>
  </sheets>
  <definedNames>
    <definedName name="AALink">Arts!$C$4</definedName>
    <definedName name="ASLink">Science!$C$4</definedName>
    <definedName name="CATA">'M1'!$A$4:$A$9</definedName>
    <definedName name="CATB">'M1'!$B$4:$B$10</definedName>
    <definedName name="CATC">'M1'!$C$4:$C$43</definedName>
    <definedName name="CATD">'M1'!$D$4:$D$90</definedName>
    <definedName name="CATE">'M1'!$E$4:$E$66</definedName>
    <definedName name="CATF">'M1'!$F$4:$F$32</definedName>
    <definedName name="CATG">'M1'!$G$4:$G$81</definedName>
    <definedName name="CATH">'M1'!$H$4:$H$31</definedName>
    <definedName name="CATI">'M1'!$I$4:$I$89</definedName>
    <definedName name="CATJ">'M1'!$J$4:$J$322</definedName>
    <definedName name="CATK">'M1'!$K$4:$K$127</definedName>
    <definedName name="CATL">'M1'!$L$4:$L$192</definedName>
    <definedName name="CATM">'M1'!$M$4:$M$41</definedName>
    <definedName name="CREDIT">'M2'!$K$5:$K$9</definedName>
    <definedName name="GPACredit">'M2'!$K$25:$K$29</definedName>
    <definedName name="GPAGrade">'M2'!$J$26:$J$30</definedName>
    <definedName name="GRADE">'M2'!$J$5:$J$12</definedName>
    <definedName name="MENU">MENU!$I$10</definedName>
    <definedName name="_xlnm.Print_Area" localSheetId="1">Arts!$B$2:$K$48</definedName>
    <definedName name="_xlnm.Print_Area" localSheetId="2">Science!$B$2:$K$46</definedName>
    <definedName name="STATUS">'M2'!$L$5:$L$8</definedName>
  </definedNames>
  <calcPr calcId="145621"/>
</workbook>
</file>

<file path=xl/calcChain.xml><?xml version="1.0" encoding="utf-8"?>
<calcChain xmlns="http://schemas.openxmlformats.org/spreadsheetml/2006/main">
  <c r="J24" i="19" l="1"/>
  <c r="J17" i="19"/>
  <c r="J7" i="19"/>
  <c r="J26" i="17"/>
  <c r="J19" i="17"/>
  <c r="J7" i="17"/>
  <c r="G31" i="19" l="1"/>
  <c r="G33" i="17"/>
</calcChain>
</file>

<file path=xl/comments1.xml><?xml version="1.0" encoding="utf-8"?>
<comments xmlns="http://schemas.openxmlformats.org/spreadsheetml/2006/main">
  <authors>
    <author>user</author>
  </authors>
  <commentList>
    <comment ref="C5" authorId="0">
      <text>
        <r>
          <rPr>
            <b/>
            <u/>
            <sz val="8"/>
            <color indexed="81"/>
            <rFont val="Tahoma"/>
            <family val="2"/>
          </rPr>
          <t>ID</t>
        </r>
        <r>
          <rPr>
            <b/>
            <sz val="8"/>
            <color indexed="81"/>
            <rFont val="Tahoma"/>
            <family val="2"/>
          </rPr>
          <t xml:space="preserve">
</t>
        </r>
        <r>
          <rPr>
            <sz val="8"/>
            <color indexed="81"/>
            <rFont val="Tahoma"/>
            <family val="2"/>
          </rPr>
          <t>Enter the student's PeopleSoft ID number.</t>
        </r>
      </text>
    </comment>
  </commentList>
</comments>
</file>

<file path=xl/sharedStrings.xml><?xml version="1.0" encoding="utf-8"?>
<sst xmlns="http://schemas.openxmlformats.org/spreadsheetml/2006/main" count="1285" uniqueCount="421">
  <si>
    <t>NAME:</t>
  </si>
  <si>
    <t>DATE:</t>
  </si>
  <si>
    <t>ID:</t>
  </si>
  <si>
    <t>Hours:</t>
  </si>
  <si>
    <t>/33</t>
  </si>
  <si>
    <t>Course</t>
  </si>
  <si>
    <t>Credit</t>
  </si>
  <si>
    <t>Grade</t>
  </si>
  <si>
    <t>/15</t>
  </si>
  <si>
    <t>CATEGORY III:  Electives</t>
  </si>
  <si>
    <t>/12</t>
  </si>
  <si>
    <t>Total Credits:</t>
  </si>
  <si>
    <t>Earned Credits:</t>
  </si>
  <si>
    <t>Additional Credits:</t>
  </si>
  <si>
    <t>Credits IPS:</t>
  </si>
  <si>
    <t>1.  Student must take one approved Cultural Studies course.</t>
  </si>
  <si>
    <t>3.  Student must take at least one Science Lab.</t>
  </si>
  <si>
    <t>5.  Student must earn a minimum of sixty (60) credit hours for a degree.</t>
  </si>
  <si>
    <t>/60</t>
  </si>
  <si>
    <t>/4.0</t>
  </si>
  <si>
    <t>Notes</t>
  </si>
  <si>
    <t>Auditor:</t>
  </si>
  <si>
    <t>E-mail:</t>
  </si>
  <si>
    <t>TRN</t>
  </si>
  <si>
    <t>IPS</t>
  </si>
  <si>
    <t>CATA</t>
  </si>
  <si>
    <t>CATC</t>
  </si>
  <si>
    <t>CATD</t>
  </si>
  <si>
    <t>CATE</t>
  </si>
  <si>
    <t>CATF</t>
  </si>
  <si>
    <t>CATG</t>
  </si>
  <si>
    <t>CATH</t>
  </si>
  <si>
    <t>CATI</t>
  </si>
  <si>
    <t>CATJ</t>
  </si>
  <si>
    <t>CATK</t>
  </si>
  <si>
    <t>CATL</t>
  </si>
  <si>
    <t>CATM</t>
  </si>
  <si>
    <t>CATN</t>
  </si>
  <si>
    <t>CATEGORIES</t>
  </si>
  <si>
    <t>ENG 101</t>
  </si>
  <si>
    <t>COM 181</t>
  </si>
  <si>
    <t>ANA 209</t>
  </si>
  <si>
    <t>AGR 101</t>
  </si>
  <si>
    <t>FLK 276</t>
  </si>
  <si>
    <t xml:space="preserve">CATA </t>
  </si>
  <si>
    <t>ENG 102</t>
  </si>
  <si>
    <t>COM 252</t>
  </si>
  <si>
    <t>MA 110</t>
  </si>
  <si>
    <t>AST 101</t>
  </si>
  <si>
    <t>ANT 101</t>
  </si>
  <si>
    <t>HIS 101</t>
  </si>
  <si>
    <t>ART 100</t>
  </si>
  <si>
    <t>CATB</t>
  </si>
  <si>
    <t>ENG 105</t>
  </si>
  <si>
    <t>COM 281</t>
  </si>
  <si>
    <t>MA 111</t>
  </si>
  <si>
    <t>HIS 102</t>
  </si>
  <si>
    <t>ART 104</t>
  </si>
  <si>
    <t>ANT 160</t>
  </si>
  <si>
    <t>COM 287</t>
  </si>
  <si>
    <t>MA 112</t>
  </si>
  <si>
    <t>AST 191</t>
  </si>
  <si>
    <t>HIS 104</t>
  </si>
  <si>
    <t>ART 105</t>
  </si>
  <si>
    <t>ANT 220</t>
  </si>
  <si>
    <t>MA 113</t>
  </si>
  <si>
    <t>AST 192</t>
  </si>
  <si>
    <t>HIS 105</t>
  </si>
  <si>
    <t>ART 106</t>
  </si>
  <si>
    <t>ANT 221</t>
  </si>
  <si>
    <t>MA 114</t>
  </si>
  <si>
    <t>HIS 106</t>
  </si>
  <si>
    <t>ART 201</t>
  </si>
  <si>
    <t>ANT 235</t>
  </si>
  <si>
    <t>MA 123</t>
  </si>
  <si>
    <t>BIO 112</t>
  </si>
  <si>
    <t>HIS 107</t>
  </si>
  <si>
    <t>ART 203</t>
  </si>
  <si>
    <t>ANT 241</t>
  </si>
  <si>
    <t>Heritage</t>
  </si>
  <si>
    <t>MA 162</t>
  </si>
  <si>
    <t>HIS 108</t>
  </si>
  <si>
    <t>ART 204</t>
  </si>
  <si>
    <t>ANT 242</t>
  </si>
  <si>
    <t>Humanities</t>
  </si>
  <si>
    <t>MA 201</t>
  </si>
  <si>
    <t>BIO 114</t>
  </si>
  <si>
    <t>HIS 109</t>
  </si>
  <si>
    <t>ENG 135</t>
  </si>
  <si>
    <t>FRE 101</t>
  </si>
  <si>
    <t>Foreign Language</t>
  </si>
  <si>
    <t>MA 202</t>
  </si>
  <si>
    <t>HIS 120</t>
  </si>
  <si>
    <t>ENG 161</t>
  </si>
  <si>
    <t>FRE 102</t>
  </si>
  <si>
    <t>Cultural Studies</t>
  </si>
  <si>
    <t>MA 213</t>
  </si>
  <si>
    <t>BIO 116</t>
  </si>
  <si>
    <t>COM 101</t>
  </si>
  <si>
    <t>HIS 202</t>
  </si>
  <si>
    <t>ENG 221</t>
  </si>
  <si>
    <t>FRE 201</t>
  </si>
  <si>
    <t>General Education</t>
  </si>
  <si>
    <t>MA 214</t>
  </si>
  <si>
    <t>HIS 203</t>
  </si>
  <si>
    <t>ENG 222</t>
  </si>
  <si>
    <t>FRE 202</t>
  </si>
  <si>
    <t>MA 241</t>
  </si>
  <si>
    <t>BIO 118</t>
  </si>
  <si>
    <t>COM 254</t>
  </si>
  <si>
    <t>HIS 206</t>
  </si>
  <si>
    <t>ENG 230</t>
  </si>
  <si>
    <t>GER 101</t>
  </si>
  <si>
    <t>MAT 146*</t>
  </si>
  <si>
    <t>BIO 120</t>
  </si>
  <si>
    <t>ECO 101</t>
  </si>
  <si>
    <t>HIS 207</t>
  </si>
  <si>
    <t>ENG 231</t>
  </si>
  <si>
    <t>GER 102</t>
  </si>
  <si>
    <t>MAT 150</t>
  </si>
  <si>
    <t>ECO 201</t>
  </si>
  <si>
    <t>HIS 240</t>
  </si>
  <si>
    <t>ENG 232</t>
  </si>
  <si>
    <t>GER 201</t>
  </si>
  <si>
    <t>Science Lab</t>
  </si>
  <si>
    <t>MAT 155</t>
  </si>
  <si>
    <t>BIO 122</t>
  </si>
  <si>
    <t>ECO 202</t>
  </si>
  <si>
    <t>HIS 247</t>
  </si>
  <si>
    <t>ENG 233</t>
  </si>
  <si>
    <t>GER 202</t>
  </si>
  <si>
    <t>CHE 130</t>
  </si>
  <si>
    <t>Do not edit this section.</t>
  </si>
  <si>
    <t>MAT 160</t>
  </si>
  <si>
    <t>BIO 124</t>
  </si>
  <si>
    <t>FAM 252</t>
  </si>
  <si>
    <t>HIS 248</t>
  </si>
  <si>
    <t>ENG 234</t>
  </si>
  <si>
    <t>JPN 101</t>
  </si>
  <si>
    <t>MAT 165</t>
  </si>
  <si>
    <t>BIO 130</t>
  </si>
  <si>
    <t>FAM 253</t>
  </si>
  <si>
    <t>HIS 254</t>
  </si>
  <si>
    <t>ENG 251</t>
  </si>
  <si>
    <t>JPN 102</t>
  </si>
  <si>
    <t>MISC MASTER DATA</t>
  </si>
  <si>
    <t>MAT 170</t>
  </si>
  <si>
    <t>FLK 280</t>
  </si>
  <si>
    <t>HIS 260</t>
  </si>
  <si>
    <t>ENG 252</t>
  </si>
  <si>
    <t>RAE 150</t>
  </si>
  <si>
    <t>MAT 175</t>
  </si>
  <si>
    <t>GEN 140</t>
  </si>
  <si>
    <t>HIS 261</t>
  </si>
  <si>
    <t>ENG 261</t>
  </si>
  <si>
    <t>RAE 151</t>
  </si>
  <si>
    <t>Credits</t>
  </si>
  <si>
    <t>Completion</t>
  </si>
  <si>
    <t>MAT 185</t>
  </si>
  <si>
    <t>GEN 225</t>
  </si>
  <si>
    <t>HIS 265</t>
  </si>
  <si>
    <t>ENG 262</t>
  </si>
  <si>
    <t>ENG 264</t>
  </si>
  <si>
    <t>MAT 275</t>
  </si>
  <si>
    <t>BIO 140</t>
  </si>
  <si>
    <t>GEO 152</t>
  </si>
  <si>
    <t>HIS 270</t>
  </si>
  <si>
    <t>A</t>
  </si>
  <si>
    <t>Complete</t>
  </si>
  <si>
    <t>MAT 285</t>
  </si>
  <si>
    <t>GEO 160</t>
  </si>
  <si>
    <t>HIS 271</t>
  </si>
  <si>
    <t>ENG 270</t>
  </si>
  <si>
    <t>B</t>
  </si>
  <si>
    <t>Incomplete</t>
  </si>
  <si>
    <t>BIO 142</t>
  </si>
  <si>
    <t>GEO 172</t>
  </si>
  <si>
    <t>HIS 295</t>
  </si>
  <si>
    <t>ENG 271</t>
  </si>
  <si>
    <t>C</t>
  </si>
  <si>
    <t>GEO 210</t>
  </si>
  <si>
    <t>HIS 296</t>
  </si>
  <si>
    <t>SPA 101</t>
  </si>
  <si>
    <t>D</t>
  </si>
  <si>
    <t>BIO 144</t>
  </si>
  <si>
    <t>GEO 222</t>
  </si>
  <si>
    <t>SPA 102</t>
  </si>
  <si>
    <t>P</t>
  </si>
  <si>
    <t>BIO 150</t>
  </si>
  <si>
    <t>GEO 240</t>
  </si>
  <si>
    <t>SPA 201</t>
  </si>
  <si>
    <t>GEN 125</t>
  </si>
  <si>
    <t>SPA 202</t>
  </si>
  <si>
    <t>BIO 152</t>
  </si>
  <si>
    <t>HUM 135</t>
  </si>
  <si>
    <t>HON 101</t>
  </si>
  <si>
    <t>HUM 202</t>
  </si>
  <si>
    <t>HON 102</t>
  </si>
  <si>
    <t>HUM 203</t>
  </si>
  <si>
    <t>HON 201</t>
  </si>
  <si>
    <t>BIO 220</t>
  </si>
  <si>
    <t>HUM 204</t>
  </si>
  <si>
    <t>HON 202</t>
  </si>
  <si>
    <t>TRN = Transfer Class</t>
  </si>
  <si>
    <t>HUM 221</t>
  </si>
  <si>
    <t>HRS 101</t>
  </si>
  <si>
    <t>PHY 231</t>
  </si>
  <si>
    <t>IPS = Class In Progress Or Scheduled</t>
  </si>
  <si>
    <t>BIO 226</t>
  </si>
  <si>
    <t>POL 101</t>
  </si>
  <si>
    <t>HRS 102</t>
  </si>
  <si>
    <t>PHY 232</t>
  </si>
  <si>
    <t>POL 210</t>
  </si>
  <si>
    <t>HRS 201</t>
  </si>
  <si>
    <t>POL 212</t>
  </si>
  <si>
    <t>HRS 202</t>
  </si>
  <si>
    <t>POL 235</t>
  </si>
  <si>
    <t>HUM 120</t>
  </si>
  <si>
    <t>SCI 295</t>
  </si>
  <si>
    <t>CHE 120</t>
  </si>
  <si>
    <t>POL 255</t>
  </si>
  <si>
    <t>HUM 121</t>
  </si>
  <si>
    <t>HUM 150</t>
  </si>
  <si>
    <t>CHE 140</t>
  </si>
  <si>
    <t>PSY 110</t>
  </si>
  <si>
    <t>PSY 180</t>
  </si>
  <si>
    <t>CHE 150</t>
  </si>
  <si>
    <t>PSY 185</t>
  </si>
  <si>
    <t>PSY 223</t>
  </si>
  <si>
    <t>HUM 220</t>
  </si>
  <si>
    <t>CHE 170</t>
  </si>
  <si>
    <t>PSY 230</t>
  </si>
  <si>
    <t>HUM 230</t>
  </si>
  <si>
    <t>PSY 297</t>
  </si>
  <si>
    <t>HUM 250</t>
  </si>
  <si>
    <t>CHE 180</t>
  </si>
  <si>
    <t>RAE 120</t>
  </si>
  <si>
    <t>HUM 251</t>
  </si>
  <si>
    <t>REL 101</t>
  </si>
  <si>
    <t>CHE 270</t>
  </si>
  <si>
    <t>SOC 101</t>
  </si>
  <si>
    <t>MU 101</t>
  </si>
  <si>
    <t>SOC 151</t>
  </si>
  <si>
    <t>MUS 100</t>
  </si>
  <si>
    <t>CHE 280</t>
  </si>
  <si>
    <t>SOC 152</t>
  </si>
  <si>
    <t>MUS 104</t>
  </si>
  <si>
    <t>SOC 220</t>
  </si>
  <si>
    <t>MUS 206</t>
  </si>
  <si>
    <t>SOC 235</t>
  </si>
  <si>
    <t>MUS 207</t>
  </si>
  <si>
    <t>EST 160</t>
  </si>
  <si>
    <t>MUS 208</t>
  </si>
  <si>
    <t>GEO 130</t>
  </si>
  <si>
    <t>SOC 260</t>
  </si>
  <si>
    <t>GEO 251</t>
  </si>
  <si>
    <t>SPA 115</t>
  </si>
  <si>
    <t>MUS 222</t>
  </si>
  <si>
    <t>GLY 101</t>
  </si>
  <si>
    <t>SWK 275</t>
  </si>
  <si>
    <t>PHI 100</t>
  </si>
  <si>
    <t>GLY 102</t>
  </si>
  <si>
    <t>WGS 200</t>
  </si>
  <si>
    <t>PHI 110</t>
  </si>
  <si>
    <t>GLY 110</t>
  </si>
  <si>
    <t>PHI 120</t>
  </si>
  <si>
    <t>PHI 130</t>
  </si>
  <si>
    <t>PHI 140</t>
  </si>
  <si>
    <t>GLY 130</t>
  </si>
  <si>
    <t>PHI 150</t>
  </si>
  <si>
    <t>PHI 260</t>
  </si>
  <si>
    <t>PGY 206</t>
  </si>
  <si>
    <t>PHI 270</t>
  </si>
  <si>
    <t>PHY 151</t>
  </si>
  <si>
    <t>PHY 152</t>
  </si>
  <si>
    <t>THA 101</t>
  </si>
  <si>
    <t>THA 200</t>
  </si>
  <si>
    <t>THA 283</t>
  </si>
  <si>
    <t>WGS 201</t>
  </si>
  <si>
    <t>PHY 201</t>
  </si>
  <si>
    <t>PHY 203</t>
  </si>
  <si>
    <t>STA 200</t>
  </si>
  <si>
    <t>STA 210</t>
  </si>
  <si>
    <t>STA 220</t>
  </si>
  <si>
    <t>STA 291</t>
  </si>
  <si>
    <t>ASL 101</t>
  </si>
  <si>
    <t>ASL 102</t>
  </si>
  <si>
    <t>ASL 201</t>
  </si>
  <si>
    <t>ASL 202</t>
  </si>
  <si>
    <t>SED 101</t>
  </si>
  <si>
    <t>SED 102</t>
  </si>
  <si>
    <t>SED 203</t>
  </si>
  <si>
    <t>SED 204</t>
  </si>
  <si>
    <t>Natural Sciences</t>
  </si>
  <si>
    <t>6.  Student must earn at least fifteen (15) credit hours at BCTC.</t>
  </si>
  <si>
    <t>7.  Student must have a cumulative GPA of 2.0 to earn a degree.</t>
  </si>
  <si>
    <t>TRN ENG</t>
  </si>
  <si>
    <t>Communication</t>
  </si>
  <si>
    <t>TRN GEN I</t>
  </si>
  <si>
    <t>TRN GEN II</t>
  </si>
  <si>
    <t>TRN SCI</t>
  </si>
  <si>
    <t>TRN HUM</t>
  </si>
  <si>
    <t>TRN SOCIAL</t>
  </si>
  <si>
    <t>TRN SCILAB</t>
  </si>
  <si>
    <t>TRN MATH</t>
  </si>
  <si>
    <t>Electives</t>
  </si>
  <si>
    <t>TRN HER</t>
  </si>
  <si>
    <t>Associate In Arts</t>
  </si>
  <si>
    <t>Associate In Science</t>
  </si>
  <si>
    <t>TRN COM</t>
  </si>
  <si>
    <t>MAT 159</t>
  </si>
  <si>
    <t>MAT 174</t>
  </si>
  <si>
    <t>MAT 206</t>
  </si>
  <si>
    <t>MAT 154</t>
  </si>
  <si>
    <t>MAT 184</t>
  </si>
  <si>
    <t>ECO 150</t>
  </si>
  <si>
    <t>ART 202</t>
  </si>
  <si>
    <t>HUM 140</t>
  </si>
  <si>
    <t>TRN FORLANG</t>
  </si>
  <si>
    <t>HNR 101</t>
  </si>
  <si>
    <t>CATEGORY I:  General Education Core</t>
  </si>
  <si>
    <t>CATEGORY II:  Associate In Arts Requirements</t>
  </si>
  <si>
    <t>Social &amp; Behavioral Sciences (9)</t>
  </si>
  <si>
    <t>Natural Sciences (3)</t>
  </si>
  <si>
    <t>Quantitative Reasoning (3)</t>
  </si>
  <si>
    <t>Electives (15)</t>
  </si>
  <si>
    <t>4.  Student must demonstrate Computer Literacy.</t>
  </si>
  <si>
    <t>Quantitative Reasoning /Natural Sciences (3)</t>
  </si>
  <si>
    <t>Communication - Written (6)</t>
  </si>
  <si>
    <t>Communication - Oral (3)</t>
  </si>
  <si>
    <t>Arts &amp; Humanities - Heritage (3)</t>
  </si>
  <si>
    <t>Arts &amp; Humanities - Humanities (3)</t>
  </si>
  <si>
    <t>2.  Student must take Social &amp; Behavioral Science courses from at least two disciplines.</t>
  </si>
  <si>
    <t>Arts &amp; Humanities/Social &amp; Behavioral Sciences/Foreign Language (6)</t>
  </si>
  <si>
    <t>Social &amp; Behavioral Sciences (6)</t>
  </si>
  <si>
    <t>Natural Sciences (6)</t>
  </si>
  <si>
    <t>Quantitative Reasoning (6)</t>
  </si>
  <si>
    <t>Quantitative Reasoning/Natural Sciences (6)</t>
  </si>
  <si>
    <t>General Education Core/Foreign Languages (6)</t>
  </si>
  <si>
    <t>CATEGORY II:  Associate In Science Requirements</t>
  </si>
  <si>
    <t>Credits Summary</t>
  </si>
  <si>
    <t>Quantitative Reasoning</t>
  </si>
  <si>
    <t>Social &amp; Behavioral Sciences</t>
  </si>
  <si>
    <t>Natural Sciences &amp; Quantitative Reasoning</t>
  </si>
  <si>
    <t>Communication - Written</t>
  </si>
  <si>
    <t>Communication - Oral</t>
  </si>
  <si>
    <t>Arts &amp; Humanities - Heritage</t>
  </si>
  <si>
    <t>Arts &amp; Humanities - Humanities</t>
  </si>
  <si>
    <t>Additional Graduation Requirements</t>
  </si>
  <si>
    <t>Written</t>
  </si>
  <si>
    <t>MA 193</t>
  </si>
  <si>
    <t>MA 194</t>
  </si>
  <si>
    <t>PSY 298</t>
  </si>
  <si>
    <t>AST 195L</t>
  </si>
  <si>
    <t>BIO 113L</t>
  </si>
  <si>
    <t>BIO 115L</t>
  </si>
  <si>
    <t>BIO 117L</t>
  </si>
  <si>
    <t>BIO 121L</t>
  </si>
  <si>
    <t>BIO 135L</t>
  </si>
  <si>
    <t>BIO 137L</t>
  </si>
  <si>
    <t>BIO 139L</t>
  </si>
  <si>
    <t>BIO 141L</t>
  </si>
  <si>
    <t>BIO 143L</t>
  </si>
  <si>
    <t>BIO 151L</t>
  </si>
  <si>
    <t>BIO 153L</t>
  </si>
  <si>
    <t>BIO 209L</t>
  </si>
  <si>
    <t>BIO 225L</t>
  </si>
  <si>
    <t>BIO 227L</t>
  </si>
  <si>
    <t>CHE 125L</t>
  </si>
  <si>
    <t>CHE 145L</t>
  </si>
  <si>
    <t>CHE 155L</t>
  </si>
  <si>
    <t>CHE 175L</t>
  </si>
  <si>
    <t>CHE 185L</t>
  </si>
  <si>
    <t>CHE 275L</t>
  </si>
  <si>
    <t>CHE 285L</t>
  </si>
  <si>
    <t>EST 150L</t>
  </si>
  <si>
    <t>GLY 111L</t>
  </si>
  <si>
    <t>GLY 112L</t>
  </si>
  <si>
    <t>GLY 220L</t>
  </si>
  <si>
    <t>PHY 160L</t>
  </si>
  <si>
    <t>PHY 161L</t>
  </si>
  <si>
    <t>PHY 162L</t>
  </si>
  <si>
    <t>PHY 202L</t>
  </si>
  <si>
    <t>PHY 204L</t>
  </si>
  <si>
    <t>PHY 241L</t>
  </si>
  <si>
    <t>PHY 242L</t>
  </si>
  <si>
    <t>Social &amp; Behavioral</t>
  </si>
  <si>
    <t>Natural Science</t>
  </si>
  <si>
    <t>Oral</t>
  </si>
  <si>
    <t>NS &amp; QR</t>
  </si>
  <si>
    <t>A&amp;H, SB, FL</t>
  </si>
  <si>
    <t>Arts &amp; Humanities, Social &amp; Behavioral Sciences, &amp; Foreign Languages</t>
  </si>
  <si>
    <t>Quantitative</t>
  </si>
  <si>
    <t>Reasoning</t>
  </si>
  <si>
    <t>Sciences</t>
  </si>
  <si>
    <t>Core</t>
  </si>
  <si>
    <t>E</t>
  </si>
  <si>
    <t>General Education Core/Foreign Language (6)</t>
  </si>
  <si>
    <t>HUM 160</t>
  </si>
  <si>
    <t>GEO 162</t>
  </si>
  <si>
    <t>GEO 163</t>
  </si>
  <si>
    <t>2013 - 2014</t>
  </si>
  <si>
    <t>MAT 261</t>
  </si>
  <si>
    <t>GLY 131L</t>
  </si>
  <si>
    <t>PHY 171L</t>
  </si>
  <si>
    <t>PHY 172L</t>
  </si>
  <si>
    <t>MA 109</t>
  </si>
  <si>
    <t>CHE 220L</t>
  </si>
  <si>
    <t>AST/BIO 155</t>
  </si>
  <si>
    <t>BIO/AST 155</t>
  </si>
  <si>
    <t>ANT/REL 130</t>
  </si>
  <si>
    <t>COM/SOC 249</t>
  </si>
  <si>
    <t>REL/ANT 130</t>
  </si>
  <si>
    <t>SOC/COM 249</t>
  </si>
  <si>
    <t>ENG/HUM 281</t>
  </si>
  <si>
    <t>ENG/HUM 282</t>
  </si>
  <si>
    <t>HUM/ENG 281</t>
  </si>
  <si>
    <t>HUM/ENG 282</t>
  </si>
  <si>
    <t>MAT 146 (AA)</t>
  </si>
  <si>
    <t>STA 215</t>
  </si>
  <si>
    <t>GEO 135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</si>
</sst>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mmmm\ d\,\ yyyy;@"/>
    <numFmt numFmtId="165" formatCode="0.000"/>
  </numFmts>
  <fonts count="16" x14ac:knownFonts="1">
    <font>
      <sz val="11"/>
      <color theme="1"/>
      <name val="Calibri"/>
      <family val="2"/>
      <scheme val="minor"/>
    </font>
    <font>
      <b/>
      <sz val="11"/>
      <color rgb="FF3F3F3F"/>
      <name val="Calibri"/>
      <family val="2"/>
      <scheme val="minor"/>
    </font>
    <font>
      <sz val="11"/>
      <color theme="0"/>
      <name val="Calibri"/>
      <family val="2"/>
      <scheme val="minor"/>
    </font>
    <font>
      <b/>
      <u/>
      <sz val="14"/>
      <color theme="1"/>
      <name val="Calibri"/>
      <family val="2"/>
      <scheme val="minor"/>
    </font>
    <font>
      <i/>
      <sz val="11"/>
      <color theme="1"/>
      <name val="Calibri"/>
      <family val="2"/>
      <scheme val="minor"/>
    </font>
    <font>
      <b/>
      <u/>
      <sz val="8"/>
      <color indexed="81"/>
      <name val="Tahoma"/>
      <family val="2"/>
    </font>
    <font>
      <b/>
      <sz val="8"/>
      <color indexed="81"/>
      <name val="Tahoma"/>
      <family val="2"/>
    </font>
    <font>
      <sz val="8"/>
      <color indexed="81"/>
      <name val="Tahoma"/>
      <family val="2"/>
    </font>
    <font>
      <b/>
      <sz val="11"/>
      <color theme="0"/>
      <name val="Calibri"/>
      <family val="2"/>
      <scheme val="minor"/>
    </font>
    <font>
      <b/>
      <sz val="11"/>
      <color theme="1"/>
      <name val="Calibri"/>
      <family val="2"/>
      <scheme val="minor"/>
    </font>
    <font>
      <b/>
      <u/>
      <sz val="11"/>
      <color theme="0"/>
      <name val="Calibri"/>
      <family val="2"/>
      <scheme val="minor"/>
    </font>
    <font>
      <sz val="15"/>
      <color theme="0"/>
      <name val="Calibri"/>
      <family val="2"/>
      <scheme val="minor"/>
    </font>
    <font>
      <sz val="15"/>
      <color theme="1"/>
      <name val="Calibri"/>
      <family val="2"/>
      <scheme val="minor"/>
    </font>
    <font>
      <sz val="8"/>
      <color theme="0"/>
      <name val="Calibri"/>
      <family val="2"/>
      <scheme val="minor"/>
    </font>
    <font>
      <sz val="11"/>
      <color theme="1"/>
      <name val="Calibri"/>
      <family val="2"/>
      <scheme val="minor"/>
    </font>
    <font>
      <b/>
      <u/>
      <sz val="16"/>
      <color theme="0"/>
      <name val="Calibri"/>
      <family val="2"/>
      <scheme val="minor"/>
    </font>
  </fonts>
  <fills count="12">
    <fill>
      <patternFill patternType="none"/>
    </fill>
    <fill>
      <patternFill patternType="gray125"/>
    </fill>
    <fill>
      <patternFill patternType="solid">
        <fgColor rgb="FFF2F2F2"/>
      </patternFill>
    </fill>
    <fill>
      <patternFill patternType="solid">
        <fgColor theme="1"/>
        <bgColor indexed="64"/>
      </patternFill>
    </fill>
    <fill>
      <patternFill patternType="solid">
        <fgColor theme="4"/>
      </patternFill>
    </fill>
    <fill>
      <patternFill patternType="solid">
        <fgColor theme="5"/>
      </patternFill>
    </fill>
    <fill>
      <patternFill patternType="solid">
        <fgColor theme="3" tint="0.39997558519241921"/>
        <bgColor indexed="64"/>
      </patternFill>
    </fill>
    <fill>
      <patternFill patternType="solid">
        <fgColor rgb="FFC00000"/>
        <bgColor indexed="64"/>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0070C0"/>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thin">
        <color rgb="FF3F3F3F"/>
      </top>
      <bottom/>
      <diagonal/>
    </border>
    <border>
      <left/>
      <right style="thin">
        <color rgb="FF3F3F3F"/>
      </right>
      <top style="thin">
        <color rgb="FF3F3F3F"/>
      </top>
      <bottom/>
      <diagonal/>
    </border>
    <border>
      <left/>
      <right/>
      <top style="thin">
        <color rgb="FF3F3F3F"/>
      </top>
      <bottom/>
      <diagonal/>
    </border>
  </borders>
  <cellStyleXfs count="4">
    <xf numFmtId="0" fontId="0" fillId="0" borderId="0"/>
    <xf numFmtId="0" fontId="1" fillId="2" borderId="1" applyNumberFormat="0" applyAlignment="0" applyProtection="0"/>
    <xf numFmtId="0" fontId="2" fillId="4" borderId="0" applyNumberFormat="0" applyBorder="0" applyAlignment="0" applyProtection="0"/>
    <xf numFmtId="0" fontId="2" fillId="5" borderId="0" applyNumberFormat="0" applyBorder="0" applyAlignment="0" applyProtection="0"/>
  </cellStyleXfs>
  <cellXfs count="107">
    <xf numFmtId="0" fontId="0" fillId="0" borderId="0" xfId="0"/>
    <xf numFmtId="0" fontId="0" fillId="3" borderId="0" xfId="0" applyFill="1"/>
    <xf numFmtId="0" fontId="1" fillId="2" borderId="1" xfId="1" applyProtection="1"/>
    <xf numFmtId="0" fontId="2" fillId="7" borderId="0" xfId="3" applyFill="1"/>
    <xf numFmtId="0" fontId="2" fillId="3" borderId="0" xfId="0" applyFont="1" applyFill="1"/>
    <xf numFmtId="0" fontId="8" fillId="3" borderId="0" xfId="0" applyFont="1" applyFill="1" applyAlignment="1">
      <alignment horizontal="left"/>
    </xf>
    <xf numFmtId="0" fontId="2" fillId="3" borderId="0" xfId="0" applyFont="1" applyFill="1" applyAlignment="1">
      <alignment horizontal="left"/>
    </xf>
    <xf numFmtId="0" fontId="0" fillId="3" borderId="0" xfId="0" applyFill="1" applyAlignment="1">
      <alignment horizontal="left"/>
    </xf>
    <xf numFmtId="0" fontId="1" fillId="2" borderId="1" xfId="1" applyAlignment="1" applyProtection="1">
      <alignment horizontal="center"/>
    </xf>
    <xf numFmtId="0" fontId="0" fillId="8" borderId="0" xfId="0" applyFill="1"/>
    <xf numFmtId="0" fontId="9" fillId="8" borderId="0" xfId="0" applyFont="1" applyFill="1"/>
    <xf numFmtId="0" fontId="4" fillId="8" borderId="0" xfId="0" applyFont="1" applyFill="1" applyProtection="1"/>
    <xf numFmtId="0" fontId="0" fillId="0" borderId="0" xfId="0" applyAlignment="1">
      <alignment vertical="top"/>
    </xf>
    <xf numFmtId="0" fontId="2" fillId="3" borderId="0" xfId="0" applyFont="1" applyFill="1" applyProtection="1"/>
    <xf numFmtId="0" fontId="0" fillId="8" borderId="0" xfId="0" applyFill="1" applyAlignment="1" applyProtection="1">
      <alignment horizontal="center"/>
    </xf>
    <xf numFmtId="0" fontId="0" fillId="8" borderId="0" xfId="0" applyFill="1" applyProtection="1"/>
    <xf numFmtId="0" fontId="1" fillId="2" borderId="1" xfId="1" applyAlignment="1" applyProtection="1">
      <alignment horizontal="center"/>
      <protection locked="0"/>
    </xf>
    <xf numFmtId="0" fontId="0" fillId="0" borderId="0" xfId="0" applyAlignment="1">
      <alignment horizontal="center"/>
    </xf>
    <xf numFmtId="0" fontId="2" fillId="3" borderId="0" xfId="2" applyFill="1" applyProtection="1"/>
    <xf numFmtId="0" fontId="0" fillId="0" borderId="0" xfId="0" applyFill="1"/>
    <xf numFmtId="0" fontId="1" fillId="2" borderId="1" xfId="1" applyAlignment="1" applyProtection="1">
      <protection locked="0"/>
    </xf>
    <xf numFmtId="0" fontId="0" fillId="8" borderId="0" xfId="0" applyFill="1" applyAlignment="1" applyProtection="1">
      <alignment horizontal="left"/>
    </xf>
    <xf numFmtId="0" fontId="0" fillId="8" borderId="0" xfId="0" applyFill="1" applyProtection="1"/>
    <xf numFmtId="165" fontId="1" fillId="2" borderId="1" xfId="1" applyNumberFormat="1" applyAlignment="1" applyProtection="1">
      <alignment horizontal="center"/>
      <protection locked="0"/>
    </xf>
    <xf numFmtId="0" fontId="12" fillId="0" borderId="0" xfId="0" applyFont="1"/>
    <xf numFmtId="0" fontId="10" fillId="3" borderId="0" xfId="0" applyFont="1" applyFill="1" applyAlignment="1">
      <alignment horizontal="center"/>
    </xf>
    <xf numFmtId="0" fontId="2" fillId="3" borderId="0" xfId="2" applyFill="1"/>
    <xf numFmtId="0" fontId="10" fillId="3" borderId="0" xfId="2" applyFont="1" applyFill="1"/>
    <xf numFmtId="0" fontId="10" fillId="3" borderId="0" xfId="0" applyFont="1" applyFill="1" applyAlignment="1">
      <alignment horizontal="left"/>
    </xf>
    <xf numFmtId="0" fontId="0" fillId="8" borderId="0" xfId="0" applyFill="1" applyAlignment="1" applyProtection="1">
      <alignment horizontal="center"/>
    </xf>
    <xf numFmtId="0" fontId="0" fillId="8" borderId="0" xfId="0" applyFill="1" applyProtection="1"/>
    <xf numFmtId="0" fontId="0" fillId="8" borderId="0" xfId="0" applyFill="1" applyProtection="1"/>
    <xf numFmtId="0" fontId="9" fillId="8" borderId="0" xfId="0" applyFont="1" applyFill="1" applyProtection="1"/>
    <xf numFmtId="0" fontId="1" fillId="2" borderId="1" xfId="1" applyAlignment="1" applyProtection="1">
      <alignment horizontal="center"/>
      <protection locked="0"/>
    </xf>
    <xf numFmtId="0" fontId="0" fillId="7" borderId="0" xfId="0" applyFill="1"/>
    <xf numFmtId="0" fontId="0" fillId="8" borderId="0" xfId="0" applyFill="1" applyProtection="1"/>
    <xf numFmtId="0" fontId="2" fillId="3" borderId="0" xfId="0" applyFont="1" applyFill="1" applyProtection="1"/>
    <xf numFmtId="0" fontId="0" fillId="8" borderId="0" xfId="0" applyFill="1" applyAlignment="1" applyProtection="1">
      <alignment horizontal="center"/>
    </xf>
    <xf numFmtId="0" fontId="1" fillId="2" borderId="1" xfId="1" applyAlignment="1" applyProtection="1">
      <alignment horizontal="center"/>
      <protection locked="0"/>
    </xf>
    <xf numFmtId="0" fontId="2" fillId="3" borderId="0" xfId="2" applyFill="1" applyProtection="1"/>
    <xf numFmtId="0" fontId="0" fillId="8" borderId="0" xfId="0" applyFill="1" applyAlignment="1">
      <alignment horizontal="center"/>
    </xf>
    <xf numFmtId="0" fontId="2" fillId="9" borderId="0" xfId="2" applyFill="1" applyAlignment="1">
      <alignment horizontal="center"/>
    </xf>
    <xf numFmtId="0" fontId="0" fillId="9" borderId="0" xfId="0" applyFill="1"/>
    <xf numFmtId="0" fontId="2" fillId="6" borderId="0" xfId="2" applyFill="1" applyAlignment="1">
      <alignment horizontal="center"/>
    </xf>
    <xf numFmtId="0" fontId="0" fillId="6" borderId="0" xfId="0" applyFill="1"/>
    <xf numFmtId="0" fontId="2" fillId="10" borderId="0" xfId="2" applyFill="1" applyAlignment="1">
      <alignment horizontal="center"/>
    </xf>
    <xf numFmtId="0" fontId="0" fillId="10" borderId="0" xfId="0" applyFill="1"/>
    <xf numFmtId="0" fontId="13" fillId="9" borderId="0" xfId="2" applyFont="1" applyFill="1" applyAlignment="1">
      <alignment horizontal="center"/>
    </xf>
    <xf numFmtId="0" fontId="13" fillId="6" borderId="0" xfId="2" applyFont="1" applyFill="1" applyAlignment="1">
      <alignment horizontal="center"/>
    </xf>
    <xf numFmtId="0" fontId="13" fillId="10" borderId="0" xfId="2" applyFont="1" applyFill="1" applyAlignment="1">
      <alignment horizontal="center"/>
    </xf>
    <xf numFmtId="0" fontId="1" fillId="2" borderId="1" xfId="1" applyAlignment="1" applyProtection="1">
      <alignment horizontal="center" shrinkToFit="1"/>
      <protection locked="0"/>
    </xf>
    <xf numFmtId="0" fontId="0" fillId="8" borderId="0" xfId="0" applyFill="1" applyAlignment="1" applyProtection="1">
      <alignment horizontal="center"/>
    </xf>
    <xf numFmtId="0" fontId="14" fillId="8" borderId="0" xfId="0" applyFont="1" applyFill="1"/>
    <xf numFmtId="0" fontId="1" fillId="2" borderId="1" xfId="1" applyAlignment="1" applyProtection="1">
      <alignment horizontal="center"/>
      <protection locked="0"/>
    </xf>
    <xf numFmtId="0" fontId="1" fillId="2" borderId="1" xfId="1" applyProtection="1">
      <protection locked="0"/>
    </xf>
    <xf numFmtId="0" fontId="2" fillId="3" borderId="6" xfId="0" applyFont="1" applyFill="1" applyBorder="1" applyAlignment="1" applyProtection="1">
      <alignment horizontal="left"/>
    </xf>
    <xf numFmtId="0" fontId="2" fillId="3" borderId="0" xfId="0" applyFont="1" applyFill="1" applyAlignment="1" applyProtection="1">
      <alignment horizontal="left"/>
    </xf>
    <xf numFmtId="0" fontId="0" fillId="11" borderId="0" xfId="0" applyFill="1"/>
    <xf numFmtId="0" fontId="11" fillId="11" borderId="0" xfId="2" applyFont="1" applyFill="1"/>
    <xf numFmtId="0" fontId="11" fillId="11" borderId="0" xfId="2" applyFont="1" applyFill="1" applyAlignment="1">
      <alignment horizontal="center"/>
    </xf>
    <xf numFmtId="0" fontId="2" fillId="11" borderId="0" xfId="2" applyFill="1" applyAlignment="1">
      <alignment horizontal="center"/>
    </xf>
    <xf numFmtId="0" fontId="2" fillId="11" borderId="0" xfId="2" applyFill="1" applyAlignment="1">
      <alignment horizontal="center" vertical="top"/>
    </xf>
    <xf numFmtId="0" fontId="2" fillId="11" borderId="0" xfId="2" applyFill="1"/>
    <xf numFmtId="0" fontId="2" fillId="11" borderId="0" xfId="2" applyFont="1" applyFill="1"/>
    <xf numFmtId="0" fontId="2" fillId="11" borderId="0" xfId="2" applyFill="1" applyAlignment="1">
      <alignment vertical="top"/>
    </xf>
    <xf numFmtId="0" fontId="1" fillId="2" borderId="1" xfId="1" applyBorder="1" applyAlignment="1" applyProtection="1">
      <protection locked="0"/>
    </xf>
    <xf numFmtId="0" fontId="0" fillId="11" borderId="0" xfId="0" applyFill="1"/>
    <xf numFmtId="0" fontId="12" fillId="11" borderId="0" xfId="0" applyFont="1" applyFill="1"/>
    <xf numFmtId="0" fontId="0" fillId="11" borderId="0" xfId="0" applyFill="1" applyAlignment="1">
      <alignment vertical="top"/>
    </xf>
    <xf numFmtId="0" fontId="0" fillId="11" borderId="0" xfId="0" applyFill="1"/>
    <xf numFmtId="0" fontId="2" fillId="10" borderId="0" xfId="0" applyFont="1" applyFill="1"/>
    <xf numFmtId="0" fontId="8" fillId="0" borderId="0" xfId="0" applyFont="1" applyFill="1"/>
    <xf numFmtId="0" fontId="2" fillId="0" borderId="0" xfId="0" applyFont="1" applyFill="1"/>
    <xf numFmtId="0" fontId="2" fillId="0" borderId="0" xfId="3" applyFill="1"/>
    <xf numFmtId="0" fontId="2" fillId="0" borderId="0" xfId="2" applyFill="1"/>
    <xf numFmtId="0" fontId="2" fillId="9" borderId="0" xfId="0" applyFont="1" applyFill="1"/>
    <xf numFmtId="0" fontId="2" fillId="6" borderId="0" xfId="0" applyFont="1" applyFill="1"/>
    <xf numFmtId="0" fontId="1" fillId="2" borderId="6" xfId="1" applyBorder="1" applyProtection="1">
      <protection locked="0"/>
    </xf>
    <xf numFmtId="0" fontId="1" fillId="2" borderId="8" xfId="1" applyBorder="1" applyProtection="1">
      <protection locked="0"/>
    </xf>
    <xf numFmtId="0" fontId="1" fillId="2" borderId="7" xfId="1" applyBorder="1" applyProtection="1">
      <protection locked="0"/>
    </xf>
    <xf numFmtId="0" fontId="1" fillId="2" borderId="3" xfId="1" applyBorder="1" applyProtection="1">
      <protection locked="0"/>
    </xf>
    <xf numFmtId="0" fontId="1" fillId="2" borderId="4" xfId="1" applyBorder="1" applyProtection="1">
      <protection locked="0"/>
    </xf>
    <xf numFmtId="0" fontId="1" fillId="2" borderId="5" xfId="1" applyBorder="1" applyProtection="1">
      <protection locked="0"/>
    </xf>
    <xf numFmtId="0" fontId="1" fillId="2" borderId="1" xfId="1" applyProtection="1">
      <protection locked="0"/>
    </xf>
    <xf numFmtId="0" fontId="1" fillId="2" borderId="1" xfId="1" applyAlignment="1" applyProtection="1">
      <alignment horizontal="left"/>
      <protection locked="0"/>
    </xf>
    <xf numFmtId="0" fontId="0" fillId="11" borderId="0" xfId="0" applyFill="1"/>
    <xf numFmtId="0" fontId="0" fillId="8" borderId="0" xfId="0" applyFill="1" applyProtection="1"/>
    <xf numFmtId="0" fontId="3" fillId="8" borderId="0" xfId="0" applyFont="1" applyFill="1" applyAlignment="1" applyProtection="1">
      <alignment horizontal="center"/>
    </xf>
    <xf numFmtId="0" fontId="9" fillId="8" borderId="0" xfId="0" applyFont="1" applyFill="1" applyAlignment="1" applyProtection="1">
      <alignment horizontal="center" vertical="top"/>
    </xf>
    <xf numFmtId="0" fontId="1" fillId="2" borderId="1" xfId="1" applyFont="1" applyProtection="1">
      <protection locked="0"/>
    </xf>
    <xf numFmtId="0" fontId="0" fillId="8" borderId="0" xfId="0" applyFill="1" applyAlignment="1" applyProtection="1">
      <alignment horizontal="center"/>
    </xf>
    <xf numFmtId="0" fontId="2" fillId="3" borderId="0" xfId="2" applyFill="1" applyProtection="1"/>
    <xf numFmtId="49" fontId="1" fillId="2" borderId="3" xfId="1" applyNumberFormat="1" applyFont="1" applyBorder="1" applyAlignment="1" applyProtection="1">
      <alignment horizontal="left"/>
      <protection locked="0"/>
    </xf>
    <xf numFmtId="49" fontId="1" fillId="2" borderId="5" xfId="1" applyNumberFormat="1" applyFont="1" applyBorder="1" applyAlignment="1" applyProtection="1">
      <alignment horizontal="left"/>
      <protection locked="0"/>
    </xf>
    <xf numFmtId="0" fontId="1" fillId="2" borderId="3" xfId="1" applyBorder="1" applyAlignment="1" applyProtection="1">
      <alignment horizontal="center"/>
      <protection locked="0"/>
    </xf>
    <xf numFmtId="0" fontId="1" fillId="2" borderId="5" xfId="1" applyBorder="1" applyAlignment="1" applyProtection="1">
      <alignment horizontal="center"/>
      <protection locked="0"/>
    </xf>
    <xf numFmtId="164" fontId="1" fillId="2" borderId="3" xfId="1" applyNumberFormat="1" applyFont="1" applyBorder="1" applyAlignment="1" applyProtection="1">
      <alignment horizontal="left"/>
      <protection locked="0"/>
    </xf>
    <xf numFmtId="164" fontId="1" fillId="2" borderId="5" xfId="1" applyNumberFormat="1" applyFont="1" applyBorder="1" applyAlignment="1" applyProtection="1">
      <alignment horizontal="left"/>
      <protection locked="0"/>
    </xf>
    <xf numFmtId="0" fontId="0" fillId="8" borderId="0" xfId="0" applyFill="1"/>
    <xf numFmtId="0" fontId="2" fillId="3" borderId="0" xfId="0" applyFont="1" applyFill="1" applyProtection="1"/>
    <xf numFmtId="0" fontId="1" fillId="2" borderId="1" xfId="1" applyAlignment="1" applyProtection="1">
      <alignment horizontal="center"/>
      <protection locked="0"/>
    </xf>
    <xf numFmtId="0" fontId="1" fillId="2" borderId="2" xfId="1" applyBorder="1" applyAlignment="1" applyProtection="1">
      <alignment horizontal="center"/>
      <protection locked="0"/>
    </xf>
    <xf numFmtId="49" fontId="1" fillId="2" borderId="3" xfId="1" applyNumberFormat="1" applyBorder="1" applyAlignment="1" applyProtection="1">
      <alignment horizontal="left"/>
      <protection locked="0"/>
    </xf>
    <xf numFmtId="49" fontId="1" fillId="2" borderId="5" xfId="1" applyNumberFormat="1" applyBorder="1" applyAlignment="1" applyProtection="1">
      <alignment horizontal="left"/>
      <protection locked="0"/>
    </xf>
    <xf numFmtId="164" fontId="1" fillId="2" borderId="3" xfId="1" applyNumberFormat="1" applyBorder="1" applyAlignment="1" applyProtection="1">
      <alignment horizontal="left"/>
      <protection locked="0"/>
    </xf>
    <xf numFmtId="164" fontId="1" fillId="2" borderId="5" xfId="1" applyNumberFormat="1" applyBorder="1" applyAlignment="1" applyProtection="1">
      <alignment horizontal="left"/>
      <protection locked="0"/>
    </xf>
    <xf numFmtId="0" fontId="15" fillId="11" borderId="0" xfId="0" applyFont="1" applyFill="1" applyAlignment="1">
      <alignment horizontal="center"/>
    </xf>
  </cellXfs>
  <cellStyles count="4">
    <cellStyle name="Accent1" xfId="2" builtinId="29"/>
    <cellStyle name="Accent2" xfId="3" builtinId="33"/>
    <cellStyle name="Normal" xfId="0" builtinId="0"/>
    <cellStyle name="Output" xfId="1" builtinId="21"/>
  </cellStyles>
  <dxfs count="164">
    <dxf>
      <fill>
        <patternFill>
          <bgColor theme="3" tint="0.39994506668294322"/>
        </patternFill>
      </fill>
    </dxf>
    <dxf>
      <fill>
        <patternFill>
          <bgColor theme="3" tint="0.39994506668294322"/>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theme="3"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39994506668294322"/>
        </patternFill>
      </fill>
    </dxf>
    <dxf>
      <fill>
        <patternFill>
          <bgColor theme="3" tint="0.39994506668294322"/>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ont>
        <color auto="1"/>
      </font>
      <fill>
        <patternFill>
          <bgColor theme="3"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_rels/data1.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5" Type="http://schemas.openxmlformats.org/officeDocument/2006/relationships/hyperlink" Target="#Courses!A1"/><Relationship Id="rId4" Type="http://schemas.openxmlformats.org/officeDocument/2006/relationships/hyperlink" Target="#Help!A1"/></Relationships>
</file>

<file path=xl/diagrams/_rels/data2.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5" Type="http://schemas.openxmlformats.org/officeDocument/2006/relationships/hyperlink" Target="#Courses!A1"/><Relationship Id="rId4" Type="http://schemas.openxmlformats.org/officeDocument/2006/relationships/hyperlink" Target="#Help!A1"/></Relationships>
</file>

<file path=xl/diagrams/_rels/data4.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5" Type="http://schemas.openxmlformats.org/officeDocument/2006/relationships/hyperlink" Target="#Courses!A1"/><Relationship Id="rId4" Type="http://schemas.openxmlformats.org/officeDocument/2006/relationships/hyperlink" Target="#Help!A1"/></Relationships>
</file>

<file path=xl/diagrams/_rels/data7.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5" Type="http://schemas.openxmlformats.org/officeDocument/2006/relationships/hyperlink" Target="#Courses!A1"/><Relationship Id="rId4" Type="http://schemas.openxmlformats.org/officeDocument/2006/relationships/hyperlink" Target="#Help!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tooltip="Main Menu"/>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tooltip="AA Audit"/>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tooltip="AS Audit"/>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tooltip="Help"/>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236D3AF1-BD28-45F4-A56B-9DCB6732938D}">
      <dgm:prSet phldrT="[Text]"/>
      <dgm:spPr/>
      <dgm:t>
        <a:bodyPr/>
        <a:lstStyle/>
        <a:p>
          <a:r>
            <a:rPr lang="en-US"/>
            <a:t>Courses</a:t>
          </a:r>
        </a:p>
      </dgm:t>
      <dgm:extLst>
        <a:ext uri="{E40237B7-FDA0-4F09-8148-C483321AD2D9}">
          <dgm14:cNvPr xmlns:dgm14="http://schemas.microsoft.com/office/drawing/2010/diagram" id="0" name="">
            <a:hlinkClick xmlns:r="http://schemas.openxmlformats.org/officeDocument/2006/relationships" r:id="rId5" tooltip="Course Descriptions"/>
          </dgm14:cNvPr>
        </a:ext>
      </dgm:extLst>
    </dgm:pt>
    <dgm:pt modelId="{9969C797-65DE-4F23-A712-A2D2B91DD823}" type="parTrans" cxnId="{EC8EE7F8-11C2-46A6-A2A7-6ED97CBCEED9}">
      <dgm:prSet/>
      <dgm:spPr/>
      <dgm:t>
        <a:bodyPr/>
        <a:lstStyle/>
        <a:p>
          <a:endParaRPr lang="en-US"/>
        </a:p>
      </dgm:t>
    </dgm:pt>
    <dgm:pt modelId="{03C5C639-B4DF-4B79-A241-984DE1DC5624}" type="sibTrans" cxnId="{EC8EE7F8-11C2-46A6-A2A7-6ED97CBCEED9}">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5"/>
      <dgm:spPr/>
    </dgm:pt>
    <dgm:pt modelId="{E9D9F328-32C5-4F88-BD2D-AD0CD9FEA872}" type="pres">
      <dgm:prSet presAssocID="{4C578DA1-0FB9-4EB1-8556-988262092F6F}" presName="Child1" presStyleLbl="node1" presStyleIdx="0" presStyleCnt="5">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5"/>
      <dgm:spPr/>
      <dgm:t>
        <a:bodyPr/>
        <a:lstStyle/>
        <a:p>
          <a:endParaRPr lang="en-US"/>
        </a:p>
      </dgm:t>
    </dgm:pt>
    <dgm:pt modelId="{18756525-8AB2-4790-9768-2D6C805793D2}" type="pres">
      <dgm:prSet presAssocID="{65B16740-2ECA-427E-B25A-84809D68D08C}" presName="Child2" presStyleLbl="node1" presStyleIdx="1" presStyleCnt="5">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5"/>
      <dgm:spPr/>
    </dgm:pt>
    <dgm:pt modelId="{05E27CB0-2A19-492E-87BB-E84E412800C3}" type="pres">
      <dgm:prSet presAssocID="{7342D411-961A-4522-A541-FDA3591F21BA}" presName="Child3" presStyleLbl="node1" presStyleIdx="2" presStyleCnt="5">
        <dgm:presLayoutVars>
          <dgm:chMax val="0"/>
          <dgm:chPref val="0"/>
          <dgm:bulletEnabled val="1"/>
        </dgm:presLayoutVars>
      </dgm:prSet>
      <dgm:spPr/>
      <dgm:t>
        <a:bodyPr/>
        <a:lstStyle/>
        <a:p>
          <a:endParaRPr lang="en-US"/>
        </a:p>
      </dgm:t>
    </dgm:pt>
    <dgm:pt modelId="{0A45B0D7-695D-4BD5-891C-73CABAABC6AE}" type="pres">
      <dgm:prSet presAssocID="{236D3AF1-BD28-45F4-A56B-9DCB6732938D}" presName="Accent4" presStyleCnt="0"/>
      <dgm:spPr/>
    </dgm:pt>
    <dgm:pt modelId="{DA3067A3-77BE-4C7A-85CA-0806EDB13A9C}" type="pres">
      <dgm:prSet presAssocID="{236D3AF1-BD28-45F4-A56B-9DCB6732938D}" presName="Accent" presStyleLbl="bgShp" presStyleIdx="3" presStyleCnt="5"/>
      <dgm:spPr/>
    </dgm:pt>
    <dgm:pt modelId="{B80ACA03-2A9E-41C2-8EAB-056BDFCEEFC8}" type="pres">
      <dgm:prSet presAssocID="{236D3AF1-BD28-45F4-A56B-9DCB6732938D}" presName="Child4" presStyleLbl="node1" presStyleIdx="3" presStyleCnt="5">
        <dgm:presLayoutVars>
          <dgm:chMax val="0"/>
          <dgm:chPref val="0"/>
          <dgm:bulletEnabled val="1"/>
        </dgm:presLayoutVars>
      </dgm:prSet>
      <dgm:spPr/>
      <dgm:t>
        <a:bodyPr/>
        <a:lstStyle/>
        <a:p>
          <a:endParaRPr lang="en-US"/>
        </a:p>
      </dgm:t>
    </dgm:pt>
    <dgm:pt modelId="{1895F105-06E5-43B2-9784-1F3EEB9E2BD7}" type="pres">
      <dgm:prSet presAssocID="{BB99BAA8-5F8C-4AD7-AF7F-5750AD63CB10}" presName="Accent5" presStyleCnt="0"/>
      <dgm:spPr/>
    </dgm:pt>
    <dgm:pt modelId="{D7EF0A8E-2835-496A-AD7D-1B39358AA70C}" type="pres">
      <dgm:prSet presAssocID="{BB99BAA8-5F8C-4AD7-AF7F-5750AD63CB10}" presName="Accent" presStyleLbl="bgShp" presStyleIdx="4" presStyleCnt="5"/>
      <dgm:spPr/>
    </dgm:pt>
    <dgm:pt modelId="{80450CDC-E9F8-4289-8E44-5E1263309C9F}" type="pres">
      <dgm:prSet presAssocID="{BB99BAA8-5F8C-4AD7-AF7F-5750AD63CB10}" presName="Child5" presStyleLbl="node1" presStyleIdx="4" presStyleCnt="5">
        <dgm:presLayoutVars>
          <dgm:chMax val="0"/>
          <dgm:chPref val="0"/>
          <dgm:bulletEnabled val="1"/>
        </dgm:presLayoutVars>
      </dgm:prSet>
      <dgm:spPr/>
      <dgm:t>
        <a:bodyPr/>
        <a:lstStyle/>
        <a:p>
          <a:endParaRPr lang="en-US"/>
        </a:p>
      </dgm:t>
    </dgm:pt>
  </dgm:ptLst>
  <dgm:cxnLst>
    <dgm:cxn modelId="{CC011855-10CC-48C9-ADEA-32907ED176B9}" type="presOf" srcId="{236D3AF1-BD28-45F4-A56B-9DCB6732938D}" destId="{B80ACA03-2A9E-41C2-8EAB-056BDFCEEFC8}" srcOrd="0" destOrd="0" presId="urn:microsoft.com/office/officeart/2011/layout/HexagonRadial"/>
    <dgm:cxn modelId="{7AFC3EB9-F52D-4BE8-95D4-456A3A67AC34}" srcId="{FEB3AD7F-06F3-4105-ABC4-46F25779A6E5}" destId="{65B16740-2ECA-427E-B25A-84809D68D08C}" srcOrd="1" destOrd="0" parTransId="{5CDD2226-49E3-4F5D-9F92-162EEF45F678}" sibTransId="{C6BF076C-327F-43BE-AA49-7BFA74519DB0}"/>
    <dgm:cxn modelId="{2B79F084-59AE-4865-BDF1-E59075B35EFA}" type="presOf" srcId="{65B16740-2ECA-427E-B25A-84809D68D08C}" destId="{18756525-8AB2-4790-9768-2D6C805793D2}"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008B5332-B03D-431A-8E1D-355029EB0A1A}" type="presOf" srcId="{7342D411-961A-4522-A541-FDA3591F21BA}" destId="{05E27CB0-2A19-492E-87BB-E84E412800C3}" srcOrd="0" destOrd="0" presId="urn:microsoft.com/office/officeart/2011/layout/HexagonRadial"/>
    <dgm:cxn modelId="{5FCABD28-E9F7-4C62-A5FE-AD545BB52847}" srcId="{FEB3AD7F-06F3-4105-ABC4-46F25779A6E5}" destId="{BB99BAA8-5F8C-4AD7-AF7F-5750AD63CB10}" srcOrd="4" destOrd="0" parTransId="{AC8BD58C-02DB-42C7-9601-9B768455735E}" sibTransId="{8C465534-3538-4CDE-9CFE-A105D3BE2558}"/>
    <dgm:cxn modelId="{5BE51B5D-DE96-44AE-AF80-DC5ED5542248}" srcId="{FEB3AD7F-06F3-4105-ABC4-46F25779A6E5}" destId="{7342D411-961A-4522-A541-FDA3591F21BA}" srcOrd="2" destOrd="0" parTransId="{E1BA6006-F7C1-4259-9E50-45A2D287EB86}" sibTransId="{75E9BCC8-528C-43BA-90E3-E6C19CF1952C}"/>
    <dgm:cxn modelId="{EC8EE7F8-11C2-46A6-A2A7-6ED97CBCEED9}" srcId="{FEB3AD7F-06F3-4105-ABC4-46F25779A6E5}" destId="{236D3AF1-BD28-45F4-A56B-9DCB6732938D}" srcOrd="3" destOrd="0" parTransId="{9969C797-65DE-4F23-A712-A2D2B91DD823}" sibTransId="{03C5C639-B4DF-4B79-A241-984DE1DC5624}"/>
    <dgm:cxn modelId="{800F8427-0D75-4540-B211-1CFD7F284889}" type="presOf" srcId="{7F63E330-A55F-44F6-B91C-DB66F89E9DC1}" destId="{6774D031-8CCE-49DF-8EA8-9963B03EFE6D}" srcOrd="0" destOrd="0" presId="urn:microsoft.com/office/officeart/2011/layout/HexagonRadial"/>
    <dgm:cxn modelId="{52C25C26-12E6-4CBE-885B-2962E4788773}" srcId="{7F63E330-A55F-44F6-B91C-DB66F89E9DC1}" destId="{FEB3AD7F-06F3-4105-ABC4-46F25779A6E5}" srcOrd="0" destOrd="0" parTransId="{A6DF12E0-7653-472B-9251-A92AD9AF5423}" sibTransId="{0ABC3642-482D-4A9C-86F0-3971851817A0}"/>
    <dgm:cxn modelId="{8AD02649-7006-4972-A552-D04A68930AAB}" type="presOf" srcId="{4C578DA1-0FB9-4EB1-8556-988262092F6F}" destId="{E9D9F328-32C5-4F88-BD2D-AD0CD9FEA872}" srcOrd="0" destOrd="0" presId="urn:microsoft.com/office/officeart/2011/layout/HexagonRadial"/>
    <dgm:cxn modelId="{EB05BED1-5B23-4743-B9F9-1A39F90D8C8E}" type="presOf" srcId="{FEB3AD7F-06F3-4105-ABC4-46F25779A6E5}" destId="{339CD9F1-9910-4626-B4D3-66A58EE634DC}" srcOrd="0" destOrd="0" presId="urn:microsoft.com/office/officeart/2011/layout/HexagonRadial"/>
    <dgm:cxn modelId="{41AD79E9-D051-4897-8943-C070EEE3574D}" type="presOf" srcId="{BB99BAA8-5F8C-4AD7-AF7F-5750AD63CB10}" destId="{80450CDC-E9F8-4289-8E44-5E1263309C9F}" srcOrd="0" destOrd="0" presId="urn:microsoft.com/office/officeart/2011/layout/HexagonRadial"/>
    <dgm:cxn modelId="{192BCEFE-E97C-4FF5-AD28-FB41C17B7D75}" type="presParOf" srcId="{6774D031-8CCE-49DF-8EA8-9963B03EFE6D}" destId="{339CD9F1-9910-4626-B4D3-66A58EE634DC}" srcOrd="0" destOrd="0" presId="urn:microsoft.com/office/officeart/2011/layout/HexagonRadial"/>
    <dgm:cxn modelId="{AFF44A66-6974-4783-98C7-E2BEDC7F8DD6}" type="presParOf" srcId="{6774D031-8CCE-49DF-8EA8-9963B03EFE6D}" destId="{A2194CE0-8BE4-4618-AED9-4D4D397699A5}" srcOrd="1" destOrd="0" presId="urn:microsoft.com/office/officeart/2011/layout/HexagonRadial"/>
    <dgm:cxn modelId="{38F5F864-908F-47FF-8755-350F81AA8C1B}" type="presParOf" srcId="{A2194CE0-8BE4-4618-AED9-4D4D397699A5}" destId="{A3A39A84-51ED-4418-8860-27A4DB76B0E3}" srcOrd="0" destOrd="0" presId="urn:microsoft.com/office/officeart/2011/layout/HexagonRadial"/>
    <dgm:cxn modelId="{4A2C500B-D3DB-47C8-AD56-BD849A719030}" type="presParOf" srcId="{6774D031-8CCE-49DF-8EA8-9963B03EFE6D}" destId="{E9D9F328-32C5-4F88-BD2D-AD0CD9FEA872}" srcOrd="2" destOrd="0" presId="urn:microsoft.com/office/officeart/2011/layout/HexagonRadial"/>
    <dgm:cxn modelId="{22C78751-5331-449B-8C4A-444AEA3FD5FF}" type="presParOf" srcId="{6774D031-8CCE-49DF-8EA8-9963B03EFE6D}" destId="{8032D159-E9B2-4CDB-8AEC-2364DC175313}" srcOrd="3" destOrd="0" presId="urn:microsoft.com/office/officeart/2011/layout/HexagonRadial"/>
    <dgm:cxn modelId="{C462ABD3-EFD7-407F-8D22-918C500884FE}" type="presParOf" srcId="{8032D159-E9B2-4CDB-8AEC-2364DC175313}" destId="{B3ECDF98-3FEC-4D76-BF1D-5D1F46680A05}" srcOrd="0" destOrd="0" presId="urn:microsoft.com/office/officeart/2011/layout/HexagonRadial"/>
    <dgm:cxn modelId="{E4C1E015-8031-4327-8AA5-210757EBADCF}" type="presParOf" srcId="{6774D031-8CCE-49DF-8EA8-9963B03EFE6D}" destId="{18756525-8AB2-4790-9768-2D6C805793D2}" srcOrd="4" destOrd="0" presId="urn:microsoft.com/office/officeart/2011/layout/HexagonRadial"/>
    <dgm:cxn modelId="{A3B8A7C8-2FB0-4DB9-8C0D-C9CB55D0762D}" type="presParOf" srcId="{6774D031-8CCE-49DF-8EA8-9963B03EFE6D}" destId="{B7C5C3B6-4805-4B8C-AE86-BECF19634E5E}" srcOrd="5" destOrd="0" presId="urn:microsoft.com/office/officeart/2011/layout/HexagonRadial"/>
    <dgm:cxn modelId="{C237ACB3-0385-4B98-817A-15F9EC6F156E}" type="presParOf" srcId="{B7C5C3B6-4805-4B8C-AE86-BECF19634E5E}" destId="{B82E6A8F-56C5-42A5-ADC9-D155D4D6C080}" srcOrd="0" destOrd="0" presId="urn:microsoft.com/office/officeart/2011/layout/HexagonRadial"/>
    <dgm:cxn modelId="{052F44D4-0C06-4029-87F9-347A853E839E}" type="presParOf" srcId="{6774D031-8CCE-49DF-8EA8-9963B03EFE6D}" destId="{05E27CB0-2A19-492E-87BB-E84E412800C3}" srcOrd="6" destOrd="0" presId="urn:microsoft.com/office/officeart/2011/layout/HexagonRadial"/>
    <dgm:cxn modelId="{C9AD7869-BEA7-4D8C-B5F9-F01CDF9A6905}" type="presParOf" srcId="{6774D031-8CCE-49DF-8EA8-9963B03EFE6D}" destId="{0A45B0D7-695D-4BD5-891C-73CABAABC6AE}" srcOrd="7" destOrd="0" presId="urn:microsoft.com/office/officeart/2011/layout/HexagonRadial"/>
    <dgm:cxn modelId="{A121434D-5F5D-479D-AEA4-E256517598DC}" type="presParOf" srcId="{0A45B0D7-695D-4BD5-891C-73CABAABC6AE}" destId="{DA3067A3-77BE-4C7A-85CA-0806EDB13A9C}" srcOrd="0" destOrd="0" presId="urn:microsoft.com/office/officeart/2011/layout/HexagonRadial"/>
    <dgm:cxn modelId="{385F04F1-4230-4FD7-9AE4-E1A4EFA7B0DF}" type="presParOf" srcId="{6774D031-8CCE-49DF-8EA8-9963B03EFE6D}" destId="{B80ACA03-2A9E-41C2-8EAB-056BDFCEEFC8}" srcOrd="8" destOrd="0" presId="urn:microsoft.com/office/officeart/2011/layout/HexagonRadial"/>
    <dgm:cxn modelId="{67C8CBE4-C29F-4EFA-BF3B-09B8136844C2}" type="presParOf" srcId="{6774D031-8CCE-49DF-8EA8-9963B03EFE6D}" destId="{1895F105-06E5-43B2-9784-1F3EEB9E2BD7}" srcOrd="9" destOrd="0" presId="urn:microsoft.com/office/officeart/2011/layout/HexagonRadial"/>
    <dgm:cxn modelId="{887BC2CB-6593-4D78-8C00-EDDAFDE900EA}" type="presParOf" srcId="{1895F105-06E5-43B2-9784-1F3EEB9E2BD7}" destId="{D7EF0A8E-2835-496A-AD7D-1B39358AA70C}" srcOrd="0" destOrd="0" presId="urn:microsoft.com/office/officeart/2011/layout/HexagonRadial"/>
    <dgm:cxn modelId="{F6B1273D-FC45-48FC-9810-DB76CFD7CCB4}" type="presParOf" srcId="{6774D031-8CCE-49DF-8EA8-9963B03EFE6D}" destId="{80450CDC-E9F8-4289-8E44-5E1263309C9F}" srcOrd="10" destOrd="0" presId="urn:microsoft.com/office/officeart/2011/layout/HexagonRadial"/>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tooltip="Main Menu"/>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tooltip="AA Audit"/>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tooltip="AS Audit"/>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tooltip="Help"/>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74450993-58EE-4045-8843-CE4CB4969432}">
      <dgm:prSet phldrT="[Text]"/>
      <dgm:spPr/>
      <dgm:t>
        <a:bodyPr/>
        <a:lstStyle/>
        <a:p>
          <a:r>
            <a:rPr lang="en-US"/>
            <a:t>Courses</a:t>
          </a:r>
        </a:p>
      </dgm:t>
      <dgm:extLst>
        <a:ext uri="{E40237B7-FDA0-4F09-8148-C483321AD2D9}">
          <dgm14:cNvPr xmlns:dgm14="http://schemas.microsoft.com/office/drawing/2010/diagram" id="0" name="">
            <a:hlinkClick xmlns:r="http://schemas.openxmlformats.org/officeDocument/2006/relationships" r:id="rId5" tooltip="Course Descriptions"/>
          </dgm14:cNvPr>
        </a:ext>
      </dgm:extLst>
    </dgm:pt>
    <dgm:pt modelId="{57F43BD5-4239-4404-9D31-CAEFB267F58E}" type="parTrans" cxnId="{07E115B4-DD4E-49EA-B21F-3B0A4F1997CA}">
      <dgm:prSet/>
      <dgm:spPr/>
      <dgm:t>
        <a:bodyPr/>
        <a:lstStyle/>
        <a:p>
          <a:endParaRPr lang="en-US"/>
        </a:p>
      </dgm:t>
    </dgm:pt>
    <dgm:pt modelId="{1DA9B041-A4E8-4268-8684-CD2DC68BE51A}" type="sibTrans" cxnId="{07E115B4-DD4E-49EA-B21F-3B0A4F1997CA}">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5"/>
      <dgm:spPr/>
    </dgm:pt>
    <dgm:pt modelId="{E9D9F328-32C5-4F88-BD2D-AD0CD9FEA872}" type="pres">
      <dgm:prSet presAssocID="{4C578DA1-0FB9-4EB1-8556-988262092F6F}" presName="Child1" presStyleLbl="node1" presStyleIdx="0" presStyleCnt="5">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5"/>
      <dgm:spPr/>
      <dgm:t>
        <a:bodyPr/>
        <a:lstStyle/>
        <a:p>
          <a:endParaRPr lang="en-US"/>
        </a:p>
      </dgm:t>
    </dgm:pt>
    <dgm:pt modelId="{18756525-8AB2-4790-9768-2D6C805793D2}" type="pres">
      <dgm:prSet presAssocID="{65B16740-2ECA-427E-B25A-84809D68D08C}" presName="Child2" presStyleLbl="node1" presStyleIdx="1" presStyleCnt="5">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5"/>
      <dgm:spPr/>
    </dgm:pt>
    <dgm:pt modelId="{05E27CB0-2A19-492E-87BB-E84E412800C3}" type="pres">
      <dgm:prSet presAssocID="{7342D411-961A-4522-A541-FDA3591F21BA}" presName="Child3" presStyleLbl="node1" presStyleIdx="2" presStyleCnt="5">
        <dgm:presLayoutVars>
          <dgm:chMax val="0"/>
          <dgm:chPref val="0"/>
          <dgm:bulletEnabled val="1"/>
        </dgm:presLayoutVars>
      </dgm:prSet>
      <dgm:spPr/>
      <dgm:t>
        <a:bodyPr/>
        <a:lstStyle/>
        <a:p>
          <a:endParaRPr lang="en-US"/>
        </a:p>
      </dgm:t>
    </dgm:pt>
    <dgm:pt modelId="{139C1FE9-BE41-46EF-BD81-DEA3A1566939}" type="pres">
      <dgm:prSet presAssocID="{74450993-58EE-4045-8843-CE4CB4969432}" presName="Accent4" presStyleCnt="0"/>
      <dgm:spPr/>
    </dgm:pt>
    <dgm:pt modelId="{4A2B4EAD-AEB7-4BED-B96B-4B0DAB1126C5}" type="pres">
      <dgm:prSet presAssocID="{74450993-58EE-4045-8843-CE4CB4969432}" presName="Accent" presStyleLbl="bgShp" presStyleIdx="3" presStyleCnt="5"/>
      <dgm:spPr/>
    </dgm:pt>
    <dgm:pt modelId="{A219E422-4CCD-4551-8058-063E8EE84059}" type="pres">
      <dgm:prSet presAssocID="{74450993-58EE-4045-8843-CE4CB4969432}" presName="Child4" presStyleLbl="node1" presStyleIdx="3" presStyleCnt="5">
        <dgm:presLayoutVars>
          <dgm:chMax val="0"/>
          <dgm:chPref val="0"/>
          <dgm:bulletEnabled val="1"/>
        </dgm:presLayoutVars>
      </dgm:prSet>
      <dgm:spPr/>
      <dgm:t>
        <a:bodyPr/>
        <a:lstStyle/>
        <a:p>
          <a:endParaRPr lang="en-US"/>
        </a:p>
      </dgm:t>
    </dgm:pt>
    <dgm:pt modelId="{6E76D686-6B4B-48EB-A2C6-B57AE9D28C70}" type="pres">
      <dgm:prSet presAssocID="{BB99BAA8-5F8C-4AD7-AF7F-5750AD63CB10}" presName="Accent5" presStyleCnt="0"/>
      <dgm:spPr/>
    </dgm:pt>
    <dgm:pt modelId="{D7EF0A8E-2835-496A-AD7D-1B39358AA70C}" type="pres">
      <dgm:prSet presAssocID="{BB99BAA8-5F8C-4AD7-AF7F-5750AD63CB10}" presName="Accent" presStyleLbl="bgShp" presStyleIdx="4" presStyleCnt="5"/>
      <dgm:spPr/>
    </dgm:pt>
    <dgm:pt modelId="{A53B6106-A76C-4E41-A5EA-114C02477212}" type="pres">
      <dgm:prSet presAssocID="{BB99BAA8-5F8C-4AD7-AF7F-5750AD63CB10}" presName="Child5" presStyleLbl="node1" presStyleIdx="4" presStyleCnt="5">
        <dgm:presLayoutVars>
          <dgm:chMax val="0"/>
          <dgm:chPref val="0"/>
          <dgm:bulletEnabled val="1"/>
        </dgm:presLayoutVars>
      </dgm:prSet>
      <dgm:spPr/>
      <dgm:t>
        <a:bodyPr/>
        <a:lstStyle/>
        <a:p>
          <a:endParaRPr lang="en-US"/>
        </a:p>
      </dgm:t>
    </dgm:pt>
  </dgm:ptLst>
  <dgm:cxnLst>
    <dgm:cxn modelId="{7AFC3EB9-F52D-4BE8-95D4-456A3A67AC34}" srcId="{FEB3AD7F-06F3-4105-ABC4-46F25779A6E5}" destId="{65B16740-2ECA-427E-B25A-84809D68D08C}" srcOrd="1" destOrd="0" parTransId="{5CDD2226-49E3-4F5D-9F92-162EEF45F678}" sibTransId="{C6BF076C-327F-43BE-AA49-7BFA74519DB0}"/>
    <dgm:cxn modelId="{CB124807-7006-4F25-914F-F3EE5ABEAA82}" type="presOf" srcId="{4C578DA1-0FB9-4EB1-8556-988262092F6F}" destId="{E9D9F328-32C5-4F88-BD2D-AD0CD9FEA872}" srcOrd="0" destOrd="0" presId="urn:microsoft.com/office/officeart/2011/layout/HexagonRadial"/>
    <dgm:cxn modelId="{972685C4-7F63-4266-A3F1-C1C9817CC6BF}" type="presOf" srcId="{65B16740-2ECA-427E-B25A-84809D68D08C}" destId="{18756525-8AB2-4790-9768-2D6C805793D2}"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D142BA97-EBDE-4775-B9D0-7DFCEDE0F0E9}" type="presOf" srcId="{74450993-58EE-4045-8843-CE4CB4969432}" destId="{A219E422-4CCD-4551-8058-063E8EE84059}" srcOrd="0" destOrd="0" presId="urn:microsoft.com/office/officeart/2011/layout/HexagonRadial"/>
    <dgm:cxn modelId="{07E115B4-DD4E-49EA-B21F-3B0A4F1997CA}" srcId="{FEB3AD7F-06F3-4105-ABC4-46F25779A6E5}" destId="{74450993-58EE-4045-8843-CE4CB4969432}" srcOrd="3" destOrd="0" parTransId="{57F43BD5-4239-4404-9D31-CAEFB267F58E}" sibTransId="{1DA9B041-A4E8-4268-8684-CD2DC68BE51A}"/>
    <dgm:cxn modelId="{5BE51B5D-DE96-44AE-AF80-DC5ED5542248}" srcId="{FEB3AD7F-06F3-4105-ABC4-46F25779A6E5}" destId="{7342D411-961A-4522-A541-FDA3591F21BA}" srcOrd="2" destOrd="0" parTransId="{E1BA6006-F7C1-4259-9E50-45A2D287EB86}" sibTransId="{75E9BCC8-528C-43BA-90E3-E6C19CF1952C}"/>
    <dgm:cxn modelId="{2A7F3F96-8ED5-401B-B40F-AF9A35118D20}" type="presOf" srcId="{FEB3AD7F-06F3-4105-ABC4-46F25779A6E5}" destId="{339CD9F1-9910-4626-B4D3-66A58EE634DC}" srcOrd="0" destOrd="0" presId="urn:microsoft.com/office/officeart/2011/layout/HexagonRadial"/>
    <dgm:cxn modelId="{39C6DAD4-EC15-49B1-A8AF-B5C8CA2CC596}" type="presOf" srcId="{7F63E330-A55F-44F6-B91C-DB66F89E9DC1}" destId="{6774D031-8CCE-49DF-8EA8-9963B03EFE6D}" srcOrd="0" destOrd="0" presId="urn:microsoft.com/office/officeart/2011/layout/HexagonRadial"/>
    <dgm:cxn modelId="{5FCABD28-E9F7-4C62-A5FE-AD545BB52847}" srcId="{FEB3AD7F-06F3-4105-ABC4-46F25779A6E5}" destId="{BB99BAA8-5F8C-4AD7-AF7F-5750AD63CB10}" srcOrd="4" destOrd="0" parTransId="{AC8BD58C-02DB-42C7-9601-9B768455735E}" sibTransId="{8C465534-3538-4CDE-9CFE-A105D3BE2558}"/>
    <dgm:cxn modelId="{52C25C26-12E6-4CBE-885B-2962E4788773}" srcId="{7F63E330-A55F-44F6-B91C-DB66F89E9DC1}" destId="{FEB3AD7F-06F3-4105-ABC4-46F25779A6E5}" srcOrd="0" destOrd="0" parTransId="{A6DF12E0-7653-472B-9251-A92AD9AF5423}" sibTransId="{0ABC3642-482D-4A9C-86F0-3971851817A0}"/>
    <dgm:cxn modelId="{82CCABDF-EE55-4914-B029-720A8FB0D4F3}" type="presOf" srcId="{7342D411-961A-4522-A541-FDA3591F21BA}" destId="{05E27CB0-2A19-492E-87BB-E84E412800C3}" srcOrd="0" destOrd="0" presId="urn:microsoft.com/office/officeart/2011/layout/HexagonRadial"/>
    <dgm:cxn modelId="{ADC432B6-EEF4-433D-A434-C91EBCB6612B}" type="presOf" srcId="{BB99BAA8-5F8C-4AD7-AF7F-5750AD63CB10}" destId="{A53B6106-A76C-4E41-A5EA-114C02477212}" srcOrd="0" destOrd="0" presId="urn:microsoft.com/office/officeart/2011/layout/HexagonRadial"/>
    <dgm:cxn modelId="{650FBD97-E1AC-47C4-80F5-1ACD6A20D5C8}" type="presParOf" srcId="{6774D031-8CCE-49DF-8EA8-9963B03EFE6D}" destId="{339CD9F1-9910-4626-B4D3-66A58EE634DC}" srcOrd="0" destOrd="0" presId="urn:microsoft.com/office/officeart/2011/layout/HexagonRadial"/>
    <dgm:cxn modelId="{9A8FE5F3-C175-4E5D-BC09-749D925B0C7C}" type="presParOf" srcId="{6774D031-8CCE-49DF-8EA8-9963B03EFE6D}" destId="{A2194CE0-8BE4-4618-AED9-4D4D397699A5}" srcOrd="1" destOrd="0" presId="urn:microsoft.com/office/officeart/2011/layout/HexagonRadial"/>
    <dgm:cxn modelId="{C335966B-3440-4B32-B5AD-96990DD684BA}" type="presParOf" srcId="{A2194CE0-8BE4-4618-AED9-4D4D397699A5}" destId="{A3A39A84-51ED-4418-8860-27A4DB76B0E3}" srcOrd="0" destOrd="0" presId="urn:microsoft.com/office/officeart/2011/layout/HexagonRadial"/>
    <dgm:cxn modelId="{968CCB19-2111-426D-AB63-C4CD1F383D33}" type="presParOf" srcId="{6774D031-8CCE-49DF-8EA8-9963B03EFE6D}" destId="{E9D9F328-32C5-4F88-BD2D-AD0CD9FEA872}" srcOrd="2" destOrd="0" presId="urn:microsoft.com/office/officeart/2011/layout/HexagonRadial"/>
    <dgm:cxn modelId="{71B88840-B626-4055-9AD6-B9A326F3C060}" type="presParOf" srcId="{6774D031-8CCE-49DF-8EA8-9963B03EFE6D}" destId="{8032D159-E9B2-4CDB-8AEC-2364DC175313}" srcOrd="3" destOrd="0" presId="urn:microsoft.com/office/officeart/2011/layout/HexagonRadial"/>
    <dgm:cxn modelId="{F5AE7332-F97A-4A45-A8AF-7CACE65681B5}" type="presParOf" srcId="{8032D159-E9B2-4CDB-8AEC-2364DC175313}" destId="{B3ECDF98-3FEC-4D76-BF1D-5D1F46680A05}" srcOrd="0" destOrd="0" presId="urn:microsoft.com/office/officeart/2011/layout/HexagonRadial"/>
    <dgm:cxn modelId="{5FB33A63-81A7-49E1-8737-6E481F1513C8}" type="presParOf" srcId="{6774D031-8CCE-49DF-8EA8-9963B03EFE6D}" destId="{18756525-8AB2-4790-9768-2D6C805793D2}" srcOrd="4" destOrd="0" presId="urn:microsoft.com/office/officeart/2011/layout/HexagonRadial"/>
    <dgm:cxn modelId="{E87D3E97-C8A2-47E7-8130-BBE9F3BC8507}" type="presParOf" srcId="{6774D031-8CCE-49DF-8EA8-9963B03EFE6D}" destId="{B7C5C3B6-4805-4B8C-AE86-BECF19634E5E}" srcOrd="5" destOrd="0" presId="urn:microsoft.com/office/officeart/2011/layout/HexagonRadial"/>
    <dgm:cxn modelId="{65158A04-62E8-4FD4-9FB5-CEE785F7A669}" type="presParOf" srcId="{B7C5C3B6-4805-4B8C-AE86-BECF19634E5E}" destId="{B82E6A8F-56C5-42A5-ADC9-D155D4D6C080}" srcOrd="0" destOrd="0" presId="urn:microsoft.com/office/officeart/2011/layout/HexagonRadial"/>
    <dgm:cxn modelId="{1F9B5A86-62EF-4916-878B-7A8D03064362}" type="presParOf" srcId="{6774D031-8CCE-49DF-8EA8-9963B03EFE6D}" destId="{05E27CB0-2A19-492E-87BB-E84E412800C3}" srcOrd="6" destOrd="0" presId="urn:microsoft.com/office/officeart/2011/layout/HexagonRadial"/>
    <dgm:cxn modelId="{94126F1D-4136-4FDB-A331-D31C47E86541}" type="presParOf" srcId="{6774D031-8CCE-49DF-8EA8-9963B03EFE6D}" destId="{139C1FE9-BE41-46EF-BD81-DEA3A1566939}" srcOrd="7" destOrd="0" presId="urn:microsoft.com/office/officeart/2011/layout/HexagonRadial"/>
    <dgm:cxn modelId="{9E3AEA59-7DFA-4E3A-8D2C-D304F7113697}" type="presParOf" srcId="{139C1FE9-BE41-46EF-BD81-DEA3A1566939}" destId="{4A2B4EAD-AEB7-4BED-B96B-4B0DAB1126C5}" srcOrd="0" destOrd="0" presId="urn:microsoft.com/office/officeart/2011/layout/HexagonRadial"/>
    <dgm:cxn modelId="{4A880C79-32E7-499B-AD86-524D1D1C162D}" type="presParOf" srcId="{6774D031-8CCE-49DF-8EA8-9963B03EFE6D}" destId="{A219E422-4CCD-4551-8058-063E8EE84059}" srcOrd="8" destOrd="0" presId="urn:microsoft.com/office/officeart/2011/layout/HexagonRadial"/>
    <dgm:cxn modelId="{67B6A9BB-0366-4EA0-BA55-6D3F6852BBF8}" type="presParOf" srcId="{6774D031-8CCE-49DF-8EA8-9963B03EFE6D}" destId="{6E76D686-6B4B-48EB-A2C6-B57AE9D28C70}" srcOrd="9" destOrd="0" presId="urn:microsoft.com/office/officeart/2011/layout/HexagonRadial"/>
    <dgm:cxn modelId="{56FF9EA2-FD6A-422C-99D0-3606864DCA7C}" type="presParOf" srcId="{6E76D686-6B4B-48EB-A2C6-B57AE9D28C70}" destId="{D7EF0A8E-2835-496A-AD7D-1B39358AA70C}" srcOrd="0" destOrd="0" presId="urn:microsoft.com/office/officeart/2011/layout/HexagonRadial"/>
    <dgm:cxn modelId="{A8B184BA-CCB6-487E-8BED-256424A989F0}" type="presParOf" srcId="{6774D031-8CCE-49DF-8EA8-9963B03EFE6D}" destId="{A53B6106-A76C-4E41-A5EA-114C02477212}" srcOrd="10" destOrd="0" presId="urn:microsoft.com/office/officeart/2011/layout/HexagonRadial"/>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00F85EC1-B921-48FE-997F-36320003F407}" type="doc">
      <dgm:prSet loTypeId="urn:microsoft.com/office/officeart/2005/8/layout/list1" loCatId="list" qsTypeId="urn:microsoft.com/office/officeart/2005/8/quickstyle/simple5" qsCatId="simple" csTypeId="urn:microsoft.com/office/officeart/2005/8/colors/accent1_2" csCatId="accent1" phldr="1"/>
      <dgm:spPr/>
      <dgm:t>
        <a:bodyPr/>
        <a:lstStyle/>
        <a:p>
          <a:endParaRPr lang="en-US"/>
        </a:p>
      </dgm:t>
    </dgm:pt>
    <dgm:pt modelId="{F21BE4C5-213C-4F6A-A9DD-9E62F8F803E2}">
      <dgm:prSet phldrT="[Text]"/>
      <dgm:spPr/>
      <dgm:t>
        <a:bodyPr/>
        <a:lstStyle/>
        <a:p>
          <a:r>
            <a:rPr lang="en-US"/>
            <a:t>Communication - Written</a:t>
          </a:r>
        </a:p>
      </dgm:t>
    </dgm:pt>
    <dgm:pt modelId="{7E2A3EE9-0083-408E-9B44-FA3496A2B65B}" type="parTrans" cxnId="{FF01605E-AA4F-4D65-A5C2-4DA62B9E7BCB}">
      <dgm:prSet/>
      <dgm:spPr/>
      <dgm:t>
        <a:bodyPr/>
        <a:lstStyle/>
        <a:p>
          <a:endParaRPr lang="en-US"/>
        </a:p>
      </dgm:t>
    </dgm:pt>
    <dgm:pt modelId="{414096B7-B972-46EE-8E0F-F725209F5192}" type="sibTrans" cxnId="{FF01605E-AA4F-4D65-A5C2-4DA62B9E7BCB}">
      <dgm:prSet/>
      <dgm:spPr/>
      <dgm:t>
        <a:bodyPr/>
        <a:lstStyle/>
        <a:p>
          <a:endParaRPr lang="en-US"/>
        </a:p>
      </dgm:t>
    </dgm:pt>
    <dgm:pt modelId="{CFB52A42-DCB4-44E9-BFD7-B29AA9191E36}">
      <dgm:prSet phldrT="[Text]"/>
      <dgm:spPr/>
      <dgm:t>
        <a:bodyPr/>
        <a:lstStyle/>
        <a:p>
          <a:r>
            <a:rPr lang="en-US"/>
            <a:t>Communication - Oral</a:t>
          </a:r>
        </a:p>
      </dgm:t>
    </dgm:pt>
    <dgm:pt modelId="{D2520683-FB63-4BDC-98E7-7DBE9F38E40D}" type="parTrans" cxnId="{3BABBA89-B8EB-4AA8-8CC2-1464812E2D9E}">
      <dgm:prSet/>
      <dgm:spPr/>
      <dgm:t>
        <a:bodyPr/>
        <a:lstStyle/>
        <a:p>
          <a:endParaRPr lang="en-US"/>
        </a:p>
      </dgm:t>
    </dgm:pt>
    <dgm:pt modelId="{AB2055C4-E096-48EE-BD1D-F58C1D9C880E}" type="sibTrans" cxnId="{3BABBA89-B8EB-4AA8-8CC2-1464812E2D9E}">
      <dgm:prSet/>
      <dgm:spPr/>
      <dgm:t>
        <a:bodyPr/>
        <a:lstStyle/>
        <a:p>
          <a:endParaRPr lang="en-US"/>
        </a:p>
      </dgm:t>
    </dgm:pt>
    <dgm:pt modelId="{43EE3679-5B1F-45D4-ADA6-461661E67B3C}">
      <dgm:prSet phldrT="[Text]"/>
      <dgm:spPr/>
      <dgm:t>
        <a:bodyPr/>
        <a:lstStyle/>
        <a:p>
          <a:r>
            <a:rPr lang="en-US"/>
            <a:t>Arts &amp; Humanities - Heritage</a:t>
          </a:r>
        </a:p>
      </dgm:t>
    </dgm:pt>
    <dgm:pt modelId="{035ADBEB-1F00-47E2-8B2E-870F434668F3}" type="parTrans" cxnId="{5B35D1C9-097E-4A33-8B6A-DC97080DB7AB}">
      <dgm:prSet/>
      <dgm:spPr/>
      <dgm:t>
        <a:bodyPr/>
        <a:lstStyle/>
        <a:p>
          <a:endParaRPr lang="en-US"/>
        </a:p>
      </dgm:t>
    </dgm:pt>
    <dgm:pt modelId="{B4243524-BD3D-4E2B-9438-79D76C2FDF23}" type="sibTrans" cxnId="{5B35D1C9-097E-4A33-8B6A-DC97080DB7AB}">
      <dgm:prSet/>
      <dgm:spPr/>
      <dgm:t>
        <a:bodyPr/>
        <a:lstStyle/>
        <a:p>
          <a:endParaRPr lang="en-US"/>
        </a:p>
      </dgm:t>
    </dgm:pt>
    <dgm:pt modelId="{97AA3ADE-843A-4221-84AF-DB3AA8600E3A}">
      <dgm:prSet phldrT="[Text]"/>
      <dgm:spPr/>
      <dgm:t>
        <a:bodyPr/>
        <a:lstStyle/>
        <a:p>
          <a:r>
            <a:rPr lang="en-US"/>
            <a:t>Arts &amp; Humanities - Humanities</a:t>
          </a:r>
        </a:p>
      </dgm:t>
    </dgm:pt>
    <dgm:pt modelId="{3837546E-565F-4C80-AFFD-FC0F844D36E0}" type="parTrans" cxnId="{6C025830-232E-47C7-8FAE-657D226860FA}">
      <dgm:prSet/>
      <dgm:spPr/>
      <dgm:t>
        <a:bodyPr/>
        <a:lstStyle/>
        <a:p>
          <a:endParaRPr lang="en-US"/>
        </a:p>
      </dgm:t>
    </dgm:pt>
    <dgm:pt modelId="{A08C9C4B-50BF-49E0-9F7B-2B389F13AAB2}" type="sibTrans" cxnId="{6C025830-232E-47C7-8FAE-657D226860FA}">
      <dgm:prSet/>
      <dgm:spPr/>
      <dgm:t>
        <a:bodyPr/>
        <a:lstStyle/>
        <a:p>
          <a:endParaRPr lang="en-US"/>
        </a:p>
      </dgm:t>
    </dgm:pt>
    <dgm:pt modelId="{85A7569B-6F73-4E04-8B9E-333372741083}">
      <dgm:prSet phldrT="[Text]"/>
      <dgm:spPr/>
      <dgm:t>
        <a:bodyPr/>
        <a:lstStyle/>
        <a:p>
          <a:r>
            <a:rPr lang="en-US"/>
            <a:t>Social &amp; Behavioral Sciences</a:t>
          </a:r>
        </a:p>
      </dgm:t>
    </dgm:pt>
    <dgm:pt modelId="{EC8D2CA0-4FA7-4E25-A2D7-137D60AB9846}" type="parTrans" cxnId="{6BBD4BFF-D0F7-4AFE-BF56-5B608EFC3547}">
      <dgm:prSet/>
      <dgm:spPr/>
      <dgm:t>
        <a:bodyPr/>
        <a:lstStyle/>
        <a:p>
          <a:endParaRPr lang="en-US"/>
        </a:p>
      </dgm:t>
    </dgm:pt>
    <dgm:pt modelId="{78F80E5A-30D3-4AD3-AA2B-21D411931C9C}" type="sibTrans" cxnId="{6BBD4BFF-D0F7-4AFE-BF56-5B608EFC3547}">
      <dgm:prSet/>
      <dgm:spPr/>
      <dgm:t>
        <a:bodyPr/>
        <a:lstStyle/>
        <a:p>
          <a:endParaRPr lang="en-US"/>
        </a:p>
      </dgm:t>
    </dgm:pt>
    <dgm:pt modelId="{5C69E173-182B-4E03-963D-32597C0342D2}">
      <dgm:prSet phldrT="[Text]"/>
      <dgm:spPr/>
      <dgm:t>
        <a:bodyPr/>
        <a:lstStyle/>
        <a:p>
          <a:r>
            <a:rPr lang="en-US"/>
            <a:t>Natural Sciences</a:t>
          </a:r>
        </a:p>
      </dgm:t>
    </dgm:pt>
    <dgm:pt modelId="{15F7E9DC-CCD5-4F70-9CAE-86E91DDA7571}" type="parTrans" cxnId="{417F7F9D-8A39-4507-B916-4CB5B68D85F7}">
      <dgm:prSet/>
      <dgm:spPr/>
      <dgm:t>
        <a:bodyPr/>
        <a:lstStyle/>
        <a:p>
          <a:endParaRPr lang="en-US"/>
        </a:p>
      </dgm:t>
    </dgm:pt>
    <dgm:pt modelId="{441C7C6A-2258-4BEF-ACF6-628EF8DA21C2}" type="sibTrans" cxnId="{417F7F9D-8A39-4507-B916-4CB5B68D85F7}">
      <dgm:prSet/>
      <dgm:spPr/>
      <dgm:t>
        <a:bodyPr/>
        <a:lstStyle/>
        <a:p>
          <a:endParaRPr lang="en-US"/>
        </a:p>
      </dgm:t>
    </dgm:pt>
    <dgm:pt modelId="{6DFB072F-1880-4BF3-8099-F56A0DCDC680}">
      <dgm:prSet phldrT="[Text]"/>
      <dgm:spPr/>
      <dgm:t>
        <a:bodyPr/>
        <a:lstStyle/>
        <a:p>
          <a:r>
            <a:rPr lang="en-US"/>
            <a:t>Quantitative Reasoning</a:t>
          </a:r>
        </a:p>
      </dgm:t>
    </dgm:pt>
    <dgm:pt modelId="{5AD5ED11-9003-4973-8C25-81D345547818}" type="parTrans" cxnId="{F34019F4-1547-40E1-AB51-28BC9ABDBF40}">
      <dgm:prSet/>
      <dgm:spPr/>
      <dgm:t>
        <a:bodyPr/>
        <a:lstStyle/>
        <a:p>
          <a:endParaRPr lang="en-US"/>
        </a:p>
      </dgm:t>
    </dgm:pt>
    <dgm:pt modelId="{13564C3B-DA1E-4A50-8C8F-8059AAB62078}" type="sibTrans" cxnId="{F34019F4-1547-40E1-AB51-28BC9ABDBF40}">
      <dgm:prSet/>
      <dgm:spPr/>
      <dgm:t>
        <a:bodyPr/>
        <a:lstStyle/>
        <a:p>
          <a:endParaRPr lang="en-US"/>
        </a:p>
      </dgm:t>
    </dgm:pt>
    <dgm:pt modelId="{FA9AFF69-10CB-42A1-A2FB-3BAC1428CCFE}">
      <dgm:prSet phldrT="[Text]"/>
      <dgm:spPr/>
      <dgm:t>
        <a:bodyPr/>
        <a:lstStyle/>
        <a:p>
          <a:r>
            <a:rPr lang="en-US"/>
            <a:t>Foreign Languages</a:t>
          </a:r>
        </a:p>
      </dgm:t>
    </dgm:pt>
    <dgm:pt modelId="{24D65E19-2B97-4339-96CE-674567BC6AFC}" type="parTrans" cxnId="{0B7D161F-9740-41A5-A4AD-60BF03BFF151}">
      <dgm:prSet/>
      <dgm:spPr/>
      <dgm:t>
        <a:bodyPr/>
        <a:lstStyle/>
        <a:p>
          <a:endParaRPr lang="en-US"/>
        </a:p>
      </dgm:t>
    </dgm:pt>
    <dgm:pt modelId="{84B1E0EA-AEEB-40FE-9921-9DA6D2CF4EB9}" type="sibTrans" cxnId="{0B7D161F-9740-41A5-A4AD-60BF03BFF151}">
      <dgm:prSet/>
      <dgm:spPr/>
      <dgm:t>
        <a:bodyPr/>
        <a:lstStyle/>
        <a:p>
          <a:endParaRPr lang="en-US"/>
        </a:p>
      </dgm:t>
    </dgm:pt>
    <dgm:pt modelId="{03AD9AF0-A39E-4BE4-BAA3-F60AE4896370}">
      <dgm:prSet phldrT="[Text]"/>
      <dgm:spPr/>
      <dgm:t>
        <a:bodyPr/>
        <a:lstStyle/>
        <a:p>
          <a:r>
            <a:rPr lang="en-US"/>
            <a:t>ENG 101 - Writing I</a:t>
          </a:r>
        </a:p>
      </dgm:t>
    </dgm:pt>
    <dgm:pt modelId="{6CE3DCD6-724F-4147-BC7C-CD07E1F78889}" type="parTrans" cxnId="{F6AC41C8-1342-4F63-9A3A-37ED358DC7E8}">
      <dgm:prSet/>
      <dgm:spPr/>
      <dgm:t>
        <a:bodyPr/>
        <a:lstStyle/>
        <a:p>
          <a:endParaRPr lang="en-US"/>
        </a:p>
      </dgm:t>
    </dgm:pt>
    <dgm:pt modelId="{676B44A0-E62C-4B7B-BFBF-02755F3E175A}" type="sibTrans" cxnId="{F6AC41C8-1342-4F63-9A3A-37ED358DC7E8}">
      <dgm:prSet/>
      <dgm:spPr/>
      <dgm:t>
        <a:bodyPr/>
        <a:lstStyle/>
        <a:p>
          <a:endParaRPr lang="en-US"/>
        </a:p>
      </dgm:t>
    </dgm:pt>
    <dgm:pt modelId="{336FFF6D-43DE-424C-970F-2AEAFAFA9AF1}">
      <dgm:prSet phldrT="[Text]"/>
      <dgm:spPr/>
      <dgm:t>
        <a:bodyPr/>
        <a:lstStyle/>
        <a:p>
          <a:r>
            <a:rPr lang="en-US"/>
            <a:t>ENG 102 - Writing II</a:t>
          </a:r>
        </a:p>
      </dgm:t>
    </dgm:pt>
    <dgm:pt modelId="{250E2699-5EF4-4170-8715-D02ED6156090}" type="parTrans" cxnId="{6EF078AA-0973-4E20-A862-60FBFC0E4363}">
      <dgm:prSet/>
      <dgm:spPr/>
      <dgm:t>
        <a:bodyPr/>
        <a:lstStyle/>
        <a:p>
          <a:endParaRPr lang="en-US"/>
        </a:p>
      </dgm:t>
    </dgm:pt>
    <dgm:pt modelId="{4245E069-F69B-4AFF-A410-2A0DDE4D5CEC}" type="sibTrans" cxnId="{6EF078AA-0973-4E20-A862-60FBFC0E4363}">
      <dgm:prSet/>
      <dgm:spPr/>
      <dgm:t>
        <a:bodyPr/>
        <a:lstStyle/>
        <a:p>
          <a:endParaRPr lang="en-US"/>
        </a:p>
      </dgm:t>
    </dgm:pt>
    <dgm:pt modelId="{4D3A722B-3BF9-4823-95B1-766322DCA72F}">
      <dgm:prSet phldrT="[Text]"/>
      <dgm:spPr/>
      <dgm:t>
        <a:bodyPr/>
        <a:lstStyle/>
        <a:p>
          <a:r>
            <a:rPr lang="en-US"/>
            <a:t>ENG 105 - Writing:  An Accelerated Course</a:t>
          </a:r>
        </a:p>
      </dgm:t>
    </dgm:pt>
    <dgm:pt modelId="{75B6B54E-A1F9-4FE3-8A6B-54B373FB7D2C}" type="parTrans" cxnId="{B15501B7-72F9-4178-9F6C-83067E3D50AC}">
      <dgm:prSet/>
      <dgm:spPr/>
      <dgm:t>
        <a:bodyPr/>
        <a:lstStyle/>
        <a:p>
          <a:endParaRPr lang="en-US"/>
        </a:p>
      </dgm:t>
    </dgm:pt>
    <dgm:pt modelId="{7E4FF44D-6DF5-471D-A7D1-BD89C736D38A}" type="sibTrans" cxnId="{B15501B7-72F9-4178-9F6C-83067E3D50AC}">
      <dgm:prSet/>
      <dgm:spPr/>
      <dgm:t>
        <a:bodyPr/>
        <a:lstStyle/>
        <a:p>
          <a:endParaRPr lang="en-US"/>
        </a:p>
      </dgm:t>
    </dgm:pt>
    <dgm:pt modelId="{0EF40022-29BE-4658-AFA6-8C6C5B58305A}">
      <dgm:prSet phldrT="[Text]"/>
      <dgm:spPr/>
      <dgm:t>
        <a:bodyPr/>
        <a:lstStyle/>
        <a:p>
          <a:r>
            <a:rPr lang="en-US"/>
            <a:t>COM 181 - Basic Public Speaking</a:t>
          </a:r>
        </a:p>
      </dgm:t>
    </dgm:pt>
    <dgm:pt modelId="{89FAC845-CD18-4E72-966E-697389E9880F}" type="parTrans" cxnId="{3463C535-CC5E-4B80-9608-EFFF8BF34289}">
      <dgm:prSet/>
      <dgm:spPr/>
      <dgm:t>
        <a:bodyPr/>
        <a:lstStyle/>
        <a:p>
          <a:endParaRPr lang="en-US"/>
        </a:p>
      </dgm:t>
    </dgm:pt>
    <dgm:pt modelId="{26038427-ACFE-44C2-ACF8-682AF0D9ADE9}" type="sibTrans" cxnId="{3463C535-CC5E-4B80-9608-EFFF8BF34289}">
      <dgm:prSet/>
      <dgm:spPr/>
      <dgm:t>
        <a:bodyPr/>
        <a:lstStyle/>
        <a:p>
          <a:endParaRPr lang="en-US"/>
        </a:p>
      </dgm:t>
    </dgm:pt>
    <dgm:pt modelId="{1567A57A-BECB-4C2B-A4C3-CF507FD85763}">
      <dgm:prSet phldrT="[Text]"/>
      <dgm:spPr/>
      <dgm:t>
        <a:bodyPr/>
        <a:lstStyle/>
        <a:p>
          <a:r>
            <a:rPr lang="en-US"/>
            <a:t>COM 252 - Intro To Interpersonal Communications</a:t>
          </a:r>
        </a:p>
      </dgm:t>
    </dgm:pt>
    <dgm:pt modelId="{78C86997-C8DE-4D02-B349-A98ADA551199}" type="parTrans" cxnId="{2A862774-E1EC-4369-9A19-19BABB2832F4}">
      <dgm:prSet/>
      <dgm:spPr/>
      <dgm:t>
        <a:bodyPr/>
        <a:lstStyle/>
        <a:p>
          <a:endParaRPr lang="en-US"/>
        </a:p>
      </dgm:t>
    </dgm:pt>
    <dgm:pt modelId="{F53A529D-1C72-4148-9AC0-DAC99B8FFB7F}" type="sibTrans" cxnId="{2A862774-E1EC-4369-9A19-19BABB2832F4}">
      <dgm:prSet/>
      <dgm:spPr/>
      <dgm:t>
        <a:bodyPr/>
        <a:lstStyle/>
        <a:p>
          <a:endParaRPr lang="en-US"/>
        </a:p>
      </dgm:t>
    </dgm:pt>
    <dgm:pt modelId="{87A4A51B-747A-4E92-89E9-00C1B4C43821}">
      <dgm:prSet phldrT="[Text]"/>
      <dgm:spPr/>
      <dgm:t>
        <a:bodyPr/>
        <a:lstStyle/>
        <a:p>
          <a:r>
            <a:rPr lang="en-US"/>
            <a:t>COM 281 - Communication In Small Group</a:t>
          </a:r>
        </a:p>
      </dgm:t>
    </dgm:pt>
    <dgm:pt modelId="{93F1BCEA-0527-484F-AC6B-CF41B63B9F59}" type="parTrans" cxnId="{2BBE8075-99E4-4D19-878B-34203FADB2EC}">
      <dgm:prSet/>
      <dgm:spPr/>
      <dgm:t>
        <a:bodyPr/>
        <a:lstStyle/>
        <a:p>
          <a:endParaRPr lang="en-US"/>
        </a:p>
      </dgm:t>
    </dgm:pt>
    <dgm:pt modelId="{A4D0874B-2415-4F8D-98E6-7EF667BDC8AF}" type="sibTrans" cxnId="{2BBE8075-99E4-4D19-878B-34203FADB2EC}">
      <dgm:prSet/>
      <dgm:spPr/>
      <dgm:t>
        <a:bodyPr/>
        <a:lstStyle/>
        <a:p>
          <a:endParaRPr lang="en-US"/>
        </a:p>
      </dgm:t>
    </dgm:pt>
    <dgm:pt modelId="{69C0E573-7A3C-4540-9ECC-F0B73B560E02}">
      <dgm:prSet phldrT="[Text]"/>
      <dgm:spPr/>
      <dgm:t>
        <a:bodyPr/>
        <a:lstStyle/>
        <a:p>
          <a:r>
            <a:rPr lang="en-US"/>
            <a:t>COM 287 - Persuasive Speaking</a:t>
          </a:r>
        </a:p>
      </dgm:t>
    </dgm:pt>
    <dgm:pt modelId="{0DDADB35-8271-428A-8C9C-52C9C585290A}" type="parTrans" cxnId="{710878E7-4318-4315-9975-F7C7825CC2BD}">
      <dgm:prSet/>
      <dgm:spPr/>
      <dgm:t>
        <a:bodyPr/>
        <a:lstStyle/>
        <a:p>
          <a:endParaRPr lang="en-US"/>
        </a:p>
      </dgm:t>
    </dgm:pt>
    <dgm:pt modelId="{18119308-63CD-4B61-BC4A-351B27250CF0}" type="sibTrans" cxnId="{710878E7-4318-4315-9975-F7C7825CC2BD}">
      <dgm:prSet/>
      <dgm:spPr/>
      <dgm:t>
        <a:bodyPr/>
        <a:lstStyle/>
        <a:p>
          <a:endParaRPr lang="en-US"/>
        </a:p>
      </dgm:t>
    </dgm:pt>
    <dgm:pt modelId="{F253FA2D-0188-4342-832A-1C94BB9D2139}">
      <dgm:prSet phldrT="[Text]"/>
      <dgm:spPr/>
      <dgm:t>
        <a:bodyPr/>
        <a:lstStyle/>
        <a:p>
          <a:r>
            <a:rPr lang="en-US"/>
            <a:t>FLK 276 - Introduction To Folk Studies</a:t>
          </a:r>
        </a:p>
      </dgm:t>
    </dgm:pt>
    <dgm:pt modelId="{5EA17A85-59CD-4C9A-B443-3C948CB17B67}" type="parTrans" cxnId="{CCF56A83-C51D-4CDF-9AD2-20350149E62E}">
      <dgm:prSet/>
      <dgm:spPr/>
      <dgm:t>
        <a:bodyPr/>
        <a:lstStyle/>
        <a:p>
          <a:endParaRPr lang="en-US"/>
        </a:p>
      </dgm:t>
    </dgm:pt>
    <dgm:pt modelId="{6A77D063-B8D8-4FC1-8181-C729E14C021F}" type="sibTrans" cxnId="{CCF56A83-C51D-4CDF-9AD2-20350149E62E}">
      <dgm:prSet/>
      <dgm:spPr/>
      <dgm:t>
        <a:bodyPr/>
        <a:lstStyle/>
        <a:p>
          <a:endParaRPr lang="en-US"/>
        </a:p>
      </dgm:t>
    </dgm:pt>
    <dgm:pt modelId="{7429FB20-E8CC-4D79-99E1-D0F84126E094}">
      <dgm:prSet phldrT="[Text]"/>
      <dgm:spPr/>
      <dgm:t>
        <a:bodyPr/>
        <a:lstStyle/>
        <a:p>
          <a:r>
            <a:rPr lang="en-US"/>
            <a:t>HIS 101 - World Civilization I</a:t>
          </a:r>
        </a:p>
      </dgm:t>
    </dgm:pt>
    <dgm:pt modelId="{777A061F-BC4C-4005-8D3F-61BE90BC7D35}" type="parTrans" cxnId="{248DEDB9-26E2-4563-80D5-2972DCB7131B}">
      <dgm:prSet/>
      <dgm:spPr/>
      <dgm:t>
        <a:bodyPr/>
        <a:lstStyle/>
        <a:p>
          <a:endParaRPr lang="en-US"/>
        </a:p>
      </dgm:t>
    </dgm:pt>
    <dgm:pt modelId="{F824F0FE-3504-49BB-BBE1-9D617A228C5D}" type="sibTrans" cxnId="{248DEDB9-26E2-4563-80D5-2972DCB7131B}">
      <dgm:prSet/>
      <dgm:spPr/>
      <dgm:t>
        <a:bodyPr/>
        <a:lstStyle/>
        <a:p>
          <a:endParaRPr lang="en-US"/>
        </a:p>
      </dgm:t>
    </dgm:pt>
    <dgm:pt modelId="{773051DD-BAA3-4814-A77B-C85CDA30B638}">
      <dgm:prSet phldrT="[Text]"/>
      <dgm:spPr/>
      <dgm:t>
        <a:bodyPr/>
        <a:lstStyle/>
        <a:p>
          <a:r>
            <a:rPr lang="en-US"/>
            <a:t>HIS 102 - World Civilization II</a:t>
          </a:r>
        </a:p>
      </dgm:t>
    </dgm:pt>
    <dgm:pt modelId="{086BE406-098A-4623-9815-D28F9CDD0615}" type="parTrans" cxnId="{D1136D72-BBC2-42AC-BA53-1E6043F070C0}">
      <dgm:prSet/>
      <dgm:spPr/>
      <dgm:t>
        <a:bodyPr/>
        <a:lstStyle/>
        <a:p>
          <a:endParaRPr lang="en-US"/>
        </a:p>
      </dgm:t>
    </dgm:pt>
    <dgm:pt modelId="{8B66204E-4A8D-4F1D-A541-AD783B214D46}" type="sibTrans" cxnId="{D1136D72-BBC2-42AC-BA53-1E6043F070C0}">
      <dgm:prSet/>
      <dgm:spPr/>
      <dgm:t>
        <a:bodyPr/>
        <a:lstStyle/>
        <a:p>
          <a:endParaRPr lang="en-US"/>
        </a:p>
      </dgm:t>
    </dgm:pt>
    <dgm:pt modelId="{47D78465-7477-4AE8-8783-92D21BA0FC86}">
      <dgm:prSet phldrT="[Text]"/>
      <dgm:spPr/>
      <dgm:t>
        <a:bodyPr/>
        <a:lstStyle/>
        <a:p>
          <a:r>
            <a:rPr lang="en-US"/>
            <a:t>HIS 104 - A History Of Europe Through The Mid-17th Century</a:t>
          </a:r>
        </a:p>
      </dgm:t>
    </dgm:pt>
    <dgm:pt modelId="{0D75B072-D39B-41FA-9C35-CED7B0B9F255}" type="parTrans" cxnId="{5F2668F3-314E-4996-9548-50C116D80BFD}">
      <dgm:prSet/>
      <dgm:spPr/>
      <dgm:t>
        <a:bodyPr/>
        <a:lstStyle/>
        <a:p>
          <a:endParaRPr lang="en-US"/>
        </a:p>
      </dgm:t>
    </dgm:pt>
    <dgm:pt modelId="{845C281E-6FA6-4EBD-A304-6A6DD2A704E8}" type="sibTrans" cxnId="{5F2668F3-314E-4996-9548-50C116D80BFD}">
      <dgm:prSet/>
      <dgm:spPr/>
      <dgm:t>
        <a:bodyPr/>
        <a:lstStyle/>
        <a:p>
          <a:endParaRPr lang="en-US"/>
        </a:p>
      </dgm:t>
    </dgm:pt>
    <dgm:pt modelId="{C61C1A3B-2D14-49C3-A040-6C1CB7F5FE4C}">
      <dgm:prSet phldrT="[Text]"/>
      <dgm:spPr/>
      <dgm:t>
        <a:bodyPr/>
        <a:lstStyle/>
        <a:p>
          <a:r>
            <a:rPr lang="en-US"/>
            <a:t>HIS 105 - A History Of Europe From The Mid-17th Century To The Present</a:t>
          </a:r>
        </a:p>
      </dgm:t>
    </dgm:pt>
    <dgm:pt modelId="{04F03A08-E8C3-4D8F-961C-BD9A1111CDEE}" type="parTrans" cxnId="{CFFAB60E-5271-4EC5-963A-08BA54299390}">
      <dgm:prSet/>
      <dgm:spPr/>
      <dgm:t>
        <a:bodyPr/>
        <a:lstStyle/>
        <a:p>
          <a:endParaRPr lang="en-US"/>
        </a:p>
      </dgm:t>
    </dgm:pt>
    <dgm:pt modelId="{CB5C8D23-22AB-477E-8362-BD1C4268919A}" type="sibTrans" cxnId="{CFFAB60E-5271-4EC5-963A-08BA54299390}">
      <dgm:prSet/>
      <dgm:spPr/>
      <dgm:t>
        <a:bodyPr/>
        <a:lstStyle/>
        <a:p>
          <a:endParaRPr lang="en-US"/>
        </a:p>
      </dgm:t>
    </dgm:pt>
    <dgm:pt modelId="{E8CFCFBB-2C43-49A3-85F1-22C06428A4C7}">
      <dgm:prSet phldrT="[Text]"/>
      <dgm:spPr/>
      <dgm:t>
        <a:bodyPr/>
        <a:lstStyle/>
        <a:p>
          <a:r>
            <a:rPr lang="en-US"/>
            <a:t>HIS 106 - Western Culture:  Science &amp; Technology I</a:t>
          </a:r>
        </a:p>
      </dgm:t>
    </dgm:pt>
    <dgm:pt modelId="{BF3B777C-7F1B-4707-A870-2106F9A3A56D}" type="parTrans" cxnId="{C853D88D-569A-40C6-8189-49430BD258C5}">
      <dgm:prSet/>
      <dgm:spPr/>
      <dgm:t>
        <a:bodyPr/>
        <a:lstStyle/>
        <a:p>
          <a:endParaRPr lang="en-US"/>
        </a:p>
      </dgm:t>
    </dgm:pt>
    <dgm:pt modelId="{7DD393A5-F4C1-46D6-A4E9-4A3ADC4C0435}" type="sibTrans" cxnId="{C853D88D-569A-40C6-8189-49430BD258C5}">
      <dgm:prSet/>
      <dgm:spPr/>
      <dgm:t>
        <a:bodyPr/>
        <a:lstStyle/>
        <a:p>
          <a:endParaRPr lang="en-US"/>
        </a:p>
      </dgm:t>
    </dgm:pt>
    <dgm:pt modelId="{7F4BA4D5-0EE6-4191-AFF8-16BE0389E350}">
      <dgm:prSet phldrT="[Text]"/>
      <dgm:spPr/>
      <dgm:t>
        <a:bodyPr/>
        <a:lstStyle/>
        <a:p>
          <a:r>
            <a:rPr lang="en-US"/>
            <a:t>HIS 107 - Western Culture:  Science &amp; Technology II</a:t>
          </a:r>
        </a:p>
      </dgm:t>
    </dgm:pt>
    <dgm:pt modelId="{4573D063-F96F-4367-A2FB-6D77BEBCFB62}" type="parTrans" cxnId="{82E1F8C0-0513-4E47-ACF2-0C918DE772D1}">
      <dgm:prSet/>
      <dgm:spPr/>
      <dgm:t>
        <a:bodyPr/>
        <a:lstStyle/>
        <a:p>
          <a:endParaRPr lang="en-US"/>
        </a:p>
      </dgm:t>
    </dgm:pt>
    <dgm:pt modelId="{486CFA21-3FDF-408F-BD9E-C79BB54024A2}" type="sibTrans" cxnId="{82E1F8C0-0513-4E47-ACF2-0C918DE772D1}">
      <dgm:prSet/>
      <dgm:spPr/>
      <dgm:t>
        <a:bodyPr/>
        <a:lstStyle/>
        <a:p>
          <a:endParaRPr lang="en-US"/>
        </a:p>
      </dgm:t>
    </dgm:pt>
    <dgm:pt modelId="{05F0C44D-3D18-41CB-9BB7-7B30DBFB0279}">
      <dgm:prSet phldrT="[Text]"/>
      <dgm:spPr/>
      <dgm:t>
        <a:bodyPr/>
        <a:lstStyle/>
        <a:p>
          <a:r>
            <a:rPr lang="en-US"/>
            <a:t>HIS 108 - History Of The U.S. Through 1865</a:t>
          </a:r>
        </a:p>
      </dgm:t>
    </dgm:pt>
    <dgm:pt modelId="{7D67A7AD-272A-49E2-8684-F29FACBDA606}" type="parTrans" cxnId="{5DAAE5ED-2206-4805-8E0A-F33250CE8C38}">
      <dgm:prSet/>
      <dgm:spPr/>
      <dgm:t>
        <a:bodyPr/>
        <a:lstStyle/>
        <a:p>
          <a:endParaRPr lang="en-US"/>
        </a:p>
      </dgm:t>
    </dgm:pt>
    <dgm:pt modelId="{D027E6B1-0D44-4A1C-867A-E4B09AC190D1}" type="sibTrans" cxnId="{5DAAE5ED-2206-4805-8E0A-F33250CE8C38}">
      <dgm:prSet/>
      <dgm:spPr/>
      <dgm:t>
        <a:bodyPr/>
        <a:lstStyle/>
        <a:p>
          <a:endParaRPr lang="en-US"/>
        </a:p>
      </dgm:t>
    </dgm:pt>
    <dgm:pt modelId="{B7B6F41B-0457-480D-9B6B-ED3AD905DD62}">
      <dgm:prSet phldrT="[Text]"/>
      <dgm:spPr/>
      <dgm:t>
        <a:bodyPr/>
        <a:lstStyle/>
        <a:p>
          <a:r>
            <a:rPr lang="en-US"/>
            <a:t>HIS 109 - History Of The U.S. Since 1865</a:t>
          </a:r>
        </a:p>
      </dgm:t>
    </dgm:pt>
    <dgm:pt modelId="{8BDD9416-31CE-46E7-BED0-4B0D97D6992E}" type="parTrans" cxnId="{C5759B6D-2A7B-4FC9-B6DD-E51C854F2128}">
      <dgm:prSet/>
      <dgm:spPr/>
      <dgm:t>
        <a:bodyPr/>
        <a:lstStyle/>
        <a:p>
          <a:endParaRPr lang="en-US"/>
        </a:p>
      </dgm:t>
    </dgm:pt>
    <dgm:pt modelId="{9A8798E6-F6A0-4ABF-B48B-5F18899B4D7C}" type="sibTrans" cxnId="{C5759B6D-2A7B-4FC9-B6DD-E51C854F2128}">
      <dgm:prSet/>
      <dgm:spPr/>
      <dgm:t>
        <a:bodyPr/>
        <a:lstStyle/>
        <a:p>
          <a:endParaRPr lang="en-US"/>
        </a:p>
      </dgm:t>
    </dgm:pt>
    <dgm:pt modelId="{6C882D9C-25AA-4BAD-A298-8A19EA132F9D}">
      <dgm:prSet phldrT="[Text]"/>
      <dgm:spPr/>
      <dgm:t>
        <a:bodyPr/>
        <a:lstStyle/>
        <a:p>
          <a:r>
            <a:rPr lang="en-US"/>
            <a:t>HIS 120 - The World At War 1939-45</a:t>
          </a:r>
        </a:p>
      </dgm:t>
    </dgm:pt>
    <dgm:pt modelId="{C8C7A25C-5B79-4E34-A1EA-D7458C37CC41}" type="parTrans" cxnId="{209D627A-C81E-452A-86CF-004710472FC4}">
      <dgm:prSet/>
      <dgm:spPr/>
      <dgm:t>
        <a:bodyPr/>
        <a:lstStyle/>
        <a:p>
          <a:endParaRPr lang="en-US"/>
        </a:p>
      </dgm:t>
    </dgm:pt>
    <dgm:pt modelId="{566BFEF4-97B6-421E-BF36-9308EA52B962}" type="sibTrans" cxnId="{209D627A-C81E-452A-86CF-004710472FC4}">
      <dgm:prSet/>
      <dgm:spPr/>
      <dgm:t>
        <a:bodyPr/>
        <a:lstStyle/>
        <a:p>
          <a:endParaRPr lang="en-US"/>
        </a:p>
      </dgm:t>
    </dgm:pt>
    <dgm:pt modelId="{EFE5517D-439F-4341-9975-EE6BCBAA48DC}">
      <dgm:prSet phldrT="[Text]"/>
      <dgm:spPr/>
      <dgm:t>
        <a:bodyPr/>
        <a:lstStyle/>
        <a:p>
          <a:r>
            <a:rPr lang="en-US"/>
            <a:t>HIS 202 - History Of The British People To The Restoration</a:t>
          </a:r>
        </a:p>
      </dgm:t>
    </dgm:pt>
    <dgm:pt modelId="{FFB9124D-E19E-4CEC-AC79-9CA6D223622D}" type="parTrans" cxnId="{13CF0211-A49C-4943-935C-F9459D717E12}">
      <dgm:prSet/>
      <dgm:spPr/>
      <dgm:t>
        <a:bodyPr/>
        <a:lstStyle/>
        <a:p>
          <a:endParaRPr lang="en-US"/>
        </a:p>
      </dgm:t>
    </dgm:pt>
    <dgm:pt modelId="{76862E25-9A15-40B6-9B34-FB5999710F23}" type="sibTrans" cxnId="{13CF0211-A49C-4943-935C-F9459D717E12}">
      <dgm:prSet/>
      <dgm:spPr/>
      <dgm:t>
        <a:bodyPr/>
        <a:lstStyle/>
        <a:p>
          <a:endParaRPr lang="en-US"/>
        </a:p>
      </dgm:t>
    </dgm:pt>
    <dgm:pt modelId="{FF8FFBE7-5AB2-4A64-9248-F3FB776E7B67}">
      <dgm:prSet phldrT="[Text]"/>
      <dgm:spPr/>
      <dgm:t>
        <a:bodyPr/>
        <a:lstStyle/>
        <a:p>
          <a:r>
            <a:rPr lang="en-US"/>
            <a:t>HIS 203 - History Of The British People Since The Restoration</a:t>
          </a:r>
        </a:p>
      </dgm:t>
    </dgm:pt>
    <dgm:pt modelId="{39A653A0-9D0D-47BD-B660-F7D43FC50545}" type="parTrans" cxnId="{C1B91762-B7A5-45CB-B636-50C42C138FF7}">
      <dgm:prSet/>
      <dgm:spPr/>
      <dgm:t>
        <a:bodyPr/>
        <a:lstStyle/>
        <a:p>
          <a:endParaRPr lang="en-US"/>
        </a:p>
      </dgm:t>
    </dgm:pt>
    <dgm:pt modelId="{C052E6BD-2C1C-4816-8C1F-1FCFCC19EAEC}" type="sibTrans" cxnId="{C1B91762-B7A5-45CB-B636-50C42C138FF7}">
      <dgm:prSet/>
      <dgm:spPr/>
      <dgm:t>
        <a:bodyPr/>
        <a:lstStyle/>
        <a:p>
          <a:endParaRPr lang="en-US"/>
        </a:p>
      </dgm:t>
    </dgm:pt>
    <dgm:pt modelId="{DF7C2977-587C-4745-8C8F-BE7227521219}">
      <dgm:prSet phldrT="[Text]"/>
      <dgm:spPr/>
      <dgm:t>
        <a:bodyPr/>
        <a:lstStyle/>
        <a:p>
          <a:r>
            <a:rPr lang="en-US"/>
            <a:t>HIS 206 - History Of Colonial Latin America</a:t>
          </a:r>
        </a:p>
      </dgm:t>
    </dgm:pt>
    <dgm:pt modelId="{21D3E8FA-1837-4C39-9C04-49C45FA63E36}" type="parTrans" cxnId="{A69B061F-5903-452C-94F4-57BC4157337E}">
      <dgm:prSet/>
      <dgm:spPr/>
      <dgm:t>
        <a:bodyPr/>
        <a:lstStyle/>
        <a:p>
          <a:endParaRPr lang="en-US"/>
        </a:p>
      </dgm:t>
    </dgm:pt>
    <dgm:pt modelId="{D4581D9B-7CE9-4483-A74E-42D17A082B2E}" type="sibTrans" cxnId="{A69B061F-5903-452C-94F4-57BC4157337E}">
      <dgm:prSet/>
      <dgm:spPr/>
      <dgm:t>
        <a:bodyPr/>
        <a:lstStyle/>
        <a:p>
          <a:endParaRPr lang="en-US"/>
        </a:p>
      </dgm:t>
    </dgm:pt>
    <dgm:pt modelId="{CD5BFA19-2E1A-418B-8E7B-4CB15FE3D518}">
      <dgm:prSet phldrT="[Text]"/>
      <dgm:spPr/>
      <dgm:t>
        <a:bodyPr/>
        <a:lstStyle/>
        <a:p>
          <a:r>
            <a:rPr lang="en-US"/>
            <a:t>HIS 207 - History Of Modern Latin America, 1810 To Present</a:t>
          </a:r>
        </a:p>
      </dgm:t>
    </dgm:pt>
    <dgm:pt modelId="{8A0EC713-2532-4601-B008-B2CB5CE0F36C}" type="parTrans" cxnId="{50BF18CE-E525-4721-BCA6-5067F59CE361}">
      <dgm:prSet/>
      <dgm:spPr/>
      <dgm:t>
        <a:bodyPr/>
        <a:lstStyle/>
        <a:p>
          <a:endParaRPr lang="en-US"/>
        </a:p>
      </dgm:t>
    </dgm:pt>
    <dgm:pt modelId="{E0C17818-9DAC-4892-A509-5BFE19C37737}" type="sibTrans" cxnId="{50BF18CE-E525-4721-BCA6-5067F59CE361}">
      <dgm:prSet/>
      <dgm:spPr/>
      <dgm:t>
        <a:bodyPr/>
        <a:lstStyle/>
        <a:p>
          <a:endParaRPr lang="en-US"/>
        </a:p>
      </dgm:t>
    </dgm:pt>
    <dgm:pt modelId="{9D75F544-58C1-448C-823F-FC124B625833}">
      <dgm:prSet phldrT="[Text]"/>
      <dgm:spPr/>
      <dgm:t>
        <a:bodyPr/>
        <a:lstStyle/>
        <a:p>
          <a:r>
            <a:rPr lang="en-US"/>
            <a:t>HIS 240 - History Of Kentucky</a:t>
          </a:r>
        </a:p>
      </dgm:t>
    </dgm:pt>
    <dgm:pt modelId="{546B3E76-D6A8-4812-97BD-F76CA2C8CE2D}" type="parTrans" cxnId="{8273CA80-83C4-47A1-9F68-EDD3F3242E83}">
      <dgm:prSet/>
      <dgm:spPr/>
      <dgm:t>
        <a:bodyPr/>
        <a:lstStyle/>
        <a:p>
          <a:endParaRPr lang="en-US"/>
        </a:p>
      </dgm:t>
    </dgm:pt>
    <dgm:pt modelId="{CC08AAED-58A9-4200-893D-655C9B24F05A}" type="sibTrans" cxnId="{8273CA80-83C4-47A1-9F68-EDD3F3242E83}">
      <dgm:prSet/>
      <dgm:spPr/>
      <dgm:t>
        <a:bodyPr/>
        <a:lstStyle/>
        <a:p>
          <a:endParaRPr lang="en-US"/>
        </a:p>
      </dgm:t>
    </dgm:pt>
    <dgm:pt modelId="{E01208D4-021B-4021-8A8D-7D6448DDEEA6}">
      <dgm:prSet phldrT="[Text]"/>
      <dgm:spPr/>
      <dgm:t>
        <a:bodyPr/>
        <a:lstStyle/>
        <a:p>
          <a:r>
            <a:rPr lang="en-US"/>
            <a:t>HIS 247 - History Of Islam &amp; Middle East Peoples, 500 - 1250 A.D.</a:t>
          </a:r>
        </a:p>
      </dgm:t>
    </dgm:pt>
    <dgm:pt modelId="{8DBE2B9B-DD2E-4609-A760-06C79AB6C291}" type="parTrans" cxnId="{D823A358-00FF-406F-B730-005C27987635}">
      <dgm:prSet/>
      <dgm:spPr/>
      <dgm:t>
        <a:bodyPr/>
        <a:lstStyle/>
        <a:p>
          <a:endParaRPr lang="en-US"/>
        </a:p>
      </dgm:t>
    </dgm:pt>
    <dgm:pt modelId="{CF971AA1-E213-48C1-BD1D-DE6676BF2EF4}" type="sibTrans" cxnId="{D823A358-00FF-406F-B730-005C27987635}">
      <dgm:prSet/>
      <dgm:spPr/>
      <dgm:t>
        <a:bodyPr/>
        <a:lstStyle/>
        <a:p>
          <a:endParaRPr lang="en-US"/>
        </a:p>
      </dgm:t>
    </dgm:pt>
    <dgm:pt modelId="{B1F8A4E2-330D-45F9-BC11-21CA8FEAED6E}">
      <dgm:prSet phldrT="[Text]"/>
      <dgm:spPr/>
      <dgm:t>
        <a:bodyPr/>
        <a:lstStyle/>
        <a:p>
          <a:r>
            <a:rPr lang="en-US"/>
            <a:t>HIS 248 - History Of Islam &amp; Middle East Peoples, 1250 To Present</a:t>
          </a:r>
        </a:p>
      </dgm:t>
    </dgm:pt>
    <dgm:pt modelId="{DDE1E0BF-8CCD-4DC7-8400-B8BB21FBBE7C}" type="parTrans" cxnId="{1608B9F4-3B24-4EB4-8A6F-D9C72404F2A1}">
      <dgm:prSet/>
      <dgm:spPr/>
      <dgm:t>
        <a:bodyPr/>
        <a:lstStyle/>
        <a:p>
          <a:endParaRPr lang="en-US"/>
        </a:p>
      </dgm:t>
    </dgm:pt>
    <dgm:pt modelId="{4251DC2F-500D-4236-8E2F-1CEF30AABD6B}" type="sibTrans" cxnId="{1608B9F4-3B24-4EB4-8A6F-D9C72404F2A1}">
      <dgm:prSet/>
      <dgm:spPr/>
      <dgm:t>
        <a:bodyPr/>
        <a:lstStyle/>
        <a:p>
          <a:endParaRPr lang="en-US"/>
        </a:p>
      </dgm:t>
    </dgm:pt>
    <dgm:pt modelId="{C6E3CD80-CB22-45CF-A66F-AE58F48C0944}">
      <dgm:prSet phldrT="[Text]"/>
      <dgm:spPr/>
      <dgm:t>
        <a:bodyPr/>
        <a:lstStyle/>
        <a:p>
          <a:r>
            <a:rPr lang="en-US"/>
            <a:t>HIS 254 - History Of Sub-Saharan Africa</a:t>
          </a:r>
        </a:p>
      </dgm:t>
    </dgm:pt>
    <dgm:pt modelId="{7ADF1C72-044F-499F-A3E9-BA484E46428F}" type="parTrans" cxnId="{57A87740-F9B8-4EB9-8173-DEEBD8CCBCA0}">
      <dgm:prSet/>
      <dgm:spPr/>
      <dgm:t>
        <a:bodyPr/>
        <a:lstStyle/>
        <a:p>
          <a:endParaRPr lang="en-US"/>
        </a:p>
      </dgm:t>
    </dgm:pt>
    <dgm:pt modelId="{0F8E0217-1211-4901-9BED-54AD9B8C826F}" type="sibTrans" cxnId="{57A87740-F9B8-4EB9-8173-DEEBD8CCBCA0}">
      <dgm:prSet/>
      <dgm:spPr/>
      <dgm:t>
        <a:bodyPr/>
        <a:lstStyle/>
        <a:p>
          <a:endParaRPr lang="en-US"/>
        </a:p>
      </dgm:t>
    </dgm:pt>
    <dgm:pt modelId="{6DCA2985-E893-4027-86A9-D57E5C650331}">
      <dgm:prSet phldrT="[Text]"/>
      <dgm:spPr/>
      <dgm:t>
        <a:bodyPr/>
        <a:lstStyle/>
        <a:p>
          <a:r>
            <a:rPr lang="en-US"/>
            <a:t>HIS 260 - African American History To 1865</a:t>
          </a:r>
        </a:p>
      </dgm:t>
    </dgm:pt>
    <dgm:pt modelId="{CE349684-5889-427B-A134-16D6417C3058}" type="parTrans" cxnId="{E535E819-B857-4D04-A846-76E519575A68}">
      <dgm:prSet/>
      <dgm:spPr/>
      <dgm:t>
        <a:bodyPr/>
        <a:lstStyle/>
        <a:p>
          <a:endParaRPr lang="en-US"/>
        </a:p>
      </dgm:t>
    </dgm:pt>
    <dgm:pt modelId="{45951388-BBE8-4906-A19F-2527D418D23E}" type="sibTrans" cxnId="{E535E819-B857-4D04-A846-76E519575A68}">
      <dgm:prSet/>
      <dgm:spPr/>
      <dgm:t>
        <a:bodyPr/>
        <a:lstStyle/>
        <a:p>
          <a:endParaRPr lang="en-US"/>
        </a:p>
      </dgm:t>
    </dgm:pt>
    <dgm:pt modelId="{81A5DAA0-EA09-489E-AA76-58436949D515}">
      <dgm:prSet phldrT="[Text]"/>
      <dgm:spPr/>
      <dgm:t>
        <a:bodyPr/>
        <a:lstStyle/>
        <a:p>
          <a:r>
            <a:rPr lang="en-US"/>
            <a:t>HIS 261 - African American History 1865 To Present</a:t>
          </a:r>
        </a:p>
      </dgm:t>
    </dgm:pt>
    <dgm:pt modelId="{20C59A42-A92F-4182-A3AD-D30779975BAF}" type="parTrans" cxnId="{7661DAD0-6100-4685-A95E-EB7C78081E19}">
      <dgm:prSet/>
      <dgm:spPr/>
      <dgm:t>
        <a:bodyPr/>
        <a:lstStyle/>
        <a:p>
          <a:endParaRPr lang="en-US"/>
        </a:p>
      </dgm:t>
    </dgm:pt>
    <dgm:pt modelId="{F7347C17-6AB4-4F1D-ADBF-20E42DF80EA2}" type="sibTrans" cxnId="{7661DAD0-6100-4685-A95E-EB7C78081E19}">
      <dgm:prSet/>
      <dgm:spPr/>
      <dgm:t>
        <a:bodyPr/>
        <a:lstStyle/>
        <a:p>
          <a:endParaRPr lang="en-US"/>
        </a:p>
      </dgm:t>
    </dgm:pt>
    <dgm:pt modelId="{B8D5CB66-F327-469C-9E1D-4060B30A24C3}">
      <dgm:prSet phldrT="[Text]"/>
      <dgm:spPr/>
      <dgm:t>
        <a:bodyPr/>
        <a:lstStyle/>
        <a:p>
          <a:r>
            <a:rPr lang="en-US"/>
            <a:t>HIS 265 - History Of Women In America</a:t>
          </a:r>
        </a:p>
      </dgm:t>
    </dgm:pt>
    <dgm:pt modelId="{99C2D3C5-3EED-4297-B060-B74508E13187}" type="parTrans" cxnId="{1B219812-0041-425B-840C-72AEAFD9F0FF}">
      <dgm:prSet/>
      <dgm:spPr/>
      <dgm:t>
        <a:bodyPr/>
        <a:lstStyle/>
        <a:p>
          <a:endParaRPr lang="en-US"/>
        </a:p>
      </dgm:t>
    </dgm:pt>
    <dgm:pt modelId="{C4DC5316-8BE8-499E-ADD0-778D7E219F0A}" type="sibTrans" cxnId="{1B219812-0041-425B-840C-72AEAFD9F0FF}">
      <dgm:prSet/>
      <dgm:spPr/>
      <dgm:t>
        <a:bodyPr/>
        <a:lstStyle/>
        <a:p>
          <a:endParaRPr lang="en-US"/>
        </a:p>
      </dgm:t>
    </dgm:pt>
    <dgm:pt modelId="{EAE21940-E0AF-4FDE-B5A0-2E412D7D340D}">
      <dgm:prSet phldrT="[Text]"/>
      <dgm:spPr/>
      <dgm:t>
        <a:bodyPr/>
        <a:lstStyle/>
        <a:p>
          <a:r>
            <a:rPr lang="en-US"/>
            <a:t>HIS 270 - Ancient Europe</a:t>
          </a:r>
        </a:p>
      </dgm:t>
    </dgm:pt>
    <dgm:pt modelId="{FEB14254-3B0C-405D-BF08-4DEF05464FED}" type="parTrans" cxnId="{23103BF5-9AB3-40D6-A0FC-BE23A1C2B994}">
      <dgm:prSet/>
      <dgm:spPr/>
      <dgm:t>
        <a:bodyPr/>
        <a:lstStyle/>
        <a:p>
          <a:endParaRPr lang="en-US"/>
        </a:p>
      </dgm:t>
    </dgm:pt>
    <dgm:pt modelId="{7806C4B2-360A-436D-AF53-615CB863D8FA}" type="sibTrans" cxnId="{23103BF5-9AB3-40D6-A0FC-BE23A1C2B994}">
      <dgm:prSet/>
      <dgm:spPr/>
      <dgm:t>
        <a:bodyPr/>
        <a:lstStyle/>
        <a:p>
          <a:endParaRPr lang="en-US"/>
        </a:p>
      </dgm:t>
    </dgm:pt>
    <dgm:pt modelId="{CA88C94C-B8F6-4F81-A2E4-F212145A1D53}">
      <dgm:prSet phldrT="[Text]"/>
      <dgm:spPr/>
      <dgm:t>
        <a:bodyPr/>
        <a:lstStyle/>
        <a:p>
          <a:r>
            <a:rPr lang="en-US"/>
            <a:t>HIS 271 - Medieval Europe</a:t>
          </a:r>
        </a:p>
      </dgm:t>
    </dgm:pt>
    <dgm:pt modelId="{874FE4DC-D9BC-4346-BC7A-CCDAA08DECF9}" type="parTrans" cxnId="{ED009C8C-9790-45DE-8757-C60D5E50B126}">
      <dgm:prSet/>
      <dgm:spPr/>
      <dgm:t>
        <a:bodyPr/>
        <a:lstStyle/>
        <a:p>
          <a:endParaRPr lang="en-US"/>
        </a:p>
      </dgm:t>
    </dgm:pt>
    <dgm:pt modelId="{DA63B74C-ECFC-4AC1-9E2C-D245655F0A99}" type="sibTrans" cxnId="{ED009C8C-9790-45DE-8757-C60D5E50B126}">
      <dgm:prSet/>
      <dgm:spPr/>
      <dgm:t>
        <a:bodyPr/>
        <a:lstStyle/>
        <a:p>
          <a:endParaRPr lang="en-US"/>
        </a:p>
      </dgm:t>
    </dgm:pt>
    <dgm:pt modelId="{40010136-2720-4675-8DE2-A335A2335E16}">
      <dgm:prSet phldrT="[Text]"/>
      <dgm:spPr/>
      <dgm:t>
        <a:bodyPr/>
        <a:lstStyle/>
        <a:p>
          <a:r>
            <a:rPr lang="en-US"/>
            <a:t>HIS 295 - East Asia To 1800</a:t>
          </a:r>
        </a:p>
      </dgm:t>
    </dgm:pt>
    <dgm:pt modelId="{9FB4A881-8942-4EC2-9EE7-0234AD39502C}" type="parTrans" cxnId="{92E7E978-C6D6-46AB-9F44-19E93E5BB1CA}">
      <dgm:prSet/>
      <dgm:spPr/>
      <dgm:t>
        <a:bodyPr/>
        <a:lstStyle/>
        <a:p>
          <a:endParaRPr lang="en-US"/>
        </a:p>
      </dgm:t>
    </dgm:pt>
    <dgm:pt modelId="{A9FF774F-F9E9-44A9-B4F3-B8CA8E563076}" type="sibTrans" cxnId="{92E7E978-C6D6-46AB-9F44-19E93E5BB1CA}">
      <dgm:prSet/>
      <dgm:spPr/>
      <dgm:t>
        <a:bodyPr/>
        <a:lstStyle/>
        <a:p>
          <a:endParaRPr lang="en-US"/>
        </a:p>
      </dgm:t>
    </dgm:pt>
    <dgm:pt modelId="{4B9A69F3-2C7D-49B6-800A-67A7E4E4CF36}">
      <dgm:prSet phldrT="[Text]"/>
      <dgm:spPr/>
      <dgm:t>
        <a:bodyPr/>
        <a:lstStyle/>
        <a:p>
          <a:r>
            <a:rPr lang="en-US"/>
            <a:t>HIS 296 - History Of Asia II</a:t>
          </a:r>
        </a:p>
      </dgm:t>
    </dgm:pt>
    <dgm:pt modelId="{DD3DECC0-3724-409D-8423-DF8834238839}" type="parTrans" cxnId="{1B17F84E-E19E-403F-BD13-8E803C285480}">
      <dgm:prSet/>
      <dgm:spPr/>
      <dgm:t>
        <a:bodyPr/>
        <a:lstStyle/>
        <a:p>
          <a:endParaRPr lang="en-US"/>
        </a:p>
      </dgm:t>
    </dgm:pt>
    <dgm:pt modelId="{F16C6902-629C-44BB-A38F-978E10A3DFBF}" type="sibTrans" cxnId="{1B17F84E-E19E-403F-BD13-8E803C285480}">
      <dgm:prSet/>
      <dgm:spPr/>
      <dgm:t>
        <a:bodyPr/>
        <a:lstStyle/>
        <a:p>
          <a:endParaRPr lang="en-US"/>
        </a:p>
      </dgm:t>
    </dgm:pt>
    <dgm:pt modelId="{111EAA59-C0C3-4EBF-94E1-0E64568A820F}">
      <dgm:prSet phldrT="[Text]"/>
      <dgm:spPr/>
      <dgm:t>
        <a:bodyPr/>
        <a:lstStyle/>
        <a:p>
          <a:r>
            <a:rPr lang="en-US"/>
            <a:t>ANT 130/REL 130 - Introduction To Comparative Religion</a:t>
          </a:r>
        </a:p>
      </dgm:t>
    </dgm:pt>
    <dgm:pt modelId="{59EC5AAA-FD7E-461D-9CE4-CE43E2C52682}" type="parTrans" cxnId="{26925CB2-987E-4576-8B29-9DD6741C7BFE}">
      <dgm:prSet/>
      <dgm:spPr/>
      <dgm:t>
        <a:bodyPr/>
        <a:lstStyle/>
        <a:p>
          <a:endParaRPr lang="en-US"/>
        </a:p>
      </dgm:t>
    </dgm:pt>
    <dgm:pt modelId="{50CF1C79-284F-405D-8B87-B0898ED26248}" type="sibTrans" cxnId="{26925CB2-987E-4576-8B29-9DD6741C7BFE}">
      <dgm:prSet/>
      <dgm:spPr/>
      <dgm:t>
        <a:bodyPr/>
        <a:lstStyle/>
        <a:p>
          <a:endParaRPr lang="en-US"/>
        </a:p>
      </dgm:t>
    </dgm:pt>
    <dgm:pt modelId="{3952DF2A-A7E9-48ED-B6B1-5C4DFFDAA81D}">
      <dgm:prSet phldrT="[Text]"/>
      <dgm:spPr/>
      <dgm:t>
        <a:bodyPr/>
        <a:lstStyle/>
        <a:p>
          <a:r>
            <a:rPr lang="en-US"/>
            <a:t>ART 100 - Introduction To Art</a:t>
          </a:r>
        </a:p>
      </dgm:t>
    </dgm:pt>
    <dgm:pt modelId="{2738A542-B631-4E49-8B18-F3273311A841}" type="parTrans" cxnId="{E3B0B8B6-1026-4DD7-B993-116362E3D5A5}">
      <dgm:prSet/>
      <dgm:spPr/>
      <dgm:t>
        <a:bodyPr/>
        <a:lstStyle/>
        <a:p>
          <a:endParaRPr lang="en-US"/>
        </a:p>
      </dgm:t>
    </dgm:pt>
    <dgm:pt modelId="{4203A132-A7E2-4CBA-A271-5FB826D8B365}" type="sibTrans" cxnId="{E3B0B8B6-1026-4DD7-B993-116362E3D5A5}">
      <dgm:prSet/>
      <dgm:spPr/>
      <dgm:t>
        <a:bodyPr/>
        <a:lstStyle/>
        <a:p>
          <a:endParaRPr lang="en-US"/>
        </a:p>
      </dgm:t>
    </dgm:pt>
    <dgm:pt modelId="{48A4CEB2-7CDA-41C2-B314-B8F0946AE498}">
      <dgm:prSet phldrT="[Text]"/>
      <dgm:spPr/>
      <dgm:t>
        <a:bodyPr/>
        <a:lstStyle/>
        <a:p>
          <a:r>
            <a:rPr lang="en-US"/>
            <a:t>ART 104 -  Introduction To African Art</a:t>
          </a:r>
        </a:p>
      </dgm:t>
    </dgm:pt>
    <dgm:pt modelId="{65B2CF99-ED62-4DE1-AFDD-2E6C725F94D1}" type="parTrans" cxnId="{82A7CB92-9764-4282-B4EE-0AA19DB1D4C3}">
      <dgm:prSet/>
      <dgm:spPr/>
      <dgm:t>
        <a:bodyPr/>
        <a:lstStyle/>
        <a:p>
          <a:endParaRPr lang="en-US"/>
        </a:p>
      </dgm:t>
    </dgm:pt>
    <dgm:pt modelId="{055766E3-9AB1-4E37-AADA-FA6A3F72B4F7}" type="sibTrans" cxnId="{82A7CB92-9764-4282-B4EE-0AA19DB1D4C3}">
      <dgm:prSet/>
      <dgm:spPr/>
      <dgm:t>
        <a:bodyPr/>
        <a:lstStyle/>
        <a:p>
          <a:endParaRPr lang="en-US"/>
        </a:p>
      </dgm:t>
    </dgm:pt>
    <dgm:pt modelId="{43352C6F-582A-4E3F-A607-7593238CCF8C}">
      <dgm:prSet phldrT="[Text]"/>
      <dgm:spPr/>
      <dgm:t>
        <a:bodyPr/>
        <a:lstStyle/>
        <a:p>
          <a:r>
            <a:rPr lang="en-US"/>
            <a:t>ART 105 - Ancient Through Medieval Art History</a:t>
          </a:r>
        </a:p>
      </dgm:t>
    </dgm:pt>
    <dgm:pt modelId="{D2CA4BC4-C72C-4B90-B79B-30AE7B257B1C}" type="parTrans" cxnId="{12E4B6DC-A8E1-4835-92B3-547D0234A08E}">
      <dgm:prSet/>
      <dgm:spPr/>
      <dgm:t>
        <a:bodyPr/>
        <a:lstStyle/>
        <a:p>
          <a:endParaRPr lang="en-US"/>
        </a:p>
      </dgm:t>
    </dgm:pt>
    <dgm:pt modelId="{C2D7DFF2-5C66-436C-9A0E-33EAF0EC1158}" type="sibTrans" cxnId="{12E4B6DC-A8E1-4835-92B3-547D0234A08E}">
      <dgm:prSet/>
      <dgm:spPr/>
      <dgm:t>
        <a:bodyPr/>
        <a:lstStyle/>
        <a:p>
          <a:endParaRPr lang="en-US"/>
        </a:p>
      </dgm:t>
    </dgm:pt>
    <dgm:pt modelId="{CE6AF91D-9C18-4025-875C-D8DC8B34B203}">
      <dgm:prSet phldrT="[Text]"/>
      <dgm:spPr/>
      <dgm:t>
        <a:bodyPr/>
        <a:lstStyle/>
        <a:p>
          <a:r>
            <a:rPr lang="en-US"/>
            <a:t>ART 106 - Renaissance Through Modern Art History</a:t>
          </a:r>
        </a:p>
      </dgm:t>
    </dgm:pt>
    <dgm:pt modelId="{BDDC6D5A-AC20-4FCD-BD57-83D334017F69}" type="parTrans" cxnId="{E38EE827-6D25-47A2-93C8-77646F6B2161}">
      <dgm:prSet/>
      <dgm:spPr/>
      <dgm:t>
        <a:bodyPr/>
        <a:lstStyle/>
        <a:p>
          <a:endParaRPr lang="en-US"/>
        </a:p>
      </dgm:t>
    </dgm:pt>
    <dgm:pt modelId="{D8CA84D8-72B0-4988-934B-AD817AE32522}" type="sibTrans" cxnId="{E38EE827-6D25-47A2-93C8-77646F6B2161}">
      <dgm:prSet/>
      <dgm:spPr/>
      <dgm:t>
        <a:bodyPr/>
        <a:lstStyle/>
        <a:p>
          <a:endParaRPr lang="en-US"/>
        </a:p>
      </dgm:t>
    </dgm:pt>
    <dgm:pt modelId="{1358EF12-D106-4DE5-937C-B49E867830FF}">
      <dgm:prSet phldrT="[Text]"/>
      <dgm:spPr/>
      <dgm:t>
        <a:bodyPr/>
        <a:lstStyle/>
        <a:p>
          <a:r>
            <a:rPr lang="en-US"/>
            <a:t>ART 201 - Ancient Art History</a:t>
          </a:r>
        </a:p>
      </dgm:t>
    </dgm:pt>
    <dgm:pt modelId="{9660C457-8280-4A34-A88E-37650BDF8A4B}" type="parTrans" cxnId="{FD1316BA-88C5-4CA5-9E64-45E682C7A915}">
      <dgm:prSet/>
      <dgm:spPr/>
      <dgm:t>
        <a:bodyPr/>
        <a:lstStyle/>
        <a:p>
          <a:endParaRPr lang="en-US"/>
        </a:p>
      </dgm:t>
    </dgm:pt>
    <dgm:pt modelId="{1047DACA-83A0-4A6D-97E8-7C281E0DE05D}" type="sibTrans" cxnId="{FD1316BA-88C5-4CA5-9E64-45E682C7A915}">
      <dgm:prSet/>
      <dgm:spPr/>
      <dgm:t>
        <a:bodyPr/>
        <a:lstStyle/>
        <a:p>
          <a:endParaRPr lang="en-US"/>
        </a:p>
      </dgm:t>
    </dgm:pt>
    <dgm:pt modelId="{3D439F04-B500-46D8-AE65-94C385D8239C}">
      <dgm:prSet phldrT="[Text]"/>
      <dgm:spPr/>
      <dgm:t>
        <a:bodyPr/>
        <a:lstStyle/>
        <a:p>
          <a:r>
            <a:rPr lang="en-US"/>
            <a:t>ART 202 - Medieval Art History</a:t>
          </a:r>
        </a:p>
      </dgm:t>
    </dgm:pt>
    <dgm:pt modelId="{F0753D19-CA54-425D-A35C-3D991771B981}" type="parTrans" cxnId="{D6D87236-7F35-4F89-8C69-0C606A290015}">
      <dgm:prSet/>
      <dgm:spPr/>
      <dgm:t>
        <a:bodyPr/>
        <a:lstStyle/>
        <a:p>
          <a:endParaRPr lang="en-US"/>
        </a:p>
      </dgm:t>
    </dgm:pt>
    <dgm:pt modelId="{06C249FF-ED4D-42CD-B7F4-4DB071AA5D91}" type="sibTrans" cxnId="{D6D87236-7F35-4F89-8C69-0C606A290015}">
      <dgm:prSet/>
      <dgm:spPr/>
      <dgm:t>
        <a:bodyPr/>
        <a:lstStyle/>
        <a:p>
          <a:endParaRPr lang="en-US"/>
        </a:p>
      </dgm:t>
    </dgm:pt>
    <dgm:pt modelId="{F249BA24-8ABA-45F7-9385-B533260FC69C}">
      <dgm:prSet phldrT="[Text]"/>
      <dgm:spPr/>
      <dgm:t>
        <a:bodyPr/>
        <a:lstStyle/>
        <a:p>
          <a:r>
            <a:rPr lang="en-US"/>
            <a:t>ART 203 - Renaissance Art History</a:t>
          </a:r>
        </a:p>
      </dgm:t>
    </dgm:pt>
    <dgm:pt modelId="{9DA27671-9825-4F46-988D-CC03ED62C5A5}" type="parTrans" cxnId="{9244367D-E11A-4994-922A-E90510BC51F2}">
      <dgm:prSet/>
      <dgm:spPr/>
      <dgm:t>
        <a:bodyPr/>
        <a:lstStyle/>
        <a:p>
          <a:endParaRPr lang="en-US"/>
        </a:p>
      </dgm:t>
    </dgm:pt>
    <dgm:pt modelId="{3921E930-8004-4469-8E8C-71A750660750}" type="sibTrans" cxnId="{9244367D-E11A-4994-922A-E90510BC51F2}">
      <dgm:prSet/>
      <dgm:spPr/>
      <dgm:t>
        <a:bodyPr/>
        <a:lstStyle/>
        <a:p>
          <a:endParaRPr lang="en-US"/>
        </a:p>
      </dgm:t>
    </dgm:pt>
    <dgm:pt modelId="{A11313F5-7F5E-4D7F-8E8E-1FF975349698}">
      <dgm:prSet phldrT="[Text]"/>
      <dgm:spPr/>
      <dgm:t>
        <a:bodyPr/>
        <a:lstStyle/>
        <a:p>
          <a:r>
            <a:rPr lang="en-US"/>
            <a:t>ART 204 - Modern Art History</a:t>
          </a:r>
        </a:p>
      </dgm:t>
    </dgm:pt>
    <dgm:pt modelId="{DB27FDF3-AC01-4DF0-9E5B-6C094CBF4069}" type="parTrans" cxnId="{52BEFBFB-7D34-4EEB-B956-EE8F3C495A53}">
      <dgm:prSet/>
      <dgm:spPr/>
      <dgm:t>
        <a:bodyPr/>
        <a:lstStyle/>
        <a:p>
          <a:endParaRPr lang="en-US"/>
        </a:p>
      </dgm:t>
    </dgm:pt>
    <dgm:pt modelId="{F3601F4D-B287-4EFB-894A-D4E86AA97DE4}" type="sibTrans" cxnId="{52BEFBFB-7D34-4EEB-B956-EE8F3C495A53}">
      <dgm:prSet/>
      <dgm:spPr/>
      <dgm:t>
        <a:bodyPr/>
        <a:lstStyle/>
        <a:p>
          <a:endParaRPr lang="en-US"/>
        </a:p>
      </dgm:t>
    </dgm:pt>
    <dgm:pt modelId="{506E03EF-B9F8-4279-8CD3-4808B2D03FC6}">
      <dgm:prSet phldrT="[Text]"/>
      <dgm:spPr/>
      <dgm:t>
        <a:bodyPr/>
        <a:lstStyle/>
        <a:p>
          <a:r>
            <a:rPr lang="en-US"/>
            <a:t>ENG 135 - Greek &amp; Roman Mythology In Translation</a:t>
          </a:r>
        </a:p>
      </dgm:t>
    </dgm:pt>
    <dgm:pt modelId="{6751BC85-F1E9-4D65-8D51-70A23877DA05}" type="parTrans" cxnId="{9494C1D7-B5C0-4F69-8071-718F0E25154D}">
      <dgm:prSet/>
      <dgm:spPr/>
      <dgm:t>
        <a:bodyPr/>
        <a:lstStyle/>
        <a:p>
          <a:endParaRPr lang="en-US"/>
        </a:p>
      </dgm:t>
    </dgm:pt>
    <dgm:pt modelId="{7721AE52-BC1E-44C2-8A5C-59A1F42B68B6}" type="sibTrans" cxnId="{9494C1D7-B5C0-4F69-8071-718F0E25154D}">
      <dgm:prSet/>
      <dgm:spPr/>
      <dgm:t>
        <a:bodyPr/>
        <a:lstStyle/>
        <a:p>
          <a:endParaRPr lang="en-US"/>
        </a:p>
      </dgm:t>
    </dgm:pt>
    <dgm:pt modelId="{A6342442-AF25-4166-AE29-51E4703693FD}">
      <dgm:prSet phldrT="[Text]"/>
      <dgm:spPr/>
      <dgm:t>
        <a:bodyPr/>
        <a:lstStyle/>
        <a:p>
          <a:r>
            <a:rPr lang="en-US"/>
            <a:t>ENG 161 - Introduction To Literature </a:t>
          </a:r>
        </a:p>
      </dgm:t>
    </dgm:pt>
    <dgm:pt modelId="{D33878A8-CA6A-4F6D-9293-CCFDFA16CEC0}" type="parTrans" cxnId="{F847BBB1-B446-4B0C-BA75-C2C1AA2299D1}">
      <dgm:prSet/>
      <dgm:spPr/>
      <dgm:t>
        <a:bodyPr/>
        <a:lstStyle/>
        <a:p>
          <a:endParaRPr lang="en-US"/>
        </a:p>
      </dgm:t>
    </dgm:pt>
    <dgm:pt modelId="{BAC8B360-4B52-4D5B-BFC8-FE30D1349543}" type="sibTrans" cxnId="{F847BBB1-B446-4B0C-BA75-C2C1AA2299D1}">
      <dgm:prSet/>
      <dgm:spPr/>
      <dgm:t>
        <a:bodyPr/>
        <a:lstStyle/>
        <a:p>
          <a:endParaRPr lang="en-US"/>
        </a:p>
      </dgm:t>
    </dgm:pt>
    <dgm:pt modelId="{047491BA-4031-4D84-A811-05205D70A45F}">
      <dgm:prSet phldrT="[Text]"/>
      <dgm:spPr/>
      <dgm:t>
        <a:bodyPr/>
        <a:lstStyle/>
        <a:p>
          <a:r>
            <a:rPr lang="en-US"/>
            <a:t>ENG 221 - Survey Of English Literature I</a:t>
          </a:r>
        </a:p>
      </dgm:t>
    </dgm:pt>
    <dgm:pt modelId="{69A66F8F-9EA1-43A4-91A6-505C8D32061E}" type="parTrans" cxnId="{FFD16F54-044E-420D-AE6E-E7DD9A56486C}">
      <dgm:prSet/>
      <dgm:spPr/>
      <dgm:t>
        <a:bodyPr/>
        <a:lstStyle/>
        <a:p>
          <a:endParaRPr lang="en-US"/>
        </a:p>
      </dgm:t>
    </dgm:pt>
    <dgm:pt modelId="{84E89B33-858D-406C-A156-E6054CD0F8C3}" type="sibTrans" cxnId="{FFD16F54-044E-420D-AE6E-E7DD9A56486C}">
      <dgm:prSet/>
      <dgm:spPr/>
      <dgm:t>
        <a:bodyPr/>
        <a:lstStyle/>
        <a:p>
          <a:endParaRPr lang="en-US"/>
        </a:p>
      </dgm:t>
    </dgm:pt>
    <dgm:pt modelId="{0D2854E4-745A-4D90-8B95-CC6426094105}">
      <dgm:prSet phldrT="[Text]"/>
      <dgm:spPr/>
      <dgm:t>
        <a:bodyPr/>
        <a:lstStyle/>
        <a:p>
          <a:r>
            <a:rPr lang="en-US"/>
            <a:t>ENG 222 - Survey Of English Literature II</a:t>
          </a:r>
        </a:p>
      </dgm:t>
    </dgm:pt>
    <dgm:pt modelId="{A1FBAEAC-4311-49BD-8EE9-E48DC1FF4318}" type="parTrans" cxnId="{2573E7DB-1B76-4B74-872B-54FCC787BFC1}">
      <dgm:prSet/>
      <dgm:spPr/>
      <dgm:t>
        <a:bodyPr/>
        <a:lstStyle/>
        <a:p>
          <a:endParaRPr lang="en-US"/>
        </a:p>
      </dgm:t>
    </dgm:pt>
    <dgm:pt modelId="{3DC20867-02C9-4577-8AEC-C73F82F516A3}" type="sibTrans" cxnId="{2573E7DB-1B76-4B74-872B-54FCC787BFC1}">
      <dgm:prSet/>
      <dgm:spPr/>
      <dgm:t>
        <a:bodyPr/>
        <a:lstStyle/>
        <a:p>
          <a:endParaRPr lang="en-US"/>
        </a:p>
      </dgm:t>
    </dgm:pt>
    <dgm:pt modelId="{51DE06A6-566F-4A65-8D65-704EDBBDFCD1}">
      <dgm:prSet phldrT="[Text]"/>
      <dgm:spPr/>
      <dgm:t>
        <a:bodyPr/>
        <a:lstStyle/>
        <a:p>
          <a:r>
            <a:rPr lang="en-US"/>
            <a:t>ENG 230 - Introduction To Literature (Subtitle Required)</a:t>
          </a:r>
        </a:p>
      </dgm:t>
    </dgm:pt>
    <dgm:pt modelId="{4F67EF98-1E1C-4AB4-827F-359D9E177957}" type="parTrans" cxnId="{E2F19D17-3A27-427D-98BC-55DB09CA305D}">
      <dgm:prSet/>
      <dgm:spPr/>
      <dgm:t>
        <a:bodyPr/>
        <a:lstStyle/>
        <a:p>
          <a:endParaRPr lang="en-US"/>
        </a:p>
      </dgm:t>
    </dgm:pt>
    <dgm:pt modelId="{D0003905-4ECA-49D1-8CF2-DAE3A640C464}" type="sibTrans" cxnId="{E2F19D17-3A27-427D-98BC-55DB09CA305D}">
      <dgm:prSet/>
      <dgm:spPr/>
      <dgm:t>
        <a:bodyPr/>
        <a:lstStyle/>
        <a:p>
          <a:endParaRPr lang="en-US"/>
        </a:p>
      </dgm:t>
    </dgm:pt>
    <dgm:pt modelId="{C8FDCCC6-856A-4A26-A742-67CA5AA8208B}">
      <dgm:prSet phldrT="[Text]"/>
      <dgm:spPr/>
      <dgm:t>
        <a:bodyPr/>
        <a:lstStyle/>
        <a:p>
          <a:r>
            <a:rPr lang="en-US"/>
            <a:t>ENG 231 - Literature &amp; Genre (Subtitle)</a:t>
          </a:r>
        </a:p>
      </dgm:t>
    </dgm:pt>
    <dgm:pt modelId="{2F1CBB0F-EFA7-4128-B56F-B41FDF6678C2}" type="parTrans" cxnId="{D83F4A0F-DE07-444C-B1F5-3C6E4DF35635}">
      <dgm:prSet/>
      <dgm:spPr/>
      <dgm:t>
        <a:bodyPr/>
        <a:lstStyle/>
        <a:p>
          <a:endParaRPr lang="en-US"/>
        </a:p>
      </dgm:t>
    </dgm:pt>
    <dgm:pt modelId="{BDE4A7D4-947B-42FF-BD95-D26F4C3483DC}" type="sibTrans" cxnId="{D83F4A0F-DE07-444C-B1F5-3C6E4DF35635}">
      <dgm:prSet/>
      <dgm:spPr/>
      <dgm:t>
        <a:bodyPr/>
        <a:lstStyle/>
        <a:p>
          <a:endParaRPr lang="en-US"/>
        </a:p>
      </dgm:t>
    </dgm:pt>
    <dgm:pt modelId="{A388CACB-85FA-4D1F-90AA-C27B8D8E8883}">
      <dgm:prSet phldrT="[Text]"/>
      <dgm:spPr/>
      <dgm:t>
        <a:bodyPr/>
        <a:lstStyle/>
        <a:p>
          <a:r>
            <a:rPr lang="en-US"/>
            <a:t>ENG 232 - Literature &amp; Place (Subtitle Required)</a:t>
          </a:r>
        </a:p>
      </dgm:t>
    </dgm:pt>
    <dgm:pt modelId="{DEC9E48A-F365-4124-8EE4-1599F388ACBE}" type="parTrans" cxnId="{6C03B593-EA3B-48C3-9A02-5EA02A764D5D}">
      <dgm:prSet/>
      <dgm:spPr/>
      <dgm:t>
        <a:bodyPr/>
        <a:lstStyle/>
        <a:p>
          <a:endParaRPr lang="en-US"/>
        </a:p>
      </dgm:t>
    </dgm:pt>
    <dgm:pt modelId="{4FC9DF58-FE6B-4A07-87DD-B5E80DB3A8CE}" type="sibTrans" cxnId="{6C03B593-EA3B-48C3-9A02-5EA02A764D5D}">
      <dgm:prSet/>
      <dgm:spPr/>
      <dgm:t>
        <a:bodyPr/>
        <a:lstStyle/>
        <a:p>
          <a:endParaRPr lang="en-US"/>
        </a:p>
      </dgm:t>
    </dgm:pt>
    <dgm:pt modelId="{9475CD45-0E18-4490-982F-FE8CB28920D2}">
      <dgm:prSet phldrT="[Text]"/>
      <dgm:spPr/>
      <dgm:t>
        <a:bodyPr/>
        <a:lstStyle/>
        <a:p>
          <a:r>
            <a:rPr lang="en-US"/>
            <a:t>ENG 233 - Literature &amp; Identities (Subtitle Required)</a:t>
          </a:r>
        </a:p>
      </dgm:t>
    </dgm:pt>
    <dgm:pt modelId="{90A981D9-BA04-4AF9-82FB-B0EA7CE079A4}" type="parTrans" cxnId="{EDAA8F91-E0DB-405C-9495-8F9FB2751BC2}">
      <dgm:prSet/>
      <dgm:spPr/>
      <dgm:t>
        <a:bodyPr/>
        <a:lstStyle/>
        <a:p>
          <a:endParaRPr lang="en-US"/>
        </a:p>
      </dgm:t>
    </dgm:pt>
    <dgm:pt modelId="{B5B01FB1-C98C-48F8-8C8E-866500DF0EB3}" type="sibTrans" cxnId="{EDAA8F91-E0DB-405C-9495-8F9FB2751BC2}">
      <dgm:prSet/>
      <dgm:spPr/>
      <dgm:t>
        <a:bodyPr/>
        <a:lstStyle/>
        <a:p>
          <a:endParaRPr lang="en-US"/>
        </a:p>
      </dgm:t>
    </dgm:pt>
    <dgm:pt modelId="{02F0EFF6-DA01-499D-BFA8-64A6B1825AEC}">
      <dgm:prSet phldrT="[Text]"/>
      <dgm:spPr/>
      <dgm:t>
        <a:bodyPr/>
        <a:lstStyle/>
        <a:p>
          <a:r>
            <a:rPr lang="en-US"/>
            <a:t>ENG 234 - Introduction To Women's Literature</a:t>
          </a:r>
        </a:p>
      </dgm:t>
    </dgm:pt>
    <dgm:pt modelId="{DB3B7BCF-E628-4ADC-B82D-9D4D8AA9EDF0}" type="parTrans" cxnId="{AD71D113-E455-4E3B-B53A-7717F24B82C8}">
      <dgm:prSet/>
      <dgm:spPr/>
      <dgm:t>
        <a:bodyPr/>
        <a:lstStyle/>
        <a:p>
          <a:endParaRPr lang="en-US"/>
        </a:p>
      </dgm:t>
    </dgm:pt>
    <dgm:pt modelId="{728DBE44-0170-4124-A7BE-6997BB4AE9C2}" type="sibTrans" cxnId="{AD71D113-E455-4E3B-B53A-7717F24B82C8}">
      <dgm:prSet/>
      <dgm:spPr/>
      <dgm:t>
        <a:bodyPr/>
        <a:lstStyle/>
        <a:p>
          <a:endParaRPr lang="en-US"/>
        </a:p>
      </dgm:t>
    </dgm:pt>
    <dgm:pt modelId="{CA949655-A20E-469A-A84D-ADE33CB69276}">
      <dgm:prSet phldrT="[Text]"/>
      <dgm:spPr/>
      <dgm:t>
        <a:bodyPr/>
        <a:lstStyle/>
        <a:p>
          <a:r>
            <a:rPr lang="en-US"/>
            <a:t>ENG 251 - Survey Of American Literature I</a:t>
          </a:r>
        </a:p>
      </dgm:t>
    </dgm:pt>
    <dgm:pt modelId="{8BC73891-4B9E-4D72-8803-84F374A5076A}" type="parTrans" cxnId="{490F9143-6D61-4B69-89FC-96A2D02EB41B}">
      <dgm:prSet/>
      <dgm:spPr/>
      <dgm:t>
        <a:bodyPr/>
        <a:lstStyle/>
        <a:p>
          <a:endParaRPr lang="en-US"/>
        </a:p>
      </dgm:t>
    </dgm:pt>
    <dgm:pt modelId="{8B7E29D5-6DF0-4783-8277-16873003621C}" type="sibTrans" cxnId="{490F9143-6D61-4B69-89FC-96A2D02EB41B}">
      <dgm:prSet/>
      <dgm:spPr/>
      <dgm:t>
        <a:bodyPr/>
        <a:lstStyle/>
        <a:p>
          <a:endParaRPr lang="en-US"/>
        </a:p>
      </dgm:t>
    </dgm:pt>
    <dgm:pt modelId="{07FF710F-0EF9-4BB0-AB2F-07255FF1E183}">
      <dgm:prSet phldrT="[Text]"/>
      <dgm:spPr/>
      <dgm:t>
        <a:bodyPr/>
        <a:lstStyle/>
        <a:p>
          <a:r>
            <a:rPr lang="en-US"/>
            <a:t>ENG 252 - Survey Of American Literature II</a:t>
          </a:r>
        </a:p>
      </dgm:t>
    </dgm:pt>
    <dgm:pt modelId="{27377708-31CE-49E8-AEC2-8321BA8AEC50}" type="parTrans" cxnId="{65D93C9A-4B6C-43FB-BF2C-870B9ED83272}">
      <dgm:prSet/>
      <dgm:spPr/>
      <dgm:t>
        <a:bodyPr/>
        <a:lstStyle/>
        <a:p>
          <a:endParaRPr lang="en-US"/>
        </a:p>
      </dgm:t>
    </dgm:pt>
    <dgm:pt modelId="{25369642-9460-44EE-9455-6C8FD22DB117}" type="sibTrans" cxnId="{65D93C9A-4B6C-43FB-BF2C-870B9ED83272}">
      <dgm:prSet/>
      <dgm:spPr/>
      <dgm:t>
        <a:bodyPr/>
        <a:lstStyle/>
        <a:p>
          <a:endParaRPr lang="en-US"/>
        </a:p>
      </dgm:t>
    </dgm:pt>
    <dgm:pt modelId="{86302552-049E-4EED-AD5C-F9F0260AB268}">
      <dgm:prSet phldrT="[Text]"/>
      <dgm:spPr/>
      <dgm:t>
        <a:bodyPr/>
        <a:lstStyle/>
        <a:p>
          <a:r>
            <a:rPr lang="en-US"/>
            <a:t>ENG 261 - Survey Of Western Literature From The Greeks Through The Renaissance</a:t>
          </a:r>
        </a:p>
      </dgm:t>
    </dgm:pt>
    <dgm:pt modelId="{1195EC45-229B-41D8-B929-5A6B25BA9109}" type="parTrans" cxnId="{510CE0BB-C2F1-4A81-9F80-1CE26C2FEDC4}">
      <dgm:prSet/>
      <dgm:spPr/>
      <dgm:t>
        <a:bodyPr/>
        <a:lstStyle/>
        <a:p>
          <a:endParaRPr lang="en-US"/>
        </a:p>
      </dgm:t>
    </dgm:pt>
    <dgm:pt modelId="{076014C6-AD68-42D9-B43D-05D0D63D6D76}" type="sibTrans" cxnId="{510CE0BB-C2F1-4A81-9F80-1CE26C2FEDC4}">
      <dgm:prSet/>
      <dgm:spPr/>
      <dgm:t>
        <a:bodyPr/>
        <a:lstStyle/>
        <a:p>
          <a:endParaRPr lang="en-US"/>
        </a:p>
      </dgm:t>
    </dgm:pt>
    <dgm:pt modelId="{6F69C36B-E419-42EA-8B31-6A7D88E13614}">
      <dgm:prSet phldrT="[Text]"/>
      <dgm:spPr/>
      <dgm:t>
        <a:bodyPr/>
        <a:lstStyle/>
        <a:p>
          <a:r>
            <a:rPr lang="en-US"/>
            <a:t>ENG 262 - Survey Of Western Literature From 1660 To The Present</a:t>
          </a:r>
        </a:p>
      </dgm:t>
    </dgm:pt>
    <dgm:pt modelId="{32D3D914-E17C-40D4-82EE-524AE922DC9B}" type="parTrans" cxnId="{6E58699B-FA9E-408E-8EB5-86EB60BF8120}">
      <dgm:prSet/>
      <dgm:spPr/>
      <dgm:t>
        <a:bodyPr/>
        <a:lstStyle/>
        <a:p>
          <a:endParaRPr lang="en-US"/>
        </a:p>
      </dgm:t>
    </dgm:pt>
    <dgm:pt modelId="{0E429BCC-3CCB-4290-9456-CB9196153908}" type="sibTrans" cxnId="{6E58699B-FA9E-408E-8EB5-86EB60BF8120}">
      <dgm:prSet/>
      <dgm:spPr/>
      <dgm:t>
        <a:bodyPr/>
        <a:lstStyle/>
        <a:p>
          <a:endParaRPr lang="en-US"/>
        </a:p>
      </dgm:t>
    </dgm:pt>
    <dgm:pt modelId="{DEFC912F-C0C6-47A4-90CC-6E44E1BCCD01}">
      <dgm:prSet phldrT="[Text]"/>
      <dgm:spPr/>
      <dgm:t>
        <a:bodyPr/>
        <a:lstStyle/>
        <a:p>
          <a:r>
            <a:rPr lang="en-US"/>
            <a:t>ENG 264 - Major Black Writers</a:t>
          </a:r>
        </a:p>
      </dgm:t>
    </dgm:pt>
    <dgm:pt modelId="{22B2660A-5CEB-4548-8EA8-3C427ECFC9A0}" type="parTrans" cxnId="{A6B6A60E-8D4A-43F3-9CCC-1B4C328AC1C1}">
      <dgm:prSet/>
      <dgm:spPr/>
      <dgm:t>
        <a:bodyPr/>
        <a:lstStyle/>
        <a:p>
          <a:endParaRPr lang="en-US"/>
        </a:p>
      </dgm:t>
    </dgm:pt>
    <dgm:pt modelId="{A2AC360F-A9F3-46DE-83F1-54FBB26DCCB5}" type="sibTrans" cxnId="{A6B6A60E-8D4A-43F3-9CCC-1B4C328AC1C1}">
      <dgm:prSet/>
      <dgm:spPr/>
      <dgm:t>
        <a:bodyPr/>
        <a:lstStyle/>
        <a:p>
          <a:endParaRPr lang="en-US"/>
        </a:p>
      </dgm:t>
    </dgm:pt>
    <dgm:pt modelId="{102D7B70-C0D0-4B7B-9B9D-B11653A9DE90}">
      <dgm:prSet phldrT="[Text]"/>
      <dgm:spPr/>
      <dgm:t>
        <a:bodyPr/>
        <a:lstStyle/>
        <a:p>
          <a:r>
            <a:rPr lang="en-US"/>
            <a:t>ENG 270 - The Old Testament As Literature</a:t>
          </a:r>
        </a:p>
      </dgm:t>
    </dgm:pt>
    <dgm:pt modelId="{8BCA9BDE-F710-47FA-A94E-F2F1D36AA453}" type="parTrans" cxnId="{6E7E2C9A-A7AF-4F21-AB5C-20837189F8EA}">
      <dgm:prSet/>
      <dgm:spPr/>
      <dgm:t>
        <a:bodyPr/>
        <a:lstStyle/>
        <a:p>
          <a:endParaRPr lang="en-US"/>
        </a:p>
      </dgm:t>
    </dgm:pt>
    <dgm:pt modelId="{1377DE02-4F94-4A38-BBC8-6559507061EF}" type="sibTrans" cxnId="{6E7E2C9A-A7AF-4F21-AB5C-20837189F8EA}">
      <dgm:prSet/>
      <dgm:spPr/>
      <dgm:t>
        <a:bodyPr/>
        <a:lstStyle/>
        <a:p>
          <a:endParaRPr lang="en-US"/>
        </a:p>
      </dgm:t>
    </dgm:pt>
    <dgm:pt modelId="{C8E884BB-3175-432F-ABF4-AC8185552CCA}">
      <dgm:prSet phldrT="[Text]"/>
      <dgm:spPr/>
      <dgm:t>
        <a:bodyPr/>
        <a:lstStyle/>
        <a:p>
          <a:r>
            <a:rPr lang="en-US"/>
            <a:t>ENG 271 - The New Testament As Literature</a:t>
          </a:r>
        </a:p>
      </dgm:t>
    </dgm:pt>
    <dgm:pt modelId="{C2EC4B48-6A21-49F3-A93A-DB87467A8D2E}" type="parTrans" cxnId="{DBDBCCBC-A6C0-4D5F-8789-DFDA0D4E9269}">
      <dgm:prSet/>
      <dgm:spPr/>
      <dgm:t>
        <a:bodyPr/>
        <a:lstStyle/>
        <a:p>
          <a:endParaRPr lang="en-US"/>
        </a:p>
      </dgm:t>
    </dgm:pt>
    <dgm:pt modelId="{05AEB322-3CF8-4960-B826-480F15393323}" type="sibTrans" cxnId="{DBDBCCBC-A6C0-4D5F-8789-DFDA0D4E9269}">
      <dgm:prSet/>
      <dgm:spPr/>
      <dgm:t>
        <a:bodyPr/>
        <a:lstStyle/>
        <a:p>
          <a:endParaRPr lang="en-US"/>
        </a:p>
      </dgm:t>
    </dgm:pt>
    <dgm:pt modelId="{DDD77253-D587-4272-84C4-DDC8581DFD70}">
      <dgm:prSet phldrT="[Text]"/>
      <dgm:spPr/>
      <dgm:t>
        <a:bodyPr/>
        <a:lstStyle/>
        <a:p>
          <a:r>
            <a:rPr lang="en-US"/>
            <a:t>ENG 281/HUM281 - Introduction To Film</a:t>
          </a:r>
        </a:p>
      </dgm:t>
    </dgm:pt>
    <dgm:pt modelId="{22A97FEC-A38A-4C6B-B2E3-3069543B1B04}" type="parTrans" cxnId="{A3D33A92-BF05-4A49-B305-8DA807DA1EFB}">
      <dgm:prSet/>
      <dgm:spPr/>
      <dgm:t>
        <a:bodyPr/>
        <a:lstStyle/>
        <a:p>
          <a:endParaRPr lang="en-US"/>
        </a:p>
      </dgm:t>
    </dgm:pt>
    <dgm:pt modelId="{4ACF883D-5DAE-4FCC-95E0-9E2ED2F2EBCC}" type="sibTrans" cxnId="{A3D33A92-BF05-4A49-B305-8DA807DA1EFB}">
      <dgm:prSet/>
      <dgm:spPr/>
      <dgm:t>
        <a:bodyPr/>
        <a:lstStyle/>
        <a:p>
          <a:endParaRPr lang="en-US"/>
        </a:p>
      </dgm:t>
    </dgm:pt>
    <dgm:pt modelId="{F4D119FD-7262-402E-A10E-70616DA04A84}">
      <dgm:prSet phldrT="[Text]"/>
      <dgm:spPr/>
      <dgm:t>
        <a:bodyPr/>
        <a:lstStyle/>
        <a:p>
          <a:r>
            <a:rPr lang="en-US"/>
            <a:t>ENG 282/HUM 282 - International Film Studies</a:t>
          </a:r>
        </a:p>
      </dgm:t>
    </dgm:pt>
    <dgm:pt modelId="{BD981E0A-D429-4065-B20D-A05678286645}" type="parTrans" cxnId="{95C957B1-1D27-46EF-8958-A2090F813E83}">
      <dgm:prSet/>
      <dgm:spPr/>
      <dgm:t>
        <a:bodyPr/>
        <a:lstStyle/>
        <a:p>
          <a:endParaRPr lang="en-US"/>
        </a:p>
      </dgm:t>
    </dgm:pt>
    <dgm:pt modelId="{AA239743-D380-439C-B518-3B283449868A}" type="sibTrans" cxnId="{95C957B1-1D27-46EF-8958-A2090F813E83}">
      <dgm:prSet/>
      <dgm:spPr/>
      <dgm:t>
        <a:bodyPr/>
        <a:lstStyle/>
        <a:p>
          <a:endParaRPr lang="en-US"/>
        </a:p>
      </dgm:t>
    </dgm:pt>
    <dgm:pt modelId="{42ED561A-BE54-42F8-B90F-9A517E70548A}">
      <dgm:prSet phldrT="[Text]"/>
      <dgm:spPr/>
      <dgm:t>
        <a:bodyPr/>
        <a:lstStyle/>
        <a:p>
          <a:r>
            <a:rPr lang="en-US"/>
            <a:t>FLK 276 - Introduction To Folk Studies</a:t>
          </a:r>
        </a:p>
      </dgm:t>
    </dgm:pt>
    <dgm:pt modelId="{C5220FA5-9407-4AAB-90D1-7C4A8A342A40}" type="parTrans" cxnId="{03FE7219-EC28-4A44-BE90-A64DF14E2547}">
      <dgm:prSet/>
      <dgm:spPr/>
      <dgm:t>
        <a:bodyPr/>
        <a:lstStyle/>
        <a:p>
          <a:endParaRPr lang="en-US"/>
        </a:p>
      </dgm:t>
    </dgm:pt>
    <dgm:pt modelId="{540EBD87-FE7F-420C-8B16-33D4DEE9D531}" type="sibTrans" cxnId="{03FE7219-EC28-4A44-BE90-A64DF14E2547}">
      <dgm:prSet/>
      <dgm:spPr/>
      <dgm:t>
        <a:bodyPr/>
        <a:lstStyle/>
        <a:p>
          <a:endParaRPr lang="en-US"/>
        </a:p>
      </dgm:t>
    </dgm:pt>
    <dgm:pt modelId="{5F921AD3-34C5-460E-97F0-DAE46B0AC68D}">
      <dgm:prSet phldrT="[Text]"/>
      <dgm:spPr/>
      <dgm:t>
        <a:bodyPr/>
        <a:lstStyle/>
        <a:p>
          <a:r>
            <a:rPr lang="en-US"/>
            <a:t>GEN 125 - Applied Meta-Thinking</a:t>
          </a:r>
        </a:p>
      </dgm:t>
    </dgm:pt>
    <dgm:pt modelId="{74094B6B-FD98-4842-85C2-887A6DD534A0}" type="parTrans" cxnId="{E4060266-755E-4A97-91E8-05F506A08591}">
      <dgm:prSet/>
      <dgm:spPr/>
      <dgm:t>
        <a:bodyPr/>
        <a:lstStyle/>
        <a:p>
          <a:endParaRPr lang="en-US"/>
        </a:p>
      </dgm:t>
    </dgm:pt>
    <dgm:pt modelId="{BEE97016-6EAD-48A9-AE84-209CB06AED8B}" type="sibTrans" cxnId="{E4060266-755E-4A97-91E8-05F506A08591}">
      <dgm:prSet/>
      <dgm:spPr/>
      <dgm:t>
        <a:bodyPr/>
        <a:lstStyle/>
        <a:p>
          <a:endParaRPr lang="en-US"/>
        </a:p>
      </dgm:t>
    </dgm:pt>
    <dgm:pt modelId="{48745E75-476A-47E5-B54B-3E0A9F4A5A61}">
      <dgm:prSet phldrT="[Text]"/>
      <dgm:spPr/>
      <dgm:t>
        <a:bodyPr/>
        <a:lstStyle/>
        <a:p>
          <a:r>
            <a:rPr lang="en-US"/>
            <a:t>HNR 101 - Introduction To Contemporary Thought</a:t>
          </a:r>
        </a:p>
      </dgm:t>
    </dgm:pt>
    <dgm:pt modelId="{B27E078B-9D6B-443A-A590-AE609825366F}" type="parTrans" cxnId="{28E7EC55-3065-4CC6-8B07-4C1E72C3AA14}">
      <dgm:prSet/>
      <dgm:spPr/>
      <dgm:t>
        <a:bodyPr/>
        <a:lstStyle/>
        <a:p>
          <a:endParaRPr lang="en-US"/>
        </a:p>
      </dgm:t>
    </dgm:pt>
    <dgm:pt modelId="{39A5F890-F4BE-411C-A9B8-E5A6291FD089}" type="sibTrans" cxnId="{28E7EC55-3065-4CC6-8B07-4C1E72C3AA14}">
      <dgm:prSet/>
      <dgm:spPr/>
      <dgm:t>
        <a:bodyPr/>
        <a:lstStyle/>
        <a:p>
          <a:endParaRPr lang="en-US"/>
        </a:p>
      </dgm:t>
    </dgm:pt>
    <dgm:pt modelId="{8849E1EA-EAFE-4A21-A2BB-B91EA43336E6}">
      <dgm:prSet phldrT="[Text]"/>
      <dgm:spPr/>
      <dgm:t>
        <a:bodyPr/>
        <a:lstStyle/>
        <a:p>
          <a:r>
            <a:rPr lang="en-US"/>
            <a:t>HON 101 - The Ancient World</a:t>
          </a:r>
        </a:p>
      </dgm:t>
    </dgm:pt>
    <dgm:pt modelId="{6C28C444-E394-4D2E-9EDA-B64D578BDF6F}" type="parTrans" cxnId="{ABEC79FF-23F2-4A11-90B8-74B67FBEED77}">
      <dgm:prSet/>
      <dgm:spPr/>
      <dgm:t>
        <a:bodyPr/>
        <a:lstStyle/>
        <a:p>
          <a:endParaRPr lang="en-US"/>
        </a:p>
      </dgm:t>
    </dgm:pt>
    <dgm:pt modelId="{744BE137-79C1-4C9D-B831-2E8D541DF13C}" type="sibTrans" cxnId="{ABEC79FF-23F2-4A11-90B8-74B67FBEED77}">
      <dgm:prSet/>
      <dgm:spPr/>
      <dgm:t>
        <a:bodyPr/>
        <a:lstStyle/>
        <a:p>
          <a:endParaRPr lang="en-US"/>
        </a:p>
      </dgm:t>
    </dgm:pt>
    <dgm:pt modelId="{87210274-0E5B-448B-B2E6-0B020A425806}">
      <dgm:prSet phldrT="[Text]"/>
      <dgm:spPr/>
      <dgm:t>
        <a:bodyPr/>
        <a:lstStyle/>
        <a:p>
          <a:r>
            <a:rPr lang="en-US"/>
            <a:t>HON 102 - The Medieval &amp; Renaissance World</a:t>
          </a:r>
        </a:p>
      </dgm:t>
    </dgm:pt>
    <dgm:pt modelId="{9D047452-CF38-451F-A4EF-F43A6EDB493B}" type="parTrans" cxnId="{6B6A60AA-0094-492F-8306-BC01280FDFCB}">
      <dgm:prSet/>
      <dgm:spPr/>
      <dgm:t>
        <a:bodyPr/>
        <a:lstStyle/>
        <a:p>
          <a:endParaRPr lang="en-US"/>
        </a:p>
      </dgm:t>
    </dgm:pt>
    <dgm:pt modelId="{2F403E17-90B7-4E86-A4B3-3714210F8964}" type="sibTrans" cxnId="{6B6A60AA-0094-492F-8306-BC01280FDFCB}">
      <dgm:prSet/>
      <dgm:spPr/>
      <dgm:t>
        <a:bodyPr/>
        <a:lstStyle/>
        <a:p>
          <a:endParaRPr lang="en-US"/>
        </a:p>
      </dgm:t>
    </dgm:pt>
    <dgm:pt modelId="{4A9C5CAA-7063-4E9C-92C7-0AC935FE7F14}">
      <dgm:prSet phldrT="[Text]"/>
      <dgm:spPr/>
      <dgm:t>
        <a:bodyPr/>
        <a:lstStyle/>
        <a:p>
          <a:r>
            <a:rPr lang="en-US"/>
            <a:t>HON 201 - The Early &amp; Modern World</a:t>
          </a:r>
        </a:p>
      </dgm:t>
    </dgm:pt>
    <dgm:pt modelId="{339EF859-9D3F-4F30-AEEC-65DF5D18C630}" type="parTrans" cxnId="{AA7B3652-4972-403A-AF20-F613BD600B95}">
      <dgm:prSet/>
      <dgm:spPr/>
      <dgm:t>
        <a:bodyPr/>
        <a:lstStyle/>
        <a:p>
          <a:endParaRPr lang="en-US"/>
        </a:p>
      </dgm:t>
    </dgm:pt>
    <dgm:pt modelId="{4DF1E69D-3086-4D4F-BBC3-8AAC89F53C2B}" type="sibTrans" cxnId="{AA7B3652-4972-403A-AF20-F613BD600B95}">
      <dgm:prSet/>
      <dgm:spPr/>
      <dgm:t>
        <a:bodyPr/>
        <a:lstStyle/>
        <a:p>
          <a:endParaRPr lang="en-US"/>
        </a:p>
      </dgm:t>
    </dgm:pt>
    <dgm:pt modelId="{38AC3AD8-24FB-463A-83F1-C12DAF594ABA}">
      <dgm:prSet phldrT="[Text]"/>
      <dgm:spPr/>
      <dgm:t>
        <a:bodyPr/>
        <a:lstStyle/>
        <a:p>
          <a:r>
            <a:rPr lang="en-US"/>
            <a:t>HON 202 - The Contemporary World</a:t>
          </a:r>
        </a:p>
      </dgm:t>
    </dgm:pt>
    <dgm:pt modelId="{2BA1BF56-B026-4F70-971C-705ECC179B2D}" type="parTrans" cxnId="{D60094E3-72E3-492F-A0C4-2E73D68CBA66}">
      <dgm:prSet/>
      <dgm:spPr/>
      <dgm:t>
        <a:bodyPr/>
        <a:lstStyle/>
        <a:p>
          <a:endParaRPr lang="en-US"/>
        </a:p>
      </dgm:t>
    </dgm:pt>
    <dgm:pt modelId="{2A32CCF9-243B-43F1-BE9C-0CD3F84B8042}" type="sibTrans" cxnId="{D60094E3-72E3-492F-A0C4-2E73D68CBA66}">
      <dgm:prSet/>
      <dgm:spPr/>
      <dgm:t>
        <a:bodyPr/>
        <a:lstStyle/>
        <a:p>
          <a:endParaRPr lang="en-US"/>
        </a:p>
      </dgm:t>
    </dgm:pt>
    <dgm:pt modelId="{7E852C2B-90B7-4808-BCE8-F46983E94614}">
      <dgm:prSet phldrT="[Text]"/>
      <dgm:spPr/>
      <dgm:t>
        <a:bodyPr/>
        <a:lstStyle/>
        <a:p>
          <a:r>
            <a:rPr lang="en-US"/>
            <a:t>HRS 201 - An Integrated Survey Of Western Civilization III</a:t>
          </a:r>
        </a:p>
      </dgm:t>
    </dgm:pt>
    <dgm:pt modelId="{67F1F395-47BF-4A38-BB22-A79549A5B857}" type="parTrans" cxnId="{8FD8F39F-AF20-463E-B017-980E6AFBCB07}">
      <dgm:prSet/>
      <dgm:spPr/>
      <dgm:t>
        <a:bodyPr/>
        <a:lstStyle/>
        <a:p>
          <a:endParaRPr lang="en-US"/>
        </a:p>
      </dgm:t>
    </dgm:pt>
    <dgm:pt modelId="{CFC597F0-9269-4450-BB48-23DAF73A7E20}" type="sibTrans" cxnId="{8FD8F39F-AF20-463E-B017-980E6AFBCB07}">
      <dgm:prSet/>
      <dgm:spPr/>
      <dgm:t>
        <a:bodyPr/>
        <a:lstStyle/>
        <a:p>
          <a:endParaRPr lang="en-US"/>
        </a:p>
      </dgm:t>
    </dgm:pt>
    <dgm:pt modelId="{5702D32D-758F-4413-A7A5-84DCAD46E861}">
      <dgm:prSet phldrT="[Text]"/>
      <dgm:spPr/>
      <dgm:t>
        <a:bodyPr/>
        <a:lstStyle/>
        <a:p>
          <a:r>
            <a:rPr lang="en-US"/>
            <a:t>HUM 121 - Peace Studies</a:t>
          </a:r>
        </a:p>
      </dgm:t>
    </dgm:pt>
    <dgm:pt modelId="{BA48A5CF-B08D-4D15-9B2E-5AECC1700F06}" type="parTrans" cxnId="{EBD1BC8E-57E5-4BD8-9306-000CEB4126C6}">
      <dgm:prSet/>
      <dgm:spPr/>
      <dgm:t>
        <a:bodyPr/>
        <a:lstStyle/>
        <a:p>
          <a:endParaRPr lang="en-US"/>
        </a:p>
      </dgm:t>
    </dgm:pt>
    <dgm:pt modelId="{57E7033D-7362-444A-ABDE-4DCCCE42D6BC}" type="sibTrans" cxnId="{EBD1BC8E-57E5-4BD8-9306-000CEB4126C6}">
      <dgm:prSet/>
      <dgm:spPr/>
      <dgm:t>
        <a:bodyPr/>
        <a:lstStyle/>
        <a:p>
          <a:endParaRPr lang="en-US"/>
        </a:p>
      </dgm:t>
    </dgm:pt>
    <dgm:pt modelId="{8D931060-1DE2-4167-AC07-F54E47DD4900}">
      <dgm:prSet phldrT="[Text]"/>
      <dgm:spPr/>
      <dgm:t>
        <a:bodyPr/>
        <a:lstStyle/>
        <a:p>
          <a:r>
            <a:rPr lang="en-US"/>
            <a:t>HUM 135 - Introduction To Native American Literature</a:t>
          </a:r>
        </a:p>
      </dgm:t>
    </dgm:pt>
    <dgm:pt modelId="{29E1B7E3-ACA7-400F-A513-5355FE4578BF}" type="parTrans" cxnId="{7FF78E1E-4417-447C-B016-8AC3EF738A04}">
      <dgm:prSet/>
      <dgm:spPr/>
      <dgm:t>
        <a:bodyPr/>
        <a:lstStyle/>
        <a:p>
          <a:endParaRPr lang="en-US"/>
        </a:p>
      </dgm:t>
    </dgm:pt>
    <dgm:pt modelId="{1425D10F-F510-47B7-8F43-FAADA31BB3AA}" type="sibTrans" cxnId="{7FF78E1E-4417-447C-B016-8AC3EF738A04}">
      <dgm:prSet/>
      <dgm:spPr/>
      <dgm:t>
        <a:bodyPr/>
        <a:lstStyle/>
        <a:p>
          <a:endParaRPr lang="en-US"/>
        </a:p>
      </dgm:t>
    </dgm:pt>
    <dgm:pt modelId="{8717BB02-EBA0-4B72-AAAC-D635673545DC}">
      <dgm:prSet phldrT="[Text]"/>
      <dgm:spPr/>
      <dgm:t>
        <a:bodyPr/>
        <a:lstStyle/>
        <a:p>
          <a:r>
            <a:rPr lang="en-US"/>
            <a:t>HUM 140 - Introduction To Latino Literature</a:t>
          </a:r>
        </a:p>
      </dgm:t>
    </dgm:pt>
    <dgm:pt modelId="{A26801DD-0D81-4983-82C7-90C7FE25C8BF}" type="parTrans" cxnId="{7BA2158A-B622-4CC8-A56E-1C5E7F74DDE9}">
      <dgm:prSet/>
      <dgm:spPr/>
      <dgm:t>
        <a:bodyPr/>
        <a:lstStyle/>
        <a:p>
          <a:endParaRPr lang="en-US"/>
        </a:p>
      </dgm:t>
    </dgm:pt>
    <dgm:pt modelId="{0A3AF683-34EA-4319-B4AC-C489783F34F6}" type="sibTrans" cxnId="{7BA2158A-B622-4CC8-A56E-1C5E7F74DDE9}">
      <dgm:prSet/>
      <dgm:spPr/>
      <dgm:t>
        <a:bodyPr/>
        <a:lstStyle/>
        <a:p>
          <a:endParaRPr lang="en-US"/>
        </a:p>
      </dgm:t>
    </dgm:pt>
    <dgm:pt modelId="{455ACB2F-577F-4AB5-8950-5B9FB2D5999A}">
      <dgm:prSet phldrT="[Text]"/>
      <dgm:spPr/>
      <dgm:t>
        <a:bodyPr/>
        <a:lstStyle/>
        <a:p>
          <a:r>
            <a:rPr lang="en-US"/>
            <a:t>HUM 150 - Introduction To African Literature </a:t>
          </a:r>
        </a:p>
      </dgm:t>
    </dgm:pt>
    <dgm:pt modelId="{663FED4B-6018-4B02-AA5A-E9D14D97633B}" type="parTrans" cxnId="{162ED6FF-2B7D-4904-BAE2-C17CD359E87B}">
      <dgm:prSet/>
      <dgm:spPr/>
      <dgm:t>
        <a:bodyPr/>
        <a:lstStyle/>
        <a:p>
          <a:endParaRPr lang="en-US"/>
        </a:p>
      </dgm:t>
    </dgm:pt>
    <dgm:pt modelId="{F639D9EC-ED2D-4F4D-8347-86AEC6B7E291}" type="sibTrans" cxnId="{162ED6FF-2B7D-4904-BAE2-C17CD359E87B}">
      <dgm:prSet/>
      <dgm:spPr/>
      <dgm:t>
        <a:bodyPr/>
        <a:lstStyle/>
        <a:p>
          <a:endParaRPr lang="en-US"/>
        </a:p>
      </dgm:t>
    </dgm:pt>
    <dgm:pt modelId="{5EBACAE8-D174-48A6-AAEC-226F5E2AAF00}">
      <dgm:prSet phldrT="[Text]"/>
      <dgm:spPr/>
      <dgm:t>
        <a:bodyPr/>
        <a:lstStyle/>
        <a:p>
          <a:r>
            <a:rPr lang="en-US"/>
            <a:t>HUM 160 - Introduction To Holocaust Literature &amp; Film</a:t>
          </a:r>
        </a:p>
      </dgm:t>
    </dgm:pt>
    <dgm:pt modelId="{705F98FC-7F89-4222-80FB-2B5A7471EFB0}" type="parTrans" cxnId="{8B0FC971-2CF8-41C1-AE21-6B3B00A9694D}">
      <dgm:prSet/>
      <dgm:spPr/>
      <dgm:t>
        <a:bodyPr/>
        <a:lstStyle/>
        <a:p>
          <a:endParaRPr lang="en-US"/>
        </a:p>
      </dgm:t>
    </dgm:pt>
    <dgm:pt modelId="{62843F5F-6B80-4203-8735-213C1DC8EDBE}" type="sibTrans" cxnId="{8B0FC971-2CF8-41C1-AE21-6B3B00A9694D}">
      <dgm:prSet/>
      <dgm:spPr/>
      <dgm:t>
        <a:bodyPr/>
        <a:lstStyle/>
        <a:p>
          <a:endParaRPr lang="en-US"/>
        </a:p>
      </dgm:t>
    </dgm:pt>
    <dgm:pt modelId="{EEAD2614-D8C2-4692-944C-0592B8995C87}">
      <dgm:prSet phldrT="[Text]"/>
      <dgm:spPr/>
      <dgm:t>
        <a:bodyPr/>
        <a:lstStyle/>
        <a:p>
          <a:r>
            <a:rPr lang="en-US"/>
            <a:t>HUM 202 - Survey Of Appalachian Studies I</a:t>
          </a:r>
        </a:p>
      </dgm:t>
    </dgm:pt>
    <dgm:pt modelId="{F9F54CFC-98A2-4D7C-8910-A4C24A49E54A}" type="parTrans" cxnId="{911CA4CB-B5EB-4A29-9FD4-B020D6B7B36B}">
      <dgm:prSet/>
      <dgm:spPr/>
      <dgm:t>
        <a:bodyPr/>
        <a:lstStyle/>
        <a:p>
          <a:endParaRPr lang="en-US"/>
        </a:p>
      </dgm:t>
    </dgm:pt>
    <dgm:pt modelId="{687C1315-8A90-4CAC-9E3A-AA85DD5EF0C5}" type="sibTrans" cxnId="{911CA4CB-B5EB-4A29-9FD4-B020D6B7B36B}">
      <dgm:prSet/>
      <dgm:spPr/>
      <dgm:t>
        <a:bodyPr/>
        <a:lstStyle/>
        <a:p>
          <a:endParaRPr lang="en-US"/>
        </a:p>
      </dgm:t>
    </dgm:pt>
    <dgm:pt modelId="{E2DD6ED0-BFCB-4EA5-B43C-338737C2346F}">
      <dgm:prSet phldrT="[Text]"/>
      <dgm:spPr/>
      <dgm:t>
        <a:bodyPr/>
        <a:lstStyle/>
        <a:p>
          <a:r>
            <a:rPr lang="en-US"/>
            <a:t>HUM 203 - Survey Of Appalachian Studies II</a:t>
          </a:r>
        </a:p>
      </dgm:t>
    </dgm:pt>
    <dgm:pt modelId="{A37205D5-BB7F-463A-B1E6-66DDEC8A1A85}" type="parTrans" cxnId="{8569B60D-28AD-49B5-A322-7BF57B3D2B8C}">
      <dgm:prSet/>
      <dgm:spPr/>
      <dgm:t>
        <a:bodyPr/>
        <a:lstStyle/>
        <a:p>
          <a:endParaRPr lang="en-US"/>
        </a:p>
      </dgm:t>
    </dgm:pt>
    <dgm:pt modelId="{B8DD3CEE-EB6D-40C7-891F-9654A3826960}" type="sibTrans" cxnId="{8569B60D-28AD-49B5-A322-7BF57B3D2B8C}">
      <dgm:prSet/>
      <dgm:spPr/>
      <dgm:t>
        <a:bodyPr/>
        <a:lstStyle/>
        <a:p>
          <a:endParaRPr lang="en-US"/>
        </a:p>
      </dgm:t>
    </dgm:pt>
    <dgm:pt modelId="{201D5809-F4C0-44B9-91B0-215B918A22E1}">
      <dgm:prSet phldrT="[Text]"/>
      <dgm:spPr/>
      <dgm:t>
        <a:bodyPr/>
        <a:lstStyle/>
        <a:p>
          <a:r>
            <a:rPr lang="en-US"/>
            <a:t>HUM 204 - Appalachian Seminar</a:t>
          </a:r>
        </a:p>
      </dgm:t>
    </dgm:pt>
    <dgm:pt modelId="{5397A78A-5F5D-487F-BA17-91CC865C8934}" type="parTrans" cxnId="{46436CBA-AE2E-481C-A526-962C27B64223}">
      <dgm:prSet/>
      <dgm:spPr/>
      <dgm:t>
        <a:bodyPr/>
        <a:lstStyle/>
        <a:p>
          <a:endParaRPr lang="en-US"/>
        </a:p>
      </dgm:t>
    </dgm:pt>
    <dgm:pt modelId="{E2370D56-FAEA-4004-8D4B-EABF84BFC563}" type="sibTrans" cxnId="{46436CBA-AE2E-481C-A526-962C27B64223}">
      <dgm:prSet/>
      <dgm:spPr/>
      <dgm:t>
        <a:bodyPr/>
        <a:lstStyle/>
        <a:p>
          <a:endParaRPr lang="en-US"/>
        </a:p>
      </dgm:t>
    </dgm:pt>
    <dgm:pt modelId="{2CDC22E2-EA44-40EE-9D89-350D045142F0}">
      <dgm:prSet phldrT="[Text]"/>
      <dgm:spPr/>
      <dgm:t>
        <a:bodyPr/>
        <a:lstStyle/>
        <a:p>
          <a:r>
            <a:rPr lang="en-US"/>
            <a:t>HUM 220 - Historical Perspectives On Peace &amp; War</a:t>
          </a:r>
        </a:p>
      </dgm:t>
    </dgm:pt>
    <dgm:pt modelId="{3ECB5B97-C54F-475E-8210-7162FB6565D3}" type="parTrans" cxnId="{35C07827-A961-4131-B12C-462774191649}">
      <dgm:prSet/>
      <dgm:spPr/>
      <dgm:t>
        <a:bodyPr/>
        <a:lstStyle/>
        <a:p>
          <a:endParaRPr lang="en-US"/>
        </a:p>
      </dgm:t>
    </dgm:pt>
    <dgm:pt modelId="{6FB24356-7C73-43C3-A2D7-36C63D80016A}" type="sibTrans" cxnId="{35C07827-A961-4131-B12C-462774191649}">
      <dgm:prSet/>
      <dgm:spPr/>
      <dgm:t>
        <a:bodyPr/>
        <a:lstStyle/>
        <a:p>
          <a:endParaRPr lang="en-US"/>
        </a:p>
      </dgm:t>
    </dgm:pt>
    <dgm:pt modelId="{A8B37E5E-5E90-4BE9-8596-CBE1E1E7A4A8}">
      <dgm:prSet phldrT="[Text]"/>
      <dgm:spPr/>
      <dgm:t>
        <a:bodyPr/>
        <a:lstStyle/>
        <a:p>
          <a:r>
            <a:rPr lang="en-US"/>
            <a:t>HUM 230 - Contemporary Japanese Literature &amp; Culture In Translation</a:t>
          </a:r>
        </a:p>
      </dgm:t>
    </dgm:pt>
    <dgm:pt modelId="{F892F4F3-B24B-4760-BFF9-7868B70DE838}" type="parTrans" cxnId="{6C4C5633-9FD9-4B67-90F9-3ADB1022F89A}">
      <dgm:prSet/>
      <dgm:spPr/>
      <dgm:t>
        <a:bodyPr/>
        <a:lstStyle/>
        <a:p>
          <a:endParaRPr lang="en-US"/>
        </a:p>
      </dgm:t>
    </dgm:pt>
    <dgm:pt modelId="{237E8CD3-5925-4649-80CC-6A1789B1D6CD}" type="sibTrans" cxnId="{6C4C5633-9FD9-4B67-90F9-3ADB1022F89A}">
      <dgm:prSet/>
      <dgm:spPr/>
      <dgm:t>
        <a:bodyPr/>
        <a:lstStyle/>
        <a:p>
          <a:endParaRPr lang="en-US"/>
        </a:p>
      </dgm:t>
    </dgm:pt>
    <dgm:pt modelId="{66AFEE3E-7EBF-4B58-AF6F-FDAA96D82420}">
      <dgm:prSet phldrT="[Text]"/>
      <dgm:spPr/>
      <dgm:t>
        <a:bodyPr/>
        <a:lstStyle/>
        <a:p>
          <a:r>
            <a:rPr lang="en-US"/>
            <a:t>HUM 250 - Appalachian Literature Survey</a:t>
          </a:r>
        </a:p>
      </dgm:t>
    </dgm:pt>
    <dgm:pt modelId="{63D7FEB5-C199-4F01-8838-C2102D7089E3}" type="parTrans" cxnId="{E4B9C8B9-6EB8-4C99-85AC-6EEEB8E4E4F5}">
      <dgm:prSet/>
      <dgm:spPr/>
      <dgm:t>
        <a:bodyPr/>
        <a:lstStyle/>
        <a:p>
          <a:endParaRPr lang="en-US"/>
        </a:p>
      </dgm:t>
    </dgm:pt>
    <dgm:pt modelId="{4A25E70D-1DBC-4DAB-9532-98BDF1852BC2}" type="sibTrans" cxnId="{E4B9C8B9-6EB8-4C99-85AC-6EEEB8E4E4F5}">
      <dgm:prSet/>
      <dgm:spPr/>
      <dgm:t>
        <a:bodyPr/>
        <a:lstStyle/>
        <a:p>
          <a:endParaRPr lang="en-US"/>
        </a:p>
      </dgm:t>
    </dgm:pt>
    <dgm:pt modelId="{E6E59391-FDD3-46E1-8221-C71A6959D19D}">
      <dgm:prSet phldrT="[Text]"/>
      <dgm:spPr/>
      <dgm:t>
        <a:bodyPr/>
        <a:lstStyle/>
        <a:p>
          <a:r>
            <a:rPr lang="en-US"/>
            <a:t>HUM 251 - Contemporary Appalachian Literature</a:t>
          </a:r>
        </a:p>
      </dgm:t>
    </dgm:pt>
    <dgm:pt modelId="{BE394969-964B-4C06-9A4F-7BB24864AA14}" type="parTrans" cxnId="{3F150367-39ED-4F4B-9A93-08ED4C46CDFB}">
      <dgm:prSet/>
      <dgm:spPr/>
      <dgm:t>
        <a:bodyPr/>
        <a:lstStyle/>
        <a:p>
          <a:endParaRPr lang="en-US"/>
        </a:p>
      </dgm:t>
    </dgm:pt>
    <dgm:pt modelId="{462ABCD6-B4FD-450E-BDA4-29BA004942E0}" type="sibTrans" cxnId="{3F150367-39ED-4F4B-9A93-08ED4C46CDFB}">
      <dgm:prSet/>
      <dgm:spPr/>
      <dgm:t>
        <a:bodyPr/>
        <a:lstStyle/>
        <a:p>
          <a:endParaRPr lang="en-US"/>
        </a:p>
      </dgm:t>
    </dgm:pt>
    <dgm:pt modelId="{85BAC962-B892-46B9-B9FD-D29F63460C05}">
      <dgm:prSet phldrT="[Text]"/>
      <dgm:spPr/>
      <dgm:t>
        <a:bodyPr/>
        <a:lstStyle/>
        <a:p>
          <a:r>
            <a:rPr lang="en-US"/>
            <a:t>HUM 281 - Introduction To Film</a:t>
          </a:r>
        </a:p>
      </dgm:t>
    </dgm:pt>
    <dgm:pt modelId="{E1DF7DC9-4EF7-4007-AA89-4138609F5831}" type="parTrans" cxnId="{486944BE-25C0-4192-8E52-E22E11088CF6}">
      <dgm:prSet/>
      <dgm:spPr/>
      <dgm:t>
        <a:bodyPr/>
        <a:lstStyle/>
        <a:p>
          <a:endParaRPr lang="en-US"/>
        </a:p>
      </dgm:t>
    </dgm:pt>
    <dgm:pt modelId="{C3B99C56-2D0C-4D7A-ACDF-5C458AFF34B9}" type="sibTrans" cxnId="{486944BE-25C0-4192-8E52-E22E11088CF6}">
      <dgm:prSet/>
      <dgm:spPr/>
      <dgm:t>
        <a:bodyPr/>
        <a:lstStyle/>
        <a:p>
          <a:endParaRPr lang="en-US"/>
        </a:p>
      </dgm:t>
    </dgm:pt>
    <dgm:pt modelId="{A19C6D48-1C6A-4474-9623-ABDB17B62197}">
      <dgm:prSet phldrT="[Text]"/>
      <dgm:spPr/>
      <dgm:t>
        <a:bodyPr/>
        <a:lstStyle/>
        <a:p>
          <a:r>
            <a:rPr lang="en-US"/>
            <a:t>MU 101 - Folk &amp; Traditional Music Of Western Continents</a:t>
          </a:r>
        </a:p>
      </dgm:t>
    </dgm:pt>
    <dgm:pt modelId="{F141358C-6533-422E-9786-A0A9C2545F0F}" type="parTrans" cxnId="{83B2F752-7827-4691-B9B8-EAA42CA7AA23}">
      <dgm:prSet/>
      <dgm:spPr/>
      <dgm:t>
        <a:bodyPr/>
        <a:lstStyle/>
        <a:p>
          <a:endParaRPr lang="en-US"/>
        </a:p>
      </dgm:t>
    </dgm:pt>
    <dgm:pt modelId="{74A6DBCE-A761-44E4-9D06-3AD4C29D3BE8}" type="sibTrans" cxnId="{83B2F752-7827-4691-B9B8-EAA42CA7AA23}">
      <dgm:prSet/>
      <dgm:spPr/>
      <dgm:t>
        <a:bodyPr/>
        <a:lstStyle/>
        <a:p>
          <a:endParaRPr lang="en-US"/>
        </a:p>
      </dgm:t>
    </dgm:pt>
    <dgm:pt modelId="{37B09648-2A31-4AAE-BD69-46D1D8ECC51F}">
      <dgm:prSet phldrT="[Text]"/>
      <dgm:spPr/>
      <dgm:t>
        <a:bodyPr/>
        <a:lstStyle/>
        <a:p>
          <a:r>
            <a:rPr lang="en-US"/>
            <a:t>MUS 100 - Introduction To Music</a:t>
          </a:r>
        </a:p>
      </dgm:t>
    </dgm:pt>
    <dgm:pt modelId="{4C10D0C2-1264-496A-8A36-ADF14895F10C}" type="parTrans" cxnId="{B98FF84A-CDDA-49D7-AAAC-4C442239692A}">
      <dgm:prSet/>
      <dgm:spPr/>
      <dgm:t>
        <a:bodyPr/>
        <a:lstStyle/>
        <a:p>
          <a:endParaRPr lang="en-US"/>
        </a:p>
      </dgm:t>
    </dgm:pt>
    <dgm:pt modelId="{F4BB2112-E760-4741-A90F-AD1856389982}" type="sibTrans" cxnId="{B98FF84A-CDDA-49D7-AAAC-4C442239692A}">
      <dgm:prSet/>
      <dgm:spPr/>
      <dgm:t>
        <a:bodyPr/>
        <a:lstStyle/>
        <a:p>
          <a:endParaRPr lang="en-US"/>
        </a:p>
      </dgm:t>
    </dgm:pt>
    <dgm:pt modelId="{23516F99-75BC-4D50-A155-3626EE8486C5}">
      <dgm:prSet phldrT="[Text]"/>
      <dgm:spPr/>
      <dgm:t>
        <a:bodyPr/>
        <a:lstStyle/>
        <a:p>
          <a:r>
            <a:rPr lang="en-US"/>
            <a:t>MUS 104 - Introduction To Jazz History</a:t>
          </a:r>
        </a:p>
      </dgm:t>
    </dgm:pt>
    <dgm:pt modelId="{FBC0C0BE-B884-42EC-A458-AB052365CA7B}" type="parTrans" cxnId="{B1BB4D30-9DE4-41DA-A3A4-5A23ABBCE436}">
      <dgm:prSet/>
      <dgm:spPr/>
      <dgm:t>
        <a:bodyPr/>
        <a:lstStyle/>
        <a:p>
          <a:endParaRPr lang="en-US"/>
        </a:p>
      </dgm:t>
    </dgm:pt>
    <dgm:pt modelId="{9EA2A5EB-7A8A-4E21-ACFD-57702D730824}" type="sibTrans" cxnId="{B1BB4D30-9DE4-41DA-A3A4-5A23ABBCE436}">
      <dgm:prSet/>
      <dgm:spPr/>
      <dgm:t>
        <a:bodyPr/>
        <a:lstStyle/>
        <a:p>
          <a:endParaRPr lang="en-US"/>
        </a:p>
      </dgm:t>
    </dgm:pt>
    <dgm:pt modelId="{9B408AFC-616D-4D2F-80D5-03BF6AFBF57D}">
      <dgm:prSet phldrT="[Text]"/>
      <dgm:spPr/>
      <dgm:t>
        <a:bodyPr/>
        <a:lstStyle/>
        <a:p>
          <a:r>
            <a:rPr lang="en-US"/>
            <a:t>MUS 206 -American Music</a:t>
          </a:r>
        </a:p>
      </dgm:t>
    </dgm:pt>
    <dgm:pt modelId="{83653EE6-4B73-43DF-81E8-7C2454D1CEE6}" type="parTrans" cxnId="{8CA57AC1-B39E-43A6-8683-EED166F0A428}">
      <dgm:prSet/>
      <dgm:spPr/>
      <dgm:t>
        <a:bodyPr/>
        <a:lstStyle/>
        <a:p>
          <a:endParaRPr lang="en-US"/>
        </a:p>
      </dgm:t>
    </dgm:pt>
    <dgm:pt modelId="{D51E9E4B-7C8B-4476-AF51-7D945C9D5A73}" type="sibTrans" cxnId="{8CA57AC1-B39E-43A6-8683-EED166F0A428}">
      <dgm:prSet/>
      <dgm:spPr/>
      <dgm:t>
        <a:bodyPr/>
        <a:lstStyle/>
        <a:p>
          <a:endParaRPr lang="en-US"/>
        </a:p>
      </dgm:t>
    </dgm:pt>
    <dgm:pt modelId="{E03DE4BD-C177-467A-8A75-F2DD1BB6BFC3}">
      <dgm:prSet phldrT="[Text]"/>
      <dgm:spPr/>
      <dgm:t>
        <a:bodyPr/>
        <a:lstStyle/>
        <a:p>
          <a:r>
            <a:rPr lang="en-US"/>
            <a:t>MUS 207 - African American Music History</a:t>
          </a:r>
        </a:p>
      </dgm:t>
    </dgm:pt>
    <dgm:pt modelId="{BE9E7DCF-E5D8-42A1-BD50-4DE4E325FA7C}" type="parTrans" cxnId="{29542979-3D52-46A0-AAA8-656E2F6D0864}">
      <dgm:prSet/>
      <dgm:spPr/>
      <dgm:t>
        <a:bodyPr/>
        <a:lstStyle/>
        <a:p>
          <a:endParaRPr lang="en-US"/>
        </a:p>
      </dgm:t>
    </dgm:pt>
    <dgm:pt modelId="{A159514A-C668-40B3-9946-F7901C18A2D7}" type="sibTrans" cxnId="{29542979-3D52-46A0-AAA8-656E2F6D0864}">
      <dgm:prSet/>
      <dgm:spPr/>
      <dgm:t>
        <a:bodyPr/>
        <a:lstStyle/>
        <a:p>
          <a:endParaRPr lang="en-US"/>
        </a:p>
      </dgm:t>
    </dgm:pt>
    <dgm:pt modelId="{85614BC4-A76C-4984-AF33-B50A4E196B55}">
      <dgm:prSet phldrT="[Text]"/>
      <dgm:spPr/>
      <dgm:t>
        <a:bodyPr/>
        <a:lstStyle/>
        <a:p>
          <a:r>
            <a:rPr lang="en-US"/>
            <a:t>MUS 208 - World Music</a:t>
          </a:r>
        </a:p>
      </dgm:t>
    </dgm:pt>
    <dgm:pt modelId="{B6E8C7B0-0370-4C4D-A62E-5A2A25CBE53F}" type="parTrans" cxnId="{622A75FC-67F0-48CE-B38E-44A0F8236827}">
      <dgm:prSet/>
      <dgm:spPr/>
      <dgm:t>
        <a:bodyPr/>
        <a:lstStyle/>
        <a:p>
          <a:endParaRPr lang="en-US"/>
        </a:p>
      </dgm:t>
    </dgm:pt>
    <dgm:pt modelId="{6F77C01F-237B-4CA5-A7EE-17C23FF881F0}" type="sibTrans" cxnId="{622A75FC-67F0-48CE-B38E-44A0F8236827}">
      <dgm:prSet/>
      <dgm:spPr/>
      <dgm:t>
        <a:bodyPr/>
        <a:lstStyle/>
        <a:p>
          <a:endParaRPr lang="en-US"/>
        </a:p>
      </dgm:t>
    </dgm:pt>
    <dgm:pt modelId="{A3F02D9D-A4AE-4B30-84F7-D9ECD54C3542}">
      <dgm:prSet phldrT="[Text]"/>
      <dgm:spPr/>
      <dgm:t>
        <a:bodyPr/>
        <a:lstStyle/>
        <a:p>
          <a:r>
            <a:rPr lang="en-US"/>
            <a:t>MUS 222 - History &amp; Sociology Of Rock Music</a:t>
          </a:r>
        </a:p>
      </dgm:t>
    </dgm:pt>
    <dgm:pt modelId="{E7A31FC9-8E47-4530-830A-DEE1A251F857}" type="parTrans" cxnId="{B45601F5-3308-4AB5-80C2-1EFCB5575A43}">
      <dgm:prSet/>
      <dgm:spPr/>
      <dgm:t>
        <a:bodyPr/>
        <a:lstStyle/>
        <a:p>
          <a:endParaRPr lang="en-US"/>
        </a:p>
      </dgm:t>
    </dgm:pt>
    <dgm:pt modelId="{2DA45AD0-5709-4055-9356-A8254A890CD0}" type="sibTrans" cxnId="{B45601F5-3308-4AB5-80C2-1EFCB5575A43}">
      <dgm:prSet/>
      <dgm:spPr/>
      <dgm:t>
        <a:bodyPr/>
        <a:lstStyle/>
        <a:p>
          <a:endParaRPr lang="en-US"/>
        </a:p>
      </dgm:t>
    </dgm:pt>
    <dgm:pt modelId="{0F61C8F9-664D-4042-B267-6FBF9B21B7C3}">
      <dgm:prSet phldrT="[Text]"/>
      <dgm:spPr/>
      <dgm:t>
        <a:bodyPr/>
        <a:lstStyle/>
        <a:p>
          <a:r>
            <a:rPr lang="en-US"/>
            <a:t>PHI 100 - Introduction To Philosophy:  Knowledge &amp; Reality</a:t>
          </a:r>
        </a:p>
      </dgm:t>
    </dgm:pt>
    <dgm:pt modelId="{FB584041-1DA8-4057-B33F-353AE59637F9}" type="parTrans" cxnId="{F18CF58C-7677-4953-84FF-B3C365A68520}">
      <dgm:prSet/>
      <dgm:spPr/>
      <dgm:t>
        <a:bodyPr/>
        <a:lstStyle/>
        <a:p>
          <a:endParaRPr lang="en-US"/>
        </a:p>
      </dgm:t>
    </dgm:pt>
    <dgm:pt modelId="{F1252A6F-1663-4045-9915-FF2A80F53243}" type="sibTrans" cxnId="{F18CF58C-7677-4953-84FF-B3C365A68520}">
      <dgm:prSet/>
      <dgm:spPr/>
      <dgm:t>
        <a:bodyPr/>
        <a:lstStyle/>
        <a:p>
          <a:endParaRPr lang="en-US"/>
        </a:p>
      </dgm:t>
    </dgm:pt>
    <dgm:pt modelId="{F9EB80E7-8F5C-4C1C-94E9-7CE902579E9F}">
      <dgm:prSet phldrT="[Text]"/>
      <dgm:spPr/>
      <dgm:t>
        <a:bodyPr/>
        <a:lstStyle/>
        <a:p>
          <a:r>
            <a:rPr lang="en-US"/>
            <a:t>PHI 110 - Medical Ethics</a:t>
          </a:r>
        </a:p>
      </dgm:t>
    </dgm:pt>
    <dgm:pt modelId="{93E9E2AE-C11B-4B6B-AFCC-4197A05117C3}" type="parTrans" cxnId="{68FFE535-2441-4F6D-958C-881F4BC877C2}">
      <dgm:prSet/>
      <dgm:spPr/>
      <dgm:t>
        <a:bodyPr/>
        <a:lstStyle/>
        <a:p>
          <a:endParaRPr lang="en-US"/>
        </a:p>
      </dgm:t>
    </dgm:pt>
    <dgm:pt modelId="{AD369A30-004C-4962-A46C-F268849A8685}" type="sibTrans" cxnId="{68FFE535-2441-4F6D-958C-881F4BC877C2}">
      <dgm:prSet/>
      <dgm:spPr/>
      <dgm:t>
        <a:bodyPr/>
        <a:lstStyle/>
        <a:p>
          <a:endParaRPr lang="en-US"/>
        </a:p>
      </dgm:t>
    </dgm:pt>
    <dgm:pt modelId="{650BF98A-7ECA-48AB-BC27-B00AE159767C}">
      <dgm:prSet phldrT="[Text]"/>
      <dgm:spPr/>
      <dgm:t>
        <a:bodyPr/>
        <a:lstStyle/>
        <a:p>
          <a:r>
            <a:rPr lang="en-US"/>
            <a:t>PHI 120 - Introductory Logic</a:t>
          </a:r>
        </a:p>
      </dgm:t>
    </dgm:pt>
    <dgm:pt modelId="{BE6FC339-84E1-4A35-8902-BE18F796A775}" type="parTrans" cxnId="{20A0B65F-9A0E-4B6D-87FE-6DEA6DF9041F}">
      <dgm:prSet/>
      <dgm:spPr/>
      <dgm:t>
        <a:bodyPr/>
        <a:lstStyle/>
        <a:p>
          <a:endParaRPr lang="en-US"/>
        </a:p>
      </dgm:t>
    </dgm:pt>
    <dgm:pt modelId="{FAB1605D-6214-480E-AB4E-F303AE2D2CB8}" type="sibTrans" cxnId="{20A0B65F-9A0E-4B6D-87FE-6DEA6DF9041F}">
      <dgm:prSet/>
      <dgm:spPr/>
      <dgm:t>
        <a:bodyPr/>
        <a:lstStyle/>
        <a:p>
          <a:endParaRPr lang="en-US"/>
        </a:p>
      </dgm:t>
    </dgm:pt>
    <dgm:pt modelId="{504E7C21-1691-4B7C-96CF-B36E8E92E509}">
      <dgm:prSet phldrT="[Text]"/>
      <dgm:spPr/>
      <dgm:t>
        <a:bodyPr/>
        <a:lstStyle/>
        <a:p>
          <a:r>
            <a:rPr lang="en-US"/>
            <a:t>PHI 130 - Ethics</a:t>
          </a:r>
        </a:p>
      </dgm:t>
    </dgm:pt>
    <dgm:pt modelId="{1972D519-C64D-4B3D-9D2B-7D230E1D64C5}" type="parTrans" cxnId="{F49A2E55-E3B4-4CB4-AF50-1A8C5FBA97A9}">
      <dgm:prSet/>
      <dgm:spPr/>
      <dgm:t>
        <a:bodyPr/>
        <a:lstStyle/>
        <a:p>
          <a:endParaRPr lang="en-US"/>
        </a:p>
      </dgm:t>
    </dgm:pt>
    <dgm:pt modelId="{737F8F98-249D-4C2D-B43A-C077CCBCE832}" type="sibTrans" cxnId="{F49A2E55-E3B4-4CB4-AF50-1A8C5FBA97A9}">
      <dgm:prSet/>
      <dgm:spPr/>
      <dgm:t>
        <a:bodyPr/>
        <a:lstStyle/>
        <a:p>
          <a:endParaRPr lang="en-US"/>
        </a:p>
      </dgm:t>
    </dgm:pt>
    <dgm:pt modelId="{ACED7B06-4868-4E60-9E8B-D04CB47862FB}">
      <dgm:prSet phldrT="[Text]"/>
      <dgm:spPr/>
      <dgm:t>
        <a:bodyPr/>
        <a:lstStyle/>
        <a:p>
          <a:r>
            <a:rPr lang="en-US"/>
            <a:t>PHI 140 - The Ethics Of War &amp; Peace</a:t>
          </a:r>
        </a:p>
      </dgm:t>
    </dgm:pt>
    <dgm:pt modelId="{4106CB51-9CE8-4F18-A1FC-5A0485B23A11}" type="parTrans" cxnId="{3B4E65D7-F9AB-4EBB-BF1E-BE5231E0CB8A}">
      <dgm:prSet/>
      <dgm:spPr/>
      <dgm:t>
        <a:bodyPr/>
        <a:lstStyle/>
        <a:p>
          <a:endParaRPr lang="en-US"/>
        </a:p>
      </dgm:t>
    </dgm:pt>
    <dgm:pt modelId="{A5962530-EF0A-4A10-9A6C-622E0228CC8F}" type="sibTrans" cxnId="{3B4E65D7-F9AB-4EBB-BF1E-BE5231E0CB8A}">
      <dgm:prSet/>
      <dgm:spPr/>
      <dgm:t>
        <a:bodyPr/>
        <a:lstStyle/>
        <a:p>
          <a:endParaRPr lang="en-US"/>
        </a:p>
      </dgm:t>
    </dgm:pt>
    <dgm:pt modelId="{15438018-B5C3-4DB8-B381-E57FFDBA6CC3}">
      <dgm:prSet phldrT="[Text]"/>
      <dgm:spPr/>
      <dgm:t>
        <a:bodyPr/>
        <a:lstStyle/>
        <a:p>
          <a:r>
            <a:rPr lang="en-US"/>
            <a:t>PHI 150 - Business Ethics</a:t>
          </a:r>
        </a:p>
      </dgm:t>
    </dgm:pt>
    <dgm:pt modelId="{B497E084-7728-45C8-9CCA-048FEBDE89BC}" type="parTrans" cxnId="{931FA08E-6BC8-48C1-ADCC-691C6601CBB5}">
      <dgm:prSet/>
      <dgm:spPr/>
      <dgm:t>
        <a:bodyPr/>
        <a:lstStyle/>
        <a:p>
          <a:endParaRPr lang="en-US"/>
        </a:p>
      </dgm:t>
    </dgm:pt>
    <dgm:pt modelId="{22EA135B-1E43-4F00-81C2-99C7A8460618}" type="sibTrans" cxnId="{931FA08E-6BC8-48C1-ADCC-691C6601CBB5}">
      <dgm:prSet/>
      <dgm:spPr/>
      <dgm:t>
        <a:bodyPr/>
        <a:lstStyle/>
        <a:p>
          <a:endParaRPr lang="en-US"/>
        </a:p>
      </dgm:t>
    </dgm:pt>
    <dgm:pt modelId="{43D28148-2E4B-452F-9124-B057404970B1}">
      <dgm:prSet phldrT="[Text]"/>
      <dgm:spPr/>
      <dgm:t>
        <a:bodyPr/>
        <a:lstStyle/>
        <a:p>
          <a:r>
            <a:rPr lang="en-US"/>
            <a:t>PHI 260 - History Of Philosophy I:  From Greek Beginnings To The Middle Ages</a:t>
          </a:r>
        </a:p>
      </dgm:t>
    </dgm:pt>
    <dgm:pt modelId="{AB015110-B455-45A8-B453-835E8953AFF3}" type="parTrans" cxnId="{627EBA68-4BFE-4DDF-8CB3-335159255BCF}">
      <dgm:prSet/>
      <dgm:spPr/>
      <dgm:t>
        <a:bodyPr/>
        <a:lstStyle/>
        <a:p>
          <a:endParaRPr lang="en-US"/>
        </a:p>
      </dgm:t>
    </dgm:pt>
    <dgm:pt modelId="{E2FE200F-CDF5-48B9-8A59-C6F8828749B9}" type="sibTrans" cxnId="{627EBA68-4BFE-4DDF-8CB3-335159255BCF}">
      <dgm:prSet/>
      <dgm:spPr/>
      <dgm:t>
        <a:bodyPr/>
        <a:lstStyle/>
        <a:p>
          <a:endParaRPr lang="en-US"/>
        </a:p>
      </dgm:t>
    </dgm:pt>
    <dgm:pt modelId="{45348A1B-87AC-480D-ADFE-78B28081D0B7}">
      <dgm:prSet phldrT="[Text]"/>
      <dgm:spPr/>
      <dgm:t>
        <a:bodyPr/>
        <a:lstStyle/>
        <a:p>
          <a:r>
            <a:rPr lang="en-US"/>
            <a:t>PHI 270 - History Of Philosophy II:  From The Renaissance To The Present Era</a:t>
          </a:r>
        </a:p>
      </dgm:t>
    </dgm:pt>
    <dgm:pt modelId="{A4F04C45-3B96-4D9B-9E42-76C969256931}" type="parTrans" cxnId="{1653AC50-C359-41BE-BCF1-FDF50AA5D17C}">
      <dgm:prSet/>
      <dgm:spPr/>
      <dgm:t>
        <a:bodyPr/>
        <a:lstStyle/>
        <a:p>
          <a:endParaRPr lang="en-US"/>
        </a:p>
      </dgm:t>
    </dgm:pt>
    <dgm:pt modelId="{B026B334-154C-4E1C-B28E-2F55EAD8F3C6}" type="sibTrans" cxnId="{1653AC50-C359-41BE-BCF1-FDF50AA5D17C}">
      <dgm:prSet/>
      <dgm:spPr/>
      <dgm:t>
        <a:bodyPr/>
        <a:lstStyle/>
        <a:p>
          <a:endParaRPr lang="en-US"/>
        </a:p>
      </dgm:t>
    </dgm:pt>
    <dgm:pt modelId="{AE54732B-3B9F-42E4-AF82-71179408AEE2}">
      <dgm:prSet phldrT="[Text]"/>
      <dgm:spPr/>
      <dgm:t>
        <a:bodyPr/>
        <a:lstStyle/>
        <a:p>
          <a:r>
            <a:rPr lang="en-US"/>
            <a:t>REL 101 - Introduction To Religious Studies</a:t>
          </a:r>
        </a:p>
      </dgm:t>
    </dgm:pt>
    <dgm:pt modelId="{66A53D95-6711-45F7-9AD3-47130296762C}" type="parTrans" cxnId="{F823847E-1DB5-4881-9501-A1AF9F4E7892}">
      <dgm:prSet/>
      <dgm:spPr/>
      <dgm:t>
        <a:bodyPr/>
        <a:lstStyle/>
        <a:p>
          <a:endParaRPr lang="en-US"/>
        </a:p>
      </dgm:t>
    </dgm:pt>
    <dgm:pt modelId="{094CCF93-03BA-464A-89A2-4FABBB302722}" type="sibTrans" cxnId="{F823847E-1DB5-4881-9501-A1AF9F4E7892}">
      <dgm:prSet/>
      <dgm:spPr/>
      <dgm:t>
        <a:bodyPr/>
        <a:lstStyle/>
        <a:p>
          <a:endParaRPr lang="en-US"/>
        </a:p>
      </dgm:t>
    </dgm:pt>
    <dgm:pt modelId="{571C891F-A09B-4E16-8A10-DE2D0DACD641}">
      <dgm:prSet phldrT="[Text]"/>
      <dgm:spPr/>
      <dgm:t>
        <a:bodyPr/>
        <a:lstStyle/>
        <a:p>
          <a:r>
            <a:rPr lang="en-US"/>
            <a:t>REL 120 - Introduction To The Old Testament</a:t>
          </a:r>
        </a:p>
      </dgm:t>
    </dgm:pt>
    <dgm:pt modelId="{6B8382EA-8FF6-4E00-85EE-3479C1A420C0}" type="parTrans" cxnId="{767E0730-F05B-4252-97F7-AC0112B06A4D}">
      <dgm:prSet/>
      <dgm:spPr/>
      <dgm:t>
        <a:bodyPr/>
        <a:lstStyle/>
        <a:p>
          <a:endParaRPr lang="en-US"/>
        </a:p>
      </dgm:t>
    </dgm:pt>
    <dgm:pt modelId="{8EC9BE74-0707-47A9-AEBC-560374B22D4B}" type="sibTrans" cxnId="{767E0730-F05B-4252-97F7-AC0112B06A4D}">
      <dgm:prSet/>
      <dgm:spPr/>
      <dgm:t>
        <a:bodyPr/>
        <a:lstStyle/>
        <a:p>
          <a:endParaRPr lang="en-US"/>
        </a:p>
      </dgm:t>
    </dgm:pt>
    <dgm:pt modelId="{E7816E96-1DB9-4C5E-BEE8-484A4D901AEB}">
      <dgm:prSet phldrT="[Text]"/>
      <dgm:spPr/>
      <dgm:t>
        <a:bodyPr/>
        <a:lstStyle/>
        <a:p>
          <a:r>
            <a:rPr lang="en-US"/>
            <a:t>REL 121 - Introduction To The New Testament</a:t>
          </a:r>
        </a:p>
      </dgm:t>
    </dgm:pt>
    <dgm:pt modelId="{6DD7D7EC-3298-49A4-8A28-404E4745E98B}" type="parTrans" cxnId="{6DAE0BFE-BC57-46E0-8CE6-537D15C223E2}">
      <dgm:prSet/>
      <dgm:spPr/>
      <dgm:t>
        <a:bodyPr/>
        <a:lstStyle/>
        <a:p>
          <a:endParaRPr lang="en-US"/>
        </a:p>
      </dgm:t>
    </dgm:pt>
    <dgm:pt modelId="{5964327C-52C3-431B-8780-B9F73C66D220}" type="sibTrans" cxnId="{6DAE0BFE-BC57-46E0-8CE6-537D15C223E2}">
      <dgm:prSet/>
      <dgm:spPr/>
      <dgm:t>
        <a:bodyPr/>
        <a:lstStyle/>
        <a:p>
          <a:endParaRPr lang="en-US"/>
        </a:p>
      </dgm:t>
    </dgm:pt>
    <dgm:pt modelId="{CFE4E306-E31C-481A-8A65-C6CD9ED090DD}">
      <dgm:prSet phldrT="[Text]"/>
      <dgm:spPr/>
      <dgm:t>
        <a:bodyPr/>
        <a:lstStyle/>
        <a:p>
          <a:r>
            <a:rPr lang="en-US"/>
            <a:t>REL 130 - Introduction To Comparative religion</a:t>
          </a:r>
        </a:p>
      </dgm:t>
    </dgm:pt>
    <dgm:pt modelId="{EE4A810D-EC4A-42BF-9BBD-C6439E688A5E}" type="parTrans" cxnId="{0359713F-C5A3-499E-B16F-BE772AC7945A}">
      <dgm:prSet/>
      <dgm:spPr/>
      <dgm:t>
        <a:bodyPr/>
        <a:lstStyle/>
        <a:p>
          <a:endParaRPr lang="en-US"/>
        </a:p>
      </dgm:t>
    </dgm:pt>
    <dgm:pt modelId="{98F14129-6CAD-4107-96CF-F30D1F399745}" type="sibTrans" cxnId="{0359713F-C5A3-499E-B16F-BE772AC7945A}">
      <dgm:prSet/>
      <dgm:spPr/>
      <dgm:t>
        <a:bodyPr/>
        <a:lstStyle/>
        <a:p>
          <a:endParaRPr lang="en-US"/>
        </a:p>
      </dgm:t>
    </dgm:pt>
    <dgm:pt modelId="{7658BE05-28F4-40B3-BB73-60F6AA618165}">
      <dgm:prSet phldrT="[Text]"/>
      <dgm:spPr/>
      <dgm:t>
        <a:bodyPr/>
        <a:lstStyle/>
        <a:p>
          <a:r>
            <a:rPr lang="en-US"/>
            <a:t>THA 101 - Introduction To Theatre:  Principles &amp; Practices</a:t>
          </a:r>
        </a:p>
      </dgm:t>
    </dgm:pt>
    <dgm:pt modelId="{04AA4AFF-59BE-4527-A4E1-F2C00709C46D}" type="parTrans" cxnId="{4CDAB3E1-AAA6-47D2-8034-7E73AA261ACA}">
      <dgm:prSet/>
      <dgm:spPr/>
      <dgm:t>
        <a:bodyPr/>
        <a:lstStyle/>
        <a:p>
          <a:endParaRPr lang="en-US"/>
        </a:p>
      </dgm:t>
    </dgm:pt>
    <dgm:pt modelId="{14263AF4-247D-426D-9A21-2E9F4F9000AB}" type="sibTrans" cxnId="{4CDAB3E1-AAA6-47D2-8034-7E73AA261ACA}">
      <dgm:prSet/>
      <dgm:spPr/>
      <dgm:t>
        <a:bodyPr/>
        <a:lstStyle/>
        <a:p>
          <a:endParaRPr lang="en-US"/>
        </a:p>
      </dgm:t>
    </dgm:pt>
    <dgm:pt modelId="{B84112F0-5771-43ED-B18A-9461CBAD8391}">
      <dgm:prSet phldrT="[Text]"/>
      <dgm:spPr/>
      <dgm:t>
        <a:bodyPr/>
        <a:lstStyle/>
        <a:p>
          <a:r>
            <a:rPr lang="en-US"/>
            <a:t>THA 200 - Introduction To Dramatic Literature</a:t>
          </a:r>
        </a:p>
      </dgm:t>
    </dgm:pt>
    <dgm:pt modelId="{B2B5D96D-D789-483F-9BD6-D58619920E3A}" type="parTrans" cxnId="{05A94298-AA36-4B0A-BEBD-26D2566F0511}">
      <dgm:prSet/>
      <dgm:spPr/>
      <dgm:t>
        <a:bodyPr/>
        <a:lstStyle/>
        <a:p>
          <a:endParaRPr lang="en-US"/>
        </a:p>
      </dgm:t>
    </dgm:pt>
    <dgm:pt modelId="{5703BE0F-A96A-45A6-ADFC-8945BD826D5B}" type="sibTrans" cxnId="{05A94298-AA36-4B0A-BEBD-26D2566F0511}">
      <dgm:prSet/>
      <dgm:spPr/>
      <dgm:t>
        <a:bodyPr/>
        <a:lstStyle/>
        <a:p>
          <a:endParaRPr lang="en-US"/>
        </a:p>
      </dgm:t>
    </dgm:pt>
    <dgm:pt modelId="{E7DB236D-B2A8-4816-956B-FC16651AC423}">
      <dgm:prSet phldrT="[Text]"/>
      <dgm:spPr/>
      <dgm:t>
        <a:bodyPr/>
        <a:lstStyle/>
        <a:p>
          <a:r>
            <a:rPr lang="en-US"/>
            <a:t>THA 283 - American Theatre</a:t>
          </a:r>
        </a:p>
      </dgm:t>
    </dgm:pt>
    <dgm:pt modelId="{FB10607B-1E9C-4A5B-9553-DD66C7E94A22}" type="parTrans" cxnId="{428C5628-768C-42A7-9F69-F8AD997E500A}">
      <dgm:prSet/>
      <dgm:spPr/>
      <dgm:t>
        <a:bodyPr/>
        <a:lstStyle/>
        <a:p>
          <a:endParaRPr lang="en-US"/>
        </a:p>
      </dgm:t>
    </dgm:pt>
    <dgm:pt modelId="{54108626-2D11-42B0-BF02-FB2051EE9CEC}" type="sibTrans" cxnId="{428C5628-768C-42A7-9F69-F8AD997E500A}">
      <dgm:prSet/>
      <dgm:spPr/>
      <dgm:t>
        <a:bodyPr/>
        <a:lstStyle/>
        <a:p>
          <a:endParaRPr lang="en-US"/>
        </a:p>
      </dgm:t>
    </dgm:pt>
    <dgm:pt modelId="{9CDDCC50-6690-4B9F-9449-36C76CBDDC92}">
      <dgm:prSet phldrT="[Text]"/>
      <dgm:spPr/>
      <dgm:t>
        <a:bodyPr/>
        <a:lstStyle/>
        <a:p>
          <a:r>
            <a:rPr lang="en-US"/>
            <a:t>WGS 201 - Introduction To Women's &amp; Gender Studies In The Arts &amp; humanities</a:t>
          </a:r>
        </a:p>
      </dgm:t>
    </dgm:pt>
    <dgm:pt modelId="{71E71B7F-DC7C-4E28-9051-AAC2B1482254}" type="parTrans" cxnId="{F2B92923-8E14-488E-BE36-68956038BC2F}">
      <dgm:prSet/>
      <dgm:spPr/>
      <dgm:t>
        <a:bodyPr/>
        <a:lstStyle/>
        <a:p>
          <a:endParaRPr lang="en-US"/>
        </a:p>
      </dgm:t>
    </dgm:pt>
    <dgm:pt modelId="{07D53604-F8A3-4314-B1AA-D732C4D01DBB}" type="sibTrans" cxnId="{F2B92923-8E14-488E-BE36-68956038BC2F}">
      <dgm:prSet/>
      <dgm:spPr/>
      <dgm:t>
        <a:bodyPr/>
        <a:lstStyle/>
        <a:p>
          <a:endParaRPr lang="en-US"/>
        </a:p>
      </dgm:t>
    </dgm:pt>
    <dgm:pt modelId="{80B67DCC-F7CC-4902-B5C3-76056305FAE0}">
      <dgm:prSet phldrT="[Text]"/>
      <dgm:spPr/>
      <dgm:t>
        <a:bodyPr/>
        <a:lstStyle/>
        <a:p>
          <a:r>
            <a:rPr lang="en-US"/>
            <a:t>AGR 101 - The Economics Of Food &amp; Agriculture</a:t>
          </a:r>
        </a:p>
      </dgm:t>
    </dgm:pt>
    <dgm:pt modelId="{EC0E4AB8-B2BA-4DFF-9C96-5E87AE35A95D}" type="parTrans" cxnId="{6D438F91-90BA-4F64-B2F4-672D6262D65E}">
      <dgm:prSet/>
      <dgm:spPr/>
      <dgm:t>
        <a:bodyPr/>
        <a:lstStyle/>
        <a:p>
          <a:endParaRPr lang="en-US"/>
        </a:p>
      </dgm:t>
    </dgm:pt>
    <dgm:pt modelId="{3D26FA46-7C0F-4D92-874B-FD1D3F01726E}" type="sibTrans" cxnId="{6D438F91-90BA-4F64-B2F4-672D6262D65E}">
      <dgm:prSet/>
      <dgm:spPr/>
      <dgm:t>
        <a:bodyPr/>
        <a:lstStyle/>
        <a:p>
          <a:endParaRPr lang="en-US"/>
        </a:p>
      </dgm:t>
    </dgm:pt>
    <dgm:pt modelId="{379E2168-CEFE-4A0D-98CF-BDAEF6D2900E}">
      <dgm:prSet phldrT="[Text]"/>
      <dgm:spPr/>
      <dgm:t>
        <a:bodyPr/>
        <a:lstStyle/>
        <a:p>
          <a:r>
            <a:rPr lang="en-US"/>
            <a:t>ANT 101 - Introduction To Anthropology</a:t>
          </a:r>
        </a:p>
      </dgm:t>
    </dgm:pt>
    <dgm:pt modelId="{FEBE67E5-9618-44A8-BF52-E99E38117805}" type="parTrans" cxnId="{3C29CE0E-6B63-4DAC-B862-D2323C3D17A2}">
      <dgm:prSet/>
      <dgm:spPr/>
      <dgm:t>
        <a:bodyPr/>
        <a:lstStyle/>
        <a:p>
          <a:endParaRPr lang="en-US"/>
        </a:p>
      </dgm:t>
    </dgm:pt>
    <dgm:pt modelId="{DE090336-73DE-44BB-B77E-CEE5F56F4287}" type="sibTrans" cxnId="{3C29CE0E-6B63-4DAC-B862-D2323C3D17A2}">
      <dgm:prSet/>
      <dgm:spPr/>
      <dgm:t>
        <a:bodyPr/>
        <a:lstStyle/>
        <a:p>
          <a:endParaRPr lang="en-US"/>
        </a:p>
      </dgm:t>
    </dgm:pt>
    <dgm:pt modelId="{BB7C454F-1AD6-49AC-9931-B4B66FC85A3C}">
      <dgm:prSet phldrT="[Text]"/>
      <dgm:spPr/>
      <dgm:t>
        <a:bodyPr/>
        <a:lstStyle/>
        <a:p>
          <a:r>
            <a:rPr lang="en-US"/>
            <a:t>ANT 130/REL 130 - Introduction To Comparative Religion</a:t>
          </a:r>
        </a:p>
      </dgm:t>
    </dgm:pt>
    <dgm:pt modelId="{314C674F-F690-4C1D-B7D2-2774B6BB415D}" type="parTrans" cxnId="{FF944D94-3841-4D47-AC13-73B1858AE200}">
      <dgm:prSet/>
      <dgm:spPr/>
      <dgm:t>
        <a:bodyPr/>
        <a:lstStyle/>
        <a:p>
          <a:endParaRPr lang="en-US"/>
        </a:p>
      </dgm:t>
    </dgm:pt>
    <dgm:pt modelId="{56AC8F4B-C597-4C30-81CA-1D8E8EF53400}" type="sibTrans" cxnId="{FF944D94-3841-4D47-AC13-73B1858AE200}">
      <dgm:prSet/>
      <dgm:spPr/>
      <dgm:t>
        <a:bodyPr/>
        <a:lstStyle/>
        <a:p>
          <a:endParaRPr lang="en-US"/>
        </a:p>
      </dgm:t>
    </dgm:pt>
    <dgm:pt modelId="{7565B1A8-62E0-432F-83F7-D5CEA6CB482D}">
      <dgm:prSet phldrT="[Text]"/>
      <dgm:spPr/>
      <dgm:t>
        <a:bodyPr/>
        <a:lstStyle/>
        <a:p>
          <a:r>
            <a:rPr lang="en-US"/>
            <a:t>ANT 160 - Cultural Diversity In The Modern World</a:t>
          </a:r>
        </a:p>
      </dgm:t>
    </dgm:pt>
    <dgm:pt modelId="{9A0E2871-852E-45E2-8CE0-8A28AFFE6D33}" type="parTrans" cxnId="{66071466-7137-4145-91CF-C1DB24BED970}">
      <dgm:prSet/>
      <dgm:spPr/>
      <dgm:t>
        <a:bodyPr/>
        <a:lstStyle/>
        <a:p>
          <a:endParaRPr lang="en-US"/>
        </a:p>
      </dgm:t>
    </dgm:pt>
    <dgm:pt modelId="{41A8470F-666C-430B-95C4-81FF7C246F5D}" type="sibTrans" cxnId="{66071466-7137-4145-91CF-C1DB24BED970}">
      <dgm:prSet/>
      <dgm:spPr/>
      <dgm:t>
        <a:bodyPr/>
        <a:lstStyle/>
        <a:p>
          <a:endParaRPr lang="en-US"/>
        </a:p>
      </dgm:t>
    </dgm:pt>
    <dgm:pt modelId="{A833B05D-25E2-4944-A8EE-A899372FD4CE}">
      <dgm:prSet phldrT="[Text]"/>
      <dgm:spPr/>
      <dgm:t>
        <a:bodyPr/>
        <a:lstStyle/>
        <a:p>
          <a:r>
            <a:rPr lang="en-US"/>
            <a:t>ANT 220 - Introduction To Cultural Anthropology</a:t>
          </a:r>
        </a:p>
      </dgm:t>
    </dgm:pt>
    <dgm:pt modelId="{BAA21F68-09E2-40F3-A114-B0CA54B87DBC}" type="parTrans" cxnId="{4B38342C-EB64-4A17-9103-A8D700114554}">
      <dgm:prSet/>
      <dgm:spPr/>
      <dgm:t>
        <a:bodyPr/>
        <a:lstStyle/>
        <a:p>
          <a:endParaRPr lang="en-US"/>
        </a:p>
      </dgm:t>
    </dgm:pt>
    <dgm:pt modelId="{C310D097-D85A-488D-B915-07D6C5BB8EF3}" type="sibTrans" cxnId="{4B38342C-EB64-4A17-9103-A8D700114554}">
      <dgm:prSet/>
      <dgm:spPr/>
      <dgm:t>
        <a:bodyPr/>
        <a:lstStyle/>
        <a:p>
          <a:endParaRPr lang="en-US"/>
        </a:p>
      </dgm:t>
    </dgm:pt>
    <dgm:pt modelId="{E82FEC1D-6C52-467D-84C8-7D0DB2E9C74E}">
      <dgm:prSet phldrT="[Text]"/>
      <dgm:spPr/>
      <dgm:t>
        <a:bodyPr/>
        <a:lstStyle/>
        <a:p>
          <a:r>
            <a:rPr lang="en-US"/>
            <a:t>ANT 221- Native People Of North America</a:t>
          </a:r>
        </a:p>
      </dgm:t>
    </dgm:pt>
    <dgm:pt modelId="{3F71BEC6-280F-4C1F-9A35-6AA22292E01B}" type="parTrans" cxnId="{8B99B8AA-A746-43B2-B628-DF7429683D07}">
      <dgm:prSet/>
      <dgm:spPr/>
      <dgm:t>
        <a:bodyPr/>
        <a:lstStyle/>
        <a:p>
          <a:endParaRPr lang="en-US"/>
        </a:p>
      </dgm:t>
    </dgm:pt>
    <dgm:pt modelId="{F2041AAB-955B-4596-9DD7-114D58343D7D}" type="sibTrans" cxnId="{8B99B8AA-A746-43B2-B628-DF7429683D07}">
      <dgm:prSet/>
      <dgm:spPr/>
      <dgm:t>
        <a:bodyPr/>
        <a:lstStyle/>
        <a:p>
          <a:endParaRPr lang="en-US"/>
        </a:p>
      </dgm:t>
    </dgm:pt>
    <dgm:pt modelId="{F40BEAB6-7D75-4244-A260-6368781C3D42}">
      <dgm:prSet phldrT="[Text]"/>
      <dgm:spPr/>
      <dgm:t>
        <a:bodyPr/>
        <a:lstStyle/>
        <a:p>
          <a:r>
            <a:rPr lang="en-US"/>
            <a:t>ANT 235 - Food &amp; Culture</a:t>
          </a:r>
        </a:p>
      </dgm:t>
    </dgm:pt>
    <dgm:pt modelId="{0C7EB962-0D50-4492-8BCA-13DE87CBA37C}" type="parTrans" cxnId="{598E044D-491F-4495-A6EF-6B5472D6B24A}">
      <dgm:prSet/>
      <dgm:spPr/>
      <dgm:t>
        <a:bodyPr/>
        <a:lstStyle/>
        <a:p>
          <a:endParaRPr lang="en-US"/>
        </a:p>
      </dgm:t>
    </dgm:pt>
    <dgm:pt modelId="{E6991D63-C224-4B05-998D-79CB64CE65C6}" type="sibTrans" cxnId="{598E044D-491F-4495-A6EF-6B5472D6B24A}">
      <dgm:prSet/>
      <dgm:spPr/>
      <dgm:t>
        <a:bodyPr/>
        <a:lstStyle/>
        <a:p>
          <a:endParaRPr lang="en-US"/>
        </a:p>
      </dgm:t>
    </dgm:pt>
    <dgm:pt modelId="{2E53D7F1-E264-41DC-971B-CFA6D67D888C}">
      <dgm:prSet phldrT="[Text]"/>
      <dgm:spPr/>
      <dgm:t>
        <a:bodyPr/>
        <a:lstStyle/>
        <a:p>
          <a:r>
            <a:rPr lang="en-US"/>
            <a:t>ANT 241 - Origins Of Old World Civilizations</a:t>
          </a:r>
        </a:p>
      </dgm:t>
    </dgm:pt>
    <dgm:pt modelId="{51A0868F-D619-4601-BAA9-726804991625}" type="parTrans" cxnId="{A6073183-3FD4-45E7-B92A-3ABA7A36A75E}">
      <dgm:prSet/>
      <dgm:spPr/>
      <dgm:t>
        <a:bodyPr/>
        <a:lstStyle/>
        <a:p>
          <a:endParaRPr lang="en-US"/>
        </a:p>
      </dgm:t>
    </dgm:pt>
    <dgm:pt modelId="{0DA9168D-1FBB-49ED-8216-CC631431D586}" type="sibTrans" cxnId="{A6073183-3FD4-45E7-B92A-3ABA7A36A75E}">
      <dgm:prSet/>
      <dgm:spPr/>
      <dgm:t>
        <a:bodyPr/>
        <a:lstStyle/>
        <a:p>
          <a:endParaRPr lang="en-US"/>
        </a:p>
      </dgm:t>
    </dgm:pt>
    <dgm:pt modelId="{A4103809-2FF4-4FF9-ABC5-37379C953427}">
      <dgm:prSet phldrT="[Text]"/>
      <dgm:spPr/>
      <dgm:t>
        <a:bodyPr/>
        <a:lstStyle/>
        <a:p>
          <a:r>
            <a:rPr lang="en-US"/>
            <a:t>ANT 242 - Origins Of New World Civilizations</a:t>
          </a:r>
        </a:p>
      </dgm:t>
    </dgm:pt>
    <dgm:pt modelId="{14B89D33-42FE-443C-AF6D-9F7688562F40}" type="parTrans" cxnId="{72447D35-50C5-480F-B961-03B9B44B9FF7}">
      <dgm:prSet/>
      <dgm:spPr/>
      <dgm:t>
        <a:bodyPr/>
        <a:lstStyle/>
        <a:p>
          <a:endParaRPr lang="en-US"/>
        </a:p>
      </dgm:t>
    </dgm:pt>
    <dgm:pt modelId="{1B8F4F89-C83E-42A7-A12C-CC9A05602155}" type="sibTrans" cxnId="{72447D35-50C5-480F-B961-03B9B44B9FF7}">
      <dgm:prSet/>
      <dgm:spPr/>
      <dgm:t>
        <a:bodyPr/>
        <a:lstStyle/>
        <a:p>
          <a:endParaRPr lang="en-US"/>
        </a:p>
      </dgm:t>
    </dgm:pt>
    <dgm:pt modelId="{8D21D9C9-A3A3-4E4A-91DD-FD6F33B93D27}">
      <dgm:prSet phldrT="[Text]"/>
      <dgm:spPr/>
      <dgm:t>
        <a:bodyPr/>
        <a:lstStyle/>
        <a:p>
          <a:r>
            <a:rPr lang="en-US"/>
            <a:t>COM 101 - Introduction To Communications</a:t>
          </a:r>
        </a:p>
      </dgm:t>
    </dgm:pt>
    <dgm:pt modelId="{DB1059E4-DF66-4247-934B-E9C18EC9411D}" type="parTrans" cxnId="{F39F769F-5114-471E-B249-719CFC333B13}">
      <dgm:prSet/>
      <dgm:spPr/>
      <dgm:t>
        <a:bodyPr/>
        <a:lstStyle/>
        <a:p>
          <a:endParaRPr lang="en-US"/>
        </a:p>
      </dgm:t>
    </dgm:pt>
    <dgm:pt modelId="{1E0B1A7D-C938-415D-828C-BCE543510E50}" type="sibTrans" cxnId="{F39F769F-5114-471E-B249-719CFC333B13}">
      <dgm:prSet/>
      <dgm:spPr/>
      <dgm:t>
        <a:bodyPr/>
        <a:lstStyle/>
        <a:p>
          <a:endParaRPr lang="en-US"/>
        </a:p>
      </dgm:t>
    </dgm:pt>
    <dgm:pt modelId="{EE3C9A41-8686-4007-9785-3DB83BA1F28A}">
      <dgm:prSet phldrT="[Text]"/>
      <dgm:spPr/>
      <dgm:t>
        <a:bodyPr/>
        <a:lstStyle/>
        <a:p>
          <a:r>
            <a:rPr lang="en-US"/>
            <a:t>COM 249 - Mass Media &amp; Mass Culture</a:t>
          </a:r>
        </a:p>
      </dgm:t>
    </dgm:pt>
    <dgm:pt modelId="{2F824861-380E-4ADE-B49F-A0785255C185}" type="parTrans" cxnId="{57ECF6F6-B708-41F9-8333-221F8CD52FE9}">
      <dgm:prSet/>
      <dgm:spPr/>
      <dgm:t>
        <a:bodyPr/>
        <a:lstStyle/>
        <a:p>
          <a:endParaRPr lang="en-US"/>
        </a:p>
      </dgm:t>
    </dgm:pt>
    <dgm:pt modelId="{87AA6BC6-588B-406C-AD07-5ED672FB8C4A}" type="sibTrans" cxnId="{57ECF6F6-B708-41F9-8333-221F8CD52FE9}">
      <dgm:prSet/>
      <dgm:spPr/>
      <dgm:t>
        <a:bodyPr/>
        <a:lstStyle/>
        <a:p>
          <a:endParaRPr lang="en-US"/>
        </a:p>
      </dgm:t>
    </dgm:pt>
    <dgm:pt modelId="{64CF4471-DB2D-45CE-83C0-935568F69A41}">
      <dgm:prSet phldrT="[Text]"/>
      <dgm:spPr/>
      <dgm:t>
        <a:bodyPr/>
        <a:lstStyle/>
        <a:p>
          <a:r>
            <a:rPr lang="en-US"/>
            <a:t>COM 254 - Intro To Intercultural communications</a:t>
          </a:r>
        </a:p>
      </dgm:t>
    </dgm:pt>
    <dgm:pt modelId="{2D0597A0-D4D6-43FD-8A74-AB95C3A331D3}" type="parTrans" cxnId="{293FD5E9-730A-489A-9F26-6EFBA7A578FF}">
      <dgm:prSet/>
      <dgm:spPr/>
      <dgm:t>
        <a:bodyPr/>
        <a:lstStyle/>
        <a:p>
          <a:endParaRPr lang="en-US"/>
        </a:p>
      </dgm:t>
    </dgm:pt>
    <dgm:pt modelId="{41BDB63C-C7AC-4AAD-87C2-45223A59EFF0}" type="sibTrans" cxnId="{293FD5E9-730A-489A-9F26-6EFBA7A578FF}">
      <dgm:prSet/>
      <dgm:spPr/>
      <dgm:t>
        <a:bodyPr/>
        <a:lstStyle/>
        <a:p>
          <a:endParaRPr lang="en-US"/>
        </a:p>
      </dgm:t>
    </dgm:pt>
    <dgm:pt modelId="{D569B458-DA00-4C32-A8C1-10274DD8A74F}">
      <dgm:prSet phldrT="[Text]"/>
      <dgm:spPr/>
      <dgm:t>
        <a:bodyPr/>
        <a:lstStyle/>
        <a:p>
          <a:r>
            <a:rPr lang="en-US"/>
            <a:t>ECO 101 - Contemporary Economic Issues</a:t>
          </a:r>
        </a:p>
      </dgm:t>
    </dgm:pt>
    <dgm:pt modelId="{879F982C-C196-4CA7-AC1C-01158F4E3133}" type="parTrans" cxnId="{DE39524E-5630-420E-834A-06C162170553}">
      <dgm:prSet/>
      <dgm:spPr/>
      <dgm:t>
        <a:bodyPr/>
        <a:lstStyle/>
        <a:p>
          <a:endParaRPr lang="en-US"/>
        </a:p>
      </dgm:t>
    </dgm:pt>
    <dgm:pt modelId="{6818120E-0EFE-4E55-9DB2-679C43DCD0D7}" type="sibTrans" cxnId="{DE39524E-5630-420E-834A-06C162170553}">
      <dgm:prSet/>
      <dgm:spPr/>
      <dgm:t>
        <a:bodyPr/>
        <a:lstStyle/>
        <a:p>
          <a:endParaRPr lang="en-US"/>
        </a:p>
      </dgm:t>
    </dgm:pt>
    <dgm:pt modelId="{DF67B166-B0B1-4B21-8F76-3309CD1D1D05}">
      <dgm:prSet phldrT="[Text]"/>
      <dgm:spPr/>
      <dgm:t>
        <a:bodyPr/>
        <a:lstStyle/>
        <a:p>
          <a:r>
            <a:rPr lang="en-US"/>
            <a:t>ECO 150 - Introduction To Global Economics</a:t>
          </a:r>
        </a:p>
      </dgm:t>
    </dgm:pt>
    <dgm:pt modelId="{176EABB2-17D7-461C-ABAF-CF41B7DE6345}" type="parTrans" cxnId="{6D0617FF-65B1-402A-B523-2EF000286735}">
      <dgm:prSet/>
      <dgm:spPr/>
      <dgm:t>
        <a:bodyPr/>
        <a:lstStyle/>
        <a:p>
          <a:endParaRPr lang="en-US"/>
        </a:p>
      </dgm:t>
    </dgm:pt>
    <dgm:pt modelId="{007E8824-F514-41AE-84C5-60FC0E763C55}" type="sibTrans" cxnId="{6D0617FF-65B1-402A-B523-2EF000286735}">
      <dgm:prSet/>
      <dgm:spPr/>
      <dgm:t>
        <a:bodyPr/>
        <a:lstStyle/>
        <a:p>
          <a:endParaRPr lang="en-US"/>
        </a:p>
      </dgm:t>
    </dgm:pt>
    <dgm:pt modelId="{0C7F7F6F-2A95-47C0-84BA-6FD79344027F}">
      <dgm:prSet phldrT="[Text]"/>
      <dgm:spPr/>
      <dgm:t>
        <a:bodyPr/>
        <a:lstStyle/>
        <a:p>
          <a:r>
            <a:rPr lang="en-US"/>
            <a:t>ECO 201 - Principles Of Microeconomics</a:t>
          </a:r>
        </a:p>
      </dgm:t>
    </dgm:pt>
    <dgm:pt modelId="{DD66A946-9F52-4C7F-A916-931FF0D4391A}" type="parTrans" cxnId="{57FC74FF-60AE-4BAC-B0FD-17A1FE0D9E6E}">
      <dgm:prSet/>
      <dgm:spPr/>
      <dgm:t>
        <a:bodyPr/>
        <a:lstStyle/>
        <a:p>
          <a:endParaRPr lang="en-US"/>
        </a:p>
      </dgm:t>
    </dgm:pt>
    <dgm:pt modelId="{6CE23673-D8CB-405D-96B5-9BE063901616}" type="sibTrans" cxnId="{57FC74FF-60AE-4BAC-B0FD-17A1FE0D9E6E}">
      <dgm:prSet/>
      <dgm:spPr/>
      <dgm:t>
        <a:bodyPr/>
        <a:lstStyle/>
        <a:p>
          <a:endParaRPr lang="en-US"/>
        </a:p>
      </dgm:t>
    </dgm:pt>
    <dgm:pt modelId="{123988D4-D6E8-4A3E-AC4B-E29ECD6A850B}">
      <dgm:prSet phldrT="[Text]"/>
      <dgm:spPr/>
      <dgm:t>
        <a:bodyPr/>
        <a:lstStyle/>
        <a:p>
          <a:r>
            <a:rPr lang="en-US"/>
            <a:t>ECO 202 - Principle Of Macroeconomics</a:t>
          </a:r>
        </a:p>
      </dgm:t>
    </dgm:pt>
    <dgm:pt modelId="{A79C055B-8108-4454-9841-5E71BDADA81A}" type="parTrans" cxnId="{C8422B2B-87CE-4E09-9B26-266CD3DE8B3C}">
      <dgm:prSet/>
      <dgm:spPr/>
      <dgm:t>
        <a:bodyPr/>
        <a:lstStyle/>
        <a:p>
          <a:endParaRPr lang="en-US"/>
        </a:p>
      </dgm:t>
    </dgm:pt>
    <dgm:pt modelId="{0B311579-227A-4391-BB01-594AE99A4367}" type="sibTrans" cxnId="{C8422B2B-87CE-4E09-9B26-266CD3DE8B3C}">
      <dgm:prSet/>
      <dgm:spPr/>
      <dgm:t>
        <a:bodyPr/>
        <a:lstStyle/>
        <a:p>
          <a:endParaRPr lang="en-US"/>
        </a:p>
      </dgm:t>
    </dgm:pt>
    <dgm:pt modelId="{071739DA-76E7-4FE3-A3A3-D58982116996}">
      <dgm:prSet phldrT="[Text]"/>
      <dgm:spPr/>
      <dgm:t>
        <a:bodyPr/>
        <a:lstStyle/>
        <a:p>
          <a:r>
            <a:rPr lang="en-US"/>
            <a:t>FAM 252 - Introduction To Family Science</a:t>
          </a:r>
        </a:p>
      </dgm:t>
    </dgm:pt>
    <dgm:pt modelId="{5E66A9DF-2037-4157-9EA9-87FD693AF3CD}" type="parTrans" cxnId="{734BC781-B82D-419B-82DB-0D8338F9D958}">
      <dgm:prSet/>
      <dgm:spPr/>
      <dgm:t>
        <a:bodyPr/>
        <a:lstStyle/>
        <a:p>
          <a:endParaRPr lang="en-US"/>
        </a:p>
      </dgm:t>
    </dgm:pt>
    <dgm:pt modelId="{B2FBEC42-3380-4CCC-8C6C-6904A56F4563}" type="sibTrans" cxnId="{734BC781-B82D-419B-82DB-0D8338F9D958}">
      <dgm:prSet/>
      <dgm:spPr/>
      <dgm:t>
        <a:bodyPr/>
        <a:lstStyle/>
        <a:p>
          <a:endParaRPr lang="en-US"/>
        </a:p>
      </dgm:t>
    </dgm:pt>
    <dgm:pt modelId="{04F0F914-BE19-4DA6-8991-DEC62DB66F41}">
      <dgm:prSet phldrT="[Text]"/>
      <dgm:spPr/>
      <dgm:t>
        <a:bodyPr/>
        <a:lstStyle/>
        <a:p>
          <a:r>
            <a:rPr lang="en-US"/>
            <a:t>FAM 253 - Human Sexuality - Development, Behavior, &amp; Attitudes</a:t>
          </a:r>
        </a:p>
      </dgm:t>
    </dgm:pt>
    <dgm:pt modelId="{2EA75DA4-218A-4772-9FA8-6954BE90775C}" type="parTrans" cxnId="{37A0B0B7-A963-4F69-B100-6C6E64991DF4}">
      <dgm:prSet/>
      <dgm:spPr/>
      <dgm:t>
        <a:bodyPr/>
        <a:lstStyle/>
        <a:p>
          <a:endParaRPr lang="en-US"/>
        </a:p>
      </dgm:t>
    </dgm:pt>
    <dgm:pt modelId="{79E4AB09-7674-469A-B14C-56B9C9D4B436}" type="sibTrans" cxnId="{37A0B0B7-A963-4F69-B100-6C6E64991DF4}">
      <dgm:prSet/>
      <dgm:spPr/>
      <dgm:t>
        <a:bodyPr/>
        <a:lstStyle/>
        <a:p>
          <a:endParaRPr lang="en-US"/>
        </a:p>
      </dgm:t>
    </dgm:pt>
    <dgm:pt modelId="{F6B4DCE7-3E2A-4AA4-8783-AFB5D4131184}">
      <dgm:prSet phldrT="[Text]"/>
      <dgm:spPr/>
      <dgm:t>
        <a:bodyPr/>
        <a:lstStyle/>
        <a:p>
          <a:r>
            <a:rPr lang="en-US"/>
            <a:t>FLK 280 - Cultural Diversity In The U.S.</a:t>
          </a:r>
        </a:p>
      </dgm:t>
    </dgm:pt>
    <dgm:pt modelId="{A11B47D6-5C30-4FBB-84B8-E9109439F446}" type="parTrans" cxnId="{8976C125-B4B5-4F05-8F48-F34CF2544290}">
      <dgm:prSet/>
      <dgm:spPr/>
      <dgm:t>
        <a:bodyPr/>
        <a:lstStyle/>
        <a:p>
          <a:endParaRPr lang="en-US"/>
        </a:p>
      </dgm:t>
    </dgm:pt>
    <dgm:pt modelId="{5F7B93BF-108B-4F7A-B707-4D8C043A8B0E}" type="sibTrans" cxnId="{8976C125-B4B5-4F05-8F48-F34CF2544290}">
      <dgm:prSet/>
      <dgm:spPr/>
      <dgm:t>
        <a:bodyPr/>
        <a:lstStyle/>
        <a:p>
          <a:endParaRPr lang="en-US"/>
        </a:p>
      </dgm:t>
    </dgm:pt>
    <dgm:pt modelId="{C9E1D1FA-DE0A-485A-94BA-9A707D8772C4}">
      <dgm:prSet phldrT="[Text]"/>
      <dgm:spPr/>
      <dgm:t>
        <a:bodyPr/>
        <a:lstStyle/>
        <a:p>
          <a:r>
            <a:rPr lang="en-US"/>
            <a:t>GEN 140 - Development Of Leadership</a:t>
          </a:r>
        </a:p>
      </dgm:t>
    </dgm:pt>
    <dgm:pt modelId="{71C5DE4B-E0ED-4417-A92E-042C8BDBDB1B}" type="parTrans" cxnId="{02DD23B3-E9B7-4B30-B26B-B6438719B21C}">
      <dgm:prSet/>
      <dgm:spPr/>
      <dgm:t>
        <a:bodyPr/>
        <a:lstStyle/>
        <a:p>
          <a:endParaRPr lang="en-US"/>
        </a:p>
      </dgm:t>
    </dgm:pt>
    <dgm:pt modelId="{CF38CD02-5BC5-467E-A60C-18FB41FBD3D7}" type="sibTrans" cxnId="{02DD23B3-E9B7-4B30-B26B-B6438719B21C}">
      <dgm:prSet/>
      <dgm:spPr/>
      <dgm:t>
        <a:bodyPr/>
        <a:lstStyle/>
        <a:p>
          <a:endParaRPr lang="en-US"/>
        </a:p>
      </dgm:t>
    </dgm:pt>
    <dgm:pt modelId="{3867DE8D-0BBB-4570-8471-674A140BAA23}">
      <dgm:prSet phldrT="[Text]"/>
      <dgm:spPr/>
      <dgm:t>
        <a:bodyPr/>
        <a:lstStyle/>
        <a:p>
          <a:r>
            <a:rPr lang="en-US"/>
            <a:t>GEN 225 - Lifelong Learning Applications</a:t>
          </a:r>
        </a:p>
      </dgm:t>
    </dgm:pt>
    <dgm:pt modelId="{4C432E34-4B7F-4BD7-BBD2-4EE128C671B9}" type="parTrans" cxnId="{ED64FEE3-1CB9-49A7-AD01-E46EC9E9A4FB}">
      <dgm:prSet/>
      <dgm:spPr/>
      <dgm:t>
        <a:bodyPr/>
        <a:lstStyle/>
        <a:p>
          <a:endParaRPr lang="en-US"/>
        </a:p>
      </dgm:t>
    </dgm:pt>
    <dgm:pt modelId="{5D337673-C312-4E34-AC91-AF625486DE5A}" type="sibTrans" cxnId="{ED64FEE3-1CB9-49A7-AD01-E46EC9E9A4FB}">
      <dgm:prSet/>
      <dgm:spPr/>
      <dgm:t>
        <a:bodyPr/>
        <a:lstStyle/>
        <a:p>
          <a:endParaRPr lang="en-US"/>
        </a:p>
      </dgm:t>
    </dgm:pt>
    <dgm:pt modelId="{A179657B-735D-47D8-9B3C-640012840129}">
      <dgm:prSet phldrT="[Text]"/>
      <dgm:spPr/>
      <dgm:t>
        <a:bodyPr/>
        <a:lstStyle/>
        <a:p>
          <a:r>
            <a:rPr lang="en-US"/>
            <a:t>GEO 152 - Regional Geography Of The World</a:t>
          </a:r>
        </a:p>
      </dgm:t>
    </dgm:pt>
    <dgm:pt modelId="{9C5A0FA9-70CA-4A04-A939-CBE7BDA832E3}" type="parTrans" cxnId="{1154BB26-137F-46C9-AD69-865588B0BC95}">
      <dgm:prSet/>
      <dgm:spPr/>
      <dgm:t>
        <a:bodyPr/>
        <a:lstStyle/>
        <a:p>
          <a:endParaRPr lang="en-US"/>
        </a:p>
      </dgm:t>
    </dgm:pt>
    <dgm:pt modelId="{DD3932BC-F45B-4CC5-BE73-22CED6A3D7F2}" type="sibTrans" cxnId="{1154BB26-137F-46C9-AD69-865588B0BC95}">
      <dgm:prSet/>
      <dgm:spPr/>
      <dgm:t>
        <a:bodyPr/>
        <a:lstStyle/>
        <a:p>
          <a:endParaRPr lang="en-US"/>
        </a:p>
      </dgm:t>
    </dgm:pt>
    <dgm:pt modelId="{185C368B-6503-476D-A748-05C423066104}">
      <dgm:prSet phldrT="[Text]"/>
      <dgm:spPr/>
      <dgm:t>
        <a:bodyPr/>
        <a:lstStyle/>
        <a:p>
          <a:r>
            <a:rPr lang="en-US"/>
            <a:t>GEO 160 - Lands &amp; Peoples Of the Non-Western World</a:t>
          </a:r>
        </a:p>
      </dgm:t>
    </dgm:pt>
    <dgm:pt modelId="{A90F871D-7E66-422B-B692-1F4D843BBF73}" type="parTrans" cxnId="{7B224B80-9B5D-451C-BCDA-4C20337258E3}">
      <dgm:prSet/>
      <dgm:spPr/>
      <dgm:t>
        <a:bodyPr/>
        <a:lstStyle/>
        <a:p>
          <a:endParaRPr lang="en-US"/>
        </a:p>
      </dgm:t>
    </dgm:pt>
    <dgm:pt modelId="{53C278EA-97F4-4846-BE6A-D3A8C4AB3E27}" type="sibTrans" cxnId="{7B224B80-9B5D-451C-BCDA-4C20337258E3}">
      <dgm:prSet/>
      <dgm:spPr/>
      <dgm:t>
        <a:bodyPr/>
        <a:lstStyle/>
        <a:p>
          <a:endParaRPr lang="en-US"/>
        </a:p>
      </dgm:t>
    </dgm:pt>
    <dgm:pt modelId="{90748D5C-9EC4-4225-A4D6-A6E8B1861523}">
      <dgm:prSet phldrT="[Text]"/>
      <dgm:spPr/>
      <dgm:t>
        <a:bodyPr/>
        <a:lstStyle/>
        <a:p>
          <a:r>
            <a:rPr lang="en-US"/>
            <a:t>GEO 172 - Human Geography</a:t>
          </a:r>
        </a:p>
      </dgm:t>
    </dgm:pt>
    <dgm:pt modelId="{9D733003-0B57-4D02-B561-FFCE842407BE}" type="parTrans" cxnId="{5BA820BA-4539-4CF7-9A27-96F582E91319}">
      <dgm:prSet/>
      <dgm:spPr/>
      <dgm:t>
        <a:bodyPr/>
        <a:lstStyle/>
        <a:p>
          <a:endParaRPr lang="en-US"/>
        </a:p>
      </dgm:t>
    </dgm:pt>
    <dgm:pt modelId="{B8F2383B-6D89-4E9D-AA5A-B168EDE84E0D}" type="sibTrans" cxnId="{5BA820BA-4539-4CF7-9A27-96F582E91319}">
      <dgm:prSet/>
      <dgm:spPr/>
      <dgm:t>
        <a:bodyPr/>
        <a:lstStyle/>
        <a:p>
          <a:endParaRPr lang="en-US"/>
        </a:p>
      </dgm:t>
    </dgm:pt>
    <dgm:pt modelId="{1772A730-61C8-43AD-9D1F-AF1CCD0C5CE9}">
      <dgm:prSet phldrT="[Text]"/>
      <dgm:spPr/>
      <dgm:t>
        <a:bodyPr/>
        <a:lstStyle/>
        <a:p>
          <a:r>
            <a:rPr lang="en-US"/>
            <a:t>GEO 210 - Pollution, Hazards &amp; Environmental Management</a:t>
          </a:r>
        </a:p>
      </dgm:t>
    </dgm:pt>
    <dgm:pt modelId="{69763200-8AFC-48E8-9FE2-6772075A0E3D}" type="parTrans" cxnId="{48E690B7-B80F-4576-B2D0-4540085A09C7}">
      <dgm:prSet/>
      <dgm:spPr/>
      <dgm:t>
        <a:bodyPr/>
        <a:lstStyle/>
        <a:p>
          <a:endParaRPr lang="en-US"/>
        </a:p>
      </dgm:t>
    </dgm:pt>
    <dgm:pt modelId="{1FD6E558-8B08-40CD-8159-B7174DAFB199}" type="sibTrans" cxnId="{48E690B7-B80F-4576-B2D0-4540085A09C7}">
      <dgm:prSet/>
      <dgm:spPr/>
      <dgm:t>
        <a:bodyPr/>
        <a:lstStyle/>
        <a:p>
          <a:endParaRPr lang="en-US"/>
        </a:p>
      </dgm:t>
    </dgm:pt>
    <dgm:pt modelId="{25B8528E-F438-4301-87F1-B094E1C29788}">
      <dgm:prSet phldrT="[Text]"/>
      <dgm:spPr/>
      <dgm:t>
        <a:bodyPr/>
        <a:lstStyle/>
        <a:p>
          <a:r>
            <a:rPr lang="en-US"/>
            <a:t>GEO 222 - Cities of the World</a:t>
          </a:r>
        </a:p>
      </dgm:t>
    </dgm:pt>
    <dgm:pt modelId="{7A383D0C-731A-4D4B-8348-B9A3E0AC45C4}" type="parTrans" cxnId="{859C6F96-90F5-4C8B-AD8A-F0BA3CBCB3C2}">
      <dgm:prSet/>
      <dgm:spPr/>
      <dgm:t>
        <a:bodyPr/>
        <a:lstStyle/>
        <a:p>
          <a:endParaRPr lang="en-US"/>
        </a:p>
      </dgm:t>
    </dgm:pt>
    <dgm:pt modelId="{0F814EC1-0518-4190-8717-AA760D7D6560}" type="sibTrans" cxnId="{859C6F96-90F5-4C8B-AD8A-F0BA3CBCB3C2}">
      <dgm:prSet/>
      <dgm:spPr/>
      <dgm:t>
        <a:bodyPr/>
        <a:lstStyle/>
        <a:p>
          <a:endParaRPr lang="en-US"/>
        </a:p>
      </dgm:t>
    </dgm:pt>
    <dgm:pt modelId="{9123279C-AA85-4AA5-B46D-E2D51727A844}">
      <dgm:prSet phldrT="[Text]"/>
      <dgm:spPr/>
      <dgm:t>
        <a:bodyPr/>
        <a:lstStyle/>
        <a:p>
          <a:r>
            <a:rPr lang="en-US"/>
            <a:t>GEO 240 - Geography &amp; Gender</a:t>
          </a:r>
        </a:p>
      </dgm:t>
    </dgm:pt>
    <dgm:pt modelId="{0884F32C-5BA8-4316-A81B-18834E5DDCE2}" type="parTrans" cxnId="{77A9DD61-47C1-4C8E-B299-7BBD4F93251C}">
      <dgm:prSet/>
      <dgm:spPr/>
      <dgm:t>
        <a:bodyPr/>
        <a:lstStyle/>
        <a:p>
          <a:endParaRPr lang="en-US"/>
        </a:p>
      </dgm:t>
    </dgm:pt>
    <dgm:pt modelId="{BDC841EF-D242-49FC-9393-AAE7539A3868}" type="sibTrans" cxnId="{77A9DD61-47C1-4C8E-B299-7BBD4F93251C}">
      <dgm:prSet/>
      <dgm:spPr/>
      <dgm:t>
        <a:bodyPr/>
        <a:lstStyle/>
        <a:p>
          <a:endParaRPr lang="en-US"/>
        </a:p>
      </dgm:t>
    </dgm:pt>
    <dgm:pt modelId="{C14D43FD-4849-43F7-B400-F5536ACA1D14}">
      <dgm:prSet phldrT="[Text]"/>
      <dgm:spPr/>
      <dgm:t>
        <a:bodyPr/>
        <a:lstStyle/>
        <a:p>
          <a:r>
            <a:rPr lang="en-US"/>
            <a:t>HUM 135 - Introduction To Native American Literature</a:t>
          </a:r>
        </a:p>
      </dgm:t>
    </dgm:pt>
    <dgm:pt modelId="{33400899-5C8A-4114-8A83-508640B003AF}" type="parTrans" cxnId="{68FB80DA-AB88-495F-A013-FE6B508CA6D4}">
      <dgm:prSet/>
      <dgm:spPr/>
      <dgm:t>
        <a:bodyPr/>
        <a:lstStyle/>
        <a:p>
          <a:endParaRPr lang="en-US"/>
        </a:p>
      </dgm:t>
    </dgm:pt>
    <dgm:pt modelId="{F2BFAB97-C2D2-447D-9C1E-37B54551043D}" type="sibTrans" cxnId="{68FB80DA-AB88-495F-A013-FE6B508CA6D4}">
      <dgm:prSet/>
      <dgm:spPr/>
      <dgm:t>
        <a:bodyPr/>
        <a:lstStyle/>
        <a:p>
          <a:endParaRPr lang="en-US"/>
        </a:p>
      </dgm:t>
    </dgm:pt>
    <dgm:pt modelId="{03620784-D4CC-4D2E-B7BB-A6842A179540}">
      <dgm:prSet phldrT="[Text]"/>
      <dgm:spPr/>
      <dgm:t>
        <a:bodyPr/>
        <a:lstStyle/>
        <a:p>
          <a:r>
            <a:rPr lang="en-US"/>
            <a:t>HUM 202 - Survey Of Appalachian Studies I</a:t>
          </a:r>
        </a:p>
      </dgm:t>
    </dgm:pt>
    <dgm:pt modelId="{1BC32CED-7855-4AE4-89FA-3280B5707B99}" type="parTrans" cxnId="{F8495E5B-1085-47B9-847B-479E11EB06A7}">
      <dgm:prSet/>
      <dgm:spPr/>
      <dgm:t>
        <a:bodyPr/>
        <a:lstStyle/>
        <a:p>
          <a:endParaRPr lang="en-US"/>
        </a:p>
      </dgm:t>
    </dgm:pt>
    <dgm:pt modelId="{BD68AB40-93EB-4130-BDD2-C9B996588896}" type="sibTrans" cxnId="{F8495E5B-1085-47B9-847B-479E11EB06A7}">
      <dgm:prSet/>
      <dgm:spPr/>
      <dgm:t>
        <a:bodyPr/>
        <a:lstStyle/>
        <a:p>
          <a:endParaRPr lang="en-US"/>
        </a:p>
      </dgm:t>
    </dgm:pt>
    <dgm:pt modelId="{62A8B3AC-49EF-4F3D-8B59-66F30D02146A}">
      <dgm:prSet phldrT="[Text]"/>
      <dgm:spPr/>
      <dgm:t>
        <a:bodyPr/>
        <a:lstStyle/>
        <a:p>
          <a:r>
            <a:rPr lang="en-US"/>
            <a:t>HUM 203 - Survey Of Appalachian Studies II</a:t>
          </a:r>
        </a:p>
      </dgm:t>
    </dgm:pt>
    <dgm:pt modelId="{1C0476B4-9FB0-47CC-88E8-49F83305544E}" type="parTrans" cxnId="{D304536F-21A5-4858-AA21-8C3D593AED75}">
      <dgm:prSet/>
      <dgm:spPr/>
      <dgm:t>
        <a:bodyPr/>
        <a:lstStyle/>
        <a:p>
          <a:endParaRPr lang="en-US"/>
        </a:p>
      </dgm:t>
    </dgm:pt>
    <dgm:pt modelId="{A012A350-BA77-4291-AA0E-2241DD56DDB9}" type="sibTrans" cxnId="{D304536F-21A5-4858-AA21-8C3D593AED75}">
      <dgm:prSet/>
      <dgm:spPr/>
      <dgm:t>
        <a:bodyPr/>
        <a:lstStyle/>
        <a:p>
          <a:endParaRPr lang="en-US"/>
        </a:p>
      </dgm:t>
    </dgm:pt>
    <dgm:pt modelId="{42CB83BB-A41C-40CB-B8A3-3B9742D09025}">
      <dgm:prSet phldrT="[Text]"/>
      <dgm:spPr/>
      <dgm:t>
        <a:bodyPr/>
        <a:lstStyle/>
        <a:p>
          <a:r>
            <a:rPr lang="en-US"/>
            <a:t>HUM 204 - Appalachian Seminar</a:t>
          </a:r>
        </a:p>
      </dgm:t>
    </dgm:pt>
    <dgm:pt modelId="{5F23BFD8-AFBA-400D-A151-CA559B5EFC14}" type="parTrans" cxnId="{73F3303E-D588-4661-AC23-EF936ADF73F1}">
      <dgm:prSet/>
      <dgm:spPr/>
      <dgm:t>
        <a:bodyPr/>
        <a:lstStyle/>
        <a:p>
          <a:endParaRPr lang="en-US"/>
        </a:p>
      </dgm:t>
    </dgm:pt>
    <dgm:pt modelId="{E6E33E4A-C293-4E76-8959-B74EF0268480}" type="sibTrans" cxnId="{73F3303E-D588-4661-AC23-EF936ADF73F1}">
      <dgm:prSet/>
      <dgm:spPr/>
      <dgm:t>
        <a:bodyPr/>
        <a:lstStyle/>
        <a:p>
          <a:endParaRPr lang="en-US"/>
        </a:p>
      </dgm:t>
    </dgm:pt>
    <dgm:pt modelId="{7640DC9A-8BC7-4855-A6E3-F601DECD9C2C}">
      <dgm:prSet phldrT="[Text]"/>
      <dgm:spPr/>
      <dgm:t>
        <a:bodyPr/>
        <a:lstStyle/>
        <a:p>
          <a:r>
            <a:rPr lang="en-US"/>
            <a:t>HUM 221 - Contemporary Perspectives On Peace &amp; War</a:t>
          </a:r>
        </a:p>
      </dgm:t>
    </dgm:pt>
    <dgm:pt modelId="{6C6DDB3F-D81E-4A3F-BD9B-3EACF4E649E5}" type="parTrans" cxnId="{D41E786B-D1A0-40EC-9A38-726AEA78FA1E}">
      <dgm:prSet/>
      <dgm:spPr/>
      <dgm:t>
        <a:bodyPr/>
        <a:lstStyle/>
        <a:p>
          <a:endParaRPr lang="en-US"/>
        </a:p>
      </dgm:t>
    </dgm:pt>
    <dgm:pt modelId="{48819460-BA1E-4C31-A036-8DEDED3A988C}" type="sibTrans" cxnId="{D41E786B-D1A0-40EC-9A38-726AEA78FA1E}">
      <dgm:prSet/>
      <dgm:spPr/>
      <dgm:t>
        <a:bodyPr/>
        <a:lstStyle/>
        <a:p>
          <a:endParaRPr lang="en-US"/>
        </a:p>
      </dgm:t>
    </dgm:pt>
    <dgm:pt modelId="{4690CBC0-BD13-49E8-9637-66962F352CAD}">
      <dgm:prSet phldrT="[Text]"/>
      <dgm:spPr/>
      <dgm:t>
        <a:bodyPr/>
        <a:lstStyle/>
        <a:p>
          <a:r>
            <a:rPr lang="en-US"/>
            <a:t>POL 101 - American Government</a:t>
          </a:r>
        </a:p>
      </dgm:t>
    </dgm:pt>
    <dgm:pt modelId="{D87E0805-712E-4B3F-95EB-FF7BE9DCC945}" type="parTrans" cxnId="{D8898DD6-390A-4C96-A30F-EB961615FBB1}">
      <dgm:prSet/>
      <dgm:spPr/>
      <dgm:t>
        <a:bodyPr/>
        <a:lstStyle/>
        <a:p>
          <a:endParaRPr lang="en-US"/>
        </a:p>
      </dgm:t>
    </dgm:pt>
    <dgm:pt modelId="{B63D8B80-D27B-4ADE-A8EA-2160233BD092}" type="sibTrans" cxnId="{D8898DD6-390A-4C96-A30F-EB961615FBB1}">
      <dgm:prSet/>
      <dgm:spPr/>
      <dgm:t>
        <a:bodyPr/>
        <a:lstStyle/>
        <a:p>
          <a:endParaRPr lang="en-US"/>
        </a:p>
      </dgm:t>
    </dgm:pt>
    <dgm:pt modelId="{87C3E2D2-4B13-4423-BC43-5261523C3D82}">
      <dgm:prSet phldrT="[Text]"/>
      <dgm:spPr/>
      <dgm:t>
        <a:bodyPr/>
        <a:lstStyle/>
        <a:p>
          <a:r>
            <a:rPr lang="en-US"/>
            <a:t>POL 210 - Introduction To European Politics:  East &amp; West</a:t>
          </a:r>
        </a:p>
      </dgm:t>
    </dgm:pt>
    <dgm:pt modelId="{BF017344-E54E-4AD7-B3E4-ECF31E1B6CC7}" type="parTrans" cxnId="{1930A306-C4F3-473E-84BC-0F909B436632}">
      <dgm:prSet/>
      <dgm:spPr/>
      <dgm:t>
        <a:bodyPr/>
        <a:lstStyle/>
        <a:p>
          <a:endParaRPr lang="en-US"/>
        </a:p>
      </dgm:t>
    </dgm:pt>
    <dgm:pt modelId="{02C74947-7C66-461A-B2B2-B7EA1EBD87C6}" type="sibTrans" cxnId="{1930A306-C4F3-473E-84BC-0F909B436632}">
      <dgm:prSet/>
      <dgm:spPr/>
      <dgm:t>
        <a:bodyPr/>
        <a:lstStyle/>
        <a:p>
          <a:endParaRPr lang="en-US"/>
        </a:p>
      </dgm:t>
    </dgm:pt>
    <dgm:pt modelId="{964D0F37-81EC-4462-9AB8-809FC889CB5C}">
      <dgm:prSet phldrT="[Text]"/>
      <dgm:spPr/>
      <dgm:t>
        <a:bodyPr/>
        <a:lstStyle/>
        <a:p>
          <a:r>
            <a:rPr lang="en-US"/>
            <a:t>POL 212 - Culture &amp; Politics In The Third World</a:t>
          </a:r>
        </a:p>
      </dgm:t>
    </dgm:pt>
    <dgm:pt modelId="{319C9954-0D65-4A19-B609-A76C4DDB7EE4}" type="parTrans" cxnId="{F8F25440-F203-4B8E-B2E4-934B6485EB55}">
      <dgm:prSet/>
      <dgm:spPr/>
      <dgm:t>
        <a:bodyPr/>
        <a:lstStyle/>
        <a:p>
          <a:endParaRPr lang="en-US"/>
        </a:p>
      </dgm:t>
    </dgm:pt>
    <dgm:pt modelId="{534F00B5-B7F5-4B28-B600-E566935826CD}" type="sibTrans" cxnId="{F8F25440-F203-4B8E-B2E4-934B6485EB55}">
      <dgm:prSet/>
      <dgm:spPr/>
      <dgm:t>
        <a:bodyPr/>
        <a:lstStyle/>
        <a:p>
          <a:endParaRPr lang="en-US"/>
        </a:p>
      </dgm:t>
    </dgm:pt>
    <dgm:pt modelId="{7868AA71-95C4-4F05-A3B1-52DBB31ACC9B}">
      <dgm:prSet phldrT="[Text]"/>
      <dgm:spPr/>
      <dgm:t>
        <a:bodyPr/>
        <a:lstStyle/>
        <a:p>
          <a:r>
            <a:rPr lang="en-US"/>
            <a:t>POL 235 - World Politics</a:t>
          </a:r>
        </a:p>
      </dgm:t>
    </dgm:pt>
    <dgm:pt modelId="{FD4F4F21-F2EA-47B6-8CBD-7647BA2ACD9D}" type="parTrans" cxnId="{0BC13224-0386-4377-9529-7CFA28511AA3}">
      <dgm:prSet/>
      <dgm:spPr/>
      <dgm:t>
        <a:bodyPr/>
        <a:lstStyle/>
        <a:p>
          <a:endParaRPr lang="en-US"/>
        </a:p>
      </dgm:t>
    </dgm:pt>
    <dgm:pt modelId="{3B4D34A2-DEA0-4E44-A4D5-6D946E87711F}" type="sibTrans" cxnId="{0BC13224-0386-4377-9529-7CFA28511AA3}">
      <dgm:prSet/>
      <dgm:spPr/>
      <dgm:t>
        <a:bodyPr/>
        <a:lstStyle/>
        <a:p>
          <a:endParaRPr lang="en-US"/>
        </a:p>
      </dgm:t>
    </dgm:pt>
    <dgm:pt modelId="{D70AC2CC-0425-4A2A-8538-827208AD4F86}">
      <dgm:prSet phldrT="[Text]"/>
      <dgm:spPr/>
      <dgm:t>
        <a:bodyPr/>
        <a:lstStyle/>
        <a:p>
          <a:r>
            <a:rPr lang="en-US"/>
            <a:t>POL 255 - State Government</a:t>
          </a:r>
        </a:p>
      </dgm:t>
    </dgm:pt>
    <dgm:pt modelId="{DC2EEB33-EC67-486A-82EC-F52663127A2B}" type="parTrans" cxnId="{3C68D0F1-E4A1-45C4-9508-BF2CB20FEE0E}">
      <dgm:prSet/>
      <dgm:spPr/>
      <dgm:t>
        <a:bodyPr/>
        <a:lstStyle/>
        <a:p>
          <a:endParaRPr lang="en-US"/>
        </a:p>
      </dgm:t>
    </dgm:pt>
    <dgm:pt modelId="{6D180D96-537F-48AC-9EEE-EEA21174A325}" type="sibTrans" cxnId="{3C68D0F1-E4A1-45C4-9508-BF2CB20FEE0E}">
      <dgm:prSet/>
      <dgm:spPr/>
      <dgm:t>
        <a:bodyPr/>
        <a:lstStyle/>
        <a:p>
          <a:endParaRPr lang="en-US"/>
        </a:p>
      </dgm:t>
    </dgm:pt>
    <dgm:pt modelId="{FB6B651C-6695-46BF-AA23-741C3E1A3FAD}">
      <dgm:prSet phldrT="[Text]"/>
      <dgm:spPr/>
      <dgm:t>
        <a:bodyPr/>
        <a:lstStyle/>
        <a:p>
          <a:r>
            <a:rPr lang="en-US"/>
            <a:t>PSY 110 - General Psychology</a:t>
          </a:r>
        </a:p>
      </dgm:t>
    </dgm:pt>
    <dgm:pt modelId="{B812D675-DCEC-4EEE-B765-72D04DD29C88}" type="parTrans" cxnId="{4DC74743-D4F5-4213-BDD7-B0C7C5324757}">
      <dgm:prSet/>
      <dgm:spPr/>
      <dgm:t>
        <a:bodyPr/>
        <a:lstStyle/>
        <a:p>
          <a:endParaRPr lang="en-US"/>
        </a:p>
      </dgm:t>
    </dgm:pt>
    <dgm:pt modelId="{C32E4E8C-AA88-4D62-85D0-F46CA0AF04D0}" type="sibTrans" cxnId="{4DC74743-D4F5-4213-BDD7-B0C7C5324757}">
      <dgm:prSet/>
      <dgm:spPr/>
      <dgm:t>
        <a:bodyPr/>
        <a:lstStyle/>
        <a:p>
          <a:endParaRPr lang="en-US"/>
        </a:p>
      </dgm:t>
    </dgm:pt>
    <dgm:pt modelId="{7BE350F2-CE4D-4DD4-BBEE-A3DA48C7682C}">
      <dgm:prSet phldrT="[Text]"/>
      <dgm:spPr/>
      <dgm:t>
        <a:bodyPr/>
        <a:lstStyle/>
        <a:p>
          <a:r>
            <a:rPr lang="en-US"/>
            <a:t>PSY 180 - Human Relations</a:t>
          </a:r>
        </a:p>
      </dgm:t>
    </dgm:pt>
    <dgm:pt modelId="{D05FB989-A2A4-4A21-A9BB-65B0CB30D7BB}" type="parTrans" cxnId="{7930EB10-6C8A-4C21-81BB-76775AC0E5FA}">
      <dgm:prSet/>
      <dgm:spPr/>
      <dgm:t>
        <a:bodyPr/>
        <a:lstStyle/>
        <a:p>
          <a:endParaRPr lang="en-US"/>
        </a:p>
      </dgm:t>
    </dgm:pt>
    <dgm:pt modelId="{35806F12-7417-48A6-BDEF-9F9BC3E3D65F}" type="sibTrans" cxnId="{7930EB10-6C8A-4C21-81BB-76775AC0E5FA}">
      <dgm:prSet/>
      <dgm:spPr/>
      <dgm:t>
        <a:bodyPr/>
        <a:lstStyle/>
        <a:p>
          <a:endParaRPr lang="en-US"/>
        </a:p>
      </dgm:t>
    </dgm:pt>
    <dgm:pt modelId="{5B6520C5-10F4-4AE5-8C4B-9246150354D9}">
      <dgm:prSet phldrT="[Text]"/>
      <dgm:spPr/>
      <dgm:t>
        <a:bodyPr/>
        <a:lstStyle/>
        <a:p>
          <a:r>
            <a:rPr lang="en-US"/>
            <a:t>PSY 185 - Human Potential</a:t>
          </a:r>
        </a:p>
      </dgm:t>
    </dgm:pt>
    <dgm:pt modelId="{9C5D0CAE-96A0-4F4E-805B-FB43C7DA835C}" type="parTrans" cxnId="{626679BF-7933-406B-A9B2-51286089EF9F}">
      <dgm:prSet/>
      <dgm:spPr/>
      <dgm:t>
        <a:bodyPr/>
        <a:lstStyle/>
        <a:p>
          <a:endParaRPr lang="en-US"/>
        </a:p>
      </dgm:t>
    </dgm:pt>
    <dgm:pt modelId="{FA8AD210-AAC3-4556-9704-63BDE4776C78}" type="sibTrans" cxnId="{626679BF-7933-406B-A9B2-51286089EF9F}">
      <dgm:prSet/>
      <dgm:spPr/>
      <dgm:t>
        <a:bodyPr/>
        <a:lstStyle/>
        <a:p>
          <a:endParaRPr lang="en-US"/>
        </a:p>
      </dgm:t>
    </dgm:pt>
    <dgm:pt modelId="{66CA76B8-D291-4127-BE90-6B6224B5A4A5}">
      <dgm:prSet phldrT="[Text]"/>
      <dgm:spPr/>
      <dgm:t>
        <a:bodyPr/>
        <a:lstStyle/>
        <a:p>
          <a:r>
            <a:rPr lang="en-US"/>
            <a:t>PSY 223 - Developmental Psychology</a:t>
          </a:r>
        </a:p>
      </dgm:t>
    </dgm:pt>
    <dgm:pt modelId="{5A6F95FD-270C-4BE0-87DC-AA084680C6F7}" type="parTrans" cxnId="{BE201178-A6FF-481B-B2D9-5D2A2D5ED299}">
      <dgm:prSet/>
      <dgm:spPr/>
      <dgm:t>
        <a:bodyPr/>
        <a:lstStyle/>
        <a:p>
          <a:endParaRPr lang="en-US"/>
        </a:p>
      </dgm:t>
    </dgm:pt>
    <dgm:pt modelId="{7D5F8E05-633C-4B7F-98C4-742FC5C85052}" type="sibTrans" cxnId="{BE201178-A6FF-481B-B2D9-5D2A2D5ED299}">
      <dgm:prSet/>
      <dgm:spPr/>
      <dgm:t>
        <a:bodyPr/>
        <a:lstStyle/>
        <a:p>
          <a:endParaRPr lang="en-US"/>
        </a:p>
      </dgm:t>
    </dgm:pt>
    <dgm:pt modelId="{679F5D4F-D8C2-40BF-AE26-B3280B76B89D}">
      <dgm:prSet phldrT="[Text]"/>
      <dgm:spPr/>
      <dgm:t>
        <a:bodyPr/>
        <a:lstStyle/>
        <a:p>
          <a:r>
            <a:rPr lang="en-US"/>
            <a:t>PSY 230 - Psychosocial Aspects Of Death &amp; Dying</a:t>
          </a:r>
        </a:p>
      </dgm:t>
    </dgm:pt>
    <dgm:pt modelId="{60C69EBA-2371-4073-865F-A96AA4149B95}" type="parTrans" cxnId="{39C1FAFF-982E-41B4-8B43-E74A87D2F436}">
      <dgm:prSet/>
      <dgm:spPr/>
      <dgm:t>
        <a:bodyPr/>
        <a:lstStyle/>
        <a:p>
          <a:endParaRPr lang="en-US"/>
        </a:p>
      </dgm:t>
    </dgm:pt>
    <dgm:pt modelId="{DCAE114F-AB54-426B-AA6E-89E35293BBD3}" type="sibTrans" cxnId="{39C1FAFF-982E-41B4-8B43-E74A87D2F436}">
      <dgm:prSet/>
      <dgm:spPr/>
      <dgm:t>
        <a:bodyPr/>
        <a:lstStyle/>
        <a:p>
          <a:endParaRPr lang="en-US"/>
        </a:p>
      </dgm:t>
    </dgm:pt>
    <dgm:pt modelId="{5C387D3D-1144-4D3D-894B-721EF85A8F46}">
      <dgm:prSet phldrT="[Text]"/>
      <dgm:spPr/>
      <dgm:t>
        <a:bodyPr/>
        <a:lstStyle/>
        <a:p>
          <a:r>
            <a:rPr lang="en-US"/>
            <a:t>PSY 297 - Psychology Of Aging</a:t>
          </a:r>
        </a:p>
      </dgm:t>
    </dgm:pt>
    <dgm:pt modelId="{E9FA676C-72C4-4ADF-AD7A-2F111BF05A22}" type="parTrans" cxnId="{97160E2D-EA11-417D-821F-92C8E1973F0A}">
      <dgm:prSet/>
      <dgm:spPr/>
      <dgm:t>
        <a:bodyPr/>
        <a:lstStyle/>
        <a:p>
          <a:endParaRPr lang="en-US"/>
        </a:p>
      </dgm:t>
    </dgm:pt>
    <dgm:pt modelId="{B1DC4B92-BB4D-49B0-9543-A339EAC19785}" type="sibTrans" cxnId="{97160E2D-EA11-417D-821F-92C8E1973F0A}">
      <dgm:prSet/>
      <dgm:spPr/>
      <dgm:t>
        <a:bodyPr/>
        <a:lstStyle/>
        <a:p>
          <a:endParaRPr lang="en-US"/>
        </a:p>
      </dgm:t>
    </dgm:pt>
    <dgm:pt modelId="{51A6EB1B-6355-4223-AEA6-5C8FF2A8647F}">
      <dgm:prSet phldrT="[Text]"/>
      <dgm:spPr/>
      <dgm:t>
        <a:bodyPr/>
        <a:lstStyle/>
        <a:p>
          <a:r>
            <a:rPr lang="en-US"/>
            <a:t>PSY 298 - Essentials Of Abnormal Psychology</a:t>
          </a:r>
        </a:p>
      </dgm:t>
    </dgm:pt>
    <dgm:pt modelId="{52DDBC4E-BB88-4E02-93AF-B4DCEE74A2B0}" type="parTrans" cxnId="{6E4DA698-F3D3-422F-9352-F9336827D0C7}">
      <dgm:prSet/>
      <dgm:spPr/>
      <dgm:t>
        <a:bodyPr/>
        <a:lstStyle/>
        <a:p>
          <a:endParaRPr lang="en-US"/>
        </a:p>
      </dgm:t>
    </dgm:pt>
    <dgm:pt modelId="{68B2569E-88F3-41B1-8BA0-2A723C32F416}" type="sibTrans" cxnId="{6E4DA698-F3D3-422F-9352-F9336827D0C7}">
      <dgm:prSet/>
      <dgm:spPr/>
      <dgm:t>
        <a:bodyPr/>
        <a:lstStyle/>
        <a:p>
          <a:endParaRPr lang="en-US"/>
        </a:p>
      </dgm:t>
    </dgm:pt>
    <dgm:pt modelId="{E703306F-0970-4699-B2E6-E203AFB9A442}">
      <dgm:prSet phldrT="[Text]"/>
      <dgm:spPr/>
      <dgm:t>
        <a:bodyPr/>
        <a:lstStyle/>
        <a:p>
          <a:r>
            <a:rPr lang="en-US"/>
            <a:t>RAE 120 - Introduction To Chinese Culture</a:t>
          </a:r>
        </a:p>
      </dgm:t>
    </dgm:pt>
    <dgm:pt modelId="{662D0255-90C2-4261-AF91-D80578414355}" type="parTrans" cxnId="{93A9218F-0E3B-4798-BFBF-9FFB74793DFC}">
      <dgm:prSet/>
      <dgm:spPr/>
      <dgm:t>
        <a:bodyPr/>
        <a:lstStyle/>
        <a:p>
          <a:endParaRPr lang="en-US"/>
        </a:p>
      </dgm:t>
    </dgm:pt>
    <dgm:pt modelId="{6DFFDD68-AB0C-402C-B2BA-BD18BC5A0778}" type="sibTrans" cxnId="{93A9218F-0E3B-4798-BFBF-9FFB74793DFC}">
      <dgm:prSet/>
      <dgm:spPr/>
      <dgm:t>
        <a:bodyPr/>
        <a:lstStyle/>
        <a:p>
          <a:endParaRPr lang="en-US"/>
        </a:p>
      </dgm:t>
    </dgm:pt>
    <dgm:pt modelId="{09C69A69-A0B0-485A-B8A6-566E3589DE4E}">
      <dgm:prSet phldrT="[Text]"/>
      <dgm:spPr/>
      <dgm:t>
        <a:bodyPr/>
        <a:lstStyle/>
        <a:p>
          <a:r>
            <a:rPr lang="en-US"/>
            <a:t>REL 101 - Introduction To Religious Studies</a:t>
          </a:r>
        </a:p>
      </dgm:t>
    </dgm:pt>
    <dgm:pt modelId="{EAD7AD8F-4102-4BD4-9AF3-19762654107F}" type="parTrans" cxnId="{9DC2C094-3166-4E02-B4FA-262D9090D333}">
      <dgm:prSet/>
      <dgm:spPr/>
      <dgm:t>
        <a:bodyPr/>
        <a:lstStyle/>
        <a:p>
          <a:endParaRPr lang="en-US"/>
        </a:p>
      </dgm:t>
    </dgm:pt>
    <dgm:pt modelId="{526B99D7-D74D-4928-911F-7DE6E7ADD951}" type="sibTrans" cxnId="{9DC2C094-3166-4E02-B4FA-262D9090D333}">
      <dgm:prSet/>
      <dgm:spPr/>
      <dgm:t>
        <a:bodyPr/>
        <a:lstStyle/>
        <a:p>
          <a:endParaRPr lang="en-US"/>
        </a:p>
      </dgm:t>
    </dgm:pt>
    <dgm:pt modelId="{9837D26E-3E3A-4AB2-B518-DF2517AF3DD5}">
      <dgm:prSet phldrT="[Text]"/>
      <dgm:spPr/>
      <dgm:t>
        <a:bodyPr/>
        <a:lstStyle/>
        <a:p>
          <a:r>
            <a:rPr lang="en-US"/>
            <a:t>REL 130/ANT 130 - Introduction To Comparative Religion</a:t>
          </a:r>
        </a:p>
      </dgm:t>
    </dgm:pt>
    <dgm:pt modelId="{48EA0B6B-7BA5-4A83-9FF7-579757FF85A8}" type="parTrans" cxnId="{C0AE0D89-F032-47F6-B407-669EA6CF1F48}">
      <dgm:prSet/>
      <dgm:spPr/>
      <dgm:t>
        <a:bodyPr/>
        <a:lstStyle/>
        <a:p>
          <a:endParaRPr lang="en-US"/>
        </a:p>
      </dgm:t>
    </dgm:pt>
    <dgm:pt modelId="{A1F21371-AB36-40CE-8B81-47AD50BBC7BF}" type="sibTrans" cxnId="{C0AE0D89-F032-47F6-B407-669EA6CF1F48}">
      <dgm:prSet/>
      <dgm:spPr/>
      <dgm:t>
        <a:bodyPr/>
        <a:lstStyle/>
        <a:p>
          <a:endParaRPr lang="en-US"/>
        </a:p>
      </dgm:t>
    </dgm:pt>
    <dgm:pt modelId="{DFA6A683-9426-475E-B918-301831B45432}">
      <dgm:prSet phldrT="[Text]"/>
      <dgm:spPr/>
      <dgm:t>
        <a:bodyPr/>
        <a:lstStyle/>
        <a:p>
          <a:r>
            <a:rPr lang="en-US"/>
            <a:t>SOC 101 - Introduction To Sociology</a:t>
          </a:r>
        </a:p>
      </dgm:t>
    </dgm:pt>
    <dgm:pt modelId="{4C4ACC7F-DBB7-462F-932C-58A2F2324575}" type="parTrans" cxnId="{204E1365-F4BA-432E-BB1F-03FDC34CD26F}">
      <dgm:prSet/>
      <dgm:spPr/>
      <dgm:t>
        <a:bodyPr/>
        <a:lstStyle/>
        <a:p>
          <a:endParaRPr lang="en-US"/>
        </a:p>
      </dgm:t>
    </dgm:pt>
    <dgm:pt modelId="{724DB048-9263-4F90-A9F9-9C40FFFD0FC8}" type="sibTrans" cxnId="{204E1365-F4BA-432E-BB1F-03FDC34CD26F}">
      <dgm:prSet/>
      <dgm:spPr/>
      <dgm:t>
        <a:bodyPr/>
        <a:lstStyle/>
        <a:p>
          <a:endParaRPr lang="en-US"/>
        </a:p>
      </dgm:t>
    </dgm:pt>
    <dgm:pt modelId="{AB4D5BF1-4DEC-4A00-B2E3-37E17C9862AC}">
      <dgm:prSet phldrT="[Text]"/>
      <dgm:spPr/>
      <dgm:t>
        <a:bodyPr/>
        <a:lstStyle/>
        <a:p>
          <a:r>
            <a:rPr lang="en-US"/>
            <a:t>SOC 151 - Social Interaction</a:t>
          </a:r>
        </a:p>
      </dgm:t>
    </dgm:pt>
    <dgm:pt modelId="{FF36A158-62D1-4F0C-AFEC-5E4EB544A171}" type="parTrans" cxnId="{633E1D9D-B9A2-4B10-A06B-96E70822C26E}">
      <dgm:prSet/>
      <dgm:spPr/>
      <dgm:t>
        <a:bodyPr/>
        <a:lstStyle/>
        <a:p>
          <a:endParaRPr lang="en-US"/>
        </a:p>
      </dgm:t>
    </dgm:pt>
    <dgm:pt modelId="{76DDCB8E-666E-4090-8870-AC1D3AC36D3D}" type="sibTrans" cxnId="{633E1D9D-B9A2-4B10-A06B-96E70822C26E}">
      <dgm:prSet/>
      <dgm:spPr/>
      <dgm:t>
        <a:bodyPr/>
        <a:lstStyle/>
        <a:p>
          <a:endParaRPr lang="en-US"/>
        </a:p>
      </dgm:t>
    </dgm:pt>
    <dgm:pt modelId="{C637AF09-D240-496E-8762-409B577A46E0}">
      <dgm:prSet phldrT="[Text]"/>
      <dgm:spPr/>
      <dgm:t>
        <a:bodyPr/>
        <a:lstStyle/>
        <a:p>
          <a:r>
            <a:rPr lang="en-US"/>
            <a:t>SOC 152 - Modern Social Problems</a:t>
          </a:r>
        </a:p>
      </dgm:t>
    </dgm:pt>
    <dgm:pt modelId="{61A6C8E0-85D2-4163-AC8C-65C57E46B99D}" type="parTrans" cxnId="{D15AD7AF-3CD7-4DAA-94E2-752B8F041A06}">
      <dgm:prSet/>
      <dgm:spPr/>
      <dgm:t>
        <a:bodyPr/>
        <a:lstStyle/>
        <a:p>
          <a:endParaRPr lang="en-US"/>
        </a:p>
      </dgm:t>
    </dgm:pt>
    <dgm:pt modelId="{B904935F-1371-4162-907E-49A7F1963EEC}" type="sibTrans" cxnId="{D15AD7AF-3CD7-4DAA-94E2-752B8F041A06}">
      <dgm:prSet/>
      <dgm:spPr/>
      <dgm:t>
        <a:bodyPr/>
        <a:lstStyle/>
        <a:p>
          <a:endParaRPr lang="en-US"/>
        </a:p>
      </dgm:t>
    </dgm:pt>
    <dgm:pt modelId="{F782A9B0-91C6-4B08-9434-3A995E1F5F5D}">
      <dgm:prSet phldrT="[Text]"/>
      <dgm:spPr/>
      <dgm:t>
        <a:bodyPr/>
        <a:lstStyle/>
        <a:p>
          <a:r>
            <a:rPr lang="en-US"/>
            <a:t>SOC 220 - The Community</a:t>
          </a:r>
        </a:p>
      </dgm:t>
    </dgm:pt>
    <dgm:pt modelId="{7114A2D4-A170-4D2F-A44E-9D50699A06B4}" type="parTrans" cxnId="{F6EF050E-86FB-4ADD-9A3F-6730F0F6C42F}">
      <dgm:prSet/>
      <dgm:spPr/>
      <dgm:t>
        <a:bodyPr/>
        <a:lstStyle/>
        <a:p>
          <a:endParaRPr lang="en-US"/>
        </a:p>
      </dgm:t>
    </dgm:pt>
    <dgm:pt modelId="{CA5ECC4C-644E-44C6-A6C3-2CA238CA7EF2}" type="sibTrans" cxnId="{F6EF050E-86FB-4ADD-9A3F-6730F0F6C42F}">
      <dgm:prSet/>
      <dgm:spPr/>
      <dgm:t>
        <a:bodyPr/>
        <a:lstStyle/>
        <a:p>
          <a:endParaRPr lang="en-US"/>
        </a:p>
      </dgm:t>
    </dgm:pt>
    <dgm:pt modelId="{5ED8B731-7BEF-473D-AE62-E6F13DBA03D1}">
      <dgm:prSet phldrT="[Text]"/>
      <dgm:spPr/>
      <dgm:t>
        <a:bodyPr/>
        <a:lstStyle/>
        <a:p>
          <a:r>
            <a:rPr lang="en-US"/>
            <a:t>SOC 235 - Inequality In Society</a:t>
          </a:r>
        </a:p>
      </dgm:t>
    </dgm:pt>
    <dgm:pt modelId="{6E6B79DB-1FEA-4C48-80E8-C1ED3C8F7D13}" type="parTrans" cxnId="{4079F008-E9F4-4468-BC0F-414DB368F76A}">
      <dgm:prSet/>
      <dgm:spPr/>
      <dgm:t>
        <a:bodyPr/>
        <a:lstStyle/>
        <a:p>
          <a:endParaRPr lang="en-US"/>
        </a:p>
      </dgm:t>
    </dgm:pt>
    <dgm:pt modelId="{51CEB82C-8F1D-4DE8-A4D8-4BB5155B1D3E}" type="sibTrans" cxnId="{4079F008-E9F4-4468-BC0F-414DB368F76A}">
      <dgm:prSet/>
      <dgm:spPr/>
      <dgm:t>
        <a:bodyPr/>
        <a:lstStyle/>
        <a:p>
          <a:endParaRPr lang="en-US"/>
        </a:p>
      </dgm:t>
    </dgm:pt>
    <dgm:pt modelId="{B07B55D8-49CB-462C-B60B-E480211A09B1}">
      <dgm:prSet phldrT="[Text]"/>
      <dgm:spPr/>
      <dgm:t>
        <a:bodyPr/>
        <a:lstStyle/>
        <a:p>
          <a:r>
            <a:rPr lang="en-US"/>
            <a:t>SOC 249 - Mass Media &amp; Mass Culture</a:t>
          </a:r>
        </a:p>
      </dgm:t>
    </dgm:pt>
    <dgm:pt modelId="{7CC57DA2-F02D-4A23-9347-5809F9CA117B}" type="parTrans" cxnId="{90A631DE-B052-4134-8B69-A33539BEF05D}">
      <dgm:prSet/>
      <dgm:spPr/>
      <dgm:t>
        <a:bodyPr/>
        <a:lstStyle/>
        <a:p>
          <a:endParaRPr lang="en-US"/>
        </a:p>
      </dgm:t>
    </dgm:pt>
    <dgm:pt modelId="{02973B8C-EF81-40A3-A968-824284FCE779}" type="sibTrans" cxnId="{90A631DE-B052-4134-8B69-A33539BEF05D}">
      <dgm:prSet/>
      <dgm:spPr/>
      <dgm:t>
        <a:bodyPr/>
        <a:lstStyle/>
        <a:p>
          <a:endParaRPr lang="en-US"/>
        </a:p>
      </dgm:t>
    </dgm:pt>
    <dgm:pt modelId="{8CA4CD22-183C-4998-BCE0-DC8E538964CB}">
      <dgm:prSet phldrT="[Text]"/>
      <dgm:spPr/>
      <dgm:t>
        <a:bodyPr/>
        <a:lstStyle/>
        <a:p>
          <a:r>
            <a:rPr lang="en-US"/>
            <a:t>SOC 260 - Population, Resources &amp; Change</a:t>
          </a:r>
        </a:p>
      </dgm:t>
    </dgm:pt>
    <dgm:pt modelId="{B6A854E1-F7A6-41C6-99B5-94D8A5E2DC43}" type="parTrans" cxnId="{62FACDF4-961C-41F0-A0CA-731978D8DCEE}">
      <dgm:prSet/>
      <dgm:spPr/>
      <dgm:t>
        <a:bodyPr/>
        <a:lstStyle/>
        <a:p>
          <a:endParaRPr lang="en-US"/>
        </a:p>
      </dgm:t>
    </dgm:pt>
    <dgm:pt modelId="{5E2F4652-E630-4CD1-A4EB-7AB3EB58E422}" type="sibTrans" cxnId="{62FACDF4-961C-41F0-A0CA-731978D8DCEE}">
      <dgm:prSet/>
      <dgm:spPr/>
      <dgm:t>
        <a:bodyPr/>
        <a:lstStyle/>
        <a:p>
          <a:endParaRPr lang="en-US"/>
        </a:p>
      </dgm:t>
    </dgm:pt>
    <dgm:pt modelId="{885FC3D7-FB81-4AB4-8CA9-FF13E2AD1B30}">
      <dgm:prSet phldrT="[Text]"/>
      <dgm:spPr/>
      <dgm:t>
        <a:bodyPr/>
        <a:lstStyle/>
        <a:p>
          <a:r>
            <a:rPr lang="en-US"/>
            <a:t>SPA 115 - Hispanic Culture:  (Country Or Region)</a:t>
          </a:r>
        </a:p>
      </dgm:t>
    </dgm:pt>
    <dgm:pt modelId="{AF9F5437-ACDA-4EAD-B69F-5D179E87ED00}" type="parTrans" cxnId="{D28E3996-12C0-498B-91ED-A3A4DA3D7474}">
      <dgm:prSet/>
      <dgm:spPr/>
      <dgm:t>
        <a:bodyPr/>
        <a:lstStyle/>
        <a:p>
          <a:endParaRPr lang="en-US"/>
        </a:p>
      </dgm:t>
    </dgm:pt>
    <dgm:pt modelId="{D79B63D3-537F-4A6F-88B5-81E0D8DA1D2C}" type="sibTrans" cxnId="{D28E3996-12C0-498B-91ED-A3A4DA3D7474}">
      <dgm:prSet/>
      <dgm:spPr/>
      <dgm:t>
        <a:bodyPr/>
        <a:lstStyle/>
        <a:p>
          <a:endParaRPr lang="en-US"/>
        </a:p>
      </dgm:t>
    </dgm:pt>
    <dgm:pt modelId="{7836BF7A-1DA9-421C-8008-85D50DC8A052}">
      <dgm:prSet phldrT="[Text]"/>
      <dgm:spPr/>
      <dgm:t>
        <a:bodyPr/>
        <a:lstStyle/>
        <a:p>
          <a:r>
            <a:rPr lang="en-US"/>
            <a:t>WGS 200 - Introduction To Women's &amp; Gender Studies In The Social Sciences</a:t>
          </a:r>
        </a:p>
      </dgm:t>
    </dgm:pt>
    <dgm:pt modelId="{423DEBA3-2B53-49EB-A633-40AD5F1A9C56}" type="parTrans" cxnId="{4FF4DAD4-30E5-4A77-8A98-89F01702A8C6}">
      <dgm:prSet/>
      <dgm:spPr/>
      <dgm:t>
        <a:bodyPr/>
        <a:lstStyle/>
        <a:p>
          <a:endParaRPr lang="en-US"/>
        </a:p>
      </dgm:t>
    </dgm:pt>
    <dgm:pt modelId="{C398A6DE-3D62-4D50-9BDC-B8B3D1DAE22A}" type="sibTrans" cxnId="{4FF4DAD4-30E5-4A77-8A98-89F01702A8C6}">
      <dgm:prSet/>
      <dgm:spPr/>
      <dgm:t>
        <a:bodyPr/>
        <a:lstStyle/>
        <a:p>
          <a:endParaRPr lang="en-US"/>
        </a:p>
      </dgm:t>
    </dgm:pt>
    <dgm:pt modelId="{F704D2D5-408C-4C0A-8355-2A17C725E404}">
      <dgm:prSet phldrT="[Text]"/>
      <dgm:spPr/>
      <dgm:t>
        <a:bodyPr/>
        <a:lstStyle/>
        <a:p>
          <a:r>
            <a:rPr lang="en-US"/>
            <a:t>ANA 209 - Principles Of Human Anatomy</a:t>
          </a:r>
        </a:p>
      </dgm:t>
    </dgm:pt>
    <dgm:pt modelId="{0EE4E1A1-A0F1-4D2A-B305-643BFF9373F0}" type="parTrans" cxnId="{346ABC9C-38C2-46F0-98E0-515D0E5BAE3B}">
      <dgm:prSet/>
      <dgm:spPr/>
      <dgm:t>
        <a:bodyPr/>
        <a:lstStyle/>
        <a:p>
          <a:endParaRPr lang="en-US"/>
        </a:p>
      </dgm:t>
    </dgm:pt>
    <dgm:pt modelId="{799AB2B3-E7A7-417A-9719-92A5A4A8D937}" type="sibTrans" cxnId="{346ABC9C-38C2-46F0-98E0-515D0E5BAE3B}">
      <dgm:prSet/>
      <dgm:spPr/>
      <dgm:t>
        <a:bodyPr/>
        <a:lstStyle/>
        <a:p>
          <a:endParaRPr lang="en-US"/>
        </a:p>
      </dgm:t>
    </dgm:pt>
    <dgm:pt modelId="{7400569C-7092-40BA-A872-410828050381}">
      <dgm:prSet phldrT="[Text]"/>
      <dgm:spPr/>
      <dgm:t>
        <a:bodyPr/>
        <a:lstStyle/>
        <a:p>
          <a:r>
            <a:rPr lang="en-US"/>
            <a:t>AST 101 - Frontiers Of Astronomy</a:t>
          </a:r>
        </a:p>
      </dgm:t>
    </dgm:pt>
    <dgm:pt modelId="{BBC09E56-E059-4E30-9D1D-7FA96FA9B92C}" type="parTrans" cxnId="{E6CA6095-4C98-4898-91D2-C3B0661B7393}">
      <dgm:prSet/>
      <dgm:spPr/>
      <dgm:t>
        <a:bodyPr/>
        <a:lstStyle/>
        <a:p>
          <a:endParaRPr lang="en-US"/>
        </a:p>
      </dgm:t>
    </dgm:pt>
    <dgm:pt modelId="{42D370B4-054D-4C3D-89AB-47D2ABEAEC1E}" type="sibTrans" cxnId="{E6CA6095-4C98-4898-91D2-C3B0661B7393}">
      <dgm:prSet/>
      <dgm:spPr/>
      <dgm:t>
        <a:bodyPr/>
        <a:lstStyle/>
        <a:p>
          <a:endParaRPr lang="en-US"/>
        </a:p>
      </dgm:t>
    </dgm:pt>
    <dgm:pt modelId="{6753CDB6-7A24-4689-9CB8-7084F21A8659}">
      <dgm:prSet phldrT="[Text]"/>
      <dgm:spPr/>
      <dgm:t>
        <a:bodyPr/>
        <a:lstStyle/>
        <a:p>
          <a:r>
            <a:rPr lang="en-US"/>
            <a:t>AST 155/BIO 155 - Astrobiology</a:t>
          </a:r>
        </a:p>
      </dgm:t>
    </dgm:pt>
    <dgm:pt modelId="{C21FE1D0-B33B-4BD4-9290-E74067E9EB9A}" type="parTrans" cxnId="{2380F60E-EEE6-4399-9848-C7C0F7210F2F}">
      <dgm:prSet/>
      <dgm:spPr/>
      <dgm:t>
        <a:bodyPr/>
        <a:lstStyle/>
        <a:p>
          <a:endParaRPr lang="en-US"/>
        </a:p>
      </dgm:t>
    </dgm:pt>
    <dgm:pt modelId="{1E229AA6-B2BA-4EE3-8293-ED802FFFEC32}" type="sibTrans" cxnId="{2380F60E-EEE6-4399-9848-C7C0F7210F2F}">
      <dgm:prSet/>
      <dgm:spPr/>
      <dgm:t>
        <a:bodyPr/>
        <a:lstStyle/>
        <a:p>
          <a:endParaRPr lang="en-US"/>
        </a:p>
      </dgm:t>
    </dgm:pt>
    <dgm:pt modelId="{76E49BFE-F2B1-4198-AA38-EDCFFA641B0E}">
      <dgm:prSet phldrT="[Text]"/>
      <dgm:spPr/>
      <dgm:t>
        <a:bodyPr/>
        <a:lstStyle/>
        <a:p>
          <a:r>
            <a:rPr lang="en-US"/>
            <a:t>AST 191 - The Solar System</a:t>
          </a:r>
        </a:p>
      </dgm:t>
    </dgm:pt>
    <dgm:pt modelId="{1167490C-95D6-4257-A003-3C2C0FE887BB}" type="parTrans" cxnId="{F56D0FCE-C4B5-430B-A40B-BC3F7C03AFCA}">
      <dgm:prSet/>
      <dgm:spPr/>
      <dgm:t>
        <a:bodyPr/>
        <a:lstStyle/>
        <a:p>
          <a:endParaRPr lang="en-US"/>
        </a:p>
      </dgm:t>
    </dgm:pt>
    <dgm:pt modelId="{4167ED58-6B44-4305-BF6D-801920DC21DA}" type="sibTrans" cxnId="{F56D0FCE-C4B5-430B-A40B-BC3F7C03AFCA}">
      <dgm:prSet/>
      <dgm:spPr/>
      <dgm:t>
        <a:bodyPr/>
        <a:lstStyle/>
        <a:p>
          <a:endParaRPr lang="en-US"/>
        </a:p>
      </dgm:t>
    </dgm:pt>
    <dgm:pt modelId="{B05989C0-8E33-4749-B7F3-45E0DC318DAC}">
      <dgm:prSet phldrT="[Text]"/>
      <dgm:spPr/>
      <dgm:t>
        <a:bodyPr/>
        <a:lstStyle/>
        <a:p>
          <a:r>
            <a:rPr lang="en-US"/>
            <a:t>AST 192 - Stars, Galaxies, &amp; The Universe</a:t>
          </a:r>
        </a:p>
      </dgm:t>
    </dgm:pt>
    <dgm:pt modelId="{86EF5578-3E8C-4CC8-8BB1-1337A2677134}" type="parTrans" cxnId="{0A7A5935-6D97-4314-B22B-00F858B98425}">
      <dgm:prSet/>
      <dgm:spPr/>
      <dgm:t>
        <a:bodyPr/>
        <a:lstStyle/>
        <a:p>
          <a:endParaRPr lang="en-US"/>
        </a:p>
      </dgm:t>
    </dgm:pt>
    <dgm:pt modelId="{B355E645-352A-4A27-A56A-3A7981898FBE}" type="sibTrans" cxnId="{0A7A5935-6D97-4314-B22B-00F858B98425}">
      <dgm:prSet/>
      <dgm:spPr/>
      <dgm:t>
        <a:bodyPr/>
        <a:lstStyle/>
        <a:p>
          <a:endParaRPr lang="en-US"/>
        </a:p>
      </dgm:t>
    </dgm:pt>
    <dgm:pt modelId="{CF9E8E3F-933E-4DE3-BDC0-97FD1FBF2C39}">
      <dgm:prSet phldrT="[Text]"/>
      <dgm:spPr/>
      <dgm:t>
        <a:bodyPr/>
        <a:lstStyle/>
        <a:p>
          <a:r>
            <a:rPr lang="en-US"/>
            <a:t>AST 195 - Introductory Astronomy Laboratory</a:t>
          </a:r>
        </a:p>
      </dgm:t>
    </dgm:pt>
    <dgm:pt modelId="{7394F7CF-F5AE-4E3A-8E6B-4BDBD2F6BD4C}" type="parTrans" cxnId="{51E89931-6D5F-4544-BF07-BA856C24F94E}">
      <dgm:prSet/>
      <dgm:spPr/>
      <dgm:t>
        <a:bodyPr/>
        <a:lstStyle/>
        <a:p>
          <a:endParaRPr lang="en-US"/>
        </a:p>
      </dgm:t>
    </dgm:pt>
    <dgm:pt modelId="{2E2E6349-740C-4500-A6BA-36FFD1955F0A}" type="sibTrans" cxnId="{51E89931-6D5F-4544-BF07-BA856C24F94E}">
      <dgm:prSet/>
      <dgm:spPr/>
      <dgm:t>
        <a:bodyPr/>
        <a:lstStyle/>
        <a:p>
          <a:endParaRPr lang="en-US"/>
        </a:p>
      </dgm:t>
    </dgm:pt>
    <dgm:pt modelId="{0F329D40-5AF0-4F63-9648-2865103B2B54}">
      <dgm:prSet phldrT="[Text]"/>
      <dgm:spPr/>
      <dgm:t>
        <a:bodyPr/>
        <a:lstStyle/>
        <a:p>
          <a:r>
            <a:rPr lang="en-US"/>
            <a:t>BIO 112 - Introduction To Biology</a:t>
          </a:r>
        </a:p>
      </dgm:t>
    </dgm:pt>
    <dgm:pt modelId="{7BF88B87-9D35-44FE-9D0F-6D9FDE4F6958}" type="parTrans" cxnId="{43A57660-20FB-43C2-B1D2-5639C2A1BDAB}">
      <dgm:prSet/>
      <dgm:spPr/>
      <dgm:t>
        <a:bodyPr/>
        <a:lstStyle/>
        <a:p>
          <a:endParaRPr lang="en-US"/>
        </a:p>
      </dgm:t>
    </dgm:pt>
    <dgm:pt modelId="{120631F3-5F62-49B9-BC24-AE476B1D4A99}" type="sibTrans" cxnId="{43A57660-20FB-43C2-B1D2-5639C2A1BDAB}">
      <dgm:prSet/>
      <dgm:spPr/>
      <dgm:t>
        <a:bodyPr/>
        <a:lstStyle/>
        <a:p>
          <a:endParaRPr lang="en-US"/>
        </a:p>
      </dgm:t>
    </dgm:pt>
    <dgm:pt modelId="{9CE50C96-D2CB-46D2-95B8-13FE58D52A99}">
      <dgm:prSet phldrT="[Text]"/>
      <dgm:spPr/>
      <dgm:t>
        <a:bodyPr/>
        <a:lstStyle/>
        <a:p>
          <a:r>
            <a:rPr lang="en-US"/>
            <a:t>BIO 113 - Introduction To Biology Lab</a:t>
          </a:r>
        </a:p>
      </dgm:t>
    </dgm:pt>
    <dgm:pt modelId="{C6FD20ED-489C-4357-9F4F-6CF351DC41B0}" type="parTrans" cxnId="{B1B5BDB6-4F58-4DA1-8826-B556357F461D}">
      <dgm:prSet/>
      <dgm:spPr/>
      <dgm:t>
        <a:bodyPr/>
        <a:lstStyle/>
        <a:p>
          <a:endParaRPr lang="en-US"/>
        </a:p>
      </dgm:t>
    </dgm:pt>
    <dgm:pt modelId="{A1A04575-4FDF-4379-8DC8-8E02F35A3247}" type="sibTrans" cxnId="{B1B5BDB6-4F58-4DA1-8826-B556357F461D}">
      <dgm:prSet/>
      <dgm:spPr/>
      <dgm:t>
        <a:bodyPr/>
        <a:lstStyle/>
        <a:p>
          <a:endParaRPr lang="en-US"/>
        </a:p>
      </dgm:t>
    </dgm:pt>
    <dgm:pt modelId="{CFA06508-957D-469C-997D-9721987EB18B}">
      <dgm:prSet phldrT="[Text]"/>
      <dgm:spPr/>
      <dgm:t>
        <a:bodyPr/>
        <a:lstStyle/>
        <a:p>
          <a:r>
            <a:rPr lang="en-US"/>
            <a:t>BIO 114 - Major Discoveries In Biology</a:t>
          </a:r>
        </a:p>
      </dgm:t>
    </dgm:pt>
    <dgm:pt modelId="{13630415-1C21-4AF6-8081-D4095CA56D1C}" type="parTrans" cxnId="{F2AF0860-5171-4B04-BCC0-A20E119E77F1}">
      <dgm:prSet/>
      <dgm:spPr/>
      <dgm:t>
        <a:bodyPr/>
        <a:lstStyle/>
        <a:p>
          <a:endParaRPr lang="en-US"/>
        </a:p>
      </dgm:t>
    </dgm:pt>
    <dgm:pt modelId="{10EDFCA1-C689-4679-BA96-F1C66B15A1D5}" type="sibTrans" cxnId="{F2AF0860-5171-4B04-BCC0-A20E119E77F1}">
      <dgm:prSet/>
      <dgm:spPr/>
      <dgm:t>
        <a:bodyPr/>
        <a:lstStyle/>
        <a:p>
          <a:endParaRPr lang="en-US"/>
        </a:p>
      </dgm:t>
    </dgm:pt>
    <dgm:pt modelId="{25DD1955-8C1E-480E-B3BB-0C4E9E295BDD}">
      <dgm:prSet phldrT="[Text]"/>
      <dgm:spPr/>
      <dgm:t>
        <a:bodyPr/>
        <a:lstStyle/>
        <a:p>
          <a:r>
            <a:rPr lang="en-US"/>
            <a:t>BIO 115 - Biology Laboratory I</a:t>
          </a:r>
        </a:p>
      </dgm:t>
    </dgm:pt>
    <dgm:pt modelId="{3C67B84E-D8BD-49CC-B4BC-0F43113C8E2D}" type="parTrans" cxnId="{D98E11D8-33CC-44C7-BF8B-A9EDACF473CB}">
      <dgm:prSet/>
      <dgm:spPr/>
      <dgm:t>
        <a:bodyPr/>
        <a:lstStyle/>
        <a:p>
          <a:endParaRPr lang="en-US"/>
        </a:p>
      </dgm:t>
    </dgm:pt>
    <dgm:pt modelId="{92253454-1A78-479F-BBB3-224896A99941}" type="sibTrans" cxnId="{D98E11D8-33CC-44C7-BF8B-A9EDACF473CB}">
      <dgm:prSet/>
      <dgm:spPr/>
      <dgm:t>
        <a:bodyPr/>
        <a:lstStyle/>
        <a:p>
          <a:endParaRPr lang="en-US"/>
        </a:p>
      </dgm:t>
    </dgm:pt>
    <dgm:pt modelId="{EED05CA8-9900-43D0-9F05-DD27DE77E4DA}">
      <dgm:prSet phldrT="[Text]"/>
      <dgm:spPr/>
      <dgm:t>
        <a:bodyPr/>
        <a:lstStyle/>
        <a:p>
          <a:r>
            <a:rPr lang="en-US"/>
            <a:t>BIO 116 - Biology II</a:t>
          </a:r>
        </a:p>
      </dgm:t>
    </dgm:pt>
    <dgm:pt modelId="{7D5441FD-56D8-4951-AFC7-D740771AB6F1}" type="parTrans" cxnId="{5504BDDE-8147-45D5-8F05-D5A9C246C30A}">
      <dgm:prSet/>
      <dgm:spPr/>
      <dgm:t>
        <a:bodyPr/>
        <a:lstStyle/>
        <a:p>
          <a:endParaRPr lang="en-US"/>
        </a:p>
      </dgm:t>
    </dgm:pt>
    <dgm:pt modelId="{FD5DA556-2EA9-4F9D-B4C3-3D377FA623FA}" type="sibTrans" cxnId="{5504BDDE-8147-45D5-8F05-D5A9C246C30A}">
      <dgm:prSet/>
      <dgm:spPr/>
      <dgm:t>
        <a:bodyPr/>
        <a:lstStyle/>
        <a:p>
          <a:endParaRPr lang="en-US"/>
        </a:p>
      </dgm:t>
    </dgm:pt>
    <dgm:pt modelId="{4E9D0FEB-1748-46EA-8D8B-73DA50401917}">
      <dgm:prSet phldrT="[Text]"/>
      <dgm:spPr/>
      <dgm:t>
        <a:bodyPr/>
        <a:lstStyle/>
        <a:p>
          <a:r>
            <a:rPr lang="en-US"/>
            <a:t>BIO 117 - Biology Laboratory II</a:t>
          </a:r>
        </a:p>
      </dgm:t>
    </dgm:pt>
    <dgm:pt modelId="{1CEFCF57-D118-4130-B60B-1C13C94C8A63}" type="parTrans" cxnId="{DC3E0B0D-689F-479F-A149-D922AA79E1A4}">
      <dgm:prSet/>
      <dgm:spPr/>
      <dgm:t>
        <a:bodyPr/>
        <a:lstStyle/>
        <a:p>
          <a:endParaRPr lang="en-US"/>
        </a:p>
      </dgm:t>
    </dgm:pt>
    <dgm:pt modelId="{731F79DC-A028-4852-BEEC-CCB7BBAA1CA7}" type="sibTrans" cxnId="{DC3E0B0D-689F-479F-A149-D922AA79E1A4}">
      <dgm:prSet/>
      <dgm:spPr/>
      <dgm:t>
        <a:bodyPr/>
        <a:lstStyle/>
        <a:p>
          <a:endParaRPr lang="en-US"/>
        </a:p>
      </dgm:t>
    </dgm:pt>
    <dgm:pt modelId="{B1121344-09F3-4603-A826-12B58277481E}">
      <dgm:prSet phldrT="[Text]"/>
      <dgm:spPr/>
      <dgm:t>
        <a:bodyPr/>
        <a:lstStyle/>
        <a:p>
          <a:r>
            <a:rPr lang="en-US"/>
            <a:t>BIO 118 - Microbes &amp; Society</a:t>
          </a:r>
        </a:p>
      </dgm:t>
    </dgm:pt>
    <dgm:pt modelId="{7C94F5B5-7F8C-4BEC-B8C5-3ABD4B268846}" type="parTrans" cxnId="{18B99F77-0FB1-4208-8B88-5A99F541E95F}">
      <dgm:prSet/>
      <dgm:spPr/>
      <dgm:t>
        <a:bodyPr/>
        <a:lstStyle/>
        <a:p>
          <a:endParaRPr lang="en-US"/>
        </a:p>
      </dgm:t>
    </dgm:pt>
    <dgm:pt modelId="{7D691F28-D615-4483-8F5E-26F447F3E42E}" type="sibTrans" cxnId="{18B99F77-0FB1-4208-8B88-5A99F541E95F}">
      <dgm:prSet/>
      <dgm:spPr/>
      <dgm:t>
        <a:bodyPr/>
        <a:lstStyle/>
        <a:p>
          <a:endParaRPr lang="en-US"/>
        </a:p>
      </dgm:t>
    </dgm:pt>
    <dgm:pt modelId="{269587FD-D7A5-4DDD-9B70-CD29C2D9AC53}">
      <dgm:prSet phldrT="[Text]"/>
      <dgm:spPr/>
      <dgm:t>
        <a:bodyPr/>
        <a:lstStyle/>
        <a:p>
          <a:r>
            <a:rPr lang="en-US"/>
            <a:t>BIO 120 - Human Ecology</a:t>
          </a:r>
        </a:p>
      </dgm:t>
    </dgm:pt>
    <dgm:pt modelId="{7374D131-2BA9-4AA8-BFE3-3DC46FE11681}" type="parTrans" cxnId="{300C3E53-6C28-4B70-B211-EBE51281B143}">
      <dgm:prSet/>
      <dgm:spPr/>
      <dgm:t>
        <a:bodyPr/>
        <a:lstStyle/>
        <a:p>
          <a:endParaRPr lang="en-US"/>
        </a:p>
      </dgm:t>
    </dgm:pt>
    <dgm:pt modelId="{DA4AB021-E3A0-40F3-8601-8AB65F03B95D}" type="sibTrans" cxnId="{300C3E53-6C28-4B70-B211-EBE51281B143}">
      <dgm:prSet/>
      <dgm:spPr/>
      <dgm:t>
        <a:bodyPr/>
        <a:lstStyle/>
        <a:p>
          <a:endParaRPr lang="en-US"/>
        </a:p>
      </dgm:t>
    </dgm:pt>
    <dgm:pt modelId="{BFE9801C-6630-43E6-A05F-51BE4DAF7E1C}">
      <dgm:prSet phldrT="[Text]"/>
      <dgm:spPr/>
      <dgm:t>
        <a:bodyPr/>
        <a:lstStyle/>
        <a:p>
          <a:r>
            <a:rPr lang="en-US"/>
            <a:t>BIO 121 - Introduction To Ecology Laboratory</a:t>
          </a:r>
        </a:p>
      </dgm:t>
    </dgm:pt>
    <dgm:pt modelId="{40D9406D-7975-4649-8A21-77CD63CCDBDB}" type="parTrans" cxnId="{C62DD58A-567C-410D-BEF2-78DC3159AB0D}">
      <dgm:prSet/>
      <dgm:spPr/>
      <dgm:t>
        <a:bodyPr/>
        <a:lstStyle/>
        <a:p>
          <a:endParaRPr lang="en-US"/>
        </a:p>
      </dgm:t>
    </dgm:pt>
    <dgm:pt modelId="{5089588F-865E-484E-9E76-0D7A010C3B61}" type="sibTrans" cxnId="{C62DD58A-567C-410D-BEF2-78DC3159AB0D}">
      <dgm:prSet/>
      <dgm:spPr/>
      <dgm:t>
        <a:bodyPr/>
        <a:lstStyle/>
        <a:p>
          <a:endParaRPr lang="en-US"/>
        </a:p>
      </dgm:t>
    </dgm:pt>
    <dgm:pt modelId="{103D1692-7C15-46E7-A14A-82CCDB96F4AD}">
      <dgm:prSet phldrT="[Text]"/>
      <dgm:spPr/>
      <dgm:t>
        <a:bodyPr/>
        <a:lstStyle/>
        <a:p>
          <a:r>
            <a:rPr lang="en-US"/>
            <a:t>BIO 122 - Introduction To Conservation Biology</a:t>
          </a:r>
        </a:p>
      </dgm:t>
    </dgm:pt>
    <dgm:pt modelId="{779DB5D0-7942-4CE6-9531-B33239A49B1C}" type="parTrans" cxnId="{AAE60D7F-3127-4E6E-92F6-C69483FD2937}">
      <dgm:prSet/>
      <dgm:spPr/>
      <dgm:t>
        <a:bodyPr/>
        <a:lstStyle/>
        <a:p>
          <a:endParaRPr lang="en-US"/>
        </a:p>
      </dgm:t>
    </dgm:pt>
    <dgm:pt modelId="{1757F99F-785B-4DA5-A8EE-BE7868461735}" type="sibTrans" cxnId="{AAE60D7F-3127-4E6E-92F6-C69483FD2937}">
      <dgm:prSet/>
      <dgm:spPr/>
      <dgm:t>
        <a:bodyPr/>
        <a:lstStyle/>
        <a:p>
          <a:endParaRPr lang="en-US"/>
        </a:p>
      </dgm:t>
    </dgm:pt>
    <dgm:pt modelId="{76E43AF3-21CC-41CA-8317-5376096F3BEA}">
      <dgm:prSet phldrT="[Text]"/>
      <dgm:spPr/>
      <dgm:t>
        <a:bodyPr/>
        <a:lstStyle/>
        <a:p>
          <a:r>
            <a:rPr lang="en-US"/>
            <a:t>BIO 124 - Principles Of Ecology</a:t>
          </a:r>
        </a:p>
      </dgm:t>
    </dgm:pt>
    <dgm:pt modelId="{D5014AE8-8C95-4D5B-831A-D5DFE8332B83}" type="parTrans" cxnId="{3FA0216C-B851-43D4-8173-B96AD3DB416E}">
      <dgm:prSet/>
      <dgm:spPr/>
      <dgm:t>
        <a:bodyPr/>
        <a:lstStyle/>
        <a:p>
          <a:endParaRPr lang="en-US"/>
        </a:p>
      </dgm:t>
    </dgm:pt>
    <dgm:pt modelId="{017428A6-35CD-480F-A2B8-039CB9E8787E}" type="sibTrans" cxnId="{3FA0216C-B851-43D4-8173-B96AD3DB416E}">
      <dgm:prSet/>
      <dgm:spPr/>
      <dgm:t>
        <a:bodyPr/>
        <a:lstStyle/>
        <a:p>
          <a:endParaRPr lang="en-US"/>
        </a:p>
      </dgm:t>
    </dgm:pt>
    <dgm:pt modelId="{B021EE24-E0D8-4C34-AD3F-4A613EA3A635}">
      <dgm:prSet phldrT="[Text]"/>
      <dgm:spPr/>
      <dgm:t>
        <a:bodyPr/>
        <a:lstStyle/>
        <a:p>
          <a:r>
            <a:rPr lang="en-US"/>
            <a:t>BIO 130 - Aspects Of Human Biology</a:t>
          </a:r>
        </a:p>
      </dgm:t>
    </dgm:pt>
    <dgm:pt modelId="{7A0B41D8-4070-4C3E-A021-6E41072AB90E}" type="parTrans" cxnId="{464C739F-DF83-4283-B1A0-56B2698D1E9A}">
      <dgm:prSet/>
      <dgm:spPr/>
      <dgm:t>
        <a:bodyPr/>
        <a:lstStyle/>
        <a:p>
          <a:endParaRPr lang="en-US"/>
        </a:p>
      </dgm:t>
    </dgm:pt>
    <dgm:pt modelId="{374E0956-2925-4F97-AA49-9E9780A74C19}" type="sibTrans" cxnId="{464C739F-DF83-4283-B1A0-56B2698D1E9A}">
      <dgm:prSet/>
      <dgm:spPr/>
      <dgm:t>
        <a:bodyPr/>
        <a:lstStyle/>
        <a:p>
          <a:endParaRPr lang="en-US"/>
        </a:p>
      </dgm:t>
    </dgm:pt>
    <dgm:pt modelId="{7D6A3D1A-D9C1-437C-91E4-B73E2614263A}">
      <dgm:prSet phldrT="[Text]"/>
      <dgm:spPr/>
      <dgm:t>
        <a:bodyPr/>
        <a:lstStyle/>
        <a:p>
          <a:r>
            <a:rPr lang="en-US"/>
            <a:t>BIO 135 - Basic Anatomy &amp; Physiology With Laboratory</a:t>
          </a:r>
        </a:p>
      </dgm:t>
    </dgm:pt>
    <dgm:pt modelId="{7799D2F1-4CE5-40EB-8875-E3D832EFEA3E}" type="parTrans" cxnId="{9F809889-A788-488F-8431-F29D07737D0A}">
      <dgm:prSet/>
      <dgm:spPr/>
      <dgm:t>
        <a:bodyPr/>
        <a:lstStyle/>
        <a:p>
          <a:endParaRPr lang="en-US"/>
        </a:p>
      </dgm:t>
    </dgm:pt>
    <dgm:pt modelId="{C8A77E6C-9D24-4280-9171-3FEB6D020DF4}" type="sibTrans" cxnId="{9F809889-A788-488F-8431-F29D07737D0A}">
      <dgm:prSet/>
      <dgm:spPr/>
      <dgm:t>
        <a:bodyPr/>
        <a:lstStyle/>
        <a:p>
          <a:endParaRPr lang="en-US"/>
        </a:p>
      </dgm:t>
    </dgm:pt>
    <dgm:pt modelId="{F06ADDEF-0C87-473A-AF65-76DA30F6B103}">
      <dgm:prSet phldrT="[Text]"/>
      <dgm:spPr/>
      <dgm:t>
        <a:bodyPr/>
        <a:lstStyle/>
        <a:p>
          <a:r>
            <a:rPr lang="en-US"/>
            <a:t>BIO 137 - Human Anatomy &amp; Physiology I</a:t>
          </a:r>
        </a:p>
      </dgm:t>
    </dgm:pt>
    <dgm:pt modelId="{ED5EC5FB-A241-490D-80B0-2BEF38C565FA}" type="parTrans" cxnId="{ABD8AA2A-DE24-48A7-AFB3-B8D76088F51F}">
      <dgm:prSet/>
      <dgm:spPr/>
      <dgm:t>
        <a:bodyPr/>
        <a:lstStyle/>
        <a:p>
          <a:endParaRPr lang="en-US"/>
        </a:p>
      </dgm:t>
    </dgm:pt>
    <dgm:pt modelId="{6A0DB07E-DB45-4156-AA62-5993D3F68274}" type="sibTrans" cxnId="{ABD8AA2A-DE24-48A7-AFB3-B8D76088F51F}">
      <dgm:prSet/>
      <dgm:spPr/>
      <dgm:t>
        <a:bodyPr/>
        <a:lstStyle/>
        <a:p>
          <a:endParaRPr lang="en-US"/>
        </a:p>
      </dgm:t>
    </dgm:pt>
    <dgm:pt modelId="{B9910956-82EC-413B-B3E5-118FB71AAE6B}">
      <dgm:prSet phldrT="[Text]"/>
      <dgm:spPr/>
      <dgm:t>
        <a:bodyPr/>
        <a:lstStyle/>
        <a:p>
          <a:r>
            <a:rPr lang="en-US"/>
            <a:t>BIO 139 - Human Anatomy &amp; Physiology II</a:t>
          </a:r>
        </a:p>
      </dgm:t>
    </dgm:pt>
    <dgm:pt modelId="{5CA029F1-D6FB-4A55-84CE-ECB5F7BBFDB2}" type="parTrans" cxnId="{3D00E6D8-B6C4-44E9-9327-8EAA46519357}">
      <dgm:prSet/>
      <dgm:spPr/>
      <dgm:t>
        <a:bodyPr/>
        <a:lstStyle/>
        <a:p>
          <a:endParaRPr lang="en-US"/>
        </a:p>
      </dgm:t>
    </dgm:pt>
    <dgm:pt modelId="{C6A63061-1A4D-4C65-8F67-73EF65A7031F}" type="sibTrans" cxnId="{3D00E6D8-B6C4-44E9-9327-8EAA46519357}">
      <dgm:prSet/>
      <dgm:spPr/>
      <dgm:t>
        <a:bodyPr/>
        <a:lstStyle/>
        <a:p>
          <a:endParaRPr lang="en-US"/>
        </a:p>
      </dgm:t>
    </dgm:pt>
    <dgm:pt modelId="{21636BC9-573D-45A0-811C-71E015BF70B9}">
      <dgm:prSet phldrT="[Text]"/>
      <dgm:spPr/>
      <dgm:t>
        <a:bodyPr/>
        <a:lstStyle/>
        <a:p>
          <a:r>
            <a:rPr lang="en-US"/>
            <a:t>BIO 140 - Botany</a:t>
          </a:r>
        </a:p>
      </dgm:t>
    </dgm:pt>
    <dgm:pt modelId="{5967E4C8-D718-4870-84E5-B24DA3B4E8CF}" type="parTrans" cxnId="{665644BA-794D-47B3-B250-BF264BB0507E}">
      <dgm:prSet/>
      <dgm:spPr/>
      <dgm:t>
        <a:bodyPr/>
        <a:lstStyle/>
        <a:p>
          <a:endParaRPr lang="en-US"/>
        </a:p>
      </dgm:t>
    </dgm:pt>
    <dgm:pt modelId="{3CA2E627-5FEA-48EB-80ED-3DBD5FA86563}" type="sibTrans" cxnId="{665644BA-794D-47B3-B250-BF264BB0507E}">
      <dgm:prSet/>
      <dgm:spPr/>
      <dgm:t>
        <a:bodyPr/>
        <a:lstStyle/>
        <a:p>
          <a:endParaRPr lang="en-US"/>
        </a:p>
      </dgm:t>
    </dgm:pt>
    <dgm:pt modelId="{B24F4F50-7219-4B18-96E9-3055586DBD01}">
      <dgm:prSet phldrT="[Text]"/>
      <dgm:spPr/>
      <dgm:t>
        <a:bodyPr/>
        <a:lstStyle/>
        <a:p>
          <a:r>
            <a:rPr lang="en-US"/>
            <a:t>BIO 141 - Botany With Laboratory</a:t>
          </a:r>
        </a:p>
      </dgm:t>
    </dgm:pt>
    <dgm:pt modelId="{C0FD400C-E49B-45A4-B2F0-A76706DB1F62}" type="parTrans" cxnId="{D6395100-7E0E-43B0-A4D4-09CBBB50F8E1}">
      <dgm:prSet/>
      <dgm:spPr/>
      <dgm:t>
        <a:bodyPr/>
        <a:lstStyle/>
        <a:p>
          <a:endParaRPr lang="en-US"/>
        </a:p>
      </dgm:t>
    </dgm:pt>
    <dgm:pt modelId="{49017DB7-295B-4A93-860C-FE0E17D76706}" type="sibTrans" cxnId="{D6395100-7E0E-43B0-A4D4-09CBBB50F8E1}">
      <dgm:prSet/>
      <dgm:spPr/>
      <dgm:t>
        <a:bodyPr/>
        <a:lstStyle/>
        <a:p>
          <a:endParaRPr lang="en-US"/>
        </a:p>
      </dgm:t>
    </dgm:pt>
    <dgm:pt modelId="{F3F9C172-9D7C-47D7-9731-76A5010AA8E5}">
      <dgm:prSet phldrT="[Text]"/>
      <dgm:spPr/>
      <dgm:t>
        <a:bodyPr/>
        <a:lstStyle/>
        <a:p>
          <a:r>
            <a:rPr lang="en-US"/>
            <a:t>BIO 142 - Zoology</a:t>
          </a:r>
        </a:p>
      </dgm:t>
    </dgm:pt>
    <dgm:pt modelId="{0225DB1A-0998-45F6-94CB-13203A95E723}" type="parTrans" cxnId="{82DB753E-1E55-46AE-B237-0C5DDE7448E6}">
      <dgm:prSet/>
      <dgm:spPr/>
      <dgm:t>
        <a:bodyPr/>
        <a:lstStyle/>
        <a:p>
          <a:endParaRPr lang="en-US"/>
        </a:p>
      </dgm:t>
    </dgm:pt>
    <dgm:pt modelId="{0B91463B-3368-432F-9E77-18604EF89B59}" type="sibTrans" cxnId="{82DB753E-1E55-46AE-B237-0C5DDE7448E6}">
      <dgm:prSet/>
      <dgm:spPr/>
      <dgm:t>
        <a:bodyPr/>
        <a:lstStyle/>
        <a:p>
          <a:endParaRPr lang="en-US"/>
        </a:p>
      </dgm:t>
    </dgm:pt>
    <dgm:pt modelId="{815535DE-AA74-4061-9C01-93595B355E9E}">
      <dgm:prSet phldrT="[Text]"/>
      <dgm:spPr/>
      <dgm:t>
        <a:bodyPr/>
        <a:lstStyle/>
        <a:p>
          <a:r>
            <a:rPr lang="en-US"/>
            <a:t>BIO 143 - Zoology With Laboratory</a:t>
          </a:r>
        </a:p>
      </dgm:t>
    </dgm:pt>
    <dgm:pt modelId="{0255BCD8-DCA6-4229-9582-E4FD6D49D3AB}" type="parTrans" cxnId="{A6EFA658-3FCF-4C5E-ABC6-FAEF3115E1B1}">
      <dgm:prSet/>
      <dgm:spPr/>
      <dgm:t>
        <a:bodyPr/>
        <a:lstStyle/>
        <a:p>
          <a:endParaRPr lang="en-US"/>
        </a:p>
      </dgm:t>
    </dgm:pt>
    <dgm:pt modelId="{9F15747A-0B29-444F-88C7-A13F4B009075}" type="sibTrans" cxnId="{A6EFA658-3FCF-4C5E-ABC6-FAEF3115E1B1}">
      <dgm:prSet/>
      <dgm:spPr/>
      <dgm:t>
        <a:bodyPr/>
        <a:lstStyle/>
        <a:p>
          <a:endParaRPr lang="en-US"/>
        </a:p>
      </dgm:t>
    </dgm:pt>
    <dgm:pt modelId="{0EB5D6DF-4650-46CF-A94A-CC1919CC15A3}">
      <dgm:prSet phldrT="[Text]"/>
      <dgm:spPr/>
      <dgm:t>
        <a:bodyPr/>
        <a:lstStyle/>
        <a:p>
          <a:r>
            <a:rPr lang="en-US"/>
            <a:t>BIO 144 - Insect Biology</a:t>
          </a:r>
        </a:p>
      </dgm:t>
    </dgm:pt>
    <dgm:pt modelId="{038BC5FB-27F7-445C-90D8-88DE4817CDB3}" type="parTrans" cxnId="{D2B607EE-CA54-44EA-9984-D73EF622D96D}">
      <dgm:prSet/>
      <dgm:spPr/>
      <dgm:t>
        <a:bodyPr/>
        <a:lstStyle/>
        <a:p>
          <a:endParaRPr lang="en-US"/>
        </a:p>
      </dgm:t>
    </dgm:pt>
    <dgm:pt modelId="{BBAEFC48-89EB-42D7-B2CE-735C6A04AACC}" type="sibTrans" cxnId="{D2B607EE-CA54-44EA-9984-D73EF622D96D}">
      <dgm:prSet/>
      <dgm:spPr/>
      <dgm:t>
        <a:bodyPr/>
        <a:lstStyle/>
        <a:p>
          <a:endParaRPr lang="en-US"/>
        </a:p>
      </dgm:t>
    </dgm:pt>
    <dgm:pt modelId="{ED7E83A3-A70C-48B0-B438-62ACEDF46A14}">
      <dgm:prSet phldrT="[Text]"/>
      <dgm:spPr/>
      <dgm:t>
        <a:bodyPr/>
        <a:lstStyle/>
        <a:p>
          <a:r>
            <a:rPr lang="en-US"/>
            <a:t>BIO 150 - Principles Of Biology I</a:t>
          </a:r>
        </a:p>
      </dgm:t>
    </dgm:pt>
    <dgm:pt modelId="{A31FFABE-2CEB-40CB-BB55-A880CCB85E4D}" type="parTrans" cxnId="{DB499318-E409-4683-9097-468ED819A4E3}">
      <dgm:prSet/>
      <dgm:spPr/>
      <dgm:t>
        <a:bodyPr/>
        <a:lstStyle/>
        <a:p>
          <a:endParaRPr lang="en-US"/>
        </a:p>
      </dgm:t>
    </dgm:pt>
    <dgm:pt modelId="{A16879DF-CB5C-40BE-9D8D-BD255E68FD5C}" type="sibTrans" cxnId="{DB499318-E409-4683-9097-468ED819A4E3}">
      <dgm:prSet/>
      <dgm:spPr/>
      <dgm:t>
        <a:bodyPr/>
        <a:lstStyle/>
        <a:p>
          <a:endParaRPr lang="en-US"/>
        </a:p>
      </dgm:t>
    </dgm:pt>
    <dgm:pt modelId="{9159F58C-3609-4AB6-BBA5-1E1D80AE4FD2}">
      <dgm:prSet phldrT="[Text]"/>
      <dgm:spPr/>
      <dgm:t>
        <a:bodyPr/>
        <a:lstStyle/>
        <a:p>
          <a:r>
            <a:rPr lang="en-US"/>
            <a:t>BIO 151 - Principles Of Biology Laboratory I</a:t>
          </a:r>
        </a:p>
      </dgm:t>
    </dgm:pt>
    <dgm:pt modelId="{B9C3711D-AB0C-41E0-B9F6-89C70B9CDF94}" type="parTrans" cxnId="{2C5B57F5-A3B5-446C-9159-D638D771D033}">
      <dgm:prSet/>
      <dgm:spPr/>
      <dgm:t>
        <a:bodyPr/>
        <a:lstStyle/>
        <a:p>
          <a:endParaRPr lang="en-US"/>
        </a:p>
      </dgm:t>
    </dgm:pt>
    <dgm:pt modelId="{698C5EEB-672B-46D7-9F77-05B330CC1411}" type="sibTrans" cxnId="{2C5B57F5-A3B5-446C-9159-D638D771D033}">
      <dgm:prSet/>
      <dgm:spPr/>
      <dgm:t>
        <a:bodyPr/>
        <a:lstStyle/>
        <a:p>
          <a:endParaRPr lang="en-US"/>
        </a:p>
      </dgm:t>
    </dgm:pt>
    <dgm:pt modelId="{C3E666A3-E100-401A-AD49-C1BBCBCE051D}">
      <dgm:prSet phldrT="[Text]"/>
      <dgm:spPr/>
      <dgm:t>
        <a:bodyPr/>
        <a:lstStyle/>
        <a:p>
          <a:r>
            <a:rPr lang="en-US"/>
            <a:t>BIO 152 - Principles Of Biology II</a:t>
          </a:r>
        </a:p>
      </dgm:t>
    </dgm:pt>
    <dgm:pt modelId="{307BDD69-22F4-402E-B04E-77EDCA6529BB}" type="parTrans" cxnId="{077519D9-BC9B-43C5-85E2-9C579441E7BB}">
      <dgm:prSet/>
      <dgm:spPr/>
      <dgm:t>
        <a:bodyPr/>
        <a:lstStyle/>
        <a:p>
          <a:endParaRPr lang="en-US"/>
        </a:p>
      </dgm:t>
    </dgm:pt>
    <dgm:pt modelId="{B6CBA306-6BD4-4528-B289-5DE202721A8A}" type="sibTrans" cxnId="{077519D9-BC9B-43C5-85E2-9C579441E7BB}">
      <dgm:prSet/>
      <dgm:spPr/>
      <dgm:t>
        <a:bodyPr/>
        <a:lstStyle/>
        <a:p>
          <a:endParaRPr lang="en-US"/>
        </a:p>
      </dgm:t>
    </dgm:pt>
    <dgm:pt modelId="{7CC85F6A-466A-450F-B75C-E213B51B19F9}">
      <dgm:prSet phldrT="[Text]"/>
      <dgm:spPr/>
      <dgm:t>
        <a:bodyPr/>
        <a:lstStyle/>
        <a:p>
          <a:r>
            <a:rPr lang="en-US"/>
            <a:t>BIO 153 - Principles Of Biology Laboratory II</a:t>
          </a:r>
        </a:p>
      </dgm:t>
    </dgm:pt>
    <dgm:pt modelId="{F3892001-CA52-4B42-A9BE-410F257776C0}" type="parTrans" cxnId="{59E7A979-D25F-4F93-8B00-579B5566EA1C}">
      <dgm:prSet/>
      <dgm:spPr/>
      <dgm:t>
        <a:bodyPr/>
        <a:lstStyle/>
        <a:p>
          <a:endParaRPr lang="en-US"/>
        </a:p>
      </dgm:t>
    </dgm:pt>
    <dgm:pt modelId="{9B892A21-0FD4-4968-AF19-215DB811CA3A}" type="sibTrans" cxnId="{59E7A979-D25F-4F93-8B00-579B5566EA1C}">
      <dgm:prSet/>
      <dgm:spPr/>
      <dgm:t>
        <a:bodyPr/>
        <a:lstStyle/>
        <a:p>
          <a:endParaRPr lang="en-US"/>
        </a:p>
      </dgm:t>
    </dgm:pt>
    <dgm:pt modelId="{86FB5C4C-E951-48BC-8501-4936FC0C8C05}">
      <dgm:prSet phldrT="[Text]"/>
      <dgm:spPr/>
      <dgm:t>
        <a:bodyPr/>
        <a:lstStyle/>
        <a:p>
          <a:r>
            <a:rPr lang="en-US"/>
            <a:t>BIO 155/AST 155 - Astrobiology</a:t>
          </a:r>
        </a:p>
      </dgm:t>
    </dgm:pt>
    <dgm:pt modelId="{86CD60F2-4B94-4C1F-BB0F-14AA4AF2D79E}" type="parTrans" cxnId="{38AFE76B-EE3A-432D-BA11-3FE290F9F43E}">
      <dgm:prSet/>
      <dgm:spPr/>
      <dgm:t>
        <a:bodyPr/>
        <a:lstStyle/>
        <a:p>
          <a:endParaRPr lang="en-US"/>
        </a:p>
      </dgm:t>
    </dgm:pt>
    <dgm:pt modelId="{4D847F96-11F3-4631-92C5-4B54E9BF43C4}" type="sibTrans" cxnId="{38AFE76B-EE3A-432D-BA11-3FE290F9F43E}">
      <dgm:prSet/>
      <dgm:spPr/>
      <dgm:t>
        <a:bodyPr/>
        <a:lstStyle/>
        <a:p>
          <a:endParaRPr lang="en-US"/>
        </a:p>
      </dgm:t>
    </dgm:pt>
    <dgm:pt modelId="{E1911496-E8DE-48DA-88F0-C9EABE21D6B5}">
      <dgm:prSet phldrT="[Text]"/>
      <dgm:spPr/>
      <dgm:t>
        <a:bodyPr/>
        <a:lstStyle/>
        <a:p>
          <a:r>
            <a:rPr lang="en-US"/>
            <a:t>BIO 209 - Introductory Microbiology Lab</a:t>
          </a:r>
        </a:p>
      </dgm:t>
    </dgm:pt>
    <dgm:pt modelId="{30C6FBB6-98E6-44F6-B54A-64014385ACF1}" type="parTrans" cxnId="{518D0136-E575-4DB6-9249-C64256602BF8}">
      <dgm:prSet/>
      <dgm:spPr/>
      <dgm:t>
        <a:bodyPr/>
        <a:lstStyle/>
        <a:p>
          <a:endParaRPr lang="en-US"/>
        </a:p>
      </dgm:t>
    </dgm:pt>
    <dgm:pt modelId="{E614E437-1B1B-4676-89F2-768CE37A8275}" type="sibTrans" cxnId="{518D0136-E575-4DB6-9249-C64256602BF8}">
      <dgm:prSet/>
      <dgm:spPr/>
      <dgm:t>
        <a:bodyPr/>
        <a:lstStyle/>
        <a:p>
          <a:endParaRPr lang="en-US"/>
        </a:p>
      </dgm:t>
    </dgm:pt>
    <dgm:pt modelId="{114E4D8B-7EE9-4F8B-A228-8290EE6CA025}">
      <dgm:prSet phldrT="[Text]"/>
      <dgm:spPr/>
      <dgm:t>
        <a:bodyPr/>
        <a:lstStyle/>
        <a:p>
          <a:r>
            <a:rPr lang="en-US"/>
            <a:t>BIO 220 - The Genetic Perspective</a:t>
          </a:r>
        </a:p>
      </dgm:t>
    </dgm:pt>
    <dgm:pt modelId="{F8EDE4D0-616D-4429-99BA-021086735F1A}" type="parTrans" cxnId="{1AA87820-CDE1-404A-8E3B-B59E5938CBA7}">
      <dgm:prSet/>
      <dgm:spPr/>
      <dgm:t>
        <a:bodyPr/>
        <a:lstStyle/>
        <a:p>
          <a:endParaRPr lang="en-US"/>
        </a:p>
      </dgm:t>
    </dgm:pt>
    <dgm:pt modelId="{A470FF7A-D1AB-4768-8506-F993F97AF9A5}" type="sibTrans" cxnId="{1AA87820-CDE1-404A-8E3B-B59E5938CBA7}">
      <dgm:prSet/>
      <dgm:spPr/>
      <dgm:t>
        <a:bodyPr/>
        <a:lstStyle/>
        <a:p>
          <a:endParaRPr lang="en-US"/>
        </a:p>
      </dgm:t>
    </dgm:pt>
    <dgm:pt modelId="{591C18F9-EF85-4646-9AB4-BBB9E9F196C2}">
      <dgm:prSet phldrT="[Text]"/>
      <dgm:spPr/>
      <dgm:t>
        <a:bodyPr/>
        <a:lstStyle/>
        <a:p>
          <a:r>
            <a:rPr lang="en-US"/>
            <a:t>BIO 225 - Medical Microbiology</a:t>
          </a:r>
        </a:p>
      </dgm:t>
    </dgm:pt>
    <dgm:pt modelId="{BA74C062-B035-402D-8C0C-30F1CEDE6065}" type="parTrans" cxnId="{8753E6C5-B382-4604-88C4-987AF8D0C96D}">
      <dgm:prSet/>
      <dgm:spPr/>
      <dgm:t>
        <a:bodyPr/>
        <a:lstStyle/>
        <a:p>
          <a:endParaRPr lang="en-US"/>
        </a:p>
      </dgm:t>
    </dgm:pt>
    <dgm:pt modelId="{69331664-E349-4AFF-88D6-0CD2B3F907BA}" type="sibTrans" cxnId="{8753E6C5-B382-4604-88C4-987AF8D0C96D}">
      <dgm:prSet/>
      <dgm:spPr/>
      <dgm:t>
        <a:bodyPr/>
        <a:lstStyle/>
        <a:p>
          <a:endParaRPr lang="en-US"/>
        </a:p>
      </dgm:t>
    </dgm:pt>
    <dgm:pt modelId="{73ECD602-F1E8-4C34-BFD6-3B52C100B7EC}">
      <dgm:prSet phldrT="[Text]"/>
      <dgm:spPr/>
      <dgm:t>
        <a:bodyPr/>
        <a:lstStyle/>
        <a:p>
          <a:r>
            <a:rPr lang="en-US"/>
            <a:t>BIO 226 - Principles Of Microbiology</a:t>
          </a:r>
        </a:p>
      </dgm:t>
    </dgm:pt>
    <dgm:pt modelId="{7528DFD1-DAD6-4FFA-8950-F5250379A36D}" type="parTrans" cxnId="{E16031C5-F3CA-43F6-8BC5-0A0CF0DDFB0F}">
      <dgm:prSet/>
      <dgm:spPr/>
      <dgm:t>
        <a:bodyPr/>
        <a:lstStyle/>
        <a:p>
          <a:endParaRPr lang="en-US"/>
        </a:p>
      </dgm:t>
    </dgm:pt>
    <dgm:pt modelId="{33F0E652-2C45-442D-8296-4427CCCFCE55}" type="sibTrans" cxnId="{E16031C5-F3CA-43F6-8BC5-0A0CF0DDFB0F}">
      <dgm:prSet/>
      <dgm:spPr/>
      <dgm:t>
        <a:bodyPr/>
        <a:lstStyle/>
        <a:p>
          <a:endParaRPr lang="en-US"/>
        </a:p>
      </dgm:t>
    </dgm:pt>
    <dgm:pt modelId="{87C5AEA6-B037-4BF0-AD1C-F1A531504FCE}">
      <dgm:prSet phldrT="[Text]"/>
      <dgm:spPr/>
      <dgm:t>
        <a:bodyPr/>
        <a:lstStyle/>
        <a:p>
          <a:r>
            <a:rPr lang="en-US"/>
            <a:t>BIO 227 - Principles Of Microbiology With Laboratory</a:t>
          </a:r>
        </a:p>
      </dgm:t>
    </dgm:pt>
    <dgm:pt modelId="{D7BF4300-E8D8-4913-A99A-5C6D411392EC}" type="parTrans" cxnId="{48C2AD83-B6E2-4D42-B842-CAAAC895D4BA}">
      <dgm:prSet/>
      <dgm:spPr/>
      <dgm:t>
        <a:bodyPr/>
        <a:lstStyle/>
        <a:p>
          <a:endParaRPr lang="en-US"/>
        </a:p>
      </dgm:t>
    </dgm:pt>
    <dgm:pt modelId="{17F2954E-B415-456E-9B26-52C9F3123279}" type="sibTrans" cxnId="{48C2AD83-B6E2-4D42-B842-CAAAC895D4BA}">
      <dgm:prSet/>
      <dgm:spPr/>
      <dgm:t>
        <a:bodyPr/>
        <a:lstStyle/>
        <a:p>
          <a:endParaRPr lang="en-US"/>
        </a:p>
      </dgm:t>
    </dgm:pt>
    <dgm:pt modelId="{B13160F2-1B9F-45D9-AF09-6D7C5001834D}">
      <dgm:prSet phldrT="[Text]"/>
      <dgm:spPr/>
      <dgm:t>
        <a:bodyPr/>
        <a:lstStyle/>
        <a:p>
          <a:r>
            <a:rPr lang="en-US"/>
            <a:t>CHE 120 - The Joy Of Chemistry</a:t>
          </a:r>
        </a:p>
      </dgm:t>
    </dgm:pt>
    <dgm:pt modelId="{40B98DE7-E261-4526-B5F5-61CDFDEBF7BC}" type="parTrans" cxnId="{764695B7-78D3-44FD-A678-D7E124785373}">
      <dgm:prSet/>
      <dgm:spPr/>
      <dgm:t>
        <a:bodyPr/>
        <a:lstStyle/>
        <a:p>
          <a:endParaRPr lang="en-US"/>
        </a:p>
      </dgm:t>
    </dgm:pt>
    <dgm:pt modelId="{7527E1A3-91A0-4377-BD8F-F3FCBC9B1434}" type="sibTrans" cxnId="{764695B7-78D3-44FD-A678-D7E124785373}">
      <dgm:prSet/>
      <dgm:spPr/>
      <dgm:t>
        <a:bodyPr/>
        <a:lstStyle/>
        <a:p>
          <a:endParaRPr lang="en-US"/>
        </a:p>
      </dgm:t>
    </dgm:pt>
    <dgm:pt modelId="{778FC4BC-B94E-463C-B8CB-3068000BAE59}">
      <dgm:prSet phldrT="[Text]"/>
      <dgm:spPr/>
      <dgm:t>
        <a:bodyPr/>
        <a:lstStyle/>
        <a:p>
          <a:r>
            <a:rPr lang="en-US"/>
            <a:t>CHE 125 - The Joy Of Chemistry Laboratory</a:t>
          </a:r>
        </a:p>
      </dgm:t>
    </dgm:pt>
    <dgm:pt modelId="{D92A5AD2-AB04-4170-B286-603D609D337C}" type="parTrans" cxnId="{8592D90F-3863-4054-8E8D-1F6DF3B47244}">
      <dgm:prSet/>
      <dgm:spPr/>
      <dgm:t>
        <a:bodyPr/>
        <a:lstStyle/>
        <a:p>
          <a:endParaRPr lang="en-US"/>
        </a:p>
      </dgm:t>
    </dgm:pt>
    <dgm:pt modelId="{CFAE0DC4-7FC7-4BC5-B51C-B69F4E2A9AD2}" type="sibTrans" cxnId="{8592D90F-3863-4054-8E8D-1F6DF3B47244}">
      <dgm:prSet/>
      <dgm:spPr/>
      <dgm:t>
        <a:bodyPr/>
        <a:lstStyle/>
        <a:p>
          <a:endParaRPr lang="en-US"/>
        </a:p>
      </dgm:t>
    </dgm:pt>
    <dgm:pt modelId="{FCD3BB7A-ED22-47FF-A3A4-AC8789890E7C}">
      <dgm:prSet phldrT="[Text]"/>
      <dgm:spPr/>
      <dgm:t>
        <a:bodyPr/>
        <a:lstStyle/>
        <a:p>
          <a:r>
            <a:rPr lang="en-US"/>
            <a:t>CHE 130 - Introductory General &amp; Biological Chemistry</a:t>
          </a:r>
        </a:p>
      </dgm:t>
    </dgm:pt>
    <dgm:pt modelId="{2A53C0C2-4D02-47FE-A291-4F08669A7604}" type="parTrans" cxnId="{F73A315F-35B7-4030-B88D-B6C87E6B5E30}">
      <dgm:prSet/>
      <dgm:spPr/>
      <dgm:t>
        <a:bodyPr/>
        <a:lstStyle/>
        <a:p>
          <a:endParaRPr lang="en-US"/>
        </a:p>
      </dgm:t>
    </dgm:pt>
    <dgm:pt modelId="{E279FD6C-2DE5-44F7-A36C-C1545872661A}" type="sibTrans" cxnId="{F73A315F-35B7-4030-B88D-B6C87E6B5E30}">
      <dgm:prSet/>
      <dgm:spPr/>
      <dgm:t>
        <a:bodyPr/>
        <a:lstStyle/>
        <a:p>
          <a:endParaRPr lang="en-US"/>
        </a:p>
      </dgm:t>
    </dgm:pt>
    <dgm:pt modelId="{BC39719C-BDC7-4DB6-9680-1B9F18E1EF41}">
      <dgm:prSet phldrT="[Text]"/>
      <dgm:spPr/>
      <dgm:t>
        <a:bodyPr/>
        <a:lstStyle/>
        <a:p>
          <a:r>
            <a:rPr lang="en-US"/>
            <a:t>CHE 140 - Introductory General Chemistry</a:t>
          </a:r>
        </a:p>
      </dgm:t>
    </dgm:pt>
    <dgm:pt modelId="{BC36827C-5686-4896-8AAF-C03455F2F809}" type="parTrans" cxnId="{E36FE826-CB2E-46BF-A302-2EEE465CEEAC}">
      <dgm:prSet/>
      <dgm:spPr/>
      <dgm:t>
        <a:bodyPr/>
        <a:lstStyle/>
        <a:p>
          <a:endParaRPr lang="en-US"/>
        </a:p>
      </dgm:t>
    </dgm:pt>
    <dgm:pt modelId="{07F7C879-6ACD-4926-AFF4-253686BDA3BF}" type="sibTrans" cxnId="{E36FE826-CB2E-46BF-A302-2EEE465CEEAC}">
      <dgm:prSet/>
      <dgm:spPr/>
      <dgm:t>
        <a:bodyPr/>
        <a:lstStyle/>
        <a:p>
          <a:endParaRPr lang="en-US"/>
        </a:p>
      </dgm:t>
    </dgm:pt>
    <dgm:pt modelId="{CE0012F6-6CF2-4333-8C08-93B024450F78}">
      <dgm:prSet phldrT="[Text]"/>
      <dgm:spPr/>
      <dgm:t>
        <a:bodyPr/>
        <a:lstStyle/>
        <a:p>
          <a:r>
            <a:rPr lang="en-US"/>
            <a:t>CHE 145 - Introductory General Chemistry Laboratory</a:t>
          </a:r>
        </a:p>
      </dgm:t>
    </dgm:pt>
    <dgm:pt modelId="{F72103A8-B2E8-47C6-87A1-5F44CE2C02A3}" type="parTrans" cxnId="{DBA4BE41-4B2E-40A1-9D91-93FF602FAAE2}">
      <dgm:prSet/>
      <dgm:spPr/>
      <dgm:t>
        <a:bodyPr/>
        <a:lstStyle/>
        <a:p>
          <a:endParaRPr lang="en-US"/>
        </a:p>
      </dgm:t>
    </dgm:pt>
    <dgm:pt modelId="{8089A49C-BAAD-4EF6-BFD0-3D432A19C662}" type="sibTrans" cxnId="{DBA4BE41-4B2E-40A1-9D91-93FF602FAAE2}">
      <dgm:prSet/>
      <dgm:spPr/>
      <dgm:t>
        <a:bodyPr/>
        <a:lstStyle/>
        <a:p>
          <a:endParaRPr lang="en-US"/>
        </a:p>
      </dgm:t>
    </dgm:pt>
    <dgm:pt modelId="{8B30C0DC-2F30-425D-9AE9-0A2F0EC6ED06}">
      <dgm:prSet phldrT="[Text]"/>
      <dgm:spPr/>
      <dgm:t>
        <a:bodyPr/>
        <a:lstStyle/>
        <a:p>
          <a:r>
            <a:rPr lang="en-US"/>
            <a:t>CHE 150 - Introduction To Organic &amp; Biological Chemistry</a:t>
          </a:r>
        </a:p>
      </dgm:t>
    </dgm:pt>
    <dgm:pt modelId="{A3C042FD-6DFF-48A4-B71B-3B9C4533806C}" type="parTrans" cxnId="{5B66F036-332F-42FD-B7E7-48E0C5773FF6}">
      <dgm:prSet/>
      <dgm:spPr/>
      <dgm:t>
        <a:bodyPr/>
        <a:lstStyle/>
        <a:p>
          <a:endParaRPr lang="en-US"/>
        </a:p>
      </dgm:t>
    </dgm:pt>
    <dgm:pt modelId="{22F4DE95-E205-41C0-B73A-23B81E5FEF08}" type="sibTrans" cxnId="{5B66F036-332F-42FD-B7E7-48E0C5773FF6}">
      <dgm:prSet/>
      <dgm:spPr/>
      <dgm:t>
        <a:bodyPr/>
        <a:lstStyle/>
        <a:p>
          <a:endParaRPr lang="en-US"/>
        </a:p>
      </dgm:t>
    </dgm:pt>
    <dgm:pt modelId="{1B66D224-A306-460A-B26C-C45ECEB9FD81}">
      <dgm:prSet phldrT="[Text]"/>
      <dgm:spPr/>
      <dgm:t>
        <a:bodyPr/>
        <a:lstStyle/>
        <a:p>
          <a:r>
            <a:rPr lang="en-US"/>
            <a:t>CHE 155 - Introduction To Organic &amp; Biological Chemistry Laboratory</a:t>
          </a:r>
        </a:p>
      </dgm:t>
    </dgm:pt>
    <dgm:pt modelId="{5EFB015D-7725-442E-9975-1FA3D34165CC}" type="parTrans" cxnId="{88A03591-6935-4FDA-B596-BFA957BD1188}">
      <dgm:prSet/>
      <dgm:spPr/>
      <dgm:t>
        <a:bodyPr/>
        <a:lstStyle/>
        <a:p>
          <a:endParaRPr lang="en-US"/>
        </a:p>
      </dgm:t>
    </dgm:pt>
    <dgm:pt modelId="{A6C51116-7964-45BD-B201-E8A2FD38AB77}" type="sibTrans" cxnId="{88A03591-6935-4FDA-B596-BFA957BD1188}">
      <dgm:prSet/>
      <dgm:spPr/>
      <dgm:t>
        <a:bodyPr/>
        <a:lstStyle/>
        <a:p>
          <a:endParaRPr lang="en-US"/>
        </a:p>
      </dgm:t>
    </dgm:pt>
    <dgm:pt modelId="{395BF311-471A-4FC1-BC75-8052805C3BBD}">
      <dgm:prSet phldrT="[Text]"/>
      <dgm:spPr/>
      <dgm:t>
        <a:bodyPr/>
        <a:lstStyle/>
        <a:p>
          <a:r>
            <a:rPr lang="en-US"/>
            <a:t>CHE 170 - General College Chemistry I</a:t>
          </a:r>
        </a:p>
      </dgm:t>
    </dgm:pt>
    <dgm:pt modelId="{64C94B97-9E66-44BA-9ED1-9154B43FADD2}" type="parTrans" cxnId="{D86F3AB8-0136-448B-94C5-159D21D1ADFC}">
      <dgm:prSet/>
      <dgm:spPr/>
      <dgm:t>
        <a:bodyPr/>
        <a:lstStyle/>
        <a:p>
          <a:endParaRPr lang="en-US"/>
        </a:p>
      </dgm:t>
    </dgm:pt>
    <dgm:pt modelId="{477B1198-56D6-4A32-BBF8-4181E69596B8}" type="sibTrans" cxnId="{D86F3AB8-0136-448B-94C5-159D21D1ADFC}">
      <dgm:prSet/>
      <dgm:spPr/>
      <dgm:t>
        <a:bodyPr/>
        <a:lstStyle/>
        <a:p>
          <a:endParaRPr lang="en-US"/>
        </a:p>
      </dgm:t>
    </dgm:pt>
    <dgm:pt modelId="{39FA03CD-5C19-4255-85B8-5B8DFE67FF4D}">
      <dgm:prSet phldrT="[Text]"/>
      <dgm:spPr/>
      <dgm:t>
        <a:bodyPr/>
        <a:lstStyle/>
        <a:p>
          <a:r>
            <a:rPr lang="en-US"/>
            <a:t>CHE 175 - General College Chemistry Laboratory I</a:t>
          </a:r>
        </a:p>
      </dgm:t>
    </dgm:pt>
    <dgm:pt modelId="{5A295796-011F-44F2-B822-CA82B3BCFAA6}" type="parTrans" cxnId="{2EBC4865-1B37-420A-9C7F-AE7A1C2FF8CF}">
      <dgm:prSet/>
      <dgm:spPr/>
      <dgm:t>
        <a:bodyPr/>
        <a:lstStyle/>
        <a:p>
          <a:endParaRPr lang="en-US"/>
        </a:p>
      </dgm:t>
    </dgm:pt>
    <dgm:pt modelId="{223B7F7A-B7FE-444C-AFC6-C64B6955D1DE}" type="sibTrans" cxnId="{2EBC4865-1B37-420A-9C7F-AE7A1C2FF8CF}">
      <dgm:prSet/>
      <dgm:spPr/>
      <dgm:t>
        <a:bodyPr/>
        <a:lstStyle/>
        <a:p>
          <a:endParaRPr lang="en-US"/>
        </a:p>
      </dgm:t>
    </dgm:pt>
    <dgm:pt modelId="{FC5CA66F-FAA0-4C99-B52E-A804E9141511}">
      <dgm:prSet phldrT="[Text]"/>
      <dgm:spPr/>
      <dgm:t>
        <a:bodyPr/>
        <a:lstStyle/>
        <a:p>
          <a:r>
            <a:rPr lang="en-US"/>
            <a:t>CHE 180 - General College Chemistry II</a:t>
          </a:r>
        </a:p>
      </dgm:t>
    </dgm:pt>
    <dgm:pt modelId="{47B0A285-A634-4C82-87F5-5AE0B4BA5C19}" type="parTrans" cxnId="{E4A40B8C-55E4-492E-9C16-443BF4DD7A48}">
      <dgm:prSet/>
      <dgm:spPr/>
      <dgm:t>
        <a:bodyPr/>
        <a:lstStyle/>
        <a:p>
          <a:endParaRPr lang="en-US"/>
        </a:p>
      </dgm:t>
    </dgm:pt>
    <dgm:pt modelId="{BE0F6C43-DEBD-4293-BDD7-0C097369ABDA}" type="sibTrans" cxnId="{E4A40B8C-55E4-492E-9C16-443BF4DD7A48}">
      <dgm:prSet/>
      <dgm:spPr/>
      <dgm:t>
        <a:bodyPr/>
        <a:lstStyle/>
        <a:p>
          <a:endParaRPr lang="en-US"/>
        </a:p>
      </dgm:t>
    </dgm:pt>
    <dgm:pt modelId="{11811FC4-76E5-4554-89ED-2BDF5D4CD5A8}">
      <dgm:prSet phldrT="[Text]"/>
      <dgm:spPr/>
      <dgm:t>
        <a:bodyPr/>
        <a:lstStyle/>
        <a:p>
          <a:r>
            <a:rPr lang="en-US"/>
            <a:t>CHE 185 - General College Chemistry Laboratory II</a:t>
          </a:r>
        </a:p>
      </dgm:t>
    </dgm:pt>
    <dgm:pt modelId="{20C33BEF-5F68-4B19-8CCE-3331FD874728}" type="parTrans" cxnId="{38B38B90-EB88-4FFA-831A-29888B47F297}">
      <dgm:prSet/>
      <dgm:spPr/>
      <dgm:t>
        <a:bodyPr/>
        <a:lstStyle/>
        <a:p>
          <a:endParaRPr lang="en-US"/>
        </a:p>
      </dgm:t>
    </dgm:pt>
    <dgm:pt modelId="{77D0E30E-4C64-47F6-8AC6-B9EFAC68A805}" type="sibTrans" cxnId="{38B38B90-EB88-4FFA-831A-29888B47F297}">
      <dgm:prSet/>
      <dgm:spPr/>
      <dgm:t>
        <a:bodyPr/>
        <a:lstStyle/>
        <a:p>
          <a:endParaRPr lang="en-US"/>
        </a:p>
      </dgm:t>
    </dgm:pt>
    <dgm:pt modelId="{8C483325-F2C8-4CB6-B2E3-76F760579674}">
      <dgm:prSet phldrT="[Text]"/>
      <dgm:spPr/>
      <dgm:t>
        <a:bodyPr/>
        <a:lstStyle/>
        <a:p>
          <a:r>
            <a:rPr lang="en-US"/>
            <a:t>CHE 220 - Analytical Chemistry</a:t>
          </a:r>
        </a:p>
      </dgm:t>
    </dgm:pt>
    <dgm:pt modelId="{B4F70A8E-902B-4CB0-A31A-9F79FECBD935}" type="parTrans" cxnId="{F13DF007-708D-4B9D-955D-B4BF660ADF3C}">
      <dgm:prSet/>
      <dgm:spPr/>
      <dgm:t>
        <a:bodyPr/>
        <a:lstStyle/>
        <a:p>
          <a:endParaRPr lang="en-US"/>
        </a:p>
      </dgm:t>
    </dgm:pt>
    <dgm:pt modelId="{AAC85DBB-54C1-4C8A-B605-A815C554E85C}" type="sibTrans" cxnId="{F13DF007-708D-4B9D-955D-B4BF660ADF3C}">
      <dgm:prSet/>
      <dgm:spPr/>
      <dgm:t>
        <a:bodyPr/>
        <a:lstStyle/>
        <a:p>
          <a:endParaRPr lang="en-US"/>
        </a:p>
      </dgm:t>
    </dgm:pt>
    <dgm:pt modelId="{BF7A72C1-FDF9-41FC-8620-751CB5CC902E}">
      <dgm:prSet phldrT="[Text]"/>
      <dgm:spPr/>
      <dgm:t>
        <a:bodyPr/>
        <a:lstStyle/>
        <a:p>
          <a:r>
            <a:rPr lang="en-US"/>
            <a:t>CHE 270 - Organic Chemistry I</a:t>
          </a:r>
        </a:p>
      </dgm:t>
    </dgm:pt>
    <dgm:pt modelId="{BBDDBBFA-1149-40A8-A2DB-36E58C00131A}" type="parTrans" cxnId="{654C08D5-43F7-4A96-9F82-180C0020757B}">
      <dgm:prSet/>
      <dgm:spPr/>
      <dgm:t>
        <a:bodyPr/>
        <a:lstStyle/>
        <a:p>
          <a:endParaRPr lang="en-US"/>
        </a:p>
      </dgm:t>
    </dgm:pt>
    <dgm:pt modelId="{6DF60295-40C1-49D7-AF52-80C875F4985C}" type="sibTrans" cxnId="{654C08D5-43F7-4A96-9F82-180C0020757B}">
      <dgm:prSet/>
      <dgm:spPr/>
      <dgm:t>
        <a:bodyPr/>
        <a:lstStyle/>
        <a:p>
          <a:endParaRPr lang="en-US"/>
        </a:p>
      </dgm:t>
    </dgm:pt>
    <dgm:pt modelId="{949C6D5A-95EE-49F3-8611-AFE40D72FF4B}">
      <dgm:prSet phldrT="[Text]"/>
      <dgm:spPr/>
      <dgm:t>
        <a:bodyPr/>
        <a:lstStyle/>
        <a:p>
          <a:r>
            <a:rPr lang="en-US"/>
            <a:t>CHE 275 - Organic Chemistry Laboratory I</a:t>
          </a:r>
        </a:p>
      </dgm:t>
    </dgm:pt>
    <dgm:pt modelId="{47CB577F-1F03-4CD4-A492-FDB8C340B321}" type="parTrans" cxnId="{94FC681A-CACA-49AE-8D1B-18A642647CDB}">
      <dgm:prSet/>
      <dgm:spPr/>
      <dgm:t>
        <a:bodyPr/>
        <a:lstStyle/>
        <a:p>
          <a:endParaRPr lang="en-US"/>
        </a:p>
      </dgm:t>
    </dgm:pt>
    <dgm:pt modelId="{BD0D6635-2C1D-4B12-8CD5-CCCA13682B63}" type="sibTrans" cxnId="{94FC681A-CACA-49AE-8D1B-18A642647CDB}">
      <dgm:prSet/>
      <dgm:spPr/>
      <dgm:t>
        <a:bodyPr/>
        <a:lstStyle/>
        <a:p>
          <a:endParaRPr lang="en-US"/>
        </a:p>
      </dgm:t>
    </dgm:pt>
    <dgm:pt modelId="{DC489C5F-5021-4BBD-A8F0-E5BDED9EC3C3}">
      <dgm:prSet phldrT="[Text]"/>
      <dgm:spPr/>
      <dgm:t>
        <a:bodyPr/>
        <a:lstStyle/>
        <a:p>
          <a:r>
            <a:rPr lang="en-US"/>
            <a:t>CHE 280 - Organic Chemistry II</a:t>
          </a:r>
        </a:p>
      </dgm:t>
    </dgm:pt>
    <dgm:pt modelId="{30C94792-C849-4837-A821-9998CBFD261F}" type="parTrans" cxnId="{70AF0A11-61BD-4FC9-AE85-CE284E1D5E1C}">
      <dgm:prSet/>
      <dgm:spPr/>
      <dgm:t>
        <a:bodyPr/>
        <a:lstStyle/>
        <a:p>
          <a:endParaRPr lang="en-US"/>
        </a:p>
      </dgm:t>
    </dgm:pt>
    <dgm:pt modelId="{983D112B-B953-4579-A0D8-AA20D7E4850B}" type="sibTrans" cxnId="{70AF0A11-61BD-4FC9-AE85-CE284E1D5E1C}">
      <dgm:prSet/>
      <dgm:spPr/>
      <dgm:t>
        <a:bodyPr/>
        <a:lstStyle/>
        <a:p>
          <a:endParaRPr lang="en-US"/>
        </a:p>
      </dgm:t>
    </dgm:pt>
    <dgm:pt modelId="{7616858D-69CF-4C47-9DE4-CE44BB7C7B71}">
      <dgm:prSet phldrT="[Text]"/>
      <dgm:spPr/>
      <dgm:t>
        <a:bodyPr/>
        <a:lstStyle/>
        <a:p>
          <a:r>
            <a:rPr lang="en-US"/>
            <a:t>CHE 285 - Organic Chemistry Laboratory II</a:t>
          </a:r>
        </a:p>
      </dgm:t>
    </dgm:pt>
    <dgm:pt modelId="{3ECAB7BA-26B6-47C2-9532-CD59D87E23CD}" type="parTrans" cxnId="{426D60B1-0162-4C77-8BE8-665D2B6946D9}">
      <dgm:prSet/>
      <dgm:spPr/>
      <dgm:t>
        <a:bodyPr/>
        <a:lstStyle/>
        <a:p>
          <a:endParaRPr lang="en-US"/>
        </a:p>
      </dgm:t>
    </dgm:pt>
    <dgm:pt modelId="{448D3087-E395-4623-AAA8-FDF88AB7E281}" type="sibTrans" cxnId="{426D60B1-0162-4C77-8BE8-665D2B6946D9}">
      <dgm:prSet/>
      <dgm:spPr/>
      <dgm:t>
        <a:bodyPr/>
        <a:lstStyle/>
        <a:p>
          <a:endParaRPr lang="en-US"/>
        </a:p>
      </dgm:t>
    </dgm:pt>
    <dgm:pt modelId="{A2D19CD2-F28A-4936-8676-460364B755FD}">
      <dgm:prSet phldrT="[Text]"/>
      <dgm:spPr/>
      <dgm:t>
        <a:bodyPr/>
        <a:lstStyle/>
        <a:p>
          <a:r>
            <a:rPr lang="en-US"/>
            <a:t>EST 150 - Introductory Ecology</a:t>
          </a:r>
        </a:p>
      </dgm:t>
    </dgm:pt>
    <dgm:pt modelId="{3FF1FB0C-5685-44EE-8978-F90F0662586B}" type="parTrans" cxnId="{CEFAA73F-7113-46E0-BF7A-E481A8ACF9B4}">
      <dgm:prSet/>
      <dgm:spPr/>
      <dgm:t>
        <a:bodyPr/>
        <a:lstStyle/>
        <a:p>
          <a:endParaRPr lang="en-US"/>
        </a:p>
      </dgm:t>
    </dgm:pt>
    <dgm:pt modelId="{E434DC4F-0D38-4957-A7FA-EBB9210458F7}" type="sibTrans" cxnId="{CEFAA73F-7113-46E0-BF7A-E481A8ACF9B4}">
      <dgm:prSet/>
      <dgm:spPr/>
      <dgm:t>
        <a:bodyPr/>
        <a:lstStyle/>
        <a:p>
          <a:endParaRPr lang="en-US"/>
        </a:p>
      </dgm:t>
    </dgm:pt>
    <dgm:pt modelId="{40E17D2D-BADA-476B-A11F-73309148254A}">
      <dgm:prSet phldrT="[Text]"/>
      <dgm:spPr/>
      <dgm:t>
        <a:bodyPr/>
        <a:lstStyle/>
        <a:p>
          <a:r>
            <a:rPr lang="en-US"/>
            <a:t>EST 160 - Hydrological Geology</a:t>
          </a:r>
        </a:p>
      </dgm:t>
    </dgm:pt>
    <dgm:pt modelId="{68876B6D-3A31-4645-B1DB-6AE4E78626E9}" type="parTrans" cxnId="{749640A6-788A-43AD-B4EB-8B5563874D5D}">
      <dgm:prSet/>
      <dgm:spPr/>
      <dgm:t>
        <a:bodyPr/>
        <a:lstStyle/>
        <a:p>
          <a:endParaRPr lang="en-US"/>
        </a:p>
      </dgm:t>
    </dgm:pt>
    <dgm:pt modelId="{BA48BE6A-CEA9-4C45-8A18-E6FB533295F9}" type="sibTrans" cxnId="{749640A6-788A-43AD-B4EB-8B5563874D5D}">
      <dgm:prSet/>
      <dgm:spPr/>
      <dgm:t>
        <a:bodyPr/>
        <a:lstStyle/>
        <a:p>
          <a:endParaRPr lang="en-US"/>
        </a:p>
      </dgm:t>
    </dgm:pt>
    <dgm:pt modelId="{21E70A7B-0814-4915-BD05-6756E2F50415}">
      <dgm:prSet phldrT="[Text]"/>
      <dgm:spPr/>
      <dgm:t>
        <a:bodyPr/>
        <a:lstStyle/>
        <a:p>
          <a:r>
            <a:rPr lang="en-US"/>
            <a:t>GEO 130 - Earth's Physical Environment</a:t>
          </a:r>
        </a:p>
      </dgm:t>
    </dgm:pt>
    <dgm:pt modelId="{B853497F-6EC3-4EF4-8CF2-B63A54E1DE58}" type="parTrans" cxnId="{BFBE861D-E1DF-4674-83AD-6782DA3AEEE3}">
      <dgm:prSet/>
      <dgm:spPr/>
      <dgm:t>
        <a:bodyPr/>
        <a:lstStyle/>
        <a:p>
          <a:endParaRPr lang="en-US"/>
        </a:p>
      </dgm:t>
    </dgm:pt>
    <dgm:pt modelId="{732BD314-D64B-48F2-84A6-9405B3E6207A}" type="sibTrans" cxnId="{BFBE861D-E1DF-4674-83AD-6782DA3AEEE3}">
      <dgm:prSet/>
      <dgm:spPr/>
      <dgm:t>
        <a:bodyPr/>
        <a:lstStyle/>
        <a:p>
          <a:endParaRPr lang="en-US"/>
        </a:p>
      </dgm:t>
    </dgm:pt>
    <dgm:pt modelId="{C61D0B8E-D1DF-4D29-A743-7A2EE1F5E50D}">
      <dgm:prSet phldrT="[Text]"/>
      <dgm:spPr/>
      <dgm:t>
        <a:bodyPr/>
        <a:lstStyle/>
        <a:p>
          <a:r>
            <a:rPr lang="en-US"/>
            <a:t>GEO 251 - Weather &amp; Climate</a:t>
          </a:r>
        </a:p>
      </dgm:t>
    </dgm:pt>
    <dgm:pt modelId="{D7FE7F69-60A8-42CC-BF55-29ADCA2E3808}" type="parTrans" cxnId="{29955453-032E-4BB3-B798-87BFA728658D}">
      <dgm:prSet/>
      <dgm:spPr/>
      <dgm:t>
        <a:bodyPr/>
        <a:lstStyle/>
        <a:p>
          <a:endParaRPr lang="en-US"/>
        </a:p>
      </dgm:t>
    </dgm:pt>
    <dgm:pt modelId="{9739474C-9F18-40E1-AA19-A83D3857AB71}" type="sibTrans" cxnId="{29955453-032E-4BB3-B798-87BFA728658D}">
      <dgm:prSet/>
      <dgm:spPr/>
      <dgm:t>
        <a:bodyPr/>
        <a:lstStyle/>
        <a:p>
          <a:endParaRPr lang="en-US"/>
        </a:p>
      </dgm:t>
    </dgm:pt>
    <dgm:pt modelId="{1198348E-28B3-4836-BA98-8C3A53888062}">
      <dgm:prSet phldrT="[Text]"/>
      <dgm:spPr/>
      <dgm:t>
        <a:bodyPr/>
        <a:lstStyle/>
        <a:p>
          <a:r>
            <a:rPr lang="en-US"/>
            <a:t>GLY 101 - Physical Geology</a:t>
          </a:r>
        </a:p>
      </dgm:t>
    </dgm:pt>
    <dgm:pt modelId="{DE5F598E-D0E8-4261-8879-9C99A6224DDC}" type="parTrans" cxnId="{B0F3AE74-3AB9-440F-AB02-414E40B7E758}">
      <dgm:prSet/>
      <dgm:spPr/>
      <dgm:t>
        <a:bodyPr/>
        <a:lstStyle/>
        <a:p>
          <a:endParaRPr lang="en-US"/>
        </a:p>
      </dgm:t>
    </dgm:pt>
    <dgm:pt modelId="{39155ECC-D3BF-4933-98B3-BD15645F0703}" type="sibTrans" cxnId="{B0F3AE74-3AB9-440F-AB02-414E40B7E758}">
      <dgm:prSet/>
      <dgm:spPr/>
      <dgm:t>
        <a:bodyPr/>
        <a:lstStyle/>
        <a:p>
          <a:endParaRPr lang="en-US"/>
        </a:p>
      </dgm:t>
    </dgm:pt>
    <dgm:pt modelId="{C065A199-19B1-4DD7-9A77-8BFF693DC0D9}">
      <dgm:prSet phldrT="[Text]"/>
      <dgm:spPr/>
      <dgm:t>
        <a:bodyPr/>
        <a:lstStyle/>
        <a:p>
          <a:r>
            <a:rPr lang="en-US"/>
            <a:t>GLY 102 - Historical Geology</a:t>
          </a:r>
        </a:p>
      </dgm:t>
    </dgm:pt>
    <dgm:pt modelId="{C6ED2CA5-7714-439F-AE7B-08F4B6AB203C}" type="parTrans" cxnId="{EA5BA618-74EF-4A14-88A7-8F73BC97167E}">
      <dgm:prSet/>
      <dgm:spPr/>
      <dgm:t>
        <a:bodyPr/>
        <a:lstStyle/>
        <a:p>
          <a:endParaRPr lang="en-US"/>
        </a:p>
      </dgm:t>
    </dgm:pt>
    <dgm:pt modelId="{B1B149D4-0AFE-4E51-A8A5-8328BADD3781}" type="sibTrans" cxnId="{EA5BA618-74EF-4A14-88A7-8F73BC97167E}">
      <dgm:prSet/>
      <dgm:spPr/>
      <dgm:t>
        <a:bodyPr/>
        <a:lstStyle/>
        <a:p>
          <a:endParaRPr lang="en-US"/>
        </a:p>
      </dgm:t>
    </dgm:pt>
    <dgm:pt modelId="{32EDC83B-F3BD-46DD-B9C8-E96994969876}">
      <dgm:prSet phldrT="[Text]"/>
      <dgm:spPr/>
      <dgm:t>
        <a:bodyPr/>
        <a:lstStyle/>
        <a:p>
          <a:r>
            <a:rPr lang="en-US"/>
            <a:t>GLY 110 - Environmental Geology</a:t>
          </a:r>
        </a:p>
      </dgm:t>
    </dgm:pt>
    <dgm:pt modelId="{F50F0E28-6040-417A-8044-DBA96C6924DF}" type="parTrans" cxnId="{39BA8136-C77C-438E-959C-7E5C203BD0CF}">
      <dgm:prSet/>
      <dgm:spPr/>
      <dgm:t>
        <a:bodyPr/>
        <a:lstStyle/>
        <a:p>
          <a:endParaRPr lang="en-US"/>
        </a:p>
      </dgm:t>
    </dgm:pt>
    <dgm:pt modelId="{A85C831F-C855-4EA8-BCB9-D4592ADA719E}" type="sibTrans" cxnId="{39BA8136-C77C-438E-959C-7E5C203BD0CF}">
      <dgm:prSet/>
      <dgm:spPr/>
      <dgm:t>
        <a:bodyPr/>
        <a:lstStyle/>
        <a:p>
          <a:endParaRPr lang="en-US"/>
        </a:p>
      </dgm:t>
    </dgm:pt>
    <dgm:pt modelId="{B685306E-DF88-46FC-9A16-D58A9D3D97BA}">
      <dgm:prSet phldrT="[Text]"/>
      <dgm:spPr/>
      <dgm:t>
        <a:bodyPr/>
        <a:lstStyle/>
        <a:p>
          <a:r>
            <a:rPr lang="en-US"/>
            <a:t>GLY 111 - Laboratory For Physical Geology</a:t>
          </a:r>
        </a:p>
      </dgm:t>
    </dgm:pt>
    <dgm:pt modelId="{FDC4E598-1654-4986-AED6-B8B73FB3E5CD}" type="parTrans" cxnId="{2583D07C-FBCB-420E-9CD2-1808FCEC325B}">
      <dgm:prSet/>
      <dgm:spPr/>
      <dgm:t>
        <a:bodyPr/>
        <a:lstStyle/>
        <a:p>
          <a:endParaRPr lang="en-US"/>
        </a:p>
      </dgm:t>
    </dgm:pt>
    <dgm:pt modelId="{CCEF28DE-6F27-476A-B4F1-54E919B185E9}" type="sibTrans" cxnId="{2583D07C-FBCB-420E-9CD2-1808FCEC325B}">
      <dgm:prSet/>
      <dgm:spPr/>
      <dgm:t>
        <a:bodyPr/>
        <a:lstStyle/>
        <a:p>
          <a:endParaRPr lang="en-US"/>
        </a:p>
      </dgm:t>
    </dgm:pt>
    <dgm:pt modelId="{FC7C258E-2759-4C3C-A0EA-950C2EDABC82}">
      <dgm:prSet phldrT="[Text]"/>
      <dgm:spPr/>
      <dgm:t>
        <a:bodyPr/>
        <a:lstStyle/>
        <a:p>
          <a:r>
            <a:rPr lang="en-US"/>
            <a:t>GLY 112 - Laboratory For Historical Geology</a:t>
          </a:r>
        </a:p>
      </dgm:t>
    </dgm:pt>
    <dgm:pt modelId="{B4E3C8F9-2B01-4CDF-B4A0-F5264A3577BD}" type="parTrans" cxnId="{0E97382F-9981-4A4D-9D04-8C3ADF540971}">
      <dgm:prSet/>
      <dgm:spPr/>
      <dgm:t>
        <a:bodyPr/>
        <a:lstStyle/>
        <a:p>
          <a:endParaRPr lang="en-US"/>
        </a:p>
      </dgm:t>
    </dgm:pt>
    <dgm:pt modelId="{89E89B9F-33D8-40BC-B9BC-C54178521FF3}" type="sibTrans" cxnId="{0E97382F-9981-4A4D-9D04-8C3ADF540971}">
      <dgm:prSet/>
      <dgm:spPr/>
      <dgm:t>
        <a:bodyPr/>
        <a:lstStyle/>
        <a:p>
          <a:endParaRPr lang="en-US"/>
        </a:p>
      </dgm:t>
    </dgm:pt>
    <dgm:pt modelId="{95D54D91-297A-4303-B103-40EAB38826D4}">
      <dgm:prSet phldrT="[Text]"/>
      <dgm:spPr/>
      <dgm:t>
        <a:bodyPr/>
        <a:lstStyle/>
        <a:p>
          <a:r>
            <a:rPr lang="en-US"/>
            <a:t>GLY 130 - Dinosaurs &amp; Disasters:  A Brief History Of The Vertebrates</a:t>
          </a:r>
        </a:p>
      </dgm:t>
    </dgm:pt>
    <dgm:pt modelId="{7F922860-1308-445D-B6A4-FAD743811EEA}" type="parTrans" cxnId="{6C0E547A-AED9-4180-A6F3-3E7F27499773}">
      <dgm:prSet/>
      <dgm:spPr/>
      <dgm:t>
        <a:bodyPr/>
        <a:lstStyle/>
        <a:p>
          <a:endParaRPr lang="en-US"/>
        </a:p>
      </dgm:t>
    </dgm:pt>
    <dgm:pt modelId="{7F9919F3-07DB-4C5B-AED4-7A37D60FDE61}" type="sibTrans" cxnId="{6C0E547A-AED9-4180-A6F3-3E7F27499773}">
      <dgm:prSet/>
      <dgm:spPr/>
      <dgm:t>
        <a:bodyPr/>
        <a:lstStyle/>
        <a:p>
          <a:endParaRPr lang="en-US"/>
        </a:p>
      </dgm:t>
    </dgm:pt>
    <dgm:pt modelId="{4761D7A5-19C7-4839-914B-710F2842ABE8}">
      <dgm:prSet phldrT="[Text]"/>
      <dgm:spPr/>
      <dgm:t>
        <a:bodyPr/>
        <a:lstStyle/>
        <a:p>
          <a:r>
            <a:rPr lang="en-US"/>
            <a:t>GLY 131 - Dinosaur Laboratory</a:t>
          </a:r>
        </a:p>
      </dgm:t>
    </dgm:pt>
    <dgm:pt modelId="{B474D3A4-2412-46AC-8BED-414497FCBFBB}" type="parTrans" cxnId="{5DCC14DD-D556-4331-AC67-1FC5A068A38C}">
      <dgm:prSet/>
      <dgm:spPr/>
      <dgm:t>
        <a:bodyPr/>
        <a:lstStyle/>
        <a:p>
          <a:endParaRPr lang="en-US"/>
        </a:p>
      </dgm:t>
    </dgm:pt>
    <dgm:pt modelId="{11D052EB-72B2-4B9D-BC2D-DC93C4AB3369}" type="sibTrans" cxnId="{5DCC14DD-D556-4331-AC67-1FC5A068A38C}">
      <dgm:prSet/>
      <dgm:spPr/>
      <dgm:t>
        <a:bodyPr/>
        <a:lstStyle/>
        <a:p>
          <a:endParaRPr lang="en-US"/>
        </a:p>
      </dgm:t>
    </dgm:pt>
    <dgm:pt modelId="{C8A05B6C-E5C5-4AB7-A408-5193BE7D5D30}">
      <dgm:prSet phldrT="[Text]"/>
      <dgm:spPr/>
      <dgm:t>
        <a:bodyPr/>
        <a:lstStyle/>
        <a:p>
          <a:r>
            <a:rPr lang="en-US"/>
            <a:t>GLY 220 - Principles Of Physical Geology</a:t>
          </a:r>
        </a:p>
      </dgm:t>
    </dgm:pt>
    <dgm:pt modelId="{982B3C16-6838-4523-9F13-B7CA648D700D}" type="parTrans" cxnId="{CB36DDC8-4ED3-42E6-ACA5-632D5678576B}">
      <dgm:prSet/>
      <dgm:spPr/>
      <dgm:t>
        <a:bodyPr/>
        <a:lstStyle/>
        <a:p>
          <a:endParaRPr lang="en-US"/>
        </a:p>
      </dgm:t>
    </dgm:pt>
    <dgm:pt modelId="{212CBB95-EF67-4C3F-8EFB-C226D714D2F1}" type="sibTrans" cxnId="{CB36DDC8-4ED3-42E6-ACA5-632D5678576B}">
      <dgm:prSet/>
      <dgm:spPr/>
      <dgm:t>
        <a:bodyPr/>
        <a:lstStyle/>
        <a:p>
          <a:endParaRPr lang="en-US"/>
        </a:p>
      </dgm:t>
    </dgm:pt>
    <dgm:pt modelId="{056C390B-C4F6-4DE6-9A02-C0C92955E6DF}">
      <dgm:prSet phldrT="[Text]"/>
      <dgm:spPr/>
      <dgm:t>
        <a:bodyPr/>
        <a:lstStyle/>
        <a:p>
          <a:r>
            <a:rPr lang="en-US"/>
            <a:t>PHY 151 - Introductory Physics I</a:t>
          </a:r>
        </a:p>
      </dgm:t>
    </dgm:pt>
    <dgm:pt modelId="{DD523919-CB20-48E1-AAB8-D9D5CB416E7A}" type="parTrans" cxnId="{E24025F6-47DF-4B40-9798-E677867E7062}">
      <dgm:prSet/>
      <dgm:spPr/>
      <dgm:t>
        <a:bodyPr/>
        <a:lstStyle/>
        <a:p>
          <a:endParaRPr lang="en-US"/>
        </a:p>
      </dgm:t>
    </dgm:pt>
    <dgm:pt modelId="{78B8C5E2-998C-46EE-A106-6DABFC9DA47E}" type="sibTrans" cxnId="{E24025F6-47DF-4B40-9798-E677867E7062}">
      <dgm:prSet/>
      <dgm:spPr/>
      <dgm:t>
        <a:bodyPr/>
        <a:lstStyle/>
        <a:p>
          <a:endParaRPr lang="en-US"/>
        </a:p>
      </dgm:t>
    </dgm:pt>
    <dgm:pt modelId="{B08669BB-7CBE-44C9-9559-8E58C73F4AF7}">
      <dgm:prSet phldrT="[Text]"/>
      <dgm:spPr/>
      <dgm:t>
        <a:bodyPr/>
        <a:lstStyle/>
        <a:p>
          <a:r>
            <a:rPr lang="en-US"/>
            <a:t>PHY 152 - Introductory Physics II</a:t>
          </a:r>
        </a:p>
      </dgm:t>
    </dgm:pt>
    <dgm:pt modelId="{EDA54075-A171-49DF-8051-FB30439BA8A0}" type="parTrans" cxnId="{4892D127-384D-445A-9AA5-09F901B09FE4}">
      <dgm:prSet/>
      <dgm:spPr/>
      <dgm:t>
        <a:bodyPr/>
        <a:lstStyle/>
        <a:p>
          <a:endParaRPr lang="en-US"/>
        </a:p>
      </dgm:t>
    </dgm:pt>
    <dgm:pt modelId="{652191C0-7D5D-4150-A0B5-8D111076912D}" type="sibTrans" cxnId="{4892D127-384D-445A-9AA5-09F901B09FE4}">
      <dgm:prSet/>
      <dgm:spPr/>
      <dgm:t>
        <a:bodyPr/>
        <a:lstStyle/>
        <a:p>
          <a:endParaRPr lang="en-US"/>
        </a:p>
      </dgm:t>
    </dgm:pt>
    <dgm:pt modelId="{A8C38977-467C-4AB0-B527-A27634A30447}">
      <dgm:prSet phldrT="[Text]"/>
      <dgm:spPr/>
      <dgm:t>
        <a:bodyPr/>
        <a:lstStyle/>
        <a:p>
          <a:r>
            <a:rPr lang="en-US"/>
            <a:t>PHY 160 - Physics &amp; Astronomy For Elementary Teachers</a:t>
          </a:r>
        </a:p>
      </dgm:t>
    </dgm:pt>
    <dgm:pt modelId="{4EF41427-DCA6-4D37-878B-DAC74D7C366D}" type="parTrans" cxnId="{8C10D9A7-F4D5-4B0E-919F-385D0EEFBC45}">
      <dgm:prSet/>
      <dgm:spPr/>
      <dgm:t>
        <a:bodyPr/>
        <a:lstStyle/>
        <a:p>
          <a:endParaRPr lang="en-US"/>
        </a:p>
      </dgm:t>
    </dgm:pt>
    <dgm:pt modelId="{1056A9E5-724B-4354-9E3E-3451C4F7919B}" type="sibTrans" cxnId="{8C10D9A7-F4D5-4B0E-919F-385D0EEFBC45}">
      <dgm:prSet/>
      <dgm:spPr/>
      <dgm:t>
        <a:bodyPr/>
        <a:lstStyle/>
        <a:p>
          <a:endParaRPr lang="en-US"/>
        </a:p>
      </dgm:t>
    </dgm:pt>
    <dgm:pt modelId="{890AF207-1C76-4D3B-A60D-162E43824B7C}">
      <dgm:prSet phldrT="[Text]"/>
      <dgm:spPr/>
      <dgm:t>
        <a:bodyPr/>
        <a:lstStyle/>
        <a:p>
          <a:r>
            <a:rPr lang="en-US"/>
            <a:t>PHY 161 - Introductory Physics Laboratory I</a:t>
          </a:r>
        </a:p>
      </dgm:t>
    </dgm:pt>
    <dgm:pt modelId="{2E68CA39-25AD-43F4-88C5-1D46EC6B009C}" type="parTrans" cxnId="{11FBF9E8-20D1-4621-A5C0-3A44C7303F79}">
      <dgm:prSet/>
      <dgm:spPr/>
      <dgm:t>
        <a:bodyPr/>
        <a:lstStyle/>
        <a:p>
          <a:endParaRPr lang="en-US"/>
        </a:p>
      </dgm:t>
    </dgm:pt>
    <dgm:pt modelId="{E5614A42-1B25-437E-96E5-9717A68376B4}" type="sibTrans" cxnId="{11FBF9E8-20D1-4621-A5C0-3A44C7303F79}">
      <dgm:prSet/>
      <dgm:spPr/>
      <dgm:t>
        <a:bodyPr/>
        <a:lstStyle/>
        <a:p>
          <a:endParaRPr lang="en-US"/>
        </a:p>
      </dgm:t>
    </dgm:pt>
    <dgm:pt modelId="{361C2F1E-A85F-476C-B298-0E369ACDB8AA}">
      <dgm:prSet phldrT="[Text]"/>
      <dgm:spPr/>
      <dgm:t>
        <a:bodyPr/>
        <a:lstStyle/>
        <a:p>
          <a:r>
            <a:rPr lang="en-US"/>
            <a:t>PHY 162 - Introductory Physics Laboratory II</a:t>
          </a:r>
        </a:p>
      </dgm:t>
    </dgm:pt>
    <dgm:pt modelId="{EA41F435-D786-45BE-BD1B-82AFF920DBFF}" type="parTrans" cxnId="{004C7AEA-9185-4EA6-8CAB-4583875EAE22}">
      <dgm:prSet/>
      <dgm:spPr/>
      <dgm:t>
        <a:bodyPr/>
        <a:lstStyle/>
        <a:p>
          <a:endParaRPr lang="en-US"/>
        </a:p>
      </dgm:t>
    </dgm:pt>
    <dgm:pt modelId="{E56DEFBE-78D1-45DF-A33B-61FD1952359D}" type="sibTrans" cxnId="{004C7AEA-9185-4EA6-8CAB-4583875EAE22}">
      <dgm:prSet/>
      <dgm:spPr/>
      <dgm:t>
        <a:bodyPr/>
        <a:lstStyle/>
        <a:p>
          <a:endParaRPr lang="en-US"/>
        </a:p>
      </dgm:t>
    </dgm:pt>
    <dgm:pt modelId="{7C7BF678-ADD4-4347-838C-67C9B11C5A33}">
      <dgm:prSet phldrT="[Text]"/>
      <dgm:spPr/>
      <dgm:t>
        <a:bodyPr/>
        <a:lstStyle/>
        <a:p>
          <a:r>
            <a:rPr lang="en-US"/>
            <a:t>PHY 171 - Applied Physics</a:t>
          </a:r>
        </a:p>
      </dgm:t>
    </dgm:pt>
    <dgm:pt modelId="{B364CD12-DFC0-4225-8FFB-AFF2681C1550}" type="parTrans" cxnId="{54C813B3-4D0F-4A27-A831-F0D5668EF736}">
      <dgm:prSet/>
      <dgm:spPr/>
      <dgm:t>
        <a:bodyPr/>
        <a:lstStyle/>
        <a:p>
          <a:endParaRPr lang="en-US"/>
        </a:p>
      </dgm:t>
    </dgm:pt>
    <dgm:pt modelId="{884AB8D3-0583-4460-B6A5-BCB32B2C0248}" type="sibTrans" cxnId="{54C813B3-4D0F-4A27-A831-F0D5668EF736}">
      <dgm:prSet/>
      <dgm:spPr/>
      <dgm:t>
        <a:bodyPr/>
        <a:lstStyle/>
        <a:p>
          <a:endParaRPr lang="en-US"/>
        </a:p>
      </dgm:t>
    </dgm:pt>
    <dgm:pt modelId="{7176C9AB-30E8-43D1-A886-3EE12E314BEB}">
      <dgm:prSet phldrT="[Text]"/>
      <dgm:spPr/>
      <dgm:t>
        <a:bodyPr/>
        <a:lstStyle/>
        <a:p>
          <a:r>
            <a:rPr lang="en-US"/>
            <a:t>PHY 172 - Physics For Health Science</a:t>
          </a:r>
        </a:p>
      </dgm:t>
    </dgm:pt>
    <dgm:pt modelId="{E7B3F8B4-EAE7-49E2-B951-0C1104370C7D}" type="parTrans" cxnId="{CBDFDDBA-2035-4669-A3F1-1D676521A421}">
      <dgm:prSet/>
      <dgm:spPr/>
      <dgm:t>
        <a:bodyPr/>
        <a:lstStyle/>
        <a:p>
          <a:endParaRPr lang="en-US"/>
        </a:p>
      </dgm:t>
    </dgm:pt>
    <dgm:pt modelId="{558A002C-A874-4FA2-9DAE-8CDC2F734BB3}" type="sibTrans" cxnId="{CBDFDDBA-2035-4669-A3F1-1D676521A421}">
      <dgm:prSet/>
      <dgm:spPr/>
      <dgm:t>
        <a:bodyPr/>
        <a:lstStyle/>
        <a:p>
          <a:endParaRPr lang="en-US"/>
        </a:p>
      </dgm:t>
    </dgm:pt>
    <dgm:pt modelId="{DAFCCEBD-AF39-4766-B0D6-3A94C7B5BEE1}">
      <dgm:prSet phldrT="[Text]"/>
      <dgm:spPr/>
      <dgm:t>
        <a:bodyPr/>
        <a:lstStyle/>
        <a:p>
          <a:r>
            <a:rPr lang="en-US"/>
            <a:t>PHY 201 - College Physics I</a:t>
          </a:r>
        </a:p>
      </dgm:t>
    </dgm:pt>
    <dgm:pt modelId="{C89BC264-0776-45AF-A3B9-DCD626BBCE66}" type="parTrans" cxnId="{252B0F1E-E9AC-488B-BB4F-43054B2CF80F}">
      <dgm:prSet/>
      <dgm:spPr/>
      <dgm:t>
        <a:bodyPr/>
        <a:lstStyle/>
        <a:p>
          <a:endParaRPr lang="en-US"/>
        </a:p>
      </dgm:t>
    </dgm:pt>
    <dgm:pt modelId="{9F7F9632-DB13-4E51-9BD8-49FFEC63DE96}" type="sibTrans" cxnId="{252B0F1E-E9AC-488B-BB4F-43054B2CF80F}">
      <dgm:prSet/>
      <dgm:spPr/>
      <dgm:t>
        <a:bodyPr/>
        <a:lstStyle/>
        <a:p>
          <a:endParaRPr lang="en-US"/>
        </a:p>
      </dgm:t>
    </dgm:pt>
    <dgm:pt modelId="{0E9A13DD-7DD3-4E4D-8034-280B3A7AA251}">
      <dgm:prSet phldrT="[Text]"/>
      <dgm:spPr/>
      <dgm:t>
        <a:bodyPr/>
        <a:lstStyle/>
        <a:p>
          <a:r>
            <a:rPr lang="en-US"/>
            <a:t>PHY 202 - College Physics Lab I</a:t>
          </a:r>
        </a:p>
      </dgm:t>
    </dgm:pt>
    <dgm:pt modelId="{79AEBA36-C1B8-4EF5-B18F-E5E37CE26C12}" type="parTrans" cxnId="{DE3559D6-1393-4BEE-A12D-3B9417190291}">
      <dgm:prSet/>
      <dgm:spPr/>
      <dgm:t>
        <a:bodyPr/>
        <a:lstStyle/>
        <a:p>
          <a:endParaRPr lang="en-US"/>
        </a:p>
      </dgm:t>
    </dgm:pt>
    <dgm:pt modelId="{76F601B9-29B6-43AA-A2C3-9B400A1571CB}" type="sibTrans" cxnId="{DE3559D6-1393-4BEE-A12D-3B9417190291}">
      <dgm:prSet/>
      <dgm:spPr/>
      <dgm:t>
        <a:bodyPr/>
        <a:lstStyle/>
        <a:p>
          <a:endParaRPr lang="en-US"/>
        </a:p>
      </dgm:t>
    </dgm:pt>
    <dgm:pt modelId="{B5B7C349-D1F0-4715-8205-1EC6746D734A}">
      <dgm:prSet phldrT="[Text]"/>
      <dgm:spPr/>
      <dgm:t>
        <a:bodyPr/>
        <a:lstStyle/>
        <a:p>
          <a:r>
            <a:rPr lang="en-US"/>
            <a:t>PHY 203 - College Physics II</a:t>
          </a:r>
        </a:p>
      </dgm:t>
    </dgm:pt>
    <dgm:pt modelId="{EEBCB56B-229A-4406-A063-8846683BCA44}" type="parTrans" cxnId="{9766CAC2-B04B-4A8C-9A6C-853A097ADDA0}">
      <dgm:prSet/>
      <dgm:spPr/>
      <dgm:t>
        <a:bodyPr/>
        <a:lstStyle/>
        <a:p>
          <a:endParaRPr lang="en-US"/>
        </a:p>
      </dgm:t>
    </dgm:pt>
    <dgm:pt modelId="{1E504A1C-89FF-4874-BB6E-69F18A704208}" type="sibTrans" cxnId="{9766CAC2-B04B-4A8C-9A6C-853A097ADDA0}">
      <dgm:prSet/>
      <dgm:spPr/>
      <dgm:t>
        <a:bodyPr/>
        <a:lstStyle/>
        <a:p>
          <a:endParaRPr lang="en-US"/>
        </a:p>
      </dgm:t>
    </dgm:pt>
    <dgm:pt modelId="{8D3D472F-2BC7-4A9A-8FE7-8643B72DF6E2}">
      <dgm:prSet phldrT="[Text]"/>
      <dgm:spPr/>
      <dgm:t>
        <a:bodyPr/>
        <a:lstStyle/>
        <a:p>
          <a:r>
            <a:rPr lang="en-US"/>
            <a:t>PHY 204 - College Physics Lab II</a:t>
          </a:r>
        </a:p>
      </dgm:t>
    </dgm:pt>
    <dgm:pt modelId="{94687B54-FC10-4309-BED2-DF8DB9FC1A70}" type="parTrans" cxnId="{2AC84C4B-5FA1-4922-B236-9A4FAE05027A}">
      <dgm:prSet/>
      <dgm:spPr/>
      <dgm:t>
        <a:bodyPr/>
        <a:lstStyle/>
        <a:p>
          <a:endParaRPr lang="en-US"/>
        </a:p>
      </dgm:t>
    </dgm:pt>
    <dgm:pt modelId="{65E0D16F-5A42-4576-8F5E-472BB1B483D8}" type="sibTrans" cxnId="{2AC84C4B-5FA1-4922-B236-9A4FAE05027A}">
      <dgm:prSet/>
      <dgm:spPr/>
      <dgm:t>
        <a:bodyPr/>
        <a:lstStyle/>
        <a:p>
          <a:endParaRPr lang="en-US"/>
        </a:p>
      </dgm:t>
    </dgm:pt>
    <dgm:pt modelId="{F73F81DB-2C0E-485B-88BF-615187001DBF}">
      <dgm:prSet phldrT="[Text]"/>
      <dgm:spPr/>
      <dgm:t>
        <a:bodyPr/>
        <a:lstStyle/>
        <a:p>
          <a:r>
            <a:rPr lang="en-US"/>
            <a:t>PHY 231 - General University Physics I</a:t>
          </a:r>
        </a:p>
      </dgm:t>
    </dgm:pt>
    <dgm:pt modelId="{74637232-1643-4BF7-81AC-76EB8E330423}" type="parTrans" cxnId="{1700C43A-BD3D-4886-88B7-1B2C204228E5}">
      <dgm:prSet/>
      <dgm:spPr/>
      <dgm:t>
        <a:bodyPr/>
        <a:lstStyle/>
        <a:p>
          <a:endParaRPr lang="en-US"/>
        </a:p>
      </dgm:t>
    </dgm:pt>
    <dgm:pt modelId="{A0B8F373-75F6-4E53-AC0B-C0E43E436D1F}" type="sibTrans" cxnId="{1700C43A-BD3D-4886-88B7-1B2C204228E5}">
      <dgm:prSet/>
      <dgm:spPr/>
      <dgm:t>
        <a:bodyPr/>
        <a:lstStyle/>
        <a:p>
          <a:endParaRPr lang="en-US"/>
        </a:p>
      </dgm:t>
    </dgm:pt>
    <dgm:pt modelId="{A22686C6-9E12-492C-B0FB-A006F31098D6}">
      <dgm:prSet phldrT="[Text]"/>
      <dgm:spPr/>
      <dgm:t>
        <a:bodyPr/>
        <a:lstStyle/>
        <a:p>
          <a:r>
            <a:rPr lang="en-US"/>
            <a:t>PHY 232 - General University Physics II</a:t>
          </a:r>
        </a:p>
      </dgm:t>
    </dgm:pt>
    <dgm:pt modelId="{898D7D5D-6FCB-43B0-BE1B-48E9CAC83F0D}" type="parTrans" cxnId="{3E700E5B-B7C9-4A77-B99B-7BB09057B8E0}">
      <dgm:prSet/>
      <dgm:spPr/>
      <dgm:t>
        <a:bodyPr/>
        <a:lstStyle/>
        <a:p>
          <a:endParaRPr lang="en-US"/>
        </a:p>
      </dgm:t>
    </dgm:pt>
    <dgm:pt modelId="{BAE2B27C-557D-421E-8090-7E68FE2D59D7}" type="sibTrans" cxnId="{3E700E5B-B7C9-4A77-B99B-7BB09057B8E0}">
      <dgm:prSet/>
      <dgm:spPr/>
      <dgm:t>
        <a:bodyPr/>
        <a:lstStyle/>
        <a:p>
          <a:endParaRPr lang="en-US"/>
        </a:p>
      </dgm:t>
    </dgm:pt>
    <dgm:pt modelId="{E6026793-7DBE-4396-B753-12E08301D687}">
      <dgm:prSet phldrT="[Text]"/>
      <dgm:spPr/>
      <dgm:t>
        <a:bodyPr/>
        <a:lstStyle/>
        <a:p>
          <a:r>
            <a:rPr lang="en-US"/>
            <a:t>PHY 241 - General University Physics I Laboratory</a:t>
          </a:r>
        </a:p>
      </dgm:t>
    </dgm:pt>
    <dgm:pt modelId="{7D928084-5B90-4C5A-9A44-9C64E98CD0AF}" type="parTrans" cxnId="{858DC76E-9577-484A-9FC5-C77BDFBD6EAF}">
      <dgm:prSet/>
      <dgm:spPr/>
      <dgm:t>
        <a:bodyPr/>
        <a:lstStyle/>
        <a:p>
          <a:endParaRPr lang="en-US"/>
        </a:p>
      </dgm:t>
    </dgm:pt>
    <dgm:pt modelId="{8674AA62-451F-42AC-A6D8-C065DFD661AD}" type="sibTrans" cxnId="{858DC76E-9577-484A-9FC5-C77BDFBD6EAF}">
      <dgm:prSet/>
      <dgm:spPr/>
      <dgm:t>
        <a:bodyPr/>
        <a:lstStyle/>
        <a:p>
          <a:endParaRPr lang="en-US"/>
        </a:p>
      </dgm:t>
    </dgm:pt>
    <dgm:pt modelId="{22E7D8FD-A909-4A5D-A004-1EB294AE8C96}">
      <dgm:prSet phldrT="[Text]"/>
      <dgm:spPr/>
      <dgm:t>
        <a:bodyPr/>
        <a:lstStyle/>
        <a:p>
          <a:r>
            <a:rPr lang="en-US"/>
            <a:t>PHY 242 - General University Physics II Laboratory</a:t>
          </a:r>
        </a:p>
      </dgm:t>
    </dgm:pt>
    <dgm:pt modelId="{17EFCAFA-259F-4FE0-AF9E-948E49DE28A3}" type="parTrans" cxnId="{6CBF44E3-8904-4326-B096-BB903A26BCC1}">
      <dgm:prSet/>
      <dgm:spPr/>
      <dgm:t>
        <a:bodyPr/>
        <a:lstStyle/>
        <a:p>
          <a:endParaRPr lang="en-US"/>
        </a:p>
      </dgm:t>
    </dgm:pt>
    <dgm:pt modelId="{88A11B0B-91E1-4DE4-B969-6BC2281618AD}" type="sibTrans" cxnId="{6CBF44E3-8904-4326-B096-BB903A26BCC1}">
      <dgm:prSet/>
      <dgm:spPr/>
      <dgm:t>
        <a:bodyPr/>
        <a:lstStyle/>
        <a:p>
          <a:endParaRPr lang="en-US"/>
        </a:p>
      </dgm:t>
    </dgm:pt>
    <dgm:pt modelId="{BFF0814E-C6EA-4EB7-B77B-E972E45EEC86}">
      <dgm:prSet phldrT="[Text]"/>
      <dgm:spPr/>
      <dgm:t>
        <a:bodyPr/>
        <a:lstStyle/>
        <a:p>
          <a:r>
            <a:rPr lang="en-US"/>
            <a:t>SCI 295 - Scientific Investigations</a:t>
          </a:r>
        </a:p>
      </dgm:t>
    </dgm:pt>
    <dgm:pt modelId="{934C8ADE-2C37-4C5C-8D1E-D6C341A23DFD}" type="parTrans" cxnId="{CDDFEDE9-37A8-4E44-9E51-9BBA70554EBC}">
      <dgm:prSet/>
      <dgm:spPr/>
      <dgm:t>
        <a:bodyPr/>
        <a:lstStyle/>
        <a:p>
          <a:endParaRPr lang="en-US"/>
        </a:p>
      </dgm:t>
    </dgm:pt>
    <dgm:pt modelId="{4ACCDA9F-1390-4270-B4F0-93647521091F}" type="sibTrans" cxnId="{CDDFEDE9-37A8-4E44-9E51-9BBA70554EBC}">
      <dgm:prSet/>
      <dgm:spPr/>
      <dgm:t>
        <a:bodyPr/>
        <a:lstStyle/>
        <a:p>
          <a:endParaRPr lang="en-US"/>
        </a:p>
      </dgm:t>
    </dgm:pt>
    <dgm:pt modelId="{AE0DAB38-31DD-4CDA-8940-640FDC714FE0}">
      <dgm:prSet phldrT="[Text]"/>
      <dgm:spPr/>
      <dgm:t>
        <a:bodyPr/>
        <a:lstStyle/>
        <a:p>
          <a:r>
            <a:rPr lang="en-US" b="0" i="0" u="none"/>
            <a:t>MA 109 - College Algebra</a:t>
          </a:r>
          <a:endParaRPr lang="en-US"/>
        </a:p>
      </dgm:t>
    </dgm:pt>
    <dgm:pt modelId="{B4F09FE4-68F8-45F9-9207-F1378AE90837}" type="parTrans" cxnId="{DF0EB037-66AA-46F6-8780-28BBBEBCCC6C}">
      <dgm:prSet/>
      <dgm:spPr/>
      <dgm:t>
        <a:bodyPr/>
        <a:lstStyle/>
        <a:p>
          <a:endParaRPr lang="en-US"/>
        </a:p>
      </dgm:t>
    </dgm:pt>
    <dgm:pt modelId="{0EE7B7F3-8E63-44E7-A1B7-5D0E37BE5B9C}" type="sibTrans" cxnId="{DF0EB037-66AA-46F6-8780-28BBBEBCCC6C}">
      <dgm:prSet/>
      <dgm:spPr/>
      <dgm:t>
        <a:bodyPr/>
        <a:lstStyle/>
        <a:p>
          <a:endParaRPr lang="en-US"/>
        </a:p>
      </dgm:t>
    </dgm:pt>
    <dgm:pt modelId="{8A834263-8058-4873-8A9D-433614E57849}">
      <dgm:prSet/>
      <dgm:spPr/>
      <dgm:t>
        <a:bodyPr/>
        <a:lstStyle/>
        <a:p>
          <a:r>
            <a:rPr lang="en-US" b="0" i="0" u="none"/>
            <a:t>MA 110 - Algebra &amp; Trigonometry For Calculus</a:t>
          </a:r>
          <a:endParaRPr lang="en-US"/>
        </a:p>
      </dgm:t>
    </dgm:pt>
    <dgm:pt modelId="{B91B02AC-E7F2-496D-9CC6-3336ACC6AB4C}" type="parTrans" cxnId="{665CF800-7EB9-468E-BE6C-B0B6886551E1}">
      <dgm:prSet/>
      <dgm:spPr/>
      <dgm:t>
        <a:bodyPr/>
        <a:lstStyle/>
        <a:p>
          <a:endParaRPr lang="en-US"/>
        </a:p>
      </dgm:t>
    </dgm:pt>
    <dgm:pt modelId="{CEA3E98E-2314-45E2-9D8C-BAB831863CF1}" type="sibTrans" cxnId="{665CF800-7EB9-468E-BE6C-B0B6886551E1}">
      <dgm:prSet/>
      <dgm:spPr/>
      <dgm:t>
        <a:bodyPr/>
        <a:lstStyle/>
        <a:p>
          <a:endParaRPr lang="en-US"/>
        </a:p>
      </dgm:t>
    </dgm:pt>
    <dgm:pt modelId="{01FE0A51-38F8-4944-93F6-0A1399E23D08}">
      <dgm:prSet/>
      <dgm:spPr/>
      <dgm:t>
        <a:bodyPr/>
        <a:lstStyle/>
        <a:p>
          <a:r>
            <a:rPr lang="en-US" b="0" i="0" u="none"/>
            <a:t>MA 111 - Contemporary Mathematics</a:t>
          </a:r>
          <a:endParaRPr lang="en-US"/>
        </a:p>
      </dgm:t>
    </dgm:pt>
    <dgm:pt modelId="{445DE407-54A3-431E-8709-A3FE0DCBA405}" type="parTrans" cxnId="{94B5DC73-E9DB-4888-9B7E-5419C9C5EBD8}">
      <dgm:prSet/>
      <dgm:spPr/>
      <dgm:t>
        <a:bodyPr/>
        <a:lstStyle/>
        <a:p>
          <a:endParaRPr lang="en-US"/>
        </a:p>
      </dgm:t>
    </dgm:pt>
    <dgm:pt modelId="{61FE4C8B-65CF-4BFA-921E-25D3A649B14D}" type="sibTrans" cxnId="{94B5DC73-E9DB-4888-9B7E-5419C9C5EBD8}">
      <dgm:prSet/>
      <dgm:spPr/>
      <dgm:t>
        <a:bodyPr/>
        <a:lstStyle/>
        <a:p>
          <a:endParaRPr lang="en-US"/>
        </a:p>
      </dgm:t>
    </dgm:pt>
    <dgm:pt modelId="{FF194383-9220-4AA3-A84E-2694E29AB2C1}">
      <dgm:prSet/>
      <dgm:spPr/>
      <dgm:t>
        <a:bodyPr/>
        <a:lstStyle/>
        <a:p>
          <a:r>
            <a:rPr lang="en-US" b="0" i="0" u="none"/>
            <a:t>MA 112 - Trigonometry</a:t>
          </a:r>
          <a:endParaRPr lang="en-US"/>
        </a:p>
      </dgm:t>
    </dgm:pt>
    <dgm:pt modelId="{E748F4C0-8F64-42B7-BBC1-F85907BFCE3A}" type="parTrans" cxnId="{6099D4B2-5DAC-4B24-8E90-84D952C9902A}">
      <dgm:prSet/>
      <dgm:spPr/>
      <dgm:t>
        <a:bodyPr/>
        <a:lstStyle/>
        <a:p>
          <a:endParaRPr lang="en-US"/>
        </a:p>
      </dgm:t>
    </dgm:pt>
    <dgm:pt modelId="{5E2DB353-4AD4-4166-A187-F96C3D0934D4}" type="sibTrans" cxnId="{6099D4B2-5DAC-4B24-8E90-84D952C9902A}">
      <dgm:prSet/>
      <dgm:spPr/>
      <dgm:t>
        <a:bodyPr/>
        <a:lstStyle/>
        <a:p>
          <a:endParaRPr lang="en-US"/>
        </a:p>
      </dgm:t>
    </dgm:pt>
    <dgm:pt modelId="{D0C91DF1-071F-4134-A203-376892DC6753}">
      <dgm:prSet/>
      <dgm:spPr/>
      <dgm:t>
        <a:bodyPr/>
        <a:lstStyle/>
        <a:p>
          <a:r>
            <a:rPr lang="en-US" b="0" i="0" u="none"/>
            <a:t>MA 113 - Calculus I</a:t>
          </a:r>
          <a:endParaRPr lang="en-US"/>
        </a:p>
      </dgm:t>
    </dgm:pt>
    <dgm:pt modelId="{29C9ABBF-C7FE-4563-B3AC-EAA4546550AC}" type="parTrans" cxnId="{FD962E90-0A56-4E39-A102-49D4ED73140C}">
      <dgm:prSet/>
      <dgm:spPr/>
      <dgm:t>
        <a:bodyPr/>
        <a:lstStyle/>
        <a:p>
          <a:endParaRPr lang="en-US"/>
        </a:p>
      </dgm:t>
    </dgm:pt>
    <dgm:pt modelId="{0EEB58C1-DDCB-4898-99DA-0AE5D1098EA0}" type="sibTrans" cxnId="{FD962E90-0A56-4E39-A102-49D4ED73140C}">
      <dgm:prSet/>
      <dgm:spPr/>
      <dgm:t>
        <a:bodyPr/>
        <a:lstStyle/>
        <a:p>
          <a:endParaRPr lang="en-US"/>
        </a:p>
      </dgm:t>
    </dgm:pt>
    <dgm:pt modelId="{E74F38C4-5BA6-4E15-9040-2F101595A4A3}">
      <dgm:prSet/>
      <dgm:spPr/>
      <dgm:t>
        <a:bodyPr/>
        <a:lstStyle/>
        <a:p>
          <a:r>
            <a:rPr lang="en-US" b="0" i="0" u="none"/>
            <a:t>MA 114 - Calculus II</a:t>
          </a:r>
          <a:endParaRPr lang="en-US"/>
        </a:p>
      </dgm:t>
    </dgm:pt>
    <dgm:pt modelId="{EA99BCAA-0AB9-44D2-822A-3DB0AB0DB2FB}" type="parTrans" cxnId="{61B2ABC4-7046-462A-B3A9-48DD6799952D}">
      <dgm:prSet/>
      <dgm:spPr/>
      <dgm:t>
        <a:bodyPr/>
        <a:lstStyle/>
        <a:p>
          <a:endParaRPr lang="en-US"/>
        </a:p>
      </dgm:t>
    </dgm:pt>
    <dgm:pt modelId="{B307A555-6BB1-4154-86D3-A20CDABCCBDC}" type="sibTrans" cxnId="{61B2ABC4-7046-462A-B3A9-48DD6799952D}">
      <dgm:prSet/>
      <dgm:spPr/>
      <dgm:t>
        <a:bodyPr/>
        <a:lstStyle/>
        <a:p>
          <a:endParaRPr lang="en-US"/>
        </a:p>
      </dgm:t>
    </dgm:pt>
    <dgm:pt modelId="{F2BEC669-8EBC-4D64-B326-770D6E33C0C1}">
      <dgm:prSet/>
      <dgm:spPr/>
      <dgm:t>
        <a:bodyPr/>
        <a:lstStyle/>
        <a:p>
          <a:r>
            <a:rPr lang="en-US" b="0" i="0" u="none"/>
            <a:t>MA 123 - Elementary Calculus &amp; Its Applications</a:t>
          </a:r>
          <a:endParaRPr lang="en-US"/>
        </a:p>
      </dgm:t>
    </dgm:pt>
    <dgm:pt modelId="{B12E779E-02B0-4D53-AC54-76B6743EE99D}" type="parTrans" cxnId="{35470EA8-A07E-4DFB-AD0C-04EC91644C73}">
      <dgm:prSet/>
      <dgm:spPr/>
      <dgm:t>
        <a:bodyPr/>
        <a:lstStyle/>
        <a:p>
          <a:endParaRPr lang="en-US"/>
        </a:p>
      </dgm:t>
    </dgm:pt>
    <dgm:pt modelId="{CF2218D8-1D6C-463A-86AA-7DD479BE8E88}" type="sibTrans" cxnId="{35470EA8-A07E-4DFB-AD0C-04EC91644C73}">
      <dgm:prSet/>
      <dgm:spPr/>
      <dgm:t>
        <a:bodyPr/>
        <a:lstStyle/>
        <a:p>
          <a:endParaRPr lang="en-US"/>
        </a:p>
      </dgm:t>
    </dgm:pt>
    <dgm:pt modelId="{C71708E7-818F-490A-96D7-A90FB9D19A71}">
      <dgm:prSet/>
      <dgm:spPr/>
      <dgm:t>
        <a:bodyPr/>
        <a:lstStyle/>
        <a:p>
          <a:r>
            <a:rPr lang="en-US" b="0" i="0" u="none"/>
            <a:t>MA 162 - Finite Mathematics &amp; Its Applications</a:t>
          </a:r>
          <a:endParaRPr lang="en-US"/>
        </a:p>
      </dgm:t>
    </dgm:pt>
    <dgm:pt modelId="{5BCB87FD-6140-4EDB-AD27-2476EB2B5C33}" type="parTrans" cxnId="{73F07BC7-4A41-4549-9332-FA5ABBC68979}">
      <dgm:prSet/>
      <dgm:spPr/>
      <dgm:t>
        <a:bodyPr/>
        <a:lstStyle/>
        <a:p>
          <a:endParaRPr lang="en-US"/>
        </a:p>
      </dgm:t>
    </dgm:pt>
    <dgm:pt modelId="{6577E509-2DE9-47B2-B45F-01FCBE34215B}" type="sibTrans" cxnId="{73F07BC7-4A41-4549-9332-FA5ABBC68979}">
      <dgm:prSet/>
      <dgm:spPr/>
      <dgm:t>
        <a:bodyPr/>
        <a:lstStyle/>
        <a:p>
          <a:endParaRPr lang="en-US"/>
        </a:p>
      </dgm:t>
    </dgm:pt>
    <dgm:pt modelId="{96EDF5C6-D9FE-44F1-A1BA-854071504795}">
      <dgm:prSet/>
      <dgm:spPr/>
      <dgm:t>
        <a:bodyPr/>
        <a:lstStyle/>
        <a:p>
          <a:r>
            <a:rPr lang="en-US" b="0" i="0" u="none"/>
            <a:t>MA 193 - Supplementary Mathematics Workshop I</a:t>
          </a:r>
          <a:endParaRPr lang="en-US"/>
        </a:p>
      </dgm:t>
    </dgm:pt>
    <dgm:pt modelId="{6D94CCA4-D816-4890-8CF6-4F88FDAF7070}" type="parTrans" cxnId="{1EB58D3B-6080-4D58-BEEF-DBDABF40A858}">
      <dgm:prSet/>
      <dgm:spPr/>
      <dgm:t>
        <a:bodyPr/>
        <a:lstStyle/>
        <a:p>
          <a:endParaRPr lang="en-US"/>
        </a:p>
      </dgm:t>
    </dgm:pt>
    <dgm:pt modelId="{D42EED3B-C1DB-49E6-B30A-2BAD8BD3A2CA}" type="sibTrans" cxnId="{1EB58D3B-6080-4D58-BEEF-DBDABF40A858}">
      <dgm:prSet/>
      <dgm:spPr/>
      <dgm:t>
        <a:bodyPr/>
        <a:lstStyle/>
        <a:p>
          <a:endParaRPr lang="en-US"/>
        </a:p>
      </dgm:t>
    </dgm:pt>
    <dgm:pt modelId="{B0F9C592-18E1-4648-94A3-D0065124AB47}">
      <dgm:prSet/>
      <dgm:spPr/>
      <dgm:t>
        <a:bodyPr/>
        <a:lstStyle/>
        <a:p>
          <a:r>
            <a:rPr lang="en-US" b="0" i="0" u="none"/>
            <a:t>MA 194 - Supplementary Mathematics Workshop II</a:t>
          </a:r>
          <a:endParaRPr lang="en-US"/>
        </a:p>
      </dgm:t>
    </dgm:pt>
    <dgm:pt modelId="{C0952824-F7C0-43E5-89FA-55BF3F072BB1}" type="parTrans" cxnId="{A90520CE-B70B-4500-A2DA-08CC4D06E7AB}">
      <dgm:prSet/>
      <dgm:spPr/>
      <dgm:t>
        <a:bodyPr/>
        <a:lstStyle/>
        <a:p>
          <a:endParaRPr lang="en-US"/>
        </a:p>
      </dgm:t>
    </dgm:pt>
    <dgm:pt modelId="{585B90D7-04BD-4465-AD1A-75B78894D985}" type="sibTrans" cxnId="{A90520CE-B70B-4500-A2DA-08CC4D06E7AB}">
      <dgm:prSet/>
      <dgm:spPr/>
      <dgm:t>
        <a:bodyPr/>
        <a:lstStyle/>
        <a:p>
          <a:endParaRPr lang="en-US"/>
        </a:p>
      </dgm:t>
    </dgm:pt>
    <dgm:pt modelId="{45D45523-BA26-4073-BCB8-D448D0177C48}">
      <dgm:prSet/>
      <dgm:spPr/>
      <dgm:t>
        <a:bodyPr/>
        <a:lstStyle/>
        <a:p>
          <a:r>
            <a:rPr lang="en-US" b="0" i="0" u="none"/>
            <a:t>MA 201 - Mathematics For Elementary Teachers</a:t>
          </a:r>
          <a:endParaRPr lang="en-US"/>
        </a:p>
      </dgm:t>
    </dgm:pt>
    <dgm:pt modelId="{6DC30429-37FC-4B5B-A7C0-AB40BD231159}" type="parTrans" cxnId="{C311E31C-0F90-450B-8DBD-56E9E287B20A}">
      <dgm:prSet/>
      <dgm:spPr/>
      <dgm:t>
        <a:bodyPr/>
        <a:lstStyle/>
        <a:p>
          <a:endParaRPr lang="en-US"/>
        </a:p>
      </dgm:t>
    </dgm:pt>
    <dgm:pt modelId="{1994C6A3-395F-4FA8-9925-2B72FFC9C3C9}" type="sibTrans" cxnId="{C311E31C-0F90-450B-8DBD-56E9E287B20A}">
      <dgm:prSet/>
      <dgm:spPr/>
      <dgm:t>
        <a:bodyPr/>
        <a:lstStyle/>
        <a:p>
          <a:endParaRPr lang="en-US"/>
        </a:p>
      </dgm:t>
    </dgm:pt>
    <dgm:pt modelId="{CFCD93DC-3776-41CF-9153-2D9ABD944F5A}">
      <dgm:prSet/>
      <dgm:spPr/>
      <dgm:t>
        <a:bodyPr/>
        <a:lstStyle/>
        <a:p>
          <a:r>
            <a:rPr lang="en-US" b="0" i="0" u="none"/>
            <a:t>MA 202 - Mathematical Problem Solving For Elementary Teachers</a:t>
          </a:r>
          <a:endParaRPr lang="en-US"/>
        </a:p>
      </dgm:t>
    </dgm:pt>
    <dgm:pt modelId="{C0547DD2-F2F0-408E-B30A-FABD326F0F1F}" type="parTrans" cxnId="{1AB6BC49-9FEF-42B0-AF2B-9440D1C5A9D8}">
      <dgm:prSet/>
      <dgm:spPr/>
      <dgm:t>
        <a:bodyPr/>
        <a:lstStyle/>
        <a:p>
          <a:endParaRPr lang="en-US"/>
        </a:p>
      </dgm:t>
    </dgm:pt>
    <dgm:pt modelId="{3564BB40-A1DD-486A-A917-3CD3F67E9C0A}" type="sibTrans" cxnId="{1AB6BC49-9FEF-42B0-AF2B-9440D1C5A9D8}">
      <dgm:prSet/>
      <dgm:spPr/>
      <dgm:t>
        <a:bodyPr/>
        <a:lstStyle/>
        <a:p>
          <a:endParaRPr lang="en-US"/>
        </a:p>
      </dgm:t>
    </dgm:pt>
    <dgm:pt modelId="{26C438BD-30F4-463A-BF84-5507C3A109E7}">
      <dgm:prSet/>
      <dgm:spPr/>
      <dgm:t>
        <a:bodyPr/>
        <a:lstStyle/>
        <a:p>
          <a:r>
            <a:rPr lang="en-US" b="0" i="0" u="none"/>
            <a:t>MA 213 - Calculus III</a:t>
          </a:r>
          <a:endParaRPr lang="en-US"/>
        </a:p>
      </dgm:t>
    </dgm:pt>
    <dgm:pt modelId="{C28B708D-9467-406D-BE7E-8970C51E8601}" type="parTrans" cxnId="{38ABC9AF-69B7-4A7E-B3F3-5C39D48525DD}">
      <dgm:prSet/>
      <dgm:spPr/>
      <dgm:t>
        <a:bodyPr/>
        <a:lstStyle/>
        <a:p>
          <a:endParaRPr lang="en-US"/>
        </a:p>
      </dgm:t>
    </dgm:pt>
    <dgm:pt modelId="{421EE24B-3601-4E42-A669-561BE720ECD4}" type="sibTrans" cxnId="{38ABC9AF-69B7-4A7E-B3F3-5C39D48525DD}">
      <dgm:prSet/>
      <dgm:spPr/>
      <dgm:t>
        <a:bodyPr/>
        <a:lstStyle/>
        <a:p>
          <a:endParaRPr lang="en-US"/>
        </a:p>
      </dgm:t>
    </dgm:pt>
    <dgm:pt modelId="{82F95F00-5EA2-4310-96BB-0468C05F3116}">
      <dgm:prSet/>
      <dgm:spPr/>
      <dgm:t>
        <a:bodyPr/>
        <a:lstStyle/>
        <a:p>
          <a:r>
            <a:rPr lang="en-US" b="0" i="0" u="none"/>
            <a:t>MA 214 - Calculus IV</a:t>
          </a:r>
          <a:endParaRPr lang="en-US"/>
        </a:p>
      </dgm:t>
    </dgm:pt>
    <dgm:pt modelId="{C7B6D8DD-76BC-46E2-8365-256EC243C392}" type="parTrans" cxnId="{840A2D9F-178F-445C-9CFC-06DB06224B4A}">
      <dgm:prSet/>
      <dgm:spPr/>
      <dgm:t>
        <a:bodyPr/>
        <a:lstStyle/>
        <a:p>
          <a:endParaRPr lang="en-US"/>
        </a:p>
      </dgm:t>
    </dgm:pt>
    <dgm:pt modelId="{92ECD9BF-9BC0-434C-BD7F-7AE2AB346C5C}" type="sibTrans" cxnId="{840A2D9F-178F-445C-9CFC-06DB06224B4A}">
      <dgm:prSet/>
      <dgm:spPr/>
      <dgm:t>
        <a:bodyPr/>
        <a:lstStyle/>
        <a:p>
          <a:endParaRPr lang="en-US"/>
        </a:p>
      </dgm:t>
    </dgm:pt>
    <dgm:pt modelId="{D582AA1C-863E-4956-92A1-58EB07ADB259}">
      <dgm:prSet/>
      <dgm:spPr/>
      <dgm:t>
        <a:bodyPr/>
        <a:lstStyle/>
        <a:p>
          <a:r>
            <a:rPr lang="en-US" b="0" i="0" u="none"/>
            <a:t>MA 241 - Geometry For Middle School Teachers</a:t>
          </a:r>
          <a:endParaRPr lang="en-US"/>
        </a:p>
      </dgm:t>
    </dgm:pt>
    <dgm:pt modelId="{A1E7140E-807A-4B91-A9C3-0E13D26D4CCA}" type="parTrans" cxnId="{65329843-FFEB-4DA4-9D89-E3CBE0507294}">
      <dgm:prSet/>
      <dgm:spPr/>
      <dgm:t>
        <a:bodyPr/>
        <a:lstStyle/>
        <a:p>
          <a:endParaRPr lang="en-US"/>
        </a:p>
      </dgm:t>
    </dgm:pt>
    <dgm:pt modelId="{2A7E1837-DBED-4A6F-858F-DDE1279028F8}" type="sibTrans" cxnId="{65329843-FFEB-4DA4-9D89-E3CBE0507294}">
      <dgm:prSet/>
      <dgm:spPr/>
      <dgm:t>
        <a:bodyPr/>
        <a:lstStyle/>
        <a:p>
          <a:endParaRPr lang="en-US"/>
        </a:p>
      </dgm:t>
    </dgm:pt>
    <dgm:pt modelId="{AB805899-D2EC-47FB-BE4C-4FCAFC287FC7}">
      <dgm:prSet/>
      <dgm:spPr/>
      <dgm:t>
        <a:bodyPr/>
        <a:lstStyle/>
        <a:p>
          <a:r>
            <a:rPr lang="en-US" b="0" i="0" u="none"/>
            <a:t>MAT 146 - Contemporary College Mathematics (Satisfies QR requirement on AA only)</a:t>
          </a:r>
          <a:endParaRPr lang="en-US"/>
        </a:p>
      </dgm:t>
    </dgm:pt>
    <dgm:pt modelId="{6C799642-6AE4-416B-90BF-8EBEF73E9D9B}" type="parTrans" cxnId="{A6577E0D-987A-4EE8-948E-496D47C1098F}">
      <dgm:prSet/>
      <dgm:spPr/>
      <dgm:t>
        <a:bodyPr/>
        <a:lstStyle/>
        <a:p>
          <a:endParaRPr lang="en-US"/>
        </a:p>
      </dgm:t>
    </dgm:pt>
    <dgm:pt modelId="{71687F2E-BC4A-4504-8B58-CE0E2516D676}" type="sibTrans" cxnId="{A6577E0D-987A-4EE8-948E-496D47C1098F}">
      <dgm:prSet/>
      <dgm:spPr/>
      <dgm:t>
        <a:bodyPr/>
        <a:lstStyle/>
        <a:p>
          <a:endParaRPr lang="en-US"/>
        </a:p>
      </dgm:t>
    </dgm:pt>
    <dgm:pt modelId="{812B6F80-6D4E-47F4-8099-27F73EFC2567}">
      <dgm:prSet/>
      <dgm:spPr/>
      <dgm:t>
        <a:bodyPr/>
        <a:lstStyle/>
        <a:p>
          <a:r>
            <a:rPr lang="en-US" b="0" i="0" u="none"/>
            <a:t>MAT 150 - College Algebra</a:t>
          </a:r>
          <a:endParaRPr lang="en-US"/>
        </a:p>
      </dgm:t>
    </dgm:pt>
    <dgm:pt modelId="{9C2A3DFB-5789-401D-AEF1-E6BA31D4396F}" type="parTrans" cxnId="{6D6EE961-F852-45D6-8069-62EF36E3ABD8}">
      <dgm:prSet/>
      <dgm:spPr/>
      <dgm:t>
        <a:bodyPr/>
        <a:lstStyle/>
        <a:p>
          <a:endParaRPr lang="en-US"/>
        </a:p>
      </dgm:t>
    </dgm:pt>
    <dgm:pt modelId="{5EC67A8D-A628-4D09-B54B-E9238CD9C1ED}" type="sibTrans" cxnId="{6D6EE961-F852-45D6-8069-62EF36E3ABD8}">
      <dgm:prSet/>
      <dgm:spPr/>
      <dgm:t>
        <a:bodyPr/>
        <a:lstStyle/>
        <a:p>
          <a:endParaRPr lang="en-US"/>
        </a:p>
      </dgm:t>
    </dgm:pt>
    <dgm:pt modelId="{5679EF69-9022-47AB-A719-C050BD71F288}">
      <dgm:prSet/>
      <dgm:spPr/>
      <dgm:t>
        <a:bodyPr/>
        <a:lstStyle/>
        <a:p>
          <a:r>
            <a:rPr lang="en-US" b="0" i="0" u="none"/>
            <a:t>MAT 154 - Trigonometry</a:t>
          </a:r>
          <a:endParaRPr lang="en-US"/>
        </a:p>
      </dgm:t>
    </dgm:pt>
    <dgm:pt modelId="{F75AB055-3C8B-46CB-AEBF-C32F9229493F}" type="parTrans" cxnId="{A2FB2910-47B9-46B1-B7A5-4A40F040D6AD}">
      <dgm:prSet/>
      <dgm:spPr/>
      <dgm:t>
        <a:bodyPr/>
        <a:lstStyle/>
        <a:p>
          <a:endParaRPr lang="en-US"/>
        </a:p>
      </dgm:t>
    </dgm:pt>
    <dgm:pt modelId="{EFD1F202-80A0-4563-AE4A-B9926742CB10}" type="sibTrans" cxnId="{A2FB2910-47B9-46B1-B7A5-4A40F040D6AD}">
      <dgm:prSet/>
      <dgm:spPr/>
      <dgm:t>
        <a:bodyPr/>
        <a:lstStyle/>
        <a:p>
          <a:endParaRPr lang="en-US"/>
        </a:p>
      </dgm:t>
    </dgm:pt>
    <dgm:pt modelId="{2F537A3B-840C-43AC-8F5E-4656516A3D2F}">
      <dgm:prSet/>
      <dgm:spPr/>
      <dgm:t>
        <a:bodyPr/>
        <a:lstStyle/>
        <a:p>
          <a:r>
            <a:rPr lang="en-US" b="0" i="0" u="none"/>
            <a:t>MAT 155 - Trigonometry</a:t>
          </a:r>
          <a:endParaRPr lang="en-US"/>
        </a:p>
      </dgm:t>
    </dgm:pt>
    <dgm:pt modelId="{631477A9-D655-4CDD-9740-4A10413048BD}" type="parTrans" cxnId="{C5CC256F-93D9-445A-9D56-542AE286694A}">
      <dgm:prSet/>
      <dgm:spPr/>
      <dgm:t>
        <a:bodyPr/>
        <a:lstStyle/>
        <a:p>
          <a:endParaRPr lang="en-US"/>
        </a:p>
      </dgm:t>
    </dgm:pt>
    <dgm:pt modelId="{BE7DC089-9A04-4A25-BE7E-42D875BC6781}" type="sibTrans" cxnId="{C5CC256F-93D9-445A-9D56-542AE286694A}">
      <dgm:prSet/>
      <dgm:spPr/>
      <dgm:t>
        <a:bodyPr/>
        <a:lstStyle/>
        <a:p>
          <a:endParaRPr lang="en-US"/>
        </a:p>
      </dgm:t>
    </dgm:pt>
    <dgm:pt modelId="{CC3D450D-FC87-4EE6-B051-15A71C91DD65}">
      <dgm:prSet/>
      <dgm:spPr/>
      <dgm:t>
        <a:bodyPr/>
        <a:lstStyle/>
        <a:p>
          <a:r>
            <a:rPr lang="en-US" b="0" i="0" u="none"/>
            <a:t>MAT 159 - Analytic Geometry &amp; Trigonometry</a:t>
          </a:r>
          <a:endParaRPr lang="en-US"/>
        </a:p>
      </dgm:t>
    </dgm:pt>
    <dgm:pt modelId="{E38BADF2-9F26-4041-B80A-760347157390}" type="parTrans" cxnId="{16D000B2-20A8-4DCE-A2E5-4E6C7B3CDD2B}">
      <dgm:prSet/>
      <dgm:spPr/>
      <dgm:t>
        <a:bodyPr/>
        <a:lstStyle/>
        <a:p>
          <a:endParaRPr lang="en-US"/>
        </a:p>
      </dgm:t>
    </dgm:pt>
    <dgm:pt modelId="{6250ABD1-DF39-4FF4-936A-D44E3BC10543}" type="sibTrans" cxnId="{16D000B2-20A8-4DCE-A2E5-4E6C7B3CDD2B}">
      <dgm:prSet/>
      <dgm:spPr/>
      <dgm:t>
        <a:bodyPr/>
        <a:lstStyle/>
        <a:p>
          <a:endParaRPr lang="en-US"/>
        </a:p>
      </dgm:t>
    </dgm:pt>
    <dgm:pt modelId="{DA0072BE-A622-4FCE-9C07-E68E7C4F41B0}">
      <dgm:prSet/>
      <dgm:spPr/>
      <dgm:t>
        <a:bodyPr/>
        <a:lstStyle/>
        <a:p>
          <a:r>
            <a:rPr lang="en-US" b="0" i="0" u="none"/>
            <a:t>MAT 160 - Precalculus</a:t>
          </a:r>
          <a:endParaRPr lang="en-US"/>
        </a:p>
      </dgm:t>
    </dgm:pt>
    <dgm:pt modelId="{5530CF90-6C67-4CBB-8286-F2DC0CFE6FA7}" type="parTrans" cxnId="{7FE8E843-6E75-4F43-A609-200908B19AD0}">
      <dgm:prSet/>
      <dgm:spPr/>
      <dgm:t>
        <a:bodyPr/>
        <a:lstStyle/>
        <a:p>
          <a:endParaRPr lang="en-US"/>
        </a:p>
      </dgm:t>
    </dgm:pt>
    <dgm:pt modelId="{6888BFFD-5630-4FCD-9E11-A8945BB69CF9}" type="sibTrans" cxnId="{7FE8E843-6E75-4F43-A609-200908B19AD0}">
      <dgm:prSet/>
      <dgm:spPr/>
      <dgm:t>
        <a:bodyPr/>
        <a:lstStyle/>
        <a:p>
          <a:endParaRPr lang="en-US"/>
        </a:p>
      </dgm:t>
    </dgm:pt>
    <dgm:pt modelId="{BF9FD9E2-5B90-42A0-A42B-CBCD98B9A69E}">
      <dgm:prSet/>
      <dgm:spPr/>
      <dgm:t>
        <a:bodyPr/>
        <a:lstStyle/>
        <a:p>
          <a:r>
            <a:rPr lang="en-US" b="0" i="0" u="none"/>
            <a:t>MAT 165 - Finite Mathematics &amp; Its Applications</a:t>
          </a:r>
          <a:endParaRPr lang="en-US"/>
        </a:p>
      </dgm:t>
    </dgm:pt>
    <dgm:pt modelId="{A1E3FA1A-F30E-4241-BFC7-D92823B10202}" type="parTrans" cxnId="{E421F043-9653-4C2F-8C0A-1CE4626CEA9A}">
      <dgm:prSet/>
      <dgm:spPr/>
      <dgm:t>
        <a:bodyPr/>
        <a:lstStyle/>
        <a:p>
          <a:endParaRPr lang="en-US"/>
        </a:p>
      </dgm:t>
    </dgm:pt>
    <dgm:pt modelId="{745194E1-2D0A-4C03-BBD7-0E8FF1ABEF74}" type="sibTrans" cxnId="{E421F043-9653-4C2F-8C0A-1CE4626CEA9A}">
      <dgm:prSet/>
      <dgm:spPr/>
      <dgm:t>
        <a:bodyPr/>
        <a:lstStyle/>
        <a:p>
          <a:endParaRPr lang="en-US"/>
        </a:p>
      </dgm:t>
    </dgm:pt>
    <dgm:pt modelId="{46D7520A-7710-4087-BF32-529AC8FD0066}">
      <dgm:prSet/>
      <dgm:spPr/>
      <dgm:t>
        <a:bodyPr/>
        <a:lstStyle/>
        <a:p>
          <a:r>
            <a:rPr lang="en-US" b="0" i="0" u="none"/>
            <a:t>MAT 170 - Brief Calculus With Applications</a:t>
          </a:r>
          <a:endParaRPr lang="en-US"/>
        </a:p>
      </dgm:t>
    </dgm:pt>
    <dgm:pt modelId="{1FEA1DC2-1760-4987-AE8D-10C01531BC3F}" type="parTrans" cxnId="{C04AD9C1-3A25-428B-A003-8A39A5A799B2}">
      <dgm:prSet/>
      <dgm:spPr/>
      <dgm:t>
        <a:bodyPr/>
        <a:lstStyle/>
        <a:p>
          <a:endParaRPr lang="en-US"/>
        </a:p>
      </dgm:t>
    </dgm:pt>
    <dgm:pt modelId="{2FED8D15-DAEE-4082-8F79-9BED137565C1}" type="sibTrans" cxnId="{C04AD9C1-3A25-428B-A003-8A39A5A799B2}">
      <dgm:prSet/>
      <dgm:spPr/>
      <dgm:t>
        <a:bodyPr/>
        <a:lstStyle/>
        <a:p>
          <a:endParaRPr lang="en-US"/>
        </a:p>
      </dgm:t>
    </dgm:pt>
    <dgm:pt modelId="{E5E54A2C-DFBB-410D-81D7-1CD3A844A4D4}">
      <dgm:prSet/>
      <dgm:spPr/>
      <dgm:t>
        <a:bodyPr/>
        <a:lstStyle/>
        <a:p>
          <a:r>
            <a:rPr lang="en-US" b="0" i="0" u="none"/>
            <a:t>MAT 174 - Calculus I</a:t>
          </a:r>
          <a:endParaRPr lang="en-US"/>
        </a:p>
      </dgm:t>
    </dgm:pt>
    <dgm:pt modelId="{026440F5-83EF-4408-BC59-9FE8F4EBAC56}" type="parTrans" cxnId="{EC4B2FBF-D55C-47AF-B704-BD6EA767A09E}">
      <dgm:prSet/>
      <dgm:spPr/>
      <dgm:t>
        <a:bodyPr/>
        <a:lstStyle/>
        <a:p>
          <a:endParaRPr lang="en-US"/>
        </a:p>
      </dgm:t>
    </dgm:pt>
    <dgm:pt modelId="{5CC0E5C1-4D64-49B7-B0FD-9E94A7A4740E}" type="sibTrans" cxnId="{EC4B2FBF-D55C-47AF-B704-BD6EA767A09E}">
      <dgm:prSet/>
      <dgm:spPr/>
      <dgm:t>
        <a:bodyPr/>
        <a:lstStyle/>
        <a:p>
          <a:endParaRPr lang="en-US"/>
        </a:p>
      </dgm:t>
    </dgm:pt>
    <dgm:pt modelId="{2D1C9FE1-294F-4403-81E0-F25A067904A4}">
      <dgm:prSet/>
      <dgm:spPr/>
      <dgm:t>
        <a:bodyPr/>
        <a:lstStyle/>
        <a:p>
          <a:r>
            <a:rPr lang="en-US" b="0" i="0" u="none"/>
            <a:t>MAT 175 - Calculus I</a:t>
          </a:r>
          <a:endParaRPr lang="en-US"/>
        </a:p>
      </dgm:t>
    </dgm:pt>
    <dgm:pt modelId="{B1FB743C-8C40-432A-B505-02C2026E6135}" type="parTrans" cxnId="{4A672A65-B4F1-4E46-9D08-8335BDB70BA1}">
      <dgm:prSet/>
      <dgm:spPr/>
      <dgm:t>
        <a:bodyPr/>
        <a:lstStyle/>
        <a:p>
          <a:endParaRPr lang="en-US"/>
        </a:p>
      </dgm:t>
    </dgm:pt>
    <dgm:pt modelId="{1D3A9BF1-DD70-4297-A8DF-A263B93419BB}" type="sibTrans" cxnId="{4A672A65-B4F1-4E46-9D08-8335BDB70BA1}">
      <dgm:prSet/>
      <dgm:spPr/>
      <dgm:t>
        <a:bodyPr/>
        <a:lstStyle/>
        <a:p>
          <a:endParaRPr lang="en-US"/>
        </a:p>
      </dgm:t>
    </dgm:pt>
    <dgm:pt modelId="{E22DB853-BEAA-40B6-B48D-E544A57387E9}">
      <dgm:prSet/>
      <dgm:spPr/>
      <dgm:t>
        <a:bodyPr/>
        <a:lstStyle/>
        <a:p>
          <a:r>
            <a:rPr lang="en-US" b="0" i="0" u="none"/>
            <a:t>MAT 184 - Calculus II</a:t>
          </a:r>
          <a:endParaRPr lang="en-US"/>
        </a:p>
      </dgm:t>
    </dgm:pt>
    <dgm:pt modelId="{92A5CD36-DEAB-4AB3-B397-B782438837F7}" type="parTrans" cxnId="{9878E844-8B36-4F7E-BD2B-729BE572A319}">
      <dgm:prSet/>
      <dgm:spPr/>
      <dgm:t>
        <a:bodyPr/>
        <a:lstStyle/>
        <a:p>
          <a:endParaRPr lang="en-US"/>
        </a:p>
      </dgm:t>
    </dgm:pt>
    <dgm:pt modelId="{1DD50424-CE53-4064-A45F-7406D615BB63}" type="sibTrans" cxnId="{9878E844-8B36-4F7E-BD2B-729BE572A319}">
      <dgm:prSet/>
      <dgm:spPr/>
      <dgm:t>
        <a:bodyPr/>
        <a:lstStyle/>
        <a:p>
          <a:endParaRPr lang="en-US"/>
        </a:p>
      </dgm:t>
    </dgm:pt>
    <dgm:pt modelId="{DF30EF40-83B0-4DA8-BBD2-F8633FB6B1EA}">
      <dgm:prSet/>
      <dgm:spPr/>
      <dgm:t>
        <a:bodyPr/>
        <a:lstStyle/>
        <a:p>
          <a:r>
            <a:rPr lang="en-US" b="0" i="0" u="none"/>
            <a:t>MAT 185 - Calculus II</a:t>
          </a:r>
          <a:endParaRPr lang="en-US"/>
        </a:p>
      </dgm:t>
    </dgm:pt>
    <dgm:pt modelId="{D964F47A-6137-4581-9296-7C1DE4272D5B}" type="parTrans" cxnId="{94A11479-975E-4311-9D74-7A8BA995FF7F}">
      <dgm:prSet/>
      <dgm:spPr/>
      <dgm:t>
        <a:bodyPr/>
        <a:lstStyle/>
        <a:p>
          <a:endParaRPr lang="en-US"/>
        </a:p>
      </dgm:t>
    </dgm:pt>
    <dgm:pt modelId="{649FD6C4-CCB2-46AC-B1F5-060CF7C6A820}" type="sibTrans" cxnId="{94A11479-975E-4311-9D74-7A8BA995FF7F}">
      <dgm:prSet/>
      <dgm:spPr/>
      <dgm:t>
        <a:bodyPr/>
        <a:lstStyle/>
        <a:p>
          <a:endParaRPr lang="en-US"/>
        </a:p>
      </dgm:t>
    </dgm:pt>
    <dgm:pt modelId="{4FCF9C7B-CBBA-437D-A021-67868D610E56}">
      <dgm:prSet/>
      <dgm:spPr/>
      <dgm:t>
        <a:bodyPr/>
        <a:lstStyle/>
        <a:p>
          <a:r>
            <a:rPr lang="en-US" b="0" i="0" u="none"/>
            <a:t>MAT 206 - Mathematics For Elementary &amp; Middle School teachers II</a:t>
          </a:r>
          <a:endParaRPr lang="en-US"/>
        </a:p>
      </dgm:t>
    </dgm:pt>
    <dgm:pt modelId="{798BFBFF-93E6-4F09-A68C-0E0A3C02D209}" type="parTrans" cxnId="{905DFE43-342D-4319-91DA-989A05A15BB4}">
      <dgm:prSet/>
      <dgm:spPr/>
      <dgm:t>
        <a:bodyPr/>
        <a:lstStyle/>
        <a:p>
          <a:endParaRPr lang="en-US"/>
        </a:p>
      </dgm:t>
    </dgm:pt>
    <dgm:pt modelId="{A2ECC4D9-79A4-4C5E-96ED-8CAF7A65076A}" type="sibTrans" cxnId="{905DFE43-342D-4319-91DA-989A05A15BB4}">
      <dgm:prSet/>
      <dgm:spPr/>
      <dgm:t>
        <a:bodyPr/>
        <a:lstStyle/>
        <a:p>
          <a:endParaRPr lang="en-US"/>
        </a:p>
      </dgm:t>
    </dgm:pt>
    <dgm:pt modelId="{F24738DB-C2B9-4588-A789-842132B11273}">
      <dgm:prSet/>
      <dgm:spPr/>
      <dgm:t>
        <a:bodyPr/>
        <a:lstStyle/>
        <a:p>
          <a:r>
            <a:rPr lang="en-US" b="0" i="0" u="none"/>
            <a:t>MAT 261 - Introduction To Number Theory</a:t>
          </a:r>
          <a:endParaRPr lang="en-US"/>
        </a:p>
      </dgm:t>
    </dgm:pt>
    <dgm:pt modelId="{5C96FEF5-F250-4941-8CB0-9798522A7CFE}" type="parTrans" cxnId="{B28A876B-C271-4630-9A63-288912FD1326}">
      <dgm:prSet/>
      <dgm:spPr/>
      <dgm:t>
        <a:bodyPr/>
        <a:lstStyle/>
        <a:p>
          <a:endParaRPr lang="en-US"/>
        </a:p>
      </dgm:t>
    </dgm:pt>
    <dgm:pt modelId="{38D3A872-6259-41EE-8EAA-CC2C40CCFB7C}" type="sibTrans" cxnId="{B28A876B-C271-4630-9A63-288912FD1326}">
      <dgm:prSet/>
      <dgm:spPr/>
      <dgm:t>
        <a:bodyPr/>
        <a:lstStyle/>
        <a:p>
          <a:endParaRPr lang="en-US"/>
        </a:p>
      </dgm:t>
    </dgm:pt>
    <dgm:pt modelId="{302C13D1-0A4D-4375-A5DF-8BEBCD14FBCC}">
      <dgm:prSet/>
      <dgm:spPr/>
      <dgm:t>
        <a:bodyPr/>
        <a:lstStyle/>
        <a:p>
          <a:r>
            <a:rPr lang="en-US" b="0" i="0" u="none"/>
            <a:t>MAT 275 - Calculus III</a:t>
          </a:r>
          <a:endParaRPr lang="en-US"/>
        </a:p>
      </dgm:t>
    </dgm:pt>
    <dgm:pt modelId="{BFE554DA-2C78-4789-8D6C-82830C8590DA}" type="parTrans" cxnId="{9101A659-F919-4116-B8AB-EBB8095EE109}">
      <dgm:prSet/>
      <dgm:spPr/>
      <dgm:t>
        <a:bodyPr/>
        <a:lstStyle/>
        <a:p>
          <a:endParaRPr lang="en-US"/>
        </a:p>
      </dgm:t>
    </dgm:pt>
    <dgm:pt modelId="{D8C51DDA-C6A4-4544-BA1F-417BAC973F5D}" type="sibTrans" cxnId="{9101A659-F919-4116-B8AB-EBB8095EE109}">
      <dgm:prSet/>
      <dgm:spPr/>
      <dgm:t>
        <a:bodyPr/>
        <a:lstStyle/>
        <a:p>
          <a:endParaRPr lang="en-US"/>
        </a:p>
      </dgm:t>
    </dgm:pt>
    <dgm:pt modelId="{85E45FE5-3913-4B52-BCC7-C4B013F5CB3C}">
      <dgm:prSet/>
      <dgm:spPr/>
      <dgm:t>
        <a:bodyPr/>
        <a:lstStyle/>
        <a:p>
          <a:r>
            <a:rPr lang="en-US" b="0" i="0" u="none"/>
            <a:t>MAT 285 - Differential Equations</a:t>
          </a:r>
          <a:endParaRPr lang="en-US"/>
        </a:p>
      </dgm:t>
    </dgm:pt>
    <dgm:pt modelId="{20BA4BBC-B125-463C-AB0F-5AB319F4F991}" type="parTrans" cxnId="{F6F2EAE6-87F2-420F-B117-13DC0CCD210A}">
      <dgm:prSet/>
      <dgm:spPr/>
      <dgm:t>
        <a:bodyPr/>
        <a:lstStyle/>
        <a:p>
          <a:endParaRPr lang="en-US"/>
        </a:p>
      </dgm:t>
    </dgm:pt>
    <dgm:pt modelId="{019A58F1-FB0E-47B5-BDE7-2092B918CF35}" type="sibTrans" cxnId="{F6F2EAE6-87F2-420F-B117-13DC0CCD210A}">
      <dgm:prSet/>
      <dgm:spPr/>
      <dgm:t>
        <a:bodyPr/>
        <a:lstStyle/>
        <a:p>
          <a:endParaRPr lang="en-US"/>
        </a:p>
      </dgm:t>
    </dgm:pt>
    <dgm:pt modelId="{86DD4D5D-F747-4C96-BE2B-748CEDD6B029}">
      <dgm:prSet/>
      <dgm:spPr/>
      <dgm:t>
        <a:bodyPr/>
        <a:lstStyle/>
        <a:p>
          <a:r>
            <a:rPr lang="en-US" b="0" i="0" u="none"/>
            <a:t>STA 200 - Statistics:  Force In Human Judgment</a:t>
          </a:r>
          <a:endParaRPr lang="en-US"/>
        </a:p>
      </dgm:t>
    </dgm:pt>
    <dgm:pt modelId="{2B6FBB7A-03FF-4904-A527-B9ECF14700EA}" type="parTrans" cxnId="{57468CBB-A4D0-4CD1-8BFC-F7A418BE506E}">
      <dgm:prSet/>
      <dgm:spPr/>
      <dgm:t>
        <a:bodyPr/>
        <a:lstStyle/>
        <a:p>
          <a:endParaRPr lang="en-US"/>
        </a:p>
      </dgm:t>
    </dgm:pt>
    <dgm:pt modelId="{CE06D5D2-4F32-40B2-A8F2-E1EE27D42488}" type="sibTrans" cxnId="{57468CBB-A4D0-4CD1-8BFC-F7A418BE506E}">
      <dgm:prSet/>
      <dgm:spPr/>
      <dgm:t>
        <a:bodyPr/>
        <a:lstStyle/>
        <a:p>
          <a:endParaRPr lang="en-US"/>
        </a:p>
      </dgm:t>
    </dgm:pt>
    <dgm:pt modelId="{AE2829EE-A859-42D9-83D5-B5F2B87E3B03}">
      <dgm:prSet/>
      <dgm:spPr/>
      <dgm:t>
        <a:bodyPr/>
        <a:lstStyle/>
        <a:p>
          <a:r>
            <a:rPr lang="en-US" b="0" i="0" u="none"/>
            <a:t>STA 210 - Statistics:  A Force In Human Judgment</a:t>
          </a:r>
          <a:endParaRPr lang="en-US"/>
        </a:p>
      </dgm:t>
    </dgm:pt>
    <dgm:pt modelId="{5648B00A-AE1B-408B-B74B-A5424966A8FC}" type="parTrans" cxnId="{B59A6F7C-2047-4B86-91D5-F12CDD8BF469}">
      <dgm:prSet/>
      <dgm:spPr/>
      <dgm:t>
        <a:bodyPr/>
        <a:lstStyle/>
        <a:p>
          <a:endParaRPr lang="en-US"/>
        </a:p>
      </dgm:t>
    </dgm:pt>
    <dgm:pt modelId="{8B4FB44F-8FC9-42C6-9F7F-1E370D686773}" type="sibTrans" cxnId="{B59A6F7C-2047-4B86-91D5-F12CDD8BF469}">
      <dgm:prSet/>
      <dgm:spPr/>
      <dgm:t>
        <a:bodyPr/>
        <a:lstStyle/>
        <a:p>
          <a:endParaRPr lang="en-US"/>
        </a:p>
      </dgm:t>
    </dgm:pt>
    <dgm:pt modelId="{B3D65324-7590-4073-AA5E-350968E969EC}">
      <dgm:prSet/>
      <dgm:spPr/>
      <dgm:t>
        <a:bodyPr/>
        <a:lstStyle/>
        <a:p>
          <a:r>
            <a:rPr lang="en-US" b="0" i="0" u="none"/>
            <a:t>STA 215 - Intro To Statistical Reasoning</a:t>
          </a:r>
          <a:endParaRPr lang="en-US"/>
        </a:p>
      </dgm:t>
    </dgm:pt>
    <dgm:pt modelId="{5B0980A1-F42B-4319-9913-CCA18E50B7CB}" type="parTrans" cxnId="{39CA9E6F-8658-4730-8418-FFC9F33AFFAE}">
      <dgm:prSet/>
      <dgm:spPr/>
      <dgm:t>
        <a:bodyPr/>
        <a:lstStyle/>
        <a:p>
          <a:endParaRPr lang="en-US"/>
        </a:p>
      </dgm:t>
    </dgm:pt>
    <dgm:pt modelId="{7DB8582F-90CA-41BE-9003-31B58D5E207F}" type="sibTrans" cxnId="{39CA9E6F-8658-4730-8418-FFC9F33AFFAE}">
      <dgm:prSet/>
      <dgm:spPr/>
      <dgm:t>
        <a:bodyPr/>
        <a:lstStyle/>
        <a:p>
          <a:endParaRPr lang="en-US"/>
        </a:p>
      </dgm:t>
    </dgm:pt>
    <dgm:pt modelId="{6323291C-911C-4D66-97B8-FDED94BAB904}">
      <dgm:prSet/>
      <dgm:spPr/>
      <dgm:t>
        <a:bodyPr/>
        <a:lstStyle/>
        <a:p>
          <a:r>
            <a:rPr lang="en-US" b="0" i="0" u="none"/>
            <a:t>STA 220 - Statistics</a:t>
          </a:r>
          <a:endParaRPr lang="en-US"/>
        </a:p>
      </dgm:t>
    </dgm:pt>
    <dgm:pt modelId="{938D3DCF-A12B-4B77-AA84-A5F6475409F5}" type="parTrans" cxnId="{44963FAE-B0FF-4F04-8D38-495F28677232}">
      <dgm:prSet/>
      <dgm:spPr/>
      <dgm:t>
        <a:bodyPr/>
        <a:lstStyle/>
        <a:p>
          <a:endParaRPr lang="en-US"/>
        </a:p>
      </dgm:t>
    </dgm:pt>
    <dgm:pt modelId="{7BCF5507-387C-4AE0-AD7F-E697D96D4DBE}" type="sibTrans" cxnId="{44963FAE-B0FF-4F04-8D38-495F28677232}">
      <dgm:prSet/>
      <dgm:spPr/>
      <dgm:t>
        <a:bodyPr/>
        <a:lstStyle/>
        <a:p>
          <a:endParaRPr lang="en-US"/>
        </a:p>
      </dgm:t>
    </dgm:pt>
    <dgm:pt modelId="{8D4E12C5-F8C6-4AB2-BA6A-BEBDAD7FB57D}">
      <dgm:prSet/>
      <dgm:spPr/>
      <dgm:t>
        <a:bodyPr/>
        <a:lstStyle/>
        <a:p>
          <a:r>
            <a:rPr lang="en-US" b="0" i="0" u="none"/>
            <a:t>STA 291 - Statistical Method</a:t>
          </a:r>
          <a:endParaRPr lang="en-US"/>
        </a:p>
      </dgm:t>
    </dgm:pt>
    <dgm:pt modelId="{46A46F96-0FF3-442F-AB33-95247FD53B44}" type="parTrans" cxnId="{FB9A5DB7-B226-4B47-A480-902CFBC0F853}">
      <dgm:prSet/>
      <dgm:spPr/>
      <dgm:t>
        <a:bodyPr/>
        <a:lstStyle/>
        <a:p>
          <a:endParaRPr lang="en-US"/>
        </a:p>
      </dgm:t>
    </dgm:pt>
    <dgm:pt modelId="{35E81BE4-9D6E-4C34-8527-C21A049C7F9C}" type="sibTrans" cxnId="{FB9A5DB7-B226-4B47-A480-902CFBC0F853}">
      <dgm:prSet/>
      <dgm:spPr/>
      <dgm:t>
        <a:bodyPr/>
        <a:lstStyle/>
        <a:p>
          <a:endParaRPr lang="en-US"/>
        </a:p>
      </dgm:t>
    </dgm:pt>
    <dgm:pt modelId="{37ABE151-C7E8-4F78-A855-C37F207D829C}">
      <dgm:prSet phldrT="[Text]"/>
      <dgm:spPr/>
      <dgm:t>
        <a:bodyPr/>
        <a:lstStyle/>
        <a:p>
          <a:r>
            <a:rPr lang="en-US" b="0" i="0" u="none"/>
            <a:t>ASL 101 - American Sign Language I</a:t>
          </a:r>
          <a:endParaRPr lang="en-US"/>
        </a:p>
      </dgm:t>
    </dgm:pt>
    <dgm:pt modelId="{6D962786-C459-48FA-B8B7-6E68F1A1A713}" type="parTrans" cxnId="{27DC7FCE-3BFC-491F-8841-F583BCD24C07}">
      <dgm:prSet/>
      <dgm:spPr/>
      <dgm:t>
        <a:bodyPr/>
        <a:lstStyle/>
        <a:p>
          <a:endParaRPr lang="en-US"/>
        </a:p>
      </dgm:t>
    </dgm:pt>
    <dgm:pt modelId="{52F12FC7-9645-484E-851F-E19E94E888B2}" type="sibTrans" cxnId="{27DC7FCE-3BFC-491F-8841-F583BCD24C07}">
      <dgm:prSet/>
      <dgm:spPr/>
      <dgm:t>
        <a:bodyPr/>
        <a:lstStyle/>
        <a:p>
          <a:endParaRPr lang="en-US"/>
        </a:p>
      </dgm:t>
    </dgm:pt>
    <dgm:pt modelId="{0C9FB0D3-4FF9-41CF-9291-F3C2895AF73C}">
      <dgm:prSet/>
      <dgm:spPr/>
      <dgm:t>
        <a:bodyPr/>
        <a:lstStyle/>
        <a:p>
          <a:r>
            <a:rPr lang="en-US" b="0" i="0" u="none"/>
            <a:t>ASL 102 - American Sign Language II</a:t>
          </a:r>
          <a:endParaRPr lang="en-US"/>
        </a:p>
      </dgm:t>
    </dgm:pt>
    <dgm:pt modelId="{1C71808C-3634-4959-8AA6-2B2CDF2ADC78}" type="parTrans" cxnId="{440B9464-4300-43D4-951B-CD2D13261740}">
      <dgm:prSet/>
      <dgm:spPr/>
      <dgm:t>
        <a:bodyPr/>
        <a:lstStyle/>
        <a:p>
          <a:endParaRPr lang="en-US"/>
        </a:p>
      </dgm:t>
    </dgm:pt>
    <dgm:pt modelId="{5A42B75E-D9C9-4ABE-A470-5566F712C993}" type="sibTrans" cxnId="{440B9464-4300-43D4-951B-CD2D13261740}">
      <dgm:prSet/>
      <dgm:spPr/>
      <dgm:t>
        <a:bodyPr/>
        <a:lstStyle/>
        <a:p>
          <a:endParaRPr lang="en-US"/>
        </a:p>
      </dgm:t>
    </dgm:pt>
    <dgm:pt modelId="{72B71333-41D7-4EF8-80F1-C14B2CF1A583}">
      <dgm:prSet/>
      <dgm:spPr/>
      <dgm:t>
        <a:bodyPr/>
        <a:lstStyle/>
        <a:p>
          <a:r>
            <a:rPr lang="en-US" b="0" i="0" u="none"/>
            <a:t>ASL 201 - American Sign Language III</a:t>
          </a:r>
          <a:endParaRPr lang="en-US"/>
        </a:p>
      </dgm:t>
    </dgm:pt>
    <dgm:pt modelId="{88C07A65-EDEB-4DFE-BF7F-3F6A4229A6CC}" type="parTrans" cxnId="{E47D93B2-1567-4209-B38B-93AD5E9EE47E}">
      <dgm:prSet/>
      <dgm:spPr/>
      <dgm:t>
        <a:bodyPr/>
        <a:lstStyle/>
        <a:p>
          <a:endParaRPr lang="en-US"/>
        </a:p>
      </dgm:t>
    </dgm:pt>
    <dgm:pt modelId="{30F680CA-C92A-4B80-8795-760F06854E01}" type="sibTrans" cxnId="{E47D93B2-1567-4209-B38B-93AD5E9EE47E}">
      <dgm:prSet/>
      <dgm:spPr/>
      <dgm:t>
        <a:bodyPr/>
        <a:lstStyle/>
        <a:p>
          <a:endParaRPr lang="en-US"/>
        </a:p>
      </dgm:t>
    </dgm:pt>
    <dgm:pt modelId="{1FAE4252-8890-4F8B-ABED-CFF3EB877F46}">
      <dgm:prSet/>
      <dgm:spPr/>
      <dgm:t>
        <a:bodyPr/>
        <a:lstStyle/>
        <a:p>
          <a:r>
            <a:rPr lang="en-US" b="0" i="0" u="none"/>
            <a:t>ASL 202 - American Sign Language IV</a:t>
          </a:r>
          <a:endParaRPr lang="en-US"/>
        </a:p>
      </dgm:t>
    </dgm:pt>
    <dgm:pt modelId="{630856B2-491D-486D-8200-835C08B8A81A}" type="parTrans" cxnId="{A14A4BC5-4BC5-4265-9B51-889A8A5CDEDE}">
      <dgm:prSet/>
      <dgm:spPr/>
      <dgm:t>
        <a:bodyPr/>
        <a:lstStyle/>
        <a:p>
          <a:endParaRPr lang="en-US"/>
        </a:p>
      </dgm:t>
    </dgm:pt>
    <dgm:pt modelId="{747FDD7E-7E7D-4803-BF6A-044FA0C907A2}" type="sibTrans" cxnId="{A14A4BC5-4BC5-4265-9B51-889A8A5CDEDE}">
      <dgm:prSet/>
      <dgm:spPr/>
      <dgm:t>
        <a:bodyPr/>
        <a:lstStyle/>
        <a:p>
          <a:endParaRPr lang="en-US"/>
        </a:p>
      </dgm:t>
    </dgm:pt>
    <dgm:pt modelId="{A0B6A302-4B49-49B5-ABB6-4E8B731EABF7}">
      <dgm:prSet/>
      <dgm:spPr/>
      <dgm:t>
        <a:bodyPr/>
        <a:lstStyle/>
        <a:p>
          <a:r>
            <a:rPr lang="en-US" b="0" i="0" u="none"/>
            <a:t>FRE 101 - Elementary French I</a:t>
          </a:r>
          <a:endParaRPr lang="en-US"/>
        </a:p>
      </dgm:t>
    </dgm:pt>
    <dgm:pt modelId="{D06FD992-C59A-4E5C-AFBF-63A6DCCE123D}" type="parTrans" cxnId="{EF53F785-DBB8-4C06-9B12-661B723E15C1}">
      <dgm:prSet/>
      <dgm:spPr/>
      <dgm:t>
        <a:bodyPr/>
        <a:lstStyle/>
        <a:p>
          <a:endParaRPr lang="en-US"/>
        </a:p>
      </dgm:t>
    </dgm:pt>
    <dgm:pt modelId="{04F3F2C3-2527-4995-8149-CADD351242A1}" type="sibTrans" cxnId="{EF53F785-DBB8-4C06-9B12-661B723E15C1}">
      <dgm:prSet/>
      <dgm:spPr/>
      <dgm:t>
        <a:bodyPr/>
        <a:lstStyle/>
        <a:p>
          <a:endParaRPr lang="en-US"/>
        </a:p>
      </dgm:t>
    </dgm:pt>
    <dgm:pt modelId="{8E57F16D-D5F0-4BC4-9C51-E92C32B9F9E3}">
      <dgm:prSet/>
      <dgm:spPr/>
      <dgm:t>
        <a:bodyPr/>
        <a:lstStyle/>
        <a:p>
          <a:r>
            <a:rPr lang="en-US" b="0" i="0" u="none"/>
            <a:t>FRE 102 - Elementary French II</a:t>
          </a:r>
          <a:endParaRPr lang="en-US"/>
        </a:p>
      </dgm:t>
    </dgm:pt>
    <dgm:pt modelId="{5EFE6854-9A70-4B45-9252-635F304727EA}" type="parTrans" cxnId="{2384FB14-0A15-4921-8008-0CCFD8CF4A03}">
      <dgm:prSet/>
      <dgm:spPr/>
      <dgm:t>
        <a:bodyPr/>
        <a:lstStyle/>
        <a:p>
          <a:endParaRPr lang="en-US"/>
        </a:p>
      </dgm:t>
    </dgm:pt>
    <dgm:pt modelId="{F0F0D67A-62FA-4B8E-BFA5-CCC9728BD66C}" type="sibTrans" cxnId="{2384FB14-0A15-4921-8008-0CCFD8CF4A03}">
      <dgm:prSet/>
      <dgm:spPr/>
      <dgm:t>
        <a:bodyPr/>
        <a:lstStyle/>
        <a:p>
          <a:endParaRPr lang="en-US"/>
        </a:p>
      </dgm:t>
    </dgm:pt>
    <dgm:pt modelId="{C26B589E-5AED-4569-AA36-C8556E73758E}">
      <dgm:prSet/>
      <dgm:spPr/>
      <dgm:t>
        <a:bodyPr/>
        <a:lstStyle/>
        <a:p>
          <a:r>
            <a:rPr lang="en-US" b="0" i="0" u="none"/>
            <a:t>FRE 201 - Intermediate French I</a:t>
          </a:r>
          <a:endParaRPr lang="en-US"/>
        </a:p>
      </dgm:t>
    </dgm:pt>
    <dgm:pt modelId="{FB0A6D54-640D-43B4-8376-BD9DA3459D91}" type="parTrans" cxnId="{4C491C36-43E7-4259-8FC4-97C0AC1A9A90}">
      <dgm:prSet/>
      <dgm:spPr/>
      <dgm:t>
        <a:bodyPr/>
        <a:lstStyle/>
        <a:p>
          <a:endParaRPr lang="en-US"/>
        </a:p>
      </dgm:t>
    </dgm:pt>
    <dgm:pt modelId="{8CDD267A-7447-4AA0-96ED-013613E6F697}" type="sibTrans" cxnId="{4C491C36-43E7-4259-8FC4-97C0AC1A9A90}">
      <dgm:prSet/>
      <dgm:spPr/>
      <dgm:t>
        <a:bodyPr/>
        <a:lstStyle/>
        <a:p>
          <a:endParaRPr lang="en-US"/>
        </a:p>
      </dgm:t>
    </dgm:pt>
    <dgm:pt modelId="{9C400ECE-B0E2-4E03-8ACF-E312C18B24B1}">
      <dgm:prSet/>
      <dgm:spPr/>
      <dgm:t>
        <a:bodyPr/>
        <a:lstStyle/>
        <a:p>
          <a:r>
            <a:rPr lang="en-US" b="0" i="0" u="none"/>
            <a:t>FRE 202 - Intermediate French II</a:t>
          </a:r>
          <a:endParaRPr lang="en-US"/>
        </a:p>
      </dgm:t>
    </dgm:pt>
    <dgm:pt modelId="{F752E945-F616-466B-A5EC-D8314E5DFF63}" type="parTrans" cxnId="{B2E0A7A8-E760-4816-AD5C-8106C8066BC5}">
      <dgm:prSet/>
      <dgm:spPr/>
      <dgm:t>
        <a:bodyPr/>
        <a:lstStyle/>
        <a:p>
          <a:endParaRPr lang="en-US"/>
        </a:p>
      </dgm:t>
    </dgm:pt>
    <dgm:pt modelId="{5408C312-E95D-4D2B-8F12-385D0C65166D}" type="sibTrans" cxnId="{B2E0A7A8-E760-4816-AD5C-8106C8066BC5}">
      <dgm:prSet/>
      <dgm:spPr/>
      <dgm:t>
        <a:bodyPr/>
        <a:lstStyle/>
        <a:p>
          <a:endParaRPr lang="en-US"/>
        </a:p>
      </dgm:t>
    </dgm:pt>
    <dgm:pt modelId="{BE5D68DB-4094-4B4C-AB68-D1BB97047130}">
      <dgm:prSet/>
      <dgm:spPr/>
      <dgm:t>
        <a:bodyPr/>
        <a:lstStyle/>
        <a:p>
          <a:r>
            <a:rPr lang="en-US" b="0" i="0" u="none"/>
            <a:t>GER 101 - Elementary German I</a:t>
          </a:r>
          <a:endParaRPr lang="en-US"/>
        </a:p>
      </dgm:t>
    </dgm:pt>
    <dgm:pt modelId="{746D281B-236D-42AD-8F87-3AE5FCFAEC24}" type="parTrans" cxnId="{693DB532-2B57-4704-BD1D-404E730A8A35}">
      <dgm:prSet/>
      <dgm:spPr/>
      <dgm:t>
        <a:bodyPr/>
        <a:lstStyle/>
        <a:p>
          <a:endParaRPr lang="en-US"/>
        </a:p>
      </dgm:t>
    </dgm:pt>
    <dgm:pt modelId="{00187AE3-5E6D-44A0-B722-EBA0F741DE16}" type="sibTrans" cxnId="{693DB532-2B57-4704-BD1D-404E730A8A35}">
      <dgm:prSet/>
      <dgm:spPr/>
      <dgm:t>
        <a:bodyPr/>
        <a:lstStyle/>
        <a:p>
          <a:endParaRPr lang="en-US"/>
        </a:p>
      </dgm:t>
    </dgm:pt>
    <dgm:pt modelId="{44A32F09-DAFA-462C-AAA6-08C58C9B3220}">
      <dgm:prSet/>
      <dgm:spPr/>
      <dgm:t>
        <a:bodyPr/>
        <a:lstStyle/>
        <a:p>
          <a:r>
            <a:rPr lang="en-US" b="0" i="0" u="none"/>
            <a:t>GER 102 - Elementary German II</a:t>
          </a:r>
          <a:endParaRPr lang="en-US"/>
        </a:p>
      </dgm:t>
    </dgm:pt>
    <dgm:pt modelId="{064D92B1-BB9E-4CA3-8B9F-3CE10FFF4AA5}" type="parTrans" cxnId="{FE3B0396-B2DB-425A-9A08-35235F76B57B}">
      <dgm:prSet/>
      <dgm:spPr/>
      <dgm:t>
        <a:bodyPr/>
        <a:lstStyle/>
        <a:p>
          <a:endParaRPr lang="en-US"/>
        </a:p>
      </dgm:t>
    </dgm:pt>
    <dgm:pt modelId="{659D58D4-8CE1-46A3-960B-B05CEC4C3B9C}" type="sibTrans" cxnId="{FE3B0396-B2DB-425A-9A08-35235F76B57B}">
      <dgm:prSet/>
      <dgm:spPr/>
      <dgm:t>
        <a:bodyPr/>
        <a:lstStyle/>
        <a:p>
          <a:endParaRPr lang="en-US"/>
        </a:p>
      </dgm:t>
    </dgm:pt>
    <dgm:pt modelId="{14325A74-200D-4786-BCD9-84B6C26B851C}">
      <dgm:prSet/>
      <dgm:spPr/>
      <dgm:t>
        <a:bodyPr/>
        <a:lstStyle/>
        <a:p>
          <a:r>
            <a:rPr lang="en-US" b="0" i="0" u="none"/>
            <a:t>GER 201 - Intermediate German I</a:t>
          </a:r>
          <a:endParaRPr lang="en-US"/>
        </a:p>
      </dgm:t>
    </dgm:pt>
    <dgm:pt modelId="{E9246F8A-E143-405C-8DEE-A3A731F3AD86}" type="parTrans" cxnId="{88938C94-E73A-4831-8AE0-A81D3F7BABF1}">
      <dgm:prSet/>
      <dgm:spPr/>
      <dgm:t>
        <a:bodyPr/>
        <a:lstStyle/>
        <a:p>
          <a:endParaRPr lang="en-US"/>
        </a:p>
      </dgm:t>
    </dgm:pt>
    <dgm:pt modelId="{0B8A5ED9-D2C9-4B7D-BC24-22AC7F07C139}" type="sibTrans" cxnId="{88938C94-E73A-4831-8AE0-A81D3F7BABF1}">
      <dgm:prSet/>
      <dgm:spPr/>
      <dgm:t>
        <a:bodyPr/>
        <a:lstStyle/>
        <a:p>
          <a:endParaRPr lang="en-US"/>
        </a:p>
      </dgm:t>
    </dgm:pt>
    <dgm:pt modelId="{8F046EE6-0365-4656-AD9E-691D840E76CA}">
      <dgm:prSet/>
      <dgm:spPr/>
      <dgm:t>
        <a:bodyPr/>
        <a:lstStyle/>
        <a:p>
          <a:r>
            <a:rPr lang="en-US" b="0" i="0" u="none"/>
            <a:t>GER 202 - Intermediate German II</a:t>
          </a:r>
          <a:endParaRPr lang="en-US"/>
        </a:p>
      </dgm:t>
    </dgm:pt>
    <dgm:pt modelId="{48FBDFCD-35A1-4731-9E27-7FDF3DFC8EEA}" type="parTrans" cxnId="{2529FBC8-076B-4385-8C47-00896FC28415}">
      <dgm:prSet/>
      <dgm:spPr/>
      <dgm:t>
        <a:bodyPr/>
        <a:lstStyle/>
        <a:p>
          <a:endParaRPr lang="en-US"/>
        </a:p>
      </dgm:t>
    </dgm:pt>
    <dgm:pt modelId="{C6FFE6A0-099B-4FC0-B52F-A34003E87A82}" type="sibTrans" cxnId="{2529FBC8-076B-4385-8C47-00896FC28415}">
      <dgm:prSet/>
      <dgm:spPr/>
      <dgm:t>
        <a:bodyPr/>
        <a:lstStyle/>
        <a:p>
          <a:endParaRPr lang="en-US"/>
        </a:p>
      </dgm:t>
    </dgm:pt>
    <dgm:pt modelId="{553FB8C8-B751-409B-839C-C32EE858C170}">
      <dgm:prSet/>
      <dgm:spPr/>
      <dgm:t>
        <a:bodyPr/>
        <a:lstStyle/>
        <a:p>
          <a:r>
            <a:rPr lang="en-US" b="0" i="0" u="none"/>
            <a:t>JPN 101 - Beginning Japanese I</a:t>
          </a:r>
          <a:endParaRPr lang="en-US"/>
        </a:p>
      </dgm:t>
    </dgm:pt>
    <dgm:pt modelId="{25809F41-C7FB-4EC2-A3E9-B59F8C8DAB3C}" type="parTrans" cxnId="{F70392FA-FDF4-4DAE-9288-00A42D578A5B}">
      <dgm:prSet/>
      <dgm:spPr/>
      <dgm:t>
        <a:bodyPr/>
        <a:lstStyle/>
        <a:p>
          <a:endParaRPr lang="en-US"/>
        </a:p>
      </dgm:t>
    </dgm:pt>
    <dgm:pt modelId="{283C0CD0-464C-4039-A233-D88AC224E767}" type="sibTrans" cxnId="{F70392FA-FDF4-4DAE-9288-00A42D578A5B}">
      <dgm:prSet/>
      <dgm:spPr/>
      <dgm:t>
        <a:bodyPr/>
        <a:lstStyle/>
        <a:p>
          <a:endParaRPr lang="en-US"/>
        </a:p>
      </dgm:t>
    </dgm:pt>
    <dgm:pt modelId="{D078CB95-1464-487E-A000-08A306E740F8}">
      <dgm:prSet/>
      <dgm:spPr/>
      <dgm:t>
        <a:bodyPr/>
        <a:lstStyle/>
        <a:p>
          <a:r>
            <a:rPr lang="en-US" b="0" i="0" u="none"/>
            <a:t>JPN 102 - Beginning Japanese I</a:t>
          </a:r>
          <a:endParaRPr lang="en-US"/>
        </a:p>
      </dgm:t>
    </dgm:pt>
    <dgm:pt modelId="{81451730-8281-422A-9DF5-785145412AF2}" type="parTrans" cxnId="{63CF6D9D-27CD-4070-8FDF-866F1F23FA36}">
      <dgm:prSet/>
      <dgm:spPr/>
      <dgm:t>
        <a:bodyPr/>
        <a:lstStyle/>
        <a:p>
          <a:endParaRPr lang="en-US"/>
        </a:p>
      </dgm:t>
    </dgm:pt>
    <dgm:pt modelId="{A94A3254-B6C6-48FF-9A83-AAD0073A7F17}" type="sibTrans" cxnId="{63CF6D9D-27CD-4070-8FDF-866F1F23FA36}">
      <dgm:prSet/>
      <dgm:spPr/>
      <dgm:t>
        <a:bodyPr/>
        <a:lstStyle/>
        <a:p>
          <a:endParaRPr lang="en-US"/>
        </a:p>
      </dgm:t>
    </dgm:pt>
    <dgm:pt modelId="{8775D297-8265-48F1-8248-DFE626AE07FD}">
      <dgm:prSet/>
      <dgm:spPr/>
      <dgm:t>
        <a:bodyPr/>
        <a:lstStyle/>
        <a:p>
          <a:r>
            <a:rPr lang="en-US" b="0" i="0" u="none"/>
            <a:t>RAE 150 - Elementary Chinese I</a:t>
          </a:r>
          <a:endParaRPr lang="en-US"/>
        </a:p>
      </dgm:t>
    </dgm:pt>
    <dgm:pt modelId="{7FC8158A-A760-4292-AF93-BEEE1A5E4AF6}" type="parTrans" cxnId="{F3187F68-4E91-4BA4-8FE4-197D0F39DDA3}">
      <dgm:prSet/>
      <dgm:spPr/>
      <dgm:t>
        <a:bodyPr/>
        <a:lstStyle/>
        <a:p>
          <a:endParaRPr lang="en-US"/>
        </a:p>
      </dgm:t>
    </dgm:pt>
    <dgm:pt modelId="{234B9EE9-013E-4C40-87C7-1332CDACEA52}" type="sibTrans" cxnId="{F3187F68-4E91-4BA4-8FE4-197D0F39DDA3}">
      <dgm:prSet/>
      <dgm:spPr/>
      <dgm:t>
        <a:bodyPr/>
        <a:lstStyle/>
        <a:p>
          <a:endParaRPr lang="en-US"/>
        </a:p>
      </dgm:t>
    </dgm:pt>
    <dgm:pt modelId="{AB4382B6-223F-49B3-A21F-E565EBC33DC1}">
      <dgm:prSet/>
      <dgm:spPr/>
      <dgm:t>
        <a:bodyPr/>
        <a:lstStyle/>
        <a:p>
          <a:r>
            <a:rPr lang="en-US" b="0" i="0" u="none"/>
            <a:t>RAE 151 - Elementary Chinese II</a:t>
          </a:r>
          <a:endParaRPr lang="en-US"/>
        </a:p>
      </dgm:t>
    </dgm:pt>
    <dgm:pt modelId="{B09712DA-2E3F-4EA6-A03D-E2997425D347}" type="parTrans" cxnId="{AAB592EF-9DE6-4115-A3B7-A3639977212A}">
      <dgm:prSet/>
      <dgm:spPr/>
      <dgm:t>
        <a:bodyPr/>
        <a:lstStyle/>
        <a:p>
          <a:endParaRPr lang="en-US"/>
        </a:p>
      </dgm:t>
    </dgm:pt>
    <dgm:pt modelId="{2BAA6338-5428-49FF-A368-69262AF97EE6}" type="sibTrans" cxnId="{AAB592EF-9DE6-4115-A3B7-A3639977212A}">
      <dgm:prSet/>
      <dgm:spPr/>
      <dgm:t>
        <a:bodyPr/>
        <a:lstStyle/>
        <a:p>
          <a:endParaRPr lang="en-US"/>
        </a:p>
      </dgm:t>
    </dgm:pt>
    <dgm:pt modelId="{9B80F98E-13DC-446E-93C4-0DF14C26002D}">
      <dgm:prSet/>
      <dgm:spPr/>
      <dgm:t>
        <a:bodyPr/>
        <a:lstStyle/>
        <a:p>
          <a:r>
            <a:rPr lang="en-US" b="0" i="0" u="none"/>
            <a:t>SED 101 - Sign Language I</a:t>
          </a:r>
          <a:endParaRPr lang="en-US"/>
        </a:p>
      </dgm:t>
    </dgm:pt>
    <dgm:pt modelId="{81FF1257-A628-4DF1-A294-C547865AF321}" type="parTrans" cxnId="{17285649-A6D0-4300-9488-1563AFE08C67}">
      <dgm:prSet/>
      <dgm:spPr/>
      <dgm:t>
        <a:bodyPr/>
        <a:lstStyle/>
        <a:p>
          <a:endParaRPr lang="en-US"/>
        </a:p>
      </dgm:t>
    </dgm:pt>
    <dgm:pt modelId="{E97BD647-3117-46F9-9A55-2573A9F8A30C}" type="sibTrans" cxnId="{17285649-A6D0-4300-9488-1563AFE08C67}">
      <dgm:prSet/>
      <dgm:spPr/>
      <dgm:t>
        <a:bodyPr/>
        <a:lstStyle/>
        <a:p>
          <a:endParaRPr lang="en-US"/>
        </a:p>
      </dgm:t>
    </dgm:pt>
    <dgm:pt modelId="{AF979D34-E1E9-4830-88CB-B031ACF2B489}">
      <dgm:prSet/>
      <dgm:spPr/>
      <dgm:t>
        <a:bodyPr/>
        <a:lstStyle/>
        <a:p>
          <a:r>
            <a:rPr lang="en-US" b="0" i="0" u="none"/>
            <a:t>SED 102 - Sign Language II</a:t>
          </a:r>
          <a:endParaRPr lang="en-US"/>
        </a:p>
      </dgm:t>
    </dgm:pt>
    <dgm:pt modelId="{6C698427-9818-4CD0-8A66-95139BB28B19}" type="parTrans" cxnId="{7039E968-BF62-45A1-A33F-CDC19DC067E7}">
      <dgm:prSet/>
      <dgm:spPr/>
      <dgm:t>
        <a:bodyPr/>
        <a:lstStyle/>
        <a:p>
          <a:endParaRPr lang="en-US"/>
        </a:p>
      </dgm:t>
    </dgm:pt>
    <dgm:pt modelId="{19F501DD-C246-469C-878D-E8728888AE71}" type="sibTrans" cxnId="{7039E968-BF62-45A1-A33F-CDC19DC067E7}">
      <dgm:prSet/>
      <dgm:spPr/>
      <dgm:t>
        <a:bodyPr/>
        <a:lstStyle/>
        <a:p>
          <a:endParaRPr lang="en-US"/>
        </a:p>
      </dgm:t>
    </dgm:pt>
    <dgm:pt modelId="{CFA12100-1723-4E12-BDFF-72913A9C85C2}">
      <dgm:prSet/>
      <dgm:spPr/>
      <dgm:t>
        <a:bodyPr/>
        <a:lstStyle/>
        <a:p>
          <a:r>
            <a:rPr lang="en-US" b="0" i="0" u="none"/>
            <a:t>SED 203 - Sign Language III</a:t>
          </a:r>
          <a:endParaRPr lang="en-US"/>
        </a:p>
      </dgm:t>
    </dgm:pt>
    <dgm:pt modelId="{3886B05F-A3D5-4A67-89A3-A846B080437D}" type="parTrans" cxnId="{EEF10E1E-081B-454C-B496-4328A57C44D0}">
      <dgm:prSet/>
      <dgm:spPr/>
      <dgm:t>
        <a:bodyPr/>
        <a:lstStyle/>
        <a:p>
          <a:endParaRPr lang="en-US"/>
        </a:p>
      </dgm:t>
    </dgm:pt>
    <dgm:pt modelId="{F4217BC9-32C3-48C4-8B50-15AC2E56B703}" type="sibTrans" cxnId="{EEF10E1E-081B-454C-B496-4328A57C44D0}">
      <dgm:prSet/>
      <dgm:spPr/>
      <dgm:t>
        <a:bodyPr/>
        <a:lstStyle/>
        <a:p>
          <a:endParaRPr lang="en-US"/>
        </a:p>
      </dgm:t>
    </dgm:pt>
    <dgm:pt modelId="{328917C9-1FBA-4E92-B042-E32E7DB4794B}">
      <dgm:prSet/>
      <dgm:spPr/>
      <dgm:t>
        <a:bodyPr/>
        <a:lstStyle/>
        <a:p>
          <a:r>
            <a:rPr lang="en-US" b="0" i="0" u="none"/>
            <a:t>SED 204 - Sign Language IV</a:t>
          </a:r>
          <a:endParaRPr lang="en-US"/>
        </a:p>
      </dgm:t>
    </dgm:pt>
    <dgm:pt modelId="{D460864D-BFA6-4BB7-957E-D182AF82BBD2}" type="parTrans" cxnId="{48DF32F7-0FF0-48D3-8D28-991F913132E7}">
      <dgm:prSet/>
      <dgm:spPr/>
      <dgm:t>
        <a:bodyPr/>
        <a:lstStyle/>
        <a:p>
          <a:endParaRPr lang="en-US"/>
        </a:p>
      </dgm:t>
    </dgm:pt>
    <dgm:pt modelId="{715C0080-3642-4624-8B55-FC9C74B5B48F}" type="sibTrans" cxnId="{48DF32F7-0FF0-48D3-8D28-991F913132E7}">
      <dgm:prSet/>
      <dgm:spPr/>
      <dgm:t>
        <a:bodyPr/>
        <a:lstStyle/>
        <a:p>
          <a:endParaRPr lang="en-US"/>
        </a:p>
      </dgm:t>
    </dgm:pt>
    <dgm:pt modelId="{8DB1FF82-B673-4C7B-B1ED-2D5F648026AA}">
      <dgm:prSet/>
      <dgm:spPr/>
      <dgm:t>
        <a:bodyPr/>
        <a:lstStyle/>
        <a:p>
          <a:r>
            <a:rPr lang="en-US" b="0" i="0" u="none"/>
            <a:t>SPA 101 - Elementary Spanish I</a:t>
          </a:r>
          <a:endParaRPr lang="en-US"/>
        </a:p>
      </dgm:t>
    </dgm:pt>
    <dgm:pt modelId="{FD12697A-A55B-443B-B804-1717E3D6F9FD}" type="parTrans" cxnId="{115D861A-2D45-46A7-9431-2E8579643A2E}">
      <dgm:prSet/>
      <dgm:spPr/>
      <dgm:t>
        <a:bodyPr/>
        <a:lstStyle/>
        <a:p>
          <a:endParaRPr lang="en-US"/>
        </a:p>
      </dgm:t>
    </dgm:pt>
    <dgm:pt modelId="{49F1B785-68D8-487E-B94B-4557C8939BF9}" type="sibTrans" cxnId="{115D861A-2D45-46A7-9431-2E8579643A2E}">
      <dgm:prSet/>
      <dgm:spPr/>
      <dgm:t>
        <a:bodyPr/>
        <a:lstStyle/>
        <a:p>
          <a:endParaRPr lang="en-US"/>
        </a:p>
      </dgm:t>
    </dgm:pt>
    <dgm:pt modelId="{1E0A182B-B10E-4817-8618-88A477C9FE74}">
      <dgm:prSet/>
      <dgm:spPr/>
      <dgm:t>
        <a:bodyPr/>
        <a:lstStyle/>
        <a:p>
          <a:r>
            <a:rPr lang="en-US" b="0" i="0" u="none"/>
            <a:t>SPA 102 - Elementary Spanish II</a:t>
          </a:r>
          <a:endParaRPr lang="en-US"/>
        </a:p>
      </dgm:t>
    </dgm:pt>
    <dgm:pt modelId="{9F074953-08CD-4241-B3BB-6D7B2E7B6F0D}" type="parTrans" cxnId="{1AADBC7A-7A9D-466A-8D6F-C6BE76442B72}">
      <dgm:prSet/>
      <dgm:spPr/>
      <dgm:t>
        <a:bodyPr/>
        <a:lstStyle/>
        <a:p>
          <a:endParaRPr lang="en-US"/>
        </a:p>
      </dgm:t>
    </dgm:pt>
    <dgm:pt modelId="{927F94EC-C43B-4031-9FED-2E2967BFF39E}" type="sibTrans" cxnId="{1AADBC7A-7A9D-466A-8D6F-C6BE76442B72}">
      <dgm:prSet/>
      <dgm:spPr/>
      <dgm:t>
        <a:bodyPr/>
        <a:lstStyle/>
        <a:p>
          <a:endParaRPr lang="en-US"/>
        </a:p>
      </dgm:t>
    </dgm:pt>
    <dgm:pt modelId="{13E8249C-198B-4B09-A00E-E3AFD4D26BB1}">
      <dgm:prSet/>
      <dgm:spPr/>
      <dgm:t>
        <a:bodyPr/>
        <a:lstStyle/>
        <a:p>
          <a:r>
            <a:rPr lang="en-US" b="0" i="0" u="none"/>
            <a:t>SPA 201 - Intermediate Spanish II</a:t>
          </a:r>
          <a:endParaRPr lang="en-US"/>
        </a:p>
      </dgm:t>
    </dgm:pt>
    <dgm:pt modelId="{FB72B079-F08F-41C8-93AF-6F4698C7DE46}" type="parTrans" cxnId="{9C43A33A-F45F-42C8-8C38-95FBFE2366F4}">
      <dgm:prSet/>
      <dgm:spPr/>
      <dgm:t>
        <a:bodyPr/>
        <a:lstStyle/>
        <a:p>
          <a:endParaRPr lang="en-US"/>
        </a:p>
      </dgm:t>
    </dgm:pt>
    <dgm:pt modelId="{3786ACE7-3D14-46C9-A078-647E8CD831CB}" type="sibTrans" cxnId="{9C43A33A-F45F-42C8-8C38-95FBFE2366F4}">
      <dgm:prSet/>
      <dgm:spPr/>
      <dgm:t>
        <a:bodyPr/>
        <a:lstStyle/>
        <a:p>
          <a:endParaRPr lang="en-US"/>
        </a:p>
      </dgm:t>
    </dgm:pt>
    <dgm:pt modelId="{B42E4EB9-12C4-4026-843E-BCDEB3C93A27}">
      <dgm:prSet/>
      <dgm:spPr/>
      <dgm:t>
        <a:bodyPr/>
        <a:lstStyle/>
        <a:p>
          <a:r>
            <a:rPr lang="en-US" b="0" i="0" u="none"/>
            <a:t>SPA 202 - Intermediate Spanish II</a:t>
          </a:r>
          <a:endParaRPr lang="en-US"/>
        </a:p>
      </dgm:t>
    </dgm:pt>
    <dgm:pt modelId="{0D8F33E2-7988-4C25-ABF8-921046653BD4}" type="parTrans" cxnId="{5A7D8138-A7E2-49C3-8A66-B0F0FA04EF85}">
      <dgm:prSet/>
      <dgm:spPr/>
      <dgm:t>
        <a:bodyPr/>
        <a:lstStyle/>
        <a:p>
          <a:endParaRPr lang="en-US"/>
        </a:p>
      </dgm:t>
    </dgm:pt>
    <dgm:pt modelId="{2384D9B9-6982-4B10-AF40-2E1EBB760FBD}" type="sibTrans" cxnId="{5A7D8138-A7E2-49C3-8A66-B0F0FA04EF85}">
      <dgm:prSet/>
      <dgm:spPr/>
      <dgm:t>
        <a:bodyPr/>
        <a:lstStyle/>
        <a:p>
          <a:endParaRPr lang="en-US"/>
        </a:p>
      </dgm:t>
    </dgm:pt>
    <dgm:pt modelId="{61BC1F35-6CA3-465F-B22E-A56E4B93E5A3}">
      <dgm:prSet phldrT="[Text]"/>
      <dgm:spPr/>
      <dgm:t>
        <a:bodyPr/>
        <a:lstStyle/>
        <a:p>
          <a:r>
            <a:rPr lang="en-US"/>
            <a:t>HRS 101 - An Integrated Survey Of Western Civilization I</a:t>
          </a:r>
        </a:p>
      </dgm:t>
    </dgm:pt>
    <dgm:pt modelId="{444AFCA2-3FFE-48D1-BE83-3503CBF91585}" type="parTrans" cxnId="{B8B34DE1-8EC5-4B51-B272-4BA07E71AD57}">
      <dgm:prSet/>
      <dgm:spPr/>
      <dgm:t>
        <a:bodyPr/>
        <a:lstStyle/>
        <a:p>
          <a:endParaRPr lang="en-US"/>
        </a:p>
      </dgm:t>
    </dgm:pt>
    <dgm:pt modelId="{5C21DD1D-3966-4642-AB06-A42CC78F9AD5}" type="sibTrans" cxnId="{B8B34DE1-8EC5-4B51-B272-4BA07E71AD57}">
      <dgm:prSet/>
      <dgm:spPr/>
      <dgm:t>
        <a:bodyPr/>
        <a:lstStyle/>
        <a:p>
          <a:endParaRPr lang="en-US"/>
        </a:p>
      </dgm:t>
    </dgm:pt>
    <dgm:pt modelId="{F50CEFCA-8420-47B5-825C-9AD6417DB1D2}">
      <dgm:prSet phldrT="[Text]"/>
      <dgm:spPr/>
      <dgm:t>
        <a:bodyPr/>
        <a:lstStyle/>
        <a:p>
          <a:r>
            <a:rPr lang="en-US"/>
            <a:t>HRS 102 - An Integrated Survey Of Western Civilization II</a:t>
          </a:r>
        </a:p>
      </dgm:t>
    </dgm:pt>
    <dgm:pt modelId="{53CBD8C2-ABFA-4401-BC19-19DD68DDD669}" type="parTrans" cxnId="{97F5C04C-D1F4-41B3-A4CC-8C8665B33972}">
      <dgm:prSet/>
      <dgm:spPr/>
      <dgm:t>
        <a:bodyPr/>
        <a:lstStyle/>
        <a:p>
          <a:endParaRPr lang="en-US"/>
        </a:p>
      </dgm:t>
    </dgm:pt>
    <dgm:pt modelId="{758ED862-49EB-42C0-B160-5594114EDEA5}" type="sibTrans" cxnId="{97F5C04C-D1F4-41B3-A4CC-8C8665B33972}">
      <dgm:prSet/>
      <dgm:spPr/>
      <dgm:t>
        <a:bodyPr/>
        <a:lstStyle/>
        <a:p>
          <a:endParaRPr lang="en-US"/>
        </a:p>
      </dgm:t>
    </dgm:pt>
    <dgm:pt modelId="{93ED1C98-F4B9-4E97-AE9E-DBDE1595535D}">
      <dgm:prSet phldrT="[Text]"/>
      <dgm:spPr/>
      <dgm:t>
        <a:bodyPr/>
        <a:lstStyle/>
        <a:p>
          <a:r>
            <a:rPr lang="en-US"/>
            <a:t>HUM 120 - Introduction To The Humanities</a:t>
          </a:r>
        </a:p>
      </dgm:t>
    </dgm:pt>
    <dgm:pt modelId="{65C63A5E-DAD6-4AA0-AC2D-47D93FBADC6F}" type="parTrans" cxnId="{9AF50DA8-836D-4015-9711-4353388ACE69}">
      <dgm:prSet/>
      <dgm:spPr/>
      <dgm:t>
        <a:bodyPr/>
        <a:lstStyle/>
        <a:p>
          <a:endParaRPr lang="en-US"/>
        </a:p>
      </dgm:t>
    </dgm:pt>
    <dgm:pt modelId="{D1CE9538-C9DE-41CB-ADD9-3AFF86010FFC}" type="sibTrans" cxnId="{9AF50DA8-836D-4015-9711-4353388ACE69}">
      <dgm:prSet/>
      <dgm:spPr/>
      <dgm:t>
        <a:bodyPr/>
        <a:lstStyle/>
        <a:p>
          <a:endParaRPr lang="en-US"/>
        </a:p>
      </dgm:t>
    </dgm:pt>
    <dgm:pt modelId="{F508D81E-351E-4D7F-AB48-C473D83EC229}">
      <dgm:prSet phldrT="[Text]"/>
      <dgm:spPr/>
      <dgm:t>
        <a:bodyPr/>
        <a:lstStyle/>
        <a:p>
          <a:r>
            <a:rPr lang="en-US"/>
            <a:t>HRS 202 - An Integrated Survey Of Western Civilization IV</a:t>
          </a:r>
        </a:p>
      </dgm:t>
    </dgm:pt>
    <dgm:pt modelId="{5CA1BE3F-7195-48CE-A0BC-CD5AC7E15F6E}" type="parTrans" cxnId="{B9B2AE9A-4A81-437D-8C37-FE66049EBB0A}">
      <dgm:prSet/>
      <dgm:spPr/>
      <dgm:t>
        <a:bodyPr/>
        <a:lstStyle/>
        <a:p>
          <a:endParaRPr lang="en-US"/>
        </a:p>
      </dgm:t>
    </dgm:pt>
    <dgm:pt modelId="{CEAC752D-0CD3-4679-8798-9FC1411CCB81}" type="sibTrans" cxnId="{B9B2AE9A-4A81-437D-8C37-FE66049EBB0A}">
      <dgm:prSet/>
      <dgm:spPr/>
      <dgm:t>
        <a:bodyPr/>
        <a:lstStyle/>
        <a:p>
          <a:endParaRPr lang="en-US"/>
        </a:p>
      </dgm:t>
    </dgm:pt>
    <dgm:pt modelId="{3A54E514-0555-4E5E-ADDA-713671716DD4}">
      <dgm:prSet phldrT="[Text]"/>
      <dgm:spPr/>
      <dgm:t>
        <a:bodyPr/>
        <a:lstStyle/>
        <a:p>
          <a:r>
            <a:rPr lang="en-US"/>
            <a:t>SWK 275 - The Family</a:t>
          </a:r>
        </a:p>
      </dgm:t>
    </dgm:pt>
    <dgm:pt modelId="{CDE5D1F5-826F-4453-8BC3-66E27D52815D}" type="parTrans" cxnId="{B00F9FE1-EBB5-4B4E-8CF4-D9718C0588B0}">
      <dgm:prSet/>
      <dgm:spPr/>
      <dgm:t>
        <a:bodyPr/>
        <a:lstStyle/>
        <a:p>
          <a:endParaRPr lang="en-US"/>
        </a:p>
      </dgm:t>
    </dgm:pt>
    <dgm:pt modelId="{57A71274-E4E1-4F02-A30A-10E80BE54261}" type="sibTrans" cxnId="{B00F9FE1-EBB5-4B4E-8CF4-D9718C0588B0}">
      <dgm:prSet/>
      <dgm:spPr/>
      <dgm:t>
        <a:bodyPr/>
        <a:lstStyle/>
        <a:p>
          <a:endParaRPr lang="en-US"/>
        </a:p>
      </dgm:t>
    </dgm:pt>
    <dgm:pt modelId="{5586B206-C6AF-4932-A260-DE9E8691CF92}">
      <dgm:prSet phldrT="[Text]"/>
      <dgm:spPr/>
      <dgm:t>
        <a:bodyPr/>
        <a:lstStyle/>
        <a:p>
          <a:r>
            <a:rPr lang="en-US"/>
            <a:t>GEO 135 - Global Climate Change</a:t>
          </a:r>
        </a:p>
      </dgm:t>
    </dgm:pt>
    <dgm:pt modelId="{791DDBEE-452A-410E-A828-0BBCE20D57D7}" type="parTrans" cxnId="{71D8CEB6-D6DE-4905-8CD5-7F5A866BDCFD}">
      <dgm:prSet/>
      <dgm:spPr/>
      <dgm:t>
        <a:bodyPr/>
        <a:lstStyle/>
        <a:p>
          <a:endParaRPr lang="en-US"/>
        </a:p>
      </dgm:t>
    </dgm:pt>
    <dgm:pt modelId="{D61B70BF-F313-4577-A542-43215531B546}" type="sibTrans" cxnId="{71D8CEB6-D6DE-4905-8CD5-7F5A866BDCFD}">
      <dgm:prSet/>
      <dgm:spPr/>
      <dgm:t>
        <a:bodyPr/>
        <a:lstStyle/>
        <a:p>
          <a:endParaRPr lang="en-US"/>
        </a:p>
      </dgm:t>
    </dgm:pt>
    <dgm:pt modelId="{EA47508E-317F-4A46-BCBF-FAC7A14A0EFA}" type="pres">
      <dgm:prSet presAssocID="{00F85EC1-B921-48FE-997F-36320003F407}" presName="linear" presStyleCnt="0">
        <dgm:presLayoutVars>
          <dgm:dir/>
          <dgm:animLvl val="lvl"/>
          <dgm:resizeHandles val="exact"/>
        </dgm:presLayoutVars>
      </dgm:prSet>
      <dgm:spPr/>
      <dgm:t>
        <a:bodyPr/>
        <a:lstStyle/>
        <a:p>
          <a:endParaRPr lang="en-US"/>
        </a:p>
      </dgm:t>
    </dgm:pt>
    <dgm:pt modelId="{636D8AAD-FF92-4DE7-815F-E22E45110B13}" type="pres">
      <dgm:prSet presAssocID="{F21BE4C5-213C-4F6A-A9DD-9E62F8F803E2}" presName="parentLin" presStyleCnt="0"/>
      <dgm:spPr/>
    </dgm:pt>
    <dgm:pt modelId="{362CDBAB-855B-42DD-B25B-F740E7B27E88}" type="pres">
      <dgm:prSet presAssocID="{F21BE4C5-213C-4F6A-A9DD-9E62F8F803E2}" presName="parentLeftMargin" presStyleLbl="node1" presStyleIdx="0" presStyleCnt="8"/>
      <dgm:spPr/>
      <dgm:t>
        <a:bodyPr/>
        <a:lstStyle/>
        <a:p>
          <a:endParaRPr lang="en-US"/>
        </a:p>
      </dgm:t>
    </dgm:pt>
    <dgm:pt modelId="{5DC58891-F6F0-4E60-A5CF-990DBBAF63B8}" type="pres">
      <dgm:prSet presAssocID="{F21BE4C5-213C-4F6A-A9DD-9E62F8F803E2}" presName="parentText" presStyleLbl="node1" presStyleIdx="0" presStyleCnt="8">
        <dgm:presLayoutVars>
          <dgm:chMax val="0"/>
          <dgm:bulletEnabled val="1"/>
        </dgm:presLayoutVars>
      </dgm:prSet>
      <dgm:spPr/>
      <dgm:t>
        <a:bodyPr/>
        <a:lstStyle/>
        <a:p>
          <a:endParaRPr lang="en-US"/>
        </a:p>
      </dgm:t>
    </dgm:pt>
    <dgm:pt modelId="{F544ECF4-E4B6-43F4-88A3-8A020BFC8756}" type="pres">
      <dgm:prSet presAssocID="{F21BE4C5-213C-4F6A-A9DD-9E62F8F803E2}" presName="negativeSpace" presStyleCnt="0"/>
      <dgm:spPr/>
    </dgm:pt>
    <dgm:pt modelId="{5B4E20D8-CBA3-43D9-8002-3C6F33DD77DC}" type="pres">
      <dgm:prSet presAssocID="{F21BE4C5-213C-4F6A-A9DD-9E62F8F803E2}" presName="childText" presStyleLbl="conFgAcc1" presStyleIdx="0" presStyleCnt="8">
        <dgm:presLayoutVars>
          <dgm:bulletEnabled val="1"/>
        </dgm:presLayoutVars>
      </dgm:prSet>
      <dgm:spPr/>
      <dgm:t>
        <a:bodyPr/>
        <a:lstStyle/>
        <a:p>
          <a:endParaRPr lang="en-US"/>
        </a:p>
      </dgm:t>
    </dgm:pt>
    <dgm:pt modelId="{69932703-4740-4AAC-B7D7-5F90595F6596}" type="pres">
      <dgm:prSet presAssocID="{414096B7-B972-46EE-8E0F-F725209F5192}" presName="spaceBetweenRectangles" presStyleCnt="0"/>
      <dgm:spPr/>
    </dgm:pt>
    <dgm:pt modelId="{B8F418AA-043B-4FFE-B0FA-20504AA98FFB}" type="pres">
      <dgm:prSet presAssocID="{CFB52A42-DCB4-44E9-BFD7-B29AA9191E36}" presName="parentLin" presStyleCnt="0"/>
      <dgm:spPr/>
    </dgm:pt>
    <dgm:pt modelId="{7EE8E146-0002-449A-8AC8-465A046A3587}" type="pres">
      <dgm:prSet presAssocID="{CFB52A42-DCB4-44E9-BFD7-B29AA9191E36}" presName="parentLeftMargin" presStyleLbl="node1" presStyleIdx="0" presStyleCnt="8"/>
      <dgm:spPr/>
      <dgm:t>
        <a:bodyPr/>
        <a:lstStyle/>
        <a:p>
          <a:endParaRPr lang="en-US"/>
        </a:p>
      </dgm:t>
    </dgm:pt>
    <dgm:pt modelId="{F8CDE98B-1F69-427D-85A5-A035DE08DEB3}" type="pres">
      <dgm:prSet presAssocID="{CFB52A42-DCB4-44E9-BFD7-B29AA9191E36}" presName="parentText" presStyleLbl="node1" presStyleIdx="1" presStyleCnt="8">
        <dgm:presLayoutVars>
          <dgm:chMax val="0"/>
          <dgm:bulletEnabled val="1"/>
        </dgm:presLayoutVars>
      </dgm:prSet>
      <dgm:spPr/>
      <dgm:t>
        <a:bodyPr/>
        <a:lstStyle/>
        <a:p>
          <a:endParaRPr lang="en-US"/>
        </a:p>
      </dgm:t>
    </dgm:pt>
    <dgm:pt modelId="{35944BBE-5CA1-4F47-B021-B24352F9D241}" type="pres">
      <dgm:prSet presAssocID="{CFB52A42-DCB4-44E9-BFD7-B29AA9191E36}" presName="negativeSpace" presStyleCnt="0"/>
      <dgm:spPr/>
    </dgm:pt>
    <dgm:pt modelId="{5055729C-1743-4889-980C-6A0CEF4560D2}" type="pres">
      <dgm:prSet presAssocID="{CFB52A42-DCB4-44E9-BFD7-B29AA9191E36}" presName="childText" presStyleLbl="conFgAcc1" presStyleIdx="1" presStyleCnt="8">
        <dgm:presLayoutVars>
          <dgm:bulletEnabled val="1"/>
        </dgm:presLayoutVars>
      </dgm:prSet>
      <dgm:spPr/>
      <dgm:t>
        <a:bodyPr/>
        <a:lstStyle/>
        <a:p>
          <a:endParaRPr lang="en-US"/>
        </a:p>
      </dgm:t>
    </dgm:pt>
    <dgm:pt modelId="{E0539988-472D-4CBA-A5E7-087BC1B3B5B0}" type="pres">
      <dgm:prSet presAssocID="{AB2055C4-E096-48EE-BD1D-F58C1D9C880E}" presName="spaceBetweenRectangles" presStyleCnt="0"/>
      <dgm:spPr/>
    </dgm:pt>
    <dgm:pt modelId="{EE16FBC8-09D8-44AF-A6AA-B53F234DF3AD}" type="pres">
      <dgm:prSet presAssocID="{43EE3679-5B1F-45D4-ADA6-461661E67B3C}" presName="parentLin" presStyleCnt="0"/>
      <dgm:spPr/>
    </dgm:pt>
    <dgm:pt modelId="{20518C94-687E-48B2-AEE0-E5AB31E7C750}" type="pres">
      <dgm:prSet presAssocID="{43EE3679-5B1F-45D4-ADA6-461661E67B3C}" presName="parentLeftMargin" presStyleLbl="node1" presStyleIdx="1" presStyleCnt="8"/>
      <dgm:spPr/>
      <dgm:t>
        <a:bodyPr/>
        <a:lstStyle/>
        <a:p>
          <a:endParaRPr lang="en-US"/>
        </a:p>
      </dgm:t>
    </dgm:pt>
    <dgm:pt modelId="{41D7407A-C719-4FA3-8A83-E4FFE8AE6D7D}" type="pres">
      <dgm:prSet presAssocID="{43EE3679-5B1F-45D4-ADA6-461661E67B3C}" presName="parentText" presStyleLbl="node1" presStyleIdx="2" presStyleCnt="8">
        <dgm:presLayoutVars>
          <dgm:chMax val="0"/>
          <dgm:bulletEnabled val="1"/>
        </dgm:presLayoutVars>
      </dgm:prSet>
      <dgm:spPr/>
      <dgm:t>
        <a:bodyPr/>
        <a:lstStyle/>
        <a:p>
          <a:endParaRPr lang="en-US"/>
        </a:p>
      </dgm:t>
    </dgm:pt>
    <dgm:pt modelId="{F4C88BA6-BA1F-4993-A42D-39A8761AA56F}" type="pres">
      <dgm:prSet presAssocID="{43EE3679-5B1F-45D4-ADA6-461661E67B3C}" presName="negativeSpace" presStyleCnt="0"/>
      <dgm:spPr/>
    </dgm:pt>
    <dgm:pt modelId="{817CDDC7-4A1A-4DD3-BC8B-78FCA99C23C1}" type="pres">
      <dgm:prSet presAssocID="{43EE3679-5B1F-45D4-ADA6-461661E67B3C}" presName="childText" presStyleLbl="conFgAcc1" presStyleIdx="2" presStyleCnt="8">
        <dgm:presLayoutVars>
          <dgm:bulletEnabled val="1"/>
        </dgm:presLayoutVars>
      </dgm:prSet>
      <dgm:spPr/>
      <dgm:t>
        <a:bodyPr/>
        <a:lstStyle/>
        <a:p>
          <a:endParaRPr lang="en-US"/>
        </a:p>
      </dgm:t>
    </dgm:pt>
    <dgm:pt modelId="{A50285AE-FB7A-4557-80A9-A5B9A92313E9}" type="pres">
      <dgm:prSet presAssocID="{B4243524-BD3D-4E2B-9438-79D76C2FDF23}" presName="spaceBetweenRectangles" presStyleCnt="0"/>
      <dgm:spPr/>
    </dgm:pt>
    <dgm:pt modelId="{3E11E20E-175E-48A4-AFA7-A976BE601DA1}" type="pres">
      <dgm:prSet presAssocID="{97AA3ADE-843A-4221-84AF-DB3AA8600E3A}" presName="parentLin" presStyleCnt="0"/>
      <dgm:spPr/>
    </dgm:pt>
    <dgm:pt modelId="{DB2B5F74-BC31-4AC7-89FD-9362E44E490A}" type="pres">
      <dgm:prSet presAssocID="{97AA3ADE-843A-4221-84AF-DB3AA8600E3A}" presName="parentLeftMargin" presStyleLbl="node1" presStyleIdx="2" presStyleCnt="8"/>
      <dgm:spPr/>
      <dgm:t>
        <a:bodyPr/>
        <a:lstStyle/>
        <a:p>
          <a:endParaRPr lang="en-US"/>
        </a:p>
      </dgm:t>
    </dgm:pt>
    <dgm:pt modelId="{D3B6AE60-02C5-4783-838B-9B0AB0FC527F}" type="pres">
      <dgm:prSet presAssocID="{97AA3ADE-843A-4221-84AF-DB3AA8600E3A}" presName="parentText" presStyleLbl="node1" presStyleIdx="3" presStyleCnt="8">
        <dgm:presLayoutVars>
          <dgm:chMax val="0"/>
          <dgm:bulletEnabled val="1"/>
        </dgm:presLayoutVars>
      </dgm:prSet>
      <dgm:spPr/>
      <dgm:t>
        <a:bodyPr/>
        <a:lstStyle/>
        <a:p>
          <a:endParaRPr lang="en-US"/>
        </a:p>
      </dgm:t>
    </dgm:pt>
    <dgm:pt modelId="{DC78D7BA-D2C6-4F06-8550-5F2C0557FB93}" type="pres">
      <dgm:prSet presAssocID="{97AA3ADE-843A-4221-84AF-DB3AA8600E3A}" presName="negativeSpace" presStyleCnt="0"/>
      <dgm:spPr/>
    </dgm:pt>
    <dgm:pt modelId="{AD23FFB9-2542-4B31-80E2-741BD5F0A76B}" type="pres">
      <dgm:prSet presAssocID="{97AA3ADE-843A-4221-84AF-DB3AA8600E3A}" presName="childText" presStyleLbl="conFgAcc1" presStyleIdx="3" presStyleCnt="8">
        <dgm:presLayoutVars>
          <dgm:bulletEnabled val="1"/>
        </dgm:presLayoutVars>
      </dgm:prSet>
      <dgm:spPr/>
      <dgm:t>
        <a:bodyPr/>
        <a:lstStyle/>
        <a:p>
          <a:endParaRPr lang="en-US"/>
        </a:p>
      </dgm:t>
    </dgm:pt>
    <dgm:pt modelId="{ADACF910-560B-4196-B502-5B6A3CB17DE9}" type="pres">
      <dgm:prSet presAssocID="{A08C9C4B-50BF-49E0-9F7B-2B389F13AAB2}" presName="spaceBetweenRectangles" presStyleCnt="0"/>
      <dgm:spPr/>
    </dgm:pt>
    <dgm:pt modelId="{1F7D25D6-9B32-4A0C-8AA7-B30ABB732AB9}" type="pres">
      <dgm:prSet presAssocID="{85A7569B-6F73-4E04-8B9E-333372741083}" presName="parentLin" presStyleCnt="0"/>
      <dgm:spPr/>
    </dgm:pt>
    <dgm:pt modelId="{78505F54-1321-4297-B3D5-B093F2495A2E}" type="pres">
      <dgm:prSet presAssocID="{85A7569B-6F73-4E04-8B9E-333372741083}" presName="parentLeftMargin" presStyleLbl="node1" presStyleIdx="3" presStyleCnt="8"/>
      <dgm:spPr/>
      <dgm:t>
        <a:bodyPr/>
        <a:lstStyle/>
        <a:p>
          <a:endParaRPr lang="en-US"/>
        </a:p>
      </dgm:t>
    </dgm:pt>
    <dgm:pt modelId="{153FE339-C805-4E53-87AC-026762D57A3E}" type="pres">
      <dgm:prSet presAssocID="{85A7569B-6F73-4E04-8B9E-333372741083}" presName="parentText" presStyleLbl="node1" presStyleIdx="4" presStyleCnt="8">
        <dgm:presLayoutVars>
          <dgm:chMax val="0"/>
          <dgm:bulletEnabled val="1"/>
        </dgm:presLayoutVars>
      </dgm:prSet>
      <dgm:spPr/>
      <dgm:t>
        <a:bodyPr/>
        <a:lstStyle/>
        <a:p>
          <a:endParaRPr lang="en-US"/>
        </a:p>
      </dgm:t>
    </dgm:pt>
    <dgm:pt modelId="{91A2372E-C5FB-4D53-BA80-0A18F684F7AA}" type="pres">
      <dgm:prSet presAssocID="{85A7569B-6F73-4E04-8B9E-333372741083}" presName="negativeSpace" presStyleCnt="0"/>
      <dgm:spPr/>
    </dgm:pt>
    <dgm:pt modelId="{DD9E5413-5447-4D82-930B-572E7D8779E8}" type="pres">
      <dgm:prSet presAssocID="{85A7569B-6F73-4E04-8B9E-333372741083}" presName="childText" presStyleLbl="conFgAcc1" presStyleIdx="4" presStyleCnt="8">
        <dgm:presLayoutVars>
          <dgm:bulletEnabled val="1"/>
        </dgm:presLayoutVars>
      </dgm:prSet>
      <dgm:spPr/>
      <dgm:t>
        <a:bodyPr/>
        <a:lstStyle/>
        <a:p>
          <a:endParaRPr lang="en-US"/>
        </a:p>
      </dgm:t>
    </dgm:pt>
    <dgm:pt modelId="{5B4AAD95-ADEC-46A2-92F9-CAE110192BC3}" type="pres">
      <dgm:prSet presAssocID="{78F80E5A-30D3-4AD3-AA2B-21D411931C9C}" presName="spaceBetweenRectangles" presStyleCnt="0"/>
      <dgm:spPr/>
    </dgm:pt>
    <dgm:pt modelId="{22D097F7-6C7D-4E39-9C3C-E390D4515B27}" type="pres">
      <dgm:prSet presAssocID="{5C69E173-182B-4E03-963D-32597C0342D2}" presName="parentLin" presStyleCnt="0"/>
      <dgm:spPr/>
    </dgm:pt>
    <dgm:pt modelId="{F040162A-9EF5-4D83-BF3B-9CA6D275C82B}" type="pres">
      <dgm:prSet presAssocID="{5C69E173-182B-4E03-963D-32597C0342D2}" presName="parentLeftMargin" presStyleLbl="node1" presStyleIdx="4" presStyleCnt="8"/>
      <dgm:spPr/>
      <dgm:t>
        <a:bodyPr/>
        <a:lstStyle/>
        <a:p>
          <a:endParaRPr lang="en-US"/>
        </a:p>
      </dgm:t>
    </dgm:pt>
    <dgm:pt modelId="{A13C755E-4B5F-4F00-B21E-64F9772BCED9}" type="pres">
      <dgm:prSet presAssocID="{5C69E173-182B-4E03-963D-32597C0342D2}" presName="parentText" presStyleLbl="node1" presStyleIdx="5" presStyleCnt="8">
        <dgm:presLayoutVars>
          <dgm:chMax val="0"/>
          <dgm:bulletEnabled val="1"/>
        </dgm:presLayoutVars>
      </dgm:prSet>
      <dgm:spPr/>
      <dgm:t>
        <a:bodyPr/>
        <a:lstStyle/>
        <a:p>
          <a:endParaRPr lang="en-US"/>
        </a:p>
      </dgm:t>
    </dgm:pt>
    <dgm:pt modelId="{13ADEAF3-B12D-4361-98C3-DC86BCFAB704}" type="pres">
      <dgm:prSet presAssocID="{5C69E173-182B-4E03-963D-32597C0342D2}" presName="negativeSpace" presStyleCnt="0"/>
      <dgm:spPr/>
    </dgm:pt>
    <dgm:pt modelId="{7487FDEE-AAC7-4F87-A642-B31566E7B464}" type="pres">
      <dgm:prSet presAssocID="{5C69E173-182B-4E03-963D-32597C0342D2}" presName="childText" presStyleLbl="conFgAcc1" presStyleIdx="5" presStyleCnt="8">
        <dgm:presLayoutVars>
          <dgm:bulletEnabled val="1"/>
        </dgm:presLayoutVars>
      </dgm:prSet>
      <dgm:spPr/>
      <dgm:t>
        <a:bodyPr/>
        <a:lstStyle/>
        <a:p>
          <a:endParaRPr lang="en-US"/>
        </a:p>
      </dgm:t>
    </dgm:pt>
    <dgm:pt modelId="{60114156-74CF-43EB-A527-D95086126B18}" type="pres">
      <dgm:prSet presAssocID="{441C7C6A-2258-4BEF-ACF6-628EF8DA21C2}" presName="spaceBetweenRectangles" presStyleCnt="0"/>
      <dgm:spPr/>
    </dgm:pt>
    <dgm:pt modelId="{B292CA48-0F48-402A-825B-4652F219D248}" type="pres">
      <dgm:prSet presAssocID="{6DFB072F-1880-4BF3-8099-F56A0DCDC680}" presName="parentLin" presStyleCnt="0"/>
      <dgm:spPr/>
    </dgm:pt>
    <dgm:pt modelId="{E5C5E4C0-B0E8-46D2-A8A9-B2ED000E6653}" type="pres">
      <dgm:prSet presAssocID="{6DFB072F-1880-4BF3-8099-F56A0DCDC680}" presName="parentLeftMargin" presStyleLbl="node1" presStyleIdx="5" presStyleCnt="8"/>
      <dgm:spPr/>
      <dgm:t>
        <a:bodyPr/>
        <a:lstStyle/>
        <a:p>
          <a:endParaRPr lang="en-US"/>
        </a:p>
      </dgm:t>
    </dgm:pt>
    <dgm:pt modelId="{544F83B4-61A5-48E0-9038-3584469BFED8}" type="pres">
      <dgm:prSet presAssocID="{6DFB072F-1880-4BF3-8099-F56A0DCDC680}" presName="parentText" presStyleLbl="node1" presStyleIdx="6" presStyleCnt="8">
        <dgm:presLayoutVars>
          <dgm:chMax val="0"/>
          <dgm:bulletEnabled val="1"/>
        </dgm:presLayoutVars>
      </dgm:prSet>
      <dgm:spPr/>
      <dgm:t>
        <a:bodyPr/>
        <a:lstStyle/>
        <a:p>
          <a:endParaRPr lang="en-US"/>
        </a:p>
      </dgm:t>
    </dgm:pt>
    <dgm:pt modelId="{B1E4E801-EEA2-4815-90B1-3EC5FCB9B415}" type="pres">
      <dgm:prSet presAssocID="{6DFB072F-1880-4BF3-8099-F56A0DCDC680}" presName="negativeSpace" presStyleCnt="0"/>
      <dgm:spPr/>
    </dgm:pt>
    <dgm:pt modelId="{CB484849-A58C-403B-BE62-FAD20DCEA897}" type="pres">
      <dgm:prSet presAssocID="{6DFB072F-1880-4BF3-8099-F56A0DCDC680}" presName="childText" presStyleLbl="conFgAcc1" presStyleIdx="6" presStyleCnt="8">
        <dgm:presLayoutVars>
          <dgm:bulletEnabled val="1"/>
        </dgm:presLayoutVars>
      </dgm:prSet>
      <dgm:spPr/>
      <dgm:t>
        <a:bodyPr/>
        <a:lstStyle/>
        <a:p>
          <a:endParaRPr lang="en-US"/>
        </a:p>
      </dgm:t>
    </dgm:pt>
    <dgm:pt modelId="{0913548D-F5CA-4595-8AFF-99BBC6BC3B6B}" type="pres">
      <dgm:prSet presAssocID="{13564C3B-DA1E-4A50-8C8F-8059AAB62078}" presName="spaceBetweenRectangles" presStyleCnt="0"/>
      <dgm:spPr/>
    </dgm:pt>
    <dgm:pt modelId="{0774CA04-11BD-4FDC-9862-07BC38396AF8}" type="pres">
      <dgm:prSet presAssocID="{FA9AFF69-10CB-42A1-A2FB-3BAC1428CCFE}" presName="parentLin" presStyleCnt="0"/>
      <dgm:spPr/>
    </dgm:pt>
    <dgm:pt modelId="{67810F9F-8C17-48D8-A224-6D0EBD98A725}" type="pres">
      <dgm:prSet presAssocID="{FA9AFF69-10CB-42A1-A2FB-3BAC1428CCFE}" presName="parentLeftMargin" presStyleLbl="node1" presStyleIdx="6" presStyleCnt="8"/>
      <dgm:spPr/>
      <dgm:t>
        <a:bodyPr/>
        <a:lstStyle/>
        <a:p>
          <a:endParaRPr lang="en-US"/>
        </a:p>
      </dgm:t>
    </dgm:pt>
    <dgm:pt modelId="{C0DD80FC-2529-4E56-9056-63B16B5B4C20}" type="pres">
      <dgm:prSet presAssocID="{FA9AFF69-10CB-42A1-A2FB-3BAC1428CCFE}" presName="parentText" presStyleLbl="node1" presStyleIdx="7" presStyleCnt="8">
        <dgm:presLayoutVars>
          <dgm:chMax val="0"/>
          <dgm:bulletEnabled val="1"/>
        </dgm:presLayoutVars>
      </dgm:prSet>
      <dgm:spPr/>
      <dgm:t>
        <a:bodyPr/>
        <a:lstStyle/>
        <a:p>
          <a:endParaRPr lang="en-US"/>
        </a:p>
      </dgm:t>
    </dgm:pt>
    <dgm:pt modelId="{BF420D2B-F250-4A13-A852-6A2A586ADB42}" type="pres">
      <dgm:prSet presAssocID="{FA9AFF69-10CB-42A1-A2FB-3BAC1428CCFE}" presName="negativeSpace" presStyleCnt="0"/>
      <dgm:spPr/>
    </dgm:pt>
    <dgm:pt modelId="{044B49A3-7F5D-49D0-A1A1-64AB6D7494E4}" type="pres">
      <dgm:prSet presAssocID="{FA9AFF69-10CB-42A1-A2FB-3BAC1428CCFE}" presName="childText" presStyleLbl="conFgAcc1" presStyleIdx="7" presStyleCnt="8">
        <dgm:presLayoutVars>
          <dgm:bulletEnabled val="1"/>
        </dgm:presLayoutVars>
      </dgm:prSet>
      <dgm:spPr/>
      <dgm:t>
        <a:bodyPr/>
        <a:lstStyle/>
        <a:p>
          <a:endParaRPr lang="en-US"/>
        </a:p>
      </dgm:t>
    </dgm:pt>
  </dgm:ptLst>
  <dgm:cxnLst>
    <dgm:cxn modelId="{DDC466AC-0934-453F-8094-E43A78B2DDE1}" type="presOf" srcId="{45D45523-BA26-4073-BCB8-D448D0177C48}" destId="{CB484849-A58C-403B-BE62-FAD20DCEA897}" srcOrd="0" destOrd="10" presId="urn:microsoft.com/office/officeart/2005/8/layout/list1"/>
    <dgm:cxn modelId="{6C025830-232E-47C7-8FAE-657D226860FA}" srcId="{00F85EC1-B921-48FE-997F-36320003F407}" destId="{97AA3ADE-843A-4221-84AF-DB3AA8600E3A}" srcOrd="3" destOrd="0" parTransId="{3837546E-565F-4C80-AFFD-FC0F844D36E0}" sibTransId="{A08C9C4B-50BF-49E0-9F7B-2B389F13AAB2}"/>
    <dgm:cxn modelId="{6085DAA8-31C0-46B0-935B-52C611F6313E}" type="presOf" srcId="{185C368B-6503-476D-A748-05C423066104}" destId="{DD9E5413-5447-4D82-930B-572E7D8779E8}" srcOrd="0" destOrd="22" presId="urn:microsoft.com/office/officeart/2005/8/layout/list1"/>
    <dgm:cxn modelId="{1AB6BC49-9FEF-42B0-AF2B-9440D1C5A9D8}" srcId="{6DFB072F-1880-4BF3-8099-F56A0DCDC680}" destId="{CFCD93DC-3776-41CF-9153-2D9ABD944F5A}" srcOrd="11" destOrd="0" parTransId="{C0547DD2-F2F0-408E-B30A-FABD326F0F1F}" sibTransId="{3564BB40-A1DD-486A-A917-3CD3F67E9C0A}"/>
    <dgm:cxn modelId="{20A0B65F-9A0E-4B6D-87FE-6DEA6DF9041F}" srcId="{97AA3ADE-843A-4221-84AF-DB3AA8600E3A}" destId="{650BF98A-7ECA-48AB-BC27-B00AE159767C}" srcOrd="61" destOrd="0" parTransId="{BE6FC339-84E1-4A35-8902-BE18F796A775}" sibTransId="{FAB1605D-6214-480E-AB4E-F303AE2D2CB8}"/>
    <dgm:cxn modelId="{B1B5BDB6-4F58-4DA1-8826-B556357F461D}" srcId="{5C69E173-182B-4E03-963D-32597C0342D2}" destId="{9CE50C96-D2CB-46D2-95B8-13FE58D52A99}" srcOrd="7" destOrd="0" parTransId="{C6FD20ED-489C-4357-9F4F-6CF351DC41B0}" sibTransId="{A1A04575-4FDF-4379-8DC8-8E02F35A3247}"/>
    <dgm:cxn modelId="{F5A4DF9F-48E6-4315-845E-07292DCA2A5E}" type="presOf" srcId="{7BE350F2-CE4D-4DD4-BBEE-A3DA48C7682C}" destId="{DD9E5413-5447-4D82-930B-572E7D8779E8}" srcOrd="0" destOrd="38" presId="urn:microsoft.com/office/officeart/2005/8/layout/list1"/>
    <dgm:cxn modelId="{31934727-705E-42C9-A408-9FC6F6350DA8}" type="presOf" srcId="{51A6EB1B-6355-4223-AEA6-5C8FF2A8647F}" destId="{DD9E5413-5447-4D82-930B-572E7D8779E8}" srcOrd="0" destOrd="43" presId="urn:microsoft.com/office/officeart/2005/8/layout/list1"/>
    <dgm:cxn modelId="{53731874-6758-4F57-A02E-A3BCA9E7325C}" type="presOf" srcId="{14325A74-200D-4786-BCD9-84B6C26B851C}" destId="{044B49A3-7F5D-49D0-A1A1-64AB6D7494E4}" srcOrd="0" destOrd="10" presId="urn:microsoft.com/office/officeart/2005/8/layout/list1"/>
    <dgm:cxn modelId="{94A11479-975E-4311-9D74-7A8BA995FF7F}" srcId="{6DFB072F-1880-4BF3-8099-F56A0DCDC680}" destId="{DF30EF40-83B0-4DA8-BBD2-F8633FB6B1EA}" srcOrd="26" destOrd="0" parTransId="{D964F47A-6137-4581-9296-7C1DE4272D5B}" sibTransId="{649FD6C4-CCB2-46AC-B1F5-060CF7C6A820}"/>
    <dgm:cxn modelId="{905DFE43-342D-4319-91DA-989A05A15BB4}" srcId="{6DFB072F-1880-4BF3-8099-F56A0DCDC680}" destId="{4FCF9C7B-CBBA-437D-A021-67868D610E56}" srcOrd="27" destOrd="0" parTransId="{798BFBFF-93E6-4F09-A68C-0E0A3C02D209}" sibTransId="{A2ECC4D9-79A4-4C5E-96ED-8CAF7A65076A}"/>
    <dgm:cxn modelId="{8569B60D-28AD-49B5-A322-7BF57B3D2B8C}" srcId="{97AA3ADE-843A-4221-84AF-DB3AA8600E3A}" destId="{E2DD6ED0-BFCB-4EA5-B43C-338737C2346F}" srcOrd="45" destOrd="0" parTransId="{A37205D5-BB7F-463A-B1E6-66DDEC8A1A85}" sibTransId="{B8DD3CEE-EB6D-40C7-891F-9654A3826960}"/>
    <dgm:cxn modelId="{1022CFA8-0C47-4396-BA19-818DEBDF088A}" type="presOf" srcId="{B7B6F41B-0457-480D-9B6B-ED3AD905DD62}" destId="{817CDDC7-4A1A-4DD3-BC8B-78FCA99C23C1}" srcOrd="0" destOrd="8" presId="urn:microsoft.com/office/officeart/2005/8/layout/list1"/>
    <dgm:cxn modelId="{4BFA7955-D03C-4054-BBCE-65B8F8AB5862}" type="presOf" srcId="{38AC3AD8-24FB-463A-83F1-C12DAF594ABA}" destId="{AD23FFB9-2542-4B31-80E2-741BD5F0A76B}" srcOrd="0" destOrd="33" presId="urn:microsoft.com/office/officeart/2005/8/layout/list1"/>
    <dgm:cxn modelId="{B04F8943-E516-436F-AFE2-D4BF80AB33DC}" type="presOf" srcId="{7176C9AB-30E8-43D1-A886-3EE12E314BEB}" destId="{7487FDEE-AAC7-4F87-A642-B31566E7B464}" srcOrd="0" destOrd="71" presId="urn:microsoft.com/office/officeart/2005/8/layout/list1"/>
    <dgm:cxn modelId="{ABEC79FF-23F2-4A11-90B8-74B67FBEED77}" srcId="{97AA3ADE-843A-4221-84AF-DB3AA8600E3A}" destId="{8849E1EA-EAFE-4A21-A2BB-B91EA43336E6}" srcOrd="30" destOrd="0" parTransId="{6C28C444-E394-4D2E-9EDA-B64D578BDF6F}" sibTransId="{744BE137-79C1-4C9D-B831-2E8D541DF13C}"/>
    <dgm:cxn modelId="{F11742B2-2311-49DF-B6FB-065C5C8A5A68}" type="presOf" srcId="{571C891F-A09B-4E16-8A10-DE2D0DACD641}" destId="{AD23FFB9-2542-4B31-80E2-741BD5F0A76B}" srcOrd="0" destOrd="68" presId="urn:microsoft.com/office/officeart/2005/8/layout/list1"/>
    <dgm:cxn modelId="{F2B92923-8E14-488E-BE36-68956038BC2F}" srcId="{97AA3ADE-843A-4221-84AF-DB3AA8600E3A}" destId="{9CDDCC50-6690-4B9F-9449-36C76CBDDC92}" srcOrd="74" destOrd="0" parTransId="{71E71B7F-DC7C-4E28-9051-AAC2B1482254}" sibTransId="{07D53604-F8A3-4314-B1AA-D732C4D01DBB}"/>
    <dgm:cxn modelId="{95451475-9196-47DE-8309-9C5A8A466EB7}" type="presOf" srcId="{8849E1EA-EAFE-4A21-A2BB-B91EA43336E6}" destId="{AD23FFB9-2542-4B31-80E2-741BD5F0A76B}" srcOrd="0" destOrd="30" presId="urn:microsoft.com/office/officeart/2005/8/layout/list1"/>
    <dgm:cxn modelId="{7DEEC78A-26F9-4E61-9D71-B3924097CD3D}" type="presOf" srcId="{EEAD2614-D8C2-4692-944C-0592B8995C87}" destId="{AD23FFB9-2542-4B31-80E2-741BD5F0A76B}" srcOrd="0" destOrd="44" presId="urn:microsoft.com/office/officeart/2005/8/layout/list1"/>
    <dgm:cxn modelId="{CB36DDC8-4ED3-42E6-ACA5-632D5678576B}" srcId="{5C69E173-182B-4E03-963D-32597C0342D2}" destId="{C8A05B6C-E5C5-4AB7-A408-5193BE7D5D30}" srcOrd="64" destOrd="0" parTransId="{982B3C16-6838-4523-9F13-B7CA648D700D}" sibTransId="{212CBB95-EF67-4C3F-8EFB-C226D714D2F1}"/>
    <dgm:cxn modelId="{665CF800-7EB9-468E-BE6C-B0B6886551E1}" srcId="{6DFB072F-1880-4BF3-8099-F56A0DCDC680}" destId="{8A834263-8058-4873-8A9D-433614E57849}" srcOrd="1" destOrd="0" parTransId="{B91B02AC-E7F2-496D-9CC6-3336ACC6AB4C}" sibTransId="{CEA3E98E-2314-45E2-9D8C-BAB831863CF1}"/>
    <dgm:cxn modelId="{8B99B8AA-A746-43B2-B628-DF7429683D07}" srcId="{85A7569B-6F73-4E04-8B9E-333372741083}" destId="{E82FEC1D-6C52-467D-84C8-7D0DB2E9C74E}" srcOrd="5" destOrd="0" parTransId="{3F71BEC6-280F-4C1F-9A35-6AA22292E01B}" sibTransId="{F2041AAB-955B-4596-9DD7-114D58343D7D}"/>
    <dgm:cxn modelId="{D805415B-46F7-4871-96A0-0F3A6142AF8A}" type="presOf" srcId="{F21BE4C5-213C-4F6A-A9DD-9E62F8F803E2}" destId="{362CDBAB-855B-42DD-B25B-F740E7B27E88}" srcOrd="0" destOrd="0" presId="urn:microsoft.com/office/officeart/2005/8/layout/list1"/>
    <dgm:cxn modelId="{B03F2839-CD54-4F9E-AC49-A9D9DE66D35C}" type="presOf" srcId="{7C7BF678-ADD4-4347-838C-67C9B11C5A33}" destId="{7487FDEE-AAC7-4F87-A642-B31566E7B464}" srcOrd="0" destOrd="70" presId="urn:microsoft.com/office/officeart/2005/8/layout/list1"/>
    <dgm:cxn modelId="{D5563B0D-13EB-4A4E-B846-DBBB62624A5F}" type="presOf" srcId="{85A7569B-6F73-4E04-8B9E-333372741083}" destId="{153FE339-C805-4E53-87AC-026762D57A3E}" srcOrd="1" destOrd="0" presId="urn:microsoft.com/office/officeart/2005/8/layout/list1"/>
    <dgm:cxn modelId="{535D9C72-A5AB-450F-AEA0-8C5B3090ED7A}" type="presOf" srcId="{778FC4BC-B94E-463C-B8CB-3068000BAE59}" destId="{7487FDEE-AAC7-4F87-A642-B31566E7B464}" srcOrd="0" destOrd="37" presId="urn:microsoft.com/office/officeart/2005/8/layout/list1"/>
    <dgm:cxn modelId="{7930EB10-6C8A-4C21-81BB-76775AC0E5FA}" srcId="{85A7569B-6F73-4E04-8B9E-333372741083}" destId="{7BE350F2-CE4D-4DD4-BBEE-A3DA48C7682C}" srcOrd="38" destOrd="0" parTransId="{D05FB989-A2A4-4A21-A9BB-65B0CB30D7BB}" sibTransId="{35806F12-7417-48A6-BDEF-9F9BC3E3D65F}"/>
    <dgm:cxn modelId="{EF53F785-DBB8-4C06-9B12-661B723E15C1}" srcId="{FA9AFF69-10CB-42A1-A2FB-3BAC1428CCFE}" destId="{A0B6A302-4B49-49B5-ABB6-4E8B731EABF7}" srcOrd="4" destOrd="0" parTransId="{D06FD992-C59A-4E5C-AFBF-63A6DCCE123D}" sibTransId="{04F3F2C3-2527-4995-8149-CADD351242A1}"/>
    <dgm:cxn modelId="{A3974D55-862F-4BBB-8EE3-0C9654EEED23}" type="presOf" srcId="{97AA3ADE-843A-4221-84AF-DB3AA8600E3A}" destId="{D3B6AE60-02C5-4783-838B-9B0AB0FC527F}" srcOrd="1" destOrd="0" presId="urn:microsoft.com/office/officeart/2005/8/layout/list1"/>
    <dgm:cxn modelId="{CFFAB60E-5271-4EC5-963A-08BA54299390}" srcId="{43EE3679-5B1F-45D4-ADA6-461661E67B3C}" destId="{C61C1A3B-2D14-49C3-A040-6C1CB7F5FE4C}" srcOrd="4" destOrd="0" parTransId="{04F03A08-E8C3-4D8F-961C-BD9A1111CDEE}" sibTransId="{CB5C8D23-22AB-477E-8362-BD1C4268919A}"/>
    <dgm:cxn modelId="{1700C43A-BD3D-4886-88B7-1B2C204228E5}" srcId="{5C69E173-182B-4E03-963D-32597C0342D2}" destId="{F73F81DB-2C0E-485B-88BF-615187001DBF}" srcOrd="76" destOrd="0" parTransId="{74637232-1643-4BF7-81AC-76EB8E330423}" sibTransId="{A0B8F373-75F6-4E53-AC0B-C0E43E436D1F}"/>
    <dgm:cxn modelId="{749640A6-788A-43AD-B4EB-8B5563874D5D}" srcId="{5C69E173-182B-4E03-963D-32597C0342D2}" destId="{40E17D2D-BADA-476B-A11F-73309148254A}" srcOrd="53" destOrd="0" parTransId="{68876B6D-3A31-4645-B1DB-6AE4E78626E9}" sibTransId="{BA48BE6A-CEA9-4C45-8A18-E6FB533295F9}"/>
    <dgm:cxn modelId="{7980A776-EEE1-4FDE-A132-D09102722CE0}" type="presOf" srcId="{361C2F1E-A85F-476C-B298-0E369ACDB8AA}" destId="{7487FDEE-AAC7-4F87-A642-B31566E7B464}" srcOrd="0" destOrd="69" presId="urn:microsoft.com/office/officeart/2005/8/layout/list1"/>
    <dgm:cxn modelId="{511742C8-5730-436F-914D-FE495FB6BB72}" type="presOf" srcId="{21636BC9-573D-45A0-811C-71E015BF70B9}" destId="{7487FDEE-AAC7-4F87-A642-B31566E7B464}" srcOrd="0" destOrd="21" presId="urn:microsoft.com/office/officeart/2005/8/layout/list1"/>
    <dgm:cxn modelId="{73F3303E-D588-4661-AC23-EF936ADF73F1}" srcId="{85A7569B-6F73-4E04-8B9E-333372741083}" destId="{42CB83BB-A41C-40CB-B8A3-3B9742D09025}" srcOrd="30" destOrd="0" parTransId="{5F23BFD8-AFBA-400D-A151-CA559B5EFC14}" sibTransId="{E6E33E4A-C293-4E76-8959-B74EF0268480}"/>
    <dgm:cxn modelId="{E2F19D17-3A27-427D-98BC-55DB09CA305D}" srcId="{97AA3ADE-843A-4221-84AF-DB3AA8600E3A}" destId="{51DE06A6-566F-4A65-8D65-704EDBBDFCD1}" srcOrd="13" destOrd="0" parTransId="{4F67EF98-1E1C-4AB4-827F-359D9E177957}" sibTransId="{D0003905-4ECA-49D1-8CF2-DAE3A640C464}"/>
    <dgm:cxn modelId="{E5F4F5BA-133E-4786-BBD8-C2427109245C}" type="presOf" srcId="{7565B1A8-62E0-432F-83F7-D5CEA6CB482D}" destId="{DD9E5413-5447-4D82-930B-572E7D8779E8}" srcOrd="0" destOrd="3" presId="urn:microsoft.com/office/officeart/2005/8/layout/list1"/>
    <dgm:cxn modelId="{D8462EE0-B21F-43B2-8E1C-704609AF57DE}" type="presOf" srcId="{F249BA24-8ABA-45F7-9385-B533260FC69C}" destId="{AD23FFB9-2542-4B31-80E2-741BD5F0A76B}" srcOrd="0" destOrd="7" presId="urn:microsoft.com/office/officeart/2005/8/layout/list1"/>
    <dgm:cxn modelId="{9809C92A-B9C0-45D4-982E-84C5693D4204}" type="presOf" srcId="{2CDC22E2-EA44-40EE-9D89-350D045142F0}" destId="{AD23FFB9-2542-4B31-80E2-741BD5F0A76B}" srcOrd="0" destOrd="47" presId="urn:microsoft.com/office/officeart/2005/8/layout/list1"/>
    <dgm:cxn modelId="{9DC2C094-3166-4E02-B4FA-262D9090D333}" srcId="{85A7569B-6F73-4E04-8B9E-333372741083}" destId="{09C69A69-A0B0-485A-B8A6-566E3589DE4E}" srcOrd="45" destOrd="0" parTransId="{EAD7AD8F-4102-4BD4-9AF3-19762654107F}" sibTransId="{526B99D7-D74D-4928-911F-7DE6E7ADD951}"/>
    <dgm:cxn modelId="{6E4DA698-F3D3-422F-9352-F9336827D0C7}" srcId="{85A7569B-6F73-4E04-8B9E-333372741083}" destId="{51A6EB1B-6355-4223-AEA6-5C8FF2A8647F}" srcOrd="43" destOrd="0" parTransId="{52DDBC4E-BB88-4E02-93AF-B4DCEE74A2B0}" sibTransId="{68B2569E-88F3-41B1-8BA0-2A723C32F416}"/>
    <dgm:cxn modelId="{2583D07C-FBCB-420E-9CD2-1808FCEC325B}" srcId="{5C69E173-182B-4E03-963D-32597C0342D2}" destId="{B685306E-DF88-46FC-9A16-D58A9D3D97BA}" srcOrd="60" destOrd="0" parTransId="{FDC4E598-1654-4986-AED6-B8B73FB3E5CD}" sibTransId="{CCEF28DE-6F27-476A-B4F1-54E919B185E9}"/>
    <dgm:cxn modelId="{887F07F6-C365-4320-BBF3-54BF237C6467}" type="presOf" srcId="{F3F9C172-9D7C-47D7-9731-76A5010AA8E5}" destId="{7487FDEE-AAC7-4F87-A642-B31566E7B464}" srcOrd="0" destOrd="23" presId="urn:microsoft.com/office/officeart/2005/8/layout/list1"/>
    <dgm:cxn modelId="{DFC8264D-E61A-4355-9120-985F58232757}" type="presOf" srcId="{A19C6D48-1C6A-4474-9623-ABDB17B62197}" destId="{AD23FFB9-2542-4B31-80E2-741BD5F0A76B}" srcOrd="0" destOrd="52" presId="urn:microsoft.com/office/officeart/2005/8/layout/list1"/>
    <dgm:cxn modelId="{0BC13224-0386-4377-9529-7CFA28511AA3}" srcId="{85A7569B-6F73-4E04-8B9E-333372741083}" destId="{7868AA71-95C4-4F05-A3B1-52DBB31ACC9B}" srcOrd="35" destOrd="0" parTransId="{FD4F4F21-F2EA-47B6-8CBD-7647BA2ACD9D}" sibTransId="{3B4D34A2-DEA0-4E44-A4D5-6D946E87711F}"/>
    <dgm:cxn modelId="{ABADDC09-9F66-41A2-93D4-DAA6470D9F4B}" type="presOf" srcId="{87A4A51B-747A-4E92-89E9-00C1B4C43821}" destId="{5055729C-1743-4889-980C-6A0CEF4560D2}" srcOrd="0" destOrd="2" presId="urn:microsoft.com/office/officeart/2005/8/layout/list1"/>
    <dgm:cxn modelId="{82E1F8C0-0513-4E47-ACF2-0C918DE772D1}" srcId="{43EE3679-5B1F-45D4-ADA6-461661E67B3C}" destId="{7F4BA4D5-0EE6-4191-AFF8-16BE0389E350}" srcOrd="6" destOrd="0" parTransId="{4573D063-F96F-4367-A2FB-6D77BEBCFB62}" sibTransId="{486CFA21-3FDF-408F-BD9E-C79BB54024A2}"/>
    <dgm:cxn modelId="{DF0EB037-66AA-46F6-8780-28BBBEBCCC6C}" srcId="{6DFB072F-1880-4BF3-8099-F56A0DCDC680}" destId="{AE0DAB38-31DD-4CDA-8940-640FDC714FE0}" srcOrd="0" destOrd="0" parTransId="{B4F09FE4-68F8-45F9-9207-F1378AE90837}" sibTransId="{0EE7B7F3-8E63-44E7-A1B7-5D0E37BE5B9C}"/>
    <dgm:cxn modelId="{04596D53-9D7E-4F01-B646-0495BBD2DF31}" type="presOf" srcId="{6323291C-911C-4D66-97B8-FDED94BAB904}" destId="{CB484849-A58C-403B-BE62-FAD20DCEA897}" srcOrd="0" destOrd="34" presId="urn:microsoft.com/office/officeart/2005/8/layout/list1"/>
    <dgm:cxn modelId="{4314C372-FAD6-4362-BAB9-0FAA3A2F5938}" type="presOf" srcId="{BB7C454F-1AD6-49AC-9931-B4B66FC85A3C}" destId="{DD9E5413-5447-4D82-930B-572E7D8779E8}" srcOrd="0" destOrd="2" presId="urn:microsoft.com/office/officeart/2005/8/layout/list1"/>
    <dgm:cxn modelId="{C5CC256F-93D9-445A-9D56-542AE286694A}" srcId="{6DFB072F-1880-4BF3-8099-F56A0DCDC680}" destId="{2F537A3B-840C-43AC-8F5E-4656516A3D2F}" srcOrd="18" destOrd="0" parTransId="{631477A9-D655-4CDD-9740-4A10413048BD}" sibTransId="{BE7DC089-9A04-4A25-BE7E-42D875BC6781}"/>
    <dgm:cxn modelId="{854315E8-2DE4-4EA2-90AD-807126C760D0}" type="presOf" srcId="{40E17D2D-BADA-476B-A11F-73309148254A}" destId="{7487FDEE-AAC7-4F87-A642-B31566E7B464}" srcOrd="0" destOrd="53" presId="urn:microsoft.com/office/officeart/2005/8/layout/list1"/>
    <dgm:cxn modelId="{E848CA5C-93C9-491B-BE41-76687E1F3866}" type="presOf" srcId="{1198348E-28B3-4836-BA98-8C3A53888062}" destId="{7487FDEE-AAC7-4F87-A642-B31566E7B464}" srcOrd="0" destOrd="57" presId="urn:microsoft.com/office/officeart/2005/8/layout/list1"/>
    <dgm:cxn modelId="{75B90912-E996-44F3-8386-854862F55211}" type="presOf" srcId="{42ED561A-BE54-42F8-B90F-9A517E70548A}" destId="{AD23FFB9-2542-4B31-80E2-741BD5F0A76B}" srcOrd="0" destOrd="27" presId="urn:microsoft.com/office/officeart/2005/8/layout/list1"/>
    <dgm:cxn modelId="{99FC58A5-347A-4187-A7E3-58A413856EE5}" type="presOf" srcId="{9475CD45-0E18-4490-982F-FE8CB28920D2}" destId="{AD23FFB9-2542-4B31-80E2-741BD5F0A76B}" srcOrd="0" destOrd="16" presId="urn:microsoft.com/office/officeart/2005/8/layout/list1"/>
    <dgm:cxn modelId="{931FA08E-6BC8-48C1-ADCC-691C6601CBB5}" srcId="{97AA3ADE-843A-4221-84AF-DB3AA8600E3A}" destId="{15438018-B5C3-4DB8-B381-E57FFDBA6CC3}" srcOrd="64" destOrd="0" parTransId="{B497E084-7728-45C8-9CCA-048FEBDE89BC}" sibTransId="{22EA135B-1E43-4F00-81C2-99C7A8460618}"/>
    <dgm:cxn modelId="{311CF976-B5AD-41BE-A90F-E86C06F12EDD}" type="presOf" srcId="{DEFC912F-C0C6-47A4-90CC-6E44E1BCCD01}" destId="{AD23FFB9-2542-4B31-80E2-741BD5F0A76B}" srcOrd="0" destOrd="22" presId="urn:microsoft.com/office/officeart/2005/8/layout/list1"/>
    <dgm:cxn modelId="{28D36B89-91DE-4498-A0CC-AC1B96687FCA}" type="presOf" srcId="{0C9FB0D3-4FF9-41CF-9291-F3C2895AF73C}" destId="{044B49A3-7F5D-49D0-A1A1-64AB6D7494E4}" srcOrd="0" destOrd="1" presId="urn:microsoft.com/office/officeart/2005/8/layout/list1"/>
    <dgm:cxn modelId="{51E89931-6D5F-4544-BF07-BA856C24F94E}" srcId="{5C69E173-182B-4E03-963D-32597C0342D2}" destId="{CF9E8E3F-933E-4DE3-BDC0-97FD1FBF2C39}" srcOrd="5" destOrd="0" parTransId="{7394F7CF-F5AE-4E3A-8E6B-4BDBD2F6BD4C}" sibTransId="{2E2E6349-740C-4500-A6BA-36FFD1955F0A}"/>
    <dgm:cxn modelId="{FD1316BA-88C5-4CA5-9E64-45E682C7A915}" srcId="{97AA3ADE-843A-4221-84AF-DB3AA8600E3A}" destId="{1358EF12-D106-4DE5-937C-B49E867830FF}" srcOrd="5" destOrd="0" parTransId="{9660C457-8280-4A34-A88E-37650BDF8A4B}" sibTransId="{1047DACA-83A0-4A6D-97E8-7C281E0DE05D}"/>
    <dgm:cxn modelId="{A3D33A92-BF05-4A49-B305-8DA807DA1EFB}" srcId="{97AA3ADE-843A-4221-84AF-DB3AA8600E3A}" destId="{DDD77253-D587-4272-84C4-DDC8581DFD70}" srcOrd="25" destOrd="0" parTransId="{22A97FEC-A38A-4C6B-B2E3-3069543B1B04}" sibTransId="{4ACF883D-5DAE-4FCC-95E0-9E2ED2F2EBCC}"/>
    <dgm:cxn modelId="{F39F769F-5114-471E-B249-719CFC333B13}" srcId="{85A7569B-6F73-4E04-8B9E-333372741083}" destId="{8D21D9C9-A3A3-4E4A-91DD-FD6F33B93D27}" srcOrd="9" destOrd="0" parTransId="{DB1059E4-DF66-4247-934B-E9C18EC9411D}" sibTransId="{1E0B1A7D-C938-415D-828C-BCE543510E50}"/>
    <dgm:cxn modelId="{C5759B6D-2A7B-4FC9-B6DD-E51C854F2128}" srcId="{43EE3679-5B1F-45D4-ADA6-461661E67B3C}" destId="{B7B6F41B-0457-480D-9B6B-ED3AD905DD62}" srcOrd="8" destOrd="0" parTransId="{8BDD9416-31CE-46E7-BED0-4B0D97D6992E}" sibTransId="{9A8798E6-F6A0-4ABF-B48B-5F18899B4D7C}"/>
    <dgm:cxn modelId="{859B0EBA-39E5-4BD4-8766-379745D1D5B6}" type="presOf" srcId="{773051DD-BAA3-4814-A77B-C85CDA30B638}" destId="{817CDDC7-4A1A-4DD3-BC8B-78FCA99C23C1}" srcOrd="0" destOrd="2" presId="urn:microsoft.com/office/officeart/2005/8/layout/list1"/>
    <dgm:cxn modelId="{2529FBC8-076B-4385-8C47-00896FC28415}" srcId="{FA9AFF69-10CB-42A1-A2FB-3BAC1428CCFE}" destId="{8F046EE6-0365-4656-AD9E-691D840E76CA}" srcOrd="11" destOrd="0" parTransId="{48FBDFCD-35A1-4731-9E27-7FDF3DFC8EEA}" sibTransId="{C6FFE6A0-099B-4FC0-B52F-A34003E87A82}"/>
    <dgm:cxn modelId="{59C39088-AE04-40A4-95E1-3CE2C71C844F}" type="presOf" srcId="{CD5BFA19-2E1A-418B-8E7B-4CB15FE3D518}" destId="{817CDDC7-4A1A-4DD3-BC8B-78FCA99C23C1}" srcOrd="0" destOrd="13" presId="urn:microsoft.com/office/officeart/2005/8/layout/list1"/>
    <dgm:cxn modelId="{9E3E14F1-ECB9-4989-9281-BD5F73C3F511}" type="presOf" srcId="{8C483325-F2C8-4CB6-B2E3-76F760579674}" destId="{7487FDEE-AAC7-4F87-A642-B31566E7B464}" srcOrd="0" destOrd="47" presId="urn:microsoft.com/office/officeart/2005/8/layout/list1"/>
    <dgm:cxn modelId="{1B219812-0041-425B-840C-72AEAFD9F0FF}" srcId="{43EE3679-5B1F-45D4-ADA6-461661E67B3C}" destId="{B8D5CB66-F327-469C-9E1D-4060B30A24C3}" srcOrd="20" destOrd="0" parTransId="{99C2D3C5-3EED-4297-B060-B74508E13187}" sibTransId="{C4DC5316-8BE8-499E-ADD0-778D7E219F0A}"/>
    <dgm:cxn modelId="{94B5DC73-E9DB-4888-9B7E-5419C9C5EBD8}" srcId="{6DFB072F-1880-4BF3-8099-F56A0DCDC680}" destId="{01FE0A51-38F8-4944-93F6-0A1399E23D08}" srcOrd="2" destOrd="0" parTransId="{445DE407-54A3-431E-8709-A3FE0DCBA405}" sibTransId="{61FE4C8B-65CF-4BFA-921E-25D3A649B14D}"/>
    <dgm:cxn modelId="{44DA9365-F3E2-49EE-A4FB-0DF709FF8C4E}" type="presOf" srcId="{DA0072BE-A622-4FCE-9C07-E68E7C4F41B0}" destId="{CB484849-A58C-403B-BE62-FAD20DCEA897}" srcOrd="0" destOrd="20" presId="urn:microsoft.com/office/officeart/2005/8/layout/list1"/>
    <dgm:cxn modelId="{28E7EC55-3065-4CC6-8B07-4C1E72C3AA14}" srcId="{97AA3ADE-843A-4221-84AF-DB3AA8600E3A}" destId="{48745E75-476A-47E5-B54B-3E0A9F4A5A61}" srcOrd="29" destOrd="0" parTransId="{B27E078B-9D6B-443A-A590-AE609825366F}" sibTransId="{39A5F890-F4BE-411C-A9B8-E5A6291FD089}"/>
    <dgm:cxn modelId="{6D18FFF0-B4AA-4FAA-9AB5-E39C3876F0D5}" type="presOf" srcId="{BC39719C-BDC7-4DB6-9680-1B9F18E1EF41}" destId="{7487FDEE-AAC7-4F87-A642-B31566E7B464}" srcOrd="0" destOrd="39" presId="urn:microsoft.com/office/officeart/2005/8/layout/list1"/>
    <dgm:cxn modelId="{F693B677-B00B-444F-994C-53C8F4D5C392}" type="presOf" srcId="{86DD4D5D-F747-4C96-BE2B-748CEDD6B029}" destId="{CB484849-A58C-403B-BE62-FAD20DCEA897}" srcOrd="0" destOrd="31" presId="urn:microsoft.com/office/officeart/2005/8/layout/list1"/>
    <dgm:cxn modelId="{846CA1CC-5CEF-4308-B7A2-D02591AA5F0D}" type="presOf" srcId="{302C13D1-0A4D-4375-A5DF-8BEBCD14FBCC}" destId="{CB484849-A58C-403B-BE62-FAD20DCEA897}" srcOrd="0" destOrd="29" presId="urn:microsoft.com/office/officeart/2005/8/layout/list1"/>
    <dgm:cxn modelId="{A222CC45-6993-474E-90C0-37013C9957EE}" type="presOf" srcId="{B021EE24-E0D8-4C34-AD3F-4A613EA3A635}" destId="{7487FDEE-AAC7-4F87-A642-B31566E7B464}" srcOrd="0" destOrd="17" presId="urn:microsoft.com/office/officeart/2005/8/layout/list1"/>
    <dgm:cxn modelId="{A6B6A60E-8D4A-43F3-9CCC-1B4C328AC1C1}" srcId="{97AA3ADE-843A-4221-84AF-DB3AA8600E3A}" destId="{DEFC912F-C0C6-47A4-90CC-6E44E1BCCD01}" srcOrd="22" destOrd="0" parTransId="{22B2660A-5CEB-4548-8EA8-3C427ECFC9A0}" sibTransId="{A2AC360F-A9F3-46DE-83F1-54FBB26DCCB5}"/>
    <dgm:cxn modelId="{AAE60D7F-3127-4E6E-92F6-C69483FD2937}" srcId="{5C69E173-182B-4E03-963D-32597C0342D2}" destId="{103D1692-7C15-46E7-A14A-82CCDB96F4AD}" srcOrd="15" destOrd="0" parTransId="{779DB5D0-7942-4CE6-9531-B33239A49B1C}" sibTransId="{1757F99F-785B-4DA5-A8EE-BE7868461735}"/>
    <dgm:cxn modelId="{BFBE861D-E1DF-4674-83AD-6782DA3AEEE3}" srcId="{5C69E173-182B-4E03-963D-32597C0342D2}" destId="{21E70A7B-0814-4915-BD05-6756E2F50415}" srcOrd="54" destOrd="0" parTransId="{B853497F-6EC3-4EF4-8CF2-B63A54E1DE58}" sibTransId="{732BD314-D64B-48F2-84A6-9405B3E6207A}"/>
    <dgm:cxn modelId="{A6577E0D-987A-4EE8-948E-496D47C1098F}" srcId="{6DFB072F-1880-4BF3-8099-F56A0DCDC680}" destId="{AB805899-D2EC-47FB-BE4C-4FCAFC287FC7}" srcOrd="15" destOrd="0" parTransId="{6C799642-6AE4-416B-90BF-8EBEF73E9D9B}" sibTransId="{71687F2E-BC4A-4504-8B58-CE0E2516D676}"/>
    <dgm:cxn modelId="{9871399F-DB07-426E-8951-8720895A61E9}" type="presOf" srcId="{9C400ECE-B0E2-4E03-8ACF-E312C18B24B1}" destId="{044B49A3-7F5D-49D0-A1A1-64AB6D7494E4}" srcOrd="0" destOrd="7" presId="urn:microsoft.com/office/officeart/2005/8/layout/list1"/>
    <dgm:cxn modelId="{C20A6251-A488-4923-90A3-E2D3A4C868F9}" type="presOf" srcId="{E8CFCFBB-2C43-49A3-85F1-22C06428A4C7}" destId="{817CDDC7-4A1A-4DD3-BC8B-78FCA99C23C1}" srcOrd="0" destOrd="5" presId="urn:microsoft.com/office/officeart/2005/8/layout/list1"/>
    <dgm:cxn modelId="{FF944D94-3841-4D47-AC13-73B1858AE200}" srcId="{85A7569B-6F73-4E04-8B9E-333372741083}" destId="{BB7C454F-1AD6-49AC-9931-B4B66FC85A3C}" srcOrd="2" destOrd="0" parTransId="{314C674F-F690-4C1D-B7D2-2774B6BB415D}" sibTransId="{56AC8F4B-C597-4C30-81CA-1D8E8EF53400}"/>
    <dgm:cxn modelId="{7F0BF014-E5E9-421A-B665-8882B4922D9D}" type="presOf" srcId="{4690CBC0-BD13-49E8-9637-66962F352CAD}" destId="{DD9E5413-5447-4D82-930B-572E7D8779E8}" srcOrd="0" destOrd="32" presId="urn:microsoft.com/office/officeart/2005/8/layout/list1"/>
    <dgm:cxn modelId="{8A72A4A7-C84F-48E7-99B0-34B3BF528CEA}" type="presOf" srcId="{76E49BFE-F2B1-4198-AA38-EDCFFA641B0E}" destId="{7487FDEE-AAC7-4F87-A642-B31566E7B464}" srcOrd="0" destOrd="3" presId="urn:microsoft.com/office/officeart/2005/8/layout/list1"/>
    <dgm:cxn modelId="{9766CAC2-B04B-4A8C-9A6C-853A097ADDA0}" srcId="{5C69E173-182B-4E03-963D-32597C0342D2}" destId="{B5B7C349-D1F0-4715-8205-1EC6746D734A}" srcOrd="74" destOrd="0" parTransId="{EEBCB56B-229A-4406-A063-8846683BCA44}" sibTransId="{1E504A1C-89FF-4874-BB6E-69F18A704208}"/>
    <dgm:cxn modelId="{004C7AEA-9185-4EA6-8CAB-4583875EAE22}" srcId="{5C69E173-182B-4E03-963D-32597C0342D2}" destId="{361C2F1E-A85F-476C-B298-0E369ACDB8AA}" srcOrd="69" destOrd="0" parTransId="{EA41F435-D786-45BE-BD1B-82AFF920DBFF}" sibTransId="{E56DEFBE-78D1-45DF-A33B-61FD1952359D}"/>
    <dgm:cxn modelId="{43A57660-20FB-43C2-B1D2-5639C2A1BDAB}" srcId="{5C69E173-182B-4E03-963D-32597C0342D2}" destId="{0F329D40-5AF0-4F63-9648-2865103B2B54}" srcOrd="6" destOrd="0" parTransId="{7BF88B87-9D35-44FE-9D0F-6D9FDE4F6958}" sibTransId="{120631F3-5F62-49B9-BC24-AE476B1D4A99}"/>
    <dgm:cxn modelId="{DC1D62AF-0F4C-473A-8C19-216AA9DDA5EF}" type="presOf" srcId="{5C69E173-182B-4E03-963D-32597C0342D2}" destId="{A13C755E-4B5F-4F00-B21E-64F9772BCED9}" srcOrd="1" destOrd="0" presId="urn:microsoft.com/office/officeart/2005/8/layout/list1"/>
    <dgm:cxn modelId="{428C5628-768C-42A7-9F69-F8AD997E500A}" srcId="{97AA3ADE-843A-4221-84AF-DB3AA8600E3A}" destId="{E7DB236D-B2A8-4816-956B-FC16651AC423}" srcOrd="73" destOrd="0" parTransId="{FB10607B-1E9C-4A5B-9553-DD66C7E94A22}" sibTransId="{54108626-2D11-42B0-BF02-FB2051EE9CEC}"/>
    <dgm:cxn modelId="{FAE66DA2-3824-4955-ABC1-D7906B3B6255}" type="presOf" srcId="{1567A57A-BECB-4C2B-A4C3-CF507FD85763}" destId="{5055729C-1743-4889-980C-6A0CEF4560D2}" srcOrd="0" destOrd="1" presId="urn:microsoft.com/office/officeart/2005/8/layout/list1"/>
    <dgm:cxn modelId="{EEE96643-5D86-4D1C-BD2C-F8AAF9B63246}" type="presOf" srcId="{B24F4F50-7219-4B18-96E9-3055586DBD01}" destId="{7487FDEE-AAC7-4F87-A642-B31566E7B464}" srcOrd="0" destOrd="22" presId="urn:microsoft.com/office/officeart/2005/8/layout/list1"/>
    <dgm:cxn modelId="{298732F1-5948-4FE3-A132-5AC699707B58}" type="presOf" srcId="{949C6D5A-95EE-49F3-8611-AFE40D72FF4B}" destId="{7487FDEE-AAC7-4F87-A642-B31566E7B464}" srcOrd="0" destOrd="49" presId="urn:microsoft.com/office/officeart/2005/8/layout/list1"/>
    <dgm:cxn modelId="{B59A6F7C-2047-4B86-91D5-F12CDD8BF469}" srcId="{6DFB072F-1880-4BF3-8099-F56A0DCDC680}" destId="{AE2829EE-A859-42D9-83D5-B5F2B87E3B03}" srcOrd="32" destOrd="0" parTransId="{5648B00A-AE1B-408B-B74B-A5424966A8FC}" sibTransId="{8B4FB44F-8FC9-42C6-9F7F-1E370D686773}"/>
    <dgm:cxn modelId="{ED009C8C-9790-45DE-8757-C60D5E50B126}" srcId="{43EE3679-5B1F-45D4-ADA6-461661E67B3C}" destId="{CA88C94C-B8F6-4F81-A2E4-F212145A1D53}" srcOrd="22" destOrd="0" parTransId="{874FE4DC-D9BC-4346-BC7A-CCDAA08DECF9}" sibTransId="{DA63B74C-ECFC-4AC1-9E2C-D245655F0A99}"/>
    <dgm:cxn modelId="{82DB753E-1E55-46AE-B237-0C5DDE7448E6}" srcId="{5C69E173-182B-4E03-963D-32597C0342D2}" destId="{F3F9C172-9D7C-47D7-9731-76A5010AA8E5}" srcOrd="23" destOrd="0" parTransId="{0225DB1A-0998-45F6-94CB-13203A95E723}" sibTransId="{0B91463B-3368-432F-9E77-18604EF89B59}"/>
    <dgm:cxn modelId="{510CE0BB-C2F1-4A81-9F80-1CE26C2FEDC4}" srcId="{97AA3ADE-843A-4221-84AF-DB3AA8600E3A}" destId="{86302552-049E-4EED-AD5C-F9F0260AB268}" srcOrd="20" destOrd="0" parTransId="{1195EC45-229B-41D8-B929-5A6B25BA9109}" sibTransId="{076014C6-AD68-42D9-B43D-05D0D63D6D76}"/>
    <dgm:cxn modelId="{39BA8136-C77C-438E-959C-7E5C203BD0CF}" srcId="{5C69E173-182B-4E03-963D-32597C0342D2}" destId="{32EDC83B-F3BD-46DD-B9C8-E96994969876}" srcOrd="59" destOrd="0" parTransId="{F50F0E28-6040-417A-8044-DBA96C6924DF}" sibTransId="{A85C831F-C855-4EA8-BCB9-D4592ADA719E}"/>
    <dgm:cxn modelId="{6C03B593-EA3B-48C3-9A02-5EA02A764D5D}" srcId="{97AA3ADE-843A-4221-84AF-DB3AA8600E3A}" destId="{A388CACB-85FA-4D1F-90AA-C27B8D8E8883}" srcOrd="15" destOrd="0" parTransId="{DEC9E48A-F365-4124-8EE4-1599F388ACBE}" sibTransId="{4FC9DF58-FE6B-4A07-87DD-B5E80DB3A8CE}"/>
    <dgm:cxn modelId="{48E690B7-B80F-4576-B2D0-4540085A09C7}" srcId="{85A7569B-6F73-4E04-8B9E-333372741083}" destId="{1772A730-61C8-43AD-9D1F-AF1CCD0C5CE9}" srcOrd="24" destOrd="0" parTransId="{69763200-8AFC-48E8-9FE2-6772075A0E3D}" sibTransId="{1FD6E558-8B08-40CD-8159-B7174DAFB199}"/>
    <dgm:cxn modelId="{F44BEE3C-B94E-46B7-BA8C-77B0308570B2}" type="presOf" srcId="{F2BEC669-8EBC-4D64-B326-770D6E33C0C1}" destId="{CB484849-A58C-403B-BE62-FAD20DCEA897}" srcOrd="0" destOrd="6" presId="urn:microsoft.com/office/officeart/2005/8/layout/list1"/>
    <dgm:cxn modelId="{5E3759C4-280D-4A94-84BD-707AACAC00D8}" type="presOf" srcId="{DFA6A683-9426-475E-B918-301831B45432}" destId="{DD9E5413-5447-4D82-930B-572E7D8779E8}" srcOrd="0" destOrd="47" presId="urn:microsoft.com/office/officeart/2005/8/layout/list1"/>
    <dgm:cxn modelId="{AAB592EF-9DE6-4115-A3B7-A3639977212A}" srcId="{FA9AFF69-10CB-42A1-A2FB-3BAC1428CCFE}" destId="{AB4382B6-223F-49B3-A21F-E565EBC33DC1}" srcOrd="15" destOrd="0" parTransId="{B09712DA-2E3F-4EA6-A03D-E2997425D347}" sibTransId="{2BAA6338-5428-49FF-A368-69262AF97EE6}"/>
    <dgm:cxn modelId="{E93994E2-FA2A-4059-A62E-7C18A656504F}" type="presOf" srcId="{90748D5C-9EC4-4225-A4D6-A6E8B1861523}" destId="{DD9E5413-5447-4D82-930B-572E7D8779E8}" srcOrd="0" destOrd="23" presId="urn:microsoft.com/office/officeart/2005/8/layout/list1"/>
    <dgm:cxn modelId="{DBDBCCBC-A6C0-4D5F-8789-DFDA0D4E9269}" srcId="{97AA3ADE-843A-4221-84AF-DB3AA8600E3A}" destId="{C8E884BB-3175-432F-ABF4-AC8185552CCA}" srcOrd="24" destOrd="0" parTransId="{C2EC4B48-6A21-49F3-A93A-DB87467A8D2E}" sibTransId="{05AEB322-3CF8-4960-B826-480F15393323}"/>
    <dgm:cxn modelId="{8FD8F39F-AF20-463E-B017-980E6AFBCB07}" srcId="{97AA3ADE-843A-4221-84AF-DB3AA8600E3A}" destId="{7E852C2B-90B7-4808-BCE8-F46983E94614}" srcOrd="36" destOrd="0" parTransId="{67F1F395-47BF-4A38-BB22-A79549A5B857}" sibTransId="{CFC597F0-9269-4450-BB48-23DAF73A7E20}"/>
    <dgm:cxn modelId="{0E12D526-6BF6-4C45-A5B8-55783EBD3A69}" type="presOf" srcId="{E7816E96-1DB9-4C5E-BEE8-484A4D901AEB}" destId="{AD23FFB9-2542-4B31-80E2-741BD5F0A76B}" srcOrd="0" destOrd="69" presId="urn:microsoft.com/office/officeart/2005/8/layout/list1"/>
    <dgm:cxn modelId="{0382CA0E-988D-4749-AFD7-03AFE519CE77}" type="presOf" srcId="{EED05CA8-9900-43D0-9F05-DD27DE77E4DA}" destId="{7487FDEE-AAC7-4F87-A642-B31566E7B464}" srcOrd="0" destOrd="10" presId="urn:microsoft.com/office/officeart/2005/8/layout/list1"/>
    <dgm:cxn modelId="{6CE751E9-2E17-456A-8145-F740446EB882}" type="presOf" srcId="{1E0A182B-B10E-4817-8618-88A477C9FE74}" destId="{044B49A3-7F5D-49D0-A1A1-64AB6D7494E4}" srcOrd="0" destOrd="21" presId="urn:microsoft.com/office/officeart/2005/8/layout/list1"/>
    <dgm:cxn modelId="{E796F42C-C21A-4085-B331-7CB3B0CEDE31}" type="presOf" srcId="{FA9AFF69-10CB-42A1-A2FB-3BAC1428CCFE}" destId="{67810F9F-8C17-48D8-A224-6D0EBD98A725}" srcOrd="0" destOrd="0" presId="urn:microsoft.com/office/officeart/2005/8/layout/list1"/>
    <dgm:cxn modelId="{05756547-1E70-4D99-AF12-57200EDEEA8D}" type="presOf" srcId="{CFA12100-1723-4E12-BDFF-72913A9C85C2}" destId="{044B49A3-7F5D-49D0-A1A1-64AB6D7494E4}" srcOrd="0" destOrd="18" presId="urn:microsoft.com/office/officeart/2005/8/layout/list1"/>
    <dgm:cxn modelId="{59E7A979-D25F-4F93-8B00-579B5566EA1C}" srcId="{5C69E173-182B-4E03-963D-32597C0342D2}" destId="{7CC85F6A-466A-450F-B75C-E213B51B19F9}" srcOrd="29" destOrd="0" parTransId="{F3892001-CA52-4B42-A9BE-410F257776C0}" sibTransId="{9B892A21-0FD4-4968-AF19-215DB811CA3A}"/>
    <dgm:cxn modelId="{5861BCF9-C882-4AC0-9A88-DF22E001A8DB}" type="presOf" srcId="{86FB5C4C-E951-48BC-8501-4936FC0C8C05}" destId="{7487FDEE-AAC7-4F87-A642-B31566E7B464}" srcOrd="0" destOrd="30" presId="urn:microsoft.com/office/officeart/2005/8/layout/list1"/>
    <dgm:cxn modelId="{A6B3998F-8B5F-499C-AE22-42EC21A3BE35}" type="presOf" srcId="{071739DA-76E7-4FE3-A3A3-D58982116996}" destId="{DD9E5413-5447-4D82-930B-572E7D8779E8}" srcOrd="0" destOrd="16" presId="urn:microsoft.com/office/officeart/2005/8/layout/list1"/>
    <dgm:cxn modelId="{7A7B9F48-55DE-4F97-A8BD-F608F40D7791}" type="presOf" srcId="{BE5D68DB-4094-4B4C-AB68-D1BB97047130}" destId="{044B49A3-7F5D-49D0-A1A1-64AB6D7494E4}" srcOrd="0" destOrd="8" presId="urn:microsoft.com/office/officeart/2005/8/layout/list1"/>
    <dgm:cxn modelId="{A84DC2CA-CF23-4C96-B9C1-C51A11A315D5}" type="presOf" srcId="{F21BE4C5-213C-4F6A-A9DD-9E62F8F803E2}" destId="{5DC58891-F6F0-4E60-A5CF-990DBBAF63B8}" srcOrd="1" destOrd="0" presId="urn:microsoft.com/office/officeart/2005/8/layout/list1"/>
    <dgm:cxn modelId="{B98FF84A-CDDA-49D7-AAAC-4C442239692A}" srcId="{97AA3ADE-843A-4221-84AF-DB3AA8600E3A}" destId="{37B09648-2A31-4AAE-BD69-46D1D8ECC51F}" srcOrd="53" destOrd="0" parTransId="{4C10D0C2-1264-496A-8A36-ADF14895F10C}" sibTransId="{F4BB2112-E760-4741-A90F-AD1856389982}"/>
    <dgm:cxn modelId="{DC916151-2701-4F6B-AAB5-4D629E476AE0}" type="presOf" srcId="{B9910956-82EC-413B-B3E5-118FB71AAE6B}" destId="{7487FDEE-AAC7-4F87-A642-B31566E7B464}" srcOrd="0" destOrd="20" presId="urn:microsoft.com/office/officeart/2005/8/layout/list1"/>
    <dgm:cxn modelId="{5F6437A3-0FC7-41FD-8E76-983F63A18E34}" type="presOf" srcId="{056C390B-C4F6-4DE6-9A02-C0C92955E6DF}" destId="{7487FDEE-AAC7-4F87-A642-B31566E7B464}" srcOrd="0" destOrd="65" presId="urn:microsoft.com/office/officeart/2005/8/layout/list1"/>
    <dgm:cxn modelId="{DFFB9C3C-1F11-4F8F-B7C2-0C1A0CC38FD4}" type="presOf" srcId="{E6E59391-FDD3-46E1-8221-C71A6959D19D}" destId="{AD23FFB9-2542-4B31-80E2-741BD5F0A76B}" srcOrd="0" destOrd="50" presId="urn:microsoft.com/office/officeart/2005/8/layout/list1"/>
    <dgm:cxn modelId="{51172E80-D9AE-4436-82FB-C1A0E4086455}" type="presOf" srcId="{80B67DCC-F7CC-4902-B5C3-76056305FAE0}" destId="{DD9E5413-5447-4D82-930B-572E7D8779E8}" srcOrd="0" destOrd="0" presId="urn:microsoft.com/office/officeart/2005/8/layout/list1"/>
    <dgm:cxn modelId="{B93941DE-360F-4B24-92FA-9A3701025C03}" type="presOf" srcId="{05F0C44D-3D18-41CB-9BB7-7B30DBFB0279}" destId="{817CDDC7-4A1A-4DD3-BC8B-78FCA99C23C1}" srcOrd="0" destOrd="7" presId="urn:microsoft.com/office/officeart/2005/8/layout/list1"/>
    <dgm:cxn modelId="{52BEFBFB-7D34-4EEB-B956-EE8F3C495A53}" srcId="{97AA3ADE-843A-4221-84AF-DB3AA8600E3A}" destId="{A11313F5-7F5E-4D7F-8E8E-1FF975349698}" srcOrd="8" destOrd="0" parTransId="{DB27FDF3-AC01-4DF0-9E5B-6C094CBF4069}" sibTransId="{F3601F4D-B287-4EFB-894A-D4E86AA97DE4}"/>
    <dgm:cxn modelId="{9494C1D7-B5C0-4F69-8071-718F0E25154D}" srcId="{97AA3ADE-843A-4221-84AF-DB3AA8600E3A}" destId="{506E03EF-B9F8-4279-8CD3-4808B2D03FC6}" srcOrd="9" destOrd="0" parTransId="{6751BC85-F1E9-4D65-8D51-70A23877DA05}" sibTransId="{7721AE52-BC1E-44C2-8A5C-59A1F42B68B6}"/>
    <dgm:cxn modelId="{68EC0E94-DD3D-4627-BFA0-D222F79E861C}" type="presOf" srcId="{A22686C6-9E12-492C-B0FB-A006F31098D6}" destId="{7487FDEE-AAC7-4F87-A642-B31566E7B464}" srcOrd="0" destOrd="77" presId="urn:microsoft.com/office/officeart/2005/8/layout/list1"/>
    <dgm:cxn modelId="{AAF812A7-99A8-4C2C-9794-AB1324D39EE5}" type="presOf" srcId="{F782A9B0-91C6-4B08-9434-3A995E1F5F5D}" destId="{DD9E5413-5447-4D82-930B-572E7D8779E8}" srcOrd="0" destOrd="50" presId="urn:microsoft.com/office/officeart/2005/8/layout/list1"/>
    <dgm:cxn modelId="{DE39524E-5630-420E-834A-06C162170553}" srcId="{85A7569B-6F73-4E04-8B9E-333372741083}" destId="{D569B458-DA00-4C32-A8C1-10274DD8A74F}" srcOrd="12" destOrd="0" parTransId="{879F982C-C196-4CA7-AC1C-01158F4E3133}" sibTransId="{6818120E-0EFE-4E55-9DB2-679C43DCD0D7}"/>
    <dgm:cxn modelId="{07E470A5-D4BF-4B91-A5FA-5A64BDAA1B4D}" type="presOf" srcId="{FB6B651C-6695-46BF-AA23-741C3E1A3FAD}" destId="{DD9E5413-5447-4D82-930B-572E7D8779E8}" srcOrd="0" destOrd="37" presId="urn:microsoft.com/office/officeart/2005/8/layout/list1"/>
    <dgm:cxn modelId="{566B462C-D395-4D2C-9110-849079309154}" type="presOf" srcId="{1358EF12-D106-4DE5-937C-B49E867830FF}" destId="{AD23FFB9-2542-4B31-80E2-741BD5F0A76B}" srcOrd="0" destOrd="5" presId="urn:microsoft.com/office/officeart/2005/8/layout/list1"/>
    <dgm:cxn modelId="{7FE8E843-6E75-4F43-A609-200908B19AD0}" srcId="{6DFB072F-1880-4BF3-8099-F56A0DCDC680}" destId="{DA0072BE-A622-4FCE-9C07-E68E7C4F41B0}" srcOrd="20" destOrd="0" parTransId="{5530CF90-6C67-4CBB-8286-F2DC0CFE6FA7}" sibTransId="{6888BFFD-5630-4FCD-9E11-A8945BB69CF9}"/>
    <dgm:cxn modelId="{F56D0FCE-C4B5-430B-A40B-BC3F7C03AFCA}" srcId="{5C69E173-182B-4E03-963D-32597C0342D2}" destId="{76E49BFE-F2B1-4198-AA38-EDCFFA641B0E}" srcOrd="3" destOrd="0" parTransId="{1167490C-95D6-4257-A003-3C2C0FE887BB}" sibTransId="{4167ED58-6B44-4305-BF6D-801920DC21DA}"/>
    <dgm:cxn modelId="{F542677E-3869-45A2-830F-3A7DC07D913A}" type="presOf" srcId="{8D4E12C5-F8C6-4AB2-BA6A-BEBDAD7FB57D}" destId="{CB484849-A58C-403B-BE62-FAD20DCEA897}" srcOrd="0" destOrd="35" presId="urn:microsoft.com/office/officeart/2005/8/layout/list1"/>
    <dgm:cxn modelId="{077519D9-BC9B-43C5-85E2-9C579441E7BB}" srcId="{5C69E173-182B-4E03-963D-32597C0342D2}" destId="{C3E666A3-E100-401A-AD49-C1BBCBCE051D}" srcOrd="28" destOrd="0" parTransId="{307BDD69-22F4-402E-B04E-77EDCA6529BB}" sibTransId="{B6CBA306-6BD4-4528-B289-5DE202721A8A}"/>
    <dgm:cxn modelId="{C8422B2B-87CE-4E09-9B26-266CD3DE8B3C}" srcId="{85A7569B-6F73-4E04-8B9E-333372741083}" destId="{123988D4-D6E8-4A3E-AC4B-E29ECD6A850B}" srcOrd="15" destOrd="0" parTransId="{A79C055B-8108-4454-9841-5E71BDADA81A}" sibTransId="{0B311579-227A-4391-BB01-594AE99A4367}"/>
    <dgm:cxn modelId="{58C900ED-E66E-40AC-A0FE-AC05107F529D}" type="presOf" srcId="{5C387D3D-1144-4D3D-894B-721EF85A8F46}" destId="{DD9E5413-5447-4D82-930B-572E7D8779E8}" srcOrd="0" destOrd="42" presId="urn:microsoft.com/office/officeart/2005/8/layout/list1"/>
    <dgm:cxn modelId="{75DE96BE-7C6B-42C7-AFD1-48EC97E2AACE}" type="presOf" srcId="{B8D5CB66-F327-469C-9E1D-4060B30A24C3}" destId="{817CDDC7-4A1A-4DD3-BC8B-78FCA99C23C1}" srcOrd="0" destOrd="20" presId="urn:microsoft.com/office/officeart/2005/8/layout/list1"/>
    <dgm:cxn modelId="{9878E844-8B36-4F7E-BD2B-729BE572A319}" srcId="{6DFB072F-1880-4BF3-8099-F56A0DCDC680}" destId="{E22DB853-BEAA-40B6-B48D-E544A57387E9}" srcOrd="25" destOrd="0" parTransId="{92A5CD36-DEAB-4AB3-B397-B782438837F7}" sibTransId="{1DD50424-CE53-4064-A45F-7406D615BB63}"/>
    <dgm:cxn modelId="{5FCB2EAE-B905-400B-B8DD-1A71C837EB55}" type="presOf" srcId="{26C438BD-30F4-463A-BF84-5507C3A109E7}" destId="{CB484849-A58C-403B-BE62-FAD20DCEA897}" srcOrd="0" destOrd="12" presId="urn:microsoft.com/office/officeart/2005/8/layout/list1"/>
    <dgm:cxn modelId="{793E10AA-5855-4619-AAF8-967B270D6159}" type="presOf" srcId="{7429FB20-E8CC-4D79-99E1-D0F84126E094}" destId="{817CDDC7-4A1A-4DD3-BC8B-78FCA99C23C1}" srcOrd="0" destOrd="1" presId="urn:microsoft.com/office/officeart/2005/8/layout/list1"/>
    <dgm:cxn modelId="{654C08D5-43F7-4A96-9F82-180C0020757B}" srcId="{5C69E173-182B-4E03-963D-32597C0342D2}" destId="{BF7A72C1-FDF9-41FC-8620-751CB5CC902E}" srcOrd="48" destOrd="0" parTransId="{BBDDBBFA-1149-40A8-A2DB-36E58C00131A}" sibTransId="{6DF60295-40C1-49D7-AF52-80C875F4985C}"/>
    <dgm:cxn modelId="{252B0F1E-E9AC-488B-BB4F-43054B2CF80F}" srcId="{5C69E173-182B-4E03-963D-32597C0342D2}" destId="{DAFCCEBD-AF39-4766-B0D6-3A94C7B5BEE1}" srcOrd="72" destOrd="0" parTransId="{C89BC264-0776-45AF-A3B9-DCD626BBCE66}" sibTransId="{9F7F9632-DB13-4E51-9BD8-49FFEC63DE96}"/>
    <dgm:cxn modelId="{9F809889-A788-488F-8431-F29D07737D0A}" srcId="{5C69E173-182B-4E03-963D-32597C0342D2}" destId="{7D6A3D1A-D9C1-437C-91E4-B73E2614263A}" srcOrd="18" destOrd="0" parTransId="{7799D2F1-4CE5-40EB-8875-E3D832EFEA3E}" sibTransId="{C8A77E6C-9D24-4280-9171-3FEB6D020DF4}"/>
    <dgm:cxn modelId="{39CA9E6F-8658-4730-8418-FFC9F33AFFAE}" srcId="{6DFB072F-1880-4BF3-8099-F56A0DCDC680}" destId="{B3D65324-7590-4073-AA5E-350968E969EC}" srcOrd="33" destOrd="0" parTransId="{5B0980A1-F42B-4319-9913-CCA18E50B7CB}" sibTransId="{7DB8582F-90CA-41BE-9003-31B58D5E207F}"/>
    <dgm:cxn modelId="{FF01605E-AA4F-4D65-A5C2-4DA62B9E7BCB}" srcId="{00F85EC1-B921-48FE-997F-36320003F407}" destId="{F21BE4C5-213C-4F6A-A9DD-9E62F8F803E2}" srcOrd="0" destOrd="0" parTransId="{7E2A3EE9-0083-408E-9B44-FA3496A2B65B}" sibTransId="{414096B7-B972-46EE-8E0F-F725209F5192}"/>
    <dgm:cxn modelId="{F2AF0860-5171-4B04-BCC0-A20E119E77F1}" srcId="{5C69E173-182B-4E03-963D-32597C0342D2}" destId="{CFA06508-957D-469C-997D-9721987EB18B}" srcOrd="8" destOrd="0" parTransId="{13630415-1C21-4AF6-8081-D4095CA56D1C}" sibTransId="{10EDFCA1-C689-4679-BA96-F1C66B15A1D5}"/>
    <dgm:cxn modelId="{CD802A11-B7C3-495F-AF14-09ADA9517163}" type="presOf" srcId="{506E03EF-B9F8-4279-8CD3-4808B2D03FC6}" destId="{AD23FFB9-2542-4B31-80E2-741BD5F0A76B}" srcOrd="0" destOrd="9" presId="urn:microsoft.com/office/officeart/2005/8/layout/list1"/>
    <dgm:cxn modelId="{65DC5CF7-926C-420F-9C07-C613BE370D61}" type="presOf" srcId="{47D78465-7477-4AE8-8783-92D21BA0FC86}" destId="{817CDDC7-4A1A-4DD3-BC8B-78FCA99C23C1}" srcOrd="0" destOrd="3" presId="urn:microsoft.com/office/officeart/2005/8/layout/list1"/>
    <dgm:cxn modelId="{E4A40B8C-55E4-492E-9C16-443BF4DD7A48}" srcId="{5C69E173-182B-4E03-963D-32597C0342D2}" destId="{FC5CA66F-FAA0-4C99-B52E-A804E9141511}" srcOrd="45" destOrd="0" parTransId="{47B0A285-A634-4C82-87F5-5AE0B4BA5C19}" sibTransId="{BE0F6C43-DEBD-4293-BDD7-0C097369ABDA}"/>
    <dgm:cxn modelId="{9C51DD53-8F94-4598-874A-CFEBC7E9EE73}" type="presOf" srcId="{73ECD602-F1E8-4C34-BFD6-3B52C100B7EC}" destId="{7487FDEE-AAC7-4F87-A642-B31566E7B464}" srcOrd="0" destOrd="34" presId="urn:microsoft.com/office/officeart/2005/8/layout/list1"/>
    <dgm:cxn modelId="{D15AD7AF-3CD7-4DAA-94E2-752B8F041A06}" srcId="{85A7569B-6F73-4E04-8B9E-333372741083}" destId="{C637AF09-D240-496E-8762-409B577A46E0}" srcOrd="49" destOrd="0" parTransId="{61A6C8E0-85D2-4163-AC8C-65C57E46B99D}" sibTransId="{B904935F-1371-4162-907E-49A7F1963EEC}"/>
    <dgm:cxn modelId="{2E14AF9F-EB8C-4C5A-B056-7C7B34EB45D7}" type="presOf" srcId="{87210274-0E5B-448B-B2E6-0B020A425806}" destId="{AD23FFB9-2542-4B31-80E2-741BD5F0A76B}" srcOrd="0" destOrd="31" presId="urn:microsoft.com/office/officeart/2005/8/layout/list1"/>
    <dgm:cxn modelId="{3D5BF2EF-2E81-4ADD-B37C-C54A42628B30}" type="presOf" srcId="{E2DD6ED0-BFCB-4EA5-B43C-338737C2346F}" destId="{AD23FFB9-2542-4B31-80E2-741BD5F0A76B}" srcOrd="0" destOrd="45" presId="urn:microsoft.com/office/officeart/2005/8/layout/list1"/>
    <dgm:cxn modelId="{F77AE4D2-82AE-4844-B026-1315DA41F17F}" type="presOf" srcId="{AE54732B-3B9F-42E4-AF82-71179408AEE2}" destId="{AD23FFB9-2542-4B31-80E2-741BD5F0A76B}" srcOrd="0" destOrd="67" presId="urn:microsoft.com/office/officeart/2005/8/layout/list1"/>
    <dgm:cxn modelId="{EDAA8F91-E0DB-405C-9495-8F9FB2751BC2}" srcId="{97AA3ADE-843A-4221-84AF-DB3AA8600E3A}" destId="{9475CD45-0E18-4490-982F-FE8CB28920D2}" srcOrd="16" destOrd="0" parTransId="{90A981D9-BA04-4AF9-82FB-B0EA7CE079A4}" sibTransId="{B5B01FB1-C98C-48F8-8C8E-866500DF0EB3}"/>
    <dgm:cxn modelId="{F04A7FFE-BF0D-4576-B255-7EC525513B53}" type="presOf" srcId="{FF194383-9220-4AA3-A84E-2694E29AB2C1}" destId="{CB484849-A58C-403B-BE62-FAD20DCEA897}" srcOrd="0" destOrd="3" presId="urn:microsoft.com/office/officeart/2005/8/layout/list1"/>
    <dgm:cxn modelId="{D83F4A0F-DE07-444C-B1F5-3C6E4DF35635}" srcId="{97AA3ADE-843A-4221-84AF-DB3AA8600E3A}" destId="{C8FDCCC6-856A-4A26-A742-67CA5AA8208B}" srcOrd="14" destOrd="0" parTransId="{2F1CBB0F-EFA7-4128-B56F-B41FDF6678C2}" sibTransId="{BDE4A7D4-947B-42FF-BD95-D26F4C3483DC}"/>
    <dgm:cxn modelId="{87C1A7EF-5668-46BB-9413-BC8F36E002ED}" type="presOf" srcId="{9D75F544-58C1-448C-823F-FC124B625833}" destId="{817CDDC7-4A1A-4DD3-BC8B-78FCA99C23C1}" srcOrd="0" destOrd="14" presId="urn:microsoft.com/office/officeart/2005/8/layout/list1"/>
    <dgm:cxn modelId="{F9EABF25-480E-4BEE-A39C-088AF624C869}" type="presOf" srcId="{AB4D5BF1-4DEC-4A00-B2E3-37E17C9862AC}" destId="{DD9E5413-5447-4D82-930B-572E7D8779E8}" srcOrd="0" destOrd="48" presId="urn:microsoft.com/office/officeart/2005/8/layout/list1"/>
    <dgm:cxn modelId="{E4B9C8B9-6EB8-4C99-85AC-6EEEB8E4E4F5}" srcId="{97AA3ADE-843A-4221-84AF-DB3AA8600E3A}" destId="{66AFEE3E-7EBF-4B58-AF6F-FDAA96D82420}" srcOrd="49" destOrd="0" parTransId="{63D7FEB5-C199-4F01-8838-C2102D7089E3}" sibTransId="{4A25E70D-1DBC-4DAB-9532-98BDF1852BC2}"/>
    <dgm:cxn modelId="{C06808DC-1D2F-4F61-AD35-046FA9D734A0}" type="presOf" srcId="{CF9E8E3F-933E-4DE3-BDC0-97FD1FBF2C39}" destId="{7487FDEE-AAC7-4F87-A642-B31566E7B464}" srcOrd="0" destOrd="5" presId="urn:microsoft.com/office/officeart/2005/8/layout/list1"/>
    <dgm:cxn modelId="{3B74EAB4-D7F4-48C4-BB14-CC8D22270033}" type="presOf" srcId="{B5B7C349-D1F0-4715-8205-1EC6746D734A}" destId="{7487FDEE-AAC7-4F87-A642-B31566E7B464}" srcOrd="0" destOrd="74" presId="urn:microsoft.com/office/officeart/2005/8/layout/list1"/>
    <dgm:cxn modelId="{D162335B-35E5-458E-9D09-28E6F2CC8C2E}" type="presOf" srcId="{BFE9801C-6630-43E6-A05F-51BE4DAF7E1C}" destId="{7487FDEE-AAC7-4F87-A642-B31566E7B464}" srcOrd="0" destOrd="14" presId="urn:microsoft.com/office/officeart/2005/8/layout/list1"/>
    <dgm:cxn modelId="{6D8B7E65-4658-4C76-A5F8-1CF14A73BE71}" type="presOf" srcId="{B13160F2-1B9F-45D9-AF09-6D7C5001834D}" destId="{7487FDEE-AAC7-4F87-A642-B31566E7B464}" srcOrd="0" destOrd="36" presId="urn:microsoft.com/office/officeart/2005/8/layout/list1"/>
    <dgm:cxn modelId="{C62DD58A-567C-410D-BEF2-78DC3159AB0D}" srcId="{5C69E173-182B-4E03-963D-32597C0342D2}" destId="{BFE9801C-6630-43E6-A05F-51BE4DAF7E1C}" srcOrd="14" destOrd="0" parTransId="{40D9406D-7975-4649-8A21-77CD63CCDBDB}" sibTransId="{5089588F-865E-484E-9E76-0D7A010C3B61}"/>
    <dgm:cxn modelId="{6FECE284-D8D9-49A5-BBDB-A3277FE10132}" type="presOf" srcId="{C61D0B8E-D1DF-4D29-A743-7A2EE1F5E50D}" destId="{7487FDEE-AAC7-4F87-A642-B31566E7B464}" srcOrd="0" destOrd="56" presId="urn:microsoft.com/office/officeart/2005/8/layout/list1"/>
    <dgm:cxn modelId="{065ED718-76E4-4D83-93D0-1D111394CE60}" type="presOf" srcId="{679F5D4F-D8C2-40BF-AE26-B3280B76B89D}" destId="{DD9E5413-5447-4D82-930B-572E7D8779E8}" srcOrd="0" destOrd="41" presId="urn:microsoft.com/office/officeart/2005/8/layout/list1"/>
    <dgm:cxn modelId="{4CDAB3E1-AAA6-47D2-8034-7E73AA261ACA}" srcId="{97AA3ADE-843A-4221-84AF-DB3AA8600E3A}" destId="{7658BE05-28F4-40B3-BB73-60F6AA618165}" srcOrd="71" destOrd="0" parTransId="{04AA4AFF-59BE-4527-A4E1-F2C00709C46D}" sibTransId="{14263AF4-247D-426D-9A21-2E9F4F9000AB}"/>
    <dgm:cxn modelId="{EA5BA618-74EF-4A14-88A7-8F73BC97167E}" srcId="{5C69E173-182B-4E03-963D-32597C0342D2}" destId="{C065A199-19B1-4DD7-9A77-8BFF693DC0D9}" srcOrd="58" destOrd="0" parTransId="{C6ED2CA5-7714-439F-AE7B-08F4B6AB203C}" sibTransId="{B1B149D4-0AFE-4E51-A8A5-8328BADD3781}"/>
    <dgm:cxn modelId="{77A9DD61-47C1-4C8E-B299-7BBD4F93251C}" srcId="{85A7569B-6F73-4E04-8B9E-333372741083}" destId="{9123279C-AA85-4AA5-B46D-E2D51727A844}" srcOrd="26" destOrd="0" parTransId="{0884F32C-5BA8-4316-A81B-18834E5DDCE2}" sibTransId="{BDC841EF-D242-49FC-9393-AAE7539A3868}"/>
    <dgm:cxn modelId="{103E8F21-6A64-4CD7-8B18-19FCAC02E183}" type="presOf" srcId="{885FC3D7-FB81-4AB4-8CA9-FF13E2AD1B30}" destId="{DD9E5413-5447-4D82-930B-572E7D8779E8}" srcOrd="0" destOrd="54" presId="urn:microsoft.com/office/officeart/2005/8/layout/list1"/>
    <dgm:cxn modelId="{D76A73DF-45DD-4FF7-8240-D6BEBA3E8C0C}" type="presOf" srcId="{8E57F16D-D5F0-4BC4-9C51-E92C32B9F9E3}" destId="{044B49A3-7F5D-49D0-A1A1-64AB6D7494E4}" srcOrd="0" destOrd="5" presId="urn:microsoft.com/office/officeart/2005/8/layout/list1"/>
    <dgm:cxn modelId="{691C6BDB-660E-4398-ACC0-862C98616706}" type="presOf" srcId="{BFF0814E-C6EA-4EB7-B77B-E972E45EEC86}" destId="{7487FDEE-AAC7-4F87-A642-B31566E7B464}" srcOrd="0" destOrd="80" presId="urn:microsoft.com/office/officeart/2005/8/layout/list1"/>
    <dgm:cxn modelId="{05A94298-AA36-4B0A-BEBD-26D2566F0511}" srcId="{97AA3ADE-843A-4221-84AF-DB3AA8600E3A}" destId="{B84112F0-5771-43ED-B18A-9461CBAD8391}" srcOrd="72" destOrd="0" parTransId="{B2B5D96D-D789-483F-9BD6-D58619920E3A}" sibTransId="{5703BE0F-A96A-45A6-ADFC-8945BD826D5B}"/>
    <dgm:cxn modelId="{93A9218F-0E3B-4798-BFBF-9FFB74793DFC}" srcId="{85A7569B-6F73-4E04-8B9E-333372741083}" destId="{E703306F-0970-4699-B2E6-E203AFB9A442}" srcOrd="44" destOrd="0" parTransId="{662D0255-90C2-4261-AF91-D80578414355}" sibTransId="{6DFFDD68-AB0C-402C-B2BA-BD18BC5A0778}"/>
    <dgm:cxn modelId="{48C2AD83-B6E2-4D42-B842-CAAAC895D4BA}" srcId="{5C69E173-182B-4E03-963D-32597C0342D2}" destId="{87C5AEA6-B037-4BF0-AD1C-F1A531504FCE}" srcOrd="35" destOrd="0" parTransId="{D7BF4300-E8D8-4913-A99A-5C6D411392EC}" sibTransId="{17F2954E-B415-456E-9B26-52C9F3123279}"/>
    <dgm:cxn modelId="{FD962E90-0A56-4E39-A102-49D4ED73140C}" srcId="{6DFB072F-1880-4BF3-8099-F56A0DCDC680}" destId="{D0C91DF1-071F-4134-A203-376892DC6753}" srcOrd="4" destOrd="0" parTransId="{29C9ABBF-C7FE-4563-B3AC-EAA4546550AC}" sibTransId="{0EEB58C1-DDCB-4898-99DA-0AE5D1098EA0}"/>
    <dgm:cxn modelId="{A60968E5-D262-4A7A-A27F-DDB35B6A1CD8}" type="presOf" srcId="{CE6AF91D-9C18-4025-875C-D8DC8B34B203}" destId="{AD23FFB9-2542-4B31-80E2-741BD5F0A76B}" srcOrd="0" destOrd="4" presId="urn:microsoft.com/office/officeart/2005/8/layout/list1"/>
    <dgm:cxn modelId="{A18BB0CA-65F9-4729-AE6A-2DDB59DB9B0C}" type="presOf" srcId="{7868AA71-95C4-4F05-A3B1-52DBB31ACC9B}" destId="{DD9E5413-5447-4D82-930B-572E7D8779E8}" srcOrd="0" destOrd="35" presId="urn:microsoft.com/office/officeart/2005/8/layout/list1"/>
    <dgm:cxn modelId="{EBD1BC8E-57E5-4BD8-9306-000CEB4126C6}" srcId="{97AA3ADE-843A-4221-84AF-DB3AA8600E3A}" destId="{5702D32D-758F-4413-A7A5-84DCAD46E861}" srcOrd="39" destOrd="0" parTransId="{BA48A5CF-B08D-4D15-9B2E-5AECC1700F06}" sibTransId="{57E7033D-7362-444A-ABDE-4DCCCE42D6BC}"/>
    <dgm:cxn modelId="{911CA4CB-B5EB-4A29-9FD4-B020D6B7B36B}" srcId="{97AA3ADE-843A-4221-84AF-DB3AA8600E3A}" destId="{EEAD2614-D8C2-4692-944C-0592B8995C87}" srcOrd="44" destOrd="0" parTransId="{F9F54CFC-98A2-4D7C-8910-A4C24A49E54A}" sibTransId="{687C1315-8A90-4CAC-9E3A-AA85DD5EF0C5}"/>
    <dgm:cxn modelId="{59016E32-744B-4379-B07C-9FF538B44180}" type="presOf" srcId="{48745E75-476A-47E5-B54B-3E0A9F4A5A61}" destId="{AD23FFB9-2542-4B31-80E2-741BD5F0A76B}" srcOrd="0" destOrd="29" presId="urn:microsoft.com/office/officeart/2005/8/layout/list1"/>
    <dgm:cxn modelId="{CEFAA73F-7113-46E0-BF7A-E481A8ACF9B4}" srcId="{5C69E173-182B-4E03-963D-32597C0342D2}" destId="{A2D19CD2-F28A-4936-8676-460364B755FD}" srcOrd="52" destOrd="0" parTransId="{3FF1FB0C-5685-44EE-8978-F90F0662586B}" sibTransId="{E434DC4F-0D38-4957-A7FA-EBB9210458F7}"/>
    <dgm:cxn modelId="{26925CB2-987E-4576-8B29-9DD6741C7BFE}" srcId="{97AA3ADE-843A-4221-84AF-DB3AA8600E3A}" destId="{111EAA59-C0C3-4EBF-94E1-0E64568A820F}" srcOrd="0" destOrd="0" parTransId="{59EC5AAA-FD7E-461D-9CE4-CE43E2C52682}" sibTransId="{50CF1C79-284F-405D-8B87-B0898ED26248}"/>
    <dgm:cxn modelId="{96132F76-C9EE-4C8B-ADAB-D65B8C5F03AB}" type="presOf" srcId="{C8E884BB-3175-432F-ABF4-AC8185552CCA}" destId="{AD23FFB9-2542-4B31-80E2-741BD5F0A76B}" srcOrd="0" destOrd="24" presId="urn:microsoft.com/office/officeart/2005/8/layout/list1"/>
    <dgm:cxn modelId="{D8F4CA03-5EB1-4F80-AEE2-D09C295DCC37}" type="presOf" srcId="{B08669BB-7CBE-44C9-9559-8E58C73F4AF7}" destId="{7487FDEE-AAC7-4F87-A642-B31566E7B464}" srcOrd="0" destOrd="66" presId="urn:microsoft.com/office/officeart/2005/8/layout/list1"/>
    <dgm:cxn modelId="{D98E11D8-33CC-44C7-BF8B-A9EDACF473CB}" srcId="{5C69E173-182B-4E03-963D-32597C0342D2}" destId="{25DD1955-8C1E-480E-B3BB-0C4E9E295BDD}" srcOrd="9" destOrd="0" parTransId="{3C67B84E-D8BD-49CC-B4BC-0F43113C8E2D}" sibTransId="{92253454-1A78-479F-BBB3-224896A99941}"/>
    <dgm:cxn modelId="{4A672A65-B4F1-4E46-9D08-8335BDB70BA1}" srcId="{6DFB072F-1880-4BF3-8099-F56A0DCDC680}" destId="{2D1C9FE1-294F-4403-81E0-F25A067904A4}" srcOrd="24" destOrd="0" parTransId="{B1FB743C-8C40-432A-B505-02C2026E6135}" sibTransId="{1D3A9BF1-DD70-4297-A8DF-A263B93419BB}"/>
    <dgm:cxn modelId="{E24025F6-47DF-4B40-9798-E677867E7062}" srcId="{5C69E173-182B-4E03-963D-32597C0342D2}" destId="{056C390B-C4F6-4DE6-9A02-C0C92955E6DF}" srcOrd="65" destOrd="0" parTransId="{DD523919-CB20-48E1-AAB8-D9D5CB416E7A}" sibTransId="{78B8C5E2-998C-46EE-A106-6DABFC9DA47E}"/>
    <dgm:cxn modelId="{F0437A4A-1BF3-498C-8C33-8627D83C5215}" type="presOf" srcId="{11811FC4-76E5-4554-89ED-2BDF5D4CD5A8}" destId="{7487FDEE-AAC7-4F87-A642-B31566E7B464}" srcOrd="0" destOrd="46" presId="urn:microsoft.com/office/officeart/2005/8/layout/list1"/>
    <dgm:cxn modelId="{B1CE4D30-962C-405B-AAFB-367E3A37E228}" type="presOf" srcId="{A833B05D-25E2-4944-A8EE-A899372FD4CE}" destId="{DD9E5413-5447-4D82-930B-572E7D8779E8}" srcOrd="0" destOrd="4" presId="urn:microsoft.com/office/officeart/2005/8/layout/list1"/>
    <dgm:cxn modelId="{598E044D-491F-4495-A6EF-6B5472D6B24A}" srcId="{85A7569B-6F73-4E04-8B9E-333372741083}" destId="{F40BEAB6-7D75-4244-A260-6368781C3D42}" srcOrd="6" destOrd="0" parTransId="{0C7EB962-0D50-4492-8BCA-13DE87CBA37C}" sibTransId="{E6991D63-C224-4B05-998D-79CB64CE65C6}"/>
    <dgm:cxn modelId="{F34019F4-1547-40E1-AB51-28BC9ABDBF40}" srcId="{00F85EC1-B921-48FE-997F-36320003F407}" destId="{6DFB072F-1880-4BF3-8099-F56A0DCDC680}" srcOrd="6" destOrd="0" parTransId="{5AD5ED11-9003-4973-8C25-81D345547818}" sibTransId="{13564C3B-DA1E-4A50-8C8F-8059AAB62078}"/>
    <dgm:cxn modelId="{5B35D1C9-097E-4A33-8B6A-DC97080DB7AB}" srcId="{00F85EC1-B921-48FE-997F-36320003F407}" destId="{43EE3679-5B1F-45D4-ADA6-461661E67B3C}" srcOrd="2" destOrd="0" parTransId="{035ADBEB-1F00-47E2-8B2E-870F434668F3}" sibTransId="{B4243524-BD3D-4E2B-9438-79D76C2FDF23}"/>
    <dgm:cxn modelId="{38ABC9AF-69B7-4A7E-B3F3-5C39D48525DD}" srcId="{6DFB072F-1880-4BF3-8099-F56A0DCDC680}" destId="{26C438BD-30F4-463A-BF84-5507C3A109E7}" srcOrd="12" destOrd="0" parTransId="{C28B708D-9467-406D-BE7E-8970C51E8601}" sibTransId="{421EE24B-3601-4E42-A669-561BE720ECD4}"/>
    <dgm:cxn modelId="{EFDAFA0F-97E9-4E35-BDA4-8916E8416831}" type="presOf" srcId="{D0C91DF1-071F-4134-A203-376892DC6753}" destId="{CB484849-A58C-403B-BE62-FAD20DCEA897}" srcOrd="0" destOrd="4" presId="urn:microsoft.com/office/officeart/2005/8/layout/list1"/>
    <dgm:cxn modelId="{A175B8A1-E15D-4985-9089-B5DBBB13CBA3}" type="presOf" srcId="{815535DE-AA74-4061-9C01-93595B355E9E}" destId="{7487FDEE-AAC7-4F87-A642-B31566E7B464}" srcOrd="0" destOrd="24" presId="urn:microsoft.com/office/officeart/2005/8/layout/list1"/>
    <dgm:cxn modelId="{FBF8EA04-B85B-4B75-BAAB-16D3F4869E9A}" type="presOf" srcId="{A6342442-AF25-4166-AE29-51E4703693FD}" destId="{AD23FFB9-2542-4B31-80E2-741BD5F0A76B}" srcOrd="0" destOrd="10" presId="urn:microsoft.com/office/officeart/2005/8/layout/list1"/>
    <dgm:cxn modelId="{8976C125-B4B5-4F05-8F48-F34CF2544290}" srcId="{85A7569B-6F73-4E04-8B9E-333372741083}" destId="{F6B4DCE7-3E2A-4AA4-8783-AFB5D4131184}" srcOrd="18" destOrd="0" parTransId="{A11B47D6-5C30-4FBB-84B8-E9109439F446}" sibTransId="{5F7B93BF-108B-4F7A-B707-4D8C043A8B0E}"/>
    <dgm:cxn modelId="{A526E2AC-5C5A-4BD1-87F6-85E7D9618D90}" type="presOf" srcId="{DF67B166-B0B1-4B21-8F76-3309CD1D1D05}" destId="{DD9E5413-5447-4D82-930B-572E7D8779E8}" srcOrd="0" destOrd="13" presId="urn:microsoft.com/office/officeart/2005/8/layout/list1"/>
    <dgm:cxn modelId="{5ADA64E6-9F95-4C6D-A55A-A59BAA18D349}" type="presOf" srcId="{F704D2D5-408C-4C0A-8355-2A17C725E404}" destId="{7487FDEE-AAC7-4F87-A642-B31566E7B464}" srcOrd="0" destOrd="0" presId="urn:microsoft.com/office/officeart/2005/8/layout/list1"/>
    <dgm:cxn modelId="{FE4E6279-32E9-4050-83E7-C7D0921CE93B}" type="presOf" srcId="{69C0E573-7A3C-4540-9ECC-F0B73B560E02}" destId="{5055729C-1743-4889-980C-6A0CEF4560D2}" srcOrd="0" destOrd="3" presId="urn:microsoft.com/office/officeart/2005/8/layout/list1"/>
    <dgm:cxn modelId="{E6CA6095-4C98-4898-91D2-C3B0661B7393}" srcId="{5C69E173-182B-4E03-963D-32597C0342D2}" destId="{7400569C-7092-40BA-A872-410828050381}" srcOrd="1" destOrd="0" parTransId="{BBC09E56-E059-4E30-9D1D-7FA96FA9B92C}" sibTransId="{42D370B4-054D-4C3D-89AB-47D2ABEAEC1E}"/>
    <dgm:cxn modelId="{2D63DD9E-FC73-4104-A2E4-7BE2F9B8AC9B}" type="presOf" srcId="{62A8B3AC-49EF-4F3D-8B59-66F30D02146A}" destId="{DD9E5413-5447-4D82-930B-572E7D8779E8}" srcOrd="0" destOrd="29" presId="urn:microsoft.com/office/officeart/2005/8/layout/list1"/>
    <dgm:cxn modelId="{D447D6B5-DD44-40D4-B50A-68E92C4A13FC}" type="presOf" srcId="{13E8249C-198B-4B09-A00E-E3AFD4D26BB1}" destId="{044B49A3-7F5D-49D0-A1A1-64AB6D7494E4}" srcOrd="0" destOrd="22" presId="urn:microsoft.com/office/officeart/2005/8/layout/list1"/>
    <dgm:cxn modelId="{9101A659-F919-4116-B8AB-EBB8095EE109}" srcId="{6DFB072F-1880-4BF3-8099-F56A0DCDC680}" destId="{302C13D1-0A4D-4375-A5DF-8BEBCD14FBCC}" srcOrd="29" destOrd="0" parTransId="{BFE554DA-2C78-4789-8D6C-82830C8590DA}" sibTransId="{D8C51DDA-C6A4-4544-BA1F-417BAC973F5D}"/>
    <dgm:cxn modelId="{F6F2EAE6-87F2-420F-B117-13DC0CCD210A}" srcId="{6DFB072F-1880-4BF3-8099-F56A0DCDC680}" destId="{85E45FE5-3913-4B52-BCC7-C4B013F5CB3C}" srcOrd="30" destOrd="0" parTransId="{20BA4BBC-B125-463C-AB0F-5AB319F4F991}" sibTransId="{019A58F1-FB0E-47B5-BDE7-2092B918CF35}"/>
    <dgm:cxn modelId="{7FF78E1E-4417-447C-B016-8AC3EF738A04}" srcId="{97AA3ADE-843A-4221-84AF-DB3AA8600E3A}" destId="{8D931060-1DE2-4167-AC07-F54E47DD4900}" srcOrd="40" destOrd="0" parTransId="{29E1B7E3-ACA7-400F-A513-5355FE4578BF}" sibTransId="{1425D10F-F510-47B7-8F43-FAADA31BB3AA}"/>
    <dgm:cxn modelId="{C58B7CAD-BEEF-4706-910E-B9F44D9DE830}" type="presOf" srcId="{8CA4CD22-183C-4998-BCE0-DC8E538964CB}" destId="{DD9E5413-5447-4D82-930B-572E7D8779E8}" srcOrd="0" destOrd="53" presId="urn:microsoft.com/office/officeart/2005/8/layout/list1"/>
    <dgm:cxn modelId="{02DD23B3-E9B7-4B30-B26B-B6438719B21C}" srcId="{85A7569B-6F73-4E04-8B9E-333372741083}" destId="{C9E1D1FA-DE0A-485A-94BA-9A707D8772C4}" srcOrd="19" destOrd="0" parTransId="{71C5DE4B-E0ED-4417-A92E-042C8BDBDB1B}" sibTransId="{CF38CD02-5BC5-467E-A60C-18FB41FBD3D7}"/>
    <dgm:cxn modelId="{5A938499-BE73-4AA9-B82E-54087C68257C}" type="presOf" srcId="{6DFB072F-1880-4BF3-8099-F56A0DCDC680}" destId="{E5C5E4C0-B0E8-46D2-A8A9-B2ED000E6653}" srcOrd="0" destOrd="0" presId="urn:microsoft.com/office/officeart/2005/8/layout/list1"/>
    <dgm:cxn modelId="{5F2668F3-314E-4996-9548-50C116D80BFD}" srcId="{43EE3679-5B1F-45D4-ADA6-461661E67B3C}" destId="{47D78465-7477-4AE8-8783-92D21BA0FC86}" srcOrd="3" destOrd="0" parTransId="{0D75B072-D39B-41FA-9C35-CED7B0B9F255}" sibTransId="{845C281E-6FA6-4EBD-A304-6A6DD2A704E8}"/>
    <dgm:cxn modelId="{3C29CE0E-6B63-4DAC-B862-D2323C3D17A2}" srcId="{85A7569B-6F73-4E04-8B9E-333372741083}" destId="{379E2168-CEFE-4A0D-98CF-BDAEF6D2900E}" srcOrd="1" destOrd="0" parTransId="{FEBE67E5-9618-44A8-BF52-E99E38117805}" sibTransId="{DE090336-73DE-44BB-B77E-CEE5F56F4287}"/>
    <dgm:cxn modelId="{DA13F7DD-C9DD-414B-9061-F40D1B9AD8B2}" type="presOf" srcId="{95D54D91-297A-4303-B103-40EAB38826D4}" destId="{7487FDEE-AAC7-4F87-A642-B31566E7B464}" srcOrd="0" destOrd="62" presId="urn:microsoft.com/office/officeart/2005/8/layout/list1"/>
    <dgm:cxn modelId="{FE3B0396-B2DB-425A-9A08-35235F76B57B}" srcId="{FA9AFF69-10CB-42A1-A2FB-3BAC1428CCFE}" destId="{44A32F09-DAFA-462C-AAA6-08C58C9B3220}" srcOrd="9" destOrd="0" parTransId="{064D92B1-BB9E-4CA3-8B9F-3CE10FFF4AA5}" sibTransId="{659D58D4-8CE1-46A3-960B-B05CEC4C3B9C}"/>
    <dgm:cxn modelId="{6BBD4BFF-D0F7-4AFE-BF56-5B608EFC3547}" srcId="{00F85EC1-B921-48FE-997F-36320003F407}" destId="{85A7569B-6F73-4E04-8B9E-333372741083}" srcOrd="4" destOrd="0" parTransId="{EC8D2CA0-4FA7-4E25-A2D7-137D60AB9846}" sibTransId="{78F80E5A-30D3-4AD3-AA2B-21D411931C9C}"/>
    <dgm:cxn modelId="{CCF56A83-C51D-4CDF-9AD2-20350149E62E}" srcId="{43EE3679-5B1F-45D4-ADA6-461661E67B3C}" destId="{F253FA2D-0188-4342-832A-1C94BB9D2139}" srcOrd="0" destOrd="0" parTransId="{5EA17A85-59CD-4C9A-B443-3C948CB17B67}" sibTransId="{6A77D063-B8D8-4FC1-8181-C729E14C021F}"/>
    <dgm:cxn modelId="{62FACDF4-961C-41F0-A0CA-731978D8DCEE}" srcId="{85A7569B-6F73-4E04-8B9E-333372741083}" destId="{8CA4CD22-183C-4998-BCE0-DC8E538964CB}" srcOrd="53" destOrd="0" parTransId="{B6A854E1-F7A6-41C6-99B5-94D8A5E2DC43}" sibTransId="{5E2F4652-E630-4CD1-A4EB-7AB3EB58E422}"/>
    <dgm:cxn modelId="{622A75FC-67F0-48CE-B38E-44A0F8236827}" srcId="{97AA3ADE-843A-4221-84AF-DB3AA8600E3A}" destId="{85614BC4-A76C-4984-AF33-B50A4E196B55}" srcOrd="57" destOrd="0" parTransId="{B6E8C7B0-0370-4C4D-A62E-5A2A25CBE53F}" sibTransId="{6F77C01F-237B-4CA5-A7EE-17C23FF881F0}"/>
    <dgm:cxn modelId="{F70392FA-FDF4-4DAE-9288-00A42D578A5B}" srcId="{FA9AFF69-10CB-42A1-A2FB-3BAC1428CCFE}" destId="{553FB8C8-B751-409B-839C-C32EE858C170}" srcOrd="12" destOrd="0" parTransId="{25809F41-C7FB-4EC2-A3E9-B59F8C8DAB3C}" sibTransId="{283C0CD0-464C-4039-A233-D88AC224E767}"/>
    <dgm:cxn modelId="{B9B2AE9A-4A81-437D-8C37-FE66049EBB0A}" srcId="{97AA3ADE-843A-4221-84AF-DB3AA8600E3A}" destId="{F508D81E-351E-4D7F-AB48-C473D83EC229}" srcOrd="37" destOrd="0" parTransId="{5CA1BE3F-7195-48CE-A0BC-CD5AC7E15F6E}" sibTransId="{CEAC752D-0CD3-4679-8798-9FC1411CCB81}"/>
    <dgm:cxn modelId="{7661DAD0-6100-4685-A95E-EB7C78081E19}" srcId="{43EE3679-5B1F-45D4-ADA6-461661E67B3C}" destId="{81A5DAA0-EA09-489E-AA76-58436949D515}" srcOrd="19" destOrd="0" parTransId="{20C59A42-A92F-4182-A3AD-D30779975BAF}" sibTransId="{F7347C17-6AB4-4F1D-ADBF-20E42DF80EA2}"/>
    <dgm:cxn modelId="{F753B0F7-E298-4B1A-BBF0-10FA8254B94C}" type="presOf" srcId="{BF9FD9E2-5B90-42A0-A42B-CBCD98B9A69E}" destId="{CB484849-A58C-403B-BE62-FAD20DCEA897}" srcOrd="0" destOrd="21" presId="urn:microsoft.com/office/officeart/2005/8/layout/list1"/>
    <dgm:cxn modelId="{BE201178-A6FF-481B-B2D9-5D2A2D5ED299}" srcId="{85A7569B-6F73-4E04-8B9E-333372741083}" destId="{66CA76B8-D291-4127-BE90-6B6224B5A4A5}" srcOrd="40" destOrd="0" parTransId="{5A6F95FD-270C-4BE0-87DC-AA084680C6F7}" sibTransId="{7D5F8E05-633C-4B7F-98C4-742FC5C85052}"/>
    <dgm:cxn modelId="{66071466-7137-4145-91CF-C1DB24BED970}" srcId="{85A7569B-6F73-4E04-8B9E-333372741083}" destId="{7565B1A8-62E0-432F-83F7-D5CEA6CB482D}" srcOrd="3" destOrd="0" parTransId="{9A0E2871-852E-45E2-8CE0-8A28AFFE6D33}" sibTransId="{41A8470F-666C-430B-95C4-81FF7C246F5D}"/>
    <dgm:cxn modelId="{F6467971-CF62-436E-A1F3-E8456C8B6CEA}" type="presOf" srcId="{7F4BA4D5-0EE6-4191-AFF8-16BE0389E350}" destId="{817CDDC7-4A1A-4DD3-BC8B-78FCA99C23C1}" srcOrd="0" destOrd="6" presId="urn:microsoft.com/office/officeart/2005/8/layout/list1"/>
    <dgm:cxn modelId="{C696B1BE-D284-4D46-B3D5-04AAE3729BDE}" type="presOf" srcId="{85BAC962-B892-46B9-B9FD-D29F63460C05}" destId="{AD23FFB9-2542-4B31-80E2-741BD5F0A76B}" srcOrd="0" destOrd="51" presId="urn:microsoft.com/office/officeart/2005/8/layout/list1"/>
    <dgm:cxn modelId="{27DC7FCE-3BFC-491F-8841-F583BCD24C07}" srcId="{FA9AFF69-10CB-42A1-A2FB-3BAC1428CCFE}" destId="{37ABE151-C7E8-4F78-A855-C37F207D829C}" srcOrd="0" destOrd="0" parTransId="{6D962786-C459-48FA-B8B7-6E68F1A1A713}" sibTransId="{52F12FC7-9645-484E-851F-E19E94E888B2}"/>
    <dgm:cxn modelId="{F023B699-5F02-4BC7-814E-55BE4BCCB86A}" type="presOf" srcId="{46D7520A-7710-4087-BF32-529AC8FD0066}" destId="{CB484849-A58C-403B-BE62-FAD20DCEA897}" srcOrd="0" destOrd="22" presId="urn:microsoft.com/office/officeart/2005/8/layout/list1"/>
    <dgm:cxn modelId="{0E97382F-9981-4A4D-9D04-8C3ADF540971}" srcId="{5C69E173-182B-4E03-963D-32597C0342D2}" destId="{FC7C258E-2759-4C3C-A0EA-950C2EDABC82}" srcOrd="61" destOrd="0" parTransId="{B4E3C8F9-2B01-4CDF-B4A0-F5264A3577BD}" sibTransId="{89E89B9F-33D8-40BC-B9BC-C54178521FF3}"/>
    <dgm:cxn modelId="{A2FB2910-47B9-46B1-B7A5-4A40F040D6AD}" srcId="{6DFB072F-1880-4BF3-8099-F56A0DCDC680}" destId="{5679EF69-9022-47AB-A719-C050BD71F288}" srcOrd="17" destOrd="0" parTransId="{F75AB055-3C8B-46CB-AEBF-C32F9229493F}" sibTransId="{EFD1F202-80A0-4563-AE4A-B9926742CB10}"/>
    <dgm:cxn modelId="{D28E3996-12C0-498B-91ED-A3A4DA3D7474}" srcId="{85A7569B-6F73-4E04-8B9E-333372741083}" destId="{885FC3D7-FB81-4AB4-8CA9-FF13E2AD1B30}" srcOrd="54" destOrd="0" parTransId="{AF9F5437-ACDA-4EAD-B69F-5D179E87ED00}" sibTransId="{D79B63D3-537F-4A6F-88B5-81E0D8DA1D2C}"/>
    <dgm:cxn modelId="{90CFBD1D-E867-40BC-90EB-262F65283667}" type="presOf" srcId="{1B66D224-A306-460A-B26C-C45ECEB9FD81}" destId="{7487FDEE-AAC7-4F87-A642-B31566E7B464}" srcOrd="0" destOrd="42" presId="urn:microsoft.com/office/officeart/2005/8/layout/list1"/>
    <dgm:cxn modelId="{6FC52F7D-C427-4456-9EE3-99510C02E5CE}" type="presOf" srcId="{C8A05B6C-E5C5-4AB7-A408-5193BE7D5D30}" destId="{7487FDEE-AAC7-4F87-A642-B31566E7B464}" srcOrd="0" destOrd="64" presId="urn:microsoft.com/office/officeart/2005/8/layout/list1"/>
    <dgm:cxn modelId="{C287BCA3-CF0B-474C-8C1B-066A5CCC40F7}" type="presOf" srcId="{FC5CA66F-FAA0-4C99-B52E-A804E9141511}" destId="{7487FDEE-AAC7-4F87-A642-B31566E7B464}" srcOrd="0" destOrd="45" presId="urn:microsoft.com/office/officeart/2005/8/layout/list1"/>
    <dgm:cxn modelId="{5BA820BA-4539-4CF7-9A27-96F582E91319}" srcId="{85A7569B-6F73-4E04-8B9E-333372741083}" destId="{90748D5C-9EC4-4225-A4D6-A6E8B1861523}" srcOrd="23" destOrd="0" parTransId="{9D733003-0B57-4D02-B561-FFCE842407BE}" sibTransId="{B8F2383B-6D89-4E9D-AA5A-B168EDE84E0D}"/>
    <dgm:cxn modelId="{4424894A-30B0-413C-9C14-DE3E18751852}" type="presOf" srcId="{09C69A69-A0B0-485A-B8A6-566E3589DE4E}" destId="{DD9E5413-5447-4D82-930B-572E7D8779E8}" srcOrd="0" destOrd="45" presId="urn:microsoft.com/office/officeart/2005/8/layout/list1"/>
    <dgm:cxn modelId="{710878E7-4318-4315-9975-F7C7825CC2BD}" srcId="{CFB52A42-DCB4-44E9-BFD7-B29AA9191E36}" destId="{69C0E573-7A3C-4540-9ECC-F0B73B560E02}" srcOrd="3" destOrd="0" parTransId="{0DDADB35-8271-428A-8C9C-52C9C585290A}" sibTransId="{18119308-63CD-4B61-BC4A-351B27250CF0}"/>
    <dgm:cxn modelId="{EDF5D6EA-B2EE-4034-ADE3-24DDD4FEDF9D}" type="presOf" srcId="{0EF40022-29BE-4658-AFA6-8C6C5B58305A}" destId="{5055729C-1743-4889-980C-6A0CEF4560D2}" srcOrd="0" destOrd="0" presId="urn:microsoft.com/office/officeart/2005/8/layout/list1"/>
    <dgm:cxn modelId="{39C1FAFF-982E-41B4-8B43-E74A87D2F436}" srcId="{85A7569B-6F73-4E04-8B9E-333372741083}" destId="{679F5D4F-D8C2-40BF-AE26-B3280B76B89D}" srcOrd="41" destOrd="0" parTransId="{60C69EBA-2371-4073-865F-A96AA4149B95}" sibTransId="{DCAE114F-AB54-426B-AA6E-89E35293BBD3}"/>
    <dgm:cxn modelId="{C1B91762-B7A5-45CB-B636-50C42C138FF7}" srcId="{43EE3679-5B1F-45D4-ADA6-461661E67B3C}" destId="{FF8FFBE7-5AB2-4A64-9248-F3FB776E7B67}" srcOrd="11" destOrd="0" parTransId="{39A653A0-9D0D-47BD-B660-F7D43FC50545}" sibTransId="{C052E6BD-2C1C-4816-8C1F-1FCFCC19EAEC}"/>
    <dgm:cxn modelId="{B45601F5-3308-4AB5-80C2-1EFCB5575A43}" srcId="{97AA3ADE-843A-4221-84AF-DB3AA8600E3A}" destId="{A3F02D9D-A4AE-4B30-84F7-D9ECD54C3542}" srcOrd="58" destOrd="0" parTransId="{E7A31FC9-8E47-4530-830A-DEE1A251F857}" sibTransId="{2DA45AD0-5709-4055-9356-A8254A890CD0}"/>
    <dgm:cxn modelId="{15EB1915-0554-4E9D-A504-ECD5316306AC}" type="presOf" srcId="{CFB52A42-DCB4-44E9-BFD7-B29AA9191E36}" destId="{F8CDE98B-1F69-427D-85A5-A035DE08DEB3}" srcOrd="1" destOrd="0" presId="urn:microsoft.com/office/officeart/2005/8/layout/list1"/>
    <dgm:cxn modelId="{6D0617FF-65B1-402A-B523-2EF000286735}" srcId="{85A7569B-6F73-4E04-8B9E-333372741083}" destId="{DF67B166-B0B1-4B21-8F76-3309CD1D1D05}" srcOrd="13" destOrd="0" parTransId="{176EABB2-17D7-461C-ABAF-CF41B7DE6345}" sibTransId="{007E8824-F514-41AE-84C5-60FC0E763C55}"/>
    <dgm:cxn modelId="{23103BF5-9AB3-40D6-A0FC-BE23A1C2B994}" srcId="{43EE3679-5B1F-45D4-ADA6-461661E67B3C}" destId="{EAE21940-E0AF-4FDE-B5A0-2E412D7D340D}" srcOrd="21" destOrd="0" parTransId="{FEB14254-3B0C-405D-BF08-4DEF05464FED}" sibTransId="{7806C4B2-360A-436D-AF53-615CB863D8FA}"/>
    <dgm:cxn modelId="{8273CA80-83C4-47A1-9F68-EDD3F3242E83}" srcId="{43EE3679-5B1F-45D4-ADA6-461661E67B3C}" destId="{9D75F544-58C1-448C-823F-FC124B625833}" srcOrd="14" destOrd="0" parTransId="{546B3E76-D6A8-4812-97BD-F76CA2C8CE2D}" sibTransId="{CC08AAED-58A9-4200-893D-655C9B24F05A}"/>
    <dgm:cxn modelId="{F5AA516B-4F27-4AB0-9B58-95E0F16EB821}" type="presOf" srcId="{87C3E2D2-4B13-4423-BC43-5261523C3D82}" destId="{DD9E5413-5447-4D82-930B-572E7D8779E8}" srcOrd="0" destOrd="33" presId="urn:microsoft.com/office/officeart/2005/8/layout/list1"/>
    <dgm:cxn modelId="{8592D90F-3863-4054-8E8D-1F6DF3B47244}" srcId="{5C69E173-182B-4E03-963D-32597C0342D2}" destId="{778FC4BC-B94E-463C-B8CB-3068000BAE59}" srcOrd="37" destOrd="0" parTransId="{D92A5AD2-AB04-4170-B286-603D609D337C}" sibTransId="{CFAE0DC4-7FC7-4BC5-B51C-B69F4E2A9AD2}"/>
    <dgm:cxn modelId="{30473481-B26E-46F5-8B2F-EFABDD053227}" type="presOf" srcId="{32EDC83B-F3BD-46DD-B9C8-E96994969876}" destId="{7487FDEE-AAC7-4F87-A642-B31566E7B464}" srcOrd="0" destOrd="59" presId="urn:microsoft.com/office/officeart/2005/8/layout/list1"/>
    <dgm:cxn modelId="{756B6AA7-9B4C-4388-AA49-80D7578FF691}" type="presOf" srcId="{F4D119FD-7262-402E-A10E-70616DA04A84}" destId="{AD23FFB9-2542-4B31-80E2-741BD5F0A76B}" srcOrd="0" destOrd="26" presId="urn:microsoft.com/office/officeart/2005/8/layout/list1"/>
    <dgm:cxn modelId="{3388096A-7F5C-44C1-A648-ACC976C3F4E2}" type="presOf" srcId="{E82FEC1D-6C52-467D-84C8-7D0DB2E9C74E}" destId="{DD9E5413-5447-4D82-930B-572E7D8779E8}" srcOrd="0" destOrd="5" presId="urn:microsoft.com/office/officeart/2005/8/layout/list1"/>
    <dgm:cxn modelId="{43CCEF38-3324-4652-85E3-ABE2EFCEFB24}" type="presOf" srcId="{A4103809-2FF4-4FF9-ABC5-37379C953427}" destId="{DD9E5413-5447-4D82-930B-572E7D8779E8}" srcOrd="0" destOrd="8" presId="urn:microsoft.com/office/officeart/2005/8/layout/list1"/>
    <dgm:cxn modelId="{FA7D9553-6E42-48F6-A1A5-FAE44BC82937}" type="presOf" srcId="{AF979D34-E1E9-4830-88CB-B031ACF2B489}" destId="{044B49A3-7F5D-49D0-A1A1-64AB6D7494E4}" srcOrd="0" destOrd="17" presId="urn:microsoft.com/office/officeart/2005/8/layout/list1"/>
    <dgm:cxn modelId="{D0D550D7-9260-4C84-A395-3C5EC4D7D29F}" type="presOf" srcId="{3867DE8D-0BBB-4570-8471-674A140BAA23}" destId="{DD9E5413-5447-4D82-930B-572E7D8779E8}" srcOrd="0" destOrd="20" presId="urn:microsoft.com/office/officeart/2005/8/layout/list1"/>
    <dgm:cxn modelId="{5B65C1B2-6D43-49B3-9F6C-FC6E470BB164}" type="presOf" srcId="{39FA03CD-5C19-4255-85B8-5B8DFE67FF4D}" destId="{7487FDEE-AAC7-4F87-A642-B31566E7B464}" srcOrd="0" destOrd="44" presId="urn:microsoft.com/office/officeart/2005/8/layout/list1"/>
    <dgm:cxn modelId="{D823A358-00FF-406F-B730-005C27987635}" srcId="{43EE3679-5B1F-45D4-ADA6-461661E67B3C}" destId="{E01208D4-021B-4021-8A8D-7D6448DDEEA6}" srcOrd="15" destOrd="0" parTransId="{8DBE2B9B-DD2E-4609-A760-06C79AB6C291}" sibTransId="{CF971AA1-E213-48C1-BD1D-DE6676BF2EF4}"/>
    <dgm:cxn modelId="{48FE8934-CA4A-48B5-A30D-5652CFDB8CA5}" type="presOf" srcId="{395BF311-471A-4FC1-BC75-8052805C3BBD}" destId="{7487FDEE-AAC7-4F87-A642-B31566E7B464}" srcOrd="0" destOrd="43" presId="urn:microsoft.com/office/officeart/2005/8/layout/list1"/>
    <dgm:cxn modelId="{88938C94-E73A-4831-8AE0-A81D3F7BABF1}" srcId="{FA9AFF69-10CB-42A1-A2FB-3BAC1428CCFE}" destId="{14325A74-200D-4786-BCD9-84B6C26B851C}" srcOrd="10" destOrd="0" parTransId="{E9246F8A-E143-405C-8DEE-A3A731F3AD86}" sibTransId="{0B8A5ED9-D2C9-4B7D-BC24-22AC7F07C139}"/>
    <dgm:cxn modelId="{648202DA-21A0-4E79-8660-9A5C300BB74A}" type="presOf" srcId="{4A9C5CAA-7063-4E9C-92C7-0AC935FE7F14}" destId="{AD23FFB9-2542-4B31-80E2-741BD5F0A76B}" srcOrd="0" destOrd="32" presId="urn:microsoft.com/office/officeart/2005/8/layout/list1"/>
    <dgm:cxn modelId="{70A64745-925F-421F-9C16-4634316E942E}" type="presOf" srcId="{7836BF7A-1DA9-421C-8008-85D50DC8A052}" destId="{DD9E5413-5447-4D82-930B-572E7D8779E8}" srcOrd="0" destOrd="56" presId="urn:microsoft.com/office/officeart/2005/8/layout/list1"/>
    <dgm:cxn modelId="{A6073183-3FD4-45E7-B92A-3ABA7A36A75E}" srcId="{85A7569B-6F73-4E04-8B9E-333372741083}" destId="{2E53D7F1-E264-41DC-971B-CFA6D67D888C}" srcOrd="7" destOrd="0" parTransId="{51A0868F-D619-4601-BAA9-726804991625}" sibTransId="{0DA9168D-1FBB-49ED-8216-CC631431D586}"/>
    <dgm:cxn modelId="{95D968BC-6515-484C-A8BA-A74162DD1525}" type="presOf" srcId="{E6026793-7DBE-4396-B753-12E08301D687}" destId="{7487FDEE-AAC7-4F87-A642-B31566E7B464}" srcOrd="0" destOrd="78" presId="urn:microsoft.com/office/officeart/2005/8/layout/list1"/>
    <dgm:cxn modelId="{1608B9F4-3B24-4EB4-8A6F-D9C72404F2A1}" srcId="{43EE3679-5B1F-45D4-ADA6-461661E67B3C}" destId="{B1F8A4E2-330D-45F9-BC11-21CA8FEAED6E}" srcOrd="16" destOrd="0" parTransId="{DDE1E0BF-8CCD-4DC7-8400-B8BB21FBBE7C}" sibTransId="{4251DC2F-500D-4236-8E2F-1CEF30AABD6B}"/>
    <dgm:cxn modelId="{8B11D731-39B2-430E-B7EC-433CFE08A468}" type="presOf" srcId="{23516F99-75BC-4D50-A155-3626EE8486C5}" destId="{AD23FFB9-2542-4B31-80E2-741BD5F0A76B}" srcOrd="0" destOrd="54" presId="urn:microsoft.com/office/officeart/2005/8/layout/list1"/>
    <dgm:cxn modelId="{8B85E189-EFCA-45E2-9F2E-79F3EE5B85DE}" type="presOf" srcId="{F50CEFCA-8420-47B5-825C-9AD6417DB1D2}" destId="{AD23FFB9-2542-4B31-80E2-741BD5F0A76B}" srcOrd="0" destOrd="35" presId="urn:microsoft.com/office/officeart/2005/8/layout/list1"/>
    <dgm:cxn modelId="{4DC74743-D4F5-4213-BDD7-B0C7C5324757}" srcId="{85A7569B-6F73-4E04-8B9E-333372741083}" destId="{FB6B651C-6695-46BF-AA23-741C3E1A3FAD}" srcOrd="37" destOrd="0" parTransId="{B812D675-DCEC-4EEE-B765-72D04DD29C88}" sibTransId="{C32E4E8C-AA88-4D62-85D0-F46CA0AF04D0}"/>
    <dgm:cxn modelId="{767E0730-F05B-4252-97F7-AC0112B06A4D}" srcId="{97AA3ADE-843A-4221-84AF-DB3AA8600E3A}" destId="{571C891F-A09B-4E16-8A10-DE2D0DACD641}" srcOrd="68" destOrd="0" parTransId="{6B8382EA-8FF6-4E00-85EE-3479C1A420C0}" sibTransId="{8EC9BE74-0707-47A9-AEBC-560374B22D4B}"/>
    <dgm:cxn modelId="{29D155E5-6800-436F-AC96-886301FAC9ED}" type="presOf" srcId="{DDD77253-D587-4272-84C4-DDC8581DFD70}" destId="{AD23FFB9-2542-4B31-80E2-741BD5F0A76B}" srcOrd="0" destOrd="25" presId="urn:microsoft.com/office/officeart/2005/8/layout/list1"/>
    <dgm:cxn modelId="{B15501B7-72F9-4178-9F6C-83067E3D50AC}" srcId="{F21BE4C5-213C-4F6A-A9DD-9E62F8F803E2}" destId="{4D3A722B-3BF9-4823-95B1-766322DCA72F}" srcOrd="2" destOrd="0" parTransId="{75B6B54E-A1F9-4FE3-8A6B-54B373FB7D2C}" sibTransId="{7E4FF44D-6DF5-471D-A7D1-BD89C736D38A}"/>
    <dgm:cxn modelId="{12E4B6DC-A8E1-4835-92B3-547D0234A08E}" srcId="{97AA3ADE-843A-4221-84AF-DB3AA8600E3A}" destId="{43352C6F-582A-4E3F-A607-7593238CCF8C}" srcOrd="3" destOrd="0" parTransId="{D2CA4BC4-C72C-4B90-B79B-30AE7B257B1C}" sibTransId="{C2D7DFF2-5C66-436C-9A0E-33EAF0EC1158}"/>
    <dgm:cxn modelId="{B1BB4D30-9DE4-41DA-A3A4-5A23ABBCE436}" srcId="{97AA3ADE-843A-4221-84AF-DB3AA8600E3A}" destId="{23516F99-75BC-4D50-A155-3626EE8486C5}" srcOrd="54" destOrd="0" parTransId="{FBC0C0BE-B884-42EC-A458-AB052365CA7B}" sibTransId="{9EA2A5EB-7A8A-4E21-ACFD-57702D730824}"/>
    <dgm:cxn modelId="{50BF18CE-E525-4721-BCA6-5067F59CE361}" srcId="{43EE3679-5B1F-45D4-ADA6-461661E67B3C}" destId="{CD5BFA19-2E1A-418B-8E7B-4CB15FE3D518}" srcOrd="13" destOrd="0" parTransId="{8A0EC713-2532-4601-B008-B2CB5CE0F36C}" sibTransId="{E0C17818-9DAC-4892-A509-5BFE19C37737}"/>
    <dgm:cxn modelId="{16D000B2-20A8-4DCE-A2E5-4E6C7B3CDD2B}" srcId="{6DFB072F-1880-4BF3-8099-F56A0DCDC680}" destId="{CC3D450D-FC87-4EE6-B051-15A71C91DD65}" srcOrd="19" destOrd="0" parTransId="{E38BADF2-9F26-4041-B80A-760347157390}" sibTransId="{6250ABD1-DF39-4FF4-936A-D44E3BC10543}"/>
    <dgm:cxn modelId="{3D308DE3-794C-419A-AC13-EE212E12898E}" type="presOf" srcId="{D70AC2CC-0425-4A2A-8538-827208AD4F86}" destId="{DD9E5413-5447-4D82-930B-572E7D8779E8}" srcOrd="0" destOrd="36" presId="urn:microsoft.com/office/officeart/2005/8/layout/list1"/>
    <dgm:cxn modelId="{0C55F6BE-B053-4DB1-ABF0-FA810E43FF77}" type="presOf" srcId="{48A4CEB2-7CDA-41C2-B314-B8F0946AE498}" destId="{AD23FFB9-2542-4B31-80E2-741BD5F0A76B}" srcOrd="0" destOrd="2" presId="urn:microsoft.com/office/officeart/2005/8/layout/list1"/>
    <dgm:cxn modelId="{C3D32AE8-D775-4E6D-BEAF-9154A70B1036}" type="presOf" srcId="{03AD9AF0-A39E-4BE4-BAA3-F60AE4896370}" destId="{5B4E20D8-CBA3-43D9-8002-3C6F33DD77DC}" srcOrd="0" destOrd="0" presId="urn:microsoft.com/office/officeart/2005/8/layout/list1"/>
    <dgm:cxn modelId="{83B2F752-7827-4691-B9B8-EAA42CA7AA23}" srcId="{97AA3ADE-843A-4221-84AF-DB3AA8600E3A}" destId="{A19C6D48-1C6A-4474-9623-ABDB17B62197}" srcOrd="52" destOrd="0" parTransId="{F141358C-6533-422E-9786-A0A9C2545F0F}" sibTransId="{74A6DBCE-A761-44E4-9D06-3AD4C29D3BE8}"/>
    <dgm:cxn modelId="{88A03591-6935-4FDA-B596-BFA957BD1188}" srcId="{5C69E173-182B-4E03-963D-32597C0342D2}" destId="{1B66D224-A306-460A-B26C-C45ECEB9FD81}" srcOrd="42" destOrd="0" parTransId="{5EFB015D-7725-442E-9975-1FA3D34165CC}" sibTransId="{A6C51116-7964-45BD-B201-E8A2FD38AB77}"/>
    <dgm:cxn modelId="{BF56A071-CF5E-46F4-87E6-E6C407EF890E}" type="presOf" srcId="{3D439F04-B500-46D8-AE65-94C385D8239C}" destId="{AD23FFB9-2542-4B31-80E2-741BD5F0A76B}" srcOrd="0" destOrd="6" presId="urn:microsoft.com/office/officeart/2005/8/layout/list1"/>
    <dgm:cxn modelId="{35470EA8-A07E-4DFB-AD0C-04EC91644C73}" srcId="{6DFB072F-1880-4BF3-8099-F56A0DCDC680}" destId="{F2BEC669-8EBC-4D64-B326-770D6E33C0C1}" srcOrd="6" destOrd="0" parTransId="{B12E779E-02B0-4D53-AC54-76B6743EE99D}" sibTransId="{CF2218D8-1D6C-463A-86AA-7DD479BE8E88}"/>
    <dgm:cxn modelId="{4B38342C-EB64-4A17-9103-A8D700114554}" srcId="{85A7569B-6F73-4E04-8B9E-333372741083}" destId="{A833B05D-25E2-4944-A8EE-A899372FD4CE}" srcOrd="4" destOrd="0" parTransId="{BAA21F68-09E2-40F3-A114-B0CA54B87DBC}" sibTransId="{C310D097-D85A-488D-B915-07D6C5BB8EF3}"/>
    <dgm:cxn modelId="{3C68D0F1-E4A1-45C4-9508-BF2CB20FEE0E}" srcId="{85A7569B-6F73-4E04-8B9E-333372741083}" destId="{D70AC2CC-0425-4A2A-8538-827208AD4F86}" srcOrd="36" destOrd="0" parTransId="{DC2EEB33-EC67-486A-82EC-F52663127A2B}" sibTransId="{6D180D96-537F-48AC-9EEE-EEA21174A325}"/>
    <dgm:cxn modelId="{8C10D9A7-F4D5-4B0E-919F-385D0EEFBC45}" srcId="{5C69E173-182B-4E03-963D-32597C0342D2}" destId="{A8C38977-467C-4AB0-B527-A27634A30447}" srcOrd="67" destOrd="0" parTransId="{4EF41427-DCA6-4D37-878B-DAC74D7C366D}" sibTransId="{1056A9E5-724B-4354-9E3E-3451C4F7919B}"/>
    <dgm:cxn modelId="{5FB5A46E-76E0-4909-9083-FD62B97569E4}" type="presOf" srcId="{A388CACB-85FA-4D1F-90AA-C27B8D8E8883}" destId="{AD23FFB9-2542-4B31-80E2-741BD5F0A76B}" srcOrd="0" destOrd="15" presId="urn:microsoft.com/office/officeart/2005/8/layout/list1"/>
    <dgm:cxn modelId="{8753E6C5-B382-4604-88C4-987AF8D0C96D}" srcId="{5C69E173-182B-4E03-963D-32597C0342D2}" destId="{591C18F9-EF85-4646-9AB4-BBB9E9F196C2}" srcOrd="33" destOrd="0" parTransId="{BA74C062-B035-402D-8C0C-30F1CEDE6065}" sibTransId="{69331664-E349-4AFF-88D6-0CD2B3F907BA}"/>
    <dgm:cxn modelId="{BD77F80E-37CC-4034-AD2C-36A1FC874AFA}" type="presOf" srcId="{15438018-B5C3-4DB8-B381-E57FFDBA6CC3}" destId="{AD23FFB9-2542-4B31-80E2-741BD5F0A76B}" srcOrd="0" destOrd="64" presId="urn:microsoft.com/office/officeart/2005/8/layout/list1"/>
    <dgm:cxn modelId="{EC1BCD82-106F-4908-A089-9DBD3B3633A3}" type="presOf" srcId="{43EE3679-5B1F-45D4-ADA6-461661E67B3C}" destId="{41D7407A-C719-4FA3-8A83-E4FFE8AE6D7D}" srcOrd="1" destOrd="0" presId="urn:microsoft.com/office/officeart/2005/8/layout/list1"/>
    <dgm:cxn modelId="{51A90F8C-6D35-4ACC-AA18-F7AED293DA17}" type="presOf" srcId="{455ACB2F-577F-4AB5-8950-5B9FB2D5999A}" destId="{AD23FFB9-2542-4B31-80E2-741BD5F0A76B}" srcOrd="0" destOrd="42" presId="urn:microsoft.com/office/officeart/2005/8/layout/list1"/>
    <dgm:cxn modelId="{DC3E0B0D-689F-479F-A149-D922AA79E1A4}" srcId="{5C69E173-182B-4E03-963D-32597C0342D2}" destId="{4E9D0FEB-1748-46EA-8D8B-73DA50401917}" srcOrd="11" destOrd="0" parTransId="{1CEFCF57-D118-4130-B60B-1C13C94C8A63}" sibTransId="{731F79DC-A028-4852-BEEC-CCB7BBAA1CA7}"/>
    <dgm:cxn modelId="{B8B34DE1-8EC5-4B51-B272-4BA07E71AD57}" srcId="{97AA3ADE-843A-4221-84AF-DB3AA8600E3A}" destId="{61BC1F35-6CA3-465F-B22E-A56E4B93E5A3}" srcOrd="34" destOrd="0" parTransId="{444AFCA2-3FFE-48D1-BE83-3503CBF91585}" sibTransId="{5C21DD1D-3966-4642-AB06-A42CC78F9AD5}"/>
    <dgm:cxn modelId="{859C6F96-90F5-4C8B-AD8A-F0BA3CBCB3C2}" srcId="{85A7569B-6F73-4E04-8B9E-333372741083}" destId="{25B8528E-F438-4301-87F1-B094E1C29788}" srcOrd="25" destOrd="0" parTransId="{7A383D0C-731A-4D4B-8348-B9A3E0AC45C4}" sibTransId="{0F814EC1-0518-4190-8717-AA760D7D6560}"/>
    <dgm:cxn modelId="{3463C535-CC5E-4B80-9608-EFFF8BF34289}" srcId="{CFB52A42-DCB4-44E9-BFD7-B29AA9191E36}" destId="{0EF40022-29BE-4658-AFA6-8C6C5B58305A}" srcOrd="0" destOrd="0" parTransId="{89FAC845-CD18-4E72-966E-697389E9880F}" sibTransId="{26038427-ACFE-44C2-ACF8-682AF0D9ADE9}"/>
    <dgm:cxn modelId="{F8495E5B-1085-47B9-847B-479E11EB06A7}" srcId="{85A7569B-6F73-4E04-8B9E-333372741083}" destId="{03620784-D4CC-4D2E-B7BB-A6842A179540}" srcOrd="28" destOrd="0" parTransId="{1BC32CED-7855-4AE4-89FA-3280B5707B99}" sibTransId="{BD68AB40-93EB-4130-BDD2-C9B996588896}"/>
    <dgm:cxn modelId="{F13DF007-708D-4B9D-955D-B4BF660ADF3C}" srcId="{5C69E173-182B-4E03-963D-32597C0342D2}" destId="{8C483325-F2C8-4CB6-B2E3-76F760579674}" srcOrd="47" destOrd="0" parTransId="{B4F70A8E-902B-4CB0-A31A-9F79FECBD935}" sibTransId="{AAC85DBB-54C1-4C8A-B605-A815C554E85C}"/>
    <dgm:cxn modelId="{A980C381-24C5-48FD-8C76-A0B05FA9E9AE}" type="presOf" srcId="{AE2829EE-A859-42D9-83D5-B5F2B87E3B03}" destId="{CB484849-A58C-403B-BE62-FAD20DCEA897}" srcOrd="0" destOrd="32" presId="urn:microsoft.com/office/officeart/2005/8/layout/list1"/>
    <dgm:cxn modelId="{2BBE8075-99E4-4D19-878B-34203FADB2EC}" srcId="{CFB52A42-DCB4-44E9-BFD7-B29AA9191E36}" destId="{87A4A51B-747A-4E92-89E9-00C1B4C43821}" srcOrd="2" destOrd="0" parTransId="{93F1BCEA-0527-484F-AC6B-CF41B63B9F59}" sibTransId="{A4D0874B-2415-4F8D-98E6-7EF667BDC8AF}"/>
    <dgm:cxn modelId="{DB22EB49-C311-42AD-B815-23EE113EC97E}" type="presOf" srcId="{43352C6F-582A-4E3F-A607-7593238CCF8C}" destId="{AD23FFB9-2542-4B31-80E2-741BD5F0A76B}" srcOrd="0" destOrd="3" presId="urn:microsoft.com/office/officeart/2005/8/layout/list1"/>
    <dgm:cxn modelId="{68FB80DA-AB88-495F-A013-FE6B508CA6D4}" srcId="{85A7569B-6F73-4E04-8B9E-333372741083}" destId="{C14D43FD-4849-43F7-B400-F5536ACA1D14}" srcOrd="27" destOrd="0" parTransId="{33400899-5C8A-4114-8A83-508640B003AF}" sibTransId="{F2BFAB97-C2D2-447D-9C1E-37B54551043D}"/>
    <dgm:cxn modelId="{A960A110-F2C8-493E-9F67-59536CACCFEE}" type="presOf" srcId="{8D3D472F-2BC7-4A9A-8FE7-8643B72DF6E2}" destId="{7487FDEE-AAC7-4F87-A642-B31566E7B464}" srcOrd="0" destOrd="75" presId="urn:microsoft.com/office/officeart/2005/8/layout/list1"/>
    <dgm:cxn modelId="{F266CBC2-6357-4E94-9330-B9F5862B87B2}" type="presOf" srcId="{9B408AFC-616D-4D2F-80D5-03BF6AFBF57D}" destId="{AD23FFB9-2542-4B31-80E2-741BD5F0A76B}" srcOrd="0" destOrd="55" presId="urn:microsoft.com/office/officeart/2005/8/layout/list1"/>
    <dgm:cxn modelId="{48DF32F7-0FF0-48D3-8D28-991F913132E7}" srcId="{FA9AFF69-10CB-42A1-A2FB-3BAC1428CCFE}" destId="{328917C9-1FBA-4E92-B042-E32E7DB4794B}" srcOrd="19" destOrd="0" parTransId="{D460864D-BFA6-4BB7-957E-D182AF82BBD2}" sibTransId="{715C0080-3642-4624-8B55-FC9C74B5B48F}"/>
    <dgm:cxn modelId="{18B99F77-0FB1-4208-8B88-5A99F541E95F}" srcId="{5C69E173-182B-4E03-963D-32597C0342D2}" destId="{B1121344-09F3-4603-A826-12B58277481E}" srcOrd="12" destOrd="0" parTransId="{7C94F5B5-7F8C-4BEC-B8C5-3ABD4B268846}" sibTransId="{7D691F28-D615-4483-8F5E-26F447F3E42E}"/>
    <dgm:cxn modelId="{E38EE827-6D25-47A2-93C8-77646F6B2161}" srcId="{97AA3ADE-843A-4221-84AF-DB3AA8600E3A}" destId="{CE6AF91D-9C18-4025-875C-D8DC8B34B203}" srcOrd="4" destOrd="0" parTransId="{BDDC6D5A-AC20-4FCD-BD57-83D334017F69}" sibTransId="{D8CA84D8-72B0-4988-934B-AD817AE32522}"/>
    <dgm:cxn modelId="{9941A14D-0FFF-4B96-9A23-BF2955398C41}" type="presOf" srcId="{A11313F5-7F5E-4D7F-8E8E-1FF975349698}" destId="{AD23FFB9-2542-4B31-80E2-741BD5F0A76B}" srcOrd="0" destOrd="8" presId="urn:microsoft.com/office/officeart/2005/8/layout/list1"/>
    <dgm:cxn modelId="{DE3559D6-1393-4BEE-A12D-3B9417190291}" srcId="{5C69E173-182B-4E03-963D-32597C0342D2}" destId="{0E9A13DD-7DD3-4E4D-8034-280B3A7AA251}" srcOrd="73" destOrd="0" parTransId="{79AEBA36-C1B8-4EF5-B18F-E5E37CE26C12}" sibTransId="{76F601B9-29B6-43AA-A2C3-9B400A1571CB}"/>
    <dgm:cxn modelId="{95C957B1-1D27-46EF-8958-A2090F813E83}" srcId="{97AA3ADE-843A-4221-84AF-DB3AA8600E3A}" destId="{F4D119FD-7262-402E-A10E-70616DA04A84}" srcOrd="26" destOrd="0" parTransId="{BD981E0A-D429-4065-B20D-A05678286645}" sibTransId="{AA239743-D380-439C-B518-3B283449868A}"/>
    <dgm:cxn modelId="{015D4B01-5F81-4A40-860B-0DBA4546F5F0}" type="presOf" srcId="{FCD3BB7A-ED22-47FF-A3A4-AC8789890E7C}" destId="{7487FDEE-AAC7-4F87-A642-B31566E7B464}" srcOrd="0" destOrd="38" presId="urn:microsoft.com/office/officeart/2005/8/layout/list1"/>
    <dgm:cxn modelId="{6099D4B2-5DAC-4B24-8E90-84D952C9902A}" srcId="{6DFB072F-1880-4BF3-8099-F56A0DCDC680}" destId="{FF194383-9220-4AA3-A84E-2694E29AB2C1}" srcOrd="3" destOrd="0" parTransId="{E748F4C0-8F64-42B7-BBC1-F85907BFCE3A}" sibTransId="{5E2DB353-4AD4-4166-A187-F96C3D0934D4}"/>
    <dgm:cxn modelId="{B18D7DC9-3842-4278-BEAE-BFEA5AB567CE}" type="presOf" srcId="{F9EB80E7-8F5C-4C1C-94E9-7CE902579E9F}" destId="{AD23FFB9-2542-4B31-80E2-741BD5F0A76B}" srcOrd="0" destOrd="60" presId="urn:microsoft.com/office/officeart/2005/8/layout/list1"/>
    <dgm:cxn modelId="{2A862774-E1EC-4369-9A19-19BABB2832F4}" srcId="{CFB52A42-DCB4-44E9-BFD7-B29AA9191E36}" destId="{1567A57A-BECB-4C2B-A4C3-CF507FD85763}" srcOrd="1" destOrd="0" parTransId="{78C86997-C8DE-4D02-B349-A98ADA551199}" sibTransId="{F53A529D-1C72-4148-9AC0-DAC99B8FFB7F}"/>
    <dgm:cxn modelId="{35C07827-A961-4131-B12C-462774191649}" srcId="{97AA3ADE-843A-4221-84AF-DB3AA8600E3A}" destId="{2CDC22E2-EA44-40EE-9D89-350D045142F0}" srcOrd="47" destOrd="0" parTransId="{3ECB5B97-C54F-475E-8210-7162FB6565D3}" sibTransId="{6FB24356-7C73-43C3-A2D7-36C63D80016A}"/>
    <dgm:cxn modelId="{E421F043-9653-4C2F-8C0A-1CE4626CEA9A}" srcId="{6DFB072F-1880-4BF3-8099-F56A0DCDC680}" destId="{BF9FD9E2-5B90-42A0-A42B-CBCD98B9A69E}" srcOrd="21" destOrd="0" parTransId="{A1E3FA1A-F30E-4241-BFC7-D92823B10202}" sibTransId="{745194E1-2D0A-4C03-BBD7-0E8FF1ABEF74}"/>
    <dgm:cxn modelId="{29955453-032E-4BB3-B798-87BFA728658D}" srcId="{5C69E173-182B-4E03-963D-32597C0342D2}" destId="{C61D0B8E-D1DF-4D29-A743-7A2EE1F5E50D}" srcOrd="56" destOrd="0" parTransId="{D7FE7F69-60A8-42CC-BF55-29ADCA2E3808}" sibTransId="{9739474C-9F18-40E1-AA19-A83D3857AB71}"/>
    <dgm:cxn modelId="{94FC681A-CACA-49AE-8D1B-18A642647CDB}" srcId="{5C69E173-182B-4E03-963D-32597C0342D2}" destId="{949C6D5A-95EE-49F3-8611-AFE40D72FF4B}" srcOrd="49" destOrd="0" parTransId="{47CB577F-1F03-4CD4-A492-FDB8C340B321}" sibTransId="{BD0D6635-2C1D-4B12-8CD5-CCCA13682B63}"/>
    <dgm:cxn modelId="{3FA0216C-B851-43D4-8173-B96AD3DB416E}" srcId="{5C69E173-182B-4E03-963D-32597C0342D2}" destId="{76E43AF3-21CC-41CA-8317-5376096F3BEA}" srcOrd="16" destOrd="0" parTransId="{D5014AE8-8C95-4D5B-831A-D5DFE8332B83}" sibTransId="{017428A6-35CD-480F-A2B8-039CB9E8787E}"/>
    <dgm:cxn modelId="{C311E31C-0F90-450B-8DBD-56E9E287B20A}" srcId="{6DFB072F-1880-4BF3-8099-F56A0DCDC680}" destId="{45D45523-BA26-4073-BCB8-D448D0177C48}" srcOrd="10" destOrd="0" parTransId="{6DC30429-37FC-4B5B-A7C0-AB40BD231159}" sibTransId="{1994C6A3-395F-4FA8-9925-2B72FFC9C3C9}"/>
    <dgm:cxn modelId="{51892E4C-822F-4D3B-A091-4EAC93A33225}" type="presOf" srcId="{A3F02D9D-A4AE-4B30-84F7-D9ECD54C3542}" destId="{AD23FFB9-2542-4B31-80E2-741BD5F0A76B}" srcOrd="0" destOrd="58" presId="urn:microsoft.com/office/officeart/2005/8/layout/list1"/>
    <dgm:cxn modelId="{CE64E8EB-C390-4ED0-B3B4-713BF9EE778A}" type="presOf" srcId="{CA949655-A20E-469A-A84D-ADE33CB69276}" destId="{AD23FFB9-2542-4B31-80E2-741BD5F0A76B}" srcOrd="0" destOrd="18" presId="urn:microsoft.com/office/officeart/2005/8/layout/list1"/>
    <dgm:cxn modelId="{D2B607EE-CA54-44EA-9984-D73EF622D96D}" srcId="{5C69E173-182B-4E03-963D-32597C0342D2}" destId="{0EB5D6DF-4650-46CF-A94A-CC1919CC15A3}" srcOrd="25" destOrd="0" parTransId="{038BC5FB-27F7-445C-90D8-88DE4817CDB3}" sibTransId="{BBAEFC48-89EB-42D7-B2CE-735C6A04AACC}"/>
    <dgm:cxn modelId="{3BABBA89-B8EB-4AA8-8CC2-1464812E2D9E}" srcId="{00F85EC1-B921-48FE-997F-36320003F407}" destId="{CFB52A42-DCB4-44E9-BFD7-B29AA9191E36}" srcOrd="1" destOrd="0" parTransId="{D2520683-FB63-4BDC-98E7-7DBE9F38E40D}" sibTransId="{AB2055C4-E096-48EE-BD1D-F58C1D9C880E}"/>
    <dgm:cxn modelId="{9AF50DA8-836D-4015-9711-4353388ACE69}" srcId="{97AA3ADE-843A-4221-84AF-DB3AA8600E3A}" destId="{93ED1C98-F4B9-4E97-AE9E-DBDE1595535D}" srcOrd="38" destOrd="0" parTransId="{65C63A5E-DAD6-4AA0-AC2D-47D93FBADC6F}" sibTransId="{D1CE9538-C9DE-41CB-ADD9-3AFF86010FFC}"/>
    <dgm:cxn modelId="{764695B7-78D3-44FD-A678-D7E124785373}" srcId="{5C69E173-182B-4E03-963D-32597C0342D2}" destId="{B13160F2-1B9F-45D9-AF09-6D7C5001834D}" srcOrd="36" destOrd="0" parTransId="{40B98DE7-E261-4526-B5F5-61CDFDEBF7BC}" sibTransId="{7527E1A3-91A0-4377-BD8F-F3FCBC9B1434}"/>
    <dgm:cxn modelId="{0D0FB119-3BD5-415C-880E-FEDDB1406D03}" type="presOf" srcId="{0F329D40-5AF0-4F63-9648-2865103B2B54}" destId="{7487FDEE-AAC7-4F87-A642-B31566E7B464}" srcOrd="0" destOrd="6" presId="urn:microsoft.com/office/officeart/2005/8/layout/list1"/>
    <dgm:cxn modelId="{11FBF9E8-20D1-4621-A5C0-3A44C7303F79}" srcId="{5C69E173-182B-4E03-963D-32597C0342D2}" destId="{890AF207-1C76-4D3B-A60D-162E43824B7C}" srcOrd="68" destOrd="0" parTransId="{2E68CA39-25AD-43F4-88C5-1D46EC6B009C}" sibTransId="{E5614A42-1B25-437E-96E5-9717A68376B4}"/>
    <dgm:cxn modelId="{F6D6D0F7-9427-4456-A420-3E80C0A4197A}" type="presOf" srcId="{4E9D0FEB-1748-46EA-8D8B-73DA50401917}" destId="{7487FDEE-AAC7-4F87-A642-B31566E7B464}" srcOrd="0" destOrd="11" presId="urn:microsoft.com/office/officeart/2005/8/layout/list1"/>
    <dgm:cxn modelId="{093EAE88-2C15-40AD-A06E-4062441545A7}" type="presOf" srcId="{047491BA-4031-4D84-A811-05205D70A45F}" destId="{AD23FFB9-2542-4B31-80E2-741BD5F0A76B}" srcOrd="0" destOrd="11" presId="urn:microsoft.com/office/officeart/2005/8/layout/list1"/>
    <dgm:cxn modelId="{464C739F-DF83-4283-B1A0-56B2698D1E9A}" srcId="{5C69E173-182B-4E03-963D-32597C0342D2}" destId="{B021EE24-E0D8-4C34-AD3F-4A613EA3A635}" srcOrd="17" destOrd="0" parTransId="{7A0B41D8-4070-4C3E-A021-6E41072AB90E}" sibTransId="{374E0956-2925-4F97-AA49-9E9780A74C19}"/>
    <dgm:cxn modelId="{3A577F36-B42C-4372-A6CE-6FD30B1B8683}" type="presOf" srcId="{B0F9C592-18E1-4648-94A3-D0065124AB47}" destId="{CB484849-A58C-403B-BE62-FAD20DCEA897}" srcOrd="0" destOrd="9" presId="urn:microsoft.com/office/officeart/2005/8/layout/list1"/>
    <dgm:cxn modelId="{6C1E3013-5E2B-417C-9C27-DCBC8D098EAA}" type="presOf" srcId="{37B09648-2A31-4AAE-BD69-46D1D8ECC51F}" destId="{AD23FFB9-2542-4B31-80E2-741BD5F0A76B}" srcOrd="0" destOrd="53" presId="urn:microsoft.com/office/officeart/2005/8/layout/list1"/>
    <dgm:cxn modelId="{DF065A7F-74EB-4290-9C06-9706AE45A759}" type="presOf" srcId="{76E43AF3-21CC-41CA-8317-5376096F3BEA}" destId="{7487FDEE-AAC7-4F87-A642-B31566E7B464}" srcOrd="0" destOrd="16" presId="urn:microsoft.com/office/officeart/2005/8/layout/list1"/>
    <dgm:cxn modelId="{AD71D113-E455-4E3B-B53A-7717F24B82C8}" srcId="{97AA3ADE-843A-4221-84AF-DB3AA8600E3A}" destId="{02F0EFF6-DA01-499D-BFA8-64A6B1825AEC}" srcOrd="17" destOrd="0" parTransId="{DB3B7BCF-E628-4ADC-B82D-9D4D8AA9EDF0}" sibTransId="{728DBE44-0170-4124-A7BE-6997BB4AE9C2}"/>
    <dgm:cxn modelId="{2384FB14-0A15-4921-8008-0CCFD8CF4A03}" srcId="{FA9AFF69-10CB-42A1-A2FB-3BAC1428CCFE}" destId="{8E57F16D-D5F0-4BC4-9C51-E92C32B9F9E3}" srcOrd="5" destOrd="0" parTransId="{5EFE6854-9A70-4B45-9252-635F304727EA}" sibTransId="{F0F0D67A-62FA-4B8E-BFA5-CCC9728BD66C}"/>
    <dgm:cxn modelId="{7D7C6E4E-7525-4E46-95B5-27922FAD15A5}" type="presOf" srcId="{CFA06508-957D-469C-997D-9721987EB18B}" destId="{7487FDEE-AAC7-4F87-A642-B31566E7B464}" srcOrd="0" destOrd="8" presId="urn:microsoft.com/office/officeart/2005/8/layout/list1"/>
    <dgm:cxn modelId="{97160E2D-EA11-417D-821F-92C8E1973F0A}" srcId="{85A7569B-6F73-4E04-8B9E-333372741083}" destId="{5C387D3D-1144-4D3D-894B-721EF85A8F46}" srcOrd="42" destOrd="0" parTransId="{E9FA676C-72C4-4ADF-AD7A-2F111BF05A22}" sibTransId="{B1DC4B92-BB4D-49B0-9543-A339EAC19785}"/>
    <dgm:cxn modelId="{2380F60E-EEE6-4399-9848-C7C0F7210F2F}" srcId="{5C69E173-182B-4E03-963D-32597C0342D2}" destId="{6753CDB6-7A24-4689-9CB8-7084F21A8659}" srcOrd="2" destOrd="0" parTransId="{C21FE1D0-B33B-4BD4-9290-E74067E9EB9A}" sibTransId="{1E229AA6-B2BA-4EE3-8293-ED802FFFEC32}"/>
    <dgm:cxn modelId="{ECB6D9FD-85CB-41CD-8DFD-27CC73C07266}" type="presOf" srcId="{EFE5517D-439F-4341-9975-EE6BCBAA48DC}" destId="{817CDDC7-4A1A-4DD3-BC8B-78FCA99C23C1}" srcOrd="0" destOrd="10" presId="urn:microsoft.com/office/officeart/2005/8/layout/list1"/>
    <dgm:cxn modelId="{CD78E9E5-D94E-4C3A-BAF6-B22F0824AD12}" type="presOf" srcId="{114E4D8B-7EE9-4F8B-A228-8290EE6CA025}" destId="{7487FDEE-AAC7-4F87-A642-B31566E7B464}" srcOrd="0" destOrd="32" presId="urn:microsoft.com/office/officeart/2005/8/layout/list1"/>
    <dgm:cxn modelId="{5DCC14DD-D556-4331-AC67-1FC5A068A38C}" srcId="{5C69E173-182B-4E03-963D-32597C0342D2}" destId="{4761D7A5-19C7-4839-914B-710F2842ABE8}" srcOrd="63" destOrd="0" parTransId="{B474D3A4-2412-46AC-8BED-414497FCBFBB}" sibTransId="{11D052EB-72B2-4B9D-BC2D-DC93C4AB3369}"/>
    <dgm:cxn modelId="{03FE7219-EC28-4A44-BE90-A64DF14E2547}" srcId="{97AA3ADE-843A-4221-84AF-DB3AA8600E3A}" destId="{42ED561A-BE54-42F8-B90F-9A517E70548A}" srcOrd="27" destOrd="0" parTransId="{C5220FA5-9407-4AAB-90D1-7C4A8A342A40}" sibTransId="{540EBD87-FE7F-420C-8B16-33D4DEE9D531}"/>
    <dgm:cxn modelId="{1154BB26-137F-46C9-AD69-865588B0BC95}" srcId="{85A7569B-6F73-4E04-8B9E-333372741083}" destId="{A179657B-735D-47D8-9B3C-640012840129}" srcOrd="21" destOrd="0" parTransId="{9C5A0FA9-70CA-4A04-A939-CBE7BDA832E3}" sibTransId="{DD3932BC-F45B-4CC5-BE73-22CED6A3D7F2}"/>
    <dgm:cxn modelId="{3B4E65D7-F9AB-4EBB-BF1E-BE5231E0CB8A}" srcId="{97AA3ADE-843A-4221-84AF-DB3AA8600E3A}" destId="{ACED7B06-4868-4E60-9E8B-D04CB47862FB}" srcOrd="63" destOrd="0" parTransId="{4106CB51-9CE8-4F18-A1FC-5A0485B23A11}" sibTransId="{A5962530-EF0A-4A10-9A6C-622E0228CC8F}"/>
    <dgm:cxn modelId="{FFD16F54-044E-420D-AE6E-E7DD9A56486C}" srcId="{97AA3ADE-843A-4221-84AF-DB3AA8600E3A}" destId="{047491BA-4031-4D84-A811-05205D70A45F}" srcOrd="11" destOrd="0" parTransId="{69A66F8F-9EA1-43A4-91A6-505C8D32061E}" sibTransId="{84E89B33-858D-406C-A156-E6054CD0F8C3}"/>
    <dgm:cxn modelId="{5D5DCB28-21C5-42C1-9748-E95352D3E9D9}" type="presOf" srcId="{9159F58C-3609-4AB6-BBA5-1E1D80AE4FD2}" destId="{7487FDEE-AAC7-4F87-A642-B31566E7B464}" srcOrd="0" destOrd="27" presId="urn:microsoft.com/office/officeart/2005/8/layout/list1"/>
    <dgm:cxn modelId="{523AD29E-B465-47AD-83B2-5B0CFA1F4CD3}" type="presOf" srcId="{E5E54A2C-DFBB-410D-81D7-1CD3A844A4D4}" destId="{CB484849-A58C-403B-BE62-FAD20DCEA897}" srcOrd="0" destOrd="23" presId="urn:microsoft.com/office/officeart/2005/8/layout/list1"/>
    <dgm:cxn modelId="{4F7EB8F4-CB98-4C0C-BF00-B5CD8CE6DFA4}" type="presOf" srcId="{B84112F0-5771-43ED-B18A-9461CBAD8391}" destId="{AD23FFB9-2542-4B31-80E2-741BD5F0A76B}" srcOrd="0" destOrd="72" presId="urn:microsoft.com/office/officeart/2005/8/layout/list1"/>
    <dgm:cxn modelId="{518D0136-E575-4DB6-9249-C64256602BF8}" srcId="{5C69E173-182B-4E03-963D-32597C0342D2}" destId="{E1911496-E8DE-48DA-88F0-C9EABE21D6B5}" srcOrd="31" destOrd="0" parTransId="{30C6FBB6-98E6-44F6-B54A-64014385ACF1}" sibTransId="{E614E437-1B1B-4676-89F2-768CE37A8275}"/>
    <dgm:cxn modelId="{A2D7375A-493C-46F0-9C61-E3A455F8881B}" type="presOf" srcId="{5B6520C5-10F4-4AE5-8C4B-9246150354D9}" destId="{DD9E5413-5447-4D82-930B-572E7D8779E8}" srcOrd="0" destOrd="39" presId="urn:microsoft.com/office/officeart/2005/8/layout/list1"/>
    <dgm:cxn modelId="{BA94DCD4-A06A-419F-B19A-114B0CDE3C3E}" type="presOf" srcId="{C637AF09-D240-496E-8762-409B577A46E0}" destId="{DD9E5413-5447-4D82-930B-572E7D8779E8}" srcOrd="0" destOrd="49" presId="urn:microsoft.com/office/officeart/2005/8/layout/list1"/>
    <dgm:cxn modelId="{57A87740-F9B8-4EB9-8173-DEEBD8CCBCA0}" srcId="{43EE3679-5B1F-45D4-ADA6-461661E67B3C}" destId="{C6E3CD80-CB22-45CF-A66F-AE58F48C0944}" srcOrd="17" destOrd="0" parTransId="{7ADF1C72-044F-499F-A3E9-BA484E46428F}" sibTransId="{0F8E0217-1211-4901-9BED-54AD9B8C826F}"/>
    <dgm:cxn modelId="{858DC76E-9577-484A-9FC5-C77BDFBD6EAF}" srcId="{5C69E173-182B-4E03-963D-32597C0342D2}" destId="{E6026793-7DBE-4396-B753-12E08301D687}" srcOrd="78" destOrd="0" parTransId="{7D928084-5B90-4C5A-9A44-9C64E98CD0AF}" sibTransId="{8674AA62-451F-42AC-A6D8-C065DFD661AD}"/>
    <dgm:cxn modelId="{346ABC9C-38C2-46F0-98E0-515D0E5BAE3B}" srcId="{5C69E173-182B-4E03-963D-32597C0342D2}" destId="{F704D2D5-408C-4C0A-8355-2A17C725E404}" srcOrd="0" destOrd="0" parTransId="{0EE4E1A1-A0F1-4D2A-B305-643BFF9373F0}" sibTransId="{799AB2B3-E7A7-417A-9719-92A5A4A8D937}"/>
    <dgm:cxn modelId="{82A7CB92-9764-4282-B4EE-0AA19DB1D4C3}" srcId="{97AA3ADE-843A-4221-84AF-DB3AA8600E3A}" destId="{48A4CEB2-7CDA-41C2-B314-B8F0946AE498}" srcOrd="2" destOrd="0" parTransId="{65B2CF99-ED62-4DE1-AFDD-2E6C725F94D1}" sibTransId="{055766E3-9AB1-4E37-AADA-FA6A3F72B4F7}"/>
    <dgm:cxn modelId="{B0C90BCB-8180-426F-BA85-25874315F9D2}" type="presOf" srcId="{D078CB95-1464-487E-A000-08A306E740F8}" destId="{044B49A3-7F5D-49D0-A1A1-64AB6D7494E4}" srcOrd="0" destOrd="13" presId="urn:microsoft.com/office/officeart/2005/8/layout/list1"/>
    <dgm:cxn modelId="{1B0E69BA-0CA3-4E61-A4EB-6910C01FD5D7}" type="presOf" srcId="{E22DB853-BEAA-40B6-B48D-E544A57387E9}" destId="{CB484849-A58C-403B-BE62-FAD20DCEA897}" srcOrd="0" destOrd="25" presId="urn:microsoft.com/office/officeart/2005/8/layout/list1"/>
    <dgm:cxn modelId="{F6CB4417-E915-41DE-8BEF-1EC149952C0B}" type="presOf" srcId="{A2D19CD2-F28A-4936-8676-460364B755FD}" destId="{7487FDEE-AAC7-4F87-A642-B31566E7B464}" srcOrd="0" destOrd="52" presId="urn:microsoft.com/office/officeart/2005/8/layout/list1"/>
    <dgm:cxn modelId="{F823847E-1DB5-4881-9501-A1AF9F4E7892}" srcId="{97AA3ADE-843A-4221-84AF-DB3AA8600E3A}" destId="{AE54732B-3B9F-42E4-AF82-71179408AEE2}" srcOrd="67" destOrd="0" parTransId="{66A53D95-6711-45F7-9AD3-47130296762C}" sibTransId="{094CCF93-03BA-464A-89A2-4FABBB302722}"/>
    <dgm:cxn modelId="{1789246B-B93B-4F54-8CD6-8EF0F3C26BC4}" type="presOf" srcId="{C26B589E-5AED-4569-AA36-C8556E73758E}" destId="{044B49A3-7F5D-49D0-A1A1-64AB6D7494E4}" srcOrd="0" destOrd="6" presId="urn:microsoft.com/office/officeart/2005/8/layout/list1"/>
    <dgm:cxn modelId="{E4060266-755E-4A97-91E8-05F506A08591}" srcId="{97AA3ADE-843A-4221-84AF-DB3AA8600E3A}" destId="{5F921AD3-34C5-460E-97F0-DAE46B0AC68D}" srcOrd="28" destOrd="0" parTransId="{74094B6B-FD98-4842-85C2-887A6DD534A0}" sibTransId="{BEE97016-6EAD-48A9-AE84-209CB06AED8B}"/>
    <dgm:cxn modelId="{9C43A33A-F45F-42C8-8C38-95FBFE2366F4}" srcId="{FA9AFF69-10CB-42A1-A2FB-3BAC1428CCFE}" destId="{13E8249C-198B-4B09-A00E-E3AFD4D26BB1}" srcOrd="22" destOrd="0" parTransId="{FB72B079-F08F-41C8-93AF-6F4698C7DE46}" sibTransId="{3786ACE7-3D14-46C9-A078-647E8CD831CB}"/>
    <dgm:cxn modelId="{E623FD48-204D-40EE-A45C-136F1B9AEF1B}" type="presOf" srcId="{0E9A13DD-7DD3-4E4D-8034-280B3A7AA251}" destId="{7487FDEE-AAC7-4F87-A642-B31566E7B464}" srcOrd="0" destOrd="73" presId="urn:microsoft.com/office/officeart/2005/8/layout/list1"/>
    <dgm:cxn modelId="{F49A2E55-E3B4-4CB4-AF50-1A8C5FBA97A9}" srcId="{97AA3ADE-843A-4221-84AF-DB3AA8600E3A}" destId="{504E7C21-1691-4B7C-96CF-B36E8E92E509}" srcOrd="62" destOrd="0" parTransId="{1972D519-C64D-4B3D-9D2B-7D230E1D64C5}" sibTransId="{737F8F98-249D-4C2D-B43A-C077CCBCE832}"/>
    <dgm:cxn modelId="{65D93C9A-4B6C-43FB-BF2C-870B9ED83272}" srcId="{97AA3ADE-843A-4221-84AF-DB3AA8600E3A}" destId="{07FF710F-0EF9-4BB0-AB2F-07255FF1E183}" srcOrd="19" destOrd="0" parTransId="{27377708-31CE-49E8-AEC2-8321BA8AEC50}" sibTransId="{25369642-9460-44EE-9455-6C8FD22DB117}"/>
    <dgm:cxn modelId="{5A7D8138-A7E2-49C3-8A66-B0F0FA04EF85}" srcId="{FA9AFF69-10CB-42A1-A2FB-3BAC1428CCFE}" destId="{B42E4EB9-12C4-4026-843E-BCDEB3C93A27}" srcOrd="23" destOrd="0" parTransId="{0D8F33E2-7988-4C25-ABF8-921046653BD4}" sibTransId="{2384D9B9-6982-4B10-AF40-2E1EBB760FBD}"/>
    <dgm:cxn modelId="{A69B061F-5903-452C-94F4-57BC4157337E}" srcId="{43EE3679-5B1F-45D4-ADA6-461661E67B3C}" destId="{DF7C2977-587C-4745-8C8F-BE7227521219}" srcOrd="12" destOrd="0" parTransId="{21D3E8FA-1837-4C39-9C04-49C45FA63E36}" sibTransId="{D4581D9B-7CE9-4483-A74E-42D17A082B2E}"/>
    <dgm:cxn modelId="{D86F3AB8-0136-448B-94C5-159D21D1ADFC}" srcId="{5C69E173-182B-4E03-963D-32597C0342D2}" destId="{395BF311-471A-4FC1-BC75-8052805C3BBD}" srcOrd="43" destOrd="0" parTransId="{64C94B97-9E66-44BA-9ED1-9154B43FADD2}" sibTransId="{477B1198-56D6-4A32-BBF8-4181E69596B8}"/>
    <dgm:cxn modelId="{9681C9E9-C3B7-4E94-9437-1F21A20F2D33}" type="presOf" srcId="{6DFB072F-1880-4BF3-8099-F56A0DCDC680}" destId="{544F83B4-61A5-48E0-9038-3584469BFED8}" srcOrd="1" destOrd="0" presId="urn:microsoft.com/office/officeart/2005/8/layout/list1"/>
    <dgm:cxn modelId="{8509BABC-2915-489B-B8EC-326A247F9A99}" type="presOf" srcId="{8F046EE6-0365-4656-AD9E-691D840E76CA}" destId="{044B49A3-7F5D-49D0-A1A1-64AB6D7494E4}" srcOrd="0" destOrd="11" presId="urn:microsoft.com/office/officeart/2005/8/layout/list1"/>
    <dgm:cxn modelId="{AEED2F0E-2DE8-4654-A42E-D35DADF83F3A}" type="presOf" srcId="{5F921AD3-34C5-460E-97F0-DAE46B0AC68D}" destId="{AD23FFB9-2542-4B31-80E2-741BD5F0A76B}" srcOrd="0" destOrd="28" presId="urn:microsoft.com/office/officeart/2005/8/layout/list1"/>
    <dgm:cxn modelId="{0808A515-7F1E-443A-B123-85E0C83F0B63}" type="presOf" srcId="{9123279C-AA85-4AA5-B46D-E2D51727A844}" destId="{DD9E5413-5447-4D82-930B-572E7D8779E8}" srcOrd="0" destOrd="26" presId="urn:microsoft.com/office/officeart/2005/8/layout/list1"/>
    <dgm:cxn modelId="{56C8B3BC-7E8A-4CEF-919A-4F61C5BD3603}" type="presOf" srcId="{F06ADDEF-0C87-473A-AF65-76DA30F6B103}" destId="{7487FDEE-AAC7-4F87-A642-B31566E7B464}" srcOrd="0" destOrd="19" presId="urn:microsoft.com/office/officeart/2005/8/layout/list1"/>
    <dgm:cxn modelId="{0C877EFB-4641-4F20-9F34-85E6414B49EC}" type="presOf" srcId="{E01208D4-021B-4021-8A8D-7D6448DDEEA6}" destId="{817CDDC7-4A1A-4DD3-BC8B-78FCA99C23C1}" srcOrd="0" destOrd="15" presId="urn:microsoft.com/office/officeart/2005/8/layout/list1"/>
    <dgm:cxn modelId="{531039ED-404E-4654-B69D-45A9724C3990}" type="presOf" srcId="{DF30EF40-83B0-4DA8-BBD2-F8633FB6B1EA}" destId="{CB484849-A58C-403B-BE62-FAD20DCEA897}" srcOrd="0" destOrd="26" presId="urn:microsoft.com/office/officeart/2005/8/layout/list1"/>
    <dgm:cxn modelId="{01FF8CC9-1E22-4FDC-8172-E8E645610E9E}" type="presOf" srcId="{4FCF9C7B-CBBA-437D-A021-67868D610E56}" destId="{CB484849-A58C-403B-BE62-FAD20DCEA897}" srcOrd="0" destOrd="27" presId="urn:microsoft.com/office/officeart/2005/8/layout/list1"/>
    <dgm:cxn modelId="{D8898DD6-390A-4C96-A30F-EB961615FBB1}" srcId="{85A7569B-6F73-4E04-8B9E-333372741083}" destId="{4690CBC0-BD13-49E8-9637-66962F352CAD}" srcOrd="32" destOrd="0" parTransId="{D87E0805-712E-4B3F-95EB-FF7BE9DCC945}" sibTransId="{B63D8B80-D27B-4ADE-A8EA-2160233BD092}"/>
    <dgm:cxn modelId="{93449885-0604-492B-8754-DAA7C1E219E8}" type="presOf" srcId="{D582AA1C-863E-4956-92A1-58EB07ADB259}" destId="{CB484849-A58C-403B-BE62-FAD20DCEA897}" srcOrd="0" destOrd="14" presId="urn:microsoft.com/office/officeart/2005/8/layout/list1"/>
    <dgm:cxn modelId="{A3E8711E-0BCB-4F47-847E-D609FB5AA20D}" type="presOf" srcId="{EE3C9A41-8686-4007-9785-3DB83BA1F28A}" destId="{DD9E5413-5447-4D82-930B-572E7D8779E8}" srcOrd="0" destOrd="10" presId="urn:microsoft.com/office/officeart/2005/8/layout/list1"/>
    <dgm:cxn modelId="{C853D88D-569A-40C6-8189-49430BD258C5}" srcId="{43EE3679-5B1F-45D4-ADA6-461661E67B3C}" destId="{E8CFCFBB-2C43-49A3-85F1-22C06428A4C7}" srcOrd="5" destOrd="0" parTransId="{BF3B777C-7F1B-4707-A870-2106F9A3A56D}" sibTransId="{7DD393A5-F4C1-46D6-A4E9-4A3ADC4C0435}"/>
    <dgm:cxn modelId="{B5C88168-AB7A-4363-9703-211D6EE5E3E1}" type="presOf" srcId="{F253FA2D-0188-4342-832A-1C94BB9D2139}" destId="{817CDDC7-4A1A-4DD3-BC8B-78FCA99C23C1}" srcOrd="0" destOrd="0" presId="urn:microsoft.com/office/officeart/2005/8/layout/list1"/>
    <dgm:cxn modelId="{394E96EE-D9B2-4457-8B5A-881072E55267}" type="presOf" srcId="{C8FDCCC6-856A-4A26-A742-67CA5AA8208B}" destId="{AD23FFB9-2542-4B31-80E2-741BD5F0A76B}" srcOrd="0" destOrd="14" presId="urn:microsoft.com/office/officeart/2005/8/layout/list1"/>
    <dgm:cxn modelId="{5AA3D7B0-A4C8-4E89-9346-5916EEEAD7E5}" type="presOf" srcId="{8775D297-8265-48F1-8248-DFE626AE07FD}" destId="{044B49A3-7F5D-49D0-A1A1-64AB6D7494E4}" srcOrd="0" destOrd="14" presId="urn:microsoft.com/office/officeart/2005/8/layout/list1"/>
    <dgm:cxn modelId="{A586F232-34D7-4D4D-AEAB-ADF28953630F}" type="presOf" srcId="{DC489C5F-5021-4BBD-A8F0-E5BDED9EC3C3}" destId="{7487FDEE-AAC7-4F87-A642-B31566E7B464}" srcOrd="0" destOrd="50" presId="urn:microsoft.com/office/officeart/2005/8/layout/list1"/>
    <dgm:cxn modelId="{97F5C04C-D1F4-41B3-A4CC-8C8665B33972}" srcId="{97AA3ADE-843A-4221-84AF-DB3AA8600E3A}" destId="{F50CEFCA-8420-47B5-825C-9AD6417DB1D2}" srcOrd="35" destOrd="0" parTransId="{53CBD8C2-ABFA-4401-BC19-19DD68DDD669}" sibTransId="{758ED862-49EB-42C0-B160-5594114EDEA5}"/>
    <dgm:cxn modelId="{EC4B2FBF-D55C-47AF-B704-BD6EA767A09E}" srcId="{6DFB072F-1880-4BF3-8099-F56A0DCDC680}" destId="{E5E54A2C-DFBB-410D-81D7-1CD3A844A4D4}" srcOrd="23" destOrd="0" parTransId="{026440F5-83EF-4408-BC59-9FE8F4EBAC56}" sibTransId="{5CC0E5C1-4D64-49B7-B0FD-9E94A7A4740E}"/>
    <dgm:cxn modelId="{AA7B3652-4972-403A-AF20-F613BD600B95}" srcId="{97AA3ADE-843A-4221-84AF-DB3AA8600E3A}" destId="{4A9C5CAA-7063-4E9C-92C7-0AC935FE7F14}" srcOrd="32" destOrd="0" parTransId="{339EF859-9D3F-4F30-AEEC-65DF5D18C630}" sibTransId="{4DF1E69D-3086-4D4F-BBC3-8AAC89F53C2B}"/>
    <dgm:cxn modelId="{8B0FC971-2CF8-41C1-AE21-6B3B00A9694D}" srcId="{97AA3ADE-843A-4221-84AF-DB3AA8600E3A}" destId="{5EBACAE8-D174-48A6-AAEC-226F5E2AAF00}" srcOrd="43" destOrd="0" parTransId="{705F98FC-7F89-4222-80FB-2B5A7471EFB0}" sibTransId="{62843F5F-6B80-4203-8735-213C1DC8EDBE}"/>
    <dgm:cxn modelId="{D1136D72-BBC2-42AC-BA53-1E6043F070C0}" srcId="{43EE3679-5B1F-45D4-ADA6-461661E67B3C}" destId="{773051DD-BAA3-4814-A77B-C85CDA30B638}" srcOrd="2" destOrd="0" parTransId="{086BE406-098A-4623-9815-D28F9CDD0615}" sibTransId="{8B66204E-4A8D-4F1D-A541-AD783B214D46}"/>
    <dgm:cxn modelId="{42BA0C73-9911-4781-A8AC-44F1C84F38B4}" type="presOf" srcId="{C3E666A3-E100-401A-AD49-C1BBCBCE051D}" destId="{7487FDEE-AAC7-4F87-A642-B31566E7B464}" srcOrd="0" destOrd="28" presId="urn:microsoft.com/office/officeart/2005/8/layout/list1"/>
    <dgm:cxn modelId="{F18CF58C-7677-4953-84FF-B3C365A68520}" srcId="{97AA3ADE-843A-4221-84AF-DB3AA8600E3A}" destId="{0F61C8F9-664D-4042-B267-6FBF9B21B7C3}" srcOrd="59" destOrd="0" parTransId="{FB584041-1DA8-4057-B33F-353AE59637F9}" sibTransId="{F1252A6F-1663-4045-9915-FF2A80F53243}"/>
    <dgm:cxn modelId="{643C00E9-4B9C-4772-A21D-EF008C663239}" type="presOf" srcId="{123988D4-D6E8-4A3E-AC4B-E29ECD6A850B}" destId="{DD9E5413-5447-4D82-930B-572E7D8779E8}" srcOrd="0" destOrd="15" presId="urn:microsoft.com/office/officeart/2005/8/layout/list1"/>
    <dgm:cxn modelId="{7B224B80-9B5D-451C-BCDA-4C20337258E3}" srcId="{85A7569B-6F73-4E04-8B9E-333372741083}" destId="{185C368B-6503-476D-A748-05C423066104}" srcOrd="22" destOrd="0" parTransId="{A90F871D-7E66-422B-B692-1F4D843BBF73}" sibTransId="{53C278EA-97F4-4846-BE6A-D3A8C4AB3E27}"/>
    <dgm:cxn modelId="{DCE463C0-758C-43F3-9E88-765DFFA5CAD6}" type="presOf" srcId="{85E45FE5-3913-4B52-BCC7-C4B013F5CB3C}" destId="{CB484849-A58C-403B-BE62-FAD20DCEA897}" srcOrd="0" destOrd="30" presId="urn:microsoft.com/office/officeart/2005/8/layout/list1"/>
    <dgm:cxn modelId="{2ED6A438-6BF0-4B06-914D-44CFFFBFDF2C}" type="presOf" srcId="{5ED8B731-7BEF-473D-AE62-E6F13DBA03D1}" destId="{DD9E5413-5447-4D82-930B-572E7D8779E8}" srcOrd="0" destOrd="51" presId="urn:microsoft.com/office/officeart/2005/8/layout/list1"/>
    <dgm:cxn modelId="{BA307F5E-CA56-4125-BE36-FBFA6C8D59A2}" type="presOf" srcId="{04F0F914-BE19-4DA6-8991-DEC62DB66F41}" destId="{DD9E5413-5447-4D82-930B-572E7D8779E8}" srcOrd="0" destOrd="17" presId="urn:microsoft.com/office/officeart/2005/8/layout/list1"/>
    <dgm:cxn modelId="{1F5800EA-746B-4B50-8A3A-42A8FCD41C4E}" type="presOf" srcId="{7D6A3D1A-D9C1-437C-91E4-B73E2614263A}" destId="{7487FDEE-AAC7-4F87-A642-B31566E7B464}" srcOrd="0" destOrd="18" presId="urn:microsoft.com/office/officeart/2005/8/layout/list1"/>
    <dgm:cxn modelId="{1EB58D3B-6080-4D58-BEEF-DBDABF40A858}" srcId="{6DFB072F-1880-4BF3-8099-F56A0DCDC680}" destId="{96EDF5C6-D9FE-44F1-A1BA-854071504795}" srcOrd="8" destOrd="0" parTransId="{6D94CCA4-D816-4890-8CF6-4F88FDAF7070}" sibTransId="{D42EED3B-C1DB-49E6-B30A-2BAD8BD3A2CA}"/>
    <dgm:cxn modelId="{045415C7-CFCD-4EA1-92E2-D4A044FEE0B5}" type="presOf" srcId="{00F85EC1-B921-48FE-997F-36320003F407}" destId="{EA47508E-317F-4A46-BCBF-FAC7A14A0EFA}" srcOrd="0" destOrd="0" presId="urn:microsoft.com/office/officeart/2005/8/layout/list1"/>
    <dgm:cxn modelId="{D6395100-7E0E-43B0-A4D4-09CBBB50F8E1}" srcId="{5C69E173-182B-4E03-963D-32597C0342D2}" destId="{B24F4F50-7219-4B18-96E9-3055586DBD01}" srcOrd="22" destOrd="0" parTransId="{C0FD400C-E49B-45A4-B2F0-A76706DB1F62}" sibTransId="{49017DB7-295B-4A93-860C-FE0E17D76706}"/>
    <dgm:cxn modelId="{330FC581-B175-4F63-B208-D65F7F42B7AC}" type="presOf" srcId="{B685306E-DF88-46FC-9A16-D58A9D3D97BA}" destId="{7487FDEE-AAC7-4F87-A642-B31566E7B464}" srcOrd="0" destOrd="60" presId="urn:microsoft.com/office/officeart/2005/8/layout/list1"/>
    <dgm:cxn modelId="{6C6B4D8C-5B34-4F03-A17B-56758589840E}" type="presOf" srcId="{87C5AEA6-B037-4BF0-AD1C-F1A531504FCE}" destId="{7487FDEE-AAC7-4F87-A642-B31566E7B464}" srcOrd="0" destOrd="35" presId="urn:microsoft.com/office/officeart/2005/8/layout/list1"/>
    <dgm:cxn modelId="{0B7D161F-9740-41A5-A4AD-60BF03BFF151}" srcId="{00F85EC1-B921-48FE-997F-36320003F407}" destId="{FA9AFF69-10CB-42A1-A2FB-3BAC1428CCFE}" srcOrd="7" destOrd="0" parTransId="{24D65E19-2B97-4339-96CE-674567BC6AFC}" sibTransId="{84B1E0EA-AEEB-40FE-9921-9DA6D2CF4EB9}"/>
    <dgm:cxn modelId="{57468CBB-A4D0-4CD1-8BFC-F7A418BE506E}" srcId="{6DFB072F-1880-4BF3-8099-F56A0DCDC680}" destId="{86DD4D5D-F747-4C96-BE2B-748CEDD6B029}" srcOrd="31" destOrd="0" parTransId="{2B6FBB7A-03FF-4904-A527-B9ECF14700EA}" sibTransId="{CE06D5D2-4F32-40B2-A8F2-E1EE27D42488}"/>
    <dgm:cxn modelId="{6DAE0BFE-BC57-46E0-8CE6-537D15C223E2}" srcId="{97AA3ADE-843A-4221-84AF-DB3AA8600E3A}" destId="{E7816E96-1DB9-4C5E-BEE8-484A4D901AEB}" srcOrd="69" destOrd="0" parTransId="{6DD7D7EC-3298-49A4-8A28-404E4745E98B}" sibTransId="{5964327C-52C3-431B-8780-B9F73C66D220}"/>
    <dgm:cxn modelId="{AE4A65C4-3960-40E1-A1AB-AFC20CCA6BB6}" type="presOf" srcId="{B1121344-09F3-4603-A826-12B58277481E}" destId="{7487FDEE-AAC7-4F87-A642-B31566E7B464}" srcOrd="0" destOrd="12" presId="urn:microsoft.com/office/officeart/2005/8/layout/list1"/>
    <dgm:cxn modelId="{71D8CEB6-D6DE-4905-8CD5-7F5A866BDCFD}" srcId="{5C69E173-182B-4E03-963D-32597C0342D2}" destId="{5586B206-C6AF-4932-A260-DE9E8691CF92}" srcOrd="55" destOrd="0" parTransId="{791DDBEE-452A-410E-A828-0BBCE20D57D7}" sibTransId="{D61B70BF-F313-4577-A542-43215531B546}"/>
    <dgm:cxn modelId="{2BD672F0-E9BA-45D2-92C9-AED807B200DA}" type="presOf" srcId="{2D1C9FE1-294F-4403-81E0-F25A067904A4}" destId="{CB484849-A58C-403B-BE62-FAD20DCEA897}" srcOrd="0" destOrd="24" presId="urn:microsoft.com/office/officeart/2005/8/layout/list1"/>
    <dgm:cxn modelId="{4E3C8BBA-7F57-470E-9208-CB3BBB16186E}" type="presOf" srcId="{AB805899-D2EC-47FB-BE4C-4FCAFC287FC7}" destId="{CB484849-A58C-403B-BE62-FAD20DCEA897}" srcOrd="0" destOrd="15" presId="urn:microsoft.com/office/officeart/2005/8/layout/list1"/>
    <dgm:cxn modelId="{A8D2C64D-24EA-4D5E-9A80-A5CF73191318}" type="presOf" srcId="{CC3D450D-FC87-4EE6-B051-15A71C91DD65}" destId="{CB484849-A58C-403B-BE62-FAD20DCEA897}" srcOrd="0" destOrd="19" presId="urn:microsoft.com/office/officeart/2005/8/layout/list1"/>
    <dgm:cxn modelId="{627EBA68-4BFE-4DDF-8CB3-335159255BCF}" srcId="{97AA3ADE-843A-4221-84AF-DB3AA8600E3A}" destId="{43D28148-2E4B-452F-9124-B057404970B1}" srcOrd="65" destOrd="0" parTransId="{AB015110-B455-45A8-B453-835E8953AFF3}" sibTransId="{E2FE200F-CDF5-48B9-8A59-C6F8828749B9}"/>
    <dgm:cxn modelId="{F6A5E657-C121-4BA9-98D9-B777787C2863}" type="presOf" srcId="{44A32F09-DAFA-462C-AAA6-08C58C9B3220}" destId="{044B49A3-7F5D-49D0-A1A1-64AB6D7494E4}" srcOrd="0" destOrd="9" presId="urn:microsoft.com/office/officeart/2005/8/layout/list1"/>
    <dgm:cxn modelId="{B0F3AE74-3AB9-440F-AB02-414E40B7E758}" srcId="{5C69E173-182B-4E03-963D-32597C0342D2}" destId="{1198348E-28B3-4836-BA98-8C3A53888062}" srcOrd="57" destOrd="0" parTransId="{DE5F598E-D0E8-4261-8879-9C99A6224DDC}" sibTransId="{39155ECC-D3BF-4933-98B3-BD15645F0703}"/>
    <dgm:cxn modelId="{60B049AC-F96E-4E64-B338-8F84C5D2E8D4}" type="presOf" srcId="{553FB8C8-B751-409B-839C-C32EE858C170}" destId="{044B49A3-7F5D-49D0-A1A1-64AB6D7494E4}" srcOrd="0" destOrd="12" presId="urn:microsoft.com/office/officeart/2005/8/layout/list1"/>
    <dgm:cxn modelId="{0435418B-F7F7-48A8-BEA1-819B36B8E7D3}" type="presOf" srcId="{E7DB236D-B2A8-4816-956B-FC16651AC423}" destId="{AD23FFB9-2542-4B31-80E2-741BD5F0A76B}" srcOrd="0" destOrd="73" presId="urn:microsoft.com/office/officeart/2005/8/layout/list1"/>
    <dgm:cxn modelId="{3F150367-39ED-4F4B-9A93-08ED4C46CDFB}" srcId="{97AA3ADE-843A-4221-84AF-DB3AA8600E3A}" destId="{E6E59391-FDD3-46E1-8221-C71A6959D19D}" srcOrd="50" destOrd="0" parTransId="{BE394969-964B-4C06-9A4F-7BB24864AA14}" sibTransId="{462ABCD6-B4FD-450E-BDA4-29BA004942E0}"/>
    <dgm:cxn modelId="{F4744B7D-07D7-4C84-9C89-F62262192391}" type="presOf" srcId="{82F95F00-5EA2-4310-96BB-0468C05F3116}" destId="{CB484849-A58C-403B-BE62-FAD20DCEA897}" srcOrd="0" destOrd="13" presId="urn:microsoft.com/office/officeart/2005/8/layout/list1"/>
    <dgm:cxn modelId="{6C0E547A-AED9-4180-A6F3-3E7F27499773}" srcId="{5C69E173-182B-4E03-963D-32597C0342D2}" destId="{95D54D91-297A-4303-B103-40EAB38826D4}" srcOrd="62" destOrd="0" parTransId="{7F922860-1308-445D-B6A4-FAD743811EEA}" sibTransId="{7F9919F3-07DB-4C5B-AED4-7A37D60FDE61}"/>
    <dgm:cxn modelId="{4FF4DAD4-30E5-4A77-8A98-89F01702A8C6}" srcId="{85A7569B-6F73-4E04-8B9E-333372741083}" destId="{7836BF7A-1DA9-421C-8008-85D50DC8A052}" srcOrd="56" destOrd="0" parTransId="{423DEBA3-2B53-49EB-A633-40AD5F1A9C56}" sibTransId="{C398A6DE-3D62-4D50-9BDC-B8B3D1DAE22A}"/>
    <dgm:cxn modelId="{0359713F-C5A3-499E-B16F-BE772AC7945A}" srcId="{97AA3ADE-843A-4221-84AF-DB3AA8600E3A}" destId="{CFE4E306-E31C-481A-8A65-C6CD9ED090DD}" srcOrd="70" destOrd="0" parTransId="{EE4A810D-EC4A-42BF-9BBD-C6439E688A5E}" sibTransId="{98F14129-6CAD-4107-96CF-F30D1F399745}"/>
    <dgm:cxn modelId="{2EBC4865-1B37-420A-9C7F-AE7A1C2FF8CF}" srcId="{5C69E173-182B-4E03-963D-32597C0342D2}" destId="{39FA03CD-5C19-4255-85B8-5B8DFE67FF4D}" srcOrd="44" destOrd="0" parTransId="{5A295796-011F-44F2-B822-CA82B3BCFAA6}" sibTransId="{223B7F7A-B7FE-444C-AFC6-C64B6955D1DE}"/>
    <dgm:cxn modelId="{E6278660-8AA5-4E4B-87D8-5108A0348D9B}" type="presOf" srcId="{51DE06A6-566F-4A65-8D65-704EDBBDFCD1}" destId="{AD23FFB9-2542-4B31-80E2-741BD5F0A76B}" srcOrd="0" destOrd="13" presId="urn:microsoft.com/office/officeart/2005/8/layout/list1"/>
    <dgm:cxn modelId="{8422D9CD-24FA-49A8-8A1C-F9519E5DA90F}" type="presOf" srcId="{964D0F37-81EC-4462-9AB8-809FC889CB5C}" destId="{DD9E5413-5447-4D82-930B-572E7D8779E8}" srcOrd="0" destOrd="34" presId="urn:microsoft.com/office/officeart/2005/8/layout/list1"/>
    <dgm:cxn modelId="{1FBBE27D-A369-43C9-B59E-DC6256672C7F}" type="presOf" srcId="{C61C1A3B-2D14-49C3-A040-6C1CB7F5FE4C}" destId="{817CDDC7-4A1A-4DD3-BC8B-78FCA99C23C1}" srcOrd="0" destOrd="4" presId="urn:microsoft.com/office/officeart/2005/8/layout/list1"/>
    <dgm:cxn modelId="{CE9F4745-E2C2-48C2-9EFF-1AEF76225E05}" type="presOf" srcId="{7400569C-7092-40BA-A872-410828050381}" destId="{7487FDEE-AAC7-4F87-A642-B31566E7B464}" srcOrd="0" destOrd="1" presId="urn:microsoft.com/office/officeart/2005/8/layout/list1"/>
    <dgm:cxn modelId="{92E7E978-C6D6-46AB-9F44-19E93E5BB1CA}" srcId="{43EE3679-5B1F-45D4-ADA6-461661E67B3C}" destId="{40010136-2720-4675-8DE2-A335A2335E16}" srcOrd="23" destOrd="0" parTransId="{9FB4A881-8942-4EC2-9EE7-0234AD39502C}" sibTransId="{A9FF774F-F9E9-44A9-B4F3-B8CA8E563076}"/>
    <dgm:cxn modelId="{850B0F04-0D77-420F-8BFB-3B6670711958}" type="presOf" srcId="{0F61C8F9-664D-4042-B267-6FBF9B21B7C3}" destId="{AD23FFB9-2542-4B31-80E2-741BD5F0A76B}" srcOrd="0" destOrd="59" presId="urn:microsoft.com/office/officeart/2005/8/layout/list1"/>
    <dgm:cxn modelId="{FFA9E8B6-D4E4-4B6E-ABC5-F2CE45F324CC}" type="presOf" srcId="{7CC85F6A-466A-450F-B75C-E213B51B19F9}" destId="{7487FDEE-AAC7-4F87-A642-B31566E7B464}" srcOrd="0" destOrd="29" presId="urn:microsoft.com/office/officeart/2005/8/layout/list1"/>
    <dgm:cxn modelId="{B86A1EC4-A607-42A5-8BEF-11F076B8205B}" type="presOf" srcId="{1772A730-61C8-43AD-9D1F-AF1CCD0C5CE9}" destId="{DD9E5413-5447-4D82-930B-572E7D8779E8}" srcOrd="0" destOrd="24" presId="urn:microsoft.com/office/officeart/2005/8/layout/list1"/>
    <dgm:cxn modelId="{4B63BDEA-97F6-4377-B0FE-87B3E8A560AE}" type="presOf" srcId="{B42E4EB9-12C4-4026-843E-BCDEB3C93A27}" destId="{044B49A3-7F5D-49D0-A1A1-64AB6D7494E4}" srcOrd="0" destOrd="23" presId="urn:microsoft.com/office/officeart/2005/8/layout/list1"/>
    <dgm:cxn modelId="{893326AB-31F1-470F-91FE-03CB729F6B92}" type="presOf" srcId="{CFCD93DC-3776-41CF-9153-2D9ABD944F5A}" destId="{CB484849-A58C-403B-BE62-FAD20DCEA897}" srcOrd="0" destOrd="11" presId="urn:microsoft.com/office/officeart/2005/8/layout/list1"/>
    <dgm:cxn modelId="{38AFE76B-EE3A-432D-BA11-3FE290F9F43E}" srcId="{5C69E173-182B-4E03-963D-32597C0342D2}" destId="{86FB5C4C-E951-48BC-8501-4936FC0C8C05}" srcOrd="30" destOrd="0" parTransId="{86CD60F2-4B94-4C1F-BB0F-14AA4AF2D79E}" sibTransId="{4D847F96-11F3-4631-92C5-4B54E9BF43C4}"/>
    <dgm:cxn modelId="{840A2D9F-178F-445C-9CFC-06DB06224B4A}" srcId="{6DFB072F-1880-4BF3-8099-F56A0DCDC680}" destId="{82F95F00-5EA2-4310-96BB-0468C05F3116}" srcOrd="13" destOrd="0" parTransId="{C7B6D8DD-76BC-46E2-8365-256EC243C392}" sibTransId="{92ECD9BF-9BC0-434C-BD7F-7AE2AB346C5C}"/>
    <dgm:cxn modelId="{745519D2-2F65-4A13-9838-4DE199A22A14}" type="presOf" srcId="{379E2168-CEFE-4A0D-98CF-BDAEF6D2900E}" destId="{DD9E5413-5447-4D82-930B-572E7D8779E8}" srcOrd="0" destOrd="1" presId="urn:microsoft.com/office/officeart/2005/8/layout/list1"/>
    <dgm:cxn modelId="{DEEC19A2-C302-4FFC-843C-C1C2AB99C6EA}" type="presOf" srcId="{93ED1C98-F4B9-4E97-AE9E-DBDE1595535D}" destId="{AD23FFB9-2542-4B31-80E2-741BD5F0A76B}" srcOrd="0" destOrd="38" presId="urn:microsoft.com/office/officeart/2005/8/layout/list1"/>
    <dgm:cxn modelId="{0806C063-E122-4A92-A69D-E70EDC9CC266}" type="presOf" srcId="{B07B55D8-49CB-462C-B60B-E480211A09B1}" destId="{DD9E5413-5447-4D82-930B-572E7D8779E8}" srcOrd="0" destOrd="52" presId="urn:microsoft.com/office/officeart/2005/8/layout/list1"/>
    <dgm:cxn modelId="{2FA93FF5-097D-4355-82C3-71A11D156526}" type="presOf" srcId="{B1F8A4E2-330D-45F9-BC11-21CA8FEAED6E}" destId="{817CDDC7-4A1A-4DD3-BC8B-78FCA99C23C1}" srcOrd="0" destOrd="16" presId="urn:microsoft.com/office/officeart/2005/8/layout/list1"/>
    <dgm:cxn modelId="{1BB2DA5D-BF23-4818-B268-3CBF10136BC5}" type="presOf" srcId="{8D931060-1DE2-4167-AC07-F54E47DD4900}" destId="{AD23FFB9-2542-4B31-80E2-741BD5F0A76B}" srcOrd="0" destOrd="40" presId="urn:microsoft.com/office/officeart/2005/8/layout/list1"/>
    <dgm:cxn modelId="{DCF0FB1B-F4E2-4A81-B4EF-2A50E03B54C6}" type="presOf" srcId="{ED7E83A3-A70C-48B0-B438-62ACEDF46A14}" destId="{7487FDEE-AAC7-4F87-A642-B31566E7B464}" srcOrd="0" destOrd="26" presId="urn:microsoft.com/office/officeart/2005/8/layout/list1"/>
    <dgm:cxn modelId="{E2B3A375-00F6-49CD-AC14-02162448CB79}" type="presOf" srcId="{72B71333-41D7-4EF8-80F1-C14B2CF1A583}" destId="{044B49A3-7F5D-49D0-A1A1-64AB6D7494E4}" srcOrd="0" destOrd="2" presId="urn:microsoft.com/office/officeart/2005/8/layout/list1"/>
    <dgm:cxn modelId="{0BBFC831-EE08-4D38-8F2E-169855654679}" type="presOf" srcId="{F508D81E-351E-4D7F-AB48-C473D83EC229}" destId="{AD23FFB9-2542-4B31-80E2-741BD5F0A76B}" srcOrd="0" destOrd="37" presId="urn:microsoft.com/office/officeart/2005/8/layout/list1"/>
    <dgm:cxn modelId="{9244367D-E11A-4994-922A-E90510BC51F2}" srcId="{97AA3ADE-843A-4221-84AF-DB3AA8600E3A}" destId="{F249BA24-8ABA-45F7-9385-B533260FC69C}" srcOrd="7" destOrd="0" parTransId="{9DA27671-9825-4F46-988D-CC03ED62C5A5}" sibTransId="{3921E930-8004-4469-8E8C-71A750660750}"/>
    <dgm:cxn modelId="{71B1A098-F57F-4947-8BCA-4741E04A6F2F}" type="presOf" srcId="{D569B458-DA00-4C32-A8C1-10274DD8A74F}" destId="{DD9E5413-5447-4D82-930B-572E7D8779E8}" srcOrd="0" destOrd="12" presId="urn:microsoft.com/office/officeart/2005/8/layout/list1"/>
    <dgm:cxn modelId="{268A6585-F0AD-4A9D-B0DA-85646ACCD7D3}" type="presOf" srcId="{890AF207-1C76-4D3B-A60D-162E43824B7C}" destId="{7487FDEE-AAC7-4F87-A642-B31566E7B464}" srcOrd="0" destOrd="68" presId="urn:microsoft.com/office/officeart/2005/8/layout/list1"/>
    <dgm:cxn modelId="{68FFE535-2441-4F6D-958C-881F4BC877C2}" srcId="{97AA3ADE-843A-4221-84AF-DB3AA8600E3A}" destId="{F9EB80E7-8F5C-4C1C-94E9-7CE902579E9F}" srcOrd="60" destOrd="0" parTransId="{93E9E2AE-C11B-4B6B-AFCC-4197A05117C3}" sibTransId="{AD369A30-004C-4962-A46C-F268849A8685}"/>
    <dgm:cxn modelId="{E36FE826-CB2E-46BF-A302-2EEE465CEEAC}" srcId="{5C69E173-182B-4E03-963D-32597C0342D2}" destId="{BC39719C-BDC7-4DB6-9680-1B9F18E1EF41}" srcOrd="39" destOrd="0" parTransId="{BC36827C-5686-4896-8AAF-C03455F2F809}" sibTransId="{07F7C879-6ACD-4926-AFF4-253686BDA3BF}"/>
    <dgm:cxn modelId="{F3187F68-4E91-4BA4-8FE4-197D0F39DDA3}" srcId="{FA9AFF69-10CB-42A1-A2FB-3BAC1428CCFE}" destId="{8775D297-8265-48F1-8248-DFE626AE07FD}" srcOrd="14" destOrd="0" parTransId="{7FC8158A-A760-4292-AF93-BEEE1A5E4AF6}" sibTransId="{234B9EE9-013E-4C40-87C7-1332CDACEA52}"/>
    <dgm:cxn modelId="{633E1D9D-B9A2-4B10-A06B-96E70822C26E}" srcId="{85A7569B-6F73-4E04-8B9E-333372741083}" destId="{AB4D5BF1-4DEC-4A00-B2E3-37E17C9862AC}" srcOrd="48" destOrd="0" parTransId="{FF36A158-62D1-4F0C-AFEC-5E4EB544A171}" sibTransId="{76DDCB8E-666E-4090-8870-AC1D3AC36D3D}"/>
    <dgm:cxn modelId="{5B66F036-332F-42FD-B7E7-48E0C5773FF6}" srcId="{5C69E173-182B-4E03-963D-32597C0342D2}" destId="{8B30C0DC-2F30-425D-9AE9-0A2F0EC6ED06}" srcOrd="41" destOrd="0" parTransId="{A3C042FD-6DFF-48A4-B71B-3B9C4533806C}" sibTransId="{22F4DE95-E205-41C0-B73A-23B81E5FEF08}"/>
    <dgm:cxn modelId="{C04AD9C1-3A25-428B-A003-8A39A5A799B2}" srcId="{6DFB072F-1880-4BF3-8099-F56A0DCDC680}" destId="{46D7520A-7710-4087-BF32-529AC8FD0066}" srcOrd="22" destOrd="0" parTransId="{1FEA1DC2-1760-4987-AE8D-10C01531BC3F}" sibTransId="{2FED8D15-DAEE-4082-8F79-9BED137565C1}"/>
    <dgm:cxn modelId="{FB889BF1-9C0F-4109-BFB6-C5A1FBA615AD}" type="presOf" srcId="{02F0EFF6-DA01-499D-BFA8-64A6B1825AEC}" destId="{AD23FFB9-2542-4B31-80E2-741BD5F0A76B}" srcOrd="0" destOrd="17" presId="urn:microsoft.com/office/officeart/2005/8/layout/list1"/>
    <dgm:cxn modelId="{AB95349A-D58D-428A-968B-932E972C67F4}" type="presOf" srcId="{111EAA59-C0C3-4EBF-94E1-0E64568A820F}" destId="{AD23FFB9-2542-4B31-80E2-741BD5F0A76B}" srcOrd="0" destOrd="0" presId="urn:microsoft.com/office/officeart/2005/8/layout/list1"/>
    <dgm:cxn modelId="{8F51C9FD-D490-451A-80E5-10D600D8C71D}" type="presOf" srcId="{E03DE4BD-C177-467A-8A75-F2DD1BB6BFC3}" destId="{AD23FFB9-2542-4B31-80E2-741BD5F0A76B}" srcOrd="0" destOrd="56" presId="urn:microsoft.com/office/officeart/2005/8/layout/list1"/>
    <dgm:cxn modelId="{7952C811-CC23-4D8B-9A79-17761C4D76C1}" type="presOf" srcId="{B3D65324-7590-4073-AA5E-350968E969EC}" destId="{CB484849-A58C-403B-BE62-FAD20DCEA897}" srcOrd="0" destOrd="33" presId="urn:microsoft.com/office/officeart/2005/8/layout/list1"/>
    <dgm:cxn modelId="{FFE7AF18-64D0-461B-A762-18EBDFF037E5}" type="presOf" srcId="{A179657B-735D-47D8-9B3C-640012840129}" destId="{DD9E5413-5447-4D82-930B-572E7D8779E8}" srcOrd="0" destOrd="21" presId="urn:microsoft.com/office/officeart/2005/8/layout/list1"/>
    <dgm:cxn modelId="{BEC4B521-D21B-42EF-B463-E01992E454F9}" type="presOf" srcId="{AE0DAB38-31DD-4CDA-8940-640FDC714FE0}" destId="{CB484849-A58C-403B-BE62-FAD20DCEA897}" srcOrd="0" destOrd="0" presId="urn:microsoft.com/office/officeart/2005/8/layout/list1"/>
    <dgm:cxn modelId="{29542979-3D52-46A0-AAA8-656E2F6D0864}" srcId="{97AA3ADE-843A-4221-84AF-DB3AA8600E3A}" destId="{E03DE4BD-C177-467A-8A75-F2DD1BB6BFC3}" srcOrd="56" destOrd="0" parTransId="{BE9E7DCF-E5D8-42A1-BD50-4DE4E325FA7C}" sibTransId="{A159514A-C668-40B3-9946-F7901C18A2D7}"/>
    <dgm:cxn modelId="{57ECF6F6-B708-41F9-8333-221F8CD52FE9}" srcId="{85A7569B-6F73-4E04-8B9E-333372741083}" destId="{EE3C9A41-8686-4007-9785-3DB83BA1F28A}" srcOrd="10" destOrd="0" parTransId="{2F824861-380E-4ADE-B49F-A0785255C185}" sibTransId="{87AA6BC6-588B-406C-AD07-5ED672FB8C4A}"/>
    <dgm:cxn modelId="{C67E6E24-3CF5-4C6E-973A-3B5C9E3C3FFB}" type="presOf" srcId="{81A5DAA0-EA09-489E-AA76-58436949D515}" destId="{817CDDC7-4A1A-4DD3-BC8B-78FCA99C23C1}" srcOrd="0" destOrd="19" presId="urn:microsoft.com/office/officeart/2005/8/layout/list1"/>
    <dgm:cxn modelId="{61B2ABC4-7046-462A-B3A9-48DD6799952D}" srcId="{6DFB072F-1880-4BF3-8099-F56A0DCDC680}" destId="{E74F38C4-5BA6-4E15-9040-2F101595A4A3}" srcOrd="5" destOrd="0" parTransId="{EA99BCAA-0AB9-44D2-822A-3DB0AB0DB2FB}" sibTransId="{B307A555-6BB1-4154-86D3-A20CDABCCBDC}"/>
    <dgm:cxn modelId="{11630596-DE3D-470C-9755-DE261916FCA5}" type="presOf" srcId="{37ABE151-C7E8-4F78-A855-C37F207D829C}" destId="{044B49A3-7F5D-49D0-A1A1-64AB6D7494E4}" srcOrd="0" destOrd="0" presId="urn:microsoft.com/office/officeart/2005/8/layout/list1"/>
    <dgm:cxn modelId="{0711B914-666C-4446-BA77-914C8A7466AA}" type="presOf" srcId="{9CE50C96-D2CB-46D2-95B8-13FE58D52A99}" destId="{7487FDEE-AAC7-4F87-A642-B31566E7B464}" srcOrd="0" destOrd="7" presId="urn:microsoft.com/office/officeart/2005/8/layout/list1"/>
    <dgm:cxn modelId="{ACFEA52E-8B0D-4565-BAC6-09FBDCEC23E7}" type="presOf" srcId="{0C7F7F6F-2A95-47C0-84BA-6FD79344027F}" destId="{DD9E5413-5447-4D82-930B-572E7D8779E8}" srcOrd="0" destOrd="14" presId="urn:microsoft.com/office/officeart/2005/8/layout/list1"/>
    <dgm:cxn modelId="{5DAAE5ED-2206-4805-8E0A-F33250CE8C38}" srcId="{43EE3679-5B1F-45D4-ADA6-461661E67B3C}" destId="{05F0C44D-3D18-41CB-9BB7-7B30DBFB0279}" srcOrd="7" destOrd="0" parTransId="{7D67A7AD-272A-49E2-8684-F29FACBDA606}" sibTransId="{D027E6B1-0D44-4A1C-867A-E4B09AC190D1}"/>
    <dgm:cxn modelId="{7039E968-BF62-45A1-A33F-CDC19DC067E7}" srcId="{FA9AFF69-10CB-42A1-A2FB-3BAC1428CCFE}" destId="{AF979D34-E1E9-4830-88CB-B031ACF2B489}" srcOrd="17" destOrd="0" parTransId="{6C698427-9818-4CD0-8A66-95139BB28B19}" sibTransId="{19F501DD-C246-469C-878D-E8728888AE71}"/>
    <dgm:cxn modelId="{80324003-85B9-46DA-AC5E-7E18D26821B1}" type="presOf" srcId="{AB4382B6-223F-49B3-A21F-E565EBC33DC1}" destId="{044B49A3-7F5D-49D0-A1A1-64AB6D7494E4}" srcOrd="0" destOrd="15" presId="urn:microsoft.com/office/officeart/2005/8/layout/list1"/>
    <dgm:cxn modelId="{6B6A60AA-0094-492F-8306-BC01280FDFCB}" srcId="{97AA3ADE-843A-4221-84AF-DB3AA8600E3A}" destId="{87210274-0E5B-448B-B2E6-0B020A425806}" srcOrd="31" destOrd="0" parTransId="{9D047452-CF38-451F-A4EF-F43A6EDB493B}" sibTransId="{2F403E17-90B7-4E86-A4B3-3714210F8964}"/>
    <dgm:cxn modelId="{7BA2158A-B622-4CC8-A56E-1C5E7F74DDE9}" srcId="{97AA3ADE-843A-4221-84AF-DB3AA8600E3A}" destId="{8717BB02-EBA0-4B72-AAAC-D635673545DC}" srcOrd="41" destOrd="0" parTransId="{A26801DD-0D81-4983-82C7-90C7FE25C8BF}" sibTransId="{0A3AF683-34EA-4319-B4AC-C489783F34F6}"/>
    <dgm:cxn modelId="{948B44C1-73D8-490D-B434-9D183AD53BCB}" type="presOf" srcId="{812B6F80-6D4E-47F4-8099-27F73EFC2567}" destId="{CB484849-A58C-403B-BE62-FAD20DCEA897}" srcOrd="0" destOrd="16" presId="urn:microsoft.com/office/officeart/2005/8/layout/list1"/>
    <dgm:cxn modelId="{9D0A09BB-9286-4C84-9B8D-0E33C0914D80}" type="presOf" srcId="{43D28148-2E4B-452F-9124-B057404970B1}" destId="{AD23FFB9-2542-4B31-80E2-741BD5F0A76B}" srcOrd="0" destOrd="65" presId="urn:microsoft.com/office/officeart/2005/8/layout/list1"/>
    <dgm:cxn modelId="{6B07ACD8-DD17-4228-9E94-83BCE4CE0FC0}" type="presOf" srcId="{03620784-D4CC-4D2E-B7BB-A6842A179540}" destId="{DD9E5413-5447-4D82-930B-572E7D8779E8}" srcOrd="0" destOrd="28" presId="urn:microsoft.com/office/officeart/2005/8/layout/list1"/>
    <dgm:cxn modelId="{D304536F-21A5-4858-AA21-8C3D593AED75}" srcId="{85A7569B-6F73-4E04-8B9E-333372741083}" destId="{62A8B3AC-49EF-4F3D-8B59-66F30D02146A}" srcOrd="29" destOrd="0" parTransId="{1C0476B4-9FB0-47CC-88E8-49F83305544E}" sibTransId="{A012A350-BA77-4291-AA0E-2241DD56DDB9}"/>
    <dgm:cxn modelId="{3E700E5B-B7C9-4A77-B99B-7BB09057B8E0}" srcId="{5C69E173-182B-4E03-963D-32597C0342D2}" destId="{A22686C6-9E12-492C-B0FB-A006F31098D6}" srcOrd="77" destOrd="0" parTransId="{898D7D5D-6FCB-43B0-BE1B-48E9CAC83F0D}" sibTransId="{BAE2B27C-557D-421E-8090-7E68FE2D59D7}"/>
    <dgm:cxn modelId="{DBA4BE41-4B2E-40A1-9D91-93FF602FAAE2}" srcId="{5C69E173-182B-4E03-963D-32597C0342D2}" destId="{CE0012F6-6CF2-4333-8C08-93B024450F78}" srcOrd="40" destOrd="0" parTransId="{F72103A8-B2E8-47C6-87A1-5F44CE2C02A3}" sibTransId="{8089A49C-BAAD-4EF6-BFD0-3D432A19C662}"/>
    <dgm:cxn modelId="{6E58699B-FA9E-408E-8EB5-86EB60BF8120}" srcId="{97AA3ADE-843A-4221-84AF-DB3AA8600E3A}" destId="{6F69C36B-E419-42EA-8B31-6A7D88E13614}" srcOrd="21" destOrd="0" parTransId="{32D3D914-E17C-40D4-82EE-524AE922DC9B}" sibTransId="{0E429BCC-3CCB-4290-9456-CB9196153908}"/>
    <dgm:cxn modelId="{F2134F37-8EAE-4EB0-ABF6-2B7AE490572D}" type="presOf" srcId="{269587FD-D7A5-4DDD-9B70-CD29C2D9AC53}" destId="{7487FDEE-AAC7-4F87-A642-B31566E7B464}" srcOrd="0" destOrd="13" presId="urn:microsoft.com/office/officeart/2005/8/layout/list1"/>
    <dgm:cxn modelId="{0FEE7885-4599-4575-8DA5-B7F08EB90DE1}" type="presOf" srcId="{3952DF2A-A7E9-48ED-B6B1-5C4DFFDAA81D}" destId="{AD23FFB9-2542-4B31-80E2-741BD5F0A76B}" srcOrd="0" destOrd="1" presId="urn:microsoft.com/office/officeart/2005/8/layout/list1"/>
    <dgm:cxn modelId="{115D861A-2D45-46A7-9431-2E8579643A2E}" srcId="{FA9AFF69-10CB-42A1-A2FB-3BAC1428CCFE}" destId="{8DB1FF82-B673-4C7B-B1ED-2D5F648026AA}" srcOrd="20" destOrd="0" parTransId="{FD12697A-A55B-443B-B804-1717E3D6F9FD}" sibTransId="{49F1B785-68D8-487E-B94B-4557C8939BF9}"/>
    <dgm:cxn modelId="{ED64FEE3-1CB9-49A7-AD01-E46EC9E9A4FB}" srcId="{85A7569B-6F73-4E04-8B9E-333372741083}" destId="{3867DE8D-0BBB-4570-8471-674A140BAA23}" srcOrd="20" destOrd="0" parTransId="{4C432E34-4B7F-4BD7-BBD2-4EE128C671B9}" sibTransId="{5D337673-C312-4E34-AC91-AF625486DE5A}"/>
    <dgm:cxn modelId="{ADE8CB39-A0D4-4368-8C86-68E6022B363F}" type="presOf" srcId="{5C69E173-182B-4E03-963D-32597C0342D2}" destId="{F040162A-9EF5-4D83-BF3B-9CA6D275C82B}" srcOrd="0" destOrd="0" presId="urn:microsoft.com/office/officeart/2005/8/layout/list1"/>
    <dgm:cxn modelId="{A31F7B29-0EEC-4176-8159-DEB0A95090EF}" type="presOf" srcId="{7640DC9A-8BC7-4855-A6E3-F601DECD9C2C}" destId="{DD9E5413-5447-4D82-930B-572E7D8779E8}" srcOrd="0" destOrd="31" presId="urn:microsoft.com/office/officeart/2005/8/layout/list1"/>
    <dgm:cxn modelId="{FDB6B117-1E80-402C-92CA-7153C2BA276A}" type="presOf" srcId="{C14D43FD-4849-43F7-B400-F5536ACA1D14}" destId="{DD9E5413-5447-4D82-930B-572E7D8779E8}" srcOrd="0" destOrd="27" presId="urn:microsoft.com/office/officeart/2005/8/layout/list1"/>
    <dgm:cxn modelId="{2C5B57F5-A3B5-446C-9159-D638D771D033}" srcId="{5C69E173-182B-4E03-963D-32597C0342D2}" destId="{9159F58C-3609-4AB6-BBA5-1E1D80AE4FD2}" srcOrd="27" destOrd="0" parTransId="{B9C3711D-AB0C-41E0-B9F6-89C70B9CDF94}" sibTransId="{698C5EEB-672B-46D7-9F77-05B330CC1411}"/>
    <dgm:cxn modelId="{8CA57AC1-B39E-43A6-8683-EED166F0A428}" srcId="{97AA3ADE-843A-4221-84AF-DB3AA8600E3A}" destId="{9B408AFC-616D-4D2F-80D5-03BF6AFBF57D}" srcOrd="55" destOrd="0" parTransId="{83653EE6-4B73-43DF-81E8-7C2454D1CEE6}" sibTransId="{D51E9E4B-7C8B-4476-AF51-7D945C9D5A73}"/>
    <dgm:cxn modelId="{90A631DE-B052-4134-8B69-A33539BEF05D}" srcId="{85A7569B-6F73-4E04-8B9E-333372741083}" destId="{B07B55D8-49CB-462C-B60B-E480211A09B1}" srcOrd="52" destOrd="0" parTransId="{7CC57DA2-F02D-4A23-9347-5809F9CA117B}" sibTransId="{02973B8C-EF81-40A3-A968-824284FCE779}"/>
    <dgm:cxn modelId="{6C488070-C4C5-4C9E-BC10-5FE46986C2E1}" type="presOf" srcId="{F24738DB-C2B9-4588-A789-842132B11273}" destId="{CB484849-A58C-403B-BE62-FAD20DCEA897}" srcOrd="0" destOrd="28" presId="urn:microsoft.com/office/officeart/2005/8/layout/list1"/>
    <dgm:cxn modelId="{DE4F9625-9317-4BF8-BC01-BAD704B0CDD5}" type="presOf" srcId="{86302552-049E-4EED-AD5C-F9F0260AB268}" destId="{AD23FFB9-2542-4B31-80E2-741BD5F0A76B}" srcOrd="0" destOrd="20" presId="urn:microsoft.com/office/officeart/2005/8/layout/list1"/>
    <dgm:cxn modelId="{EEE1E8EE-3C36-4D88-BE48-FB3213F17D0B}" type="presOf" srcId="{8A834263-8058-4873-8A9D-433614E57849}" destId="{CB484849-A58C-403B-BE62-FAD20DCEA897}" srcOrd="0" destOrd="1" presId="urn:microsoft.com/office/officeart/2005/8/layout/list1"/>
    <dgm:cxn modelId="{4079F008-E9F4-4468-BC0F-414DB368F76A}" srcId="{85A7569B-6F73-4E04-8B9E-333372741083}" destId="{5ED8B731-7BEF-473D-AE62-E6F13DBA03D1}" srcOrd="51" destOrd="0" parTransId="{6E6B79DB-1FEA-4C48-80E8-C1ED3C8F7D13}" sibTransId="{51CEB82C-8F1D-4DE8-A4D8-4BB5155B1D3E}"/>
    <dgm:cxn modelId="{6642DF3C-F395-4C5B-8155-95CB2B31AC8D}" type="presOf" srcId="{DF7C2977-587C-4745-8C8F-BE7227521219}" destId="{817CDDC7-4A1A-4DD3-BC8B-78FCA99C23C1}" srcOrd="0" destOrd="12" presId="urn:microsoft.com/office/officeart/2005/8/layout/list1"/>
    <dgm:cxn modelId="{2AC84C4B-5FA1-4922-B236-9A4FAE05027A}" srcId="{5C69E173-182B-4E03-963D-32597C0342D2}" destId="{8D3D472F-2BC7-4A9A-8FE7-8643B72DF6E2}" srcOrd="75" destOrd="0" parTransId="{94687B54-FC10-4309-BED2-DF8DB9FC1A70}" sibTransId="{65E0D16F-5A42-4576-8F5E-472BB1B483D8}"/>
    <dgm:cxn modelId="{6C4C5633-9FD9-4B67-90F9-3ADB1022F89A}" srcId="{97AA3ADE-843A-4221-84AF-DB3AA8600E3A}" destId="{A8B37E5E-5E90-4BE9-8596-CBE1E1E7A4A8}" srcOrd="48" destOrd="0" parTransId="{F892F4F3-B24B-4760-BFF9-7868B70DE838}" sibTransId="{237E8CD3-5925-4649-80CC-6A1789B1D6CD}"/>
    <dgm:cxn modelId="{07D3FC8E-ACB8-4F27-AA23-91693BE2E34E}" type="presOf" srcId="{40010136-2720-4675-8DE2-A335A2335E16}" destId="{817CDDC7-4A1A-4DD3-BC8B-78FCA99C23C1}" srcOrd="0" destOrd="23" presId="urn:microsoft.com/office/officeart/2005/8/layout/list1"/>
    <dgm:cxn modelId="{22C3993E-7676-4B8E-B65D-4E7D38006AB0}" type="presOf" srcId="{B05989C0-8E33-4749-B7F3-45E0DC318DAC}" destId="{7487FDEE-AAC7-4F87-A642-B31566E7B464}" srcOrd="0" destOrd="4" presId="urn:microsoft.com/office/officeart/2005/8/layout/list1"/>
    <dgm:cxn modelId="{B28A876B-C271-4630-9A63-288912FD1326}" srcId="{6DFB072F-1880-4BF3-8099-F56A0DCDC680}" destId="{F24738DB-C2B9-4588-A789-842132B11273}" srcOrd="28" destOrd="0" parTransId="{5C96FEF5-F250-4941-8CB0-9798522A7CFE}" sibTransId="{38D3A872-6259-41EE-8EAA-CC2C40CCFB7C}"/>
    <dgm:cxn modelId="{94178D53-52F6-4C15-9097-AC68247E18AB}" type="presOf" srcId="{C9E1D1FA-DE0A-485A-94BA-9A707D8772C4}" destId="{DD9E5413-5447-4D82-930B-572E7D8779E8}" srcOrd="0" destOrd="19" presId="urn:microsoft.com/office/officeart/2005/8/layout/list1"/>
    <dgm:cxn modelId="{6D438F91-90BA-4F64-B2F4-672D6262D65E}" srcId="{85A7569B-6F73-4E04-8B9E-333372741083}" destId="{80B67DCC-F7CC-4902-B5C3-76056305FAE0}" srcOrd="0" destOrd="0" parTransId="{EC0E4AB8-B2BA-4DFF-9C96-5E87AE35A95D}" sibTransId="{3D26FA46-7C0F-4D92-874B-FD1D3F01726E}"/>
    <dgm:cxn modelId="{5C462C11-A57D-4AE4-AA30-FB1C71538543}" type="presOf" srcId="{E74F38C4-5BA6-4E15-9040-2F101595A4A3}" destId="{CB484849-A58C-403B-BE62-FAD20DCEA897}" srcOrd="0" destOrd="5" presId="urn:microsoft.com/office/officeart/2005/8/layout/list1"/>
    <dgm:cxn modelId="{89C7AF7F-2FF0-4CB2-9157-E651387DA989}" type="presOf" srcId="{5702D32D-758F-4413-A7A5-84DCAD46E861}" destId="{AD23FFB9-2542-4B31-80E2-741BD5F0A76B}" srcOrd="0" destOrd="39" presId="urn:microsoft.com/office/officeart/2005/8/layout/list1"/>
    <dgm:cxn modelId="{5316218A-D6F3-4F29-A0AD-D9D2AF9BB00E}" type="presOf" srcId="{2E53D7F1-E264-41DC-971B-CFA6D67D888C}" destId="{DD9E5413-5447-4D82-930B-572E7D8779E8}" srcOrd="0" destOrd="7" presId="urn:microsoft.com/office/officeart/2005/8/layout/list1"/>
    <dgm:cxn modelId="{425A9B08-89A0-4159-A961-4D2C7BB0C367}" type="presOf" srcId="{328917C9-1FBA-4E92-B042-E32E7DB4794B}" destId="{044B49A3-7F5D-49D0-A1A1-64AB6D7494E4}" srcOrd="0" destOrd="19" presId="urn:microsoft.com/office/officeart/2005/8/layout/list1"/>
    <dgm:cxn modelId="{440B9464-4300-43D4-951B-CD2D13261740}" srcId="{FA9AFF69-10CB-42A1-A2FB-3BAC1428CCFE}" destId="{0C9FB0D3-4FF9-41CF-9291-F3C2895AF73C}" srcOrd="1" destOrd="0" parTransId="{1C71808C-3634-4959-8AA6-2B2CDF2ADC78}" sibTransId="{5A42B75E-D9C9-4ABE-A470-5566F712C993}"/>
    <dgm:cxn modelId="{FE0959B0-431B-4052-98D8-A74D29F5D1FA}" type="presOf" srcId="{42CB83BB-A41C-40CB-B8A3-3B9742D09025}" destId="{DD9E5413-5447-4D82-930B-572E7D8779E8}" srcOrd="0" destOrd="30" presId="urn:microsoft.com/office/officeart/2005/8/layout/list1"/>
    <dgm:cxn modelId="{1653AC50-C359-41BE-BCF1-FDF50AA5D17C}" srcId="{97AA3ADE-843A-4221-84AF-DB3AA8600E3A}" destId="{45348A1B-87AC-480D-ADFE-78B28081D0B7}" srcOrd="66" destOrd="0" parTransId="{A4F04C45-3B96-4D9B-9E42-76C969256931}" sibTransId="{B026B334-154C-4E1C-B28E-2F55EAD8F3C6}"/>
    <dgm:cxn modelId="{C55CD98C-1433-42FD-88D0-2EFF7D36020D}" type="presOf" srcId="{A8B37E5E-5E90-4BE9-8596-CBE1E1E7A4A8}" destId="{AD23FFB9-2542-4B31-80E2-741BD5F0A76B}" srcOrd="0" destOrd="48" presId="urn:microsoft.com/office/officeart/2005/8/layout/list1"/>
    <dgm:cxn modelId="{EF527653-272A-47FE-9175-C2A605DDF64F}" type="presOf" srcId="{6C882D9C-25AA-4BAD-A298-8A19EA132F9D}" destId="{817CDDC7-4A1A-4DD3-BC8B-78FCA99C23C1}" srcOrd="0" destOrd="9" presId="urn:microsoft.com/office/officeart/2005/8/layout/list1"/>
    <dgm:cxn modelId="{37A0B0B7-A963-4F69-B100-6C6E64991DF4}" srcId="{85A7569B-6F73-4E04-8B9E-333372741083}" destId="{04F0F914-BE19-4DA6-8991-DEC62DB66F41}" srcOrd="17" destOrd="0" parTransId="{2EA75DA4-218A-4772-9FA8-6954BE90775C}" sibTransId="{79E4AB09-7674-469A-B14C-56B9C9D4B436}"/>
    <dgm:cxn modelId="{A70F66DE-41E3-41BC-8429-F363482EB009}" type="presOf" srcId="{22E7D8FD-A909-4A5D-A004-1EB294AE8C96}" destId="{7487FDEE-AAC7-4F87-A642-B31566E7B464}" srcOrd="0" destOrd="79" presId="urn:microsoft.com/office/officeart/2005/8/layout/list1"/>
    <dgm:cxn modelId="{2573E7DB-1B76-4B74-872B-54FCC787BFC1}" srcId="{97AA3ADE-843A-4221-84AF-DB3AA8600E3A}" destId="{0D2854E4-745A-4D90-8B95-CC6426094105}" srcOrd="12" destOrd="0" parTransId="{A1FBAEAC-4311-49BD-8EE9-E48DC1FF4318}" sibTransId="{3DC20867-02C9-4577-8AEC-C73F82F516A3}"/>
    <dgm:cxn modelId="{5E4C08B6-06DA-4578-B3B7-2A36D3B74CDF}" type="presOf" srcId="{8B30C0DC-2F30-425D-9AE9-0A2F0EC6ED06}" destId="{7487FDEE-AAC7-4F87-A642-B31566E7B464}" srcOrd="0" destOrd="41" presId="urn:microsoft.com/office/officeart/2005/8/layout/list1"/>
    <dgm:cxn modelId="{6D6EE961-F852-45D6-8069-62EF36E3ABD8}" srcId="{6DFB072F-1880-4BF3-8099-F56A0DCDC680}" destId="{812B6F80-6D4E-47F4-8099-27F73EFC2567}" srcOrd="16" destOrd="0" parTransId="{9C2A3DFB-5789-401D-AEF1-E6BA31D4396F}" sibTransId="{5EC67A8D-A628-4D09-B54B-E9238CD9C1ED}"/>
    <dgm:cxn modelId="{4892D127-384D-445A-9AA5-09F901B09FE4}" srcId="{5C69E173-182B-4E03-963D-32597C0342D2}" destId="{B08669BB-7CBE-44C9-9559-8E58C73F4AF7}" srcOrd="66" destOrd="0" parTransId="{EDA54075-A171-49DF-8051-FB30439BA8A0}" sibTransId="{652191C0-7D5D-4150-A0B5-8D111076912D}"/>
    <dgm:cxn modelId="{7E4E73EA-BDCA-4C4C-8108-D6E9D1821A1F}" type="presOf" srcId="{C71708E7-818F-490A-96D7-A90FB9D19A71}" destId="{CB484849-A58C-403B-BE62-FAD20DCEA897}" srcOrd="0" destOrd="7" presId="urn:microsoft.com/office/officeart/2005/8/layout/list1"/>
    <dgm:cxn modelId="{A033AA28-41A6-41AD-8CEC-5C6793C06A2E}" type="presOf" srcId="{ACED7B06-4868-4E60-9E8B-D04CB47862FB}" destId="{AD23FFB9-2542-4B31-80E2-741BD5F0A76B}" srcOrd="0" destOrd="63" presId="urn:microsoft.com/office/officeart/2005/8/layout/list1"/>
    <dgm:cxn modelId="{7D8BC915-1198-4568-94BB-8D696B9FFA39}" type="presOf" srcId="{FF8FFBE7-5AB2-4A64-9248-F3FB776E7B67}" destId="{817CDDC7-4A1A-4DD3-BC8B-78FCA99C23C1}" srcOrd="0" destOrd="11" presId="urn:microsoft.com/office/officeart/2005/8/layout/list1"/>
    <dgm:cxn modelId="{17285649-A6D0-4300-9488-1563AFE08C67}" srcId="{FA9AFF69-10CB-42A1-A2FB-3BAC1428CCFE}" destId="{9B80F98E-13DC-446E-93C4-0DF14C26002D}" srcOrd="16" destOrd="0" parTransId="{81FF1257-A628-4DF1-A294-C547865AF321}" sibTransId="{E97BD647-3117-46F9-9A55-2573A9F8A30C}"/>
    <dgm:cxn modelId="{B9DBEF8B-DF5E-4F30-A5D2-EDC710527269}" type="presOf" srcId="{66CA76B8-D291-4127-BE90-6B6224B5A4A5}" destId="{DD9E5413-5447-4D82-930B-572E7D8779E8}" srcOrd="0" destOrd="40" presId="urn:microsoft.com/office/officeart/2005/8/layout/list1"/>
    <dgm:cxn modelId="{0A7A5935-6D97-4314-B22B-00F858B98425}" srcId="{5C69E173-182B-4E03-963D-32597C0342D2}" destId="{B05989C0-8E33-4749-B7F3-45E0DC318DAC}" srcOrd="4" destOrd="0" parTransId="{86EF5578-3E8C-4CC8-8BB1-1337A2677134}" sibTransId="{B355E645-352A-4A27-A56A-3A7981898FBE}"/>
    <dgm:cxn modelId="{486944BE-25C0-4192-8E52-E22E11088CF6}" srcId="{97AA3ADE-843A-4221-84AF-DB3AA8600E3A}" destId="{85BAC962-B892-46B9-B9FD-D29F63460C05}" srcOrd="51" destOrd="0" parTransId="{E1DF7DC9-4EF7-4007-AA89-4138609F5831}" sibTransId="{C3B99C56-2D0C-4D7A-ACDF-5C458AFF34B9}"/>
    <dgm:cxn modelId="{1F3AD11B-AE02-44EF-B1C4-85B969D0FFBE}" type="presOf" srcId="{201D5809-F4C0-44B9-91B0-215B918A22E1}" destId="{AD23FFB9-2542-4B31-80E2-741BD5F0A76B}" srcOrd="0" destOrd="46" presId="urn:microsoft.com/office/officeart/2005/8/layout/list1"/>
    <dgm:cxn modelId="{E939FB50-8C2A-4B22-81E0-EE5A1411EC41}" type="presOf" srcId="{C065A199-19B1-4DD7-9A77-8BFF693DC0D9}" destId="{7487FDEE-AAC7-4F87-A642-B31566E7B464}" srcOrd="0" destOrd="58" presId="urn:microsoft.com/office/officeart/2005/8/layout/list1"/>
    <dgm:cxn modelId="{7BB050D7-5BFE-4568-8CC3-1C275DF644B2}" type="presOf" srcId="{07FF710F-0EF9-4BB0-AB2F-07255FF1E183}" destId="{AD23FFB9-2542-4B31-80E2-741BD5F0A76B}" srcOrd="0" destOrd="19" presId="urn:microsoft.com/office/officeart/2005/8/layout/list1"/>
    <dgm:cxn modelId="{65329843-FFEB-4DA4-9D89-E3CBE0507294}" srcId="{6DFB072F-1880-4BF3-8099-F56A0DCDC680}" destId="{D582AA1C-863E-4956-92A1-58EB07ADB259}" srcOrd="14" destOrd="0" parTransId="{A1E7140E-807A-4B91-A9C3-0E13D26D4CCA}" sibTransId="{2A7E1837-DBED-4A6F-858F-DDE1279028F8}"/>
    <dgm:cxn modelId="{44963FAE-B0FF-4F04-8D38-495F28677232}" srcId="{6DFB072F-1880-4BF3-8099-F56A0DCDC680}" destId="{6323291C-911C-4D66-97B8-FDED94BAB904}" srcOrd="34" destOrd="0" parTransId="{938D3DCF-A12B-4B77-AA84-A5F6475409F5}" sibTransId="{7BCF5507-387C-4AE0-AD7F-E697D96D4DBE}"/>
    <dgm:cxn modelId="{E2E1002F-EF42-419E-BB17-D70CF79915A3}" type="presOf" srcId="{EAE21940-E0AF-4FDE-B5A0-2E412D7D340D}" destId="{817CDDC7-4A1A-4DD3-BC8B-78FCA99C23C1}" srcOrd="0" destOrd="21" presId="urn:microsoft.com/office/officeart/2005/8/layout/list1"/>
    <dgm:cxn modelId="{A477A12B-FA42-42D9-BAB0-B26C2D8F4BFE}" type="presOf" srcId="{5679EF69-9022-47AB-A719-C050BD71F288}" destId="{CB484849-A58C-403B-BE62-FAD20DCEA897}" srcOrd="0" destOrd="17" presId="urn:microsoft.com/office/officeart/2005/8/layout/list1"/>
    <dgm:cxn modelId="{88F1C956-79FD-4186-B4D8-89AD84187001}" type="presOf" srcId="{591C18F9-EF85-4646-9AB4-BBB9E9F196C2}" destId="{7487FDEE-AAC7-4F87-A642-B31566E7B464}" srcOrd="0" destOrd="33" presId="urn:microsoft.com/office/officeart/2005/8/layout/list1"/>
    <dgm:cxn modelId="{94A57D7C-FDA9-4C87-8318-980D1FEC4F08}" type="presOf" srcId="{01FE0A51-38F8-4944-93F6-0A1399E23D08}" destId="{CB484849-A58C-403B-BE62-FAD20DCEA897}" srcOrd="0" destOrd="2" presId="urn:microsoft.com/office/officeart/2005/8/layout/list1"/>
    <dgm:cxn modelId="{0E090B86-2BF8-4BEA-B568-70188A3F3F8F}" type="presOf" srcId="{7658BE05-28F4-40B3-BB73-60F6AA618165}" destId="{AD23FFB9-2542-4B31-80E2-741BD5F0A76B}" srcOrd="0" destOrd="71" presId="urn:microsoft.com/office/officeart/2005/8/layout/list1"/>
    <dgm:cxn modelId="{C346053C-0054-49EE-A3AD-A48E990A1AA4}" type="presOf" srcId="{C6E3CD80-CB22-45CF-A66F-AE58F48C0944}" destId="{817CDDC7-4A1A-4DD3-BC8B-78FCA99C23C1}" srcOrd="0" destOrd="17" presId="urn:microsoft.com/office/officeart/2005/8/layout/list1"/>
    <dgm:cxn modelId="{4C491C36-43E7-4259-8FC4-97C0AC1A9A90}" srcId="{FA9AFF69-10CB-42A1-A2FB-3BAC1428CCFE}" destId="{C26B589E-5AED-4569-AA36-C8556E73758E}" srcOrd="6" destOrd="0" parTransId="{FB0A6D54-640D-43B4-8376-BD9DA3459D91}" sibTransId="{8CDD267A-7447-4AA0-96ED-013613E6F697}"/>
    <dgm:cxn modelId="{34C47AA4-734E-489C-9559-2F6FBA5A01AD}" type="presOf" srcId="{F73F81DB-2C0E-485B-88BF-615187001DBF}" destId="{7487FDEE-AAC7-4F87-A642-B31566E7B464}" srcOrd="0" destOrd="76" presId="urn:microsoft.com/office/officeart/2005/8/layout/list1"/>
    <dgm:cxn modelId="{BDC69FAE-35EA-494B-B984-86CDB6FCA6CD}" type="presOf" srcId="{6753CDB6-7A24-4689-9CB8-7084F21A8659}" destId="{7487FDEE-AAC7-4F87-A642-B31566E7B464}" srcOrd="0" destOrd="2" presId="urn:microsoft.com/office/officeart/2005/8/layout/list1"/>
    <dgm:cxn modelId="{ACFAB230-752F-4351-8FC6-2320D45C6464}" type="presOf" srcId="{25B8528E-F438-4301-87F1-B094E1C29788}" destId="{DD9E5413-5447-4D82-930B-572E7D8779E8}" srcOrd="0" destOrd="25" presId="urn:microsoft.com/office/officeart/2005/8/layout/list1"/>
    <dgm:cxn modelId="{DFC0C9F8-703F-4919-8354-C723821B9867}" type="presOf" srcId="{E1911496-E8DE-48DA-88F0-C9EABE21D6B5}" destId="{7487FDEE-AAC7-4F87-A642-B31566E7B464}" srcOrd="0" destOrd="31" presId="urn:microsoft.com/office/officeart/2005/8/layout/list1"/>
    <dgm:cxn modelId="{5436E195-106D-40A1-AC84-97F6B296B377}" type="presOf" srcId="{97AA3ADE-843A-4221-84AF-DB3AA8600E3A}" destId="{DB2B5F74-BC31-4AC7-89FD-9362E44E490A}" srcOrd="0" destOrd="0" presId="urn:microsoft.com/office/officeart/2005/8/layout/list1"/>
    <dgm:cxn modelId="{CABA5863-4F04-4B78-B47C-940AB37FA6BE}" type="presOf" srcId="{66AFEE3E-7EBF-4B58-AF6F-FDAA96D82420}" destId="{AD23FFB9-2542-4B31-80E2-741BD5F0A76B}" srcOrd="0" destOrd="49" presId="urn:microsoft.com/office/officeart/2005/8/layout/list1"/>
    <dgm:cxn modelId="{A14A4BC5-4BC5-4265-9B51-889A8A5CDEDE}" srcId="{FA9AFF69-10CB-42A1-A2FB-3BAC1428CCFE}" destId="{1FAE4252-8890-4F8B-ABED-CFF3EB877F46}" srcOrd="3" destOrd="0" parTransId="{630856B2-491D-486D-8200-835C08B8A81A}" sibTransId="{747FDD7E-7E7D-4803-BF6A-044FA0C907A2}"/>
    <dgm:cxn modelId="{6CBF44E3-8904-4326-B096-BB903A26BCC1}" srcId="{5C69E173-182B-4E03-963D-32597C0342D2}" destId="{22E7D8FD-A909-4A5D-A004-1EB294AE8C96}" srcOrd="79" destOrd="0" parTransId="{17EFCAFA-259F-4FE0-AF9E-948E49DE28A3}" sibTransId="{88A11B0B-91E1-4DE4-B969-6BC2281618AD}"/>
    <dgm:cxn modelId="{FEBCBF87-CAC3-4C6D-A28B-CD6ED6003DC3}" type="presOf" srcId="{85614BC4-A76C-4984-AF33-B50A4E196B55}" destId="{AD23FFB9-2542-4B31-80E2-741BD5F0A76B}" srcOrd="0" destOrd="57" presId="urn:microsoft.com/office/officeart/2005/8/layout/list1"/>
    <dgm:cxn modelId="{991526EE-A165-4054-8514-27AB5B69D446}" type="presOf" srcId="{61BC1F35-6CA3-465F-B22E-A56E4B93E5A3}" destId="{AD23FFB9-2542-4B31-80E2-741BD5F0A76B}" srcOrd="0" destOrd="34" presId="urn:microsoft.com/office/officeart/2005/8/layout/list1"/>
    <dgm:cxn modelId="{F391EF2D-7DB4-4760-B66D-3AA907CEBA81}" type="presOf" srcId="{96EDF5C6-D9FE-44F1-A1BA-854071504795}" destId="{CB484849-A58C-403B-BE62-FAD20DCEA897}" srcOrd="0" destOrd="8" presId="urn:microsoft.com/office/officeart/2005/8/layout/list1"/>
    <dgm:cxn modelId="{6411E15C-C692-469B-98CB-55A1B34DB8E9}" type="presOf" srcId="{102D7B70-C0D0-4B7B-9B9D-B11653A9DE90}" destId="{AD23FFB9-2542-4B31-80E2-741BD5F0A76B}" srcOrd="0" destOrd="23" presId="urn:microsoft.com/office/officeart/2005/8/layout/list1"/>
    <dgm:cxn modelId="{5B82AF7D-CAED-4C57-9B95-3A8A1A331387}" type="presOf" srcId="{A8C38977-467C-4AB0-B527-A27634A30447}" destId="{7487FDEE-AAC7-4F87-A642-B31566E7B464}" srcOrd="0" destOrd="67" presId="urn:microsoft.com/office/officeart/2005/8/layout/list1"/>
    <dgm:cxn modelId="{70AF0A11-61BD-4FC9-AE85-CE284E1D5E1C}" srcId="{5C69E173-182B-4E03-963D-32597C0342D2}" destId="{DC489C5F-5021-4BBD-A8F0-E5BDED9EC3C3}" srcOrd="50" destOrd="0" parTransId="{30C94792-C849-4837-A821-9998CBFD261F}" sibTransId="{983D112B-B953-4579-A0D8-AA20D7E4850B}"/>
    <dgm:cxn modelId="{F847BBB1-B446-4B0C-BA75-C2C1AA2299D1}" srcId="{97AA3ADE-843A-4221-84AF-DB3AA8600E3A}" destId="{A6342442-AF25-4166-AE29-51E4703693FD}" srcOrd="10" destOrd="0" parTransId="{D33878A8-CA6A-4F6D-9293-CCFDFA16CEC0}" sibTransId="{BAC8B360-4B52-4D5B-BFC8-FE30D1349543}"/>
    <dgm:cxn modelId="{F73A315F-35B7-4030-B88D-B6C87E6B5E30}" srcId="{5C69E173-182B-4E03-963D-32597C0342D2}" destId="{FCD3BB7A-ED22-47FF-A3A4-AC8789890E7C}" srcOrd="38" destOrd="0" parTransId="{2A53C0C2-4D02-47FE-A291-4F08669A7604}" sibTransId="{E279FD6C-2DE5-44F7-A36C-C1545872661A}"/>
    <dgm:cxn modelId="{FBFAD09A-C7B5-40E1-A09F-83B5EA1E7EF8}" type="presOf" srcId="{3A54E514-0555-4E5E-ADDA-713671716DD4}" destId="{DD9E5413-5447-4D82-930B-572E7D8779E8}" srcOrd="0" destOrd="55" presId="urn:microsoft.com/office/officeart/2005/8/layout/list1"/>
    <dgm:cxn modelId="{490F9143-6D61-4B69-89FC-96A2D02EB41B}" srcId="{97AA3ADE-843A-4221-84AF-DB3AA8600E3A}" destId="{CA949655-A20E-469A-A84D-ADE33CB69276}" srcOrd="18" destOrd="0" parTransId="{8BC73891-4B9E-4D72-8803-84F374A5076A}" sibTransId="{8B7E29D5-6DF0-4783-8277-16873003621C}"/>
    <dgm:cxn modelId="{F0A554F9-4BBF-4176-BDCB-15D1519CA8CC}" type="presOf" srcId="{CE0012F6-6CF2-4333-8C08-93B024450F78}" destId="{7487FDEE-AAC7-4F87-A642-B31566E7B464}" srcOrd="0" destOrd="40" presId="urn:microsoft.com/office/officeart/2005/8/layout/list1"/>
    <dgm:cxn modelId="{ABD8AA2A-DE24-48A7-AFB3-B8D76088F51F}" srcId="{5C69E173-182B-4E03-963D-32597C0342D2}" destId="{F06ADDEF-0C87-473A-AF65-76DA30F6B103}" srcOrd="19" destOrd="0" parTransId="{ED5EC5FB-A241-490D-80B0-2BEF38C565FA}" sibTransId="{6A0DB07E-DB45-4156-AA62-5993D3F68274}"/>
    <dgm:cxn modelId="{5504BDDE-8147-45D5-8F05-D5A9C246C30A}" srcId="{5C69E173-182B-4E03-963D-32597C0342D2}" destId="{EED05CA8-9900-43D0-9F05-DD27DE77E4DA}" srcOrd="10" destOrd="0" parTransId="{7D5441FD-56D8-4951-AFC7-D740771AB6F1}" sibTransId="{FD5DA556-2EA9-4F9D-B4C3-3D377FA623FA}"/>
    <dgm:cxn modelId="{E16031C5-F3CA-43F6-8BC5-0A0CF0DDFB0F}" srcId="{5C69E173-182B-4E03-963D-32597C0342D2}" destId="{73ECD602-F1E8-4C34-BFD6-3B52C100B7EC}" srcOrd="34" destOrd="0" parTransId="{7528DFD1-DAD6-4FFA-8950-F5250379A36D}" sibTransId="{33F0E652-2C45-442D-8296-4427CCCFCE55}"/>
    <dgm:cxn modelId="{F3C99636-9512-42E4-828D-4C18060C9AA3}" type="presOf" srcId="{64CF4471-DB2D-45CE-83C0-935568F69A41}" destId="{DD9E5413-5447-4D82-930B-572E7D8779E8}" srcOrd="0" destOrd="11" presId="urn:microsoft.com/office/officeart/2005/8/layout/list1"/>
    <dgm:cxn modelId="{63CF6D9D-27CD-4070-8FDF-866F1F23FA36}" srcId="{FA9AFF69-10CB-42A1-A2FB-3BAC1428CCFE}" destId="{D078CB95-1464-487E-A000-08A306E740F8}" srcOrd="13" destOrd="0" parTransId="{81451730-8281-422A-9DF5-785145412AF2}" sibTransId="{A94A3254-B6C6-48FF-9A83-AAD0073A7F17}"/>
    <dgm:cxn modelId="{300C3E53-6C28-4B70-B211-EBE51281B143}" srcId="{5C69E173-182B-4E03-963D-32597C0342D2}" destId="{269587FD-D7A5-4DDD-9B70-CD29C2D9AC53}" srcOrd="13" destOrd="0" parTransId="{7374D131-2BA9-4AA8-BFE3-3DC46FE11681}" sibTransId="{DA4AB021-E3A0-40F3-8601-8AB65F03B95D}"/>
    <dgm:cxn modelId="{F6EF050E-86FB-4ADD-9A3F-6730F0F6C42F}" srcId="{85A7569B-6F73-4E04-8B9E-333372741083}" destId="{F782A9B0-91C6-4B08-9434-3A995E1F5F5D}" srcOrd="50" destOrd="0" parTransId="{7114A2D4-A170-4D2F-A44E-9D50699A06B4}" sibTransId="{CA5ECC4C-644E-44C6-A6C3-2CA238CA7EF2}"/>
    <dgm:cxn modelId="{13521B56-042F-4D0A-B176-862DF9E6E7B6}" type="presOf" srcId="{E703306F-0970-4699-B2E6-E203AFB9A442}" destId="{DD9E5413-5447-4D82-930B-572E7D8779E8}" srcOrd="0" destOrd="44" presId="urn:microsoft.com/office/officeart/2005/8/layout/list1"/>
    <dgm:cxn modelId="{950B05ED-9A1A-4E58-A094-D037238B24BC}" type="presOf" srcId="{8717BB02-EBA0-4B72-AAAC-D635673545DC}" destId="{AD23FFB9-2542-4B31-80E2-741BD5F0A76B}" srcOrd="0" destOrd="41" presId="urn:microsoft.com/office/officeart/2005/8/layout/list1"/>
    <dgm:cxn modelId="{F0CE0F85-C0DE-4F8A-B6C7-0A8C6CD630BA}" type="presOf" srcId="{CA88C94C-B8F6-4F81-A2E4-F212145A1D53}" destId="{817CDDC7-4A1A-4DD3-BC8B-78FCA99C23C1}" srcOrd="0" destOrd="22" presId="urn:microsoft.com/office/officeart/2005/8/layout/list1"/>
    <dgm:cxn modelId="{73F07BC7-4A41-4549-9332-FA5ABBC68979}" srcId="{6DFB072F-1880-4BF3-8099-F56A0DCDC680}" destId="{C71708E7-818F-490A-96D7-A90FB9D19A71}" srcOrd="7" destOrd="0" parTransId="{5BCB87FD-6140-4EDB-AD27-2476EB2B5C33}" sibTransId="{6577E509-2DE9-47B2-B45F-01FCBE34215B}"/>
    <dgm:cxn modelId="{1930A306-C4F3-473E-84BC-0F909B436632}" srcId="{85A7569B-6F73-4E04-8B9E-333372741083}" destId="{87C3E2D2-4B13-4423-BC43-5261523C3D82}" srcOrd="33" destOrd="0" parTransId="{BF017344-E54E-4AD7-B3E4-ECF31E1B6CC7}" sibTransId="{02C74947-7C66-461A-B2B2-B7EA1EBD87C6}"/>
    <dgm:cxn modelId="{D1760196-A7F8-47AE-A285-892AF5E2CAD3}" type="presOf" srcId="{DAFCCEBD-AF39-4766-B0D6-3A94C7B5BEE1}" destId="{7487FDEE-AAC7-4F87-A642-B31566E7B464}" srcOrd="0" destOrd="72" presId="urn:microsoft.com/office/officeart/2005/8/layout/list1"/>
    <dgm:cxn modelId="{38B38B90-EB88-4FFA-831A-29888B47F297}" srcId="{5C69E173-182B-4E03-963D-32597C0342D2}" destId="{11811FC4-76E5-4554-89ED-2BDF5D4CD5A8}" srcOrd="46" destOrd="0" parTransId="{20C33BEF-5F68-4B19-8CCE-3331FD874728}" sibTransId="{77D0E30E-4C64-47F6-8AC6-B9EFAC68A805}"/>
    <dgm:cxn modelId="{D60094E3-72E3-492F-A0C4-2E73D68CBA66}" srcId="{97AA3ADE-843A-4221-84AF-DB3AA8600E3A}" destId="{38AC3AD8-24FB-463A-83F1-C12DAF594ABA}" srcOrd="33" destOrd="0" parTransId="{2BA1BF56-B026-4F70-971C-705ECC179B2D}" sibTransId="{2A32CCF9-243B-43F1-BE9C-0CD3F84B8042}"/>
    <dgm:cxn modelId="{12C5FE97-72F1-49B7-AEB2-10A2A4C7AE47}" type="presOf" srcId="{6DCA2985-E893-4027-86A9-D57E5C650331}" destId="{817CDDC7-4A1A-4DD3-BC8B-78FCA99C23C1}" srcOrd="0" destOrd="18" presId="urn:microsoft.com/office/officeart/2005/8/layout/list1"/>
    <dgm:cxn modelId="{204E1365-F4BA-432E-BB1F-03FDC34CD26F}" srcId="{85A7569B-6F73-4E04-8B9E-333372741083}" destId="{DFA6A683-9426-475E-B918-301831B45432}" srcOrd="47" destOrd="0" parTransId="{4C4ACC7F-DBB7-462F-932C-58A2F2324575}" sibTransId="{724DB048-9263-4F90-A9F9-9C40FFFD0FC8}"/>
    <dgm:cxn modelId="{734BC781-B82D-419B-82DB-0D8338F9D958}" srcId="{85A7569B-6F73-4E04-8B9E-333372741083}" destId="{071739DA-76E7-4FE3-A3A3-D58982116996}" srcOrd="16" destOrd="0" parTransId="{5E66A9DF-2037-4157-9EA9-87FD693AF3CD}" sibTransId="{B2FBEC42-3380-4CCC-8C6C-6904A56F4563}"/>
    <dgm:cxn modelId="{E9AC475E-F942-4001-84DB-FFEC57CB91E4}" type="presOf" srcId="{9B80F98E-13DC-446E-93C4-0DF14C26002D}" destId="{044B49A3-7F5D-49D0-A1A1-64AB6D7494E4}" srcOrd="0" destOrd="16" presId="urn:microsoft.com/office/officeart/2005/8/layout/list1"/>
    <dgm:cxn modelId="{635CF28B-0FC9-407D-85C0-6896BE797406}" type="presOf" srcId="{103D1692-7C15-46E7-A14A-82CCDB96F4AD}" destId="{7487FDEE-AAC7-4F87-A642-B31566E7B464}" srcOrd="0" destOrd="15" presId="urn:microsoft.com/office/officeart/2005/8/layout/list1"/>
    <dgm:cxn modelId="{41F5484A-9E07-47CA-B34A-5F6A3C195A2B}" type="presOf" srcId="{8DB1FF82-B673-4C7B-B1ED-2D5F648026AA}" destId="{044B49A3-7F5D-49D0-A1A1-64AB6D7494E4}" srcOrd="0" destOrd="20" presId="urn:microsoft.com/office/officeart/2005/8/layout/list1"/>
    <dgm:cxn modelId="{43580B98-3BDA-473D-9752-6873B89A7F6D}" type="presOf" srcId="{4D3A722B-3BF9-4823-95B1-766322DCA72F}" destId="{5B4E20D8-CBA3-43D9-8002-3C6F33DD77DC}" srcOrd="0" destOrd="2" presId="urn:microsoft.com/office/officeart/2005/8/layout/list1"/>
    <dgm:cxn modelId="{58B9D85A-3A7F-482D-B709-FE84BFE121A8}" type="presOf" srcId="{4B9A69F3-2C7D-49B6-800A-67A7E4E4CF36}" destId="{817CDDC7-4A1A-4DD3-BC8B-78FCA99C23C1}" srcOrd="0" destOrd="24" presId="urn:microsoft.com/office/officeart/2005/8/layout/list1"/>
    <dgm:cxn modelId="{93D13E3E-33F9-47FE-8C6B-942488E6F32E}" type="presOf" srcId="{4761D7A5-19C7-4839-914B-710F2842ABE8}" destId="{7487FDEE-AAC7-4F87-A642-B31566E7B464}" srcOrd="0" destOrd="63" presId="urn:microsoft.com/office/officeart/2005/8/layout/list1"/>
    <dgm:cxn modelId="{E3B0B8B6-1026-4DD7-B993-116362E3D5A5}" srcId="{97AA3ADE-843A-4221-84AF-DB3AA8600E3A}" destId="{3952DF2A-A7E9-48ED-B6B1-5C4DFFDAA81D}" srcOrd="1" destOrd="0" parTransId="{2738A542-B631-4E49-8B18-F3273311A841}" sibTransId="{4203A132-A7E2-4CBA-A271-5FB826D8B365}"/>
    <dgm:cxn modelId="{A90520CE-B70B-4500-A2DA-08CC4D06E7AB}" srcId="{6DFB072F-1880-4BF3-8099-F56A0DCDC680}" destId="{B0F9C592-18E1-4648-94A3-D0065124AB47}" srcOrd="9" destOrd="0" parTransId="{C0952824-F7C0-43E5-89FA-55BF3F072BB1}" sibTransId="{585B90D7-04BD-4465-AD1A-75B78894D985}"/>
    <dgm:cxn modelId="{6E7E2C9A-A7AF-4F21-AB5C-20837189F8EA}" srcId="{97AA3ADE-843A-4221-84AF-DB3AA8600E3A}" destId="{102D7B70-C0D0-4B7B-9B9D-B11653A9DE90}" srcOrd="23" destOrd="0" parTransId="{8BCA9BDE-F710-47FA-A94E-F2F1D36AA453}" sibTransId="{1377DE02-4F94-4A38-BBC8-6559507061EF}"/>
    <dgm:cxn modelId="{28B9D22D-771D-4ED2-B0F7-7189943B3701}" type="presOf" srcId="{336FFF6D-43DE-424C-970F-2AEAFAFA9AF1}" destId="{5B4E20D8-CBA3-43D9-8002-3C6F33DD77DC}" srcOrd="0" destOrd="1" presId="urn:microsoft.com/office/officeart/2005/8/layout/list1"/>
    <dgm:cxn modelId="{07A3ECC1-704E-4122-985D-C280F250FE32}" type="presOf" srcId="{FC7C258E-2759-4C3C-A0EA-950C2EDABC82}" destId="{7487FDEE-AAC7-4F87-A642-B31566E7B464}" srcOrd="0" destOrd="61" presId="urn:microsoft.com/office/officeart/2005/8/layout/list1"/>
    <dgm:cxn modelId="{A6EFA658-3FCF-4C5E-ABC6-FAEF3115E1B1}" srcId="{5C69E173-182B-4E03-963D-32597C0342D2}" destId="{815535DE-AA74-4061-9C01-93595B355E9E}" srcOrd="24" destOrd="0" parTransId="{0255BCD8-DCA6-4229-9582-E4FD6D49D3AB}" sibTransId="{9F15747A-0B29-444F-88C7-A13F4B009075}"/>
    <dgm:cxn modelId="{F8F25440-F203-4B8E-B2E4-934B6485EB55}" srcId="{85A7569B-6F73-4E04-8B9E-333372741083}" destId="{964D0F37-81EC-4462-9AB8-809FC889CB5C}" srcOrd="34" destOrd="0" parTransId="{319C9954-0D65-4A19-B609-A76C4DDB7EE4}" sibTransId="{534F00B5-B7F5-4B28-B600-E566935826CD}"/>
    <dgm:cxn modelId="{F14407C7-FA8D-4D34-B2DF-5F09924AF521}" type="presOf" srcId="{5586B206-C6AF-4932-A260-DE9E8691CF92}" destId="{7487FDEE-AAC7-4F87-A642-B31566E7B464}" srcOrd="0" destOrd="55" presId="urn:microsoft.com/office/officeart/2005/8/layout/list1"/>
    <dgm:cxn modelId="{CBDFDDBA-2035-4669-A3F1-1D676521A421}" srcId="{5C69E173-182B-4E03-963D-32597C0342D2}" destId="{7176C9AB-30E8-43D1-A886-3EE12E314BEB}" srcOrd="71" destOrd="0" parTransId="{E7B3F8B4-EAE7-49E2-B951-0C1104370C7D}" sibTransId="{558A002C-A874-4FA2-9DAE-8CDC2F734BB3}"/>
    <dgm:cxn modelId="{E47D93B2-1567-4209-B38B-93AD5E9EE47E}" srcId="{FA9AFF69-10CB-42A1-A2FB-3BAC1428CCFE}" destId="{72B71333-41D7-4EF8-80F1-C14B2CF1A583}" srcOrd="2" destOrd="0" parTransId="{88C07A65-EDEB-4DFE-BF7F-3F6A4229A6CC}" sibTransId="{30F680CA-C92A-4B80-8795-760F06854E01}"/>
    <dgm:cxn modelId="{54C813B3-4D0F-4A27-A831-F0D5668EF736}" srcId="{5C69E173-182B-4E03-963D-32597C0342D2}" destId="{7C7BF678-ADD4-4347-838C-67C9B11C5A33}" srcOrd="70" destOrd="0" parTransId="{B364CD12-DFC0-4225-8FFB-AFF2681C1550}" sibTransId="{884AB8D3-0583-4460-B6A5-BCB32B2C0248}"/>
    <dgm:cxn modelId="{248DEDB9-26E2-4563-80D5-2972DCB7131B}" srcId="{43EE3679-5B1F-45D4-ADA6-461661E67B3C}" destId="{7429FB20-E8CC-4D79-99E1-D0F84126E094}" srcOrd="1" destOrd="0" parTransId="{777A061F-BC4C-4005-8D3F-61BE90BC7D35}" sibTransId="{F824F0FE-3504-49BB-BBE1-9D617A228C5D}"/>
    <dgm:cxn modelId="{3BD49FB2-7C87-4438-AC6D-3C1B23B1495C}" type="presOf" srcId="{45348A1B-87AC-480D-ADFE-78B28081D0B7}" destId="{AD23FFB9-2542-4B31-80E2-741BD5F0A76B}" srcOrd="0" destOrd="66" presId="urn:microsoft.com/office/officeart/2005/8/layout/list1"/>
    <dgm:cxn modelId="{B29620B6-CED4-4056-8959-487FE990F266}" type="presOf" srcId="{6F69C36B-E419-42EA-8B31-6A7D88E13614}" destId="{AD23FFB9-2542-4B31-80E2-741BD5F0A76B}" srcOrd="0" destOrd="21" presId="urn:microsoft.com/office/officeart/2005/8/layout/list1"/>
    <dgm:cxn modelId="{1AADBC7A-7A9D-466A-8D6F-C6BE76442B72}" srcId="{FA9AFF69-10CB-42A1-A2FB-3BAC1428CCFE}" destId="{1E0A182B-B10E-4817-8618-88A477C9FE74}" srcOrd="21" destOrd="0" parTransId="{9F074953-08CD-4241-B3BB-6D7B2E7B6F0D}" sibTransId="{927F94EC-C43B-4031-9FED-2E2967BFF39E}"/>
    <dgm:cxn modelId="{D41E786B-D1A0-40EC-9A38-726AEA78FA1E}" srcId="{85A7569B-6F73-4E04-8B9E-333372741083}" destId="{7640DC9A-8BC7-4855-A6E3-F601DECD9C2C}" srcOrd="31" destOrd="0" parTransId="{6C6DDB3F-D81E-4A3F-BD9B-3EACF4E649E5}" sibTransId="{48819460-BA1E-4C31-A036-8DEDED3A988C}"/>
    <dgm:cxn modelId="{7B88D8FA-F083-4192-BF9A-AFA238D93C95}" type="presOf" srcId="{25DD1955-8C1E-480E-B3BB-0C4E9E295BDD}" destId="{7487FDEE-AAC7-4F87-A642-B31566E7B464}" srcOrd="0" destOrd="9" presId="urn:microsoft.com/office/officeart/2005/8/layout/list1"/>
    <dgm:cxn modelId="{CDDFEDE9-37A8-4E44-9E51-9BBA70554EBC}" srcId="{5C69E173-182B-4E03-963D-32597C0342D2}" destId="{BFF0814E-C6EA-4EB7-B77B-E972E45EEC86}" srcOrd="80" destOrd="0" parTransId="{934C8ADE-2C37-4C5C-8D1E-D6C341A23DFD}" sibTransId="{4ACCDA9F-1390-4270-B4F0-93647521091F}"/>
    <dgm:cxn modelId="{209D627A-C81E-452A-86CF-004710472FC4}" srcId="{43EE3679-5B1F-45D4-ADA6-461661E67B3C}" destId="{6C882D9C-25AA-4BAD-A298-8A19EA132F9D}" srcOrd="9" destOrd="0" parTransId="{C8C7A25C-5B79-4E34-A1EA-D7458C37CC41}" sibTransId="{566BFEF4-97B6-421E-BF36-9308EA52B962}"/>
    <dgm:cxn modelId="{1B17F84E-E19E-403F-BD13-8E803C285480}" srcId="{43EE3679-5B1F-45D4-ADA6-461661E67B3C}" destId="{4B9A69F3-2C7D-49B6-800A-67A7E4E4CF36}" srcOrd="24" destOrd="0" parTransId="{DD3DECC0-3724-409D-8423-DF8834238839}" sibTransId="{F16C6902-629C-44BB-A38F-978E10A3DFBF}"/>
    <dgm:cxn modelId="{B1554746-5EFA-4372-A55D-E348C5AB16C7}" type="presOf" srcId="{CFB52A42-DCB4-44E9-BFD7-B29AA9191E36}" destId="{7EE8E146-0002-449A-8AC8-465A046A3587}" srcOrd="0" destOrd="0" presId="urn:microsoft.com/office/officeart/2005/8/layout/list1"/>
    <dgm:cxn modelId="{4C7E2143-4AD5-4E91-A50C-3B18B6AD4DC9}" type="presOf" srcId="{BF7A72C1-FDF9-41FC-8620-751CB5CC902E}" destId="{7487FDEE-AAC7-4F87-A642-B31566E7B464}" srcOrd="0" destOrd="48" presId="urn:microsoft.com/office/officeart/2005/8/layout/list1"/>
    <dgm:cxn modelId="{456D9204-DB61-464B-A558-024B1B22DBB3}" type="presOf" srcId="{FA9AFF69-10CB-42A1-A2FB-3BAC1428CCFE}" destId="{C0DD80FC-2529-4E56-9056-63B16B5B4C20}" srcOrd="1" destOrd="0" presId="urn:microsoft.com/office/officeart/2005/8/layout/list1"/>
    <dgm:cxn modelId="{35C880A8-A706-476A-ABA8-A0A57F7F804B}" type="presOf" srcId="{85A7569B-6F73-4E04-8B9E-333372741083}" destId="{78505F54-1321-4297-B3D5-B093F2495A2E}" srcOrd="0" destOrd="0" presId="urn:microsoft.com/office/officeart/2005/8/layout/list1"/>
    <dgm:cxn modelId="{EEF10E1E-081B-454C-B496-4328A57C44D0}" srcId="{FA9AFF69-10CB-42A1-A2FB-3BAC1428CCFE}" destId="{CFA12100-1723-4E12-BDFF-72913A9C85C2}" srcOrd="18" destOrd="0" parTransId="{3886B05F-A3D5-4A67-89A3-A846B080437D}" sibTransId="{F4217BC9-32C3-48C4-8B50-15AC2E56B703}"/>
    <dgm:cxn modelId="{3E757CBA-E5CD-4F8B-92DA-7E18997CD0C4}" type="presOf" srcId="{7E852C2B-90B7-4808-BCE8-F46983E94614}" destId="{AD23FFB9-2542-4B31-80E2-741BD5F0A76B}" srcOrd="0" destOrd="36" presId="urn:microsoft.com/office/officeart/2005/8/layout/list1"/>
    <dgm:cxn modelId="{6E477E1D-367A-4C46-81CB-4790E11BC179}" type="presOf" srcId="{504E7C21-1691-4B7C-96CF-B36E8E92E509}" destId="{AD23FFB9-2542-4B31-80E2-741BD5F0A76B}" srcOrd="0" destOrd="62" presId="urn:microsoft.com/office/officeart/2005/8/layout/list1"/>
    <dgm:cxn modelId="{FCEC6724-BDAA-4AF8-B150-7404F952C35B}" type="presOf" srcId="{7616858D-69CF-4C47-9DE4-CE44BB7C7B71}" destId="{7487FDEE-AAC7-4F87-A642-B31566E7B464}" srcOrd="0" destOrd="51" presId="urn:microsoft.com/office/officeart/2005/8/layout/list1"/>
    <dgm:cxn modelId="{57FC74FF-60AE-4BAC-B0FD-17A1FE0D9E6E}" srcId="{85A7569B-6F73-4E04-8B9E-333372741083}" destId="{0C7F7F6F-2A95-47C0-84BA-6FD79344027F}" srcOrd="14" destOrd="0" parTransId="{DD66A946-9F52-4C7F-A916-931FF0D4391A}" sibTransId="{6CE23673-D8CB-405D-96B5-9BE063901616}"/>
    <dgm:cxn modelId="{1AA87820-CDE1-404A-8E3B-B59E5938CBA7}" srcId="{5C69E173-182B-4E03-963D-32597C0342D2}" destId="{114E4D8B-7EE9-4F8B-A228-8290EE6CA025}" srcOrd="32" destOrd="0" parTransId="{F8EDE4D0-616D-4429-99BA-021086735F1A}" sibTransId="{A470FF7A-D1AB-4768-8506-F993F97AF9A5}"/>
    <dgm:cxn modelId="{426D60B1-0162-4C77-8BE8-665D2B6946D9}" srcId="{5C69E173-182B-4E03-963D-32597C0342D2}" destId="{7616858D-69CF-4C47-9DE4-CE44BB7C7B71}" srcOrd="51" destOrd="0" parTransId="{3ECAB7BA-26B6-47C2-9532-CD59D87E23CD}" sibTransId="{448D3087-E395-4623-AAA8-FDF88AB7E281}"/>
    <dgm:cxn modelId="{E535E819-B857-4D04-A846-76E519575A68}" srcId="{43EE3679-5B1F-45D4-ADA6-461661E67B3C}" destId="{6DCA2985-E893-4027-86A9-D57E5C650331}" srcOrd="18" destOrd="0" parTransId="{CE349684-5889-427B-A134-16D6417C3058}" sibTransId="{45951388-BBE8-4906-A19F-2527D418D23E}"/>
    <dgm:cxn modelId="{417F7F9D-8A39-4507-B916-4CB5B68D85F7}" srcId="{00F85EC1-B921-48FE-997F-36320003F407}" destId="{5C69E173-182B-4E03-963D-32597C0342D2}" srcOrd="5" destOrd="0" parTransId="{15F7E9DC-CCD5-4F70-9CAE-86E91DDA7571}" sibTransId="{441C7C6A-2258-4BEF-ACF6-628EF8DA21C2}"/>
    <dgm:cxn modelId="{C6C90D3E-FE32-4FC0-82B7-37BF10E2B56C}" type="presOf" srcId="{9837D26E-3E3A-4AB2-B518-DF2517AF3DD5}" destId="{DD9E5413-5447-4D82-930B-572E7D8779E8}" srcOrd="0" destOrd="46" presId="urn:microsoft.com/office/officeart/2005/8/layout/list1"/>
    <dgm:cxn modelId="{0285915A-057F-42CD-806D-F258DBCF2154}" type="presOf" srcId="{0D2854E4-745A-4D90-8B95-CC6426094105}" destId="{AD23FFB9-2542-4B31-80E2-741BD5F0A76B}" srcOrd="0" destOrd="12" presId="urn:microsoft.com/office/officeart/2005/8/layout/list1"/>
    <dgm:cxn modelId="{FE3E7996-A2EB-4ECB-AAC1-ABF52FDD7606}" type="presOf" srcId="{21E70A7B-0814-4915-BD05-6756E2F50415}" destId="{7487FDEE-AAC7-4F87-A642-B31566E7B464}" srcOrd="0" destOrd="54" presId="urn:microsoft.com/office/officeart/2005/8/layout/list1"/>
    <dgm:cxn modelId="{BF6AC12F-E8B8-4154-8DFA-EDBDDA29681D}" type="presOf" srcId="{650BF98A-7ECA-48AB-BC27-B00AE159767C}" destId="{AD23FFB9-2542-4B31-80E2-741BD5F0A76B}" srcOrd="0" destOrd="61" presId="urn:microsoft.com/office/officeart/2005/8/layout/list1"/>
    <dgm:cxn modelId="{5428894F-2F06-43E3-B291-7E71BC2A55B5}" type="presOf" srcId="{8D21D9C9-A3A3-4E4A-91DD-FD6F33B93D27}" destId="{DD9E5413-5447-4D82-930B-572E7D8779E8}" srcOrd="0" destOrd="9" presId="urn:microsoft.com/office/officeart/2005/8/layout/list1"/>
    <dgm:cxn modelId="{C0AE0D89-F032-47F6-B407-669EA6CF1F48}" srcId="{85A7569B-6F73-4E04-8B9E-333372741083}" destId="{9837D26E-3E3A-4AB2-B518-DF2517AF3DD5}" srcOrd="46" destOrd="0" parTransId="{48EA0B6B-7BA5-4A83-9FF7-579757FF85A8}" sibTransId="{A1F21371-AB36-40CE-8B81-47AD50BBC7BF}"/>
    <dgm:cxn modelId="{054B1DE7-9CEC-4CC8-892F-5100A8E60972}" type="presOf" srcId="{2F537A3B-840C-43AC-8F5E-4656516A3D2F}" destId="{CB484849-A58C-403B-BE62-FAD20DCEA897}" srcOrd="0" destOrd="18" presId="urn:microsoft.com/office/officeart/2005/8/layout/list1"/>
    <dgm:cxn modelId="{FB9A5DB7-B226-4B47-A480-902CFBC0F853}" srcId="{6DFB072F-1880-4BF3-8099-F56A0DCDC680}" destId="{8D4E12C5-F8C6-4AB2-BA6A-BEBDAD7FB57D}" srcOrd="35" destOrd="0" parTransId="{46A46F96-0FF3-442F-AB33-95247FD53B44}" sibTransId="{35E81BE4-9D6E-4C34-8527-C21A049C7F9C}"/>
    <dgm:cxn modelId="{6AA44E31-4785-4323-998B-7A35C8F8EE96}" type="presOf" srcId="{F40BEAB6-7D75-4244-A260-6368781C3D42}" destId="{DD9E5413-5447-4D82-930B-572E7D8779E8}" srcOrd="0" destOrd="6" presId="urn:microsoft.com/office/officeart/2005/8/layout/list1"/>
    <dgm:cxn modelId="{00AD7E7F-23B5-48E7-AE99-6FB5FD3E5731}" type="presOf" srcId="{1FAE4252-8890-4F8B-ABED-CFF3EB877F46}" destId="{044B49A3-7F5D-49D0-A1A1-64AB6D7494E4}" srcOrd="0" destOrd="3" presId="urn:microsoft.com/office/officeart/2005/8/layout/list1"/>
    <dgm:cxn modelId="{3D00E6D8-B6C4-44E9-9327-8EAA46519357}" srcId="{5C69E173-182B-4E03-963D-32597C0342D2}" destId="{B9910956-82EC-413B-B3E5-118FB71AAE6B}" srcOrd="20" destOrd="0" parTransId="{5CA029F1-D6FB-4A55-84CE-ECB5F7BBFDB2}" sibTransId="{C6A63061-1A4D-4C65-8F67-73EF65A7031F}"/>
    <dgm:cxn modelId="{CCC877A6-D96A-41A8-9C35-14DEDCEFF5E4}" type="presOf" srcId="{F6B4DCE7-3E2A-4AA4-8783-AFB5D4131184}" destId="{DD9E5413-5447-4D82-930B-572E7D8779E8}" srcOrd="0" destOrd="18" presId="urn:microsoft.com/office/officeart/2005/8/layout/list1"/>
    <dgm:cxn modelId="{665644BA-794D-47B3-B250-BF264BB0507E}" srcId="{5C69E173-182B-4E03-963D-32597C0342D2}" destId="{21636BC9-573D-45A0-811C-71E015BF70B9}" srcOrd="21" destOrd="0" parTransId="{5967E4C8-D718-4870-84E5-B24DA3B4E8CF}" sibTransId="{3CA2E627-5FEA-48EB-80ED-3DBD5FA86563}"/>
    <dgm:cxn modelId="{DB499318-E409-4683-9097-468ED819A4E3}" srcId="{5C69E173-182B-4E03-963D-32597C0342D2}" destId="{ED7E83A3-A70C-48B0-B438-62ACEDF46A14}" srcOrd="26" destOrd="0" parTransId="{A31FFABE-2CEB-40CB-BB55-A880CCB85E4D}" sibTransId="{A16879DF-CB5C-40BE-9D8D-BD255E68FD5C}"/>
    <dgm:cxn modelId="{4B248122-A52B-466F-A448-DFE59FEB25CE}" type="presOf" srcId="{9CDDCC50-6690-4B9F-9449-36C76CBDDC92}" destId="{AD23FFB9-2542-4B31-80E2-741BD5F0A76B}" srcOrd="0" destOrd="74" presId="urn:microsoft.com/office/officeart/2005/8/layout/list1"/>
    <dgm:cxn modelId="{B2E0A7A8-E760-4816-AD5C-8106C8066BC5}" srcId="{FA9AFF69-10CB-42A1-A2FB-3BAC1428CCFE}" destId="{9C400ECE-B0E2-4E03-8ACF-E312C18B24B1}" srcOrd="7" destOrd="0" parTransId="{F752E945-F616-466B-A5EC-D8314E5DFF63}" sibTransId="{5408C312-E95D-4D2B-8F12-385D0C65166D}"/>
    <dgm:cxn modelId="{9F13ADFB-D92C-4F77-A1D9-ABB25BE54EDF}" type="presOf" srcId="{0EB5D6DF-4650-46CF-A94A-CC1919CC15A3}" destId="{7487FDEE-AAC7-4F87-A642-B31566E7B464}" srcOrd="0" destOrd="25" presId="urn:microsoft.com/office/officeart/2005/8/layout/list1"/>
    <dgm:cxn modelId="{6EF078AA-0973-4E20-A862-60FBFC0E4363}" srcId="{F21BE4C5-213C-4F6A-A9DD-9E62F8F803E2}" destId="{336FFF6D-43DE-424C-970F-2AEAFAFA9AF1}" srcOrd="1" destOrd="0" parTransId="{250E2699-5EF4-4170-8715-D02ED6156090}" sibTransId="{4245E069-F69B-4AFF-A410-2A0DDE4D5CEC}"/>
    <dgm:cxn modelId="{72447D35-50C5-480F-B961-03B9B44B9FF7}" srcId="{85A7569B-6F73-4E04-8B9E-333372741083}" destId="{A4103809-2FF4-4FF9-ABC5-37379C953427}" srcOrd="8" destOrd="0" parTransId="{14B89D33-42FE-443C-AF6D-9F7688562F40}" sibTransId="{1B8F4F89-C83E-42A7-A12C-CC9A05602155}"/>
    <dgm:cxn modelId="{693DB532-2B57-4704-BD1D-404E730A8A35}" srcId="{FA9AFF69-10CB-42A1-A2FB-3BAC1428CCFE}" destId="{BE5D68DB-4094-4B4C-AB68-D1BB97047130}" srcOrd="8" destOrd="0" parTransId="{746D281B-236D-42AD-8F87-3AE5FCFAEC24}" sibTransId="{00187AE3-5E6D-44A0-B722-EBA0F741DE16}"/>
    <dgm:cxn modelId="{A5FA6CCD-4691-4A71-AF54-EA907236C03D}" type="presOf" srcId="{5EBACAE8-D174-48A6-AAEC-226F5E2AAF00}" destId="{AD23FFB9-2542-4B31-80E2-741BD5F0A76B}" srcOrd="0" destOrd="43" presId="urn:microsoft.com/office/officeart/2005/8/layout/list1"/>
    <dgm:cxn modelId="{293FD5E9-730A-489A-9F26-6EFBA7A578FF}" srcId="{85A7569B-6F73-4E04-8B9E-333372741083}" destId="{64CF4471-DB2D-45CE-83C0-935568F69A41}" srcOrd="11" destOrd="0" parTransId="{2D0597A0-D4D6-43FD-8A74-AB95C3A331D3}" sibTransId="{41BDB63C-C7AC-4AAD-87C2-45223A59EFF0}"/>
    <dgm:cxn modelId="{B00F9FE1-EBB5-4B4E-8CF4-D9718C0588B0}" srcId="{85A7569B-6F73-4E04-8B9E-333372741083}" destId="{3A54E514-0555-4E5E-ADDA-713671716DD4}" srcOrd="55" destOrd="0" parTransId="{CDE5D1F5-826F-4453-8BC3-66E27D52815D}" sibTransId="{57A71274-E4E1-4F02-A30A-10E80BE54261}"/>
    <dgm:cxn modelId="{8704A255-B7E3-40FF-AECC-44200BDDC39B}" type="presOf" srcId="{A0B6A302-4B49-49B5-ABB6-4E8B731EABF7}" destId="{044B49A3-7F5D-49D0-A1A1-64AB6D7494E4}" srcOrd="0" destOrd="4" presId="urn:microsoft.com/office/officeart/2005/8/layout/list1"/>
    <dgm:cxn modelId="{13CF0211-A49C-4943-935C-F9459D717E12}" srcId="{43EE3679-5B1F-45D4-ADA6-461661E67B3C}" destId="{EFE5517D-439F-4341-9975-EE6BCBAA48DC}" srcOrd="10" destOrd="0" parTransId="{FFB9124D-E19E-4CEC-AC79-9CA6D223622D}" sibTransId="{76862E25-9A15-40B6-9B34-FB5999710F23}"/>
    <dgm:cxn modelId="{F5E3BEAB-4B1E-4F31-ABD7-EDCEF8E1CB4D}" type="presOf" srcId="{43EE3679-5B1F-45D4-ADA6-461661E67B3C}" destId="{20518C94-687E-48B2-AEE0-E5AB31E7C750}" srcOrd="0" destOrd="0" presId="urn:microsoft.com/office/officeart/2005/8/layout/list1"/>
    <dgm:cxn modelId="{F6AC41C8-1342-4F63-9A3A-37ED358DC7E8}" srcId="{F21BE4C5-213C-4F6A-A9DD-9E62F8F803E2}" destId="{03AD9AF0-A39E-4BE4-BAA3-F60AE4896370}" srcOrd="0" destOrd="0" parTransId="{6CE3DCD6-724F-4147-BC7C-CD07E1F78889}" sibTransId="{676B44A0-E62C-4B7B-BFBF-02755F3E175A}"/>
    <dgm:cxn modelId="{D6D87236-7F35-4F89-8C69-0C606A290015}" srcId="{97AA3ADE-843A-4221-84AF-DB3AA8600E3A}" destId="{3D439F04-B500-46D8-AE65-94C385D8239C}" srcOrd="6" destOrd="0" parTransId="{F0753D19-CA54-425D-A35C-3D991771B981}" sibTransId="{06C249FF-ED4D-42CD-B7F4-4DB071AA5D91}"/>
    <dgm:cxn modelId="{162ED6FF-2B7D-4904-BAE2-C17CD359E87B}" srcId="{97AA3ADE-843A-4221-84AF-DB3AA8600E3A}" destId="{455ACB2F-577F-4AB5-8950-5B9FB2D5999A}" srcOrd="42" destOrd="0" parTransId="{663FED4B-6018-4B02-AA5A-E9D14D97633B}" sibTransId="{F639D9EC-ED2D-4F4D-8347-86AEC6B7E291}"/>
    <dgm:cxn modelId="{626679BF-7933-406B-A9B2-51286089EF9F}" srcId="{85A7569B-6F73-4E04-8B9E-333372741083}" destId="{5B6520C5-10F4-4AE5-8C4B-9246150354D9}" srcOrd="39" destOrd="0" parTransId="{9C5D0CAE-96A0-4F4E-805B-FB43C7DA835C}" sibTransId="{FA8AD210-AAC3-4556-9704-63BDE4776C78}"/>
    <dgm:cxn modelId="{5E7A551D-D821-4711-9D43-396BF1889210}" type="presOf" srcId="{CFE4E306-E31C-481A-8A65-C6CD9ED090DD}" destId="{AD23FFB9-2542-4B31-80E2-741BD5F0A76B}" srcOrd="0" destOrd="70" presId="urn:microsoft.com/office/officeart/2005/8/layout/list1"/>
    <dgm:cxn modelId="{46436CBA-AE2E-481C-A526-962C27B64223}" srcId="{97AA3ADE-843A-4221-84AF-DB3AA8600E3A}" destId="{201D5809-F4C0-44B9-91B0-215B918A22E1}" srcOrd="46" destOrd="0" parTransId="{5397A78A-5F5D-487F-BA17-91CC865C8934}" sibTransId="{E2370D56-FAEA-4004-8D4B-EABF84BFC563}"/>
    <dgm:cxn modelId="{8AF6FC96-4019-48DB-84BE-F0AB3E178CD6}" type="presParOf" srcId="{EA47508E-317F-4A46-BCBF-FAC7A14A0EFA}" destId="{636D8AAD-FF92-4DE7-815F-E22E45110B13}" srcOrd="0" destOrd="0" presId="urn:microsoft.com/office/officeart/2005/8/layout/list1"/>
    <dgm:cxn modelId="{6C7C220C-FC31-4B3A-9AD6-ABEC0B79D328}" type="presParOf" srcId="{636D8AAD-FF92-4DE7-815F-E22E45110B13}" destId="{362CDBAB-855B-42DD-B25B-F740E7B27E88}" srcOrd="0" destOrd="0" presId="urn:microsoft.com/office/officeart/2005/8/layout/list1"/>
    <dgm:cxn modelId="{7EF80408-2BFC-4B73-8F0A-780974980CEA}" type="presParOf" srcId="{636D8AAD-FF92-4DE7-815F-E22E45110B13}" destId="{5DC58891-F6F0-4E60-A5CF-990DBBAF63B8}" srcOrd="1" destOrd="0" presId="urn:microsoft.com/office/officeart/2005/8/layout/list1"/>
    <dgm:cxn modelId="{D271A5DC-D3DE-47CC-AF54-4E941B795F4F}" type="presParOf" srcId="{EA47508E-317F-4A46-BCBF-FAC7A14A0EFA}" destId="{F544ECF4-E4B6-43F4-88A3-8A020BFC8756}" srcOrd="1" destOrd="0" presId="urn:microsoft.com/office/officeart/2005/8/layout/list1"/>
    <dgm:cxn modelId="{A46F0586-E569-4230-BEB3-2FF20D3E9EA1}" type="presParOf" srcId="{EA47508E-317F-4A46-BCBF-FAC7A14A0EFA}" destId="{5B4E20D8-CBA3-43D9-8002-3C6F33DD77DC}" srcOrd="2" destOrd="0" presId="urn:microsoft.com/office/officeart/2005/8/layout/list1"/>
    <dgm:cxn modelId="{17BA7F0E-9CAC-4FBF-B95E-C492AE629206}" type="presParOf" srcId="{EA47508E-317F-4A46-BCBF-FAC7A14A0EFA}" destId="{69932703-4740-4AAC-B7D7-5F90595F6596}" srcOrd="3" destOrd="0" presId="urn:microsoft.com/office/officeart/2005/8/layout/list1"/>
    <dgm:cxn modelId="{232C4B8A-A171-4518-A03E-9A379AA702B4}" type="presParOf" srcId="{EA47508E-317F-4A46-BCBF-FAC7A14A0EFA}" destId="{B8F418AA-043B-4FFE-B0FA-20504AA98FFB}" srcOrd="4" destOrd="0" presId="urn:microsoft.com/office/officeart/2005/8/layout/list1"/>
    <dgm:cxn modelId="{D7DF7F06-E874-4FC1-A6C8-08BF0E5F69C7}" type="presParOf" srcId="{B8F418AA-043B-4FFE-B0FA-20504AA98FFB}" destId="{7EE8E146-0002-449A-8AC8-465A046A3587}" srcOrd="0" destOrd="0" presId="urn:microsoft.com/office/officeart/2005/8/layout/list1"/>
    <dgm:cxn modelId="{1EB120CC-D6A9-4077-960C-C2169A480FD6}" type="presParOf" srcId="{B8F418AA-043B-4FFE-B0FA-20504AA98FFB}" destId="{F8CDE98B-1F69-427D-85A5-A035DE08DEB3}" srcOrd="1" destOrd="0" presId="urn:microsoft.com/office/officeart/2005/8/layout/list1"/>
    <dgm:cxn modelId="{DE980832-1152-47CF-B26C-7AEE8AD917F6}" type="presParOf" srcId="{EA47508E-317F-4A46-BCBF-FAC7A14A0EFA}" destId="{35944BBE-5CA1-4F47-B021-B24352F9D241}" srcOrd="5" destOrd="0" presId="urn:microsoft.com/office/officeart/2005/8/layout/list1"/>
    <dgm:cxn modelId="{AD800984-A843-4CF5-8583-C2F87500D4C8}" type="presParOf" srcId="{EA47508E-317F-4A46-BCBF-FAC7A14A0EFA}" destId="{5055729C-1743-4889-980C-6A0CEF4560D2}" srcOrd="6" destOrd="0" presId="urn:microsoft.com/office/officeart/2005/8/layout/list1"/>
    <dgm:cxn modelId="{2276795C-A996-4CB0-A783-0264D58014C0}" type="presParOf" srcId="{EA47508E-317F-4A46-BCBF-FAC7A14A0EFA}" destId="{E0539988-472D-4CBA-A5E7-087BC1B3B5B0}" srcOrd="7" destOrd="0" presId="urn:microsoft.com/office/officeart/2005/8/layout/list1"/>
    <dgm:cxn modelId="{58FFB64A-8AAD-4B13-8191-41E0E0AFA9CD}" type="presParOf" srcId="{EA47508E-317F-4A46-BCBF-FAC7A14A0EFA}" destId="{EE16FBC8-09D8-44AF-A6AA-B53F234DF3AD}" srcOrd="8" destOrd="0" presId="urn:microsoft.com/office/officeart/2005/8/layout/list1"/>
    <dgm:cxn modelId="{17A87BD9-7999-4E7B-A058-BBD1A30A3793}" type="presParOf" srcId="{EE16FBC8-09D8-44AF-A6AA-B53F234DF3AD}" destId="{20518C94-687E-48B2-AEE0-E5AB31E7C750}" srcOrd="0" destOrd="0" presId="urn:microsoft.com/office/officeart/2005/8/layout/list1"/>
    <dgm:cxn modelId="{DEBC3445-727F-4581-A2DC-B5640E563F18}" type="presParOf" srcId="{EE16FBC8-09D8-44AF-A6AA-B53F234DF3AD}" destId="{41D7407A-C719-4FA3-8A83-E4FFE8AE6D7D}" srcOrd="1" destOrd="0" presId="urn:microsoft.com/office/officeart/2005/8/layout/list1"/>
    <dgm:cxn modelId="{25403566-E8C6-4807-A6FD-71AF16C93B48}" type="presParOf" srcId="{EA47508E-317F-4A46-BCBF-FAC7A14A0EFA}" destId="{F4C88BA6-BA1F-4993-A42D-39A8761AA56F}" srcOrd="9" destOrd="0" presId="urn:microsoft.com/office/officeart/2005/8/layout/list1"/>
    <dgm:cxn modelId="{23C9AD0D-B808-44E1-87B2-530E809E1F89}" type="presParOf" srcId="{EA47508E-317F-4A46-BCBF-FAC7A14A0EFA}" destId="{817CDDC7-4A1A-4DD3-BC8B-78FCA99C23C1}" srcOrd="10" destOrd="0" presId="urn:microsoft.com/office/officeart/2005/8/layout/list1"/>
    <dgm:cxn modelId="{CB2EBAA8-3648-4612-8A19-FD917071D408}" type="presParOf" srcId="{EA47508E-317F-4A46-BCBF-FAC7A14A0EFA}" destId="{A50285AE-FB7A-4557-80A9-A5B9A92313E9}" srcOrd="11" destOrd="0" presId="urn:microsoft.com/office/officeart/2005/8/layout/list1"/>
    <dgm:cxn modelId="{808E4C43-0346-479C-8125-574FF1157674}" type="presParOf" srcId="{EA47508E-317F-4A46-BCBF-FAC7A14A0EFA}" destId="{3E11E20E-175E-48A4-AFA7-A976BE601DA1}" srcOrd="12" destOrd="0" presId="urn:microsoft.com/office/officeart/2005/8/layout/list1"/>
    <dgm:cxn modelId="{C55F25E6-1DD5-4E76-A372-AAC0A9DC5D1D}" type="presParOf" srcId="{3E11E20E-175E-48A4-AFA7-A976BE601DA1}" destId="{DB2B5F74-BC31-4AC7-89FD-9362E44E490A}" srcOrd="0" destOrd="0" presId="urn:microsoft.com/office/officeart/2005/8/layout/list1"/>
    <dgm:cxn modelId="{7392BB61-EF6E-442F-ACED-27468D497A32}" type="presParOf" srcId="{3E11E20E-175E-48A4-AFA7-A976BE601DA1}" destId="{D3B6AE60-02C5-4783-838B-9B0AB0FC527F}" srcOrd="1" destOrd="0" presId="urn:microsoft.com/office/officeart/2005/8/layout/list1"/>
    <dgm:cxn modelId="{CF7A4848-96E3-4CAA-88B7-47281328CCE5}" type="presParOf" srcId="{EA47508E-317F-4A46-BCBF-FAC7A14A0EFA}" destId="{DC78D7BA-D2C6-4F06-8550-5F2C0557FB93}" srcOrd="13" destOrd="0" presId="urn:microsoft.com/office/officeart/2005/8/layout/list1"/>
    <dgm:cxn modelId="{0EEFD3FC-C801-4B3F-A58D-90B14AF29576}" type="presParOf" srcId="{EA47508E-317F-4A46-BCBF-FAC7A14A0EFA}" destId="{AD23FFB9-2542-4B31-80E2-741BD5F0A76B}" srcOrd="14" destOrd="0" presId="urn:microsoft.com/office/officeart/2005/8/layout/list1"/>
    <dgm:cxn modelId="{AA47EA0A-B306-437F-B505-3A4D8AF81926}" type="presParOf" srcId="{EA47508E-317F-4A46-BCBF-FAC7A14A0EFA}" destId="{ADACF910-560B-4196-B502-5B6A3CB17DE9}" srcOrd="15" destOrd="0" presId="urn:microsoft.com/office/officeart/2005/8/layout/list1"/>
    <dgm:cxn modelId="{3B4E30C3-40C1-4412-8BBB-A8C6F37D979C}" type="presParOf" srcId="{EA47508E-317F-4A46-BCBF-FAC7A14A0EFA}" destId="{1F7D25D6-9B32-4A0C-8AA7-B30ABB732AB9}" srcOrd="16" destOrd="0" presId="urn:microsoft.com/office/officeart/2005/8/layout/list1"/>
    <dgm:cxn modelId="{AF88DD95-E8C2-4666-9ECC-752E1453126C}" type="presParOf" srcId="{1F7D25D6-9B32-4A0C-8AA7-B30ABB732AB9}" destId="{78505F54-1321-4297-B3D5-B093F2495A2E}" srcOrd="0" destOrd="0" presId="urn:microsoft.com/office/officeart/2005/8/layout/list1"/>
    <dgm:cxn modelId="{9222F903-918E-414B-A82F-AB3F8F1968C2}" type="presParOf" srcId="{1F7D25D6-9B32-4A0C-8AA7-B30ABB732AB9}" destId="{153FE339-C805-4E53-87AC-026762D57A3E}" srcOrd="1" destOrd="0" presId="urn:microsoft.com/office/officeart/2005/8/layout/list1"/>
    <dgm:cxn modelId="{2A948BF7-D84A-4F6C-94EE-51F070174084}" type="presParOf" srcId="{EA47508E-317F-4A46-BCBF-FAC7A14A0EFA}" destId="{91A2372E-C5FB-4D53-BA80-0A18F684F7AA}" srcOrd="17" destOrd="0" presId="urn:microsoft.com/office/officeart/2005/8/layout/list1"/>
    <dgm:cxn modelId="{191BB965-A4A7-4C16-BF3D-65612760FC48}" type="presParOf" srcId="{EA47508E-317F-4A46-BCBF-FAC7A14A0EFA}" destId="{DD9E5413-5447-4D82-930B-572E7D8779E8}" srcOrd="18" destOrd="0" presId="urn:microsoft.com/office/officeart/2005/8/layout/list1"/>
    <dgm:cxn modelId="{72932F4E-D23C-47F9-9F0D-CEEC68371FAA}" type="presParOf" srcId="{EA47508E-317F-4A46-BCBF-FAC7A14A0EFA}" destId="{5B4AAD95-ADEC-46A2-92F9-CAE110192BC3}" srcOrd="19" destOrd="0" presId="urn:microsoft.com/office/officeart/2005/8/layout/list1"/>
    <dgm:cxn modelId="{AC5C68E2-C07C-4F3E-A526-586316FE371A}" type="presParOf" srcId="{EA47508E-317F-4A46-BCBF-FAC7A14A0EFA}" destId="{22D097F7-6C7D-4E39-9C3C-E390D4515B27}" srcOrd="20" destOrd="0" presId="urn:microsoft.com/office/officeart/2005/8/layout/list1"/>
    <dgm:cxn modelId="{F3C2957F-8766-4C93-AC1B-4E922BDEAD41}" type="presParOf" srcId="{22D097F7-6C7D-4E39-9C3C-E390D4515B27}" destId="{F040162A-9EF5-4D83-BF3B-9CA6D275C82B}" srcOrd="0" destOrd="0" presId="urn:microsoft.com/office/officeart/2005/8/layout/list1"/>
    <dgm:cxn modelId="{A17A5633-DD40-4E46-B640-5745EDC6E73F}" type="presParOf" srcId="{22D097F7-6C7D-4E39-9C3C-E390D4515B27}" destId="{A13C755E-4B5F-4F00-B21E-64F9772BCED9}" srcOrd="1" destOrd="0" presId="urn:microsoft.com/office/officeart/2005/8/layout/list1"/>
    <dgm:cxn modelId="{1520B2BC-A640-432D-957F-6FA8A01B7423}" type="presParOf" srcId="{EA47508E-317F-4A46-BCBF-FAC7A14A0EFA}" destId="{13ADEAF3-B12D-4361-98C3-DC86BCFAB704}" srcOrd="21" destOrd="0" presId="urn:microsoft.com/office/officeart/2005/8/layout/list1"/>
    <dgm:cxn modelId="{27AE8DCA-C6E9-4E1C-85D4-559AB0B8E763}" type="presParOf" srcId="{EA47508E-317F-4A46-BCBF-FAC7A14A0EFA}" destId="{7487FDEE-AAC7-4F87-A642-B31566E7B464}" srcOrd="22" destOrd="0" presId="urn:microsoft.com/office/officeart/2005/8/layout/list1"/>
    <dgm:cxn modelId="{70940BEE-54BC-4246-BA0B-97D08FDCA230}" type="presParOf" srcId="{EA47508E-317F-4A46-BCBF-FAC7A14A0EFA}" destId="{60114156-74CF-43EB-A527-D95086126B18}" srcOrd="23" destOrd="0" presId="urn:microsoft.com/office/officeart/2005/8/layout/list1"/>
    <dgm:cxn modelId="{A6CBC03C-CD59-4985-9F32-BCC941772356}" type="presParOf" srcId="{EA47508E-317F-4A46-BCBF-FAC7A14A0EFA}" destId="{B292CA48-0F48-402A-825B-4652F219D248}" srcOrd="24" destOrd="0" presId="urn:microsoft.com/office/officeart/2005/8/layout/list1"/>
    <dgm:cxn modelId="{C9F4237F-760C-4AB1-9923-3C21FCAEB2BF}" type="presParOf" srcId="{B292CA48-0F48-402A-825B-4652F219D248}" destId="{E5C5E4C0-B0E8-46D2-A8A9-B2ED000E6653}" srcOrd="0" destOrd="0" presId="urn:microsoft.com/office/officeart/2005/8/layout/list1"/>
    <dgm:cxn modelId="{05F02630-9F06-4F0B-92D6-ECD43547F48F}" type="presParOf" srcId="{B292CA48-0F48-402A-825B-4652F219D248}" destId="{544F83B4-61A5-48E0-9038-3584469BFED8}" srcOrd="1" destOrd="0" presId="urn:microsoft.com/office/officeart/2005/8/layout/list1"/>
    <dgm:cxn modelId="{D57BBFBB-FC47-4C93-AB0B-7E67D342C14A}" type="presParOf" srcId="{EA47508E-317F-4A46-BCBF-FAC7A14A0EFA}" destId="{B1E4E801-EEA2-4815-90B1-3EC5FCB9B415}" srcOrd="25" destOrd="0" presId="urn:microsoft.com/office/officeart/2005/8/layout/list1"/>
    <dgm:cxn modelId="{CB14D66C-DAEA-49D2-930B-3855B12B9C67}" type="presParOf" srcId="{EA47508E-317F-4A46-BCBF-FAC7A14A0EFA}" destId="{CB484849-A58C-403B-BE62-FAD20DCEA897}" srcOrd="26" destOrd="0" presId="urn:microsoft.com/office/officeart/2005/8/layout/list1"/>
    <dgm:cxn modelId="{01D2DA5D-6BAB-465C-B137-EFC66DDB0445}" type="presParOf" srcId="{EA47508E-317F-4A46-BCBF-FAC7A14A0EFA}" destId="{0913548D-F5CA-4595-8AFF-99BBC6BC3B6B}" srcOrd="27" destOrd="0" presId="urn:microsoft.com/office/officeart/2005/8/layout/list1"/>
    <dgm:cxn modelId="{53FC93F6-EE0E-4535-9EF0-117C3EE12BB6}" type="presParOf" srcId="{EA47508E-317F-4A46-BCBF-FAC7A14A0EFA}" destId="{0774CA04-11BD-4FDC-9862-07BC38396AF8}" srcOrd="28" destOrd="0" presId="urn:microsoft.com/office/officeart/2005/8/layout/list1"/>
    <dgm:cxn modelId="{24C83928-5FB0-4548-8819-745366B73815}" type="presParOf" srcId="{0774CA04-11BD-4FDC-9862-07BC38396AF8}" destId="{67810F9F-8C17-48D8-A224-6D0EBD98A725}" srcOrd="0" destOrd="0" presId="urn:microsoft.com/office/officeart/2005/8/layout/list1"/>
    <dgm:cxn modelId="{CF0255CD-1793-4691-943C-E0F98BEA27D6}" type="presParOf" srcId="{0774CA04-11BD-4FDC-9862-07BC38396AF8}" destId="{C0DD80FC-2529-4E56-9056-63B16B5B4C20}" srcOrd="1" destOrd="0" presId="urn:microsoft.com/office/officeart/2005/8/layout/list1"/>
    <dgm:cxn modelId="{6B1324BD-8612-4213-B037-1EB6A51BE105}" type="presParOf" srcId="{EA47508E-317F-4A46-BCBF-FAC7A14A0EFA}" destId="{BF420D2B-F250-4A13-A852-6A2A586ADB42}" srcOrd="29" destOrd="0" presId="urn:microsoft.com/office/officeart/2005/8/layout/list1"/>
    <dgm:cxn modelId="{18B79574-7627-43A4-BFBF-B40547762281}" type="presParOf" srcId="{EA47508E-317F-4A46-BCBF-FAC7A14A0EFA}" destId="{044B49A3-7F5D-49D0-A1A1-64AB6D7494E4}" srcOrd="30"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tooltip="Main Menu"/>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tooltip="AA Audit"/>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tooltip="AS Audit"/>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tooltip="Help"/>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236D3AF1-BD28-45F4-A56B-9DCB6732938D}">
      <dgm:prSet phldrT="[Text]"/>
      <dgm:spPr/>
      <dgm:t>
        <a:bodyPr/>
        <a:lstStyle/>
        <a:p>
          <a:r>
            <a:rPr lang="en-US"/>
            <a:t>Courses</a:t>
          </a:r>
        </a:p>
      </dgm:t>
      <dgm:extLst>
        <a:ext uri="{E40237B7-FDA0-4F09-8148-C483321AD2D9}">
          <dgm14:cNvPr xmlns:dgm14="http://schemas.microsoft.com/office/drawing/2010/diagram" id="0" name="">
            <a:hlinkClick xmlns:r="http://schemas.openxmlformats.org/officeDocument/2006/relationships" r:id="rId5" tooltip="Course Descriptions"/>
          </dgm14:cNvPr>
        </a:ext>
      </dgm:extLst>
    </dgm:pt>
    <dgm:pt modelId="{9969C797-65DE-4F23-A712-A2D2B91DD823}" type="parTrans" cxnId="{EC8EE7F8-11C2-46A6-A2A7-6ED97CBCEED9}">
      <dgm:prSet/>
      <dgm:spPr/>
      <dgm:t>
        <a:bodyPr/>
        <a:lstStyle/>
        <a:p>
          <a:endParaRPr lang="en-US"/>
        </a:p>
      </dgm:t>
    </dgm:pt>
    <dgm:pt modelId="{03C5C639-B4DF-4B79-A241-984DE1DC5624}" type="sibTrans" cxnId="{EC8EE7F8-11C2-46A6-A2A7-6ED97CBCEED9}">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5"/>
      <dgm:spPr/>
    </dgm:pt>
    <dgm:pt modelId="{E9D9F328-32C5-4F88-BD2D-AD0CD9FEA872}" type="pres">
      <dgm:prSet presAssocID="{4C578DA1-0FB9-4EB1-8556-988262092F6F}" presName="Child1" presStyleLbl="node1" presStyleIdx="0" presStyleCnt="5">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5"/>
      <dgm:spPr/>
      <dgm:t>
        <a:bodyPr/>
        <a:lstStyle/>
        <a:p>
          <a:endParaRPr lang="en-US"/>
        </a:p>
      </dgm:t>
    </dgm:pt>
    <dgm:pt modelId="{18756525-8AB2-4790-9768-2D6C805793D2}" type="pres">
      <dgm:prSet presAssocID="{65B16740-2ECA-427E-B25A-84809D68D08C}" presName="Child2" presStyleLbl="node1" presStyleIdx="1" presStyleCnt="5">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5"/>
      <dgm:spPr/>
    </dgm:pt>
    <dgm:pt modelId="{05E27CB0-2A19-492E-87BB-E84E412800C3}" type="pres">
      <dgm:prSet presAssocID="{7342D411-961A-4522-A541-FDA3591F21BA}" presName="Child3" presStyleLbl="node1" presStyleIdx="2" presStyleCnt="5">
        <dgm:presLayoutVars>
          <dgm:chMax val="0"/>
          <dgm:chPref val="0"/>
          <dgm:bulletEnabled val="1"/>
        </dgm:presLayoutVars>
      </dgm:prSet>
      <dgm:spPr/>
      <dgm:t>
        <a:bodyPr/>
        <a:lstStyle/>
        <a:p>
          <a:endParaRPr lang="en-US"/>
        </a:p>
      </dgm:t>
    </dgm:pt>
    <dgm:pt modelId="{0A45B0D7-695D-4BD5-891C-73CABAABC6AE}" type="pres">
      <dgm:prSet presAssocID="{236D3AF1-BD28-45F4-A56B-9DCB6732938D}" presName="Accent4" presStyleCnt="0"/>
      <dgm:spPr/>
    </dgm:pt>
    <dgm:pt modelId="{DA3067A3-77BE-4C7A-85CA-0806EDB13A9C}" type="pres">
      <dgm:prSet presAssocID="{236D3AF1-BD28-45F4-A56B-9DCB6732938D}" presName="Accent" presStyleLbl="bgShp" presStyleIdx="3" presStyleCnt="5"/>
      <dgm:spPr/>
    </dgm:pt>
    <dgm:pt modelId="{B80ACA03-2A9E-41C2-8EAB-056BDFCEEFC8}" type="pres">
      <dgm:prSet presAssocID="{236D3AF1-BD28-45F4-A56B-9DCB6732938D}" presName="Child4" presStyleLbl="node1" presStyleIdx="3" presStyleCnt="5">
        <dgm:presLayoutVars>
          <dgm:chMax val="0"/>
          <dgm:chPref val="0"/>
          <dgm:bulletEnabled val="1"/>
        </dgm:presLayoutVars>
      </dgm:prSet>
      <dgm:spPr/>
      <dgm:t>
        <a:bodyPr/>
        <a:lstStyle/>
        <a:p>
          <a:endParaRPr lang="en-US"/>
        </a:p>
      </dgm:t>
    </dgm:pt>
    <dgm:pt modelId="{1895F105-06E5-43B2-9784-1F3EEB9E2BD7}" type="pres">
      <dgm:prSet presAssocID="{BB99BAA8-5F8C-4AD7-AF7F-5750AD63CB10}" presName="Accent5" presStyleCnt="0"/>
      <dgm:spPr/>
    </dgm:pt>
    <dgm:pt modelId="{D7EF0A8E-2835-496A-AD7D-1B39358AA70C}" type="pres">
      <dgm:prSet presAssocID="{BB99BAA8-5F8C-4AD7-AF7F-5750AD63CB10}" presName="Accent" presStyleLbl="bgShp" presStyleIdx="4" presStyleCnt="5"/>
      <dgm:spPr/>
    </dgm:pt>
    <dgm:pt modelId="{80450CDC-E9F8-4289-8E44-5E1263309C9F}" type="pres">
      <dgm:prSet presAssocID="{BB99BAA8-5F8C-4AD7-AF7F-5750AD63CB10}" presName="Child5" presStyleLbl="node1" presStyleIdx="4" presStyleCnt="5">
        <dgm:presLayoutVars>
          <dgm:chMax val="0"/>
          <dgm:chPref val="0"/>
          <dgm:bulletEnabled val="1"/>
        </dgm:presLayoutVars>
      </dgm:prSet>
      <dgm:spPr/>
      <dgm:t>
        <a:bodyPr/>
        <a:lstStyle/>
        <a:p>
          <a:endParaRPr lang="en-US"/>
        </a:p>
      </dgm:t>
    </dgm:pt>
  </dgm:ptLst>
  <dgm:cxnLst>
    <dgm:cxn modelId="{7AFC3EB9-F52D-4BE8-95D4-456A3A67AC34}" srcId="{FEB3AD7F-06F3-4105-ABC4-46F25779A6E5}" destId="{65B16740-2ECA-427E-B25A-84809D68D08C}" srcOrd="1" destOrd="0" parTransId="{5CDD2226-49E3-4F5D-9F92-162EEF45F678}" sibTransId="{C6BF076C-327F-43BE-AA49-7BFA74519DB0}"/>
    <dgm:cxn modelId="{CB72FF8C-99F7-4EB8-8101-866B07473A42}" srcId="{FEB3AD7F-06F3-4105-ABC4-46F25779A6E5}" destId="{4C578DA1-0FB9-4EB1-8556-988262092F6F}" srcOrd="0" destOrd="0" parTransId="{0FE709E6-A8DD-4FFC-9C83-56B47CA7013B}" sibTransId="{345FB591-E14D-4D27-A91E-6825B080D55D}"/>
    <dgm:cxn modelId="{F116CBEB-893E-4A78-980D-CFD39D9D37DE}" type="presOf" srcId="{7342D411-961A-4522-A541-FDA3591F21BA}" destId="{05E27CB0-2A19-492E-87BB-E84E412800C3}" srcOrd="0" destOrd="0" presId="urn:microsoft.com/office/officeart/2011/layout/HexagonRadial"/>
    <dgm:cxn modelId="{5FCABD28-E9F7-4C62-A5FE-AD545BB52847}" srcId="{FEB3AD7F-06F3-4105-ABC4-46F25779A6E5}" destId="{BB99BAA8-5F8C-4AD7-AF7F-5750AD63CB10}" srcOrd="4" destOrd="0" parTransId="{AC8BD58C-02DB-42C7-9601-9B768455735E}" sibTransId="{8C465534-3538-4CDE-9CFE-A105D3BE2558}"/>
    <dgm:cxn modelId="{5BE51B5D-DE96-44AE-AF80-DC5ED5542248}" srcId="{FEB3AD7F-06F3-4105-ABC4-46F25779A6E5}" destId="{7342D411-961A-4522-A541-FDA3591F21BA}" srcOrd="2" destOrd="0" parTransId="{E1BA6006-F7C1-4259-9E50-45A2D287EB86}" sibTransId="{75E9BCC8-528C-43BA-90E3-E6C19CF1952C}"/>
    <dgm:cxn modelId="{9738DD40-1B1D-450A-BF58-1197B2CFB743}" type="presOf" srcId="{7F63E330-A55F-44F6-B91C-DB66F89E9DC1}" destId="{6774D031-8CCE-49DF-8EA8-9963B03EFE6D}" srcOrd="0" destOrd="0" presId="urn:microsoft.com/office/officeart/2011/layout/HexagonRadial"/>
    <dgm:cxn modelId="{EC8EE7F8-11C2-46A6-A2A7-6ED97CBCEED9}" srcId="{FEB3AD7F-06F3-4105-ABC4-46F25779A6E5}" destId="{236D3AF1-BD28-45F4-A56B-9DCB6732938D}" srcOrd="3" destOrd="0" parTransId="{9969C797-65DE-4F23-A712-A2D2B91DD823}" sibTransId="{03C5C639-B4DF-4B79-A241-984DE1DC5624}"/>
    <dgm:cxn modelId="{46EC81BE-18C3-425D-BFA2-183C4A4567A6}" type="presOf" srcId="{4C578DA1-0FB9-4EB1-8556-988262092F6F}" destId="{E9D9F328-32C5-4F88-BD2D-AD0CD9FEA872}" srcOrd="0" destOrd="0" presId="urn:microsoft.com/office/officeart/2011/layout/HexagonRadial"/>
    <dgm:cxn modelId="{52C25C26-12E6-4CBE-885B-2962E4788773}" srcId="{7F63E330-A55F-44F6-B91C-DB66F89E9DC1}" destId="{FEB3AD7F-06F3-4105-ABC4-46F25779A6E5}" srcOrd="0" destOrd="0" parTransId="{A6DF12E0-7653-472B-9251-A92AD9AF5423}" sibTransId="{0ABC3642-482D-4A9C-86F0-3971851817A0}"/>
    <dgm:cxn modelId="{9415193E-FC31-40E6-AEEA-0EE498E342A8}" type="presOf" srcId="{236D3AF1-BD28-45F4-A56B-9DCB6732938D}" destId="{B80ACA03-2A9E-41C2-8EAB-056BDFCEEFC8}" srcOrd="0" destOrd="0" presId="urn:microsoft.com/office/officeart/2011/layout/HexagonRadial"/>
    <dgm:cxn modelId="{EF62611A-532B-42A7-828F-DFB38C6784ED}" type="presOf" srcId="{65B16740-2ECA-427E-B25A-84809D68D08C}" destId="{18756525-8AB2-4790-9768-2D6C805793D2}" srcOrd="0" destOrd="0" presId="urn:microsoft.com/office/officeart/2011/layout/HexagonRadial"/>
    <dgm:cxn modelId="{F43D8DDB-D20B-43A2-988B-7177C22E0935}" type="presOf" srcId="{BB99BAA8-5F8C-4AD7-AF7F-5750AD63CB10}" destId="{80450CDC-E9F8-4289-8E44-5E1263309C9F}" srcOrd="0" destOrd="0" presId="urn:microsoft.com/office/officeart/2011/layout/HexagonRadial"/>
    <dgm:cxn modelId="{C9F487FF-D5B4-4166-9CA3-1350452BD1AD}" type="presOf" srcId="{FEB3AD7F-06F3-4105-ABC4-46F25779A6E5}" destId="{339CD9F1-9910-4626-B4D3-66A58EE634DC}" srcOrd="0" destOrd="0" presId="urn:microsoft.com/office/officeart/2011/layout/HexagonRadial"/>
    <dgm:cxn modelId="{EA1B5198-6849-4728-A4D4-BD0A1C2AA5A1}" type="presParOf" srcId="{6774D031-8CCE-49DF-8EA8-9963B03EFE6D}" destId="{339CD9F1-9910-4626-B4D3-66A58EE634DC}" srcOrd="0" destOrd="0" presId="urn:microsoft.com/office/officeart/2011/layout/HexagonRadial"/>
    <dgm:cxn modelId="{E9513C06-83C6-4591-95BE-9575B3F840D8}" type="presParOf" srcId="{6774D031-8CCE-49DF-8EA8-9963B03EFE6D}" destId="{A2194CE0-8BE4-4618-AED9-4D4D397699A5}" srcOrd="1" destOrd="0" presId="urn:microsoft.com/office/officeart/2011/layout/HexagonRadial"/>
    <dgm:cxn modelId="{361DBF90-507B-4B9A-81A0-F952EDD025DA}" type="presParOf" srcId="{A2194CE0-8BE4-4618-AED9-4D4D397699A5}" destId="{A3A39A84-51ED-4418-8860-27A4DB76B0E3}" srcOrd="0" destOrd="0" presId="urn:microsoft.com/office/officeart/2011/layout/HexagonRadial"/>
    <dgm:cxn modelId="{6696E024-6E8C-4E4F-9F9B-2FD25C2275AA}" type="presParOf" srcId="{6774D031-8CCE-49DF-8EA8-9963B03EFE6D}" destId="{E9D9F328-32C5-4F88-BD2D-AD0CD9FEA872}" srcOrd="2" destOrd="0" presId="urn:microsoft.com/office/officeart/2011/layout/HexagonRadial"/>
    <dgm:cxn modelId="{C4563C16-7239-4BA1-84A7-AA13F6CF9FE3}" type="presParOf" srcId="{6774D031-8CCE-49DF-8EA8-9963B03EFE6D}" destId="{8032D159-E9B2-4CDB-8AEC-2364DC175313}" srcOrd="3" destOrd="0" presId="urn:microsoft.com/office/officeart/2011/layout/HexagonRadial"/>
    <dgm:cxn modelId="{A7B7D8FA-5A61-4587-93AB-3FA6CE80841A}" type="presParOf" srcId="{8032D159-E9B2-4CDB-8AEC-2364DC175313}" destId="{B3ECDF98-3FEC-4D76-BF1D-5D1F46680A05}" srcOrd="0" destOrd="0" presId="urn:microsoft.com/office/officeart/2011/layout/HexagonRadial"/>
    <dgm:cxn modelId="{9A49E5C2-6BE7-4BF9-ADD5-46302965826C}" type="presParOf" srcId="{6774D031-8CCE-49DF-8EA8-9963B03EFE6D}" destId="{18756525-8AB2-4790-9768-2D6C805793D2}" srcOrd="4" destOrd="0" presId="urn:microsoft.com/office/officeart/2011/layout/HexagonRadial"/>
    <dgm:cxn modelId="{9CC6DCB0-D1A0-4DA5-90FE-618A70663A0C}" type="presParOf" srcId="{6774D031-8CCE-49DF-8EA8-9963B03EFE6D}" destId="{B7C5C3B6-4805-4B8C-AE86-BECF19634E5E}" srcOrd="5" destOrd="0" presId="urn:microsoft.com/office/officeart/2011/layout/HexagonRadial"/>
    <dgm:cxn modelId="{C249C2D5-7990-4790-B3EF-CF24CFD0A8F9}" type="presParOf" srcId="{B7C5C3B6-4805-4B8C-AE86-BECF19634E5E}" destId="{B82E6A8F-56C5-42A5-ADC9-D155D4D6C080}" srcOrd="0" destOrd="0" presId="urn:microsoft.com/office/officeart/2011/layout/HexagonRadial"/>
    <dgm:cxn modelId="{62A85A53-EBEC-498D-8181-84D7589AEBD6}" type="presParOf" srcId="{6774D031-8CCE-49DF-8EA8-9963B03EFE6D}" destId="{05E27CB0-2A19-492E-87BB-E84E412800C3}" srcOrd="6" destOrd="0" presId="urn:microsoft.com/office/officeart/2011/layout/HexagonRadial"/>
    <dgm:cxn modelId="{4C737E2D-E2D1-4EDF-BF93-CF3D2D18975C}" type="presParOf" srcId="{6774D031-8CCE-49DF-8EA8-9963B03EFE6D}" destId="{0A45B0D7-695D-4BD5-891C-73CABAABC6AE}" srcOrd="7" destOrd="0" presId="urn:microsoft.com/office/officeart/2011/layout/HexagonRadial"/>
    <dgm:cxn modelId="{5C231AC0-F773-47D4-A008-8B4A4C19D77A}" type="presParOf" srcId="{0A45B0D7-695D-4BD5-891C-73CABAABC6AE}" destId="{DA3067A3-77BE-4C7A-85CA-0806EDB13A9C}" srcOrd="0" destOrd="0" presId="urn:microsoft.com/office/officeart/2011/layout/HexagonRadial"/>
    <dgm:cxn modelId="{5CB91B5A-9C43-47B8-A7F6-B870A8BDEC7F}" type="presParOf" srcId="{6774D031-8CCE-49DF-8EA8-9963B03EFE6D}" destId="{B80ACA03-2A9E-41C2-8EAB-056BDFCEEFC8}" srcOrd="8" destOrd="0" presId="urn:microsoft.com/office/officeart/2011/layout/HexagonRadial"/>
    <dgm:cxn modelId="{EEC2D1BE-CC8C-438B-824F-0C753FC960A3}" type="presParOf" srcId="{6774D031-8CCE-49DF-8EA8-9963B03EFE6D}" destId="{1895F105-06E5-43B2-9784-1F3EEB9E2BD7}" srcOrd="9" destOrd="0" presId="urn:microsoft.com/office/officeart/2011/layout/HexagonRadial"/>
    <dgm:cxn modelId="{3C969E4B-019E-4585-9C32-78D6382CDDD0}" type="presParOf" srcId="{1895F105-06E5-43B2-9784-1F3EEB9E2BD7}" destId="{D7EF0A8E-2835-496A-AD7D-1B39358AA70C}" srcOrd="0" destOrd="0" presId="urn:microsoft.com/office/officeart/2011/layout/HexagonRadial"/>
    <dgm:cxn modelId="{BE313411-EF5D-4A85-BAA8-ED18F330A606}" type="presParOf" srcId="{6774D031-8CCE-49DF-8EA8-9963B03EFE6D}" destId="{80450CDC-E9F8-4289-8E44-5E1263309C9F}" srcOrd="10" destOrd="0" presId="urn:microsoft.com/office/officeart/2011/layout/HexagonRadial"/>
  </dgm:cxnLst>
  <dgm:bg/>
  <dgm:whole/>
  <dgm:extLst>
    <a:ext uri="http://schemas.microsoft.com/office/drawing/2008/diagram">
      <dsp:dataModelExt xmlns:dsp="http://schemas.microsoft.com/office/drawing/2008/diagram" relId="rId18"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0BFCC304-12AB-46C3-9512-C0CC9B21B9AE}" type="doc">
      <dgm:prSet loTypeId="urn:microsoft.com/office/officeart/2005/8/layout/vList2" loCatId="list" qsTypeId="urn:microsoft.com/office/officeart/2005/8/quickstyle/simple4" qsCatId="simple" csTypeId="urn:microsoft.com/office/officeart/2005/8/colors/accent1_2" csCatId="accent1" phldr="1"/>
      <dgm:spPr/>
      <dgm:t>
        <a:bodyPr/>
        <a:lstStyle/>
        <a:p>
          <a:endParaRPr lang="en-US"/>
        </a:p>
      </dgm:t>
    </dgm:pt>
    <dgm:pt modelId="{3FC77516-6E7C-4B21-808C-67BD869BC65F}" type="pres">
      <dgm:prSet presAssocID="{0BFCC304-12AB-46C3-9512-C0CC9B21B9AE}" presName="linear" presStyleCnt="0">
        <dgm:presLayoutVars>
          <dgm:animLvl val="lvl"/>
          <dgm:resizeHandles val="exact"/>
        </dgm:presLayoutVars>
      </dgm:prSet>
      <dgm:spPr/>
      <dgm:t>
        <a:bodyPr/>
        <a:lstStyle/>
        <a:p>
          <a:endParaRPr lang="en-US"/>
        </a:p>
      </dgm:t>
    </dgm:pt>
  </dgm:ptLst>
  <dgm:cxnLst>
    <dgm:cxn modelId="{3D8E8493-DF5E-48D7-BBBC-113757345652}" type="presOf" srcId="{0BFCC304-12AB-46C3-9512-C0CC9B21B9AE}" destId="{3FC77516-6E7C-4B21-808C-67BD869BC65F}" srcOrd="0" destOrd="0" presId="urn:microsoft.com/office/officeart/2005/8/layout/vList2"/>
  </dgm:cxnLst>
  <dgm:bg/>
  <dgm:whole/>
  <dgm:extLst>
    <a:ext uri="http://schemas.microsoft.com/office/drawing/2008/diagram">
      <dsp:dataModelExt xmlns:dsp="http://schemas.microsoft.com/office/drawing/2008/diagram" relId="rId23" minVer="http://schemas.openxmlformats.org/drawingml/2006/diagram"/>
    </a:ext>
  </dgm:extLst>
</dgm:dataModel>
</file>

<file path=xl/diagrams/data6.xml><?xml version="1.0" encoding="utf-8"?>
<dgm:dataModel xmlns:dgm="http://schemas.openxmlformats.org/drawingml/2006/diagram" xmlns:a="http://schemas.openxmlformats.org/drawingml/2006/main">
  <dgm:ptLst>
    <dgm:pt modelId="{7B3131C6-B731-4D48-8604-5BDDE07CB434}" type="doc">
      <dgm:prSet loTypeId="urn:microsoft.com/office/officeart/2005/8/layout/list1" loCatId="list" qsTypeId="urn:microsoft.com/office/officeart/2005/8/quickstyle/simple5" qsCatId="simple" csTypeId="urn:microsoft.com/office/officeart/2005/8/colors/accent1_2" csCatId="accent1" phldr="1"/>
      <dgm:spPr/>
      <dgm:t>
        <a:bodyPr/>
        <a:lstStyle/>
        <a:p>
          <a:endParaRPr lang="en-US"/>
        </a:p>
      </dgm:t>
    </dgm:pt>
    <dgm:pt modelId="{CE0B7C0F-2AE1-4216-90CD-1C3EC8F26221}">
      <dgm:prSet phldrT="[Text]" custT="1"/>
      <dgm:spPr/>
      <dgm:t>
        <a:bodyPr/>
        <a:lstStyle/>
        <a:p>
          <a:r>
            <a:rPr lang="en-US" sz="1400" b="1"/>
            <a:t>How To Use The AA/AS Audit</a:t>
          </a:r>
        </a:p>
      </dgm:t>
    </dgm:pt>
    <dgm:pt modelId="{39A78129-0342-43F2-BF0D-D8D996F19940}" type="parTrans" cxnId="{1C99AB5D-0A54-4667-A773-7C20F5AA4803}">
      <dgm:prSet/>
      <dgm:spPr/>
      <dgm:t>
        <a:bodyPr/>
        <a:lstStyle/>
        <a:p>
          <a:endParaRPr lang="en-US" sz="1100"/>
        </a:p>
      </dgm:t>
    </dgm:pt>
    <dgm:pt modelId="{BB019F18-FCFE-451D-9DDF-DCC861729C34}" type="sibTrans" cxnId="{1C99AB5D-0A54-4667-A773-7C20F5AA4803}">
      <dgm:prSet/>
      <dgm:spPr/>
      <dgm:t>
        <a:bodyPr/>
        <a:lstStyle/>
        <a:p>
          <a:endParaRPr lang="en-US" sz="1100"/>
        </a:p>
      </dgm:t>
    </dgm:pt>
    <dgm:pt modelId="{9E8E362F-B027-4A8F-B324-EFE001F6860E}">
      <dgm:prSet phldrT="[Text]" custT="1"/>
      <dgm:spPr/>
      <dgm:t>
        <a:bodyPr/>
        <a:lstStyle/>
        <a:p>
          <a:r>
            <a:rPr lang="en-US" sz="1400" b="1"/>
            <a:t>Color Code	</a:t>
          </a:r>
        </a:p>
      </dgm:t>
    </dgm:pt>
    <dgm:pt modelId="{0D5422B1-E26A-402E-BD6E-54E0C3045F0D}" type="parTrans" cxnId="{DBEC5B11-8A03-431B-B146-296C5C39A63E}">
      <dgm:prSet/>
      <dgm:spPr/>
      <dgm:t>
        <a:bodyPr/>
        <a:lstStyle/>
        <a:p>
          <a:endParaRPr lang="en-US" sz="1100"/>
        </a:p>
      </dgm:t>
    </dgm:pt>
    <dgm:pt modelId="{0E9717BD-EE36-4E9B-B8EA-141F053B619D}" type="sibTrans" cxnId="{DBEC5B11-8A03-431B-B146-296C5C39A63E}">
      <dgm:prSet/>
      <dgm:spPr/>
      <dgm:t>
        <a:bodyPr/>
        <a:lstStyle/>
        <a:p>
          <a:endParaRPr lang="en-US" sz="1100"/>
        </a:p>
      </dgm:t>
    </dgm:pt>
    <dgm:pt modelId="{2857C929-4BC7-4F57-BDA2-9312F9E6A012}">
      <dgm:prSet phldrT="[Text]" custT="1"/>
      <dgm:spPr/>
      <dgm:t>
        <a:bodyPr/>
        <a:lstStyle/>
        <a:p>
          <a:r>
            <a:rPr lang="en-US" sz="1400" b="1"/>
            <a:t>Grade Key</a:t>
          </a:r>
        </a:p>
      </dgm:t>
    </dgm:pt>
    <dgm:pt modelId="{DE6D1127-E903-4430-9363-BCB952DDAE6F}" type="parTrans" cxnId="{8B1C6645-9389-4CE6-AD38-AD57F94E8832}">
      <dgm:prSet/>
      <dgm:spPr/>
      <dgm:t>
        <a:bodyPr/>
        <a:lstStyle/>
        <a:p>
          <a:endParaRPr lang="en-US" sz="1100"/>
        </a:p>
      </dgm:t>
    </dgm:pt>
    <dgm:pt modelId="{B67C93AB-A7B0-465A-A2F6-B23D3F409F65}" type="sibTrans" cxnId="{8B1C6645-9389-4CE6-AD38-AD57F94E8832}">
      <dgm:prSet/>
      <dgm:spPr/>
      <dgm:t>
        <a:bodyPr/>
        <a:lstStyle/>
        <a:p>
          <a:endParaRPr lang="en-US" sz="1100"/>
        </a:p>
      </dgm:t>
    </dgm:pt>
    <dgm:pt modelId="{34D3F2BE-0A1F-4DA2-8423-A95F816343EA}">
      <dgm:prSet custT="1"/>
      <dgm:spPr>
        <a:solidFill>
          <a:sysClr val="window" lastClr="FFFFFF">
            <a:alpha val="90000"/>
          </a:sysClr>
        </a:solidFill>
      </dgm:spPr>
      <dgm:t>
        <a:bodyPr/>
        <a:lstStyle/>
        <a:p>
          <a:r>
            <a:rPr lang="en-US" sz="1100"/>
            <a:t>The program is designed to be user friendly.  The primary information you will enter is:  Course, Credit, and Grade.  You can type these values into the blanks, or you can click in the blank and select an option from the dropdown list.</a:t>
          </a:r>
        </a:p>
      </dgm:t>
    </dgm:pt>
    <dgm:pt modelId="{7F8FD3D1-3D6A-49B3-ABD8-1E86ED21DD38}" type="parTrans" cxnId="{C843F433-E4C3-448F-9B04-25353E484EA6}">
      <dgm:prSet/>
      <dgm:spPr/>
      <dgm:t>
        <a:bodyPr/>
        <a:lstStyle/>
        <a:p>
          <a:endParaRPr lang="en-US" sz="1100"/>
        </a:p>
      </dgm:t>
    </dgm:pt>
    <dgm:pt modelId="{497622A5-422F-4CAB-8C60-AE57CD5F1162}" type="sibTrans" cxnId="{C843F433-E4C3-448F-9B04-25353E484EA6}">
      <dgm:prSet/>
      <dgm:spPr/>
      <dgm:t>
        <a:bodyPr/>
        <a:lstStyle/>
        <a:p>
          <a:endParaRPr lang="en-US" sz="1100"/>
        </a:p>
      </dgm:t>
    </dgm:pt>
    <dgm:pt modelId="{C5B892DC-E2AC-4148-A59B-59E1107AF4DD}">
      <dgm:prSet custT="1"/>
      <dgm:spPr>
        <a:solidFill>
          <a:sysClr val="window" lastClr="FFFFFF">
            <a:alpha val="90000"/>
          </a:sysClr>
        </a:solidFill>
      </dgm:spPr>
      <dgm:t>
        <a:bodyPr/>
        <a:lstStyle/>
        <a:p>
          <a:r>
            <a:rPr lang="en-US" sz="1100" b="1">
              <a:solidFill>
                <a:srgbClr val="C00000"/>
              </a:solidFill>
            </a:rPr>
            <a:t>RULE 1:</a:t>
          </a:r>
          <a:r>
            <a:rPr lang="en-US" sz="1100"/>
            <a:t>  Courses in the Electives section must be entered manually, there is no dropdown list to choose from.</a:t>
          </a:r>
        </a:p>
      </dgm:t>
    </dgm:pt>
    <dgm:pt modelId="{F3068091-4DFC-49F8-ABAB-39658FC5FB70}" type="parTrans" cxnId="{A91D0BE4-F0D0-4AED-9B3B-477BD20F9D51}">
      <dgm:prSet/>
      <dgm:spPr/>
      <dgm:t>
        <a:bodyPr/>
        <a:lstStyle/>
        <a:p>
          <a:endParaRPr lang="en-US" sz="1100"/>
        </a:p>
      </dgm:t>
    </dgm:pt>
    <dgm:pt modelId="{991BED97-059E-407A-9630-11CCD41E73B7}" type="sibTrans" cxnId="{A91D0BE4-F0D0-4AED-9B3B-477BD20F9D51}">
      <dgm:prSet/>
      <dgm:spPr/>
      <dgm:t>
        <a:bodyPr/>
        <a:lstStyle/>
        <a:p>
          <a:endParaRPr lang="en-US" sz="1100"/>
        </a:p>
      </dgm:t>
    </dgm:pt>
    <dgm:pt modelId="{0D6DB11B-2657-498F-806E-CE563C820A17}">
      <dgm:prSet custT="1"/>
      <dgm:spPr/>
      <dgm:t>
        <a:bodyPr/>
        <a:lstStyle/>
        <a:p>
          <a:r>
            <a:rPr lang="en-US" sz="1100"/>
            <a:t>The audit program uses a color code to help the auditor quickly see what requirements are incomplete.</a:t>
          </a:r>
        </a:p>
      </dgm:t>
    </dgm:pt>
    <dgm:pt modelId="{6444E56D-7A1A-4D82-B06D-30EA9BA467A6}" type="parTrans" cxnId="{2410B4D3-0B5B-4DF4-8529-5E5EBD150CA0}">
      <dgm:prSet/>
      <dgm:spPr/>
      <dgm:t>
        <a:bodyPr/>
        <a:lstStyle/>
        <a:p>
          <a:endParaRPr lang="en-US" sz="1100"/>
        </a:p>
      </dgm:t>
    </dgm:pt>
    <dgm:pt modelId="{C330A61B-318D-4760-8AB2-288A1385286D}" type="sibTrans" cxnId="{2410B4D3-0B5B-4DF4-8529-5E5EBD150CA0}">
      <dgm:prSet/>
      <dgm:spPr/>
      <dgm:t>
        <a:bodyPr/>
        <a:lstStyle/>
        <a:p>
          <a:endParaRPr lang="en-US" sz="1100"/>
        </a:p>
      </dgm:t>
    </dgm:pt>
    <dgm:pt modelId="{159348F2-0121-441A-BB44-E06CE203F09D}">
      <dgm:prSet custT="1"/>
      <dgm:spPr/>
      <dgm:t>
        <a:bodyPr/>
        <a:lstStyle/>
        <a:p>
          <a:r>
            <a:rPr lang="en-US" sz="1100"/>
            <a:t>Yellow:  A box on the audit sheet that is highlighted in YELLOW indicates that a requirement has not been met.</a:t>
          </a:r>
        </a:p>
      </dgm:t>
    </dgm:pt>
    <dgm:pt modelId="{4D44E91D-AC1E-4954-B110-80759518F488}" type="parTrans" cxnId="{9B72D962-0C2A-4FEE-BD30-F09D96CE94A7}">
      <dgm:prSet/>
      <dgm:spPr/>
      <dgm:t>
        <a:bodyPr/>
        <a:lstStyle/>
        <a:p>
          <a:endParaRPr lang="en-US" sz="1100"/>
        </a:p>
      </dgm:t>
    </dgm:pt>
    <dgm:pt modelId="{CC609F90-56A8-4BD9-AC71-7E31139EA079}" type="sibTrans" cxnId="{9B72D962-0C2A-4FEE-BD30-F09D96CE94A7}">
      <dgm:prSet/>
      <dgm:spPr/>
      <dgm:t>
        <a:bodyPr/>
        <a:lstStyle/>
        <a:p>
          <a:endParaRPr lang="en-US" sz="1100"/>
        </a:p>
      </dgm:t>
    </dgm:pt>
    <dgm:pt modelId="{613A3068-01AE-406A-91FD-BFA8B8D6D54B}">
      <dgm:prSet custT="1"/>
      <dgm:spPr/>
      <dgm:t>
        <a:bodyPr/>
        <a:lstStyle/>
        <a:p>
          <a:r>
            <a:rPr lang="en-US" sz="1100"/>
            <a:t>Example:  A GPA of 2.0 is required to graduate.  If a GPA of 1.85 is put into the GPA box then it will  be highlighted yellow because 1.85 does not meet the requirement.</a:t>
          </a:r>
        </a:p>
      </dgm:t>
    </dgm:pt>
    <dgm:pt modelId="{DDEC9E42-63CB-4F1A-8D2D-7F1456F05644}" type="parTrans" cxnId="{9BF52EE2-262A-4FAC-98D8-EDCDDE0CF5B8}">
      <dgm:prSet/>
      <dgm:spPr/>
      <dgm:t>
        <a:bodyPr/>
        <a:lstStyle/>
        <a:p>
          <a:endParaRPr lang="en-US" sz="1100"/>
        </a:p>
      </dgm:t>
    </dgm:pt>
    <dgm:pt modelId="{5BBD318F-24F8-485D-90C1-261D4AE8FD3F}" type="sibTrans" cxnId="{9BF52EE2-262A-4FAC-98D8-EDCDDE0CF5B8}">
      <dgm:prSet/>
      <dgm:spPr/>
      <dgm:t>
        <a:bodyPr/>
        <a:lstStyle/>
        <a:p>
          <a:endParaRPr lang="en-US" sz="1100"/>
        </a:p>
      </dgm:t>
    </dgm:pt>
    <dgm:pt modelId="{E64EE92D-3249-4B11-873C-70EA0A092F1C}">
      <dgm:prSet custT="1"/>
      <dgm:spPr/>
      <dgm:t>
        <a:bodyPr/>
        <a:lstStyle/>
        <a:p>
          <a:r>
            <a:rPr lang="en-US" sz="1100"/>
            <a:t>Blue:  The grade "IPS" is always highlighted in BLUE to indicate the student has  not yet completed the course but is currently enrolled in it.</a:t>
          </a:r>
        </a:p>
      </dgm:t>
    </dgm:pt>
    <dgm:pt modelId="{74A20EC2-27A4-4748-BBCC-A5516581DD3A}" type="parTrans" cxnId="{04CCD4EC-8609-4D15-9926-EC55E5D3482D}">
      <dgm:prSet/>
      <dgm:spPr/>
      <dgm:t>
        <a:bodyPr/>
        <a:lstStyle/>
        <a:p>
          <a:endParaRPr lang="en-US" sz="1100"/>
        </a:p>
      </dgm:t>
    </dgm:pt>
    <dgm:pt modelId="{48C95D5A-956F-4962-8B45-80DD7B066020}" type="sibTrans" cxnId="{04CCD4EC-8609-4D15-9926-EC55E5D3482D}">
      <dgm:prSet/>
      <dgm:spPr/>
      <dgm:t>
        <a:bodyPr/>
        <a:lstStyle/>
        <a:p>
          <a:endParaRPr lang="en-US" sz="1100"/>
        </a:p>
      </dgm:t>
    </dgm:pt>
    <dgm:pt modelId="{F2676FD4-4763-4031-B29E-445D484AE793}">
      <dgm:prSet custT="1"/>
      <dgm:spPr/>
      <dgm:t>
        <a:bodyPr/>
        <a:lstStyle/>
        <a:p>
          <a:r>
            <a:rPr lang="en-US" sz="1100"/>
            <a:t>IPS = In Progress Or Scheduled</a:t>
          </a:r>
        </a:p>
      </dgm:t>
    </dgm:pt>
    <dgm:pt modelId="{FFDF68D5-D8A9-4B17-9732-5BDDF264218F}" type="parTrans" cxnId="{12DD1DB6-1D9E-44B1-980D-E808E5D2F263}">
      <dgm:prSet/>
      <dgm:spPr/>
      <dgm:t>
        <a:bodyPr/>
        <a:lstStyle/>
        <a:p>
          <a:endParaRPr lang="en-US" sz="1100"/>
        </a:p>
      </dgm:t>
    </dgm:pt>
    <dgm:pt modelId="{F14B5CE6-A6F8-4133-9148-B1A6F3F6DB00}" type="sibTrans" cxnId="{12DD1DB6-1D9E-44B1-980D-E808E5D2F263}">
      <dgm:prSet/>
      <dgm:spPr/>
      <dgm:t>
        <a:bodyPr/>
        <a:lstStyle/>
        <a:p>
          <a:endParaRPr lang="en-US" sz="1100"/>
        </a:p>
      </dgm:t>
    </dgm:pt>
    <dgm:pt modelId="{0A9212E5-4E27-4270-843A-B64008CF4D64}">
      <dgm:prSet custT="1"/>
      <dgm:spPr/>
      <dgm:t>
        <a:bodyPr/>
        <a:lstStyle/>
        <a:p>
          <a:r>
            <a:rPr lang="en-US" sz="1100"/>
            <a:t>TRN = Transfer</a:t>
          </a:r>
        </a:p>
      </dgm:t>
    </dgm:pt>
    <dgm:pt modelId="{1B58B898-18CD-4546-9789-F69E99FA6F3E}" type="parTrans" cxnId="{3C73BFE4-4686-4E12-AED8-A1F01FB8578D}">
      <dgm:prSet/>
      <dgm:spPr/>
      <dgm:t>
        <a:bodyPr/>
        <a:lstStyle/>
        <a:p>
          <a:endParaRPr lang="en-US" sz="1100"/>
        </a:p>
      </dgm:t>
    </dgm:pt>
    <dgm:pt modelId="{0FC23926-A980-42BF-95D1-FDB25352D21B}" type="sibTrans" cxnId="{3C73BFE4-4686-4E12-AED8-A1F01FB8578D}">
      <dgm:prSet/>
      <dgm:spPr/>
      <dgm:t>
        <a:bodyPr/>
        <a:lstStyle/>
        <a:p>
          <a:endParaRPr lang="en-US" sz="1100"/>
        </a:p>
      </dgm:t>
    </dgm:pt>
    <dgm:pt modelId="{30E173A9-46CB-4724-9590-C96E493427FE}">
      <dgm:prSet custT="1"/>
      <dgm:spPr/>
      <dgm:t>
        <a:bodyPr/>
        <a:lstStyle/>
        <a:p>
          <a:r>
            <a:rPr lang="en-US" sz="1400" b="1"/>
            <a:t>Transfer &amp; IPS Courses</a:t>
          </a:r>
        </a:p>
      </dgm:t>
    </dgm:pt>
    <dgm:pt modelId="{683881D2-C765-4A2C-811A-BE4ECFBD7261}" type="parTrans" cxnId="{C132FE8D-5F61-44DB-A410-53B95E2D004C}">
      <dgm:prSet/>
      <dgm:spPr/>
      <dgm:t>
        <a:bodyPr/>
        <a:lstStyle/>
        <a:p>
          <a:endParaRPr lang="en-US" sz="1100"/>
        </a:p>
      </dgm:t>
    </dgm:pt>
    <dgm:pt modelId="{A6B31254-EFE7-4710-BDF8-AD732C071AE0}" type="sibTrans" cxnId="{C132FE8D-5F61-44DB-A410-53B95E2D004C}">
      <dgm:prSet/>
      <dgm:spPr/>
      <dgm:t>
        <a:bodyPr/>
        <a:lstStyle/>
        <a:p>
          <a:endParaRPr lang="en-US" sz="1100"/>
        </a:p>
      </dgm:t>
    </dgm:pt>
    <dgm:pt modelId="{62F0C676-6FEA-49F3-9730-9F6767CF61D3}">
      <dgm:prSet custT="1"/>
      <dgm:spPr/>
      <dgm:t>
        <a:bodyPr/>
        <a:lstStyle/>
        <a:p>
          <a:r>
            <a:rPr lang="en-US" sz="1100"/>
            <a:t>TRN:  A Transfer (TRN) course is any course taken outside of KCTCS.</a:t>
          </a:r>
        </a:p>
      </dgm:t>
    </dgm:pt>
    <dgm:pt modelId="{ED460E12-5F57-4541-A2DE-50DC8AFCF85E}" type="parTrans" cxnId="{6E5328C0-EF11-48BB-8EC1-E1A76BE84196}">
      <dgm:prSet/>
      <dgm:spPr/>
      <dgm:t>
        <a:bodyPr/>
        <a:lstStyle/>
        <a:p>
          <a:endParaRPr lang="en-US" sz="1100"/>
        </a:p>
      </dgm:t>
    </dgm:pt>
    <dgm:pt modelId="{05AEA1F4-4970-4B35-B3AE-5D668D2A8C96}" type="sibTrans" cxnId="{6E5328C0-EF11-48BB-8EC1-E1A76BE84196}">
      <dgm:prSet/>
      <dgm:spPr/>
      <dgm:t>
        <a:bodyPr/>
        <a:lstStyle/>
        <a:p>
          <a:endParaRPr lang="en-US" sz="1100"/>
        </a:p>
      </dgm:t>
    </dgm:pt>
    <dgm:pt modelId="{BE724B0D-A89A-4467-9AA5-A8047E658291}">
      <dgm:prSet custT="1"/>
      <dgm:spPr/>
      <dgm:t>
        <a:bodyPr/>
        <a:lstStyle/>
        <a:p>
          <a:r>
            <a:rPr lang="en-US" sz="1100" b="1">
              <a:solidFill>
                <a:srgbClr val="C00000"/>
              </a:solidFill>
            </a:rPr>
            <a:t>RULE 1:  </a:t>
          </a:r>
          <a:r>
            <a:rPr lang="en-US" sz="1100" b="0">
              <a:solidFill>
                <a:sysClr val="windowText" lastClr="000000"/>
              </a:solidFill>
            </a:rPr>
            <a:t>Always select a grade of "TRN" from the "Grades" dropdown box for transfer courses.  Note that grades do not transfer, only credits.</a:t>
          </a:r>
          <a:endParaRPr lang="en-US" sz="1100" b="1">
            <a:solidFill>
              <a:srgbClr val="C00000"/>
            </a:solidFill>
          </a:endParaRPr>
        </a:p>
      </dgm:t>
    </dgm:pt>
    <dgm:pt modelId="{0945CACE-8FEB-4721-BF40-37AF3F0D40FB}" type="parTrans" cxnId="{AADC1997-2C19-44D3-B549-CEB0D34A1955}">
      <dgm:prSet/>
      <dgm:spPr/>
      <dgm:t>
        <a:bodyPr/>
        <a:lstStyle/>
        <a:p>
          <a:endParaRPr lang="en-US" sz="1100"/>
        </a:p>
      </dgm:t>
    </dgm:pt>
    <dgm:pt modelId="{00EBB61C-505F-4308-85E0-64BF5329ECDA}" type="sibTrans" cxnId="{AADC1997-2C19-44D3-B549-CEB0D34A1955}">
      <dgm:prSet/>
      <dgm:spPr/>
      <dgm:t>
        <a:bodyPr/>
        <a:lstStyle/>
        <a:p>
          <a:endParaRPr lang="en-US" sz="1100"/>
        </a:p>
      </dgm:t>
    </dgm:pt>
    <dgm:pt modelId="{1F965330-3121-4B5F-96DB-2B0436EC510A}">
      <dgm:prSet custT="1"/>
      <dgm:spPr/>
      <dgm:t>
        <a:bodyPr/>
        <a:lstStyle/>
        <a:p>
          <a:r>
            <a:rPr lang="en-US" sz="1100" b="1">
              <a:solidFill>
                <a:srgbClr val="C00000"/>
              </a:solidFill>
            </a:rPr>
            <a:t>RULE 2:  </a:t>
          </a:r>
          <a:r>
            <a:rPr lang="en-US" sz="1100" b="0">
              <a:solidFill>
                <a:sysClr val="windowText" lastClr="000000"/>
              </a:solidFill>
            </a:rPr>
            <a:t>KCTCS will not have equivalent courses for all transfer credits.  If a course transfers in with a specific equivalent, then input the course equivalency on the audit.  If a course does not have a specific equivalent, then it may be used as an elective and you must enter it in manually.</a:t>
          </a:r>
          <a:endParaRPr lang="en-US" sz="1100" b="1">
            <a:solidFill>
              <a:srgbClr val="C00000"/>
            </a:solidFill>
          </a:endParaRPr>
        </a:p>
      </dgm:t>
    </dgm:pt>
    <dgm:pt modelId="{6F7C5126-90EE-45E8-8C47-BA07BF8824C4}" type="parTrans" cxnId="{8266C84A-15D7-42E1-9E07-F3EC88C9D6A6}">
      <dgm:prSet/>
      <dgm:spPr/>
      <dgm:t>
        <a:bodyPr/>
        <a:lstStyle/>
        <a:p>
          <a:endParaRPr lang="en-US" sz="1100"/>
        </a:p>
      </dgm:t>
    </dgm:pt>
    <dgm:pt modelId="{20694047-A6EC-40D9-B947-F4C2E0D6A189}" type="sibTrans" cxnId="{8266C84A-15D7-42E1-9E07-F3EC88C9D6A6}">
      <dgm:prSet/>
      <dgm:spPr/>
      <dgm:t>
        <a:bodyPr/>
        <a:lstStyle/>
        <a:p>
          <a:endParaRPr lang="en-US" sz="1100"/>
        </a:p>
      </dgm:t>
    </dgm:pt>
    <dgm:pt modelId="{C6E10007-AC0F-47A2-ABD1-876248FC3D80}">
      <dgm:prSet custT="1"/>
      <dgm:spPr/>
      <dgm:t>
        <a:bodyPr/>
        <a:lstStyle/>
        <a:p>
          <a:r>
            <a:rPr lang="en-US" sz="1100" b="0">
              <a:solidFill>
                <a:sysClr val="windowText" lastClr="000000"/>
              </a:solidFill>
            </a:rPr>
            <a:t>Example:  If a student took ENG 103 at Boston University, and it transferred into BCTC as ENG 101, then input ENG 101 on the audit sheet and enter "TRN" as the grade to mark it as a transfer.  If a student took HIS 249 and it transferred in as TRN 200, then it did not transfer as a specific BCTC course and may be used as an elective.</a:t>
          </a:r>
        </a:p>
      </dgm:t>
    </dgm:pt>
    <dgm:pt modelId="{1DA8A4EC-2425-44C9-B1CE-02BD226B2147}" type="parTrans" cxnId="{340D00CF-1CA3-45F1-9291-C656170B075D}">
      <dgm:prSet/>
      <dgm:spPr/>
      <dgm:t>
        <a:bodyPr/>
        <a:lstStyle/>
        <a:p>
          <a:endParaRPr lang="en-US"/>
        </a:p>
      </dgm:t>
    </dgm:pt>
    <dgm:pt modelId="{577FADE4-7F0F-4FF8-9B72-B7F887EE0C77}" type="sibTrans" cxnId="{340D00CF-1CA3-45F1-9291-C656170B075D}">
      <dgm:prSet/>
      <dgm:spPr/>
      <dgm:t>
        <a:bodyPr/>
        <a:lstStyle/>
        <a:p>
          <a:endParaRPr lang="en-US"/>
        </a:p>
      </dgm:t>
    </dgm:pt>
    <dgm:pt modelId="{47325904-431D-4099-BAB8-C8C1E7FA41FC}">
      <dgm:prSet custT="1"/>
      <dgm:spPr/>
      <dgm:t>
        <a:bodyPr/>
        <a:lstStyle/>
        <a:p>
          <a:r>
            <a:rPr lang="en-US" sz="1100" b="0">
              <a:solidFill>
                <a:sysClr val="windowText" lastClr="000000"/>
              </a:solidFill>
            </a:rPr>
            <a:t>Note:  Just because a transfer course didn't come in as a specific course doesn't mean it  can only be used as an elective.  Contact records if you feel a transfer course might be able to replace a course.  For example if you feel HIS 249 should count as a HIS course and not just an elective.</a:t>
          </a:r>
        </a:p>
      </dgm:t>
    </dgm:pt>
    <dgm:pt modelId="{F64E1EBC-4BDD-4767-86A0-8D7F6C8FF5E7}" type="parTrans" cxnId="{0668D166-D77F-4201-8609-00A9AC4BF32E}">
      <dgm:prSet/>
      <dgm:spPr/>
      <dgm:t>
        <a:bodyPr/>
        <a:lstStyle/>
        <a:p>
          <a:endParaRPr lang="en-US"/>
        </a:p>
      </dgm:t>
    </dgm:pt>
    <dgm:pt modelId="{DAD1EF68-F0D3-45F4-9F41-EA2EE062FDCB}" type="sibTrans" cxnId="{0668D166-D77F-4201-8609-00A9AC4BF32E}">
      <dgm:prSet/>
      <dgm:spPr/>
      <dgm:t>
        <a:bodyPr/>
        <a:lstStyle/>
        <a:p>
          <a:endParaRPr lang="en-US"/>
        </a:p>
      </dgm:t>
    </dgm:pt>
    <dgm:pt modelId="{D0C9073D-C784-4958-80E2-6ECE35289853}">
      <dgm:prSet custT="1"/>
      <dgm:spPr/>
      <dgm:t>
        <a:bodyPr/>
        <a:lstStyle/>
        <a:p>
          <a:r>
            <a:rPr lang="en-US" sz="1400" b="1">
              <a:solidFill>
                <a:schemeClr val="bg1"/>
              </a:solidFill>
            </a:rPr>
            <a:t>Crosswalk</a:t>
          </a:r>
        </a:p>
      </dgm:t>
    </dgm:pt>
    <dgm:pt modelId="{9ED12BF8-E84A-4526-98F8-DD681D85FE95}" type="parTrans" cxnId="{CAB08386-37B0-406C-AE3A-89811205E52E}">
      <dgm:prSet/>
      <dgm:spPr/>
      <dgm:t>
        <a:bodyPr/>
        <a:lstStyle/>
        <a:p>
          <a:endParaRPr lang="en-US"/>
        </a:p>
      </dgm:t>
    </dgm:pt>
    <dgm:pt modelId="{54AA8685-2C6E-4543-886F-23EE9979D827}" type="sibTrans" cxnId="{CAB08386-37B0-406C-AE3A-89811205E52E}">
      <dgm:prSet/>
      <dgm:spPr/>
      <dgm:t>
        <a:bodyPr/>
        <a:lstStyle/>
        <a:p>
          <a:endParaRPr lang="en-US"/>
        </a:p>
      </dgm:t>
    </dgm:pt>
    <dgm:pt modelId="{EA0B4E16-06BB-42A2-A461-84BDC9861F64}">
      <dgm:prSet custT="1"/>
      <dgm:spPr/>
      <dgm:t>
        <a:bodyPr/>
        <a:lstStyle/>
        <a:p>
          <a:r>
            <a:rPr lang="en-US" sz="1100"/>
            <a:t>Over time courses may change their titles or numbers.   Refer to the KCTCS Catalog for a list of crosswalks.</a:t>
          </a:r>
        </a:p>
      </dgm:t>
    </dgm:pt>
    <dgm:pt modelId="{B1005B0A-F62A-467A-A758-70473D30906C}" type="parTrans" cxnId="{B0A93983-EDEB-4E25-8ACC-BBD80F692EAD}">
      <dgm:prSet/>
      <dgm:spPr/>
      <dgm:t>
        <a:bodyPr/>
        <a:lstStyle/>
        <a:p>
          <a:endParaRPr lang="en-US"/>
        </a:p>
      </dgm:t>
    </dgm:pt>
    <dgm:pt modelId="{D3822AA0-9575-4FB9-8659-F98A1A5D86D3}" type="sibTrans" cxnId="{B0A93983-EDEB-4E25-8ACC-BBD80F692EAD}">
      <dgm:prSet/>
      <dgm:spPr/>
      <dgm:t>
        <a:bodyPr/>
        <a:lstStyle/>
        <a:p>
          <a:endParaRPr lang="en-US"/>
        </a:p>
      </dgm:t>
    </dgm:pt>
    <dgm:pt modelId="{53EC117C-2DC2-47C1-860B-608659F9050C}">
      <dgm:prSet custT="1"/>
      <dgm:spPr/>
      <dgm:t>
        <a:bodyPr/>
        <a:lstStyle/>
        <a:p>
          <a:r>
            <a:rPr lang="en-US" sz="1400" b="1"/>
            <a:t>Crosslisting</a:t>
          </a:r>
        </a:p>
      </dgm:t>
    </dgm:pt>
    <dgm:pt modelId="{405FF024-6BB3-4351-9FF1-4EBCE11981E3}" type="parTrans" cxnId="{D43A34B7-80E6-4543-9FE7-FF688431DD3E}">
      <dgm:prSet/>
      <dgm:spPr/>
      <dgm:t>
        <a:bodyPr/>
        <a:lstStyle/>
        <a:p>
          <a:endParaRPr lang="en-US"/>
        </a:p>
      </dgm:t>
    </dgm:pt>
    <dgm:pt modelId="{BFA60117-8431-4975-AF58-4F068055E88D}" type="sibTrans" cxnId="{D43A34B7-80E6-4543-9FE7-FF688431DD3E}">
      <dgm:prSet/>
      <dgm:spPr/>
      <dgm:t>
        <a:bodyPr/>
        <a:lstStyle/>
        <a:p>
          <a:endParaRPr lang="en-US"/>
        </a:p>
      </dgm:t>
    </dgm:pt>
    <dgm:pt modelId="{91784B26-7C88-4A77-8AC2-633D50674620}">
      <dgm:prSet custT="1"/>
      <dgm:spPr/>
      <dgm:t>
        <a:bodyPr/>
        <a:lstStyle/>
        <a:p>
          <a:r>
            <a:rPr lang="en-US" sz="1100"/>
            <a:t>Some courses are listed under more than one course number.  However, a student can only get credit for the course once.  Refer to the courses tab for Crosslistings.  </a:t>
          </a:r>
        </a:p>
      </dgm:t>
    </dgm:pt>
    <dgm:pt modelId="{D26FEF17-93E4-4C4B-9734-7953DF8C36DC}" type="parTrans" cxnId="{9F04058C-A05C-44C2-BF89-2567C798DC28}">
      <dgm:prSet/>
      <dgm:spPr/>
      <dgm:t>
        <a:bodyPr/>
        <a:lstStyle/>
        <a:p>
          <a:endParaRPr lang="en-US"/>
        </a:p>
      </dgm:t>
    </dgm:pt>
    <dgm:pt modelId="{EDB9F681-D619-47CF-935A-EFA3F5D32778}" type="sibTrans" cxnId="{9F04058C-A05C-44C2-BF89-2567C798DC28}">
      <dgm:prSet/>
      <dgm:spPr/>
      <dgm:t>
        <a:bodyPr/>
        <a:lstStyle/>
        <a:p>
          <a:endParaRPr lang="en-US"/>
        </a:p>
      </dgm:t>
    </dgm:pt>
    <dgm:pt modelId="{3415F678-65DE-44B8-BEE0-7CB9A2DED2BC}">
      <dgm:prSet custT="1"/>
      <dgm:spPr/>
      <dgm:t>
        <a:bodyPr/>
        <a:lstStyle/>
        <a:p>
          <a:r>
            <a:rPr lang="en-US" sz="1100"/>
            <a:t>Example:  ANT 130 and REL 130 are both Introduction To Religion and are crosslisted.  A student may not earn credit for both.</a:t>
          </a:r>
        </a:p>
      </dgm:t>
    </dgm:pt>
    <dgm:pt modelId="{D31A0E19-7976-4D00-AE07-F0706483F600}" type="parTrans" cxnId="{6493351B-34CD-4481-BA30-FE723284B6AD}">
      <dgm:prSet/>
      <dgm:spPr/>
      <dgm:t>
        <a:bodyPr/>
        <a:lstStyle/>
        <a:p>
          <a:endParaRPr lang="en-US"/>
        </a:p>
      </dgm:t>
    </dgm:pt>
    <dgm:pt modelId="{83C2E254-3755-4C7B-B083-4B6E5579E306}" type="sibTrans" cxnId="{6493351B-34CD-4481-BA30-FE723284B6AD}">
      <dgm:prSet/>
      <dgm:spPr/>
      <dgm:t>
        <a:bodyPr/>
        <a:lstStyle/>
        <a:p>
          <a:endParaRPr lang="en-US"/>
        </a:p>
      </dgm:t>
    </dgm:pt>
    <dgm:pt modelId="{CD4950AC-BAFF-442B-848E-49235BDC4121}">
      <dgm:prSet custT="1"/>
      <dgm:spPr/>
      <dgm:t>
        <a:bodyPr/>
        <a:lstStyle/>
        <a:p>
          <a:r>
            <a:rPr lang="en-US" sz="1400" b="1"/>
            <a:t>Special Requirements</a:t>
          </a:r>
        </a:p>
      </dgm:t>
    </dgm:pt>
    <dgm:pt modelId="{F0F59982-5336-46E1-9844-D2532EF77B1A}" type="parTrans" cxnId="{C9CF980A-A2E0-4759-9AE8-A672B1D39429}">
      <dgm:prSet/>
      <dgm:spPr/>
      <dgm:t>
        <a:bodyPr/>
        <a:lstStyle/>
        <a:p>
          <a:endParaRPr lang="en-US"/>
        </a:p>
      </dgm:t>
    </dgm:pt>
    <dgm:pt modelId="{66C7A458-017C-4589-AD09-BF022BE86B84}" type="sibTrans" cxnId="{C9CF980A-A2E0-4759-9AE8-A672B1D39429}">
      <dgm:prSet/>
      <dgm:spPr/>
      <dgm:t>
        <a:bodyPr/>
        <a:lstStyle/>
        <a:p>
          <a:endParaRPr lang="en-US"/>
        </a:p>
      </dgm:t>
    </dgm:pt>
    <dgm:pt modelId="{75D20AD1-62B3-493C-8B4F-4347AD287525}">
      <dgm:prSet custT="1"/>
      <dgm:spPr/>
      <dgm:t>
        <a:bodyPr/>
        <a:lstStyle/>
        <a:p>
          <a:r>
            <a:rPr lang="en-US" sz="1100"/>
            <a:t>There are a number of special requirements a student must adhere to, be sure to pay close attention to these.  They are covered on the audit but explained in greater detail below.</a:t>
          </a:r>
        </a:p>
      </dgm:t>
    </dgm:pt>
    <dgm:pt modelId="{17742752-8FC3-4A5B-A3FB-6D28D4B259FE}" type="parTrans" cxnId="{6FC50FB6-AE87-433B-8E44-482F6DD2FE95}">
      <dgm:prSet/>
      <dgm:spPr/>
      <dgm:t>
        <a:bodyPr/>
        <a:lstStyle/>
        <a:p>
          <a:endParaRPr lang="en-US"/>
        </a:p>
      </dgm:t>
    </dgm:pt>
    <dgm:pt modelId="{62FB7E90-29CE-468C-9131-FCB08A4630EC}" type="sibTrans" cxnId="{6FC50FB6-AE87-433B-8E44-482F6DD2FE95}">
      <dgm:prSet/>
      <dgm:spPr/>
      <dgm:t>
        <a:bodyPr/>
        <a:lstStyle/>
        <a:p>
          <a:endParaRPr lang="en-US"/>
        </a:p>
      </dgm:t>
    </dgm:pt>
    <dgm:pt modelId="{AA736D50-7E04-4B60-82B4-7E4AC925FBFD}">
      <dgm:prSet custT="1"/>
      <dgm:spPr/>
      <dgm:t>
        <a:bodyPr/>
        <a:lstStyle/>
        <a:p>
          <a:r>
            <a:rPr lang="en-US" sz="1100">
              <a:solidFill>
                <a:srgbClr val="C00000"/>
              </a:solidFill>
            </a:rPr>
            <a:t>Requirement 1:</a:t>
          </a:r>
          <a:r>
            <a:rPr lang="en-US" sz="1100"/>
            <a:t>  A student must complete a Cultural Studies course from the approved list.  The Cultural Studies is not an additional course the student must take, rather the student must have simply taken a course in Category I, II, or III that is on the Cultural Studies list.</a:t>
          </a:r>
        </a:p>
      </dgm:t>
    </dgm:pt>
    <dgm:pt modelId="{C8176F2E-3672-4D6C-BDE2-93DD286603DE}" type="parTrans" cxnId="{CD179D02-F8FC-4064-8FD2-BD8B690987C9}">
      <dgm:prSet/>
      <dgm:spPr/>
      <dgm:t>
        <a:bodyPr/>
        <a:lstStyle/>
        <a:p>
          <a:endParaRPr lang="en-US"/>
        </a:p>
      </dgm:t>
    </dgm:pt>
    <dgm:pt modelId="{8FA06395-887E-43F6-BFE8-241471BF758A}" type="sibTrans" cxnId="{CD179D02-F8FC-4064-8FD2-BD8B690987C9}">
      <dgm:prSet/>
      <dgm:spPr/>
      <dgm:t>
        <a:bodyPr/>
        <a:lstStyle/>
        <a:p>
          <a:endParaRPr lang="en-US"/>
        </a:p>
      </dgm:t>
    </dgm:pt>
    <dgm:pt modelId="{BAA8DAFD-8BF1-43C4-ABA0-9BD6C6D4DD74}">
      <dgm:prSet custT="1"/>
      <dgm:spPr/>
      <dgm:t>
        <a:bodyPr/>
        <a:lstStyle/>
        <a:p>
          <a:r>
            <a:rPr lang="en-US" sz="1100"/>
            <a:t>Example:  If a student took ART 104, that counts as a Humanities course, however it is also a Cultural Studies course and may count as both the Humanities and the Cultural Studies. </a:t>
          </a:r>
        </a:p>
      </dgm:t>
    </dgm:pt>
    <dgm:pt modelId="{8630F771-DDFD-4787-AF33-4244082FB1DE}" type="parTrans" cxnId="{F1E328AB-6AA4-45E0-BF8C-B6859081E1E3}">
      <dgm:prSet/>
      <dgm:spPr/>
      <dgm:t>
        <a:bodyPr/>
        <a:lstStyle/>
        <a:p>
          <a:endParaRPr lang="en-US"/>
        </a:p>
      </dgm:t>
    </dgm:pt>
    <dgm:pt modelId="{70C60059-3AA0-410F-BCEA-404CC07D5529}" type="sibTrans" cxnId="{F1E328AB-6AA4-45E0-BF8C-B6859081E1E3}">
      <dgm:prSet/>
      <dgm:spPr/>
      <dgm:t>
        <a:bodyPr/>
        <a:lstStyle/>
        <a:p>
          <a:endParaRPr lang="en-US"/>
        </a:p>
      </dgm:t>
    </dgm:pt>
    <dgm:pt modelId="{FB67DC56-6DB6-447C-8750-4ACDCE2ED57D}">
      <dgm:prSet custT="1"/>
      <dgm:spPr/>
      <dgm:t>
        <a:bodyPr/>
        <a:lstStyle/>
        <a:p>
          <a:r>
            <a:rPr lang="en-US" sz="1100">
              <a:solidFill>
                <a:srgbClr val="C00000"/>
              </a:solidFill>
            </a:rPr>
            <a:t>Requirement 2:</a:t>
          </a:r>
          <a:r>
            <a:rPr lang="en-US" sz="1100"/>
            <a:t>  Students must take Social &amp; Behavioral Science courses from at least two disciplines.</a:t>
          </a:r>
        </a:p>
      </dgm:t>
    </dgm:pt>
    <dgm:pt modelId="{5A4E1A98-569C-4B7B-88DC-AB6D717C9611}" type="parTrans" cxnId="{90667D6C-3255-4706-AF93-D89A8A62DE58}">
      <dgm:prSet/>
      <dgm:spPr/>
      <dgm:t>
        <a:bodyPr/>
        <a:lstStyle/>
        <a:p>
          <a:endParaRPr lang="en-US"/>
        </a:p>
      </dgm:t>
    </dgm:pt>
    <dgm:pt modelId="{8F07FA24-868C-4235-9220-6A780B5E5293}" type="sibTrans" cxnId="{90667D6C-3255-4706-AF93-D89A8A62DE58}">
      <dgm:prSet/>
      <dgm:spPr/>
      <dgm:t>
        <a:bodyPr/>
        <a:lstStyle/>
        <a:p>
          <a:endParaRPr lang="en-US"/>
        </a:p>
      </dgm:t>
    </dgm:pt>
    <dgm:pt modelId="{75511ED9-7664-4F26-BDA2-3CAC684CA2FD}">
      <dgm:prSet custT="1"/>
      <dgm:spPr/>
      <dgm:t>
        <a:bodyPr/>
        <a:lstStyle/>
        <a:p>
          <a:r>
            <a:rPr lang="en-US" sz="1100"/>
            <a:t>Example:  If a student took only two Social &amp; Behavioral Science courses, both courses could not be PSY.  One course could be PSY, the other must come from another discipline such as ANT, GEO, SOC, etc.</a:t>
          </a:r>
        </a:p>
      </dgm:t>
    </dgm:pt>
    <dgm:pt modelId="{A1DA94BC-4C8F-40AB-8211-4219CCF511CA}" type="parTrans" cxnId="{E0573066-4BA1-48E7-9F89-BFED8E7295D0}">
      <dgm:prSet/>
      <dgm:spPr/>
      <dgm:t>
        <a:bodyPr/>
        <a:lstStyle/>
        <a:p>
          <a:endParaRPr lang="en-US"/>
        </a:p>
      </dgm:t>
    </dgm:pt>
    <dgm:pt modelId="{203EF945-F28A-4335-9EF9-581BA29C9F6A}" type="sibTrans" cxnId="{E0573066-4BA1-48E7-9F89-BFED8E7295D0}">
      <dgm:prSet/>
      <dgm:spPr/>
      <dgm:t>
        <a:bodyPr/>
        <a:lstStyle/>
        <a:p>
          <a:endParaRPr lang="en-US"/>
        </a:p>
      </dgm:t>
    </dgm:pt>
    <dgm:pt modelId="{FD65615E-3D59-4037-8ACB-21207F15C417}">
      <dgm:prSet custT="1"/>
      <dgm:spPr/>
      <dgm:t>
        <a:bodyPr/>
        <a:lstStyle/>
        <a:p>
          <a:r>
            <a:rPr lang="en-US" sz="1100">
              <a:solidFill>
                <a:srgbClr val="C00000"/>
              </a:solidFill>
            </a:rPr>
            <a:t>Requirement 3:</a:t>
          </a:r>
          <a:r>
            <a:rPr lang="en-US" sz="1100"/>
            <a:t>  Students must complete at least one science lab from the approved list or take a science course with a lab credit.</a:t>
          </a:r>
        </a:p>
      </dgm:t>
    </dgm:pt>
    <dgm:pt modelId="{DA14F266-EA5B-41C6-B7AB-C6F93BA4A6DE}" type="parTrans" cxnId="{65FE936B-B1A8-4A80-91F5-8925185FBE65}">
      <dgm:prSet/>
      <dgm:spPr/>
      <dgm:t>
        <a:bodyPr/>
        <a:lstStyle/>
        <a:p>
          <a:endParaRPr lang="en-US"/>
        </a:p>
      </dgm:t>
    </dgm:pt>
    <dgm:pt modelId="{CD0A3ADA-375A-4271-B978-3200F749950B}" type="sibTrans" cxnId="{65FE936B-B1A8-4A80-91F5-8925185FBE65}">
      <dgm:prSet/>
      <dgm:spPr/>
      <dgm:t>
        <a:bodyPr/>
        <a:lstStyle/>
        <a:p>
          <a:endParaRPr lang="en-US"/>
        </a:p>
      </dgm:t>
    </dgm:pt>
    <dgm:pt modelId="{75576F43-9D68-4006-A122-CE51CD842250}">
      <dgm:prSet custT="1"/>
      <dgm:spPr/>
      <dgm:t>
        <a:bodyPr/>
        <a:lstStyle/>
        <a:p>
          <a:r>
            <a:rPr lang="en-US" sz="1100">
              <a:solidFill>
                <a:srgbClr val="C00000"/>
              </a:solidFill>
            </a:rPr>
            <a:t>Requirement 4:</a:t>
          </a:r>
          <a:r>
            <a:rPr lang="en-US" sz="1100"/>
            <a:t>  Students must earn at least 60 credit hours to earn an AA or AS.</a:t>
          </a:r>
        </a:p>
      </dgm:t>
    </dgm:pt>
    <dgm:pt modelId="{F2E8C02A-C2A2-4BA7-8A04-F8650719A197}" type="parTrans" cxnId="{12CF4610-E386-40E7-A367-2DE3EBB3BF57}">
      <dgm:prSet/>
      <dgm:spPr/>
      <dgm:t>
        <a:bodyPr/>
        <a:lstStyle/>
        <a:p>
          <a:endParaRPr lang="en-US"/>
        </a:p>
      </dgm:t>
    </dgm:pt>
    <dgm:pt modelId="{6FB648E4-8F7B-4648-8499-4E3114DC1BDE}" type="sibTrans" cxnId="{12CF4610-E386-40E7-A367-2DE3EBB3BF57}">
      <dgm:prSet/>
      <dgm:spPr/>
      <dgm:t>
        <a:bodyPr/>
        <a:lstStyle/>
        <a:p>
          <a:endParaRPr lang="en-US"/>
        </a:p>
      </dgm:t>
    </dgm:pt>
    <dgm:pt modelId="{4E28E7AB-5E97-4615-89A1-B25D481E7B3C}">
      <dgm:prSet custT="1"/>
      <dgm:spPr/>
      <dgm:t>
        <a:bodyPr/>
        <a:lstStyle/>
        <a:p>
          <a:r>
            <a:rPr lang="en-US" sz="1100">
              <a:solidFill>
                <a:srgbClr val="C00000"/>
              </a:solidFill>
            </a:rPr>
            <a:t>Requirement 5:</a:t>
          </a:r>
          <a:r>
            <a:rPr lang="en-US" sz="1100"/>
            <a:t>  Students must compete at least 15 credit hours at BCTC to earn a degree from BCTC.</a:t>
          </a:r>
        </a:p>
      </dgm:t>
    </dgm:pt>
    <dgm:pt modelId="{C968E3C0-3DE4-4445-9E43-486AE5576932}" type="parTrans" cxnId="{EE3B0539-3E07-4EE6-97CA-B8A44D2C43BC}">
      <dgm:prSet/>
      <dgm:spPr/>
      <dgm:t>
        <a:bodyPr/>
        <a:lstStyle/>
        <a:p>
          <a:endParaRPr lang="en-US"/>
        </a:p>
      </dgm:t>
    </dgm:pt>
    <dgm:pt modelId="{5493DB6A-EC0B-4E31-96AA-B6111166C3ED}" type="sibTrans" cxnId="{EE3B0539-3E07-4EE6-97CA-B8A44D2C43BC}">
      <dgm:prSet/>
      <dgm:spPr/>
      <dgm:t>
        <a:bodyPr/>
        <a:lstStyle/>
        <a:p>
          <a:endParaRPr lang="en-US"/>
        </a:p>
      </dgm:t>
    </dgm:pt>
    <dgm:pt modelId="{AC9C9F9A-06CE-427D-84E9-07B40CACC964}">
      <dgm:prSet custT="1"/>
      <dgm:spPr/>
      <dgm:t>
        <a:bodyPr/>
        <a:lstStyle/>
        <a:p>
          <a:r>
            <a:rPr lang="en-US" sz="1100">
              <a:solidFill>
                <a:srgbClr val="C00000"/>
              </a:solidFill>
            </a:rPr>
            <a:t>Requirement 6:</a:t>
          </a:r>
          <a:r>
            <a:rPr lang="en-US" sz="1100"/>
            <a:t>  Students must have at least a 2.0 GPA to earn a degree from BCTC.</a:t>
          </a:r>
        </a:p>
      </dgm:t>
    </dgm:pt>
    <dgm:pt modelId="{2C03C099-032C-4BB7-9EAD-EE05A64509A4}" type="parTrans" cxnId="{DE3B488F-8A57-44E0-8717-BAB8B486245F}">
      <dgm:prSet/>
      <dgm:spPr/>
      <dgm:t>
        <a:bodyPr/>
        <a:lstStyle/>
        <a:p>
          <a:endParaRPr lang="en-US"/>
        </a:p>
      </dgm:t>
    </dgm:pt>
    <dgm:pt modelId="{72A7C209-4A90-43DF-BF82-62A27A619201}" type="sibTrans" cxnId="{DE3B488F-8A57-44E0-8717-BAB8B486245F}">
      <dgm:prSet/>
      <dgm:spPr/>
      <dgm:t>
        <a:bodyPr/>
        <a:lstStyle/>
        <a:p>
          <a:endParaRPr lang="en-US"/>
        </a:p>
      </dgm:t>
    </dgm:pt>
    <dgm:pt modelId="{4732B568-FB73-461C-9E2F-8AB46A9AD86E}">
      <dgm:prSet custT="1"/>
      <dgm:spPr/>
      <dgm:t>
        <a:bodyPr/>
        <a:lstStyle/>
        <a:p>
          <a:r>
            <a:rPr lang="en-US" sz="1100">
              <a:solidFill>
                <a:srgbClr val="C00000"/>
              </a:solidFill>
            </a:rPr>
            <a:t>Requirement 7:</a:t>
          </a:r>
          <a:r>
            <a:rPr lang="en-US" sz="1100"/>
            <a:t>  Each course can only be used once  for credit towards a degree, unless the course specifically states it can be taken multiple times for credit.</a:t>
          </a:r>
        </a:p>
      </dgm:t>
    </dgm:pt>
    <dgm:pt modelId="{4017E308-6F18-45CA-AB49-51B912948937}" type="parTrans" cxnId="{86FC11C1-4C2B-46DA-AC4E-96C45127D834}">
      <dgm:prSet/>
      <dgm:spPr/>
      <dgm:t>
        <a:bodyPr/>
        <a:lstStyle/>
        <a:p>
          <a:endParaRPr lang="en-US"/>
        </a:p>
      </dgm:t>
    </dgm:pt>
    <dgm:pt modelId="{D92EBA10-3F46-434D-AD44-75ABD6917F57}" type="sibTrans" cxnId="{86FC11C1-4C2B-46DA-AC4E-96C45127D834}">
      <dgm:prSet/>
      <dgm:spPr/>
      <dgm:t>
        <a:bodyPr/>
        <a:lstStyle/>
        <a:p>
          <a:endParaRPr lang="en-US"/>
        </a:p>
      </dgm:t>
    </dgm:pt>
    <dgm:pt modelId="{C2EFC7A3-412E-4D8B-8364-88992EC010E4}">
      <dgm:prSet custT="1"/>
      <dgm:spPr/>
      <dgm:t>
        <a:bodyPr/>
        <a:lstStyle/>
        <a:p>
          <a:r>
            <a:rPr lang="en-US" sz="1100">
              <a:solidFill>
                <a:srgbClr val="C00000"/>
              </a:solidFill>
            </a:rPr>
            <a:t>Requirement 8:</a:t>
          </a:r>
          <a:r>
            <a:rPr lang="en-US" sz="1100"/>
            <a:t>  Courses in which the student earned a grade of "E" or "I" and Developmental Courses do not earn credit and cannot be used towards a degree.</a:t>
          </a:r>
        </a:p>
      </dgm:t>
    </dgm:pt>
    <dgm:pt modelId="{CB3A9011-8D28-4B26-A9A0-FC1E2947D8C4}" type="parTrans" cxnId="{40DD5046-2892-42F4-B185-F0A7B9150686}">
      <dgm:prSet/>
      <dgm:spPr/>
      <dgm:t>
        <a:bodyPr/>
        <a:lstStyle/>
        <a:p>
          <a:endParaRPr lang="en-US"/>
        </a:p>
      </dgm:t>
    </dgm:pt>
    <dgm:pt modelId="{AF09A47B-0DFA-4F0B-B285-B86F670C5FB0}" type="sibTrans" cxnId="{40DD5046-2892-42F4-B185-F0A7B9150686}">
      <dgm:prSet/>
      <dgm:spPr/>
      <dgm:t>
        <a:bodyPr/>
        <a:lstStyle/>
        <a:p>
          <a:endParaRPr lang="en-US"/>
        </a:p>
      </dgm:t>
    </dgm:pt>
    <dgm:pt modelId="{37A705D0-7E1C-43B8-9B82-E55E69A35640}">
      <dgm:prSet custT="1"/>
      <dgm:spPr/>
      <dgm:t>
        <a:bodyPr/>
        <a:lstStyle/>
        <a:p>
          <a:r>
            <a:rPr lang="en-US" sz="1100">
              <a:solidFill>
                <a:srgbClr val="C00000"/>
              </a:solidFill>
            </a:rPr>
            <a:t>Requirement 9:</a:t>
          </a:r>
          <a:r>
            <a:rPr lang="en-US" sz="1100"/>
            <a:t>  A student pursuing multiple associate degrees must meet the requirements for each degree, including at least six additional hours beyond the first degree.</a:t>
          </a:r>
        </a:p>
      </dgm:t>
    </dgm:pt>
    <dgm:pt modelId="{790D6A2B-77A5-4154-9979-D43B069820E1}" type="parTrans" cxnId="{542518E5-3109-4946-ADBB-67BA18B2CC92}">
      <dgm:prSet/>
      <dgm:spPr/>
      <dgm:t>
        <a:bodyPr/>
        <a:lstStyle/>
        <a:p>
          <a:endParaRPr lang="en-US"/>
        </a:p>
      </dgm:t>
    </dgm:pt>
    <dgm:pt modelId="{D31B2A00-DA92-41F8-8E2E-C9A98082E0CB}" type="sibTrans" cxnId="{542518E5-3109-4946-ADBB-67BA18B2CC92}">
      <dgm:prSet/>
      <dgm:spPr/>
      <dgm:t>
        <a:bodyPr/>
        <a:lstStyle/>
        <a:p>
          <a:endParaRPr lang="en-US"/>
        </a:p>
      </dgm:t>
    </dgm:pt>
    <dgm:pt modelId="{028F5A08-BEA2-49BC-A06B-6AE2E7F73227}">
      <dgm:prSet custT="1"/>
      <dgm:spPr/>
      <dgm:t>
        <a:bodyPr/>
        <a:lstStyle/>
        <a:p>
          <a:r>
            <a:rPr lang="en-US" sz="1100"/>
            <a:t>Example:  A student pursuing an AA and AS must meet the course requirements for both and earn a total of 66 credit hours.</a:t>
          </a:r>
        </a:p>
      </dgm:t>
    </dgm:pt>
    <dgm:pt modelId="{8345D5B8-58A3-44B4-908C-C75DFC5A28D6}" type="parTrans" cxnId="{2B991C65-5995-4254-B821-BAB67B26B843}">
      <dgm:prSet/>
      <dgm:spPr/>
      <dgm:t>
        <a:bodyPr/>
        <a:lstStyle/>
        <a:p>
          <a:endParaRPr lang="en-US"/>
        </a:p>
      </dgm:t>
    </dgm:pt>
    <dgm:pt modelId="{54F6EF92-5F62-4B91-A6C2-A8C750FEECE9}" type="sibTrans" cxnId="{2B991C65-5995-4254-B821-BAB67B26B843}">
      <dgm:prSet/>
      <dgm:spPr/>
      <dgm:t>
        <a:bodyPr/>
        <a:lstStyle/>
        <a:p>
          <a:endParaRPr lang="en-US"/>
        </a:p>
      </dgm:t>
    </dgm:pt>
    <dgm:pt modelId="{D275AC0C-D9A2-4B7D-B5E5-C5BF6DE41883}">
      <dgm:prSet custT="1"/>
      <dgm:spPr/>
      <dgm:t>
        <a:bodyPr/>
        <a:lstStyle/>
        <a:p>
          <a:r>
            <a:rPr lang="en-US" sz="1400" b="1"/>
            <a:t>Audit Help</a:t>
          </a:r>
        </a:p>
      </dgm:t>
    </dgm:pt>
    <dgm:pt modelId="{8257BA1A-164F-44A7-AD32-3CDC757EE3B8}" type="parTrans" cxnId="{35FE75ED-35C0-4167-98A4-9E6D3F1A5CEC}">
      <dgm:prSet/>
      <dgm:spPr/>
      <dgm:t>
        <a:bodyPr/>
        <a:lstStyle/>
        <a:p>
          <a:endParaRPr lang="en-US"/>
        </a:p>
      </dgm:t>
    </dgm:pt>
    <dgm:pt modelId="{CDC4ECE0-E968-42AC-9BB4-A45A4DD5F0BC}" type="sibTrans" cxnId="{35FE75ED-35C0-4167-98A4-9E6D3F1A5CEC}">
      <dgm:prSet/>
      <dgm:spPr/>
      <dgm:t>
        <a:bodyPr/>
        <a:lstStyle/>
        <a:p>
          <a:endParaRPr lang="en-US"/>
        </a:p>
      </dgm:t>
    </dgm:pt>
    <dgm:pt modelId="{D81A098C-45FE-4A85-84F7-13DBF1CB497E}">
      <dgm:prSet custT="1"/>
      <dgm:spPr/>
      <dgm:t>
        <a:bodyPr/>
        <a:lstStyle/>
        <a:p>
          <a:r>
            <a:rPr lang="en-US" sz="1100"/>
            <a:t>If you have any questions about an audit you are performing, find any errors in the audit program, or require any assistance then do not hesitate to contact the program creator.</a:t>
          </a:r>
        </a:p>
      </dgm:t>
    </dgm:pt>
    <dgm:pt modelId="{294E368E-5D65-49FA-B27D-95A56CF0C717}" type="parTrans" cxnId="{A031501A-1973-48D5-93A1-31D7349ED2E8}">
      <dgm:prSet/>
      <dgm:spPr/>
      <dgm:t>
        <a:bodyPr/>
        <a:lstStyle/>
        <a:p>
          <a:endParaRPr lang="en-US"/>
        </a:p>
      </dgm:t>
    </dgm:pt>
    <dgm:pt modelId="{2B3254F1-B16B-4C78-89F5-A3DC56D7B556}" type="sibTrans" cxnId="{A031501A-1973-48D5-93A1-31D7349ED2E8}">
      <dgm:prSet/>
      <dgm:spPr/>
      <dgm:t>
        <a:bodyPr/>
        <a:lstStyle/>
        <a:p>
          <a:endParaRPr lang="en-US"/>
        </a:p>
      </dgm:t>
    </dgm:pt>
    <dgm:pt modelId="{C395ABC4-477B-4754-BA22-3FCC93E5990F}">
      <dgm:prSet custT="1"/>
      <dgm:spPr/>
      <dgm:t>
        <a:bodyPr/>
        <a:lstStyle/>
        <a:p>
          <a:r>
            <a:rPr lang="en-US" sz="1100"/>
            <a:t>Nathan Smith - BCTC, nathan.smith@kctcs.edu</a:t>
          </a:r>
        </a:p>
      </dgm:t>
    </dgm:pt>
    <dgm:pt modelId="{C4BFCF26-6683-46B0-BC43-2718C55A96BB}" type="parTrans" cxnId="{8F0EFEC3-9356-400C-9D3A-E0B71CA24AEC}">
      <dgm:prSet/>
      <dgm:spPr/>
      <dgm:t>
        <a:bodyPr/>
        <a:lstStyle/>
        <a:p>
          <a:endParaRPr lang="en-US"/>
        </a:p>
      </dgm:t>
    </dgm:pt>
    <dgm:pt modelId="{AF5C7C5F-682C-42E9-8EB1-639D4A3BFF93}" type="sibTrans" cxnId="{8F0EFEC3-9356-400C-9D3A-E0B71CA24AEC}">
      <dgm:prSet/>
      <dgm:spPr/>
      <dgm:t>
        <a:bodyPr/>
        <a:lstStyle/>
        <a:p>
          <a:endParaRPr lang="en-US"/>
        </a:p>
      </dgm:t>
    </dgm:pt>
    <dgm:pt modelId="{EC028547-A460-4A74-B944-E375C03E934A}">
      <dgm:prSet custT="1"/>
      <dgm:spPr>
        <a:solidFill>
          <a:sysClr val="window" lastClr="FFFFFF">
            <a:alpha val="90000"/>
          </a:sysClr>
        </a:solidFill>
      </dgm:spPr>
      <dgm:t>
        <a:bodyPr/>
        <a:lstStyle/>
        <a:p>
          <a:r>
            <a:rPr lang="en-US" sz="1100"/>
            <a:t>Use the "Quick Links" on the right side of each page to navigate to different parts of the program.</a:t>
          </a:r>
        </a:p>
      </dgm:t>
    </dgm:pt>
    <dgm:pt modelId="{611484D5-BCE1-44AF-9EC7-A65852D2856D}" type="parTrans" cxnId="{128C4951-0329-48B5-A629-3B5845AFAB79}">
      <dgm:prSet/>
      <dgm:spPr/>
      <dgm:t>
        <a:bodyPr/>
        <a:lstStyle/>
        <a:p>
          <a:endParaRPr lang="en-US"/>
        </a:p>
      </dgm:t>
    </dgm:pt>
    <dgm:pt modelId="{A8B84469-6536-4A28-98F9-227927905250}" type="sibTrans" cxnId="{128C4951-0329-48B5-A629-3B5845AFAB79}">
      <dgm:prSet/>
      <dgm:spPr/>
      <dgm:t>
        <a:bodyPr/>
        <a:lstStyle/>
        <a:p>
          <a:endParaRPr lang="en-US"/>
        </a:p>
      </dgm:t>
    </dgm:pt>
    <dgm:pt modelId="{F1C41EFB-7E83-415F-819E-5EC394469ABD}">
      <dgm:prSet custT="1"/>
      <dgm:spPr/>
      <dgm:t>
        <a:bodyPr/>
        <a:lstStyle/>
        <a:p>
          <a:r>
            <a:rPr lang="en-US" sz="1100"/>
            <a:t>Example:  AH 105 became ART 105, however they are still the same course.</a:t>
          </a:r>
        </a:p>
      </dgm:t>
    </dgm:pt>
    <dgm:pt modelId="{9BD7217C-7660-420E-BC77-CE9B754B8EEE}" type="parTrans" cxnId="{D4BFB3AC-E3D7-474A-8784-0E2E286A64C9}">
      <dgm:prSet/>
      <dgm:spPr/>
      <dgm:t>
        <a:bodyPr/>
        <a:lstStyle/>
        <a:p>
          <a:endParaRPr lang="en-US"/>
        </a:p>
      </dgm:t>
    </dgm:pt>
    <dgm:pt modelId="{99D757C6-EE5B-47B5-891B-57DB5ED6BF8F}" type="sibTrans" cxnId="{D4BFB3AC-E3D7-474A-8784-0E2E286A64C9}">
      <dgm:prSet/>
      <dgm:spPr/>
      <dgm:t>
        <a:bodyPr/>
        <a:lstStyle/>
        <a:p>
          <a:endParaRPr lang="en-US"/>
        </a:p>
      </dgm:t>
    </dgm:pt>
    <dgm:pt modelId="{5D513267-632B-4A06-A02E-E2F589BCD001}" type="pres">
      <dgm:prSet presAssocID="{7B3131C6-B731-4D48-8604-5BDDE07CB434}" presName="linear" presStyleCnt="0">
        <dgm:presLayoutVars>
          <dgm:dir/>
          <dgm:animLvl val="lvl"/>
          <dgm:resizeHandles val="exact"/>
        </dgm:presLayoutVars>
      </dgm:prSet>
      <dgm:spPr/>
      <dgm:t>
        <a:bodyPr/>
        <a:lstStyle/>
        <a:p>
          <a:endParaRPr lang="en-US"/>
        </a:p>
      </dgm:t>
    </dgm:pt>
    <dgm:pt modelId="{9F6ACB7E-F816-47E5-89BE-075114C3E732}" type="pres">
      <dgm:prSet presAssocID="{CE0B7C0F-2AE1-4216-90CD-1C3EC8F26221}" presName="parentLin" presStyleCnt="0"/>
      <dgm:spPr/>
    </dgm:pt>
    <dgm:pt modelId="{9AF71386-8C9E-4B68-985A-4B22B8904DB2}" type="pres">
      <dgm:prSet presAssocID="{CE0B7C0F-2AE1-4216-90CD-1C3EC8F26221}" presName="parentLeftMargin" presStyleLbl="node1" presStyleIdx="0" presStyleCnt="8"/>
      <dgm:spPr/>
      <dgm:t>
        <a:bodyPr/>
        <a:lstStyle/>
        <a:p>
          <a:endParaRPr lang="en-US"/>
        </a:p>
      </dgm:t>
    </dgm:pt>
    <dgm:pt modelId="{B9D1B066-5F18-4387-A057-A24B4595F98F}" type="pres">
      <dgm:prSet presAssocID="{CE0B7C0F-2AE1-4216-90CD-1C3EC8F26221}" presName="parentText" presStyleLbl="node1" presStyleIdx="0" presStyleCnt="8" custScaleX="100000">
        <dgm:presLayoutVars>
          <dgm:chMax val="0"/>
          <dgm:bulletEnabled val="1"/>
        </dgm:presLayoutVars>
      </dgm:prSet>
      <dgm:spPr/>
      <dgm:t>
        <a:bodyPr/>
        <a:lstStyle/>
        <a:p>
          <a:endParaRPr lang="en-US"/>
        </a:p>
      </dgm:t>
    </dgm:pt>
    <dgm:pt modelId="{DFEC407E-BFF1-45F1-A785-9832972FEDDD}" type="pres">
      <dgm:prSet presAssocID="{CE0B7C0F-2AE1-4216-90CD-1C3EC8F26221}" presName="negativeSpace" presStyleCnt="0"/>
      <dgm:spPr/>
    </dgm:pt>
    <dgm:pt modelId="{FB003885-B89B-4ED6-B8C1-5DC3151BE9A6}" type="pres">
      <dgm:prSet presAssocID="{CE0B7C0F-2AE1-4216-90CD-1C3EC8F26221}" presName="childText" presStyleLbl="conFgAcc1" presStyleIdx="0" presStyleCnt="8">
        <dgm:presLayoutVars>
          <dgm:bulletEnabled val="1"/>
        </dgm:presLayoutVars>
      </dgm:prSet>
      <dgm:spPr/>
      <dgm:t>
        <a:bodyPr/>
        <a:lstStyle/>
        <a:p>
          <a:endParaRPr lang="en-US"/>
        </a:p>
      </dgm:t>
    </dgm:pt>
    <dgm:pt modelId="{36174D7B-9896-4C36-B965-602606B5BE4E}" type="pres">
      <dgm:prSet presAssocID="{BB019F18-FCFE-451D-9DDF-DCC861729C34}" presName="spaceBetweenRectangles" presStyleCnt="0"/>
      <dgm:spPr/>
    </dgm:pt>
    <dgm:pt modelId="{9D81B31F-AFB1-4C87-BA0E-C6FF64CBA873}" type="pres">
      <dgm:prSet presAssocID="{9E8E362F-B027-4A8F-B324-EFE001F6860E}" presName="parentLin" presStyleCnt="0"/>
      <dgm:spPr/>
    </dgm:pt>
    <dgm:pt modelId="{D5424AFB-D10C-4D71-B63A-2BE3DA068EAB}" type="pres">
      <dgm:prSet presAssocID="{9E8E362F-B027-4A8F-B324-EFE001F6860E}" presName="parentLeftMargin" presStyleLbl="node1" presStyleIdx="0" presStyleCnt="8"/>
      <dgm:spPr/>
      <dgm:t>
        <a:bodyPr/>
        <a:lstStyle/>
        <a:p>
          <a:endParaRPr lang="en-US"/>
        </a:p>
      </dgm:t>
    </dgm:pt>
    <dgm:pt modelId="{2E1B2B82-D37E-4A50-8811-A82D589DC229}" type="pres">
      <dgm:prSet presAssocID="{9E8E362F-B027-4A8F-B324-EFE001F6860E}" presName="parentText" presStyleLbl="node1" presStyleIdx="1" presStyleCnt="8">
        <dgm:presLayoutVars>
          <dgm:chMax val="0"/>
          <dgm:bulletEnabled val="1"/>
        </dgm:presLayoutVars>
      </dgm:prSet>
      <dgm:spPr/>
      <dgm:t>
        <a:bodyPr/>
        <a:lstStyle/>
        <a:p>
          <a:endParaRPr lang="en-US"/>
        </a:p>
      </dgm:t>
    </dgm:pt>
    <dgm:pt modelId="{9B29DF1B-8F66-46F9-9785-177828290FA5}" type="pres">
      <dgm:prSet presAssocID="{9E8E362F-B027-4A8F-B324-EFE001F6860E}" presName="negativeSpace" presStyleCnt="0"/>
      <dgm:spPr/>
    </dgm:pt>
    <dgm:pt modelId="{5B552F9D-99AD-44E1-AB42-C383CC674946}" type="pres">
      <dgm:prSet presAssocID="{9E8E362F-B027-4A8F-B324-EFE001F6860E}" presName="childText" presStyleLbl="conFgAcc1" presStyleIdx="1" presStyleCnt="8">
        <dgm:presLayoutVars>
          <dgm:bulletEnabled val="1"/>
        </dgm:presLayoutVars>
      </dgm:prSet>
      <dgm:spPr/>
      <dgm:t>
        <a:bodyPr/>
        <a:lstStyle/>
        <a:p>
          <a:endParaRPr lang="en-US"/>
        </a:p>
      </dgm:t>
    </dgm:pt>
    <dgm:pt modelId="{2C51F3FE-D731-47F5-8D14-92763F3EA94F}" type="pres">
      <dgm:prSet presAssocID="{0E9717BD-EE36-4E9B-B8EA-141F053B619D}" presName="spaceBetweenRectangles" presStyleCnt="0"/>
      <dgm:spPr/>
    </dgm:pt>
    <dgm:pt modelId="{5848A0F4-2F2C-42D2-9E70-E8023925220A}" type="pres">
      <dgm:prSet presAssocID="{2857C929-4BC7-4F57-BDA2-9312F9E6A012}" presName="parentLin" presStyleCnt="0"/>
      <dgm:spPr/>
    </dgm:pt>
    <dgm:pt modelId="{47DC50FB-D255-4D4F-A52A-0A9D12334742}" type="pres">
      <dgm:prSet presAssocID="{2857C929-4BC7-4F57-BDA2-9312F9E6A012}" presName="parentLeftMargin" presStyleLbl="node1" presStyleIdx="1" presStyleCnt="8"/>
      <dgm:spPr/>
      <dgm:t>
        <a:bodyPr/>
        <a:lstStyle/>
        <a:p>
          <a:endParaRPr lang="en-US"/>
        </a:p>
      </dgm:t>
    </dgm:pt>
    <dgm:pt modelId="{E67C2827-ECD5-49A4-88E4-5CFB0B767CA6}" type="pres">
      <dgm:prSet presAssocID="{2857C929-4BC7-4F57-BDA2-9312F9E6A012}" presName="parentText" presStyleLbl="node1" presStyleIdx="2" presStyleCnt="8">
        <dgm:presLayoutVars>
          <dgm:chMax val="0"/>
          <dgm:bulletEnabled val="1"/>
        </dgm:presLayoutVars>
      </dgm:prSet>
      <dgm:spPr/>
      <dgm:t>
        <a:bodyPr/>
        <a:lstStyle/>
        <a:p>
          <a:endParaRPr lang="en-US"/>
        </a:p>
      </dgm:t>
    </dgm:pt>
    <dgm:pt modelId="{C84EC68D-03BC-481D-A61F-203AA2D9C1F9}" type="pres">
      <dgm:prSet presAssocID="{2857C929-4BC7-4F57-BDA2-9312F9E6A012}" presName="negativeSpace" presStyleCnt="0"/>
      <dgm:spPr/>
    </dgm:pt>
    <dgm:pt modelId="{5541EAD8-16F2-44E2-BF2B-00A0EA8B8550}" type="pres">
      <dgm:prSet presAssocID="{2857C929-4BC7-4F57-BDA2-9312F9E6A012}" presName="childText" presStyleLbl="conFgAcc1" presStyleIdx="2" presStyleCnt="8">
        <dgm:presLayoutVars>
          <dgm:bulletEnabled val="1"/>
        </dgm:presLayoutVars>
      </dgm:prSet>
      <dgm:spPr/>
      <dgm:t>
        <a:bodyPr/>
        <a:lstStyle/>
        <a:p>
          <a:endParaRPr lang="en-US"/>
        </a:p>
      </dgm:t>
    </dgm:pt>
    <dgm:pt modelId="{158642A4-FC66-48EB-8C42-68C48EBA3D2D}" type="pres">
      <dgm:prSet presAssocID="{B67C93AB-A7B0-465A-A2F6-B23D3F409F65}" presName="spaceBetweenRectangles" presStyleCnt="0"/>
      <dgm:spPr/>
    </dgm:pt>
    <dgm:pt modelId="{DC49564F-ED9E-47AB-B883-93184D98F778}" type="pres">
      <dgm:prSet presAssocID="{30E173A9-46CB-4724-9590-C96E493427FE}" presName="parentLin" presStyleCnt="0"/>
      <dgm:spPr/>
    </dgm:pt>
    <dgm:pt modelId="{6F8846F4-8370-451D-9452-EB2165E74B5A}" type="pres">
      <dgm:prSet presAssocID="{30E173A9-46CB-4724-9590-C96E493427FE}" presName="parentLeftMargin" presStyleLbl="node1" presStyleIdx="2" presStyleCnt="8"/>
      <dgm:spPr/>
      <dgm:t>
        <a:bodyPr/>
        <a:lstStyle/>
        <a:p>
          <a:endParaRPr lang="en-US"/>
        </a:p>
      </dgm:t>
    </dgm:pt>
    <dgm:pt modelId="{DB285ED6-4928-4051-A4D3-5D222CF50F05}" type="pres">
      <dgm:prSet presAssocID="{30E173A9-46CB-4724-9590-C96E493427FE}" presName="parentText" presStyleLbl="node1" presStyleIdx="3" presStyleCnt="8">
        <dgm:presLayoutVars>
          <dgm:chMax val="0"/>
          <dgm:bulletEnabled val="1"/>
        </dgm:presLayoutVars>
      </dgm:prSet>
      <dgm:spPr/>
      <dgm:t>
        <a:bodyPr/>
        <a:lstStyle/>
        <a:p>
          <a:endParaRPr lang="en-US"/>
        </a:p>
      </dgm:t>
    </dgm:pt>
    <dgm:pt modelId="{0FBDDBCF-ED5B-4A28-9CA7-C82C28AA09BC}" type="pres">
      <dgm:prSet presAssocID="{30E173A9-46CB-4724-9590-C96E493427FE}" presName="negativeSpace" presStyleCnt="0"/>
      <dgm:spPr/>
    </dgm:pt>
    <dgm:pt modelId="{410FE177-1D9B-40FF-9374-0608CE29D01E}" type="pres">
      <dgm:prSet presAssocID="{30E173A9-46CB-4724-9590-C96E493427FE}" presName="childText" presStyleLbl="conFgAcc1" presStyleIdx="3" presStyleCnt="8">
        <dgm:presLayoutVars>
          <dgm:bulletEnabled val="1"/>
        </dgm:presLayoutVars>
      </dgm:prSet>
      <dgm:spPr/>
      <dgm:t>
        <a:bodyPr/>
        <a:lstStyle/>
        <a:p>
          <a:endParaRPr lang="en-US"/>
        </a:p>
      </dgm:t>
    </dgm:pt>
    <dgm:pt modelId="{74C9991C-E75E-451E-A634-8190ED6B717D}" type="pres">
      <dgm:prSet presAssocID="{A6B31254-EFE7-4710-BDF8-AD732C071AE0}" presName="spaceBetweenRectangles" presStyleCnt="0"/>
      <dgm:spPr/>
    </dgm:pt>
    <dgm:pt modelId="{E50FD9E7-75FC-4DFB-B98F-B866809C409A}" type="pres">
      <dgm:prSet presAssocID="{D0C9073D-C784-4958-80E2-6ECE35289853}" presName="parentLin" presStyleCnt="0"/>
      <dgm:spPr/>
    </dgm:pt>
    <dgm:pt modelId="{DDB4969F-E093-4329-96BC-3CE59A2499E7}" type="pres">
      <dgm:prSet presAssocID="{D0C9073D-C784-4958-80E2-6ECE35289853}" presName="parentLeftMargin" presStyleLbl="node1" presStyleIdx="3" presStyleCnt="8"/>
      <dgm:spPr/>
      <dgm:t>
        <a:bodyPr/>
        <a:lstStyle/>
        <a:p>
          <a:endParaRPr lang="en-US"/>
        </a:p>
      </dgm:t>
    </dgm:pt>
    <dgm:pt modelId="{E1F67818-737E-45A7-8355-83D28C9CC549}" type="pres">
      <dgm:prSet presAssocID="{D0C9073D-C784-4958-80E2-6ECE35289853}" presName="parentText" presStyleLbl="node1" presStyleIdx="4" presStyleCnt="8">
        <dgm:presLayoutVars>
          <dgm:chMax val="0"/>
          <dgm:bulletEnabled val="1"/>
        </dgm:presLayoutVars>
      </dgm:prSet>
      <dgm:spPr/>
      <dgm:t>
        <a:bodyPr/>
        <a:lstStyle/>
        <a:p>
          <a:endParaRPr lang="en-US"/>
        </a:p>
      </dgm:t>
    </dgm:pt>
    <dgm:pt modelId="{4651AC6F-D427-40DE-A330-F598BEE333C9}" type="pres">
      <dgm:prSet presAssocID="{D0C9073D-C784-4958-80E2-6ECE35289853}" presName="negativeSpace" presStyleCnt="0"/>
      <dgm:spPr/>
    </dgm:pt>
    <dgm:pt modelId="{F71F9504-4FC6-442D-8253-52250B7DA424}" type="pres">
      <dgm:prSet presAssocID="{D0C9073D-C784-4958-80E2-6ECE35289853}" presName="childText" presStyleLbl="conFgAcc1" presStyleIdx="4" presStyleCnt="8">
        <dgm:presLayoutVars>
          <dgm:bulletEnabled val="1"/>
        </dgm:presLayoutVars>
      </dgm:prSet>
      <dgm:spPr/>
      <dgm:t>
        <a:bodyPr/>
        <a:lstStyle/>
        <a:p>
          <a:endParaRPr lang="en-US"/>
        </a:p>
      </dgm:t>
    </dgm:pt>
    <dgm:pt modelId="{668A136B-4B3F-4E25-AD00-EC805171163B}" type="pres">
      <dgm:prSet presAssocID="{54AA8685-2C6E-4543-886F-23EE9979D827}" presName="spaceBetweenRectangles" presStyleCnt="0"/>
      <dgm:spPr/>
    </dgm:pt>
    <dgm:pt modelId="{2F7A5517-4223-48FD-9F73-8D9B8DB499A9}" type="pres">
      <dgm:prSet presAssocID="{53EC117C-2DC2-47C1-860B-608659F9050C}" presName="parentLin" presStyleCnt="0"/>
      <dgm:spPr/>
    </dgm:pt>
    <dgm:pt modelId="{F6798159-7C04-4CA1-B0AC-C100FCE03496}" type="pres">
      <dgm:prSet presAssocID="{53EC117C-2DC2-47C1-860B-608659F9050C}" presName="parentLeftMargin" presStyleLbl="node1" presStyleIdx="4" presStyleCnt="8"/>
      <dgm:spPr/>
      <dgm:t>
        <a:bodyPr/>
        <a:lstStyle/>
        <a:p>
          <a:endParaRPr lang="en-US"/>
        </a:p>
      </dgm:t>
    </dgm:pt>
    <dgm:pt modelId="{97B96152-B141-40A2-BFED-DA9147F25F5B}" type="pres">
      <dgm:prSet presAssocID="{53EC117C-2DC2-47C1-860B-608659F9050C}" presName="parentText" presStyleLbl="node1" presStyleIdx="5" presStyleCnt="8">
        <dgm:presLayoutVars>
          <dgm:chMax val="0"/>
          <dgm:bulletEnabled val="1"/>
        </dgm:presLayoutVars>
      </dgm:prSet>
      <dgm:spPr/>
      <dgm:t>
        <a:bodyPr/>
        <a:lstStyle/>
        <a:p>
          <a:endParaRPr lang="en-US"/>
        </a:p>
      </dgm:t>
    </dgm:pt>
    <dgm:pt modelId="{91759EBD-E486-41E6-868A-A2633EEF0F1A}" type="pres">
      <dgm:prSet presAssocID="{53EC117C-2DC2-47C1-860B-608659F9050C}" presName="negativeSpace" presStyleCnt="0"/>
      <dgm:spPr/>
    </dgm:pt>
    <dgm:pt modelId="{006F35D8-4B3B-4076-B1BA-4142FF79C7DA}" type="pres">
      <dgm:prSet presAssocID="{53EC117C-2DC2-47C1-860B-608659F9050C}" presName="childText" presStyleLbl="conFgAcc1" presStyleIdx="5" presStyleCnt="8">
        <dgm:presLayoutVars>
          <dgm:bulletEnabled val="1"/>
        </dgm:presLayoutVars>
      </dgm:prSet>
      <dgm:spPr/>
      <dgm:t>
        <a:bodyPr/>
        <a:lstStyle/>
        <a:p>
          <a:endParaRPr lang="en-US"/>
        </a:p>
      </dgm:t>
    </dgm:pt>
    <dgm:pt modelId="{8BA3932B-234E-416D-A0B6-A469CB209281}" type="pres">
      <dgm:prSet presAssocID="{BFA60117-8431-4975-AF58-4F068055E88D}" presName="spaceBetweenRectangles" presStyleCnt="0"/>
      <dgm:spPr/>
    </dgm:pt>
    <dgm:pt modelId="{15568144-0EB5-4D31-ADCD-62FBCE208F19}" type="pres">
      <dgm:prSet presAssocID="{CD4950AC-BAFF-442B-848E-49235BDC4121}" presName="parentLin" presStyleCnt="0"/>
      <dgm:spPr/>
    </dgm:pt>
    <dgm:pt modelId="{96887B28-787C-4D58-8BC5-8CD631B836C5}" type="pres">
      <dgm:prSet presAssocID="{CD4950AC-BAFF-442B-848E-49235BDC4121}" presName="parentLeftMargin" presStyleLbl="node1" presStyleIdx="5" presStyleCnt="8"/>
      <dgm:spPr/>
      <dgm:t>
        <a:bodyPr/>
        <a:lstStyle/>
        <a:p>
          <a:endParaRPr lang="en-US"/>
        </a:p>
      </dgm:t>
    </dgm:pt>
    <dgm:pt modelId="{DF7523D6-E7D7-4C71-9895-A3F6DBCD2934}" type="pres">
      <dgm:prSet presAssocID="{CD4950AC-BAFF-442B-848E-49235BDC4121}" presName="parentText" presStyleLbl="node1" presStyleIdx="6" presStyleCnt="8">
        <dgm:presLayoutVars>
          <dgm:chMax val="0"/>
          <dgm:bulletEnabled val="1"/>
        </dgm:presLayoutVars>
      </dgm:prSet>
      <dgm:spPr/>
      <dgm:t>
        <a:bodyPr/>
        <a:lstStyle/>
        <a:p>
          <a:endParaRPr lang="en-US"/>
        </a:p>
      </dgm:t>
    </dgm:pt>
    <dgm:pt modelId="{CFE26B56-4DE6-4E1E-8A94-46CC1B32385E}" type="pres">
      <dgm:prSet presAssocID="{CD4950AC-BAFF-442B-848E-49235BDC4121}" presName="negativeSpace" presStyleCnt="0"/>
      <dgm:spPr/>
    </dgm:pt>
    <dgm:pt modelId="{62FFB9B2-D09E-427F-900D-6864C527BF14}" type="pres">
      <dgm:prSet presAssocID="{CD4950AC-BAFF-442B-848E-49235BDC4121}" presName="childText" presStyleLbl="conFgAcc1" presStyleIdx="6" presStyleCnt="8">
        <dgm:presLayoutVars>
          <dgm:bulletEnabled val="1"/>
        </dgm:presLayoutVars>
      </dgm:prSet>
      <dgm:spPr/>
      <dgm:t>
        <a:bodyPr/>
        <a:lstStyle/>
        <a:p>
          <a:endParaRPr lang="en-US"/>
        </a:p>
      </dgm:t>
    </dgm:pt>
    <dgm:pt modelId="{F2896679-B389-462A-A546-DAD8CDFE2025}" type="pres">
      <dgm:prSet presAssocID="{66C7A458-017C-4589-AD09-BF022BE86B84}" presName="spaceBetweenRectangles" presStyleCnt="0"/>
      <dgm:spPr/>
    </dgm:pt>
    <dgm:pt modelId="{A5B9201F-397E-4F40-9653-FCDB2A16E75E}" type="pres">
      <dgm:prSet presAssocID="{D275AC0C-D9A2-4B7D-B5E5-C5BF6DE41883}" presName="parentLin" presStyleCnt="0"/>
      <dgm:spPr/>
    </dgm:pt>
    <dgm:pt modelId="{AAA1CE7B-0999-44A6-A4DF-6B90C503E634}" type="pres">
      <dgm:prSet presAssocID="{D275AC0C-D9A2-4B7D-B5E5-C5BF6DE41883}" presName="parentLeftMargin" presStyleLbl="node1" presStyleIdx="6" presStyleCnt="8"/>
      <dgm:spPr/>
      <dgm:t>
        <a:bodyPr/>
        <a:lstStyle/>
        <a:p>
          <a:endParaRPr lang="en-US"/>
        </a:p>
      </dgm:t>
    </dgm:pt>
    <dgm:pt modelId="{CBAA1FF8-268C-4A00-8B52-5926892B90E6}" type="pres">
      <dgm:prSet presAssocID="{D275AC0C-D9A2-4B7D-B5E5-C5BF6DE41883}" presName="parentText" presStyleLbl="node1" presStyleIdx="7" presStyleCnt="8">
        <dgm:presLayoutVars>
          <dgm:chMax val="0"/>
          <dgm:bulletEnabled val="1"/>
        </dgm:presLayoutVars>
      </dgm:prSet>
      <dgm:spPr/>
      <dgm:t>
        <a:bodyPr/>
        <a:lstStyle/>
        <a:p>
          <a:endParaRPr lang="en-US"/>
        </a:p>
      </dgm:t>
    </dgm:pt>
    <dgm:pt modelId="{AB271AE1-8783-4DDE-A998-F299372EB7A5}" type="pres">
      <dgm:prSet presAssocID="{D275AC0C-D9A2-4B7D-B5E5-C5BF6DE41883}" presName="negativeSpace" presStyleCnt="0"/>
      <dgm:spPr/>
    </dgm:pt>
    <dgm:pt modelId="{B070330C-5FD1-4C30-803D-9F28D460BC6D}" type="pres">
      <dgm:prSet presAssocID="{D275AC0C-D9A2-4B7D-B5E5-C5BF6DE41883}" presName="childText" presStyleLbl="conFgAcc1" presStyleIdx="7" presStyleCnt="8">
        <dgm:presLayoutVars>
          <dgm:bulletEnabled val="1"/>
        </dgm:presLayoutVars>
      </dgm:prSet>
      <dgm:spPr/>
      <dgm:t>
        <a:bodyPr/>
        <a:lstStyle/>
        <a:p>
          <a:endParaRPr lang="en-US"/>
        </a:p>
      </dgm:t>
    </dgm:pt>
  </dgm:ptLst>
  <dgm:cxnLst>
    <dgm:cxn modelId="{35FE75ED-35C0-4167-98A4-9E6D3F1A5CEC}" srcId="{7B3131C6-B731-4D48-8604-5BDDE07CB434}" destId="{D275AC0C-D9A2-4B7D-B5E5-C5BF6DE41883}" srcOrd="7" destOrd="0" parTransId="{8257BA1A-164F-44A7-AD32-3CDC757EE3B8}" sibTransId="{CDC4ECE0-E968-42AC-9BB4-A45A4DD5F0BC}"/>
    <dgm:cxn modelId="{18D02A66-BC5B-4391-91C8-E1BCC9A84DB1}" type="presOf" srcId="{FB67DC56-6DB6-447C-8750-4ACDCE2ED57D}" destId="{62FFB9B2-D09E-427F-900D-6864C527BF14}" srcOrd="0" destOrd="3" presId="urn:microsoft.com/office/officeart/2005/8/layout/list1"/>
    <dgm:cxn modelId="{40DD5046-2892-42F4-B185-F0A7B9150686}" srcId="{CD4950AC-BAFF-442B-848E-49235BDC4121}" destId="{C2EFC7A3-412E-4D8B-8364-88992EC010E4}" srcOrd="10" destOrd="0" parTransId="{CB3A9011-8D28-4B26-A9A0-FC1E2947D8C4}" sibTransId="{AF09A47B-0DFA-4F0B-B285-B86F670C5FB0}"/>
    <dgm:cxn modelId="{131A0998-11E2-4C09-9602-AAAF6ECCA048}" type="presOf" srcId="{159348F2-0121-441A-BB44-E06CE203F09D}" destId="{5B552F9D-99AD-44E1-AB42-C383CC674946}" srcOrd="0" destOrd="1" presId="urn:microsoft.com/office/officeart/2005/8/layout/list1"/>
    <dgm:cxn modelId="{E5AD8027-AD4B-45E3-8513-187CD6CBAEDA}" type="presOf" srcId="{EC028547-A460-4A74-B944-E375C03E934A}" destId="{FB003885-B89B-4ED6-B8C1-5DC3151BE9A6}" srcOrd="0" destOrd="1" presId="urn:microsoft.com/office/officeart/2005/8/layout/list1"/>
    <dgm:cxn modelId="{C9CF980A-A2E0-4759-9AE8-A672B1D39429}" srcId="{7B3131C6-B731-4D48-8604-5BDDE07CB434}" destId="{CD4950AC-BAFF-442B-848E-49235BDC4121}" srcOrd="6" destOrd="0" parTransId="{F0F59982-5336-46E1-9844-D2532EF77B1A}" sibTransId="{66C7A458-017C-4589-AD09-BF022BE86B84}"/>
    <dgm:cxn modelId="{C843F433-E4C3-448F-9B04-25353E484EA6}" srcId="{CE0B7C0F-2AE1-4216-90CD-1C3EC8F26221}" destId="{34D3F2BE-0A1F-4DA2-8423-A95F816343EA}" srcOrd="0" destOrd="0" parTransId="{7F8FD3D1-3D6A-49B3-ABD8-1E86ED21DD38}" sibTransId="{497622A5-422F-4CAB-8C60-AE57CD5F1162}"/>
    <dgm:cxn modelId="{6493351B-34CD-4481-BA30-FE723284B6AD}" srcId="{53EC117C-2DC2-47C1-860B-608659F9050C}" destId="{3415F678-65DE-44B8-BEE0-7CB9A2DED2BC}" srcOrd="1" destOrd="0" parTransId="{D31A0E19-7976-4D00-AE07-F0706483F600}" sibTransId="{83C2E254-3755-4C7B-B083-4B6E5579E306}"/>
    <dgm:cxn modelId="{8B1C6645-9389-4CE6-AD38-AD57F94E8832}" srcId="{7B3131C6-B731-4D48-8604-5BDDE07CB434}" destId="{2857C929-4BC7-4F57-BDA2-9312F9E6A012}" srcOrd="2" destOrd="0" parTransId="{DE6D1127-E903-4430-9363-BCB952DDAE6F}" sibTransId="{B67C93AB-A7B0-465A-A2F6-B23D3F409F65}"/>
    <dgm:cxn modelId="{DBEC5B11-8A03-431B-B146-296C5C39A63E}" srcId="{7B3131C6-B731-4D48-8604-5BDDE07CB434}" destId="{9E8E362F-B027-4A8F-B324-EFE001F6860E}" srcOrd="1" destOrd="0" parTransId="{0D5422B1-E26A-402E-BD6E-54E0C3045F0D}" sibTransId="{0E9717BD-EE36-4E9B-B8EA-141F053B619D}"/>
    <dgm:cxn modelId="{F1E328AB-6AA4-45E0-BF8C-B6859081E1E3}" srcId="{CD4950AC-BAFF-442B-848E-49235BDC4121}" destId="{BAA8DAFD-8BF1-43C4-ABA0-9BD6C6D4DD74}" srcOrd="2" destOrd="0" parTransId="{8630F771-DDFD-4787-AF33-4244082FB1DE}" sibTransId="{70C60059-3AA0-410F-BCEA-404CC07D5529}"/>
    <dgm:cxn modelId="{EFD7445D-A131-4D13-AC00-BE6A17EB3D65}" type="presOf" srcId="{0A9212E5-4E27-4270-843A-B64008CF4D64}" destId="{5541EAD8-16F2-44E2-BF2B-00A0EA8B8550}" srcOrd="0" destOrd="1" presId="urn:microsoft.com/office/officeart/2005/8/layout/list1"/>
    <dgm:cxn modelId="{0C58D5B1-687B-449B-9DAF-9C2AC7132749}" type="presOf" srcId="{CE0B7C0F-2AE1-4216-90CD-1C3EC8F26221}" destId="{B9D1B066-5F18-4387-A057-A24B4595F98F}" srcOrd="1" destOrd="0" presId="urn:microsoft.com/office/officeart/2005/8/layout/list1"/>
    <dgm:cxn modelId="{6E5328C0-EF11-48BB-8EC1-E1A76BE84196}" srcId="{30E173A9-46CB-4724-9590-C96E493427FE}" destId="{62F0C676-6FEA-49F3-9730-9F6767CF61D3}" srcOrd="0" destOrd="0" parTransId="{ED460E12-5F57-4541-A2DE-50DC8AFCF85E}" sibTransId="{05AEA1F4-4970-4B35-B3AE-5D668D2A8C96}"/>
    <dgm:cxn modelId="{12BB5135-E826-4163-8022-9E687EA423EE}" type="presOf" srcId="{D81A098C-45FE-4A85-84F7-13DBF1CB497E}" destId="{B070330C-5FD1-4C30-803D-9F28D460BC6D}" srcOrd="0" destOrd="0" presId="urn:microsoft.com/office/officeart/2005/8/layout/list1"/>
    <dgm:cxn modelId="{128C4951-0329-48B5-A629-3B5845AFAB79}" srcId="{CE0B7C0F-2AE1-4216-90CD-1C3EC8F26221}" destId="{EC028547-A460-4A74-B944-E375C03E934A}" srcOrd="1" destOrd="0" parTransId="{611484D5-BCE1-44AF-9EC7-A65852D2856D}" sibTransId="{A8B84469-6536-4A28-98F9-227927905250}"/>
    <dgm:cxn modelId="{7F1F00B5-DB31-4397-AB43-9E4D5CFB6B92}" type="presOf" srcId="{7B3131C6-B731-4D48-8604-5BDDE07CB434}" destId="{5D513267-632B-4A06-A02E-E2F589BCD001}" srcOrd="0" destOrd="0" presId="urn:microsoft.com/office/officeart/2005/8/layout/list1"/>
    <dgm:cxn modelId="{CAB08386-37B0-406C-AE3A-89811205E52E}" srcId="{7B3131C6-B731-4D48-8604-5BDDE07CB434}" destId="{D0C9073D-C784-4958-80E2-6ECE35289853}" srcOrd="4" destOrd="0" parTransId="{9ED12BF8-E84A-4526-98F8-DD681D85FE95}" sibTransId="{54AA8685-2C6E-4543-886F-23EE9979D827}"/>
    <dgm:cxn modelId="{04CCD4EC-8609-4D15-9926-EC55E5D3482D}" srcId="{9E8E362F-B027-4A8F-B324-EFE001F6860E}" destId="{E64EE92D-3249-4B11-873C-70EA0A092F1C}" srcOrd="3" destOrd="0" parTransId="{74A20EC2-27A4-4748-BBCC-A5516581DD3A}" sibTransId="{48C95D5A-956F-4962-8B45-80DD7B066020}"/>
    <dgm:cxn modelId="{0A8A03D7-FD23-412A-9680-F9CA749EAF1B}" type="presOf" srcId="{4E28E7AB-5E97-4615-89A1-B25D481E7B3C}" destId="{62FFB9B2-D09E-427F-900D-6864C527BF14}" srcOrd="0" destOrd="7" presId="urn:microsoft.com/office/officeart/2005/8/layout/list1"/>
    <dgm:cxn modelId="{90667D6C-3255-4706-AF93-D89A8A62DE58}" srcId="{CD4950AC-BAFF-442B-848E-49235BDC4121}" destId="{FB67DC56-6DB6-447C-8750-4ACDCE2ED57D}" srcOrd="3" destOrd="0" parTransId="{5A4E1A98-569C-4B7B-88DC-AB6D717C9611}" sibTransId="{8F07FA24-868C-4235-9220-6A780B5E5293}"/>
    <dgm:cxn modelId="{43EEA3F4-47B1-4936-95C2-041A4E0CAC84}" type="presOf" srcId="{34D3F2BE-0A1F-4DA2-8423-A95F816343EA}" destId="{FB003885-B89B-4ED6-B8C1-5DC3151BE9A6}" srcOrd="0" destOrd="0" presId="urn:microsoft.com/office/officeart/2005/8/layout/list1"/>
    <dgm:cxn modelId="{9BF52EE2-262A-4FAC-98D8-EDCDDE0CF5B8}" srcId="{9E8E362F-B027-4A8F-B324-EFE001F6860E}" destId="{613A3068-01AE-406A-91FD-BFA8B8D6D54B}" srcOrd="2" destOrd="0" parTransId="{DDEC9E42-63CB-4F1A-8D2D-7F1456F05644}" sibTransId="{5BBD318F-24F8-485D-90C1-261D4AE8FD3F}"/>
    <dgm:cxn modelId="{3C73BFE4-4686-4E12-AED8-A1F01FB8578D}" srcId="{2857C929-4BC7-4F57-BDA2-9312F9E6A012}" destId="{0A9212E5-4E27-4270-843A-B64008CF4D64}" srcOrd="1" destOrd="0" parTransId="{1B58B898-18CD-4546-9789-F69E99FA6F3E}" sibTransId="{0FC23926-A980-42BF-95D1-FDB25352D21B}"/>
    <dgm:cxn modelId="{ACC0B30F-9D16-4FBB-9BCA-BEB5E3E1258A}" type="presOf" srcId="{D0C9073D-C784-4958-80E2-6ECE35289853}" destId="{E1F67818-737E-45A7-8355-83D28C9CC549}" srcOrd="1" destOrd="0" presId="urn:microsoft.com/office/officeart/2005/8/layout/list1"/>
    <dgm:cxn modelId="{705D8A37-AE3A-4D06-8435-CFA5ABF0EFD6}" type="presOf" srcId="{C5B892DC-E2AC-4148-A59B-59E1107AF4DD}" destId="{FB003885-B89B-4ED6-B8C1-5DC3151BE9A6}" srcOrd="0" destOrd="2" presId="urn:microsoft.com/office/officeart/2005/8/layout/list1"/>
    <dgm:cxn modelId="{12DD1DB6-1D9E-44B1-980D-E808E5D2F263}" srcId="{2857C929-4BC7-4F57-BDA2-9312F9E6A012}" destId="{F2676FD4-4763-4031-B29E-445D484AE793}" srcOrd="0" destOrd="0" parTransId="{FFDF68D5-D8A9-4B17-9732-5BDDF264218F}" sibTransId="{F14B5CE6-A6F8-4133-9148-B1A6F3F6DB00}"/>
    <dgm:cxn modelId="{C844A42A-C1AE-4E08-9E0D-88AA685B6506}" type="presOf" srcId="{FD65615E-3D59-4037-8ACB-21207F15C417}" destId="{62FFB9B2-D09E-427F-900D-6864C527BF14}" srcOrd="0" destOrd="5" presId="urn:microsoft.com/office/officeart/2005/8/layout/list1"/>
    <dgm:cxn modelId="{54112E32-29DC-4C46-84DD-4D5C126BCF57}" type="presOf" srcId="{C6E10007-AC0F-47A2-ABD1-876248FC3D80}" destId="{410FE177-1D9B-40FF-9374-0608CE29D01E}" srcOrd="0" destOrd="3" presId="urn:microsoft.com/office/officeart/2005/8/layout/list1"/>
    <dgm:cxn modelId="{A26A36AB-86BD-4AEA-A626-003DA693BDC7}" type="presOf" srcId="{53EC117C-2DC2-47C1-860B-608659F9050C}" destId="{F6798159-7C04-4CA1-B0AC-C100FCE03496}" srcOrd="0" destOrd="0" presId="urn:microsoft.com/office/officeart/2005/8/layout/list1"/>
    <dgm:cxn modelId="{4ECB0158-D527-4CE0-8FFE-DE73CE3F0EB5}" type="presOf" srcId="{62F0C676-6FEA-49F3-9730-9F6767CF61D3}" destId="{410FE177-1D9B-40FF-9374-0608CE29D01E}" srcOrd="0" destOrd="0" presId="urn:microsoft.com/office/officeart/2005/8/layout/list1"/>
    <dgm:cxn modelId="{E7AD23F0-2DF4-4E43-8FF7-4D04C1033031}" type="presOf" srcId="{30E173A9-46CB-4724-9590-C96E493427FE}" destId="{DB285ED6-4928-4051-A4D3-5D222CF50F05}" srcOrd="1" destOrd="0" presId="urn:microsoft.com/office/officeart/2005/8/layout/list1"/>
    <dgm:cxn modelId="{685C76EE-7975-4DBA-82C1-ED0B5D900EC4}" type="presOf" srcId="{30E173A9-46CB-4724-9590-C96E493427FE}" destId="{6F8846F4-8370-451D-9452-EB2165E74B5A}" srcOrd="0" destOrd="0" presId="urn:microsoft.com/office/officeart/2005/8/layout/list1"/>
    <dgm:cxn modelId="{E9706605-20DD-4462-8DDA-C839A8B3E338}" type="presOf" srcId="{3415F678-65DE-44B8-BEE0-7CB9A2DED2BC}" destId="{006F35D8-4B3B-4076-B1BA-4142FF79C7DA}" srcOrd="0" destOrd="1" presId="urn:microsoft.com/office/officeart/2005/8/layout/list1"/>
    <dgm:cxn modelId="{E5D2688A-6085-4AD0-9E28-0EE9FC6331E7}" type="presOf" srcId="{37A705D0-7E1C-43B8-9B82-E55E69A35640}" destId="{62FFB9B2-D09E-427F-900D-6864C527BF14}" srcOrd="0" destOrd="11" presId="urn:microsoft.com/office/officeart/2005/8/layout/list1"/>
    <dgm:cxn modelId="{1C99AB5D-0A54-4667-A773-7C20F5AA4803}" srcId="{7B3131C6-B731-4D48-8604-5BDDE07CB434}" destId="{CE0B7C0F-2AE1-4216-90CD-1C3EC8F26221}" srcOrd="0" destOrd="0" parTransId="{39A78129-0342-43F2-BF0D-D8D996F19940}" sibTransId="{BB019F18-FCFE-451D-9DDF-DCC861729C34}"/>
    <dgm:cxn modelId="{687B6DDA-8619-4E1E-A4BC-874EC3ACA504}" type="presOf" srcId="{75576F43-9D68-4006-A122-CE51CD842250}" destId="{62FFB9B2-D09E-427F-900D-6864C527BF14}" srcOrd="0" destOrd="6" presId="urn:microsoft.com/office/officeart/2005/8/layout/list1"/>
    <dgm:cxn modelId="{B0A93983-EDEB-4E25-8ACC-BBD80F692EAD}" srcId="{D0C9073D-C784-4958-80E2-6ECE35289853}" destId="{EA0B4E16-06BB-42A2-A461-84BDC9861F64}" srcOrd="0" destOrd="0" parTransId="{B1005B0A-F62A-467A-A758-70473D30906C}" sibTransId="{D3822AA0-9575-4FB9-8659-F98A1A5D86D3}"/>
    <dgm:cxn modelId="{C85E954D-15B9-4B51-A6F0-FEF16F06B1C6}" type="presOf" srcId="{AC9C9F9A-06CE-427D-84E9-07B40CACC964}" destId="{62FFB9B2-D09E-427F-900D-6864C527BF14}" srcOrd="0" destOrd="8" presId="urn:microsoft.com/office/officeart/2005/8/layout/list1"/>
    <dgm:cxn modelId="{C1B362F0-2EF8-47D3-83FE-AA5EDC4A8E3B}" type="presOf" srcId="{F1C41EFB-7E83-415F-819E-5EC394469ABD}" destId="{F71F9504-4FC6-442D-8253-52250B7DA424}" srcOrd="0" destOrd="1" presId="urn:microsoft.com/office/officeart/2005/8/layout/list1"/>
    <dgm:cxn modelId="{542518E5-3109-4946-ADBB-67BA18B2CC92}" srcId="{CD4950AC-BAFF-442B-848E-49235BDC4121}" destId="{37A705D0-7E1C-43B8-9B82-E55E69A35640}" srcOrd="11" destOrd="0" parTransId="{790D6A2B-77A5-4154-9979-D43B069820E1}" sibTransId="{D31B2A00-DA92-41F8-8E2E-C9A98082E0CB}"/>
    <dgm:cxn modelId="{DE3B488F-8A57-44E0-8717-BAB8B486245F}" srcId="{CD4950AC-BAFF-442B-848E-49235BDC4121}" destId="{AC9C9F9A-06CE-427D-84E9-07B40CACC964}" srcOrd="8" destOrd="0" parTransId="{2C03C099-032C-4BB7-9EAD-EE05A64509A4}" sibTransId="{72A7C209-4A90-43DF-BF82-62A27A619201}"/>
    <dgm:cxn modelId="{0CB2BBDD-F2ED-4EF6-B7BC-0D0D08F9BA1C}" type="presOf" srcId="{CD4950AC-BAFF-442B-848E-49235BDC4121}" destId="{96887B28-787C-4D58-8BC5-8CD631B836C5}" srcOrd="0" destOrd="0" presId="urn:microsoft.com/office/officeart/2005/8/layout/list1"/>
    <dgm:cxn modelId="{25B2288B-877A-43D5-8CFE-41A96619628A}" type="presOf" srcId="{4732B568-FB73-461C-9E2F-8AB46A9AD86E}" destId="{62FFB9B2-D09E-427F-900D-6864C527BF14}" srcOrd="0" destOrd="9" presId="urn:microsoft.com/office/officeart/2005/8/layout/list1"/>
    <dgm:cxn modelId="{12CF4610-E386-40E7-A367-2DE3EBB3BF57}" srcId="{CD4950AC-BAFF-442B-848E-49235BDC4121}" destId="{75576F43-9D68-4006-A122-CE51CD842250}" srcOrd="6" destOrd="0" parTransId="{F2E8C02A-C2A2-4BA7-8A04-F8650719A197}" sibTransId="{6FB648E4-8F7B-4648-8499-4E3114DC1BDE}"/>
    <dgm:cxn modelId="{A91D0BE4-F0D0-4AED-9B3B-477BD20F9D51}" srcId="{CE0B7C0F-2AE1-4216-90CD-1C3EC8F26221}" destId="{C5B892DC-E2AC-4148-A59B-59E1107AF4DD}" srcOrd="2" destOrd="0" parTransId="{F3068091-4DFC-49F8-ABAB-39658FC5FB70}" sibTransId="{991BED97-059E-407A-9630-11CCD41E73B7}"/>
    <dgm:cxn modelId="{E42F8D7D-AE54-4342-9AF4-C26650B21D97}" type="presOf" srcId="{75511ED9-7664-4F26-BDA2-3CAC684CA2FD}" destId="{62FFB9B2-D09E-427F-900D-6864C527BF14}" srcOrd="0" destOrd="4" presId="urn:microsoft.com/office/officeart/2005/8/layout/list1"/>
    <dgm:cxn modelId="{9F04058C-A05C-44C2-BF89-2567C798DC28}" srcId="{53EC117C-2DC2-47C1-860B-608659F9050C}" destId="{91784B26-7C88-4A77-8AC2-633D50674620}" srcOrd="0" destOrd="0" parTransId="{D26FEF17-93E4-4C4B-9734-7953DF8C36DC}" sibTransId="{EDB9F681-D619-47CF-935A-EFA3F5D32778}"/>
    <dgm:cxn modelId="{CD179D02-F8FC-4064-8FD2-BD8B690987C9}" srcId="{CD4950AC-BAFF-442B-848E-49235BDC4121}" destId="{AA736D50-7E04-4B60-82B4-7E4AC925FBFD}" srcOrd="1" destOrd="0" parTransId="{C8176F2E-3672-4D6C-BDE2-93DD286603DE}" sibTransId="{8FA06395-887E-43F6-BFE8-241471BF758A}"/>
    <dgm:cxn modelId="{B18A1176-5E0C-4B7D-9AC7-3F8516A1A472}" type="presOf" srcId="{47325904-431D-4099-BAB8-C8C1E7FA41FC}" destId="{410FE177-1D9B-40FF-9374-0608CE29D01E}" srcOrd="0" destOrd="4" presId="urn:microsoft.com/office/officeart/2005/8/layout/list1"/>
    <dgm:cxn modelId="{9B72D962-0C2A-4FEE-BD30-F09D96CE94A7}" srcId="{9E8E362F-B027-4A8F-B324-EFE001F6860E}" destId="{159348F2-0121-441A-BB44-E06CE203F09D}" srcOrd="1" destOrd="0" parTransId="{4D44E91D-AC1E-4954-B110-80759518F488}" sibTransId="{CC609F90-56A8-4BD9-AC71-7E31139EA079}"/>
    <dgm:cxn modelId="{6FC50FB6-AE87-433B-8E44-482F6DD2FE95}" srcId="{CD4950AC-BAFF-442B-848E-49235BDC4121}" destId="{75D20AD1-62B3-493C-8B4F-4347AD287525}" srcOrd="0" destOrd="0" parTransId="{17742752-8FC3-4A5B-A3FB-6D28D4B259FE}" sibTransId="{62FB7E90-29CE-468C-9131-FCB08A4630EC}"/>
    <dgm:cxn modelId="{00507F26-785E-41BE-AC4B-60BA1F7C74EC}" type="presOf" srcId="{2857C929-4BC7-4F57-BDA2-9312F9E6A012}" destId="{E67C2827-ECD5-49A4-88E4-5CFB0B767CA6}" srcOrd="1" destOrd="0" presId="urn:microsoft.com/office/officeart/2005/8/layout/list1"/>
    <dgm:cxn modelId="{EE3B0539-3E07-4EE6-97CA-B8A44D2C43BC}" srcId="{CD4950AC-BAFF-442B-848E-49235BDC4121}" destId="{4E28E7AB-5E97-4615-89A1-B25D481E7B3C}" srcOrd="7" destOrd="0" parTransId="{C968E3C0-3DE4-4445-9E43-486AE5576932}" sibTransId="{5493DB6A-EC0B-4E31-96AA-B6111166C3ED}"/>
    <dgm:cxn modelId="{C132FE8D-5F61-44DB-A410-53B95E2D004C}" srcId="{7B3131C6-B731-4D48-8604-5BDDE07CB434}" destId="{30E173A9-46CB-4724-9590-C96E493427FE}" srcOrd="3" destOrd="0" parTransId="{683881D2-C765-4A2C-811A-BE4ECFBD7261}" sibTransId="{A6B31254-EFE7-4710-BDF8-AD732C071AE0}"/>
    <dgm:cxn modelId="{D4258ACE-9D22-42D7-B132-D712BC48724B}" type="presOf" srcId="{613A3068-01AE-406A-91FD-BFA8B8D6D54B}" destId="{5B552F9D-99AD-44E1-AB42-C383CC674946}" srcOrd="0" destOrd="2" presId="urn:microsoft.com/office/officeart/2005/8/layout/list1"/>
    <dgm:cxn modelId="{203013C4-7AF8-4026-839F-3E1E1530EA99}" type="presOf" srcId="{0D6DB11B-2657-498F-806E-CE563C820A17}" destId="{5B552F9D-99AD-44E1-AB42-C383CC674946}" srcOrd="0" destOrd="0" presId="urn:microsoft.com/office/officeart/2005/8/layout/list1"/>
    <dgm:cxn modelId="{6D01CF12-792A-438C-95E2-9FABA082C6C3}" type="presOf" srcId="{53EC117C-2DC2-47C1-860B-608659F9050C}" destId="{97B96152-B141-40A2-BFED-DA9147F25F5B}" srcOrd="1" destOrd="0" presId="urn:microsoft.com/office/officeart/2005/8/layout/list1"/>
    <dgm:cxn modelId="{590522B4-71D7-4903-A494-49FA8B275987}" type="presOf" srcId="{9E8E362F-B027-4A8F-B324-EFE001F6860E}" destId="{D5424AFB-D10C-4D71-B63A-2BE3DA068EAB}" srcOrd="0" destOrd="0" presId="urn:microsoft.com/office/officeart/2005/8/layout/list1"/>
    <dgm:cxn modelId="{A9C295DE-458A-45AA-9A37-4CE4D66271A4}" type="presOf" srcId="{E64EE92D-3249-4B11-873C-70EA0A092F1C}" destId="{5B552F9D-99AD-44E1-AB42-C383CC674946}" srcOrd="0" destOrd="3" presId="urn:microsoft.com/office/officeart/2005/8/layout/list1"/>
    <dgm:cxn modelId="{8266C84A-15D7-42E1-9E07-F3EC88C9D6A6}" srcId="{30E173A9-46CB-4724-9590-C96E493427FE}" destId="{1F965330-3121-4B5F-96DB-2B0436EC510A}" srcOrd="2" destOrd="0" parTransId="{6F7C5126-90EE-45E8-8C47-BA07BF8824C4}" sibTransId="{20694047-A6EC-40D9-B947-F4C2E0D6A189}"/>
    <dgm:cxn modelId="{A3E753BC-A5E1-4868-9FF4-265E34547EF1}" type="presOf" srcId="{C2EFC7A3-412E-4D8B-8364-88992EC010E4}" destId="{62FFB9B2-D09E-427F-900D-6864C527BF14}" srcOrd="0" destOrd="10" presId="urn:microsoft.com/office/officeart/2005/8/layout/list1"/>
    <dgm:cxn modelId="{AADC1997-2C19-44D3-B549-CEB0D34A1955}" srcId="{30E173A9-46CB-4724-9590-C96E493427FE}" destId="{BE724B0D-A89A-4467-9AA5-A8047E658291}" srcOrd="1" destOrd="0" parTransId="{0945CACE-8FEB-4721-BF40-37AF3F0D40FB}" sibTransId="{00EBB61C-505F-4308-85E0-64BF5329ECDA}"/>
    <dgm:cxn modelId="{0E865538-8B9E-4AB0-A083-72D4ABECD517}" type="presOf" srcId="{BE724B0D-A89A-4467-9AA5-A8047E658291}" destId="{410FE177-1D9B-40FF-9374-0608CE29D01E}" srcOrd="0" destOrd="1" presId="urn:microsoft.com/office/officeart/2005/8/layout/list1"/>
    <dgm:cxn modelId="{0668D166-D77F-4201-8609-00A9AC4BF32E}" srcId="{30E173A9-46CB-4724-9590-C96E493427FE}" destId="{47325904-431D-4099-BAB8-C8C1E7FA41FC}" srcOrd="4" destOrd="0" parTransId="{F64E1EBC-4BDD-4767-86A0-8D7F6C8FF5E7}" sibTransId="{DAD1EF68-F0D3-45F4-9F41-EA2EE062FDCB}"/>
    <dgm:cxn modelId="{E0573066-4BA1-48E7-9F89-BFED8E7295D0}" srcId="{CD4950AC-BAFF-442B-848E-49235BDC4121}" destId="{75511ED9-7664-4F26-BDA2-3CAC684CA2FD}" srcOrd="4" destOrd="0" parTransId="{A1DA94BC-4C8F-40AB-8211-4219CCF511CA}" sibTransId="{203EF945-F28A-4335-9EF9-581BA29C9F6A}"/>
    <dgm:cxn modelId="{749C90B7-13D2-4810-96BE-52C6458211EF}" type="presOf" srcId="{C395ABC4-477B-4754-BA22-3FCC93E5990F}" destId="{B070330C-5FD1-4C30-803D-9F28D460BC6D}" srcOrd="0" destOrd="1" presId="urn:microsoft.com/office/officeart/2005/8/layout/list1"/>
    <dgm:cxn modelId="{B3609D37-9B66-4AF0-B753-AA3A41C13E2A}" type="presOf" srcId="{CE0B7C0F-2AE1-4216-90CD-1C3EC8F26221}" destId="{9AF71386-8C9E-4B68-985A-4B22B8904DB2}" srcOrd="0" destOrd="0" presId="urn:microsoft.com/office/officeart/2005/8/layout/list1"/>
    <dgm:cxn modelId="{65FE936B-B1A8-4A80-91F5-8925185FBE65}" srcId="{CD4950AC-BAFF-442B-848E-49235BDC4121}" destId="{FD65615E-3D59-4037-8ACB-21207F15C417}" srcOrd="5" destOrd="0" parTransId="{DA14F266-EA5B-41C6-B7AB-C6F93BA4A6DE}" sibTransId="{CD0A3ADA-375A-4271-B978-3200F749950B}"/>
    <dgm:cxn modelId="{67093C67-16F5-4F2E-B810-BCB7D7356F30}" type="presOf" srcId="{75D20AD1-62B3-493C-8B4F-4347AD287525}" destId="{62FFB9B2-D09E-427F-900D-6864C527BF14}" srcOrd="0" destOrd="0" presId="urn:microsoft.com/office/officeart/2005/8/layout/list1"/>
    <dgm:cxn modelId="{86FC11C1-4C2B-46DA-AC4E-96C45127D834}" srcId="{CD4950AC-BAFF-442B-848E-49235BDC4121}" destId="{4732B568-FB73-461C-9E2F-8AB46A9AD86E}" srcOrd="9" destOrd="0" parTransId="{4017E308-6F18-45CA-AB49-51B912948937}" sibTransId="{D92EBA10-3F46-434D-AD44-75ABD6917F57}"/>
    <dgm:cxn modelId="{B246D6E5-AB6D-413E-8EBB-B9C341EAA195}" type="presOf" srcId="{F2676FD4-4763-4031-B29E-445D484AE793}" destId="{5541EAD8-16F2-44E2-BF2B-00A0EA8B8550}" srcOrd="0" destOrd="0" presId="urn:microsoft.com/office/officeart/2005/8/layout/list1"/>
    <dgm:cxn modelId="{7E8A3AD5-755D-4F98-8BE0-8D0B4E1946C2}" type="presOf" srcId="{AA736D50-7E04-4B60-82B4-7E4AC925FBFD}" destId="{62FFB9B2-D09E-427F-900D-6864C527BF14}" srcOrd="0" destOrd="1" presId="urn:microsoft.com/office/officeart/2005/8/layout/list1"/>
    <dgm:cxn modelId="{D555990E-B4AB-4149-BB1C-8567F1CC44A0}" type="presOf" srcId="{9E8E362F-B027-4A8F-B324-EFE001F6860E}" destId="{2E1B2B82-D37E-4A50-8811-A82D589DC229}" srcOrd="1" destOrd="0" presId="urn:microsoft.com/office/officeart/2005/8/layout/list1"/>
    <dgm:cxn modelId="{2410B4D3-0B5B-4DF4-8529-5E5EBD150CA0}" srcId="{9E8E362F-B027-4A8F-B324-EFE001F6860E}" destId="{0D6DB11B-2657-498F-806E-CE563C820A17}" srcOrd="0" destOrd="0" parTransId="{6444E56D-7A1A-4D82-B06D-30EA9BA467A6}" sibTransId="{C330A61B-318D-4760-8AB2-288A1385286D}"/>
    <dgm:cxn modelId="{AE962643-8125-489B-A466-3312FE89EBED}" type="presOf" srcId="{2857C929-4BC7-4F57-BDA2-9312F9E6A012}" destId="{47DC50FB-D255-4D4F-A52A-0A9D12334742}" srcOrd="0" destOrd="0" presId="urn:microsoft.com/office/officeart/2005/8/layout/list1"/>
    <dgm:cxn modelId="{8296970A-75C1-4278-8FA6-E9E0C6D4A7DD}" type="presOf" srcId="{028F5A08-BEA2-49BC-A06B-6AE2E7F73227}" destId="{62FFB9B2-D09E-427F-900D-6864C527BF14}" srcOrd="0" destOrd="12" presId="urn:microsoft.com/office/officeart/2005/8/layout/list1"/>
    <dgm:cxn modelId="{8164A11A-9F53-41FF-B2B3-4427DB0AB911}" type="presOf" srcId="{D275AC0C-D9A2-4B7D-B5E5-C5BF6DE41883}" destId="{CBAA1FF8-268C-4A00-8B52-5926892B90E6}" srcOrd="1" destOrd="0" presId="urn:microsoft.com/office/officeart/2005/8/layout/list1"/>
    <dgm:cxn modelId="{340D00CF-1CA3-45F1-9291-C656170B075D}" srcId="{30E173A9-46CB-4724-9590-C96E493427FE}" destId="{C6E10007-AC0F-47A2-ABD1-876248FC3D80}" srcOrd="3" destOrd="0" parTransId="{1DA8A4EC-2425-44C9-B1CE-02BD226B2147}" sibTransId="{577FADE4-7F0F-4FF8-9B72-B7F887EE0C77}"/>
    <dgm:cxn modelId="{A3B926C6-D1CB-4B23-B2AF-542D5DBE860E}" type="presOf" srcId="{D275AC0C-D9A2-4B7D-B5E5-C5BF6DE41883}" destId="{AAA1CE7B-0999-44A6-A4DF-6B90C503E634}" srcOrd="0" destOrd="0" presId="urn:microsoft.com/office/officeart/2005/8/layout/list1"/>
    <dgm:cxn modelId="{991112CD-FA3C-4B6C-A69F-2E9F59AFABD4}" type="presOf" srcId="{CD4950AC-BAFF-442B-848E-49235BDC4121}" destId="{DF7523D6-E7D7-4C71-9895-A3F6DBCD2934}" srcOrd="1" destOrd="0" presId="urn:microsoft.com/office/officeart/2005/8/layout/list1"/>
    <dgm:cxn modelId="{BA707E12-47C6-4235-8A16-F164D8C72969}" type="presOf" srcId="{D0C9073D-C784-4958-80E2-6ECE35289853}" destId="{DDB4969F-E093-4329-96BC-3CE59A2499E7}" srcOrd="0" destOrd="0" presId="urn:microsoft.com/office/officeart/2005/8/layout/list1"/>
    <dgm:cxn modelId="{57B0CF63-3389-4C90-AB52-778B34621402}" type="presOf" srcId="{BAA8DAFD-8BF1-43C4-ABA0-9BD6C6D4DD74}" destId="{62FFB9B2-D09E-427F-900D-6864C527BF14}" srcOrd="0" destOrd="2" presId="urn:microsoft.com/office/officeart/2005/8/layout/list1"/>
    <dgm:cxn modelId="{AE9CCA42-B86E-4667-B3FA-97392D02121A}" type="presOf" srcId="{1F965330-3121-4B5F-96DB-2B0436EC510A}" destId="{410FE177-1D9B-40FF-9374-0608CE29D01E}" srcOrd="0" destOrd="2" presId="urn:microsoft.com/office/officeart/2005/8/layout/list1"/>
    <dgm:cxn modelId="{A031501A-1973-48D5-93A1-31D7349ED2E8}" srcId="{D275AC0C-D9A2-4B7D-B5E5-C5BF6DE41883}" destId="{D81A098C-45FE-4A85-84F7-13DBF1CB497E}" srcOrd="0" destOrd="0" parTransId="{294E368E-5D65-49FA-B27D-95A56CF0C717}" sibTransId="{2B3254F1-B16B-4C78-89F5-A3DC56D7B556}"/>
    <dgm:cxn modelId="{2B991C65-5995-4254-B821-BAB67B26B843}" srcId="{CD4950AC-BAFF-442B-848E-49235BDC4121}" destId="{028F5A08-BEA2-49BC-A06B-6AE2E7F73227}" srcOrd="12" destOrd="0" parTransId="{8345D5B8-58A3-44B4-908C-C75DFC5A28D6}" sibTransId="{54F6EF92-5F62-4B91-A6C2-A8C750FEECE9}"/>
    <dgm:cxn modelId="{8F0EFEC3-9356-400C-9D3A-E0B71CA24AEC}" srcId="{D275AC0C-D9A2-4B7D-B5E5-C5BF6DE41883}" destId="{C395ABC4-477B-4754-BA22-3FCC93E5990F}" srcOrd="1" destOrd="0" parTransId="{C4BFCF26-6683-46B0-BC43-2718C55A96BB}" sibTransId="{AF5C7C5F-682C-42E9-8EB1-639D4A3BFF93}"/>
    <dgm:cxn modelId="{D4BFB3AC-E3D7-474A-8784-0E2E286A64C9}" srcId="{D0C9073D-C784-4958-80E2-6ECE35289853}" destId="{F1C41EFB-7E83-415F-819E-5EC394469ABD}" srcOrd="1" destOrd="0" parTransId="{9BD7217C-7660-420E-BC77-CE9B754B8EEE}" sibTransId="{99D757C6-EE5B-47B5-891B-57DB5ED6BF8F}"/>
    <dgm:cxn modelId="{D43A34B7-80E6-4543-9FE7-FF688431DD3E}" srcId="{7B3131C6-B731-4D48-8604-5BDDE07CB434}" destId="{53EC117C-2DC2-47C1-860B-608659F9050C}" srcOrd="5" destOrd="0" parTransId="{405FF024-6BB3-4351-9FF1-4EBCE11981E3}" sibTransId="{BFA60117-8431-4975-AF58-4F068055E88D}"/>
    <dgm:cxn modelId="{109F781B-2D41-41B0-89A3-B708FD62DCFD}" type="presOf" srcId="{EA0B4E16-06BB-42A2-A461-84BDC9861F64}" destId="{F71F9504-4FC6-442D-8253-52250B7DA424}" srcOrd="0" destOrd="0" presId="urn:microsoft.com/office/officeart/2005/8/layout/list1"/>
    <dgm:cxn modelId="{A2316B60-C26C-4C2C-896A-76260774DD8F}" type="presOf" srcId="{91784B26-7C88-4A77-8AC2-633D50674620}" destId="{006F35D8-4B3B-4076-B1BA-4142FF79C7DA}" srcOrd="0" destOrd="0" presId="urn:microsoft.com/office/officeart/2005/8/layout/list1"/>
    <dgm:cxn modelId="{5019B5F7-5D70-4A7B-AA2C-F198F5C84194}" type="presParOf" srcId="{5D513267-632B-4A06-A02E-E2F589BCD001}" destId="{9F6ACB7E-F816-47E5-89BE-075114C3E732}" srcOrd="0" destOrd="0" presId="urn:microsoft.com/office/officeart/2005/8/layout/list1"/>
    <dgm:cxn modelId="{6BF7C16E-793C-4075-BB1C-BCA8F3B9F1B7}" type="presParOf" srcId="{9F6ACB7E-F816-47E5-89BE-075114C3E732}" destId="{9AF71386-8C9E-4B68-985A-4B22B8904DB2}" srcOrd="0" destOrd="0" presId="urn:microsoft.com/office/officeart/2005/8/layout/list1"/>
    <dgm:cxn modelId="{D1DA883F-1922-41B4-BA9C-088CFD0F71B7}" type="presParOf" srcId="{9F6ACB7E-F816-47E5-89BE-075114C3E732}" destId="{B9D1B066-5F18-4387-A057-A24B4595F98F}" srcOrd="1" destOrd="0" presId="urn:microsoft.com/office/officeart/2005/8/layout/list1"/>
    <dgm:cxn modelId="{5ED4EBE1-7694-44E9-80E4-954CFC4C54B2}" type="presParOf" srcId="{5D513267-632B-4A06-A02E-E2F589BCD001}" destId="{DFEC407E-BFF1-45F1-A785-9832972FEDDD}" srcOrd="1" destOrd="0" presId="urn:microsoft.com/office/officeart/2005/8/layout/list1"/>
    <dgm:cxn modelId="{1A4F3EC4-08A9-4DE1-B145-256613A629EE}" type="presParOf" srcId="{5D513267-632B-4A06-A02E-E2F589BCD001}" destId="{FB003885-B89B-4ED6-B8C1-5DC3151BE9A6}" srcOrd="2" destOrd="0" presId="urn:microsoft.com/office/officeart/2005/8/layout/list1"/>
    <dgm:cxn modelId="{8D635615-2FDB-4F79-83A9-F1191285F4B2}" type="presParOf" srcId="{5D513267-632B-4A06-A02E-E2F589BCD001}" destId="{36174D7B-9896-4C36-B965-602606B5BE4E}" srcOrd="3" destOrd="0" presId="urn:microsoft.com/office/officeart/2005/8/layout/list1"/>
    <dgm:cxn modelId="{570B00F5-5261-4E46-B149-5E9A28EDA786}" type="presParOf" srcId="{5D513267-632B-4A06-A02E-E2F589BCD001}" destId="{9D81B31F-AFB1-4C87-BA0E-C6FF64CBA873}" srcOrd="4" destOrd="0" presId="urn:microsoft.com/office/officeart/2005/8/layout/list1"/>
    <dgm:cxn modelId="{0641E0B0-A4CA-408C-9B43-A2B721488B74}" type="presParOf" srcId="{9D81B31F-AFB1-4C87-BA0E-C6FF64CBA873}" destId="{D5424AFB-D10C-4D71-B63A-2BE3DA068EAB}" srcOrd="0" destOrd="0" presId="urn:microsoft.com/office/officeart/2005/8/layout/list1"/>
    <dgm:cxn modelId="{8BCDFB92-89B1-4DBE-BC0D-4A94C171530C}" type="presParOf" srcId="{9D81B31F-AFB1-4C87-BA0E-C6FF64CBA873}" destId="{2E1B2B82-D37E-4A50-8811-A82D589DC229}" srcOrd="1" destOrd="0" presId="urn:microsoft.com/office/officeart/2005/8/layout/list1"/>
    <dgm:cxn modelId="{B71F43D9-D4CE-4D88-A5FE-F3A152DFCCD1}" type="presParOf" srcId="{5D513267-632B-4A06-A02E-E2F589BCD001}" destId="{9B29DF1B-8F66-46F9-9785-177828290FA5}" srcOrd="5" destOrd="0" presId="urn:microsoft.com/office/officeart/2005/8/layout/list1"/>
    <dgm:cxn modelId="{A3C4C8B3-CFB6-43CF-9CE1-535048E68FFA}" type="presParOf" srcId="{5D513267-632B-4A06-A02E-E2F589BCD001}" destId="{5B552F9D-99AD-44E1-AB42-C383CC674946}" srcOrd="6" destOrd="0" presId="urn:microsoft.com/office/officeart/2005/8/layout/list1"/>
    <dgm:cxn modelId="{B973F88A-27F3-47B4-9B0A-AABFE584C85D}" type="presParOf" srcId="{5D513267-632B-4A06-A02E-E2F589BCD001}" destId="{2C51F3FE-D731-47F5-8D14-92763F3EA94F}" srcOrd="7" destOrd="0" presId="urn:microsoft.com/office/officeart/2005/8/layout/list1"/>
    <dgm:cxn modelId="{0560FB59-0895-4F54-9FAA-19555DC4A161}" type="presParOf" srcId="{5D513267-632B-4A06-A02E-E2F589BCD001}" destId="{5848A0F4-2F2C-42D2-9E70-E8023925220A}" srcOrd="8" destOrd="0" presId="urn:microsoft.com/office/officeart/2005/8/layout/list1"/>
    <dgm:cxn modelId="{A07E71FD-E062-4C4A-B4EE-2AD3DFFBC79C}" type="presParOf" srcId="{5848A0F4-2F2C-42D2-9E70-E8023925220A}" destId="{47DC50FB-D255-4D4F-A52A-0A9D12334742}" srcOrd="0" destOrd="0" presId="urn:microsoft.com/office/officeart/2005/8/layout/list1"/>
    <dgm:cxn modelId="{70BD345B-136F-4FF5-9F79-7A5790645F62}" type="presParOf" srcId="{5848A0F4-2F2C-42D2-9E70-E8023925220A}" destId="{E67C2827-ECD5-49A4-88E4-5CFB0B767CA6}" srcOrd="1" destOrd="0" presId="urn:microsoft.com/office/officeart/2005/8/layout/list1"/>
    <dgm:cxn modelId="{40BD4678-F342-49D1-9334-72573E1E5D8D}" type="presParOf" srcId="{5D513267-632B-4A06-A02E-E2F589BCD001}" destId="{C84EC68D-03BC-481D-A61F-203AA2D9C1F9}" srcOrd="9" destOrd="0" presId="urn:microsoft.com/office/officeart/2005/8/layout/list1"/>
    <dgm:cxn modelId="{1CC4A970-19C6-4D10-BF8D-1A10638E1EF0}" type="presParOf" srcId="{5D513267-632B-4A06-A02E-E2F589BCD001}" destId="{5541EAD8-16F2-44E2-BF2B-00A0EA8B8550}" srcOrd="10" destOrd="0" presId="urn:microsoft.com/office/officeart/2005/8/layout/list1"/>
    <dgm:cxn modelId="{DC84CDED-64DF-472C-AA55-D361E5184319}" type="presParOf" srcId="{5D513267-632B-4A06-A02E-E2F589BCD001}" destId="{158642A4-FC66-48EB-8C42-68C48EBA3D2D}" srcOrd="11" destOrd="0" presId="urn:microsoft.com/office/officeart/2005/8/layout/list1"/>
    <dgm:cxn modelId="{22A9F894-99AF-49DF-839E-F0BE439B7624}" type="presParOf" srcId="{5D513267-632B-4A06-A02E-E2F589BCD001}" destId="{DC49564F-ED9E-47AB-B883-93184D98F778}" srcOrd="12" destOrd="0" presId="urn:microsoft.com/office/officeart/2005/8/layout/list1"/>
    <dgm:cxn modelId="{159B3EE2-DD45-44AB-9993-31CD1E36EF7F}" type="presParOf" srcId="{DC49564F-ED9E-47AB-B883-93184D98F778}" destId="{6F8846F4-8370-451D-9452-EB2165E74B5A}" srcOrd="0" destOrd="0" presId="urn:microsoft.com/office/officeart/2005/8/layout/list1"/>
    <dgm:cxn modelId="{692D9871-8355-475B-88C5-05EE5F44A74F}" type="presParOf" srcId="{DC49564F-ED9E-47AB-B883-93184D98F778}" destId="{DB285ED6-4928-4051-A4D3-5D222CF50F05}" srcOrd="1" destOrd="0" presId="urn:microsoft.com/office/officeart/2005/8/layout/list1"/>
    <dgm:cxn modelId="{E7DD47F0-339D-422A-A098-FB62ECFCFDC0}" type="presParOf" srcId="{5D513267-632B-4A06-A02E-E2F589BCD001}" destId="{0FBDDBCF-ED5B-4A28-9CA7-C82C28AA09BC}" srcOrd="13" destOrd="0" presId="urn:microsoft.com/office/officeart/2005/8/layout/list1"/>
    <dgm:cxn modelId="{7FCDF42D-0F34-4320-9FFF-630CC56F3697}" type="presParOf" srcId="{5D513267-632B-4A06-A02E-E2F589BCD001}" destId="{410FE177-1D9B-40FF-9374-0608CE29D01E}" srcOrd="14" destOrd="0" presId="urn:microsoft.com/office/officeart/2005/8/layout/list1"/>
    <dgm:cxn modelId="{DB36703D-5BD6-4E05-8FDA-606EBC9887AE}" type="presParOf" srcId="{5D513267-632B-4A06-A02E-E2F589BCD001}" destId="{74C9991C-E75E-451E-A634-8190ED6B717D}" srcOrd="15" destOrd="0" presId="urn:microsoft.com/office/officeart/2005/8/layout/list1"/>
    <dgm:cxn modelId="{85719749-1681-4F61-B026-8C64A6EE3C2C}" type="presParOf" srcId="{5D513267-632B-4A06-A02E-E2F589BCD001}" destId="{E50FD9E7-75FC-4DFB-B98F-B866809C409A}" srcOrd="16" destOrd="0" presId="urn:microsoft.com/office/officeart/2005/8/layout/list1"/>
    <dgm:cxn modelId="{A2647025-DE1C-461C-8350-88B3BBB4657F}" type="presParOf" srcId="{E50FD9E7-75FC-4DFB-B98F-B866809C409A}" destId="{DDB4969F-E093-4329-96BC-3CE59A2499E7}" srcOrd="0" destOrd="0" presId="urn:microsoft.com/office/officeart/2005/8/layout/list1"/>
    <dgm:cxn modelId="{CA000680-0E19-4A24-9D8D-678E5BAB3DCC}" type="presParOf" srcId="{E50FD9E7-75FC-4DFB-B98F-B866809C409A}" destId="{E1F67818-737E-45A7-8355-83D28C9CC549}" srcOrd="1" destOrd="0" presId="urn:microsoft.com/office/officeart/2005/8/layout/list1"/>
    <dgm:cxn modelId="{747169A8-9BA8-41F3-8EA7-3CB17AB66EA7}" type="presParOf" srcId="{5D513267-632B-4A06-A02E-E2F589BCD001}" destId="{4651AC6F-D427-40DE-A330-F598BEE333C9}" srcOrd="17" destOrd="0" presId="urn:microsoft.com/office/officeart/2005/8/layout/list1"/>
    <dgm:cxn modelId="{EB752AA9-BEB4-4F1B-A4D6-B0DFE8460F20}" type="presParOf" srcId="{5D513267-632B-4A06-A02E-E2F589BCD001}" destId="{F71F9504-4FC6-442D-8253-52250B7DA424}" srcOrd="18" destOrd="0" presId="urn:microsoft.com/office/officeart/2005/8/layout/list1"/>
    <dgm:cxn modelId="{C1222B13-D078-4C12-BBD4-EC27BBA2A12F}" type="presParOf" srcId="{5D513267-632B-4A06-A02E-E2F589BCD001}" destId="{668A136B-4B3F-4E25-AD00-EC805171163B}" srcOrd="19" destOrd="0" presId="urn:microsoft.com/office/officeart/2005/8/layout/list1"/>
    <dgm:cxn modelId="{95C0F518-137F-4591-8448-2105C1CDF68F}" type="presParOf" srcId="{5D513267-632B-4A06-A02E-E2F589BCD001}" destId="{2F7A5517-4223-48FD-9F73-8D9B8DB499A9}" srcOrd="20" destOrd="0" presId="urn:microsoft.com/office/officeart/2005/8/layout/list1"/>
    <dgm:cxn modelId="{80086447-8BF7-4141-9002-65B3D95820C2}" type="presParOf" srcId="{2F7A5517-4223-48FD-9F73-8D9B8DB499A9}" destId="{F6798159-7C04-4CA1-B0AC-C100FCE03496}" srcOrd="0" destOrd="0" presId="urn:microsoft.com/office/officeart/2005/8/layout/list1"/>
    <dgm:cxn modelId="{622D1868-F860-4036-BCE4-CECC9AC8AA6E}" type="presParOf" srcId="{2F7A5517-4223-48FD-9F73-8D9B8DB499A9}" destId="{97B96152-B141-40A2-BFED-DA9147F25F5B}" srcOrd="1" destOrd="0" presId="urn:microsoft.com/office/officeart/2005/8/layout/list1"/>
    <dgm:cxn modelId="{52330944-BBBA-4F6A-BD3E-2B15E8B2C24E}" type="presParOf" srcId="{5D513267-632B-4A06-A02E-E2F589BCD001}" destId="{91759EBD-E486-41E6-868A-A2633EEF0F1A}" srcOrd="21" destOrd="0" presId="urn:microsoft.com/office/officeart/2005/8/layout/list1"/>
    <dgm:cxn modelId="{F3ACC689-4D48-43D9-AE63-C59E0298551C}" type="presParOf" srcId="{5D513267-632B-4A06-A02E-E2F589BCD001}" destId="{006F35D8-4B3B-4076-B1BA-4142FF79C7DA}" srcOrd="22" destOrd="0" presId="urn:microsoft.com/office/officeart/2005/8/layout/list1"/>
    <dgm:cxn modelId="{4AFAA331-7C69-40E5-B335-25FBA14F1DB3}" type="presParOf" srcId="{5D513267-632B-4A06-A02E-E2F589BCD001}" destId="{8BA3932B-234E-416D-A0B6-A469CB209281}" srcOrd="23" destOrd="0" presId="urn:microsoft.com/office/officeart/2005/8/layout/list1"/>
    <dgm:cxn modelId="{EDE22041-A22A-4662-9E9B-E70875C885D0}" type="presParOf" srcId="{5D513267-632B-4A06-A02E-E2F589BCD001}" destId="{15568144-0EB5-4D31-ADCD-62FBCE208F19}" srcOrd="24" destOrd="0" presId="urn:microsoft.com/office/officeart/2005/8/layout/list1"/>
    <dgm:cxn modelId="{D6820592-41F9-4C39-812F-A54F6CCB3E80}" type="presParOf" srcId="{15568144-0EB5-4D31-ADCD-62FBCE208F19}" destId="{96887B28-787C-4D58-8BC5-8CD631B836C5}" srcOrd="0" destOrd="0" presId="urn:microsoft.com/office/officeart/2005/8/layout/list1"/>
    <dgm:cxn modelId="{744B352A-6CD8-4C35-86D6-FB4F1E5C5DB6}" type="presParOf" srcId="{15568144-0EB5-4D31-ADCD-62FBCE208F19}" destId="{DF7523D6-E7D7-4C71-9895-A3F6DBCD2934}" srcOrd="1" destOrd="0" presId="urn:microsoft.com/office/officeart/2005/8/layout/list1"/>
    <dgm:cxn modelId="{F4CB89AC-0AD9-4D84-97FE-65DA06D7B71E}" type="presParOf" srcId="{5D513267-632B-4A06-A02E-E2F589BCD001}" destId="{CFE26B56-4DE6-4E1E-8A94-46CC1B32385E}" srcOrd="25" destOrd="0" presId="urn:microsoft.com/office/officeart/2005/8/layout/list1"/>
    <dgm:cxn modelId="{348568AC-B316-4A39-88A0-5B61116BD9F0}" type="presParOf" srcId="{5D513267-632B-4A06-A02E-E2F589BCD001}" destId="{62FFB9B2-D09E-427F-900D-6864C527BF14}" srcOrd="26" destOrd="0" presId="urn:microsoft.com/office/officeart/2005/8/layout/list1"/>
    <dgm:cxn modelId="{FDAAF626-9F10-4281-AC50-D05772582E03}" type="presParOf" srcId="{5D513267-632B-4A06-A02E-E2F589BCD001}" destId="{F2896679-B389-462A-A546-DAD8CDFE2025}" srcOrd="27" destOrd="0" presId="urn:microsoft.com/office/officeart/2005/8/layout/list1"/>
    <dgm:cxn modelId="{8A759931-1A5F-446B-824B-F5E6B402FF91}" type="presParOf" srcId="{5D513267-632B-4A06-A02E-E2F589BCD001}" destId="{A5B9201F-397E-4F40-9653-FCDB2A16E75E}" srcOrd="28" destOrd="0" presId="urn:microsoft.com/office/officeart/2005/8/layout/list1"/>
    <dgm:cxn modelId="{2FD375B3-66F2-4A48-A1A5-126C9DE130D5}" type="presParOf" srcId="{A5B9201F-397E-4F40-9653-FCDB2A16E75E}" destId="{AAA1CE7B-0999-44A6-A4DF-6B90C503E634}" srcOrd="0" destOrd="0" presId="urn:microsoft.com/office/officeart/2005/8/layout/list1"/>
    <dgm:cxn modelId="{9D543C2A-5655-46D0-B809-B8E793E501F0}" type="presParOf" srcId="{A5B9201F-397E-4F40-9653-FCDB2A16E75E}" destId="{CBAA1FF8-268C-4A00-8B52-5926892B90E6}" srcOrd="1" destOrd="0" presId="urn:microsoft.com/office/officeart/2005/8/layout/list1"/>
    <dgm:cxn modelId="{D104CC6B-4098-43CC-B373-7B2B4E3FBB7F}" type="presParOf" srcId="{5D513267-632B-4A06-A02E-E2F589BCD001}" destId="{AB271AE1-8783-4DDE-A998-F299372EB7A5}" srcOrd="29" destOrd="0" presId="urn:microsoft.com/office/officeart/2005/8/layout/list1"/>
    <dgm:cxn modelId="{F8EB328C-0208-47E6-A110-D77B23232E9A}" type="presParOf" srcId="{5D513267-632B-4A06-A02E-E2F589BCD001}" destId="{B070330C-5FD1-4C30-803D-9F28D460BC6D}" srcOrd="30"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7.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tooltip="Main Menu"/>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tooltip="AA Audit"/>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tooltip="AS Audit"/>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tooltip="Help"/>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7118A5B0-1E9F-4718-98F3-2B577D04B8E5}">
      <dgm:prSet phldrT="[Text]"/>
      <dgm:spPr/>
      <dgm:t>
        <a:bodyPr/>
        <a:lstStyle/>
        <a:p>
          <a:r>
            <a:rPr lang="en-US"/>
            <a:t>Courses</a:t>
          </a:r>
        </a:p>
      </dgm:t>
      <dgm:extLst>
        <a:ext uri="{E40237B7-FDA0-4F09-8148-C483321AD2D9}">
          <dgm14:cNvPr xmlns:dgm14="http://schemas.microsoft.com/office/drawing/2010/diagram" id="0" name="">
            <a:hlinkClick xmlns:r="http://schemas.openxmlformats.org/officeDocument/2006/relationships" r:id="rId5" tooltip="Course Descriptions"/>
          </dgm14:cNvPr>
        </a:ext>
      </dgm:extLst>
    </dgm:pt>
    <dgm:pt modelId="{DD9C71D7-F96A-49AA-A272-0AEA678F34F8}" type="parTrans" cxnId="{DFFF9DD2-E358-4D6D-9A37-33BD6EF089FD}">
      <dgm:prSet/>
      <dgm:spPr/>
      <dgm:t>
        <a:bodyPr/>
        <a:lstStyle/>
        <a:p>
          <a:endParaRPr lang="en-US"/>
        </a:p>
      </dgm:t>
    </dgm:pt>
    <dgm:pt modelId="{536128EE-DCD0-4B77-B7C8-8DF47590FBAD}" type="sibTrans" cxnId="{DFFF9DD2-E358-4D6D-9A37-33BD6EF089FD}">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5"/>
      <dgm:spPr/>
    </dgm:pt>
    <dgm:pt modelId="{E9D9F328-32C5-4F88-BD2D-AD0CD9FEA872}" type="pres">
      <dgm:prSet presAssocID="{4C578DA1-0FB9-4EB1-8556-988262092F6F}" presName="Child1" presStyleLbl="node1" presStyleIdx="0" presStyleCnt="5">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5"/>
      <dgm:spPr/>
      <dgm:t>
        <a:bodyPr/>
        <a:lstStyle/>
        <a:p>
          <a:endParaRPr lang="en-US"/>
        </a:p>
      </dgm:t>
    </dgm:pt>
    <dgm:pt modelId="{18756525-8AB2-4790-9768-2D6C805793D2}" type="pres">
      <dgm:prSet presAssocID="{65B16740-2ECA-427E-B25A-84809D68D08C}" presName="Child2" presStyleLbl="node1" presStyleIdx="1" presStyleCnt="5">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5"/>
      <dgm:spPr/>
    </dgm:pt>
    <dgm:pt modelId="{05E27CB0-2A19-492E-87BB-E84E412800C3}" type="pres">
      <dgm:prSet presAssocID="{7342D411-961A-4522-A541-FDA3591F21BA}" presName="Child3" presStyleLbl="node1" presStyleIdx="2" presStyleCnt="5">
        <dgm:presLayoutVars>
          <dgm:chMax val="0"/>
          <dgm:chPref val="0"/>
          <dgm:bulletEnabled val="1"/>
        </dgm:presLayoutVars>
      </dgm:prSet>
      <dgm:spPr/>
      <dgm:t>
        <a:bodyPr/>
        <a:lstStyle/>
        <a:p>
          <a:endParaRPr lang="en-US"/>
        </a:p>
      </dgm:t>
    </dgm:pt>
    <dgm:pt modelId="{766B3E62-853D-4F49-AFB8-72DD32471485}" type="pres">
      <dgm:prSet presAssocID="{7118A5B0-1E9F-4718-98F3-2B577D04B8E5}" presName="Accent4" presStyleCnt="0"/>
      <dgm:spPr/>
    </dgm:pt>
    <dgm:pt modelId="{04768AEB-F179-42DA-BCE1-41C63A83C0B8}" type="pres">
      <dgm:prSet presAssocID="{7118A5B0-1E9F-4718-98F3-2B577D04B8E5}" presName="Accent" presStyleLbl="bgShp" presStyleIdx="3" presStyleCnt="5"/>
      <dgm:spPr/>
    </dgm:pt>
    <dgm:pt modelId="{ADE93696-015A-4347-9E16-98F8F494D360}" type="pres">
      <dgm:prSet presAssocID="{7118A5B0-1E9F-4718-98F3-2B577D04B8E5}" presName="Child4" presStyleLbl="node1" presStyleIdx="3" presStyleCnt="5">
        <dgm:presLayoutVars>
          <dgm:chMax val="0"/>
          <dgm:chPref val="0"/>
          <dgm:bulletEnabled val="1"/>
        </dgm:presLayoutVars>
      </dgm:prSet>
      <dgm:spPr/>
      <dgm:t>
        <a:bodyPr/>
        <a:lstStyle/>
        <a:p>
          <a:endParaRPr lang="en-US"/>
        </a:p>
      </dgm:t>
    </dgm:pt>
    <dgm:pt modelId="{66A89575-10A4-42C1-B548-706441067F6E}" type="pres">
      <dgm:prSet presAssocID="{BB99BAA8-5F8C-4AD7-AF7F-5750AD63CB10}" presName="Accent5" presStyleCnt="0"/>
      <dgm:spPr/>
    </dgm:pt>
    <dgm:pt modelId="{D7EF0A8E-2835-496A-AD7D-1B39358AA70C}" type="pres">
      <dgm:prSet presAssocID="{BB99BAA8-5F8C-4AD7-AF7F-5750AD63CB10}" presName="Accent" presStyleLbl="bgShp" presStyleIdx="4" presStyleCnt="5"/>
      <dgm:spPr/>
    </dgm:pt>
    <dgm:pt modelId="{DBFAAC4A-FB6F-49E9-B93B-965ECEB5FB23}" type="pres">
      <dgm:prSet presAssocID="{BB99BAA8-5F8C-4AD7-AF7F-5750AD63CB10}" presName="Child5" presStyleLbl="node1" presStyleIdx="4" presStyleCnt="5">
        <dgm:presLayoutVars>
          <dgm:chMax val="0"/>
          <dgm:chPref val="0"/>
          <dgm:bulletEnabled val="1"/>
        </dgm:presLayoutVars>
      </dgm:prSet>
      <dgm:spPr/>
      <dgm:t>
        <a:bodyPr/>
        <a:lstStyle/>
        <a:p>
          <a:endParaRPr lang="en-US"/>
        </a:p>
      </dgm:t>
    </dgm:pt>
  </dgm:ptLst>
  <dgm:cxnLst>
    <dgm:cxn modelId="{7AFC3EB9-F52D-4BE8-95D4-456A3A67AC34}" srcId="{FEB3AD7F-06F3-4105-ABC4-46F25779A6E5}" destId="{65B16740-2ECA-427E-B25A-84809D68D08C}" srcOrd="1" destOrd="0" parTransId="{5CDD2226-49E3-4F5D-9F92-162EEF45F678}" sibTransId="{C6BF076C-327F-43BE-AA49-7BFA74519DB0}"/>
    <dgm:cxn modelId="{A834BFC0-B1E0-4E81-BDDA-6547082C3A10}" type="presOf" srcId="{7118A5B0-1E9F-4718-98F3-2B577D04B8E5}" destId="{ADE93696-015A-4347-9E16-98F8F494D360}" srcOrd="0" destOrd="0" presId="urn:microsoft.com/office/officeart/2011/layout/HexagonRadial"/>
    <dgm:cxn modelId="{269430A0-2891-493A-8FA0-98B9A57F8EC0}" type="presOf" srcId="{4C578DA1-0FB9-4EB1-8556-988262092F6F}" destId="{E9D9F328-32C5-4F88-BD2D-AD0CD9FEA872}" srcOrd="0" destOrd="0" presId="urn:microsoft.com/office/officeart/2011/layout/HexagonRadial"/>
    <dgm:cxn modelId="{60DD4448-9328-46C5-858D-94FA9B5B6BC2}" type="presOf" srcId="{FEB3AD7F-06F3-4105-ABC4-46F25779A6E5}" destId="{339CD9F1-9910-4626-B4D3-66A58EE634DC}"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5FCABD28-E9F7-4C62-A5FE-AD545BB52847}" srcId="{FEB3AD7F-06F3-4105-ABC4-46F25779A6E5}" destId="{BB99BAA8-5F8C-4AD7-AF7F-5750AD63CB10}" srcOrd="4" destOrd="0" parTransId="{AC8BD58C-02DB-42C7-9601-9B768455735E}" sibTransId="{8C465534-3538-4CDE-9CFE-A105D3BE2558}"/>
    <dgm:cxn modelId="{5BE51B5D-DE96-44AE-AF80-DC5ED5542248}" srcId="{FEB3AD7F-06F3-4105-ABC4-46F25779A6E5}" destId="{7342D411-961A-4522-A541-FDA3591F21BA}" srcOrd="2" destOrd="0" parTransId="{E1BA6006-F7C1-4259-9E50-45A2D287EB86}" sibTransId="{75E9BCC8-528C-43BA-90E3-E6C19CF1952C}"/>
    <dgm:cxn modelId="{77D4BFF2-BABD-4970-A2CD-01B5FAB119DC}" type="presOf" srcId="{7342D411-961A-4522-A541-FDA3591F21BA}" destId="{05E27CB0-2A19-492E-87BB-E84E412800C3}" srcOrd="0" destOrd="0" presId="urn:microsoft.com/office/officeart/2011/layout/HexagonRadial"/>
    <dgm:cxn modelId="{52C25C26-12E6-4CBE-885B-2962E4788773}" srcId="{7F63E330-A55F-44F6-B91C-DB66F89E9DC1}" destId="{FEB3AD7F-06F3-4105-ABC4-46F25779A6E5}" srcOrd="0" destOrd="0" parTransId="{A6DF12E0-7653-472B-9251-A92AD9AF5423}" sibTransId="{0ABC3642-482D-4A9C-86F0-3971851817A0}"/>
    <dgm:cxn modelId="{61B57D6A-E4F6-4194-8C96-3F2AD8974C59}" type="presOf" srcId="{BB99BAA8-5F8C-4AD7-AF7F-5750AD63CB10}" destId="{DBFAAC4A-FB6F-49E9-B93B-965ECEB5FB23}" srcOrd="0" destOrd="0" presId="urn:microsoft.com/office/officeart/2011/layout/HexagonRadial"/>
    <dgm:cxn modelId="{2B9D8D43-CF83-4DF4-891B-F1C608C51FCC}" type="presOf" srcId="{7F63E330-A55F-44F6-B91C-DB66F89E9DC1}" destId="{6774D031-8CCE-49DF-8EA8-9963B03EFE6D}" srcOrd="0" destOrd="0" presId="urn:microsoft.com/office/officeart/2011/layout/HexagonRadial"/>
    <dgm:cxn modelId="{DFFF9DD2-E358-4D6D-9A37-33BD6EF089FD}" srcId="{FEB3AD7F-06F3-4105-ABC4-46F25779A6E5}" destId="{7118A5B0-1E9F-4718-98F3-2B577D04B8E5}" srcOrd="3" destOrd="0" parTransId="{DD9C71D7-F96A-49AA-A272-0AEA678F34F8}" sibTransId="{536128EE-DCD0-4B77-B7C8-8DF47590FBAD}"/>
    <dgm:cxn modelId="{C5D2FF28-1B72-4759-822A-8C995AA37A86}" type="presOf" srcId="{65B16740-2ECA-427E-B25A-84809D68D08C}" destId="{18756525-8AB2-4790-9768-2D6C805793D2}" srcOrd="0" destOrd="0" presId="urn:microsoft.com/office/officeart/2011/layout/HexagonRadial"/>
    <dgm:cxn modelId="{5B1E01D3-C967-433F-93A5-1B11706BF3CE}" type="presParOf" srcId="{6774D031-8CCE-49DF-8EA8-9963B03EFE6D}" destId="{339CD9F1-9910-4626-B4D3-66A58EE634DC}" srcOrd="0" destOrd="0" presId="urn:microsoft.com/office/officeart/2011/layout/HexagonRadial"/>
    <dgm:cxn modelId="{A6ADC576-0B51-4F82-9DBB-34CC66F1C936}" type="presParOf" srcId="{6774D031-8CCE-49DF-8EA8-9963B03EFE6D}" destId="{A2194CE0-8BE4-4618-AED9-4D4D397699A5}" srcOrd="1" destOrd="0" presId="urn:microsoft.com/office/officeart/2011/layout/HexagonRadial"/>
    <dgm:cxn modelId="{74667982-1E7F-42F8-9909-D442A6D51997}" type="presParOf" srcId="{A2194CE0-8BE4-4618-AED9-4D4D397699A5}" destId="{A3A39A84-51ED-4418-8860-27A4DB76B0E3}" srcOrd="0" destOrd="0" presId="urn:microsoft.com/office/officeart/2011/layout/HexagonRadial"/>
    <dgm:cxn modelId="{7CBDBB47-CA60-45B7-8E15-ABCE50A71337}" type="presParOf" srcId="{6774D031-8CCE-49DF-8EA8-9963B03EFE6D}" destId="{E9D9F328-32C5-4F88-BD2D-AD0CD9FEA872}" srcOrd="2" destOrd="0" presId="urn:microsoft.com/office/officeart/2011/layout/HexagonRadial"/>
    <dgm:cxn modelId="{32867ED7-63C2-44C7-8920-2BFF3CD0586F}" type="presParOf" srcId="{6774D031-8CCE-49DF-8EA8-9963B03EFE6D}" destId="{8032D159-E9B2-4CDB-8AEC-2364DC175313}" srcOrd="3" destOrd="0" presId="urn:microsoft.com/office/officeart/2011/layout/HexagonRadial"/>
    <dgm:cxn modelId="{33AABEC8-B861-4852-8773-0E3CCB3F17FB}" type="presParOf" srcId="{8032D159-E9B2-4CDB-8AEC-2364DC175313}" destId="{B3ECDF98-3FEC-4D76-BF1D-5D1F46680A05}" srcOrd="0" destOrd="0" presId="urn:microsoft.com/office/officeart/2011/layout/HexagonRadial"/>
    <dgm:cxn modelId="{D07FFDEB-64A6-40EF-910E-DAAD60D23B0E}" type="presParOf" srcId="{6774D031-8CCE-49DF-8EA8-9963B03EFE6D}" destId="{18756525-8AB2-4790-9768-2D6C805793D2}" srcOrd="4" destOrd="0" presId="urn:microsoft.com/office/officeart/2011/layout/HexagonRadial"/>
    <dgm:cxn modelId="{C8E69A0F-8252-4402-9ED6-CDDD994DE34C}" type="presParOf" srcId="{6774D031-8CCE-49DF-8EA8-9963B03EFE6D}" destId="{B7C5C3B6-4805-4B8C-AE86-BECF19634E5E}" srcOrd="5" destOrd="0" presId="urn:microsoft.com/office/officeart/2011/layout/HexagonRadial"/>
    <dgm:cxn modelId="{81C83CCE-A741-4C5A-81D5-C3543BAD9647}" type="presParOf" srcId="{B7C5C3B6-4805-4B8C-AE86-BECF19634E5E}" destId="{B82E6A8F-56C5-42A5-ADC9-D155D4D6C080}" srcOrd="0" destOrd="0" presId="urn:microsoft.com/office/officeart/2011/layout/HexagonRadial"/>
    <dgm:cxn modelId="{E3FB3DE4-9B02-435A-BE9E-80C6A1FEF828}" type="presParOf" srcId="{6774D031-8CCE-49DF-8EA8-9963B03EFE6D}" destId="{05E27CB0-2A19-492E-87BB-E84E412800C3}" srcOrd="6" destOrd="0" presId="urn:microsoft.com/office/officeart/2011/layout/HexagonRadial"/>
    <dgm:cxn modelId="{63BEF80B-7822-4EE9-A724-9829DB5A4A95}" type="presParOf" srcId="{6774D031-8CCE-49DF-8EA8-9963B03EFE6D}" destId="{766B3E62-853D-4F49-AFB8-72DD32471485}" srcOrd="7" destOrd="0" presId="urn:microsoft.com/office/officeart/2011/layout/HexagonRadial"/>
    <dgm:cxn modelId="{C7F7803F-2D89-4E7A-96B6-3669AC48EEA8}" type="presParOf" srcId="{766B3E62-853D-4F49-AFB8-72DD32471485}" destId="{04768AEB-F179-42DA-BCE1-41C63A83C0B8}" srcOrd="0" destOrd="0" presId="urn:microsoft.com/office/officeart/2011/layout/HexagonRadial"/>
    <dgm:cxn modelId="{5EBAE4C0-6F5B-42B5-928D-1E385D5171A2}" type="presParOf" srcId="{6774D031-8CCE-49DF-8EA8-9963B03EFE6D}" destId="{ADE93696-015A-4347-9E16-98F8F494D360}" srcOrd="8" destOrd="0" presId="urn:microsoft.com/office/officeart/2011/layout/HexagonRadial"/>
    <dgm:cxn modelId="{10A0BC68-ED4F-478B-BD8C-5C4CB4B1FB43}" type="presParOf" srcId="{6774D031-8CCE-49DF-8EA8-9963B03EFE6D}" destId="{66A89575-10A4-42C1-B548-706441067F6E}" srcOrd="9" destOrd="0" presId="urn:microsoft.com/office/officeart/2011/layout/HexagonRadial"/>
    <dgm:cxn modelId="{E4B80246-ACFE-4C95-9E4A-4851A00484B8}" type="presParOf" srcId="{66A89575-10A4-42C1-B548-706441067F6E}" destId="{D7EF0A8E-2835-496A-AD7D-1B39358AA70C}" srcOrd="0" destOrd="0" presId="urn:microsoft.com/office/officeart/2011/layout/HexagonRadial"/>
    <dgm:cxn modelId="{04B3B797-5F78-4563-91D6-79A14ECEE283}" type="presParOf" srcId="{6774D031-8CCE-49DF-8EA8-9963B03EFE6D}" destId="{DBFAAC4A-FB6F-49E9-B93B-965ECEB5FB23}" srcOrd="10" destOrd="0" presId="urn:microsoft.com/office/officeart/2011/layout/HexagonRadial"/>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723460" y="884956"/>
          <a:ext cx="1124817"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909858" y="1046198"/>
        <a:ext cx="752021" cy="650529"/>
      </dsp:txXfrm>
    </dsp:sp>
    <dsp:sp modelId="{B3ECDF98-3FEC-4D76-BF1D-5D1F46680A05}">
      <dsp:nvSpPr>
        <dsp:cNvPr id="0" name=""/>
        <dsp:cNvSpPr/>
      </dsp:nvSpPr>
      <dsp:spPr>
        <a:xfrm>
          <a:off x="2427812" y="419435"/>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827072" y="0"/>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979831" y="132154"/>
        <a:ext cx="616262" cy="533140"/>
      </dsp:txXfrm>
    </dsp:sp>
    <dsp:sp modelId="{B82E6A8F-56C5-42A5-ADC9-D155D4D6C080}">
      <dsp:nvSpPr>
        <dsp:cNvPr id="0" name=""/>
        <dsp:cNvSpPr/>
      </dsp:nvSpPr>
      <dsp:spPr>
        <a:xfrm>
          <a:off x="2923109" y="1103040"/>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672451" y="490484"/>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825210" y="622638"/>
        <a:ext cx="616262" cy="533140"/>
      </dsp:txXfrm>
    </dsp:sp>
    <dsp:sp modelId="{DA3067A3-77BE-4C7A-85CA-0806EDB13A9C}">
      <dsp:nvSpPr>
        <dsp:cNvPr id="0" name=""/>
        <dsp:cNvSpPr/>
      </dsp:nvSpPr>
      <dsp:spPr>
        <a:xfrm>
          <a:off x="2579043" y="1874702"/>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672451" y="1454718"/>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825210" y="1586872"/>
        <a:ext cx="616262" cy="533140"/>
      </dsp:txXfrm>
    </dsp:sp>
    <dsp:sp modelId="{D7EF0A8E-2835-496A-AD7D-1B39358AA70C}">
      <dsp:nvSpPr>
        <dsp:cNvPr id="0" name=""/>
        <dsp:cNvSpPr/>
      </dsp:nvSpPr>
      <dsp:spPr>
        <a:xfrm>
          <a:off x="1725553" y="1954804"/>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B80ACA03-2A9E-41C2-8EAB-056BDFCEEFC8}">
      <dsp:nvSpPr>
        <dsp:cNvPr id="0" name=""/>
        <dsp:cNvSpPr/>
      </dsp:nvSpPr>
      <dsp:spPr>
        <a:xfrm>
          <a:off x="1827072" y="1945751"/>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Courses</a:t>
          </a:r>
        </a:p>
      </dsp:txBody>
      <dsp:txXfrm>
        <a:off x="1979831" y="2077905"/>
        <a:ext cx="616262" cy="533140"/>
      </dsp:txXfrm>
    </dsp:sp>
    <dsp:sp modelId="{80450CDC-E9F8-4289-8E44-5E1263309C9F}">
      <dsp:nvSpPr>
        <dsp:cNvPr id="0" name=""/>
        <dsp:cNvSpPr/>
      </dsp:nvSpPr>
      <dsp:spPr>
        <a:xfrm>
          <a:off x="977767" y="1455267"/>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130526" y="1587421"/>
        <a:ext cx="616262" cy="53314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723460" y="884956"/>
          <a:ext cx="1124817"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909858" y="1046198"/>
        <a:ext cx="752021" cy="650529"/>
      </dsp:txXfrm>
    </dsp:sp>
    <dsp:sp modelId="{B3ECDF98-3FEC-4D76-BF1D-5D1F46680A05}">
      <dsp:nvSpPr>
        <dsp:cNvPr id="0" name=""/>
        <dsp:cNvSpPr/>
      </dsp:nvSpPr>
      <dsp:spPr>
        <a:xfrm>
          <a:off x="2427812" y="419435"/>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827072" y="0"/>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979831" y="132154"/>
        <a:ext cx="616262" cy="533140"/>
      </dsp:txXfrm>
    </dsp:sp>
    <dsp:sp modelId="{B82E6A8F-56C5-42A5-ADC9-D155D4D6C080}">
      <dsp:nvSpPr>
        <dsp:cNvPr id="0" name=""/>
        <dsp:cNvSpPr/>
      </dsp:nvSpPr>
      <dsp:spPr>
        <a:xfrm>
          <a:off x="2923109" y="1103040"/>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672451" y="490484"/>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825210" y="622638"/>
        <a:ext cx="616262" cy="533140"/>
      </dsp:txXfrm>
    </dsp:sp>
    <dsp:sp modelId="{4A2B4EAD-AEB7-4BED-B96B-4B0DAB1126C5}">
      <dsp:nvSpPr>
        <dsp:cNvPr id="0" name=""/>
        <dsp:cNvSpPr/>
      </dsp:nvSpPr>
      <dsp:spPr>
        <a:xfrm>
          <a:off x="2579043" y="1874702"/>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672451" y="1454718"/>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825210" y="1586872"/>
        <a:ext cx="616262" cy="533140"/>
      </dsp:txXfrm>
    </dsp:sp>
    <dsp:sp modelId="{D7EF0A8E-2835-496A-AD7D-1B39358AA70C}">
      <dsp:nvSpPr>
        <dsp:cNvPr id="0" name=""/>
        <dsp:cNvSpPr/>
      </dsp:nvSpPr>
      <dsp:spPr>
        <a:xfrm>
          <a:off x="1725553" y="1954804"/>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A219E422-4CCD-4551-8058-063E8EE84059}">
      <dsp:nvSpPr>
        <dsp:cNvPr id="0" name=""/>
        <dsp:cNvSpPr/>
      </dsp:nvSpPr>
      <dsp:spPr>
        <a:xfrm>
          <a:off x="1827072" y="1945751"/>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Courses</a:t>
          </a:r>
        </a:p>
      </dsp:txBody>
      <dsp:txXfrm>
        <a:off x="1979831" y="2077905"/>
        <a:ext cx="616262" cy="533140"/>
      </dsp:txXfrm>
    </dsp:sp>
    <dsp:sp modelId="{A53B6106-A76C-4E41-A5EA-114C02477212}">
      <dsp:nvSpPr>
        <dsp:cNvPr id="0" name=""/>
        <dsp:cNvSpPr/>
      </dsp:nvSpPr>
      <dsp:spPr>
        <a:xfrm>
          <a:off x="977767" y="1455267"/>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130526" y="1587421"/>
        <a:ext cx="616262" cy="533140"/>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B4E20D8-CBA3-43D9-8002-3C6F33DD77DC}">
      <dsp:nvSpPr>
        <dsp:cNvPr id="0" name=""/>
        <dsp:cNvSpPr/>
      </dsp:nvSpPr>
      <dsp:spPr>
        <a:xfrm>
          <a:off x="0" y="998323"/>
          <a:ext cx="6657976" cy="9072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kern="1200"/>
            <a:t>ENG 101 - Writing I</a:t>
          </a:r>
        </a:p>
        <a:p>
          <a:pPr marL="114300" lvl="1" indent="-114300" algn="l" defTabSz="533400">
            <a:lnSpc>
              <a:spcPct val="90000"/>
            </a:lnSpc>
            <a:spcBef>
              <a:spcPct val="0"/>
            </a:spcBef>
            <a:spcAft>
              <a:spcPct val="15000"/>
            </a:spcAft>
            <a:buChar char="••"/>
          </a:pPr>
          <a:r>
            <a:rPr lang="en-US" sz="1200" kern="1200"/>
            <a:t>ENG 102 - Writing II</a:t>
          </a:r>
        </a:p>
        <a:p>
          <a:pPr marL="114300" lvl="1" indent="-114300" algn="l" defTabSz="533400">
            <a:lnSpc>
              <a:spcPct val="90000"/>
            </a:lnSpc>
            <a:spcBef>
              <a:spcPct val="0"/>
            </a:spcBef>
            <a:spcAft>
              <a:spcPct val="15000"/>
            </a:spcAft>
            <a:buChar char="••"/>
          </a:pPr>
          <a:r>
            <a:rPr lang="en-US" sz="1200" kern="1200"/>
            <a:t>ENG 105 - Writing:  An Accelerated Course</a:t>
          </a:r>
        </a:p>
      </dsp:txBody>
      <dsp:txXfrm>
        <a:off x="0" y="998323"/>
        <a:ext cx="6657976" cy="907200"/>
      </dsp:txXfrm>
    </dsp:sp>
    <dsp:sp modelId="{5DC58891-F6F0-4E60-A5CF-990DBBAF63B8}">
      <dsp:nvSpPr>
        <dsp:cNvPr id="0" name=""/>
        <dsp:cNvSpPr/>
      </dsp:nvSpPr>
      <dsp:spPr>
        <a:xfrm>
          <a:off x="332898" y="82120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Communication - Written</a:t>
          </a:r>
        </a:p>
      </dsp:txBody>
      <dsp:txXfrm>
        <a:off x="350191" y="838496"/>
        <a:ext cx="4625997" cy="319653"/>
      </dsp:txXfrm>
    </dsp:sp>
    <dsp:sp modelId="{5055729C-1743-4889-980C-6A0CEF4560D2}">
      <dsp:nvSpPr>
        <dsp:cNvPr id="0" name=""/>
        <dsp:cNvSpPr/>
      </dsp:nvSpPr>
      <dsp:spPr>
        <a:xfrm>
          <a:off x="0" y="2147443"/>
          <a:ext cx="6657976" cy="10962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kern="1200"/>
            <a:t>COM 181 - Basic Public Speaking</a:t>
          </a:r>
        </a:p>
        <a:p>
          <a:pPr marL="114300" lvl="1" indent="-114300" algn="l" defTabSz="533400">
            <a:lnSpc>
              <a:spcPct val="90000"/>
            </a:lnSpc>
            <a:spcBef>
              <a:spcPct val="0"/>
            </a:spcBef>
            <a:spcAft>
              <a:spcPct val="15000"/>
            </a:spcAft>
            <a:buChar char="••"/>
          </a:pPr>
          <a:r>
            <a:rPr lang="en-US" sz="1200" kern="1200"/>
            <a:t>COM 252 - Intro To Interpersonal Communications</a:t>
          </a:r>
        </a:p>
        <a:p>
          <a:pPr marL="114300" lvl="1" indent="-114300" algn="l" defTabSz="533400">
            <a:lnSpc>
              <a:spcPct val="90000"/>
            </a:lnSpc>
            <a:spcBef>
              <a:spcPct val="0"/>
            </a:spcBef>
            <a:spcAft>
              <a:spcPct val="15000"/>
            </a:spcAft>
            <a:buChar char="••"/>
          </a:pPr>
          <a:r>
            <a:rPr lang="en-US" sz="1200" kern="1200"/>
            <a:t>COM 281 - Communication In Small Group</a:t>
          </a:r>
        </a:p>
        <a:p>
          <a:pPr marL="114300" lvl="1" indent="-114300" algn="l" defTabSz="533400">
            <a:lnSpc>
              <a:spcPct val="90000"/>
            </a:lnSpc>
            <a:spcBef>
              <a:spcPct val="0"/>
            </a:spcBef>
            <a:spcAft>
              <a:spcPct val="15000"/>
            </a:spcAft>
            <a:buChar char="••"/>
          </a:pPr>
          <a:r>
            <a:rPr lang="en-US" sz="1200" kern="1200"/>
            <a:t>COM 287 - Persuasive Speaking</a:t>
          </a:r>
        </a:p>
      </dsp:txBody>
      <dsp:txXfrm>
        <a:off x="0" y="2147443"/>
        <a:ext cx="6657976" cy="1096200"/>
      </dsp:txXfrm>
    </dsp:sp>
    <dsp:sp modelId="{F8CDE98B-1F69-427D-85A5-A035DE08DEB3}">
      <dsp:nvSpPr>
        <dsp:cNvPr id="0" name=""/>
        <dsp:cNvSpPr/>
      </dsp:nvSpPr>
      <dsp:spPr>
        <a:xfrm>
          <a:off x="332898" y="197032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Communication - Oral</a:t>
          </a:r>
        </a:p>
      </dsp:txBody>
      <dsp:txXfrm>
        <a:off x="350191" y="1987616"/>
        <a:ext cx="4625997" cy="319653"/>
      </dsp:txXfrm>
    </dsp:sp>
    <dsp:sp modelId="{817CDDC7-4A1A-4DD3-BC8B-78FCA99C23C1}">
      <dsp:nvSpPr>
        <dsp:cNvPr id="0" name=""/>
        <dsp:cNvSpPr/>
      </dsp:nvSpPr>
      <dsp:spPr>
        <a:xfrm>
          <a:off x="0" y="3485563"/>
          <a:ext cx="6657976" cy="52920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kern="1200"/>
            <a:t>FLK 276 - Introduction To Folk Studies</a:t>
          </a:r>
        </a:p>
        <a:p>
          <a:pPr marL="114300" lvl="1" indent="-114300" algn="l" defTabSz="533400">
            <a:lnSpc>
              <a:spcPct val="90000"/>
            </a:lnSpc>
            <a:spcBef>
              <a:spcPct val="0"/>
            </a:spcBef>
            <a:spcAft>
              <a:spcPct val="15000"/>
            </a:spcAft>
            <a:buChar char="••"/>
          </a:pPr>
          <a:r>
            <a:rPr lang="en-US" sz="1200" kern="1200"/>
            <a:t>HIS 101 - World Civilization I</a:t>
          </a:r>
        </a:p>
        <a:p>
          <a:pPr marL="114300" lvl="1" indent="-114300" algn="l" defTabSz="533400">
            <a:lnSpc>
              <a:spcPct val="90000"/>
            </a:lnSpc>
            <a:spcBef>
              <a:spcPct val="0"/>
            </a:spcBef>
            <a:spcAft>
              <a:spcPct val="15000"/>
            </a:spcAft>
            <a:buChar char="••"/>
          </a:pPr>
          <a:r>
            <a:rPr lang="en-US" sz="1200" kern="1200"/>
            <a:t>HIS 102 - World Civilization II</a:t>
          </a:r>
        </a:p>
        <a:p>
          <a:pPr marL="114300" lvl="1" indent="-114300" algn="l" defTabSz="533400">
            <a:lnSpc>
              <a:spcPct val="90000"/>
            </a:lnSpc>
            <a:spcBef>
              <a:spcPct val="0"/>
            </a:spcBef>
            <a:spcAft>
              <a:spcPct val="15000"/>
            </a:spcAft>
            <a:buChar char="••"/>
          </a:pPr>
          <a:r>
            <a:rPr lang="en-US" sz="1200" kern="1200"/>
            <a:t>HIS 104 - A History Of Europe Through The Mid-17th Century</a:t>
          </a:r>
        </a:p>
        <a:p>
          <a:pPr marL="114300" lvl="1" indent="-114300" algn="l" defTabSz="533400">
            <a:lnSpc>
              <a:spcPct val="90000"/>
            </a:lnSpc>
            <a:spcBef>
              <a:spcPct val="0"/>
            </a:spcBef>
            <a:spcAft>
              <a:spcPct val="15000"/>
            </a:spcAft>
            <a:buChar char="••"/>
          </a:pPr>
          <a:r>
            <a:rPr lang="en-US" sz="1200" kern="1200"/>
            <a:t>HIS 105 - A History Of Europe From The Mid-17th Century To The Present</a:t>
          </a:r>
        </a:p>
        <a:p>
          <a:pPr marL="114300" lvl="1" indent="-114300" algn="l" defTabSz="533400">
            <a:lnSpc>
              <a:spcPct val="90000"/>
            </a:lnSpc>
            <a:spcBef>
              <a:spcPct val="0"/>
            </a:spcBef>
            <a:spcAft>
              <a:spcPct val="15000"/>
            </a:spcAft>
            <a:buChar char="••"/>
          </a:pPr>
          <a:r>
            <a:rPr lang="en-US" sz="1200" kern="1200"/>
            <a:t>HIS 106 - Western Culture:  Science &amp; Technology I</a:t>
          </a:r>
        </a:p>
        <a:p>
          <a:pPr marL="114300" lvl="1" indent="-114300" algn="l" defTabSz="533400">
            <a:lnSpc>
              <a:spcPct val="90000"/>
            </a:lnSpc>
            <a:spcBef>
              <a:spcPct val="0"/>
            </a:spcBef>
            <a:spcAft>
              <a:spcPct val="15000"/>
            </a:spcAft>
            <a:buChar char="••"/>
          </a:pPr>
          <a:r>
            <a:rPr lang="en-US" sz="1200" kern="1200"/>
            <a:t>HIS 107 - Western Culture:  Science &amp; Technology II</a:t>
          </a:r>
        </a:p>
        <a:p>
          <a:pPr marL="114300" lvl="1" indent="-114300" algn="l" defTabSz="533400">
            <a:lnSpc>
              <a:spcPct val="90000"/>
            </a:lnSpc>
            <a:spcBef>
              <a:spcPct val="0"/>
            </a:spcBef>
            <a:spcAft>
              <a:spcPct val="15000"/>
            </a:spcAft>
            <a:buChar char="••"/>
          </a:pPr>
          <a:r>
            <a:rPr lang="en-US" sz="1200" kern="1200"/>
            <a:t>HIS 108 - History Of The U.S. Through 1865</a:t>
          </a:r>
        </a:p>
        <a:p>
          <a:pPr marL="114300" lvl="1" indent="-114300" algn="l" defTabSz="533400">
            <a:lnSpc>
              <a:spcPct val="90000"/>
            </a:lnSpc>
            <a:spcBef>
              <a:spcPct val="0"/>
            </a:spcBef>
            <a:spcAft>
              <a:spcPct val="15000"/>
            </a:spcAft>
            <a:buChar char="••"/>
          </a:pPr>
          <a:r>
            <a:rPr lang="en-US" sz="1200" kern="1200"/>
            <a:t>HIS 109 - History Of The U.S. Since 1865</a:t>
          </a:r>
        </a:p>
        <a:p>
          <a:pPr marL="114300" lvl="1" indent="-114300" algn="l" defTabSz="533400">
            <a:lnSpc>
              <a:spcPct val="90000"/>
            </a:lnSpc>
            <a:spcBef>
              <a:spcPct val="0"/>
            </a:spcBef>
            <a:spcAft>
              <a:spcPct val="15000"/>
            </a:spcAft>
            <a:buChar char="••"/>
          </a:pPr>
          <a:r>
            <a:rPr lang="en-US" sz="1200" kern="1200"/>
            <a:t>HIS 120 - The World At War 1939-45</a:t>
          </a:r>
        </a:p>
        <a:p>
          <a:pPr marL="114300" lvl="1" indent="-114300" algn="l" defTabSz="533400">
            <a:lnSpc>
              <a:spcPct val="90000"/>
            </a:lnSpc>
            <a:spcBef>
              <a:spcPct val="0"/>
            </a:spcBef>
            <a:spcAft>
              <a:spcPct val="15000"/>
            </a:spcAft>
            <a:buChar char="••"/>
          </a:pPr>
          <a:r>
            <a:rPr lang="en-US" sz="1200" kern="1200"/>
            <a:t>HIS 202 - History Of The British People To The Restoration</a:t>
          </a:r>
        </a:p>
        <a:p>
          <a:pPr marL="114300" lvl="1" indent="-114300" algn="l" defTabSz="533400">
            <a:lnSpc>
              <a:spcPct val="90000"/>
            </a:lnSpc>
            <a:spcBef>
              <a:spcPct val="0"/>
            </a:spcBef>
            <a:spcAft>
              <a:spcPct val="15000"/>
            </a:spcAft>
            <a:buChar char="••"/>
          </a:pPr>
          <a:r>
            <a:rPr lang="en-US" sz="1200" kern="1200"/>
            <a:t>HIS 203 - History Of The British People Since The Restoration</a:t>
          </a:r>
        </a:p>
        <a:p>
          <a:pPr marL="114300" lvl="1" indent="-114300" algn="l" defTabSz="533400">
            <a:lnSpc>
              <a:spcPct val="90000"/>
            </a:lnSpc>
            <a:spcBef>
              <a:spcPct val="0"/>
            </a:spcBef>
            <a:spcAft>
              <a:spcPct val="15000"/>
            </a:spcAft>
            <a:buChar char="••"/>
          </a:pPr>
          <a:r>
            <a:rPr lang="en-US" sz="1200" kern="1200"/>
            <a:t>HIS 206 - History Of Colonial Latin America</a:t>
          </a:r>
        </a:p>
        <a:p>
          <a:pPr marL="114300" lvl="1" indent="-114300" algn="l" defTabSz="533400">
            <a:lnSpc>
              <a:spcPct val="90000"/>
            </a:lnSpc>
            <a:spcBef>
              <a:spcPct val="0"/>
            </a:spcBef>
            <a:spcAft>
              <a:spcPct val="15000"/>
            </a:spcAft>
            <a:buChar char="••"/>
          </a:pPr>
          <a:r>
            <a:rPr lang="en-US" sz="1200" kern="1200"/>
            <a:t>HIS 207 - History Of Modern Latin America, 1810 To Present</a:t>
          </a:r>
        </a:p>
        <a:p>
          <a:pPr marL="114300" lvl="1" indent="-114300" algn="l" defTabSz="533400">
            <a:lnSpc>
              <a:spcPct val="90000"/>
            </a:lnSpc>
            <a:spcBef>
              <a:spcPct val="0"/>
            </a:spcBef>
            <a:spcAft>
              <a:spcPct val="15000"/>
            </a:spcAft>
            <a:buChar char="••"/>
          </a:pPr>
          <a:r>
            <a:rPr lang="en-US" sz="1200" kern="1200"/>
            <a:t>HIS 240 - History Of Kentucky</a:t>
          </a:r>
        </a:p>
        <a:p>
          <a:pPr marL="114300" lvl="1" indent="-114300" algn="l" defTabSz="533400">
            <a:lnSpc>
              <a:spcPct val="90000"/>
            </a:lnSpc>
            <a:spcBef>
              <a:spcPct val="0"/>
            </a:spcBef>
            <a:spcAft>
              <a:spcPct val="15000"/>
            </a:spcAft>
            <a:buChar char="••"/>
          </a:pPr>
          <a:r>
            <a:rPr lang="en-US" sz="1200" kern="1200"/>
            <a:t>HIS 247 - History Of Islam &amp; Middle East Peoples, 500 - 1250 A.D.</a:t>
          </a:r>
        </a:p>
        <a:p>
          <a:pPr marL="114300" lvl="1" indent="-114300" algn="l" defTabSz="533400">
            <a:lnSpc>
              <a:spcPct val="90000"/>
            </a:lnSpc>
            <a:spcBef>
              <a:spcPct val="0"/>
            </a:spcBef>
            <a:spcAft>
              <a:spcPct val="15000"/>
            </a:spcAft>
            <a:buChar char="••"/>
          </a:pPr>
          <a:r>
            <a:rPr lang="en-US" sz="1200" kern="1200"/>
            <a:t>HIS 248 - History Of Islam &amp; Middle East Peoples, 1250 To Present</a:t>
          </a:r>
        </a:p>
        <a:p>
          <a:pPr marL="114300" lvl="1" indent="-114300" algn="l" defTabSz="533400">
            <a:lnSpc>
              <a:spcPct val="90000"/>
            </a:lnSpc>
            <a:spcBef>
              <a:spcPct val="0"/>
            </a:spcBef>
            <a:spcAft>
              <a:spcPct val="15000"/>
            </a:spcAft>
            <a:buChar char="••"/>
          </a:pPr>
          <a:r>
            <a:rPr lang="en-US" sz="1200" kern="1200"/>
            <a:t>HIS 254 - History Of Sub-Saharan Africa</a:t>
          </a:r>
        </a:p>
        <a:p>
          <a:pPr marL="114300" lvl="1" indent="-114300" algn="l" defTabSz="533400">
            <a:lnSpc>
              <a:spcPct val="90000"/>
            </a:lnSpc>
            <a:spcBef>
              <a:spcPct val="0"/>
            </a:spcBef>
            <a:spcAft>
              <a:spcPct val="15000"/>
            </a:spcAft>
            <a:buChar char="••"/>
          </a:pPr>
          <a:r>
            <a:rPr lang="en-US" sz="1200" kern="1200"/>
            <a:t>HIS 260 - African American History To 1865</a:t>
          </a:r>
        </a:p>
        <a:p>
          <a:pPr marL="114300" lvl="1" indent="-114300" algn="l" defTabSz="533400">
            <a:lnSpc>
              <a:spcPct val="90000"/>
            </a:lnSpc>
            <a:spcBef>
              <a:spcPct val="0"/>
            </a:spcBef>
            <a:spcAft>
              <a:spcPct val="15000"/>
            </a:spcAft>
            <a:buChar char="••"/>
          </a:pPr>
          <a:r>
            <a:rPr lang="en-US" sz="1200" kern="1200"/>
            <a:t>HIS 261 - African American History 1865 To Present</a:t>
          </a:r>
        </a:p>
        <a:p>
          <a:pPr marL="114300" lvl="1" indent="-114300" algn="l" defTabSz="533400">
            <a:lnSpc>
              <a:spcPct val="90000"/>
            </a:lnSpc>
            <a:spcBef>
              <a:spcPct val="0"/>
            </a:spcBef>
            <a:spcAft>
              <a:spcPct val="15000"/>
            </a:spcAft>
            <a:buChar char="••"/>
          </a:pPr>
          <a:r>
            <a:rPr lang="en-US" sz="1200" kern="1200"/>
            <a:t>HIS 265 - History Of Women In America</a:t>
          </a:r>
        </a:p>
        <a:p>
          <a:pPr marL="114300" lvl="1" indent="-114300" algn="l" defTabSz="533400">
            <a:lnSpc>
              <a:spcPct val="90000"/>
            </a:lnSpc>
            <a:spcBef>
              <a:spcPct val="0"/>
            </a:spcBef>
            <a:spcAft>
              <a:spcPct val="15000"/>
            </a:spcAft>
            <a:buChar char="••"/>
          </a:pPr>
          <a:r>
            <a:rPr lang="en-US" sz="1200" kern="1200"/>
            <a:t>HIS 270 - Ancient Europe</a:t>
          </a:r>
        </a:p>
        <a:p>
          <a:pPr marL="114300" lvl="1" indent="-114300" algn="l" defTabSz="533400">
            <a:lnSpc>
              <a:spcPct val="90000"/>
            </a:lnSpc>
            <a:spcBef>
              <a:spcPct val="0"/>
            </a:spcBef>
            <a:spcAft>
              <a:spcPct val="15000"/>
            </a:spcAft>
            <a:buChar char="••"/>
          </a:pPr>
          <a:r>
            <a:rPr lang="en-US" sz="1200" kern="1200"/>
            <a:t>HIS 271 - Medieval Europe</a:t>
          </a:r>
        </a:p>
        <a:p>
          <a:pPr marL="114300" lvl="1" indent="-114300" algn="l" defTabSz="533400">
            <a:lnSpc>
              <a:spcPct val="90000"/>
            </a:lnSpc>
            <a:spcBef>
              <a:spcPct val="0"/>
            </a:spcBef>
            <a:spcAft>
              <a:spcPct val="15000"/>
            </a:spcAft>
            <a:buChar char="••"/>
          </a:pPr>
          <a:r>
            <a:rPr lang="en-US" sz="1200" kern="1200"/>
            <a:t>HIS 295 - East Asia To 1800</a:t>
          </a:r>
        </a:p>
        <a:p>
          <a:pPr marL="114300" lvl="1" indent="-114300" algn="l" defTabSz="533400">
            <a:lnSpc>
              <a:spcPct val="90000"/>
            </a:lnSpc>
            <a:spcBef>
              <a:spcPct val="0"/>
            </a:spcBef>
            <a:spcAft>
              <a:spcPct val="15000"/>
            </a:spcAft>
            <a:buChar char="••"/>
          </a:pPr>
          <a:r>
            <a:rPr lang="en-US" sz="1200" kern="1200"/>
            <a:t>HIS 296 - History Of Asia II</a:t>
          </a:r>
        </a:p>
      </dsp:txBody>
      <dsp:txXfrm>
        <a:off x="0" y="3485563"/>
        <a:ext cx="6657976" cy="5292000"/>
      </dsp:txXfrm>
    </dsp:sp>
    <dsp:sp modelId="{41D7407A-C719-4FA3-8A83-E4FFE8AE6D7D}">
      <dsp:nvSpPr>
        <dsp:cNvPr id="0" name=""/>
        <dsp:cNvSpPr/>
      </dsp:nvSpPr>
      <dsp:spPr>
        <a:xfrm>
          <a:off x="332898" y="330844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Arts &amp; Humanities - Heritage</a:t>
          </a:r>
        </a:p>
      </dsp:txBody>
      <dsp:txXfrm>
        <a:off x="350191" y="3325736"/>
        <a:ext cx="4625997" cy="319653"/>
      </dsp:txXfrm>
    </dsp:sp>
    <dsp:sp modelId="{AD23FFB9-2542-4B31-80E2-741BD5F0A76B}">
      <dsp:nvSpPr>
        <dsp:cNvPr id="0" name=""/>
        <dsp:cNvSpPr/>
      </dsp:nvSpPr>
      <dsp:spPr>
        <a:xfrm>
          <a:off x="0" y="9019483"/>
          <a:ext cx="6657976" cy="151200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kern="1200"/>
            <a:t>ANT 130/REL 130 - Introduction To Comparative Religion</a:t>
          </a:r>
        </a:p>
        <a:p>
          <a:pPr marL="114300" lvl="1" indent="-114300" algn="l" defTabSz="533400">
            <a:lnSpc>
              <a:spcPct val="90000"/>
            </a:lnSpc>
            <a:spcBef>
              <a:spcPct val="0"/>
            </a:spcBef>
            <a:spcAft>
              <a:spcPct val="15000"/>
            </a:spcAft>
            <a:buChar char="••"/>
          </a:pPr>
          <a:r>
            <a:rPr lang="en-US" sz="1200" kern="1200"/>
            <a:t>ART 100 - Introduction To Art</a:t>
          </a:r>
        </a:p>
        <a:p>
          <a:pPr marL="114300" lvl="1" indent="-114300" algn="l" defTabSz="533400">
            <a:lnSpc>
              <a:spcPct val="90000"/>
            </a:lnSpc>
            <a:spcBef>
              <a:spcPct val="0"/>
            </a:spcBef>
            <a:spcAft>
              <a:spcPct val="15000"/>
            </a:spcAft>
            <a:buChar char="••"/>
          </a:pPr>
          <a:r>
            <a:rPr lang="en-US" sz="1200" kern="1200"/>
            <a:t>ART 104 -  Introduction To African Art</a:t>
          </a:r>
        </a:p>
        <a:p>
          <a:pPr marL="114300" lvl="1" indent="-114300" algn="l" defTabSz="533400">
            <a:lnSpc>
              <a:spcPct val="90000"/>
            </a:lnSpc>
            <a:spcBef>
              <a:spcPct val="0"/>
            </a:spcBef>
            <a:spcAft>
              <a:spcPct val="15000"/>
            </a:spcAft>
            <a:buChar char="••"/>
          </a:pPr>
          <a:r>
            <a:rPr lang="en-US" sz="1200" kern="1200"/>
            <a:t>ART 105 - Ancient Through Medieval Art History</a:t>
          </a:r>
        </a:p>
        <a:p>
          <a:pPr marL="114300" lvl="1" indent="-114300" algn="l" defTabSz="533400">
            <a:lnSpc>
              <a:spcPct val="90000"/>
            </a:lnSpc>
            <a:spcBef>
              <a:spcPct val="0"/>
            </a:spcBef>
            <a:spcAft>
              <a:spcPct val="15000"/>
            </a:spcAft>
            <a:buChar char="••"/>
          </a:pPr>
          <a:r>
            <a:rPr lang="en-US" sz="1200" kern="1200"/>
            <a:t>ART 106 - Renaissance Through Modern Art History</a:t>
          </a:r>
        </a:p>
        <a:p>
          <a:pPr marL="114300" lvl="1" indent="-114300" algn="l" defTabSz="533400">
            <a:lnSpc>
              <a:spcPct val="90000"/>
            </a:lnSpc>
            <a:spcBef>
              <a:spcPct val="0"/>
            </a:spcBef>
            <a:spcAft>
              <a:spcPct val="15000"/>
            </a:spcAft>
            <a:buChar char="••"/>
          </a:pPr>
          <a:r>
            <a:rPr lang="en-US" sz="1200" kern="1200"/>
            <a:t>ART 201 - Ancient Art History</a:t>
          </a:r>
        </a:p>
        <a:p>
          <a:pPr marL="114300" lvl="1" indent="-114300" algn="l" defTabSz="533400">
            <a:lnSpc>
              <a:spcPct val="90000"/>
            </a:lnSpc>
            <a:spcBef>
              <a:spcPct val="0"/>
            </a:spcBef>
            <a:spcAft>
              <a:spcPct val="15000"/>
            </a:spcAft>
            <a:buChar char="••"/>
          </a:pPr>
          <a:r>
            <a:rPr lang="en-US" sz="1200" kern="1200"/>
            <a:t>ART 202 - Medieval Art History</a:t>
          </a:r>
        </a:p>
        <a:p>
          <a:pPr marL="114300" lvl="1" indent="-114300" algn="l" defTabSz="533400">
            <a:lnSpc>
              <a:spcPct val="90000"/>
            </a:lnSpc>
            <a:spcBef>
              <a:spcPct val="0"/>
            </a:spcBef>
            <a:spcAft>
              <a:spcPct val="15000"/>
            </a:spcAft>
            <a:buChar char="••"/>
          </a:pPr>
          <a:r>
            <a:rPr lang="en-US" sz="1200" kern="1200"/>
            <a:t>ART 203 - Renaissance Art History</a:t>
          </a:r>
        </a:p>
        <a:p>
          <a:pPr marL="114300" lvl="1" indent="-114300" algn="l" defTabSz="533400">
            <a:lnSpc>
              <a:spcPct val="90000"/>
            </a:lnSpc>
            <a:spcBef>
              <a:spcPct val="0"/>
            </a:spcBef>
            <a:spcAft>
              <a:spcPct val="15000"/>
            </a:spcAft>
            <a:buChar char="••"/>
          </a:pPr>
          <a:r>
            <a:rPr lang="en-US" sz="1200" kern="1200"/>
            <a:t>ART 204 - Modern Art History</a:t>
          </a:r>
        </a:p>
        <a:p>
          <a:pPr marL="114300" lvl="1" indent="-114300" algn="l" defTabSz="533400">
            <a:lnSpc>
              <a:spcPct val="90000"/>
            </a:lnSpc>
            <a:spcBef>
              <a:spcPct val="0"/>
            </a:spcBef>
            <a:spcAft>
              <a:spcPct val="15000"/>
            </a:spcAft>
            <a:buChar char="••"/>
          </a:pPr>
          <a:r>
            <a:rPr lang="en-US" sz="1200" kern="1200"/>
            <a:t>ENG 135 - Greek &amp; Roman Mythology In Translation</a:t>
          </a:r>
        </a:p>
        <a:p>
          <a:pPr marL="114300" lvl="1" indent="-114300" algn="l" defTabSz="533400">
            <a:lnSpc>
              <a:spcPct val="90000"/>
            </a:lnSpc>
            <a:spcBef>
              <a:spcPct val="0"/>
            </a:spcBef>
            <a:spcAft>
              <a:spcPct val="15000"/>
            </a:spcAft>
            <a:buChar char="••"/>
          </a:pPr>
          <a:r>
            <a:rPr lang="en-US" sz="1200" kern="1200"/>
            <a:t>ENG 161 - Introduction To Literature </a:t>
          </a:r>
        </a:p>
        <a:p>
          <a:pPr marL="114300" lvl="1" indent="-114300" algn="l" defTabSz="533400">
            <a:lnSpc>
              <a:spcPct val="90000"/>
            </a:lnSpc>
            <a:spcBef>
              <a:spcPct val="0"/>
            </a:spcBef>
            <a:spcAft>
              <a:spcPct val="15000"/>
            </a:spcAft>
            <a:buChar char="••"/>
          </a:pPr>
          <a:r>
            <a:rPr lang="en-US" sz="1200" kern="1200"/>
            <a:t>ENG 221 - Survey Of English Literature I</a:t>
          </a:r>
        </a:p>
        <a:p>
          <a:pPr marL="114300" lvl="1" indent="-114300" algn="l" defTabSz="533400">
            <a:lnSpc>
              <a:spcPct val="90000"/>
            </a:lnSpc>
            <a:spcBef>
              <a:spcPct val="0"/>
            </a:spcBef>
            <a:spcAft>
              <a:spcPct val="15000"/>
            </a:spcAft>
            <a:buChar char="••"/>
          </a:pPr>
          <a:r>
            <a:rPr lang="en-US" sz="1200" kern="1200"/>
            <a:t>ENG 222 - Survey Of English Literature II</a:t>
          </a:r>
        </a:p>
        <a:p>
          <a:pPr marL="114300" lvl="1" indent="-114300" algn="l" defTabSz="533400">
            <a:lnSpc>
              <a:spcPct val="90000"/>
            </a:lnSpc>
            <a:spcBef>
              <a:spcPct val="0"/>
            </a:spcBef>
            <a:spcAft>
              <a:spcPct val="15000"/>
            </a:spcAft>
            <a:buChar char="••"/>
          </a:pPr>
          <a:r>
            <a:rPr lang="en-US" sz="1200" kern="1200"/>
            <a:t>ENG 230 - Introduction To Literature (Subtitle Required)</a:t>
          </a:r>
        </a:p>
        <a:p>
          <a:pPr marL="114300" lvl="1" indent="-114300" algn="l" defTabSz="533400">
            <a:lnSpc>
              <a:spcPct val="90000"/>
            </a:lnSpc>
            <a:spcBef>
              <a:spcPct val="0"/>
            </a:spcBef>
            <a:spcAft>
              <a:spcPct val="15000"/>
            </a:spcAft>
            <a:buChar char="••"/>
          </a:pPr>
          <a:r>
            <a:rPr lang="en-US" sz="1200" kern="1200"/>
            <a:t>ENG 231 - Literature &amp; Genre (Subtitle)</a:t>
          </a:r>
        </a:p>
        <a:p>
          <a:pPr marL="114300" lvl="1" indent="-114300" algn="l" defTabSz="533400">
            <a:lnSpc>
              <a:spcPct val="90000"/>
            </a:lnSpc>
            <a:spcBef>
              <a:spcPct val="0"/>
            </a:spcBef>
            <a:spcAft>
              <a:spcPct val="15000"/>
            </a:spcAft>
            <a:buChar char="••"/>
          </a:pPr>
          <a:r>
            <a:rPr lang="en-US" sz="1200" kern="1200"/>
            <a:t>ENG 232 - Literature &amp; Place (Subtitle Required)</a:t>
          </a:r>
        </a:p>
        <a:p>
          <a:pPr marL="114300" lvl="1" indent="-114300" algn="l" defTabSz="533400">
            <a:lnSpc>
              <a:spcPct val="90000"/>
            </a:lnSpc>
            <a:spcBef>
              <a:spcPct val="0"/>
            </a:spcBef>
            <a:spcAft>
              <a:spcPct val="15000"/>
            </a:spcAft>
            <a:buChar char="••"/>
          </a:pPr>
          <a:r>
            <a:rPr lang="en-US" sz="1200" kern="1200"/>
            <a:t>ENG 233 - Literature &amp; Identities (Subtitle Required)</a:t>
          </a:r>
        </a:p>
        <a:p>
          <a:pPr marL="114300" lvl="1" indent="-114300" algn="l" defTabSz="533400">
            <a:lnSpc>
              <a:spcPct val="90000"/>
            </a:lnSpc>
            <a:spcBef>
              <a:spcPct val="0"/>
            </a:spcBef>
            <a:spcAft>
              <a:spcPct val="15000"/>
            </a:spcAft>
            <a:buChar char="••"/>
          </a:pPr>
          <a:r>
            <a:rPr lang="en-US" sz="1200" kern="1200"/>
            <a:t>ENG 234 - Introduction To Women's Literature</a:t>
          </a:r>
        </a:p>
        <a:p>
          <a:pPr marL="114300" lvl="1" indent="-114300" algn="l" defTabSz="533400">
            <a:lnSpc>
              <a:spcPct val="90000"/>
            </a:lnSpc>
            <a:spcBef>
              <a:spcPct val="0"/>
            </a:spcBef>
            <a:spcAft>
              <a:spcPct val="15000"/>
            </a:spcAft>
            <a:buChar char="••"/>
          </a:pPr>
          <a:r>
            <a:rPr lang="en-US" sz="1200" kern="1200"/>
            <a:t>ENG 251 - Survey Of American Literature I</a:t>
          </a:r>
        </a:p>
        <a:p>
          <a:pPr marL="114300" lvl="1" indent="-114300" algn="l" defTabSz="533400">
            <a:lnSpc>
              <a:spcPct val="90000"/>
            </a:lnSpc>
            <a:spcBef>
              <a:spcPct val="0"/>
            </a:spcBef>
            <a:spcAft>
              <a:spcPct val="15000"/>
            </a:spcAft>
            <a:buChar char="••"/>
          </a:pPr>
          <a:r>
            <a:rPr lang="en-US" sz="1200" kern="1200"/>
            <a:t>ENG 252 - Survey Of American Literature II</a:t>
          </a:r>
        </a:p>
        <a:p>
          <a:pPr marL="114300" lvl="1" indent="-114300" algn="l" defTabSz="533400">
            <a:lnSpc>
              <a:spcPct val="90000"/>
            </a:lnSpc>
            <a:spcBef>
              <a:spcPct val="0"/>
            </a:spcBef>
            <a:spcAft>
              <a:spcPct val="15000"/>
            </a:spcAft>
            <a:buChar char="••"/>
          </a:pPr>
          <a:r>
            <a:rPr lang="en-US" sz="1200" kern="1200"/>
            <a:t>ENG 261 - Survey Of Western Literature From The Greeks Through The Renaissance</a:t>
          </a:r>
        </a:p>
        <a:p>
          <a:pPr marL="114300" lvl="1" indent="-114300" algn="l" defTabSz="533400">
            <a:lnSpc>
              <a:spcPct val="90000"/>
            </a:lnSpc>
            <a:spcBef>
              <a:spcPct val="0"/>
            </a:spcBef>
            <a:spcAft>
              <a:spcPct val="15000"/>
            </a:spcAft>
            <a:buChar char="••"/>
          </a:pPr>
          <a:r>
            <a:rPr lang="en-US" sz="1200" kern="1200"/>
            <a:t>ENG 262 - Survey Of Western Literature From 1660 To The Present</a:t>
          </a:r>
        </a:p>
        <a:p>
          <a:pPr marL="114300" lvl="1" indent="-114300" algn="l" defTabSz="533400">
            <a:lnSpc>
              <a:spcPct val="90000"/>
            </a:lnSpc>
            <a:spcBef>
              <a:spcPct val="0"/>
            </a:spcBef>
            <a:spcAft>
              <a:spcPct val="15000"/>
            </a:spcAft>
            <a:buChar char="••"/>
          </a:pPr>
          <a:r>
            <a:rPr lang="en-US" sz="1200" kern="1200"/>
            <a:t>ENG 264 - Major Black Writers</a:t>
          </a:r>
        </a:p>
        <a:p>
          <a:pPr marL="114300" lvl="1" indent="-114300" algn="l" defTabSz="533400">
            <a:lnSpc>
              <a:spcPct val="90000"/>
            </a:lnSpc>
            <a:spcBef>
              <a:spcPct val="0"/>
            </a:spcBef>
            <a:spcAft>
              <a:spcPct val="15000"/>
            </a:spcAft>
            <a:buChar char="••"/>
          </a:pPr>
          <a:r>
            <a:rPr lang="en-US" sz="1200" kern="1200"/>
            <a:t>ENG 270 - The Old Testament As Literature</a:t>
          </a:r>
        </a:p>
        <a:p>
          <a:pPr marL="114300" lvl="1" indent="-114300" algn="l" defTabSz="533400">
            <a:lnSpc>
              <a:spcPct val="90000"/>
            </a:lnSpc>
            <a:spcBef>
              <a:spcPct val="0"/>
            </a:spcBef>
            <a:spcAft>
              <a:spcPct val="15000"/>
            </a:spcAft>
            <a:buChar char="••"/>
          </a:pPr>
          <a:r>
            <a:rPr lang="en-US" sz="1200" kern="1200"/>
            <a:t>ENG 271 - The New Testament As Literature</a:t>
          </a:r>
        </a:p>
        <a:p>
          <a:pPr marL="114300" lvl="1" indent="-114300" algn="l" defTabSz="533400">
            <a:lnSpc>
              <a:spcPct val="90000"/>
            </a:lnSpc>
            <a:spcBef>
              <a:spcPct val="0"/>
            </a:spcBef>
            <a:spcAft>
              <a:spcPct val="15000"/>
            </a:spcAft>
            <a:buChar char="••"/>
          </a:pPr>
          <a:r>
            <a:rPr lang="en-US" sz="1200" kern="1200"/>
            <a:t>ENG 281/HUM281 - Introduction To Film</a:t>
          </a:r>
        </a:p>
        <a:p>
          <a:pPr marL="114300" lvl="1" indent="-114300" algn="l" defTabSz="533400">
            <a:lnSpc>
              <a:spcPct val="90000"/>
            </a:lnSpc>
            <a:spcBef>
              <a:spcPct val="0"/>
            </a:spcBef>
            <a:spcAft>
              <a:spcPct val="15000"/>
            </a:spcAft>
            <a:buChar char="••"/>
          </a:pPr>
          <a:r>
            <a:rPr lang="en-US" sz="1200" kern="1200"/>
            <a:t>ENG 282/HUM 282 - International Film Studies</a:t>
          </a:r>
        </a:p>
        <a:p>
          <a:pPr marL="114300" lvl="1" indent="-114300" algn="l" defTabSz="533400">
            <a:lnSpc>
              <a:spcPct val="90000"/>
            </a:lnSpc>
            <a:spcBef>
              <a:spcPct val="0"/>
            </a:spcBef>
            <a:spcAft>
              <a:spcPct val="15000"/>
            </a:spcAft>
            <a:buChar char="••"/>
          </a:pPr>
          <a:r>
            <a:rPr lang="en-US" sz="1200" kern="1200"/>
            <a:t>FLK 276 - Introduction To Folk Studies</a:t>
          </a:r>
        </a:p>
        <a:p>
          <a:pPr marL="114300" lvl="1" indent="-114300" algn="l" defTabSz="533400">
            <a:lnSpc>
              <a:spcPct val="90000"/>
            </a:lnSpc>
            <a:spcBef>
              <a:spcPct val="0"/>
            </a:spcBef>
            <a:spcAft>
              <a:spcPct val="15000"/>
            </a:spcAft>
            <a:buChar char="••"/>
          </a:pPr>
          <a:r>
            <a:rPr lang="en-US" sz="1200" kern="1200"/>
            <a:t>GEN 125 - Applied Meta-Thinking</a:t>
          </a:r>
        </a:p>
        <a:p>
          <a:pPr marL="114300" lvl="1" indent="-114300" algn="l" defTabSz="533400">
            <a:lnSpc>
              <a:spcPct val="90000"/>
            </a:lnSpc>
            <a:spcBef>
              <a:spcPct val="0"/>
            </a:spcBef>
            <a:spcAft>
              <a:spcPct val="15000"/>
            </a:spcAft>
            <a:buChar char="••"/>
          </a:pPr>
          <a:r>
            <a:rPr lang="en-US" sz="1200" kern="1200"/>
            <a:t>HNR 101 - Introduction To Contemporary Thought</a:t>
          </a:r>
        </a:p>
        <a:p>
          <a:pPr marL="114300" lvl="1" indent="-114300" algn="l" defTabSz="533400">
            <a:lnSpc>
              <a:spcPct val="90000"/>
            </a:lnSpc>
            <a:spcBef>
              <a:spcPct val="0"/>
            </a:spcBef>
            <a:spcAft>
              <a:spcPct val="15000"/>
            </a:spcAft>
            <a:buChar char="••"/>
          </a:pPr>
          <a:r>
            <a:rPr lang="en-US" sz="1200" kern="1200"/>
            <a:t>HON 101 - The Ancient World</a:t>
          </a:r>
        </a:p>
        <a:p>
          <a:pPr marL="114300" lvl="1" indent="-114300" algn="l" defTabSz="533400">
            <a:lnSpc>
              <a:spcPct val="90000"/>
            </a:lnSpc>
            <a:spcBef>
              <a:spcPct val="0"/>
            </a:spcBef>
            <a:spcAft>
              <a:spcPct val="15000"/>
            </a:spcAft>
            <a:buChar char="••"/>
          </a:pPr>
          <a:r>
            <a:rPr lang="en-US" sz="1200" kern="1200"/>
            <a:t>HON 102 - The Medieval &amp; Renaissance World</a:t>
          </a:r>
        </a:p>
        <a:p>
          <a:pPr marL="114300" lvl="1" indent="-114300" algn="l" defTabSz="533400">
            <a:lnSpc>
              <a:spcPct val="90000"/>
            </a:lnSpc>
            <a:spcBef>
              <a:spcPct val="0"/>
            </a:spcBef>
            <a:spcAft>
              <a:spcPct val="15000"/>
            </a:spcAft>
            <a:buChar char="••"/>
          </a:pPr>
          <a:r>
            <a:rPr lang="en-US" sz="1200" kern="1200"/>
            <a:t>HON 201 - The Early &amp; Modern World</a:t>
          </a:r>
        </a:p>
        <a:p>
          <a:pPr marL="114300" lvl="1" indent="-114300" algn="l" defTabSz="533400">
            <a:lnSpc>
              <a:spcPct val="90000"/>
            </a:lnSpc>
            <a:spcBef>
              <a:spcPct val="0"/>
            </a:spcBef>
            <a:spcAft>
              <a:spcPct val="15000"/>
            </a:spcAft>
            <a:buChar char="••"/>
          </a:pPr>
          <a:r>
            <a:rPr lang="en-US" sz="1200" kern="1200"/>
            <a:t>HON 202 - The Contemporary World</a:t>
          </a:r>
        </a:p>
        <a:p>
          <a:pPr marL="114300" lvl="1" indent="-114300" algn="l" defTabSz="533400">
            <a:lnSpc>
              <a:spcPct val="90000"/>
            </a:lnSpc>
            <a:spcBef>
              <a:spcPct val="0"/>
            </a:spcBef>
            <a:spcAft>
              <a:spcPct val="15000"/>
            </a:spcAft>
            <a:buChar char="••"/>
          </a:pPr>
          <a:r>
            <a:rPr lang="en-US" sz="1200" kern="1200"/>
            <a:t>HRS 101 - An Integrated Survey Of Western Civilization I</a:t>
          </a:r>
        </a:p>
        <a:p>
          <a:pPr marL="114300" lvl="1" indent="-114300" algn="l" defTabSz="533400">
            <a:lnSpc>
              <a:spcPct val="90000"/>
            </a:lnSpc>
            <a:spcBef>
              <a:spcPct val="0"/>
            </a:spcBef>
            <a:spcAft>
              <a:spcPct val="15000"/>
            </a:spcAft>
            <a:buChar char="••"/>
          </a:pPr>
          <a:r>
            <a:rPr lang="en-US" sz="1200" kern="1200"/>
            <a:t>HRS 102 - An Integrated Survey Of Western Civilization II</a:t>
          </a:r>
        </a:p>
        <a:p>
          <a:pPr marL="114300" lvl="1" indent="-114300" algn="l" defTabSz="533400">
            <a:lnSpc>
              <a:spcPct val="90000"/>
            </a:lnSpc>
            <a:spcBef>
              <a:spcPct val="0"/>
            </a:spcBef>
            <a:spcAft>
              <a:spcPct val="15000"/>
            </a:spcAft>
            <a:buChar char="••"/>
          </a:pPr>
          <a:r>
            <a:rPr lang="en-US" sz="1200" kern="1200"/>
            <a:t>HRS 201 - An Integrated Survey Of Western Civilization III</a:t>
          </a:r>
        </a:p>
        <a:p>
          <a:pPr marL="114300" lvl="1" indent="-114300" algn="l" defTabSz="533400">
            <a:lnSpc>
              <a:spcPct val="90000"/>
            </a:lnSpc>
            <a:spcBef>
              <a:spcPct val="0"/>
            </a:spcBef>
            <a:spcAft>
              <a:spcPct val="15000"/>
            </a:spcAft>
            <a:buChar char="••"/>
          </a:pPr>
          <a:r>
            <a:rPr lang="en-US" sz="1200" kern="1200"/>
            <a:t>HRS 202 - An Integrated Survey Of Western Civilization IV</a:t>
          </a:r>
        </a:p>
        <a:p>
          <a:pPr marL="114300" lvl="1" indent="-114300" algn="l" defTabSz="533400">
            <a:lnSpc>
              <a:spcPct val="90000"/>
            </a:lnSpc>
            <a:spcBef>
              <a:spcPct val="0"/>
            </a:spcBef>
            <a:spcAft>
              <a:spcPct val="15000"/>
            </a:spcAft>
            <a:buChar char="••"/>
          </a:pPr>
          <a:r>
            <a:rPr lang="en-US" sz="1200" kern="1200"/>
            <a:t>HUM 120 - Introduction To The Humanities</a:t>
          </a:r>
        </a:p>
        <a:p>
          <a:pPr marL="114300" lvl="1" indent="-114300" algn="l" defTabSz="533400">
            <a:lnSpc>
              <a:spcPct val="90000"/>
            </a:lnSpc>
            <a:spcBef>
              <a:spcPct val="0"/>
            </a:spcBef>
            <a:spcAft>
              <a:spcPct val="15000"/>
            </a:spcAft>
            <a:buChar char="••"/>
          </a:pPr>
          <a:r>
            <a:rPr lang="en-US" sz="1200" kern="1200"/>
            <a:t>HUM 121 - Peace Studies</a:t>
          </a:r>
        </a:p>
        <a:p>
          <a:pPr marL="114300" lvl="1" indent="-114300" algn="l" defTabSz="533400">
            <a:lnSpc>
              <a:spcPct val="90000"/>
            </a:lnSpc>
            <a:spcBef>
              <a:spcPct val="0"/>
            </a:spcBef>
            <a:spcAft>
              <a:spcPct val="15000"/>
            </a:spcAft>
            <a:buChar char="••"/>
          </a:pPr>
          <a:r>
            <a:rPr lang="en-US" sz="1200" kern="1200"/>
            <a:t>HUM 135 - Introduction To Native American Literature</a:t>
          </a:r>
        </a:p>
        <a:p>
          <a:pPr marL="114300" lvl="1" indent="-114300" algn="l" defTabSz="533400">
            <a:lnSpc>
              <a:spcPct val="90000"/>
            </a:lnSpc>
            <a:spcBef>
              <a:spcPct val="0"/>
            </a:spcBef>
            <a:spcAft>
              <a:spcPct val="15000"/>
            </a:spcAft>
            <a:buChar char="••"/>
          </a:pPr>
          <a:r>
            <a:rPr lang="en-US" sz="1200" kern="1200"/>
            <a:t>HUM 140 - Introduction To Latino Literature</a:t>
          </a:r>
        </a:p>
        <a:p>
          <a:pPr marL="114300" lvl="1" indent="-114300" algn="l" defTabSz="533400">
            <a:lnSpc>
              <a:spcPct val="90000"/>
            </a:lnSpc>
            <a:spcBef>
              <a:spcPct val="0"/>
            </a:spcBef>
            <a:spcAft>
              <a:spcPct val="15000"/>
            </a:spcAft>
            <a:buChar char="••"/>
          </a:pPr>
          <a:r>
            <a:rPr lang="en-US" sz="1200" kern="1200"/>
            <a:t>HUM 150 - Introduction To African Literature </a:t>
          </a:r>
        </a:p>
        <a:p>
          <a:pPr marL="114300" lvl="1" indent="-114300" algn="l" defTabSz="533400">
            <a:lnSpc>
              <a:spcPct val="90000"/>
            </a:lnSpc>
            <a:spcBef>
              <a:spcPct val="0"/>
            </a:spcBef>
            <a:spcAft>
              <a:spcPct val="15000"/>
            </a:spcAft>
            <a:buChar char="••"/>
          </a:pPr>
          <a:r>
            <a:rPr lang="en-US" sz="1200" kern="1200"/>
            <a:t>HUM 160 - Introduction To Holocaust Literature &amp; Film</a:t>
          </a:r>
        </a:p>
        <a:p>
          <a:pPr marL="114300" lvl="1" indent="-114300" algn="l" defTabSz="533400">
            <a:lnSpc>
              <a:spcPct val="90000"/>
            </a:lnSpc>
            <a:spcBef>
              <a:spcPct val="0"/>
            </a:spcBef>
            <a:spcAft>
              <a:spcPct val="15000"/>
            </a:spcAft>
            <a:buChar char="••"/>
          </a:pPr>
          <a:r>
            <a:rPr lang="en-US" sz="1200" kern="1200"/>
            <a:t>HUM 202 - Survey Of Appalachian Studies I</a:t>
          </a:r>
        </a:p>
        <a:p>
          <a:pPr marL="114300" lvl="1" indent="-114300" algn="l" defTabSz="533400">
            <a:lnSpc>
              <a:spcPct val="90000"/>
            </a:lnSpc>
            <a:spcBef>
              <a:spcPct val="0"/>
            </a:spcBef>
            <a:spcAft>
              <a:spcPct val="15000"/>
            </a:spcAft>
            <a:buChar char="••"/>
          </a:pPr>
          <a:r>
            <a:rPr lang="en-US" sz="1200" kern="1200"/>
            <a:t>HUM 203 - Survey Of Appalachian Studies II</a:t>
          </a:r>
        </a:p>
        <a:p>
          <a:pPr marL="114300" lvl="1" indent="-114300" algn="l" defTabSz="533400">
            <a:lnSpc>
              <a:spcPct val="90000"/>
            </a:lnSpc>
            <a:spcBef>
              <a:spcPct val="0"/>
            </a:spcBef>
            <a:spcAft>
              <a:spcPct val="15000"/>
            </a:spcAft>
            <a:buChar char="••"/>
          </a:pPr>
          <a:r>
            <a:rPr lang="en-US" sz="1200" kern="1200"/>
            <a:t>HUM 204 - Appalachian Seminar</a:t>
          </a:r>
        </a:p>
        <a:p>
          <a:pPr marL="114300" lvl="1" indent="-114300" algn="l" defTabSz="533400">
            <a:lnSpc>
              <a:spcPct val="90000"/>
            </a:lnSpc>
            <a:spcBef>
              <a:spcPct val="0"/>
            </a:spcBef>
            <a:spcAft>
              <a:spcPct val="15000"/>
            </a:spcAft>
            <a:buChar char="••"/>
          </a:pPr>
          <a:r>
            <a:rPr lang="en-US" sz="1200" kern="1200"/>
            <a:t>HUM 220 - Historical Perspectives On Peace &amp; War</a:t>
          </a:r>
        </a:p>
        <a:p>
          <a:pPr marL="114300" lvl="1" indent="-114300" algn="l" defTabSz="533400">
            <a:lnSpc>
              <a:spcPct val="90000"/>
            </a:lnSpc>
            <a:spcBef>
              <a:spcPct val="0"/>
            </a:spcBef>
            <a:spcAft>
              <a:spcPct val="15000"/>
            </a:spcAft>
            <a:buChar char="••"/>
          </a:pPr>
          <a:r>
            <a:rPr lang="en-US" sz="1200" kern="1200"/>
            <a:t>HUM 230 - Contemporary Japanese Literature &amp; Culture In Translation</a:t>
          </a:r>
        </a:p>
        <a:p>
          <a:pPr marL="114300" lvl="1" indent="-114300" algn="l" defTabSz="533400">
            <a:lnSpc>
              <a:spcPct val="90000"/>
            </a:lnSpc>
            <a:spcBef>
              <a:spcPct val="0"/>
            </a:spcBef>
            <a:spcAft>
              <a:spcPct val="15000"/>
            </a:spcAft>
            <a:buChar char="••"/>
          </a:pPr>
          <a:r>
            <a:rPr lang="en-US" sz="1200" kern="1200"/>
            <a:t>HUM 250 - Appalachian Literature Survey</a:t>
          </a:r>
        </a:p>
        <a:p>
          <a:pPr marL="114300" lvl="1" indent="-114300" algn="l" defTabSz="533400">
            <a:lnSpc>
              <a:spcPct val="90000"/>
            </a:lnSpc>
            <a:spcBef>
              <a:spcPct val="0"/>
            </a:spcBef>
            <a:spcAft>
              <a:spcPct val="15000"/>
            </a:spcAft>
            <a:buChar char="••"/>
          </a:pPr>
          <a:r>
            <a:rPr lang="en-US" sz="1200" kern="1200"/>
            <a:t>HUM 251 - Contemporary Appalachian Literature</a:t>
          </a:r>
        </a:p>
        <a:p>
          <a:pPr marL="114300" lvl="1" indent="-114300" algn="l" defTabSz="533400">
            <a:lnSpc>
              <a:spcPct val="90000"/>
            </a:lnSpc>
            <a:spcBef>
              <a:spcPct val="0"/>
            </a:spcBef>
            <a:spcAft>
              <a:spcPct val="15000"/>
            </a:spcAft>
            <a:buChar char="••"/>
          </a:pPr>
          <a:r>
            <a:rPr lang="en-US" sz="1200" kern="1200"/>
            <a:t>HUM 281 - Introduction To Film</a:t>
          </a:r>
        </a:p>
        <a:p>
          <a:pPr marL="114300" lvl="1" indent="-114300" algn="l" defTabSz="533400">
            <a:lnSpc>
              <a:spcPct val="90000"/>
            </a:lnSpc>
            <a:spcBef>
              <a:spcPct val="0"/>
            </a:spcBef>
            <a:spcAft>
              <a:spcPct val="15000"/>
            </a:spcAft>
            <a:buChar char="••"/>
          </a:pPr>
          <a:r>
            <a:rPr lang="en-US" sz="1200" kern="1200"/>
            <a:t>MU 101 - Folk &amp; Traditional Music Of Western Continents</a:t>
          </a:r>
        </a:p>
        <a:p>
          <a:pPr marL="114300" lvl="1" indent="-114300" algn="l" defTabSz="533400">
            <a:lnSpc>
              <a:spcPct val="90000"/>
            </a:lnSpc>
            <a:spcBef>
              <a:spcPct val="0"/>
            </a:spcBef>
            <a:spcAft>
              <a:spcPct val="15000"/>
            </a:spcAft>
            <a:buChar char="••"/>
          </a:pPr>
          <a:r>
            <a:rPr lang="en-US" sz="1200" kern="1200"/>
            <a:t>MUS 100 - Introduction To Music</a:t>
          </a:r>
        </a:p>
        <a:p>
          <a:pPr marL="114300" lvl="1" indent="-114300" algn="l" defTabSz="533400">
            <a:lnSpc>
              <a:spcPct val="90000"/>
            </a:lnSpc>
            <a:spcBef>
              <a:spcPct val="0"/>
            </a:spcBef>
            <a:spcAft>
              <a:spcPct val="15000"/>
            </a:spcAft>
            <a:buChar char="••"/>
          </a:pPr>
          <a:r>
            <a:rPr lang="en-US" sz="1200" kern="1200"/>
            <a:t>MUS 104 - Introduction To Jazz History</a:t>
          </a:r>
        </a:p>
        <a:p>
          <a:pPr marL="114300" lvl="1" indent="-114300" algn="l" defTabSz="533400">
            <a:lnSpc>
              <a:spcPct val="90000"/>
            </a:lnSpc>
            <a:spcBef>
              <a:spcPct val="0"/>
            </a:spcBef>
            <a:spcAft>
              <a:spcPct val="15000"/>
            </a:spcAft>
            <a:buChar char="••"/>
          </a:pPr>
          <a:r>
            <a:rPr lang="en-US" sz="1200" kern="1200"/>
            <a:t>MUS 206 -American Music</a:t>
          </a:r>
        </a:p>
        <a:p>
          <a:pPr marL="114300" lvl="1" indent="-114300" algn="l" defTabSz="533400">
            <a:lnSpc>
              <a:spcPct val="90000"/>
            </a:lnSpc>
            <a:spcBef>
              <a:spcPct val="0"/>
            </a:spcBef>
            <a:spcAft>
              <a:spcPct val="15000"/>
            </a:spcAft>
            <a:buChar char="••"/>
          </a:pPr>
          <a:r>
            <a:rPr lang="en-US" sz="1200" kern="1200"/>
            <a:t>MUS 207 - African American Music History</a:t>
          </a:r>
        </a:p>
        <a:p>
          <a:pPr marL="114300" lvl="1" indent="-114300" algn="l" defTabSz="533400">
            <a:lnSpc>
              <a:spcPct val="90000"/>
            </a:lnSpc>
            <a:spcBef>
              <a:spcPct val="0"/>
            </a:spcBef>
            <a:spcAft>
              <a:spcPct val="15000"/>
            </a:spcAft>
            <a:buChar char="••"/>
          </a:pPr>
          <a:r>
            <a:rPr lang="en-US" sz="1200" kern="1200"/>
            <a:t>MUS 208 - World Music</a:t>
          </a:r>
        </a:p>
        <a:p>
          <a:pPr marL="114300" lvl="1" indent="-114300" algn="l" defTabSz="533400">
            <a:lnSpc>
              <a:spcPct val="90000"/>
            </a:lnSpc>
            <a:spcBef>
              <a:spcPct val="0"/>
            </a:spcBef>
            <a:spcAft>
              <a:spcPct val="15000"/>
            </a:spcAft>
            <a:buChar char="••"/>
          </a:pPr>
          <a:r>
            <a:rPr lang="en-US" sz="1200" kern="1200"/>
            <a:t>MUS 222 - History &amp; Sociology Of Rock Music</a:t>
          </a:r>
        </a:p>
        <a:p>
          <a:pPr marL="114300" lvl="1" indent="-114300" algn="l" defTabSz="533400">
            <a:lnSpc>
              <a:spcPct val="90000"/>
            </a:lnSpc>
            <a:spcBef>
              <a:spcPct val="0"/>
            </a:spcBef>
            <a:spcAft>
              <a:spcPct val="15000"/>
            </a:spcAft>
            <a:buChar char="••"/>
          </a:pPr>
          <a:r>
            <a:rPr lang="en-US" sz="1200" kern="1200"/>
            <a:t>PHI 100 - Introduction To Philosophy:  Knowledge &amp; Reality</a:t>
          </a:r>
        </a:p>
        <a:p>
          <a:pPr marL="114300" lvl="1" indent="-114300" algn="l" defTabSz="533400">
            <a:lnSpc>
              <a:spcPct val="90000"/>
            </a:lnSpc>
            <a:spcBef>
              <a:spcPct val="0"/>
            </a:spcBef>
            <a:spcAft>
              <a:spcPct val="15000"/>
            </a:spcAft>
            <a:buChar char="••"/>
          </a:pPr>
          <a:r>
            <a:rPr lang="en-US" sz="1200" kern="1200"/>
            <a:t>PHI 110 - Medical Ethics</a:t>
          </a:r>
        </a:p>
        <a:p>
          <a:pPr marL="114300" lvl="1" indent="-114300" algn="l" defTabSz="533400">
            <a:lnSpc>
              <a:spcPct val="90000"/>
            </a:lnSpc>
            <a:spcBef>
              <a:spcPct val="0"/>
            </a:spcBef>
            <a:spcAft>
              <a:spcPct val="15000"/>
            </a:spcAft>
            <a:buChar char="••"/>
          </a:pPr>
          <a:r>
            <a:rPr lang="en-US" sz="1200" kern="1200"/>
            <a:t>PHI 120 - Introductory Logic</a:t>
          </a:r>
        </a:p>
        <a:p>
          <a:pPr marL="114300" lvl="1" indent="-114300" algn="l" defTabSz="533400">
            <a:lnSpc>
              <a:spcPct val="90000"/>
            </a:lnSpc>
            <a:spcBef>
              <a:spcPct val="0"/>
            </a:spcBef>
            <a:spcAft>
              <a:spcPct val="15000"/>
            </a:spcAft>
            <a:buChar char="••"/>
          </a:pPr>
          <a:r>
            <a:rPr lang="en-US" sz="1200" kern="1200"/>
            <a:t>PHI 130 - Ethics</a:t>
          </a:r>
        </a:p>
        <a:p>
          <a:pPr marL="114300" lvl="1" indent="-114300" algn="l" defTabSz="533400">
            <a:lnSpc>
              <a:spcPct val="90000"/>
            </a:lnSpc>
            <a:spcBef>
              <a:spcPct val="0"/>
            </a:spcBef>
            <a:spcAft>
              <a:spcPct val="15000"/>
            </a:spcAft>
            <a:buChar char="••"/>
          </a:pPr>
          <a:r>
            <a:rPr lang="en-US" sz="1200" kern="1200"/>
            <a:t>PHI 140 - The Ethics Of War &amp; Peace</a:t>
          </a:r>
        </a:p>
        <a:p>
          <a:pPr marL="114300" lvl="1" indent="-114300" algn="l" defTabSz="533400">
            <a:lnSpc>
              <a:spcPct val="90000"/>
            </a:lnSpc>
            <a:spcBef>
              <a:spcPct val="0"/>
            </a:spcBef>
            <a:spcAft>
              <a:spcPct val="15000"/>
            </a:spcAft>
            <a:buChar char="••"/>
          </a:pPr>
          <a:r>
            <a:rPr lang="en-US" sz="1200" kern="1200"/>
            <a:t>PHI 150 - Business Ethics</a:t>
          </a:r>
        </a:p>
        <a:p>
          <a:pPr marL="114300" lvl="1" indent="-114300" algn="l" defTabSz="533400">
            <a:lnSpc>
              <a:spcPct val="90000"/>
            </a:lnSpc>
            <a:spcBef>
              <a:spcPct val="0"/>
            </a:spcBef>
            <a:spcAft>
              <a:spcPct val="15000"/>
            </a:spcAft>
            <a:buChar char="••"/>
          </a:pPr>
          <a:r>
            <a:rPr lang="en-US" sz="1200" kern="1200"/>
            <a:t>PHI 260 - History Of Philosophy I:  From Greek Beginnings To The Middle Ages</a:t>
          </a:r>
        </a:p>
        <a:p>
          <a:pPr marL="114300" lvl="1" indent="-114300" algn="l" defTabSz="533400">
            <a:lnSpc>
              <a:spcPct val="90000"/>
            </a:lnSpc>
            <a:spcBef>
              <a:spcPct val="0"/>
            </a:spcBef>
            <a:spcAft>
              <a:spcPct val="15000"/>
            </a:spcAft>
            <a:buChar char="••"/>
          </a:pPr>
          <a:r>
            <a:rPr lang="en-US" sz="1200" kern="1200"/>
            <a:t>PHI 270 - History Of Philosophy II:  From The Renaissance To The Present Era</a:t>
          </a:r>
        </a:p>
        <a:p>
          <a:pPr marL="114300" lvl="1" indent="-114300" algn="l" defTabSz="533400">
            <a:lnSpc>
              <a:spcPct val="90000"/>
            </a:lnSpc>
            <a:spcBef>
              <a:spcPct val="0"/>
            </a:spcBef>
            <a:spcAft>
              <a:spcPct val="15000"/>
            </a:spcAft>
            <a:buChar char="••"/>
          </a:pPr>
          <a:r>
            <a:rPr lang="en-US" sz="1200" kern="1200"/>
            <a:t>REL 101 - Introduction To Religious Studies</a:t>
          </a:r>
        </a:p>
        <a:p>
          <a:pPr marL="114300" lvl="1" indent="-114300" algn="l" defTabSz="533400">
            <a:lnSpc>
              <a:spcPct val="90000"/>
            </a:lnSpc>
            <a:spcBef>
              <a:spcPct val="0"/>
            </a:spcBef>
            <a:spcAft>
              <a:spcPct val="15000"/>
            </a:spcAft>
            <a:buChar char="••"/>
          </a:pPr>
          <a:r>
            <a:rPr lang="en-US" sz="1200" kern="1200"/>
            <a:t>REL 120 - Introduction To The Old Testament</a:t>
          </a:r>
        </a:p>
        <a:p>
          <a:pPr marL="114300" lvl="1" indent="-114300" algn="l" defTabSz="533400">
            <a:lnSpc>
              <a:spcPct val="90000"/>
            </a:lnSpc>
            <a:spcBef>
              <a:spcPct val="0"/>
            </a:spcBef>
            <a:spcAft>
              <a:spcPct val="15000"/>
            </a:spcAft>
            <a:buChar char="••"/>
          </a:pPr>
          <a:r>
            <a:rPr lang="en-US" sz="1200" kern="1200"/>
            <a:t>REL 121 - Introduction To The New Testament</a:t>
          </a:r>
        </a:p>
        <a:p>
          <a:pPr marL="114300" lvl="1" indent="-114300" algn="l" defTabSz="533400">
            <a:lnSpc>
              <a:spcPct val="90000"/>
            </a:lnSpc>
            <a:spcBef>
              <a:spcPct val="0"/>
            </a:spcBef>
            <a:spcAft>
              <a:spcPct val="15000"/>
            </a:spcAft>
            <a:buChar char="••"/>
          </a:pPr>
          <a:r>
            <a:rPr lang="en-US" sz="1200" kern="1200"/>
            <a:t>REL 130 - Introduction To Comparative religion</a:t>
          </a:r>
        </a:p>
        <a:p>
          <a:pPr marL="114300" lvl="1" indent="-114300" algn="l" defTabSz="533400">
            <a:lnSpc>
              <a:spcPct val="90000"/>
            </a:lnSpc>
            <a:spcBef>
              <a:spcPct val="0"/>
            </a:spcBef>
            <a:spcAft>
              <a:spcPct val="15000"/>
            </a:spcAft>
            <a:buChar char="••"/>
          </a:pPr>
          <a:r>
            <a:rPr lang="en-US" sz="1200" kern="1200"/>
            <a:t>THA 101 - Introduction To Theatre:  Principles &amp; Practices</a:t>
          </a:r>
        </a:p>
        <a:p>
          <a:pPr marL="114300" lvl="1" indent="-114300" algn="l" defTabSz="533400">
            <a:lnSpc>
              <a:spcPct val="90000"/>
            </a:lnSpc>
            <a:spcBef>
              <a:spcPct val="0"/>
            </a:spcBef>
            <a:spcAft>
              <a:spcPct val="15000"/>
            </a:spcAft>
            <a:buChar char="••"/>
          </a:pPr>
          <a:r>
            <a:rPr lang="en-US" sz="1200" kern="1200"/>
            <a:t>THA 200 - Introduction To Dramatic Literature</a:t>
          </a:r>
        </a:p>
        <a:p>
          <a:pPr marL="114300" lvl="1" indent="-114300" algn="l" defTabSz="533400">
            <a:lnSpc>
              <a:spcPct val="90000"/>
            </a:lnSpc>
            <a:spcBef>
              <a:spcPct val="0"/>
            </a:spcBef>
            <a:spcAft>
              <a:spcPct val="15000"/>
            </a:spcAft>
            <a:buChar char="••"/>
          </a:pPr>
          <a:r>
            <a:rPr lang="en-US" sz="1200" kern="1200"/>
            <a:t>THA 283 - American Theatre</a:t>
          </a:r>
        </a:p>
        <a:p>
          <a:pPr marL="114300" lvl="1" indent="-114300" algn="l" defTabSz="533400">
            <a:lnSpc>
              <a:spcPct val="90000"/>
            </a:lnSpc>
            <a:spcBef>
              <a:spcPct val="0"/>
            </a:spcBef>
            <a:spcAft>
              <a:spcPct val="15000"/>
            </a:spcAft>
            <a:buChar char="••"/>
          </a:pPr>
          <a:r>
            <a:rPr lang="en-US" sz="1200" kern="1200"/>
            <a:t>WGS 201 - Introduction To Women's &amp; Gender Studies In The Arts &amp; humanities</a:t>
          </a:r>
        </a:p>
      </dsp:txBody>
      <dsp:txXfrm>
        <a:off x="0" y="9019483"/>
        <a:ext cx="6657976" cy="15120000"/>
      </dsp:txXfrm>
    </dsp:sp>
    <dsp:sp modelId="{D3B6AE60-02C5-4783-838B-9B0AB0FC527F}">
      <dsp:nvSpPr>
        <dsp:cNvPr id="0" name=""/>
        <dsp:cNvSpPr/>
      </dsp:nvSpPr>
      <dsp:spPr>
        <a:xfrm>
          <a:off x="332898" y="884236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Arts &amp; Humanities - Humanities</a:t>
          </a:r>
        </a:p>
      </dsp:txBody>
      <dsp:txXfrm>
        <a:off x="350191" y="8859656"/>
        <a:ext cx="4625997" cy="319653"/>
      </dsp:txXfrm>
    </dsp:sp>
    <dsp:sp modelId="{DD9E5413-5447-4D82-930B-572E7D8779E8}">
      <dsp:nvSpPr>
        <dsp:cNvPr id="0" name=""/>
        <dsp:cNvSpPr/>
      </dsp:nvSpPr>
      <dsp:spPr>
        <a:xfrm>
          <a:off x="0" y="24381403"/>
          <a:ext cx="6657976" cy="114912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kern="1200"/>
            <a:t>AGR 101 - The Economics Of Food &amp; Agriculture</a:t>
          </a:r>
        </a:p>
        <a:p>
          <a:pPr marL="114300" lvl="1" indent="-114300" algn="l" defTabSz="533400">
            <a:lnSpc>
              <a:spcPct val="90000"/>
            </a:lnSpc>
            <a:spcBef>
              <a:spcPct val="0"/>
            </a:spcBef>
            <a:spcAft>
              <a:spcPct val="15000"/>
            </a:spcAft>
            <a:buChar char="••"/>
          </a:pPr>
          <a:r>
            <a:rPr lang="en-US" sz="1200" kern="1200"/>
            <a:t>ANT 101 - Introduction To Anthropology</a:t>
          </a:r>
        </a:p>
        <a:p>
          <a:pPr marL="114300" lvl="1" indent="-114300" algn="l" defTabSz="533400">
            <a:lnSpc>
              <a:spcPct val="90000"/>
            </a:lnSpc>
            <a:spcBef>
              <a:spcPct val="0"/>
            </a:spcBef>
            <a:spcAft>
              <a:spcPct val="15000"/>
            </a:spcAft>
            <a:buChar char="••"/>
          </a:pPr>
          <a:r>
            <a:rPr lang="en-US" sz="1200" kern="1200"/>
            <a:t>ANT 130/REL 130 - Introduction To Comparative Religion</a:t>
          </a:r>
        </a:p>
        <a:p>
          <a:pPr marL="114300" lvl="1" indent="-114300" algn="l" defTabSz="533400">
            <a:lnSpc>
              <a:spcPct val="90000"/>
            </a:lnSpc>
            <a:spcBef>
              <a:spcPct val="0"/>
            </a:spcBef>
            <a:spcAft>
              <a:spcPct val="15000"/>
            </a:spcAft>
            <a:buChar char="••"/>
          </a:pPr>
          <a:r>
            <a:rPr lang="en-US" sz="1200" kern="1200"/>
            <a:t>ANT 160 - Cultural Diversity In The Modern World</a:t>
          </a:r>
        </a:p>
        <a:p>
          <a:pPr marL="114300" lvl="1" indent="-114300" algn="l" defTabSz="533400">
            <a:lnSpc>
              <a:spcPct val="90000"/>
            </a:lnSpc>
            <a:spcBef>
              <a:spcPct val="0"/>
            </a:spcBef>
            <a:spcAft>
              <a:spcPct val="15000"/>
            </a:spcAft>
            <a:buChar char="••"/>
          </a:pPr>
          <a:r>
            <a:rPr lang="en-US" sz="1200" kern="1200"/>
            <a:t>ANT 220 - Introduction To Cultural Anthropology</a:t>
          </a:r>
        </a:p>
        <a:p>
          <a:pPr marL="114300" lvl="1" indent="-114300" algn="l" defTabSz="533400">
            <a:lnSpc>
              <a:spcPct val="90000"/>
            </a:lnSpc>
            <a:spcBef>
              <a:spcPct val="0"/>
            </a:spcBef>
            <a:spcAft>
              <a:spcPct val="15000"/>
            </a:spcAft>
            <a:buChar char="••"/>
          </a:pPr>
          <a:r>
            <a:rPr lang="en-US" sz="1200" kern="1200"/>
            <a:t>ANT 221- Native People Of North America</a:t>
          </a:r>
        </a:p>
        <a:p>
          <a:pPr marL="114300" lvl="1" indent="-114300" algn="l" defTabSz="533400">
            <a:lnSpc>
              <a:spcPct val="90000"/>
            </a:lnSpc>
            <a:spcBef>
              <a:spcPct val="0"/>
            </a:spcBef>
            <a:spcAft>
              <a:spcPct val="15000"/>
            </a:spcAft>
            <a:buChar char="••"/>
          </a:pPr>
          <a:r>
            <a:rPr lang="en-US" sz="1200" kern="1200"/>
            <a:t>ANT 235 - Food &amp; Culture</a:t>
          </a:r>
        </a:p>
        <a:p>
          <a:pPr marL="114300" lvl="1" indent="-114300" algn="l" defTabSz="533400">
            <a:lnSpc>
              <a:spcPct val="90000"/>
            </a:lnSpc>
            <a:spcBef>
              <a:spcPct val="0"/>
            </a:spcBef>
            <a:spcAft>
              <a:spcPct val="15000"/>
            </a:spcAft>
            <a:buChar char="••"/>
          </a:pPr>
          <a:r>
            <a:rPr lang="en-US" sz="1200" kern="1200"/>
            <a:t>ANT 241 - Origins Of Old World Civilizations</a:t>
          </a:r>
        </a:p>
        <a:p>
          <a:pPr marL="114300" lvl="1" indent="-114300" algn="l" defTabSz="533400">
            <a:lnSpc>
              <a:spcPct val="90000"/>
            </a:lnSpc>
            <a:spcBef>
              <a:spcPct val="0"/>
            </a:spcBef>
            <a:spcAft>
              <a:spcPct val="15000"/>
            </a:spcAft>
            <a:buChar char="••"/>
          </a:pPr>
          <a:r>
            <a:rPr lang="en-US" sz="1200" kern="1200"/>
            <a:t>ANT 242 - Origins Of New World Civilizations</a:t>
          </a:r>
        </a:p>
        <a:p>
          <a:pPr marL="114300" lvl="1" indent="-114300" algn="l" defTabSz="533400">
            <a:lnSpc>
              <a:spcPct val="90000"/>
            </a:lnSpc>
            <a:spcBef>
              <a:spcPct val="0"/>
            </a:spcBef>
            <a:spcAft>
              <a:spcPct val="15000"/>
            </a:spcAft>
            <a:buChar char="••"/>
          </a:pPr>
          <a:r>
            <a:rPr lang="en-US" sz="1200" kern="1200"/>
            <a:t>COM 101 - Introduction To Communications</a:t>
          </a:r>
        </a:p>
        <a:p>
          <a:pPr marL="114300" lvl="1" indent="-114300" algn="l" defTabSz="533400">
            <a:lnSpc>
              <a:spcPct val="90000"/>
            </a:lnSpc>
            <a:spcBef>
              <a:spcPct val="0"/>
            </a:spcBef>
            <a:spcAft>
              <a:spcPct val="15000"/>
            </a:spcAft>
            <a:buChar char="••"/>
          </a:pPr>
          <a:r>
            <a:rPr lang="en-US" sz="1200" kern="1200"/>
            <a:t>COM 249 - Mass Media &amp; Mass Culture</a:t>
          </a:r>
        </a:p>
        <a:p>
          <a:pPr marL="114300" lvl="1" indent="-114300" algn="l" defTabSz="533400">
            <a:lnSpc>
              <a:spcPct val="90000"/>
            </a:lnSpc>
            <a:spcBef>
              <a:spcPct val="0"/>
            </a:spcBef>
            <a:spcAft>
              <a:spcPct val="15000"/>
            </a:spcAft>
            <a:buChar char="••"/>
          </a:pPr>
          <a:r>
            <a:rPr lang="en-US" sz="1200" kern="1200"/>
            <a:t>COM 254 - Intro To Intercultural communications</a:t>
          </a:r>
        </a:p>
        <a:p>
          <a:pPr marL="114300" lvl="1" indent="-114300" algn="l" defTabSz="533400">
            <a:lnSpc>
              <a:spcPct val="90000"/>
            </a:lnSpc>
            <a:spcBef>
              <a:spcPct val="0"/>
            </a:spcBef>
            <a:spcAft>
              <a:spcPct val="15000"/>
            </a:spcAft>
            <a:buChar char="••"/>
          </a:pPr>
          <a:r>
            <a:rPr lang="en-US" sz="1200" kern="1200"/>
            <a:t>ECO 101 - Contemporary Economic Issues</a:t>
          </a:r>
        </a:p>
        <a:p>
          <a:pPr marL="114300" lvl="1" indent="-114300" algn="l" defTabSz="533400">
            <a:lnSpc>
              <a:spcPct val="90000"/>
            </a:lnSpc>
            <a:spcBef>
              <a:spcPct val="0"/>
            </a:spcBef>
            <a:spcAft>
              <a:spcPct val="15000"/>
            </a:spcAft>
            <a:buChar char="••"/>
          </a:pPr>
          <a:r>
            <a:rPr lang="en-US" sz="1200" kern="1200"/>
            <a:t>ECO 150 - Introduction To Global Economics</a:t>
          </a:r>
        </a:p>
        <a:p>
          <a:pPr marL="114300" lvl="1" indent="-114300" algn="l" defTabSz="533400">
            <a:lnSpc>
              <a:spcPct val="90000"/>
            </a:lnSpc>
            <a:spcBef>
              <a:spcPct val="0"/>
            </a:spcBef>
            <a:spcAft>
              <a:spcPct val="15000"/>
            </a:spcAft>
            <a:buChar char="••"/>
          </a:pPr>
          <a:r>
            <a:rPr lang="en-US" sz="1200" kern="1200"/>
            <a:t>ECO 201 - Principles Of Microeconomics</a:t>
          </a:r>
        </a:p>
        <a:p>
          <a:pPr marL="114300" lvl="1" indent="-114300" algn="l" defTabSz="533400">
            <a:lnSpc>
              <a:spcPct val="90000"/>
            </a:lnSpc>
            <a:spcBef>
              <a:spcPct val="0"/>
            </a:spcBef>
            <a:spcAft>
              <a:spcPct val="15000"/>
            </a:spcAft>
            <a:buChar char="••"/>
          </a:pPr>
          <a:r>
            <a:rPr lang="en-US" sz="1200" kern="1200"/>
            <a:t>ECO 202 - Principle Of Macroeconomics</a:t>
          </a:r>
        </a:p>
        <a:p>
          <a:pPr marL="114300" lvl="1" indent="-114300" algn="l" defTabSz="533400">
            <a:lnSpc>
              <a:spcPct val="90000"/>
            </a:lnSpc>
            <a:spcBef>
              <a:spcPct val="0"/>
            </a:spcBef>
            <a:spcAft>
              <a:spcPct val="15000"/>
            </a:spcAft>
            <a:buChar char="••"/>
          </a:pPr>
          <a:r>
            <a:rPr lang="en-US" sz="1200" kern="1200"/>
            <a:t>FAM 252 - Introduction To Family Science</a:t>
          </a:r>
        </a:p>
        <a:p>
          <a:pPr marL="114300" lvl="1" indent="-114300" algn="l" defTabSz="533400">
            <a:lnSpc>
              <a:spcPct val="90000"/>
            </a:lnSpc>
            <a:spcBef>
              <a:spcPct val="0"/>
            </a:spcBef>
            <a:spcAft>
              <a:spcPct val="15000"/>
            </a:spcAft>
            <a:buChar char="••"/>
          </a:pPr>
          <a:r>
            <a:rPr lang="en-US" sz="1200" kern="1200"/>
            <a:t>FAM 253 - Human Sexuality - Development, Behavior, &amp; Attitudes</a:t>
          </a:r>
        </a:p>
        <a:p>
          <a:pPr marL="114300" lvl="1" indent="-114300" algn="l" defTabSz="533400">
            <a:lnSpc>
              <a:spcPct val="90000"/>
            </a:lnSpc>
            <a:spcBef>
              <a:spcPct val="0"/>
            </a:spcBef>
            <a:spcAft>
              <a:spcPct val="15000"/>
            </a:spcAft>
            <a:buChar char="••"/>
          </a:pPr>
          <a:r>
            <a:rPr lang="en-US" sz="1200" kern="1200"/>
            <a:t>FLK 280 - Cultural Diversity In The U.S.</a:t>
          </a:r>
        </a:p>
        <a:p>
          <a:pPr marL="114300" lvl="1" indent="-114300" algn="l" defTabSz="533400">
            <a:lnSpc>
              <a:spcPct val="90000"/>
            </a:lnSpc>
            <a:spcBef>
              <a:spcPct val="0"/>
            </a:spcBef>
            <a:spcAft>
              <a:spcPct val="15000"/>
            </a:spcAft>
            <a:buChar char="••"/>
          </a:pPr>
          <a:r>
            <a:rPr lang="en-US" sz="1200" kern="1200"/>
            <a:t>GEN 140 - Development Of Leadership</a:t>
          </a:r>
        </a:p>
        <a:p>
          <a:pPr marL="114300" lvl="1" indent="-114300" algn="l" defTabSz="533400">
            <a:lnSpc>
              <a:spcPct val="90000"/>
            </a:lnSpc>
            <a:spcBef>
              <a:spcPct val="0"/>
            </a:spcBef>
            <a:spcAft>
              <a:spcPct val="15000"/>
            </a:spcAft>
            <a:buChar char="••"/>
          </a:pPr>
          <a:r>
            <a:rPr lang="en-US" sz="1200" kern="1200"/>
            <a:t>GEN 225 - Lifelong Learning Applications</a:t>
          </a:r>
        </a:p>
        <a:p>
          <a:pPr marL="114300" lvl="1" indent="-114300" algn="l" defTabSz="533400">
            <a:lnSpc>
              <a:spcPct val="90000"/>
            </a:lnSpc>
            <a:spcBef>
              <a:spcPct val="0"/>
            </a:spcBef>
            <a:spcAft>
              <a:spcPct val="15000"/>
            </a:spcAft>
            <a:buChar char="••"/>
          </a:pPr>
          <a:r>
            <a:rPr lang="en-US" sz="1200" kern="1200"/>
            <a:t>GEO 152 - Regional Geography Of The World</a:t>
          </a:r>
        </a:p>
        <a:p>
          <a:pPr marL="114300" lvl="1" indent="-114300" algn="l" defTabSz="533400">
            <a:lnSpc>
              <a:spcPct val="90000"/>
            </a:lnSpc>
            <a:spcBef>
              <a:spcPct val="0"/>
            </a:spcBef>
            <a:spcAft>
              <a:spcPct val="15000"/>
            </a:spcAft>
            <a:buChar char="••"/>
          </a:pPr>
          <a:r>
            <a:rPr lang="en-US" sz="1200" kern="1200"/>
            <a:t>GEO 160 - Lands &amp; Peoples Of the Non-Western World</a:t>
          </a:r>
        </a:p>
        <a:p>
          <a:pPr marL="114300" lvl="1" indent="-114300" algn="l" defTabSz="533400">
            <a:lnSpc>
              <a:spcPct val="90000"/>
            </a:lnSpc>
            <a:spcBef>
              <a:spcPct val="0"/>
            </a:spcBef>
            <a:spcAft>
              <a:spcPct val="15000"/>
            </a:spcAft>
            <a:buChar char="••"/>
          </a:pPr>
          <a:r>
            <a:rPr lang="en-US" sz="1200" kern="1200"/>
            <a:t>GEO 172 - Human Geography</a:t>
          </a:r>
        </a:p>
        <a:p>
          <a:pPr marL="114300" lvl="1" indent="-114300" algn="l" defTabSz="533400">
            <a:lnSpc>
              <a:spcPct val="90000"/>
            </a:lnSpc>
            <a:spcBef>
              <a:spcPct val="0"/>
            </a:spcBef>
            <a:spcAft>
              <a:spcPct val="15000"/>
            </a:spcAft>
            <a:buChar char="••"/>
          </a:pPr>
          <a:r>
            <a:rPr lang="en-US" sz="1200" kern="1200"/>
            <a:t>GEO 210 - Pollution, Hazards &amp; Environmental Management</a:t>
          </a:r>
        </a:p>
        <a:p>
          <a:pPr marL="114300" lvl="1" indent="-114300" algn="l" defTabSz="533400">
            <a:lnSpc>
              <a:spcPct val="90000"/>
            </a:lnSpc>
            <a:spcBef>
              <a:spcPct val="0"/>
            </a:spcBef>
            <a:spcAft>
              <a:spcPct val="15000"/>
            </a:spcAft>
            <a:buChar char="••"/>
          </a:pPr>
          <a:r>
            <a:rPr lang="en-US" sz="1200" kern="1200"/>
            <a:t>GEO 222 - Cities of the World</a:t>
          </a:r>
        </a:p>
        <a:p>
          <a:pPr marL="114300" lvl="1" indent="-114300" algn="l" defTabSz="533400">
            <a:lnSpc>
              <a:spcPct val="90000"/>
            </a:lnSpc>
            <a:spcBef>
              <a:spcPct val="0"/>
            </a:spcBef>
            <a:spcAft>
              <a:spcPct val="15000"/>
            </a:spcAft>
            <a:buChar char="••"/>
          </a:pPr>
          <a:r>
            <a:rPr lang="en-US" sz="1200" kern="1200"/>
            <a:t>GEO 240 - Geography &amp; Gender</a:t>
          </a:r>
        </a:p>
        <a:p>
          <a:pPr marL="114300" lvl="1" indent="-114300" algn="l" defTabSz="533400">
            <a:lnSpc>
              <a:spcPct val="90000"/>
            </a:lnSpc>
            <a:spcBef>
              <a:spcPct val="0"/>
            </a:spcBef>
            <a:spcAft>
              <a:spcPct val="15000"/>
            </a:spcAft>
            <a:buChar char="••"/>
          </a:pPr>
          <a:r>
            <a:rPr lang="en-US" sz="1200" kern="1200"/>
            <a:t>HUM 135 - Introduction To Native American Literature</a:t>
          </a:r>
        </a:p>
        <a:p>
          <a:pPr marL="114300" lvl="1" indent="-114300" algn="l" defTabSz="533400">
            <a:lnSpc>
              <a:spcPct val="90000"/>
            </a:lnSpc>
            <a:spcBef>
              <a:spcPct val="0"/>
            </a:spcBef>
            <a:spcAft>
              <a:spcPct val="15000"/>
            </a:spcAft>
            <a:buChar char="••"/>
          </a:pPr>
          <a:r>
            <a:rPr lang="en-US" sz="1200" kern="1200"/>
            <a:t>HUM 202 - Survey Of Appalachian Studies I</a:t>
          </a:r>
        </a:p>
        <a:p>
          <a:pPr marL="114300" lvl="1" indent="-114300" algn="l" defTabSz="533400">
            <a:lnSpc>
              <a:spcPct val="90000"/>
            </a:lnSpc>
            <a:spcBef>
              <a:spcPct val="0"/>
            </a:spcBef>
            <a:spcAft>
              <a:spcPct val="15000"/>
            </a:spcAft>
            <a:buChar char="••"/>
          </a:pPr>
          <a:r>
            <a:rPr lang="en-US" sz="1200" kern="1200"/>
            <a:t>HUM 203 - Survey Of Appalachian Studies II</a:t>
          </a:r>
        </a:p>
        <a:p>
          <a:pPr marL="114300" lvl="1" indent="-114300" algn="l" defTabSz="533400">
            <a:lnSpc>
              <a:spcPct val="90000"/>
            </a:lnSpc>
            <a:spcBef>
              <a:spcPct val="0"/>
            </a:spcBef>
            <a:spcAft>
              <a:spcPct val="15000"/>
            </a:spcAft>
            <a:buChar char="••"/>
          </a:pPr>
          <a:r>
            <a:rPr lang="en-US" sz="1200" kern="1200"/>
            <a:t>HUM 204 - Appalachian Seminar</a:t>
          </a:r>
        </a:p>
        <a:p>
          <a:pPr marL="114300" lvl="1" indent="-114300" algn="l" defTabSz="533400">
            <a:lnSpc>
              <a:spcPct val="90000"/>
            </a:lnSpc>
            <a:spcBef>
              <a:spcPct val="0"/>
            </a:spcBef>
            <a:spcAft>
              <a:spcPct val="15000"/>
            </a:spcAft>
            <a:buChar char="••"/>
          </a:pPr>
          <a:r>
            <a:rPr lang="en-US" sz="1200" kern="1200"/>
            <a:t>HUM 221 - Contemporary Perspectives On Peace &amp; War</a:t>
          </a:r>
        </a:p>
        <a:p>
          <a:pPr marL="114300" lvl="1" indent="-114300" algn="l" defTabSz="533400">
            <a:lnSpc>
              <a:spcPct val="90000"/>
            </a:lnSpc>
            <a:spcBef>
              <a:spcPct val="0"/>
            </a:spcBef>
            <a:spcAft>
              <a:spcPct val="15000"/>
            </a:spcAft>
            <a:buChar char="••"/>
          </a:pPr>
          <a:r>
            <a:rPr lang="en-US" sz="1200" kern="1200"/>
            <a:t>POL 101 - American Government</a:t>
          </a:r>
        </a:p>
        <a:p>
          <a:pPr marL="114300" lvl="1" indent="-114300" algn="l" defTabSz="533400">
            <a:lnSpc>
              <a:spcPct val="90000"/>
            </a:lnSpc>
            <a:spcBef>
              <a:spcPct val="0"/>
            </a:spcBef>
            <a:spcAft>
              <a:spcPct val="15000"/>
            </a:spcAft>
            <a:buChar char="••"/>
          </a:pPr>
          <a:r>
            <a:rPr lang="en-US" sz="1200" kern="1200"/>
            <a:t>POL 210 - Introduction To European Politics:  East &amp; West</a:t>
          </a:r>
        </a:p>
        <a:p>
          <a:pPr marL="114300" lvl="1" indent="-114300" algn="l" defTabSz="533400">
            <a:lnSpc>
              <a:spcPct val="90000"/>
            </a:lnSpc>
            <a:spcBef>
              <a:spcPct val="0"/>
            </a:spcBef>
            <a:spcAft>
              <a:spcPct val="15000"/>
            </a:spcAft>
            <a:buChar char="••"/>
          </a:pPr>
          <a:r>
            <a:rPr lang="en-US" sz="1200" kern="1200"/>
            <a:t>POL 212 - Culture &amp; Politics In The Third World</a:t>
          </a:r>
        </a:p>
        <a:p>
          <a:pPr marL="114300" lvl="1" indent="-114300" algn="l" defTabSz="533400">
            <a:lnSpc>
              <a:spcPct val="90000"/>
            </a:lnSpc>
            <a:spcBef>
              <a:spcPct val="0"/>
            </a:spcBef>
            <a:spcAft>
              <a:spcPct val="15000"/>
            </a:spcAft>
            <a:buChar char="••"/>
          </a:pPr>
          <a:r>
            <a:rPr lang="en-US" sz="1200" kern="1200"/>
            <a:t>POL 235 - World Politics</a:t>
          </a:r>
        </a:p>
        <a:p>
          <a:pPr marL="114300" lvl="1" indent="-114300" algn="l" defTabSz="533400">
            <a:lnSpc>
              <a:spcPct val="90000"/>
            </a:lnSpc>
            <a:spcBef>
              <a:spcPct val="0"/>
            </a:spcBef>
            <a:spcAft>
              <a:spcPct val="15000"/>
            </a:spcAft>
            <a:buChar char="••"/>
          </a:pPr>
          <a:r>
            <a:rPr lang="en-US" sz="1200" kern="1200"/>
            <a:t>POL 255 - State Government</a:t>
          </a:r>
        </a:p>
        <a:p>
          <a:pPr marL="114300" lvl="1" indent="-114300" algn="l" defTabSz="533400">
            <a:lnSpc>
              <a:spcPct val="90000"/>
            </a:lnSpc>
            <a:spcBef>
              <a:spcPct val="0"/>
            </a:spcBef>
            <a:spcAft>
              <a:spcPct val="15000"/>
            </a:spcAft>
            <a:buChar char="••"/>
          </a:pPr>
          <a:r>
            <a:rPr lang="en-US" sz="1200" kern="1200"/>
            <a:t>PSY 110 - General Psychology</a:t>
          </a:r>
        </a:p>
        <a:p>
          <a:pPr marL="114300" lvl="1" indent="-114300" algn="l" defTabSz="533400">
            <a:lnSpc>
              <a:spcPct val="90000"/>
            </a:lnSpc>
            <a:spcBef>
              <a:spcPct val="0"/>
            </a:spcBef>
            <a:spcAft>
              <a:spcPct val="15000"/>
            </a:spcAft>
            <a:buChar char="••"/>
          </a:pPr>
          <a:r>
            <a:rPr lang="en-US" sz="1200" kern="1200"/>
            <a:t>PSY 180 - Human Relations</a:t>
          </a:r>
        </a:p>
        <a:p>
          <a:pPr marL="114300" lvl="1" indent="-114300" algn="l" defTabSz="533400">
            <a:lnSpc>
              <a:spcPct val="90000"/>
            </a:lnSpc>
            <a:spcBef>
              <a:spcPct val="0"/>
            </a:spcBef>
            <a:spcAft>
              <a:spcPct val="15000"/>
            </a:spcAft>
            <a:buChar char="••"/>
          </a:pPr>
          <a:r>
            <a:rPr lang="en-US" sz="1200" kern="1200"/>
            <a:t>PSY 185 - Human Potential</a:t>
          </a:r>
        </a:p>
        <a:p>
          <a:pPr marL="114300" lvl="1" indent="-114300" algn="l" defTabSz="533400">
            <a:lnSpc>
              <a:spcPct val="90000"/>
            </a:lnSpc>
            <a:spcBef>
              <a:spcPct val="0"/>
            </a:spcBef>
            <a:spcAft>
              <a:spcPct val="15000"/>
            </a:spcAft>
            <a:buChar char="••"/>
          </a:pPr>
          <a:r>
            <a:rPr lang="en-US" sz="1200" kern="1200"/>
            <a:t>PSY 223 - Developmental Psychology</a:t>
          </a:r>
        </a:p>
        <a:p>
          <a:pPr marL="114300" lvl="1" indent="-114300" algn="l" defTabSz="533400">
            <a:lnSpc>
              <a:spcPct val="90000"/>
            </a:lnSpc>
            <a:spcBef>
              <a:spcPct val="0"/>
            </a:spcBef>
            <a:spcAft>
              <a:spcPct val="15000"/>
            </a:spcAft>
            <a:buChar char="••"/>
          </a:pPr>
          <a:r>
            <a:rPr lang="en-US" sz="1200" kern="1200"/>
            <a:t>PSY 230 - Psychosocial Aspects Of Death &amp; Dying</a:t>
          </a:r>
        </a:p>
        <a:p>
          <a:pPr marL="114300" lvl="1" indent="-114300" algn="l" defTabSz="533400">
            <a:lnSpc>
              <a:spcPct val="90000"/>
            </a:lnSpc>
            <a:spcBef>
              <a:spcPct val="0"/>
            </a:spcBef>
            <a:spcAft>
              <a:spcPct val="15000"/>
            </a:spcAft>
            <a:buChar char="••"/>
          </a:pPr>
          <a:r>
            <a:rPr lang="en-US" sz="1200" kern="1200"/>
            <a:t>PSY 297 - Psychology Of Aging</a:t>
          </a:r>
        </a:p>
        <a:p>
          <a:pPr marL="114300" lvl="1" indent="-114300" algn="l" defTabSz="533400">
            <a:lnSpc>
              <a:spcPct val="90000"/>
            </a:lnSpc>
            <a:spcBef>
              <a:spcPct val="0"/>
            </a:spcBef>
            <a:spcAft>
              <a:spcPct val="15000"/>
            </a:spcAft>
            <a:buChar char="••"/>
          </a:pPr>
          <a:r>
            <a:rPr lang="en-US" sz="1200" kern="1200"/>
            <a:t>PSY 298 - Essentials Of Abnormal Psychology</a:t>
          </a:r>
        </a:p>
        <a:p>
          <a:pPr marL="114300" lvl="1" indent="-114300" algn="l" defTabSz="533400">
            <a:lnSpc>
              <a:spcPct val="90000"/>
            </a:lnSpc>
            <a:spcBef>
              <a:spcPct val="0"/>
            </a:spcBef>
            <a:spcAft>
              <a:spcPct val="15000"/>
            </a:spcAft>
            <a:buChar char="••"/>
          </a:pPr>
          <a:r>
            <a:rPr lang="en-US" sz="1200" kern="1200"/>
            <a:t>RAE 120 - Introduction To Chinese Culture</a:t>
          </a:r>
        </a:p>
        <a:p>
          <a:pPr marL="114300" lvl="1" indent="-114300" algn="l" defTabSz="533400">
            <a:lnSpc>
              <a:spcPct val="90000"/>
            </a:lnSpc>
            <a:spcBef>
              <a:spcPct val="0"/>
            </a:spcBef>
            <a:spcAft>
              <a:spcPct val="15000"/>
            </a:spcAft>
            <a:buChar char="••"/>
          </a:pPr>
          <a:r>
            <a:rPr lang="en-US" sz="1200" kern="1200"/>
            <a:t>REL 101 - Introduction To Religious Studies</a:t>
          </a:r>
        </a:p>
        <a:p>
          <a:pPr marL="114300" lvl="1" indent="-114300" algn="l" defTabSz="533400">
            <a:lnSpc>
              <a:spcPct val="90000"/>
            </a:lnSpc>
            <a:spcBef>
              <a:spcPct val="0"/>
            </a:spcBef>
            <a:spcAft>
              <a:spcPct val="15000"/>
            </a:spcAft>
            <a:buChar char="••"/>
          </a:pPr>
          <a:r>
            <a:rPr lang="en-US" sz="1200" kern="1200"/>
            <a:t>REL 130/ANT 130 - Introduction To Comparative Religion</a:t>
          </a:r>
        </a:p>
        <a:p>
          <a:pPr marL="114300" lvl="1" indent="-114300" algn="l" defTabSz="533400">
            <a:lnSpc>
              <a:spcPct val="90000"/>
            </a:lnSpc>
            <a:spcBef>
              <a:spcPct val="0"/>
            </a:spcBef>
            <a:spcAft>
              <a:spcPct val="15000"/>
            </a:spcAft>
            <a:buChar char="••"/>
          </a:pPr>
          <a:r>
            <a:rPr lang="en-US" sz="1200" kern="1200"/>
            <a:t>SOC 101 - Introduction To Sociology</a:t>
          </a:r>
        </a:p>
        <a:p>
          <a:pPr marL="114300" lvl="1" indent="-114300" algn="l" defTabSz="533400">
            <a:lnSpc>
              <a:spcPct val="90000"/>
            </a:lnSpc>
            <a:spcBef>
              <a:spcPct val="0"/>
            </a:spcBef>
            <a:spcAft>
              <a:spcPct val="15000"/>
            </a:spcAft>
            <a:buChar char="••"/>
          </a:pPr>
          <a:r>
            <a:rPr lang="en-US" sz="1200" kern="1200"/>
            <a:t>SOC 151 - Social Interaction</a:t>
          </a:r>
        </a:p>
        <a:p>
          <a:pPr marL="114300" lvl="1" indent="-114300" algn="l" defTabSz="533400">
            <a:lnSpc>
              <a:spcPct val="90000"/>
            </a:lnSpc>
            <a:spcBef>
              <a:spcPct val="0"/>
            </a:spcBef>
            <a:spcAft>
              <a:spcPct val="15000"/>
            </a:spcAft>
            <a:buChar char="••"/>
          </a:pPr>
          <a:r>
            <a:rPr lang="en-US" sz="1200" kern="1200"/>
            <a:t>SOC 152 - Modern Social Problems</a:t>
          </a:r>
        </a:p>
        <a:p>
          <a:pPr marL="114300" lvl="1" indent="-114300" algn="l" defTabSz="533400">
            <a:lnSpc>
              <a:spcPct val="90000"/>
            </a:lnSpc>
            <a:spcBef>
              <a:spcPct val="0"/>
            </a:spcBef>
            <a:spcAft>
              <a:spcPct val="15000"/>
            </a:spcAft>
            <a:buChar char="••"/>
          </a:pPr>
          <a:r>
            <a:rPr lang="en-US" sz="1200" kern="1200"/>
            <a:t>SOC 220 - The Community</a:t>
          </a:r>
        </a:p>
        <a:p>
          <a:pPr marL="114300" lvl="1" indent="-114300" algn="l" defTabSz="533400">
            <a:lnSpc>
              <a:spcPct val="90000"/>
            </a:lnSpc>
            <a:spcBef>
              <a:spcPct val="0"/>
            </a:spcBef>
            <a:spcAft>
              <a:spcPct val="15000"/>
            </a:spcAft>
            <a:buChar char="••"/>
          </a:pPr>
          <a:r>
            <a:rPr lang="en-US" sz="1200" kern="1200"/>
            <a:t>SOC 235 - Inequality In Society</a:t>
          </a:r>
        </a:p>
        <a:p>
          <a:pPr marL="114300" lvl="1" indent="-114300" algn="l" defTabSz="533400">
            <a:lnSpc>
              <a:spcPct val="90000"/>
            </a:lnSpc>
            <a:spcBef>
              <a:spcPct val="0"/>
            </a:spcBef>
            <a:spcAft>
              <a:spcPct val="15000"/>
            </a:spcAft>
            <a:buChar char="••"/>
          </a:pPr>
          <a:r>
            <a:rPr lang="en-US" sz="1200" kern="1200"/>
            <a:t>SOC 249 - Mass Media &amp; Mass Culture</a:t>
          </a:r>
        </a:p>
        <a:p>
          <a:pPr marL="114300" lvl="1" indent="-114300" algn="l" defTabSz="533400">
            <a:lnSpc>
              <a:spcPct val="90000"/>
            </a:lnSpc>
            <a:spcBef>
              <a:spcPct val="0"/>
            </a:spcBef>
            <a:spcAft>
              <a:spcPct val="15000"/>
            </a:spcAft>
            <a:buChar char="••"/>
          </a:pPr>
          <a:r>
            <a:rPr lang="en-US" sz="1200" kern="1200"/>
            <a:t>SOC 260 - Population, Resources &amp; Change</a:t>
          </a:r>
        </a:p>
        <a:p>
          <a:pPr marL="114300" lvl="1" indent="-114300" algn="l" defTabSz="533400">
            <a:lnSpc>
              <a:spcPct val="90000"/>
            </a:lnSpc>
            <a:spcBef>
              <a:spcPct val="0"/>
            </a:spcBef>
            <a:spcAft>
              <a:spcPct val="15000"/>
            </a:spcAft>
            <a:buChar char="••"/>
          </a:pPr>
          <a:r>
            <a:rPr lang="en-US" sz="1200" kern="1200"/>
            <a:t>SPA 115 - Hispanic Culture:  (Country Or Region)</a:t>
          </a:r>
        </a:p>
        <a:p>
          <a:pPr marL="114300" lvl="1" indent="-114300" algn="l" defTabSz="533400">
            <a:lnSpc>
              <a:spcPct val="90000"/>
            </a:lnSpc>
            <a:spcBef>
              <a:spcPct val="0"/>
            </a:spcBef>
            <a:spcAft>
              <a:spcPct val="15000"/>
            </a:spcAft>
            <a:buChar char="••"/>
          </a:pPr>
          <a:r>
            <a:rPr lang="en-US" sz="1200" kern="1200"/>
            <a:t>SWK 275 - The Family</a:t>
          </a:r>
        </a:p>
        <a:p>
          <a:pPr marL="114300" lvl="1" indent="-114300" algn="l" defTabSz="533400">
            <a:lnSpc>
              <a:spcPct val="90000"/>
            </a:lnSpc>
            <a:spcBef>
              <a:spcPct val="0"/>
            </a:spcBef>
            <a:spcAft>
              <a:spcPct val="15000"/>
            </a:spcAft>
            <a:buChar char="••"/>
          </a:pPr>
          <a:r>
            <a:rPr lang="en-US" sz="1200" kern="1200"/>
            <a:t>WGS 200 - Introduction To Women's &amp; Gender Studies In The Social Sciences</a:t>
          </a:r>
        </a:p>
      </dsp:txBody>
      <dsp:txXfrm>
        <a:off x="0" y="24381403"/>
        <a:ext cx="6657976" cy="11491200"/>
      </dsp:txXfrm>
    </dsp:sp>
    <dsp:sp modelId="{153FE339-C805-4E53-87AC-026762D57A3E}">
      <dsp:nvSpPr>
        <dsp:cNvPr id="0" name=""/>
        <dsp:cNvSpPr/>
      </dsp:nvSpPr>
      <dsp:spPr>
        <a:xfrm>
          <a:off x="332898" y="2420428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Social &amp; Behavioral Sciences</a:t>
          </a:r>
        </a:p>
      </dsp:txBody>
      <dsp:txXfrm>
        <a:off x="350191" y="24221576"/>
        <a:ext cx="4625997" cy="319653"/>
      </dsp:txXfrm>
    </dsp:sp>
    <dsp:sp modelId="{7487FDEE-AAC7-4F87-A642-B31566E7B464}">
      <dsp:nvSpPr>
        <dsp:cNvPr id="0" name=""/>
        <dsp:cNvSpPr/>
      </dsp:nvSpPr>
      <dsp:spPr>
        <a:xfrm>
          <a:off x="0" y="36114523"/>
          <a:ext cx="6657976" cy="163296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kern="1200"/>
            <a:t>ANA 209 - Principles Of Human Anatomy</a:t>
          </a:r>
        </a:p>
        <a:p>
          <a:pPr marL="114300" lvl="1" indent="-114300" algn="l" defTabSz="533400">
            <a:lnSpc>
              <a:spcPct val="90000"/>
            </a:lnSpc>
            <a:spcBef>
              <a:spcPct val="0"/>
            </a:spcBef>
            <a:spcAft>
              <a:spcPct val="15000"/>
            </a:spcAft>
            <a:buChar char="••"/>
          </a:pPr>
          <a:r>
            <a:rPr lang="en-US" sz="1200" kern="1200"/>
            <a:t>AST 101 - Frontiers Of Astronomy</a:t>
          </a:r>
        </a:p>
        <a:p>
          <a:pPr marL="114300" lvl="1" indent="-114300" algn="l" defTabSz="533400">
            <a:lnSpc>
              <a:spcPct val="90000"/>
            </a:lnSpc>
            <a:spcBef>
              <a:spcPct val="0"/>
            </a:spcBef>
            <a:spcAft>
              <a:spcPct val="15000"/>
            </a:spcAft>
            <a:buChar char="••"/>
          </a:pPr>
          <a:r>
            <a:rPr lang="en-US" sz="1200" kern="1200"/>
            <a:t>AST 155/BIO 155 - Astrobiology</a:t>
          </a:r>
        </a:p>
        <a:p>
          <a:pPr marL="114300" lvl="1" indent="-114300" algn="l" defTabSz="533400">
            <a:lnSpc>
              <a:spcPct val="90000"/>
            </a:lnSpc>
            <a:spcBef>
              <a:spcPct val="0"/>
            </a:spcBef>
            <a:spcAft>
              <a:spcPct val="15000"/>
            </a:spcAft>
            <a:buChar char="••"/>
          </a:pPr>
          <a:r>
            <a:rPr lang="en-US" sz="1200" kern="1200"/>
            <a:t>AST 191 - The Solar System</a:t>
          </a:r>
        </a:p>
        <a:p>
          <a:pPr marL="114300" lvl="1" indent="-114300" algn="l" defTabSz="533400">
            <a:lnSpc>
              <a:spcPct val="90000"/>
            </a:lnSpc>
            <a:spcBef>
              <a:spcPct val="0"/>
            </a:spcBef>
            <a:spcAft>
              <a:spcPct val="15000"/>
            </a:spcAft>
            <a:buChar char="••"/>
          </a:pPr>
          <a:r>
            <a:rPr lang="en-US" sz="1200" kern="1200"/>
            <a:t>AST 192 - Stars, Galaxies, &amp; The Universe</a:t>
          </a:r>
        </a:p>
        <a:p>
          <a:pPr marL="114300" lvl="1" indent="-114300" algn="l" defTabSz="533400">
            <a:lnSpc>
              <a:spcPct val="90000"/>
            </a:lnSpc>
            <a:spcBef>
              <a:spcPct val="0"/>
            </a:spcBef>
            <a:spcAft>
              <a:spcPct val="15000"/>
            </a:spcAft>
            <a:buChar char="••"/>
          </a:pPr>
          <a:r>
            <a:rPr lang="en-US" sz="1200" kern="1200"/>
            <a:t>AST 195 - Introductory Astronomy Laboratory</a:t>
          </a:r>
        </a:p>
        <a:p>
          <a:pPr marL="114300" lvl="1" indent="-114300" algn="l" defTabSz="533400">
            <a:lnSpc>
              <a:spcPct val="90000"/>
            </a:lnSpc>
            <a:spcBef>
              <a:spcPct val="0"/>
            </a:spcBef>
            <a:spcAft>
              <a:spcPct val="15000"/>
            </a:spcAft>
            <a:buChar char="••"/>
          </a:pPr>
          <a:r>
            <a:rPr lang="en-US" sz="1200" kern="1200"/>
            <a:t>BIO 112 - Introduction To Biology</a:t>
          </a:r>
        </a:p>
        <a:p>
          <a:pPr marL="114300" lvl="1" indent="-114300" algn="l" defTabSz="533400">
            <a:lnSpc>
              <a:spcPct val="90000"/>
            </a:lnSpc>
            <a:spcBef>
              <a:spcPct val="0"/>
            </a:spcBef>
            <a:spcAft>
              <a:spcPct val="15000"/>
            </a:spcAft>
            <a:buChar char="••"/>
          </a:pPr>
          <a:r>
            <a:rPr lang="en-US" sz="1200" kern="1200"/>
            <a:t>BIO 113 - Introduction To Biology Lab</a:t>
          </a:r>
        </a:p>
        <a:p>
          <a:pPr marL="114300" lvl="1" indent="-114300" algn="l" defTabSz="533400">
            <a:lnSpc>
              <a:spcPct val="90000"/>
            </a:lnSpc>
            <a:spcBef>
              <a:spcPct val="0"/>
            </a:spcBef>
            <a:spcAft>
              <a:spcPct val="15000"/>
            </a:spcAft>
            <a:buChar char="••"/>
          </a:pPr>
          <a:r>
            <a:rPr lang="en-US" sz="1200" kern="1200"/>
            <a:t>BIO 114 - Major Discoveries In Biology</a:t>
          </a:r>
        </a:p>
        <a:p>
          <a:pPr marL="114300" lvl="1" indent="-114300" algn="l" defTabSz="533400">
            <a:lnSpc>
              <a:spcPct val="90000"/>
            </a:lnSpc>
            <a:spcBef>
              <a:spcPct val="0"/>
            </a:spcBef>
            <a:spcAft>
              <a:spcPct val="15000"/>
            </a:spcAft>
            <a:buChar char="••"/>
          </a:pPr>
          <a:r>
            <a:rPr lang="en-US" sz="1200" kern="1200"/>
            <a:t>BIO 115 - Biology Laboratory I</a:t>
          </a:r>
        </a:p>
        <a:p>
          <a:pPr marL="114300" lvl="1" indent="-114300" algn="l" defTabSz="533400">
            <a:lnSpc>
              <a:spcPct val="90000"/>
            </a:lnSpc>
            <a:spcBef>
              <a:spcPct val="0"/>
            </a:spcBef>
            <a:spcAft>
              <a:spcPct val="15000"/>
            </a:spcAft>
            <a:buChar char="••"/>
          </a:pPr>
          <a:r>
            <a:rPr lang="en-US" sz="1200" kern="1200"/>
            <a:t>BIO 116 - Biology II</a:t>
          </a:r>
        </a:p>
        <a:p>
          <a:pPr marL="114300" lvl="1" indent="-114300" algn="l" defTabSz="533400">
            <a:lnSpc>
              <a:spcPct val="90000"/>
            </a:lnSpc>
            <a:spcBef>
              <a:spcPct val="0"/>
            </a:spcBef>
            <a:spcAft>
              <a:spcPct val="15000"/>
            </a:spcAft>
            <a:buChar char="••"/>
          </a:pPr>
          <a:r>
            <a:rPr lang="en-US" sz="1200" kern="1200"/>
            <a:t>BIO 117 - Biology Laboratory II</a:t>
          </a:r>
        </a:p>
        <a:p>
          <a:pPr marL="114300" lvl="1" indent="-114300" algn="l" defTabSz="533400">
            <a:lnSpc>
              <a:spcPct val="90000"/>
            </a:lnSpc>
            <a:spcBef>
              <a:spcPct val="0"/>
            </a:spcBef>
            <a:spcAft>
              <a:spcPct val="15000"/>
            </a:spcAft>
            <a:buChar char="••"/>
          </a:pPr>
          <a:r>
            <a:rPr lang="en-US" sz="1200" kern="1200"/>
            <a:t>BIO 118 - Microbes &amp; Society</a:t>
          </a:r>
        </a:p>
        <a:p>
          <a:pPr marL="114300" lvl="1" indent="-114300" algn="l" defTabSz="533400">
            <a:lnSpc>
              <a:spcPct val="90000"/>
            </a:lnSpc>
            <a:spcBef>
              <a:spcPct val="0"/>
            </a:spcBef>
            <a:spcAft>
              <a:spcPct val="15000"/>
            </a:spcAft>
            <a:buChar char="••"/>
          </a:pPr>
          <a:r>
            <a:rPr lang="en-US" sz="1200" kern="1200"/>
            <a:t>BIO 120 - Human Ecology</a:t>
          </a:r>
        </a:p>
        <a:p>
          <a:pPr marL="114300" lvl="1" indent="-114300" algn="l" defTabSz="533400">
            <a:lnSpc>
              <a:spcPct val="90000"/>
            </a:lnSpc>
            <a:spcBef>
              <a:spcPct val="0"/>
            </a:spcBef>
            <a:spcAft>
              <a:spcPct val="15000"/>
            </a:spcAft>
            <a:buChar char="••"/>
          </a:pPr>
          <a:r>
            <a:rPr lang="en-US" sz="1200" kern="1200"/>
            <a:t>BIO 121 - Introduction To Ecology Laboratory</a:t>
          </a:r>
        </a:p>
        <a:p>
          <a:pPr marL="114300" lvl="1" indent="-114300" algn="l" defTabSz="533400">
            <a:lnSpc>
              <a:spcPct val="90000"/>
            </a:lnSpc>
            <a:spcBef>
              <a:spcPct val="0"/>
            </a:spcBef>
            <a:spcAft>
              <a:spcPct val="15000"/>
            </a:spcAft>
            <a:buChar char="••"/>
          </a:pPr>
          <a:r>
            <a:rPr lang="en-US" sz="1200" kern="1200"/>
            <a:t>BIO 122 - Introduction To Conservation Biology</a:t>
          </a:r>
        </a:p>
        <a:p>
          <a:pPr marL="114300" lvl="1" indent="-114300" algn="l" defTabSz="533400">
            <a:lnSpc>
              <a:spcPct val="90000"/>
            </a:lnSpc>
            <a:spcBef>
              <a:spcPct val="0"/>
            </a:spcBef>
            <a:spcAft>
              <a:spcPct val="15000"/>
            </a:spcAft>
            <a:buChar char="••"/>
          </a:pPr>
          <a:r>
            <a:rPr lang="en-US" sz="1200" kern="1200"/>
            <a:t>BIO 124 - Principles Of Ecology</a:t>
          </a:r>
        </a:p>
        <a:p>
          <a:pPr marL="114300" lvl="1" indent="-114300" algn="l" defTabSz="533400">
            <a:lnSpc>
              <a:spcPct val="90000"/>
            </a:lnSpc>
            <a:spcBef>
              <a:spcPct val="0"/>
            </a:spcBef>
            <a:spcAft>
              <a:spcPct val="15000"/>
            </a:spcAft>
            <a:buChar char="••"/>
          </a:pPr>
          <a:r>
            <a:rPr lang="en-US" sz="1200" kern="1200"/>
            <a:t>BIO 130 - Aspects Of Human Biology</a:t>
          </a:r>
        </a:p>
        <a:p>
          <a:pPr marL="114300" lvl="1" indent="-114300" algn="l" defTabSz="533400">
            <a:lnSpc>
              <a:spcPct val="90000"/>
            </a:lnSpc>
            <a:spcBef>
              <a:spcPct val="0"/>
            </a:spcBef>
            <a:spcAft>
              <a:spcPct val="15000"/>
            </a:spcAft>
            <a:buChar char="••"/>
          </a:pPr>
          <a:r>
            <a:rPr lang="en-US" sz="1200" kern="1200"/>
            <a:t>BIO 135 - Basic Anatomy &amp; Physiology With Laboratory</a:t>
          </a:r>
        </a:p>
        <a:p>
          <a:pPr marL="114300" lvl="1" indent="-114300" algn="l" defTabSz="533400">
            <a:lnSpc>
              <a:spcPct val="90000"/>
            </a:lnSpc>
            <a:spcBef>
              <a:spcPct val="0"/>
            </a:spcBef>
            <a:spcAft>
              <a:spcPct val="15000"/>
            </a:spcAft>
            <a:buChar char="••"/>
          </a:pPr>
          <a:r>
            <a:rPr lang="en-US" sz="1200" kern="1200"/>
            <a:t>BIO 137 - Human Anatomy &amp; Physiology I</a:t>
          </a:r>
        </a:p>
        <a:p>
          <a:pPr marL="114300" lvl="1" indent="-114300" algn="l" defTabSz="533400">
            <a:lnSpc>
              <a:spcPct val="90000"/>
            </a:lnSpc>
            <a:spcBef>
              <a:spcPct val="0"/>
            </a:spcBef>
            <a:spcAft>
              <a:spcPct val="15000"/>
            </a:spcAft>
            <a:buChar char="••"/>
          </a:pPr>
          <a:r>
            <a:rPr lang="en-US" sz="1200" kern="1200"/>
            <a:t>BIO 139 - Human Anatomy &amp; Physiology II</a:t>
          </a:r>
        </a:p>
        <a:p>
          <a:pPr marL="114300" lvl="1" indent="-114300" algn="l" defTabSz="533400">
            <a:lnSpc>
              <a:spcPct val="90000"/>
            </a:lnSpc>
            <a:spcBef>
              <a:spcPct val="0"/>
            </a:spcBef>
            <a:spcAft>
              <a:spcPct val="15000"/>
            </a:spcAft>
            <a:buChar char="••"/>
          </a:pPr>
          <a:r>
            <a:rPr lang="en-US" sz="1200" kern="1200"/>
            <a:t>BIO 140 - Botany</a:t>
          </a:r>
        </a:p>
        <a:p>
          <a:pPr marL="114300" lvl="1" indent="-114300" algn="l" defTabSz="533400">
            <a:lnSpc>
              <a:spcPct val="90000"/>
            </a:lnSpc>
            <a:spcBef>
              <a:spcPct val="0"/>
            </a:spcBef>
            <a:spcAft>
              <a:spcPct val="15000"/>
            </a:spcAft>
            <a:buChar char="••"/>
          </a:pPr>
          <a:r>
            <a:rPr lang="en-US" sz="1200" kern="1200"/>
            <a:t>BIO 141 - Botany With Laboratory</a:t>
          </a:r>
        </a:p>
        <a:p>
          <a:pPr marL="114300" lvl="1" indent="-114300" algn="l" defTabSz="533400">
            <a:lnSpc>
              <a:spcPct val="90000"/>
            </a:lnSpc>
            <a:spcBef>
              <a:spcPct val="0"/>
            </a:spcBef>
            <a:spcAft>
              <a:spcPct val="15000"/>
            </a:spcAft>
            <a:buChar char="••"/>
          </a:pPr>
          <a:r>
            <a:rPr lang="en-US" sz="1200" kern="1200"/>
            <a:t>BIO 142 - Zoology</a:t>
          </a:r>
        </a:p>
        <a:p>
          <a:pPr marL="114300" lvl="1" indent="-114300" algn="l" defTabSz="533400">
            <a:lnSpc>
              <a:spcPct val="90000"/>
            </a:lnSpc>
            <a:spcBef>
              <a:spcPct val="0"/>
            </a:spcBef>
            <a:spcAft>
              <a:spcPct val="15000"/>
            </a:spcAft>
            <a:buChar char="••"/>
          </a:pPr>
          <a:r>
            <a:rPr lang="en-US" sz="1200" kern="1200"/>
            <a:t>BIO 143 - Zoology With Laboratory</a:t>
          </a:r>
        </a:p>
        <a:p>
          <a:pPr marL="114300" lvl="1" indent="-114300" algn="l" defTabSz="533400">
            <a:lnSpc>
              <a:spcPct val="90000"/>
            </a:lnSpc>
            <a:spcBef>
              <a:spcPct val="0"/>
            </a:spcBef>
            <a:spcAft>
              <a:spcPct val="15000"/>
            </a:spcAft>
            <a:buChar char="••"/>
          </a:pPr>
          <a:r>
            <a:rPr lang="en-US" sz="1200" kern="1200"/>
            <a:t>BIO 144 - Insect Biology</a:t>
          </a:r>
        </a:p>
        <a:p>
          <a:pPr marL="114300" lvl="1" indent="-114300" algn="l" defTabSz="533400">
            <a:lnSpc>
              <a:spcPct val="90000"/>
            </a:lnSpc>
            <a:spcBef>
              <a:spcPct val="0"/>
            </a:spcBef>
            <a:spcAft>
              <a:spcPct val="15000"/>
            </a:spcAft>
            <a:buChar char="••"/>
          </a:pPr>
          <a:r>
            <a:rPr lang="en-US" sz="1200" kern="1200"/>
            <a:t>BIO 150 - Principles Of Biology I</a:t>
          </a:r>
        </a:p>
        <a:p>
          <a:pPr marL="114300" lvl="1" indent="-114300" algn="l" defTabSz="533400">
            <a:lnSpc>
              <a:spcPct val="90000"/>
            </a:lnSpc>
            <a:spcBef>
              <a:spcPct val="0"/>
            </a:spcBef>
            <a:spcAft>
              <a:spcPct val="15000"/>
            </a:spcAft>
            <a:buChar char="••"/>
          </a:pPr>
          <a:r>
            <a:rPr lang="en-US" sz="1200" kern="1200"/>
            <a:t>BIO 151 - Principles Of Biology Laboratory I</a:t>
          </a:r>
        </a:p>
        <a:p>
          <a:pPr marL="114300" lvl="1" indent="-114300" algn="l" defTabSz="533400">
            <a:lnSpc>
              <a:spcPct val="90000"/>
            </a:lnSpc>
            <a:spcBef>
              <a:spcPct val="0"/>
            </a:spcBef>
            <a:spcAft>
              <a:spcPct val="15000"/>
            </a:spcAft>
            <a:buChar char="••"/>
          </a:pPr>
          <a:r>
            <a:rPr lang="en-US" sz="1200" kern="1200"/>
            <a:t>BIO 152 - Principles Of Biology II</a:t>
          </a:r>
        </a:p>
        <a:p>
          <a:pPr marL="114300" lvl="1" indent="-114300" algn="l" defTabSz="533400">
            <a:lnSpc>
              <a:spcPct val="90000"/>
            </a:lnSpc>
            <a:spcBef>
              <a:spcPct val="0"/>
            </a:spcBef>
            <a:spcAft>
              <a:spcPct val="15000"/>
            </a:spcAft>
            <a:buChar char="••"/>
          </a:pPr>
          <a:r>
            <a:rPr lang="en-US" sz="1200" kern="1200"/>
            <a:t>BIO 153 - Principles Of Biology Laboratory II</a:t>
          </a:r>
        </a:p>
        <a:p>
          <a:pPr marL="114300" lvl="1" indent="-114300" algn="l" defTabSz="533400">
            <a:lnSpc>
              <a:spcPct val="90000"/>
            </a:lnSpc>
            <a:spcBef>
              <a:spcPct val="0"/>
            </a:spcBef>
            <a:spcAft>
              <a:spcPct val="15000"/>
            </a:spcAft>
            <a:buChar char="••"/>
          </a:pPr>
          <a:r>
            <a:rPr lang="en-US" sz="1200" kern="1200"/>
            <a:t>BIO 155/AST 155 - Astrobiology</a:t>
          </a:r>
        </a:p>
        <a:p>
          <a:pPr marL="114300" lvl="1" indent="-114300" algn="l" defTabSz="533400">
            <a:lnSpc>
              <a:spcPct val="90000"/>
            </a:lnSpc>
            <a:spcBef>
              <a:spcPct val="0"/>
            </a:spcBef>
            <a:spcAft>
              <a:spcPct val="15000"/>
            </a:spcAft>
            <a:buChar char="••"/>
          </a:pPr>
          <a:r>
            <a:rPr lang="en-US" sz="1200" kern="1200"/>
            <a:t>BIO 209 - Introductory Microbiology Lab</a:t>
          </a:r>
        </a:p>
        <a:p>
          <a:pPr marL="114300" lvl="1" indent="-114300" algn="l" defTabSz="533400">
            <a:lnSpc>
              <a:spcPct val="90000"/>
            </a:lnSpc>
            <a:spcBef>
              <a:spcPct val="0"/>
            </a:spcBef>
            <a:spcAft>
              <a:spcPct val="15000"/>
            </a:spcAft>
            <a:buChar char="••"/>
          </a:pPr>
          <a:r>
            <a:rPr lang="en-US" sz="1200" kern="1200"/>
            <a:t>BIO 220 - The Genetic Perspective</a:t>
          </a:r>
        </a:p>
        <a:p>
          <a:pPr marL="114300" lvl="1" indent="-114300" algn="l" defTabSz="533400">
            <a:lnSpc>
              <a:spcPct val="90000"/>
            </a:lnSpc>
            <a:spcBef>
              <a:spcPct val="0"/>
            </a:spcBef>
            <a:spcAft>
              <a:spcPct val="15000"/>
            </a:spcAft>
            <a:buChar char="••"/>
          </a:pPr>
          <a:r>
            <a:rPr lang="en-US" sz="1200" kern="1200"/>
            <a:t>BIO 225 - Medical Microbiology</a:t>
          </a:r>
        </a:p>
        <a:p>
          <a:pPr marL="114300" lvl="1" indent="-114300" algn="l" defTabSz="533400">
            <a:lnSpc>
              <a:spcPct val="90000"/>
            </a:lnSpc>
            <a:spcBef>
              <a:spcPct val="0"/>
            </a:spcBef>
            <a:spcAft>
              <a:spcPct val="15000"/>
            </a:spcAft>
            <a:buChar char="••"/>
          </a:pPr>
          <a:r>
            <a:rPr lang="en-US" sz="1200" kern="1200"/>
            <a:t>BIO 226 - Principles Of Microbiology</a:t>
          </a:r>
        </a:p>
        <a:p>
          <a:pPr marL="114300" lvl="1" indent="-114300" algn="l" defTabSz="533400">
            <a:lnSpc>
              <a:spcPct val="90000"/>
            </a:lnSpc>
            <a:spcBef>
              <a:spcPct val="0"/>
            </a:spcBef>
            <a:spcAft>
              <a:spcPct val="15000"/>
            </a:spcAft>
            <a:buChar char="••"/>
          </a:pPr>
          <a:r>
            <a:rPr lang="en-US" sz="1200" kern="1200"/>
            <a:t>BIO 227 - Principles Of Microbiology With Laboratory</a:t>
          </a:r>
        </a:p>
        <a:p>
          <a:pPr marL="114300" lvl="1" indent="-114300" algn="l" defTabSz="533400">
            <a:lnSpc>
              <a:spcPct val="90000"/>
            </a:lnSpc>
            <a:spcBef>
              <a:spcPct val="0"/>
            </a:spcBef>
            <a:spcAft>
              <a:spcPct val="15000"/>
            </a:spcAft>
            <a:buChar char="••"/>
          </a:pPr>
          <a:r>
            <a:rPr lang="en-US" sz="1200" kern="1200"/>
            <a:t>CHE 120 - The Joy Of Chemistry</a:t>
          </a:r>
        </a:p>
        <a:p>
          <a:pPr marL="114300" lvl="1" indent="-114300" algn="l" defTabSz="533400">
            <a:lnSpc>
              <a:spcPct val="90000"/>
            </a:lnSpc>
            <a:spcBef>
              <a:spcPct val="0"/>
            </a:spcBef>
            <a:spcAft>
              <a:spcPct val="15000"/>
            </a:spcAft>
            <a:buChar char="••"/>
          </a:pPr>
          <a:r>
            <a:rPr lang="en-US" sz="1200" kern="1200"/>
            <a:t>CHE 125 - The Joy Of Chemistry Laboratory</a:t>
          </a:r>
        </a:p>
        <a:p>
          <a:pPr marL="114300" lvl="1" indent="-114300" algn="l" defTabSz="533400">
            <a:lnSpc>
              <a:spcPct val="90000"/>
            </a:lnSpc>
            <a:spcBef>
              <a:spcPct val="0"/>
            </a:spcBef>
            <a:spcAft>
              <a:spcPct val="15000"/>
            </a:spcAft>
            <a:buChar char="••"/>
          </a:pPr>
          <a:r>
            <a:rPr lang="en-US" sz="1200" kern="1200"/>
            <a:t>CHE 130 - Introductory General &amp; Biological Chemistry</a:t>
          </a:r>
        </a:p>
        <a:p>
          <a:pPr marL="114300" lvl="1" indent="-114300" algn="l" defTabSz="533400">
            <a:lnSpc>
              <a:spcPct val="90000"/>
            </a:lnSpc>
            <a:spcBef>
              <a:spcPct val="0"/>
            </a:spcBef>
            <a:spcAft>
              <a:spcPct val="15000"/>
            </a:spcAft>
            <a:buChar char="••"/>
          </a:pPr>
          <a:r>
            <a:rPr lang="en-US" sz="1200" kern="1200"/>
            <a:t>CHE 140 - Introductory General Chemistry</a:t>
          </a:r>
        </a:p>
        <a:p>
          <a:pPr marL="114300" lvl="1" indent="-114300" algn="l" defTabSz="533400">
            <a:lnSpc>
              <a:spcPct val="90000"/>
            </a:lnSpc>
            <a:spcBef>
              <a:spcPct val="0"/>
            </a:spcBef>
            <a:spcAft>
              <a:spcPct val="15000"/>
            </a:spcAft>
            <a:buChar char="••"/>
          </a:pPr>
          <a:r>
            <a:rPr lang="en-US" sz="1200" kern="1200"/>
            <a:t>CHE 145 - Introductory General Chemistry Laboratory</a:t>
          </a:r>
        </a:p>
        <a:p>
          <a:pPr marL="114300" lvl="1" indent="-114300" algn="l" defTabSz="533400">
            <a:lnSpc>
              <a:spcPct val="90000"/>
            </a:lnSpc>
            <a:spcBef>
              <a:spcPct val="0"/>
            </a:spcBef>
            <a:spcAft>
              <a:spcPct val="15000"/>
            </a:spcAft>
            <a:buChar char="••"/>
          </a:pPr>
          <a:r>
            <a:rPr lang="en-US" sz="1200" kern="1200"/>
            <a:t>CHE 150 - Introduction To Organic &amp; Biological Chemistry</a:t>
          </a:r>
        </a:p>
        <a:p>
          <a:pPr marL="114300" lvl="1" indent="-114300" algn="l" defTabSz="533400">
            <a:lnSpc>
              <a:spcPct val="90000"/>
            </a:lnSpc>
            <a:spcBef>
              <a:spcPct val="0"/>
            </a:spcBef>
            <a:spcAft>
              <a:spcPct val="15000"/>
            </a:spcAft>
            <a:buChar char="••"/>
          </a:pPr>
          <a:r>
            <a:rPr lang="en-US" sz="1200" kern="1200"/>
            <a:t>CHE 155 - Introduction To Organic &amp; Biological Chemistry Laboratory</a:t>
          </a:r>
        </a:p>
        <a:p>
          <a:pPr marL="114300" lvl="1" indent="-114300" algn="l" defTabSz="533400">
            <a:lnSpc>
              <a:spcPct val="90000"/>
            </a:lnSpc>
            <a:spcBef>
              <a:spcPct val="0"/>
            </a:spcBef>
            <a:spcAft>
              <a:spcPct val="15000"/>
            </a:spcAft>
            <a:buChar char="••"/>
          </a:pPr>
          <a:r>
            <a:rPr lang="en-US" sz="1200" kern="1200"/>
            <a:t>CHE 170 - General College Chemistry I</a:t>
          </a:r>
        </a:p>
        <a:p>
          <a:pPr marL="114300" lvl="1" indent="-114300" algn="l" defTabSz="533400">
            <a:lnSpc>
              <a:spcPct val="90000"/>
            </a:lnSpc>
            <a:spcBef>
              <a:spcPct val="0"/>
            </a:spcBef>
            <a:spcAft>
              <a:spcPct val="15000"/>
            </a:spcAft>
            <a:buChar char="••"/>
          </a:pPr>
          <a:r>
            <a:rPr lang="en-US" sz="1200" kern="1200"/>
            <a:t>CHE 175 - General College Chemistry Laboratory I</a:t>
          </a:r>
        </a:p>
        <a:p>
          <a:pPr marL="114300" lvl="1" indent="-114300" algn="l" defTabSz="533400">
            <a:lnSpc>
              <a:spcPct val="90000"/>
            </a:lnSpc>
            <a:spcBef>
              <a:spcPct val="0"/>
            </a:spcBef>
            <a:spcAft>
              <a:spcPct val="15000"/>
            </a:spcAft>
            <a:buChar char="••"/>
          </a:pPr>
          <a:r>
            <a:rPr lang="en-US" sz="1200" kern="1200"/>
            <a:t>CHE 180 - General College Chemistry II</a:t>
          </a:r>
        </a:p>
        <a:p>
          <a:pPr marL="114300" lvl="1" indent="-114300" algn="l" defTabSz="533400">
            <a:lnSpc>
              <a:spcPct val="90000"/>
            </a:lnSpc>
            <a:spcBef>
              <a:spcPct val="0"/>
            </a:spcBef>
            <a:spcAft>
              <a:spcPct val="15000"/>
            </a:spcAft>
            <a:buChar char="••"/>
          </a:pPr>
          <a:r>
            <a:rPr lang="en-US" sz="1200" kern="1200"/>
            <a:t>CHE 185 - General College Chemistry Laboratory II</a:t>
          </a:r>
        </a:p>
        <a:p>
          <a:pPr marL="114300" lvl="1" indent="-114300" algn="l" defTabSz="533400">
            <a:lnSpc>
              <a:spcPct val="90000"/>
            </a:lnSpc>
            <a:spcBef>
              <a:spcPct val="0"/>
            </a:spcBef>
            <a:spcAft>
              <a:spcPct val="15000"/>
            </a:spcAft>
            <a:buChar char="••"/>
          </a:pPr>
          <a:r>
            <a:rPr lang="en-US" sz="1200" kern="1200"/>
            <a:t>CHE 220 - Analytical Chemistry</a:t>
          </a:r>
        </a:p>
        <a:p>
          <a:pPr marL="114300" lvl="1" indent="-114300" algn="l" defTabSz="533400">
            <a:lnSpc>
              <a:spcPct val="90000"/>
            </a:lnSpc>
            <a:spcBef>
              <a:spcPct val="0"/>
            </a:spcBef>
            <a:spcAft>
              <a:spcPct val="15000"/>
            </a:spcAft>
            <a:buChar char="••"/>
          </a:pPr>
          <a:r>
            <a:rPr lang="en-US" sz="1200" kern="1200"/>
            <a:t>CHE 270 - Organic Chemistry I</a:t>
          </a:r>
        </a:p>
        <a:p>
          <a:pPr marL="114300" lvl="1" indent="-114300" algn="l" defTabSz="533400">
            <a:lnSpc>
              <a:spcPct val="90000"/>
            </a:lnSpc>
            <a:spcBef>
              <a:spcPct val="0"/>
            </a:spcBef>
            <a:spcAft>
              <a:spcPct val="15000"/>
            </a:spcAft>
            <a:buChar char="••"/>
          </a:pPr>
          <a:r>
            <a:rPr lang="en-US" sz="1200" kern="1200"/>
            <a:t>CHE 275 - Organic Chemistry Laboratory I</a:t>
          </a:r>
        </a:p>
        <a:p>
          <a:pPr marL="114300" lvl="1" indent="-114300" algn="l" defTabSz="533400">
            <a:lnSpc>
              <a:spcPct val="90000"/>
            </a:lnSpc>
            <a:spcBef>
              <a:spcPct val="0"/>
            </a:spcBef>
            <a:spcAft>
              <a:spcPct val="15000"/>
            </a:spcAft>
            <a:buChar char="••"/>
          </a:pPr>
          <a:r>
            <a:rPr lang="en-US" sz="1200" kern="1200"/>
            <a:t>CHE 280 - Organic Chemistry II</a:t>
          </a:r>
        </a:p>
        <a:p>
          <a:pPr marL="114300" lvl="1" indent="-114300" algn="l" defTabSz="533400">
            <a:lnSpc>
              <a:spcPct val="90000"/>
            </a:lnSpc>
            <a:spcBef>
              <a:spcPct val="0"/>
            </a:spcBef>
            <a:spcAft>
              <a:spcPct val="15000"/>
            </a:spcAft>
            <a:buChar char="••"/>
          </a:pPr>
          <a:r>
            <a:rPr lang="en-US" sz="1200" kern="1200"/>
            <a:t>CHE 285 - Organic Chemistry Laboratory II</a:t>
          </a:r>
        </a:p>
        <a:p>
          <a:pPr marL="114300" lvl="1" indent="-114300" algn="l" defTabSz="533400">
            <a:lnSpc>
              <a:spcPct val="90000"/>
            </a:lnSpc>
            <a:spcBef>
              <a:spcPct val="0"/>
            </a:spcBef>
            <a:spcAft>
              <a:spcPct val="15000"/>
            </a:spcAft>
            <a:buChar char="••"/>
          </a:pPr>
          <a:r>
            <a:rPr lang="en-US" sz="1200" kern="1200"/>
            <a:t>EST 150 - Introductory Ecology</a:t>
          </a:r>
        </a:p>
        <a:p>
          <a:pPr marL="114300" lvl="1" indent="-114300" algn="l" defTabSz="533400">
            <a:lnSpc>
              <a:spcPct val="90000"/>
            </a:lnSpc>
            <a:spcBef>
              <a:spcPct val="0"/>
            </a:spcBef>
            <a:spcAft>
              <a:spcPct val="15000"/>
            </a:spcAft>
            <a:buChar char="••"/>
          </a:pPr>
          <a:r>
            <a:rPr lang="en-US" sz="1200" kern="1200"/>
            <a:t>EST 160 - Hydrological Geology</a:t>
          </a:r>
        </a:p>
        <a:p>
          <a:pPr marL="114300" lvl="1" indent="-114300" algn="l" defTabSz="533400">
            <a:lnSpc>
              <a:spcPct val="90000"/>
            </a:lnSpc>
            <a:spcBef>
              <a:spcPct val="0"/>
            </a:spcBef>
            <a:spcAft>
              <a:spcPct val="15000"/>
            </a:spcAft>
            <a:buChar char="••"/>
          </a:pPr>
          <a:r>
            <a:rPr lang="en-US" sz="1200" kern="1200"/>
            <a:t>GEO 130 - Earth's Physical Environment</a:t>
          </a:r>
        </a:p>
        <a:p>
          <a:pPr marL="114300" lvl="1" indent="-114300" algn="l" defTabSz="533400">
            <a:lnSpc>
              <a:spcPct val="90000"/>
            </a:lnSpc>
            <a:spcBef>
              <a:spcPct val="0"/>
            </a:spcBef>
            <a:spcAft>
              <a:spcPct val="15000"/>
            </a:spcAft>
            <a:buChar char="••"/>
          </a:pPr>
          <a:r>
            <a:rPr lang="en-US" sz="1200" kern="1200"/>
            <a:t>GEO 135 - Global Climate Change</a:t>
          </a:r>
        </a:p>
        <a:p>
          <a:pPr marL="114300" lvl="1" indent="-114300" algn="l" defTabSz="533400">
            <a:lnSpc>
              <a:spcPct val="90000"/>
            </a:lnSpc>
            <a:spcBef>
              <a:spcPct val="0"/>
            </a:spcBef>
            <a:spcAft>
              <a:spcPct val="15000"/>
            </a:spcAft>
            <a:buChar char="••"/>
          </a:pPr>
          <a:r>
            <a:rPr lang="en-US" sz="1200" kern="1200"/>
            <a:t>GEO 251 - Weather &amp; Climate</a:t>
          </a:r>
        </a:p>
        <a:p>
          <a:pPr marL="114300" lvl="1" indent="-114300" algn="l" defTabSz="533400">
            <a:lnSpc>
              <a:spcPct val="90000"/>
            </a:lnSpc>
            <a:spcBef>
              <a:spcPct val="0"/>
            </a:spcBef>
            <a:spcAft>
              <a:spcPct val="15000"/>
            </a:spcAft>
            <a:buChar char="••"/>
          </a:pPr>
          <a:r>
            <a:rPr lang="en-US" sz="1200" kern="1200"/>
            <a:t>GLY 101 - Physical Geology</a:t>
          </a:r>
        </a:p>
        <a:p>
          <a:pPr marL="114300" lvl="1" indent="-114300" algn="l" defTabSz="533400">
            <a:lnSpc>
              <a:spcPct val="90000"/>
            </a:lnSpc>
            <a:spcBef>
              <a:spcPct val="0"/>
            </a:spcBef>
            <a:spcAft>
              <a:spcPct val="15000"/>
            </a:spcAft>
            <a:buChar char="••"/>
          </a:pPr>
          <a:r>
            <a:rPr lang="en-US" sz="1200" kern="1200"/>
            <a:t>GLY 102 - Historical Geology</a:t>
          </a:r>
        </a:p>
        <a:p>
          <a:pPr marL="114300" lvl="1" indent="-114300" algn="l" defTabSz="533400">
            <a:lnSpc>
              <a:spcPct val="90000"/>
            </a:lnSpc>
            <a:spcBef>
              <a:spcPct val="0"/>
            </a:spcBef>
            <a:spcAft>
              <a:spcPct val="15000"/>
            </a:spcAft>
            <a:buChar char="••"/>
          </a:pPr>
          <a:r>
            <a:rPr lang="en-US" sz="1200" kern="1200"/>
            <a:t>GLY 110 - Environmental Geology</a:t>
          </a:r>
        </a:p>
        <a:p>
          <a:pPr marL="114300" lvl="1" indent="-114300" algn="l" defTabSz="533400">
            <a:lnSpc>
              <a:spcPct val="90000"/>
            </a:lnSpc>
            <a:spcBef>
              <a:spcPct val="0"/>
            </a:spcBef>
            <a:spcAft>
              <a:spcPct val="15000"/>
            </a:spcAft>
            <a:buChar char="••"/>
          </a:pPr>
          <a:r>
            <a:rPr lang="en-US" sz="1200" kern="1200"/>
            <a:t>GLY 111 - Laboratory For Physical Geology</a:t>
          </a:r>
        </a:p>
        <a:p>
          <a:pPr marL="114300" lvl="1" indent="-114300" algn="l" defTabSz="533400">
            <a:lnSpc>
              <a:spcPct val="90000"/>
            </a:lnSpc>
            <a:spcBef>
              <a:spcPct val="0"/>
            </a:spcBef>
            <a:spcAft>
              <a:spcPct val="15000"/>
            </a:spcAft>
            <a:buChar char="••"/>
          </a:pPr>
          <a:r>
            <a:rPr lang="en-US" sz="1200" kern="1200"/>
            <a:t>GLY 112 - Laboratory For Historical Geology</a:t>
          </a:r>
        </a:p>
        <a:p>
          <a:pPr marL="114300" lvl="1" indent="-114300" algn="l" defTabSz="533400">
            <a:lnSpc>
              <a:spcPct val="90000"/>
            </a:lnSpc>
            <a:spcBef>
              <a:spcPct val="0"/>
            </a:spcBef>
            <a:spcAft>
              <a:spcPct val="15000"/>
            </a:spcAft>
            <a:buChar char="••"/>
          </a:pPr>
          <a:r>
            <a:rPr lang="en-US" sz="1200" kern="1200"/>
            <a:t>GLY 130 - Dinosaurs &amp; Disasters:  A Brief History Of The Vertebrates</a:t>
          </a:r>
        </a:p>
        <a:p>
          <a:pPr marL="114300" lvl="1" indent="-114300" algn="l" defTabSz="533400">
            <a:lnSpc>
              <a:spcPct val="90000"/>
            </a:lnSpc>
            <a:spcBef>
              <a:spcPct val="0"/>
            </a:spcBef>
            <a:spcAft>
              <a:spcPct val="15000"/>
            </a:spcAft>
            <a:buChar char="••"/>
          </a:pPr>
          <a:r>
            <a:rPr lang="en-US" sz="1200" kern="1200"/>
            <a:t>GLY 131 - Dinosaur Laboratory</a:t>
          </a:r>
        </a:p>
        <a:p>
          <a:pPr marL="114300" lvl="1" indent="-114300" algn="l" defTabSz="533400">
            <a:lnSpc>
              <a:spcPct val="90000"/>
            </a:lnSpc>
            <a:spcBef>
              <a:spcPct val="0"/>
            </a:spcBef>
            <a:spcAft>
              <a:spcPct val="15000"/>
            </a:spcAft>
            <a:buChar char="••"/>
          </a:pPr>
          <a:r>
            <a:rPr lang="en-US" sz="1200" kern="1200"/>
            <a:t>GLY 220 - Principles Of Physical Geology</a:t>
          </a:r>
        </a:p>
        <a:p>
          <a:pPr marL="114300" lvl="1" indent="-114300" algn="l" defTabSz="533400">
            <a:lnSpc>
              <a:spcPct val="90000"/>
            </a:lnSpc>
            <a:spcBef>
              <a:spcPct val="0"/>
            </a:spcBef>
            <a:spcAft>
              <a:spcPct val="15000"/>
            </a:spcAft>
            <a:buChar char="••"/>
          </a:pPr>
          <a:r>
            <a:rPr lang="en-US" sz="1200" kern="1200"/>
            <a:t>PHY 151 - Introductory Physics I</a:t>
          </a:r>
        </a:p>
        <a:p>
          <a:pPr marL="114300" lvl="1" indent="-114300" algn="l" defTabSz="533400">
            <a:lnSpc>
              <a:spcPct val="90000"/>
            </a:lnSpc>
            <a:spcBef>
              <a:spcPct val="0"/>
            </a:spcBef>
            <a:spcAft>
              <a:spcPct val="15000"/>
            </a:spcAft>
            <a:buChar char="••"/>
          </a:pPr>
          <a:r>
            <a:rPr lang="en-US" sz="1200" kern="1200"/>
            <a:t>PHY 152 - Introductory Physics II</a:t>
          </a:r>
        </a:p>
        <a:p>
          <a:pPr marL="114300" lvl="1" indent="-114300" algn="l" defTabSz="533400">
            <a:lnSpc>
              <a:spcPct val="90000"/>
            </a:lnSpc>
            <a:spcBef>
              <a:spcPct val="0"/>
            </a:spcBef>
            <a:spcAft>
              <a:spcPct val="15000"/>
            </a:spcAft>
            <a:buChar char="••"/>
          </a:pPr>
          <a:r>
            <a:rPr lang="en-US" sz="1200" kern="1200"/>
            <a:t>PHY 160 - Physics &amp; Astronomy For Elementary Teachers</a:t>
          </a:r>
        </a:p>
        <a:p>
          <a:pPr marL="114300" lvl="1" indent="-114300" algn="l" defTabSz="533400">
            <a:lnSpc>
              <a:spcPct val="90000"/>
            </a:lnSpc>
            <a:spcBef>
              <a:spcPct val="0"/>
            </a:spcBef>
            <a:spcAft>
              <a:spcPct val="15000"/>
            </a:spcAft>
            <a:buChar char="••"/>
          </a:pPr>
          <a:r>
            <a:rPr lang="en-US" sz="1200" kern="1200"/>
            <a:t>PHY 161 - Introductory Physics Laboratory I</a:t>
          </a:r>
        </a:p>
        <a:p>
          <a:pPr marL="114300" lvl="1" indent="-114300" algn="l" defTabSz="533400">
            <a:lnSpc>
              <a:spcPct val="90000"/>
            </a:lnSpc>
            <a:spcBef>
              <a:spcPct val="0"/>
            </a:spcBef>
            <a:spcAft>
              <a:spcPct val="15000"/>
            </a:spcAft>
            <a:buChar char="••"/>
          </a:pPr>
          <a:r>
            <a:rPr lang="en-US" sz="1200" kern="1200"/>
            <a:t>PHY 162 - Introductory Physics Laboratory II</a:t>
          </a:r>
        </a:p>
        <a:p>
          <a:pPr marL="114300" lvl="1" indent="-114300" algn="l" defTabSz="533400">
            <a:lnSpc>
              <a:spcPct val="90000"/>
            </a:lnSpc>
            <a:spcBef>
              <a:spcPct val="0"/>
            </a:spcBef>
            <a:spcAft>
              <a:spcPct val="15000"/>
            </a:spcAft>
            <a:buChar char="••"/>
          </a:pPr>
          <a:r>
            <a:rPr lang="en-US" sz="1200" kern="1200"/>
            <a:t>PHY 171 - Applied Physics</a:t>
          </a:r>
        </a:p>
        <a:p>
          <a:pPr marL="114300" lvl="1" indent="-114300" algn="l" defTabSz="533400">
            <a:lnSpc>
              <a:spcPct val="90000"/>
            </a:lnSpc>
            <a:spcBef>
              <a:spcPct val="0"/>
            </a:spcBef>
            <a:spcAft>
              <a:spcPct val="15000"/>
            </a:spcAft>
            <a:buChar char="••"/>
          </a:pPr>
          <a:r>
            <a:rPr lang="en-US" sz="1200" kern="1200"/>
            <a:t>PHY 172 - Physics For Health Science</a:t>
          </a:r>
        </a:p>
        <a:p>
          <a:pPr marL="114300" lvl="1" indent="-114300" algn="l" defTabSz="533400">
            <a:lnSpc>
              <a:spcPct val="90000"/>
            </a:lnSpc>
            <a:spcBef>
              <a:spcPct val="0"/>
            </a:spcBef>
            <a:spcAft>
              <a:spcPct val="15000"/>
            </a:spcAft>
            <a:buChar char="••"/>
          </a:pPr>
          <a:r>
            <a:rPr lang="en-US" sz="1200" kern="1200"/>
            <a:t>PHY 201 - College Physics I</a:t>
          </a:r>
        </a:p>
        <a:p>
          <a:pPr marL="114300" lvl="1" indent="-114300" algn="l" defTabSz="533400">
            <a:lnSpc>
              <a:spcPct val="90000"/>
            </a:lnSpc>
            <a:spcBef>
              <a:spcPct val="0"/>
            </a:spcBef>
            <a:spcAft>
              <a:spcPct val="15000"/>
            </a:spcAft>
            <a:buChar char="••"/>
          </a:pPr>
          <a:r>
            <a:rPr lang="en-US" sz="1200" kern="1200"/>
            <a:t>PHY 202 - College Physics Lab I</a:t>
          </a:r>
        </a:p>
        <a:p>
          <a:pPr marL="114300" lvl="1" indent="-114300" algn="l" defTabSz="533400">
            <a:lnSpc>
              <a:spcPct val="90000"/>
            </a:lnSpc>
            <a:spcBef>
              <a:spcPct val="0"/>
            </a:spcBef>
            <a:spcAft>
              <a:spcPct val="15000"/>
            </a:spcAft>
            <a:buChar char="••"/>
          </a:pPr>
          <a:r>
            <a:rPr lang="en-US" sz="1200" kern="1200"/>
            <a:t>PHY 203 - College Physics II</a:t>
          </a:r>
        </a:p>
        <a:p>
          <a:pPr marL="114300" lvl="1" indent="-114300" algn="l" defTabSz="533400">
            <a:lnSpc>
              <a:spcPct val="90000"/>
            </a:lnSpc>
            <a:spcBef>
              <a:spcPct val="0"/>
            </a:spcBef>
            <a:spcAft>
              <a:spcPct val="15000"/>
            </a:spcAft>
            <a:buChar char="••"/>
          </a:pPr>
          <a:r>
            <a:rPr lang="en-US" sz="1200" kern="1200"/>
            <a:t>PHY 204 - College Physics Lab II</a:t>
          </a:r>
        </a:p>
        <a:p>
          <a:pPr marL="114300" lvl="1" indent="-114300" algn="l" defTabSz="533400">
            <a:lnSpc>
              <a:spcPct val="90000"/>
            </a:lnSpc>
            <a:spcBef>
              <a:spcPct val="0"/>
            </a:spcBef>
            <a:spcAft>
              <a:spcPct val="15000"/>
            </a:spcAft>
            <a:buChar char="••"/>
          </a:pPr>
          <a:r>
            <a:rPr lang="en-US" sz="1200" kern="1200"/>
            <a:t>PHY 231 - General University Physics I</a:t>
          </a:r>
        </a:p>
        <a:p>
          <a:pPr marL="114300" lvl="1" indent="-114300" algn="l" defTabSz="533400">
            <a:lnSpc>
              <a:spcPct val="90000"/>
            </a:lnSpc>
            <a:spcBef>
              <a:spcPct val="0"/>
            </a:spcBef>
            <a:spcAft>
              <a:spcPct val="15000"/>
            </a:spcAft>
            <a:buChar char="••"/>
          </a:pPr>
          <a:r>
            <a:rPr lang="en-US" sz="1200" kern="1200"/>
            <a:t>PHY 232 - General University Physics II</a:t>
          </a:r>
        </a:p>
        <a:p>
          <a:pPr marL="114300" lvl="1" indent="-114300" algn="l" defTabSz="533400">
            <a:lnSpc>
              <a:spcPct val="90000"/>
            </a:lnSpc>
            <a:spcBef>
              <a:spcPct val="0"/>
            </a:spcBef>
            <a:spcAft>
              <a:spcPct val="15000"/>
            </a:spcAft>
            <a:buChar char="••"/>
          </a:pPr>
          <a:r>
            <a:rPr lang="en-US" sz="1200" kern="1200"/>
            <a:t>PHY 241 - General University Physics I Laboratory</a:t>
          </a:r>
        </a:p>
        <a:p>
          <a:pPr marL="114300" lvl="1" indent="-114300" algn="l" defTabSz="533400">
            <a:lnSpc>
              <a:spcPct val="90000"/>
            </a:lnSpc>
            <a:spcBef>
              <a:spcPct val="0"/>
            </a:spcBef>
            <a:spcAft>
              <a:spcPct val="15000"/>
            </a:spcAft>
            <a:buChar char="••"/>
          </a:pPr>
          <a:r>
            <a:rPr lang="en-US" sz="1200" kern="1200"/>
            <a:t>PHY 242 - General University Physics II Laboratory</a:t>
          </a:r>
        </a:p>
        <a:p>
          <a:pPr marL="114300" lvl="1" indent="-114300" algn="l" defTabSz="533400">
            <a:lnSpc>
              <a:spcPct val="90000"/>
            </a:lnSpc>
            <a:spcBef>
              <a:spcPct val="0"/>
            </a:spcBef>
            <a:spcAft>
              <a:spcPct val="15000"/>
            </a:spcAft>
            <a:buChar char="••"/>
          </a:pPr>
          <a:r>
            <a:rPr lang="en-US" sz="1200" kern="1200"/>
            <a:t>SCI 295 - Scientific Investigations</a:t>
          </a:r>
        </a:p>
      </dsp:txBody>
      <dsp:txXfrm>
        <a:off x="0" y="36114523"/>
        <a:ext cx="6657976" cy="16329600"/>
      </dsp:txXfrm>
    </dsp:sp>
    <dsp:sp modelId="{A13C755E-4B5F-4F00-B21E-64F9772BCED9}">
      <dsp:nvSpPr>
        <dsp:cNvPr id="0" name=""/>
        <dsp:cNvSpPr/>
      </dsp:nvSpPr>
      <dsp:spPr>
        <a:xfrm>
          <a:off x="332898" y="3593740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Natural Sciences</a:t>
          </a:r>
        </a:p>
      </dsp:txBody>
      <dsp:txXfrm>
        <a:off x="350191" y="35954696"/>
        <a:ext cx="4625997" cy="319653"/>
      </dsp:txXfrm>
    </dsp:sp>
    <dsp:sp modelId="{CB484849-A58C-403B-BE62-FAD20DCEA897}">
      <dsp:nvSpPr>
        <dsp:cNvPr id="0" name=""/>
        <dsp:cNvSpPr/>
      </dsp:nvSpPr>
      <dsp:spPr>
        <a:xfrm>
          <a:off x="0" y="52686043"/>
          <a:ext cx="6657976" cy="74088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b="0" i="0" u="none" kern="1200"/>
            <a:t>MA 109 - College Algebra</a:t>
          </a:r>
          <a:endParaRPr lang="en-US" sz="1200" kern="1200"/>
        </a:p>
        <a:p>
          <a:pPr marL="114300" lvl="1" indent="-114300" algn="l" defTabSz="533400">
            <a:lnSpc>
              <a:spcPct val="90000"/>
            </a:lnSpc>
            <a:spcBef>
              <a:spcPct val="0"/>
            </a:spcBef>
            <a:spcAft>
              <a:spcPct val="15000"/>
            </a:spcAft>
            <a:buChar char="••"/>
          </a:pPr>
          <a:r>
            <a:rPr lang="en-US" sz="1200" b="0" i="0" u="none" kern="1200"/>
            <a:t>MA 110 - Algebra &amp; Trigonometry For Calculus</a:t>
          </a:r>
          <a:endParaRPr lang="en-US" sz="1200" kern="1200"/>
        </a:p>
        <a:p>
          <a:pPr marL="114300" lvl="1" indent="-114300" algn="l" defTabSz="533400">
            <a:lnSpc>
              <a:spcPct val="90000"/>
            </a:lnSpc>
            <a:spcBef>
              <a:spcPct val="0"/>
            </a:spcBef>
            <a:spcAft>
              <a:spcPct val="15000"/>
            </a:spcAft>
            <a:buChar char="••"/>
          </a:pPr>
          <a:r>
            <a:rPr lang="en-US" sz="1200" b="0" i="0" u="none" kern="1200"/>
            <a:t>MA 111 - Contemporary Mathematics</a:t>
          </a:r>
          <a:endParaRPr lang="en-US" sz="1200" kern="1200"/>
        </a:p>
        <a:p>
          <a:pPr marL="114300" lvl="1" indent="-114300" algn="l" defTabSz="533400">
            <a:lnSpc>
              <a:spcPct val="90000"/>
            </a:lnSpc>
            <a:spcBef>
              <a:spcPct val="0"/>
            </a:spcBef>
            <a:spcAft>
              <a:spcPct val="15000"/>
            </a:spcAft>
            <a:buChar char="••"/>
          </a:pPr>
          <a:r>
            <a:rPr lang="en-US" sz="1200" b="0" i="0" u="none" kern="1200"/>
            <a:t>MA 112 - Trigonometry</a:t>
          </a:r>
          <a:endParaRPr lang="en-US" sz="1200" kern="1200"/>
        </a:p>
        <a:p>
          <a:pPr marL="114300" lvl="1" indent="-114300" algn="l" defTabSz="533400">
            <a:lnSpc>
              <a:spcPct val="90000"/>
            </a:lnSpc>
            <a:spcBef>
              <a:spcPct val="0"/>
            </a:spcBef>
            <a:spcAft>
              <a:spcPct val="15000"/>
            </a:spcAft>
            <a:buChar char="••"/>
          </a:pPr>
          <a:r>
            <a:rPr lang="en-US" sz="1200" b="0" i="0" u="none" kern="1200"/>
            <a:t>MA 113 - Calculus I</a:t>
          </a:r>
          <a:endParaRPr lang="en-US" sz="1200" kern="1200"/>
        </a:p>
        <a:p>
          <a:pPr marL="114300" lvl="1" indent="-114300" algn="l" defTabSz="533400">
            <a:lnSpc>
              <a:spcPct val="90000"/>
            </a:lnSpc>
            <a:spcBef>
              <a:spcPct val="0"/>
            </a:spcBef>
            <a:spcAft>
              <a:spcPct val="15000"/>
            </a:spcAft>
            <a:buChar char="••"/>
          </a:pPr>
          <a:r>
            <a:rPr lang="en-US" sz="1200" b="0" i="0" u="none" kern="1200"/>
            <a:t>MA 114 - Calculus II</a:t>
          </a:r>
          <a:endParaRPr lang="en-US" sz="1200" kern="1200"/>
        </a:p>
        <a:p>
          <a:pPr marL="114300" lvl="1" indent="-114300" algn="l" defTabSz="533400">
            <a:lnSpc>
              <a:spcPct val="90000"/>
            </a:lnSpc>
            <a:spcBef>
              <a:spcPct val="0"/>
            </a:spcBef>
            <a:spcAft>
              <a:spcPct val="15000"/>
            </a:spcAft>
            <a:buChar char="••"/>
          </a:pPr>
          <a:r>
            <a:rPr lang="en-US" sz="1200" b="0" i="0" u="none" kern="1200"/>
            <a:t>MA 123 - Elementary Calculus &amp; Its Applications</a:t>
          </a:r>
          <a:endParaRPr lang="en-US" sz="1200" kern="1200"/>
        </a:p>
        <a:p>
          <a:pPr marL="114300" lvl="1" indent="-114300" algn="l" defTabSz="533400">
            <a:lnSpc>
              <a:spcPct val="90000"/>
            </a:lnSpc>
            <a:spcBef>
              <a:spcPct val="0"/>
            </a:spcBef>
            <a:spcAft>
              <a:spcPct val="15000"/>
            </a:spcAft>
            <a:buChar char="••"/>
          </a:pPr>
          <a:r>
            <a:rPr lang="en-US" sz="1200" b="0" i="0" u="none" kern="1200"/>
            <a:t>MA 162 - Finite Mathematics &amp; Its Applications</a:t>
          </a:r>
          <a:endParaRPr lang="en-US" sz="1200" kern="1200"/>
        </a:p>
        <a:p>
          <a:pPr marL="114300" lvl="1" indent="-114300" algn="l" defTabSz="533400">
            <a:lnSpc>
              <a:spcPct val="90000"/>
            </a:lnSpc>
            <a:spcBef>
              <a:spcPct val="0"/>
            </a:spcBef>
            <a:spcAft>
              <a:spcPct val="15000"/>
            </a:spcAft>
            <a:buChar char="••"/>
          </a:pPr>
          <a:r>
            <a:rPr lang="en-US" sz="1200" b="0" i="0" u="none" kern="1200"/>
            <a:t>MA 193 - Supplementary Mathematics Workshop I</a:t>
          </a:r>
          <a:endParaRPr lang="en-US" sz="1200" kern="1200"/>
        </a:p>
        <a:p>
          <a:pPr marL="114300" lvl="1" indent="-114300" algn="l" defTabSz="533400">
            <a:lnSpc>
              <a:spcPct val="90000"/>
            </a:lnSpc>
            <a:spcBef>
              <a:spcPct val="0"/>
            </a:spcBef>
            <a:spcAft>
              <a:spcPct val="15000"/>
            </a:spcAft>
            <a:buChar char="••"/>
          </a:pPr>
          <a:r>
            <a:rPr lang="en-US" sz="1200" b="0" i="0" u="none" kern="1200"/>
            <a:t>MA 194 - Supplementary Mathematics Workshop II</a:t>
          </a:r>
          <a:endParaRPr lang="en-US" sz="1200" kern="1200"/>
        </a:p>
        <a:p>
          <a:pPr marL="114300" lvl="1" indent="-114300" algn="l" defTabSz="533400">
            <a:lnSpc>
              <a:spcPct val="90000"/>
            </a:lnSpc>
            <a:spcBef>
              <a:spcPct val="0"/>
            </a:spcBef>
            <a:spcAft>
              <a:spcPct val="15000"/>
            </a:spcAft>
            <a:buChar char="••"/>
          </a:pPr>
          <a:r>
            <a:rPr lang="en-US" sz="1200" b="0" i="0" u="none" kern="1200"/>
            <a:t>MA 201 - Mathematics For Elementary Teachers</a:t>
          </a:r>
          <a:endParaRPr lang="en-US" sz="1200" kern="1200"/>
        </a:p>
        <a:p>
          <a:pPr marL="114300" lvl="1" indent="-114300" algn="l" defTabSz="533400">
            <a:lnSpc>
              <a:spcPct val="90000"/>
            </a:lnSpc>
            <a:spcBef>
              <a:spcPct val="0"/>
            </a:spcBef>
            <a:spcAft>
              <a:spcPct val="15000"/>
            </a:spcAft>
            <a:buChar char="••"/>
          </a:pPr>
          <a:r>
            <a:rPr lang="en-US" sz="1200" b="0" i="0" u="none" kern="1200"/>
            <a:t>MA 202 - Mathematical Problem Solving For Elementary Teachers</a:t>
          </a:r>
          <a:endParaRPr lang="en-US" sz="1200" kern="1200"/>
        </a:p>
        <a:p>
          <a:pPr marL="114300" lvl="1" indent="-114300" algn="l" defTabSz="533400">
            <a:lnSpc>
              <a:spcPct val="90000"/>
            </a:lnSpc>
            <a:spcBef>
              <a:spcPct val="0"/>
            </a:spcBef>
            <a:spcAft>
              <a:spcPct val="15000"/>
            </a:spcAft>
            <a:buChar char="••"/>
          </a:pPr>
          <a:r>
            <a:rPr lang="en-US" sz="1200" b="0" i="0" u="none" kern="1200"/>
            <a:t>MA 213 - Calculus III</a:t>
          </a:r>
          <a:endParaRPr lang="en-US" sz="1200" kern="1200"/>
        </a:p>
        <a:p>
          <a:pPr marL="114300" lvl="1" indent="-114300" algn="l" defTabSz="533400">
            <a:lnSpc>
              <a:spcPct val="90000"/>
            </a:lnSpc>
            <a:spcBef>
              <a:spcPct val="0"/>
            </a:spcBef>
            <a:spcAft>
              <a:spcPct val="15000"/>
            </a:spcAft>
            <a:buChar char="••"/>
          </a:pPr>
          <a:r>
            <a:rPr lang="en-US" sz="1200" b="0" i="0" u="none" kern="1200"/>
            <a:t>MA 214 - Calculus IV</a:t>
          </a:r>
          <a:endParaRPr lang="en-US" sz="1200" kern="1200"/>
        </a:p>
        <a:p>
          <a:pPr marL="114300" lvl="1" indent="-114300" algn="l" defTabSz="533400">
            <a:lnSpc>
              <a:spcPct val="90000"/>
            </a:lnSpc>
            <a:spcBef>
              <a:spcPct val="0"/>
            </a:spcBef>
            <a:spcAft>
              <a:spcPct val="15000"/>
            </a:spcAft>
            <a:buChar char="••"/>
          </a:pPr>
          <a:r>
            <a:rPr lang="en-US" sz="1200" b="0" i="0" u="none" kern="1200"/>
            <a:t>MA 241 - Geometry For Middle School Teachers</a:t>
          </a:r>
          <a:endParaRPr lang="en-US" sz="1200" kern="1200"/>
        </a:p>
        <a:p>
          <a:pPr marL="114300" lvl="1" indent="-114300" algn="l" defTabSz="533400">
            <a:lnSpc>
              <a:spcPct val="90000"/>
            </a:lnSpc>
            <a:spcBef>
              <a:spcPct val="0"/>
            </a:spcBef>
            <a:spcAft>
              <a:spcPct val="15000"/>
            </a:spcAft>
            <a:buChar char="••"/>
          </a:pPr>
          <a:r>
            <a:rPr lang="en-US" sz="1200" b="0" i="0" u="none" kern="1200"/>
            <a:t>MAT 146 - Contemporary College Mathematics (Satisfies QR requirement on AA only)</a:t>
          </a:r>
          <a:endParaRPr lang="en-US" sz="1200" kern="1200"/>
        </a:p>
        <a:p>
          <a:pPr marL="114300" lvl="1" indent="-114300" algn="l" defTabSz="533400">
            <a:lnSpc>
              <a:spcPct val="90000"/>
            </a:lnSpc>
            <a:spcBef>
              <a:spcPct val="0"/>
            </a:spcBef>
            <a:spcAft>
              <a:spcPct val="15000"/>
            </a:spcAft>
            <a:buChar char="••"/>
          </a:pPr>
          <a:r>
            <a:rPr lang="en-US" sz="1200" b="0" i="0" u="none" kern="1200"/>
            <a:t>MAT 150 - College Algebra</a:t>
          </a:r>
          <a:endParaRPr lang="en-US" sz="1200" kern="1200"/>
        </a:p>
        <a:p>
          <a:pPr marL="114300" lvl="1" indent="-114300" algn="l" defTabSz="533400">
            <a:lnSpc>
              <a:spcPct val="90000"/>
            </a:lnSpc>
            <a:spcBef>
              <a:spcPct val="0"/>
            </a:spcBef>
            <a:spcAft>
              <a:spcPct val="15000"/>
            </a:spcAft>
            <a:buChar char="••"/>
          </a:pPr>
          <a:r>
            <a:rPr lang="en-US" sz="1200" b="0" i="0" u="none" kern="1200"/>
            <a:t>MAT 154 - Trigonometry</a:t>
          </a:r>
          <a:endParaRPr lang="en-US" sz="1200" kern="1200"/>
        </a:p>
        <a:p>
          <a:pPr marL="114300" lvl="1" indent="-114300" algn="l" defTabSz="533400">
            <a:lnSpc>
              <a:spcPct val="90000"/>
            </a:lnSpc>
            <a:spcBef>
              <a:spcPct val="0"/>
            </a:spcBef>
            <a:spcAft>
              <a:spcPct val="15000"/>
            </a:spcAft>
            <a:buChar char="••"/>
          </a:pPr>
          <a:r>
            <a:rPr lang="en-US" sz="1200" b="0" i="0" u="none" kern="1200"/>
            <a:t>MAT 155 - Trigonometry</a:t>
          </a:r>
          <a:endParaRPr lang="en-US" sz="1200" kern="1200"/>
        </a:p>
        <a:p>
          <a:pPr marL="114300" lvl="1" indent="-114300" algn="l" defTabSz="533400">
            <a:lnSpc>
              <a:spcPct val="90000"/>
            </a:lnSpc>
            <a:spcBef>
              <a:spcPct val="0"/>
            </a:spcBef>
            <a:spcAft>
              <a:spcPct val="15000"/>
            </a:spcAft>
            <a:buChar char="••"/>
          </a:pPr>
          <a:r>
            <a:rPr lang="en-US" sz="1200" b="0" i="0" u="none" kern="1200"/>
            <a:t>MAT 159 - Analytic Geometry &amp; Trigonometry</a:t>
          </a:r>
          <a:endParaRPr lang="en-US" sz="1200" kern="1200"/>
        </a:p>
        <a:p>
          <a:pPr marL="114300" lvl="1" indent="-114300" algn="l" defTabSz="533400">
            <a:lnSpc>
              <a:spcPct val="90000"/>
            </a:lnSpc>
            <a:spcBef>
              <a:spcPct val="0"/>
            </a:spcBef>
            <a:spcAft>
              <a:spcPct val="15000"/>
            </a:spcAft>
            <a:buChar char="••"/>
          </a:pPr>
          <a:r>
            <a:rPr lang="en-US" sz="1200" b="0" i="0" u="none" kern="1200"/>
            <a:t>MAT 160 - Precalculus</a:t>
          </a:r>
          <a:endParaRPr lang="en-US" sz="1200" kern="1200"/>
        </a:p>
        <a:p>
          <a:pPr marL="114300" lvl="1" indent="-114300" algn="l" defTabSz="533400">
            <a:lnSpc>
              <a:spcPct val="90000"/>
            </a:lnSpc>
            <a:spcBef>
              <a:spcPct val="0"/>
            </a:spcBef>
            <a:spcAft>
              <a:spcPct val="15000"/>
            </a:spcAft>
            <a:buChar char="••"/>
          </a:pPr>
          <a:r>
            <a:rPr lang="en-US" sz="1200" b="0" i="0" u="none" kern="1200"/>
            <a:t>MAT 165 - Finite Mathematics &amp; Its Applications</a:t>
          </a:r>
          <a:endParaRPr lang="en-US" sz="1200" kern="1200"/>
        </a:p>
        <a:p>
          <a:pPr marL="114300" lvl="1" indent="-114300" algn="l" defTabSz="533400">
            <a:lnSpc>
              <a:spcPct val="90000"/>
            </a:lnSpc>
            <a:spcBef>
              <a:spcPct val="0"/>
            </a:spcBef>
            <a:spcAft>
              <a:spcPct val="15000"/>
            </a:spcAft>
            <a:buChar char="••"/>
          </a:pPr>
          <a:r>
            <a:rPr lang="en-US" sz="1200" b="0" i="0" u="none" kern="1200"/>
            <a:t>MAT 170 - Brief Calculus With Applications</a:t>
          </a:r>
          <a:endParaRPr lang="en-US" sz="1200" kern="1200"/>
        </a:p>
        <a:p>
          <a:pPr marL="114300" lvl="1" indent="-114300" algn="l" defTabSz="533400">
            <a:lnSpc>
              <a:spcPct val="90000"/>
            </a:lnSpc>
            <a:spcBef>
              <a:spcPct val="0"/>
            </a:spcBef>
            <a:spcAft>
              <a:spcPct val="15000"/>
            </a:spcAft>
            <a:buChar char="••"/>
          </a:pPr>
          <a:r>
            <a:rPr lang="en-US" sz="1200" b="0" i="0" u="none" kern="1200"/>
            <a:t>MAT 174 - Calculus I</a:t>
          </a:r>
          <a:endParaRPr lang="en-US" sz="1200" kern="1200"/>
        </a:p>
        <a:p>
          <a:pPr marL="114300" lvl="1" indent="-114300" algn="l" defTabSz="533400">
            <a:lnSpc>
              <a:spcPct val="90000"/>
            </a:lnSpc>
            <a:spcBef>
              <a:spcPct val="0"/>
            </a:spcBef>
            <a:spcAft>
              <a:spcPct val="15000"/>
            </a:spcAft>
            <a:buChar char="••"/>
          </a:pPr>
          <a:r>
            <a:rPr lang="en-US" sz="1200" b="0" i="0" u="none" kern="1200"/>
            <a:t>MAT 175 - Calculus I</a:t>
          </a:r>
          <a:endParaRPr lang="en-US" sz="1200" kern="1200"/>
        </a:p>
        <a:p>
          <a:pPr marL="114300" lvl="1" indent="-114300" algn="l" defTabSz="533400">
            <a:lnSpc>
              <a:spcPct val="90000"/>
            </a:lnSpc>
            <a:spcBef>
              <a:spcPct val="0"/>
            </a:spcBef>
            <a:spcAft>
              <a:spcPct val="15000"/>
            </a:spcAft>
            <a:buChar char="••"/>
          </a:pPr>
          <a:r>
            <a:rPr lang="en-US" sz="1200" b="0" i="0" u="none" kern="1200"/>
            <a:t>MAT 184 - Calculus II</a:t>
          </a:r>
          <a:endParaRPr lang="en-US" sz="1200" kern="1200"/>
        </a:p>
        <a:p>
          <a:pPr marL="114300" lvl="1" indent="-114300" algn="l" defTabSz="533400">
            <a:lnSpc>
              <a:spcPct val="90000"/>
            </a:lnSpc>
            <a:spcBef>
              <a:spcPct val="0"/>
            </a:spcBef>
            <a:spcAft>
              <a:spcPct val="15000"/>
            </a:spcAft>
            <a:buChar char="••"/>
          </a:pPr>
          <a:r>
            <a:rPr lang="en-US" sz="1200" b="0" i="0" u="none" kern="1200"/>
            <a:t>MAT 185 - Calculus II</a:t>
          </a:r>
          <a:endParaRPr lang="en-US" sz="1200" kern="1200"/>
        </a:p>
        <a:p>
          <a:pPr marL="114300" lvl="1" indent="-114300" algn="l" defTabSz="533400">
            <a:lnSpc>
              <a:spcPct val="90000"/>
            </a:lnSpc>
            <a:spcBef>
              <a:spcPct val="0"/>
            </a:spcBef>
            <a:spcAft>
              <a:spcPct val="15000"/>
            </a:spcAft>
            <a:buChar char="••"/>
          </a:pPr>
          <a:r>
            <a:rPr lang="en-US" sz="1200" b="0" i="0" u="none" kern="1200"/>
            <a:t>MAT 206 - Mathematics For Elementary &amp; Middle School teachers II</a:t>
          </a:r>
          <a:endParaRPr lang="en-US" sz="1200" kern="1200"/>
        </a:p>
        <a:p>
          <a:pPr marL="114300" lvl="1" indent="-114300" algn="l" defTabSz="533400">
            <a:lnSpc>
              <a:spcPct val="90000"/>
            </a:lnSpc>
            <a:spcBef>
              <a:spcPct val="0"/>
            </a:spcBef>
            <a:spcAft>
              <a:spcPct val="15000"/>
            </a:spcAft>
            <a:buChar char="••"/>
          </a:pPr>
          <a:r>
            <a:rPr lang="en-US" sz="1200" b="0" i="0" u="none" kern="1200"/>
            <a:t>MAT 261 - Introduction To Number Theory</a:t>
          </a:r>
          <a:endParaRPr lang="en-US" sz="1200" kern="1200"/>
        </a:p>
        <a:p>
          <a:pPr marL="114300" lvl="1" indent="-114300" algn="l" defTabSz="533400">
            <a:lnSpc>
              <a:spcPct val="90000"/>
            </a:lnSpc>
            <a:spcBef>
              <a:spcPct val="0"/>
            </a:spcBef>
            <a:spcAft>
              <a:spcPct val="15000"/>
            </a:spcAft>
            <a:buChar char="••"/>
          </a:pPr>
          <a:r>
            <a:rPr lang="en-US" sz="1200" b="0" i="0" u="none" kern="1200"/>
            <a:t>MAT 275 - Calculus III</a:t>
          </a:r>
          <a:endParaRPr lang="en-US" sz="1200" kern="1200"/>
        </a:p>
        <a:p>
          <a:pPr marL="114300" lvl="1" indent="-114300" algn="l" defTabSz="533400">
            <a:lnSpc>
              <a:spcPct val="90000"/>
            </a:lnSpc>
            <a:spcBef>
              <a:spcPct val="0"/>
            </a:spcBef>
            <a:spcAft>
              <a:spcPct val="15000"/>
            </a:spcAft>
            <a:buChar char="••"/>
          </a:pPr>
          <a:r>
            <a:rPr lang="en-US" sz="1200" b="0" i="0" u="none" kern="1200"/>
            <a:t>MAT 285 - Differential Equations</a:t>
          </a:r>
          <a:endParaRPr lang="en-US" sz="1200" kern="1200"/>
        </a:p>
        <a:p>
          <a:pPr marL="114300" lvl="1" indent="-114300" algn="l" defTabSz="533400">
            <a:lnSpc>
              <a:spcPct val="90000"/>
            </a:lnSpc>
            <a:spcBef>
              <a:spcPct val="0"/>
            </a:spcBef>
            <a:spcAft>
              <a:spcPct val="15000"/>
            </a:spcAft>
            <a:buChar char="••"/>
          </a:pPr>
          <a:r>
            <a:rPr lang="en-US" sz="1200" b="0" i="0" u="none" kern="1200"/>
            <a:t>STA 200 - Statistics:  Force In Human Judgment</a:t>
          </a:r>
          <a:endParaRPr lang="en-US" sz="1200" kern="1200"/>
        </a:p>
        <a:p>
          <a:pPr marL="114300" lvl="1" indent="-114300" algn="l" defTabSz="533400">
            <a:lnSpc>
              <a:spcPct val="90000"/>
            </a:lnSpc>
            <a:spcBef>
              <a:spcPct val="0"/>
            </a:spcBef>
            <a:spcAft>
              <a:spcPct val="15000"/>
            </a:spcAft>
            <a:buChar char="••"/>
          </a:pPr>
          <a:r>
            <a:rPr lang="en-US" sz="1200" b="0" i="0" u="none" kern="1200"/>
            <a:t>STA 210 - Statistics:  A Force In Human Judgment</a:t>
          </a:r>
          <a:endParaRPr lang="en-US" sz="1200" kern="1200"/>
        </a:p>
        <a:p>
          <a:pPr marL="114300" lvl="1" indent="-114300" algn="l" defTabSz="533400">
            <a:lnSpc>
              <a:spcPct val="90000"/>
            </a:lnSpc>
            <a:spcBef>
              <a:spcPct val="0"/>
            </a:spcBef>
            <a:spcAft>
              <a:spcPct val="15000"/>
            </a:spcAft>
            <a:buChar char="••"/>
          </a:pPr>
          <a:r>
            <a:rPr lang="en-US" sz="1200" b="0" i="0" u="none" kern="1200"/>
            <a:t>STA 215 - Intro To Statistical Reasoning</a:t>
          </a:r>
          <a:endParaRPr lang="en-US" sz="1200" kern="1200"/>
        </a:p>
        <a:p>
          <a:pPr marL="114300" lvl="1" indent="-114300" algn="l" defTabSz="533400">
            <a:lnSpc>
              <a:spcPct val="90000"/>
            </a:lnSpc>
            <a:spcBef>
              <a:spcPct val="0"/>
            </a:spcBef>
            <a:spcAft>
              <a:spcPct val="15000"/>
            </a:spcAft>
            <a:buChar char="••"/>
          </a:pPr>
          <a:r>
            <a:rPr lang="en-US" sz="1200" b="0" i="0" u="none" kern="1200"/>
            <a:t>STA 220 - Statistics</a:t>
          </a:r>
          <a:endParaRPr lang="en-US" sz="1200" kern="1200"/>
        </a:p>
        <a:p>
          <a:pPr marL="114300" lvl="1" indent="-114300" algn="l" defTabSz="533400">
            <a:lnSpc>
              <a:spcPct val="90000"/>
            </a:lnSpc>
            <a:spcBef>
              <a:spcPct val="0"/>
            </a:spcBef>
            <a:spcAft>
              <a:spcPct val="15000"/>
            </a:spcAft>
            <a:buChar char="••"/>
          </a:pPr>
          <a:r>
            <a:rPr lang="en-US" sz="1200" b="0" i="0" u="none" kern="1200"/>
            <a:t>STA 291 - Statistical Method</a:t>
          </a:r>
          <a:endParaRPr lang="en-US" sz="1200" kern="1200"/>
        </a:p>
      </dsp:txBody>
      <dsp:txXfrm>
        <a:off x="0" y="52686043"/>
        <a:ext cx="6657976" cy="7408800"/>
      </dsp:txXfrm>
    </dsp:sp>
    <dsp:sp modelId="{544F83B4-61A5-48E0-9038-3584469BFED8}">
      <dsp:nvSpPr>
        <dsp:cNvPr id="0" name=""/>
        <dsp:cNvSpPr/>
      </dsp:nvSpPr>
      <dsp:spPr>
        <a:xfrm>
          <a:off x="332898" y="5250892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Quantitative Reasoning</a:t>
          </a:r>
        </a:p>
      </dsp:txBody>
      <dsp:txXfrm>
        <a:off x="350191" y="52526216"/>
        <a:ext cx="4625997" cy="319653"/>
      </dsp:txXfrm>
    </dsp:sp>
    <dsp:sp modelId="{044B49A3-7F5D-49D0-A1A1-64AB6D7494E4}">
      <dsp:nvSpPr>
        <dsp:cNvPr id="0" name=""/>
        <dsp:cNvSpPr/>
      </dsp:nvSpPr>
      <dsp:spPr>
        <a:xfrm>
          <a:off x="0" y="60336763"/>
          <a:ext cx="6657976" cy="51408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6733" tIns="249936" rIns="516733" bIns="85344" numCol="1" spcCol="1270" anchor="t" anchorCtr="0">
          <a:noAutofit/>
        </a:bodyPr>
        <a:lstStyle/>
        <a:p>
          <a:pPr marL="114300" lvl="1" indent="-114300" algn="l" defTabSz="533400">
            <a:lnSpc>
              <a:spcPct val="90000"/>
            </a:lnSpc>
            <a:spcBef>
              <a:spcPct val="0"/>
            </a:spcBef>
            <a:spcAft>
              <a:spcPct val="15000"/>
            </a:spcAft>
            <a:buChar char="••"/>
          </a:pPr>
          <a:r>
            <a:rPr lang="en-US" sz="1200" b="0" i="0" u="none" kern="1200"/>
            <a:t>ASL 101 - American Sign Language I</a:t>
          </a:r>
          <a:endParaRPr lang="en-US" sz="1200" kern="1200"/>
        </a:p>
        <a:p>
          <a:pPr marL="114300" lvl="1" indent="-114300" algn="l" defTabSz="533400">
            <a:lnSpc>
              <a:spcPct val="90000"/>
            </a:lnSpc>
            <a:spcBef>
              <a:spcPct val="0"/>
            </a:spcBef>
            <a:spcAft>
              <a:spcPct val="15000"/>
            </a:spcAft>
            <a:buChar char="••"/>
          </a:pPr>
          <a:r>
            <a:rPr lang="en-US" sz="1200" b="0" i="0" u="none" kern="1200"/>
            <a:t>ASL 102 - American Sign Language II</a:t>
          </a:r>
          <a:endParaRPr lang="en-US" sz="1200" kern="1200"/>
        </a:p>
        <a:p>
          <a:pPr marL="114300" lvl="1" indent="-114300" algn="l" defTabSz="533400">
            <a:lnSpc>
              <a:spcPct val="90000"/>
            </a:lnSpc>
            <a:spcBef>
              <a:spcPct val="0"/>
            </a:spcBef>
            <a:spcAft>
              <a:spcPct val="15000"/>
            </a:spcAft>
            <a:buChar char="••"/>
          </a:pPr>
          <a:r>
            <a:rPr lang="en-US" sz="1200" b="0" i="0" u="none" kern="1200"/>
            <a:t>ASL 201 - American Sign Language III</a:t>
          </a:r>
          <a:endParaRPr lang="en-US" sz="1200" kern="1200"/>
        </a:p>
        <a:p>
          <a:pPr marL="114300" lvl="1" indent="-114300" algn="l" defTabSz="533400">
            <a:lnSpc>
              <a:spcPct val="90000"/>
            </a:lnSpc>
            <a:spcBef>
              <a:spcPct val="0"/>
            </a:spcBef>
            <a:spcAft>
              <a:spcPct val="15000"/>
            </a:spcAft>
            <a:buChar char="••"/>
          </a:pPr>
          <a:r>
            <a:rPr lang="en-US" sz="1200" b="0" i="0" u="none" kern="1200"/>
            <a:t>ASL 202 - American Sign Language IV</a:t>
          </a:r>
          <a:endParaRPr lang="en-US" sz="1200" kern="1200"/>
        </a:p>
        <a:p>
          <a:pPr marL="114300" lvl="1" indent="-114300" algn="l" defTabSz="533400">
            <a:lnSpc>
              <a:spcPct val="90000"/>
            </a:lnSpc>
            <a:spcBef>
              <a:spcPct val="0"/>
            </a:spcBef>
            <a:spcAft>
              <a:spcPct val="15000"/>
            </a:spcAft>
            <a:buChar char="••"/>
          </a:pPr>
          <a:r>
            <a:rPr lang="en-US" sz="1200" b="0" i="0" u="none" kern="1200"/>
            <a:t>FRE 101 - Elementary French I</a:t>
          </a:r>
          <a:endParaRPr lang="en-US" sz="1200" kern="1200"/>
        </a:p>
        <a:p>
          <a:pPr marL="114300" lvl="1" indent="-114300" algn="l" defTabSz="533400">
            <a:lnSpc>
              <a:spcPct val="90000"/>
            </a:lnSpc>
            <a:spcBef>
              <a:spcPct val="0"/>
            </a:spcBef>
            <a:spcAft>
              <a:spcPct val="15000"/>
            </a:spcAft>
            <a:buChar char="••"/>
          </a:pPr>
          <a:r>
            <a:rPr lang="en-US" sz="1200" b="0" i="0" u="none" kern="1200"/>
            <a:t>FRE 102 - Elementary French II</a:t>
          </a:r>
          <a:endParaRPr lang="en-US" sz="1200" kern="1200"/>
        </a:p>
        <a:p>
          <a:pPr marL="114300" lvl="1" indent="-114300" algn="l" defTabSz="533400">
            <a:lnSpc>
              <a:spcPct val="90000"/>
            </a:lnSpc>
            <a:spcBef>
              <a:spcPct val="0"/>
            </a:spcBef>
            <a:spcAft>
              <a:spcPct val="15000"/>
            </a:spcAft>
            <a:buChar char="••"/>
          </a:pPr>
          <a:r>
            <a:rPr lang="en-US" sz="1200" b="0" i="0" u="none" kern="1200"/>
            <a:t>FRE 201 - Intermediate French I</a:t>
          </a:r>
          <a:endParaRPr lang="en-US" sz="1200" kern="1200"/>
        </a:p>
        <a:p>
          <a:pPr marL="114300" lvl="1" indent="-114300" algn="l" defTabSz="533400">
            <a:lnSpc>
              <a:spcPct val="90000"/>
            </a:lnSpc>
            <a:spcBef>
              <a:spcPct val="0"/>
            </a:spcBef>
            <a:spcAft>
              <a:spcPct val="15000"/>
            </a:spcAft>
            <a:buChar char="••"/>
          </a:pPr>
          <a:r>
            <a:rPr lang="en-US" sz="1200" b="0" i="0" u="none" kern="1200"/>
            <a:t>FRE 202 - Intermediate French II</a:t>
          </a:r>
          <a:endParaRPr lang="en-US" sz="1200" kern="1200"/>
        </a:p>
        <a:p>
          <a:pPr marL="114300" lvl="1" indent="-114300" algn="l" defTabSz="533400">
            <a:lnSpc>
              <a:spcPct val="90000"/>
            </a:lnSpc>
            <a:spcBef>
              <a:spcPct val="0"/>
            </a:spcBef>
            <a:spcAft>
              <a:spcPct val="15000"/>
            </a:spcAft>
            <a:buChar char="••"/>
          </a:pPr>
          <a:r>
            <a:rPr lang="en-US" sz="1200" b="0" i="0" u="none" kern="1200"/>
            <a:t>GER 101 - Elementary German I</a:t>
          </a:r>
          <a:endParaRPr lang="en-US" sz="1200" kern="1200"/>
        </a:p>
        <a:p>
          <a:pPr marL="114300" lvl="1" indent="-114300" algn="l" defTabSz="533400">
            <a:lnSpc>
              <a:spcPct val="90000"/>
            </a:lnSpc>
            <a:spcBef>
              <a:spcPct val="0"/>
            </a:spcBef>
            <a:spcAft>
              <a:spcPct val="15000"/>
            </a:spcAft>
            <a:buChar char="••"/>
          </a:pPr>
          <a:r>
            <a:rPr lang="en-US" sz="1200" b="0" i="0" u="none" kern="1200"/>
            <a:t>GER 102 - Elementary German II</a:t>
          </a:r>
          <a:endParaRPr lang="en-US" sz="1200" kern="1200"/>
        </a:p>
        <a:p>
          <a:pPr marL="114300" lvl="1" indent="-114300" algn="l" defTabSz="533400">
            <a:lnSpc>
              <a:spcPct val="90000"/>
            </a:lnSpc>
            <a:spcBef>
              <a:spcPct val="0"/>
            </a:spcBef>
            <a:spcAft>
              <a:spcPct val="15000"/>
            </a:spcAft>
            <a:buChar char="••"/>
          </a:pPr>
          <a:r>
            <a:rPr lang="en-US" sz="1200" b="0" i="0" u="none" kern="1200"/>
            <a:t>GER 201 - Intermediate German I</a:t>
          </a:r>
          <a:endParaRPr lang="en-US" sz="1200" kern="1200"/>
        </a:p>
        <a:p>
          <a:pPr marL="114300" lvl="1" indent="-114300" algn="l" defTabSz="533400">
            <a:lnSpc>
              <a:spcPct val="90000"/>
            </a:lnSpc>
            <a:spcBef>
              <a:spcPct val="0"/>
            </a:spcBef>
            <a:spcAft>
              <a:spcPct val="15000"/>
            </a:spcAft>
            <a:buChar char="••"/>
          </a:pPr>
          <a:r>
            <a:rPr lang="en-US" sz="1200" b="0" i="0" u="none" kern="1200"/>
            <a:t>GER 202 - Intermediate German II</a:t>
          </a:r>
          <a:endParaRPr lang="en-US" sz="1200" kern="1200"/>
        </a:p>
        <a:p>
          <a:pPr marL="114300" lvl="1" indent="-114300" algn="l" defTabSz="533400">
            <a:lnSpc>
              <a:spcPct val="90000"/>
            </a:lnSpc>
            <a:spcBef>
              <a:spcPct val="0"/>
            </a:spcBef>
            <a:spcAft>
              <a:spcPct val="15000"/>
            </a:spcAft>
            <a:buChar char="••"/>
          </a:pPr>
          <a:r>
            <a:rPr lang="en-US" sz="1200" b="0" i="0" u="none" kern="1200"/>
            <a:t>JPN 101 - Beginning Japanese I</a:t>
          </a:r>
          <a:endParaRPr lang="en-US" sz="1200" kern="1200"/>
        </a:p>
        <a:p>
          <a:pPr marL="114300" lvl="1" indent="-114300" algn="l" defTabSz="533400">
            <a:lnSpc>
              <a:spcPct val="90000"/>
            </a:lnSpc>
            <a:spcBef>
              <a:spcPct val="0"/>
            </a:spcBef>
            <a:spcAft>
              <a:spcPct val="15000"/>
            </a:spcAft>
            <a:buChar char="••"/>
          </a:pPr>
          <a:r>
            <a:rPr lang="en-US" sz="1200" b="0" i="0" u="none" kern="1200"/>
            <a:t>JPN 102 - Beginning Japanese I</a:t>
          </a:r>
          <a:endParaRPr lang="en-US" sz="1200" kern="1200"/>
        </a:p>
        <a:p>
          <a:pPr marL="114300" lvl="1" indent="-114300" algn="l" defTabSz="533400">
            <a:lnSpc>
              <a:spcPct val="90000"/>
            </a:lnSpc>
            <a:spcBef>
              <a:spcPct val="0"/>
            </a:spcBef>
            <a:spcAft>
              <a:spcPct val="15000"/>
            </a:spcAft>
            <a:buChar char="••"/>
          </a:pPr>
          <a:r>
            <a:rPr lang="en-US" sz="1200" b="0" i="0" u="none" kern="1200"/>
            <a:t>RAE 150 - Elementary Chinese I</a:t>
          </a:r>
          <a:endParaRPr lang="en-US" sz="1200" kern="1200"/>
        </a:p>
        <a:p>
          <a:pPr marL="114300" lvl="1" indent="-114300" algn="l" defTabSz="533400">
            <a:lnSpc>
              <a:spcPct val="90000"/>
            </a:lnSpc>
            <a:spcBef>
              <a:spcPct val="0"/>
            </a:spcBef>
            <a:spcAft>
              <a:spcPct val="15000"/>
            </a:spcAft>
            <a:buChar char="••"/>
          </a:pPr>
          <a:r>
            <a:rPr lang="en-US" sz="1200" b="0" i="0" u="none" kern="1200"/>
            <a:t>RAE 151 - Elementary Chinese II</a:t>
          </a:r>
          <a:endParaRPr lang="en-US" sz="1200" kern="1200"/>
        </a:p>
        <a:p>
          <a:pPr marL="114300" lvl="1" indent="-114300" algn="l" defTabSz="533400">
            <a:lnSpc>
              <a:spcPct val="90000"/>
            </a:lnSpc>
            <a:spcBef>
              <a:spcPct val="0"/>
            </a:spcBef>
            <a:spcAft>
              <a:spcPct val="15000"/>
            </a:spcAft>
            <a:buChar char="••"/>
          </a:pPr>
          <a:r>
            <a:rPr lang="en-US" sz="1200" b="0" i="0" u="none" kern="1200"/>
            <a:t>SED 101 - Sign Language I</a:t>
          </a:r>
          <a:endParaRPr lang="en-US" sz="1200" kern="1200"/>
        </a:p>
        <a:p>
          <a:pPr marL="114300" lvl="1" indent="-114300" algn="l" defTabSz="533400">
            <a:lnSpc>
              <a:spcPct val="90000"/>
            </a:lnSpc>
            <a:spcBef>
              <a:spcPct val="0"/>
            </a:spcBef>
            <a:spcAft>
              <a:spcPct val="15000"/>
            </a:spcAft>
            <a:buChar char="••"/>
          </a:pPr>
          <a:r>
            <a:rPr lang="en-US" sz="1200" b="0" i="0" u="none" kern="1200"/>
            <a:t>SED 102 - Sign Language II</a:t>
          </a:r>
          <a:endParaRPr lang="en-US" sz="1200" kern="1200"/>
        </a:p>
        <a:p>
          <a:pPr marL="114300" lvl="1" indent="-114300" algn="l" defTabSz="533400">
            <a:lnSpc>
              <a:spcPct val="90000"/>
            </a:lnSpc>
            <a:spcBef>
              <a:spcPct val="0"/>
            </a:spcBef>
            <a:spcAft>
              <a:spcPct val="15000"/>
            </a:spcAft>
            <a:buChar char="••"/>
          </a:pPr>
          <a:r>
            <a:rPr lang="en-US" sz="1200" b="0" i="0" u="none" kern="1200"/>
            <a:t>SED 203 - Sign Language III</a:t>
          </a:r>
          <a:endParaRPr lang="en-US" sz="1200" kern="1200"/>
        </a:p>
        <a:p>
          <a:pPr marL="114300" lvl="1" indent="-114300" algn="l" defTabSz="533400">
            <a:lnSpc>
              <a:spcPct val="90000"/>
            </a:lnSpc>
            <a:spcBef>
              <a:spcPct val="0"/>
            </a:spcBef>
            <a:spcAft>
              <a:spcPct val="15000"/>
            </a:spcAft>
            <a:buChar char="••"/>
          </a:pPr>
          <a:r>
            <a:rPr lang="en-US" sz="1200" b="0" i="0" u="none" kern="1200"/>
            <a:t>SED 204 - Sign Language IV</a:t>
          </a:r>
          <a:endParaRPr lang="en-US" sz="1200" kern="1200"/>
        </a:p>
        <a:p>
          <a:pPr marL="114300" lvl="1" indent="-114300" algn="l" defTabSz="533400">
            <a:lnSpc>
              <a:spcPct val="90000"/>
            </a:lnSpc>
            <a:spcBef>
              <a:spcPct val="0"/>
            </a:spcBef>
            <a:spcAft>
              <a:spcPct val="15000"/>
            </a:spcAft>
            <a:buChar char="••"/>
          </a:pPr>
          <a:r>
            <a:rPr lang="en-US" sz="1200" b="0" i="0" u="none" kern="1200"/>
            <a:t>SPA 101 - Elementary Spanish I</a:t>
          </a:r>
          <a:endParaRPr lang="en-US" sz="1200" kern="1200"/>
        </a:p>
        <a:p>
          <a:pPr marL="114300" lvl="1" indent="-114300" algn="l" defTabSz="533400">
            <a:lnSpc>
              <a:spcPct val="90000"/>
            </a:lnSpc>
            <a:spcBef>
              <a:spcPct val="0"/>
            </a:spcBef>
            <a:spcAft>
              <a:spcPct val="15000"/>
            </a:spcAft>
            <a:buChar char="••"/>
          </a:pPr>
          <a:r>
            <a:rPr lang="en-US" sz="1200" b="0" i="0" u="none" kern="1200"/>
            <a:t>SPA 102 - Elementary Spanish II</a:t>
          </a:r>
          <a:endParaRPr lang="en-US" sz="1200" kern="1200"/>
        </a:p>
        <a:p>
          <a:pPr marL="114300" lvl="1" indent="-114300" algn="l" defTabSz="533400">
            <a:lnSpc>
              <a:spcPct val="90000"/>
            </a:lnSpc>
            <a:spcBef>
              <a:spcPct val="0"/>
            </a:spcBef>
            <a:spcAft>
              <a:spcPct val="15000"/>
            </a:spcAft>
            <a:buChar char="••"/>
          </a:pPr>
          <a:r>
            <a:rPr lang="en-US" sz="1200" b="0" i="0" u="none" kern="1200"/>
            <a:t>SPA 201 - Intermediate Spanish II</a:t>
          </a:r>
          <a:endParaRPr lang="en-US" sz="1200" kern="1200"/>
        </a:p>
        <a:p>
          <a:pPr marL="114300" lvl="1" indent="-114300" algn="l" defTabSz="533400">
            <a:lnSpc>
              <a:spcPct val="90000"/>
            </a:lnSpc>
            <a:spcBef>
              <a:spcPct val="0"/>
            </a:spcBef>
            <a:spcAft>
              <a:spcPct val="15000"/>
            </a:spcAft>
            <a:buChar char="••"/>
          </a:pPr>
          <a:r>
            <a:rPr lang="en-US" sz="1200" b="0" i="0" u="none" kern="1200"/>
            <a:t>SPA 202 - Intermediate Spanish II</a:t>
          </a:r>
          <a:endParaRPr lang="en-US" sz="1200" kern="1200"/>
        </a:p>
      </dsp:txBody>
      <dsp:txXfrm>
        <a:off x="0" y="60336763"/>
        <a:ext cx="6657976" cy="5140800"/>
      </dsp:txXfrm>
    </dsp:sp>
    <dsp:sp modelId="{C0DD80FC-2529-4E56-9056-63B16B5B4C20}">
      <dsp:nvSpPr>
        <dsp:cNvPr id="0" name=""/>
        <dsp:cNvSpPr/>
      </dsp:nvSpPr>
      <dsp:spPr>
        <a:xfrm>
          <a:off x="332898" y="60159643"/>
          <a:ext cx="4660583" cy="354239"/>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6159" tIns="0" rIns="176159" bIns="0" numCol="1" spcCol="1270" anchor="ctr" anchorCtr="0">
          <a:noAutofit/>
        </a:bodyPr>
        <a:lstStyle/>
        <a:p>
          <a:pPr lvl="0" algn="l" defTabSz="533400">
            <a:lnSpc>
              <a:spcPct val="90000"/>
            </a:lnSpc>
            <a:spcBef>
              <a:spcPct val="0"/>
            </a:spcBef>
            <a:spcAft>
              <a:spcPct val="35000"/>
            </a:spcAft>
          </a:pPr>
          <a:r>
            <a:rPr lang="en-US" sz="1200" kern="1200"/>
            <a:t>Foreign Languages</a:t>
          </a:r>
        </a:p>
      </dsp:txBody>
      <dsp:txXfrm>
        <a:off x="350191" y="60176936"/>
        <a:ext cx="4625997" cy="31965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723460" y="884956"/>
          <a:ext cx="1124817"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909858" y="1046198"/>
        <a:ext cx="752021" cy="650529"/>
      </dsp:txXfrm>
    </dsp:sp>
    <dsp:sp modelId="{B3ECDF98-3FEC-4D76-BF1D-5D1F46680A05}">
      <dsp:nvSpPr>
        <dsp:cNvPr id="0" name=""/>
        <dsp:cNvSpPr/>
      </dsp:nvSpPr>
      <dsp:spPr>
        <a:xfrm>
          <a:off x="2427812" y="419435"/>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827072" y="0"/>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979831" y="132154"/>
        <a:ext cx="616262" cy="533140"/>
      </dsp:txXfrm>
    </dsp:sp>
    <dsp:sp modelId="{B82E6A8F-56C5-42A5-ADC9-D155D4D6C080}">
      <dsp:nvSpPr>
        <dsp:cNvPr id="0" name=""/>
        <dsp:cNvSpPr/>
      </dsp:nvSpPr>
      <dsp:spPr>
        <a:xfrm>
          <a:off x="2923109" y="1103040"/>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672451" y="490484"/>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825210" y="622638"/>
        <a:ext cx="616262" cy="533140"/>
      </dsp:txXfrm>
    </dsp:sp>
    <dsp:sp modelId="{DA3067A3-77BE-4C7A-85CA-0806EDB13A9C}">
      <dsp:nvSpPr>
        <dsp:cNvPr id="0" name=""/>
        <dsp:cNvSpPr/>
      </dsp:nvSpPr>
      <dsp:spPr>
        <a:xfrm>
          <a:off x="2579043" y="1874702"/>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672451" y="1454718"/>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825210" y="1586872"/>
        <a:ext cx="616262" cy="533140"/>
      </dsp:txXfrm>
    </dsp:sp>
    <dsp:sp modelId="{D7EF0A8E-2835-496A-AD7D-1B39358AA70C}">
      <dsp:nvSpPr>
        <dsp:cNvPr id="0" name=""/>
        <dsp:cNvSpPr/>
      </dsp:nvSpPr>
      <dsp:spPr>
        <a:xfrm>
          <a:off x="1725553" y="1954804"/>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B80ACA03-2A9E-41C2-8EAB-056BDFCEEFC8}">
      <dsp:nvSpPr>
        <dsp:cNvPr id="0" name=""/>
        <dsp:cNvSpPr/>
      </dsp:nvSpPr>
      <dsp:spPr>
        <a:xfrm>
          <a:off x="1827072" y="1945751"/>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Courses</a:t>
          </a:r>
        </a:p>
      </dsp:txBody>
      <dsp:txXfrm>
        <a:off x="1979831" y="2077905"/>
        <a:ext cx="616262" cy="533140"/>
      </dsp:txXfrm>
    </dsp:sp>
    <dsp:sp modelId="{80450CDC-E9F8-4289-8E44-5E1263309C9F}">
      <dsp:nvSpPr>
        <dsp:cNvPr id="0" name=""/>
        <dsp:cNvSpPr/>
      </dsp:nvSpPr>
      <dsp:spPr>
        <a:xfrm>
          <a:off x="977767" y="1455267"/>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130526" y="1587421"/>
        <a:ext cx="616262" cy="533140"/>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B003885-B89B-4ED6-B8C1-5DC3151BE9A6}">
      <dsp:nvSpPr>
        <dsp:cNvPr id="0" name=""/>
        <dsp:cNvSpPr/>
      </dsp:nvSpPr>
      <dsp:spPr>
        <a:xfrm>
          <a:off x="0" y="377375"/>
          <a:ext cx="6610350" cy="1499399"/>
        </a:xfrm>
        <a:prstGeom prst="rect">
          <a:avLst/>
        </a:prstGeom>
        <a:solidFill>
          <a:sysClr val="window" lastClr="FFFFFF">
            <a:alpha val="90000"/>
          </a:sys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The program is designed to be user friendly.  The primary information you will enter is:  Course, Credit, and Grade.  You can type these values into the blanks, or you can click in the blank and select an option from the dropdown list.</a:t>
          </a:r>
        </a:p>
        <a:p>
          <a:pPr marL="57150" lvl="1" indent="-57150" algn="l" defTabSz="488950">
            <a:lnSpc>
              <a:spcPct val="90000"/>
            </a:lnSpc>
            <a:spcBef>
              <a:spcPct val="0"/>
            </a:spcBef>
            <a:spcAft>
              <a:spcPct val="15000"/>
            </a:spcAft>
            <a:buChar char="••"/>
          </a:pPr>
          <a:r>
            <a:rPr lang="en-US" sz="1100" kern="1200"/>
            <a:t>Use the "Quick Links" on the right side of each page to navigate to different parts of the program.</a:t>
          </a:r>
        </a:p>
        <a:p>
          <a:pPr marL="57150" lvl="1" indent="-57150" algn="l" defTabSz="488950">
            <a:lnSpc>
              <a:spcPct val="90000"/>
            </a:lnSpc>
            <a:spcBef>
              <a:spcPct val="0"/>
            </a:spcBef>
            <a:spcAft>
              <a:spcPct val="15000"/>
            </a:spcAft>
            <a:buChar char="••"/>
          </a:pPr>
          <a:r>
            <a:rPr lang="en-US" sz="1100" b="1" kern="1200">
              <a:solidFill>
                <a:srgbClr val="C00000"/>
              </a:solidFill>
            </a:rPr>
            <a:t>RULE 1:</a:t>
          </a:r>
          <a:r>
            <a:rPr lang="en-US" sz="1100" kern="1200"/>
            <a:t>  Courses in the Electives section must be entered manually, there is no dropdown list to choose from.</a:t>
          </a:r>
        </a:p>
      </dsp:txBody>
      <dsp:txXfrm>
        <a:off x="0" y="377375"/>
        <a:ext cx="6610350" cy="1499399"/>
      </dsp:txXfrm>
    </dsp:sp>
    <dsp:sp modelId="{B9D1B066-5F18-4387-A057-A24B4595F98F}">
      <dsp:nvSpPr>
        <dsp:cNvPr id="0" name=""/>
        <dsp:cNvSpPr/>
      </dsp:nvSpPr>
      <dsp:spPr>
        <a:xfrm>
          <a:off x="330517" y="170735"/>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How To Use The AA/AS Audit</a:t>
          </a:r>
        </a:p>
      </dsp:txBody>
      <dsp:txXfrm>
        <a:off x="350692" y="190910"/>
        <a:ext cx="4586895" cy="372930"/>
      </dsp:txXfrm>
    </dsp:sp>
    <dsp:sp modelId="{5B552F9D-99AD-44E1-AB42-C383CC674946}">
      <dsp:nvSpPr>
        <dsp:cNvPr id="0" name=""/>
        <dsp:cNvSpPr/>
      </dsp:nvSpPr>
      <dsp:spPr>
        <a:xfrm>
          <a:off x="0" y="2159015"/>
          <a:ext cx="6610350" cy="16758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The audit program uses a color code to help the auditor quickly see what requirements are incomplete.</a:t>
          </a:r>
        </a:p>
        <a:p>
          <a:pPr marL="57150" lvl="1" indent="-57150" algn="l" defTabSz="488950">
            <a:lnSpc>
              <a:spcPct val="90000"/>
            </a:lnSpc>
            <a:spcBef>
              <a:spcPct val="0"/>
            </a:spcBef>
            <a:spcAft>
              <a:spcPct val="15000"/>
            </a:spcAft>
            <a:buChar char="••"/>
          </a:pPr>
          <a:r>
            <a:rPr lang="en-US" sz="1100" kern="1200"/>
            <a:t>Yellow:  A box on the audit sheet that is highlighted in YELLOW indicates that a requirement has not been met.</a:t>
          </a:r>
        </a:p>
        <a:p>
          <a:pPr marL="57150" lvl="1" indent="-57150" algn="l" defTabSz="488950">
            <a:lnSpc>
              <a:spcPct val="90000"/>
            </a:lnSpc>
            <a:spcBef>
              <a:spcPct val="0"/>
            </a:spcBef>
            <a:spcAft>
              <a:spcPct val="15000"/>
            </a:spcAft>
            <a:buChar char="••"/>
          </a:pPr>
          <a:r>
            <a:rPr lang="en-US" sz="1100" kern="1200"/>
            <a:t>Example:  A GPA of 2.0 is required to graduate.  If a GPA of 1.85 is put into the GPA box then it will  be highlighted yellow because 1.85 does not meet the requirement.</a:t>
          </a:r>
        </a:p>
        <a:p>
          <a:pPr marL="57150" lvl="1" indent="-57150" algn="l" defTabSz="488950">
            <a:lnSpc>
              <a:spcPct val="90000"/>
            </a:lnSpc>
            <a:spcBef>
              <a:spcPct val="0"/>
            </a:spcBef>
            <a:spcAft>
              <a:spcPct val="15000"/>
            </a:spcAft>
            <a:buChar char="••"/>
          </a:pPr>
          <a:r>
            <a:rPr lang="en-US" sz="1100" kern="1200"/>
            <a:t>Blue:  The grade "IPS" is always highlighted in BLUE to indicate the student has  not yet completed the course but is currently enrolled in it.</a:t>
          </a:r>
        </a:p>
      </dsp:txBody>
      <dsp:txXfrm>
        <a:off x="0" y="2159015"/>
        <a:ext cx="6610350" cy="1675800"/>
      </dsp:txXfrm>
    </dsp:sp>
    <dsp:sp modelId="{2E1B2B82-D37E-4A50-8811-A82D589DC229}">
      <dsp:nvSpPr>
        <dsp:cNvPr id="0" name=""/>
        <dsp:cNvSpPr/>
      </dsp:nvSpPr>
      <dsp:spPr>
        <a:xfrm>
          <a:off x="330517" y="1952375"/>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Color Code	</a:t>
          </a:r>
        </a:p>
      </dsp:txBody>
      <dsp:txXfrm>
        <a:off x="350692" y="1972550"/>
        <a:ext cx="4586895" cy="372930"/>
      </dsp:txXfrm>
    </dsp:sp>
    <dsp:sp modelId="{5541EAD8-16F2-44E2-BF2B-00A0EA8B8550}">
      <dsp:nvSpPr>
        <dsp:cNvPr id="0" name=""/>
        <dsp:cNvSpPr/>
      </dsp:nvSpPr>
      <dsp:spPr>
        <a:xfrm>
          <a:off x="0" y="4117055"/>
          <a:ext cx="6610350" cy="7056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IPS = In Progress Or Scheduled</a:t>
          </a:r>
        </a:p>
        <a:p>
          <a:pPr marL="57150" lvl="1" indent="-57150" algn="l" defTabSz="488950">
            <a:lnSpc>
              <a:spcPct val="90000"/>
            </a:lnSpc>
            <a:spcBef>
              <a:spcPct val="0"/>
            </a:spcBef>
            <a:spcAft>
              <a:spcPct val="15000"/>
            </a:spcAft>
            <a:buChar char="••"/>
          </a:pPr>
          <a:r>
            <a:rPr lang="en-US" sz="1100" kern="1200"/>
            <a:t>TRN = Transfer</a:t>
          </a:r>
        </a:p>
      </dsp:txBody>
      <dsp:txXfrm>
        <a:off x="0" y="4117055"/>
        <a:ext cx="6610350" cy="705600"/>
      </dsp:txXfrm>
    </dsp:sp>
    <dsp:sp modelId="{E67C2827-ECD5-49A4-88E4-5CFB0B767CA6}">
      <dsp:nvSpPr>
        <dsp:cNvPr id="0" name=""/>
        <dsp:cNvSpPr/>
      </dsp:nvSpPr>
      <dsp:spPr>
        <a:xfrm>
          <a:off x="330517" y="3910415"/>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Grade Key</a:t>
          </a:r>
        </a:p>
      </dsp:txBody>
      <dsp:txXfrm>
        <a:off x="350692" y="3930590"/>
        <a:ext cx="4586895" cy="372930"/>
      </dsp:txXfrm>
    </dsp:sp>
    <dsp:sp modelId="{410FE177-1D9B-40FF-9374-0608CE29D01E}">
      <dsp:nvSpPr>
        <dsp:cNvPr id="0" name=""/>
        <dsp:cNvSpPr/>
      </dsp:nvSpPr>
      <dsp:spPr>
        <a:xfrm>
          <a:off x="0" y="5104894"/>
          <a:ext cx="6610350" cy="24696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TRN:  A Transfer (TRN) course is any course taken outside of KCTCS.</a:t>
          </a:r>
        </a:p>
        <a:p>
          <a:pPr marL="57150" lvl="1" indent="-57150" algn="l" defTabSz="488950">
            <a:lnSpc>
              <a:spcPct val="90000"/>
            </a:lnSpc>
            <a:spcBef>
              <a:spcPct val="0"/>
            </a:spcBef>
            <a:spcAft>
              <a:spcPct val="15000"/>
            </a:spcAft>
            <a:buChar char="••"/>
          </a:pPr>
          <a:r>
            <a:rPr lang="en-US" sz="1100" b="1" kern="1200">
              <a:solidFill>
                <a:srgbClr val="C00000"/>
              </a:solidFill>
            </a:rPr>
            <a:t>RULE 1:  </a:t>
          </a:r>
          <a:r>
            <a:rPr lang="en-US" sz="1100" b="0" kern="1200">
              <a:solidFill>
                <a:sysClr val="windowText" lastClr="000000"/>
              </a:solidFill>
            </a:rPr>
            <a:t>Always select a grade of "TRN" from the "Grades" dropdown box for transfer courses.  Note that grades do not transfer, only credits.</a:t>
          </a:r>
          <a:endParaRPr lang="en-US" sz="1100" b="1" kern="1200">
            <a:solidFill>
              <a:srgbClr val="C00000"/>
            </a:solidFill>
          </a:endParaRPr>
        </a:p>
        <a:p>
          <a:pPr marL="57150" lvl="1" indent="-57150" algn="l" defTabSz="488950">
            <a:lnSpc>
              <a:spcPct val="90000"/>
            </a:lnSpc>
            <a:spcBef>
              <a:spcPct val="0"/>
            </a:spcBef>
            <a:spcAft>
              <a:spcPct val="15000"/>
            </a:spcAft>
            <a:buChar char="••"/>
          </a:pPr>
          <a:r>
            <a:rPr lang="en-US" sz="1100" b="1" kern="1200">
              <a:solidFill>
                <a:srgbClr val="C00000"/>
              </a:solidFill>
            </a:rPr>
            <a:t>RULE 2:  </a:t>
          </a:r>
          <a:r>
            <a:rPr lang="en-US" sz="1100" b="0" kern="1200">
              <a:solidFill>
                <a:sysClr val="windowText" lastClr="000000"/>
              </a:solidFill>
            </a:rPr>
            <a:t>KCTCS will not have equivalent courses for all transfer credits.  If a course transfers in with a specific equivalent, then input the course equivalency on the audit.  If a course does not have a specific equivalent, then it may be used as an elective and you must enter it in manually.</a:t>
          </a:r>
          <a:endParaRPr lang="en-US" sz="1100" b="1" kern="1200">
            <a:solidFill>
              <a:srgbClr val="C00000"/>
            </a:solidFill>
          </a:endParaRPr>
        </a:p>
        <a:p>
          <a:pPr marL="57150" lvl="1" indent="-57150" algn="l" defTabSz="488950">
            <a:lnSpc>
              <a:spcPct val="90000"/>
            </a:lnSpc>
            <a:spcBef>
              <a:spcPct val="0"/>
            </a:spcBef>
            <a:spcAft>
              <a:spcPct val="15000"/>
            </a:spcAft>
            <a:buChar char="••"/>
          </a:pPr>
          <a:r>
            <a:rPr lang="en-US" sz="1100" b="0" kern="1200">
              <a:solidFill>
                <a:sysClr val="windowText" lastClr="000000"/>
              </a:solidFill>
            </a:rPr>
            <a:t>Example:  If a student took ENG 103 at Boston University, and it transferred into BCTC as ENG 101, then input ENG 101 on the audit sheet and enter "TRN" as the grade to mark it as a transfer.  If a student took HIS 249 and it transferred in as TRN 200, then it did not transfer as a specific BCTC course and may be used as an elective.</a:t>
          </a:r>
        </a:p>
        <a:p>
          <a:pPr marL="57150" lvl="1" indent="-57150" algn="l" defTabSz="488950">
            <a:lnSpc>
              <a:spcPct val="90000"/>
            </a:lnSpc>
            <a:spcBef>
              <a:spcPct val="0"/>
            </a:spcBef>
            <a:spcAft>
              <a:spcPct val="15000"/>
            </a:spcAft>
            <a:buChar char="••"/>
          </a:pPr>
          <a:r>
            <a:rPr lang="en-US" sz="1100" b="0" kern="1200">
              <a:solidFill>
                <a:sysClr val="windowText" lastClr="000000"/>
              </a:solidFill>
            </a:rPr>
            <a:t>Note:  Just because a transfer course didn't come in as a specific course doesn't mean it  can only be used as an elective.  Contact records if you feel a transfer course might be able to replace a course.  For example if you feel HIS 249 should count as a HIS course and not just an elective.</a:t>
          </a:r>
        </a:p>
      </dsp:txBody>
      <dsp:txXfrm>
        <a:off x="0" y="5104894"/>
        <a:ext cx="6610350" cy="2469600"/>
      </dsp:txXfrm>
    </dsp:sp>
    <dsp:sp modelId="{DB285ED6-4928-4051-A4D3-5D222CF50F05}">
      <dsp:nvSpPr>
        <dsp:cNvPr id="0" name=""/>
        <dsp:cNvSpPr/>
      </dsp:nvSpPr>
      <dsp:spPr>
        <a:xfrm>
          <a:off x="330517" y="4898255"/>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Transfer &amp; IPS Courses</a:t>
          </a:r>
        </a:p>
      </dsp:txBody>
      <dsp:txXfrm>
        <a:off x="350692" y="4918430"/>
        <a:ext cx="4586895" cy="372930"/>
      </dsp:txXfrm>
    </dsp:sp>
    <dsp:sp modelId="{F71F9504-4FC6-442D-8253-52250B7DA424}">
      <dsp:nvSpPr>
        <dsp:cNvPr id="0" name=""/>
        <dsp:cNvSpPr/>
      </dsp:nvSpPr>
      <dsp:spPr>
        <a:xfrm>
          <a:off x="0" y="7856734"/>
          <a:ext cx="6610350" cy="85995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Over time courses may change their titles or numbers.   Refer to the KCTCS Catalog for a list of crosswalks.</a:t>
          </a:r>
        </a:p>
        <a:p>
          <a:pPr marL="57150" lvl="1" indent="-57150" algn="l" defTabSz="488950">
            <a:lnSpc>
              <a:spcPct val="90000"/>
            </a:lnSpc>
            <a:spcBef>
              <a:spcPct val="0"/>
            </a:spcBef>
            <a:spcAft>
              <a:spcPct val="15000"/>
            </a:spcAft>
            <a:buChar char="••"/>
          </a:pPr>
          <a:r>
            <a:rPr lang="en-US" sz="1100" kern="1200"/>
            <a:t>Example:  AH 105 became ART 105, however they are still the same course.</a:t>
          </a:r>
        </a:p>
      </dsp:txBody>
      <dsp:txXfrm>
        <a:off x="0" y="7856734"/>
        <a:ext cx="6610350" cy="859950"/>
      </dsp:txXfrm>
    </dsp:sp>
    <dsp:sp modelId="{E1F67818-737E-45A7-8355-83D28C9CC549}">
      <dsp:nvSpPr>
        <dsp:cNvPr id="0" name=""/>
        <dsp:cNvSpPr/>
      </dsp:nvSpPr>
      <dsp:spPr>
        <a:xfrm>
          <a:off x="330517" y="7650094"/>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solidFill>
                <a:schemeClr val="bg1"/>
              </a:solidFill>
            </a:rPr>
            <a:t>Crosswalk</a:t>
          </a:r>
        </a:p>
      </dsp:txBody>
      <dsp:txXfrm>
        <a:off x="350692" y="7670269"/>
        <a:ext cx="4586895" cy="372930"/>
      </dsp:txXfrm>
    </dsp:sp>
    <dsp:sp modelId="{006F35D8-4B3B-4076-B1BA-4142FF79C7DA}">
      <dsp:nvSpPr>
        <dsp:cNvPr id="0" name=""/>
        <dsp:cNvSpPr/>
      </dsp:nvSpPr>
      <dsp:spPr>
        <a:xfrm>
          <a:off x="0" y="8998924"/>
          <a:ext cx="6610350" cy="10143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Some courses are listed under more than one course number.  However, a student can only get credit for the course once.  Refer to the courses tab for Crosslistings.  </a:t>
          </a:r>
        </a:p>
        <a:p>
          <a:pPr marL="57150" lvl="1" indent="-57150" algn="l" defTabSz="488950">
            <a:lnSpc>
              <a:spcPct val="90000"/>
            </a:lnSpc>
            <a:spcBef>
              <a:spcPct val="0"/>
            </a:spcBef>
            <a:spcAft>
              <a:spcPct val="15000"/>
            </a:spcAft>
            <a:buChar char="••"/>
          </a:pPr>
          <a:r>
            <a:rPr lang="en-US" sz="1100" kern="1200"/>
            <a:t>Example:  ANT 130 and REL 130 are both Introduction To Religion and are crosslisted.  A student may not earn credit for both.</a:t>
          </a:r>
        </a:p>
      </dsp:txBody>
      <dsp:txXfrm>
        <a:off x="0" y="8998924"/>
        <a:ext cx="6610350" cy="1014300"/>
      </dsp:txXfrm>
    </dsp:sp>
    <dsp:sp modelId="{97B96152-B141-40A2-BFED-DA9147F25F5B}">
      <dsp:nvSpPr>
        <dsp:cNvPr id="0" name=""/>
        <dsp:cNvSpPr/>
      </dsp:nvSpPr>
      <dsp:spPr>
        <a:xfrm>
          <a:off x="330517" y="8792284"/>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Crosslisting</a:t>
          </a:r>
        </a:p>
      </dsp:txBody>
      <dsp:txXfrm>
        <a:off x="350692" y="8812459"/>
        <a:ext cx="4586895" cy="372930"/>
      </dsp:txXfrm>
    </dsp:sp>
    <dsp:sp modelId="{62FFB9B2-D09E-427F-900D-6864C527BF14}">
      <dsp:nvSpPr>
        <dsp:cNvPr id="0" name=""/>
        <dsp:cNvSpPr/>
      </dsp:nvSpPr>
      <dsp:spPr>
        <a:xfrm>
          <a:off x="0" y="10295464"/>
          <a:ext cx="6610350" cy="46746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There are a number of special requirements a student must adhere to, be sure to pay close attention to these.  They are covered on the audit but explained in greater detail below.</a:t>
          </a:r>
        </a:p>
        <a:p>
          <a:pPr marL="57150" lvl="1" indent="-57150" algn="l" defTabSz="488950">
            <a:lnSpc>
              <a:spcPct val="90000"/>
            </a:lnSpc>
            <a:spcBef>
              <a:spcPct val="0"/>
            </a:spcBef>
            <a:spcAft>
              <a:spcPct val="15000"/>
            </a:spcAft>
            <a:buChar char="••"/>
          </a:pPr>
          <a:r>
            <a:rPr lang="en-US" sz="1100" kern="1200">
              <a:solidFill>
                <a:srgbClr val="C00000"/>
              </a:solidFill>
            </a:rPr>
            <a:t>Requirement 1:</a:t>
          </a:r>
          <a:r>
            <a:rPr lang="en-US" sz="1100" kern="1200"/>
            <a:t>  A student must complete a Cultural Studies course from the approved list.  The Cultural Studies is not an additional course the student must take, rather the student must have simply taken a course in Category I, II, or III that is on the Cultural Studies list.</a:t>
          </a:r>
        </a:p>
        <a:p>
          <a:pPr marL="57150" lvl="1" indent="-57150" algn="l" defTabSz="488950">
            <a:lnSpc>
              <a:spcPct val="90000"/>
            </a:lnSpc>
            <a:spcBef>
              <a:spcPct val="0"/>
            </a:spcBef>
            <a:spcAft>
              <a:spcPct val="15000"/>
            </a:spcAft>
            <a:buChar char="••"/>
          </a:pPr>
          <a:r>
            <a:rPr lang="en-US" sz="1100" kern="1200"/>
            <a:t>Example:  If a student took ART 104, that counts as a Humanities course, however it is also a Cultural Studies course and may count as both the Humanities and the Cultural Studies. </a:t>
          </a:r>
        </a:p>
        <a:p>
          <a:pPr marL="57150" lvl="1" indent="-57150" algn="l" defTabSz="488950">
            <a:lnSpc>
              <a:spcPct val="90000"/>
            </a:lnSpc>
            <a:spcBef>
              <a:spcPct val="0"/>
            </a:spcBef>
            <a:spcAft>
              <a:spcPct val="15000"/>
            </a:spcAft>
            <a:buChar char="••"/>
          </a:pPr>
          <a:r>
            <a:rPr lang="en-US" sz="1100" kern="1200">
              <a:solidFill>
                <a:srgbClr val="C00000"/>
              </a:solidFill>
            </a:rPr>
            <a:t>Requirement 2:</a:t>
          </a:r>
          <a:r>
            <a:rPr lang="en-US" sz="1100" kern="1200"/>
            <a:t>  Students must take Social &amp; Behavioral Science courses from at least two disciplines.</a:t>
          </a:r>
        </a:p>
        <a:p>
          <a:pPr marL="57150" lvl="1" indent="-57150" algn="l" defTabSz="488950">
            <a:lnSpc>
              <a:spcPct val="90000"/>
            </a:lnSpc>
            <a:spcBef>
              <a:spcPct val="0"/>
            </a:spcBef>
            <a:spcAft>
              <a:spcPct val="15000"/>
            </a:spcAft>
            <a:buChar char="••"/>
          </a:pPr>
          <a:r>
            <a:rPr lang="en-US" sz="1100" kern="1200"/>
            <a:t>Example:  If a student took only two Social &amp; Behavioral Science courses, both courses could not be PSY.  One course could be PSY, the other must come from another discipline such as ANT, GEO, SOC, etc.</a:t>
          </a:r>
        </a:p>
        <a:p>
          <a:pPr marL="57150" lvl="1" indent="-57150" algn="l" defTabSz="488950">
            <a:lnSpc>
              <a:spcPct val="90000"/>
            </a:lnSpc>
            <a:spcBef>
              <a:spcPct val="0"/>
            </a:spcBef>
            <a:spcAft>
              <a:spcPct val="15000"/>
            </a:spcAft>
            <a:buChar char="••"/>
          </a:pPr>
          <a:r>
            <a:rPr lang="en-US" sz="1100" kern="1200">
              <a:solidFill>
                <a:srgbClr val="C00000"/>
              </a:solidFill>
            </a:rPr>
            <a:t>Requirement 3:</a:t>
          </a:r>
          <a:r>
            <a:rPr lang="en-US" sz="1100" kern="1200"/>
            <a:t>  Students must complete at least one science lab from the approved list or take a science course with a lab credit.</a:t>
          </a:r>
        </a:p>
        <a:p>
          <a:pPr marL="57150" lvl="1" indent="-57150" algn="l" defTabSz="488950">
            <a:lnSpc>
              <a:spcPct val="90000"/>
            </a:lnSpc>
            <a:spcBef>
              <a:spcPct val="0"/>
            </a:spcBef>
            <a:spcAft>
              <a:spcPct val="15000"/>
            </a:spcAft>
            <a:buChar char="••"/>
          </a:pPr>
          <a:r>
            <a:rPr lang="en-US" sz="1100" kern="1200">
              <a:solidFill>
                <a:srgbClr val="C00000"/>
              </a:solidFill>
            </a:rPr>
            <a:t>Requirement 4:</a:t>
          </a:r>
          <a:r>
            <a:rPr lang="en-US" sz="1100" kern="1200"/>
            <a:t>  Students must earn at least 60 credit hours to earn an AA or AS.</a:t>
          </a:r>
        </a:p>
        <a:p>
          <a:pPr marL="57150" lvl="1" indent="-57150" algn="l" defTabSz="488950">
            <a:lnSpc>
              <a:spcPct val="90000"/>
            </a:lnSpc>
            <a:spcBef>
              <a:spcPct val="0"/>
            </a:spcBef>
            <a:spcAft>
              <a:spcPct val="15000"/>
            </a:spcAft>
            <a:buChar char="••"/>
          </a:pPr>
          <a:r>
            <a:rPr lang="en-US" sz="1100" kern="1200">
              <a:solidFill>
                <a:srgbClr val="C00000"/>
              </a:solidFill>
            </a:rPr>
            <a:t>Requirement 5:</a:t>
          </a:r>
          <a:r>
            <a:rPr lang="en-US" sz="1100" kern="1200"/>
            <a:t>  Students must compete at least 15 credit hours at BCTC to earn a degree from BCTC.</a:t>
          </a:r>
        </a:p>
        <a:p>
          <a:pPr marL="57150" lvl="1" indent="-57150" algn="l" defTabSz="488950">
            <a:lnSpc>
              <a:spcPct val="90000"/>
            </a:lnSpc>
            <a:spcBef>
              <a:spcPct val="0"/>
            </a:spcBef>
            <a:spcAft>
              <a:spcPct val="15000"/>
            </a:spcAft>
            <a:buChar char="••"/>
          </a:pPr>
          <a:r>
            <a:rPr lang="en-US" sz="1100" kern="1200">
              <a:solidFill>
                <a:srgbClr val="C00000"/>
              </a:solidFill>
            </a:rPr>
            <a:t>Requirement 6:</a:t>
          </a:r>
          <a:r>
            <a:rPr lang="en-US" sz="1100" kern="1200"/>
            <a:t>  Students must have at least a 2.0 GPA to earn a degree from BCTC.</a:t>
          </a:r>
        </a:p>
        <a:p>
          <a:pPr marL="57150" lvl="1" indent="-57150" algn="l" defTabSz="488950">
            <a:lnSpc>
              <a:spcPct val="90000"/>
            </a:lnSpc>
            <a:spcBef>
              <a:spcPct val="0"/>
            </a:spcBef>
            <a:spcAft>
              <a:spcPct val="15000"/>
            </a:spcAft>
            <a:buChar char="••"/>
          </a:pPr>
          <a:r>
            <a:rPr lang="en-US" sz="1100" kern="1200">
              <a:solidFill>
                <a:srgbClr val="C00000"/>
              </a:solidFill>
            </a:rPr>
            <a:t>Requirement 7:</a:t>
          </a:r>
          <a:r>
            <a:rPr lang="en-US" sz="1100" kern="1200"/>
            <a:t>  Each course can only be used once  for credit towards a degree, unless the course specifically states it can be taken multiple times for credit.</a:t>
          </a:r>
        </a:p>
        <a:p>
          <a:pPr marL="57150" lvl="1" indent="-57150" algn="l" defTabSz="488950">
            <a:lnSpc>
              <a:spcPct val="90000"/>
            </a:lnSpc>
            <a:spcBef>
              <a:spcPct val="0"/>
            </a:spcBef>
            <a:spcAft>
              <a:spcPct val="15000"/>
            </a:spcAft>
            <a:buChar char="••"/>
          </a:pPr>
          <a:r>
            <a:rPr lang="en-US" sz="1100" kern="1200">
              <a:solidFill>
                <a:srgbClr val="C00000"/>
              </a:solidFill>
            </a:rPr>
            <a:t>Requirement 8:</a:t>
          </a:r>
          <a:r>
            <a:rPr lang="en-US" sz="1100" kern="1200"/>
            <a:t>  Courses in which the student earned a grade of "E" or "I" and Developmental Courses do not earn credit and cannot be used towards a degree.</a:t>
          </a:r>
        </a:p>
        <a:p>
          <a:pPr marL="57150" lvl="1" indent="-57150" algn="l" defTabSz="488950">
            <a:lnSpc>
              <a:spcPct val="90000"/>
            </a:lnSpc>
            <a:spcBef>
              <a:spcPct val="0"/>
            </a:spcBef>
            <a:spcAft>
              <a:spcPct val="15000"/>
            </a:spcAft>
            <a:buChar char="••"/>
          </a:pPr>
          <a:r>
            <a:rPr lang="en-US" sz="1100" kern="1200">
              <a:solidFill>
                <a:srgbClr val="C00000"/>
              </a:solidFill>
            </a:rPr>
            <a:t>Requirement 9:</a:t>
          </a:r>
          <a:r>
            <a:rPr lang="en-US" sz="1100" kern="1200"/>
            <a:t>  A student pursuing multiple associate degrees must meet the requirements for each degree, including at least six additional hours beyond the first degree.</a:t>
          </a:r>
        </a:p>
        <a:p>
          <a:pPr marL="57150" lvl="1" indent="-57150" algn="l" defTabSz="488950">
            <a:lnSpc>
              <a:spcPct val="90000"/>
            </a:lnSpc>
            <a:spcBef>
              <a:spcPct val="0"/>
            </a:spcBef>
            <a:spcAft>
              <a:spcPct val="15000"/>
            </a:spcAft>
            <a:buChar char="••"/>
          </a:pPr>
          <a:r>
            <a:rPr lang="en-US" sz="1100" kern="1200"/>
            <a:t>Example:  A student pursuing an AA and AS must meet the course requirements for both and earn a total of 66 credit hours.</a:t>
          </a:r>
        </a:p>
      </dsp:txBody>
      <dsp:txXfrm>
        <a:off x="0" y="10295464"/>
        <a:ext cx="6610350" cy="4674600"/>
      </dsp:txXfrm>
    </dsp:sp>
    <dsp:sp modelId="{DF7523D6-E7D7-4C71-9895-A3F6DBCD2934}">
      <dsp:nvSpPr>
        <dsp:cNvPr id="0" name=""/>
        <dsp:cNvSpPr/>
      </dsp:nvSpPr>
      <dsp:spPr>
        <a:xfrm>
          <a:off x="330517" y="10088824"/>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Special Requirements</a:t>
          </a:r>
        </a:p>
      </dsp:txBody>
      <dsp:txXfrm>
        <a:off x="350692" y="10108999"/>
        <a:ext cx="4586895" cy="372930"/>
      </dsp:txXfrm>
    </dsp:sp>
    <dsp:sp modelId="{B070330C-5FD1-4C30-803D-9F28D460BC6D}">
      <dsp:nvSpPr>
        <dsp:cNvPr id="0" name=""/>
        <dsp:cNvSpPr/>
      </dsp:nvSpPr>
      <dsp:spPr>
        <a:xfrm>
          <a:off x="0" y="15252305"/>
          <a:ext cx="6610350" cy="85995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91592"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If you have any questions about an audit you are performing, find any errors in the audit program, or require any assistance then do not hesitate to contact the program creator.</a:t>
          </a:r>
        </a:p>
        <a:p>
          <a:pPr marL="57150" lvl="1" indent="-57150" algn="l" defTabSz="488950">
            <a:lnSpc>
              <a:spcPct val="90000"/>
            </a:lnSpc>
            <a:spcBef>
              <a:spcPct val="0"/>
            </a:spcBef>
            <a:spcAft>
              <a:spcPct val="15000"/>
            </a:spcAft>
            <a:buChar char="••"/>
          </a:pPr>
          <a:r>
            <a:rPr lang="en-US" sz="1100" kern="1200"/>
            <a:t>Nathan Smith - BCTC, nathan.smith@kctcs.edu</a:t>
          </a:r>
        </a:p>
      </dsp:txBody>
      <dsp:txXfrm>
        <a:off x="0" y="15252305"/>
        <a:ext cx="6610350" cy="859950"/>
      </dsp:txXfrm>
    </dsp:sp>
    <dsp:sp modelId="{CBAA1FF8-268C-4A00-8B52-5926892B90E6}">
      <dsp:nvSpPr>
        <dsp:cNvPr id="0" name=""/>
        <dsp:cNvSpPr/>
      </dsp:nvSpPr>
      <dsp:spPr>
        <a:xfrm>
          <a:off x="330517" y="15045665"/>
          <a:ext cx="4627245" cy="41328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Audit Help</a:t>
          </a:r>
        </a:p>
      </dsp:txBody>
      <dsp:txXfrm>
        <a:off x="350692" y="15065840"/>
        <a:ext cx="4586895" cy="372930"/>
      </dsp:txXfrm>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723460" y="884956"/>
          <a:ext cx="1124817"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909858" y="1046198"/>
        <a:ext cx="752021" cy="650529"/>
      </dsp:txXfrm>
    </dsp:sp>
    <dsp:sp modelId="{B3ECDF98-3FEC-4D76-BF1D-5D1F46680A05}">
      <dsp:nvSpPr>
        <dsp:cNvPr id="0" name=""/>
        <dsp:cNvSpPr/>
      </dsp:nvSpPr>
      <dsp:spPr>
        <a:xfrm>
          <a:off x="2427812" y="419435"/>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827072" y="0"/>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979831" y="132154"/>
        <a:ext cx="616262" cy="533140"/>
      </dsp:txXfrm>
    </dsp:sp>
    <dsp:sp modelId="{B82E6A8F-56C5-42A5-ADC9-D155D4D6C080}">
      <dsp:nvSpPr>
        <dsp:cNvPr id="0" name=""/>
        <dsp:cNvSpPr/>
      </dsp:nvSpPr>
      <dsp:spPr>
        <a:xfrm>
          <a:off x="2923109" y="1103040"/>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672451" y="490484"/>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825210" y="622638"/>
        <a:ext cx="616262" cy="533140"/>
      </dsp:txXfrm>
    </dsp:sp>
    <dsp:sp modelId="{04768AEB-F179-42DA-BCE1-41C63A83C0B8}">
      <dsp:nvSpPr>
        <dsp:cNvPr id="0" name=""/>
        <dsp:cNvSpPr/>
      </dsp:nvSpPr>
      <dsp:spPr>
        <a:xfrm>
          <a:off x="2579043" y="1874702"/>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672451" y="1454718"/>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825210" y="1586872"/>
        <a:ext cx="616262" cy="533140"/>
      </dsp:txXfrm>
    </dsp:sp>
    <dsp:sp modelId="{D7EF0A8E-2835-496A-AD7D-1B39358AA70C}">
      <dsp:nvSpPr>
        <dsp:cNvPr id="0" name=""/>
        <dsp:cNvSpPr/>
      </dsp:nvSpPr>
      <dsp:spPr>
        <a:xfrm>
          <a:off x="1725553" y="1954804"/>
          <a:ext cx="424390"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ADE93696-015A-4347-9E16-98F8F494D360}">
      <dsp:nvSpPr>
        <dsp:cNvPr id="0" name=""/>
        <dsp:cNvSpPr/>
      </dsp:nvSpPr>
      <dsp:spPr>
        <a:xfrm>
          <a:off x="1827072" y="1945751"/>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Courses</a:t>
          </a:r>
        </a:p>
      </dsp:txBody>
      <dsp:txXfrm>
        <a:off x="1979831" y="2077905"/>
        <a:ext cx="616262" cy="533140"/>
      </dsp:txXfrm>
    </dsp:sp>
    <dsp:sp modelId="{DBFAAC4A-FB6F-49E9-B93B-965ECEB5FB23}">
      <dsp:nvSpPr>
        <dsp:cNvPr id="0" name=""/>
        <dsp:cNvSpPr/>
      </dsp:nvSpPr>
      <dsp:spPr>
        <a:xfrm>
          <a:off x="977767" y="1455267"/>
          <a:ext cx="921780"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130526" y="1587421"/>
        <a:ext cx="616262" cy="533140"/>
      </dsp:txXfrm>
    </dsp:sp>
  </dsp:spTree>
</dsp:drawing>
</file>

<file path=xl/diagrams/layout1.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2.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3.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5.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6.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7.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hyperlink" Target="#Help!A1"/><Relationship Id="rId2" Type="http://schemas.openxmlformats.org/officeDocument/2006/relationships/hyperlink" Target="#Science!A1"/><Relationship Id="rId1" Type="http://schemas.openxmlformats.org/officeDocument/2006/relationships/hyperlink" Target="#Arts!A1"/><Relationship Id="rId4" Type="http://schemas.openxmlformats.org/officeDocument/2006/relationships/hyperlink" Target="mailto:nathan.smith@kctcs.edu?subject=AA/AS%20Audit" TargetMode="External"/></Relationships>
</file>

<file path=xl/drawings/_rels/drawing2.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gif"/><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3.xml.rels><?xml version="1.0" encoding="UTF-8" standalone="yes"?>
<Relationships xmlns="http://schemas.openxmlformats.org/package/2006/relationships"><Relationship Id="rId3" Type="http://schemas.openxmlformats.org/officeDocument/2006/relationships/diagramLayout" Target="../diagrams/layout2.xml"/><Relationship Id="rId2" Type="http://schemas.openxmlformats.org/officeDocument/2006/relationships/diagramData" Target="../diagrams/data2.xml"/><Relationship Id="rId1" Type="http://schemas.openxmlformats.org/officeDocument/2006/relationships/image" Target="../media/image1.gif"/><Relationship Id="rId6" Type="http://schemas.microsoft.com/office/2007/relationships/diagramDrawing" Target="../diagrams/drawing2.xml"/><Relationship Id="rId5" Type="http://schemas.openxmlformats.org/officeDocument/2006/relationships/diagramColors" Target="../diagrams/colors2.xml"/><Relationship Id="rId4" Type="http://schemas.openxmlformats.org/officeDocument/2006/relationships/diagramQuickStyle" Target="../diagrams/quickStyle2.xml"/></Relationships>
</file>

<file path=xl/drawings/_rels/drawing4.xml.rels><?xml version="1.0" encoding="UTF-8" standalone="yes"?>
<Relationships xmlns="http://schemas.openxmlformats.org/package/2006/relationships"><Relationship Id="rId8" Type="http://schemas.openxmlformats.org/officeDocument/2006/relationships/hyperlink" Target="#Courses!B22"/><Relationship Id="rId13" Type="http://schemas.openxmlformats.org/officeDocument/2006/relationships/hyperlink" Target="#Courses!B319"/><Relationship Id="rId18" Type="http://schemas.microsoft.com/office/2007/relationships/diagramDrawing" Target="../diagrams/drawing4.xml"/><Relationship Id="rId3" Type="http://schemas.openxmlformats.org/officeDocument/2006/relationships/diagramQuickStyle" Target="../diagrams/quickStyle3.xml"/><Relationship Id="rId21" Type="http://schemas.openxmlformats.org/officeDocument/2006/relationships/diagramQuickStyle" Target="../diagrams/quickStyle5.xml"/><Relationship Id="rId7" Type="http://schemas.openxmlformats.org/officeDocument/2006/relationships/hyperlink" Target="#Courses!B15"/><Relationship Id="rId12" Type="http://schemas.openxmlformats.org/officeDocument/2006/relationships/hyperlink" Target="#Courses!B279"/><Relationship Id="rId17" Type="http://schemas.openxmlformats.org/officeDocument/2006/relationships/diagramColors" Target="../diagrams/colors4.xml"/><Relationship Id="rId2" Type="http://schemas.openxmlformats.org/officeDocument/2006/relationships/diagramLayout" Target="../diagrams/layout3.xml"/><Relationship Id="rId16" Type="http://schemas.openxmlformats.org/officeDocument/2006/relationships/diagramQuickStyle" Target="../diagrams/quickStyle4.xml"/><Relationship Id="rId20" Type="http://schemas.openxmlformats.org/officeDocument/2006/relationships/diagramLayout" Target="../diagrams/layout5.xml"/><Relationship Id="rId1" Type="http://schemas.openxmlformats.org/officeDocument/2006/relationships/diagramData" Target="../diagrams/data3.xml"/><Relationship Id="rId6" Type="http://schemas.openxmlformats.org/officeDocument/2006/relationships/hyperlink" Target="#Courses!B9"/><Relationship Id="rId11" Type="http://schemas.openxmlformats.org/officeDocument/2006/relationships/hyperlink" Target="#Courses!B194"/><Relationship Id="rId24" Type="http://schemas.openxmlformats.org/officeDocument/2006/relationships/hyperlink" Target="#Courses!A1"/><Relationship Id="rId5" Type="http://schemas.microsoft.com/office/2007/relationships/diagramDrawing" Target="../diagrams/drawing3.xml"/><Relationship Id="rId15" Type="http://schemas.openxmlformats.org/officeDocument/2006/relationships/diagramLayout" Target="../diagrams/layout4.xml"/><Relationship Id="rId23" Type="http://schemas.microsoft.com/office/2007/relationships/diagramDrawing" Target="../diagrams/drawing5.xml"/><Relationship Id="rId10" Type="http://schemas.openxmlformats.org/officeDocument/2006/relationships/hyperlink" Target="#Courses!B132"/><Relationship Id="rId19" Type="http://schemas.openxmlformats.org/officeDocument/2006/relationships/diagramData" Target="../diagrams/data5.xml"/><Relationship Id="rId4" Type="http://schemas.openxmlformats.org/officeDocument/2006/relationships/diagramColors" Target="../diagrams/colors3.xml"/><Relationship Id="rId9" Type="http://schemas.openxmlformats.org/officeDocument/2006/relationships/hyperlink" Target="#Courses!B51"/><Relationship Id="rId14" Type="http://schemas.openxmlformats.org/officeDocument/2006/relationships/diagramData" Target="../diagrams/data4.xml"/><Relationship Id="rId22" Type="http://schemas.openxmlformats.org/officeDocument/2006/relationships/diagramColors" Target="../diagrams/colors5.xml"/></Relationships>
</file>

<file path=xl/drawings/_rels/drawing5.xml.rels><?xml version="1.0" encoding="UTF-8" standalone="yes"?>
<Relationships xmlns="http://schemas.openxmlformats.org/package/2006/relationships"><Relationship Id="rId8" Type="http://schemas.openxmlformats.org/officeDocument/2006/relationships/diagramLayout" Target="../diagrams/layout7.xml"/><Relationship Id="rId3" Type="http://schemas.openxmlformats.org/officeDocument/2006/relationships/diagramQuickStyle" Target="../diagrams/quickStyle6.xml"/><Relationship Id="rId7" Type="http://schemas.openxmlformats.org/officeDocument/2006/relationships/diagramData" Target="../diagrams/data7.xml"/><Relationship Id="rId2" Type="http://schemas.openxmlformats.org/officeDocument/2006/relationships/diagramLayout" Target="../diagrams/layout6.xml"/><Relationship Id="rId1" Type="http://schemas.openxmlformats.org/officeDocument/2006/relationships/diagramData" Target="../diagrams/data6.xml"/><Relationship Id="rId6" Type="http://schemas.openxmlformats.org/officeDocument/2006/relationships/hyperlink" Target="#Help!O5"/><Relationship Id="rId11" Type="http://schemas.microsoft.com/office/2007/relationships/diagramDrawing" Target="../diagrams/drawing7.xml"/><Relationship Id="rId5" Type="http://schemas.microsoft.com/office/2007/relationships/diagramDrawing" Target="../diagrams/drawing6.xml"/><Relationship Id="rId10" Type="http://schemas.openxmlformats.org/officeDocument/2006/relationships/diagramColors" Target="../diagrams/colors7.xml"/><Relationship Id="rId4" Type="http://schemas.openxmlformats.org/officeDocument/2006/relationships/diagramColors" Target="../diagrams/colors6.xml"/><Relationship Id="rId9" Type="http://schemas.openxmlformats.org/officeDocument/2006/relationships/diagramQuickStyle" Target="../diagrams/quickStyle7.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135690" cy="937629"/>
    <xdr:sp macro="" textlink="">
      <xdr:nvSpPr>
        <xdr:cNvPr id="6" name="Rectangle 5"/>
        <xdr:cNvSpPr/>
      </xdr:nvSpPr>
      <xdr:spPr>
        <a:xfrm>
          <a:off x="0" y="0"/>
          <a:ext cx="8135690" cy="937629"/>
        </a:xfrm>
        <a:prstGeom prst="rect">
          <a:avLst/>
        </a:prstGeom>
        <a:noFill/>
      </xdr:spPr>
      <xdr:txBody>
        <a:bodyPr wrap="none" lIns="91440" tIns="45720" rIns="91440" bIns="45720">
          <a:spAutoFit/>
        </a:bodyPr>
        <a:lstStyle/>
        <a:p>
          <a:pPr algn="ctr"/>
          <a:r>
            <a:rPr lang="en-US" sz="54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BCTC AA &amp; AS Degree Audit</a:t>
          </a:r>
        </a:p>
      </xdr:txBody>
    </xdr:sp>
    <xdr:clientData/>
  </xdr:oneCellAnchor>
  <xdr:oneCellAnchor>
    <xdr:from>
      <xdr:col>0</xdr:col>
      <xdr:colOff>133350</xdr:colOff>
      <xdr:row>4</xdr:row>
      <xdr:rowOff>9525</xdr:rowOff>
    </xdr:from>
    <xdr:ext cx="1698542" cy="436786"/>
    <xdr:sp macro="" textlink="">
      <xdr:nvSpPr>
        <xdr:cNvPr id="7" name="TextBox 6"/>
        <xdr:cNvSpPr txBox="1"/>
      </xdr:nvSpPr>
      <xdr:spPr>
        <a:xfrm>
          <a:off x="133350" y="771525"/>
          <a:ext cx="169854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chemeClr val="bg1"/>
              </a:solidFill>
            </a:rPr>
            <a:t>Updated October 25</a:t>
          </a:r>
          <a:r>
            <a:rPr lang="en-US" sz="1100" i="1" baseline="0">
              <a:solidFill>
                <a:schemeClr val="bg1"/>
              </a:solidFill>
            </a:rPr>
            <a:t>, 2013</a:t>
          </a:r>
        </a:p>
        <a:p>
          <a:r>
            <a:rPr lang="en-US" sz="1100" i="1" baseline="0">
              <a:solidFill>
                <a:schemeClr val="bg1"/>
              </a:solidFill>
            </a:rPr>
            <a:t>Nathan.Smith@kctcs.edu</a:t>
          </a:r>
          <a:endParaRPr lang="en-US" sz="1100" i="1">
            <a:solidFill>
              <a:schemeClr val="bg1"/>
            </a:solidFill>
          </a:endParaRPr>
        </a:p>
      </xdr:txBody>
    </xdr:sp>
    <xdr:clientData/>
  </xdr:oneCellAnchor>
  <xdr:twoCellAnchor>
    <xdr:from>
      <xdr:col>3</xdr:col>
      <xdr:colOff>276225</xdr:colOff>
      <xdr:row>11</xdr:row>
      <xdr:rowOff>4762</xdr:rowOff>
    </xdr:from>
    <xdr:to>
      <xdr:col>7</xdr:col>
      <xdr:colOff>581025</xdr:colOff>
      <xdr:row>25</xdr:row>
      <xdr:rowOff>80962</xdr:rowOff>
    </xdr:to>
    <xdr:grpSp>
      <xdr:nvGrpSpPr>
        <xdr:cNvPr id="2" name="Group 1"/>
        <xdr:cNvGrpSpPr/>
      </xdr:nvGrpSpPr>
      <xdr:grpSpPr>
        <a:xfrm>
          <a:off x="2105025" y="2100262"/>
          <a:ext cx="2743200" cy="2743200"/>
          <a:chOff x="3781425" y="2709862"/>
          <a:chExt cx="2743200" cy="2743200"/>
        </a:xfrm>
      </xdr:grpSpPr>
      <xdr:sp macro="" textlink="">
        <xdr:nvSpPr>
          <xdr:cNvPr id="11" name="Pie 10"/>
          <xdr:cNvSpPr/>
        </xdr:nvSpPr>
        <xdr:spPr>
          <a:xfrm>
            <a:off x="3781425" y="2709862"/>
            <a:ext cx="2743200" cy="274320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sp macro="" textlink="">
        <xdr:nvSpPr>
          <xdr:cNvPr id="13" name="Pie 12"/>
          <xdr:cNvSpPr/>
        </xdr:nvSpPr>
        <xdr:spPr>
          <a:xfrm>
            <a:off x="4141469" y="3292791"/>
            <a:ext cx="2023110" cy="202311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sp macro="" textlink="">
        <xdr:nvSpPr>
          <xdr:cNvPr id="15" name="Pie 14"/>
          <xdr:cNvSpPr/>
        </xdr:nvSpPr>
        <xdr:spPr>
          <a:xfrm>
            <a:off x="4501515" y="3875722"/>
            <a:ext cx="1303020" cy="130302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sp macro="" textlink="">
        <xdr:nvSpPr>
          <xdr:cNvPr id="17" name="Pie 16"/>
          <xdr:cNvSpPr/>
        </xdr:nvSpPr>
        <xdr:spPr>
          <a:xfrm>
            <a:off x="4861560" y="4458652"/>
            <a:ext cx="582930" cy="58293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grpSp>
    <xdr:clientData/>
  </xdr:twoCellAnchor>
  <xdr:twoCellAnchor>
    <xdr:from>
      <xdr:col>5</xdr:col>
      <xdr:colOff>428625</xdr:colOff>
      <xdr:row>11</xdr:row>
      <xdr:rowOff>4762</xdr:rowOff>
    </xdr:from>
    <xdr:to>
      <xdr:col>10</xdr:col>
      <xdr:colOff>581024</xdr:colOff>
      <xdr:row>25</xdr:row>
      <xdr:rowOff>80962</xdr:rowOff>
    </xdr:to>
    <xdr:grpSp>
      <xdr:nvGrpSpPr>
        <xdr:cNvPr id="3" name="Group 2"/>
        <xdr:cNvGrpSpPr/>
      </xdr:nvGrpSpPr>
      <xdr:grpSpPr>
        <a:xfrm>
          <a:off x="3476625" y="2100262"/>
          <a:ext cx="3200399" cy="2743200"/>
          <a:chOff x="5153025" y="2709862"/>
          <a:chExt cx="3200399" cy="2743200"/>
        </a:xfrm>
      </xdr:grpSpPr>
      <xdr:sp macro="" textlink="">
        <xdr:nvSpPr>
          <xdr:cNvPr id="12" name="Freeform 11">
            <a:hlinkClick xmlns:r="http://schemas.openxmlformats.org/officeDocument/2006/relationships" r:id="rId1" tooltip="AA Audit"/>
          </xdr:cNvPr>
          <xdr:cNvSpPr/>
        </xdr:nvSpPr>
        <xdr:spPr>
          <a:xfrm>
            <a:off x="5153025" y="2709862"/>
            <a:ext cx="3200399" cy="2743200"/>
          </a:xfrm>
          <a:custGeom>
            <a:avLst/>
            <a:gdLst>
              <a:gd name="connsiteX0" fmla="*/ 0 w 3200399"/>
              <a:gd name="connsiteY0" fmla="*/ 0 h 2743200"/>
              <a:gd name="connsiteX1" fmla="*/ 3200399 w 3200399"/>
              <a:gd name="connsiteY1" fmla="*/ 0 h 2743200"/>
              <a:gd name="connsiteX2" fmla="*/ 3200399 w 3200399"/>
              <a:gd name="connsiteY2" fmla="*/ 2743200 h 2743200"/>
              <a:gd name="connsiteX3" fmla="*/ 0 w 3200399"/>
              <a:gd name="connsiteY3" fmla="*/ 2743200 h 2743200"/>
              <a:gd name="connsiteX4" fmla="*/ 0 w 3200399"/>
              <a:gd name="connsiteY4" fmla="*/ 0 h 27432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2743200">
                <a:moveTo>
                  <a:pt x="0" y="0"/>
                </a:moveTo>
                <a:lnTo>
                  <a:pt x="3200399" y="0"/>
                </a:lnTo>
                <a:lnTo>
                  <a:pt x="3200399" y="2743200"/>
                </a:lnTo>
                <a:lnTo>
                  <a:pt x="0" y="274320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2247901" numCol="1" spcCol="1270" anchor="ctr" anchorCtr="0">
            <a:noAutofit/>
          </a:bodyPr>
          <a:lstStyle/>
          <a:p>
            <a:pPr lvl="0" algn="ctr" defTabSz="1022350">
              <a:lnSpc>
                <a:spcPct val="90000"/>
              </a:lnSpc>
              <a:spcBef>
                <a:spcPct val="0"/>
              </a:spcBef>
              <a:spcAft>
                <a:spcPct val="35000"/>
              </a:spcAft>
            </a:pPr>
            <a:r>
              <a:rPr lang="en-US" sz="2300" kern="1200"/>
              <a:t>Associate In Arts</a:t>
            </a:r>
          </a:p>
        </xdr:txBody>
      </xdr:sp>
      <xdr:sp macro="" textlink="">
        <xdr:nvSpPr>
          <xdr:cNvPr id="14" name="Freeform 13">
            <a:hlinkClick xmlns:r="http://schemas.openxmlformats.org/officeDocument/2006/relationships" r:id="rId2" tooltip="AS Audit"/>
          </xdr:cNvPr>
          <xdr:cNvSpPr/>
        </xdr:nvSpPr>
        <xdr:spPr>
          <a:xfrm>
            <a:off x="5153025" y="3292791"/>
            <a:ext cx="3200399" cy="2023110"/>
          </a:xfrm>
          <a:custGeom>
            <a:avLst/>
            <a:gdLst>
              <a:gd name="connsiteX0" fmla="*/ 0 w 3200399"/>
              <a:gd name="connsiteY0" fmla="*/ 0 h 2023110"/>
              <a:gd name="connsiteX1" fmla="*/ 3200399 w 3200399"/>
              <a:gd name="connsiteY1" fmla="*/ 0 h 2023110"/>
              <a:gd name="connsiteX2" fmla="*/ 3200399 w 3200399"/>
              <a:gd name="connsiteY2" fmla="*/ 2023110 h 2023110"/>
              <a:gd name="connsiteX3" fmla="*/ 0 w 3200399"/>
              <a:gd name="connsiteY3" fmla="*/ 2023110 h 2023110"/>
              <a:gd name="connsiteX4" fmla="*/ 0 w 3200399"/>
              <a:gd name="connsiteY4" fmla="*/ 0 h 202311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2023110">
                <a:moveTo>
                  <a:pt x="0" y="0"/>
                </a:moveTo>
                <a:lnTo>
                  <a:pt x="3200399" y="0"/>
                </a:lnTo>
                <a:lnTo>
                  <a:pt x="3200399" y="2023110"/>
                </a:lnTo>
                <a:lnTo>
                  <a:pt x="0" y="202311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1527810" numCol="1" spcCol="1270" anchor="ctr" anchorCtr="0">
            <a:noAutofit/>
          </a:bodyPr>
          <a:lstStyle/>
          <a:p>
            <a:pPr lvl="0" algn="ctr" defTabSz="1022350">
              <a:lnSpc>
                <a:spcPct val="90000"/>
              </a:lnSpc>
              <a:spcBef>
                <a:spcPct val="0"/>
              </a:spcBef>
              <a:spcAft>
                <a:spcPct val="35000"/>
              </a:spcAft>
            </a:pPr>
            <a:r>
              <a:rPr lang="en-US" sz="2300" kern="1200"/>
              <a:t>Associate In Science</a:t>
            </a:r>
          </a:p>
        </xdr:txBody>
      </xdr:sp>
      <xdr:sp macro="" textlink="">
        <xdr:nvSpPr>
          <xdr:cNvPr id="16" name="Freeform 15">
            <a:hlinkClick xmlns:r="http://schemas.openxmlformats.org/officeDocument/2006/relationships" r:id="rId3" tooltip="Audit Help"/>
          </xdr:cNvPr>
          <xdr:cNvSpPr/>
        </xdr:nvSpPr>
        <xdr:spPr>
          <a:xfrm>
            <a:off x="5153025" y="3875722"/>
            <a:ext cx="3200399" cy="1303020"/>
          </a:xfrm>
          <a:custGeom>
            <a:avLst/>
            <a:gdLst>
              <a:gd name="connsiteX0" fmla="*/ 0 w 3200399"/>
              <a:gd name="connsiteY0" fmla="*/ 0 h 1303020"/>
              <a:gd name="connsiteX1" fmla="*/ 3200399 w 3200399"/>
              <a:gd name="connsiteY1" fmla="*/ 0 h 1303020"/>
              <a:gd name="connsiteX2" fmla="*/ 3200399 w 3200399"/>
              <a:gd name="connsiteY2" fmla="*/ 1303020 h 1303020"/>
              <a:gd name="connsiteX3" fmla="*/ 0 w 3200399"/>
              <a:gd name="connsiteY3" fmla="*/ 1303020 h 1303020"/>
              <a:gd name="connsiteX4" fmla="*/ 0 w 3200399"/>
              <a:gd name="connsiteY4" fmla="*/ 0 h 13030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1303020">
                <a:moveTo>
                  <a:pt x="0" y="0"/>
                </a:moveTo>
                <a:lnTo>
                  <a:pt x="3200399" y="0"/>
                </a:lnTo>
                <a:lnTo>
                  <a:pt x="3200399" y="1303020"/>
                </a:lnTo>
                <a:lnTo>
                  <a:pt x="0" y="130302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807720" numCol="1" spcCol="1270" anchor="ctr" anchorCtr="0">
            <a:noAutofit/>
          </a:bodyPr>
          <a:lstStyle/>
          <a:p>
            <a:pPr lvl="0" algn="ctr" defTabSz="1022350">
              <a:lnSpc>
                <a:spcPct val="90000"/>
              </a:lnSpc>
              <a:spcBef>
                <a:spcPct val="0"/>
              </a:spcBef>
              <a:spcAft>
                <a:spcPct val="35000"/>
              </a:spcAft>
            </a:pPr>
            <a:r>
              <a:rPr lang="en-US" sz="2300" kern="1200"/>
              <a:t>Help</a:t>
            </a:r>
          </a:p>
        </xdr:txBody>
      </xdr:sp>
      <xdr:sp macro="" textlink="">
        <xdr:nvSpPr>
          <xdr:cNvPr id="18" name="Freeform 17">
            <a:hlinkClick xmlns:r="http://schemas.openxmlformats.org/officeDocument/2006/relationships" r:id="rId4" tooltip="Contact Nathan Smith for assistance with an audit."/>
          </xdr:cNvPr>
          <xdr:cNvSpPr/>
        </xdr:nvSpPr>
        <xdr:spPr>
          <a:xfrm>
            <a:off x="5153025" y="4458652"/>
            <a:ext cx="3200399" cy="582930"/>
          </a:xfrm>
          <a:custGeom>
            <a:avLst/>
            <a:gdLst>
              <a:gd name="connsiteX0" fmla="*/ 0 w 3200399"/>
              <a:gd name="connsiteY0" fmla="*/ 0 h 582930"/>
              <a:gd name="connsiteX1" fmla="*/ 3200399 w 3200399"/>
              <a:gd name="connsiteY1" fmla="*/ 0 h 582930"/>
              <a:gd name="connsiteX2" fmla="*/ 3200399 w 3200399"/>
              <a:gd name="connsiteY2" fmla="*/ 582930 h 582930"/>
              <a:gd name="connsiteX3" fmla="*/ 0 w 3200399"/>
              <a:gd name="connsiteY3" fmla="*/ 582930 h 582930"/>
              <a:gd name="connsiteX4" fmla="*/ 0 w 3200399"/>
              <a:gd name="connsiteY4" fmla="*/ 0 h 58293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582930">
                <a:moveTo>
                  <a:pt x="0" y="0"/>
                </a:moveTo>
                <a:lnTo>
                  <a:pt x="3200399" y="0"/>
                </a:lnTo>
                <a:lnTo>
                  <a:pt x="3200399" y="582930"/>
                </a:lnTo>
                <a:lnTo>
                  <a:pt x="0" y="58293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87630" numCol="1" spcCol="1270" anchor="ctr" anchorCtr="0">
            <a:noAutofit/>
          </a:bodyPr>
          <a:lstStyle/>
          <a:p>
            <a:pPr lvl="0" algn="ctr" defTabSz="1022350">
              <a:lnSpc>
                <a:spcPct val="90000"/>
              </a:lnSpc>
              <a:spcBef>
                <a:spcPct val="0"/>
              </a:spcBef>
              <a:spcAft>
                <a:spcPct val="35000"/>
              </a:spcAft>
            </a:pPr>
            <a:r>
              <a:rPr lang="en-US" sz="2300" kern="1200"/>
              <a:t>Have An Audit Question?</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3</xdr:col>
      <xdr:colOff>428625</xdr:colOff>
      <xdr:row>2</xdr:row>
      <xdr:rowOff>159525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57175"/>
          <a:ext cx="1590675" cy="388125"/>
        </a:xfrm>
        <a:prstGeom prst="rect">
          <a:avLst/>
        </a:prstGeom>
      </xdr:spPr>
    </xdr:pic>
    <xdr:clientData/>
  </xdr:twoCellAnchor>
  <xdr:twoCellAnchor>
    <xdr:from>
      <xdr:col>10</xdr:col>
      <xdr:colOff>438150</xdr:colOff>
      <xdr:row>1</xdr:row>
      <xdr:rowOff>66675</xdr:rowOff>
    </xdr:from>
    <xdr:to>
      <xdr:col>15</xdr:col>
      <xdr:colOff>209550</xdr:colOff>
      <xdr:row>15</xdr:row>
      <xdr:rowOff>38100</xdr:rowOff>
    </xdr:to>
    <xdr:graphicFrame macro="">
      <xdr:nvGraphicFramePr>
        <xdr:cNvPr id="5" name="Diagram 4"/>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3</xdr:col>
      <xdr:colOff>428625</xdr:colOff>
      <xdr:row>2</xdr:row>
      <xdr:rowOff>159525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57175"/>
          <a:ext cx="1590675" cy="388125"/>
        </a:xfrm>
        <a:prstGeom prst="rect">
          <a:avLst/>
        </a:prstGeom>
      </xdr:spPr>
    </xdr:pic>
    <xdr:clientData/>
  </xdr:twoCellAnchor>
  <xdr:twoCellAnchor>
    <xdr:from>
      <xdr:col>10</xdr:col>
      <xdr:colOff>438150</xdr:colOff>
      <xdr:row>1</xdr:row>
      <xdr:rowOff>66675</xdr:rowOff>
    </xdr:from>
    <xdr:to>
      <xdr:col>15</xdr:col>
      <xdr:colOff>209550</xdr:colOff>
      <xdr:row>15</xdr:row>
      <xdr:rowOff>38100</xdr:rowOff>
    </xdr:to>
    <xdr:graphicFrame macro="">
      <xdr:nvGraphicFramePr>
        <xdr:cNvPr id="4" name="Diagram 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485773</xdr:colOff>
      <xdr:row>2</xdr:row>
      <xdr:rowOff>14283</xdr:rowOff>
    </xdr:from>
    <xdr:to>
      <xdr:col>11</xdr:col>
      <xdr:colOff>438150</xdr:colOff>
      <xdr:row>350</xdr:row>
      <xdr:rowOff>19050</xdr:rowOff>
    </xdr:to>
    <xdr:graphicFrame macro="">
      <xdr:nvGraphicFramePr>
        <xdr:cNvPr id="8" name="Diagram 7"/>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0</xdr:col>
      <xdr:colOff>0</xdr:colOff>
      <xdr:row>0</xdr:row>
      <xdr:rowOff>0</xdr:rowOff>
    </xdr:from>
    <xdr:ext cx="7013881" cy="937629"/>
    <xdr:sp macro="" textlink="">
      <xdr:nvSpPr>
        <xdr:cNvPr id="9" name="Rectangle 8"/>
        <xdr:cNvSpPr/>
      </xdr:nvSpPr>
      <xdr:spPr>
        <a:xfrm>
          <a:off x="0" y="0"/>
          <a:ext cx="7013881" cy="937629"/>
        </a:xfrm>
        <a:prstGeom prst="rect">
          <a:avLst/>
        </a:prstGeom>
        <a:noFill/>
      </xdr:spPr>
      <xdr:txBody>
        <a:bodyPr wrap="square" lIns="91440" tIns="45720" rIns="91440" bIns="45720">
          <a:spAutoFit/>
        </a:bodyPr>
        <a:lstStyle/>
        <a:p>
          <a:pPr algn="l"/>
          <a:r>
            <a:rPr lang="en-US" sz="54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COURSE</a:t>
          </a:r>
          <a:r>
            <a:rPr lang="en-US" sz="5400" b="1" cap="none" spc="0" baseline="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 DESCRIPTIONS</a:t>
          </a:r>
          <a:endParaRPr lang="en-US" sz="54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endParaRPr>
        </a:p>
      </xdr:txBody>
    </xdr:sp>
    <xdr:clientData/>
  </xdr:oneCellAnchor>
  <xdr:twoCellAnchor>
    <xdr:from>
      <xdr:col>13</xdr:col>
      <xdr:colOff>85725</xdr:colOff>
      <xdr:row>21</xdr:row>
      <xdr:rowOff>133350</xdr:rowOff>
    </xdr:from>
    <xdr:to>
      <xdr:col>17</xdr:col>
      <xdr:colOff>390525</xdr:colOff>
      <xdr:row>36</xdr:row>
      <xdr:rowOff>26157</xdr:rowOff>
    </xdr:to>
    <xdr:grpSp>
      <xdr:nvGrpSpPr>
        <xdr:cNvPr id="20" name="Group 19"/>
        <xdr:cNvGrpSpPr/>
      </xdr:nvGrpSpPr>
      <xdr:grpSpPr>
        <a:xfrm>
          <a:off x="8010525" y="4133850"/>
          <a:ext cx="2743200" cy="2750307"/>
          <a:chOff x="8934450" y="1000125"/>
          <a:chExt cx="2743200" cy="2750307"/>
        </a:xfrm>
      </xdr:grpSpPr>
      <xdr:sp macro="" textlink="">
        <xdr:nvSpPr>
          <xdr:cNvPr id="11" name="Isosceles Triangle 10"/>
          <xdr:cNvSpPr/>
        </xdr:nvSpPr>
        <xdr:spPr>
          <a:xfrm>
            <a:off x="8934450" y="1000125"/>
            <a:ext cx="2743200" cy="2743200"/>
          </a:xfrm>
          <a:prstGeom prst="triangle">
            <a:avLst/>
          </a:prstGeom>
          <a:scene3d>
            <a:camera prst="orthographicFront"/>
            <a:lightRig rig="threePt" dir="t">
              <a:rot lat="0" lon="0" rev="7500000"/>
            </a:lightRig>
          </a:scene3d>
          <a:sp3d prstMaterial="plastic">
            <a:bevelT w="127000" h="25400" prst="relaxedInset"/>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sp>
      <xdr:sp macro="" textlink="">
        <xdr:nvSpPr>
          <xdr:cNvPr id="12" name="Freeform 11">
            <a:hlinkClick xmlns:r="http://schemas.openxmlformats.org/officeDocument/2006/relationships" r:id="rId6" tooltip="Communication - Written"/>
          </xdr:cNvPr>
          <xdr:cNvSpPr/>
        </xdr:nvSpPr>
        <xdr:spPr>
          <a:xfrm>
            <a:off x="9433560" y="1827012"/>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lvl="0" algn="ctr" defTabSz="466725">
              <a:lnSpc>
                <a:spcPct val="90000"/>
              </a:lnSpc>
              <a:spcBef>
                <a:spcPct val="0"/>
              </a:spcBef>
              <a:spcAft>
                <a:spcPct val="35000"/>
              </a:spcAft>
            </a:pPr>
            <a:r>
              <a:rPr lang="en-US" sz="1050" kern="1200"/>
              <a:t>Communication - Written</a:t>
            </a:r>
          </a:p>
        </xdr:txBody>
      </xdr:sp>
      <xdr:sp macro="" textlink="">
        <xdr:nvSpPr>
          <xdr:cNvPr id="13" name="Freeform 12">
            <a:hlinkClick xmlns:r="http://schemas.openxmlformats.org/officeDocument/2006/relationships" r:id="rId7" tooltip="Communication - Oral"/>
          </xdr:cNvPr>
          <xdr:cNvSpPr/>
        </xdr:nvSpPr>
        <xdr:spPr>
          <a:xfrm>
            <a:off x="9433560" y="2070826"/>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lvl="0" algn="ctr" defTabSz="466725">
              <a:lnSpc>
                <a:spcPct val="90000"/>
              </a:lnSpc>
              <a:spcBef>
                <a:spcPct val="0"/>
              </a:spcBef>
              <a:spcAft>
                <a:spcPct val="35000"/>
              </a:spcAft>
            </a:pPr>
            <a:r>
              <a:rPr lang="en-US" sz="1050" kern="1200"/>
              <a:t>Communication - Oral</a:t>
            </a:r>
          </a:p>
        </xdr:txBody>
      </xdr:sp>
      <xdr:sp macro="" textlink="">
        <xdr:nvSpPr>
          <xdr:cNvPr id="14" name="Freeform 13">
            <a:hlinkClick xmlns:r="http://schemas.openxmlformats.org/officeDocument/2006/relationships" r:id="rId8" tooltip="A&amp;H - Heritage"/>
          </xdr:cNvPr>
          <xdr:cNvSpPr/>
        </xdr:nvSpPr>
        <xdr:spPr>
          <a:xfrm>
            <a:off x="9433560" y="2314640"/>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algn="ctr"/>
            <a:r>
              <a:rPr lang="en-US" sz="1100">
                <a:solidFill>
                  <a:schemeClr val="dk1">
                    <a:hueOff val="0"/>
                    <a:satOff val="0"/>
                    <a:lumOff val="0"/>
                    <a:alphaOff val="0"/>
                  </a:schemeClr>
                </a:solidFill>
                <a:effectLst/>
                <a:latin typeface="+mn-lt"/>
                <a:ea typeface="+mn-ea"/>
                <a:cs typeface="+mn-cs"/>
              </a:rPr>
              <a:t>A&amp;H - Heritage</a:t>
            </a:r>
            <a:endParaRPr lang="en-US" sz="1050">
              <a:effectLst/>
            </a:endParaRPr>
          </a:p>
        </xdr:txBody>
      </xdr:sp>
      <xdr:sp macro="" textlink="">
        <xdr:nvSpPr>
          <xdr:cNvPr id="15" name="Freeform 14">
            <a:hlinkClick xmlns:r="http://schemas.openxmlformats.org/officeDocument/2006/relationships" r:id="rId9" tooltip="A&amp;H - Humanities"/>
          </xdr:cNvPr>
          <xdr:cNvSpPr/>
        </xdr:nvSpPr>
        <xdr:spPr>
          <a:xfrm>
            <a:off x="9433560" y="2558454"/>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algn="ctr"/>
            <a:r>
              <a:rPr lang="en-US" sz="1100">
                <a:solidFill>
                  <a:schemeClr val="dk1">
                    <a:hueOff val="0"/>
                    <a:satOff val="0"/>
                    <a:lumOff val="0"/>
                    <a:alphaOff val="0"/>
                  </a:schemeClr>
                </a:solidFill>
                <a:effectLst/>
                <a:latin typeface="+mn-lt"/>
                <a:ea typeface="+mn-ea"/>
                <a:cs typeface="+mn-cs"/>
              </a:rPr>
              <a:t>A&amp;H - Humanities</a:t>
            </a:r>
            <a:endParaRPr lang="en-US" sz="1050">
              <a:effectLst/>
            </a:endParaRPr>
          </a:p>
        </xdr:txBody>
      </xdr:sp>
      <xdr:sp macro="" textlink="">
        <xdr:nvSpPr>
          <xdr:cNvPr id="16" name="Freeform 15">
            <a:hlinkClick xmlns:r="http://schemas.openxmlformats.org/officeDocument/2006/relationships" r:id="rId10" tooltip="Social &amp; Behavioral Sciences"/>
          </xdr:cNvPr>
          <xdr:cNvSpPr/>
        </xdr:nvSpPr>
        <xdr:spPr>
          <a:xfrm>
            <a:off x="9433560" y="2802268"/>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lvl="0" algn="ctr" defTabSz="466725">
              <a:lnSpc>
                <a:spcPct val="90000"/>
              </a:lnSpc>
              <a:spcBef>
                <a:spcPct val="0"/>
              </a:spcBef>
              <a:spcAft>
                <a:spcPct val="35000"/>
              </a:spcAft>
            </a:pPr>
            <a:r>
              <a:rPr lang="en-US" sz="1050" kern="1200"/>
              <a:t>Social &amp; Behavioral Sciences</a:t>
            </a:r>
          </a:p>
        </xdr:txBody>
      </xdr:sp>
      <xdr:sp macro="" textlink="">
        <xdr:nvSpPr>
          <xdr:cNvPr id="17" name="Freeform 16">
            <a:hlinkClick xmlns:r="http://schemas.openxmlformats.org/officeDocument/2006/relationships" r:id="rId11" tooltip="Natural Sciences"/>
          </xdr:cNvPr>
          <xdr:cNvSpPr/>
        </xdr:nvSpPr>
        <xdr:spPr>
          <a:xfrm>
            <a:off x="9433560" y="3046081"/>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lvl="0" algn="ctr" defTabSz="466725">
              <a:lnSpc>
                <a:spcPct val="90000"/>
              </a:lnSpc>
              <a:spcBef>
                <a:spcPct val="0"/>
              </a:spcBef>
              <a:spcAft>
                <a:spcPct val="35000"/>
              </a:spcAft>
            </a:pPr>
            <a:r>
              <a:rPr lang="en-US" sz="1050" kern="1200"/>
              <a:t>Natural Sciences</a:t>
            </a:r>
          </a:p>
        </xdr:txBody>
      </xdr:sp>
      <xdr:sp macro="" textlink="">
        <xdr:nvSpPr>
          <xdr:cNvPr id="18" name="Freeform 17">
            <a:hlinkClick xmlns:r="http://schemas.openxmlformats.org/officeDocument/2006/relationships" r:id="rId12" tooltip="Quantitative Reasoning"/>
          </xdr:cNvPr>
          <xdr:cNvSpPr/>
        </xdr:nvSpPr>
        <xdr:spPr>
          <a:xfrm>
            <a:off x="9433560" y="3289895"/>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lvl="0" algn="ctr" defTabSz="466725">
              <a:lnSpc>
                <a:spcPct val="90000"/>
              </a:lnSpc>
              <a:spcBef>
                <a:spcPct val="0"/>
              </a:spcBef>
              <a:spcAft>
                <a:spcPct val="35000"/>
              </a:spcAft>
            </a:pPr>
            <a:r>
              <a:rPr lang="en-US" sz="1050" kern="1200"/>
              <a:t>Quantitative Reasoning</a:t>
            </a:r>
          </a:p>
        </xdr:txBody>
      </xdr:sp>
      <xdr:sp macro="" textlink="">
        <xdr:nvSpPr>
          <xdr:cNvPr id="19" name="Freeform 18">
            <a:hlinkClick xmlns:r="http://schemas.openxmlformats.org/officeDocument/2006/relationships" r:id="rId13" tooltip="Foreign Languages"/>
          </xdr:cNvPr>
          <xdr:cNvSpPr/>
        </xdr:nvSpPr>
        <xdr:spPr>
          <a:xfrm>
            <a:off x="9433560" y="3533709"/>
            <a:ext cx="1783080" cy="216723"/>
          </a:xfrm>
          <a:custGeom>
            <a:avLst/>
            <a:gdLst>
              <a:gd name="connsiteX0" fmla="*/ 0 w 1783080"/>
              <a:gd name="connsiteY0" fmla="*/ 36121 h 216723"/>
              <a:gd name="connsiteX1" fmla="*/ 36121 w 1783080"/>
              <a:gd name="connsiteY1" fmla="*/ 0 h 216723"/>
              <a:gd name="connsiteX2" fmla="*/ 1746959 w 1783080"/>
              <a:gd name="connsiteY2" fmla="*/ 0 h 216723"/>
              <a:gd name="connsiteX3" fmla="*/ 1783080 w 1783080"/>
              <a:gd name="connsiteY3" fmla="*/ 36121 h 216723"/>
              <a:gd name="connsiteX4" fmla="*/ 1783080 w 1783080"/>
              <a:gd name="connsiteY4" fmla="*/ 180602 h 216723"/>
              <a:gd name="connsiteX5" fmla="*/ 1746959 w 1783080"/>
              <a:gd name="connsiteY5" fmla="*/ 216723 h 216723"/>
              <a:gd name="connsiteX6" fmla="*/ 36121 w 1783080"/>
              <a:gd name="connsiteY6" fmla="*/ 216723 h 216723"/>
              <a:gd name="connsiteX7" fmla="*/ 0 w 1783080"/>
              <a:gd name="connsiteY7" fmla="*/ 180602 h 216723"/>
              <a:gd name="connsiteX8" fmla="*/ 0 w 1783080"/>
              <a:gd name="connsiteY8" fmla="*/ 36121 h 216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83080" h="216723">
                <a:moveTo>
                  <a:pt x="0" y="36121"/>
                </a:moveTo>
                <a:cubicBezTo>
                  <a:pt x="0" y="16172"/>
                  <a:pt x="16172" y="0"/>
                  <a:pt x="36121" y="0"/>
                </a:cubicBezTo>
                <a:lnTo>
                  <a:pt x="1746959" y="0"/>
                </a:lnTo>
                <a:cubicBezTo>
                  <a:pt x="1766908" y="0"/>
                  <a:pt x="1783080" y="16172"/>
                  <a:pt x="1783080" y="36121"/>
                </a:cubicBezTo>
                <a:lnTo>
                  <a:pt x="1783080" y="180602"/>
                </a:lnTo>
                <a:cubicBezTo>
                  <a:pt x="1783080" y="200551"/>
                  <a:pt x="1766908" y="216723"/>
                  <a:pt x="1746959" y="216723"/>
                </a:cubicBezTo>
                <a:lnTo>
                  <a:pt x="36121" y="216723"/>
                </a:lnTo>
                <a:cubicBezTo>
                  <a:pt x="16172" y="216723"/>
                  <a:pt x="0" y="200551"/>
                  <a:pt x="0" y="180602"/>
                </a:cubicBezTo>
                <a:lnTo>
                  <a:pt x="0" y="36121"/>
                </a:lnTo>
                <a:close/>
              </a:path>
            </a:pathLst>
          </a:custGeom>
          <a:scene3d>
            <a:camera prst="orthographicFront"/>
            <a:lightRig rig="threePt" dir="t">
              <a:rot lat="0" lon="0" rev="7500000"/>
            </a:lightRig>
          </a:scene3d>
          <a:sp3d z="152400" extrusionH="63500" prstMaterial="dkEdge">
            <a:bevelT w="135400" h="16350" prst="relaxedInset"/>
            <a:contourClr>
              <a:schemeClr val="bg1"/>
            </a:contourClr>
          </a:sp3d>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52490" tIns="52490" rIns="52490" bIns="52490" numCol="1" spcCol="1270" anchor="ctr" anchorCtr="0">
            <a:noAutofit/>
          </a:bodyPr>
          <a:lstStyle/>
          <a:p>
            <a:pPr lvl="0" algn="ctr" defTabSz="466725">
              <a:lnSpc>
                <a:spcPct val="90000"/>
              </a:lnSpc>
              <a:spcBef>
                <a:spcPct val="0"/>
              </a:spcBef>
              <a:spcAft>
                <a:spcPct val="35000"/>
              </a:spcAft>
            </a:pPr>
            <a:r>
              <a:rPr lang="en-US" sz="1050" kern="1200"/>
              <a:t>Foreign Languages</a:t>
            </a:r>
          </a:p>
        </xdr:txBody>
      </xdr:sp>
    </xdr:grpSp>
    <xdr:clientData/>
  </xdr:twoCellAnchor>
  <xdr:twoCellAnchor>
    <xdr:from>
      <xdr:col>11</xdr:col>
      <xdr:colOff>352425</xdr:colOff>
      <xdr:row>5</xdr:row>
      <xdr:rowOff>142875</xdr:rowOff>
    </xdr:from>
    <xdr:to>
      <xdr:col>19</xdr:col>
      <xdr:colOff>47625</xdr:colOff>
      <xdr:row>20</xdr:row>
      <xdr:rowOff>28575</xdr:rowOff>
    </xdr:to>
    <xdr:graphicFrame macro="">
      <xdr:nvGraphicFramePr>
        <xdr:cNvPr id="21" name="Diagram 20"/>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4" r:lo="rId15" r:qs="rId16" r:cs="rId17"/>
        </a:graphicData>
      </a:graphic>
    </xdr:graphicFrame>
    <xdr:clientData/>
  </xdr:twoCellAnchor>
  <xdr:twoCellAnchor>
    <xdr:from>
      <xdr:col>11</xdr:col>
      <xdr:colOff>495300</xdr:colOff>
      <xdr:row>130</xdr:row>
      <xdr:rowOff>166687</xdr:rowOff>
    </xdr:from>
    <xdr:to>
      <xdr:col>15</xdr:col>
      <xdr:colOff>542925</xdr:colOff>
      <xdr:row>132</xdr:row>
      <xdr:rowOff>161925</xdr:rowOff>
    </xdr:to>
    <xdr:graphicFrame macro="">
      <xdr:nvGraphicFramePr>
        <xdr:cNvPr id="42" name="Diagram 4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9" r:lo="rId20" r:qs="rId21" r:cs="rId22"/>
        </a:graphicData>
      </a:graphic>
    </xdr:graphicFrame>
    <xdr:clientData/>
  </xdr:twoCellAnchor>
  <xdr:twoCellAnchor>
    <xdr:from>
      <xdr:col>11</xdr:col>
      <xdr:colOff>485775</xdr:colOff>
      <xdr:row>318</xdr:row>
      <xdr:rowOff>0</xdr:rowOff>
    </xdr:from>
    <xdr:to>
      <xdr:col>14</xdr:col>
      <xdr:colOff>573181</xdr:colOff>
      <xdr:row>319</xdr:row>
      <xdr:rowOff>179297</xdr:rowOff>
    </xdr:to>
    <xdr:sp macro="" textlink="">
      <xdr:nvSpPr>
        <xdr:cNvPr id="55" name="Freeform 54">
          <a:hlinkClick xmlns:r="http://schemas.openxmlformats.org/officeDocument/2006/relationships" r:id="rId24" tooltip="Return"/>
        </xdr:cNvPr>
        <xdr:cNvSpPr/>
      </xdr:nvSpPr>
      <xdr:spPr>
        <a:xfrm>
          <a:off x="7191375" y="60579000"/>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11</xdr:col>
      <xdr:colOff>485775</xdr:colOff>
      <xdr:row>277</xdr:row>
      <xdr:rowOff>171450</xdr:rowOff>
    </xdr:from>
    <xdr:to>
      <xdr:col>14</xdr:col>
      <xdr:colOff>573181</xdr:colOff>
      <xdr:row>279</xdr:row>
      <xdr:rowOff>160247</xdr:rowOff>
    </xdr:to>
    <xdr:sp macro="" textlink="">
      <xdr:nvSpPr>
        <xdr:cNvPr id="56" name="Freeform 55">
          <a:hlinkClick xmlns:r="http://schemas.openxmlformats.org/officeDocument/2006/relationships" r:id="rId24" tooltip="Return"/>
        </xdr:cNvPr>
        <xdr:cNvSpPr/>
      </xdr:nvSpPr>
      <xdr:spPr>
        <a:xfrm>
          <a:off x="7191375" y="52939950"/>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11</xdr:col>
      <xdr:colOff>485775</xdr:colOff>
      <xdr:row>192</xdr:row>
      <xdr:rowOff>104775</xdr:rowOff>
    </xdr:from>
    <xdr:to>
      <xdr:col>14</xdr:col>
      <xdr:colOff>573181</xdr:colOff>
      <xdr:row>194</xdr:row>
      <xdr:rowOff>93572</xdr:rowOff>
    </xdr:to>
    <xdr:sp macro="" textlink="">
      <xdr:nvSpPr>
        <xdr:cNvPr id="57" name="Freeform 56">
          <a:hlinkClick xmlns:r="http://schemas.openxmlformats.org/officeDocument/2006/relationships" r:id="rId24" tooltip="Return"/>
        </xdr:cNvPr>
        <xdr:cNvSpPr/>
      </xdr:nvSpPr>
      <xdr:spPr>
        <a:xfrm>
          <a:off x="7191375" y="36680775"/>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11</xdr:col>
      <xdr:colOff>485775</xdr:colOff>
      <xdr:row>130</xdr:row>
      <xdr:rowOff>171450</xdr:rowOff>
    </xdr:from>
    <xdr:to>
      <xdr:col>14</xdr:col>
      <xdr:colOff>573181</xdr:colOff>
      <xdr:row>132</xdr:row>
      <xdr:rowOff>160247</xdr:rowOff>
    </xdr:to>
    <xdr:sp macro="" textlink="">
      <xdr:nvSpPr>
        <xdr:cNvPr id="58" name="Freeform 57">
          <a:hlinkClick xmlns:r="http://schemas.openxmlformats.org/officeDocument/2006/relationships" r:id="rId24" tooltip="Return"/>
        </xdr:cNvPr>
        <xdr:cNvSpPr/>
      </xdr:nvSpPr>
      <xdr:spPr>
        <a:xfrm>
          <a:off x="7191375" y="24936450"/>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11</xdr:col>
      <xdr:colOff>485775</xdr:colOff>
      <xdr:row>50</xdr:row>
      <xdr:rowOff>57150</xdr:rowOff>
    </xdr:from>
    <xdr:to>
      <xdr:col>14</xdr:col>
      <xdr:colOff>573181</xdr:colOff>
      <xdr:row>52</xdr:row>
      <xdr:rowOff>45947</xdr:rowOff>
    </xdr:to>
    <xdr:sp macro="" textlink="">
      <xdr:nvSpPr>
        <xdr:cNvPr id="59" name="Freeform 58">
          <a:hlinkClick xmlns:r="http://schemas.openxmlformats.org/officeDocument/2006/relationships" r:id="rId24" tooltip="Return"/>
        </xdr:cNvPr>
        <xdr:cNvSpPr/>
      </xdr:nvSpPr>
      <xdr:spPr>
        <a:xfrm>
          <a:off x="7191375" y="9582150"/>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523875</xdr:colOff>
      <xdr:row>5</xdr:row>
      <xdr:rowOff>90485</xdr:rowOff>
    </xdr:from>
    <xdr:to>
      <xdr:col>11</xdr:col>
      <xdr:colOff>428625</xdr:colOff>
      <xdr:row>90</xdr:row>
      <xdr:rowOff>180975</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14</xdr:col>
      <xdr:colOff>9525</xdr:colOff>
      <xdr:row>46</xdr:row>
      <xdr:rowOff>142875</xdr:rowOff>
    </xdr:from>
    <xdr:to>
      <xdr:col>17</xdr:col>
      <xdr:colOff>96931</xdr:colOff>
      <xdr:row>48</xdr:row>
      <xdr:rowOff>131672</xdr:rowOff>
    </xdr:to>
    <xdr:sp macro="" textlink="">
      <xdr:nvSpPr>
        <xdr:cNvPr id="7" name="Freeform 6">
          <a:hlinkClick xmlns:r="http://schemas.openxmlformats.org/officeDocument/2006/relationships" r:id="rId6" tooltip="Return"/>
        </xdr:cNvPr>
        <xdr:cNvSpPr/>
      </xdr:nvSpPr>
      <xdr:spPr>
        <a:xfrm>
          <a:off x="8543925" y="8982075"/>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14</xdr:col>
      <xdr:colOff>9525</xdr:colOff>
      <xdr:row>84</xdr:row>
      <xdr:rowOff>57150</xdr:rowOff>
    </xdr:from>
    <xdr:to>
      <xdr:col>17</xdr:col>
      <xdr:colOff>96931</xdr:colOff>
      <xdr:row>86</xdr:row>
      <xdr:rowOff>45947</xdr:rowOff>
    </xdr:to>
    <xdr:sp macro="" textlink="">
      <xdr:nvSpPr>
        <xdr:cNvPr id="8" name="Freeform 7">
          <a:hlinkClick xmlns:r="http://schemas.openxmlformats.org/officeDocument/2006/relationships" r:id="rId6" tooltip="Return"/>
        </xdr:cNvPr>
        <xdr:cNvSpPr/>
      </xdr:nvSpPr>
      <xdr:spPr>
        <a:xfrm>
          <a:off x="8543925" y="16135350"/>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11</xdr:col>
      <xdr:colOff>419100</xdr:colOff>
      <xdr:row>7</xdr:row>
      <xdr:rowOff>85725</xdr:rowOff>
    </xdr:from>
    <xdr:to>
      <xdr:col>19</xdr:col>
      <xdr:colOff>114300</xdr:colOff>
      <xdr:row>21</xdr:row>
      <xdr:rowOff>161925</xdr:rowOff>
    </xdr:to>
    <xdr:graphicFrame macro="">
      <xdr:nvGraphicFramePr>
        <xdr:cNvPr id="9" name="Diagram 8"/>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oneCellAnchor>
    <xdr:from>
      <xdr:col>0</xdr:col>
      <xdr:colOff>0</xdr:colOff>
      <xdr:row>0</xdr:row>
      <xdr:rowOff>0</xdr:rowOff>
    </xdr:from>
    <xdr:ext cx="4878196" cy="937629"/>
    <xdr:sp macro="" textlink="">
      <xdr:nvSpPr>
        <xdr:cNvPr id="6" name="Rectangle 5"/>
        <xdr:cNvSpPr/>
      </xdr:nvSpPr>
      <xdr:spPr>
        <a:xfrm>
          <a:off x="0" y="0"/>
          <a:ext cx="4878196" cy="937629"/>
        </a:xfrm>
        <a:prstGeom prst="rect">
          <a:avLst/>
        </a:prstGeom>
        <a:noFill/>
      </xdr:spPr>
      <xdr:txBody>
        <a:bodyPr wrap="square" lIns="91440" tIns="45720" rIns="91440" bIns="45720">
          <a:spAutoFit/>
        </a:bodyPr>
        <a:lstStyle/>
        <a:p>
          <a:pPr algn="l"/>
          <a:r>
            <a:rPr lang="en-US" sz="54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AUDIT HELP</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sheetPr>
  <dimension ref="A1:AZ100"/>
  <sheetViews>
    <sheetView tabSelected="1" workbookViewId="0">
      <selection activeCell="A7" sqref="A7"/>
    </sheetView>
  </sheetViews>
  <sheetFormatPr defaultRowHeight="15" x14ac:dyDescent="0.25"/>
  <sheetData>
    <row r="1" spans="1:52" x14ac:dyDescent="0.25">
      <c r="A1" s="57"/>
      <c r="B1" s="57"/>
      <c r="C1" s="57"/>
      <c r="D1" s="57"/>
      <c r="E1" s="57"/>
      <c r="F1" s="57"/>
      <c r="G1" s="57"/>
      <c r="H1" s="57"/>
      <c r="I1" s="57"/>
      <c r="J1" s="57"/>
      <c r="K1" s="57"/>
      <c r="L1" s="57"/>
      <c r="M1" s="57"/>
      <c r="N1" s="57"/>
      <c r="O1" s="57"/>
      <c r="P1" s="57"/>
      <c r="Q1" s="57"/>
      <c r="R1" s="57"/>
      <c r="S1" s="57"/>
      <c r="T1" s="57"/>
      <c r="U1" s="57"/>
      <c r="V1" s="57"/>
      <c r="W1" s="57"/>
      <c r="X1" s="57"/>
      <c r="Y1" s="57"/>
      <c r="Z1" s="57"/>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row>
    <row r="2" spans="1:52" x14ac:dyDescent="0.25">
      <c r="A2" s="57"/>
      <c r="B2" s="57"/>
      <c r="C2" s="57"/>
      <c r="D2" s="57"/>
      <c r="E2" s="57"/>
      <c r="F2" s="57"/>
      <c r="G2" s="57"/>
      <c r="H2" s="57"/>
      <c r="I2" s="57"/>
      <c r="J2" s="57"/>
      <c r="K2" s="57"/>
      <c r="L2" s="57"/>
      <c r="M2" s="57"/>
      <c r="N2" s="57"/>
      <c r="O2" s="57"/>
      <c r="P2" s="57"/>
      <c r="Q2" s="57"/>
      <c r="R2" s="57"/>
      <c r="S2" s="57"/>
      <c r="T2" s="57"/>
      <c r="U2" s="57"/>
      <c r="V2" s="57"/>
      <c r="W2" s="57"/>
      <c r="X2" s="57"/>
      <c r="Y2" s="57"/>
      <c r="Z2" s="57"/>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row>
    <row r="3" spans="1:52" x14ac:dyDescent="0.25">
      <c r="A3" s="57"/>
      <c r="B3" s="57"/>
      <c r="C3" s="57"/>
      <c r="D3" s="57"/>
      <c r="E3" s="57"/>
      <c r="F3" s="57"/>
      <c r="G3" s="57"/>
      <c r="H3" s="57"/>
      <c r="I3" s="57"/>
      <c r="J3" s="57"/>
      <c r="K3" s="57"/>
      <c r="L3" s="57"/>
      <c r="M3" s="57"/>
      <c r="N3" s="57"/>
      <c r="O3" s="57"/>
      <c r="P3" s="57"/>
      <c r="Q3" s="57"/>
      <c r="R3" s="57"/>
      <c r="S3" s="57"/>
      <c r="T3" s="57"/>
      <c r="U3" s="57"/>
      <c r="V3" s="57"/>
      <c r="W3" s="57"/>
      <c r="X3" s="57"/>
      <c r="Y3" s="57"/>
      <c r="Z3" s="57"/>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row>
    <row r="4" spans="1:52" x14ac:dyDescent="0.25">
      <c r="A4" s="57"/>
      <c r="B4" s="57"/>
      <c r="C4" s="57"/>
      <c r="D4" s="57"/>
      <c r="E4" s="57"/>
      <c r="F4" s="57"/>
      <c r="G4" s="57"/>
      <c r="H4" s="57"/>
      <c r="I4" s="57"/>
      <c r="J4" s="57"/>
      <c r="K4" s="57"/>
      <c r="L4" s="57"/>
      <c r="M4" s="57"/>
      <c r="N4" s="57"/>
      <c r="O4" s="57"/>
      <c r="P4" s="57"/>
      <c r="Q4" s="57"/>
      <c r="R4" s="57"/>
      <c r="S4" s="57"/>
      <c r="T4" s="57"/>
      <c r="U4" s="57"/>
      <c r="V4" s="57"/>
      <c r="W4" s="57"/>
      <c r="X4" s="57"/>
      <c r="Y4" s="57"/>
      <c r="Z4" s="57"/>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row>
    <row r="5" spans="1:52"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row>
    <row r="6" spans="1:52" x14ac:dyDescent="0.25">
      <c r="A6" s="57"/>
      <c r="B6" s="57"/>
      <c r="C6" s="57"/>
      <c r="D6" s="57"/>
      <c r="E6" s="57"/>
      <c r="F6" s="57"/>
      <c r="G6" s="57"/>
      <c r="H6" s="57"/>
      <c r="I6" s="57"/>
      <c r="J6" s="57"/>
      <c r="K6" s="57"/>
      <c r="L6" s="57"/>
      <c r="M6" s="57"/>
      <c r="N6" s="57"/>
      <c r="O6" s="57"/>
      <c r="P6" s="57"/>
      <c r="Q6" s="57"/>
      <c r="R6" s="57"/>
      <c r="S6" s="57"/>
      <c r="T6" s="57"/>
      <c r="U6" s="57"/>
      <c r="V6" s="57"/>
      <c r="W6" s="57"/>
      <c r="X6" s="57"/>
      <c r="Y6" s="57"/>
      <c r="Z6" s="57"/>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row>
    <row r="7" spans="1:52" x14ac:dyDescent="0.25">
      <c r="A7" s="57"/>
      <c r="B7" s="57"/>
      <c r="C7" s="57"/>
      <c r="D7" s="57"/>
      <c r="E7" s="57"/>
      <c r="F7" s="57"/>
      <c r="G7" s="57"/>
      <c r="H7" s="57"/>
      <c r="I7" s="57"/>
      <c r="J7" s="57"/>
      <c r="K7" s="57"/>
      <c r="L7" s="57"/>
      <c r="M7" s="57"/>
      <c r="N7" s="57"/>
      <c r="O7" s="57"/>
      <c r="P7" s="57"/>
      <c r="Q7" s="57"/>
      <c r="R7" s="57"/>
      <c r="S7" s="57"/>
      <c r="T7" s="57"/>
      <c r="U7" s="57"/>
      <c r="V7" s="57"/>
      <c r="W7" s="57"/>
      <c r="X7" s="57"/>
      <c r="Y7" s="57"/>
      <c r="Z7" s="57"/>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row>
    <row r="8" spans="1:52" x14ac:dyDescent="0.25">
      <c r="A8" s="57"/>
      <c r="B8" s="57"/>
      <c r="C8" s="57"/>
      <c r="D8" s="57"/>
      <c r="E8" s="57"/>
      <c r="F8" s="57"/>
      <c r="G8" s="57"/>
      <c r="H8" s="57"/>
      <c r="I8" s="57"/>
      <c r="J8" s="57"/>
      <c r="K8" s="57"/>
      <c r="L8" s="57"/>
      <c r="M8" s="57"/>
      <c r="N8" s="57"/>
      <c r="O8" s="57"/>
      <c r="P8" s="57"/>
      <c r="Q8" s="57"/>
      <c r="R8" s="57"/>
      <c r="S8" s="57"/>
      <c r="T8" s="57"/>
      <c r="U8" s="57"/>
      <c r="V8" s="57"/>
      <c r="W8" s="57"/>
      <c r="X8" s="57"/>
      <c r="Y8" s="57"/>
      <c r="Z8" s="57"/>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row>
    <row r="9" spans="1:52" x14ac:dyDescent="0.25">
      <c r="A9" s="57"/>
      <c r="B9" s="57"/>
      <c r="C9" s="57"/>
      <c r="D9" s="57"/>
      <c r="E9" s="57"/>
      <c r="F9" s="57"/>
      <c r="G9" s="57"/>
      <c r="H9" s="57"/>
      <c r="I9" s="57"/>
      <c r="J9" s="57"/>
      <c r="K9" s="57"/>
      <c r="L9" s="57"/>
      <c r="M9" s="57"/>
      <c r="N9" s="57"/>
      <c r="O9" s="57"/>
      <c r="P9" s="57"/>
      <c r="Q9" s="57"/>
      <c r="R9" s="57"/>
      <c r="S9" s="57"/>
      <c r="T9" s="57"/>
      <c r="U9" s="57"/>
      <c r="V9" s="57"/>
      <c r="W9" s="57"/>
      <c r="X9" s="57"/>
      <c r="Y9" s="57"/>
      <c r="Z9" s="57"/>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row>
    <row r="10" spans="1:52" x14ac:dyDescent="0.25">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row>
    <row r="11" spans="1:52" x14ac:dyDescent="0.25">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row>
    <row r="12" spans="1:52" x14ac:dyDescent="0.25">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row>
    <row r="13" spans="1:52" x14ac:dyDescent="0.25">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row>
    <row r="14" spans="1:52" x14ac:dyDescent="0.25">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row>
    <row r="15" spans="1:52" x14ac:dyDescent="0.2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row>
    <row r="16" spans="1:52" x14ac:dyDescent="0.25">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row>
    <row r="17" spans="1:52" x14ac:dyDescent="0.25">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row>
    <row r="18" spans="1:52" x14ac:dyDescent="0.25">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row>
    <row r="19" spans="1:52" x14ac:dyDescent="0.25">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row>
    <row r="20" spans="1:52" x14ac:dyDescent="0.25">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row>
    <row r="21" spans="1:52" x14ac:dyDescent="0.25">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row>
    <row r="22" spans="1:52" x14ac:dyDescent="0.25">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row>
    <row r="23" spans="1:52" x14ac:dyDescent="0.25">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row>
    <row r="24" spans="1:52" x14ac:dyDescent="0.25">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row>
    <row r="25" spans="1:52" x14ac:dyDescent="0.25">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row>
    <row r="26" spans="1:52" x14ac:dyDescent="0.25">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row>
    <row r="27" spans="1:52" x14ac:dyDescent="0.25">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row>
    <row r="28" spans="1:52" x14ac:dyDescent="0.25">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row>
    <row r="29" spans="1:52" x14ac:dyDescent="0.25">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row>
    <row r="30" spans="1:52" x14ac:dyDescent="0.25">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row>
    <row r="31" spans="1:52" x14ac:dyDescent="0.25">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row>
    <row r="32" spans="1:52" x14ac:dyDescent="0.25">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row>
    <row r="33" spans="1:52" x14ac:dyDescent="0.25">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row>
    <row r="34" spans="1:52" x14ac:dyDescent="0.25">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row>
    <row r="35" spans="1:52" x14ac:dyDescent="0.2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row>
    <row r="36" spans="1:52" x14ac:dyDescent="0.25">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row>
    <row r="37" spans="1:52" x14ac:dyDescent="0.25">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row>
    <row r="38" spans="1:52" x14ac:dyDescent="0.25">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row>
    <row r="39" spans="1:52" x14ac:dyDescent="0.25">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row>
    <row r="40" spans="1:52" x14ac:dyDescent="0.25">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row>
    <row r="41" spans="1:52" x14ac:dyDescent="0.25">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row>
    <row r="42" spans="1:52" x14ac:dyDescent="0.25">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row>
    <row r="43" spans="1:52" x14ac:dyDescent="0.25">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row>
    <row r="44" spans="1:52" x14ac:dyDescent="0.25">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row>
    <row r="45" spans="1:52" x14ac:dyDescent="0.2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row>
    <row r="46" spans="1:52" x14ac:dyDescent="0.25">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row>
    <row r="47" spans="1:52" x14ac:dyDescent="0.25">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row>
    <row r="48" spans="1:52" x14ac:dyDescent="0.25">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row>
    <row r="49" spans="1:52" x14ac:dyDescent="0.25">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row>
    <row r="50" spans="1:52" x14ac:dyDescent="0.25">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row>
    <row r="51" spans="1:52" x14ac:dyDescent="0.25">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row>
    <row r="52" spans="1:52" x14ac:dyDescent="0.25">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row>
    <row r="53" spans="1:52" x14ac:dyDescent="0.25">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row>
    <row r="54" spans="1:52" x14ac:dyDescent="0.25">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row>
    <row r="55" spans="1:52" x14ac:dyDescent="0.2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row>
    <row r="56" spans="1:52" x14ac:dyDescent="0.25">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row>
    <row r="57" spans="1:52" x14ac:dyDescent="0.25">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row>
    <row r="58" spans="1:52" x14ac:dyDescent="0.25">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row>
    <row r="59" spans="1:52" x14ac:dyDescent="0.25">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row>
    <row r="60" spans="1:52" x14ac:dyDescent="0.25">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row>
    <row r="61" spans="1:52" x14ac:dyDescent="0.25">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row>
    <row r="62" spans="1:52" x14ac:dyDescent="0.25">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row>
    <row r="63" spans="1:52" x14ac:dyDescent="0.25">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row>
    <row r="64" spans="1:52" x14ac:dyDescent="0.25">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row>
    <row r="65" spans="1:52" x14ac:dyDescent="0.2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row>
    <row r="66" spans="1:52" x14ac:dyDescent="0.25">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row>
    <row r="67" spans="1:52" x14ac:dyDescent="0.25">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row>
    <row r="68" spans="1:52" x14ac:dyDescent="0.25">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row>
    <row r="69" spans="1:52" x14ac:dyDescent="0.25">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row>
    <row r="70" spans="1:52" x14ac:dyDescent="0.25">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row>
    <row r="71" spans="1:52" x14ac:dyDescent="0.25">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row>
    <row r="72" spans="1:52" x14ac:dyDescent="0.25">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row>
    <row r="73" spans="1:52" x14ac:dyDescent="0.25">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row>
    <row r="74" spans="1:52" x14ac:dyDescent="0.25">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row>
    <row r="75" spans="1:52" x14ac:dyDescent="0.2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row>
    <row r="76" spans="1:52" x14ac:dyDescent="0.25">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row>
    <row r="77" spans="1:52" x14ac:dyDescent="0.25">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row>
    <row r="78" spans="1:52" x14ac:dyDescent="0.25">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row>
    <row r="79" spans="1:52" x14ac:dyDescent="0.25">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row>
    <row r="80" spans="1:52" x14ac:dyDescent="0.25">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row>
    <row r="81" spans="1:52" x14ac:dyDescent="0.25">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row>
    <row r="82" spans="1:52" x14ac:dyDescent="0.25">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row>
    <row r="83" spans="1:52" x14ac:dyDescent="0.25">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row>
    <row r="84" spans="1:52" x14ac:dyDescent="0.25">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row>
    <row r="85" spans="1:52" x14ac:dyDescent="0.2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row>
    <row r="86" spans="1:52" x14ac:dyDescent="0.25">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row>
    <row r="87" spans="1:52" x14ac:dyDescent="0.25">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row>
    <row r="88" spans="1:52" x14ac:dyDescent="0.25">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row>
    <row r="89" spans="1:52" x14ac:dyDescent="0.25">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row>
    <row r="90" spans="1:52" x14ac:dyDescent="0.25">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row>
    <row r="91" spans="1:52" x14ac:dyDescent="0.25">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row>
    <row r="92" spans="1:52" x14ac:dyDescent="0.25">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row>
    <row r="93" spans="1:52" x14ac:dyDescent="0.25">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row>
    <row r="94" spans="1:52" x14ac:dyDescent="0.25">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row>
    <row r="95" spans="1:52" x14ac:dyDescent="0.2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row>
    <row r="96" spans="1:52" x14ac:dyDescent="0.25">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row>
    <row r="97" spans="1:52" x14ac:dyDescent="0.25">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row>
    <row r="98" spans="1:52" x14ac:dyDescent="0.25">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row>
    <row r="99" spans="1:52" x14ac:dyDescent="0.25">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row>
    <row r="100" spans="1:52" x14ac:dyDescent="0.25">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row>
  </sheetData>
  <sheetProtection password="CA97" sheet="1" objects="1" scenarios="1"/>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1"/>
  </sheetPr>
  <dimension ref="A1:AZ617"/>
  <sheetViews>
    <sheetView workbookViewId="0">
      <selection activeCell="C4" sqref="C4:E4"/>
    </sheetView>
  </sheetViews>
  <sheetFormatPr defaultRowHeight="15" x14ac:dyDescent="0.25"/>
  <cols>
    <col min="2" max="3" width="8.7109375" customWidth="1"/>
    <col min="4" max="4" width="14.7109375" customWidth="1"/>
    <col min="5" max="5" width="16.7109375" customWidth="1"/>
    <col min="6" max="7" width="6.7109375" customWidth="1"/>
    <col min="8" max="8" width="3.7109375" customWidth="1"/>
    <col min="9" max="9" width="16.7109375" customWidth="1"/>
    <col min="10" max="11" width="6.7109375" customWidth="1"/>
    <col min="12" max="12" width="9.140625" style="17" customWidth="1"/>
    <col min="13" max="14" width="20.7109375" customWidth="1"/>
    <col min="15" max="15" width="14.7109375" customWidth="1"/>
  </cols>
  <sheetData>
    <row r="1" spans="1:52" s="24" customFormat="1" ht="19.5" x14ac:dyDescent="0.3">
      <c r="A1" s="58"/>
      <c r="B1" s="58"/>
      <c r="C1" s="58"/>
      <c r="D1" s="58"/>
      <c r="E1" s="58"/>
      <c r="F1" s="58"/>
      <c r="G1" s="58"/>
      <c r="H1" s="58"/>
      <c r="I1" s="58"/>
      <c r="J1" s="58"/>
      <c r="K1" s="58"/>
      <c r="L1" s="59"/>
      <c r="M1" s="57"/>
      <c r="N1" s="57"/>
      <c r="O1" s="57"/>
      <c r="P1" s="57"/>
      <c r="Q1" s="58"/>
      <c r="R1" s="58"/>
      <c r="S1" s="58"/>
      <c r="T1" s="58"/>
      <c r="U1" s="58"/>
      <c r="V1" s="58"/>
      <c r="W1" s="58"/>
      <c r="X1" s="58"/>
      <c r="Y1" s="58"/>
      <c r="Z1" s="58"/>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row>
    <row r="2" spans="1:52" ht="18.75" x14ac:dyDescent="0.3">
      <c r="A2" s="60"/>
      <c r="B2" s="87" t="s">
        <v>307</v>
      </c>
      <c r="C2" s="87"/>
      <c r="D2" s="87"/>
      <c r="E2" s="87"/>
      <c r="F2" s="87"/>
      <c r="G2" s="87"/>
      <c r="H2" s="87"/>
      <c r="I2" s="87"/>
      <c r="J2" s="87"/>
      <c r="K2" s="87"/>
      <c r="L2" s="60"/>
      <c r="M2" s="85"/>
      <c r="N2" s="85"/>
      <c r="O2" s="57"/>
      <c r="P2" s="57"/>
      <c r="Q2" s="62"/>
      <c r="R2" s="62"/>
      <c r="S2" s="62"/>
      <c r="T2" s="62"/>
      <c r="U2" s="62"/>
      <c r="V2" s="62"/>
      <c r="W2" s="62"/>
      <c r="X2" s="62"/>
      <c r="Y2" s="62"/>
      <c r="Z2" s="62"/>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row>
    <row r="3" spans="1:52" s="12" customFormat="1" ht="20.100000000000001" customHeight="1" x14ac:dyDescent="0.25">
      <c r="A3" s="61"/>
      <c r="B3" s="88" t="s">
        <v>401</v>
      </c>
      <c r="C3" s="88"/>
      <c r="D3" s="88"/>
      <c r="E3" s="88"/>
      <c r="F3" s="88"/>
      <c r="G3" s="88"/>
      <c r="H3" s="88"/>
      <c r="I3" s="88"/>
      <c r="J3" s="88"/>
      <c r="K3" s="88"/>
      <c r="L3" s="61"/>
      <c r="M3" s="57"/>
      <c r="N3" s="57"/>
      <c r="O3" s="57"/>
      <c r="P3" s="57"/>
      <c r="Q3" s="64"/>
      <c r="R3" s="64"/>
      <c r="S3" s="64"/>
      <c r="T3" s="64"/>
      <c r="U3" s="64"/>
      <c r="V3" s="64"/>
      <c r="W3" s="64"/>
      <c r="X3" s="64"/>
      <c r="Y3" s="64"/>
      <c r="Z3" s="64"/>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row>
    <row r="4" spans="1:52" x14ac:dyDescent="0.25">
      <c r="A4" s="60"/>
      <c r="B4" s="22" t="s">
        <v>0</v>
      </c>
      <c r="C4" s="89"/>
      <c r="D4" s="89"/>
      <c r="E4" s="89"/>
      <c r="F4" s="15"/>
      <c r="G4" s="15" t="s">
        <v>1</v>
      </c>
      <c r="H4" s="9"/>
      <c r="I4" s="96"/>
      <c r="J4" s="97"/>
      <c r="K4" s="15"/>
      <c r="L4" s="60"/>
      <c r="M4" s="57"/>
      <c r="N4" s="57"/>
      <c r="O4" s="57"/>
      <c r="P4" s="57"/>
      <c r="Q4" s="62"/>
      <c r="R4" s="62"/>
      <c r="S4" s="62"/>
      <c r="T4" s="62"/>
      <c r="U4" s="62"/>
      <c r="V4" s="62"/>
      <c r="W4" s="62"/>
      <c r="X4" s="62"/>
      <c r="Y4" s="62"/>
      <c r="Z4" s="62"/>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row>
    <row r="5" spans="1:52" x14ac:dyDescent="0.25">
      <c r="A5" s="60"/>
      <c r="B5" s="15" t="s">
        <v>2</v>
      </c>
      <c r="C5" s="92"/>
      <c r="D5" s="93"/>
      <c r="E5" s="52"/>
      <c r="F5" s="15"/>
      <c r="G5" s="31"/>
      <c r="H5" s="9"/>
      <c r="I5" s="98"/>
      <c r="J5" s="98"/>
      <c r="K5" s="15"/>
      <c r="L5" s="60"/>
      <c r="M5" s="57"/>
      <c r="N5" s="57"/>
      <c r="O5" s="57"/>
      <c r="P5" s="57"/>
      <c r="Q5" s="62"/>
      <c r="R5" s="62"/>
      <c r="S5" s="62"/>
      <c r="T5" s="62"/>
      <c r="U5" s="62"/>
      <c r="V5" s="62"/>
      <c r="W5" s="62"/>
      <c r="X5" s="62"/>
      <c r="Y5" s="62"/>
      <c r="Z5" s="62"/>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row>
    <row r="6" spans="1:52" x14ac:dyDescent="0.25">
      <c r="A6" s="60"/>
      <c r="B6" s="90"/>
      <c r="C6" s="90"/>
      <c r="D6" s="90"/>
      <c r="E6" s="90"/>
      <c r="F6" s="90"/>
      <c r="G6" s="90"/>
      <c r="H6" s="90"/>
      <c r="I6" s="90"/>
      <c r="J6" s="90"/>
      <c r="K6" s="90"/>
      <c r="L6" s="60"/>
      <c r="M6" s="57"/>
      <c r="N6" s="57"/>
      <c r="O6" s="57"/>
      <c r="P6" s="57"/>
      <c r="Q6" s="62"/>
      <c r="R6" s="62"/>
      <c r="S6" s="62"/>
      <c r="T6" s="62"/>
      <c r="U6" s="62"/>
      <c r="V6" s="62"/>
      <c r="W6" s="62"/>
      <c r="X6" s="62"/>
      <c r="Y6" s="62"/>
      <c r="Z6" s="62"/>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row>
    <row r="7" spans="1:52" x14ac:dyDescent="0.25">
      <c r="A7" s="60"/>
      <c r="B7" s="91" t="s">
        <v>320</v>
      </c>
      <c r="C7" s="91"/>
      <c r="D7" s="91"/>
      <c r="E7" s="91"/>
      <c r="F7" s="91"/>
      <c r="G7" s="91"/>
      <c r="H7" s="91"/>
      <c r="I7" s="18" t="s">
        <v>3</v>
      </c>
      <c r="J7" s="2">
        <f>SUM(J9:J17,F13,F9)</f>
        <v>0</v>
      </c>
      <c r="K7" s="18" t="s">
        <v>4</v>
      </c>
      <c r="L7" s="60"/>
      <c r="M7" s="57"/>
      <c r="N7" s="57"/>
      <c r="O7" s="57"/>
      <c r="P7" s="57"/>
      <c r="Q7" s="62"/>
      <c r="R7" s="62"/>
      <c r="S7" s="62"/>
      <c r="T7" s="62"/>
      <c r="U7" s="62"/>
      <c r="V7" s="62"/>
      <c r="W7" s="62"/>
      <c r="X7" s="62"/>
      <c r="Y7" s="62"/>
      <c r="Z7" s="62"/>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row>
    <row r="8" spans="1:52" x14ac:dyDescent="0.25">
      <c r="A8" s="60"/>
      <c r="B8" s="32"/>
      <c r="C8" s="15"/>
      <c r="D8" s="15"/>
      <c r="E8" s="11" t="s">
        <v>5</v>
      </c>
      <c r="F8" s="11" t="s">
        <v>6</v>
      </c>
      <c r="G8" s="11" t="s">
        <v>7</v>
      </c>
      <c r="H8" s="15"/>
      <c r="I8" s="11" t="s">
        <v>5</v>
      </c>
      <c r="J8" s="11" t="s">
        <v>6</v>
      </c>
      <c r="K8" s="11" t="s">
        <v>7</v>
      </c>
      <c r="L8" s="60"/>
      <c r="M8" s="57"/>
      <c r="N8" s="57"/>
      <c r="O8" s="57"/>
      <c r="P8" s="57"/>
      <c r="Q8" s="62"/>
      <c r="R8" s="62"/>
      <c r="S8" s="62"/>
      <c r="T8" s="62"/>
      <c r="U8" s="62"/>
      <c r="V8" s="62"/>
      <c r="W8" s="62"/>
      <c r="X8" s="62"/>
      <c r="Y8" s="62"/>
      <c r="Z8" s="62"/>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row>
    <row r="9" spans="1:52" x14ac:dyDescent="0.25">
      <c r="A9" s="60"/>
      <c r="B9" s="86" t="s">
        <v>328</v>
      </c>
      <c r="C9" s="86"/>
      <c r="D9" s="86"/>
      <c r="E9" s="65"/>
      <c r="F9" s="33"/>
      <c r="G9" s="50"/>
      <c r="H9" s="29"/>
      <c r="I9" s="20"/>
      <c r="J9" s="33"/>
      <c r="K9" s="33"/>
      <c r="L9" s="60"/>
      <c r="M9" s="85"/>
      <c r="N9" s="57"/>
      <c r="O9" s="57"/>
      <c r="P9" s="57"/>
      <c r="Q9" s="62"/>
      <c r="R9" s="62"/>
      <c r="S9" s="62"/>
      <c r="T9" s="62"/>
      <c r="U9" s="62"/>
      <c r="V9" s="62"/>
      <c r="W9" s="62"/>
      <c r="X9" s="62"/>
      <c r="Y9" s="62"/>
      <c r="Z9" s="62"/>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row>
    <row r="10" spans="1:52" x14ac:dyDescent="0.25">
      <c r="A10" s="60"/>
      <c r="B10" s="86" t="s">
        <v>329</v>
      </c>
      <c r="C10" s="86"/>
      <c r="D10" s="86"/>
      <c r="E10" s="9"/>
      <c r="F10" s="9"/>
      <c r="G10" s="9"/>
      <c r="H10" s="29"/>
      <c r="I10" s="20"/>
      <c r="J10" s="53"/>
      <c r="K10" s="53"/>
      <c r="L10" s="60"/>
      <c r="M10" s="85"/>
      <c r="N10" s="57"/>
      <c r="O10" s="57"/>
      <c r="P10" s="57"/>
      <c r="Q10" s="62"/>
      <c r="R10" s="62"/>
      <c r="S10" s="62"/>
      <c r="T10" s="62"/>
      <c r="U10" s="62"/>
      <c r="V10" s="62"/>
      <c r="W10" s="62"/>
      <c r="X10" s="62"/>
      <c r="Y10" s="62"/>
      <c r="Z10" s="62"/>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row>
    <row r="11" spans="1:52" x14ac:dyDescent="0.25">
      <c r="A11" s="60"/>
      <c r="B11" s="86" t="s">
        <v>330</v>
      </c>
      <c r="C11" s="86"/>
      <c r="D11" s="86"/>
      <c r="E11" s="9"/>
      <c r="F11" s="9"/>
      <c r="G11" s="9"/>
      <c r="H11" s="29"/>
      <c r="I11" s="20"/>
      <c r="J11" s="53"/>
      <c r="K11" s="53"/>
      <c r="L11" s="60"/>
      <c r="M11" s="85"/>
      <c r="N11" s="57"/>
      <c r="O11" s="57"/>
      <c r="P11" s="57"/>
      <c r="Q11" s="62"/>
      <c r="R11" s="62"/>
      <c r="S11" s="62"/>
      <c r="T11" s="62"/>
      <c r="U11" s="62"/>
      <c r="V11" s="62"/>
      <c r="W11" s="62"/>
      <c r="X11" s="62"/>
      <c r="Y11" s="62"/>
      <c r="Z11" s="62"/>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row>
    <row r="12" spans="1:52" x14ac:dyDescent="0.25">
      <c r="A12" s="60"/>
      <c r="B12" s="86" t="s">
        <v>331</v>
      </c>
      <c r="C12" s="86"/>
      <c r="D12" s="86"/>
      <c r="E12" s="9"/>
      <c r="F12" s="9"/>
      <c r="G12" s="9"/>
      <c r="H12" s="29"/>
      <c r="I12" s="20"/>
      <c r="J12" s="53"/>
      <c r="K12" s="53"/>
      <c r="L12" s="60"/>
      <c r="M12" s="57"/>
      <c r="N12" s="57"/>
      <c r="O12" s="57"/>
      <c r="P12" s="57"/>
      <c r="Q12" s="62"/>
      <c r="R12" s="62"/>
      <c r="S12" s="62"/>
      <c r="T12" s="62"/>
      <c r="U12" s="62"/>
      <c r="V12" s="62"/>
      <c r="W12" s="62"/>
      <c r="X12" s="62"/>
      <c r="Y12" s="62"/>
      <c r="Z12" s="62"/>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row>
    <row r="13" spans="1:52" x14ac:dyDescent="0.25">
      <c r="A13" s="60"/>
      <c r="B13" s="86" t="s">
        <v>322</v>
      </c>
      <c r="C13" s="86"/>
      <c r="D13" s="86"/>
      <c r="E13" s="54"/>
      <c r="F13" s="53"/>
      <c r="G13" s="53"/>
      <c r="H13" s="29"/>
      <c r="I13" s="20"/>
      <c r="J13" s="33"/>
      <c r="K13" s="33"/>
      <c r="L13" s="60"/>
      <c r="M13" s="57"/>
      <c r="N13" s="57"/>
      <c r="O13" s="57"/>
      <c r="P13" s="57"/>
      <c r="Q13" s="62"/>
      <c r="R13" s="62"/>
      <c r="S13" s="62"/>
      <c r="T13" s="62"/>
      <c r="U13" s="62"/>
      <c r="V13" s="62"/>
      <c r="W13" s="62"/>
      <c r="X13" s="62"/>
      <c r="Y13" s="62"/>
      <c r="Z13" s="62"/>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row>
    <row r="14" spans="1:52" x14ac:dyDescent="0.25">
      <c r="A14" s="60"/>
      <c r="B14" s="30"/>
      <c r="C14" s="30"/>
      <c r="D14" s="30"/>
      <c r="E14" s="9"/>
      <c r="F14" s="9"/>
      <c r="G14" s="9"/>
      <c r="H14" s="29"/>
      <c r="I14" s="20"/>
      <c r="J14" s="33"/>
      <c r="K14" s="33"/>
      <c r="L14" s="60"/>
      <c r="M14" s="57"/>
      <c r="N14" s="57"/>
      <c r="O14" s="57"/>
      <c r="P14" s="57"/>
      <c r="Q14" s="62"/>
      <c r="R14" s="62"/>
      <c r="S14" s="62"/>
      <c r="T14" s="62"/>
      <c r="U14" s="62"/>
      <c r="V14" s="62"/>
      <c r="W14" s="62"/>
      <c r="X14" s="62"/>
      <c r="Y14" s="62"/>
      <c r="Z14" s="62"/>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row>
    <row r="15" spans="1:52" x14ac:dyDescent="0.25">
      <c r="A15" s="60"/>
      <c r="B15" s="86" t="s">
        <v>323</v>
      </c>
      <c r="C15" s="86"/>
      <c r="D15" s="86"/>
      <c r="E15" s="9"/>
      <c r="F15" s="9"/>
      <c r="G15" s="9"/>
      <c r="H15" s="29"/>
      <c r="I15" s="20"/>
      <c r="J15" s="33"/>
      <c r="K15" s="33"/>
      <c r="L15" s="60"/>
      <c r="M15" s="57"/>
      <c r="N15" s="57"/>
      <c r="O15" s="57"/>
      <c r="P15" s="57"/>
      <c r="Q15" s="62"/>
      <c r="R15" s="62"/>
      <c r="S15" s="62"/>
      <c r="T15" s="62"/>
      <c r="U15" s="62"/>
      <c r="V15" s="62"/>
      <c r="W15" s="62"/>
      <c r="X15" s="62"/>
      <c r="Y15" s="62"/>
      <c r="Z15" s="62"/>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row>
    <row r="16" spans="1:52" x14ac:dyDescent="0.25">
      <c r="A16" s="60"/>
      <c r="B16" s="86" t="s">
        <v>324</v>
      </c>
      <c r="C16" s="86"/>
      <c r="D16" s="86"/>
      <c r="E16" s="9"/>
      <c r="F16" s="9"/>
      <c r="G16" s="9"/>
      <c r="H16" s="29"/>
      <c r="I16" s="20"/>
      <c r="J16" s="33"/>
      <c r="K16" s="33"/>
      <c r="L16" s="60"/>
      <c r="M16" s="57"/>
      <c r="N16" s="57"/>
      <c r="O16" s="57"/>
      <c r="P16" s="57"/>
      <c r="Q16" s="62"/>
      <c r="R16" s="62"/>
      <c r="S16" s="62"/>
      <c r="T16" s="62"/>
      <c r="U16" s="62"/>
      <c r="V16" s="62"/>
      <c r="W16" s="62"/>
      <c r="X16" s="62"/>
      <c r="Y16" s="62"/>
      <c r="Z16" s="62"/>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row>
    <row r="17" spans="1:52" x14ac:dyDescent="0.25">
      <c r="A17" s="60"/>
      <c r="B17" s="21" t="s">
        <v>327</v>
      </c>
      <c r="C17" s="29"/>
      <c r="D17" s="29"/>
      <c r="E17" s="29"/>
      <c r="F17" s="29"/>
      <c r="G17" s="29"/>
      <c r="H17" s="29"/>
      <c r="I17" s="20"/>
      <c r="J17" s="33"/>
      <c r="K17" s="33"/>
      <c r="L17" s="60"/>
      <c r="M17" s="57"/>
      <c r="N17" s="57"/>
      <c r="O17" s="57"/>
      <c r="P17" s="57"/>
      <c r="Q17" s="62"/>
      <c r="R17" s="62"/>
      <c r="S17" s="62"/>
      <c r="T17" s="62"/>
      <c r="U17" s="62"/>
      <c r="V17" s="62"/>
      <c r="W17" s="62"/>
      <c r="X17" s="62"/>
      <c r="Y17" s="62"/>
      <c r="Z17" s="62"/>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row>
    <row r="18" spans="1:52" x14ac:dyDescent="0.25">
      <c r="A18" s="60"/>
      <c r="B18" s="21"/>
      <c r="C18" s="29"/>
      <c r="D18" s="29"/>
      <c r="E18" s="29"/>
      <c r="F18" s="29"/>
      <c r="G18" s="29"/>
      <c r="H18" s="29"/>
      <c r="I18" s="9"/>
      <c r="J18" s="9"/>
      <c r="K18" s="9"/>
      <c r="L18" s="60"/>
      <c r="M18" s="57"/>
      <c r="N18" s="57"/>
      <c r="O18" s="57"/>
      <c r="P18" s="57"/>
      <c r="Q18" s="62"/>
      <c r="R18" s="62"/>
      <c r="S18" s="62"/>
      <c r="T18" s="62"/>
      <c r="U18" s="62"/>
      <c r="V18" s="62"/>
      <c r="W18" s="62"/>
      <c r="X18" s="62"/>
      <c r="Y18" s="62"/>
      <c r="Z18" s="62"/>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row>
    <row r="19" spans="1:52" x14ac:dyDescent="0.25">
      <c r="A19" s="60"/>
      <c r="B19" s="99" t="s">
        <v>321</v>
      </c>
      <c r="C19" s="99"/>
      <c r="D19" s="99"/>
      <c r="E19" s="99"/>
      <c r="F19" s="99"/>
      <c r="G19" s="99"/>
      <c r="H19" s="99"/>
      <c r="I19" s="13" t="s">
        <v>3</v>
      </c>
      <c r="J19" s="2">
        <f>SUM(J21:J24)</f>
        <v>0</v>
      </c>
      <c r="K19" s="13" t="s">
        <v>10</v>
      </c>
      <c r="L19" s="60"/>
      <c r="M19" s="57"/>
      <c r="N19" s="57"/>
      <c r="O19" s="57"/>
      <c r="P19" s="57"/>
      <c r="Q19" s="62"/>
      <c r="R19" s="62"/>
      <c r="S19" s="62"/>
      <c r="T19" s="62"/>
      <c r="U19" s="62"/>
      <c r="V19" s="62"/>
      <c r="W19" s="62"/>
      <c r="X19" s="62"/>
      <c r="Y19" s="62"/>
      <c r="Z19" s="62"/>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row>
    <row r="20" spans="1:52" x14ac:dyDescent="0.25">
      <c r="A20" s="60"/>
      <c r="B20" s="15"/>
      <c r="C20" s="15"/>
      <c r="D20" s="15"/>
      <c r="E20" s="11"/>
      <c r="F20" s="11"/>
      <c r="G20" s="11"/>
      <c r="H20" s="15"/>
      <c r="I20" s="11" t="s">
        <v>5</v>
      </c>
      <c r="J20" s="11" t="s">
        <v>6</v>
      </c>
      <c r="K20" s="11" t="s">
        <v>7</v>
      </c>
      <c r="L20" s="60"/>
      <c r="M20" s="57"/>
      <c r="N20" s="57"/>
      <c r="O20" s="57"/>
      <c r="P20" s="57"/>
      <c r="Q20" s="62"/>
      <c r="R20" s="62"/>
      <c r="S20" s="62"/>
      <c r="T20" s="62"/>
      <c r="U20" s="62"/>
      <c r="V20" s="62"/>
      <c r="W20" s="62"/>
      <c r="X20" s="62"/>
      <c r="Y20" s="62"/>
      <c r="Z20" s="62"/>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row>
    <row r="21" spans="1:52" x14ac:dyDescent="0.25">
      <c r="A21" s="60"/>
      <c r="B21" s="15" t="s">
        <v>333</v>
      </c>
      <c r="C21" s="15"/>
      <c r="D21" s="15"/>
      <c r="E21" s="15"/>
      <c r="F21" s="15"/>
      <c r="G21" s="15"/>
      <c r="H21" s="14"/>
      <c r="I21" s="20"/>
      <c r="J21" s="33"/>
      <c r="K21" s="33"/>
      <c r="L21" s="60"/>
      <c r="M21" s="57"/>
      <c r="N21" s="57"/>
      <c r="O21" s="57"/>
      <c r="P21" s="57"/>
      <c r="Q21" s="62"/>
      <c r="R21" s="62"/>
      <c r="S21" s="62"/>
      <c r="T21" s="62"/>
      <c r="U21" s="62"/>
      <c r="V21" s="62"/>
      <c r="W21" s="62"/>
      <c r="X21" s="62"/>
      <c r="Y21" s="62"/>
      <c r="Z21" s="62"/>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row>
    <row r="22" spans="1:52" x14ac:dyDescent="0.25">
      <c r="A22" s="60"/>
      <c r="B22" s="15"/>
      <c r="C22" s="15"/>
      <c r="D22" s="15"/>
      <c r="E22" s="15"/>
      <c r="F22" s="15"/>
      <c r="G22" s="15"/>
      <c r="H22" s="14"/>
      <c r="I22" s="20"/>
      <c r="J22" s="33"/>
      <c r="K22" s="33"/>
      <c r="L22" s="60"/>
      <c r="M22" s="57"/>
      <c r="N22" s="57"/>
      <c r="O22" s="57"/>
      <c r="P22" s="57"/>
      <c r="Q22" s="62"/>
      <c r="R22" s="62"/>
      <c r="S22" s="62"/>
      <c r="T22" s="62"/>
      <c r="U22" s="62"/>
      <c r="V22" s="62"/>
      <c r="W22" s="62"/>
      <c r="X22" s="62"/>
      <c r="Y22" s="62"/>
      <c r="Z22" s="62"/>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row>
    <row r="23" spans="1:52" x14ac:dyDescent="0.25">
      <c r="A23" s="60"/>
      <c r="B23" s="15" t="s">
        <v>397</v>
      </c>
      <c r="C23" s="15"/>
      <c r="D23" s="15"/>
      <c r="E23" s="15"/>
      <c r="F23" s="15"/>
      <c r="G23" s="15"/>
      <c r="H23" s="14"/>
      <c r="I23" s="20"/>
      <c r="J23" s="33"/>
      <c r="K23" s="33"/>
      <c r="L23" s="60"/>
      <c r="M23" s="57"/>
      <c r="N23" s="57"/>
      <c r="O23" s="57"/>
      <c r="P23" s="57"/>
      <c r="Q23" s="62"/>
      <c r="R23" s="62"/>
      <c r="S23" s="62"/>
      <c r="T23" s="62"/>
      <c r="U23" s="62"/>
      <c r="V23" s="62"/>
      <c r="W23" s="62"/>
      <c r="X23" s="62"/>
      <c r="Y23" s="62"/>
      <c r="Z23" s="62"/>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row>
    <row r="24" spans="1:52" x14ac:dyDescent="0.25">
      <c r="A24" s="60"/>
      <c r="B24" s="15"/>
      <c r="C24" s="15"/>
      <c r="D24" s="15"/>
      <c r="E24" s="15"/>
      <c r="F24" s="15"/>
      <c r="G24" s="15"/>
      <c r="H24" s="14"/>
      <c r="I24" s="20"/>
      <c r="J24" s="33"/>
      <c r="K24" s="33"/>
      <c r="L24" s="60"/>
      <c r="M24" s="57"/>
      <c r="N24" s="57"/>
      <c r="O24" s="57"/>
      <c r="P24" s="57"/>
      <c r="Q24" s="62"/>
      <c r="R24" s="62"/>
      <c r="S24" s="62"/>
      <c r="T24" s="62"/>
      <c r="U24" s="62"/>
      <c r="V24" s="62"/>
      <c r="W24" s="62"/>
      <c r="X24" s="62"/>
      <c r="Y24" s="62"/>
      <c r="Z24" s="62"/>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row>
    <row r="25" spans="1:52" x14ac:dyDescent="0.25">
      <c r="A25" s="60"/>
      <c r="B25" s="15"/>
      <c r="C25" s="15"/>
      <c r="D25" s="15"/>
      <c r="E25" s="15"/>
      <c r="F25" s="15"/>
      <c r="G25" s="15"/>
      <c r="H25" s="15"/>
      <c r="I25" s="15"/>
      <c r="J25" s="15"/>
      <c r="K25" s="15"/>
      <c r="L25" s="60"/>
      <c r="M25" s="57"/>
      <c r="N25" s="57"/>
      <c r="O25" s="57"/>
      <c r="P25" s="57"/>
      <c r="Q25" s="62"/>
      <c r="R25" s="62"/>
      <c r="S25" s="62"/>
      <c r="T25" s="62"/>
      <c r="U25" s="62"/>
      <c r="V25" s="62"/>
      <c r="W25" s="62"/>
      <c r="X25" s="62"/>
      <c r="Y25" s="62"/>
      <c r="Z25" s="62"/>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row>
    <row r="26" spans="1:52" x14ac:dyDescent="0.25">
      <c r="A26" s="60"/>
      <c r="B26" s="99" t="s">
        <v>9</v>
      </c>
      <c r="C26" s="99"/>
      <c r="D26" s="99"/>
      <c r="E26" s="99"/>
      <c r="F26" s="99"/>
      <c r="G26" s="99"/>
      <c r="H26" s="99"/>
      <c r="I26" s="13" t="s">
        <v>3</v>
      </c>
      <c r="J26" s="2">
        <f>SUM(F28:F31,J28,J29,J31,J30)</f>
        <v>0</v>
      </c>
      <c r="K26" s="13" t="s">
        <v>8</v>
      </c>
      <c r="L26" s="60"/>
      <c r="M26" s="57"/>
      <c r="N26" s="57"/>
      <c r="O26" s="57"/>
      <c r="P26" s="57"/>
      <c r="Q26" s="62"/>
      <c r="R26" s="62"/>
      <c r="S26" s="62"/>
      <c r="T26" s="62"/>
      <c r="U26" s="62"/>
      <c r="V26" s="62"/>
      <c r="W26" s="62"/>
      <c r="X26" s="62"/>
      <c r="Y26" s="62"/>
      <c r="Z26" s="62"/>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row>
    <row r="27" spans="1:52" x14ac:dyDescent="0.25">
      <c r="A27" s="60"/>
      <c r="B27" s="15"/>
      <c r="C27" s="15"/>
      <c r="D27" s="15"/>
      <c r="E27" s="11" t="s">
        <v>5</v>
      </c>
      <c r="F27" s="11" t="s">
        <v>6</v>
      </c>
      <c r="G27" s="11" t="s">
        <v>7</v>
      </c>
      <c r="H27" s="22"/>
      <c r="I27" s="11" t="s">
        <v>5</v>
      </c>
      <c r="J27" s="11" t="s">
        <v>6</v>
      </c>
      <c r="K27" s="11" t="s">
        <v>7</v>
      </c>
      <c r="L27" s="60"/>
      <c r="M27" s="57"/>
      <c r="N27" s="57"/>
      <c r="O27" s="57"/>
      <c r="P27" s="57"/>
      <c r="Q27" s="62"/>
      <c r="R27" s="62"/>
      <c r="S27" s="62"/>
      <c r="T27" s="62"/>
      <c r="U27" s="62"/>
      <c r="V27" s="62"/>
      <c r="W27" s="62"/>
      <c r="X27" s="62"/>
      <c r="Y27" s="62"/>
      <c r="Z27" s="62"/>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row>
    <row r="28" spans="1:52" x14ac:dyDescent="0.25">
      <c r="A28" s="60"/>
      <c r="B28" s="15" t="s">
        <v>325</v>
      </c>
      <c r="C28" s="15"/>
      <c r="D28" s="9"/>
      <c r="E28" s="54"/>
      <c r="F28" s="53"/>
      <c r="G28" s="53"/>
      <c r="H28" s="14"/>
      <c r="I28" s="20"/>
      <c r="J28" s="33"/>
      <c r="K28" s="33"/>
      <c r="L28" s="60"/>
      <c r="M28" s="57"/>
      <c r="N28" s="57"/>
      <c r="O28" s="57"/>
      <c r="P28" s="57"/>
      <c r="Q28" s="62"/>
      <c r="R28" s="62"/>
      <c r="S28" s="62"/>
      <c r="T28" s="62"/>
      <c r="U28" s="62"/>
      <c r="V28" s="62"/>
      <c r="W28" s="62"/>
      <c r="X28" s="62"/>
      <c r="Y28" s="62"/>
      <c r="Z28" s="62"/>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row>
    <row r="29" spans="1:52" x14ac:dyDescent="0.25">
      <c r="A29" s="60"/>
      <c r="B29" s="15"/>
      <c r="C29" s="15"/>
      <c r="D29" s="9"/>
      <c r="E29" s="54"/>
      <c r="F29" s="53"/>
      <c r="G29" s="53"/>
      <c r="H29" s="14"/>
      <c r="I29" s="20"/>
      <c r="J29" s="33"/>
      <c r="K29" s="33"/>
      <c r="L29" s="60"/>
      <c r="M29" s="57"/>
      <c r="N29" s="57"/>
      <c r="O29" s="57"/>
      <c r="P29" s="57"/>
      <c r="Q29" s="62"/>
      <c r="R29" s="62"/>
      <c r="S29" s="62"/>
      <c r="T29" s="62"/>
      <c r="U29" s="62"/>
      <c r="V29" s="62"/>
      <c r="W29" s="62"/>
      <c r="X29" s="62"/>
      <c r="Y29" s="62"/>
      <c r="Z29" s="62"/>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row>
    <row r="30" spans="1:52" x14ac:dyDescent="0.25">
      <c r="A30" s="60"/>
      <c r="B30" s="15"/>
      <c r="C30" s="15"/>
      <c r="D30" s="9"/>
      <c r="E30" s="54"/>
      <c r="F30" s="53"/>
      <c r="G30" s="53"/>
      <c r="H30" s="14"/>
      <c r="I30" s="20"/>
      <c r="J30" s="33"/>
      <c r="K30" s="33"/>
      <c r="L30" s="60"/>
      <c r="M30" s="57"/>
      <c r="N30" s="57"/>
      <c r="O30" s="57"/>
      <c r="P30" s="57"/>
      <c r="Q30" s="62"/>
      <c r="R30" s="62"/>
      <c r="S30" s="62"/>
      <c r="T30" s="62"/>
      <c r="U30" s="62"/>
      <c r="V30" s="62"/>
      <c r="W30" s="62"/>
      <c r="X30" s="62"/>
      <c r="Y30" s="62"/>
      <c r="Z30" s="62"/>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row>
    <row r="31" spans="1:52" x14ac:dyDescent="0.25">
      <c r="A31" s="60"/>
      <c r="B31" s="15"/>
      <c r="C31" s="15"/>
      <c r="D31" s="9"/>
      <c r="E31" s="54"/>
      <c r="F31" s="53"/>
      <c r="G31" s="53"/>
      <c r="H31" s="14"/>
      <c r="I31" s="20"/>
      <c r="J31" s="33"/>
      <c r="K31" s="33"/>
      <c r="L31" s="60"/>
      <c r="M31" s="57"/>
      <c r="N31" s="57"/>
      <c r="O31" s="57"/>
      <c r="P31" s="57"/>
      <c r="Q31" s="62"/>
      <c r="R31" s="62"/>
      <c r="S31" s="62"/>
      <c r="T31" s="62"/>
      <c r="U31" s="62"/>
      <c r="V31" s="62"/>
      <c r="W31" s="62"/>
      <c r="X31" s="62"/>
      <c r="Y31" s="62"/>
      <c r="Z31" s="62"/>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row>
    <row r="32" spans="1:52" x14ac:dyDescent="0.25">
      <c r="A32" s="60"/>
      <c r="B32" s="90"/>
      <c r="C32" s="90"/>
      <c r="D32" s="90"/>
      <c r="E32" s="90"/>
      <c r="F32" s="90"/>
      <c r="G32" s="90"/>
      <c r="H32" s="90"/>
      <c r="I32" s="90"/>
      <c r="J32" s="90"/>
      <c r="K32" s="90"/>
      <c r="L32" s="60"/>
      <c r="M32" s="57"/>
      <c r="N32" s="57"/>
      <c r="O32" s="57"/>
      <c r="P32" s="57"/>
      <c r="Q32" s="62"/>
      <c r="R32" s="62"/>
      <c r="S32" s="62"/>
      <c r="T32" s="62"/>
      <c r="U32" s="62"/>
      <c r="V32" s="62"/>
      <c r="W32" s="62"/>
      <c r="X32" s="62"/>
      <c r="Y32" s="62"/>
      <c r="Z32" s="62"/>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row>
    <row r="33" spans="1:52" x14ac:dyDescent="0.25">
      <c r="A33" s="60"/>
      <c r="B33" s="10" t="s">
        <v>340</v>
      </c>
      <c r="C33" s="9"/>
      <c r="D33" s="9"/>
      <c r="E33" s="15" t="s">
        <v>11</v>
      </c>
      <c r="F33" s="15"/>
      <c r="G33" s="8">
        <f>SUM(J7,J19,J26)</f>
        <v>0</v>
      </c>
      <c r="H33" s="15"/>
      <c r="I33" s="15" t="s">
        <v>12</v>
      </c>
      <c r="J33" s="16"/>
      <c r="K33" s="15"/>
      <c r="L33" s="60"/>
      <c r="M33" s="57"/>
      <c r="N33" s="57"/>
      <c r="O33" s="57"/>
      <c r="P33" s="57"/>
      <c r="Q33" s="62"/>
      <c r="R33" s="62"/>
      <c r="S33" s="62"/>
      <c r="T33" s="62"/>
      <c r="U33" s="62"/>
      <c r="V33" s="62"/>
      <c r="W33" s="62"/>
      <c r="X33" s="62"/>
      <c r="Y33" s="62"/>
      <c r="Z33" s="62"/>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row>
    <row r="34" spans="1:52" x14ac:dyDescent="0.25">
      <c r="A34" s="60"/>
      <c r="B34" s="9"/>
      <c r="C34" s="9"/>
      <c r="D34" s="9"/>
      <c r="E34" s="15" t="s">
        <v>13</v>
      </c>
      <c r="F34" s="15"/>
      <c r="G34" s="16"/>
      <c r="H34" s="15"/>
      <c r="I34" s="15" t="s">
        <v>14</v>
      </c>
      <c r="J34" s="16"/>
      <c r="K34" s="15"/>
      <c r="L34" s="60"/>
      <c r="M34" s="57"/>
      <c r="N34" s="57"/>
      <c r="O34" s="57"/>
      <c r="P34" s="57"/>
      <c r="Q34" s="62"/>
      <c r="R34" s="62"/>
      <c r="S34" s="62"/>
      <c r="T34" s="62"/>
      <c r="U34" s="62"/>
      <c r="V34" s="62"/>
      <c r="W34" s="62"/>
      <c r="X34" s="62"/>
      <c r="Y34" s="62"/>
      <c r="Z34" s="62"/>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row>
    <row r="35" spans="1:52" x14ac:dyDescent="0.25">
      <c r="A35" s="60"/>
      <c r="B35" s="90"/>
      <c r="C35" s="90"/>
      <c r="D35" s="90"/>
      <c r="E35" s="90"/>
      <c r="F35" s="90"/>
      <c r="G35" s="90"/>
      <c r="H35" s="90"/>
      <c r="I35" s="90"/>
      <c r="J35" s="90"/>
      <c r="K35" s="90"/>
      <c r="L35" s="60"/>
      <c r="M35" s="57"/>
      <c r="N35" s="57"/>
      <c r="O35" s="57"/>
      <c r="P35" s="57"/>
      <c r="Q35" s="62"/>
      <c r="R35" s="62"/>
      <c r="S35" s="62"/>
      <c r="T35" s="62"/>
      <c r="U35" s="62"/>
      <c r="V35" s="62"/>
      <c r="W35" s="62"/>
      <c r="X35" s="62"/>
      <c r="Y35" s="62"/>
      <c r="Z35" s="62"/>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row>
    <row r="36" spans="1:52" x14ac:dyDescent="0.25">
      <c r="A36" s="60"/>
      <c r="B36" s="13" t="s">
        <v>348</v>
      </c>
      <c r="C36" s="13"/>
      <c r="D36" s="13"/>
      <c r="E36" s="13"/>
      <c r="F36" s="13"/>
      <c r="G36" s="13"/>
      <c r="H36" s="13"/>
      <c r="I36" s="13"/>
      <c r="J36" s="13"/>
      <c r="K36" s="13"/>
      <c r="L36" s="60"/>
      <c r="M36" s="57"/>
      <c r="N36" s="57"/>
      <c r="O36" s="57"/>
      <c r="P36" s="57"/>
      <c r="Q36" s="62"/>
      <c r="R36" s="62"/>
      <c r="S36" s="62"/>
      <c r="T36" s="62"/>
      <c r="U36" s="62"/>
      <c r="V36" s="62"/>
      <c r="W36" s="62"/>
      <c r="X36" s="62"/>
      <c r="Y36" s="62"/>
      <c r="Z36" s="62"/>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row>
    <row r="37" spans="1:52" x14ac:dyDescent="0.25">
      <c r="A37" s="60"/>
      <c r="B37" s="15" t="s">
        <v>15</v>
      </c>
      <c r="C37" s="15"/>
      <c r="D37" s="15"/>
      <c r="E37" s="15"/>
      <c r="F37" s="15"/>
      <c r="G37" s="15"/>
      <c r="H37" s="15"/>
      <c r="I37" s="15"/>
      <c r="J37" s="100"/>
      <c r="K37" s="100"/>
      <c r="L37" s="60"/>
      <c r="M37" s="57"/>
      <c r="N37" s="57"/>
      <c r="O37" s="57"/>
      <c r="P37" s="57"/>
      <c r="Q37" s="62"/>
      <c r="R37" s="62"/>
      <c r="S37" s="62"/>
      <c r="T37" s="62"/>
      <c r="U37" s="62"/>
      <c r="V37" s="62"/>
      <c r="W37" s="62"/>
      <c r="X37" s="62"/>
      <c r="Y37" s="62"/>
      <c r="Z37" s="62"/>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row>
    <row r="38" spans="1:52" x14ac:dyDescent="0.25">
      <c r="A38" s="60"/>
      <c r="B38" s="15" t="s">
        <v>332</v>
      </c>
      <c r="C38" s="15"/>
      <c r="D38" s="15"/>
      <c r="E38" s="15"/>
      <c r="F38" s="15"/>
      <c r="G38" s="15"/>
      <c r="H38" s="15"/>
      <c r="I38" s="15"/>
      <c r="J38" s="101"/>
      <c r="K38" s="101"/>
      <c r="L38" s="60"/>
      <c r="M38" s="57"/>
      <c r="N38" s="57"/>
      <c r="O38" s="57"/>
      <c r="P38" s="57"/>
      <c r="Q38" s="62"/>
      <c r="R38" s="62"/>
      <c r="S38" s="62"/>
      <c r="T38" s="62"/>
      <c r="U38" s="62"/>
      <c r="V38" s="62"/>
      <c r="W38" s="62"/>
      <c r="X38" s="62"/>
      <c r="Y38" s="62"/>
      <c r="Z38" s="62"/>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row>
    <row r="39" spans="1:52" x14ac:dyDescent="0.25">
      <c r="A39" s="60"/>
      <c r="B39" s="15" t="s">
        <v>16</v>
      </c>
      <c r="C39" s="15"/>
      <c r="D39" s="15"/>
      <c r="E39" s="15"/>
      <c r="F39" s="15"/>
      <c r="G39" s="15"/>
      <c r="H39" s="15"/>
      <c r="I39" s="15"/>
      <c r="J39" s="100"/>
      <c r="K39" s="100"/>
      <c r="L39" s="60"/>
      <c r="M39" s="57"/>
      <c r="N39" s="57"/>
      <c r="O39" s="57"/>
      <c r="P39" s="57"/>
      <c r="Q39" s="62"/>
      <c r="R39" s="62"/>
      <c r="S39" s="62"/>
      <c r="T39" s="62"/>
      <c r="U39" s="62"/>
      <c r="V39" s="62"/>
      <c r="W39" s="62"/>
      <c r="X39" s="62"/>
      <c r="Y39" s="62"/>
      <c r="Z39" s="62"/>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row>
    <row r="40" spans="1:52" x14ac:dyDescent="0.25">
      <c r="A40" s="60"/>
      <c r="B40" s="30" t="s">
        <v>326</v>
      </c>
      <c r="C40" s="30"/>
      <c r="D40" s="30"/>
      <c r="E40" s="30"/>
      <c r="F40" s="30"/>
      <c r="G40" s="30"/>
      <c r="H40" s="30"/>
      <c r="I40" s="30"/>
      <c r="J40" s="94"/>
      <c r="K40" s="95"/>
      <c r="L40" s="60"/>
      <c r="M40" s="57"/>
      <c r="N40" s="57"/>
      <c r="O40" s="57"/>
      <c r="P40" s="57"/>
      <c r="Q40" s="62"/>
      <c r="R40" s="62"/>
      <c r="S40" s="62"/>
      <c r="T40" s="62"/>
      <c r="U40" s="62"/>
      <c r="V40" s="62"/>
      <c r="W40" s="62"/>
      <c r="X40" s="62"/>
      <c r="Y40" s="62"/>
      <c r="Z40" s="62"/>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row>
    <row r="41" spans="1:52" x14ac:dyDescent="0.25">
      <c r="A41" s="60"/>
      <c r="B41" s="15" t="s">
        <v>17</v>
      </c>
      <c r="C41" s="15"/>
      <c r="D41" s="15"/>
      <c r="E41" s="15"/>
      <c r="F41" s="15"/>
      <c r="G41" s="15"/>
      <c r="H41" s="15"/>
      <c r="I41" s="15"/>
      <c r="J41" s="16"/>
      <c r="K41" s="2" t="s">
        <v>18</v>
      </c>
      <c r="L41" s="60"/>
      <c r="M41" s="57"/>
      <c r="N41" s="57"/>
      <c r="O41" s="57"/>
      <c r="P41" s="57"/>
      <c r="Q41" s="62"/>
      <c r="R41" s="62"/>
      <c r="S41" s="62"/>
      <c r="T41" s="62"/>
      <c r="U41" s="62"/>
      <c r="V41" s="62"/>
      <c r="W41" s="62"/>
      <c r="X41" s="62"/>
      <c r="Y41" s="62"/>
      <c r="Z41" s="62"/>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row>
    <row r="42" spans="1:52" x14ac:dyDescent="0.25">
      <c r="A42" s="60"/>
      <c r="B42" s="15" t="s">
        <v>294</v>
      </c>
      <c r="C42" s="15"/>
      <c r="D42" s="15"/>
      <c r="E42" s="15"/>
      <c r="F42" s="15"/>
      <c r="G42" s="15"/>
      <c r="H42" s="15"/>
      <c r="I42" s="15"/>
      <c r="J42" s="16"/>
      <c r="K42" s="2" t="s">
        <v>8</v>
      </c>
      <c r="L42" s="60"/>
      <c r="M42" s="57"/>
      <c r="N42" s="57"/>
      <c r="O42" s="57"/>
      <c r="P42" s="57"/>
      <c r="Q42" s="62"/>
      <c r="R42" s="62"/>
      <c r="S42" s="62"/>
      <c r="T42" s="62"/>
      <c r="U42" s="62"/>
      <c r="V42" s="62"/>
      <c r="W42" s="62"/>
      <c r="X42" s="62"/>
      <c r="Y42" s="62"/>
      <c r="Z42" s="62"/>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row>
    <row r="43" spans="1:52" x14ac:dyDescent="0.25">
      <c r="A43" s="60"/>
      <c r="B43" s="15" t="s">
        <v>295</v>
      </c>
      <c r="C43" s="15"/>
      <c r="D43" s="15"/>
      <c r="E43" s="15"/>
      <c r="F43" s="15"/>
      <c r="G43" s="15"/>
      <c r="H43" s="15"/>
      <c r="I43" s="15"/>
      <c r="J43" s="23"/>
      <c r="K43" s="2" t="s">
        <v>19</v>
      </c>
      <c r="L43" s="60"/>
      <c r="M43" s="63"/>
      <c r="N43" s="63"/>
      <c r="O43" s="62"/>
      <c r="P43" s="62"/>
      <c r="Q43" s="62"/>
      <c r="R43" s="62"/>
      <c r="S43" s="62"/>
      <c r="T43" s="62"/>
      <c r="U43" s="62"/>
      <c r="V43" s="62"/>
      <c r="W43" s="62"/>
      <c r="X43" s="62"/>
      <c r="Y43" s="62"/>
      <c r="Z43" s="62"/>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row>
    <row r="44" spans="1:52" x14ac:dyDescent="0.25">
      <c r="A44" s="60"/>
      <c r="B44" s="15"/>
      <c r="C44" s="15"/>
      <c r="D44" s="15"/>
      <c r="E44" s="15"/>
      <c r="F44" s="15"/>
      <c r="G44" s="15"/>
      <c r="H44" s="15"/>
      <c r="I44" s="15"/>
      <c r="J44" s="15"/>
      <c r="K44" s="15"/>
      <c r="L44" s="60"/>
      <c r="M44" s="63"/>
      <c r="N44" s="63"/>
      <c r="O44" s="62"/>
      <c r="P44" s="62"/>
      <c r="Q44" s="62"/>
      <c r="R44" s="62"/>
      <c r="S44" s="62"/>
      <c r="T44" s="62"/>
      <c r="U44" s="62"/>
      <c r="V44" s="62"/>
      <c r="W44" s="62"/>
      <c r="X44" s="62"/>
      <c r="Y44" s="62"/>
      <c r="Z44" s="62"/>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row>
    <row r="45" spans="1:52" x14ac:dyDescent="0.25">
      <c r="A45" s="60"/>
      <c r="B45" s="13" t="s">
        <v>20</v>
      </c>
      <c r="C45" s="13"/>
      <c r="D45" s="13"/>
      <c r="E45" s="13"/>
      <c r="F45" s="13"/>
      <c r="G45" s="13"/>
      <c r="H45" s="13"/>
      <c r="I45" s="13"/>
      <c r="J45" s="13"/>
      <c r="K45" s="13"/>
      <c r="L45" s="60"/>
      <c r="M45" s="63"/>
      <c r="N45" s="63"/>
      <c r="O45" s="62"/>
      <c r="P45" s="62"/>
      <c r="Q45" s="62"/>
      <c r="R45" s="62"/>
      <c r="S45" s="62"/>
      <c r="T45" s="62"/>
      <c r="U45" s="62"/>
      <c r="V45" s="62"/>
      <c r="W45" s="62"/>
      <c r="X45" s="62"/>
      <c r="Y45" s="62"/>
      <c r="Z45" s="62"/>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row>
    <row r="46" spans="1:52" x14ac:dyDescent="0.25">
      <c r="A46" s="60"/>
      <c r="B46" s="83"/>
      <c r="C46" s="83"/>
      <c r="D46" s="83"/>
      <c r="E46" s="83"/>
      <c r="F46" s="83"/>
      <c r="G46" s="83"/>
      <c r="H46" s="83"/>
      <c r="I46" s="83"/>
      <c r="J46" s="83"/>
      <c r="K46" s="83"/>
      <c r="L46" s="60"/>
      <c r="M46" s="63"/>
      <c r="N46" s="63"/>
      <c r="O46" s="62"/>
      <c r="P46" s="62"/>
      <c r="Q46" s="62"/>
      <c r="R46" s="62"/>
      <c r="S46" s="62"/>
      <c r="T46" s="62"/>
      <c r="U46" s="62"/>
      <c r="V46" s="62"/>
      <c r="W46" s="62"/>
      <c r="X46" s="62"/>
      <c r="Y46" s="62"/>
      <c r="Z46" s="62"/>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row>
    <row r="47" spans="1:52" x14ac:dyDescent="0.25">
      <c r="A47" s="60"/>
      <c r="B47" s="80"/>
      <c r="C47" s="81"/>
      <c r="D47" s="81"/>
      <c r="E47" s="81"/>
      <c r="F47" s="81"/>
      <c r="G47" s="81"/>
      <c r="H47" s="81"/>
      <c r="I47" s="81"/>
      <c r="J47" s="81"/>
      <c r="K47" s="82"/>
      <c r="L47" s="60"/>
      <c r="M47" s="63"/>
      <c r="N47" s="63"/>
      <c r="O47" s="62"/>
      <c r="P47" s="62"/>
      <c r="Q47" s="62"/>
      <c r="R47" s="62"/>
      <c r="S47" s="62"/>
      <c r="T47" s="62"/>
      <c r="U47" s="62"/>
      <c r="V47" s="62"/>
      <c r="W47" s="62"/>
      <c r="X47" s="62"/>
      <c r="Y47" s="62"/>
      <c r="Z47" s="62"/>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row>
    <row r="48" spans="1:52" x14ac:dyDescent="0.25">
      <c r="A48" s="60"/>
      <c r="B48" s="56" t="s">
        <v>21</v>
      </c>
      <c r="C48" s="77"/>
      <c r="D48" s="78"/>
      <c r="E48" s="78"/>
      <c r="F48" s="79"/>
      <c r="G48" s="55" t="s">
        <v>22</v>
      </c>
      <c r="H48" s="84"/>
      <c r="I48" s="84"/>
      <c r="J48" s="84"/>
      <c r="K48" s="84"/>
      <c r="L48" s="60"/>
      <c r="M48" s="63"/>
      <c r="N48" s="63"/>
      <c r="O48" s="62"/>
      <c r="P48" s="62"/>
      <c r="Q48" s="62"/>
      <c r="R48" s="62"/>
      <c r="S48" s="62"/>
      <c r="T48" s="62"/>
      <c r="U48" s="62"/>
      <c r="V48" s="62"/>
      <c r="W48" s="62"/>
      <c r="X48" s="62"/>
      <c r="Y48" s="62"/>
      <c r="Z48" s="62"/>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row>
    <row r="49" spans="1:52" s="19" customFormat="1" ht="15" customHeight="1" x14ac:dyDescent="0.25">
      <c r="A49" s="62"/>
      <c r="B49" s="60"/>
      <c r="C49" s="60"/>
      <c r="D49" s="60"/>
      <c r="E49" s="60"/>
      <c r="F49" s="60"/>
      <c r="G49" s="60"/>
      <c r="H49" s="60"/>
      <c r="I49" s="60"/>
      <c r="J49" s="60"/>
      <c r="K49" s="60"/>
      <c r="L49" s="60"/>
      <c r="M49" s="63"/>
      <c r="N49" s="63"/>
      <c r="O49" s="62"/>
      <c r="P49" s="62"/>
      <c r="Q49" s="62"/>
      <c r="R49" s="62"/>
      <c r="S49" s="62"/>
      <c r="T49" s="62"/>
      <c r="U49" s="62"/>
      <c r="V49" s="62"/>
      <c r="W49" s="62"/>
      <c r="X49" s="62"/>
      <c r="Y49" s="62"/>
      <c r="Z49" s="62"/>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row>
    <row r="50" spans="1:52" s="19" customFormat="1" x14ac:dyDescent="0.25">
      <c r="A50" s="62"/>
      <c r="B50" s="60"/>
      <c r="C50" s="60"/>
      <c r="D50" s="60"/>
      <c r="E50" s="60"/>
      <c r="F50" s="60"/>
      <c r="G50" s="60"/>
      <c r="H50" s="60"/>
      <c r="I50" s="60"/>
      <c r="J50" s="60"/>
      <c r="K50" s="60"/>
      <c r="L50" s="60"/>
      <c r="M50" s="62"/>
      <c r="N50" s="62"/>
      <c r="O50" s="62"/>
      <c r="P50" s="62"/>
      <c r="Q50" s="62"/>
      <c r="R50" s="62"/>
      <c r="S50" s="62"/>
      <c r="T50" s="62"/>
      <c r="U50" s="62"/>
      <c r="V50" s="62"/>
      <c r="W50" s="62"/>
      <c r="X50" s="62"/>
      <c r="Y50" s="62"/>
      <c r="Z50" s="62"/>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row>
    <row r="51" spans="1:52" s="19" customFormat="1" x14ac:dyDescent="0.25">
      <c r="A51" s="62"/>
      <c r="B51" s="60"/>
      <c r="C51" s="60"/>
      <c r="D51" s="60"/>
      <c r="E51" s="60"/>
      <c r="F51" s="60"/>
      <c r="G51" s="60"/>
      <c r="H51" s="60"/>
      <c r="I51" s="60"/>
      <c r="J51" s="60"/>
      <c r="K51" s="60"/>
      <c r="L51" s="60"/>
      <c r="M51" s="62"/>
      <c r="N51" s="62"/>
      <c r="O51" s="62"/>
      <c r="P51" s="62"/>
      <c r="Q51" s="62"/>
      <c r="R51" s="62"/>
      <c r="S51" s="62"/>
      <c r="T51" s="62"/>
      <c r="U51" s="62"/>
      <c r="V51" s="62"/>
      <c r="W51" s="62"/>
      <c r="X51" s="62"/>
      <c r="Y51" s="62"/>
      <c r="Z51" s="62"/>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row>
    <row r="52" spans="1:52" s="19" customFormat="1" x14ac:dyDescent="0.25">
      <c r="A52" s="62"/>
      <c r="B52" s="60"/>
      <c r="C52" s="60"/>
      <c r="D52" s="60"/>
      <c r="E52" s="60"/>
      <c r="F52" s="60"/>
      <c r="G52" s="60"/>
      <c r="H52" s="60"/>
      <c r="I52" s="60"/>
      <c r="J52" s="60"/>
      <c r="K52" s="60"/>
      <c r="L52" s="60"/>
      <c r="M52" s="62"/>
      <c r="N52" s="62"/>
      <c r="O52" s="62"/>
      <c r="P52" s="62"/>
      <c r="Q52" s="62"/>
      <c r="R52" s="62"/>
      <c r="S52" s="62"/>
      <c r="T52" s="62"/>
      <c r="U52" s="62"/>
      <c r="V52" s="62"/>
      <c r="W52" s="62"/>
      <c r="X52" s="62"/>
      <c r="Y52" s="62"/>
      <c r="Z52" s="62"/>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row>
    <row r="53" spans="1:52" s="19" customFormat="1" x14ac:dyDescent="0.25">
      <c r="A53" s="62"/>
      <c r="B53" s="60"/>
      <c r="C53" s="60"/>
      <c r="D53" s="60"/>
      <c r="E53" s="60"/>
      <c r="F53" s="60"/>
      <c r="G53" s="60"/>
      <c r="H53" s="60"/>
      <c r="I53" s="60"/>
      <c r="J53" s="60"/>
      <c r="K53" s="60"/>
      <c r="L53" s="60"/>
      <c r="M53" s="62"/>
      <c r="N53" s="62"/>
      <c r="O53" s="62"/>
      <c r="P53" s="62"/>
      <c r="Q53" s="62"/>
      <c r="R53" s="62"/>
      <c r="S53" s="62"/>
      <c r="T53" s="62"/>
      <c r="U53" s="62"/>
      <c r="V53" s="62"/>
      <c r="W53" s="62"/>
      <c r="X53" s="62"/>
      <c r="Y53" s="62"/>
      <c r="Z53" s="62"/>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row>
    <row r="54" spans="1:52" s="19" customFormat="1" x14ac:dyDescent="0.25">
      <c r="A54" s="62"/>
      <c r="B54" s="60"/>
      <c r="C54" s="60"/>
      <c r="D54" s="60"/>
      <c r="E54" s="60"/>
      <c r="F54" s="60"/>
      <c r="G54" s="60"/>
      <c r="H54" s="60"/>
      <c r="I54" s="60"/>
      <c r="J54" s="60"/>
      <c r="K54" s="60"/>
      <c r="L54" s="60"/>
      <c r="M54" s="62"/>
      <c r="N54" s="62"/>
      <c r="O54" s="62"/>
      <c r="P54" s="62"/>
      <c r="Q54" s="62"/>
      <c r="R54" s="62"/>
      <c r="S54" s="62"/>
      <c r="T54" s="62"/>
      <c r="U54" s="62"/>
      <c r="V54" s="62"/>
      <c r="W54" s="62"/>
      <c r="X54" s="62"/>
      <c r="Y54" s="62"/>
      <c r="Z54" s="62"/>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row>
    <row r="55" spans="1:52" s="19" customFormat="1" x14ac:dyDescent="0.25">
      <c r="A55" s="62"/>
      <c r="B55" s="60"/>
      <c r="C55" s="60"/>
      <c r="D55" s="60"/>
      <c r="E55" s="60"/>
      <c r="F55" s="60"/>
      <c r="G55" s="60"/>
      <c r="H55" s="60"/>
      <c r="I55" s="60"/>
      <c r="J55" s="60"/>
      <c r="K55" s="60"/>
      <c r="L55" s="60"/>
      <c r="M55" s="62"/>
      <c r="N55" s="62"/>
      <c r="O55" s="62"/>
      <c r="P55" s="62"/>
      <c r="Q55" s="62"/>
      <c r="R55" s="62"/>
      <c r="S55" s="62"/>
      <c r="T55" s="62"/>
      <c r="U55" s="62"/>
      <c r="V55" s="62"/>
      <c r="W55" s="62"/>
      <c r="X55" s="62"/>
      <c r="Y55" s="62"/>
      <c r="Z55" s="62"/>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row>
    <row r="56" spans="1:52" s="19" customFormat="1" x14ac:dyDescent="0.25">
      <c r="A56" s="62"/>
      <c r="B56" s="60"/>
      <c r="C56" s="60"/>
      <c r="D56" s="60"/>
      <c r="E56" s="60"/>
      <c r="F56" s="60"/>
      <c r="G56" s="60"/>
      <c r="H56" s="60"/>
      <c r="I56" s="60"/>
      <c r="J56" s="60"/>
      <c r="K56" s="60"/>
      <c r="L56" s="60"/>
      <c r="M56" s="62"/>
      <c r="N56" s="62"/>
      <c r="O56" s="62"/>
      <c r="P56" s="62"/>
      <c r="Q56" s="62"/>
      <c r="R56" s="62"/>
      <c r="S56" s="62"/>
      <c r="T56" s="62"/>
      <c r="U56" s="62"/>
      <c r="V56" s="62"/>
      <c r="W56" s="62"/>
      <c r="X56" s="62"/>
      <c r="Y56" s="62"/>
      <c r="Z56" s="62"/>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row>
    <row r="57" spans="1:52" s="19" customFormat="1" x14ac:dyDescent="0.25">
      <c r="A57" s="62"/>
      <c r="B57" s="62"/>
      <c r="C57" s="62"/>
      <c r="D57" s="62"/>
      <c r="E57" s="62"/>
      <c r="F57" s="62"/>
      <c r="G57" s="62"/>
      <c r="H57" s="62"/>
      <c r="I57" s="62"/>
      <c r="J57" s="62"/>
      <c r="K57" s="62"/>
      <c r="L57" s="60"/>
      <c r="M57" s="62"/>
      <c r="N57" s="62"/>
      <c r="O57" s="62"/>
      <c r="P57" s="62"/>
      <c r="Q57" s="62"/>
      <c r="R57" s="62"/>
      <c r="S57" s="62"/>
      <c r="T57" s="62"/>
      <c r="U57" s="62"/>
      <c r="V57" s="62"/>
      <c r="W57" s="62"/>
      <c r="X57" s="62"/>
      <c r="Y57" s="62"/>
      <c r="Z57" s="62"/>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row>
    <row r="58" spans="1:52" x14ac:dyDescent="0.25">
      <c r="A58" s="62"/>
      <c r="B58" s="62"/>
      <c r="C58" s="62"/>
      <c r="D58" s="62"/>
      <c r="E58" s="62"/>
      <c r="F58" s="62"/>
      <c r="G58" s="62"/>
      <c r="H58" s="62"/>
      <c r="I58" s="62"/>
      <c r="J58" s="62"/>
      <c r="K58" s="62"/>
      <c r="L58" s="60"/>
      <c r="M58" s="62"/>
      <c r="N58" s="62"/>
      <c r="O58" s="62"/>
      <c r="P58" s="62"/>
      <c r="Q58" s="62"/>
      <c r="R58" s="62"/>
      <c r="S58" s="62"/>
      <c r="T58" s="62"/>
      <c r="U58" s="62"/>
      <c r="V58" s="62"/>
      <c r="W58" s="62"/>
      <c r="X58" s="62"/>
      <c r="Y58" s="62"/>
      <c r="Z58" s="62"/>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row>
    <row r="59" spans="1:52" x14ac:dyDescent="0.25">
      <c r="A59" s="62"/>
      <c r="B59" s="62"/>
      <c r="C59" s="62"/>
      <c r="D59" s="62"/>
      <c r="E59" s="62"/>
      <c r="F59" s="62"/>
      <c r="G59" s="62"/>
      <c r="H59" s="62"/>
      <c r="I59" s="62"/>
      <c r="J59" s="62"/>
      <c r="K59" s="62"/>
      <c r="L59" s="60"/>
      <c r="M59" s="62"/>
      <c r="N59" s="62"/>
      <c r="O59" s="62"/>
      <c r="P59" s="62"/>
      <c r="Q59" s="62"/>
      <c r="R59" s="62"/>
      <c r="S59" s="62"/>
      <c r="T59" s="62"/>
      <c r="U59" s="62"/>
      <c r="V59" s="62"/>
      <c r="W59" s="62"/>
      <c r="X59" s="62"/>
      <c r="Y59" s="62"/>
      <c r="Z59" s="62"/>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row>
    <row r="60" spans="1:52" x14ac:dyDescent="0.25">
      <c r="A60" s="62"/>
      <c r="B60" s="62"/>
      <c r="C60" s="62"/>
      <c r="D60" s="62"/>
      <c r="E60" s="62"/>
      <c r="F60" s="62"/>
      <c r="G60" s="62"/>
      <c r="H60" s="62"/>
      <c r="I60" s="62"/>
      <c r="J60" s="62"/>
      <c r="K60" s="62"/>
      <c r="L60" s="60"/>
      <c r="M60" s="62"/>
      <c r="N60" s="62"/>
      <c r="O60" s="62"/>
      <c r="P60" s="62"/>
      <c r="Q60" s="62"/>
      <c r="R60" s="62"/>
      <c r="S60" s="62"/>
      <c r="T60" s="62"/>
      <c r="U60" s="62"/>
      <c r="V60" s="62"/>
      <c r="W60" s="62"/>
      <c r="X60" s="62"/>
      <c r="Y60" s="62"/>
      <c r="Z60" s="62"/>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row>
    <row r="61" spans="1:52" x14ac:dyDescent="0.25">
      <c r="A61" s="62"/>
      <c r="B61" s="62"/>
      <c r="C61" s="62"/>
      <c r="D61" s="62"/>
      <c r="E61" s="62"/>
      <c r="F61" s="62"/>
      <c r="G61" s="62"/>
      <c r="H61" s="62"/>
      <c r="I61" s="62"/>
      <c r="J61" s="62"/>
      <c r="K61" s="62"/>
      <c r="L61" s="60"/>
      <c r="M61" s="62"/>
      <c r="N61" s="62"/>
      <c r="O61" s="62"/>
      <c r="P61" s="62"/>
      <c r="Q61" s="62"/>
      <c r="R61" s="62"/>
      <c r="S61" s="62"/>
      <c r="T61" s="62"/>
      <c r="U61" s="62"/>
      <c r="V61" s="62"/>
      <c r="W61" s="62"/>
      <c r="X61" s="62"/>
      <c r="Y61" s="62"/>
      <c r="Z61" s="62"/>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row>
    <row r="62" spans="1:52" x14ac:dyDescent="0.25">
      <c r="A62" s="62"/>
      <c r="B62" s="62"/>
      <c r="C62" s="62"/>
      <c r="D62" s="62"/>
      <c r="E62" s="62"/>
      <c r="F62" s="62"/>
      <c r="G62" s="62"/>
      <c r="H62" s="62"/>
      <c r="I62" s="62"/>
      <c r="J62" s="62"/>
      <c r="K62" s="62"/>
      <c r="L62" s="60"/>
      <c r="M62" s="62"/>
      <c r="N62" s="62"/>
      <c r="O62" s="62"/>
      <c r="P62" s="62"/>
      <c r="Q62" s="62"/>
      <c r="R62" s="62"/>
      <c r="S62" s="62"/>
      <c r="T62" s="62"/>
      <c r="U62" s="62"/>
      <c r="V62" s="62"/>
      <c r="W62" s="62"/>
      <c r="X62" s="62"/>
      <c r="Y62" s="62"/>
      <c r="Z62" s="62"/>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row>
    <row r="63" spans="1:52" x14ac:dyDescent="0.25">
      <c r="A63" s="62"/>
      <c r="B63" s="62"/>
      <c r="C63" s="62"/>
      <c r="D63" s="62"/>
      <c r="E63" s="62"/>
      <c r="F63" s="62"/>
      <c r="G63" s="62"/>
      <c r="H63" s="62"/>
      <c r="I63" s="62"/>
      <c r="J63" s="62"/>
      <c r="K63" s="62"/>
      <c r="L63" s="60"/>
      <c r="M63" s="62"/>
      <c r="N63" s="62"/>
      <c r="O63" s="62"/>
      <c r="P63" s="62"/>
      <c r="Q63" s="62"/>
      <c r="R63" s="62"/>
      <c r="S63" s="62"/>
      <c r="T63" s="62"/>
      <c r="U63" s="62"/>
      <c r="V63" s="62"/>
      <c r="W63" s="62"/>
      <c r="X63" s="62"/>
      <c r="Y63" s="62"/>
      <c r="Z63" s="62"/>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row>
    <row r="64" spans="1:52" x14ac:dyDescent="0.25">
      <c r="A64" s="62"/>
      <c r="B64" s="62"/>
      <c r="C64" s="62"/>
      <c r="D64" s="62"/>
      <c r="E64" s="62"/>
      <c r="F64" s="62"/>
      <c r="G64" s="62"/>
      <c r="H64" s="62"/>
      <c r="I64" s="62"/>
      <c r="J64" s="62"/>
      <c r="K64" s="62"/>
      <c r="L64" s="60"/>
      <c r="M64" s="62"/>
      <c r="N64" s="62"/>
      <c r="O64" s="62"/>
      <c r="P64" s="62"/>
      <c r="Q64" s="62"/>
      <c r="R64" s="62"/>
      <c r="S64" s="62"/>
      <c r="T64" s="62"/>
      <c r="U64" s="62"/>
      <c r="V64" s="62"/>
      <c r="W64" s="62"/>
      <c r="X64" s="62"/>
      <c r="Y64" s="62"/>
      <c r="Z64" s="62"/>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row>
    <row r="65" spans="1:52" x14ac:dyDescent="0.25">
      <c r="A65" s="62"/>
      <c r="B65" s="62"/>
      <c r="C65" s="62"/>
      <c r="D65" s="62"/>
      <c r="E65" s="62"/>
      <c r="F65" s="62"/>
      <c r="G65" s="62"/>
      <c r="H65" s="62"/>
      <c r="I65" s="62"/>
      <c r="J65" s="62"/>
      <c r="K65" s="62"/>
      <c r="L65" s="60"/>
      <c r="M65" s="62"/>
      <c r="N65" s="62"/>
      <c r="O65" s="62"/>
      <c r="P65" s="62"/>
      <c r="Q65" s="62"/>
      <c r="R65" s="62"/>
      <c r="S65" s="62"/>
      <c r="T65" s="62"/>
      <c r="U65" s="62"/>
      <c r="V65" s="62"/>
      <c r="W65" s="62"/>
      <c r="X65" s="62"/>
      <c r="Y65" s="62"/>
      <c r="Z65" s="62"/>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row>
    <row r="66" spans="1:52" x14ac:dyDescent="0.25">
      <c r="A66" s="62"/>
      <c r="B66" s="62"/>
      <c r="C66" s="62"/>
      <c r="D66" s="62"/>
      <c r="E66" s="62"/>
      <c r="F66" s="62"/>
      <c r="G66" s="62"/>
      <c r="H66" s="62"/>
      <c r="I66" s="62"/>
      <c r="J66" s="62"/>
      <c r="K66" s="62"/>
      <c r="L66" s="60"/>
      <c r="M66" s="62"/>
      <c r="N66" s="62"/>
      <c r="O66" s="62"/>
      <c r="P66" s="62"/>
      <c r="Q66" s="62"/>
      <c r="R66" s="62"/>
      <c r="S66" s="62"/>
      <c r="T66" s="62"/>
      <c r="U66" s="62"/>
      <c r="V66" s="62"/>
      <c r="W66" s="62"/>
      <c r="X66" s="62"/>
      <c r="Y66" s="62"/>
      <c r="Z66" s="62"/>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row>
    <row r="67" spans="1:52" x14ac:dyDescent="0.25">
      <c r="A67" s="62"/>
      <c r="B67" s="62"/>
      <c r="C67" s="62"/>
      <c r="D67" s="62"/>
      <c r="E67" s="62"/>
      <c r="F67" s="62"/>
      <c r="G67" s="62"/>
      <c r="H67" s="62"/>
      <c r="I67" s="62"/>
      <c r="J67" s="62"/>
      <c r="K67" s="62"/>
      <c r="L67" s="60"/>
      <c r="M67" s="62"/>
      <c r="N67" s="62"/>
      <c r="O67" s="62"/>
      <c r="P67" s="62"/>
      <c r="Q67" s="62"/>
      <c r="R67" s="62"/>
      <c r="S67" s="62"/>
      <c r="T67" s="62"/>
      <c r="U67" s="62"/>
      <c r="V67" s="62"/>
      <c r="W67" s="62"/>
      <c r="X67" s="62"/>
      <c r="Y67" s="62"/>
      <c r="Z67" s="62"/>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row>
    <row r="68" spans="1:52" x14ac:dyDescent="0.25">
      <c r="A68" s="62"/>
      <c r="B68" s="62"/>
      <c r="C68" s="62"/>
      <c r="D68" s="62"/>
      <c r="E68" s="62"/>
      <c r="F68" s="62"/>
      <c r="G68" s="62"/>
      <c r="H68" s="62"/>
      <c r="I68" s="62"/>
      <c r="J68" s="62"/>
      <c r="K68" s="62"/>
      <c r="L68" s="60"/>
      <c r="M68" s="62"/>
      <c r="N68" s="62"/>
      <c r="O68" s="62"/>
      <c r="P68" s="62"/>
      <c r="Q68" s="62"/>
      <c r="R68" s="62"/>
      <c r="S68" s="62"/>
      <c r="T68" s="62"/>
      <c r="U68" s="62"/>
      <c r="V68" s="62"/>
      <c r="W68" s="62"/>
      <c r="X68" s="62"/>
      <c r="Y68" s="62"/>
      <c r="Z68" s="62"/>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row>
    <row r="69" spans="1:52" x14ac:dyDescent="0.25">
      <c r="A69" s="62"/>
      <c r="B69" s="62"/>
      <c r="C69" s="62"/>
      <c r="D69" s="62"/>
      <c r="E69" s="62"/>
      <c r="F69" s="62"/>
      <c r="G69" s="62"/>
      <c r="H69" s="62"/>
      <c r="I69" s="62"/>
      <c r="J69" s="62"/>
      <c r="K69" s="62"/>
      <c r="L69" s="60"/>
      <c r="M69" s="62"/>
      <c r="N69" s="62"/>
      <c r="O69" s="62"/>
      <c r="P69" s="62"/>
      <c r="Q69" s="62"/>
      <c r="R69" s="62"/>
      <c r="S69" s="62"/>
      <c r="T69" s="62"/>
      <c r="U69" s="62"/>
      <c r="V69" s="62"/>
      <c r="W69" s="62"/>
      <c r="X69" s="62"/>
      <c r="Y69" s="62"/>
      <c r="Z69" s="62"/>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row>
    <row r="70" spans="1:52" x14ac:dyDescent="0.25">
      <c r="A70" s="62"/>
      <c r="B70" s="62"/>
      <c r="C70" s="62"/>
      <c r="D70" s="62"/>
      <c r="E70" s="62"/>
      <c r="F70" s="62"/>
      <c r="G70" s="62"/>
      <c r="H70" s="62"/>
      <c r="I70" s="62"/>
      <c r="J70" s="62"/>
      <c r="K70" s="62"/>
      <c r="L70" s="60"/>
      <c r="M70" s="62"/>
      <c r="N70" s="62"/>
      <c r="O70" s="62"/>
      <c r="P70" s="62"/>
      <c r="Q70" s="62"/>
      <c r="R70" s="62"/>
      <c r="S70" s="62"/>
      <c r="T70" s="62"/>
      <c r="U70" s="62"/>
      <c r="V70" s="62"/>
      <c r="W70" s="62"/>
      <c r="X70" s="62"/>
      <c r="Y70" s="62"/>
      <c r="Z70" s="62"/>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row>
    <row r="71" spans="1:52" x14ac:dyDescent="0.25">
      <c r="A71" s="62"/>
      <c r="B71" s="62"/>
      <c r="C71" s="62"/>
      <c r="D71" s="62"/>
      <c r="E71" s="62"/>
      <c r="F71" s="62"/>
      <c r="G71" s="62"/>
      <c r="H71" s="62"/>
      <c r="I71" s="62"/>
      <c r="J71" s="62"/>
      <c r="K71" s="62"/>
      <c r="L71" s="60"/>
      <c r="M71" s="62"/>
      <c r="N71" s="62"/>
      <c r="O71" s="62"/>
      <c r="P71" s="62"/>
      <c r="Q71" s="62"/>
      <c r="R71" s="62"/>
      <c r="S71" s="62"/>
      <c r="T71" s="62"/>
      <c r="U71" s="62"/>
      <c r="V71" s="62"/>
      <c r="W71" s="62"/>
      <c r="X71" s="62"/>
      <c r="Y71" s="62"/>
      <c r="Z71" s="62"/>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row>
    <row r="72" spans="1:52" x14ac:dyDescent="0.25">
      <c r="A72" s="62"/>
      <c r="B72" s="62"/>
      <c r="C72" s="62"/>
      <c r="D72" s="62"/>
      <c r="E72" s="62"/>
      <c r="F72" s="62"/>
      <c r="G72" s="62"/>
      <c r="H72" s="62"/>
      <c r="I72" s="62"/>
      <c r="J72" s="62"/>
      <c r="K72" s="62"/>
      <c r="L72" s="60"/>
      <c r="M72" s="62"/>
      <c r="N72" s="62"/>
      <c r="O72" s="62"/>
      <c r="P72" s="62"/>
      <c r="Q72" s="62"/>
      <c r="R72" s="62"/>
      <c r="S72" s="62"/>
      <c r="T72" s="62"/>
      <c r="U72" s="62"/>
      <c r="V72" s="62"/>
      <c r="W72" s="62"/>
      <c r="X72" s="62"/>
      <c r="Y72" s="62"/>
      <c r="Z72" s="62"/>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row>
    <row r="73" spans="1:52" x14ac:dyDescent="0.25">
      <c r="A73" s="62"/>
      <c r="B73" s="62"/>
      <c r="C73" s="62"/>
      <c r="D73" s="62"/>
      <c r="E73" s="62"/>
      <c r="F73" s="62"/>
      <c r="G73" s="62"/>
      <c r="H73" s="62"/>
      <c r="I73" s="62"/>
      <c r="J73" s="62"/>
      <c r="K73" s="62"/>
      <c r="L73" s="60"/>
      <c r="M73" s="62"/>
      <c r="N73" s="62"/>
      <c r="O73" s="62"/>
      <c r="P73" s="62"/>
      <c r="Q73" s="62"/>
      <c r="R73" s="62"/>
      <c r="S73" s="62"/>
      <c r="T73" s="62"/>
      <c r="U73" s="62"/>
      <c r="V73" s="62"/>
      <c r="W73" s="62"/>
      <c r="X73" s="62"/>
      <c r="Y73" s="62"/>
      <c r="Z73" s="62"/>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row>
    <row r="74" spans="1:52" x14ac:dyDescent="0.25">
      <c r="A74" s="62"/>
      <c r="B74" s="62"/>
      <c r="C74" s="62"/>
      <c r="D74" s="62"/>
      <c r="E74" s="62"/>
      <c r="F74" s="62"/>
      <c r="G74" s="62"/>
      <c r="H74" s="62"/>
      <c r="I74" s="62"/>
      <c r="J74" s="62"/>
      <c r="K74" s="62"/>
      <c r="L74" s="60"/>
      <c r="M74" s="62"/>
      <c r="N74" s="62"/>
      <c r="O74" s="62"/>
      <c r="P74" s="62"/>
      <c r="Q74" s="62"/>
      <c r="R74" s="62"/>
      <c r="S74" s="62"/>
      <c r="T74" s="62"/>
      <c r="U74" s="62"/>
      <c r="V74" s="62"/>
      <c r="W74" s="62"/>
      <c r="X74" s="62"/>
      <c r="Y74" s="62"/>
      <c r="Z74" s="62"/>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row>
    <row r="75" spans="1:52" x14ac:dyDescent="0.25">
      <c r="A75" s="62"/>
      <c r="B75" s="62"/>
      <c r="C75" s="62"/>
      <c r="D75" s="62"/>
      <c r="E75" s="62"/>
      <c r="F75" s="62"/>
      <c r="G75" s="62"/>
      <c r="H75" s="62"/>
      <c r="I75" s="62"/>
      <c r="J75" s="62"/>
      <c r="K75" s="62"/>
      <c r="L75" s="60"/>
      <c r="M75" s="62"/>
      <c r="N75" s="62"/>
      <c r="O75" s="62"/>
      <c r="P75" s="62"/>
      <c r="Q75" s="62"/>
      <c r="R75" s="62"/>
      <c r="S75" s="62"/>
      <c r="T75" s="62"/>
      <c r="U75" s="62"/>
      <c r="V75" s="62"/>
      <c r="W75" s="62"/>
      <c r="X75" s="62"/>
      <c r="Y75" s="62"/>
      <c r="Z75" s="62"/>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row>
    <row r="76" spans="1:52" x14ac:dyDescent="0.25">
      <c r="A76" s="62"/>
      <c r="B76" s="62"/>
      <c r="C76" s="62"/>
      <c r="D76" s="62"/>
      <c r="E76" s="62"/>
      <c r="F76" s="62"/>
      <c r="G76" s="62"/>
      <c r="H76" s="62"/>
      <c r="I76" s="62"/>
      <c r="J76" s="62"/>
      <c r="K76" s="62"/>
      <c r="L76" s="60"/>
      <c r="M76" s="62"/>
      <c r="N76" s="62"/>
      <c r="O76" s="62"/>
      <c r="P76" s="62"/>
      <c r="Q76" s="62"/>
      <c r="R76" s="62"/>
      <c r="S76" s="62"/>
      <c r="T76" s="62"/>
      <c r="U76" s="62"/>
      <c r="V76" s="62"/>
      <c r="W76" s="62"/>
      <c r="X76" s="62"/>
      <c r="Y76" s="62"/>
      <c r="Z76" s="62"/>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row>
    <row r="77" spans="1:52" x14ac:dyDescent="0.25">
      <c r="A77" s="62"/>
      <c r="B77" s="62"/>
      <c r="C77" s="62"/>
      <c r="D77" s="62"/>
      <c r="E77" s="62"/>
      <c r="F77" s="62"/>
      <c r="G77" s="62"/>
      <c r="H77" s="62"/>
      <c r="I77" s="62"/>
      <c r="J77" s="62"/>
      <c r="K77" s="62"/>
      <c r="L77" s="60"/>
      <c r="M77" s="62"/>
      <c r="N77" s="62"/>
      <c r="O77" s="62"/>
      <c r="P77" s="62"/>
      <c r="Q77" s="62"/>
      <c r="R77" s="62"/>
      <c r="S77" s="62"/>
      <c r="T77" s="62"/>
      <c r="U77" s="62"/>
      <c r="V77" s="62"/>
      <c r="W77" s="62"/>
      <c r="X77" s="62"/>
      <c r="Y77" s="62"/>
      <c r="Z77" s="62"/>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row>
    <row r="78" spans="1:52" x14ac:dyDescent="0.25">
      <c r="A78" s="62"/>
      <c r="B78" s="62"/>
      <c r="C78" s="62"/>
      <c r="D78" s="62"/>
      <c r="E78" s="62"/>
      <c r="F78" s="62"/>
      <c r="G78" s="62"/>
      <c r="H78" s="62"/>
      <c r="I78" s="62"/>
      <c r="J78" s="62"/>
      <c r="K78" s="62"/>
      <c r="L78" s="60"/>
      <c r="M78" s="62"/>
      <c r="N78" s="62"/>
      <c r="O78" s="62"/>
      <c r="P78" s="62"/>
      <c r="Q78" s="62"/>
      <c r="R78" s="62"/>
      <c r="S78" s="62"/>
      <c r="T78" s="62"/>
      <c r="U78" s="62"/>
      <c r="V78" s="62"/>
      <c r="W78" s="62"/>
      <c r="X78" s="62"/>
      <c r="Y78" s="62"/>
      <c r="Z78" s="62"/>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row>
    <row r="79" spans="1:52" x14ac:dyDescent="0.25">
      <c r="A79" s="62"/>
      <c r="B79" s="62"/>
      <c r="C79" s="62"/>
      <c r="D79" s="62"/>
      <c r="E79" s="62"/>
      <c r="F79" s="62"/>
      <c r="G79" s="62"/>
      <c r="H79" s="62"/>
      <c r="I79" s="62"/>
      <c r="J79" s="62"/>
      <c r="K79" s="62"/>
      <c r="L79" s="60"/>
      <c r="M79" s="62"/>
      <c r="N79" s="62"/>
      <c r="O79" s="62"/>
      <c r="P79" s="62"/>
      <c r="Q79" s="62"/>
      <c r="R79" s="62"/>
      <c r="S79" s="62"/>
      <c r="T79" s="62"/>
      <c r="U79" s="62"/>
      <c r="V79" s="62"/>
      <c r="W79" s="62"/>
      <c r="X79" s="62"/>
      <c r="Y79" s="62"/>
      <c r="Z79" s="62"/>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row>
    <row r="80" spans="1:52" x14ac:dyDescent="0.25">
      <c r="A80" s="62"/>
      <c r="B80" s="62"/>
      <c r="C80" s="62"/>
      <c r="D80" s="62"/>
      <c r="E80" s="62"/>
      <c r="F80" s="62"/>
      <c r="G80" s="62"/>
      <c r="H80" s="62"/>
      <c r="I80" s="62"/>
      <c r="J80" s="62"/>
      <c r="K80" s="62"/>
      <c r="L80" s="60"/>
      <c r="M80" s="62"/>
      <c r="N80" s="62"/>
      <c r="O80" s="62"/>
      <c r="P80" s="62"/>
      <c r="Q80" s="62"/>
      <c r="R80" s="62"/>
      <c r="S80" s="62"/>
      <c r="T80" s="62"/>
      <c r="U80" s="62"/>
      <c r="V80" s="62"/>
      <c r="W80" s="62"/>
      <c r="X80" s="62"/>
      <c r="Y80" s="62"/>
      <c r="Z80" s="62"/>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row>
    <row r="81" spans="1:52" x14ac:dyDescent="0.25">
      <c r="A81" s="62"/>
      <c r="B81" s="62"/>
      <c r="C81" s="62"/>
      <c r="D81" s="62"/>
      <c r="E81" s="62"/>
      <c r="F81" s="62"/>
      <c r="G81" s="62"/>
      <c r="H81" s="62"/>
      <c r="I81" s="62"/>
      <c r="J81" s="62"/>
      <c r="K81" s="62"/>
      <c r="L81" s="60"/>
      <c r="M81" s="62"/>
      <c r="N81" s="62"/>
      <c r="O81" s="62"/>
      <c r="P81" s="62"/>
      <c r="Q81" s="62"/>
      <c r="R81" s="62"/>
      <c r="S81" s="62"/>
      <c r="T81" s="62"/>
      <c r="U81" s="62"/>
      <c r="V81" s="62"/>
      <c r="W81" s="62"/>
      <c r="X81" s="62"/>
      <c r="Y81" s="62"/>
      <c r="Z81" s="62"/>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row>
    <row r="82" spans="1:52" x14ac:dyDescent="0.25">
      <c r="A82" s="62"/>
      <c r="B82" s="62"/>
      <c r="C82" s="62"/>
      <c r="D82" s="62"/>
      <c r="E82" s="62"/>
      <c r="F82" s="62"/>
      <c r="G82" s="62"/>
      <c r="H82" s="62"/>
      <c r="I82" s="62"/>
      <c r="J82" s="62"/>
      <c r="K82" s="62"/>
      <c r="L82" s="60"/>
      <c r="M82" s="62"/>
      <c r="N82" s="62"/>
      <c r="O82" s="62"/>
      <c r="P82" s="62"/>
      <c r="Q82" s="62"/>
      <c r="R82" s="62"/>
      <c r="S82" s="62"/>
      <c r="T82" s="62"/>
      <c r="U82" s="62"/>
      <c r="V82" s="62"/>
      <c r="W82" s="62"/>
      <c r="X82" s="62"/>
      <c r="Y82" s="62"/>
      <c r="Z82" s="62"/>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row>
    <row r="83" spans="1:52" x14ac:dyDescent="0.25">
      <c r="A83" s="62"/>
      <c r="B83" s="62"/>
      <c r="C83" s="62"/>
      <c r="D83" s="62"/>
      <c r="E83" s="62"/>
      <c r="F83" s="62"/>
      <c r="G83" s="62"/>
      <c r="H83" s="62"/>
      <c r="I83" s="62"/>
      <c r="J83" s="62"/>
      <c r="K83" s="62"/>
      <c r="L83" s="60"/>
      <c r="M83" s="62"/>
      <c r="N83" s="62"/>
      <c r="O83" s="62"/>
      <c r="P83" s="62"/>
      <c r="Q83" s="62"/>
      <c r="R83" s="62"/>
      <c r="S83" s="62"/>
      <c r="T83" s="62"/>
      <c r="U83" s="62"/>
      <c r="V83" s="62"/>
      <c r="W83" s="62"/>
      <c r="X83" s="62"/>
      <c r="Y83" s="62"/>
      <c r="Z83" s="62"/>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row>
    <row r="84" spans="1:52" x14ac:dyDescent="0.25">
      <c r="A84" s="62"/>
      <c r="B84" s="62"/>
      <c r="C84" s="62"/>
      <c r="D84" s="62"/>
      <c r="E84" s="62"/>
      <c r="F84" s="62"/>
      <c r="G84" s="62"/>
      <c r="H84" s="62"/>
      <c r="I84" s="62"/>
      <c r="J84" s="62"/>
      <c r="K84" s="62"/>
      <c r="L84" s="60"/>
      <c r="M84" s="62"/>
      <c r="N84" s="62"/>
      <c r="O84" s="62"/>
      <c r="P84" s="62"/>
      <c r="Q84" s="62"/>
      <c r="R84" s="62"/>
      <c r="S84" s="62"/>
      <c r="T84" s="62"/>
      <c r="U84" s="62"/>
      <c r="V84" s="62"/>
      <c r="W84" s="62"/>
      <c r="X84" s="62"/>
      <c r="Y84" s="62"/>
      <c r="Z84" s="62"/>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row>
    <row r="85" spans="1:52" x14ac:dyDescent="0.25">
      <c r="A85" s="62"/>
      <c r="B85" s="62"/>
      <c r="C85" s="62"/>
      <c r="D85" s="62"/>
      <c r="E85" s="62"/>
      <c r="F85" s="62"/>
      <c r="G85" s="62"/>
      <c r="H85" s="62"/>
      <c r="I85" s="62"/>
      <c r="J85" s="62"/>
      <c r="K85" s="62"/>
      <c r="L85" s="60"/>
      <c r="M85" s="62"/>
      <c r="N85" s="62"/>
      <c r="O85" s="62"/>
      <c r="P85" s="62"/>
      <c r="Q85" s="62"/>
      <c r="R85" s="62"/>
      <c r="S85" s="62"/>
      <c r="T85" s="62"/>
      <c r="U85" s="62"/>
      <c r="V85" s="62"/>
      <c r="W85" s="62"/>
      <c r="X85" s="62"/>
      <c r="Y85" s="62"/>
      <c r="Z85" s="62"/>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row>
    <row r="86" spans="1:52" x14ac:dyDescent="0.25">
      <c r="A86" s="62"/>
      <c r="B86" s="62"/>
      <c r="C86" s="62"/>
      <c r="D86" s="62"/>
      <c r="E86" s="62"/>
      <c r="F86" s="62"/>
      <c r="G86" s="62"/>
      <c r="H86" s="62"/>
      <c r="I86" s="62"/>
      <c r="J86" s="62"/>
      <c r="K86" s="62"/>
      <c r="L86" s="60"/>
      <c r="M86" s="62"/>
      <c r="N86" s="62"/>
      <c r="O86" s="62"/>
      <c r="P86" s="62"/>
      <c r="Q86" s="62"/>
      <c r="R86" s="62"/>
      <c r="S86" s="62"/>
      <c r="T86" s="62"/>
      <c r="U86" s="62"/>
      <c r="V86" s="62"/>
      <c r="W86" s="62"/>
      <c r="X86" s="62"/>
      <c r="Y86" s="62"/>
      <c r="Z86" s="62"/>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row>
    <row r="87" spans="1:52" x14ac:dyDescent="0.25">
      <c r="A87" s="62"/>
      <c r="B87" s="62"/>
      <c r="C87" s="62"/>
      <c r="D87" s="62"/>
      <c r="E87" s="62"/>
      <c r="F87" s="62"/>
      <c r="G87" s="62"/>
      <c r="H87" s="62"/>
      <c r="I87" s="62"/>
      <c r="J87" s="62"/>
      <c r="K87" s="62"/>
      <c r="L87" s="60"/>
      <c r="M87" s="62"/>
      <c r="N87" s="62"/>
      <c r="O87" s="62"/>
      <c r="P87" s="62"/>
      <c r="Q87" s="62"/>
      <c r="R87" s="62"/>
      <c r="S87" s="62"/>
      <c r="T87" s="62"/>
      <c r="U87" s="62"/>
      <c r="V87" s="62"/>
      <c r="W87" s="62"/>
      <c r="X87" s="62"/>
      <c r="Y87" s="62"/>
      <c r="Z87" s="62"/>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row>
    <row r="88" spans="1:52" x14ac:dyDescent="0.25">
      <c r="A88" s="62"/>
      <c r="B88" s="62"/>
      <c r="C88" s="62"/>
      <c r="D88" s="62"/>
      <c r="E88" s="62"/>
      <c r="F88" s="62"/>
      <c r="G88" s="62"/>
      <c r="H88" s="62"/>
      <c r="I88" s="62"/>
      <c r="J88" s="62"/>
      <c r="K88" s="62"/>
      <c r="L88" s="60"/>
      <c r="M88" s="62"/>
      <c r="N88" s="62"/>
      <c r="O88" s="62"/>
      <c r="P88" s="62"/>
      <c r="Q88" s="62"/>
      <c r="R88" s="62"/>
      <c r="S88" s="62"/>
      <c r="T88" s="62"/>
      <c r="U88" s="62"/>
      <c r="V88" s="62"/>
      <c r="W88" s="62"/>
      <c r="X88" s="62"/>
      <c r="Y88" s="62"/>
      <c r="Z88" s="62"/>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row>
    <row r="89" spans="1:52" x14ac:dyDescent="0.25">
      <c r="A89" s="62"/>
      <c r="B89" s="62"/>
      <c r="C89" s="62"/>
      <c r="D89" s="62"/>
      <c r="E89" s="62"/>
      <c r="F89" s="62"/>
      <c r="G89" s="62"/>
      <c r="H89" s="62"/>
      <c r="I89" s="62"/>
      <c r="J89" s="62"/>
      <c r="K89" s="62"/>
      <c r="L89" s="60"/>
      <c r="M89" s="62"/>
      <c r="N89" s="62"/>
      <c r="O89" s="62"/>
      <c r="P89" s="62"/>
      <c r="Q89" s="62"/>
      <c r="R89" s="62"/>
      <c r="S89" s="62"/>
      <c r="T89" s="62"/>
      <c r="U89" s="62"/>
      <c r="V89" s="62"/>
      <c r="W89" s="62"/>
      <c r="X89" s="62"/>
      <c r="Y89" s="62"/>
      <c r="Z89" s="62"/>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row>
    <row r="90" spans="1:52" x14ac:dyDescent="0.25">
      <c r="A90" s="62"/>
      <c r="B90" s="62"/>
      <c r="C90" s="62"/>
      <c r="D90" s="62"/>
      <c r="E90" s="62"/>
      <c r="F90" s="62"/>
      <c r="G90" s="62"/>
      <c r="H90" s="62"/>
      <c r="I90" s="62"/>
      <c r="J90" s="62"/>
      <c r="K90" s="62"/>
      <c r="L90" s="60"/>
      <c r="M90" s="62"/>
      <c r="N90" s="62"/>
      <c r="O90" s="62"/>
      <c r="P90" s="62"/>
      <c r="Q90" s="62"/>
      <c r="R90" s="62"/>
      <c r="S90" s="62"/>
      <c r="T90" s="62"/>
      <c r="U90" s="62"/>
      <c r="V90" s="62"/>
      <c r="W90" s="62"/>
      <c r="X90" s="62"/>
      <c r="Y90" s="62"/>
      <c r="Z90" s="62"/>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row>
    <row r="91" spans="1:52" x14ac:dyDescent="0.25">
      <c r="A91" s="62"/>
      <c r="B91" s="62"/>
      <c r="C91" s="62"/>
      <c r="D91" s="62"/>
      <c r="E91" s="62"/>
      <c r="F91" s="62"/>
      <c r="G91" s="62"/>
      <c r="H91" s="62"/>
      <c r="I91" s="62"/>
      <c r="J91" s="62"/>
      <c r="K91" s="62"/>
      <c r="L91" s="60"/>
      <c r="M91" s="62"/>
      <c r="N91" s="62"/>
      <c r="O91" s="62"/>
      <c r="P91" s="62"/>
      <c r="Q91" s="62"/>
      <c r="R91" s="62"/>
      <c r="S91" s="62"/>
      <c r="T91" s="62"/>
      <c r="U91" s="62"/>
      <c r="V91" s="62"/>
      <c r="W91" s="62"/>
      <c r="X91" s="62"/>
      <c r="Y91" s="62"/>
      <c r="Z91" s="62"/>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row>
    <row r="92" spans="1:52" x14ac:dyDescent="0.25">
      <c r="A92" s="62"/>
      <c r="B92" s="62"/>
      <c r="C92" s="62"/>
      <c r="D92" s="62"/>
      <c r="E92" s="62"/>
      <c r="F92" s="62"/>
      <c r="G92" s="62"/>
      <c r="H92" s="62"/>
      <c r="I92" s="62"/>
      <c r="J92" s="62"/>
      <c r="K92" s="62"/>
      <c r="L92" s="60"/>
      <c r="M92" s="62"/>
      <c r="N92" s="62"/>
      <c r="O92" s="62"/>
      <c r="P92" s="62"/>
      <c r="Q92" s="62"/>
      <c r="R92" s="62"/>
      <c r="S92" s="62"/>
      <c r="T92" s="62"/>
      <c r="U92" s="62"/>
      <c r="V92" s="62"/>
      <c r="W92" s="62"/>
      <c r="X92" s="62"/>
      <c r="Y92" s="62"/>
      <c r="Z92" s="62"/>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row>
    <row r="93" spans="1:52" x14ac:dyDescent="0.25">
      <c r="A93" s="62"/>
      <c r="B93" s="62"/>
      <c r="C93" s="62"/>
      <c r="D93" s="62"/>
      <c r="E93" s="62"/>
      <c r="F93" s="62"/>
      <c r="G93" s="62"/>
      <c r="H93" s="62"/>
      <c r="I93" s="62"/>
      <c r="J93" s="62"/>
      <c r="K93" s="62"/>
      <c r="L93" s="60"/>
      <c r="M93" s="62"/>
      <c r="N93" s="62"/>
      <c r="O93" s="62"/>
      <c r="P93" s="62"/>
      <c r="Q93" s="62"/>
      <c r="R93" s="62"/>
      <c r="S93" s="62"/>
      <c r="T93" s="62"/>
      <c r="U93" s="62"/>
      <c r="V93" s="62"/>
      <c r="W93" s="62"/>
      <c r="X93" s="62"/>
      <c r="Y93" s="62"/>
      <c r="Z93" s="62"/>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row>
    <row r="94" spans="1:52" x14ac:dyDescent="0.25">
      <c r="A94" s="62"/>
      <c r="B94" s="62"/>
      <c r="C94" s="62"/>
      <c r="D94" s="62"/>
      <c r="E94" s="62"/>
      <c r="F94" s="62"/>
      <c r="G94" s="62"/>
      <c r="H94" s="62"/>
      <c r="I94" s="62"/>
      <c r="J94" s="62"/>
      <c r="K94" s="62"/>
      <c r="L94" s="60"/>
      <c r="M94" s="62"/>
      <c r="N94" s="62"/>
      <c r="O94" s="62"/>
      <c r="P94" s="62"/>
      <c r="Q94" s="62"/>
      <c r="R94" s="62"/>
      <c r="S94" s="62"/>
      <c r="T94" s="62"/>
      <c r="U94" s="62"/>
      <c r="V94" s="62"/>
      <c r="W94" s="62"/>
      <c r="X94" s="62"/>
      <c r="Y94" s="62"/>
      <c r="Z94" s="62"/>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row>
    <row r="95" spans="1:52" x14ac:dyDescent="0.25">
      <c r="A95" s="62"/>
      <c r="B95" s="62"/>
      <c r="C95" s="62"/>
      <c r="D95" s="62"/>
      <c r="E95" s="62"/>
      <c r="F95" s="62"/>
      <c r="G95" s="62"/>
      <c r="H95" s="62"/>
      <c r="I95" s="62"/>
      <c r="J95" s="62"/>
      <c r="K95" s="62"/>
      <c r="L95" s="60"/>
      <c r="M95" s="62"/>
      <c r="N95" s="62"/>
      <c r="O95" s="62"/>
      <c r="P95" s="62"/>
      <c r="Q95" s="62"/>
      <c r="R95" s="62"/>
      <c r="S95" s="62"/>
      <c r="T95" s="62"/>
      <c r="U95" s="62"/>
      <c r="V95" s="62"/>
      <c r="W95" s="62"/>
      <c r="X95" s="62"/>
      <c r="Y95" s="62"/>
      <c r="Z95" s="62"/>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row>
    <row r="96" spans="1:52" x14ac:dyDescent="0.25">
      <c r="A96" s="62"/>
      <c r="B96" s="62"/>
      <c r="C96" s="62"/>
      <c r="D96" s="62"/>
      <c r="E96" s="62"/>
      <c r="F96" s="62"/>
      <c r="G96" s="62"/>
      <c r="H96" s="62"/>
      <c r="I96" s="62"/>
      <c r="J96" s="62"/>
      <c r="K96" s="62"/>
      <c r="L96" s="60"/>
      <c r="M96" s="62"/>
      <c r="N96" s="62"/>
      <c r="O96" s="62"/>
      <c r="P96" s="62"/>
      <c r="Q96" s="62"/>
      <c r="R96" s="62"/>
      <c r="S96" s="62"/>
      <c r="T96" s="62"/>
      <c r="U96" s="62"/>
      <c r="V96" s="62"/>
      <c r="W96" s="62"/>
      <c r="X96" s="62"/>
      <c r="Y96" s="62"/>
      <c r="Z96" s="62"/>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row>
    <row r="97" spans="1:52" x14ac:dyDescent="0.25">
      <c r="A97" s="62"/>
      <c r="B97" s="62"/>
      <c r="C97" s="62"/>
      <c r="D97" s="62"/>
      <c r="E97" s="62"/>
      <c r="F97" s="62"/>
      <c r="G97" s="62"/>
      <c r="H97" s="62"/>
      <c r="I97" s="62"/>
      <c r="J97" s="62"/>
      <c r="K97" s="62"/>
      <c r="L97" s="60"/>
      <c r="M97" s="62"/>
      <c r="N97" s="62"/>
      <c r="O97" s="62"/>
      <c r="P97" s="62"/>
      <c r="Q97" s="62"/>
      <c r="R97" s="62"/>
      <c r="S97" s="62"/>
      <c r="T97" s="62"/>
      <c r="U97" s="62"/>
      <c r="V97" s="62"/>
      <c r="W97" s="62"/>
      <c r="X97" s="62"/>
      <c r="Y97" s="62"/>
      <c r="Z97" s="62"/>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row>
    <row r="98" spans="1:52" x14ac:dyDescent="0.25">
      <c r="A98" s="62"/>
      <c r="B98" s="62"/>
      <c r="C98" s="62"/>
      <c r="D98" s="62"/>
      <c r="E98" s="62"/>
      <c r="F98" s="62"/>
      <c r="G98" s="62"/>
      <c r="H98" s="62"/>
      <c r="I98" s="62"/>
      <c r="J98" s="62"/>
      <c r="K98" s="62"/>
      <c r="L98" s="60"/>
      <c r="M98" s="62"/>
      <c r="N98" s="62"/>
      <c r="O98" s="62"/>
      <c r="P98" s="62"/>
      <c r="Q98" s="62"/>
      <c r="R98" s="62"/>
      <c r="S98" s="62"/>
      <c r="T98" s="62"/>
      <c r="U98" s="62"/>
      <c r="V98" s="62"/>
      <c r="W98" s="62"/>
      <c r="X98" s="62"/>
      <c r="Y98" s="62"/>
      <c r="Z98" s="62"/>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row>
    <row r="99" spans="1:52" x14ac:dyDescent="0.25">
      <c r="A99" s="62"/>
      <c r="B99" s="62"/>
      <c r="C99" s="62"/>
      <c r="D99" s="62"/>
      <c r="E99" s="62"/>
      <c r="F99" s="62"/>
      <c r="G99" s="62"/>
      <c r="H99" s="62"/>
      <c r="I99" s="62"/>
      <c r="J99" s="62"/>
      <c r="K99" s="62"/>
      <c r="L99" s="60"/>
      <c r="M99" s="62"/>
      <c r="N99" s="62"/>
      <c r="O99" s="62"/>
      <c r="P99" s="62"/>
      <c r="Q99" s="62"/>
      <c r="R99" s="62"/>
      <c r="S99" s="62"/>
      <c r="T99" s="62"/>
      <c r="U99" s="62"/>
      <c r="V99" s="62"/>
      <c r="W99" s="62"/>
      <c r="X99" s="62"/>
      <c r="Y99" s="62"/>
      <c r="Z99" s="62"/>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row>
    <row r="100" spans="1:52" x14ac:dyDescent="0.25">
      <c r="A100" s="62"/>
      <c r="B100" s="62"/>
      <c r="C100" s="62"/>
      <c r="D100" s="62"/>
      <c r="E100" s="62"/>
      <c r="F100" s="62"/>
      <c r="G100" s="62"/>
      <c r="H100" s="62"/>
      <c r="I100" s="62"/>
      <c r="J100" s="62"/>
      <c r="K100" s="62"/>
      <c r="L100" s="60"/>
      <c r="M100" s="62"/>
      <c r="N100" s="62"/>
      <c r="O100" s="62"/>
      <c r="P100" s="62"/>
      <c r="Q100" s="62"/>
      <c r="R100" s="62"/>
      <c r="S100" s="62"/>
      <c r="T100" s="62"/>
      <c r="U100" s="62"/>
      <c r="V100" s="62"/>
      <c r="W100" s="62"/>
      <c r="X100" s="62"/>
      <c r="Y100" s="62"/>
      <c r="Z100" s="62"/>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row>
    <row r="101" spans="1:52" x14ac:dyDescent="0.25">
      <c r="A101" s="62"/>
      <c r="B101" s="62"/>
      <c r="C101" s="62"/>
      <c r="D101" s="62"/>
      <c r="E101" s="62"/>
      <c r="F101" s="62"/>
      <c r="G101" s="62"/>
      <c r="H101" s="62"/>
      <c r="I101" s="62"/>
      <c r="J101" s="62"/>
      <c r="K101" s="62"/>
      <c r="L101" s="60"/>
      <c r="M101" s="62"/>
      <c r="N101" s="62"/>
      <c r="O101" s="62"/>
      <c r="P101" s="62"/>
      <c r="Q101" s="62"/>
      <c r="R101" s="62"/>
      <c r="S101" s="62"/>
      <c r="T101" s="62"/>
      <c r="U101" s="62"/>
      <c r="V101" s="62"/>
      <c r="W101" s="62"/>
      <c r="X101" s="62"/>
      <c r="Y101" s="62"/>
      <c r="Z101" s="62"/>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row>
    <row r="102" spans="1:52" x14ac:dyDescent="0.25">
      <c r="A102" s="62"/>
      <c r="B102" s="62"/>
      <c r="C102" s="62"/>
      <c r="D102" s="62"/>
      <c r="E102" s="62"/>
      <c r="F102" s="62"/>
      <c r="G102" s="62"/>
      <c r="H102" s="62"/>
      <c r="I102" s="62"/>
      <c r="J102" s="62"/>
      <c r="K102" s="62"/>
      <c r="L102" s="60"/>
      <c r="M102" s="62"/>
      <c r="N102" s="62"/>
      <c r="O102" s="62"/>
      <c r="P102" s="62"/>
      <c r="Q102" s="62"/>
      <c r="R102" s="62"/>
      <c r="S102" s="62"/>
      <c r="T102" s="62"/>
      <c r="U102" s="62"/>
      <c r="V102" s="62"/>
      <c r="W102" s="62"/>
      <c r="X102" s="62"/>
      <c r="Y102" s="62"/>
      <c r="Z102" s="62"/>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row>
    <row r="103" spans="1:52" x14ac:dyDescent="0.25">
      <c r="A103" s="62"/>
      <c r="B103" s="62"/>
      <c r="C103" s="62"/>
      <c r="D103" s="62"/>
      <c r="E103" s="62"/>
      <c r="F103" s="62"/>
      <c r="G103" s="62"/>
      <c r="H103" s="62"/>
      <c r="I103" s="62"/>
      <c r="J103" s="62"/>
      <c r="K103" s="62"/>
      <c r="L103" s="60"/>
      <c r="M103" s="62"/>
      <c r="N103" s="62"/>
      <c r="O103" s="62"/>
      <c r="P103" s="62"/>
      <c r="Q103" s="62"/>
      <c r="R103" s="62"/>
      <c r="S103" s="62"/>
      <c r="T103" s="62"/>
      <c r="U103" s="62"/>
      <c r="V103" s="62"/>
      <c r="W103" s="62"/>
      <c r="X103" s="62"/>
      <c r="Y103" s="62"/>
      <c r="Z103" s="62"/>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row>
    <row r="104" spans="1:52" x14ac:dyDescent="0.25">
      <c r="A104" s="62"/>
      <c r="B104" s="62"/>
      <c r="C104" s="62"/>
      <c r="D104" s="62"/>
      <c r="E104" s="62"/>
      <c r="F104" s="62"/>
      <c r="G104" s="62"/>
      <c r="H104" s="62"/>
      <c r="I104" s="62"/>
      <c r="J104" s="62"/>
      <c r="K104" s="62"/>
      <c r="L104" s="60"/>
      <c r="M104" s="62"/>
      <c r="N104" s="62"/>
      <c r="O104" s="62"/>
      <c r="P104" s="62"/>
      <c r="Q104" s="62"/>
      <c r="R104" s="62"/>
      <c r="S104" s="62"/>
      <c r="T104" s="62"/>
      <c r="U104" s="62"/>
      <c r="V104" s="62"/>
      <c r="W104" s="62"/>
      <c r="X104" s="62"/>
      <c r="Y104" s="62"/>
      <c r="Z104" s="62"/>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row>
    <row r="105" spans="1:52" x14ac:dyDescent="0.25">
      <c r="A105" s="62"/>
      <c r="B105" s="62"/>
      <c r="C105" s="62"/>
      <c r="D105" s="62"/>
      <c r="E105" s="62"/>
      <c r="F105" s="62"/>
      <c r="G105" s="62"/>
      <c r="H105" s="62"/>
      <c r="I105" s="62"/>
      <c r="J105" s="62"/>
      <c r="K105" s="62"/>
      <c r="L105" s="60"/>
      <c r="M105" s="62"/>
      <c r="N105" s="62"/>
      <c r="O105" s="62"/>
      <c r="P105" s="62"/>
      <c r="Q105" s="62"/>
      <c r="R105" s="62"/>
      <c r="S105" s="62"/>
      <c r="T105" s="62"/>
      <c r="U105" s="62"/>
      <c r="V105" s="62"/>
      <c r="W105" s="62"/>
      <c r="X105" s="62"/>
      <c r="Y105" s="62"/>
      <c r="Z105" s="62"/>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row>
    <row r="106" spans="1:52" x14ac:dyDescent="0.25">
      <c r="A106" s="62"/>
      <c r="B106" s="62"/>
      <c r="C106" s="62"/>
      <c r="D106" s="62"/>
      <c r="E106" s="62"/>
      <c r="F106" s="62"/>
      <c r="G106" s="62"/>
      <c r="H106" s="62"/>
      <c r="I106" s="62"/>
      <c r="J106" s="62"/>
      <c r="K106" s="62"/>
      <c r="L106" s="60"/>
      <c r="M106" s="62"/>
      <c r="N106" s="62"/>
      <c r="O106" s="62"/>
      <c r="P106" s="62"/>
      <c r="Q106" s="62"/>
      <c r="R106" s="62"/>
      <c r="S106" s="62"/>
      <c r="T106" s="62"/>
      <c r="U106" s="62"/>
      <c r="V106" s="62"/>
      <c r="W106" s="62"/>
      <c r="X106" s="62"/>
      <c r="Y106" s="62"/>
      <c r="Z106" s="62"/>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row>
    <row r="107" spans="1:52" x14ac:dyDescent="0.25">
      <c r="A107" s="62"/>
      <c r="B107" s="62"/>
      <c r="C107" s="62"/>
      <c r="D107" s="62"/>
      <c r="E107" s="62"/>
      <c r="F107" s="62"/>
      <c r="G107" s="62"/>
      <c r="H107" s="62"/>
      <c r="I107" s="62"/>
      <c r="J107" s="62"/>
      <c r="K107" s="62"/>
      <c r="L107" s="60"/>
      <c r="M107" s="62"/>
      <c r="N107" s="62"/>
      <c r="O107" s="62"/>
      <c r="P107" s="62"/>
      <c r="Q107" s="62"/>
      <c r="R107" s="62"/>
      <c r="S107" s="62"/>
      <c r="T107" s="62"/>
      <c r="U107" s="62"/>
      <c r="V107" s="62"/>
      <c r="W107" s="62"/>
      <c r="X107" s="62"/>
      <c r="Y107" s="62"/>
      <c r="Z107" s="62"/>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row>
    <row r="108" spans="1:52" x14ac:dyDescent="0.25">
      <c r="A108" s="62"/>
      <c r="B108" s="62"/>
      <c r="C108" s="62"/>
      <c r="D108" s="62"/>
      <c r="E108" s="62"/>
      <c r="F108" s="62"/>
      <c r="G108" s="62"/>
      <c r="H108" s="62"/>
      <c r="I108" s="62"/>
      <c r="J108" s="62"/>
      <c r="K108" s="62"/>
      <c r="L108" s="60"/>
      <c r="M108" s="62"/>
      <c r="N108" s="62"/>
      <c r="O108" s="62"/>
      <c r="P108" s="62"/>
      <c r="Q108" s="62"/>
      <c r="R108" s="62"/>
      <c r="S108" s="62"/>
      <c r="T108" s="62"/>
      <c r="U108" s="62"/>
      <c r="V108" s="62"/>
      <c r="W108" s="62"/>
      <c r="X108" s="62"/>
      <c r="Y108" s="62"/>
      <c r="Z108" s="62"/>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row>
    <row r="109" spans="1:52" x14ac:dyDescent="0.25">
      <c r="A109" s="62"/>
      <c r="B109" s="62"/>
      <c r="C109" s="62"/>
      <c r="D109" s="62"/>
      <c r="E109" s="62"/>
      <c r="F109" s="62"/>
      <c r="G109" s="62"/>
      <c r="H109" s="62"/>
      <c r="I109" s="62"/>
      <c r="J109" s="62"/>
      <c r="K109" s="62"/>
      <c r="L109" s="60"/>
      <c r="M109" s="62"/>
      <c r="N109" s="62"/>
      <c r="O109" s="62"/>
      <c r="P109" s="62"/>
      <c r="Q109" s="62"/>
      <c r="R109" s="62"/>
      <c r="S109" s="62"/>
      <c r="T109" s="62"/>
      <c r="U109" s="62"/>
      <c r="V109" s="62"/>
      <c r="W109" s="62"/>
      <c r="X109" s="62"/>
      <c r="Y109" s="62"/>
      <c r="Z109" s="62"/>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row>
    <row r="110" spans="1:52" x14ac:dyDescent="0.25">
      <c r="A110" s="62"/>
      <c r="B110" s="62"/>
      <c r="C110" s="62"/>
      <c r="D110" s="62"/>
      <c r="E110" s="62"/>
      <c r="F110" s="62"/>
      <c r="G110" s="62"/>
      <c r="H110" s="62"/>
      <c r="I110" s="62"/>
      <c r="J110" s="62"/>
      <c r="K110" s="62"/>
      <c r="L110" s="60"/>
      <c r="M110" s="62"/>
      <c r="N110" s="62"/>
      <c r="O110" s="62"/>
      <c r="P110" s="62"/>
      <c r="Q110" s="62"/>
      <c r="R110" s="62"/>
      <c r="S110" s="62"/>
      <c r="T110" s="62"/>
      <c r="U110" s="62"/>
      <c r="V110" s="62"/>
      <c r="W110" s="62"/>
      <c r="X110" s="62"/>
      <c r="Y110" s="62"/>
      <c r="Z110" s="62"/>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row>
    <row r="111" spans="1:52" x14ac:dyDescent="0.25">
      <c r="A111" s="62"/>
      <c r="B111" s="62"/>
      <c r="C111" s="62"/>
      <c r="D111" s="62"/>
      <c r="E111" s="62"/>
      <c r="F111" s="62"/>
      <c r="G111" s="62"/>
      <c r="H111" s="62"/>
      <c r="I111" s="62"/>
      <c r="J111" s="62"/>
      <c r="K111" s="62"/>
      <c r="L111" s="60"/>
      <c r="M111" s="62"/>
      <c r="N111" s="62"/>
      <c r="O111" s="62"/>
      <c r="P111" s="62"/>
      <c r="Q111" s="62"/>
      <c r="R111" s="62"/>
      <c r="S111" s="62"/>
      <c r="T111" s="62"/>
      <c r="U111" s="62"/>
      <c r="V111" s="62"/>
      <c r="W111" s="62"/>
      <c r="X111" s="62"/>
      <c r="Y111" s="62"/>
      <c r="Z111" s="62"/>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row>
    <row r="112" spans="1:52" x14ac:dyDescent="0.25">
      <c r="A112" s="62"/>
      <c r="B112" s="62"/>
      <c r="C112" s="62"/>
      <c r="D112" s="62"/>
      <c r="E112" s="62"/>
      <c r="F112" s="62"/>
      <c r="G112" s="62"/>
      <c r="H112" s="62"/>
      <c r="I112" s="62"/>
      <c r="J112" s="62"/>
      <c r="K112" s="62"/>
      <c r="L112" s="60"/>
      <c r="M112" s="62"/>
      <c r="N112" s="62"/>
      <c r="O112" s="62"/>
      <c r="P112" s="62"/>
      <c r="Q112" s="62"/>
      <c r="R112" s="62"/>
      <c r="S112" s="62"/>
      <c r="T112" s="62"/>
      <c r="U112" s="62"/>
      <c r="V112" s="62"/>
      <c r="W112" s="62"/>
      <c r="X112" s="62"/>
      <c r="Y112" s="62"/>
      <c r="Z112" s="62"/>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row>
    <row r="113" spans="1:52" x14ac:dyDescent="0.25">
      <c r="A113" s="62"/>
      <c r="B113" s="62"/>
      <c r="C113" s="62"/>
      <c r="D113" s="62"/>
      <c r="E113" s="62"/>
      <c r="F113" s="62"/>
      <c r="G113" s="62"/>
      <c r="H113" s="62"/>
      <c r="I113" s="62"/>
      <c r="J113" s="62"/>
      <c r="K113" s="62"/>
      <c r="L113" s="60"/>
      <c r="M113" s="62"/>
      <c r="N113" s="62"/>
      <c r="O113" s="62"/>
      <c r="P113" s="62"/>
      <c r="Q113" s="62"/>
      <c r="R113" s="62"/>
      <c r="S113" s="62"/>
      <c r="T113" s="62"/>
      <c r="U113" s="62"/>
      <c r="V113" s="62"/>
      <c r="W113" s="62"/>
      <c r="X113" s="62"/>
      <c r="Y113" s="62"/>
      <c r="Z113" s="62"/>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row>
    <row r="114" spans="1:52" x14ac:dyDescent="0.25">
      <c r="A114" s="62"/>
      <c r="B114" s="62"/>
      <c r="C114" s="62"/>
      <c r="D114" s="62"/>
      <c r="E114" s="62"/>
      <c r="F114" s="62"/>
      <c r="G114" s="62"/>
      <c r="H114" s="62"/>
      <c r="I114" s="62"/>
      <c r="J114" s="62"/>
      <c r="K114" s="62"/>
      <c r="L114" s="60"/>
      <c r="M114" s="62"/>
      <c r="N114" s="62"/>
      <c r="O114" s="62"/>
      <c r="P114" s="62"/>
      <c r="Q114" s="62"/>
      <c r="R114" s="62"/>
      <c r="S114" s="62"/>
      <c r="T114" s="62"/>
      <c r="U114" s="62"/>
      <c r="V114" s="62"/>
      <c r="W114" s="62"/>
      <c r="X114" s="62"/>
      <c r="Y114" s="62"/>
      <c r="Z114" s="62"/>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row>
    <row r="115" spans="1:52" x14ac:dyDescent="0.25">
      <c r="A115" s="62"/>
      <c r="B115" s="62"/>
      <c r="C115" s="62"/>
      <c r="D115" s="62"/>
      <c r="E115" s="62"/>
      <c r="F115" s="62"/>
      <c r="G115" s="62"/>
      <c r="H115" s="62"/>
      <c r="I115" s="62"/>
      <c r="J115" s="62"/>
      <c r="K115" s="62"/>
      <c r="L115" s="60"/>
      <c r="M115" s="62"/>
      <c r="N115" s="62"/>
      <c r="O115" s="62"/>
      <c r="P115" s="62"/>
      <c r="Q115" s="62"/>
      <c r="R115" s="62"/>
      <c r="S115" s="62"/>
      <c r="T115" s="62"/>
      <c r="U115" s="62"/>
      <c r="V115" s="62"/>
      <c r="W115" s="62"/>
      <c r="X115" s="62"/>
      <c r="Y115" s="62"/>
      <c r="Z115" s="62"/>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row>
    <row r="116" spans="1:52" x14ac:dyDescent="0.25">
      <c r="A116" s="62"/>
      <c r="B116" s="62"/>
      <c r="C116" s="62"/>
      <c r="D116" s="62"/>
      <c r="E116" s="62"/>
      <c r="F116" s="62"/>
      <c r="G116" s="62"/>
      <c r="H116" s="62"/>
      <c r="I116" s="62"/>
      <c r="J116" s="62"/>
      <c r="K116" s="62"/>
      <c r="L116" s="60"/>
      <c r="M116" s="62"/>
      <c r="N116" s="62"/>
      <c r="O116" s="62"/>
      <c r="P116" s="62"/>
      <c r="Q116" s="62"/>
      <c r="R116" s="62"/>
      <c r="S116" s="62"/>
      <c r="T116" s="62"/>
      <c r="U116" s="62"/>
      <c r="V116" s="62"/>
      <c r="W116" s="62"/>
      <c r="X116" s="62"/>
      <c r="Y116" s="62"/>
      <c r="Z116" s="62"/>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row>
    <row r="117" spans="1:52" x14ac:dyDescent="0.25">
      <c r="A117" s="62"/>
      <c r="B117" s="62"/>
      <c r="C117" s="62"/>
      <c r="D117" s="62"/>
      <c r="E117" s="62"/>
      <c r="F117" s="62"/>
      <c r="G117" s="62"/>
      <c r="H117" s="62"/>
      <c r="I117" s="62"/>
      <c r="J117" s="62"/>
      <c r="K117" s="62"/>
      <c r="L117" s="60"/>
      <c r="M117" s="62"/>
      <c r="N117" s="62"/>
      <c r="O117" s="62"/>
      <c r="P117" s="62"/>
      <c r="Q117" s="62"/>
      <c r="R117" s="62"/>
      <c r="S117" s="62"/>
      <c r="T117" s="62"/>
      <c r="U117" s="62"/>
      <c r="V117" s="62"/>
      <c r="W117" s="62"/>
      <c r="X117" s="62"/>
      <c r="Y117" s="62"/>
      <c r="Z117" s="62"/>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row>
    <row r="118" spans="1:52" x14ac:dyDescent="0.25">
      <c r="A118" s="62"/>
      <c r="B118" s="62"/>
      <c r="C118" s="62"/>
      <c r="D118" s="62"/>
      <c r="E118" s="62"/>
      <c r="F118" s="62"/>
      <c r="G118" s="62"/>
      <c r="H118" s="62"/>
      <c r="I118" s="62"/>
      <c r="J118" s="62"/>
      <c r="K118" s="62"/>
      <c r="L118" s="60"/>
      <c r="M118" s="62"/>
      <c r="N118" s="62"/>
      <c r="O118" s="62"/>
      <c r="P118" s="62"/>
      <c r="Q118" s="62"/>
      <c r="R118" s="62"/>
      <c r="S118" s="62"/>
      <c r="T118" s="62"/>
      <c r="U118" s="62"/>
      <c r="V118" s="62"/>
      <c r="W118" s="62"/>
      <c r="X118" s="62"/>
      <c r="Y118" s="62"/>
      <c r="Z118" s="62"/>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row>
    <row r="119" spans="1:52" x14ac:dyDescent="0.25">
      <c r="A119" s="62"/>
      <c r="B119" s="62"/>
      <c r="C119" s="62"/>
      <c r="D119" s="62"/>
      <c r="E119" s="62"/>
      <c r="F119" s="62"/>
      <c r="G119" s="62"/>
      <c r="H119" s="62"/>
      <c r="I119" s="62"/>
      <c r="J119" s="62"/>
      <c r="K119" s="62"/>
      <c r="L119" s="60"/>
      <c r="M119" s="62"/>
      <c r="N119" s="62"/>
      <c r="O119" s="62"/>
      <c r="P119" s="62"/>
      <c r="Q119" s="62"/>
      <c r="R119" s="62"/>
      <c r="S119" s="62"/>
      <c r="T119" s="62"/>
      <c r="U119" s="62"/>
      <c r="V119" s="62"/>
      <c r="W119" s="62"/>
      <c r="X119" s="62"/>
      <c r="Y119" s="62"/>
      <c r="Z119" s="62"/>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row>
    <row r="120" spans="1:52" x14ac:dyDescent="0.25">
      <c r="A120" s="62"/>
      <c r="B120" s="62"/>
      <c r="C120" s="62"/>
      <c r="D120" s="62"/>
      <c r="E120" s="62"/>
      <c r="F120" s="62"/>
      <c r="G120" s="62"/>
      <c r="H120" s="62"/>
      <c r="I120" s="62"/>
      <c r="J120" s="62"/>
      <c r="K120" s="62"/>
      <c r="L120" s="60"/>
      <c r="M120" s="62"/>
      <c r="N120" s="62"/>
      <c r="O120" s="62"/>
      <c r="P120" s="62"/>
      <c r="Q120" s="62"/>
      <c r="R120" s="62"/>
      <c r="S120" s="62"/>
      <c r="T120" s="62"/>
      <c r="U120" s="62"/>
      <c r="V120" s="62"/>
      <c r="W120" s="62"/>
      <c r="X120" s="62"/>
      <c r="Y120" s="62"/>
      <c r="Z120" s="62"/>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row>
    <row r="121" spans="1:52" x14ac:dyDescent="0.25">
      <c r="A121" s="62"/>
      <c r="B121" s="62"/>
      <c r="C121" s="62"/>
      <c r="D121" s="62"/>
      <c r="E121" s="62"/>
      <c r="F121" s="62"/>
      <c r="G121" s="62"/>
      <c r="H121" s="62"/>
      <c r="I121" s="62"/>
      <c r="J121" s="62"/>
      <c r="K121" s="62"/>
      <c r="L121" s="60"/>
      <c r="M121" s="62"/>
      <c r="N121" s="62"/>
      <c r="O121" s="62"/>
      <c r="P121" s="62"/>
      <c r="Q121" s="62"/>
      <c r="R121" s="62"/>
      <c r="S121" s="62"/>
      <c r="T121" s="62"/>
      <c r="U121" s="62"/>
      <c r="V121" s="62"/>
      <c r="W121" s="62"/>
      <c r="X121" s="62"/>
      <c r="Y121" s="62"/>
      <c r="Z121" s="62"/>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row>
    <row r="122" spans="1:52" x14ac:dyDescent="0.25">
      <c r="A122" s="62"/>
      <c r="B122" s="62"/>
      <c r="C122" s="62"/>
      <c r="D122" s="62"/>
      <c r="E122" s="62"/>
      <c r="F122" s="62"/>
      <c r="G122" s="62"/>
      <c r="H122" s="62"/>
      <c r="I122" s="62"/>
      <c r="J122" s="62"/>
      <c r="K122" s="62"/>
      <c r="L122" s="60"/>
      <c r="M122" s="62"/>
      <c r="N122" s="62"/>
      <c r="O122" s="62"/>
      <c r="P122" s="62"/>
      <c r="Q122" s="62"/>
      <c r="R122" s="62"/>
      <c r="S122" s="62"/>
      <c r="T122" s="62"/>
      <c r="U122" s="62"/>
      <c r="V122" s="62"/>
      <c r="W122" s="62"/>
      <c r="X122" s="62"/>
      <c r="Y122" s="62"/>
      <c r="Z122" s="62"/>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row>
    <row r="123" spans="1:52" x14ac:dyDescent="0.25">
      <c r="A123" s="62"/>
      <c r="B123" s="62"/>
      <c r="C123" s="62"/>
      <c r="D123" s="62"/>
      <c r="E123" s="62"/>
      <c r="F123" s="62"/>
      <c r="G123" s="62"/>
      <c r="H123" s="62"/>
      <c r="I123" s="62"/>
      <c r="J123" s="62"/>
      <c r="K123" s="62"/>
      <c r="L123" s="60"/>
      <c r="M123" s="62"/>
      <c r="N123" s="62"/>
      <c r="O123" s="62"/>
      <c r="P123" s="62"/>
      <c r="Q123" s="62"/>
      <c r="R123" s="62"/>
      <c r="S123" s="62"/>
      <c r="T123" s="62"/>
      <c r="U123" s="62"/>
      <c r="V123" s="62"/>
      <c r="W123" s="62"/>
      <c r="X123" s="62"/>
      <c r="Y123" s="62"/>
      <c r="Z123" s="62"/>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row>
    <row r="124" spans="1:52" x14ac:dyDescent="0.25">
      <c r="A124" s="62"/>
      <c r="B124" s="62"/>
      <c r="C124" s="62"/>
      <c r="D124" s="62"/>
      <c r="E124" s="62"/>
      <c r="F124" s="62"/>
      <c r="G124" s="62"/>
      <c r="H124" s="62"/>
      <c r="I124" s="62"/>
      <c r="J124" s="62"/>
      <c r="K124" s="62"/>
      <c r="L124" s="60"/>
      <c r="M124" s="62"/>
      <c r="N124" s="62"/>
      <c r="O124" s="62"/>
      <c r="P124" s="62"/>
      <c r="Q124" s="62"/>
      <c r="R124" s="62"/>
      <c r="S124" s="62"/>
      <c r="T124" s="62"/>
      <c r="U124" s="62"/>
      <c r="V124" s="62"/>
      <c r="W124" s="62"/>
      <c r="X124" s="62"/>
      <c r="Y124" s="62"/>
      <c r="Z124" s="62"/>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row>
    <row r="125" spans="1:52" x14ac:dyDescent="0.25">
      <c r="A125" s="62"/>
      <c r="B125" s="62"/>
      <c r="C125" s="62"/>
      <c r="D125" s="62"/>
      <c r="E125" s="62"/>
      <c r="F125" s="62"/>
      <c r="G125" s="62"/>
      <c r="H125" s="62"/>
      <c r="I125" s="62"/>
      <c r="J125" s="62"/>
      <c r="K125" s="62"/>
      <c r="L125" s="60"/>
      <c r="M125" s="62"/>
      <c r="N125" s="62"/>
      <c r="O125" s="62"/>
      <c r="P125" s="62"/>
      <c r="Q125" s="62"/>
      <c r="R125" s="62"/>
      <c r="S125" s="62"/>
      <c r="T125" s="62"/>
      <c r="U125" s="62"/>
      <c r="V125" s="62"/>
      <c r="W125" s="62"/>
      <c r="X125" s="62"/>
      <c r="Y125" s="62"/>
      <c r="Z125" s="62"/>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row>
    <row r="126" spans="1:52" x14ac:dyDescent="0.25">
      <c r="A126" s="62"/>
      <c r="B126" s="62"/>
      <c r="C126" s="62"/>
      <c r="D126" s="62"/>
      <c r="E126" s="62"/>
      <c r="F126" s="62"/>
      <c r="G126" s="62"/>
      <c r="H126" s="62"/>
      <c r="I126" s="62"/>
      <c r="J126" s="62"/>
      <c r="K126" s="62"/>
      <c r="L126" s="60"/>
      <c r="M126" s="62"/>
      <c r="N126" s="62"/>
      <c r="O126" s="62"/>
      <c r="P126" s="62"/>
      <c r="Q126" s="62"/>
      <c r="R126" s="62"/>
      <c r="S126" s="62"/>
      <c r="T126" s="62"/>
      <c r="U126" s="62"/>
      <c r="V126" s="62"/>
      <c r="W126" s="62"/>
      <c r="X126" s="62"/>
      <c r="Y126" s="62"/>
      <c r="Z126" s="62"/>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row>
    <row r="127" spans="1:52" x14ac:dyDescent="0.25">
      <c r="A127" s="62"/>
      <c r="B127" s="62"/>
      <c r="C127" s="62"/>
      <c r="D127" s="62"/>
      <c r="E127" s="62"/>
      <c r="F127" s="62"/>
      <c r="G127" s="62"/>
      <c r="H127" s="62"/>
      <c r="I127" s="62"/>
      <c r="J127" s="62"/>
      <c r="K127" s="62"/>
      <c r="L127" s="60"/>
      <c r="M127" s="62"/>
      <c r="N127" s="62"/>
      <c r="O127" s="62"/>
      <c r="P127" s="62"/>
      <c r="Q127" s="62"/>
      <c r="R127" s="62"/>
      <c r="S127" s="62"/>
      <c r="T127" s="62"/>
      <c r="U127" s="62"/>
      <c r="V127" s="62"/>
      <c r="W127" s="62"/>
      <c r="X127" s="62"/>
      <c r="Y127" s="62"/>
      <c r="Z127" s="62"/>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row>
    <row r="128" spans="1:52" x14ac:dyDescent="0.25">
      <c r="A128" s="62"/>
      <c r="B128" s="62"/>
      <c r="C128" s="62"/>
      <c r="D128" s="62"/>
      <c r="E128" s="62"/>
      <c r="F128" s="62"/>
      <c r="G128" s="62"/>
      <c r="H128" s="62"/>
      <c r="I128" s="62"/>
      <c r="J128" s="62"/>
      <c r="K128" s="62"/>
      <c r="L128" s="60"/>
      <c r="M128" s="62"/>
      <c r="N128" s="62"/>
      <c r="O128" s="62"/>
      <c r="P128" s="62"/>
      <c r="Q128" s="62"/>
      <c r="R128" s="62"/>
      <c r="S128" s="62"/>
      <c r="T128" s="62"/>
      <c r="U128" s="62"/>
      <c r="V128" s="62"/>
      <c r="W128" s="62"/>
      <c r="X128" s="62"/>
      <c r="Y128" s="62"/>
      <c r="Z128" s="62"/>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row>
    <row r="129" spans="1:52" x14ac:dyDescent="0.25">
      <c r="A129" s="62"/>
      <c r="B129" s="62"/>
      <c r="C129" s="62"/>
      <c r="D129" s="62"/>
      <c r="E129" s="62"/>
      <c r="F129" s="62"/>
      <c r="G129" s="62"/>
      <c r="H129" s="62"/>
      <c r="I129" s="62"/>
      <c r="J129" s="62"/>
      <c r="K129" s="62"/>
      <c r="L129" s="60"/>
      <c r="M129" s="62"/>
      <c r="N129" s="62"/>
      <c r="O129" s="62"/>
      <c r="P129" s="62"/>
      <c r="Q129" s="62"/>
      <c r="R129" s="62"/>
      <c r="S129" s="62"/>
      <c r="T129" s="62"/>
      <c r="U129" s="62"/>
      <c r="V129" s="62"/>
      <c r="W129" s="62"/>
      <c r="X129" s="62"/>
      <c r="Y129" s="62"/>
      <c r="Z129" s="62"/>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row>
    <row r="130" spans="1:52" x14ac:dyDescent="0.25">
      <c r="A130" s="62"/>
      <c r="B130" s="62"/>
      <c r="C130" s="62"/>
      <c r="D130" s="62"/>
      <c r="E130" s="62"/>
      <c r="F130" s="62"/>
      <c r="G130" s="62"/>
      <c r="H130" s="62"/>
      <c r="I130" s="62"/>
      <c r="J130" s="62"/>
      <c r="K130" s="62"/>
      <c r="L130" s="60"/>
      <c r="M130" s="62"/>
      <c r="N130" s="62"/>
      <c r="O130" s="62"/>
      <c r="P130" s="62"/>
      <c r="Q130" s="62"/>
      <c r="R130" s="62"/>
      <c r="S130" s="62"/>
      <c r="T130" s="62"/>
      <c r="U130" s="62"/>
      <c r="V130" s="62"/>
      <c r="W130" s="62"/>
      <c r="X130" s="62"/>
      <c r="Y130" s="62"/>
      <c r="Z130" s="62"/>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row>
    <row r="131" spans="1:52" x14ac:dyDescent="0.25">
      <c r="A131" s="62"/>
      <c r="B131" s="62"/>
      <c r="C131" s="62"/>
      <c r="D131" s="62"/>
      <c r="E131" s="62"/>
      <c r="F131" s="62"/>
      <c r="G131" s="62"/>
      <c r="H131" s="62"/>
      <c r="I131" s="62"/>
      <c r="J131" s="62"/>
      <c r="K131" s="62"/>
      <c r="L131" s="60"/>
      <c r="M131" s="62"/>
      <c r="N131" s="62"/>
      <c r="O131" s="62"/>
      <c r="P131" s="62"/>
      <c r="Q131" s="62"/>
      <c r="R131" s="62"/>
      <c r="S131" s="62"/>
      <c r="T131" s="62"/>
      <c r="U131" s="62"/>
      <c r="V131" s="62"/>
      <c r="W131" s="62"/>
      <c r="X131" s="62"/>
      <c r="Y131" s="62"/>
      <c r="Z131" s="62"/>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row>
    <row r="132" spans="1:52" x14ac:dyDescent="0.25">
      <c r="A132" s="62"/>
      <c r="B132" s="62"/>
      <c r="C132" s="62"/>
      <c r="D132" s="62"/>
      <c r="E132" s="62"/>
      <c r="F132" s="62"/>
      <c r="G132" s="62"/>
      <c r="H132" s="62"/>
      <c r="I132" s="62"/>
      <c r="J132" s="62"/>
      <c r="K132" s="62"/>
      <c r="L132" s="60"/>
      <c r="M132" s="62"/>
      <c r="N132" s="62"/>
      <c r="O132" s="62"/>
      <c r="P132" s="62"/>
      <c r="Q132" s="62"/>
      <c r="R132" s="62"/>
      <c r="S132" s="62"/>
      <c r="T132" s="62"/>
      <c r="U132" s="62"/>
      <c r="V132" s="62"/>
      <c r="W132" s="62"/>
      <c r="X132" s="62"/>
      <c r="Y132" s="62"/>
      <c r="Z132" s="62"/>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row>
    <row r="133" spans="1:52" x14ac:dyDescent="0.25">
      <c r="A133" s="62"/>
      <c r="B133" s="62"/>
      <c r="C133" s="62"/>
      <c r="D133" s="62"/>
      <c r="E133" s="62"/>
      <c r="F133" s="62"/>
      <c r="G133" s="62"/>
      <c r="H133" s="62"/>
      <c r="I133" s="62"/>
      <c r="J133" s="62"/>
      <c r="K133" s="62"/>
      <c r="L133" s="60"/>
      <c r="M133" s="62"/>
      <c r="N133" s="62"/>
      <c r="O133" s="62"/>
      <c r="P133" s="62"/>
      <c r="Q133" s="62"/>
      <c r="R133" s="62"/>
      <c r="S133" s="62"/>
      <c r="T133" s="62"/>
      <c r="U133" s="62"/>
      <c r="V133" s="62"/>
      <c r="W133" s="62"/>
      <c r="X133" s="62"/>
      <c r="Y133" s="62"/>
      <c r="Z133" s="62"/>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row>
    <row r="134" spans="1:52" x14ac:dyDescent="0.25">
      <c r="A134" s="62"/>
      <c r="B134" s="62"/>
      <c r="C134" s="62"/>
      <c r="D134" s="62"/>
      <c r="E134" s="62"/>
      <c r="F134" s="62"/>
      <c r="G134" s="62"/>
      <c r="H134" s="62"/>
      <c r="I134" s="62"/>
      <c r="J134" s="62"/>
      <c r="K134" s="62"/>
      <c r="L134" s="60"/>
      <c r="M134" s="62"/>
      <c r="N134" s="62"/>
      <c r="O134" s="62"/>
      <c r="P134" s="62"/>
      <c r="Q134" s="62"/>
      <c r="R134" s="62"/>
      <c r="S134" s="62"/>
      <c r="T134" s="62"/>
      <c r="U134" s="62"/>
      <c r="V134" s="62"/>
      <c r="W134" s="62"/>
      <c r="X134" s="62"/>
      <c r="Y134" s="62"/>
      <c r="Z134" s="62"/>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row>
    <row r="135" spans="1:52" x14ac:dyDescent="0.25">
      <c r="A135" s="62"/>
      <c r="B135" s="62"/>
      <c r="C135" s="62"/>
      <c r="D135" s="62"/>
      <c r="E135" s="62"/>
      <c r="F135" s="62"/>
      <c r="G135" s="62"/>
      <c r="H135" s="62"/>
      <c r="I135" s="62"/>
      <c r="J135" s="62"/>
      <c r="K135" s="62"/>
      <c r="L135" s="60"/>
      <c r="M135" s="62"/>
      <c r="N135" s="62"/>
      <c r="O135" s="62"/>
      <c r="P135" s="62"/>
      <c r="Q135" s="62"/>
      <c r="R135" s="62"/>
      <c r="S135" s="62"/>
      <c r="T135" s="62"/>
      <c r="U135" s="62"/>
      <c r="V135" s="62"/>
      <c r="W135" s="62"/>
      <c r="X135" s="62"/>
      <c r="Y135" s="62"/>
      <c r="Z135" s="62"/>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row>
    <row r="136" spans="1:52" x14ac:dyDescent="0.25">
      <c r="A136" s="62"/>
      <c r="B136" s="62"/>
      <c r="C136" s="62"/>
      <c r="D136" s="62"/>
      <c r="E136" s="62"/>
      <c r="F136" s="62"/>
      <c r="G136" s="62"/>
      <c r="H136" s="62"/>
      <c r="I136" s="62"/>
      <c r="J136" s="62"/>
      <c r="K136" s="62"/>
      <c r="L136" s="60"/>
      <c r="M136" s="62"/>
      <c r="N136" s="62"/>
      <c r="O136" s="62"/>
      <c r="P136" s="62"/>
      <c r="Q136" s="62"/>
      <c r="R136" s="62"/>
      <c r="S136" s="62"/>
      <c r="T136" s="62"/>
      <c r="U136" s="62"/>
      <c r="V136" s="62"/>
      <c r="W136" s="62"/>
      <c r="X136" s="62"/>
      <c r="Y136" s="62"/>
      <c r="Z136" s="62"/>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row>
    <row r="137" spans="1:52" x14ac:dyDescent="0.25">
      <c r="A137" s="62"/>
      <c r="B137" s="62"/>
      <c r="C137" s="62"/>
      <c r="D137" s="62"/>
      <c r="E137" s="62"/>
      <c r="F137" s="62"/>
      <c r="G137" s="62"/>
      <c r="H137" s="62"/>
      <c r="I137" s="62"/>
      <c r="J137" s="62"/>
      <c r="K137" s="62"/>
      <c r="L137" s="60"/>
      <c r="M137" s="62"/>
      <c r="N137" s="62"/>
      <c r="O137" s="62"/>
      <c r="P137" s="62"/>
      <c r="Q137" s="62"/>
      <c r="R137" s="62"/>
      <c r="S137" s="62"/>
      <c r="T137" s="62"/>
      <c r="U137" s="62"/>
      <c r="V137" s="62"/>
      <c r="W137" s="62"/>
      <c r="X137" s="62"/>
      <c r="Y137" s="62"/>
      <c r="Z137" s="62"/>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row>
    <row r="138" spans="1:52" x14ac:dyDescent="0.25">
      <c r="A138" s="62"/>
      <c r="B138" s="62"/>
      <c r="C138" s="62"/>
      <c r="D138" s="62"/>
      <c r="E138" s="62"/>
      <c r="F138" s="62"/>
      <c r="G138" s="62"/>
      <c r="H138" s="62"/>
      <c r="I138" s="62"/>
      <c r="J138" s="62"/>
      <c r="K138" s="62"/>
      <c r="L138" s="60"/>
      <c r="M138" s="62"/>
      <c r="N138" s="62"/>
      <c r="O138" s="62"/>
      <c r="P138" s="62"/>
      <c r="Q138" s="62"/>
      <c r="R138" s="62"/>
      <c r="S138" s="62"/>
      <c r="T138" s="62"/>
      <c r="U138" s="62"/>
      <c r="V138" s="62"/>
      <c r="W138" s="62"/>
      <c r="X138" s="62"/>
      <c r="Y138" s="62"/>
      <c r="Z138" s="62"/>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row>
    <row r="139" spans="1:52" x14ac:dyDescent="0.25">
      <c r="A139" s="62"/>
      <c r="B139" s="62"/>
      <c r="C139" s="62"/>
      <c r="D139" s="62"/>
      <c r="E139" s="62"/>
      <c r="F139" s="62"/>
      <c r="G139" s="62"/>
      <c r="H139" s="62"/>
      <c r="I139" s="62"/>
      <c r="J139" s="62"/>
      <c r="K139" s="62"/>
      <c r="L139" s="60"/>
      <c r="M139" s="62"/>
      <c r="N139" s="62"/>
      <c r="O139" s="62"/>
      <c r="P139" s="62"/>
      <c r="Q139" s="62"/>
      <c r="R139" s="62"/>
      <c r="S139" s="62"/>
      <c r="T139" s="62"/>
      <c r="U139" s="62"/>
      <c r="V139" s="62"/>
      <c r="W139" s="62"/>
      <c r="X139" s="62"/>
      <c r="Y139" s="62"/>
      <c r="Z139" s="62"/>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row>
    <row r="140" spans="1:52" x14ac:dyDescent="0.25">
      <c r="A140" s="62"/>
      <c r="B140" s="62"/>
      <c r="C140" s="62"/>
      <c r="D140" s="62"/>
      <c r="E140" s="62"/>
      <c r="F140" s="62"/>
      <c r="G140" s="62"/>
      <c r="H140" s="62"/>
      <c r="I140" s="62"/>
      <c r="J140" s="62"/>
      <c r="K140" s="62"/>
      <c r="L140" s="60"/>
      <c r="M140" s="62"/>
      <c r="N140" s="62"/>
      <c r="O140" s="62"/>
      <c r="P140" s="62"/>
      <c r="Q140" s="62"/>
      <c r="R140" s="62"/>
      <c r="S140" s="62"/>
      <c r="T140" s="62"/>
      <c r="U140" s="62"/>
      <c r="V140" s="62"/>
      <c r="W140" s="62"/>
      <c r="X140" s="62"/>
      <c r="Y140" s="62"/>
      <c r="Z140" s="62"/>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row>
    <row r="141" spans="1:52" x14ac:dyDescent="0.25">
      <c r="A141" s="62"/>
      <c r="B141" s="62"/>
      <c r="C141" s="62"/>
      <c r="D141" s="62"/>
      <c r="E141" s="62"/>
      <c r="F141" s="62"/>
      <c r="G141" s="62"/>
      <c r="H141" s="62"/>
      <c r="I141" s="62"/>
      <c r="J141" s="62"/>
      <c r="K141" s="62"/>
      <c r="L141" s="60"/>
      <c r="M141" s="62"/>
      <c r="N141" s="62"/>
      <c r="O141" s="62"/>
      <c r="P141" s="62"/>
      <c r="Q141" s="62"/>
      <c r="R141" s="62"/>
      <c r="S141" s="62"/>
      <c r="T141" s="62"/>
      <c r="U141" s="62"/>
      <c r="V141" s="62"/>
      <c r="W141" s="62"/>
      <c r="X141" s="62"/>
      <c r="Y141" s="62"/>
      <c r="Z141" s="62"/>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row>
    <row r="142" spans="1:52" x14ac:dyDescent="0.25">
      <c r="A142" s="62"/>
      <c r="B142" s="62"/>
      <c r="C142" s="62"/>
      <c r="D142" s="62"/>
      <c r="E142" s="62"/>
      <c r="F142" s="62"/>
      <c r="G142" s="62"/>
      <c r="H142" s="62"/>
      <c r="I142" s="62"/>
      <c r="J142" s="62"/>
      <c r="K142" s="62"/>
      <c r="L142" s="60"/>
      <c r="M142" s="62"/>
      <c r="N142" s="62"/>
      <c r="O142" s="62"/>
      <c r="P142" s="62"/>
      <c r="Q142" s="62"/>
      <c r="R142" s="62"/>
      <c r="S142" s="62"/>
      <c r="T142" s="62"/>
      <c r="U142" s="62"/>
      <c r="V142" s="62"/>
      <c r="W142" s="62"/>
      <c r="X142" s="62"/>
      <c r="Y142" s="62"/>
      <c r="Z142" s="62"/>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row>
    <row r="143" spans="1:52" x14ac:dyDescent="0.25">
      <c r="A143" s="62"/>
      <c r="B143" s="62"/>
      <c r="C143" s="62"/>
      <c r="D143" s="62"/>
      <c r="E143" s="62"/>
      <c r="F143" s="62"/>
      <c r="G143" s="62"/>
      <c r="H143" s="62"/>
      <c r="I143" s="62"/>
      <c r="J143" s="62"/>
      <c r="K143" s="62"/>
      <c r="L143" s="60"/>
      <c r="M143" s="62"/>
      <c r="N143" s="62"/>
      <c r="O143" s="62"/>
      <c r="P143" s="62"/>
      <c r="Q143" s="62"/>
      <c r="R143" s="62"/>
      <c r="S143" s="62"/>
      <c r="T143" s="62"/>
      <c r="U143" s="62"/>
      <c r="V143" s="62"/>
      <c r="W143" s="62"/>
      <c r="X143" s="62"/>
      <c r="Y143" s="62"/>
      <c r="Z143" s="62"/>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row>
    <row r="144" spans="1:52" x14ac:dyDescent="0.25">
      <c r="A144" s="62"/>
      <c r="B144" s="62"/>
      <c r="C144" s="62"/>
      <c r="D144" s="62"/>
      <c r="E144" s="62"/>
      <c r="F144" s="62"/>
      <c r="G144" s="62"/>
      <c r="H144" s="62"/>
      <c r="I144" s="62"/>
      <c r="J144" s="62"/>
      <c r="K144" s="62"/>
      <c r="L144" s="60"/>
      <c r="M144" s="62"/>
      <c r="N144" s="62"/>
      <c r="O144" s="62"/>
      <c r="P144" s="62"/>
      <c r="Q144" s="62"/>
      <c r="R144" s="62"/>
      <c r="S144" s="62"/>
      <c r="T144" s="62"/>
      <c r="U144" s="62"/>
      <c r="V144" s="62"/>
      <c r="W144" s="62"/>
      <c r="X144" s="62"/>
      <c r="Y144" s="62"/>
      <c r="Z144" s="62"/>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row>
    <row r="145" spans="1:52" x14ac:dyDescent="0.25">
      <c r="A145" s="62"/>
      <c r="B145" s="62"/>
      <c r="C145" s="62"/>
      <c r="D145" s="62"/>
      <c r="E145" s="62"/>
      <c r="F145" s="62"/>
      <c r="G145" s="62"/>
      <c r="H145" s="62"/>
      <c r="I145" s="62"/>
      <c r="J145" s="62"/>
      <c r="K145" s="62"/>
      <c r="L145" s="60"/>
      <c r="M145" s="62"/>
      <c r="N145" s="62"/>
      <c r="O145" s="62"/>
      <c r="P145" s="62"/>
      <c r="Q145" s="62"/>
      <c r="R145" s="62"/>
      <c r="S145" s="62"/>
      <c r="T145" s="62"/>
      <c r="U145" s="62"/>
      <c r="V145" s="62"/>
      <c r="W145" s="62"/>
      <c r="X145" s="62"/>
      <c r="Y145" s="62"/>
      <c r="Z145" s="62"/>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row>
    <row r="146" spans="1:52" x14ac:dyDescent="0.25">
      <c r="A146" s="62"/>
      <c r="B146" s="62"/>
      <c r="C146" s="62"/>
      <c r="D146" s="62"/>
      <c r="E146" s="62"/>
      <c r="F146" s="62"/>
      <c r="G146" s="62"/>
      <c r="H146" s="62"/>
      <c r="I146" s="62"/>
      <c r="J146" s="62"/>
      <c r="K146" s="62"/>
      <c r="L146" s="60"/>
      <c r="M146" s="62"/>
      <c r="N146" s="62"/>
      <c r="O146" s="62"/>
      <c r="P146" s="62"/>
      <c r="Q146" s="62"/>
      <c r="R146" s="62"/>
      <c r="S146" s="62"/>
      <c r="T146" s="62"/>
      <c r="U146" s="62"/>
      <c r="V146" s="62"/>
      <c r="W146" s="62"/>
      <c r="X146" s="62"/>
      <c r="Y146" s="62"/>
      <c r="Z146" s="62"/>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row>
    <row r="147" spans="1:52" x14ac:dyDescent="0.25">
      <c r="A147" s="62"/>
      <c r="B147" s="62"/>
      <c r="C147" s="62"/>
      <c r="D147" s="62"/>
      <c r="E147" s="62"/>
      <c r="F147" s="62"/>
      <c r="G147" s="62"/>
      <c r="H147" s="62"/>
      <c r="I147" s="62"/>
      <c r="J147" s="62"/>
      <c r="K147" s="62"/>
      <c r="L147" s="60"/>
      <c r="M147" s="62"/>
      <c r="N147" s="62"/>
      <c r="O147" s="62"/>
      <c r="P147" s="62"/>
      <c r="Q147" s="62"/>
      <c r="R147" s="62"/>
      <c r="S147" s="62"/>
      <c r="T147" s="62"/>
      <c r="U147" s="62"/>
      <c r="V147" s="62"/>
      <c r="W147" s="62"/>
      <c r="X147" s="62"/>
      <c r="Y147" s="62"/>
      <c r="Z147" s="62"/>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row>
    <row r="148" spans="1:52" x14ac:dyDescent="0.25">
      <c r="A148" s="62"/>
      <c r="B148" s="62"/>
      <c r="C148" s="62"/>
      <c r="D148" s="62"/>
      <c r="E148" s="62"/>
      <c r="F148" s="62"/>
      <c r="G148" s="62"/>
      <c r="H148" s="62"/>
      <c r="I148" s="62"/>
      <c r="J148" s="62"/>
      <c r="K148" s="62"/>
      <c r="L148" s="60"/>
      <c r="M148" s="62"/>
      <c r="N148" s="62"/>
      <c r="O148" s="62"/>
      <c r="P148" s="62"/>
      <c r="Q148" s="62"/>
      <c r="R148" s="62"/>
      <c r="S148" s="62"/>
      <c r="T148" s="62"/>
      <c r="U148" s="62"/>
      <c r="V148" s="62"/>
      <c r="W148" s="62"/>
      <c r="X148" s="62"/>
      <c r="Y148" s="62"/>
      <c r="Z148" s="62"/>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row>
    <row r="149" spans="1:52" x14ac:dyDescent="0.25">
      <c r="A149" s="62"/>
      <c r="B149" s="62"/>
      <c r="C149" s="62"/>
      <c r="D149" s="62"/>
      <c r="E149" s="62"/>
      <c r="F149" s="62"/>
      <c r="G149" s="62"/>
      <c r="H149" s="62"/>
      <c r="I149" s="62"/>
      <c r="J149" s="62"/>
      <c r="K149" s="62"/>
      <c r="L149" s="60"/>
      <c r="M149" s="62"/>
      <c r="N149" s="62"/>
      <c r="O149" s="62"/>
      <c r="P149" s="62"/>
      <c r="Q149" s="62"/>
      <c r="R149" s="62"/>
      <c r="S149" s="62"/>
      <c r="T149" s="62"/>
      <c r="U149" s="62"/>
      <c r="V149" s="62"/>
      <c r="W149" s="62"/>
      <c r="X149" s="62"/>
      <c r="Y149" s="62"/>
      <c r="Z149" s="62"/>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row>
    <row r="150" spans="1:52" x14ac:dyDescent="0.25">
      <c r="A150" s="62"/>
      <c r="B150" s="62"/>
      <c r="C150" s="62"/>
      <c r="D150" s="62"/>
      <c r="E150" s="62"/>
      <c r="F150" s="62"/>
      <c r="G150" s="62"/>
      <c r="H150" s="62"/>
      <c r="I150" s="62"/>
      <c r="J150" s="62"/>
      <c r="K150" s="62"/>
      <c r="L150" s="60"/>
      <c r="M150" s="62"/>
      <c r="N150" s="62"/>
      <c r="O150" s="62"/>
      <c r="P150" s="62"/>
      <c r="Q150" s="62"/>
      <c r="R150" s="62"/>
      <c r="S150" s="62"/>
      <c r="T150" s="62"/>
      <c r="U150" s="62"/>
      <c r="V150" s="62"/>
      <c r="W150" s="62"/>
      <c r="X150" s="62"/>
      <c r="Y150" s="62"/>
      <c r="Z150" s="62"/>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row>
    <row r="151" spans="1:52" x14ac:dyDescent="0.25">
      <c r="A151" s="62"/>
      <c r="B151" s="62"/>
      <c r="C151" s="62"/>
      <c r="D151" s="62"/>
      <c r="E151" s="62"/>
      <c r="F151" s="62"/>
      <c r="G151" s="62"/>
      <c r="H151" s="62"/>
      <c r="I151" s="62"/>
      <c r="J151" s="62"/>
      <c r="K151" s="62"/>
      <c r="L151" s="60"/>
      <c r="M151" s="62"/>
      <c r="N151" s="62"/>
      <c r="O151" s="62"/>
      <c r="P151" s="62"/>
      <c r="Q151" s="62"/>
      <c r="R151" s="62"/>
      <c r="S151" s="62"/>
      <c r="T151" s="62"/>
      <c r="U151" s="62"/>
      <c r="V151" s="62"/>
      <c r="W151" s="62"/>
      <c r="X151" s="62"/>
      <c r="Y151" s="62"/>
      <c r="Z151" s="62"/>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row>
    <row r="152" spans="1:52" x14ac:dyDescent="0.25">
      <c r="A152" s="62"/>
      <c r="B152" s="62"/>
      <c r="C152" s="62"/>
      <c r="D152" s="62"/>
      <c r="E152" s="62"/>
      <c r="F152" s="62"/>
      <c r="G152" s="62"/>
      <c r="H152" s="62"/>
      <c r="I152" s="62"/>
      <c r="J152" s="62"/>
      <c r="K152" s="62"/>
      <c r="L152" s="60"/>
      <c r="M152" s="62"/>
      <c r="N152" s="62"/>
      <c r="O152" s="62"/>
      <c r="P152" s="62"/>
      <c r="Q152" s="62"/>
      <c r="R152" s="62"/>
      <c r="S152" s="62"/>
      <c r="T152" s="62"/>
      <c r="U152" s="62"/>
      <c r="V152" s="62"/>
      <c r="W152" s="62"/>
      <c r="X152" s="62"/>
      <c r="Y152" s="62"/>
      <c r="Z152" s="62"/>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row>
    <row r="153" spans="1:52" x14ac:dyDescent="0.25">
      <c r="A153" s="62"/>
      <c r="B153" s="62"/>
      <c r="C153" s="62"/>
      <c r="D153" s="62"/>
      <c r="E153" s="62"/>
      <c r="F153" s="62"/>
      <c r="G153" s="62"/>
      <c r="H153" s="62"/>
      <c r="I153" s="62"/>
      <c r="J153" s="62"/>
      <c r="K153" s="62"/>
      <c r="L153" s="60"/>
      <c r="M153" s="62"/>
      <c r="N153" s="62"/>
      <c r="O153" s="62"/>
      <c r="P153" s="62"/>
      <c r="Q153" s="62"/>
      <c r="R153" s="62"/>
      <c r="S153" s="62"/>
      <c r="T153" s="62"/>
      <c r="U153" s="62"/>
      <c r="V153" s="62"/>
      <c r="W153" s="62"/>
      <c r="X153" s="62"/>
      <c r="Y153" s="62"/>
      <c r="Z153" s="62"/>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row>
    <row r="154" spans="1:52" x14ac:dyDescent="0.25">
      <c r="A154" s="62"/>
      <c r="B154" s="62"/>
      <c r="C154" s="62"/>
      <c r="D154" s="62"/>
      <c r="E154" s="62"/>
      <c r="F154" s="62"/>
      <c r="G154" s="62"/>
      <c r="H154" s="62"/>
      <c r="I154" s="62"/>
      <c r="J154" s="62"/>
      <c r="K154" s="62"/>
      <c r="L154" s="60"/>
      <c r="M154" s="62"/>
      <c r="N154" s="62"/>
      <c r="O154" s="62"/>
      <c r="P154" s="62"/>
      <c r="Q154" s="62"/>
      <c r="R154" s="62"/>
      <c r="S154" s="62"/>
      <c r="T154" s="62"/>
      <c r="U154" s="62"/>
      <c r="V154" s="62"/>
      <c r="W154" s="62"/>
      <c r="X154" s="62"/>
      <c r="Y154" s="62"/>
      <c r="Z154" s="62"/>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row>
    <row r="155" spans="1:52" x14ac:dyDescent="0.25">
      <c r="A155" s="62"/>
      <c r="B155" s="62"/>
      <c r="C155" s="62"/>
      <c r="D155" s="62"/>
      <c r="E155" s="62"/>
      <c r="F155" s="62"/>
      <c r="G155" s="62"/>
      <c r="H155" s="62"/>
      <c r="I155" s="62"/>
      <c r="J155" s="62"/>
      <c r="K155" s="62"/>
      <c r="L155" s="60"/>
      <c r="M155" s="62"/>
      <c r="N155" s="62"/>
      <c r="O155" s="62"/>
      <c r="P155" s="62"/>
      <c r="Q155" s="62"/>
      <c r="R155" s="62"/>
      <c r="S155" s="62"/>
      <c r="T155" s="62"/>
      <c r="U155" s="62"/>
      <c r="V155" s="62"/>
      <c r="W155" s="62"/>
      <c r="X155" s="62"/>
      <c r="Y155" s="62"/>
      <c r="Z155" s="62"/>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row>
    <row r="156" spans="1:52" x14ac:dyDescent="0.25">
      <c r="A156" s="62"/>
      <c r="B156" s="62"/>
      <c r="C156" s="62"/>
      <c r="D156" s="62"/>
      <c r="E156" s="62"/>
      <c r="F156" s="62"/>
      <c r="G156" s="62"/>
      <c r="H156" s="62"/>
      <c r="I156" s="62"/>
      <c r="J156" s="62"/>
      <c r="K156" s="62"/>
      <c r="L156" s="60"/>
      <c r="M156" s="62"/>
      <c r="N156" s="62"/>
      <c r="O156" s="62"/>
      <c r="P156" s="62"/>
      <c r="Q156" s="62"/>
      <c r="R156" s="62"/>
      <c r="S156" s="62"/>
      <c r="T156" s="62"/>
      <c r="U156" s="62"/>
      <c r="V156" s="62"/>
      <c r="W156" s="62"/>
      <c r="X156" s="62"/>
      <c r="Y156" s="62"/>
      <c r="Z156" s="62"/>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row>
    <row r="157" spans="1:52" x14ac:dyDescent="0.25">
      <c r="A157" s="62"/>
      <c r="B157" s="62"/>
      <c r="C157" s="62"/>
      <c r="D157" s="62"/>
      <c r="E157" s="62"/>
      <c r="F157" s="62"/>
      <c r="G157" s="62"/>
      <c r="H157" s="62"/>
      <c r="I157" s="62"/>
      <c r="J157" s="62"/>
      <c r="K157" s="62"/>
      <c r="L157" s="60"/>
      <c r="M157" s="62"/>
      <c r="N157" s="62"/>
      <c r="O157" s="62"/>
      <c r="P157" s="62"/>
      <c r="Q157" s="62"/>
      <c r="R157" s="62"/>
      <c r="S157" s="62"/>
      <c r="T157" s="62"/>
      <c r="U157" s="62"/>
      <c r="V157" s="62"/>
      <c r="W157" s="62"/>
      <c r="X157" s="62"/>
      <c r="Y157" s="62"/>
      <c r="Z157" s="62"/>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row>
    <row r="158" spans="1:52" x14ac:dyDescent="0.25">
      <c r="A158" s="62"/>
      <c r="B158" s="62"/>
      <c r="C158" s="62"/>
      <c r="D158" s="62"/>
      <c r="E158" s="62"/>
      <c r="F158" s="62"/>
      <c r="G158" s="62"/>
      <c r="H158" s="62"/>
      <c r="I158" s="62"/>
      <c r="J158" s="62"/>
      <c r="K158" s="62"/>
      <c r="L158" s="60"/>
      <c r="M158" s="62"/>
      <c r="N158" s="62"/>
      <c r="O158" s="62"/>
      <c r="P158" s="62"/>
      <c r="Q158" s="62"/>
      <c r="R158" s="62"/>
      <c r="S158" s="62"/>
      <c r="T158" s="62"/>
      <c r="U158" s="62"/>
      <c r="V158" s="62"/>
      <c r="W158" s="62"/>
      <c r="X158" s="62"/>
      <c r="Y158" s="62"/>
      <c r="Z158" s="62"/>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row>
    <row r="159" spans="1:52" x14ac:dyDescent="0.25">
      <c r="A159" s="62"/>
      <c r="B159" s="62"/>
      <c r="C159" s="62"/>
      <c r="D159" s="62"/>
      <c r="E159" s="62"/>
      <c r="F159" s="62"/>
      <c r="G159" s="62"/>
      <c r="H159" s="62"/>
      <c r="I159" s="62"/>
      <c r="J159" s="62"/>
      <c r="K159" s="62"/>
      <c r="L159" s="60"/>
      <c r="M159" s="62"/>
      <c r="N159" s="62"/>
      <c r="O159" s="62"/>
      <c r="P159" s="62"/>
      <c r="Q159" s="62"/>
      <c r="R159" s="62"/>
      <c r="S159" s="62"/>
      <c r="T159" s="62"/>
      <c r="U159" s="62"/>
      <c r="V159" s="62"/>
      <c r="W159" s="62"/>
      <c r="X159" s="62"/>
      <c r="Y159" s="62"/>
      <c r="Z159" s="62"/>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row>
    <row r="160" spans="1:52" x14ac:dyDescent="0.25">
      <c r="A160" s="62"/>
      <c r="B160" s="62"/>
      <c r="C160" s="62"/>
      <c r="D160" s="62"/>
      <c r="E160" s="62"/>
      <c r="F160" s="62"/>
      <c r="G160" s="62"/>
      <c r="H160" s="62"/>
      <c r="I160" s="62"/>
      <c r="J160" s="62"/>
      <c r="K160" s="62"/>
      <c r="L160" s="60"/>
      <c r="M160" s="62"/>
      <c r="N160" s="62"/>
      <c r="O160" s="62"/>
      <c r="P160" s="62"/>
      <c r="Q160" s="62"/>
      <c r="R160" s="62"/>
      <c r="S160" s="62"/>
      <c r="T160" s="62"/>
      <c r="U160" s="62"/>
      <c r="V160" s="62"/>
      <c r="W160" s="62"/>
      <c r="X160" s="62"/>
      <c r="Y160" s="62"/>
      <c r="Z160" s="62"/>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row>
    <row r="161" spans="1:52" x14ac:dyDescent="0.25">
      <c r="A161" s="62"/>
      <c r="B161" s="62"/>
      <c r="C161" s="62"/>
      <c r="D161" s="62"/>
      <c r="E161" s="62"/>
      <c r="F161" s="62"/>
      <c r="G161" s="62"/>
      <c r="H161" s="62"/>
      <c r="I161" s="62"/>
      <c r="J161" s="62"/>
      <c r="K161" s="62"/>
      <c r="L161" s="60"/>
      <c r="M161" s="62"/>
      <c r="N161" s="62"/>
      <c r="O161" s="62"/>
      <c r="P161" s="62"/>
      <c r="Q161" s="62"/>
      <c r="R161" s="62"/>
      <c r="S161" s="62"/>
      <c r="T161" s="62"/>
      <c r="U161" s="62"/>
      <c r="V161" s="62"/>
      <c r="W161" s="62"/>
      <c r="X161" s="62"/>
      <c r="Y161" s="62"/>
      <c r="Z161" s="62"/>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row>
    <row r="162" spans="1:52" x14ac:dyDescent="0.25">
      <c r="A162" s="62"/>
      <c r="B162" s="62"/>
      <c r="C162" s="62"/>
      <c r="D162" s="62"/>
      <c r="E162" s="62"/>
      <c r="F162" s="62"/>
      <c r="G162" s="62"/>
      <c r="H162" s="62"/>
      <c r="I162" s="62"/>
      <c r="J162" s="62"/>
      <c r="K162" s="62"/>
      <c r="L162" s="60"/>
      <c r="M162" s="62"/>
      <c r="N162" s="62"/>
      <c r="O162" s="62"/>
      <c r="P162" s="62"/>
      <c r="Q162" s="62"/>
      <c r="R162" s="62"/>
      <c r="S162" s="62"/>
      <c r="T162" s="62"/>
      <c r="U162" s="62"/>
      <c r="V162" s="62"/>
      <c r="W162" s="62"/>
      <c r="X162" s="62"/>
      <c r="Y162" s="62"/>
      <c r="Z162" s="62"/>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row>
    <row r="163" spans="1:52" x14ac:dyDescent="0.25">
      <c r="A163" s="62"/>
      <c r="B163" s="62"/>
      <c r="C163" s="62"/>
      <c r="D163" s="62"/>
      <c r="E163" s="62"/>
      <c r="F163" s="62"/>
      <c r="G163" s="62"/>
      <c r="H163" s="62"/>
      <c r="I163" s="62"/>
      <c r="J163" s="62"/>
      <c r="K163" s="62"/>
      <c r="L163" s="60"/>
      <c r="M163" s="62"/>
      <c r="N163" s="62"/>
      <c r="O163" s="62"/>
      <c r="P163" s="62"/>
      <c r="Q163" s="62"/>
      <c r="R163" s="62"/>
      <c r="S163" s="62"/>
      <c r="T163" s="62"/>
      <c r="U163" s="62"/>
      <c r="V163" s="62"/>
      <c r="W163" s="62"/>
      <c r="X163" s="62"/>
      <c r="Y163" s="62"/>
      <c r="Z163" s="62"/>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row>
    <row r="164" spans="1:52" x14ac:dyDescent="0.25">
      <c r="A164" s="62"/>
      <c r="B164" s="62"/>
      <c r="C164" s="62"/>
      <c r="D164" s="62"/>
      <c r="E164" s="62"/>
      <c r="F164" s="62"/>
      <c r="G164" s="62"/>
      <c r="H164" s="62"/>
      <c r="I164" s="62"/>
      <c r="J164" s="62"/>
      <c r="K164" s="62"/>
      <c r="L164" s="60"/>
      <c r="M164" s="62"/>
      <c r="N164" s="62"/>
      <c r="O164" s="62"/>
      <c r="P164" s="62"/>
      <c r="Q164" s="62"/>
      <c r="R164" s="62"/>
      <c r="S164" s="62"/>
      <c r="T164" s="62"/>
      <c r="U164" s="62"/>
      <c r="V164" s="62"/>
      <c r="W164" s="62"/>
      <c r="X164" s="62"/>
      <c r="Y164" s="62"/>
      <c r="Z164" s="62"/>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row>
    <row r="165" spans="1:52" x14ac:dyDescent="0.25">
      <c r="A165" s="62"/>
      <c r="B165" s="62"/>
      <c r="C165" s="62"/>
      <c r="D165" s="62"/>
      <c r="E165" s="62"/>
      <c r="F165" s="62"/>
      <c r="G165" s="62"/>
      <c r="H165" s="62"/>
      <c r="I165" s="62"/>
      <c r="J165" s="62"/>
      <c r="K165" s="62"/>
      <c r="L165" s="60"/>
      <c r="M165" s="62"/>
      <c r="N165" s="62"/>
      <c r="O165" s="62"/>
      <c r="P165" s="62"/>
      <c r="Q165" s="62"/>
      <c r="R165" s="62"/>
      <c r="S165" s="62"/>
      <c r="T165" s="62"/>
      <c r="U165" s="62"/>
      <c r="V165" s="62"/>
      <c r="W165" s="62"/>
      <c r="X165" s="62"/>
      <c r="Y165" s="62"/>
      <c r="Z165" s="62"/>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row>
    <row r="166" spans="1:52" x14ac:dyDescent="0.25">
      <c r="A166" s="62"/>
      <c r="B166" s="62"/>
      <c r="C166" s="62"/>
      <c r="D166" s="62"/>
      <c r="E166" s="62"/>
      <c r="F166" s="62"/>
      <c r="G166" s="62"/>
      <c r="H166" s="62"/>
      <c r="I166" s="62"/>
      <c r="J166" s="62"/>
      <c r="K166" s="62"/>
      <c r="L166" s="60"/>
      <c r="M166" s="62"/>
      <c r="N166" s="62"/>
      <c r="O166" s="62"/>
      <c r="P166" s="62"/>
      <c r="Q166" s="62"/>
      <c r="R166" s="62"/>
      <c r="S166" s="62"/>
      <c r="T166" s="62"/>
      <c r="U166" s="62"/>
      <c r="V166" s="62"/>
      <c r="W166" s="62"/>
      <c r="X166" s="62"/>
      <c r="Y166" s="62"/>
      <c r="Z166" s="62"/>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row>
    <row r="167" spans="1:52" x14ac:dyDescent="0.25">
      <c r="A167" s="62"/>
      <c r="B167" s="62"/>
      <c r="C167" s="62"/>
      <c r="D167" s="62"/>
      <c r="E167" s="62"/>
      <c r="F167" s="62"/>
      <c r="G167" s="62"/>
      <c r="H167" s="62"/>
      <c r="I167" s="62"/>
      <c r="J167" s="62"/>
      <c r="K167" s="62"/>
      <c r="L167" s="60"/>
      <c r="M167" s="62"/>
      <c r="N167" s="62"/>
      <c r="O167" s="62"/>
      <c r="P167" s="62"/>
      <c r="Q167" s="62"/>
      <c r="R167" s="62"/>
      <c r="S167" s="62"/>
      <c r="T167" s="62"/>
      <c r="U167" s="62"/>
      <c r="V167" s="62"/>
      <c r="W167" s="62"/>
      <c r="X167" s="62"/>
      <c r="Y167" s="62"/>
      <c r="Z167" s="62"/>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row>
    <row r="168" spans="1:52" x14ac:dyDescent="0.25">
      <c r="A168" s="62"/>
      <c r="B168" s="62"/>
      <c r="C168" s="62"/>
      <c r="D168" s="62"/>
      <c r="E168" s="62"/>
      <c r="F168" s="62"/>
      <c r="G168" s="62"/>
      <c r="H168" s="62"/>
      <c r="I168" s="62"/>
      <c r="J168" s="62"/>
      <c r="K168" s="62"/>
      <c r="L168" s="60"/>
      <c r="M168" s="62"/>
      <c r="N168" s="62"/>
      <c r="O168" s="62"/>
      <c r="P168" s="62"/>
      <c r="Q168" s="62"/>
      <c r="R168" s="62"/>
      <c r="S168" s="62"/>
      <c r="T168" s="62"/>
      <c r="U168" s="62"/>
      <c r="V168" s="62"/>
      <c r="W168" s="62"/>
      <c r="X168" s="62"/>
      <c r="Y168" s="62"/>
      <c r="Z168" s="62"/>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row>
    <row r="169" spans="1:52" x14ac:dyDescent="0.25">
      <c r="A169" s="62"/>
      <c r="B169" s="62"/>
      <c r="C169" s="62"/>
      <c r="D169" s="62"/>
      <c r="E169" s="62"/>
      <c r="F169" s="62"/>
      <c r="G169" s="62"/>
      <c r="H169" s="62"/>
      <c r="I169" s="62"/>
      <c r="J169" s="62"/>
      <c r="K169" s="62"/>
      <c r="L169" s="60"/>
      <c r="M169" s="62"/>
      <c r="N169" s="62"/>
      <c r="O169" s="62"/>
      <c r="P169" s="62"/>
      <c r="Q169" s="62"/>
      <c r="R169" s="62"/>
      <c r="S169" s="62"/>
      <c r="T169" s="62"/>
      <c r="U169" s="62"/>
      <c r="V169" s="62"/>
      <c r="W169" s="62"/>
      <c r="X169" s="62"/>
      <c r="Y169" s="62"/>
      <c r="Z169" s="62"/>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row>
    <row r="170" spans="1:52" x14ac:dyDescent="0.25">
      <c r="A170" s="62"/>
      <c r="B170" s="62"/>
      <c r="C170" s="62"/>
      <c r="D170" s="62"/>
      <c r="E170" s="62"/>
      <c r="F170" s="62"/>
      <c r="G170" s="62"/>
      <c r="H170" s="62"/>
      <c r="I170" s="62"/>
      <c r="J170" s="62"/>
      <c r="K170" s="62"/>
      <c r="L170" s="60"/>
      <c r="M170" s="62"/>
      <c r="N170" s="62"/>
      <c r="O170" s="62"/>
      <c r="P170" s="62"/>
      <c r="Q170" s="62"/>
      <c r="R170" s="62"/>
      <c r="S170" s="62"/>
      <c r="T170" s="62"/>
      <c r="U170" s="62"/>
      <c r="V170" s="62"/>
      <c r="W170" s="62"/>
      <c r="X170" s="62"/>
      <c r="Y170" s="62"/>
      <c r="Z170" s="62"/>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row>
    <row r="171" spans="1:52" x14ac:dyDescent="0.25">
      <c r="A171" s="62"/>
      <c r="B171" s="62"/>
      <c r="C171" s="62"/>
      <c r="D171" s="62"/>
      <c r="E171" s="62"/>
      <c r="F171" s="62"/>
      <c r="G171" s="62"/>
      <c r="H171" s="62"/>
      <c r="I171" s="62"/>
      <c r="J171" s="62"/>
      <c r="K171" s="62"/>
      <c r="L171" s="60"/>
      <c r="M171" s="62"/>
      <c r="N171" s="62"/>
      <c r="O171" s="62"/>
      <c r="P171" s="62"/>
      <c r="Q171" s="62"/>
      <c r="R171" s="62"/>
      <c r="S171" s="62"/>
      <c r="T171" s="62"/>
      <c r="U171" s="62"/>
      <c r="V171" s="62"/>
      <c r="W171" s="62"/>
      <c r="X171" s="62"/>
      <c r="Y171" s="62"/>
      <c r="Z171" s="62"/>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row>
    <row r="172" spans="1:52" x14ac:dyDescent="0.25">
      <c r="A172" s="62"/>
      <c r="B172" s="62"/>
      <c r="C172" s="62"/>
      <c r="D172" s="62"/>
      <c r="E172" s="62"/>
      <c r="F172" s="62"/>
      <c r="G172" s="62"/>
      <c r="H172" s="62"/>
      <c r="I172" s="62"/>
      <c r="J172" s="62"/>
      <c r="K172" s="62"/>
      <c r="L172" s="60"/>
      <c r="M172" s="62"/>
      <c r="N172" s="62"/>
      <c r="O172" s="62"/>
      <c r="P172" s="62"/>
      <c r="Q172" s="62"/>
      <c r="R172" s="62"/>
      <c r="S172" s="62"/>
      <c r="T172" s="62"/>
      <c r="U172" s="62"/>
      <c r="V172" s="62"/>
      <c r="W172" s="62"/>
      <c r="X172" s="62"/>
      <c r="Y172" s="62"/>
      <c r="Z172" s="62"/>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row>
    <row r="173" spans="1:52" x14ac:dyDescent="0.25">
      <c r="A173" s="62"/>
      <c r="B173" s="62"/>
      <c r="C173" s="62"/>
      <c r="D173" s="62"/>
      <c r="E173" s="62"/>
      <c r="F173" s="62"/>
      <c r="G173" s="62"/>
      <c r="H173" s="62"/>
      <c r="I173" s="62"/>
      <c r="J173" s="62"/>
      <c r="K173" s="62"/>
      <c r="L173" s="60"/>
      <c r="M173" s="62"/>
      <c r="N173" s="62"/>
      <c r="O173" s="62"/>
      <c r="P173" s="62"/>
      <c r="Q173" s="62"/>
      <c r="R173" s="62"/>
      <c r="S173" s="62"/>
      <c r="T173" s="62"/>
      <c r="U173" s="62"/>
      <c r="V173" s="62"/>
      <c r="W173" s="62"/>
      <c r="X173" s="62"/>
      <c r="Y173" s="62"/>
      <c r="Z173" s="62"/>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row>
    <row r="174" spans="1:52" x14ac:dyDescent="0.25">
      <c r="A174" s="62"/>
      <c r="B174" s="62"/>
      <c r="C174" s="62"/>
      <c r="D174" s="62"/>
      <c r="E174" s="62"/>
      <c r="F174" s="62"/>
      <c r="G174" s="62"/>
      <c r="H174" s="62"/>
      <c r="I174" s="62"/>
      <c r="J174" s="62"/>
      <c r="K174" s="62"/>
      <c r="L174" s="60"/>
      <c r="M174" s="62"/>
      <c r="N174" s="62"/>
      <c r="O174" s="62"/>
      <c r="P174" s="62"/>
      <c r="Q174" s="62"/>
      <c r="R174" s="62"/>
      <c r="S174" s="62"/>
      <c r="T174" s="62"/>
      <c r="U174" s="62"/>
      <c r="V174" s="62"/>
      <c r="W174" s="62"/>
      <c r="X174" s="62"/>
      <c r="Y174" s="62"/>
      <c r="Z174" s="62"/>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row>
    <row r="175" spans="1:52" x14ac:dyDescent="0.25">
      <c r="A175" s="62"/>
      <c r="B175" s="62"/>
      <c r="C175" s="62"/>
      <c r="D175" s="62"/>
      <c r="E175" s="62"/>
      <c r="F175" s="62"/>
      <c r="G175" s="62"/>
      <c r="H175" s="62"/>
      <c r="I175" s="62"/>
      <c r="J175" s="62"/>
      <c r="K175" s="62"/>
      <c r="L175" s="60"/>
      <c r="M175" s="62"/>
      <c r="N175" s="62"/>
      <c r="O175" s="62"/>
      <c r="P175" s="62"/>
      <c r="Q175" s="62"/>
      <c r="R175" s="62"/>
      <c r="S175" s="62"/>
      <c r="T175" s="62"/>
      <c r="U175" s="62"/>
      <c r="V175" s="62"/>
      <c r="W175" s="62"/>
      <c r="X175" s="62"/>
      <c r="Y175" s="62"/>
      <c r="Z175" s="62"/>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row>
    <row r="176" spans="1:52" x14ac:dyDescent="0.25">
      <c r="A176" s="62"/>
      <c r="B176" s="62"/>
      <c r="C176" s="62"/>
      <c r="D176" s="62"/>
      <c r="E176" s="62"/>
      <c r="F176" s="62"/>
      <c r="G176" s="62"/>
      <c r="H176" s="62"/>
      <c r="I176" s="62"/>
      <c r="J176" s="62"/>
      <c r="K176" s="62"/>
      <c r="L176" s="60"/>
      <c r="M176" s="62"/>
      <c r="N176" s="62"/>
      <c r="O176" s="62"/>
      <c r="P176" s="62"/>
      <c r="Q176" s="62"/>
      <c r="R176" s="62"/>
      <c r="S176" s="62"/>
      <c r="T176" s="62"/>
      <c r="U176" s="62"/>
      <c r="V176" s="62"/>
      <c r="W176" s="62"/>
      <c r="X176" s="62"/>
      <c r="Y176" s="62"/>
      <c r="Z176" s="62"/>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row>
    <row r="177" spans="1:52" x14ac:dyDescent="0.25">
      <c r="A177" s="62"/>
      <c r="B177" s="62"/>
      <c r="C177" s="62"/>
      <c r="D177" s="62"/>
      <c r="E177" s="62"/>
      <c r="F177" s="62"/>
      <c r="G177" s="62"/>
      <c r="H177" s="62"/>
      <c r="I177" s="62"/>
      <c r="J177" s="62"/>
      <c r="K177" s="62"/>
      <c r="L177" s="60"/>
      <c r="M177" s="62"/>
      <c r="N177" s="62"/>
      <c r="O177" s="62"/>
      <c r="P177" s="62"/>
      <c r="Q177" s="62"/>
      <c r="R177" s="62"/>
      <c r="S177" s="62"/>
      <c r="T177" s="62"/>
      <c r="U177" s="62"/>
      <c r="V177" s="62"/>
      <c r="W177" s="62"/>
      <c r="X177" s="62"/>
      <c r="Y177" s="62"/>
      <c r="Z177" s="62"/>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row>
    <row r="178" spans="1:52" x14ac:dyDescent="0.25">
      <c r="A178" s="62"/>
      <c r="B178" s="62"/>
      <c r="C178" s="62"/>
      <c r="D178" s="62"/>
      <c r="E178" s="62"/>
      <c r="F178" s="62"/>
      <c r="G178" s="62"/>
      <c r="H178" s="62"/>
      <c r="I178" s="62"/>
      <c r="J178" s="62"/>
      <c r="K178" s="62"/>
      <c r="L178" s="60"/>
      <c r="M178" s="62"/>
      <c r="N178" s="62"/>
      <c r="O178" s="62"/>
      <c r="P178" s="62"/>
      <c r="Q178" s="62"/>
      <c r="R178" s="62"/>
      <c r="S178" s="62"/>
      <c r="T178" s="62"/>
      <c r="U178" s="62"/>
      <c r="V178" s="62"/>
      <c r="W178" s="62"/>
      <c r="X178" s="62"/>
      <c r="Y178" s="62"/>
      <c r="Z178" s="62"/>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row>
    <row r="179" spans="1:52" x14ac:dyDescent="0.25">
      <c r="A179" s="62"/>
      <c r="B179" s="62"/>
      <c r="C179" s="62"/>
      <c r="D179" s="62"/>
      <c r="E179" s="62"/>
      <c r="F179" s="62"/>
      <c r="G179" s="62"/>
      <c r="H179" s="62"/>
      <c r="I179" s="62"/>
      <c r="J179" s="62"/>
      <c r="K179" s="62"/>
      <c r="L179" s="60"/>
      <c r="M179" s="62"/>
      <c r="N179" s="62"/>
      <c r="O179" s="62"/>
      <c r="P179" s="62"/>
      <c r="Q179" s="62"/>
      <c r="R179" s="62"/>
      <c r="S179" s="62"/>
      <c r="T179" s="62"/>
      <c r="U179" s="62"/>
      <c r="V179" s="62"/>
      <c r="W179" s="62"/>
      <c r="X179" s="62"/>
      <c r="Y179" s="62"/>
      <c r="Z179" s="62"/>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row>
    <row r="180" spans="1:52" x14ac:dyDescent="0.25">
      <c r="A180" s="62"/>
      <c r="B180" s="62"/>
      <c r="C180" s="62"/>
      <c r="D180" s="62"/>
      <c r="E180" s="62"/>
      <c r="F180" s="62"/>
      <c r="G180" s="62"/>
      <c r="H180" s="62"/>
      <c r="I180" s="62"/>
      <c r="J180" s="62"/>
      <c r="K180" s="62"/>
      <c r="L180" s="60"/>
      <c r="M180" s="62"/>
      <c r="N180" s="62"/>
      <c r="O180" s="62"/>
      <c r="P180" s="62"/>
      <c r="Q180" s="62"/>
      <c r="R180" s="62"/>
      <c r="S180" s="62"/>
      <c r="T180" s="62"/>
      <c r="U180" s="62"/>
      <c r="V180" s="62"/>
      <c r="W180" s="62"/>
      <c r="X180" s="62"/>
      <c r="Y180" s="62"/>
      <c r="Z180" s="62"/>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row>
    <row r="181" spans="1:52" x14ac:dyDescent="0.25">
      <c r="A181" s="62"/>
      <c r="B181" s="62"/>
      <c r="C181" s="62"/>
      <c r="D181" s="62"/>
      <c r="E181" s="62"/>
      <c r="F181" s="62"/>
      <c r="G181" s="62"/>
      <c r="H181" s="62"/>
      <c r="I181" s="62"/>
      <c r="J181" s="62"/>
      <c r="K181" s="62"/>
      <c r="L181" s="60"/>
      <c r="M181" s="62"/>
      <c r="N181" s="62"/>
      <c r="O181" s="62"/>
      <c r="P181" s="62"/>
      <c r="Q181" s="62"/>
      <c r="R181" s="62"/>
      <c r="S181" s="62"/>
      <c r="T181" s="62"/>
      <c r="U181" s="62"/>
      <c r="V181" s="62"/>
      <c r="W181" s="62"/>
      <c r="X181" s="62"/>
      <c r="Y181" s="62"/>
      <c r="Z181" s="62"/>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row>
    <row r="182" spans="1:52" x14ac:dyDescent="0.25">
      <c r="A182" s="62"/>
      <c r="B182" s="62"/>
      <c r="C182" s="62"/>
      <c r="D182" s="62"/>
      <c r="E182" s="62"/>
      <c r="F182" s="62"/>
      <c r="G182" s="62"/>
      <c r="H182" s="62"/>
      <c r="I182" s="62"/>
      <c r="J182" s="62"/>
      <c r="K182" s="62"/>
      <c r="L182" s="60"/>
      <c r="M182" s="62"/>
      <c r="N182" s="62"/>
      <c r="O182" s="62"/>
      <c r="P182" s="62"/>
      <c r="Q182" s="62"/>
      <c r="R182" s="62"/>
      <c r="S182" s="62"/>
      <c r="T182" s="62"/>
      <c r="U182" s="62"/>
      <c r="V182" s="62"/>
      <c r="W182" s="62"/>
      <c r="X182" s="62"/>
      <c r="Y182" s="62"/>
      <c r="Z182" s="62"/>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row>
    <row r="183" spans="1:52" x14ac:dyDescent="0.25">
      <c r="A183" s="62"/>
      <c r="B183" s="62"/>
      <c r="C183" s="62"/>
      <c r="D183" s="62"/>
      <c r="E183" s="62"/>
      <c r="F183" s="62"/>
      <c r="G183" s="62"/>
      <c r="H183" s="62"/>
      <c r="I183" s="62"/>
      <c r="J183" s="62"/>
      <c r="K183" s="62"/>
      <c r="L183" s="60"/>
      <c r="M183" s="62"/>
      <c r="N183" s="62"/>
      <c r="O183" s="62"/>
      <c r="P183" s="62"/>
      <c r="Q183" s="62"/>
      <c r="R183" s="62"/>
      <c r="S183" s="62"/>
      <c r="T183" s="62"/>
      <c r="U183" s="62"/>
      <c r="V183" s="62"/>
      <c r="W183" s="62"/>
      <c r="X183" s="62"/>
      <c r="Y183" s="62"/>
      <c r="Z183" s="62"/>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row>
    <row r="184" spans="1:52" x14ac:dyDescent="0.25">
      <c r="A184" s="62"/>
      <c r="B184" s="62"/>
      <c r="C184" s="62"/>
      <c r="D184" s="62"/>
      <c r="E184" s="62"/>
      <c r="F184" s="62"/>
      <c r="G184" s="62"/>
      <c r="H184" s="62"/>
      <c r="I184" s="62"/>
      <c r="J184" s="62"/>
      <c r="K184" s="62"/>
      <c r="L184" s="60"/>
      <c r="M184" s="62"/>
      <c r="N184" s="62"/>
      <c r="O184" s="62"/>
      <c r="P184" s="62"/>
      <c r="Q184" s="62"/>
      <c r="R184" s="62"/>
      <c r="S184" s="62"/>
      <c r="T184" s="62"/>
      <c r="U184" s="62"/>
      <c r="V184" s="62"/>
      <c r="W184" s="62"/>
      <c r="X184" s="62"/>
      <c r="Y184" s="62"/>
      <c r="Z184" s="62"/>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row>
    <row r="185" spans="1:52" x14ac:dyDescent="0.25">
      <c r="A185" s="62"/>
      <c r="B185" s="62"/>
      <c r="C185" s="62"/>
      <c r="D185" s="62"/>
      <c r="E185" s="62"/>
      <c r="F185" s="62"/>
      <c r="G185" s="62"/>
      <c r="H185" s="62"/>
      <c r="I185" s="62"/>
      <c r="J185" s="62"/>
      <c r="K185" s="62"/>
      <c r="L185" s="60"/>
      <c r="M185" s="62"/>
      <c r="N185" s="62"/>
      <c r="O185" s="62"/>
      <c r="P185" s="62"/>
      <c r="Q185" s="62"/>
      <c r="R185" s="62"/>
      <c r="S185" s="62"/>
      <c r="T185" s="62"/>
      <c r="U185" s="62"/>
      <c r="V185" s="62"/>
      <c r="W185" s="62"/>
      <c r="X185" s="62"/>
      <c r="Y185" s="62"/>
      <c r="Z185" s="62"/>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row>
    <row r="186" spans="1:52" x14ac:dyDescent="0.25">
      <c r="A186" s="62"/>
      <c r="B186" s="62"/>
      <c r="C186" s="62"/>
      <c r="D186" s="62"/>
      <c r="E186" s="62"/>
      <c r="F186" s="62"/>
      <c r="G186" s="62"/>
      <c r="H186" s="62"/>
      <c r="I186" s="62"/>
      <c r="J186" s="62"/>
      <c r="K186" s="62"/>
      <c r="L186" s="60"/>
      <c r="M186" s="62"/>
      <c r="N186" s="62"/>
      <c r="O186" s="62"/>
      <c r="P186" s="62"/>
      <c r="Q186" s="62"/>
      <c r="R186" s="62"/>
      <c r="S186" s="62"/>
      <c r="T186" s="62"/>
      <c r="U186" s="62"/>
      <c r="V186" s="62"/>
      <c r="W186" s="62"/>
      <c r="X186" s="62"/>
      <c r="Y186" s="62"/>
      <c r="Z186" s="62"/>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row>
    <row r="187" spans="1:52" x14ac:dyDescent="0.25">
      <c r="A187" s="62"/>
      <c r="B187" s="62"/>
      <c r="C187" s="62"/>
      <c r="D187" s="62"/>
      <c r="E187" s="62"/>
      <c r="F187" s="62"/>
      <c r="G187" s="62"/>
      <c r="H187" s="62"/>
      <c r="I187" s="62"/>
      <c r="J187" s="62"/>
      <c r="K187" s="62"/>
      <c r="L187" s="60"/>
      <c r="M187" s="62"/>
      <c r="N187" s="62"/>
      <c r="O187" s="62"/>
      <c r="P187" s="62"/>
      <c r="Q187" s="62"/>
      <c r="R187" s="62"/>
      <c r="S187" s="62"/>
      <c r="T187" s="62"/>
      <c r="U187" s="62"/>
      <c r="V187" s="62"/>
      <c r="W187" s="62"/>
      <c r="X187" s="62"/>
      <c r="Y187" s="62"/>
      <c r="Z187" s="62"/>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row>
    <row r="188" spans="1:52" x14ac:dyDescent="0.25">
      <c r="A188" s="62"/>
      <c r="B188" s="62"/>
      <c r="C188" s="62"/>
      <c r="D188" s="62"/>
      <c r="E188" s="62"/>
      <c r="F188" s="62"/>
      <c r="G188" s="62"/>
      <c r="H188" s="62"/>
      <c r="I188" s="62"/>
      <c r="J188" s="62"/>
      <c r="K188" s="62"/>
      <c r="L188" s="60"/>
      <c r="M188" s="62"/>
      <c r="N188" s="62"/>
      <c r="O188" s="62"/>
      <c r="P188" s="62"/>
      <c r="Q188" s="62"/>
      <c r="R188" s="62"/>
      <c r="S188" s="62"/>
      <c r="T188" s="62"/>
      <c r="U188" s="62"/>
      <c r="V188" s="62"/>
      <c r="W188" s="62"/>
      <c r="X188" s="62"/>
      <c r="Y188" s="62"/>
      <c r="Z188" s="62"/>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row>
    <row r="189" spans="1:52" x14ac:dyDescent="0.25">
      <c r="A189" s="62"/>
      <c r="B189" s="62"/>
      <c r="C189" s="62"/>
      <c r="D189" s="62"/>
      <c r="E189" s="62"/>
      <c r="F189" s="62"/>
      <c r="G189" s="62"/>
      <c r="H189" s="62"/>
      <c r="I189" s="62"/>
      <c r="J189" s="62"/>
      <c r="K189" s="62"/>
      <c r="L189" s="60"/>
      <c r="M189" s="62"/>
      <c r="N189" s="62"/>
      <c r="O189" s="62"/>
      <c r="P189" s="62"/>
      <c r="Q189" s="62"/>
      <c r="R189" s="62"/>
      <c r="S189" s="62"/>
      <c r="T189" s="62"/>
      <c r="U189" s="62"/>
      <c r="V189" s="62"/>
      <c r="W189" s="62"/>
      <c r="X189" s="62"/>
      <c r="Y189" s="62"/>
      <c r="Z189" s="62"/>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row>
    <row r="190" spans="1:52" x14ac:dyDescent="0.25">
      <c r="A190" s="62"/>
      <c r="B190" s="62"/>
      <c r="C190" s="62"/>
      <c r="D190" s="62"/>
      <c r="E190" s="62"/>
      <c r="F190" s="62"/>
      <c r="G190" s="62"/>
      <c r="H190" s="62"/>
      <c r="I190" s="62"/>
      <c r="J190" s="62"/>
      <c r="K190" s="62"/>
      <c r="L190" s="60"/>
      <c r="M190" s="62"/>
      <c r="N190" s="62"/>
      <c r="O190" s="62"/>
      <c r="P190" s="62"/>
      <c r="Q190" s="62"/>
      <c r="R190" s="62"/>
      <c r="S190" s="62"/>
      <c r="T190" s="62"/>
      <c r="U190" s="62"/>
      <c r="V190" s="62"/>
      <c r="W190" s="62"/>
      <c r="X190" s="62"/>
      <c r="Y190" s="62"/>
      <c r="Z190" s="62"/>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row>
    <row r="191" spans="1:52" x14ac:dyDescent="0.25">
      <c r="A191" s="62"/>
      <c r="B191" s="62"/>
      <c r="C191" s="62"/>
      <c r="D191" s="62"/>
      <c r="E191" s="62"/>
      <c r="F191" s="62"/>
      <c r="G191" s="62"/>
      <c r="H191" s="62"/>
      <c r="I191" s="62"/>
      <c r="J191" s="62"/>
      <c r="K191" s="62"/>
      <c r="L191" s="60"/>
      <c r="M191" s="62"/>
      <c r="N191" s="62"/>
      <c r="O191" s="62"/>
      <c r="P191" s="62"/>
      <c r="Q191" s="62"/>
      <c r="R191" s="62"/>
      <c r="S191" s="62"/>
      <c r="T191" s="62"/>
      <c r="U191" s="62"/>
      <c r="V191" s="62"/>
      <c r="W191" s="62"/>
      <c r="X191" s="62"/>
      <c r="Y191" s="62"/>
      <c r="Z191" s="62"/>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row>
    <row r="192" spans="1:52" x14ac:dyDescent="0.25">
      <c r="A192" s="62"/>
      <c r="B192" s="62"/>
      <c r="C192" s="62"/>
      <c r="D192" s="62"/>
      <c r="E192" s="62"/>
      <c r="F192" s="62"/>
      <c r="G192" s="62"/>
      <c r="H192" s="62"/>
      <c r="I192" s="62"/>
      <c r="J192" s="62"/>
      <c r="K192" s="62"/>
      <c r="L192" s="60"/>
      <c r="M192" s="62"/>
      <c r="N192" s="62"/>
      <c r="O192" s="62"/>
      <c r="P192" s="62"/>
      <c r="Q192" s="62"/>
      <c r="R192" s="62"/>
      <c r="S192" s="62"/>
      <c r="T192" s="62"/>
      <c r="U192" s="62"/>
      <c r="V192" s="62"/>
      <c r="W192" s="62"/>
      <c r="X192" s="62"/>
      <c r="Y192" s="62"/>
      <c r="Z192" s="62"/>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row>
    <row r="193" spans="1:52" x14ac:dyDescent="0.25">
      <c r="A193" s="62"/>
      <c r="B193" s="62"/>
      <c r="C193" s="62"/>
      <c r="D193" s="62"/>
      <c r="E193" s="62"/>
      <c r="F193" s="62"/>
      <c r="G193" s="62"/>
      <c r="H193" s="62"/>
      <c r="I193" s="62"/>
      <c r="J193" s="62"/>
      <c r="K193" s="62"/>
      <c r="L193" s="60"/>
      <c r="M193" s="62"/>
      <c r="N193" s="62"/>
      <c r="O193" s="62"/>
      <c r="P193" s="62"/>
      <c r="Q193" s="62"/>
      <c r="R193" s="62"/>
      <c r="S193" s="62"/>
      <c r="T193" s="62"/>
      <c r="U193" s="62"/>
      <c r="V193" s="62"/>
      <c r="W193" s="62"/>
      <c r="X193" s="62"/>
      <c r="Y193" s="62"/>
      <c r="Z193" s="62"/>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row>
    <row r="194" spans="1:52" x14ac:dyDescent="0.25">
      <c r="A194" s="62"/>
      <c r="B194" s="62"/>
      <c r="C194" s="62"/>
      <c r="D194" s="62"/>
      <c r="E194" s="62"/>
      <c r="F194" s="62"/>
      <c r="G194" s="62"/>
      <c r="H194" s="62"/>
      <c r="I194" s="62"/>
      <c r="J194" s="62"/>
      <c r="K194" s="62"/>
      <c r="L194" s="60"/>
      <c r="M194" s="62"/>
      <c r="N194" s="62"/>
      <c r="O194" s="62"/>
      <c r="P194" s="62"/>
      <c r="Q194" s="62"/>
      <c r="R194" s="62"/>
      <c r="S194" s="62"/>
      <c r="T194" s="62"/>
      <c r="U194" s="62"/>
      <c r="V194" s="62"/>
      <c r="W194" s="62"/>
      <c r="X194" s="62"/>
      <c r="Y194" s="62"/>
      <c r="Z194" s="62"/>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row>
    <row r="195" spans="1:52" x14ac:dyDescent="0.25">
      <c r="A195" s="62"/>
      <c r="B195" s="62"/>
      <c r="C195" s="62"/>
      <c r="D195" s="62"/>
      <c r="E195" s="62"/>
      <c r="F195" s="62"/>
      <c r="G195" s="62"/>
      <c r="H195" s="62"/>
      <c r="I195" s="62"/>
      <c r="J195" s="62"/>
      <c r="K195" s="62"/>
      <c r="L195" s="60"/>
      <c r="M195" s="62"/>
      <c r="N195" s="62"/>
      <c r="O195" s="62"/>
      <c r="P195" s="62"/>
      <c r="Q195" s="62"/>
      <c r="R195" s="62"/>
      <c r="S195" s="62"/>
      <c r="T195" s="62"/>
      <c r="U195" s="62"/>
      <c r="V195" s="62"/>
      <c r="W195" s="62"/>
      <c r="X195" s="62"/>
      <c r="Y195" s="62"/>
      <c r="Z195" s="62"/>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row>
    <row r="196" spans="1:52" x14ac:dyDescent="0.25">
      <c r="A196" s="62"/>
      <c r="B196" s="62"/>
      <c r="C196" s="62"/>
      <c r="D196" s="62"/>
      <c r="E196" s="62"/>
      <c r="F196" s="62"/>
      <c r="G196" s="62"/>
      <c r="H196" s="62"/>
      <c r="I196" s="62"/>
      <c r="J196" s="62"/>
      <c r="K196" s="62"/>
      <c r="L196" s="60"/>
      <c r="M196" s="62"/>
      <c r="N196" s="62"/>
      <c r="O196" s="62"/>
      <c r="P196" s="62"/>
      <c r="Q196" s="62"/>
      <c r="R196" s="62"/>
      <c r="S196" s="62"/>
      <c r="T196" s="62"/>
      <c r="U196" s="62"/>
      <c r="V196" s="62"/>
      <c r="W196" s="62"/>
      <c r="X196" s="62"/>
      <c r="Y196" s="62"/>
      <c r="Z196" s="62"/>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row>
    <row r="197" spans="1:52" x14ac:dyDescent="0.25">
      <c r="A197" s="62"/>
      <c r="B197" s="62"/>
      <c r="C197" s="62"/>
      <c r="D197" s="62"/>
      <c r="E197" s="62"/>
      <c r="F197" s="62"/>
      <c r="G197" s="62"/>
      <c r="H197" s="62"/>
      <c r="I197" s="62"/>
      <c r="J197" s="62"/>
      <c r="K197" s="62"/>
      <c r="L197" s="60"/>
      <c r="M197" s="62"/>
      <c r="N197" s="62"/>
      <c r="O197" s="62"/>
      <c r="P197" s="62"/>
      <c r="Q197" s="62"/>
      <c r="R197" s="62"/>
      <c r="S197" s="62"/>
      <c r="T197" s="62"/>
      <c r="U197" s="62"/>
      <c r="V197" s="62"/>
      <c r="W197" s="62"/>
      <c r="X197" s="62"/>
      <c r="Y197" s="62"/>
      <c r="Z197" s="62"/>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row>
    <row r="198" spans="1:52" x14ac:dyDescent="0.25">
      <c r="A198" s="62"/>
      <c r="B198" s="62"/>
      <c r="C198" s="62"/>
      <c r="D198" s="62"/>
      <c r="E198" s="62"/>
      <c r="F198" s="62"/>
      <c r="G198" s="62"/>
      <c r="H198" s="62"/>
      <c r="I198" s="62"/>
      <c r="J198" s="62"/>
      <c r="K198" s="62"/>
      <c r="L198" s="60"/>
      <c r="M198" s="62"/>
      <c r="N198" s="62"/>
      <c r="O198" s="62"/>
      <c r="P198" s="62"/>
      <c r="Q198" s="62"/>
      <c r="R198" s="62"/>
      <c r="S198" s="62"/>
      <c r="T198" s="62"/>
      <c r="U198" s="62"/>
      <c r="V198" s="62"/>
      <c r="W198" s="62"/>
      <c r="X198" s="62"/>
      <c r="Y198" s="62"/>
      <c r="Z198" s="62"/>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row>
    <row r="199" spans="1:52" x14ac:dyDescent="0.25">
      <c r="A199" s="62"/>
      <c r="B199" s="62"/>
      <c r="C199" s="62"/>
      <c r="D199" s="62"/>
      <c r="E199" s="62"/>
      <c r="F199" s="62"/>
      <c r="G199" s="62"/>
      <c r="H199" s="62"/>
      <c r="I199" s="62"/>
      <c r="J199" s="62"/>
      <c r="K199" s="62"/>
      <c r="L199" s="60"/>
      <c r="M199" s="62"/>
      <c r="N199" s="62"/>
      <c r="O199" s="62"/>
      <c r="P199" s="62"/>
      <c r="Q199" s="62"/>
      <c r="R199" s="62"/>
      <c r="S199" s="62"/>
      <c r="T199" s="62"/>
      <c r="U199" s="62"/>
      <c r="V199" s="62"/>
      <c r="W199" s="62"/>
      <c r="X199" s="62"/>
      <c r="Y199" s="62"/>
      <c r="Z199" s="62"/>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row>
    <row r="200" spans="1:52" x14ac:dyDescent="0.25">
      <c r="A200" s="62"/>
      <c r="B200" s="62"/>
      <c r="C200" s="62"/>
      <c r="D200" s="62"/>
      <c r="E200" s="62"/>
      <c r="F200" s="62"/>
      <c r="G200" s="62"/>
      <c r="H200" s="62"/>
      <c r="I200" s="62"/>
      <c r="J200" s="62"/>
      <c r="K200" s="62"/>
      <c r="L200" s="60"/>
      <c r="M200" s="62"/>
      <c r="N200" s="62"/>
      <c r="O200" s="62"/>
      <c r="P200" s="62"/>
      <c r="Q200" s="62"/>
      <c r="R200" s="62"/>
      <c r="S200" s="62"/>
      <c r="T200" s="62"/>
      <c r="U200" s="62"/>
      <c r="V200" s="62"/>
      <c r="W200" s="62"/>
      <c r="X200" s="62"/>
      <c r="Y200" s="62"/>
      <c r="Z200" s="62"/>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row>
    <row r="201" spans="1:52" x14ac:dyDescent="0.25">
      <c r="L201"/>
    </row>
    <row r="202" spans="1:52" x14ac:dyDescent="0.25">
      <c r="L202"/>
    </row>
    <row r="203" spans="1:52" x14ac:dyDescent="0.25">
      <c r="L203"/>
    </row>
    <row r="204" spans="1:52" x14ac:dyDescent="0.25">
      <c r="L204"/>
    </row>
    <row r="205" spans="1:52" x14ac:dyDescent="0.25">
      <c r="L205"/>
    </row>
    <row r="206" spans="1:52" x14ac:dyDescent="0.25">
      <c r="L206"/>
    </row>
    <row r="207" spans="1:52" x14ac:dyDescent="0.25">
      <c r="L207"/>
    </row>
    <row r="208" spans="1:5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row r="330" spans="12:12" x14ac:dyDescent="0.25">
      <c r="L330"/>
    </row>
    <row r="331" spans="12:12" x14ac:dyDescent="0.25">
      <c r="L331"/>
    </row>
    <row r="332" spans="12:12" x14ac:dyDescent="0.25">
      <c r="L332"/>
    </row>
    <row r="333" spans="12:12" x14ac:dyDescent="0.25">
      <c r="L333"/>
    </row>
    <row r="334" spans="12:12" x14ac:dyDescent="0.25">
      <c r="L334"/>
    </row>
    <row r="335" spans="12:12" x14ac:dyDescent="0.25">
      <c r="L335"/>
    </row>
    <row r="336" spans="12:12" x14ac:dyDescent="0.25">
      <c r="L336"/>
    </row>
    <row r="337" spans="12:12" x14ac:dyDescent="0.25">
      <c r="L337"/>
    </row>
    <row r="338" spans="12:12" x14ac:dyDescent="0.25">
      <c r="L338"/>
    </row>
    <row r="339" spans="12:12" x14ac:dyDescent="0.25">
      <c r="L339"/>
    </row>
    <row r="340" spans="12:12" x14ac:dyDescent="0.25">
      <c r="L340"/>
    </row>
    <row r="341" spans="12:12" x14ac:dyDescent="0.25">
      <c r="L341"/>
    </row>
    <row r="342" spans="12:12" x14ac:dyDescent="0.25">
      <c r="L342"/>
    </row>
    <row r="343" spans="12:12" x14ac:dyDescent="0.25">
      <c r="L343"/>
    </row>
    <row r="344" spans="12:12" x14ac:dyDescent="0.25">
      <c r="L344"/>
    </row>
    <row r="345" spans="12:12" x14ac:dyDescent="0.25">
      <c r="L345"/>
    </row>
    <row r="346" spans="12:12" x14ac:dyDescent="0.25">
      <c r="L346"/>
    </row>
    <row r="347" spans="12:12" x14ac:dyDescent="0.25">
      <c r="L347"/>
    </row>
    <row r="348" spans="12:12" x14ac:dyDescent="0.25">
      <c r="L348"/>
    </row>
    <row r="349" spans="12:12" x14ac:dyDescent="0.25">
      <c r="L349"/>
    </row>
    <row r="350" spans="12:12" x14ac:dyDescent="0.25">
      <c r="L350"/>
    </row>
    <row r="351" spans="12:12" x14ac:dyDescent="0.25">
      <c r="L351"/>
    </row>
    <row r="352" spans="12:12" x14ac:dyDescent="0.25">
      <c r="L352"/>
    </row>
    <row r="353" spans="12:12" x14ac:dyDescent="0.25">
      <c r="L353"/>
    </row>
    <row r="354" spans="12:12" x14ac:dyDescent="0.25">
      <c r="L354"/>
    </row>
    <row r="355" spans="12:12" x14ac:dyDescent="0.25">
      <c r="L355"/>
    </row>
    <row r="356" spans="12:12" x14ac:dyDescent="0.25">
      <c r="L356"/>
    </row>
    <row r="357" spans="12:12" x14ac:dyDescent="0.25">
      <c r="L357"/>
    </row>
    <row r="358" spans="12:12" x14ac:dyDescent="0.25">
      <c r="L358"/>
    </row>
    <row r="359" spans="12:12" x14ac:dyDescent="0.25">
      <c r="L359"/>
    </row>
    <row r="360" spans="12:12" x14ac:dyDescent="0.25">
      <c r="L360"/>
    </row>
    <row r="361" spans="12:12" x14ac:dyDescent="0.25">
      <c r="L361"/>
    </row>
    <row r="362" spans="12:12" x14ac:dyDescent="0.25">
      <c r="L362"/>
    </row>
    <row r="363" spans="12:12" x14ac:dyDescent="0.25">
      <c r="L363"/>
    </row>
    <row r="364" spans="12:12" x14ac:dyDescent="0.25">
      <c r="L364"/>
    </row>
    <row r="365" spans="12:12" x14ac:dyDescent="0.25">
      <c r="L365"/>
    </row>
    <row r="366" spans="12:12" x14ac:dyDescent="0.25">
      <c r="L366"/>
    </row>
    <row r="367" spans="12:12" x14ac:dyDescent="0.25">
      <c r="L367"/>
    </row>
    <row r="368" spans="12:12" x14ac:dyDescent="0.25">
      <c r="L368"/>
    </row>
    <row r="369" spans="12:12" x14ac:dyDescent="0.25">
      <c r="L369"/>
    </row>
    <row r="370" spans="12:12" x14ac:dyDescent="0.25">
      <c r="L370"/>
    </row>
    <row r="371" spans="12:12" x14ac:dyDescent="0.25">
      <c r="L371"/>
    </row>
    <row r="372" spans="12:12" x14ac:dyDescent="0.25">
      <c r="L372"/>
    </row>
    <row r="373" spans="12:12" x14ac:dyDescent="0.25">
      <c r="L373"/>
    </row>
    <row r="374" spans="12:12" x14ac:dyDescent="0.25">
      <c r="L374"/>
    </row>
    <row r="375" spans="12:12" x14ac:dyDescent="0.25">
      <c r="L375"/>
    </row>
    <row r="376" spans="12:12" x14ac:dyDescent="0.25">
      <c r="L376"/>
    </row>
    <row r="377" spans="12:12" x14ac:dyDescent="0.25">
      <c r="L377"/>
    </row>
    <row r="378" spans="12:12" x14ac:dyDescent="0.25">
      <c r="L378"/>
    </row>
    <row r="379" spans="12:12" x14ac:dyDescent="0.25">
      <c r="L379"/>
    </row>
    <row r="380" spans="12:12" x14ac:dyDescent="0.25">
      <c r="L380"/>
    </row>
    <row r="381" spans="12:12" x14ac:dyDescent="0.25">
      <c r="L381"/>
    </row>
    <row r="382" spans="12:12" x14ac:dyDescent="0.25">
      <c r="L382"/>
    </row>
    <row r="383" spans="12:12" x14ac:dyDescent="0.25">
      <c r="L383"/>
    </row>
    <row r="384" spans="12:12" x14ac:dyDescent="0.25">
      <c r="L384"/>
    </row>
    <row r="385" spans="12:12" x14ac:dyDescent="0.25">
      <c r="L385"/>
    </row>
    <row r="386" spans="12:12" x14ac:dyDescent="0.25">
      <c r="L386"/>
    </row>
    <row r="387" spans="12:12" x14ac:dyDescent="0.25">
      <c r="L387"/>
    </row>
    <row r="388" spans="12:12" x14ac:dyDescent="0.25">
      <c r="L388"/>
    </row>
    <row r="389" spans="12:12" x14ac:dyDescent="0.25">
      <c r="L389"/>
    </row>
    <row r="390" spans="12:12" x14ac:dyDescent="0.25">
      <c r="L390"/>
    </row>
    <row r="391" spans="12:12" x14ac:dyDescent="0.25">
      <c r="L391"/>
    </row>
    <row r="392" spans="12:12" x14ac:dyDescent="0.25">
      <c r="L392"/>
    </row>
    <row r="393" spans="12:12" x14ac:dyDescent="0.25">
      <c r="L393"/>
    </row>
    <row r="394" spans="12:12" x14ac:dyDescent="0.25">
      <c r="L394"/>
    </row>
    <row r="395" spans="12:12" x14ac:dyDescent="0.25">
      <c r="L395"/>
    </row>
    <row r="396" spans="12:12" x14ac:dyDescent="0.25">
      <c r="L396"/>
    </row>
    <row r="397" spans="12:12" x14ac:dyDescent="0.25">
      <c r="L397"/>
    </row>
    <row r="398" spans="12:12" x14ac:dyDescent="0.25">
      <c r="L398"/>
    </row>
    <row r="399" spans="12:12" x14ac:dyDescent="0.25">
      <c r="L399"/>
    </row>
    <row r="400" spans="12:12" x14ac:dyDescent="0.25">
      <c r="L400"/>
    </row>
    <row r="401" spans="12:12" x14ac:dyDescent="0.25">
      <c r="L401"/>
    </row>
    <row r="402" spans="12:12" x14ac:dyDescent="0.25">
      <c r="L402"/>
    </row>
    <row r="403" spans="12:12" x14ac:dyDescent="0.25">
      <c r="L403"/>
    </row>
    <row r="404" spans="12:12" x14ac:dyDescent="0.25">
      <c r="L404"/>
    </row>
    <row r="405" spans="12:12" x14ac:dyDescent="0.25">
      <c r="L405"/>
    </row>
    <row r="406" spans="12:12" x14ac:dyDescent="0.25">
      <c r="L406"/>
    </row>
    <row r="407" spans="12:12" x14ac:dyDescent="0.25">
      <c r="L407"/>
    </row>
    <row r="408" spans="12:12" x14ac:dyDescent="0.25">
      <c r="L408"/>
    </row>
    <row r="409" spans="12:12" x14ac:dyDescent="0.25">
      <c r="L409"/>
    </row>
    <row r="410" spans="12:12" x14ac:dyDescent="0.25">
      <c r="L410"/>
    </row>
    <row r="411" spans="12:12" x14ac:dyDescent="0.25">
      <c r="L411"/>
    </row>
    <row r="412" spans="12:12" x14ac:dyDescent="0.25">
      <c r="L412"/>
    </row>
    <row r="413" spans="12:12" x14ac:dyDescent="0.25">
      <c r="L413"/>
    </row>
    <row r="414" spans="12:12" x14ac:dyDescent="0.25">
      <c r="L414"/>
    </row>
    <row r="415" spans="12:12" x14ac:dyDescent="0.25">
      <c r="L415"/>
    </row>
    <row r="416" spans="12:12" x14ac:dyDescent="0.25">
      <c r="L416"/>
    </row>
    <row r="417" spans="12:12" x14ac:dyDescent="0.25">
      <c r="L417"/>
    </row>
    <row r="418" spans="12:12" x14ac:dyDescent="0.25">
      <c r="L418"/>
    </row>
    <row r="419" spans="12:12" x14ac:dyDescent="0.25">
      <c r="L419"/>
    </row>
    <row r="420" spans="12:12" x14ac:dyDescent="0.25">
      <c r="L420"/>
    </row>
    <row r="421" spans="12:12" x14ac:dyDescent="0.25">
      <c r="L421"/>
    </row>
    <row r="422" spans="12:12" x14ac:dyDescent="0.25">
      <c r="L422"/>
    </row>
    <row r="423" spans="12:12" x14ac:dyDescent="0.25">
      <c r="L423"/>
    </row>
    <row r="424" spans="12:12" x14ac:dyDescent="0.25">
      <c r="L424"/>
    </row>
    <row r="425" spans="12:12" x14ac:dyDescent="0.25">
      <c r="L425"/>
    </row>
    <row r="426" spans="12:12" x14ac:dyDescent="0.25">
      <c r="L426"/>
    </row>
    <row r="427" spans="12:12" x14ac:dyDescent="0.25">
      <c r="L427"/>
    </row>
    <row r="428" spans="12:12" x14ac:dyDescent="0.25">
      <c r="L428"/>
    </row>
    <row r="429" spans="12:12" x14ac:dyDescent="0.25">
      <c r="L429"/>
    </row>
    <row r="430" spans="12:12" x14ac:dyDescent="0.25">
      <c r="L430"/>
    </row>
    <row r="431" spans="12:12" x14ac:dyDescent="0.25">
      <c r="L431"/>
    </row>
    <row r="432" spans="12:12" x14ac:dyDescent="0.25">
      <c r="L432"/>
    </row>
    <row r="433" spans="12:12" x14ac:dyDescent="0.25">
      <c r="L433"/>
    </row>
    <row r="434" spans="12:12" x14ac:dyDescent="0.25">
      <c r="L434"/>
    </row>
    <row r="435" spans="12:12" x14ac:dyDescent="0.25">
      <c r="L435"/>
    </row>
    <row r="436" spans="12:12" x14ac:dyDescent="0.25">
      <c r="L436"/>
    </row>
    <row r="437" spans="12:12" x14ac:dyDescent="0.25">
      <c r="L437"/>
    </row>
    <row r="438" spans="12:12" x14ac:dyDescent="0.25">
      <c r="L438"/>
    </row>
    <row r="439" spans="12:12" x14ac:dyDescent="0.25">
      <c r="L439"/>
    </row>
    <row r="440" spans="12:12" x14ac:dyDescent="0.25">
      <c r="L440"/>
    </row>
    <row r="441" spans="12:12" x14ac:dyDescent="0.25">
      <c r="L441"/>
    </row>
    <row r="442" spans="12:12" x14ac:dyDescent="0.25">
      <c r="L442"/>
    </row>
    <row r="443" spans="12:12" x14ac:dyDescent="0.25">
      <c r="L443"/>
    </row>
    <row r="444" spans="12:12" x14ac:dyDescent="0.25">
      <c r="L444"/>
    </row>
    <row r="445" spans="12:12" x14ac:dyDescent="0.25">
      <c r="L445"/>
    </row>
    <row r="446" spans="12:12" x14ac:dyDescent="0.25">
      <c r="L446"/>
    </row>
    <row r="447" spans="12:12" x14ac:dyDescent="0.25">
      <c r="L447"/>
    </row>
    <row r="448" spans="12:12" x14ac:dyDescent="0.25">
      <c r="L448"/>
    </row>
    <row r="449" spans="12:12" x14ac:dyDescent="0.25">
      <c r="L449"/>
    </row>
    <row r="450" spans="12:12" x14ac:dyDescent="0.25">
      <c r="L450"/>
    </row>
    <row r="451" spans="12:12" x14ac:dyDescent="0.25">
      <c r="L451"/>
    </row>
    <row r="452" spans="12:12" x14ac:dyDescent="0.25">
      <c r="L452"/>
    </row>
    <row r="453" spans="12:12" x14ac:dyDescent="0.25">
      <c r="L453"/>
    </row>
    <row r="454" spans="12:12" x14ac:dyDescent="0.25">
      <c r="L454"/>
    </row>
    <row r="455" spans="12:12" x14ac:dyDescent="0.25">
      <c r="L455"/>
    </row>
    <row r="456" spans="12:12" x14ac:dyDescent="0.25">
      <c r="L456"/>
    </row>
    <row r="457" spans="12:12" x14ac:dyDescent="0.25">
      <c r="L457"/>
    </row>
    <row r="458" spans="12:12" x14ac:dyDescent="0.25">
      <c r="L458"/>
    </row>
    <row r="459" spans="12:12" x14ac:dyDescent="0.25">
      <c r="L459"/>
    </row>
    <row r="460" spans="12:12" x14ac:dyDescent="0.25">
      <c r="L460"/>
    </row>
    <row r="461" spans="12:12" x14ac:dyDescent="0.25">
      <c r="L461"/>
    </row>
    <row r="462" spans="12:12" x14ac:dyDescent="0.25">
      <c r="L462"/>
    </row>
    <row r="463" spans="12:12" x14ac:dyDescent="0.25">
      <c r="L463"/>
    </row>
    <row r="464" spans="12:12" x14ac:dyDescent="0.25">
      <c r="L464"/>
    </row>
    <row r="465" spans="12:12" x14ac:dyDescent="0.25">
      <c r="L465"/>
    </row>
    <row r="466" spans="12:12" x14ac:dyDescent="0.25">
      <c r="L466"/>
    </row>
    <row r="467" spans="12:12" x14ac:dyDescent="0.25">
      <c r="L467"/>
    </row>
    <row r="468" spans="12:12" x14ac:dyDescent="0.25">
      <c r="L468"/>
    </row>
    <row r="469" spans="12:12" x14ac:dyDescent="0.25">
      <c r="L469"/>
    </row>
    <row r="470" spans="12:12" x14ac:dyDescent="0.25">
      <c r="L470"/>
    </row>
    <row r="471" spans="12:12" x14ac:dyDescent="0.25">
      <c r="L471"/>
    </row>
    <row r="472" spans="12:12" x14ac:dyDescent="0.25">
      <c r="L472"/>
    </row>
    <row r="473" spans="12:12" x14ac:dyDescent="0.25">
      <c r="L473"/>
    </row>
    <row r="474" spans="12:12" x14ac:dyDescent="0.25">
      <c r="L474"/>
    </row>
    <row r="475" spans="12:12" x14ac:dyDescent="0.25">
      <c r="L475"/>
    </row>
    <row r="476" spans="12:12" x14ac:dyDescent="0.25">
      <c r="L476"/>
    </row>
    <row r="477" spans="12:12" x14ac:dyDescent="0.25">
      <c r="L477"/>
    </row>
    <row r="478" spans="12:12" x14ac:dyDescent="0.25">
      <c r="L478"/>
    </row>
    <row r="479" spans="12:12" x14ac:dyDescent="0.25">
      <c r="L479"/>
    </row>
    <row r="480" spans="12:12" x14ac:dyDescent="0.25">
      <c r="L480"/>
    </row>
    <row r="481" spans="12:12" x14ac:dyDescent="0.25">
      <c r="L481"/>
    </row>
    <row r="482" spans="12:12" x14ac:dyDescent="0.25">
      <c r="L482"/>
    </row>
    <row r="483" spans="12:12" x14ac:dyDescent="0.25">
      <c r="L483"/>
    </row>
    <row r="484" spans="12:12" x14ac:dyDescent="0.25">
      <c r="L484"/>
    </row>
    <row r="485" spans="12:12" x14ac:dyDescent="0.25">
      <c r="L485"/>
    </row>
    <row r="486" spans="12:12" x14ac:dyDescent="0.25">
      <c r="L486"/>
    </row>
    <row r="487" spans="12:12" x14ac:dyDescent="0.25">
      <c r="L487"/>
    </row>
    <row r="488" spans="12:12" x14ac:dyDescent="0.25">
      <c r="L488"/>
    </row>
    <row r="489" spans="12:12" x14ac:dyDescent="0.25">
      <c r="L489"/>
    </row>
    <row r="490" spans="12:12" x14ac:dyDescent="0.25">
      <c r="L490"/>
    </row>
    <row r="491" spans="12:12" x14ac:dyDescent="0.25">
      <c r="L491"/>
    </row>
    <row r="492" spans="12:12" x14ac:dyDescent="0.25">
      <c r="L492"/>
    </row>
    <row r="493" spans="12:12" x14ac:dyDescent="0.25">
      <c r="L493"/>
    </row>
    <row r="494" spans="12:12" x14ac:dyDescent="0.25">
      <c r="L494"/>
    </row>
    <row r="495" spans="12:12" x14ac:dyDescent="0.25">
      <c r="L495"/>
    </row>
    <row r="496" spans="12:12" x14ac:dyDescent="0.25">
      <c r="L496"/>
    </row>
    <row r="497" spans="12:12" x14ac:dyDescent="0.25">
      <c r="L497"/>
    </row>
    <row r="498" spans="12:12" x14ac:dyDescent="0.25">
      <c r="L498"/>
    </row>
    <row r="499" spans="12:12" x14ac:dyDescent="0.25">
      <c r="L499"/>
    </row>
    <row r="500" spans="12:12" x14ac:dyDescent="0.25">
      <c r="L500"/>
    </row>
    <row r="501" spans="12:12" x14ac:dyDescent="0.25">
      <c r="L501"/>
    </row>
    <row r="502" spans="12:12" x14ac:dyDescent="0.25">
      <c r="L502"/>
    </row>
    <row r="503" spans="12:12" x14ac:dyDescent="0.25">
      <c r="L503"/>
    </row>
    <row r="504" spans="12:12" x14ac:dyDescent="0.25">
      <c r="L504"/>
    </row>
    <row r="505" spans="12:12" x14ac:dyDescent="0.25">
      <c r="L505"/>
    </row>
    <row r="506" spans="12:12" x14ac:dyDescent="0.25">
      <c r="L506"/>
    </row>
    <row r="507" spans="12:12" x14ac:dyDescent="0.25">
      <c r="L507"/>
    </row>
    <row r="508" spans="12:12" x14ac:dyDescent="0.25">
      <c r="L508"/>
    </row>
    <row r="509" spans="12:12" x14ac:dyDescent="0.25">
      <c r="L509"/>
    </row>
    <row r="510" spans="12:12" x14ac:dyDescent="0.25">
      <c r="L510"/>
    </row>
    <row r="511" spans="12:12" x14ac:dyDescent="0.25">
      <c r="L511"/>
    </row>
    <row r="512" spans="12:12" x14ac:dyDescent="0.25">
      <c r="L512"/>
    </row>
    <row r="513" spans="12:12" x14ac:dyDescent="0.25">
      <c r="L513"/>
    </row>
    <row r="514" spans="12:12" x14ac:dyDescent="0.25">
      <c r="L514"/>
    </row>
    <row r="515" spans="12:12" x14ac:dyDescent="0.25">
      <c r="L515"/>
    </row>
    <row r="516" spans="12:12" x14ac:dyDescent="0.25">
      <c r="L516"/>
    </row>
    <row r="517" spans="12:12" x14ac:dyDescent="0.25">
      <c r="L517"/>
    </row>
    <row r="518" spans="12:12" x14ac:dyDescent="0.25">
      <c r="L518"/>
    </row>
    <row r="519" spans="12:12" x14ac:dyDescent="0.25">
      <c r="L519"/>
    </row>
    <row r="520" spans="12:12" x14ac:dyDescent="0.25">
      <c r="L520"/>
    </row>
    <row r="521" spans="12:12" x14ac:dyDescent="0.25">
      <c r="L521"/>
    </row>
    <row r="522" spans="12:12" x14ac:dyDescent="0.25">
      <c r="L522"/>
    </row>
    <row r="523" spans="12:12" x14ac:dyDescent="0.25">
      <c r="L523"/>
    </row>
    <row r="524" spans="12:12" x14ac:dyDescent="0.25">
      <c r="L524"/>
    </row>
    <row r="525" spans="12:12" x14ac:dyDescent="0.25">
      <c r="L525"/>
    </row>
    <row r="526" spans="12:12" x14ac:dyDescent="0.25">
      <c r="L526"/>
    </row>
    <row r="527" spans="12:12" x14ac:dyDescent="0.25">
      <c r="L527"/>
    </row>
    <row r="528" spans="12:12" x14ac:dyDescent="0.25">
      <c r="L528"/>
    </row>
    <row r="529" spans="12:12" x14ac:dyDescent="0.25">
      <c r="L529"/>
    </row>
    <row r="530" spans="12:12" x14ac:dyDescent="0.25">
      <c r="L530"/>
    </row>
    <row r="531" spans="12:12" x14ac:dyDescent="0.25">
      <c r="L531"/>
    </row>
    <row r="532" spans="12:12" x14ac:dyDescent="0.25">
      <c r="L532"/>
    </row>
    <row r="533" spans="12:12" x14ac:dyDescent="0.25">
      <c r="L533"/>
    </row>
    <row r="534" spans="12:12" x14ac:dyDescent="0.25">
      <c r="L534"/>
    </row>
    <row r="535" spans="12:12" x14ac:dyDescent="0.25">
      <c r="L535"/>
    </row>
    <row r="536" spans="12:12" x14ac:dyDescent="0.25">
      <c r="L536"/>
    </row>
    <row r="537" spans="12:12" x14ac:dyDescent="0.25">
      <c r="L537"/>
    </row>
    <row r="538" spans="12:12" x14ac:dyDescent="0.25">
      <c r="L538"/>
    </row>
    <row r="539" spans="12:12" x14ac:dyDescent="0.25">
      <c r="L539"/>
    </row>
    <row r="540" spans="12:12" x14ac:dyDescent="0.25">
      <c r="L540"/>
    </row>
    <row r="541" spans="12:12" x14ac:dyDescent="0.25">
      <c r="L541"/>
    </row>
    <row r="542" spans="12:12" x14ac:dyDescent="0.25">
      <c r="L542"/>
    </row>
    <row r="543" spans="12:12" x14ac:dyDescent="0.25">
      <c r="L543"/>
    </row>
    <row r="544" spans="12:12" x14ac:dyDescent="0.25">
      <c r="L544"/>
    </row>
    <row r="545" spans="12:12" x14ac:dyDescent="0.25">
      <c r="L545"/>
    </row>
    <row r="546" spans="12:12" x14ac:dyDescent="0.25">
      <c r="L546"/>
    </row>
    <row r="547" spans="12:12" x14ac:dyDescent="0.25">
      <c r="L547"/>
    </row>
    <row r="548" spans="12:12" x14ac:dyDescent="0.25">
      <c r="L548"/>
    </row>
    <row r="549" spans="12:12" x14ac:dyDescent="0.25">
      <c r="L549"/>
    </row>
    <row r="550" spans="12:12" x14ac:dyDescent="0.25">
      <c r="L550"/>
    </row>
    <row r="551" spans="12:12" x14ac:dyDescent="0.25">
      <c r="L551"/>
    </row>
    <row r="552" spans="12:12" x14ac:dyDescent="0.25">
      <c r="L552"/>
    </row>
    <row r="553" spans="12:12" x14ac:dyDescent="0.25">
      <c r="L553"/>
    </row>
    <row r="554" spans="12:12" x14ac:dyDescent="0.25">
      <c r="L554"/>
    </row>
    <row r="555" spans="12:12" x14ac:dyDescent="0.25">
      <c r="L555"/>
    </row>
    <row r="556" spans="12:12" x14ac:dyDescent="0.25">
      <c r="L556"/>
    </row>
    <row r="557" spans="12:12" x14ac:dyDescent="0.25">
      <c r="L557"/>
    </row>
    <row r="558" spans="12:12" x14ac:dyDescent="0.25">
      <c r="L558"/>
    </row>
    <row r="559" spans="12:12" x14ac:dyDescent="0.25">
      <c r="L559"/>
    </row>
    <row r="560" spans="12:12" x14ac:dyDescent="0.25">
      <c r="L560"/>
    </row>
    <row r="561" spans="12:12" x14ac:dyDescent="0.25">
      <c r="L561"/>
    </row>
    <row r="562" spans="12:12" x14ac:dyDescent="0.25">
      <c r="L562"/>
    </row>
    <row r="563" spans="12:12" x14ac:dyDescent="0.25">
      <c r="L563"/>
    </row>
    <row r="564" spans="12:12" x14ac:dyDescent="0.25">
      <c r="L564"/>
    </row>
    <row r="565" spans="12:12" x14ac:dyDescent="0.25">
      <c r="L565"/>
    </row>
    <row r="566" spans="12:12" x14ac:dyDescent="0.25">
      <c r="L566"/>
    </row>
    <row r="567" spans="12:12" x14ac:dyDescent="0.25">
      <c r="L567"/>
    </row>
    <row r="568" spans="12:12" x14ac:dyDescent="0.25">
      <c r="L568"/>
    </row>
    <row r="569" spans="12:12" x14ac:dyDescent="0.25">
      <c r="L569"/>
    </row>
    <row r="570" spans="12:12" x14ac:dyDescent="0.25">
      <c r="L570"/>
    </row>
    <row r="571" spans="12:12" x14ac:dyDescent="0.25">
      <c r="L571"/>
    </row>
    <row r="572" spans="12:12" x14ac:dyDescent="0.25">
      <c r="L572"/>
    </row>
    <row r="573" spans="12:12" x14ac:dyDescent="0.25">
      <c r="L573"/>
    </row>
    <row r="574" spans="12:12" x14ac:dyDescent="0.25">
      <c r="L574"/>
    </row>
    <row r="575" spans="12:12" x14ac:dyDescent="0.25">
      <c r="L575"/>
    </row>
    <row r="576" spans="12:12" x14ac:dyDescent="0.25">
      <c r="L576"/>
    </row>
    <row r="577" spans="12:12" x14ac:dyDescent="0.25">
      <c r="L577"/>
    </row>
    <row r="578" spans="12:12" x14ac:dyDescent="0.25">
      <c r="L578"/>
    </row>
    <row r="579" spans="12:12" x14ac:dyDescent="0.25">
      <c r="L579"/>
    </row>
    <row r="580" spans="12:12" x14ac:dyDescent="0.25">
      <c r="L580"/>
    </row>
    <row r="581" spans="12:12" x14ac:dyDescent="0.25">
      <c r="L581"/>
    </row>
    <row r="582" spans="12:12" x14ac:dyDescent="0.25">
      <c r="L582"/>
    </row>
    <row r="583" spans="12:12" x14ac:dyDescent="0.25">
      <c r="L583"/>
    </row>
    <row r="584" spans="12:12" x14ac:dyDescent="0.25">
      <c r="L584"/>
    </row>
    <row r="585" spans="12:12" x14ac:dyDescent="0.25">
      <c r="L585"/>
    </row>
    <row r="586" spans="12:12" x14ac:dyDescent="0.25">
      <c r="L586"/>
    </row>
    <row r="587" spans="12:12" x14ac:dyDescent="0.25">
      <c r="L587"/>
    </row>
    <row r="588" spans="12:12" x14ac:dyDescent="0.25">
      <c r="L588"/>
    </row>
    <row r="589" spans="12:12" x14ac:dyDescent="0.25">
      <c r="L589"/>
    </row>
    <row r="590" spans="12:12" x14ac:dyDescent="0.25">
      <c r="L590"/>
    </row>
    <row r="591" spans="12:12" x14ac:dyDescent="0.25">
      <c r="L591"/>
    </row>
    <row r="592" spans="12:12" x14ac:dyDescent="0.25">
      <c r="L592"/>
    </row>
    <row r="593" spans="12:12" x14ac:dyDescent="0.25">
      <c r="L593"/>
    </row>
    <row r="594" spans="12:12" x14ac:dyDescent="0.25">
      <c r="L594"/>
    </row>
    <row r="595" spans="12:12" x14ac:dyDescent="0.25">
      <c r="L595"/>
    </row>
    <row r="596" spans="12:12" x14ac:dyDescent="0.25">
      <c r="L596"/>
    </row>
    <row r="597" spans="12:12" x14ac:dyDescent="0.25">
      <c r="L597"/>
    </row>
    <row r="598" spans="12:12" x14ac:dyDescent="0.25">
      <c r="L598"/>
    </row>
    <row r="599" spans="12:12" x14ac:dyDescent="0.25">
      <c r="L599"/>
    </row>
    <row r="600" spans="12:12" x14ac:dyDescent="0.25">
      <c r="L600"/>
    </row>
    <row r="601" spans="12:12" x14ac:dyDescent="0.25">
      <c r="L601"/>
    </row>
    <row r="602" spans="12:12" x14ac:dyDescent="0.25">
      <c r="L602"/>
    </row>
    <row r="603" spans="12:12" x14ac:dyDescent="0.25">
      <c r="L603"/>
    </row>
    <row r="604" spans="12:12" x14ac:dyDescent="0.25">
      <c r="L604"/>
    </row>
    <row r="605" spans="12:12" x14ac:dyDescent="0.25">
      <c r="L605"/>
    </row>
    <row r="606" spans="12:12" x14ac:dyDescent="0.25">
      <c r="L606"/>
    </row>
    <row r="607" spans="12:12" x14ac:dyDescent="0.25">
      <c r="L607"/>
    </row>
    <row r="608" spans="12:12" x14ac:dyDescent="0.25">
      <c r="L608"/>
    </row>
    <row r="609" spans="12:12" x14ac:dyDescent="0.25">
      <c r="L609"/>
    </row>
    <row r="610" spans="12:12" x14ac:dyDescent="0.25">
      <c r="L610"/>
    </row>
    <row r="611" spans="12:12" x14ac:dyDescent="0.25">
      <c r="L611"/>
    </row>
    <row r="612" spans="12:12" x14ac:dyDescent="0.25">
      <c r="L612"/>
    </row>
    <row r="613" spans="12:12" x14ac:dyDescent="0.25">
      <c r="L613"/>
    </row>
    <row r="614" spans="12:12" x14ac:dyDescent="0.25">
      <c r="L614"/>
    </row>
    <row r="615" spans="12:12" x14ac:dyDescent="0.25">
      <c r="L615"/>
    </row>
    <row r="616" spans="12:12" x14ac:dyDescent="0.25">
      <c r="L616"/>
    </row>
    <row r="617" spans="12:12" x14ac:dyDescent="0.25">
      <c r="L617"/>
    </row>
  </sheetData>
  <sheetProtection password="CA97" sheet="1" objects="1" scenarios="1"/>
  <mergeCells count="29">
    <mergeCell ref="J40:K40"/>
    <mergeCell ref="I4:J4"/>
    <mergeCell ref="I5:J5"/>
    <mergeCell ref="B13:D13"/>
    <mergeCell ref="B15:D15"/>
    <mergeCell ref="B16:D16"/>
    <mergeCell ref="B19:H19"/>
    <mergeCell ref="B26:H26"/>
    <mergeCell ref="B32:K32"/>
    <mergeCell ref="B35:K35"/>
    <mergeCell ref="J37:K37"/>
    <mergeCell ref="J38:K38"/>
    <mergeCell ref="J39:K39"/>
    <mergeCell ref="C48:F48"/>
    <mergeCell ref="B47:K47"/>
    <mergeCell ref="B46:K46"/>
    <mergeCell ref="H48:K48"/>
    <mergeCell ref="M2:N2"/>
    <mergeCell ref="M9:M11"/>
    <mergeCell ref="B12:D12"/>
    <mergeCell ref="B2:K2"/>
    <mergeCell ref="B3:K3"/>
    <mergeCell ref="C4:E4"/>
    <mergeCell ref="B6:K6"/>
    <mergeCell ref="B7:H7"/>
    <mergeCell ref="B9:D9"/>
    <mergeCell ref="C5:D5"/>
    <mergeCell ref="B10:D10"/>
    <mergeCell ref="B11:D11"/>
  </mergeCells>
  <conditionalFormatting sqref="E9:G9 E13:G13 I9:K17">
    <cfRule type="containsBlanks" dxfId="163" priority="140">
      <formula>LEN(TRIM(E9))=0</formula>
    </cfRule>
  </conditionalFormatting>
  <conditionalFormatting sqref="I21:K24">
    <cfRule type="containsBlanks" dxfId="162" priority="139">
      <formula>LEN(TRIM(I21))=0</formula>
    </cfRule>
  </conditionalFormatting>
  <conditionalFormatting sqref="C4:E4 I4:J4 C5">
    <cfRule type="containsBlanks" dxfId="161" priority="138">
      <formula>LEN(TRIM(C4))=0</formula>
    </cfRule>
  </conditionalFormatting>
  <conditionalFormatting sqref="J7">
    <cfRule type="cellIs" dxfId="160" priority="137" operator="lessThan">
      <formula>33</formula>
    </cfRule>
  </conditionalFormatting>
  <conditionalFormatting sqref="J19">
    <cfRule type="cellIs" dxfId="159" priority="136" operator="lessThan">
      <formula>12</formula>
    </cfRule>
  </conditionalFormatting>
  <conditionalFormatting sqref="J26">
    <cfRule type="cellIs" dxfId="158" priority="135" operator="lessThan">
      <formula>15</formula>
    </cfRule>
  </conditionalFormatting>
  <conditionalFormatting sqref="J37:K37">
    <cfRule type="containsBlanks" dxfId="157" priority="134">
      <formula>LEN(TRIM(J37))=0</formula>
    </cfRule>
  </conditionalFormatting>
  <conditionalFormatting sqref="J38:K38">
    <cfRule type="containsText" dxfId="156" priority="132" operator="containsText" text="Incomplete">
      <formula>NOT(ISERROR(SEARCH("Incomplete",J38)))</formula>
    </cfRule>
    <cfRule type="containsBlanks" dxfId="155" priority="133">
      <formula>LEN(TRIM(J38))=0</formula>
    </cfRule>
  </conditionalFormatting>
  <conditionalFormatting sqref="J39:K39">
    <cfRule type="containsBlanks" dxfId="154" priority="131">
      <formula>LEN(TRIM(J39))=0</formula>
    </cfRule>
  </conditionalFormatting>
  <conditionalFormatting sqref="J40:K40">
    <cfRule type="containsBlanks" dxfId="153" priority="130">
      <formula>LEN(TRIM(J40))=0</formula>
    </cfRule>
  </conditionalFormatting>
  <conditionalFormatting sqref="J41:J43">
    <cfRule type="containsBlanks" dxfId="152" priority="141">
      <formula>LEN(TRIM(J41))=0</formula>
    </cfRule>
  </conditionalFormatting>
  <conditionalFormatting sqref="J41">
    <cfRule type="cellIs" dxfId="151" priority="128" operator="lessThan">
      <formula>60</formula>
    </cfRule>
  </conditionalFormatting>
  <conditionalFormatting sqref="J42">
    <cfRule type="cellIs" dxfId="150" priority="127" operator="lessThan">
      <formula>15</formula>
    </cfRule>
  </conditionalFormatting>
  <conditionalFormatting sqref="J43">
    <cfRule type="cellIs" dxfId="149" priority="126" operator="lessThan">
      <formula>2</formula>
    </cfRule>
  </conditionalFormatting>
  <conditionalFormatting sqref="G9 G13 K9:K17 K21:K24">
    <cfRule type="containsText" dxfId="148" priority="125" operator="containsText" text="IPS">
      <formula>NOT(ISERROR(SEARCH("IPS",G9)))</formula>
    </cfRule>
  </conditionalFormatting>
  <conditionalFormatting sqref="E28">
    <cfRule type="notContainsBlanks" dxfId="147" priority="62">
      <formula>LEN(TRIM(E28))&gt;0</formula>
    </cfRule>
    <cfRule type="expression" dxfId="146" priority="67">
      <formula>SUM(J26)&lt;15</formula>
    </cfRule>
  </conditionalFormatting>
  <conditionalFormatting sqref="F28">
    <cfRule type="notContainsBlanks" dxfId="145" priority="60">
      <formula>LEN(TRIM(F28))&gt;0</formula>
    </cfRule>
    <cfRule type="expression" dxfId="144" priority="61">
      <formula>NOT(ISBLANK(E28))</formula>
    </cfRule>
    <cfRule type="expression" dxfId="143" priority="66">
      <formula>SUM(J26)&lt;15</formula>
    </cfRule>
  </conditionalFormatting>
  <conditionalFormatting sqref="G28">
    <cfRule type="notContainsBlanks" dxfId="142" priority="63">
      <formula>LEN(TRIM(G28))&gt;0</formula>
    </cfRule>
    <cfRule type="expression" dxfId="141" priority="64">
      <formula>NOT(ISBLANK(E28))</formula>
    </cfRule>
    <cfRule type="expression" dxfId="140" priority="65">
      <formula>SUM(J26)&lt;15</formula>
    </cfRule>
  </conditionalFormatting>
  <conditionalFormatting sqref="E29">
    <cfRule type="notContainsBlanks" dxfId="139" priority="30">
      <formula>LEN(TRIM(E29))&gt;0</formula>
    </cfRule>
    <cfRule type="expression" dxfId="138" priority="59">
      <formula>SUM(J26)&lt;15</formula>
    </cfRule>
  </conditionalFormatting>
  <conditionalFormatting sqref="E30">
    <cfRule type="notContainsBlanks" dxfId="137" priority="29">
      <formula>LEN(TRIM(E30))&gt;0</formula>
    </cfRule>
    <cfRule type="expression" dxfId="136" priority="58">
      <formula>SUM(J26)&lt;15</formula>
    </cfRule>
  </conditionalFormatting>
  <conditionalFormatting sqref="E31">
    <cfRule type="notContainsBlanks" dxfId="135" priority="28">
      <formula>LEN(TRIM(E31))&gt;0</formula>
    </cfRule>
    <cfRule type="expression" dxfId="134" priority="57">
      <formula>SUM(J26)&lt;15</formula>
    </cfRule>
  </conditionalFormatting>
  <conditionalFormatting sqref="I28">
    <cfRule type="notContainsBlanks" dxfId="133" priority="27">
      <formula>LEN(TRIM(I28))&gt;0</formula>
    </cfRule>
    <cfRule type="expression" dxfId="132" priority="56">
      <formula>SUM(J26)&lt;15</formula>
    </cfRule>
  </conditionalFormatting>
  <conditionalFormatting sqref="I29">
    <cfRule type="notContainsBlanks" dxfId="131" priority="26">
      <formula>LEN(TRIM(I29))&gt;0</formula>
    </cfRule>
    <cfRule type="expression" dxfId="130" priority="55">
      <formula>SUM(J26)&lt;15</formula>
    </cfRule>
  </conditionalFormatting>
  <conditionalFormatting sqref="I30">
    <cfRule type="notContainsBlanks" dxfId="129" priority="25">
      <formula>LEN(TRIM(I30))&gt;0</formula>
    </cfRule>
    <cfRule type="expression" dxfId="128" priority="54">
      <formula>SUM(J26)&lt;15</formula>
    </cfRule>
  </conditionalFormatting>
  <conditionalFormatting sqref="I31">
    <cfRule type="notContainsBlanks" dxfId="127" priority="24">
      <formula>LEN(TRIM(I31))&gt;0</formula>
    </cfRule>
    <cfRule type="expression" dxfId="126" priority="53">
      <formula>SUM(J26)&lt;15</formula>
    </cfRule>
  </conditionalFormatting>
  <conditionalFormatting sqref="F29">
    <cfRule type="notContainsBlanks" dxfId="125" priority="37">
      <formula>LEN(TRIM(F29))&gt;0</formula>
    </cfRule>
    <cfRule type="expression" dxfId="124" priority="45">
      <formula>SUM(J26)&lt;15</formula>
    </cfRule>
    <cfRule type="expression" dxfId="123" priority="52">
      <formula>NOT(ISBLANK(E29))</formula>
    </cfRule>
  </conditionalFormatting>
  <conditionalFormatting sqref="F30">
    <cfRule type="notContainsBlanks" dxfId="122" priority="36">
      <formula>LEN(TRIM(F30))&gt;0</formula>
    </cfRule>
    <cfRule type="expression" dxfId="121" priority="44">
      <formula>SUM(J26)&lt;15</formula>
    </cfRule>
    <cfRule type="expression" dxfId="120" priority="51">
      <formula>NOT(ISBLANK(E30))</formula>
    </cfRule>
  </conditionalFormatting>
  <conditionalFormatting sqref="F31">
    <cfRule type="notContainsBlanks" dxfId="119" priority="35">
      <formula>LEN(TRIM(F31))&gt;0</formula>
    </cfRule>
    <cfRule type="expression" dxfId="118" priority="43">
      <formula>SUM(J26)&lt;15</formula>
    </cfRule>
    <cfRule type="expression" dxfId="117" priority="50">
      <formula>NOT(ISBLANK(E31))</formula>
    </cfRule>
  </conditionalFormatting>
  <conditionalFormatting sqref="J28">
    <cfRule type="notContainsBlanks" dxfId="116" priority="34">
      <formula>LEN(TRIM(J28))&gt;0</formula>
    </cfRule>
    <cfRule type="expression" dxfId="115" priority="42">
      <formula>SUM(J26)&lt;15</formula>
    </cfRule>
    <cfRule type="expression" dxfId="114" priority="49">
      <formula>NOT(ISBLANK(I28))</formula>
    </cfRule>
  </conditionalFormatting>
  <conditionalFormatting sqref="J29">
    <cfRule type="notContainsBlanks" dxfId="113" priority="33">
      <formula>LEN(TRIM(J29))&gt;0</formula>
    </cfRule>
    <cfRule type="expression" dxfId="112" priority="41">
      <formula>SUM(J26)&lt;15</formula>
    </cfRule>
    <cfRule type="expression" dxfId="111" priority="48">
      <formula>NOT(ISBLANK(I29))</formula>
    </cfRule>
  </conditionalFormatting>
  <conditionalFormatting sqref="J30">
    <cfRule type="notContainsBlanks" dxfId="110" priority="32">
      <formula>LEN(TRIM(J30))&gt;0</formula>
    </cfRule>
    <cfRule type="expression" dxfId="109" priority="40">
      <formula>SUM(J26)&lt;15</formula>
    </cfRule>
    <cfRule type="expression" dxfId="108" priority="47">
      <formula>NOT(ISBLANK(I30))</formula>
    </cfRule>
  </conditionalFormatting>
  <conditionalFormatting sqref="J31">
    <cfRule type="notContainsBlanks" dxfId="107" priority="31">
      <formula>LEN(TRIM(J31))&gt;0</formula>
    </cfRule>
    <cfRule type="expression" dxfId="106" priority="39">
      <formula>SUM(J26)&lt;15</formula>
    </cfRule>
    <cfRule type="expression" dxfId="105" priority="46">
      <formula>NOT(ISBLANK(I31))</formula>
    </cfRule>
  </conditionalFormatting>
  <conditionalFormatting sqref="G29">
    <cfRule type="notContainsBlanks" dxfId="104" priority="9">
      <formula>LEN(TRIM(G29))&gt;0</formula>
    </cfRule>
    <cfRule type="expression" dxfId="103" priority="16">
      <formula>SUM(J26&lt;15)</formula>
    </cfRule>
    <cfRule type="expression" dxfId="102" priority="23">
      <formula>NOT(ISBLANK(E29))</formula>
    </cfRule>
  </conditionalFormatting>
  <conditionalFormatting sqref="G30">
    <cfRule type="notContainsBlanks" dxfId="101" priority="8">
      <formula>LEN(TRIM(G30))&gt;0</formula>
    </cfRule>
    <cfRule type="expression" dxfId="100" priority="15">
      <formula>SUM(J26&lt;15)</formula>
    </cfRule>
    <cfRule type="expression" dxfId="99" priority="22">
      <formula>NOT(ISBLANK(E30))</formula>
    </cfRule>
  </conditionalFormatting>
  <conditionalFormatting sqref="G31">
    <cfRule type="notContainsBlanks" dxfId="98" priority="7">
      <formula>LEN(TRIM(G31))&gt;0</formula>
    </cfRule>
    <cfRule type="expression" dxfId="97" priority="14">
      <formula>SUM(J26&lt;15)</formula>
    </cfRule>
    <cfRule type="expression" dxfId="96" priority="21">
      <formula>NOT(ISBLANK(E31))</formula>
    </cfRule>
  </conditionalFormatting>
  <conditionalFormatting sqref="K28">
    <cfRule type="notContainsBlanks" dxfId="95" priority="6">
      <formula>LEN(TRIM(K28))&gt;0</formula>
    </cfRule>
    <cfRule type="expression" dxfId="94" priority="13">
      <formula>SUM(J26&lt;15)</formula>
    </cfRule>
    <cfRule type="expression" dxfId="93" priority="20">
      <formula>NOT(ISBLANK(I28))</formula>
    </cfRule>
  </conditionalFormatting>
  <conditionalFormatting sqref="K29">
    <cfRule type="notContainsBlanks" dxfId="92" priority="5">
      <formula>LEN(TRIM(K29))&gt;0</formula>
    </cfRule>
    <cfRule type="expression" dxfId="91" priority="12">
      <formula>SUM(J26&lt;15)</formula>
    </cfRule>
    <cfRule type="expression" dxfId="90" priority="19">
      <formula>NOT(ISBLANK(I29))</formula>
    </cfRule>
  </conditionalFormatting>
  <conditionalFormatting sqref="K30">
    <cfRule type="notContainsBlanks" dxfId="89" priority="4">
      <formula>LEN(TRIM(K30))&gt;0</formula>
    </cfRule>
    <cfRule type="expression" dxfId="88" priority="11">
      <formula>SUM(J26&lt;15)</formula>
    </cfRule>
    <cfRule type="expression" dxfId="87" priority="18">
      <formula>NOT(ISBLANK(I30))</formula>
    </cfRule>
  </conditionalFormatting>
  <conditionalFormatting sqref="K31">
    <cfRule type="notContainsBlanks" dxfId="86" priority="3">
      <formula>LEN(TRIM(K31))&gt;0</formula>
    </cfRule>
    <cfRule type="expression" dxfId="85" priority="10">
      <formula>SUM(J26&lt;15)</formula>
    </cfRule>
    <cfRule type="expression" dxfId="84" priority="17">
      <formula>NOT(ISBLANK(I31))</formula>
    </cfRule>
  </conditionalFormatting>
  <conditionalFormatting sqref="G28:G31">
    <cfRule type="containsText" dxfId="83" priority="2" operator="containsText" text="IPS">
      <formula>NOT(ISERROR(SEARCH("IPS",G28)))</formula>
    </cfRule>
  </conditionalFormatting>
  <conditionalFormatting sqref="K28:K31">
    <cfRule type="containsText" dxfId="82" priority="1" operator="containsText" text="IPS">
      <formula>NOT(ISERROR(SEARCH("IPS",K28)))</formula>
    </cfRule>
  </conditionalFormatting>
  <dataValidations count="15">
    <dataValidation type="list" allowBlank="1" showInputMessage="1" showErrorMessage="1" sqref="F9 F13 J9 J10 J11 J12 J13 J14 J15 J16 J17 J21 J22 J23 J24 F28 F29 F30 F31 J31 J30 J29 J28">
      <formula1>CREDIT</formula1>
    </dataValidation>
    <dataValidation type="list" allowBlank="1" showInputMessage="1" showErrorMessage="1" sqref="G9 G13 K9:K17 G28:G30 G31:H31 K28:K31 K21:K24">
      <formula1>GRADE</formula1>
    </dataValidation>
    <dataValidation type="list" allowBlank="1" showInputMessage="1" showErrorMessage="1" sqref="E9 I9">
      <formula1>CATA</formula1>
    </dataValidation>
    <dataValidation type="list" allowBlank="1" showInputMessage="1" showErrorMessage="1" sqref="I10">
      <formula1>CATB</formula1>
    </dataValidation>
    <dataValidation type="list" allowBlank="1" showInputMessage="1" showErrorMessage="1" sqref="I11">
      <formula1>CATF</formula1>
    </dataValidation>
    <dataValidation type="list" allowBlank="1" showInputMessage="1" showErrorMessage="1" sqref="I12">
      <formula1>CATG</formula1>
    </dataValidation>
    <dataValidation type="list" allowBlank="1" showInputMessage="1" showErrorMessage="1" sqref="E13 I13 I14">
      <formula1>CATE</formula1>
    </dataValidation>
    <dataValidation type="list" allowBlank="1" showInputMessage="1" showErrorMessage="1" sqref="I15">
      <formula1>CATD</formula1>
    </dataValidation>
    <dataValidation type="list" allowBlank="1" showInputMessage="1" showErrorMessage="1" sqref="I16">
      <formula1>CATC</formula1>
    </dataValidation>
    <dataValidation type="list" allowBlank="1" showInputMessage="1" showErrorMessage="1" sqref="I17">
      <formula1>CATK</formula1>
    </dataValidation>
    <dataValidation type="list" allowBlank="1" showInputMessage="1" showErrorMessage="1" sqref="I21:I22">
      <formula1>CATL</formula1>
    </dataValidation>
    <dataValidation type="list" allowBlank="1" showInputMessage="1" showErrorMessage="1" sqref="J37:K37">
      <formula1>CATI</formula1>
    </dataValidation>
    <dataValidation type="list" allowBlank="1" showInputMessage="1" showErrorMessage="1" sqref="J38:K38 J40:K40">
      <formula1>STATUS</formula1>
    </dataValidation>
    <dataValidation type="list" allowBlank="1" showInputMessage="1" showErrorMessage="1" sqref="J39:K39">
      <formula1>CATM</formula1>
    </dataValidation>
    <dataValidation type="list" allowBlank="1" showInputMessage="1" showErrorMessage="1" sqref="I23 I24">
      <formula1>CATJ</formula1>
    </dataValidation>
  </dataValidations>
  <pageMargins left="0.45" right="0.45" top="0.25" bottom="0.25" header="0.3" footer="0.3"/>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sheetPr>
  <dimension ref="A1:AZ329"/>
  <sheetViews>
    <sheetView workbookViewId="0">
      <selection activeCell="C4" sqref="C4:E4"/>
    </sheetView>
  </sheetViews>
  <sheetFormatPr defaultRowHeight="15" x14ac:dyDescent="0.25"/>
  <cols>
    <col min="2" max="3" width="8.7109375" customWidth="1"/>
    <col min="4" max="4" width="14.7109375" customWidth="1"/>
    <col min="5" max="5" width="16.7109375" customWidth="1"/>
    <col min="6" max="7" width="6.7109375" customWidth="1"/>
    <col min="8" max="8" width="3.7109375" customWidth="1"/>
    <col min="9" max="9" width="16.7109375" customWidth="1"/>
    <col min="10" max="11" width="6.7109375" customWidth="1"/>
    <col min="12" max="12" width="9.140625" style="17" customWidth="1"/>
    <col min="13" max="14" width="20.7109375" customWidth="1"/>
    <col min="15" max="15" width="14.7109375" customWidth="1"/>
  </cols>
  <sheetData>
    <row r="1" spans="1:52" s="24" customFormat="1" ht="19.5" x14ac:dyDescent="0.3">
      <c r="A1" s="58"/>
      <c r="B1" s="58"/>
      <c r="C1" s="58"/>
      <c r="D1" s="58"/>
      <c r="E1" s="58"/>
      <c r="F1" s="58"/>
      <c r="G1" s="58"/>
      <c r="H1" s="58"/>
      <c r="I1" s="58"/>
      <c r="J1" s="58"/>
      <c r="K1" s="58"/>
      <c r="L1" s="59"/>
      <c r="M1" s="57"/>
      <c r="N1" s="57"/>
      <c r="O1" s="57"/>
      <c r="P1" s="57"/>
      <c r="Q1" s="57"/>
      <c r="R1" s="58"/>
      <c r="S1" s="58"/>
      <c r="T1" s="58"/>
      <c r="U1" s="58"/>
      <c r="V1" s="58"/>
      <c r="W1" s="58"/>
      <c r="X1" s="58"/>
      <c r="Y1" s="58"/>
      <c r="Z1" s="58"/>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row>
    <row r="2" spans="1:52" ht="18.75" x14ac:dyDescent="0.3">
      <c r="A2" s="60"/>
      <c r="B2" s="87" t="s">
        <v>308</v>
      </c>
      <c r="C2" s="87"/>
      <c r="D2" s="87"/>
      <c r="E2" s="87"/>
      <c r="F2" s="87"/>
      <c r="G2" s="87"/>
      <c r="H2" s="87"/>
      <c r="I2" s="87"/>
      <c r="J2" s="87"/>
      <c r="K2" s="87"/>
      <c r="L2" s="60"/>
      <c r="M2" s="85"/>
      <c r="N2" s="85"/>
      <c r="O2" s="57"/>
      <c r="P2" s="57"/>
      <c r="Q2" s="57"/>
      <c r="R2" s="62"/>
      <c r="S2" s="62"/>
      <c r="T2" s="62"/>
      <c r="U2" s="62"/>
      <c r="V2" s="62"/>
      <c r="W2" s="62"/>
      <c r="X2" s="62"/>
      <c r="Y2" s="62"/>
      <c r="Z2" s="62"/>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row>
    <row r="3" spans="1:52" s="12" customFormat="1" ht="20.100000000000001" customHeight="1" x14ac:dyDescent="0.25">
      <c r="A3" s="61"/>
      <c r="B3" s="88" t="s">
        <v>401</v>
      </c>
      <c r="C3" s="88"/>
      <c r="D3" s="88"/>
      <c r="E3" s="88"/>
      <c r="F3" s="88"/>
      <c r="G3" s="88"/>
      <c r="H3" s="88"/>
      <c r="I3" s="88"/>
      <c r="J3" s="88"/>
      <c r="K3" s="88"/>
      <c r="L3" s="61"/>
      <c r="M3" s="57"/>
      <c r="N3" s="57"/>
      <c r="O3" s="57"/>
      <c r="P3" s="57"/>
      <c r="Q3" s="57"/>
      <c r="R3" s="64"/>
      <c r="S3" s="64"/>
      <c r="T3" s="64"/>
      <c r="U3" s="64"/>
      <c r="V3" s="64"/>
      <c r="W3" s="64"/>
      <c r="X3" s="64"/>
      <c r="Y3" s="64"/>
      <c r="Z3" s="64"/>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row>
    <row r="4" spans="1:52" x14ac:dyDescent="0.25">
      <c r="A4" s="60"/>
      <c r="B4" s="35" t="s">
        <v>0</v>
      </c>
      <c r="C4" s="83"/>
      <c r="D4" s="83"/>
      <c r="E4" s="83"/>
      <c r="F4" s="35"/>
      <c r="G4" s="35" t="s">
        <v>1</v>
      </c>
      <c r="H4" s="9"/>
      <c r="I4" s="104"/>
      <c r="J4" s="105"/>
      <c r="K4" s="35"/>
      <c r="L4" s="60"/>
      <c r="M4" s="57"/>
      <c r="N4" s="57"/>
      <c r="O4" s="57"/>
      <c r="P4" s="57"/>
      <c r="Q4" s="57"/>
      <c r="R4" s="62"/>
      <c r="S4" s="62"/>
      <c r="T4" s="62"/>
      <c r="U4" s="62"/>
      <c r="V4" s="62"/>
      <c r="W4" s="62"/>
      <c r="X4" s="62"/>
      <c r="Y4" s="62"/>
      <c r="Z4" s="62"/>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row>
    <row r="5" spans="1:52" x14ac:dyDescent="0.25">
      <c r="A5" s="60"/>
      <c r="B5" s="35" t="s">
        <v>2</v>
      </c>
      <c r="C5" s="102"/>
      <c r="D5" s="103"/>
      <c r="E5" s="9"/>
      <c r="F5" s="35"/>
      <c r="G5" s="35"/>
      <c r="H5" s="9"/>
      <c r="I5" s="98"/>
      <c r="J5" s="98"/>
      <c r="K5" s="35"/>
      <c r="L5" s="60"/>
      <c r="M5" s="57"/>
      <c r="N5" s="57"/>
      <c r="O5" s="57"/>
      <c r="P5" s="57"/>
      <c r="Q5" s="57"/>
      <c r="R5" s="62"/>
      <c r="S5" s="62"/>
      <c r="T5" s="62"/>
      <c r="U5" s="62"/>
      <c r="V5" s="62"/>
      <c r="W5" s="62"/>
      <c r="X5" s="62"/>
      <c r="Y5" s="62"/>
      <c r="Z5" s="62"/>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row>
    <row r="6" spans="1:52" x14ac:dyDescent="0.25">
      <c r="A6" s="60"/>
      <c r="B6" s="90"/>
      <c r="C6" s="90"/>
      <c r="D6" s="90"/>
      <c r="E6" s="90"/>
      <c r="F6" s="90"/>
      <c r="G6" s="90"/>
      <c r="H6" s="90"/>
      <c r="I6" s="90"/>
      <c r="J6" s="90"/>
      <c r="K6" s="90"/>
      <c r="L6" s="60"/>
      <c r="M6" s="57"/>
      <c r="N6" s="57"/>
      <c r="O6" s="57"/>
      <c r="P6" s="57"/>
      <c r="Q6" s="57"/>
      <c r="R6" s="62"/>
      <c r="S6" s="62"/>
      <c r="T6" s="62"/>
      <c r="U6" s="62"/>
      <c r="V6" s="62"/>
      <c r="W6" s="62"/>
      <c r="X6" s="62"/>
      <c r="Y6" s="62"/>
      <c r="Z6" s="62"/>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row>
    <row r="7" spans="1:52" x14ac:dyDescent="0.25">
      <c r="A7" s="60"/>
      <c r="B7" s="91" t="s">
        <v>320</v>
      </c>
      <c r="C7" s="91"/>
      <c r="D7" s="91"/>
      <c r="E7" s="91"/>
      <c r="F7" s="91"/>
      <c r="G7" s="91"/>
      <c r="H7" s="91"/>
      <c r="I7" s="39" t="s">
        <v>3</v>
      </c>
      <c r="J7" s="2">
        <f>SUM(F9,F13,F14,F15,J15,J14,J13,J12,J11,J10,J9)</f>
        <v>0</v>
      </c>
      <c r="K7" s="39" t="s">
        <v>4</v>
      </c>
      <c r="L7" s="60"/>
      <c r="M7" s="57"/>
      <c r="N7" s="57"/>
      <c r="O7" s="57"/>
      <c r="P7" s="57"/>
      <c r="Q7" s="57"/>
      <c r="R7" s="62"/>
      <c r="S7" s="62"/>
      <c r="T7" s="62"/>
      <c r="U7" s="62"/>
      <c r="V7" s="62"/>
      <c r="W7" s="62"/>
      <c r="X7" s="62"/>
      <c r="Y7" s="62"/>
      <c r="Z7" s="62"/>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row>
    <row r="8" spans="1:52" x14ac:dyDescent="0.25">
      <c r="A8" s="60"/>
      <c r="B8" s="32"/>
      <c r="C8" s="35"/>
      <c r="D8" s="35"/>
      <c r="E8" s="11" t="s">
        <v>5</v>
      </c>
      <c r="F8" s="11" t="s">
        <v>6</v>
      </c>
      <c r="G8" s="11" t="s">
        <v>7</v>
      </c>
      <c r="H8" s="35"/>
      <c r="I8" s="11" t="s">
        <v>5</v>
      </c>
      <c r="J8" s="11" t="s">
        <v>6</v>
      </c>
      <c r="K8" s="11" t="s">
        <v>7</v>
      </c>
      <c r="L8" s="60"/>
      <c r="M8" s="57"/>
      <c r="N8" s="57"/>
      <c r="O8" s="57"/>
      <c r="P8" s="57"/>
      <c r="Q8" s="57"/>
      <c r="R8" s="62"/>
      <c r="S8" s="62"/>
      <c r="T8" s="62"/>
      <c r="U8" s="62"/>
      <c r="V8" s="62"/>
      <c r="W8" s="62"/>
      <c r="X8" s="62"/>
      <c r="Y8" s="62"/>
      <c r="Z8" s="62"/>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row>
    <row r="9" spans="1:52" x14ac:dyDescent="0.25">
      <c r="A9" s="60"/>
      <c r="B9" s="86" t="s">
        <v>328</v>
      </c>
      <c r="C9" s="86"/>
      <c r="D9" s="86"/>
      <c r="E9" s="20"/>
      <c r="F9" s="38"/>
      <c r="G9" s="38"/>
      <c r="H9" s="37"/>
      <c r="I9" s="20"/>
      <c r="J9" s="53"/>
      <c r="K9" s="53"/>
      <c r="L9" s="60"/>
      <c r="M9" s="85"/>
      <c r="N9" s="57"/>
      <c r="O9" s="57"/>
      <c r="P9" s="57"/>
      <c r="Q9" s="57"/>
      <c r="R9" s="62"/>
      <c r="S9" s="62"/>
      <c r="T9" s="62"/>
      <c r="U9" s="62"/>
      <c r="V9" s="62"/>
      <c r="W9" s="62"/>
      <c r="X9" s="62"/>
      <c r="Y9" s="62"/>
      <c r="Z9" s="62"/>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row>
    <row r="10" spans="1:52" x14ac:dyDescent="0.25">
      <c r="A10" s="60"/>
      <c r="B10" s="86" t="s">
        <v>329</v>
      </c>
      <c r="C10" s="86"/>
      <c r="D10" s="86"/>
      <c r="E10" s="9"/>
      <c r="F10" s="40"/>
      <c r="G10" s="40"/>
      <c r="H10" s="37"/>
      <c r="I10" s="20"/>
      <c r="J10" s="53"/>
      <c r="K10" s="53"/>
      <c r="L10" s="60"/>
      <c r="M10" s="85"/>
      <c r="N10" s="57"/>
      <c r="O10" s="57"/>
      <c r="P10" s="57"/>
      <c r="Q10" s="57"/>
      <c r="R10" s="62"/>
      <c r="S10" s="62"/>
      <c r="T10" s="62"/>
      <c r="U10" s="62"/>
      <c r="V10" s="62"/>
      <c r="W10" s="62"/>
      <c r="X10" s="62"/>
      <c r="Y10" s="62"/>
      <c r="Z10" s="62"/>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row>
    <row r="11" spans="1:52" x14ac:dyDescent="0.25">
      <c r="A11" s="60"/>
      <c r="B11" s="86" t="s">
        <v>330</v>
      </c>
      <c r="C11" s="86"/>
      <c r="D11" s="86"/>
      <c r="E11" s="9"/>
      <c r="F11" s="40"/>
      <c r="G11" s="40"/>
      <c r="H11" s="37"/>
      <c r="I11" s="20"/>
      <c r="J11" s="53"/>
      <c r="K11" s="53"/>
      <c r="L11" s="60"/>
      <c r="M11" s="85"/>
      <c r="N11" s="57"/>
      <c r="O11" s="57"/>
      <c r="P11" s="57"/>
      <c r="Q11" s="57"/>
      <c r="R11" s="62"/>
      <c r="S11" s="62"/>
      <c r="T11" s="62"/>
      <c r="U11" s="62"/>
      <c r="V11" s="62"/>
      <c r="W11" s="62"/>
      <c r="X11" s="62"/>
      <c r="Y11" s="62"/>
      <c r="Z11" s="62"/>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row>
    <row r="12" spans="1:52" x14ac:dyDescent="0.25">
      <c r="A12" s="60"/>
      <c r="B12" s="86" t="s">
        <v>331</v>
      </c>
      <c r="C12" s="86"/>
      <c r="D12" s="86"/>
      <c r="E12" s="9"/>
      <c r="F12" s="40"/>
      <c r="G12" s="40"/>
      <c r="H12" s="37"/>
      <c r="I12" s="20"/>
      <c r="J12" s="53"/>
      <c r="K12" s="53"/>
      <c r="L12" s="60"/>
      <c r="M12" s="57"/>
      <c r="N12" s="57"/>
      <c r="O12" s="57"/>
      <c r="P12" s="57"/>
      <c r="Q12" s="57"/>
      <c r="R12" s="62"/>
      <c r="S12" s="62"/>
      <c r="T12" s="62"/>
      <c r="U12" s="62"/>
      <c r="V12" s="62"/>
      <c r="W12" s="62"/>
      <c r="X12" s="62"/>
      <c r="Y12" s="62"/>
      <c r="Z12" s="62"/>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row>
    <row r="13" spans="1:52" x14ac:dyDescent="0.25">
      <c r="A13" s="60"/>
      <c r="B13" s="86" t="s">
        <v>334</v>
      </c>
      <c r="C13" s="86"/>
      <c r="D13" s="86"/>
      <c r="E13" s="54"/>
      <c r="F13" s="53"/>
      <c r="G13" s="53"/>
      <c r="H13" s="37"/>
      <c r="I13" s="20"/>
      <c r="J13" s="53"/>
      <c r="K13" s="53"/>
      <c r="L13" s="60"/>
      <c r="M13" s="57"/>
      <c r="N13" s="57"/>
      <c r="O13" s="57"/>
      <c r="P13" s="57"/>
      <c r="Q13" s="57"/>
      <c r="R13" s="62"/>
      <c r="S13" s="62"/>
      <c r="T13" s="62"/>
      <c r="U13" s="62"/>
      <c r="V13" s="62"/>
      <c r="W13" s="62"/>
      <c r="X13" s="62"/>
      <c r="Y13" s="62"/>
      <c r="Z13" s="62"/>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row>
    <row r="14" spans="1:52" x14ac:dyDescent="0.25">
      <c r="A14" s="60"/>
      <c r="B14" s="86" t="s">
        <v>335</v>
      </c>
      <c r="C14" s="86"/>
      <c r="D14" s="86"/>
      <c r="E14" s="54"/>
      <c r="F14" s="53"/>
      <c r="G14" s="53"/>
      <c r="H14" s="37"/>
      <c r="I14" s="20"/>
      <c r="J14" s="53"/>
      <c r="K14" s="53"/>
      <c r="L14" s="60"/>
      <c r="M14" s="57"/>
      <c r="N14" s="57"/>
      <c r="O14" s="57"/>
      <c r="P14" s="57"/>
      <c r="Q14" s="57"/>
      <c r="R14" s="62"/>
      <c r="S14" s="62"/>
      <c r="T14" s="62"/>
      <c r="U14" s="62"/>
      <c r="V14" s="62"/>
      <c r="W14" s="62"/>
      <c r="X14" s="62"/>
      <c r="Y14" s="62"/>
      <c r="Z14" s="62"/>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row>
    <row r="15" spans="1:52" x14ac:dyDescent="0.25">
      <c r="A15" s="60"/>
      <c r="B15" s="86" t="s">
        <v>336</v>
      </c>
      <c r="C15" s="86"/>
      <c r="D15" s="86"/>
      <c r="E15" s="54"/>
      <c r="F15" s="53"/>
      <c r="G15" s="53"/>
      <c r="H15" s="51"/>
      <c r="I15" s="20"/>
      <c r="J15" s="53"/>
      <c r="K15" s="53"/>
      <c r="L15" s="60"/>
      <c r="M15" s="57"/>
      <c r="N15" s="57"/>
      <c r="O15" s="57"/>
      <c r="P15" s="57"/>
      <c r="Q15" s="57"/>
      <c r="R15" s="62"/>
      <c r="S15" s="62"/>
      <c r="T15" s="62"/>
      <c r="U15" s="62"/>
      <c r="V15" s="62"/>
      <c r="W15" s="62"/>
      <c r="X15" s="62"/>
      <c r="Y15" s="62"/>
      <c r="Z15" s="62"/>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row>
    <row r="16" spans="1:52" x14ac:dyDescent="0.25">
      <c r="A16" s="60"/>
      <c r="B16" s="21"/>
      <c r="C16" s="37"/>
      <c r="D16" s="37"/>
      <c r="E16" s="37"/>
      <c r="F16" s="37"/>
      <c r="G16" s="37"/>
      <c r="H16" s="37"/>
      <c r="I16" s="9"/>
      <c r="J16" s="9"/>
      <c r="K16" s="9"/>
      <c r="L16" s="60"/>
      <c r="M16" s="57"/>
      <c r="N16" s="57"/>
      <c r="O16" s="57"/>
      <c r="P16" s="57"/>
      <c r="Q16" s="57"/>
      <c r="R16" s="62"/>
      <c r="S16" s="62"/>
      <c r="T16" s="62"/>
      <c r="U16" s="62"/>
      <c r="V16" s="62"/>
      <c r="W16" s="62"/>
      <c r="X16" s="62"/>
      <c r="Y16" s="62"/>
      <c r="Z16" s="62"/>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row>
    <row r="17" spans="1:52" x14ac:dyDescent="0.25">
      <c r="A17" s="60"/>
      <c r="B17" s="99" t="s">
        <v>339</v>
      </c>
      <c r="C17" s="99"/>
      <c r="D17" s="99"/>
      <c r="E17" s="99"/>
      <c r="F17" s="99"/>
      <c r="G17" s="99"/>
      <c r="H17" s="99"/>
      <c r="I17" s="36" t="s">
        <v>3</v>
      </c>
      <c r="J17" s="2">
        <f>SUM(J19:J22)</f>
        <v>0</v>
      </c>
      <c r="K17" s="36" t="s">
        <v>10</v>
      </c>
      <c r="L17" s="60"/>
      <c r="M17" s="57"/>
      <c r="N17" s="57"/>
      <c r="O17" s="57"/>
      <c r="P17" s="57"/>
      <c r="Q17" s="57"/>
      <c r="R17" s="62"/>
      <c r="S17" s="62"/>
      <c r="T17" s="62"/>
      <c r="U17" s="62"/>
      <c r="V17" s="62"/>
      <c r="W17" s="62"/>
      <c r="X17" s="62"/>
      <c r="Y17" s="62"/>
      <c r="Z17" s="62"/>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row>
    <row r="18" spans="1:52" x14ac:dyDescent="0.25">
      <c r="A18" s="60"/>
      <c r="B18" s="35"/>
      <c r="C18" s="35"/>
      <c r="D18" s="35"/>
      <c r="E18" s="11"/>
      <c r="F18" s="11"/>
      <c r="G18" s="11"/>
      <c r="H18" s="35"/>
      <c r="I18" s="11" t="s">
        <v>5</v>
      </c>
      <c r="J18" s="11" t="s">
        <v>6</v>
      </c>
      <c r="K18" s="11" t="s">
        <v>7</v>
      </c>
      <c r="L18" s="60"/>
      <c r="M18" s="57"/>
      <c r="N18" s="57"/>
      <c r="O18" s="57"/>
      <c r="P18" s="57"/>
      <c r="Q18" s="57"/>
      <c r="R18" s="62"/>
      <c r="S18" s="62"/>
      <c r="T18" s="62"/>
      <c r="U18" s="62"/>
      <c r="V18" s="62"/>
      <c r="W18" s="62"/>
      <c r="X18" s="62"/>
      <c r="Y18" s="62"/>
      <c r="Z18" s="62"/>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row>
    <row r="19" spans="1:52" x14ac:dyDescent="0.25">
      <c r="A19" s="60"/>
      <c r="B19" s="35" t="s">
        <v>337</v>
      </c>
      <c r="C19" s="35"/>
      <c r="D19" s="35"/>
      <c r="E19" s="35"/>
      <c r="F19" s="35"/>
      <c r="G19" s="35"/>
      <c r="H19" s="37"/>
      <c r="I19" s="20"/>
      <c r="J19" s="38"/>
      <c r="K19" s="38"/>
      <c r="L19" s="60"/>
      <c r="M19" s="57"/>
      <c r="N19" s="57"/>
      <c r="O19" s="57"/>
      <c r="P19" s="57"/>
      <c r="Q19" s="57"/>
      <c r="R19" s="62"/>
      <c r="S19" s="62"/>
      <c r="T19" s="62"/>
      <c r="U19" s="62"/>
      <c r="V19" s="62"/>
      <c r="W19" s="62"/>
      <c r="X19" s="62"/>
      <c r="Y19" s="62"/>
      <c r="Z19" s="62"/>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row>
    <row r="20" spans="1:52" x14ac:dyDescent="0.25">
      <c r="A20" s="60"/>
      <c r="B20" s="35"/>
      <c r="C20" s="35"/>
      <c r="D20" s="35"/>
      <c r="E20" s="35"/>
      <c r="F20" s="35"/>
      <c r="G20" s="35"/>
      <c r="H20" s="37"/>
      <c r="I20" s="20"/>
      <c r="J20" s="38"/>
      <c r="K20" s="38"/>
      <c r="L20" s="60"/>
      <c r="M20" s="57"/>
      <c r="N20" s="57"/>
      <c r="O20" s="57"/>
      <c r="P20" s="57"/>
      <c r="Q20" s="57"/>
      <c r="R20" s="62"/>
      <c r="S20" s="62"/>
      <c r="T20" s="62"/>
      <c r="U20" s="62"/>
      <c r="V20" s="62"/>
      <c r="W20" s="62"/>
      <c r="X20" s="62"/>
      <c r="Y20" s="62"/>
      <c r="Z20" s="62"/>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row>
    <row r="21" spans="1:52" x14ac:dyDescent="0.25">
      <c r="A21" s="60"/>
      <c r="B21" s="35" t="s">
        <v>338</v>
      </c>
      <c r="C21" s="35"/>
      <c r="D21" s="35"/>
      <c r="E21" s="35"/>
      <c r="F21" s="35"/>
      <c r="G21" s="35"/>
      <c r="H21" s="37"/>
      <c r="I21" s="20"/>
      <c r="J21" s="38"/>
      <c r="K21" s="38"/>
      <c r="L21" s="60"/>
      <c r="M21" s="57"/>
      <c r="N21" s="57"/>
      <c r="O21" s="57"/>
      <c r="P21" s="57"/>
      <c r="Q21" s="57"/>
      <c r="R21" s="62"/>
      <c r="S21" s="62"/>
      <c r="T21" s="62"/>
      <c r="U21" s="62"/>
      <c r="V21" s="62"/>
      <c r="W21" s="62"/>
      <c r="X21" s="62"/>
      <c r="Y21" s="62"/>
      <c r="Z21" s="62"/>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row>
    <row r="22" spans="1:52" x14ac:dyDescent="0.25">
      <c r="A22" s="60"/>
      <c r="B22" s="35"/>
      <c r="C22" s="35"/>
      <c r="D22" s="35"/>
      <c r="E22" s="35"/>
      <c r="F22" s="35"/>
      <c r="G22" s="35"/>
      <c r="H22" s="37"/>
      <c r="I22" s="20"/>
      <c r="J22" s="38"/>
      <c r="K22" s="38"/>
      <c r="L22" s="60"/>
      <c r="M22" s="57"/>
      <c r="N22" s="57"/>
      <c r="O22" s="57"/>
      <c r="P22" s="57"/>
      <c r="Q22" s="57"/>
      <c r="R22" s="62"/>
      <c r="S22" s="62"/>
      <c r="T22" s="62"/>
      <c r="U22" s="62"/>
      <c r="V22" s="62"/>
      <c r="W22" s="62"/>
      <c r="X22" s="62"/>
      <c r="Y22" s="62"/>
      <c r="Z22" s="62"/>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row>
    <row r="23" spans="1:52" x14ac:dyDescent="0.25">
      <c r="A23" s="60"/>
      <c r="B23" s="35"/>
      <c r="C23" s="35"/>
      <c r="D23" s="35"/>
      <c r="E23" s="35"/>
      <c r="F23" s="35"/>
      <c r="G23" s="35"/>
      <c r="H23" s="35"/>
      <c r="I23" s="35"/>
      <c r="J23" s="35"/>
      <c r="K23" s="35"/>
      <c r="L23" s="60"/>
      <c r="M23" s="57"/>
      <c r="N23" s="57"/>
      <c r="O23" s="57"/>
      <c r="P23" s="57"/>
      <c r="Q23" s="57"/>
      <c r="R23" s="62"/>
      <c r="S23" s="62"/>
      <c r="T23" s="62"/>
      <c r="U23" s="62"/>
      <c r="V23" s="62"/>
      <c r="W23" s="62"/>
      <c r="X23" s="62"/>
      <c r="Y23" s="62"/>
      <c r="Z23" s="62"/>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row>
    <row r="24" spans="1:52" x14ac:dyDescent="0.25">
      <c r="A24" s="60"/>
      <c r="B24" s="99" t="s">
        <v>9</v>
      </c>
      <c r="C24" s="99"/>
      <c r="D24" s="99"/>
      <c r="E24" s="99"/>
      <c r="F24" s="99"/>
      <c r="G24" s="99"/>
      <c r="H24" s="99"/>
      <c r="I24" s="36" t="s">
        <v>3</v>
      </c>
      <c r="J24" s="2">
        <f>SUM(F26,F27,F28,F29,J29,J28,J26,J27)</f>
        <v>0</v>
      </c>
      <c r="K24" s="36" t="s">
        <v>8</v>
      </c>
      <c r="L24" s="60"/>
      <c r="M24" s="57"/>
      <c r="N24" s="57"/>
      <c r="O24" s="57"/>
      <c r="P24" s="57"/>
      <c r="Q24" s="57"/>
      <c r="R24" s="62"/>
      <c r="S24" s="62"/>
      <c r="T24" s="62"/>
      <c r="U24" s="62"/>
      <c r="V24" s="62"/>
      <c r="W24" s="62"/>
      <c r="X24" s="62"/>
      <c r="Y24" s="62"/>
      <c r="Z24" s="62"/>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row>
    <row r="25" spans="1:52" x14ac:dyDescent="0.25">
      <c r="A25" s="60"/>
      <c r="B25" s="35"/>
      <c r="C25" s="35"/>
      <c r="D25" s="35"/>
      <c r="E25" s="11" t="s">
        <v>5</v>
      </c>
      <c r="F25" s="11" t="s">
        <v>6</v>
      </c>
      <c r="G25" s="11" t="s">
        <v>7</v>
      </c>
      <c r="H25" s="35"/>
      <c r="I25" s="11" t="s">
        <v>5</v>
      </c>
      <c r="J25" s="11" t="s">
        <v>6</v>
      </c>
      <c r="K25" s="11" t="s">
        <v>7</v>
      </c>
      <c r="L25" s="60"/>
      <c r="M25" s="57"/>
      <c r="N25" s="57"/>
      <c r="O25" s="57"/>
      <c r="P25" s="57"/>
      <c r="Q25" s="57"/>
      <c r="R25" s="62"/>
      <c r="S25" s="62"/>
      <c r="T25" s="62"/>
      <c r="U25" s="62"/>
      <c r="V25" s="62"/>
      <c r="W25" s="62"/>
      <c r="X25" s="62"/>
      <c r="Y25" s="62"/>
      <c r="Z25" s="62"/>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row>
    <row r="26" spans="1:52" x14ac:dyDescent="0.25">
      <c r="A26" s="60"/>
      <c r="B26" s="35" t="s">
        <v>325</v>
      </c>
      <c r="C26" s="35"/>
      <c r="D26" s="9"/>
      <c r="E26" s="54"/>
      <c r="F26" s="53"/>
      <c r="G26" s="53"/>
      <c r="H26" s="37"/>
      <c r="I26" s="20"/>
      <c r="J26" s="53"/>
      <c r="K26" s="53"/>
      <c r="L26" s="60"/>
      <c r="M26" s="57"/>
      <c r="N26" s="57"/>
      <c r="O26" s="57"/>
      <c r="P26" s="57"/>
      <c r="Q26" s="57"/>
      <c r="R26" s="62"/>
      <c r="S26" s="62"/>
      <c r="T26" s="62"/>
      <c r="U26" s="62"/>
      <c r="V26" s="62"/>
      <c r="W26" s="62"/>
      <c r="X26" s="62"/>
      <c r="Y26" s="62"/>
      <c r="Z26" s="62"/>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row>
    <row r="27" spans="1:52" x14ac:dyDescent="0.25">
      <c r="A27" s="60"/>
      <c r="B27" s="35"/>
      <c r="C27" s="35"/>
      <c r="D27" s="9"/>
      <c r="E27" s="54"/>
      <c r="F27" s="53"/>
      <c r="G27" s="53"/>
      <c r="H27" s="37"/>
      <c r="I27" s="20"/>
      <c r="J27" s="53"/>
      <c r="K27" s="53"/>
      <c r="L27" s="60"/>
      <c r="M27" s="57"/>
      <c r="N27" s="57"/>
      <c r="O27" s="57"/>
      <c r="P27" s="57"/>
      <c r="Q27" s="57"/>
      <c r="R27" s="62"/>
      <c r="S27" s="62"/>
      <c r="T27" s="62"/>
      <c r="U27" s="62"/>
      <c r="V27" s="62"/>
      <c r="W27" s="62"/>
      <c r="X27" s="62"/>
      <c r="Y27" s="62"/>
      <c r="Z27" s="62"/>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row>
    <row r="28" spans="1:52" x14ac:dyDescent="0.25">
      <c r="A28" s="60"/>
      <c r="B28" s="35"/>
      <c r="C28" s="35"/>
      <c r="D28" s="9"/>
      <c r="E28" s="54"/>
      <c r="F28" s="53"/>
      <c r="G28" s="53"/>
      <c r="H28" s="37"/>
      <c r="I28" s="20"/>
      <c r="J28" s="53"/>
      <c r="K28" s="53"/>
      <c r="L28" s="60"/>
      <c r="M28" s="57"/>
      <c r="N28" s="57"/>
      <c r="O28" s="57"/>
      <c r="P28" s="57"/>
      <c r="Q28" s="57"/>
      <c r="R28" s="62"/>
      <c r="S28" s="62"/>
      <c r="T28" s="62"/>
      <c r="U28" s="62"/>
      <c r="V28" s="62"/>
      <c r="W28" s="62"/>
      <c r="X28" s="62"/>
      <c r="Y28" s="62"/>
      <c r="Z28" s="62"/>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row>
    <row r="29" spans="1:52" x14ac:dyDescent="0.25">
      <c r="A29" s="60"/>
      <c r="B29" s="35"/>
      <c r="C29" s="35"/>
      <c r="D29" s="9"/>
      <c r="E29" s="54"/>
      <c r="F29" s="53"/>
      <c r="G29" s="53"/>
      <c r="H29" s="37"/>
      <c r="I29" s="20"/>
      <c r="J29" s="53"/>
      <c r="K29" s="53"/>
      <c r="L29" s="60"/>
      <c r="M29" s="57"/>
      <c r="N29" s="57"/>
      <c r="O29" s="57"/>
      <c r="P29" s="57"/>
      <c r="Q29" s="57"/>
      <c r="R29" s="62"/>
      <c r="S29" s="62"/>
      <c r="T29" s="62"/>
      <c r="U29" s="62"/>
      <c r="V29" s="62"/>
      <c r="W29" s="62"/>
      <c r="X29" s="62"/>
      <c r="Y29" s="62"/>
      <c r="Z29" s="62"/>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row>
    <row r="30" spans="1:52" x14ac:dyDescent="0.25">
      <c r="A30" s="60"/>
      <c r="B30" s="90"/>
      <c r="C30" s="90"/>
      <c r="D30" s="90"/>
      <c r="E30" s="90"/>
      <c r="F30" s="90"/>
      <c r="G30" s="90"/>
      <c r="H30" s="90"/>
      <c r="I30" s="90"/>
      <c r="J30" s="90"/>
      <c r="K30" s="90"/>
      <c r="L30" s="60"/>
      <c r="M30" s="57"/>
      <c r="N30" s="57"/>
      <c r="O30" s="57"/>
      <c r="P30" s="57"/>
      <c r="Q30" s="57"/>
      <c r="R30" s="62"/>
      <c r="S30" s="62"/>
      <c r="T30" s="62"/>
      <c r="U30" s="62"/>
      <c r="V30" s="62"/>
      <c r="W30" s="62"/>
      <c r="X30" s="62"/>
      <c r="Y30" s="62"/>
      <c r="Z30" s="62"/>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row>
    <row r="31" spans="1:52" x14ac:dyDescent="0.25">
      <c r="A31" s="60"/>
      <c r="B31" s="10" t="s">
        <v>340</v>
      </c>
      <c r="C31" s="9"/>
      <c r="D31" s="9"/>
      <c r="E31" s="35" t="s">
        <v>11</v>
      </c>
      <c r="F31" s="35"/>
      <c r="G31" s="8">
        <f>SUM(J7,J17,J24)</f>
        <v>0</v>
      </c>
      <c r="H31" s="35"/>
      <c r="I31" s="35" t="s">
        <v>12</v>
      </c>
      <c r="J31" s="38"/>
      <c r="K31" s="35"/>
      <c r="L31" s="60"/>
      <c r="M31" s="57"/>
      <c r="N31" s="57"/>
      <c r="O31" s="57"/>
      <c r="P31" s="57"/>
      <c r="Q31" s="57"/>
      <c r="R31" s="62"/>
      <c r="S31" s="62"/>
      <c r="T31" s="62"/>
      <c r="U31" s="62"/>
      <c r="V31" s="62"/>
      <c r="W31" s="62"/>
      <c r="X31" s="62"/>
      <c r="Y31" s="62"/>
      <c r="Z31" s="62"/>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row>
    <row r="32" spans="1:52" x14ac:dyDescent="0.25">
      <c r="A32" s="60"/>
      <c r="B32" s="9"/>
      <c r="C32" s="9"/>
      <c r="D32" s="9"/>
      <c r="E32" s="35" t="s">
        <v>13</v>
      </c>
      <c r="F32" s="35"/>
      <c r="G32" s="38"/>
      <c r="H32" s="35"/>
      <c r="I32" s="35" t="s">
        <v>14</v>
      </c>
      <c r="J32" s="38"/>
      <c r="K32" s="35"/>
      <c r="L32" s="60"/>
      <c r="M32" s="57"/>
      <c r="N32" s="57"/>
      <c r="O32" s="57"/>
      <c r="P32" s="57"/>
      <c r="Q32" s="57"/>
      <c r="R32" s="62"/>
      <c r="S32" s="62"/>
      <c r="T32" s="62"/>
      <c r="U32" s="62"/>
      <c r="V32" s="62"/>
      <c r="W32" s="62"/>
      <c r="X32" s="62"/>
      <c r="Y32" s="62"/>
      <c r="Z32" s="62"/>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row>
    <row r="33" spans="1:52" x14ac:dyDescent="0.25">
      <c r="A33" s="60"/>
      <c r="B33" s="90"/>
      <c r="C33" s="90"/>
      <c r="D33" s="90"/>
      <c r="E33" s="90"/>
      <c r="F33" s="90"/>
      <c r="G33" s="90"/>
      <c r="H33" s="90"/>
      <c r="I33" s="90"/>
      <c r="J33" s="90"/>
      <c r="K33" s="90"/>
      <c r="L33" s="60"/>
      <c r="M33" s="57"/>
      <c r="N33" s="57"/>
      <c r="O33" s="57"/>
      <c r="P33" s="57"/>
      <c r="Q33" s="57"/>
      <c r="R33" s="62"/>
      <c r="S33" s="62"/>
      <c r="T33" s="62"/>
      <c r="U33" s="62"/>
      <c r="V33" s="62"/>
      <c r="W33" s="62"/>
      <c r="X33" s="62"/>
      <c r="Y33" s="62"/>
      <c r="Z33" s="62"/>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row>
    <row r="34" spans="1:52" x14ac:dyDescent="0.25">
      <c r="A34" s="60"/>
      <c r="B34" s="36" t="s">
        <v>348</v>
      </c>
      <c r="C34" s="36"/>
      <c r="D34" s="36"/>
      <c r="E34" s="36"/>
      <c r="F34" s="36"/>
      <c r="G34" s="36"/>
      <c r="H34" s="36"/>
      <c r="I34" s="36"/>
      <c r="J34" s="36"/>
      <c r="K34" s="36"/>
      <c r="L34" s="60"/>
      <c r="M34" s="57"/>
      <c r="N34" s="57"/>
      <c r="O34" s="57"/>
      <c r="P34" s="57"/>
      <c r="Q34" s="57"/>
      <c r="R34" s="62"/>
      <c r="S34" s="62"/>
      <c r="T34" s="62"/>
      <c r="U34" s="62"/>
      <c r="V34" s="62"/>
      <c r="W34" s="62"/>
      <c r="X34" s="62"/>
      <c r="Y34" s="62"/>
      <c r="Z34" s="62"/>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row>
    <row r="35" spans="1:52" x14ac:dyDescent="0.25">
      <c r="A35" s="60"/>
      <c r="B35" s="35" t="s">
        <v>15</v>
      </c>
      <c r="C35" s="35"/>
      <c r="D35" s="35"/>
      <c r="E35" s="35"/>
      <c r="F35" s="35"/>
      <c r="G35" s="35"/>
      <c r="H35" s="35"/>
      <c r="I35" s="35"/>
      <c r="J35" s="100"/>
      <c r="K35" s="100"/>
      <c r="L35" s="60"/>
      <c r="M35" s="57"/>
      <c r="N35" s="57"/>
      <c r="O35" s="57"/>
      <c r="P35" s="57"/>
      <c r="Q35" s="57"/>
      <c r="R35" s="62"/>
      <c r="S35" s="62"/>
      <c r="T35" s="62"/>
      <c r="U35" s="62"/>
      <c r="V35" s="62"/>
      <c r="W35" s="62"/>
      <c r="X35" s="62"/>
      <c r="Y35" s="62"/>
      <c r="Z35" s="62"/>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row>
    <row r="36" spans="1:52" x14ac:dyDescent="0.25">
      <c r="A36" s="60"/>
      <c r="B36" s="35" t="s">
        <v>332</v>
      </c>
      <c r="C36" s="35"/>
      <c r="D36" s="35"/>
      <c r="E36" s="35"/>
      <c r="F36" s="35"/>
      <c r="G36" s="35"/>
      <c r="H36" s="35"/>
      <c r="I36" s="35"/>
      <c r="J36" s="101"/>
      <c r="K36" s="101"/>
      <c r="L36" s="60"/>
      <c r="M36" s="57"/>
      <c r="N36" s="57"/>
      <c r="O36" s="57"/>
      <c r="P36" s="57"/>
      <c r="Q36" s="57"/>
      <c r="R36" s="62"/>
      <c r="S36" s="62"/>
      <c r="T36" s="62"/>
      <c r="U36" s="62"/>
      <c r="V36" s="62"/>
      <c r="W36" s="62"/>
      <c r="X36" s="62"/>
      <c r="Y36" s="62"/>
      <c r="Z36" s="62"/>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row>
    <row r="37" spans="1:52" x14ac:dyDescent="0.25">
      <c r="A37" s="60"/>
      <c r="B37" s="35" t="s">
        <v>16</v>
      </c>
      <c r="C37" s="35"/>
      <c r="D37" s="35"/>
      <c r="E37" s="35"/>
      <c r="F37" s="35"/>
      <c r="G37" s="35"/>
      <c r="H37" s="35"/>
      <c r="I37" s="35"/>
      <c r="J37" s="100"/>
      <c r="K37" s="100"/>
      <c r="L37" s="60"/>
      <c r="M37" s="57"/>
      <c r="N37" s="57"/>
      <c r="O37" s="57"/>
      <c r="P37" s="57"/>
      <c r="Q37" s="57"/>
      <c r="R37" s="62"/>
      <c r="S37" s="62"/>
      <c r="T37" s="62"/>
      <c r="U37" s="62"/>
      <c r="V37" s="62"/>
      <c r="W37" s="62"/>
      <c r="X37" s="62"/>
      <c r="Y37" s="62"/>
      <c r="Z37" s="62"/>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row>
    <row r="38" spans="1:52" x14ac:dyDescent="0.25">
      <c r="A38" s="60"/>
      <c r="B38" s="35" t="s">
        <v>326</v>
      </c>
      <c r="C38" s="35"/>
      <c r="D38" s="35"/>
      <c r="E38" s="35"/>
      <c r="F38" s="35"/>
      <c r="G38" s="35"/>
      <c r="H38" s="35"/>
      <c r="I38" s="35"/>
      <c r="J38" s="94"/>
      <c r="K38" s="95"/>
      <c r="L38" s="60"/>
      <c r="M38" s="57"/>
      <c r="N38" s="57"/>
      <c r="O38" s="57"/>
      <c r="P38" s="57"/>
      <c r="Q38" s="57"/>
      <c r="R38" s="62"/>
      <c r="S38" s="62"/>
      <c r="T38" s="62"/>
      <c r="U38" s="62"/>
      <c r="V38" s="62"/>
      <c r="W38" s="62"/>
      <c r="X38" s="62"/>
      <c r="Y38" s="62"/>
      <c r="Z38" s="62"/>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row>
    <row r="39" spans="1:52" x14ac:dyDescent="0.25">
      <c r="A39" s="60"/>
      <c r="B39" s="35" t="s">
        <v>17</v>
      </c>
      <c r="C39" s="35"/>
      <c r="D39" s="35"/>
      <c r="E39" s="35"/>
      <c r="F39" s="35"/>
      <c r="G39" s="35"/>
      <c r="H39" s="35"/>
      <c r="I39" s="35"/>
      <c r="J39" s="38"/>
      <c r="K39" s="2" t="s">
        <v>18</v>
      </c>
      <c r="L39" s="60"/>
      <c r="M39" s="57"/>
      <c r="N39" s="57"/>
      <c r="O39" s="57"/>
      <c r="P39" s="57"/>
      <c r="Q39" s="57"/>
      <c r="R39" s="62"/>
      <c r="S39" s="62"/>
      <c r="T39" s="62"/>
      <c r="U39" s="62"/>
      <c r="V39" s="62"/>
      <c r="W39" s="62"/>
      <c r="X39" s="62"/>
      <c r="Y39" s="62"/>
      <c r="Z39" s="62"/>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row>
    <row r="40" spans="1:52" x14ac:dyDescent="0.25">
      <c r="A40" s="60"/>
      <c r="B40" s="35" t="s">
        <v>294</v>
      </c>
      <c r="C40" s="35"/>
      <c r="D40" s="35"/>
      <c r="E40" s="35"/>
      <c r="F40" s="35"/>
      <c r="G40" s="35"/>
      <c r="H40" s="35"/>
      <c r="I40" s="35"/>
      <c r="J40" s="38"/>
      <c r="K40" s="2" t="s">
        <v>8</v>
      </c>
      <c r="L40" s="60"/>
      <c r="M40" s="57"/>
      <c r="N40" s="57"/>
      <c r="O40" s="57"/>
      <c r="P40" s="57"/>
      <c r="Q40" s="57"/>
      <c r="R40" s="62"/>
      <c r="S40" s="62"/>
      <c r="T40" s="62"/>
      <c r="U40" s="62"/>
      <c r="V40" s="62"/>
      <c r="W40" s="62"/>
      <c r="X40" s="62"/>
      <c r="Y40" s="62"/>
      <c r="Z40" s="62"/>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row>
    <row r="41" spans="1:52" x14ac:dyDescent="0.25">
      <c r="A41" s="60"/>
      <c r="B41" s="35" t="s">
        <v>295</v>
      </c>
      <c r="C41" s="35"/>
      <c r="D41" s="35"/>
      <c r="E41" s="35"/>
      <c r="F41" s="35"/>
      <c r="G41" s="35"/>
      <c r="H41" s="35"/>
      <c r="I41" s="35"/>
      <c r="J41" s="23"/>
      <c r="K41" s="2" t="s">
        <v>19</v>
      </c>
      <c r="L41" s="60"/>
      <c r="M41" s="57"/>
      <c r="N41" s="57"/>
      <c r="O41" s="57"/>
      <c r="P41" s="57"/>
      <c r="Q41" s="57"/>
      <c r="R41" s="62"/>
      <c r="S41" s="62"/>
      <c r="T41" s="62"/>
      <c r="U41" s="62"/>
      <c r="V41" s="62"/>
      <c r="W41" s="62"/>
      <c r="X41" s="62"/>
      <c r="Y41" s="62"/>
      <c r="Z41" s="62"/>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row>
    <row r="42" spans="1:52" x14ac:dyDescent="0.25">
      <c r="A42" s="60"/>
      <c r="B42" s="35"/>
      <c r="C42" s="35"/>
      <c r="D42" s="35"/>
      <c r="E42" s="35"/>
      <c r="F42" s="35"/>
      <c r="G42" s="35"/>
      <c r="H42" s="35"/>
      <c r="I42" s="35"/>
      <c r="J42" s="35"/>
      <c r="K42" s="35"/>
      <c r="L42" s="60"/>
      <c r="M42" s="57"/>
      <c r="N42" s="57"/>
      <c r="O42" s="57"/>
      <c r="P42" s="57"/>
      <c r="Q42" s="57"/>
      <c r="R42" s="62"/>
      <c r="S42" s="62"/>
      <c r="T42" s="62"/>
      <c r="U42" s="62"/>
      <c r="V42" s="62"/>
      <c r="W42" s="62"/>
      <c r="X42" s="62"/>
      <c r="Y42" s="62"/>
      <c r="Z42" s="62"/>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row>
    <row r="43" spans="1:52" x14ac:dyDescent="0.25">
      <c r="A43" s="60"/>
      <c r="B43" s="36" t="s">
        <v>20</v>
      </c>
      <c r="C43" s="36"/>
      <c r="D43" s="36"/>
      <c r="E43" s="36"/>
      <c r="F43" s="36"/>
      <c r="G43" s="36"/>
      <c r="H43" s="36"/>
      <c r="I43" s="36"/>
      <c r="J43" s="36"/>
      <c r="K43" s="36"/>
      <c r="L43" s="60"/>
      <c r="M43" s="57"/>
      <c r="N43" s="57"/>
      <c r="O43" s="57"/>
      <c r="P43" s="57"/>
      <c r="Q43" s="57"/>
      <c r="R43" s="62"/>
      <c r="S43" s="62"/>
      <c r="T43" s="62"/>
      <c r="U43" s="62"/>
      <c r="V43" s="62"/>
      <c r="W43" s="62"/>
      <c r="X43" s="62"/>
      <c r="Y43" s="62"/>
      <c r="Z43" s="62"/>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row>
    <row r="44" spans="1:52" x14ac:dyDescent="0.25">
      <c r="A44" s="60"/>
      <c r="B44" s="83"/>
      <c r="C44" s="83"/>
      <c r="D44" s="83"/>
      <c r="E44" s="83"/>
      <c r="F44" s="83"/>
      <c r="G44" s="83"/>
      <c r="H44" s="83"/>
      <c r="I44" s="83"/>
      <c r="J44" s="83"/>
      <c r="K44" s="83"/>
      <c r="L44" s="60"/>
      <c r="M44" s="57"/>
      <c r="N44" s="57"/>
      <c r="O44" s="57"/>
      <c r="P44" s="57"/>
      <c r="Q44" s="57"/>
      <c r="R44" s="62"/>
      <c r="S44" s="62"/>
      <c r="T44" s="62"/>
      <c r="U44" s="62"/>
      <c r="V44" s="62"/>
      <c r="W44" s="62"/>
      <c r="X44" s="62"/>
      <c r="Y44" s="62"/>
      <c r="Z44" s="62"/>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row>
    <row r="45" spans="1:52" x14ac:dyDescent="0.25">
      <c r="A45" s="60"/>
      <c r="B45" s="80"/>
      <c r="C45" s="81"/>
      <c r="D45" s="81"/>
      <c r="E45" s="81"/>
      <c r="F45" s="81"/>
      <c r="G45" s="81"/>
      <c r="H45" s="81"/>
      <c r="I45" s="81"/>
      <c r="J45" s="81"/>
      <c r="K45" s="82"/>
      <c r="L45" s="60"/>
      <c r="M45" s="57"/>
      <c r="N45" s="57"/>
      <c r="O45" s="57"/>
      <c r="P45" s="57"/>
      <c r="Q45" s="57"/>
      <c r="R45" s="62"/>
      <c r="S45" s="62"/>
      <c r="T45" s="62"/>
      <c r="U45" s="62"/>
      <c r="V45" s="62"/>
      <c r="W45" s="62"/>
      <c r="X45" s="62"/>
      <c r="Y45" s="62"/>
      <c r="Z45" s="62"/>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row>
    <row r="46" spans="1:52" x14ac:dyDescent="0.25">
      <c r="A46" s="60"/>
      <c r="B46" s="56" t="s">
        <v>21</v>
      </c>
      <c r="C46" s="83"/>
      <c r="D46" s="83"/>
      <c r="E46" s="83"/>
      <c r="F46" s="83"/>
      <c r="G46" s="56" t="s">
        <v>22</v>
      </c>
      <c r="H46" s="84"/>
      <c r="I46" s="84"/>
      <c r="J46" s="84"/>
      <c r="K46" s="84"/>
      <c r="L46" s="60"/>
      <c r="M46" s="57"/>
      <c r="N46" s="57"/>
      <c r="O46" s="57"/>
      <c r="P46" s="57"/>
      <c r="Q46" s="57"/>
      <c r="R46" s="62"/>
      <c r="S46" s="62"/>
      <c r="T46" s="62"/>
      <c r="U46" s="62"/>
      <c r="V46" s="62"/>
      <c r="W46" s="62"/>
      <c r="X46" s="62"/>
      <c r="Y46" s="62"/>
      <c r="Z46" s="62"/>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row>
    <row r="47" spans="1:52" s="19" customFormat="1" ht="15" customHeight="1" x14ac:dyDescent="0.25">
      <c r="A47" s="62"/>
      <c r="B47" s="60"/>
      <c r="C47" s="60"/>
      <c r="D47" s="60"/>
      <c r="E47" s="60"/>
      <c r="F47" s="60"/>
      <c r="G47" s="60"/>
      <c r="H47" s="60"/>
      <c r="I47" s="60"/>
      <c r="J47" s="60"/>
      <c r="K47" s="60"/>
      <c r="L47" s="60"/>
      <c r="M47" s="57"/>
      <c r="N47" s="57"/>
      <c r="O47" s="57"/>
      <c r="P47" s="57"/>
      <c r="Q47" s="57"/>
      <c r="R47" s="62"/>
      <c r="S47" s="62"/>
      <c r="T47" s="62"/>
      <c r="U47" s="62"/>
      <c r="V47" s="62"/>
      <c r="W47" s="62"/>
      <c r="X47" s="62"/>
      <c r="Y47" s="62"/>
      <c r="Z47" s="62"/>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row>
    <row r="48" spans="1:52" s="19" customFormat="1" x14ac:dyDescent="0.25">
      <c r="A48" s="62"/>
      <c r="B48" s="60"/>
      <c r="C48" s="60"/>
      <c r="D48" s="60"/>
      <c r="E48" s="60"/>
      <c r="F48" s="60"/>
      <c r="G48" s="60"/>
      <c r="H48" s="60"/>
      <c r="I48" s="60"/>
      <c r="J48" s="60"/>
      <c r="K48" s="60"/>
      <c r="L48" s="60"/>
      <c r="M48" s="57"/>
      <c r="N48" s="57"/>
      <c r="O48" s="57"/>
      <c r="P48" s="57"/>
      <c r="Q48" s="57"/>
      <c r="R48" s="62"/>
      <c r="S48" s="62"/>
      <c r="T48" s="62"/>
      <c r="U48" s="62"/>
      <c r="V48" s="62"/>
      <c r="W48" s="62"/>
      <c r="X48" s="62"/>
      <c r="Y48" s="62"/>
      <c r="Z48" s="62"/>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row>
    <row r="49" spans="1:52" s="19" customFormat="1" x14ac:dyDescent="0.25">
      <c r="A49" s="62"/>
      <c r="B49" s="60"/>
      <c r="C49" s="60"/>
      <c r="D49" s="60"/>
      <c r="E49" s="60"/>
      <c r="F49" s="60"/>
      <c r="G49" s="60"/>
      <c r="H49" s="60"/>
      <c r="I49" s="60"/>
      <c r="J49" s="60"/>
      <c r="K49" s="60"/>
      <c r="L49" s="60"/>
      <c r="M49" s="57"/>
      <c r="N49" s="57"/>
      <c r="O49" s="57"/>
      <c r="P49" s="57"/>
      <c r="Q49" s="57"/>
      <c r="R49" s="62"/>
      <c r="S49" s="62"/>
      <c r="T49" s="62"/>
      <c r="U49" s="62"/>
      <c r="V49" s="62"/>
      <c r="W49" s="62"/>
      <c r="X49" s="62"/>
      <c r="Y49" s="62"/>
      <c r="Z49" s="62"/>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row>
    <row r="50" spans="1:52" s="19" customFormat="1" x14ac:dyDescent="0.25">
      <c r="A50" s="62"/>
      <c r="B50" s="60"/>
      <c r="C50" s="60"/>
      <c r="D50" s="60"/>
      <c r="E50" s="60"/>
      <c r="F50" s="60"/>
      <c r="G50" s="60"/>
      <c r="H50" s="60"/>
      <c r="I50" s="60"/>
      <c r="J50" s="60"/>
      <c r="K50" s="60"/>
      <c r="L50" s="60"/>
      <c r="M50" s="57"/>
      <c r="N50" s="57"/>
      <c r="O50" s="57"/>
      <c r="P50" s="57"/>
      <c r="Q50" s="57"/>
      <c r="R50" s="62"/>
      <c r="S50" s="62"/>
      <c r="T50" s="62"/>
      <c r="U50" s="62"/>
      <c r="V50" s="62"/>
      <c r="W50" s="62"/>
      <c r="X50" s="62"/>
      <c r="Y50" s="62"/>
      <c r="Z50" s="62"/>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row>
    <row r="51" spans="1:52" s="19" customFormat="1" x14ac:dyDescent="0.25">
      <c r="A51" s="62"/>
      <c r="B51" s="60"/>
      <c r="C51" s="60"/>
      <c r="D51" s="60"/>
      <c r="E51" s="60"/>
      <c r="F51" s="60"/>
      <c r="G51" s="60"/>
      <c r="H51" s="60"/>
      <c r="I51" s="60"/>
      <c r="J51" s="60"/>
      <c r="K51" s="60"/>
      <c r="L51" s="60"/>
      <c r="M51" s="57"/>
      <c r="N51" s="57"/>
      <c r="O51" s="57"/>
      <c r="P51" s="57"/>
      <c r="Q51" s="57"/>
      <c r="R51" s="62"/>
      <c r="S51" s="62"/>
      <c r="T51" s="62"/>
      <c r="U51" s="62"/>
      <c r="V51" s="62"/>
      <c r="W51" s="62"/>
      <c r="X51" s="62"/>
      <c r="Y51" s="62"/>
      <c r="Z51" s="62"/>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row>
    <row r="52" spans="1:52" s="19" customFormat="1" x14ac:dyDescent="0.25">
      <c r="A52" s="62"/>
      <c r="B52" s="60"/>
      <c r="C52" s="60"/>
      <c r="D52" s="60"/>
      <c r="E52" s="60"/>
      <c r="F52" s="60"/>
      <c r="G52" s="60"/>
      <c r="H52" s="60"/>
      <c r="I52" s="60"/>
      <c r="J52" s="60"/>
      <c r="K52" s="60"/>
      <c r="L52" s="60"/>
      <c r="M52" s="57"/>
      <c r="N52" s="57"/>
      <c r="O52" s="57"/>
      <c r="P52" s="57"/>
      <c r="Q52" s="57"/>
      <c r="R52" s="62"/>
      <c r="S52" s="62"/>
      <c r="T52" s="62"/>
      <c r="U52" s="62"/>
      <c r="V52" s="62"/>
      <c r="W52" s="62"/>
      <c r="X52" s="62"/>
      <c r="Y52" s="62"/>
      <c r="Z52" s="62"/>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row>
    <row r="53" spans="1:52" s="19" customFormat="1" x14ac:dyDescent="0.25">
      <c r="A53" s="62"/>
      <c r="B53" s="60"/>
      <c r="C53" s="60"/>
      <c r="D53" s="60"/>
      <c r="E53" s="60"/>
      <c r="F53" s="60"/>
      <c r="G53" s="60"/>
      <c r="H53" s="60"/>
      <c r="I53" s="60"/>
      <c r="J53" s="60"/>
      <c r="K53" s="60"/>
      <c r="L53" s="60"/>
      <c r="M53" s="57"/>
      <c r="N53" s="57"/>
      <c r="O53" s="57"/>
      <c r="P53" s="57"/>
      <c r="Q53" s="57"/>
      <c r="R53" s="62"/>
      <c r="S53" s="62"/>
      <c r="T53" s="62"/>
      <c r="U53" s="62"/>
      <c r="V53" s="62"/>
      <c r="W53" s="62"/>
      <c r="X53" s="62"/>
      <c r="Y53" s="62"/>
      <c r="Z53" s="62"/>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row>
    <row r="54" spans="1:52" s="19" customFormat="1" x14ac:dyDescent="0.25">
      <c r="A54" s="62"/>
      <c r="B54" s="60"/>
      <c r="C54" s="60"/>
      <c r="D54" s="60"/>
      <c r="E54" s="60"/>
      <c r="F54" s="60"/>
      <c r="G54" s="60"/>
      <c r="H54" s="60"/>
      <c r="I54" s="60"/>
      <c r="J54" s="60"/>
      <c r="K54" s="60"/>
      <c r="L54" s="60"/>
      <c r="M54" s="57"/>
      <c r="N54" s="57"/>
      <c r="O54" s="57"/>
      <c r="P54" s="57"/>
      <c r="Q54" s="57"/>
      <c r="R54" s="62"/>
      <c r="S54" s="62"/>
      <c r="T54" s="62"/>
      <c r="U54" s="62"/>
      <c r="V54" s="62"/>
      <c r="W54" s="62"/>
      <c r="X54" s="62"/>
      <c r="Y54" s="62"/>
      <c r="Z54" s="62"/>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row>
    <row r="55" spans="1:52" s="19" customFormat="1" x14ac:dyDescent="0.25">
      <c r="A55" s="62"/>
      <c r="B55" s="62"/>
      <c r="C55" s="62"/>
      <c r="D55" s="62"/>
      <c r="E55" s="62"/>
      <c r="F55" s="62"/>
      <c r="G55" s="62"/>
      <c r="H55" s="62"/>
      <c r="I55" s="62"/>
      <c r="J55" s="62"/>
      <c r="K55" s="62"/>
      <c r="L55" s="60"/>
      <c r="M55" s="57"/>
      <c r="N55" s="57"/>
      <c r="O55" s="57"/>
      <c r="P55" s="57"/>
      <c r="Q55" s="57"/>
      <c r="R55" s="62"/>
      <c r="S55" s="62"/>
      <c r="T55" s="62"/>
      <c r="U55" s="62"/>
      <c r="V55" s="62"/>
      <c r="W55" s="62"/>
      <c r="X55" s="62"/>
      <c r="Y55" s="62"/>
      <c r="Z55" s="62"/>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row>
    <row r="56" spans="1:52" x14ac:dyDescent="0.25">
      <c r="A56" s="62"/>
      <c r="B56" s="62"/>
      <c r="C56" s="62"/>
      <c r="D56" s="62"/>
      <c r="E56" s="62"/>
      <c r="F56" s="62"/>
      <c r="G56" s="62"/>
      <c r="H56" s="62"/>
      <c r="I56" s="62"/>
      <c r="J56" s="62"/>
      <c r="K56" s="62"/>
      <c r="L56" s="60"/>
      <c r="M56" s="57"/>
      <c r="N56" s="57"/>
      <c r="O56" s="57"/>
      <c r="P56" s="57"/>
      <c r="Q56" s="57"/>
      <c r="R56" s="62"/>
      <c r="S56" s="62"/>
      <c r="T56" s="62"/>
      <c r="U56" s="62"/>
      <c r="V56" s="62"/>
      <c r="W56" s="62"/>
      <c r="X56" s="62"/>
      <c r="Y56" s="62"/>
      <c r="Z56" s="62"/>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row>
    <row r="57" spans="1:52" x14ac:dyDescent="0.25">
      <c r="A57" s="62"/>
      <c r="B57" s="62"/>
      <c r="C57" s="62"/>
      <c r="D57" s="62"/>
      <c r="E57" s="62"/>
      <c r="F57" s="62"/>
      <c r="G57" s="62"/>
      <c r="H57" s="62"/>
      <c r="I57" s="62"/>
      <c r="J57" s="62"/>
      <c r="K57" s="62"/>
      <c r="L57" s="60"/>
      <c r="M57" s="57"/>
      <c r="N57" s="57"/>
      <c r="O57" s="57"/>
      <c r="P57" s="57"/>
      <c r="Q57" s="57"/>
      <c r="R57" s="62"/>
      <c r="S57" s="62"/>
      <c r="T57" s="62"/>
      <c r="U57" s="62"/>
      <c r="V57" s="62"/>
      <c r="W57" s="62"/>
      <c r="X57" s="62"/>
      <c r="Y57" s="62"/>
      <c r="Z57" s="62"/>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row>
    <row r="58" spans="1:52" x14ac:dyDescent="0.25">
      <c r="A58" s="62"/>
      <c r="B58" s="62"/>
      <c r="C58" s="62"/>
      <c r="D58" s="62"/>
      <c r="E58" s="62"/>
      <c r="F58" s="62"/>
      <c r="G58" s="62"/>
      <c r="H58" s="62"/>
      <c r="I58" s="62"/>
      <c r="J58" s="62"/>
      <c r="K58" s="62"/>
      <c r="L58" s="60"/>
      <c r="M58" s="62"/>
      <c r="N58" s="62"/>
      <c r="O58" s="62"/>
      <c r="P58" s="62"/>
      <c r="Q58" s="62"/>
      <c r="R58" s="62"/>
      <c r="S58" s="62"/>
      <c r="T58" s="62"/>
      <c r="U58" s="62"/>
      <c r="V58" s="62"/>
      <c r="W58" s="62"/>
      <c r="X58" s="62"/>
      <c r="Y58" s="62"/>
      <c r="Z58" s="62"/>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row>
    <row r="59" spans="1:52" x14ac:dyDescent="0.25">
      <c r="A59" s="62"/>
      <c r="B59" s="62"/>
      <c r="C59" s="62"/>
      <c r="D59" s="62"/>
      <c r="E59" s="62"/>
      <c r="F59" s="62"/>
      <c r="G59" s="62"/>
      <c r="H59" s="62"/>
      <c r="I59" s="62"/>
      <c r="J59" s="62"/>
      <c r="K59" s="62"/>
      <c r="L59" s="60"/>
      <c r="M59" s="62"/>
      <c r="N59" s="62"/>
      <c r="O59" s="62"/>
      <c r="P59" s="62"/>
      <c r="Q59" s="62"/>
      <c r="R59" s="62"/>
      <c r="S59" s="62"/>
      <c r="T59" s="62"/>
      <c r="U59" s="62"/>
      <c r="V59" s="62"/>
      <c r="W59" s="62"/>
      <c r="X59" s="62"/>
      <c r="Y59" s="62"/>
      <c r="Z59" s="62"/>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row>
    <row r="60" spans="1:52" x14ac:dyDescent="0.25">
      <c r="A60" s="62"/>
      <c r="B60" s="62"/>
      <c r="C60" s="62"/>
      <c r="D60" s="62"/>
      <c r="E60" s="62"/>
      <c r="F60" s="62"/>
      <c r="G60" s="62"/>
      <c r="H60" s="62"/>
      <c r="I60" s="62"/>
      <c r="J60" s="62"/>
      <c r="K60" s="62"/>
      <c r="L60" s="60"/>
      <c r="M60" s="62"/>
      <c r="N60" s="62"/>
      <c r="O60" s="62"/>
      <c r="P60" s="62"/>
      <c r="Q60" s="62"/>
      <c r="R60" s="62"/>
      <c r="S60" s="62"/>
      <c r="T60" s="62"/>
      <c r="U60" s="62"/>
      <c r="V60" s="62"/>
      <c r="W60" s="62"/>
      <c r="X60" s="62"/>
      <c r="Y60" s="62"/>
      <c r="Z60" s="62"/>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row>
    <row r="61" spans="1:52" x14ac:dyDescent="0.25">
      <c r="A61" s="62"/>
      <c r="B61" s="62"/>
      <c r="C61" s="62"/>
      <c r="D61" s="62"/>
      <c r="E61" s="62"/>
      <c r="F61" s="62"/>
      <c r="G61" s="62"/>
      <c r="H61" s="62"/>
      <c r="I61" s="62"/>
      <c r="J61" s="62"/>
      <c r="K61" s="62"/>
      <c r="L61" s="60"/>
      <c r="M61" s="62"/>
      <c r="N61" s="62"/>
      <c r="O61" s="62"/>
      <c r="P61" s="62"/>
      <c r="Q61" s="62"/>
      <c r="R61" s="62"/>
      <c r="S61" s="62"/>
      <c r="T61" s="62"/>
      <c r="U61" s="62"/>
      <c r="V61" s="62"/>
      <c r="W61" s="62"/>
      <c r="X61" s="62"/>
      <c r="Y61" s="62"/>
      <c r="Z61" s="62"/>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row>
    <row r="62" spans="1:52" x14ac:dyDescent="0.25">
      <c r="A62" s="62"/>
      <c r="B62" s="62"/>
      <c r="C62" s="62"/>
      <c r="D62" s="62"/>
      <c r="E62" s="62"/>
      <c r="F62" s="62"/>
      <c r="G62" s="62"/>
      <c r="H62" s="62"/>
      <c r="I62" s="62"/>
      <c r="J62" s="62"/>
      <c r="K62" s="62"/>
      <c r="L62" s="60"/>
      <c r="M62" s="62"/>
      <c r="N62" s="62"/>
      <c r="O62" s="62"/>
      <c r="P62" s="62"/>
      <c r="Q62" s="62"/>
      <c r="R62" s="62"/>
      <c r="S62" s="62"/>
      <c r="T62" s="62"/>
      <c r="U62" s="62"/>
      <c r="V62" s="62"/>
      <c r="W62" s="62"/>
      <c r="X62" s="62"/>
      <c r="Y62" s="62"/>
      <c r="Z62" s="62"/>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row>
    <row r="63" spans="1:52" x14ac:dyDescent="0.25">
      <c r="A63" s="62"/>
      <c r="B63" s="62"/>
      <c r="C63" s="62"/>
      <c r="D63" s="62"/>
      <c r="E63" s="62"/>
      <c r="F63" s="62"/>
      <c r="G63" s="62"/>
      <c r="H63" s="62"/>
      <c r="I63" s="62"/>
      <c r="J63" s="62"/>
      <c r="K63" s="62"/>
      <c r="L63" s="60"/>
      <c r="M63" s="62"/>
      <c r="N63" s="62"/>
      <c r="O63" s="62"/>
      <c r="P63" s="62"/>
      <c r="Q63" s="62"/>
      <c r="R63" s="62"/>
      <c r="S63" s="62"/>
      <c r="T63" s="62"/>
      <c r="U63" s="62"/>
      <c r="V63" s="62"/>
      <c r="W63" s="62"/>
      <c r="X63" s="62"/>
      <c r="Y63" s="62"/>
      <c r="Z63" s="62"/>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row>
    <row r="64" spans="1:52" x14ac:dyDescent="0.25">
      <c r="A64" s="62"/>
      <c r="B64" s="62"/>
      <c r="C64" s="62"/>
      <c r="D64" s="62"/>
      <c r="E64" s="62"/>
      <c r="F64" s="62"/>
      <c r="G64" s="62"/>
      <c r="H64" s="62"/>
      <c r="I64" s="62"/>
      <c r="J64" s="62"/>
      <c r="K64" s="62"/>
      <c r="L64" s="60"/>
      <c r="M64" s="62"/>
      <c r="N64" s="62"/>
      <c r="O64" s="62"/>
      <c r="P64" s="62"/>
      <c r="Q64" s="62"/>
      <c r="R64" s="62"/>
      <c r="S64" s="62"/>
      <c r="T64" s="62"/>
      <c r="U64" s="62"/>
      <c r="V64" s="62"/>
      <c r="W64" s="62"/>
      <c r="X64" s="62"/>
      <c r="Y64" s="62"/>
      <c r="Z64" s="62"/>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row>
    <row r="65" spans="1:52" x14ac:dyDescent="0.25">
      <c r="A65" s="62"/>
      <c r="B65" s="62"/>
      <c r="C65" s="62"/>
      <c r="D65" s="62"/>
      <c r="E65" s="62"/>
      <c r="F65" s="62"/>
      <c r="G65" s="62"/>
      <c r="H65" s="62"/>
      <c r="I65" s="62"/>
      <c r="J65" s="62"/>
      <c r="K65" s="62"/>
      <c r="L65" s="60"/>
      <c r="M65" s="62"/>
      <c r="N65" s="62"/>
      <c r="O65" s="62"/>
      <c r="P65" s="62"/>
      <c r="Q65" s="62"/>
      <c r="R65" s="62"/>
      <c r="S65" s="62"/>
      <c r="T65" s="62"/>
      <c r="U65" s="62"/>
      <c r="V65" s="62"/>
      <c r="W65" s="62"/>
      <c r="X65" s="62"/>
      <c r="Y65" s="62"/>
      <c r="Z65" s="62"/>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row>
    <row r="66" spans="1:52" x14ac:dyDescent="0.25">
      <c r="A66" s="62"/>
      <c r="B66" s="62"/>
      <c r="C66" s="62"/>
      <c r="D66" s="62"/>
      <c r="E66" s="62"/>
      <c r="F66" s="62"/>
      <c r="G66" s="62"/>
      <c r="H66" s="62"/>
      <c r="I66" s="62"/>
      <c r="J66" s="62"/>
      <c r="K66" s="62"/>
      <c r="L66" s="60"/>
      <c r="M66" s="62"/>
      <c r="N66" s="62"/>
      <c r="O66" s="62"/>
      <c r="P66" s="62"/>
      <c r="Q66" s="62"/>
      <c r="R66" s="62"/>
      <c r="S66" s="62"/>
      <c r="T66" s="62"/>
      <c r="U66" s="62"/>
      <c r="V66" s="62"/>
      <c r="W66" s="62"/>
      <c r="X66" s="62"/>
      <c r="Y66" s="62"/>
      <c r="Z66" s="62"/>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row>
    <row r="67" spans="1:52" x14ac:dyDescent="0.25">
      <c r="A67" s="62"/>
      <c r="B67" s="62"/>
      <c r="C67" s="62"/>
      <c r="D67" s="62"/>
      <c r="E67" s="62"/>
      <c r="F67" s="62"/>
      <c r="G67" s="62"/>
      <c r="H67" s="62"/>
      <c r="I67" s="62"/>
      <c r="J67" s="62"/>
      <c r="K67" s="62"/>
      <c r="L67" s="60"/>
      <c r="M67" s="62"/>
      <c r="N67" s="62"/>
      <c r="O67" s="62"/>
      <c r="P67" s="62"/>
      <c r="Q67" s="62"/>
      <c r="R67" s="62"/>
      <c r="S67" s="62"/>
      <c r="T67" s="62"/>
      <c r="U67" s="62"/>
      <c r="V67" s="62"/>
      <c r="W67" s="62"/>
      <c r="X67" s="62"/>
      <c r="Y67" s="62"/>
      <c r="Z67" s="62"/>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row>
    <row r="68" spans="1:52" x14ac:dyDescent="0.25">
      <c r="A68" s="62"/>
      <c r="B68" s="62"/>
      <c r="C68" s="62"/>
      <c r="D68" s="62"/>
      <c r="E68" s="62"/>
      <c r="F68" s="62"/>
      <c r="G68" s="62"/>
      <c r="H68" s="62"/>
      <c r="I68" s="62"/>
      <c r="J68" s="62"/>
      <c r="K68" s="62"/>
      <c r="L68" s="60"/>
      <c r="M68" s="62"/>
      <c r="N68" s="62"/>
      <c r="O68" s="62"/>
      <c r="P68" s="62"/>
      <c r="Q68" s="62"/>
      <c r="R68" s="62"/>
      <c r="S68" s="62"/>
      <c r="T68" s="62"/>
      <c r="U68" s="62"/>
      <c r="V68" s="62"/>
      <c r="W68" s="62"/>
      <c r="X68" s="62"/>
      <c r="Y68" s="62"/>
      <c r="Z68" s="62"/>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row>
    <row r="69" spans="1:52" x14ac:dyDescent="0.25">
      <c r="A69" s="62"/>
      <c r="B69" s="62"/>
      <c r="C69" s="62"/>
      <c r="D69" s="62"/>
      <c r="E69" s="62"/>
      <c r="F69" s="62"/>
      <c r="G69" s="62"/>
      <c r="H69" s="62"/>
      <c r="I69" s="62"/>
      <c r="J69" s="62"/>
      <c r="K69" s="62"/>
      <c r="L69" s="60"/>
      <c r="M69" s="62"/>
      <c r="N69" s="62"/>
      <c r="O69" s="62"/>
      <c r="P69" s="62"/>
      <c r="Q69" s="62"/>
      <c r="R69" s="62"/>
      <c r="S69" s="62"/>
      <c r="T69" s="62"/>
      <c r="U69" s="62"/>
      <c r="V69" s="62"/>
      <c r="W69" s="62"/>
      <c r="X69" s="62"/>
      <c r="Y69" s="62"/>
      <c r="Z69" s="62"/>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row>
    <row r="70" spans="1:52" x14ac:dyDescent="0.25">
      <c r="A70" s="62"/>
      <c r="B70" s="62"/>
      <c r="C70" s="62"/>
      <c r="D70" s="62"/>
      <c r="E70" s="62"/>
      <c r="F70" s="62"/>
      <c r="G70" s="62"/>
      <c r="H70" s="62"/>
      <c r="I70" s="62"/>
      <c r="J70" s="62"/>
      <c r="K70" s="62"/>
      <c r="L70" s="60"/>
      <c r="M70" s="62"/>
      <c r="N70" s="62"/>
      <c r="O70" s="62"/>
      <c r="P70" s="62"/>
      <c r="Q70" s="62"/>
      <c r="R70" s="62"/>
      <c r="S70" s="62"/>
      <c r="T70" s="62"/>
      <c r="U70" s="62"/>
      <c r="V70" s="62"/>
      <c r="W70" s="62"/>
      <c r="X70" s="62"/>
      <c r="Y70" s="62"/>
      <c r="Z70" s="62"/>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row>
    <row r="71" spans="1:52" x14ac:dyDescent="0.25">
      <c r="A71" s="62"/>
      <c r="B71" s="62"/>
      <c r="C71" s="62"/>
      <c r="D71" s="62"/>
      <c r="E71" s="62"/>
      <c r="F71" s="62"/>
      <c r="G71" s="62"/>
      <c r="H71" s="62"/>
      <c r="I71" s="62"/>
      <c r="J71" s="62"/>
      <c r="K71" s="62"/>
      <c r="L71" s="60"/>
      <c r="M71" s="62"/>
      <c r="N71" s="62"/>
      <c r="O71" s="62"/>
      <c r="P71" s="62"/>
      <c r="Q71" s="62"/>
      <c r="R71" s="62"/>
      <c r="S71" s="62"/>
      <c r="T71" s="62"/>
      <c r="U71" s="62"/>
      <c r="V71" s="62"/>
      <c r="W71" s="62"/>
      <c r="X71" s="62"/>
      <c r="Y71" s="62"/>
      <c r="Z71" s="62"/>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row>
    <row r="72" spans="1:52" x14ac:dyDescent="0.25">
      <c r="A72" s="62"/>
      <c r="B72" s="62"/>
      <c r="C72" s="62"/>
      <c r="D72" s="62"/>
      <c r="E72" s="62"/>
      <c r="F72" s="62"/>
      <c r="G72" s="62"/>
      <c r="H72" s="62"/>
      <c r="I72" s="62"/>
      <c r="J72" s="62"/>
      <c r="K72" s="62"/>
      <c r="L72" s="60"/>
      <c r="M72" s="62"/>
      <c r="N72" s="62"/>
      <c r="O72" s="62"/>
      <c r="P72" s="62"/>
      <c r="Q72" s="62"/>
      <c r="R72" s="62"/>
      <c r="S72" s="62"/>
      <c r="T72" s="62"/>
      <c r="U72" s="62"/>
      <c r="V72" s="62"/>
      <c r="W72" s="62"/>
      <c r="X72" s="62"/>
      <c r="Y72" s="62"/>
      <c r="Z72" s="62"/>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row>
    <row r="73" spans="1:52" x14ac:dyDescent="0.25">
      <c r="A73" s="62"/>
      <c r="B73" s="62"/>
      <c r="C73" s="62"/>
      <c r="D73" s="62"/>
      <c r="E73" s="62"/>
      <c r="F73" s="62"/>
      <c r="G73" s="62"/>
      <c r="H73" s="62"/>
      <c r="I73" s="62"/>
      <c r="J73" s="62"/>
      <c r="K73" s="62"/>
      <c r="L73" s="60"/>
      <c r="M73" s="62"/>
      <c r="N73" s="62"/>
      <c r="O73" s="62"/>
      <c r="P73" s="62"/>
      <c r="Q73" s="62"/>
      <c r="R73" s="62"/>
      <c r="S73" s="62"/>
      <c r="T73" s="62"/>
      <c r="U73" s="62"/>
      <c r="V73" s="62"/>
      <c r="W73" s="62"/>
      <c r="X73" s="62"/>
      <c r="Y73" s="62"/>
      <c r="Z73" s="62"/>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row>
    <row r="74" spans="1:52" x14ac:dyDescent="0.25">
      <c r="A74" s="62"/>
      <c r="B74" s="62"/>
      <c r="C74" s="62"/>
      <c r="D74" s="62"/>
      <c r="E74" s="62"/>
      <c r="F74" s="62"/>
      <c r="G74" s="62"/>
      <c r="H74" s="62"/>
      <c r="I74" s="62"/>
      <c r="J74" s="62"/>
      <c r="K74" s="62"/>
      <c r="L74" s="60"/>
      <c r="M74" s="62"/>
      <c r="N74" s="62"/>
      <c r="O74" s="62"/>
      <c r="P74" s="62"/>
      <c r="Q74" s="62"/>
      <c r="R74" s="62"/>
      <c r="S74" s="62"/>
      <c r="T74" s="62"/>
      <c r="U74" s="62"/>
      <c r="V74" s="62"/>
      <c r="W74" s="62"/>
      <c r="X74" s="62"/>
      <c r="Y74" s="62"/>
      <c r="Z74" s="62"/>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row>
    <row r="75" spans="1:52" x14ac:dyDescent="0.25">
      <c r="A75" s="62"/>
      <c r="B75" s="62"/>
      <c r="C75" s="62"/>
      <c r="D75" s="62"/>
      <c r="E75" s="62"/>
      <c r="F75" s="62"/>
      <c r="G75" s="62"/>
      <c r="H75" s="62"/>
      <c r="I75" s="62"/>
      <c r="J75" s="62"/>
      <c r="K75" s="62"/>
      <c r="L75" s="60"/>
      <c r="M75" s="62"/>
      <c r="N75" s="62"/>
      <c r="O75" s="62"/>
      <c r="P75" s="62"/>
      <c r="Q75" s="62"/>
      <c r="R75" s="62"/>
      <c r="S75" s="62"/>
      <c r="T75" s="62"/>
      <c r="U75" s="62"/>
      <c r="V75" s="62"/>
      <c r="W75" s="62"/>
      <c r="X75" s="62"/>
      <c r="Y75" s="62"/>
      <c r="Z75" s="62"/>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row>
    <row r="76" spans="1:52" x14ac:dyDescent="0.25">
      <c r="A76" s="62"/>
      <c r="B76" s="62"/>
      <c r="C76" s="62"/>
      <c r="D76" s="62"/>
      <c r="E76" s="62"/>
      <c r="F76" s="62"/>
      <c r="G76" s="62"/>
      <c r="H76" s="62"/>
      <c r="I76" s="62"/>
      <c r="J76" s="62"/>
      <c r="K76" s="62"/>
      <c r="L76" s="60"/>
      <c r="M76" s="62"/>
      <c r="N76" s="62"/>
      <c r="O76" s="62"/>
      <c r="P76" s="62"/>
      <c r="Q76" s="62"/>
      <c r="R76" s="62"/>
      <c r="S76" s="62"/>
      <c r="T76" s="62"/>
      <c r="U76" s="62"/>
      <c r="V76" s="62"/>
      <c r="W76" s="62"/>
      <c r="X76" s="62"/>
      <c r="Y76" s="62"/>
      <c r="Z76" s="62"/>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row>
    <row r="77" spans="1:52" x14ac:dyDescent="0.25">
      <c r="A77" s="62"/>
      <c r="B77" s="62"/>
      <c r="C77" s="62"/>
      <c r="D77" s="62"/>
      <c r="E77" s="62"/>
      <c r="F77" s="62"/>
      <c r="G77" s="62"/>
      <c r="H77" s="62"/>
      <c r="I77" s="62"/>
      <c r="J77" s="62"/>
      <c r="K77" s="62"/>
      <c r="L77" s="60"/>
      <c r="M77" s="62"/>
      <c r="N77" s="62"/>
      <c r="O77" s="62"/>
      <c r="P77" s="62"/>
      <c r="Q77" s="62"/>
      <c r="R77" s="62"/>
      <c r="S77" s="62"/>
      <c r="T77" s="62"/>
      <c r="U77" s="62"/>
      <c r="V77" s="62"/>
      <c r="W77" s="62"/>
      <c r="X77" s="62"/>
      <c r="Y77" s="62"/>
      <c r="Z77" s="62"/>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row>
    <row r="78" spans="1:52" x14ac:dyDescent="0.25">
      <c r="A78" s="62"/>
      <c r="B78" s="62"/>
      <c r="C78" s="62"/>
      <c r="D78" s="62"/>
      <c r="E78" s="62"/>
      <c r="F78" s="62"/>
      <c r="G78" s="62"/>
      <c r="H78" s="62"/>
      <c r="I78" s="62"/>
      <c r="J78" s="62"/>
      <c r="K78" s="62"/>
      <c r="L78" s="60"/>
      <c r="M78" s="62"/>
      <c r="N78" s="62"/>
      <c r="O78" s="62"/>
      <c r="P78" s="62"/>
      <c r="Q78" s="62"/>
      <c r="R78" s="62"/>
      <c r="S78" s="62"/>
      <c r="T78" s="62"/>
      <c r="U78" s="62"/>
      <c r="V78" s="62"/>
      <c r="W78" s="62"/>
      <c r="X78" s="62"/>
      <c r="Y78" s="62"/>
      <c r="Z78" s="62"/>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row>
    <row r="79" spans="1:52" x14ac:dyDescent="0.25">
      <c r="A79" s="62"/>
      <c r="B79" s="62"/>
      <c r="C79" s="62"/>
      <c r="D79" s="62"/>
      <c r="E79" s="62"/>
      <c r="F79" s="62"/>
      <c r="G79" s="62"/>
      <c r="H79" s="62"/>
      <c r="I79" s="62"/>
      <c r="J79" s="62"/>
      <c r="K79" s="62"/>
      <c r="L79" s="60"/>
      <c r="M79" s="62"/>
      <c r="N79" s="62"/>
      <c r="O79" s="62"/>
      <c r="P79" s="62"/>
      <c r="Q79" s="62"/>
      <c r="R79" s="62"/>
      <c r="S79" s="62"/>
      <c r="T79" s="62"/>
      <c r="U79" s="62"/>
      <c r="V79" s="62"/>
      <c r="W79" s="62"/>
      <c r="X79" s="62"/>
      <c r="Y79" s="62"/>
      <c r="Z79" s="62"/>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row>
    <row r="80" spans="1:52" x14ac:dyDescent="0.25">
      <c r="A80" s="62"/>
      <c r="B80" s="62"/>
      <c r="C80" s="62"/>
      <c r="D80" s="62"/>
      <c r="E80" s="62"/>
      <c r="F80" s="62"/>
      <c r="G80" s="62"/>
      <c r="H80" s="62"/>
      <c r="I80" s="62"/>
      <c r="J80" s="62"/>
      <c r="K80" s="62"/>
      <c r="L80" s="60"/>
      <c r="M80" s="62"/>
      <c r="N80" s="62"/>
      <c r="O80" s="62"/>
      <c r="P80" s="62"/>
      <c r="Q80" s="62"/>
      <c r="R80" s="62"/>
      <c r="S80" s="62"/>
      <c r="T80" s="62"/>
      <c r="U80" s="62"/>
      <c r="V80" s="62"/>
      <c r="W80" s="62"/>
      <c r="X80" s="62"/>
      <c r="Y80" s="62"/>
      <c r="Z80" s="62"/>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row>
    <row r="81" spans="1:52" x14ac:dyDescent="0.25">
      <c r="A81" s="62"/>
      <c r="B81" s="62"/>
      <c r="C81" s="62"/>
      <c r="D81" s="62"/>
      <c r="E81" s="62"/>
      <c r="F81" s="62"/>
      <c r="G81" s="62"/>
      <c r="H81" s="62"/>
      <c r="I81" s="62"/>
      <c r="J81" s="62"/>
      <c r="K81" s="62"/>
      <c r="L81" s="60"/>
      <c r="M81" s="62"/>
      <c r="N81" s="62"/>
      <c r="O81" s="62"/>
      <c r="P81" s="62"/>
      <c r="Q81" s="62"/>
      <c r="R81" s="62"/>
      <c r="S81" s="62"/>
      <c r="T81" s="62"/>
      <c r="U81" s="62"/>
      <c r="V81" s="62"/>
      <c r="W81" s="62"/>
      <c r="X81" s="62"/>
      <c r="Y81" s="62"/>
      <c r="Z81" s="62"/>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row>
    <row r="82" spans="1:52" x14ac:dyDescent="0.25">
      <c r="A82" s="62"/>
      <c r="B82" s="62"/>
      <c r="C82" s="62"/>
      <c r="D82" s="62"/>
      <c r="E82" s="62"/>
      <c r="F82" s="62"/>
      <c r="G82" s="62"/>
      <c r="H82" s="62"/>
      <c r="I82" s="62"/>
      <c r="J82" s="62"/>
      <c r="K82" s="62"/>
      <c r="L82" s="60"/>
      <c r="M82" s="62"/>
      <c r="N82" s="62"/>
      <c r="O82" s="62"/>
      <c r="P82" s="62"/>
      <c r="Q82" s="62"/>
      <c r="R82" s="62"/>
      <c r="S82" s="62"/>
      <c r="T82" s="62"/>
      <c r="U82" s="62"/>
      <c r="V82" s="62"/>
      <c r="W82" s="62"/>
      <c r="X82" s="62"/>
      <c r="Y82" s="62"/>
      <c r="Z82" s="62"/>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row>
    <row r="83" spans="1:52" x14ac:dyDescent="0.25">
      <c r="A83" s="62"/>
      <c r="B83" s="62"/>
      <c r="C83" s="62"/>
      <c r="D83" s="62"/>
      <c r="E83" s="62"/>
      <c r="F83" s="62"/>
      <c r="G83" s="62"/>
      <c r="H83" s="62"/>
      <c r="I83" s="62"/>
      <c r="J83" s="62"/>
      <c r="K83" s="62"/>
      <c r="L83" s="60"/>
      <c r="M83" s="62"/>
      <c r="N83" s="62"/>
      <c r="O83" s="62"/>
      <c r="P83" s="62"/>
      <c r="Q83" s="62"/>
      <c r="R83" s="62"/>
      <c r="S83" s="62"/>
      <c r="T83" s="62"/>
      <c r="U83" s="62"/>
      <c r="V83" s="62"/>
      <c r="W83" s="62"/>
      <c r="X83" s="62"/>
      <c r="Y83" s="62"/>
      <c r="Z83" s="62"/>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row>
    <row r="84" spans="1:52" x14ac:dyDescent="0.25">
      <c r="A84" s="62"/>
      <c r="B84" s="62"/>
      <c r="C84" s="62"/>
      <c r="D84" s="62"/>
      <c r="E84" s="62"/>
      <c r="F84" s="62"/>
      <c r="G84" s="62"/>
      <c r="H84" s="62"/>
      <c r="I84" s="62"/>
      <c r="J84" s="62"/>
      <c r="K84" s="62"/>
      <c r="L84" s="60"/>
      <c r="M84" s="62"/>
      <c r="N84" s="62"/>
      <c r="O84" s="62"/>
      <c r="P84" s="62"/>
      <c r="Q84" s="62"/>
      <c r="R84" s="62"/>
      <c r="S84" s="62"/>
      <c r="T84" s="62"/>
      <c r="U84" s="62"/>
      <c r="V84" s="62"/>
      <c r="W84" s="62"/>
      <c r="X84" s="62"/>
      <c r="Y84" s="62"/>
      <c r="Z84" s="62"/>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row>
    <row r="85" spans="1:52" x14ac:dyDescent="0.25">
      <c r="A85" s="62"/>
      <c r="B85" s="62"/>
      <c r="C85" s="62"/>
      <c r="D85" s="62"/>
      <c r="E85" s="62"/>
      <c r="F85" s="62"/>
      <c r="G85" s="62"/>
      <c r="H85" s="62"/>
      <c r="I85" s="62"/>
      <c r="J85" s="62"/>
      <c r="K85" s="62"/>
      <c r="L85" s="60"/>
      <c r="M85" s="62"/>
      <c r="N85" s="62"/>
      <c r="O85" s="62"/>
      <c r="P85" s="62"/>
      <c r="Q85" s="62"/>
      <c r="R85" s="62"/>
      <c r="S85" s="62"/>
      <c r="T85" s="62"/>
      <c r="U85" s="62"/>
      <c r="V85" s="62"/>
      <c r="W85" s="62"/>
      <c r="X85" s="62"/>
      <c r="Y85" s="62"/>
      <c r="Z85" s="62"/>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row>
    <row r="86" spans="1:52" x14ac:dyDescent="0.25">
      <c r="A86" s="62"/>
      <c r="B86" s="62"/>
      <c r="C86" s="62"/>
      <c r="D86" s="62"/>
      <c r="E86" s="62"/>
      <c r="F86" s="62"/>
      <c r="G86" s="62"/>
      <c r="H86" s="62"/>
      <c r="I86" s="62"/>
      <c r="J86" s="62"/>
      <c r="K86" s="62"/>
      <c r="L86" s="60"/>
      <c r="M86" s="62"/>
      <c r="N86" s="62"/>
      <c r="O86" s="62"/>
      <c r="P86" s="62"/>
      <c r="Q86" s="62"/>
      <c r="R86" s="62"/>
      <c r="S86" s="62"/>
      <c r="T86" s="62"/>
      <c r="U86" s="62"/>
      <c r="V86" s="62"/>
      <c r="W86" s="62"/>
      <c r="X86" s="62"/>
      <c r="Y86" s="62"/>
      <c r="Z86" s="62"/>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row>
    <row r="87" spans="1:52" x14ac:dyDescent="0.25">
      <c r="A87" s="62"/>
      <c r="B87" s="62"/>
      <c r="C87" s="62"/>
      <c r="D87" s="62"/>
      <c r="E87" s="62"/>
      <c r="F87" s="62"/>
      <c r="G87" s="62"/>
      <c r="H87" s="62"/>
      <c r="I87" s="62"/>
      <c r="J87" s="62"/>
      <c r="K87" s="62"/>
      <c r="L87" s="60"/>
      <c r="M87" s="62"/>
      <c r="N87" s="62"/>
      <c r="O87" s="62"/>
      <c r="P87" s="62"/>
      <c r="Q87" s="62"/>
      <c r="R87" s="62"/>
      <c r="S87" s="62"/>
      <c r="T87" s="62"/>
      <c r="U87" s="62"/>
      <c r="V87" s="62"/>
      <c r="W87" s="62"/>
      <c r="X87" s="62"/>
      <c r="Y87" s="62"/>
      <c r="Z87" s="62"/>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row>
    <row r="88" spans="1:52" x14ac:dyDescent="0.25">
      <c r="A88" s="62"/>
      <c r="B88" s="62"/>
      <c r="C88" s="62"/>
      <c r="D88" s="62"/>
      <c r="E88" s="62"/>
      <c r="F88" s="62"/>
      <c r="G88" s="62"/>
      <c r="H88" s="62"/>
      <c r="I88" s="62"/>
      <c r="J88" s="62"/>
      <c r="K88" s="62"/>
      <c r="L88" s="60"/>
      <c r="M88" s="62"/>
      <c r="N88" s="62"/>
      <c r="O88" s="62"/>
      <c r="P88" s="62"/>
      <c r="Q88" s="62"/>
      <c r="R88" s="62"/>
      <c r="S88" s="62"/>
      <c r="T88" s="62"/>
      <c r="U88" s="62"/>
      <c r="V88" s="62"/>
      <c r="W88" s="62"/>
      <c r="X88" s="62"/>
      <c r="Y88" s="62"/>
      <c r="Z88" s="62"/>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row>
    <row r="89" spans="1:52" x14ac:dyDescent="0.25">
      <c r="A89" s="62"/>
      <c r="B89" s="62"/>
      <c r="C89" s="62"/>
      <c r="D89" s="62"/>
      <c r="E89" s="62"/>
      <c r="F89" s="62"/>
      <c r="G89" s="62"/>
      <c r="H89" s="62"/>
      <c r="I89" s="62"/>
      <c r="J89" s="62"/>
      <c r="K89" s="62"/>
      <c r="L89" s="60"/>
      <c r="M89" s="62"/>
      <c r="N89" s="62"/>
      <c r="O89" s="62"/>
      <c r="P89" s="62"/>
      <c r="Q89" s="62"/>
      <c r="R89" s="62"/>
      <c r="S89" s="62"/>
      <c r="T89" s="62"/>
      <c r="U89" s="62"/>
      <c r="V89" s="62"/>
      <c r="W89" s="62"/>
      <c r="X89" s="62"/>
      <c r="Y89" s="62"/>
      <c r="Z89" s="62"/>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row>
    <row r="90" spans="1:52" x14ac:dyDescent="0.25">
      <c r="A90" s="62"/>
      <c r="B90" s="62"/>
      <c r="C90" s="62"/>
      <c r="D90" s="62"/>
      <c r="E90" s="62"/>
      <c r="F90" s="62"/>
      <c r="G90" s="62"/>
      <c r="H90" s="62"/>
      <c r="I90" s="62"/>
      <c r="J90" s="62"/>
      <c r="K90" s="62"/>
      <c r="L90" s="60"/>
      <c r="M90" s="62"/>
      <c r="N90" s="62"/>
      <c r="O90" s="62"/>
      <c r="P90" s="62"/>
      <c r="Q90" s="62"/>
      <c r="R90" s="62"/>
      <c r="S90" s="62"/>
      <c r="T90" s="62"/>
      <c r="U90" s="62"/>
      <c r="V90" s="62"/>
      <c r="W90" s="62"/>
      <c r="X90" s="62"/>
      <c r="Y90" s="62"/>
      <c r="Z90" s="62"/>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row>
    <row r="91" spans="1:52" x14ac:dyDescent="0.25">
      <c r="A91" s="62"/>
      <c r="B91" s="62"/>
      <c r="C91" s="62"/>
      <c r="D91" s="62"/>
      <c r="E91" s="62"/>
      <c r="F91" s="62"/>
      <c r="G91" s="62"/>
      <c r="H91" s="62"/>
      <c r="I91" s="62"/>
      <c r="J91" s="62"/>
      <c r="K91" s="62"/>
      <c r="L91" s="60"/>
      <c r="M91" s="62"/>
      <c r="N91" s="62"/>
      <c r="O91" s="62"/>
      <c r="P91" s="62"/>
      <c r="Q91" s="62"/>
      <c r="R91" s="62"/>
      <c r="S91" s="62"/>
      <c r="T91" s="62"/>
      <c r="U91" s="62"/>
      <c r="V91" s="62"/>
      <c r="W91" s="62"/>
      <c r="X91" s="62"/>
      <c r="Y91" s="62"/>
      <c r="Z91" s="62"/>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row>
    <row r="92" spans="1:52" x14ac:dyDescent="0.25">
      <c r="A92" s="62"/>
      <c r="B92" s="62"/>
      <c r="C92" s="62"/>
      <c r="D92" s="62"/>
      <c r="E92" s="62"/>
      <c r="F92" s="62"/>
      <c r="G92" s="62"/>
      <c r="H92" s="62"/>
      <c r="I92" s="62"/>
      <c r="J92" s="62"/>
      <c r="K92" s="62"/>
      <c r="L92" s="60"/>
      <c r="M92" s="62"/>
      <c r="N92" s="62"/>
      <c r="O92" s="62"/>
      <c r="P92" s="62"/>
      <c r="Q92" s="62"/>
      <c r="R92" s="62"/>
      <c r="S92" s="62"/>
      <c r="T92" s="62"/>
      <c r="U92" s="62"/>
      <c r="V92" s="62"/>
      <c r="W92" s="62"/>
      <c r="X92" s="62"/>
      <c r="Y92" s="62"/>
      <c r="Z92" s="62"/>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row>
    <row r="93" spans="1:52" x14ac:dyDescent="0.25">
      <c r="A93" s="62"/>
      <c r="B93" s="62"/>
      <c r="C93" s="62"/>
      <c r="D93" s="62"/>
      <c r="E93" s="62"/>
      <c r="F93" s="62"/>
      <c r="G93" s="62"/>
      <c r="H93" s="62"/>
      <c r="I93" s="62"/>
      <c r="J93" s="62"/>
      <c r="K93" s="62"/>
      <c r="L93" s="60"/>
      <c r="M93" s="62"/>
      <c r="N93" s="62"/>
      <c r="O93" s="62"/>
      <c r="P93" s="62"/>
      <c r="Q93" s="62"/>
      <c r="R93" s="62"/>
      <c r="S93" s="62"/>
      <c r="T93" s="62"/>
      <c r="U93" s="62"/>
      <c r="V93" s="62"/>
      <c r="W93" s="62"/>
      <c r="X93" s="62"/>
      <c r="Y93" s="62"/>
      <c r="Z93" s="62"/>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row>
    <row r="94" spans="1:52" x14ac:dyDescent="0.25">
      <c r="A94" s="62"/>
      <c r="B94" s="62"/>
      <c r="C94" s="62"/>
      <c r="D94" s="62"/>
      <c r="E94" s="62"/>
      <c r="F94" s="62"/>
      <c r="G94" s="62"/>
      <c r="H94" s="62"/>
      <c r="I94" s="62"/>
      <c r="J94" s="62"/>
      <c r="K94" s="62"/>
      <c r="L94" s="60"/>
      <c r="M94" s="62"/>
      <c r="N94" s="62"/>
      <c r="O94" s="62"/>
      <c r="P94" s="62"/>
      <c r="Q94" s="62"/>
      <c r="R94" s="62"/>
      <c r="S94" s="62"/>
      <c r="T94" s="62"/>
      <c r="U94" s="62"/>
      <c r="V94" s="62"/>
      <c r="W94" s="62"/>
      <c r="X94" s="62"/>
      <c r="Y94" s="62"/>
      <c r="Z94" s="62"/>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row>
    <row r="95" spans="1:52" x14ac:dyDescent="0.25">
      <c r="A95" s="62"/>
      <c r="B95" s="62"/>
      <c r="C95" s="62"/>
      <c r="D95" s="62"/>
      <c r="E95" s="62"/>
      <c r="F95" s="62"/>
      <c r="G95" s="62"/>
      <c r="H95" s="62"/>
      <c r="I95" s="62"/>
      <c r="J95" s="62"/>
      <c r="K95" s="62"/>
      <c r="L95" s="60"/>
      <c r="M95" s="62"/>
      <c r="N95" s="62"/>
      <c r="O95" s="62"/>
      <c r="P95" s="62"/>
      <c r="Q95" s="62"/>
      <c r="R95" s="62"/>
      <c r="S95" s="62"/>
      <c r="T95" s="62"/>
      <c r="U95" s="62"/>
      <c r="V95" s="62"/>
      <c r="W95" s="62"/>
      <c r="X95" s="62"/>
      <c r="Y95" s="62"/>
      <c r="Z95" s="62"/>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row>
    <row r="96" spans="1:52" x14ac:dyDescent="0.25">
      <c r="A96" s="62"/>
      <c r="B96" s="62"/>
      <c r="C96" s="62"/>
      <c r="D96" s="62"/>
      <c r="E96" s="62"/>
      <c r="F96" s="62"/>
      <c r="G96" s="62"/>
      <c r="H96" s="62"/>
      <c r="I96" s="62"/>
      <c r="J96" s="62"/>
      <c r="K96" s="62"/>
      <c r="L96" s="60"/>
      <c r="M96" s="62"/>
      <c r="N96" s="62"/>
      <c r="O96" s="62"/>
      <c r="P96" s="62"/>
      <c r="Q96" s="62"/>
      <c r="R96" s="62"/>
      <c r="S96" s="62"/>
      <c r="T96" s="62"/>
      <c r="U96" s="62"/>
      <c r="V96" s="62"/>
      <c r="W96" s="62"/>
      <c r="X96" s="62"/>
      <c r="Y96" s="62"/>
      <c r="Z96" s="62"/>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row>
    <row r="97" spans="1:52" x14ac:dyDescent="0.25">
      <c r="A97" s="62"/>
      <c r="B97" s="62"/>
      <c r="C97" s="62"/>
      <c r="D97" s="62"/>
      <c r="E97" s="62"/>
      <c r="F97" s="62"/>
      <c r="G97" s="62"/>
      <c r="H97" s="62"/>
      <c r="I97" s="62"/>
      <c r="J97" s="62"/>
      <c r="K97" s="62"/>
      <c r="L97" s="60"/>
      <c r="M97" s="62"/>
      <c r="N97" s="62"/>
      <c r="O97" s="62"/>
      <c r="P97" s="62"/>
      <c r="Q97" s="62"/>
      <c r="R97" s="62"/>
      <c r="S97" s="62"/>
      <c r="T97" s="62"/>
      <c r="U97" s="62"/>
      <c r="V97" s="62"/>
      <c r="W97" s="62"/>
      <c r="X97" s="62"/>
      <c r="Y97" s="62"/>
      <c r="Z97" s="62"/>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row>
    <row r="98" spans="1:52" x14ac:dyDescent="0.25">
      <c r="A98" s="62"/>
      <c r="B98" s="62"/>
      <c r="C98" s="62"/>
      <c r="D98" s="62"/>
      <c r="E98" s="62"/>
      <c r="F98" s="62"/>
      <c r="G98" s="62"/>
      <c r="H98" s="62"/>
      <c r="I98" s="62"/>
      <c r="J98" s="62"/>
      <c r="K98" s="62"/>
      <c r="L98" s="60"/>
      <c r="M98" s="62"/>
      <c r="N98" s="62"/>
      <c r="O98" s="62"/>
      <c r="P98" s="62"/>
      <c r="Q98" s="62"/>
      <c r="R98" s="62"/>
      <c r="S98" s="62"/>
      <c r="T98" s="62"/>
      <c r="U98" s="62"/>
      <c r="V98" s="62"/>
      <c r="W98" s="62"/>
      <c r="X98" s="62"/>
      <c r="Y98" s="62"/>
      <c r="Z98" s="62"/>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row>
    <row r="99" spans="1:52" x14ac:dyDescent="0.25">
      <c r="A99" s="62"/>
      <c r="B99" s="62"/>
      <c r="C99" s="62"/>
      <c r="D99" s="62"/>
      <c r="E99" s="62"/>
      <c r="F99" s="62"/>
      <c r="G99" s="62"/>
      <c r="H99" s="62"/>
      <c r="I99" s="62"/>
      <c r="J99" s="62"/>
      <c r="K99" s="62"/>
      <c r="L99" s="60"/>
      <c r="M99" s="62"/>
      <c r="N99" s="62"/>
      <c r="O99" s="62"/>
      <c r="P99" s="62"/>
      <c r="Q99" s="62"/>
      <c r="R99" s="62"/>
      <c r="S99" s="62"/>
      <c r="T99" s="62"/>
      <c r="U99" s="62"/>
      <c r="V99" s="62"/>
      <c r="W99" s="62"/>
      <c r="X99" s="62"/>
      <c r="Y99" s="62"/>
      <c r="Z99" s="62"/>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row>
    <row r="100" spans="1:52" x14ac:dyDescent="0.25">
      <c r="A100" s="62"/>
      <c r="B100" s="62"/>
      <c r="C100" s="62"/>
      <c r="D100" s="62"/>
      <c r="E100" s="62"/>
      <c r="F100" s="62"/>
      <c r="G100" s="62"/>
      <c r="H100" s="62"/>
      <c r="I100" s="62"/>
      <c r="J100" s="62"/>
      <c r="K100" s="62"/>
      <c r="L100" s="60"/>
      <c r="M100" s="62"/>
      <c r="N100" s="62"/>
      <c r="O100" s="62"/>
      <c r="P100" s="62"/>
      <c r="Q100" s="62"/>
      <c r="R100" s="62"/>
      <c r="S100" s="62"/>
      <c r="T100" s="62"/>
      <c r="U100" s="62"/>
      <c r="V100" s="62"/>
      <c r="W100" s="62"/>
      <c r="X100" s="62"/>
      <c r="Y100" s="62"/>
      <c r="Z100" s="62"/>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row>
    <row r="101" spans="1:52" x14ac:dyDescent="0.25">
      <c r="A101" s="62"/>
      <c r="B101" s="62"/>
      <c r="C101" s="62"/>
      <c r="D101" s="62"/>
      <c r="E101" s="62"/>
      <c r="F101" s="62"/>
      <c r="G101" s="62"/>
      <c r="H101" s="62"/>
      <c r="I101" s="62"/>
      <c r="J101" s="62"/>
      <c r="K101" s="62"/>
      <c r="L101" s="60"/>
      <c r="M101" s="62"/>
      <c r="N101" s="62"/>
      <c r="O101" s="62"/>
      <c r="P101" s="62"/>
      <c r="Q101" s="62"/>
      <c r="R101" s="62"/>
      <c r="S101" s="62"/>
      <c r="T101" s="62"/>
      <c r="U101" s="62"/>
      <c r="V101" s="62"/>
      <c r="W101" s="62"/>
      <c r="X101" s="62"/>
      <c r="Y101" s="62"/>
      <c r="Z101" s="62"/>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row>
    <row r="102" spans="1:52" x14ac:dyDescent="0.25">
      <c r="A102" s="62"/>
      <c r="B102" s="62"/>
      <c r="C102" s="62"/>
      <c r="D102" s="62"/>
      <c r="E102" s="62"/>
      <c r="F102" s="62"/>
      <c r="G102" s="62"/>
      <c r="H102" s="62"/>
      <c r="I102" s="62"/>
      <c r="J102" s="62"/>
      <c r="K102" s="62"/>
      <c r="L102" s="60"/>
      <c r="M102" s="62"/>
      <c r="N102" s="62"/>
      <c r="O102" s="62"/>
      <c r="P102" s="62"/>
      <c r="Q102" s="62"/>
      <c r="R102" s="62"/>
      <c r="S102" s="62"/>
      <c r="T102" s="62"/>
      <c r="U102" s="62"/>
      <c r="V102" s="62"/>
      <c r="W102" s="62"/>
      <c r="X102" s="62"/>
      <c r="Y102" s="62"/>
      <c r="Z102" s="62"/>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row>
    <row r="103" spans="1:52" x14ac:dyDescent="0.25">
      <c r="A103" s="62"/>
      <c r="B103" s="62"/>
      <c r="C103" s="62"/>
      <c r="D103" s="62"/>
      <c r="E103" s="62"/>
      <c r="F103" s="62"/>
      <c r="G103" s="62"/>
      <c r="H103" s="62"/>
      <c r="I103" s="62"/>
      <c r="J103" s="62"/>
      <c r="K103" s="62"/>
      <c r="L103" s="60"/>
      <c r="M103" s="62"/>
      <c r="N103" s="62"/>
      <c r="O103" s="62"/>
      <c r="P103" s="62"/>
      <c r="Q103" s="62"/>
      <c r="R103" s="62"/>
      <c r="S103" s="62"/>
      <c r="T103" s="62"/>
      <c r="U103" s="62"/>
      <c r="V103" s="62"/>
      <c r="W103" s="62"/>
      <c r="X103" s="62"/>
      <c r="Y103" s="62"/>
      <c r="Z103" s="62"/>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row>
    <row r="104" spans="1:52" x14ac:dyDescent="0.25">
      <c r="A104" s="62"/>
      <c r="B104" s="62"/>
      <c r="C104" s="62"/>
      <c r="D104" s="62"/>
      <c r="E104" s="62"/>
      <c r="F104" s="62"/>
      <c r="G104" s="62"/>
      <c r="H104" s="62"/>
      <c r="I104" s="62"/>
      <c r="J104" s="62"/>
      <c r="K104" s="62"/>
      <c r="L104" s="60"/>
      <c r="M104" s="62"/>
      <c r="N104" s="62"/>
      <c r="O104" s="62"/>
      <c r="P104" s="62"/>
      <c r="Q104" s="62"/>
      <c r="R104" s="62"/>
      <c r="S104" s="62"/>
      <c r="T104" s="62"/>
      <c r="U104" s="62"/>
      <c r="V104" s="62"/>
      <c r="W104" s="62"/>
      <c r="X104" s="62"/>
      <c r="Y104" s="62"/>
      <c r="Z104" s="62"/>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row>
    <row r="105" spans="1:52" x14ac:dyDescent="0.25">
      <c r="A105" s="62"/>
      <c r="B105" s="62"/>
      <c r="C105" s="62"/>
      <c r="D105" s="62"/>
      <c r="E105" s="62"/>
      <c r="F105" s="62"/>
      <c r="G105" s="62"/>
      <c r="H105" s="62"/>
      <c r="I105" s="62"/>
      <c r="J105" s="62"/>
      <c r="K105" s="62"/>
      <c r="L105" s="60"/>
      <c r="M105" s="62"/>
      <c r="N105" s="62"/>
      <c r="O105" s="62"/>
      <c r="P105" s="62"/>
      <c r="Q105" s="62"/>
      <c r="R105" s="62"/>
      <c r="S105" s="62"/>
      <c r="T105" s="62"/>
      <c r="U105" s="62"/>
      <c r="V105" s="62"/>
      <c r="W105" s="62"/>
      <c r="X105" s="62"/>
      <c r="Y105" s="62"/>
      <c r="Z105" s="62"/>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row>
    <row r="106" spans="1:52" x14ac:dyDescent="0.25">
      <c r="A106" s="62"/>
      <c r="B106" s="62"/>
      <c r="C106" s="62"/>
      <c r="D106" s="62"/>
      <c r="E106" s="62"/>
      <c r="F106" s="62"/>
      <c r="G106" s="62"/>
      <c r="H106" s="62"/>
      <c r="I106" s="62"/>
      <c r="J106" s="62"/>
      <c r="K106" s="62"/>
      <c r="L106" s="60"/>
      <c r="M106" s="62"/>
      <c r="N106" s="62"/>
      <c r="O106" s="62"/>
      <c r="P106" s="62"/>
      <c r="Q106" s="62"/>
      <c r="R106" s="62"/>
      <c r="S106" s="62"/>
      <c r="T106" s="62"/>
      <c r="U106" s="62"/>
      <c r="V106" s="62"/>
      <c r="W106" s="62"/>
      <c r="X106" s="62"/>
      <c r="Y106" s="62"/>
      <c r="Z106" s="62"/>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row>
    <row r="107" spans="1:52" x14ac:dyDescent="0.25">
      <c r="A107" s="62"/>
      <c r="B107" s="62"/>
      <c r="C107" s="62"/>
      <c r="D107" s="62"/>
      <c r="E107" s="62"/>
      <c r="F107" s="62"/>
      <c r="G107" s="62"/>
      <c r="H107" s="62"/>
      <c r="I107" s="62"/>
      <c r="J107" s="62"/>
      <c r="K107" s="62"/>
      <c r="L107" s="60"/>
      <c r="M107" s="62"/>
      <c r="N107" s="62"/>
      <c r="O107" s="62"/>
      <c r="P107" s="62"/>
      <c r="Q107" s="62"/>
      <c r="R107" s="62"/>
      <c r="S107" s="62"/>
      <c r="T107" s="62"/>
      <c r="U107" s="62"/>
      <c r="V107" s="62"/>
      <c r="W107" s="62"/>
      <c r="X107" s="62"/>
      <c r="Y107" s="62"/>
      <c r="Z107" s="62"/>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row>
    <row r="108" spans="1:52" x14ac:dyDescent="0.25">
      <c r="A108" s="62"/>
      <c r="B108" s="62"/>
      <c r="C108" s="62"/>
      <c r="D108" s="62"/>
      <c r="E108" s="62"/>
      <c r="F108" s="62"/>
      <c r="G108" s="62"/>
      <c r="H108" s="62"/>
      <c r="I108" s="62"/>
      <c r="J108" s="62"/>
      <c r="K108" s="62"/>
      <c r="L108" s="60"/>
      <c r="M108" s="62"/>
      <c r="N108" s="62"/>
      <c r="O108" s="62"/>
      <c r="P108" s="62"/>
      <c r="Q108" s="62"/>
      <c r="R108" s="62"/>
      <c r="S108" s="62"/>
      <c r="T108" s="62"/>
      <c r="U108" s="62"/>
      <c r="V108" s="62"/>
      <c r="W108" s="62"/>
      <c r="X108" s="62"/>
      <c r="Y108" s="62"/>
      <c r="Z108" s="62"/>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row>
    <row r="109" spans="1:52" x14ac:dyDescent="0.25">
      <c r="A109" s="62"/>
      <c r="B109" s="62"/>
      <c r="C109" s="62"/>
      <c r="D109" s="62"/>
      <c r="E109" s="62"/>
      <c r="F109" s="62"/>
      <c r="G109" s="62"/>
      <c r="H109" s="62"/>
      <c r="I109" s="62"/>
      <c r="J109" s="62"/>
      <c r="K109" s="62"/>
      <c r="L109" s="60"/>
      <c r="M109" s="62"/>
      <c r="N109" s="62"/>
      <c r="O109" s="62"/>
      <c r="P109" s="62"/>
      <c r="Q109" s="62"/>
      <c r="R109" s="62"/>
      <c r="S109" s="62"/>
      <c r="T109" s="62"/>
      <c r="U109" s="62"/>
      <c r="V109" s="62"/>
      <c r="W109" s="62"/>
      <c r="X109" s="62"/>
      <c r="Y109" s="62"/>
      <c r="Z109" s="62"/>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row>
    <row r="110" spans="1:52" x14ac:dyDescent="0.25">
      <c r="A110" s="62"/>
      <c r="B110" s="62"/>
      <c r="C110" s="62"/>
      <c r="D110" s="62"/>
      <c r="E110" s="62"/>
      <c r="F110" s="62"/>
      <c r="G110" s="62"/>
      <c r="H110" s="62"/>
      <c r="I110" s="62"/>
      <c r="J110" s="62"/>
      <c r="K110" s="62"/>
      <c r="L110" s="60"/>
      <c r="M110" s="62"/>
      <c r="N110" s="62"/>
      <c r="O110" s="62"/>
      <c r="P110" s="62"/>
      <c r="Q110" s="62"/>
      <c r="R110" s="62"/>
      <c r="S110" s="62"/>
      <c r="T110" s="62"/>
      <c r="U110" s="62"/>
      <c r="V110" s="62"/>
      <c r="W110" s="62"/>
      <c r="X110" s="62"/>
      <c r="Y110" s="62"/>
      <c r="Z110" s="62"/>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row>
    <row r="111" spans="1:52" x14ac:dyDescent="0.25">
      <c r="A111" s="62"/>
      <c r="B111" s="62"/>
      <c r="C111" s="62"/>
      <c r="D111" s="62"/>
      <c r="E111" s="62"/>
      <c r="F111" s="62"/>
      <c r="G111" s="62"/>
      <c r="H111" s="62"/>
      <c r="I111" s="62"/>
      <c r="J111" s="62"/>
      <c r="K111" s="62"/>
      <c r="L111" s="60"/>
      <c r="M111" s="62"/>
      <c r="N111" s="62"/>
      <c r="O111" s="62"/>
      <c r="P111" s="62"/>
      <c r="Q111" s="62"/>
      <c r="R111" s="62"/>
      <c r="S111" s="62"/>
      <c r="T111" s="62"/>
      <c r="U111" s="62"/>
      <c r="V111" s="62"/>
      <c r="W111" s="62"/>
      <c r="X111" s="62"/>
      <c r="Y111" s="62"/>
      <c r="Z111" s="62"/>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row>
    <row r="112" spans="1:52" x14ac:dyDescent="0.25">
      <c r="A112" s="62"/>
      <c r="B112" s="62"/>
      <c r="C112" s="62"/>
      <c r="D112" s="62"/>
      <c r="E112" s="62"/>
      <c r="F112" s="62"/>
      <c r="G112" s="62"/>
      <c r="H112" s="62"/>
      <c r="I112" s="62"/>
      <c r="J112" s="62"/>
      <c r="K112" s="62"/>
      <c r="L112" s="60"/>
      <c r="M112" s="62"/>
      <c r="N112" s="62"/>
      <c r="O112" s="62"/>
      <c r="P112" s="62"/>
      <c r="Q112" s="62"/>
      <c r="R112" s="62"/>
      <c r="S112" s="62"/>
      <c r="T112" s="62"/>
      <c r="U112" s="62"/>
      <c r="V112" s="62"/>
      <c r="W112" s="62"/>
      <c r="X112" s="62"/>
      <c r="Y112" s="62"/>
      <c r="Z112" s="62"/>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row>
    <row r="113" spans="1:52" x14ac:dyDescent="0.25">
      <c r="A113" s="62"/>
      <c r="B113" s="62"/>
      <c r="C113" s="62"/>
      <c r="D113" s="62"/>
      <c r="E113" s="62"/>
      <c r="F113" s="62"/>
      <c r="G113" s="62"/>
      <c r="H113" s="62"/>
      <c r="I113" s="62"/>
      <c r="J113" s="62"/>
      <c r="K113" s="62"/>
      <c r="L113" s="60"/>
      <c r="M113" s="62"/>
      <c r="N113" s="62"/>
      <c r="O113" s="62"/>
      <c r="P113" s="62"/>
      <c r="Q113" s="62"/>
      <c r="R113" s="62"/>
      <c r="S113" s="62"/>
      <c r="T113" s="62"/>
      <c r="U113" s="62"/>
      <c r="V113" s="62"/>
      <c r="W113" s="62"/>
      <c r="X113" s="62"/>
      <c r="Y113" s="62"/>
      <c r="Z113" s="62"/>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row>
    <row r="114" spans="1:52" x14ac:dyDescent="0.25">
      <c r="A114" s="62"/>
      <c r="B114" s="62"/>
      <c r="C114" s="62"/>
      <c r="D114" s="62"/>
      <c r="E114" s="62"/>
      <c r="F114" s="62"/>
      <c r="G114" s="62"/>
      <c r="H114" s="62"/>
      <c r="I114" s="62"/>
      <c r="J114" s="62"/>
      <c r="K114" s="62"/>
      <c r="L114" s="60"/>
      <c r="M114" s="62"/>
      <c r="N114" s="62"/>
      <c r="O114" s="62"/>
      <c r="P114" s="62"/>
      <c r="Q114" s="62"/>
      <c r="R114" s="62"/>
      <c r="S114" s="62"/>
      <c r="T114" s="62"/>
      <c r="U114" s="62"/>
      <c r="V114" s="62"/>
      <c r="W114" s="62"/>
      <c r="X114" s="62"/>
      <c r="Y114" s="62"/>
      <c r="Z114" s="62"/>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row>
    <row r="115" spans="1:52" x14ac:dyDescent="0.25">
      <c r="A115" s="62"/>
      <c r="B115" s="62"/>
      <c r="C115" s="62"/>
      <c r="D115" s="62"/>
      <c r="E115" s="62"/>
      <c r="F115" s="62"/>
      <c r="G115" s="62"/>
      <c r="H115" s="62"/>
      <c r="I115" s="62"/>
      <c r="J115" s="62"/>
      <c r="K115" s="62"/>
      <c r="L115" s="60"/>
      <c r="M115" s="62"/>
      <c r="N115" s="62"/>
      <c r="O115" s="62"/>
      <c r="P115" s="62"/>
      <c r="Q115" s="62"/>
      <c r="R115" s="62"/>
      <c r="S115" s="62"/>
      <c r="T115" s="62"/>
      <c r="U115" s="62"/>
      <c r="V115" s="62"/>
      <c r="W115" s="62"/>
      <c r="X115" s="62"/>
      <c r="Y115" s="62"/>
      <c r="Z115" s="62"/>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row>
    <row r="116" spans="1:52" x14ac:dyDescent="0.25">
      <c r="A116" s="62"/>
      <c r="B116" s="62"/>
      <c r="C116" s="62"/>
      <c r="D116" s="62"/>
      <c r="E116" s="62"/>
      <c r="F116" s="62"/>
      <c r="G116" s="62"/>
      <c r="H116" s="62"/>
      <c r="I116" s="62"/>
      <c r="J116" s="62"/>
      <c r="K116" s="62"/>
      <c r="L116" s="60"/>
      <c r="M116" s="62"/>
      <c r="N116" s="62"/>
      <c r="O116" s="62"/>
      <c r="P116" s="62"/>
      <c r="Q116" s="62"/>
      <c r="R116" s="62"/>
      <c r="S116" s="62"/>
      <c r="T116" s="62"/>
      <c r="U116" s="62"/>
      <c r="V116" s="62"/>
      <c r="W116" s="62"/>
      <c r="X116" s="62"/>
      <c r="Y116" s="62"/>
      <c r="Z116" s="62"/>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row>
    <row r="117" spans="1:52" x14ac:dyDescent="0.25">
      <c r="A117" s="62"/>
      <c r="B117" s="62"/>
      <c r="C117" s="62"/>
      <c r="D117" s="62"/>
      <c r="E117" s="62"/>
      <c r="F117" s="62"/>
      <c r="G117" s="62"/>
      <c r="H117" s="62"/>
      <c r="I117" s="62"/>
      <c r="J117" s="62"/>
      <c r="K117" s="62"/>
      <c r="L117" s="60"/>
      <c r="M117" s="62"/>
      <c r="N117" s="62"/>
      <c r="O117" s="62"/>
      <c r="P117" s="62"/>
      <c r="Q117" s="62"/>
      <c r="R117" s="62"/>
      <c r="S117" s="62"/>
      <c r="T117" s="62"/>
      <c r="U117" s="62"/>
      <c r="V117" s="62"/>
      <c r="W117" s="62"/>
      <c r="X117" s="62"/>
      <c r="Y117" s="62"/>
      <c r="Z117" s="62"/>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row>
    <row r="118" spans="1:52" x14ac:dyDescent="0.25">
      <c r="A118" s="62"/>
      <c r="B118" s="62"/>
      <c r="C118" s="62"/>
      <c r="D118" s="62"/>
      <c r="E118" s="62"/>
      <c r="F118" s="62"/>
      <c r="G118" s="62"/>
      <c r="H118" s="62"/>
      <c r="I118" s="62"/>
      <c r="J118" s="62"/>
      <c r="K118" s="62"/>
      <c r="L118" s="60"/>
      <c r="M118" s="62"/>
      <c r="N118" s="62"/>
      <c r="O118" s="62"/>
      <c r="P118" s="62"/>
      <c r="Q118" s="62"/>
      <c r="R118" s="62"/>
      <c r="S118" s="62"/>
      <c r="T118" s="62"/>
      <c r="U118" s="62"/>
      <c r="V118" s="62"/>
      <c r="W118" s="62"/>
      <c r="X118" s="62"/>
      <c r="Y118" s="62"/>
      <c r="Z118" s="62"/>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row>
    <row r="119" spans="1:52" x14ac:dyDescent="0.25">
      <c r="A119" s="62"/>
      <c r="B119" s="62"/>
      <c r="C119" s="62"/>
      <c r="D119" s="62"/>
      <c r="E119" s="62"/>
      <c r="F119" s="62"/>
      <c r="G119" s="62"/>
      <c r="H119" s="62"/>
      <c r="I119" s="62"/>
      <c r="J119" s="62"/>
      <c r="K119" s="62"/>
      <c r="L119" s="60"/>
      <c r="M119" s="62"/>
      <c r="N119" s="62"/>
      <c r="O119" s="62"/>
      <c r="P119" s="62"/>
      <c r="Q119" s="62"/>
      <c r="R119" s="62"/>
      <c r="S119" s="62"/>
      <c r="T119" s="62"/>
      <c r="U119" s="62"/>
      <c r="V119" s="62"/>
      <c r="W119" s="62"/>
      <c r="X119" s="62"/>
      <c r="Y119" s="62"/>
      <c r="Z119" s="62"/>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row>
    <row r="120" spans="1:52" x14ac:dyDescent="0.25">
      <c r="A120" s="62"/>
      <c r="B120" s="62"/>
      <c r="C120" s="62"/>
      <c r="D120" s="62"/>
      <c r="E120" s="62"/>
      <c r="F120" s="62"/>
      <c r="G120" s="62"/>
      <c r="H120" s="62"/>
      <c r="I120" s="62"/>
      <c r="J120" s="62"/>
      <c r="K120" s="62"/>
      <c r="L120" s="60"/>
      <c r="M120" s="62"/>
      <c r="N120" s="62"/>
      <c r="O120" s="62"/>
      <c r="P120" s="62"/>
      <c r="Q120" s="62"/>
      <c r="R120" s="62"/>
      <c r="S120" s="62"/>
      <c r="T120" s="62"/>
      <c r="U120" s="62"/>
      <c r="V120" s="62"/>
      <c r="W120" s="62"/>
      <c r="X120" s="62"/>
      <c r="Y120" s="62"/>
      <c r="Z120" s="62"/>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row>
    <row r="121" spans="1:52" x14ac:dyDescent="0.25">
      <c r="A121" s="62"/>
      <c r="B121" s="62"/>
      <c r="C121" s="62"/>
      <c r="D121" s="62"/>
      <c r="E121" s="62"/>
      <c r="F121" s="62"/>
      <c r="G121" s="62"/>
      <c r="H121" s="62"/>
      <c r="I121" s="62"/>
      <c r="J121" s="62"/>
      <c r="K121" s="62"/>
      <c r="L121" s="60"/>
      <c r="M121" s="62"/>
      <c r="N121" s="62"/>
      <c r="O121" s="62"/>
      <c r="P121" s="62"/>
      <c r="Q121" s="62"/>
      <c r="R121" s="62"/>
      <c r="S121" s="62"/>
      <c r="T121" s="62"/>
      <c r="U121" s="62"/>
      <c r="V121" s="62"/>
      <c r="W121" s="62"/>
      <c r="X121" s="62"/>
      <c r="Y121" s="62"/>
      <c r="Z121" s="62"/>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row>
    <row r="122" spans="1:52" x14ac:dyDescent="0.25">
      <c r="A122" s="62"/>
      <c r="B122" s="62"/>
      <c r="C122" s="62"/>
      <c r="D122" s="62"/>
      <c r="E122" s="62"/>
      <c r="F122" s="62"/>
      <c r="G122" s="62"/>
      <c r="H122" s="62"/>
      <c r="I122" s="62"/>
      <c r="J122" s="62"/>
      <c r="K122" s="62"/>
      <c r="L122" s="60"/>
      <c r="M122" s="62"/>
      <c r="N122" s="62"/>
      <c r="O122" s="62"/>
      <c r="P122" s="62"/>
      <c r="Q122" s="62"/>
      <c r="R122" s="62"/>
      <c r="S122" s="62"/>
      <c r="T122" s="62"/>
      <c r="U122" s="62"/>
      <c r="V122" s="62"/>
      <c r="W122" s="62"/>
      <c r="X122" s="62"/>
      <c r="Y122" s="62"/>
      <c r="Z122" s="62"/>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row>
    <row r="123" spans="1:52" x14ac:dyDescent="0.25">
      <c r="A123" s="62"/>
      <c r="B123" s="62"/>
      <c r="C123" s="62"/>
      <c r="D123" s="62"/>
      <c r="E123" s="62"/>
      <c r="F123" s="62"/>
      <c r="G123" s="62"/>
      <c r="H123" s="62"/>
      <c r="I123" s="62"/>
      <c r="J123" s="62"/>
      <c r="K123" s="62"/>
      <c r="L123" s="60"/>
      <c r="M123" s="62"/>
      <c r="N123" s="62"/>
      <c r="O123" s="62"/>
      <c r="P123" s="62"/>
      <c r="Q123" s="62"/>
      <c r="R123" s="62"/>
      <c r="S123" s="62"/>
      <c r="T123" s="62"/>
      <c r="U123" s="62"/>
      <c r="V123" s="62"/>
      <c r="W123" s="62"/>
      <c r="X123" s="62"/>
      <c r="Y123" s="62"/>
      <c r="Z123" s="62"/>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row>
    <row r="124" spans="1:52" x14ac:dyDescent="0.25">
      <c r="A124" s="62"/>
      <c r="B124" s="62"/>
      <c r="C124" s="62"/>
      <c r="D124" s="62"/>
      <c r="E124" s="62"/>
      <c r="F124" s="62"/>
      <c r="G124" s="62"/>
      <c r="H124" s="62"/>
      <c r="I124" s="62"/>
      <c r="J124" s="62"/>
      <c r="K124" s="62"/>
      <c r="L124" s="60"/>
      <c r="M124" s="62"/>
      <c r="N124" s="62"/>
      <c r="O124" s="62"/>
      <c r="P124" s="62"/>
      <c r="Q124" s="62"/>
      <c r="R124" s="62"/>
      <c r="S124" s="62"/>
      <c r="T124" s="62"/>
      <c r="U124" s="62"/>
      <c r="V124" s="62"/>
      <c r="W124" s="62"/>
      <c r="X124" s="62"/>
      <c r="Y124" s="62"/>
      <c r="Z124" s="62"/>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row>
    <row r="125" spans="1:52" x14ac:dyDescent="0.25">
      <c r="A125" s="62"/>
      <c r="B125" s="62"/>
      <c r="C125" s="62"/>
      <c r="D125" s="62"/>
      <c r="E125" s="62"/>
      <c r="F125" s="62"/>
      <c r="G125" s="62"/>
      <c r="H125" s="62"/>
      <c r="I125" s="62"/>
      <c r="J125" s="62"/>
      <c r="K125" s="62"/>
      <c r="L125" s="60"/>
      <c r="M125" s="62"/>
      <c r="N125" s="62"/>
      <c r="O125" s="62"/>
      <c r="P125" s="62"/>
      <c r="Q125" s="62"/>
      <c r="R125" s="62"/>
      <c r="S125" s="62"/>
      <c r="T125" s="62"/>
      <c r="U125" s="62"/>
      <c r="V125" s="62"/>
      <c r="W125" s="62"/>
      <c r="X125" s="62"/>
      <c r="Y125" s="62"/>
      <c r="Z125" s="62"/>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row>
    <row r="126" spans="1:52" x14ac:dyDescent="0.25">
      <c r="A126" s="62"/>
      <c r="B126" s="62"/>
      <c r="C126" s="62"/>
      <c r="D126" s="62"/>
      <c r="E126" s="62"/>
      <c r="F126" s="62"/>
      <c r="G126" s="62"/>
      <c r="H126" s="62"/>
      <c r="I126" s="62"/>
      <c r="J126" s="62"/>
      <c r="K126" s="62"/>
      <c r="L126" s="60"/>
      <c r="M126" s="62"/>
      <c r="N126" s="62"/>
      <c r="O126" s="62"/>
      <c r="P126" s="62"/>
      <c r="Q126" s="62"/>
      <c r="R126" s="62"/>
      <c r="S126" s="62"/>
      <c r="T126" s="62"/>
      <c r="U126" s="62"/>
      <c r="V126" s="62"/>
      <c r="W126" s="62"/>
      <c r="X126" s="62"/>
      <c r="Y126" s="62"/>
      <c r="Z126" s="62"/>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row>
    <row r="127" spans="1:52" x14ac:dyDescent="0.25">
      <c r="A127" s="62"/>
      <c r="B127" s="62"/>
      <c r="C127" s="62"/>
      <c r="D127" s="62"/>
      <c r="E127" s="62"/>
      <c r="F127" s="62"/>
      <c r="G127" s="62"/>
      <c r="H127" s="62"/>
      <c r="I127" s="62"/>
      <c r="J127" s="62"/>
      <c r="K127" s="62"/>
      <c r="L127" s="60"/>
      <c r="M127" s="62"/>
      <c r="N127" s="62"/>
      <c r="O127" s="62"/>
      <c r="P127" s="62"/>
      <c r="Q127" s="62"/>
      <c r="R127" s="62"/>
      <c r="S127" s="62"/>
      <c r="T127" s="62"/>
      <c r="U127" s="62"/>
      <c r="V127" s="62"/>
      <c r="W127" s="62"/>
      <c r="X127" s="62"/>
      <c r="Y127" s="62"/>
      <c r="Z127" s="62"/>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row>
    <row r="128" spans="1:52" x14ac:dyDescent="0.25">
      <c r="A128" s="62"/>
      <c r="B128" s="62"/>
      <c r="C128" s="62"/>
      <c r="D128" s="62"/>
      <c r="E128" s="62"/>
      <c r="F128" s="62"/>
      <c r="G128" s="62"/>
      <c r="H128" s="62"/>
      <c r="I128" s="62"/>
      <c r="J128" s="62"/>
      <c r="K128" s="62"/>
      <c r="L128" s="60"/>
      <c r="M128" s="62"/>
      <c r="N128" s="62"/>
      <c r="O128" s="62"/>
      <c r="P128" s="62"/>
      <c r="Q128" s="62"/>
      <c r="R128" s="62"/>
      <c r="S128" s="62"/>
      <c r="T128" s="62"/>
      <c r="U128" s="62"/>
      <c r="V128" s="62"/>
      <c r="W128" s="62"/>
      <c r="X128" s="62"/>
      <c r="Y128" s="62"/>
      <c r="Z128" s="62"/>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row>
    <row r="129" spans="1:52" x14ac:dyDescent="0.25">
      <c r="A129" s="62"/>
      <c r="B129" s="62"/>
      <c r="C129" s="62"/>
      <c r="D129" s="62"/>
      <c r="E129" s="62"/>
      <c r="F129" s="62"/>
      <c r="G129" s="62"/>
      <c r="H129" s="62"/>
      <c r="I129" s="62"/>
      <c r="J129" s="62"/>
      <c r="K129" s="62"/>
      <c r="L129" s="60"/>
      <c r="M129" s="62"/>
      <c r="N129" s="62"/>
      <c r="O129" s="62"/>
      <c r="P129" s="62"/>
      <c r="Q129" s="62"/>
      <c r="R129" s="62"/>
      <c r="S129" s="62"/>
      <c r="T129" s="62"/>
      <c r="U129" s="62"/>
      <c r="V129" s="62"/>
      <c r="W129" s="62"/>
      <c r="X129" s="62"/>
      <c r="Y129" s="62"/>
      <c r="Z129" s="62"/>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row>
    <row r="130" spans="1:52" x14ac:dyDescent="0.25">
      <c r="A130" s="62"/>
      <c r="B130" s="62"/>
      <c r="C130" s="62"/>
      <c r="D130" s="62"/>
      <c r="E130" s="62"/>
      <c r="F130" s="62"/>
      <c r="G130" s="62"/>
      <c r="H130" s="62"/>
      <c r="I130" s="62"/>
      <c r="J130" s="62"/>
      <c r="K130" s="62"/>
      <c r="L130" s="60"/>
      <c r="M130" s="62"/>
      <c r="N130" s="62"/>
      <c r="O130" s="62"/>
      <c r="P130" s="62"/>
      <c r="Q130" s="62"/>
      <c r="R130" s="62"/>
      <c r="S130" s="62"/>
      <c r="T130" s="62"/>
      <c r="U130" s="62"/>
      <c r="V130" s="62"/>
      <c r="W130" s="62"/>
      <c r="X130" s="62"/>
      <c r="Y130" s="62"/>
      <c r="Z130" s="62"/>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row>
    <row r="131" spans="1:52" x14ac:dyDescent="0.25">
      <c r="A131" s="62"/>
      <c r="B131" s="62"/>
      <c r="C131" s="62"/>
      <c r="D131" s="62"/>
      <c r="E131" s="62"/>
      <c r="F131" s="62"/>
      <c r="G131" s="62"/>
      <c r="H131" s="62"/>
      <c r="I131" s="62"/>
      <c r="J131" s="62"/>
      <c r="K131" s="62"/>
      <c r="L131" s="60"/>
      <c r="M131" s="62"/>
      <c r="N131" s="62"/>
      <c r="O131" s="62"/>
      <c r="P131" s="62"/>
      <c r="Q131" s="62"/>
      <c r="R131" s="62"/>
      <c r="S131" s="62"/>
      <c r="T131" s="62"/>
      <c r="U131" s="62"/>
      <c r="V131" s="62"/>
      <c r="W131" s="62"/>
      <c r="X131" s="62"/>
      <c r="Y131" s="62"/>
      <c r="Z131" s="62"/>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row>
    <row r="132" spans="1:52" x14ac:dyDescent="0.25">
      <c r="A132" s="62"/>
      <c r="B132" s="62"/>
      <c r="C132" s="62"/>
      <c r="D132" s="62"/>
      <c r="E132" s="62"/>
      <c r="F132" s="62"/>
      <c r="G132" s="62"/>
      <c r="H132" s="62"/>
      <c r="I132" s="62"/>
      <c r="J132" s="62"/>
      <c r="K132" s="62"/>
      <c r="L132" s="60"/>
      <c r="M132" s="62"/>
      <c r="N132" s="62"/>
      <c r="O132" s="62"/>
      <c r="P132" s="62"/>
      <c r="Q132" s="62"/>
      <c r="R132" s="62"/>
      <c r="S132" s="62"/>
      <c r="T132" s="62"/>
      <c r="U132" s="62"/>
      <c r="V132" s="62"/>
      <c r="W132" s="62"/>
      <c r="X132" s="62"/>
      <c r="Y132" s="62"/>
      <c r="Z132" s="62"/>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row>
    <row r="133" spans="1:52" x14ac:dyDescent="0.25">
      <c r="A133" s="62"/>
      <c r="B133" s="62"/>
      <c r="C133" s="62"/>
      <c r="D133" s="62"/>
      <c r="E133" s="62"/>
      <c r="F133" s="62"/>
      <c r="G133" s="62"/>
      <c r="H133" s="62"/>
      <c r="I133" s="62"/>
      <c r="J133" s="62"/>
      <c r="K133" s="62"/>
      <c r="L133" s="60"/>
      <c r="M133" s="62"/>
      <c r="N133" s="62"/>
      <c r="O133" s="62"/>
      <c r="P133" s="62"/>
      <c r="Q133" s="62"/>
      <c r="R133" s="62"/>
      <c r="S133" s="62"/>
      <c r="T133" s="62"/>
      <c r="U133" s="62"/>
      <c r="V133" s="62"/>
      <c r="W133" s="62"/>
      <c r="X133" s="62"/>
      <c r="Y133" s="62"/>
      <c r="Z133" s="62"/>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row>
    <row r="134" spans="1:52" x14ac:dyDescent="0.25">
      <c r="A134" s="62"/>
      <c r="B134" s="62"/>
      <c r="C134" s="62"/>
      <c r="D134" s="62"/>
      <c r="E134" s="62"/>
      <c r="F134" s="62"/>
      <c r="G134" s="62"/>
      <c r="H134" s="62"/>
      <c r="I134" s="62"/>
      <c r="J134" s="62"/>
      <c r="K134" s="62"/>
      <c r="L134" s="60"/>
      <c r="M134" s="62"/>
      <c r="N134" s="62"/>
      <c r="O134" s="62"/>
      <c r="P134" s="62"/>
      <c r="Q134" s="62"/>
      <c r="R134" s="62"/>
      <c r="S134" s="62"/>
      <c r="T134" s="62"/>
      <c r="U134" s="62"/>
      <c r="V134" s="62"/>
      <c r="W134" s="62"/>
      <c r="X134" s="62"/>
      <c r="Y134" s="62"/>
      <c r="Z134" s="62"/>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row>
    <row r="135" spans="1:52" x14ac:dyDescent="0.25">
      <c r="A135" s="62"/>
      <c r="B135" s="62"/>
      <c r="C135" s="62"/>
      <c r="D135" s="62"/>
      <c r="E135" s="62"/>
      <c r="F135" s="62"/>
      <c r="G135" s="62"/>
      <c r="H135" s="62"/>
      <c r="I135" s="62"/>
      <c r="J135" s="62"/>
      <c r="K135" s="62"/>
      <c r="L135" s="60"/>
      <c r="M135" s="62"/>
      <c r="N135" s="62"/>
      <c r="O135" s="62"/>
      <c r="P135" s="62"/>
      <c r="Q135" s="62"/>
      <c r="R135" s="62"/>
      <c r="S135" s="62"/>
      <c r="T135" s="62"/>
      <c r="U135" s="62"/>
      <c r="V135" s="62"/>
      <c r="W135" s="62"/>
      <c r="X135" s="62"/>
      <c r="Y135" s="62"/>
      <c r="Z135" s="62"/>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row>
    <row r="136" spans="1:52" x14ac:dyDescent="0.25">
      <c r="A136" s="62"/>
      <c r="B136" s="62"/>
      <c r="C136" s="62"/>
      <c r="D136" s="62"/>
      <c r="E136" s="62"/>
      <c r="F136" s="62"/>
      <c r="G136" s="62"/>
      <c r="H136" s="62"/>
      <c r="I136" s="62"/>
      <c r="J136" s="62"/>
      <c r="K136" s="62"/>
      <c r="L136" s="60"/>
      <c r="M136" s="62"/>
      <c r="N136" s="62"/>
      <c r="O136" s="62"/>
      <c r="P136" s="62"/>
      <c r="Q136" s="62"/>
      <c r="R136" s="62"/>
      <c r="S136" s="62"/>
      <c r="T136" s="62"/>
      <c r="U136" s="62"/>
      <c r="V136" s="62"/>
      <c r="W136" s="62"/>
      <c r="X136" s="62"/>
      <c r="Y136" s="62"/>
      <c r="Z136" s="62"/>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row>
    <row r="137" spans="1:52" x14ac:dyDescent="0.25">
      <c r="A137" s="62"/>
      <c r="B137" s="62"/>
      <c r="C137" s="62"/>
      <c r="D137" s="62"/>
      <c r="E137" s="62"/>
      <c r="F137" s="62"/>
      <c r="G137" s="62"/>
      <c r="H137" s="62"/>
      <c r="I137" s="62"/>
      <c r="J137" s="62"/>
      <c r="K137" s="62"/>
      <c r="L137" s="60"/>
      <c r="M137" s="62"/>
      <c r="N137" s="62"/>
      <c r="O137" s="62"/>
      <c r="P137" s="62"/>
      <c r="Q137" s="62"/>
      <c r="R137" s="62"/>
      <c r="S137" s="62"/>
      <c r="T137" s="62"/>
      <c r="U137" s="62"/>
      <c r="V137" s="62"/>
      <c r="W137" s="62"/>
      <c r="X137" s="62"/>
      <c r="Y137" s="62"/>
      <c r="Z137" s="62"/>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row>
    <row r="138" spans="1:52" x14ac:dyDescent="0.25">
      <c r="A138" s="62"/>
      <c r="B138" s="62"/>
      <c r="C138" s="62"/>
      <c r="D138" s="62"/>
      <c r="E138" s="62"/>
      <c r="F138" s="62"/>
      <c r="G138" s="62"/>
      <c r="H138" s="62"/>
      <c r="I138" s="62"/>
      <c r="J138" s="62"/>
      <c r="K138" s="62"/>
      <c r="L138" s="60"/>
      <c r="M138" s="62"/>
      <c r="N138" s="62"/>
      <c r="O138" s="62"/>
      <c r="P138" s="62"/>
      <c r="Q138" s="62"/>
      <c r="R138" s="62"/>
      <c r="S138" s="62"/>
      <c r="T138" s="62"/>
      <c r="U138" s="62"/>
      <c r="V138" s="62"/>
      <c r="W138" s="62"/>
      <c r="X138" s="62"/>
      <c r="Y138" s="62"/>
      <c r="Z138" s="62"/>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row>
    <row r="139" spans="1:52" x14ac:dyDescent="0.25">
      <c r="A139" s="62"/>
      <c r="B139" s="62"/>
      <c r="C139" s="62"/>
      <c r="D139" s="62"/>
      <c r="E139" s="62"/>
      <c r="F139" s="62"/>
      <c r="G139" s="62"/>
      <c r="H139" s="62"/>
      <c r="I139" s="62"/>
      <c r="J139" s="62"/>
      <c r="K139" s="62"/>
      <c r="L139" s="60"/>
      <c r="M139" s="62"/>
      <c r="N139" s="62"/>
      <c r="O139" s="62"/>
      <c r="P139" s="62"/>
      <c r="Q139" s="62"/>
      <c r="R139" s="62"/>
      <c r="S139" s="62"/>
      <c r="T139" s="62"/>
      <c r="U139" s="62"/>
      <c r="V139" s="62"/>
      <c r="W139" s="62"/>
      <c r="X139" s="62"/>
      <c r="Y139" s="62"/>
      <c r="Z139" s="62"/>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row>
    <row r="140" spans="1:52" x14ac:dyDescent="0.25">
      <c r="A140" s="62"/>
      <c r="B140" s="62"/>
      <c r="C140" s="62"/>
      <c r="D140" s="62"/>
      <c r="E140" s="62"/>
      <c r="F140" s="62"/>
      <c r="G140" s="62"/>
      <c r="H140" s="62"/>
      <c r="I140" s="62"/>
      <c r="J140" s="62"/>
      <c r="K140" s="62"/>
      <c r="L140" s="60"/>
      <c r="M140" s="62"/>
      <c r="N140" s="62"/>
      <c r="O140" s="62"/>
      <c r="P140" s="62"/>
      <c r="Q140" s="62"/>
      <c r="R140" s="62"/>
      <c r="S140" s="62"/>
      <c r="T140" s="62"/>
      <c r="U140" s="62"/>
      <c r="V140" s="62"/>
      <c r="W140" s="62"/>
      <c r="X140" s="62"/>
      <c r="Y140" s="62"/>
      <c r="Z140" s="62"/>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row>
    <row r="141" spans="1:52" x14ac:dyDescent="0.25">
      <c r="A141" s="62"/>
      <c r="B141" s="62"/>
      <c r="C141" s="62"/>
      <c r="D141" s="62"/>
      <c r="E141" s="62"/>
      <c r="F141" s="62"/>
      <c r="G141" s="62"/>
      <c r="H141" s="62"/>
      <c r="I141" s="62"/>
      <c r="J141" s="62"/>
      <c r="K141" s="62"/>
      <c r="L141" s="60"/>
      <c r="M141" s="62"/>
      <c r="N141" s="62"/>
      <c r="O141" s="62"/>
      <c r="P141" s="62"/>
      <c r="Q141" s="62"/>
      <c r="R141" s="62"/>
      <c r="S141" s="62"/>
      <c r="T141" s="62"/>
      <c r="U141" s="62"/>
      <c r="V141" s="62"/>
      <c r="W141" s="62"/>
      <c r="X141" s="62"/>
      <c r="Y141" s="62"/>
      <c r="Z141" s="62"/>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row>
    <row r="142" spans="1:52" x14ac:dyDescent="0.25">
      <c r="A142" s="62"/>
      <c r="B142" s="62"/>
      <c r="C142" s="62"/>
      <c r="D142" s="62"/>
      <c r="E142" s="62"/>
      <c r="F142" s="62"/>
      <c r="G142" s="62"/>
      <c r="H142" s="62"/>
      <c r="I142" s="62"/>
      <c r="J142" s="62"/>
      <c r="K142" s="62"/>
      <c r="L142" s="60"/>
      <c r="M142" s="62"/>
      <c r="N142" s="62"/>
      <c r="O142" s="62"/>
      <c r="P142" s="62"/>
      <c r="Q142" s="62"/>
      <c r="R142" s="62"/>
      <c r="S142" s="62"/>
      <c r="T142" s="62"/>
      <c r="U142" s="62"/>
      <c r="V142" s="62"/>
      <c r="W142" s="62"/>
      <c r="X142" s="62"/>
      <c r="Y142" s="62"/>
      <c r="Z142" s="62"/>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row>
    <row r="143" spans="1:52" x14ac:dyDescent="0.25">
      <c r="A143" s="62"/>
      <c r="B143" s="62"/>
      <c r="C143" s="62"/>
      <c r="D143" s="62"/>
      <c r="E143" s="62"/>
      <c r="F143" s="62"/>
      <c r="G143" s="62"/>
      <c r="H143" s="62"/>
      <c r="I143" s="62"/>
      <c r="J143" s="62"/>
      <c r="K143" s="62"/>
      <c r="L143" s="60"/>
      <c r="M143" s="62"/>
      <c r="N143" s="62"/>
      <c r="O143" s="62"/>
      <c r="P143" s="62"/>
      <c r="Q143" s="62"/>
      <c r="R143" s="62"/>
      <c r="S143" s="62"/>
      <c r="T143" s="62"/>
      <c r="U143" s="62"/>
      <c r="V143" s="62"/>
      <c r="W143" s="62"/>
      <c r="X143" s="62"/>
      <c r="Y143" s="62"/>
      <c r="Z143" s="62"/>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row>
    <row r="144" spans="1:52" x14ac:dyDescent="0.25">
      <c r="A144" s="62"/>
      <c r="B144" s="62"/>
      <c r="C144" s="62"/>
      <c r="D144" s="62"/>
      <c r="E144" s="62"/>
      <c r="F144" s="62"/>
      <c r="G144" s="62"/>
      <c r="H144" s="62"/>
      <c r="I144" s="62"/>
      <c r="J144" s="62"/>
      <c r="K144" s="62"/>
      <c r="L144" s="60"/>
      <c r="M144" s="62"/>
      <c r="N144" s="62"/>
      <c r="O144" s="62"/>
      <c r="P144" s="62"/>
      <c r="Q144" s="62"/>
      <c r="R144" s="62"/>
      <c r="S144" s="62"/>
      <c r="T144" s="62"/>
      <c r="U144" s="62"/>
      <c r="V144" s="62"/>
      <c r="W144" s="62"/>
      <c r="X144" s="62"/>
      <c r="Y144" s="62"/>
      <c r="Z144" s="62"/>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row>
    <row r="145" spans="1:52" x14ac:dyDescent="0.25">
      <c r="A145" s="62"/>
      <c r="B145" s="62"/>
      <c r="C145" s="62"/>
      <c r="D145" s="62"/>
      <c r="E145" s="62"/>
      <c r="F145" s="62"/>
      <c r="G145" s="62"/>
      <c r="H145" s="62"/>
      <c r="I145" s="62"/>
      <c r="J145" s="62"/>
      <c r="K145" s="62"/>
      <c r="L145" s="60"/>
      <c r="M145" s="62"/>
      <c r="N145" s="62"/>
      <c r="O145" s="62"/>
      <c r="P145" s="62"/>
      <c r="Q145" s="62"/>
      <c r="R145" s="62"/>
      <c r="S145" s="62"/>
      <c r="T145" s="62"/>
      <c r="U145" s="62"/>
      <c r="V145" s="62"/>
      <c r="W145" s="62"/>
      <c r="X145" s="62"/>
      <c r="Y145" s="62"/>
      <c r="Z145" s="62"/>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row>
    <row r="146" spans="1:52" x14ac:dyDescent="0.25">
      <c r="A146" s="62"/>
      <c r="B146" s="62"/>
      <c r="C146" s="62"/>
      <c r="D146" s="62"/>
      <c r="E146" s="62"/>
      <c r="F146" s="62"/>
      <c r="G146" s="62"/>
      <c r="H146" s="62"/>
      <c r="I146" s="62"/>
      <c r="J146" s="62"/>
      <c r="K146" s="62"/>
      <c r="L146" s="60"/>
      <c r="M146" s="62"/>
      <c r="N146" s="62"/>
      <c r="O146" s="62"/>
      <c r="P146" s="62"/>
      <c r="Q146" s="62"/>
      <c r="R146" s="62"/>
      <c r="S146" s="62"/>
      <c r="T146" s="62"/>
      <c r="U146" s="62"/>
      <c r="V146" s="62"/>
      <c r="W146" s="62"/>
      <c r="X146" s="62"/>
      <c r="Y146" s="62"/>
      <c r="Z146" s="62"/>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row>
    <row r="147" spans="1:52" x14ac:dyDescent="0.25">
      <c r="A147" s="62"/>
      <c r="B147" s="62"/>
      <c r="C147" s="62"/>
      <c r="D147" s="62"/>
      <c r="E147" s="62"/>
      <c r="F147" s="62"/>
      <c r="G147" s="62"/>
      <c r="H147" s="62"/>
      <c r="I147" s="62"/>
      <c r="J147" s="62"/>
      <c r="K147" s="62"/>
      <c r="L147" s="60"/>
      <c r="M147" s="62"/>
      <c r="N147" s="62"/>
      <c r="O147" s="62"/>
      <c r="P147" s="62"/>
      <c r="Q147" s="62"/>
      <c r="R147" s="62"/>
      <c r="S147" s="62"/>
      <c r="T147" s="62"/>
      <c r="U147" s="62"/>
      <c r="V147" s="62"/>
      <c r="W147" s="62"/>
      <c r="X147" s="62"/>
      <c r="Y147" s="62"/>
      <c r="Z147" s="62"/>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row>
    <row r="148" spans="1:52" x14ac:dyDescent="0.25">
      <c r="A148" s="62"/>
      <c r="B148" s="62"/>
      <c r="C148" s="62"/>
      <c r="D148" s="62"/>
      <c r="E148" s="62"/>
      <c r="F148" s="62"/>
      <c r="G148" s="62"/>
      <c r="H148" s="62"/>
      <c r="I148" s="62"/>
      <c r="J148" s="62"/>
      <c r="K148" s="62"/>
      <c r="L148" s="60"/>
      <c r="M148" s="62"/>
      <c r="N148" s="62"/>
      <c r="O148" s="62"/>
      <c r="P148" s="62"/>
      <c r="Q148" s="62"/>
      <c r="R148" s="62"/>
      <c r="S148" s="62"/>
      <c r="T148" s="62"/>
      <c r="U148" s="62"/>
      <c r="V148" s="62"/>
      <c r="W148" s="62"/>
      <c r="X148" s="62"/>
      <c r="Y148" s="62"/>
      <c r="Z148" s="62"/>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row>
    <row r="149" spans="1:52" x14ac:dyDescent="0.25">
      <c r="A149" s="62"/>
      <c r="B149" s="62"/>
      <c r="C149" s="62"/>
      <c r="D149" s="62"/>
      <c r="E149" s="62"/>
      <c r="F149" s="62"/>
      <c r="G149" s="62"/>
      <c r="H149" s="62"/>
      <c r="I149" s="62"/>
      <c r="J149" s="62"/>
      <c r="K149" s="62"/>
      <c r="L149" s="60"/>
      <c r="M149" s="62"/>
      <c r="N149" s="62"/>
      <c r="O149" s="62"/>
      <c r="P149" s="62"/>
      <c r="Q149" s="62"/>
      <c r="R149" s="62"/>
      <c r="S149" s="62"/>
      <c r="T149" s="62"/>
      <c r="U149" s="62"/>
      <c r="V149" s="62"/>
      <c r="W149" s="62"/>
      <c r="X149" s="62"/>
      <c r="Y149" s="62"/>
      <c r="Z149" s="62"/>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row>
    <row r="150" spans="1:52" x14ac:dyDescent="0.25">
      <c r="A150" s="62"/>
      <c r="B150" s="62"/>
      <c r="C150" s="62"/>
      <c r="D150" s="62"/>
      <c r="E150" s="62"/>
      <c r="F150" s="62"/>
      <c r="G150" s="62"/>
      <c r="H150" s="62"/>
      <c r="I150" s="62"/>
      <c r="J150" s="62"/>
      <c r="K150" s="62"/>
      <c r="L150" s="60"/>
      <c r="M150" s="62"/>
      <c r="N150" s="62"/>
      <c r="O150" s="62"/>
      <c r="P150" s="62"/>
      <c r="Q150" s="62"/>
      <c r="R150" s="62"/>
      <c r="S150" s="62"/>
      <c r="T150" s="62"/>
      <c r="U150" s="62"/>
      <c r="V150" s="62"/>
      <c r="W150" s="62"/>
      <c r="X150" s="62"/>
      <c r="Y150" s="62"/>
      <c r="Z150" s="62"/>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row>
    <row r="151" spans="1:52" x14ac:dyDescent="0.25">
      <c r="A151" s="62"/>
      <c r="B151" s="62"/>
      <c r="C151" s="62"/>
      <c r="D151" s="62"/>
      <c r="E151" s="62"/>
      <c r="F151" s="62"/>
      <c r="G151" s="62"/>
      <c r="H151" s="62"/>
      <c r="I151" s="62"/>
      <c r="J151" s="62"/>
      <c r="K151" s="62"/>
      <c r="L151" s="60"/>
      <c r="M151" s="62"/>
      <c r="N151" s="62"/>
      <c r="O151" s="62"/>
      <c r="P151" s="62"/>
      <c r="Q151" s="62"/>
      <c r="R151" s="62"/>
      <c r="S151" s="62"/>
      <c r="T151" s="62"/>
      <c r="U151" s="62"/>
      <c r="V151" s="62"/>
      <c r="W151" s="62"/>
      <c r="X151" s="62"/>
      <c r="Y151" s="62"/>
      <c r="Z151" s="62"/>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row>
    <row r="152" spans="1:52" x14ac:dyDescent="0.25">
      <c r="A152" s="62"/>
      <c r="B152" s="62"/>
      <c r="C152" s="62"/>
      <c r="D152" s="62"/>
      <c r="E152" s="62"/>
      <c r="F152" s="62"/>
      <c r="G152" s="62"/>
      <c r="H152" s="62"/>
      <c r="I152" s="62"/>
      <c r="J152" s="62"/>
      <c r="K152" s="62"/>
      <c r="L152" s="60"/>
      <c r="M152" s="62"/>
      <c r="N152" s="62"/>
      <c r="O152" s="62"/>
      <c r="P152" s="62"/>
      <c r="Q152" s="62"/>
      <c r="R152" s="62"/>
      <c r="S152" s="62"/>
      <c r="T152" s="62"/>
      <c r="U152" s="62"/>
      <c r="V152" s="62"/>
      <c r="W152" s="62"/>
      <c r="X152" s="62"/>
      <c r="Y152" s="62"/>
      <c r="Z152" s="62"/>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row>
    <row r="153" spans="1:52" x14ac:dyDescent="0.25">
      <c r="A153" s="62"/>
      <c r="B153" s="62"/>
      <c r="C153" s="62"/>
      <c r="D153" s="62"/>
      <c r="E153" s="62"/>
      <c r="F153" s="62"/>
      <c r="G153" s="62"/>
      <c r="H153" s="62"/>
      <c r="I153" s="62"/>
      <c r="J153" s="62"/>
      <c r="K153" s="62"/>
      <c r="L153" s="60"/>
      <c r="M153" s="62"/>
      <c r="N153" s="62"/>
      <c r="O153" s="62"/>
      <c r="P153" s="62"/>
      <c r="Q153" s="62"/>
      <c r="R153" s="62"/>
      <c r="S153" s="62"/>
      <c r="T153" s="62"/>
      <c r="U153" s="62"/>
      <c r="V153" s="62"/>
      <c r="W153" s="62"/>
      <c r="X153" s="62"/>
      <c r="Y153" s="62"/>
      <c r="Z153" s="62"/>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row>
    <row r="154" spans="1:52" x14ac:dyDescent="0.25">
      <c r="A154" s="62"/>
      <c r="B154" s="62"/>
      <c r="C154" s="62"/>
      <c r="D154" s="62"/>
      <c r="E154" s="62"/>
      <c r="F154" s="62"/>
      <c r="G154" s="62"/>
      <c r="H154" s="62"/>
      <c r="I154" s="62"/>
      <c r="J154" s="62"/>
      <c r="K154" s="62"/>
      <c r="L154" s="60"/>
      <c r="M154" s="62"/>
      <c r="N154" s="62"/>
      <c r="O154" s="62"/>
      <c r="P154" s="62"/>
      <c r="Q154" s="62"/>
      <c r="R154" s="62"/>
      <c r="S154" s="62"/>
      <c r="T154" s="62"/>
      <c r="U154" s="62"/>
      <c r="V154" s="62"/>
      <c r="W154" s="62"/>
      <c r="X154" s="62"/>
      <c r="Y154" s="62"/>
      <c r="Z154" s="62"/>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row>
    <row r="155" spans="1:52" x14ac:dyDescent="0.25">
      <c r="A155" s="62"/>
      <c r="B155" s="62"/>
      <c r="C155" s="62"/>
      <c r="D155" s="62"/>
      <c r="E155" s="62"/>
      <c r="F155" s="62"/>
      <c r="G155" s="62"/>
      <c r="H155" s="62"/>
      <c r="I155" s="62"/>
      <c r="J155" s="62"/>
      <c r="K155" s="62"/>
      <c r="L155" s="60"/>
      <c r="M155" s="62"/>
      <c r="N155" s="62"/>
      <c r="O155" s="62"/>
      <c r="P155" s="62"/>
      <c r="Q155" s="62"/>
      <c r="R155" s="62"/>
      <c r="S155" s="62"/>
      <c r="T155" s="62"/>
      <c r="U155" s="62"/>
      <c r="V155" s="62"/>
      <c r="W155" s="62"/>
      <c r="X155" s="62"/>
      <c r="Y155" s="62"/>
      <c r="Z155" s="62"/>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row>
    <row r="156" spans="1:52" x14ac:dyDescent="0.25">
      <c r="A156" s="62"/>
      <c r="B156" s="62"/>
      <c r="C156" s="62"/>
      <c r="D156" s="62"/>
      <c r="E156" s="62"/>
      <c r="F156" s="62"/>
      <c r="G156" s="62"/>
      <c r="H156" s="62"/>
      <c r="I156" s="62"/>
      <c r="J156" s="62"/>
      <c r="K156" s="62"/>
      <c r="L156" s="60"/>
      <c r="M156" s="62"/>
      <c r="N156" s="62"/>
      <c r="O156" s="62"/>
      <c r="P156" s="62"/>
      <c r="Q156" s="62"/>
      <c r="R156" s="62"/>
      <c r="S156" s="62"/>
      <c r="T156" s="62"/>
      <c r="U156" s="62"/>
      <c r="V156" s="62"/>
      <c r="W156" s="62"/>
      <c r="X156" s="62"/>
      <c r="Y156" s="62"/>
      <c r="Z156" s="62"/>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row>
    <row r="157" spans="1:52" x14ac:dyDescent="0.25">
      <c r="A157" s="62"/>
      <c r="B157" s="62"/>
      <c r="C157" s="62"/>
      <c r="D157" s="62"/>
      <c r="E157" s="62"/>
      <c r="F157" s="62"/>
      <c r="G157" s="62"/>
      <c r="H157" s="62"/>
      <c r="I157" s="62"/>
      <c r="J157" s="62"/>
      <c r="K157" s="62"/>
      <c r="L157" s="60"/>
      <c r="M157" s="62"/>
      <c r="N157" s="62"/>
      <c r="O157" s="62"/>
      <c r="P157" s="62"/>
      <c r="Q157" s="62"/>
      <c r="R157" s="62"/>
      <c r="S157" s="62"/>
      <c r="T157" s="62"/>
      <c r="U157" s="62"/>
      <c r="V157" s="62"/>
      <c r="W157" s="62"/>
      <c r="X157" s="62"/>
      <c r="Y157" s="62"/>
      <c r="Z157" s="62"/>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row>
    <row r="158" spans="1:52" x14ac:dyDescent="0.25">
      <c r="A158" s="62"/>
      <c r="B158" s="62"/>
      <c r="C158" s="62"/>
      <c r="D158" s="62"/>
      <c r="E158" s="62"/>
      <c r="F158" s="62"/>
      <c r="G158" s="62"/>
      <c r="H158" s="62"/>
      <c r="I158" s="62"/>
      <c r="J158" s="62"/>
      <c r="K158" s="62"/>
      <c r="L158" s="60"/>
      <c r="M158" s="62"/>
      <c r="N158" s="62"/>
      <c r="O158" s="62"/>
      <c r="P158" s="62"/>
      <c r="Q158" s="62"/>
      <c r="R158" s="62"/>
      <c r="S158" s="62"/>
      <c r="T158" s="62"/>
      <c r="U158" s="62"/>
      <c r="V158" s="62"/>
      <c r="W158" s="62"/>
      <c r="X158" s="62"/>
      <c r="Y158" s="62"/>
      <c r="Z158" s="62"/>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row>
    <row r="159" spans="1:52" x14ac:dyDescent="0.25">
      <c r="A159" s="62"/>
      <c r="B159" s="62"/>
      <c r="C159" s="62"/>
      <c r="D159" s="62"/>
      <c r="E159" s="62"/>
      <c r="F159" s="62"/>
      <c r="G159" s="62"/>
      <c r="H159" s="62"/>
      <c r="I159" s="62"/>
      <c r="J159" s="62"/>
      <c r="K159" s="62"/>
      <c r="L159" s="60"/>
      <c r="M159" s="62"/>
      <c r="N159" s="62"/>
      <c r="O159" s="62"/>
      <c r="P159" s="62"/>
      <c r="Q159" s="62"/>
      <c r="R159" s="62"/>
      <c r="S159" s="62"/>
      <c r="T159" s="62"/>
      <c r="U159" s="62"/>
      <c r="V159" s="62"/>
      <c r="W159" s="62"/>
      <c r="X159" s="62"/>
      <c r="Y159" s="62"/>
      <c r="Z159" s="62"/>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row>
    <row r="160" spans="1:52" x14ac:dyDescent="0.25">
      <c r="A160" s="62"/>
      <c r="B160" s="62"/>
      <c r="C160" s="62"/>
      <c r="D160" s="62"/>
      <c r="E160" s="62"/>
      <c r="F160" s="62"/>
      <c r="G160" s="62"/>
      <c r="H160" s="62"/>
      <c r="I160" s="62"/>
      <c r="J160" s="62"/>
      <c r="K160" s="62"/>
      <c r="L160" s="60"/>
      <c r="M160" s="62"/>
      <c r="N160" s="62"/>
      <c r="O160" s="62"/>
      <c r="P160" s="62"/>
      <c r="Q160" s="62"/>
      <c r="R160" s="62"/>
      <c r="S160" s="62"/>
      <c r="T160" s="62"/>
      <c r="U160" s="62"/>
      <c r="V160" s="62"/>
      <c r="W160" s="62"/>
      <c r="X160" s="62"/>
      <c r="Y160" s="62"/>
      <c r="Z160" s="62"/>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row>
    <row r="161" spans="1:52" x14ac:dyDescent="0.25">
      <c r="A161" s="62"/>
      <c r="B161" s="62"/>
      <c r="C161" s="62"/>
      <c r="D161" s="62"/>
      <c r="E161" s="62"/>
      <c r="F161" s="62"/>
      <c r="G161" s="62"/>
      <c r="H161" s="62"/>
      <c r="I161" s="62"/>
      <c r="J161" s="62"/>
      <c r="K161" s="62"/>
      <c r="L161" s="60"/>
      <c r="M161" s="62"/>
      <c r="N161" s="62"/>
      <c r="O161" s="62"/>
      <c r="P161" s="62"/>
      <c r="Q161" s="62"/>
      <c r="R161" s="62"/>
      <c r="S161" s="62"/>
      <c r="T161" s="62"/>
      <c r="U161" s="62"/>
      <c r="V161" s="62"/>
      <c r="W161" s="62"/>
      <c r="X161" s="62"/>
      <c r="Y161" s="62"/>
      <c r="Z161" s="62"/>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row>
    <row r="162" spans="1:52" x14ac:dyDescent="0.25">
      <c r="A162" s="62"/>
      <c r="B162" s="62"/>
      <c r="C162" s="62"/>
      <c r="D162" s="62"/>
      <c r="E162" s="62"/>
      <c r="F162" s="62"/>
      <c r="G162" s="62"/>
      <c r="H162" s="62"/>
      <c r="I162" s="62"/>
      <c r="J162" s="62"/>
      <c r="K162" s="62"/>
      <c r="L162" s="60"/>
      <c r="M162" s="62"/>
      <c r="N162" s="62"/>
      <c r="O162" s="62"/>
      <c r="P162" s="62"/>
      <c r="Q162" s="62"/>
      <c r="R162" s="62"/>
      <c r="S162" s="62"/>
      <c r="T162" s="62"/>
      <c r="U162" s="62"/>
      <c r="V162" s="62"/>
      <c r="W162" s="62"/>
      <c r="X162" s="62"/>
      <c r="Y162" s="62"/>
      <c r="Z162" s="62"/>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row>
    <row r="163" spans="1:52" x14ac:dyDescent="0.25">
      <c r="A163" s="62"/>
      <c r="B163" s="62"/>
      <c r="C163" s="62"/>
      <c r="D163" s="62"/>
      <c r="E163" s="62"/>
      <c r="F163" s="62"/>
      <c r="G163" s="62"/>
      <c r="H163" s="62"/>
      <c r="I163" s="62"/>
      <c r="J163" s="62"/>
      <c r="K163" s="62"/>
      <c r="L163" s="60"/>
      <c r="M163" s="62"/>
      <c r="N163" s="62"/>
      <c r="O163" s="62"/>
      <c r="P163" s="62"/>
      <c r="Q163" s="62"/>
      <c r="R163" s="62"/>
      <c r="S163" s="62"/>
      <c r="T163" s="62"/>
      <c r="U163" s="62"/>
      <c r="V163" s="62"/>
      <c r="W163" s="62"/>
      <c r="X163" s="62"/>
      <c r="Y163" s="62"/>
      <c r="Z163" s="62"/>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row>
    <row r="164" spans="1:52" x14ac:dyDescent="0.25">
      <c r="A164" s="62"/>
      <c r="B164" s="62"/>
      <c r="C164" s="62"/>
      <c r="D164" s="62"/>
      <c r="E164" s="62"/>
      <c r="F164" s="62"/>
      <c r="G164" s="62"/>
      <c r="H164" s="62"/>
      <c r="I164" s="62"/>
      <c r="J164" s="62"/>
      <c r="K164" s="62"/>
      <c r="L164" s="60"/>
      <c r="M164" s="62"/>
      <c r="N164" s="62"/>
      <c r="O164" s="62"/>
      <c r="P164" s="62"/>
      <c r="Q164" s="62"/>
      <c r="R164" s="62"/>
      <c r="S164" s="62"/>
      <c r="T164" s="62"/>
      <c r="U164" s="62"/>
      <c r="V164" s="62"/>
      <c r="W164" s="62"/>
      <c r="X164" s="62"/>
      <c r="Y164" s="62"/>
      <c r="Z164" s="62"/>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row>
    <row r="165" spans="1:52" x14ac:dyDescent="0.25">
      <c r="A165" s="62"/>
      <c r="B165" s="62"/>
      <c r="C165" s="62"/>
      <c r="D165" s="62"/>
      <c r="E165" s="62"/>
      <c r="F165" s="62"/>
      <c r="G165" s="62"/>
      <c r="H165" s="62"/>
      <c r="I165" s="62"/>
      <c r="J165" s="62"/>
      <c r="K165" s="62"/>
      <c r="L165" s="60"/>
      <c r="M165" s="62"/>
      <c r="N165" s="62"/>
      <c r="O165" s="62"/>
      <c r="P165" s="62"/>
      <c r="Q165" s="62"/>
      <c r="R165" s="62"/>
      <c r="S165" s="62"/>
      <c r="T165" s="62"/>
      <c r="U165" s="62"/>
      <c r="V165" s="62"/>
      <c r="W165" s="62"/>
      <c r="X165" s="62"/>
      <c r="Y165" s="62"/>
      <c r="Z165" s="62"/>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row>
    <row r="166" spans="1:52" x14ac:dyDescent="0.25">
      <c r="A166" s="62"/>
      <c r="B166" s="62"/>
      <c r="C166" s="62"/>
      <c r="D166" s="62"/>
      <c r="E166" s="62"/>
      <c r="F166" s="62"/>
      <c r="G166" s="62"/>
      <c r="H166" s="62"/>
      <c r="I166" s="62"/>
      <c r="J166" s="62"/>
      <c r="K166" s="62"/>
      <c r="L166" s="60"/>
      <c r="M166" s="62"/>
      <c r="N166" s="62"/>
      <c r="O166" s="62"/>
      <c r="P166" s="62"/>
      <c r="Q166" s="62"/>
      <c r="R166" s="62"/>
      <c r="S166" s="62"/>
      <c r="T166" s="62"/>
      <c r="U166" s="62"/>
      <c r="V166" s="62"/>
      <c r="W166" s="62"/>
      <c r="X166" s="62"/>
      <c r="Y166" s="62"/>
      <c r="Z166" s="62"/>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row>
    <row r="167" spans="1:52" x14ac:dyDescent="0.25">
      <c r="A167" s="62"/>
      <c r="B167" s="62"/>
      <c r="C167" s="62"/>
      <c r="D167" s="62"/>
      <c r="E167" s="62"/>
      <c r="F167" s="62"/>
      <c r="G167" s="62"/>
      <c r="H167" s="62"/>
      <c r="I167" s="62"/>
      <c r="J167" s="62"/>
      <c r="K167" s="62"/>
      <c r="L167" s="60"/>
      <c r="M167" s="62"/>
      <c r="N167" s="62"/>
      <c r="O167" s="62"/>
      <c r="P167" s="62"/>
      <c r="Q167" s="62"/>
      <c r="R167" s="62"/>
      <c r="S167" s="62"/>
      <c r="T167" s="62"/>
      <c r="U167" s="62"/>
      <c r="V167" s="62"/>
      <c r="W167" s="62"/>
      <c r="X167" s="62"/>
      <c r="Y167" s="62"/>
      <c r="Z167" s="62"/>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row>
    <row r="168" spans="1:52" x14ac:dyDescent="0.25">
      <c r="A168" s="62"/>
      <c r="B168" s="62"/>
      <c r="C168" s="62"/>
      <c r="D168" s="62"/>
      <c r="E168" s="62"/>
      <c r="F168" s="62"/>
      <c r="G168" s="62"/>
      <c r="H168" s="62"/>
      <c r="I168" s="62"/>
      <c r="J168" s="62"/>
      <c r="K168" s="62"/>
      <c r="L168" s="60"/>
      <c r="M168" s="62"/>
      <c r="N168" s="62"/>
      <c r="O168" s="62"/>
      <c r="P168" s="62"/>
      <c r="Q168" s="62"/>
      <c r="R168" s="62"/>
      <c r="S168" s="62"/>
      <c r="T168" s="62"/>
      <c r="U168" s="62"/>
      <c r="V168" s="62"/>
      <c r="W168" s="62"/>
      <c r="X168" s="62"/>
      <c r="Y168" s="62"/>
      <c r="Z168" s="62"/>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row>
    <row r="169" spans="1:52" x14ac:dyDescent="0.25">
      <c r="A169" s="62"/>
      <c r="B169" s="62"/>
      <c r="C169" s="62"/>
      <c r="D169" s="62"/>
      <c r="E169" s="62"/>
      <c r="F169" s="62"/>
      <c r="G169" s="62"/>
      <c r="H169" s="62"/>
      <c r="I169" s="62"/>
      <c r="J169" s="62"/>
      <c r="K169" s="62"/>
      <c r="L169" s="60"/>
      <c r="M169" s="62"/>
      <c r="N169" s="62"/>
      <c r="O169" s="62"/>
      <c r="P169" s="62"/>
      <c r="Q169" s="62"/>
      <c r="R169" s="62"/>
      <c r="S169" s="62"/>
      <c r="T169" s="62"/>
      <c r="U169" s="62"/>
      <c r="V169" s="62"/>
      <c r="W169" s="62"/>
      <c r="X169" s="62"/>
      <c r="Y169" s="62"/>
      <c r="Z169" s="62"/>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row>
    <row r="170" spans="1:52" x14ac:dyDescent="0.25">
      <c r="A170" s="62"/>
      <c r="B170" s="62"/>
      <c r="C170" s="62"/>
      <c r="D170" s="62"/>
      <c r="E170" s="62"/>
      <c r="F170" s="62"/>
      <c r="G170" s="62"/>
      <c r="H170" s="62"/>
      <c r="I170" s="62"/>
      <c r="J170" s="62"/>
      <c r="K170" s="62"/>
      <c r="L170" s="60"/>
      <c r="M170" s="62"/>
      <c r="N170" s="62"/>
      <c r="O170" s="62"/>
      <c r="P170" s="62"/>
      <c r="Q170" s="62"/>
      <c r="R170" s="62"/>
      <c r="S170" s="62"/>
      <c r="T170" s="62"/>
      <c r="U170" s="62"/>
      <c r="V170" s="62"/>
      <c r="W170" s="62"/>
      <c r="X170" s="62"/>
      <c r="Y170" s="62"/>
      <c r="Z170" s="62"/>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row>
    <row r="171" spans="1:52" x14ac:dyDescent="0.25">
      <c r="A171" s="62"/>
      <c r="B171" s="62"/>
      <c r="C171" s="62"/>
      <c r="D171" s="62"/>
      <c r="E171" s="62"/>
      <c r="F171" s="62"/>
      <c r="G171" s="62"/>
      <c r="H171" s="62"/>
      <c r="I171" s="62"/>
      <c r="J171" s="62"/>
      <c r="K171" s="62"/>
      <c r="L171" s="60"/>
      <c r="M171" s="62"/>
      <c r="N171" s="62"/>
      <c r="O171" s="62"/>
      <c r="P171" s="62"/>
      <c r="Q171" s="62"/>
      <c r="R171" s="62"/>
      <c r="S171" s="62"/>
      <c r="T171" s="62"/>
      <c r="U171" s="62"/>
      <c r="V171" s="62"/>
      <c r="W171" s="62"/>
      <c r="X171" s="62"/>
      <c r="Y171" s="62"/>
      <c r="Z171" s="62"/>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row>
    <row r="172" spans="1:52" x14ac:dyDescent="0.25">
      <c r="A172" s="62"/>
      <c r="B172" s="62"/>
      <c r="C172" s="62"/>
      <c r="D172" s="62"/>
      <c r="E172" s="62"/>
      <c r="F172" s="62"/>
      <c r="G172" s="62"/>
      <c r="H172" s="62"/>
      <c r="I172" s="62"/>
      <c r="J172" s="62"/>
      <c r="K172" s="62"/>
      <c r="L172" s="60"/>
      <c r="M172" s="62"/>
      <c r="N172" s="62"/>
      <c r="O172" s="62"/>
      <c r="P172" s="62"/>
      <c r="Q172" s="62"/>
      <c r="R172" s="62"/>
      <c r="S172" s="62"/>
      <c r="T172" s="62"/>
      <c r="U172" s="62"/>
      <c r="V172" s="62"/>
      <c r="W172" s="62"/>
      <c r="X172" s="62"/>
      <c r="Y172" s="62"/>
      <c r="Z172" s="62"/>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row>
    <row r="173" spans="1:52" x14ac:dyDescent="0.25">
      <c r="A173" s="62"/>
      <c r="B173" s="62"/>
      <c r="C173" s="62"/>
      <c r="D173" s="62"/>
      <c r="E173" s="62"/>
      <c r="F173" s="62"/>
      <c r="G173" s="62"/>
      <c r="H173" s="62"/>
      <c r="I173" s="62"/>
      <c r="J173" s="62"/>
      <c r="K173" s="62"/>
      <c r="L173" s="60"/>
      <c r="M173" s="62"/>
      <c r="N173" s="62"/>
      <c r="O173" s="62"/>
      <c r="P173" s="62"/>
      <c r="Q173" s="62"/>
      <c r="R173" s="62"/>
      <c r="S173" s="62"/>
      <c r="T173" s="62"/>
      <c r="U173" s="62"/>
      <c r="V173" s="62"/>
      <c r="W173" s="62"/>
      <c r="X173" s="62"/>
      <c r="Y173" s="62"/>
      <c r="Z173" s="62"/>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row>
    <row r="174" spans="1:52" x14ac:dyDescent="0.25">
      <c r="A174" s="62"/>
      <c r="B174" s="62"/>
      <c r="C174" s="62"/>
      <c r="D174" s="62"/>
      <c r="E174" s="62"/>
      <c r="F174" s="62"/>
      <c r="G174" s="62"/>
      <c r="H174" s="62"/>
      <c r="I174" s="62"/>
      <c r="J174" s="62"/>
      <c r="K174" s="62"/>
      <c r="L174" s="60"/>
      <c r="M174" s="62"/>
      <c r="N174" s="62"/>
      <c r="O174" s="62"/>
      <c r="P174" s="62"/>
      <c r="Q174" s="62"/>
      <c r="R174" s="62"/>
      <c r="S174" s="62"/>
      <c r="T174" s="62"/>
      <c r="U174" s="62"/>
      <c r="V174" s="62"/>
      <c r="W174" s="62"/>
      <c r="X174" s="62"/>
      <c r="Y174" s="62"/>
      <c r="Z174" s="62"/>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row>
    <row r="175" spans="1:52" x14ac:dyDescent="0.25">
      <c r="A175" s="62"/>
      <c r="B175" s="62"/>
      <c r="C175" s="62"/>
      <c r="D175" s="62"/>
      <c r="E175" s="62"/>
      <c r="F175" s="62"/>
      <c r="G175" s="62"/>
      <c r="H175" s="62"/>
      <c r="I175" s="62"/>
      <c r="J175" s="62"/>
      <c r="K175" s="62"/>
      <c r="L175" s="60"/>
      <c r="M175" s="62"/>
      <c r="N175" s="62"/>
      <c r="O175" s="62"/>
      <c r="P175" s="62"/>
      <c r="Q175" s="62"/>
      <c r="R175" s="62"/>
      <c r="S175" s="62"/>
      <c r="T175" s="62"/>
      <c r="U175" s="62"/>
      <c r="V175" s="62"/>
      <c r="W175" s="62"/>
      <c r="X175" s="62"/>
      <c r="Y175" s="62"/>
      <c r="Z175" s="62"/>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row>
    <row r="176" spans="1:52" x14ac:dyDescent="0.25">
      <c r="A176" s="62"/>
      <c r="B176" s="62"/>
      <c r="C176" s="62"/>
      <c r="D176" s="62"/>
      <c r="E176" s="62"/>
      <c r="F176" s="62"/>
      <c r="G176" s="62"/>
      <c r="H176" s="62"/>
      <c r="I176" s="62"/>
      <c r="J176" s="62"/>
      <c r="K176" s="62"/>
      <c r="L176" s="60"/>
      <c r="M176" s="62"/>
      <c r="N176" s="62"/>
      <c r="O176" s="62"/>
      <c r="P176" s="62"/>
      <c r="Q176" s="62"/>
      <c r="R176" s="62"/>
      <c r="S176" s="62"/>
      <c r="T176" s="62"/>
      <c r="U176" s="62"/>
      <c r="V176" s="62"/>
      <c r="W176" s="62"/>
      <c r="X176" s="62"/>
      <c r="Y176" s="62"/>
      <c r="Z176" s="62"/>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row>
    <row r="177" spans="1:52" x14ac:dyDescent="0.25">
      <c r="A177" s="62"/>
      <c r="B177" s="62"/>
      <c r="C177" s="62"/>
      <c r="D177" s="62"/>
      <c r="E177" s="62"/>
      <c r="F177" s="62"/>
      <c r="G177" s="62"/>
      <c r="H177" s="62"/>
      <c r="I177" s="62"/>
      <c r="J177" s="62"/>
      <c r="K177" s="62"/>
      <c r="L177" s="60"/>
      <c r="M177" s="62"/>
      <c r="N177" s="62"/>
      <c r="O177" s="62"/>
      <c r="P177" s="62"/>
      <c r="Q177" s="62"/>
      <c r="R177" s="62"/>
      <c r="S177" s="62"/>
      <c r="T177" s="62"/>
      <c r="U177" s="62"/>
      <c r="V177" s="62"/>
      <c r="W177" s="62"/>
      <c r="X177" s="62"/>
      <c r="Y177" s="62"/>
      <c r="Z177" s="62"/>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row>
    <row r="178" spans="1:52" x14ac:dyDescent="0.25">
      <c r="A178" s="62"/>
      <c r="B178" s="62"/>
      <c r="C178" s="62"/>
      <c r="D178" s="62"/>
      <c r="E178" s="62"/>
      <c r="F178" s="62"/>
      <c r="G178" s="62"/>
      <c r="H178" s="62"/>
      <c r="I178" s="62"/>
      <c r="J178" s="62"/>
      <c r="K178" s="62"/>
      <c r="L178" s="60"/>
      <c r="M178" s="62"/>
      <c r="N178" s="62"/>
      <c r="O178" s="62"/>
      <c r="P178" s="62"/>
      <c r="Q178" s="62"/>
      <c r="R178" s="62"/>
      <c r="S178" s="62"/>
      <c r="T178" s="62"/>
      <c r="U178" s="62"/>
      <c r="V178" s="62"/>
      <c r="W178" s="62"/>
      <c r="X178" s="62"/>
      <c r="Y178" s="62"/>
      <c r="Z178" s="62"/>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row>
    <row r="179" spans="1:52" x14ac:dyDescent="0.25">
      <c r="A179" s="62"/>
      <c r="B179" s="62"/>
      <c r="C179" s="62"/>
      <c r="D179" s="62"/>
      <c r="E179" s="62"/>
      <c r="F179" s="62"/>
      <c r="G179" s="62"/>
      <c r="H179" s="62"/>
      <c r="I179" s="62"/>
      <c r="J179" s="62"/>
      <c r="K179" s="62"/>
      <c r="L179" s="60"/>
      <c r="M179" s="62"/>
      <c r="N179" s="62"/>
      <c r="O179" s="62"/>
      <c r="P179" s="62"/>
      <c r="Q179" s="62"/>
      <c r="R179" s="62"/>
      <c r="S179" s="62"/>
      <c r="T179" s="62"/>
      <c r="U179" s="62"/>
      <c r="V179" s="62"/>
      <c r="W179" s="62"/>
      <c r="X179" s="62"/>
      <c r="Y179" s="62"/>
      <c r="Z179" s="62"/>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row>
    <row r="180" spans="1:52" x14ac:dyDescent="0.25">
      <c r="A180" s="62"/>
      <c r="B180" s="62"/>
      <c r="C180" s="62"/>
      <c r="D180" s="62"/>
      <c r="E180" s="62"/>
      <c r="F180" s="62"/>
      <c r="G180" s="62"/>
      <c r="H180" s="62"/>
      <c r="I180" s="62"/>
      <c r="J180" s="62"/>
      <c r="K180" s="62"/>
      <c r="L180" s="60"/>
      <c r="M180" s="62"/>
      <c r="N180" s="62"/>
      <c r="O180" s="62"/>
      <c r="P180" s="62"/>
      <c r="Q180" s="62"/>
      <c r="R180" s="62"/>
      <c r="S180" s="62"/>
      <c r="T180" s="62"/>
      <c r="U180" s="62"/>
      <c r="V180" s="62"/>
      <c r="W180" s="62"/>
      <c r="X180" s="62"/>
      <c r="Y180" s="62"/>
      <c r="Z180" s="62"/>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row>
    <row r="181" spans="1:52" x14ac:dyDescent="0.25">
      <c r="A181" s="62"/>
      <c r="B181" s="62"/>
      <c r="C181" s="62"/>
      <c r="D181" s="62"/>
      <c r="E181" s="62"/>
      <c r="F181" s="62"/>
      <c r="G181" s="62"/>
      <c r="H181" s="62"/>
      <c r="I181" s="62"/>
      <c r="J181" s="62"/>
      <c r="K181" s="62"/>
      <c r="L181" s="60"/>
      <c r="M181" s="62"/>
      <c r="N181" s="62"/>
      <c r="O181" s="62"/>
      <c r="P181" s="62"/>
      <c r="Q181" s="62"/>
      <c r="R181" s="62"/>
      <c r="S181" s="62"/>
      <c r="T181" s="62"/>
      <c r="U181" s="62"/>
      <c r="V181" s="62"/>
      <c r="W181" s="62"/>
      <c r="X181" s="62"/>
      <c r="Y181" s="62"/>
      <c r="Z181" s="62"/>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row>
    <row r="182" spans="1:52" x14ac:dyDescent="0.25">
      <c r="A182" s="62"/>
      <c r="B182" s="62"/>
      <c r="C182" s="62"/>
      <c r="D182" s="62"/>
      <c r="E182" s="62"/>
      <c r="F182" s="62"/>
      <c r="G182" s="62"/>
      <c r="H182" s="62"/>
      <c r="I182" s="62"/>
      <c r="J182" s="62"/>
      <c r="K182" s="62"/>
      <c r="L182" s="60"/>
      <c r="M182" s="62"/>
      <c r="N182" s="62"/>
      <c r="O182" s="62"/>
      <c r="P182" s="62"/>
      <c r="Q182" s="62"/>
      <c r="R182" s="62"/>
      <c r="S182" s="62"/>
      <c r="T182" s="62"/>
      <c r="U182" s="62"/>
      <c r="V182" s="62"/>
      <c r="W182" s="62"/>
      <c r="X182" s="62"/>
      <c r="Y182" s="62"/>
      <c r="Z182" s="62"/>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row>
    <row r="183" spans="1:52" x14ac:dyDescent="0.25">
      <c r="A183" s="62"/>
      <c r="B183" s="62"/>
      <c r="C183" s="62"/>
      <c r="D183" s="62"/>
      <c r="E183" s="62"/>
      <c r="F183" s="62"/>
      <c r="G183" s="62"/>
      <c r="H183" s="62"/>
      <c r="I183" s="62"/>
      <c r="J183" s="62"/>
      <c r="K183" s="62"/>
      <c r="L183" s="60"/>
      <c r="M183" s="62"/>
      <c r="N183" s="62"/>
      <c r="O183" s="62"/>
      <c r="P183" s="62"/>
      <c r="Q183" s="62"/>
      <c r="R183" s="62"/>
      <c r="S183" s="62"/>
      <c r="T183" s="62"/>
      <c r="U183" s="62"/>
      <c r="V183" s="62"/>
      <c r="W183" s="62"/>
      <c r="X183" s="62"/>
      <c r="Y183" s="62"/>
      <c r="Z183" s="62"/>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row>
    <row r="184" spans="1:52" x14ac:dyDescent="0.25">
      <c r="A184" s="62"/>
      <c r="B184" s="62"/>
      <c r="C184" s="62"/>
      <c r="D184" s="62"/>
      <c r="E184" s="62"/>
      <c r="F184" s="62"/>
      <c r="G184" s="62"/>
      <c r="H184" s="62"/>
      <c r="I184" s="62"/>
      <c r="J184" s="62"/>
      <c r="K184" s="62"/>
      <c r="L184" s="60"/>
      <c r="M184" s="62"/>
      <c r="N184" s="62"/>
      <c r="O184" s="62"/>
      <c r="P184" s="62"/>
      <c r="Q184" s="62"/>
      <c r="R184" s="62"/>
      <c r="S184" s="62"/>
      <c r="T184" s="62"/>
      <c r="U184" s="62"/>
      <c r="V184" s="62"/>
      <c r="W184" s="62"/>
      <c r="X184" s="62"/>
      <c r="Y184" s="62"/>
      <c r="Z184" s="62"/>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row>
    <row r="185" spans="1:52" x14ac:dyDescent="0.25">
      <c r="A185" s="62"/>
      <c r="B185" s="62"/>
      <c r="C185" s="62"/>
      <c r="D185" s="62"/>
      <c r="E185" s="62"/>
      <c r="F185" s="62"/>
      <c r="G185" s="62"/>
      <c r="H185" s="62"/>
      <c r="I185" s="62"/>
      <c r="J185" s="62"/>
      <c r="K185" s="62"/>
      <c r="L185" s="60"/>
      <c r="M185" s="62"/>
      <c r="N185" s="62"/>
      <c r="O185" s="62"/>
      <c r="P185" s="62"/>
      <c r="Q185" s="62"/>
      <c r="R185" s="62"/>
      <c r="S185" s="62"/>
      <c r="T185" s="62"/>
      <c r="U185" s="62"/>
      <c r="V185" s="62"/>
      <c r="W185" s="62"/>
      <c r="X185" s="62"/>
      <c r="Y185" s="62"/>
      <c r="Z185" s="62"/>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row>
    <row r="186" spans="1:52" x14ac:dyDescent="0.25">
      <c r="A186" s="62"/>
      <c r="B186" s="62"/>
      <c r="C186" s="62"/>
      <c r="D186" s="62"/>
      <c r="E186" s="62"/>
      <c r="F186" s="62"/>
      <c r="G186" s="62"/>
      <c r="H186" s="62"/>
      <c r="I186" s="62"/>
      <c r="J186" s="62"/>
      <c r="K186" s="62"/>
      <c r="L186" s="60"/>
      <c r="M186" s="62"/>
      <c r="N186" s="62"/>
      <c r="O186" s="62"/>
      <c r="P186" s="62"/>
      <c r="Q186" s="62"/>
      <c r="R186" s="62"/>
      <c r="S186" s="62"/>
      <c r="T186" s="62"/>
      <c r="U186" s="62"/>
      <c r="V186" s="62"/>
      <c r="W186" s="62"/>
      <c r="X186" s="62"/>
      <c r="Y186" s="62"/>
      <c r="Z186" s="62"/>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row>
    <row r="187" spans="1:52" x14ac:dyDescent="0.25">
      <c r="A187" s="62"/>
      <c r="B187" s="62"/>
      <c r="C187" s="62"/>
      <c r="D187" s="62"/>
      <c r="E187" s="62"/>
      <c r="F187" s="62"/>
      <c r="G187" s="62"/>
      <c r="H187" s="62"/>
      <c r="I187" s="62"/>
      <c r="J187" s="62"/>
      <c r="K187" s="62"/>
      <c r="L187" s="60"/>
      <c r="M187" s="62"/>
      <c r="N187" s="62"/>
      <c r="O187" s="62"/>
      <c r="P187" s="62"/>
      <c r="Q187" s="62"/>
      <c r="R187" s="62"/>
      <c r="S187" s="62"/>
      <c r="T187" s="62"/>
      <c r="U187" s="62"/>
      <c r="V187" s="62"/>
      <c r="W187" s="62"/>
      <c r="X187" s="62"/>
      <c r="Y187" s="62"/>
      <c r="Z187" s="62"/>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row>
    <row r="188" spans="1:52" x14ac:dyDescent="0.25">
      <c r="A188" s="62"/>
      <c r="B188" s="62"/>
      <c r="C188" s="62"/>
      <c r="D188" s="62"/>
      <c r="E188" s="62"/>
      <c r="F188" s="62"/>
      <c r="G188" s="62"/>
      <c r="H188" s="62"/>
      <c r="I188" s="62"/>
      <c r="J188" s="62"/>
      <c r="K188" s="62"/>
      <c r="L188" s="60"/>
      <c r="M188" s="62"/>
      <c r="N188" s="62"/>
      <c r="O188" s="62"/>
      <c r="P188" s="62"/>
      <c r="Q188" s="62"/>
      <c r="R188" s="62"/>
      <c r="S188" s="62"/>
      <c r="T188" s="62"/>
      <c r="U188" s="62"/>
      <c r="V188" s="62"/>
      <c r="W188" s="62"/>
      <c r="X188" s="62"/>
      <c r="Y188" s="62"/>
      <c r="Z188" s="62"/>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row>
    <row r="189" spans="1:52" x14ac:dyDescent="0.25">
      <c r="A189" s="62"/>
      <c r="B189" s="62"/>
      <c r="C189" s="62"/>
      <c r="D189" s="62"/>
      <c r="E189" s="62"/>
      <c r="F189" s="62"/>
      <c r="G189" s="62"/>
      <c r="H189" s="62"/>
      <c r="I189" s="62"/>
      <c r="J189" s="62"/>
      <c r="K189" s="62"/>
      <c r="L189" s="60"/>
      <c r="M189" s="62"/>
      <c r="N189" s="62"/>
      <c r="O189" s="62"/>
      <c r="P189" s="62"/>
      <c r="Q189" s="62"/>
      <c r="R189" s="62"/>
      <c r="S189" s="62"/>
      <c r="T189" s="62"/>
      <c r="U189" s="62"/>
      <c r="V189" s="62"/>
      <c r="W189" s="62"/>
      <c r="X189" s="62"/>
      <c r="Y189" s="62"/>
      <c r="Z189" s="62"/>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row>
    <row r="190" spans="1:52" x14ac:dyDescent="0.25">
      <c r="A190" s="62"/>
      <c r="B190" s="62"/>
      <c r="C190" s="62"/>
      <c r="D190" s="62"/>
      <c r="E190" s="62"/>
      <c r="F190" s="62"/>
      <c r="G190" s="62"/>
      <c r="H190" s="62"/>
      <c r="I190" s="62"/>
      <c r="J190" s="62"/>
      <c r="K190" s="62"/>
      <c r="L190" s="60"/>
      <c r="M190" s="62"/>
      <c r="N190" s="62"/>
      <c r="O190" s="62"/>
      <c r="P190" s="62"/>
      <c r="Q190" s="62"/>
      <c r="R190" s="62"/>
      <c r="S190" s="62"/>
      <c r="T190" s="62"/>
      <c r="U190" s="62"/>
      <c r="V190" s="62"/>
      <c r="W190" s="62"/>
      <c r="X190" s="62"/>
      <c r="Y190" s="62"/>
      <c r="Z190" s="62"/>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row>
    <row r="191" spans="1:52" x14ac:dyDescent="0.25">
      <c r="A191" s="62"/>
      <c r="B191" s="62"/>
      <c r="C191" s="62"/>
      <c r="D191" s="62"/>
      <c r="E191" s="62"/>
      <c r="F191" s="62"/>
      <c r="G191" s="62"/>
      <c r="H191" s="62"/>
      <c r="I191" s="62"/>
      <c r="J191" s="62"/>
      <c r="K191" s="62"/>
      <c r="L191" s="60"/>
      <c r="M191" s="62"/>
      <c r="N191" s="62"/>
      <c r="O191" s="62"/>
      <c r="P191" s="62"/>
      <c r="Q191" s="62"/>
      <c r="R191" s="62"/>
      <c r="S191" s="62"/>
      <c r="T191" s="62"/>
      <c r="U191" s="62"/>
      <c r="V191" s="62"/>
      <c r="W191" s="62"/>
      <c r="X191" s="62"/>
      <c r="Y191" s="62"/>
      <c r="Z191" s="62"/>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row>
    <row r="192" spans="1:52" x14ac:dyDescent="0.25">
      <c r="A192" s="62"/>
      <c r="B192" s="62"/>
      <c r="C192" s="62"/>
      <c r="D192" s="62"/>
      <c r="E192" s="62"/>
      <c r="F192" s="62"/>
      <c r="G192" s="62"/>
      <c r="H192" s="62"/>
      <c r="I192" s="62"/>
      <c r="J192" s="62"/>
      <c r="K192" s="62"/>
      <c r="L192" s="60"/>
      <c r="M192" s="62"/>
      <c r="N192" s="62"/>
      <c r="O192" s="62"/>
      <c r="P192" s="62"/>
      <c r="Q192" s="62"/>
      <c r="R192" s="62"/>
      <c r="S192" s="62"/>
      <c r="T192" s="62"/>
      <c r="U192" s="62"/>
      <c r="V192" s="62"/>
      <c r="W192" s="62"/>
      <c r="X192" s="62"/>
      <c r="Y192" s="62"/>
      <c r="Z192" s="62"/>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row>
    <row r="193" spans="1:52" x14ac:dyDescent="0.25">
      <c r="A193" s="62"/>
      <c r="B193" s="62"/>
      <c r="C193" s="62"/>
      <c r="D193" s="62"/>
      <c r="E193" s="62"/>
      <c r="F193" s="62"/>
      <c r="G193" s="62"/>
      <c r="H193" s="62"/>
      <c r="I193" s="62"/>
      <c r="J193" s="62"/>
      <c r="K193" s="62"/>
      <c r="L193" s="60"/>
      <c r="M193" s="62"/>
      <c r="N193" s="62"/>
      <c r="O193" s="62"/>
      <c r="P193" s="62"/>
      <c r="Q193" s="62"/>
      <c r="R193" s="62"/>
      <c r="S193" s="62"/>
      <c r="T193" s="62"/>
      <c r="U193" s="62"/>
      <c r="V193" s="62"/>
      <c r="W193" s="62"/>
      <c r="X193" s="62"/>
      <c r="Y193" s="62"/>
      <c r="Z193" s="62"/>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row>
    <row r="194" spans="1:52" x14ac:dyDescent="0.25">
      <c r="A194" s="62"/>
      <c r="B194" s="62"/>
      <c r="C194" s="62"/>
      <c r="D194" s="62"/>
      <c r="E194" s="62"/>
      <c r="F194" s="62"/>
      <c r="G194" s="62"/>
      <c r="H194" s="62"/>
      <c r="I194" s="62"/>
      <c r="J194" s="62"/>
      <c r="K194" s="62"/>
      <c r="L194" s="60"/>
      <c r="M194" s="62"/>
      <c r="N194" s="62"/>
      <c r="O194" s="62"/>
      <c r="P194" s="62"/>
      <c r="Q194" s="62"/>
      <c r="R194" s="62"/>
      <c r="S194" s="62"/>
      <c r="T194" s="62"/>
      <c r="U194" s="62"/>
      <c r="V194" s="62"/>
      <c r="W194" s="62"/>
      <c r="X194" s="62"/>
      <c r="Y194" s="62"/>
      <c r="Z194" s="62"/>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row>
    <row r="195" spans="1:52" x14ac:dyDescent="0.25">
      <c r="A195" s="62"/>
      <c r="B195" s="62"/>
      <c r="C195" s="62"/>
      <c r="D195" s="62"/>
      <c r="E195" s="62"/>
      <c r="F195" s="62"/>
      <c r="G195" s="62"/>
      <c r="H195" s="62"/>
      <c r="I195" s="62"/>
      <c r="J195" s="62"/>
      <c r="K195" s="62"/>
      <c r="L195" s="60"/>
      <c r="M195" s="62"/>
      <c r="N195" s="62"/>
      <c r="O195" s="62"/>
      <c r="P195" s="62"/>
      <c r="Q195" s="62"/>
      <c r="R195" s="62"/>
      <c r="S195" s="62"/>
      <c r="T195" s="62"/>
      <c r="U195" s="62"/>
      <c r="V195" s="62"/>
      <c r="W195" s="62"/>
      <c r="X195" s="62"/>
      <c r="Y195" s="62"/>
      <c r="Z195" s="62"/>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row>
    <row r="196" spans="1:52" x14ac:dyDescent="0.25">
      <c r="A196" s="62"/>
      <c r="B196" s="62"/>
      <c r="C196" s="62"/>
      <c r="D196" s="62"/>
      <c r="E196" s="62"/>
      <c r="F196" s="62"/>
      <c r="G196" s="62"/>
      <c r="H196" s="62"/>
      <c r="I196" s="62"/>
      <c r="J196" s="62"/>
      <c r="K196" s="62"/>
      <c r="L196" s="60"/>
      <c r="M196" s="62"/>
      <c r="N196" s="62"/>
      <c r="O196" s="62"/>
      <c r="P196" s="62"/>
      <c r="Q196" s="62"/>
      <c r="R196" s="62"/>
      <c r="S196" s="62"/>
      <c r="T196" s="62"/>
      <c r="U196" s="62"/>
      <c r="V196" s="62"/>
      <c r="W196" s="62"/>
      <c r="X196" s="62"/>
      <c r="Y196" s="62"/>
      <c r="Z196" s="62"/>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row>
    <row r="197" spans="1:52" x14ac:dyDescent="0.25">
      <c r="A197" s="62"/>
      <c r="B197" s="62"/>
      <c r="C197" s="62"/>
      <c r="D197" s="62"/>
      <c r="E197" s="62"/>
      <c r="F197" s="62"/>
      <c r="G197" s="62"/>
      <c r="H197" s="62"/>
      <c r="I197" s="62"/>
      <c r="J197" s="62"/>
      <c r="K197" s="62"/>
      <c r="L197" s="60"/>
      <c r="M197" s="62"/>
      <c r="N197" s="62"/>
      <c r="O197" s="62"/>
      <c r="P197" s="62"/>
      <c r="Q197" s="62"/>
      <c r="R197" s="62"/>
      <c r="S197" s="62"/>
      <c r="T197" s="62"/>
      <c r="U197" s="62"/>
      <c r="V197" s="62"/>
      <c r="W197" s="62"/>
      <c r="X197" s="62"/>
      <c r="Y197" s="62"/>
      <c r="Z197" s="62"/>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row>
    <row r="198" spans="1:52" x14ac:dyDescent="0.25">
      <c r="A198" s="62"/>
      <c r="B198" s="62"/>
      <c r="C198" s="62"/>
      <c r="D198" s="62"/>
      <c r="E198" s="62"/>
      <c r="F198" s="62"/>
      <c r="G198" s="62"/>
      <c r="H198" s="62"/>
      <c r="I198" s="62"/>
      <c r="J198" s="62"/>
      <c r="K198" s="62"/>
      <c r="L198" s="60"/>
      <c r="M198" s="62"/>
      <c r="N198" s="62"/>
      <c r="O198" s="62"/>
      <c r="P198" s="62"/>
      <c r="Q198" s="62"/>
      <c r="R198" s="62"/>
      <c r="S198" s="62"/>
      <c r="T198" s="62"/>
      <c r="U198" s="62"/>
      <c r="V198" s="62"/>
      <c r="W198" s="62"/>
      <c r="X198" s="62"/>
      <c r="Y198" s="62"/>
      <c r="Z198" s="62"/>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row>
    <row r="199" spans="1:52" x14ac:dyDescent="0.25">
      <c r="A199" s="62"/>
      <c r="B199" s="62"/>
      <c r="C199" s="62"/>
      <c r="D199" s="62"/>
      <c r="E199" s="62"/>
      <c r="F199" s="62"/>
      <c r="G199" s="62"/>
      <c r="H199" s="62"/>
      <c r="I199" s="62"/>
      <c r="J199" s="62"/>
      <c r="K199" s="62"/>
      <c r="L199" s="60"/>
      <c r="M199" s="62"/>
      <c r="N199" s="62"/>
      <c r="O199" s="62"/>
      <c r="P199" s="62"/>
      <c r="Q199" s="62"/>
      <c r="R199" s="62"/>
      <c r="S199" s="62"/>
      <c r="T199" s="62"/>
      <c r="U199" s="62"/>
      <c r="V199" s="62"/>
      <c r="W199" s="62"/>
      <c r="X199" s="62"/>
      <c r="Y199" s="62"/>
      <c r="Z199" s="62"/>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row>
    <row r="200" spans="1:52" x14ac:dyDescent="0.25">
      <c r="A200" s="62"/>
      <c r="B200" s="62"/>
      <c r="C200" s="62"/>
      <c r="D200" s="62"/>
      <c r="E200" s="62"/>
      <c r="F200" s="62"/>
      <c r="G200" s="62"/>
      <c r="H200" s="62"/>
      <c r="I200" s="62"/>
      <c r="J200" s="62"/>
      <c r="K200" s="62"/>
      <c r="L200" s="60"/>
      <c r="M200" s="62"/>
      <c r="N200" s="62"/>
      <c r="O200" s="62"/>
      <c r="P200" s="62"/>
      <c r="Q200" s="62"/>
      <c r="R200" s="62"/>
      <c r="S200" s="62"/>
      <c r="T200" s="62"/>
      <c r="U200" s="62"/>
      <c r="V200" s="62"/>
      <c r="W200" s="62"/>
      <c r="X200" s="62"/>
      <c r="Y200" s="62"/>
      <c r="Z200" s="62"/>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row>
    <row r="201" spans="1:52" x14ac:dyDescent="0.25">
      <c r="L201"/>
    </row>
    <row r="202" spans="1:52" x14ac:dyDescent="0.25">
      <c r="L202"/>
    </row>
    <row r="203" spans="1:52" x14ac:dyDescent="0.25">
      <c r="L203"/>
    </row>
    <row r="204" spans="1:52" x14ac:dyDescent="0.25">
      <c r="L204"/>
    </row>
    <row r="205" spans="1:52" x14ac:dyDescent="0.25">
      <c r="L205"/>
    </row>
    <row r="206" spans="1:52" x14ac:dyDescent="0.25">
      <c r="L206"/>
    </row>
    <row r="207" spans="1:52" x14ac:dyDescent="0.25">
      <c r="L207"/>
    </row>
    <row r="208" spans="1:5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sheetData>
  <sheetProtection password="CA97" sheet="1" objects="1" scenarios="1"/>
  <mergeCells count="29">
    <mergeCell ref="H46:K46"/>
    <mergeCell ref="M9:M11"/>
    <mergeCell ref="B10:D10"/>
    <mergeCell ref="B11:D11"/>
    <mergeCell ref="J38:K38"/>
    <mergeCell ref="B12:D12"/>
    <mergeCell ref="B13:D13"/>
    <mergeCell ref="B14:D14"/>
    <mergeCell ref="B15:D15"/>
    <mergeCell ref="B17:H17"/>
    <mergeCell ref="B24:H24"/>
    <mergeCell ref="B30:K30"/>
    <mergeCell ref="B33:K33"/>
    <mergeCell ref="C46:F46"/>
    <mergeCell ref="J35:K35"/>
    <mergeCell ref="J36:K36"/>
    <mergeCell ref="B2:K2"/>
    <mergeCell ref="M2:N2"/>
    <mergeCell ref="B3:K3"/>
    <mergeCell ref="C4:E4"/>
    <mergeCell ref="I4:J4"/>
    <mergeCell ref="B44:K44"/>
    <mergeCell ref="B45:K45"/>
    <mergeCell ref="J37:K37"/>
    <mergeCell ref="I5:J5"/>
    <mergeCell ref="C5:D5"/>
    <mergeCell ref="B6:K6"/>
    <mergeCell ref="B7:H7"/>
    <mergeCell ref="B9:D9"/>
  </mergeCells>
  <conditionalFormatting sqref="C4:E4 I4:J4 C5">
    <cfRule type="containsBlanks" dxfId="81" priority="107">
      <formula>LEN(TRIM(C4))=0</formula>
    </cfRule>
  </conditionalFormatting>
  <conditionalFormatting sqref="I9:K15 E9:G9 E13:G15">
    <cfRule type="containsBlanks" dxfId="80" priority="106">
      <formula>LEN(TRIM(E9))=0</formula>
    </cfRule>
  </conditionalFormatting>
  <conditionalFormatting sqref="I19:K22">
    <cfRule type="containsBlanks" dxfId="79" priority="105">
      <formula>LEN(TRIM(I19))=0</formula>
    </cfRule>
  </conditionalFormatting>
  <conditionalFormatting sqref="J7">
    <cfRule type="cellIs" dxfId="78" priority="104" operator="lessThan">
      <formula>33</formula>
    </cfRule>
  </conditionalFormatting>
  <conditionalFormatting sqref="J17">
    <cfRule type="cellIs" dxfId="77" priority="103" operator="lessThan">
      <formula>12</formula>
    </cfRule>
  </conditionalFormatting>
  <conditionalFormatting sqref="J24">
    <cfRule type="cellIs" dxfId="76" priority="102" operator="lessThan">
      <formula>15</formula>
    </cfRule>
  </conditionalFormatting>
  <conditionalFormatting sqref="J35:K35">
    <cfRule type="containsBlanks" dxfId="75" priority="101">
      <formula>LEN(TRIM(J35))=0</formula>
    </cfRule>
  </conditionalFormatting>
  <conditionalFormatting sqref="J36:K36">
    <cfRule type="containsText" dxfId="74" priority="99" operator="containsText" text="Incomplete">
      <formula>NOT(ISERROR(SEARCH("Incomplete",J36)))</formula>
    </cfRule>
    <cfRule type="containsBlanks" dxfId="73" priority="100">
      <formula>LEN(TRIM(J36))=0</formula>
    </cfRule>
  </conditionalFormatting>
  <conditionalFormatting sqref="J37:K37">
    <cfRule type="containsBlanks" dxfId="72" priority="98">
      <formula>LEN(TRIM(J37))=0</formula>
    </cfRule>
  </conditionalFormatting>
  <conditionalFormatting sqref="J38:K38">
    <cfRule type="containsBlanks" dxfId="71" priority="97">
      <formula>LEN(TRIM(J38))=0</formula>
    </cfRule>
  </conditionalFormatting>
  <conditionalFormatting sqref="J39:J41">
    <cfRule type="containsBlanks" dxfId="70" priority="96">
      <formula>LEN(TRIM(J39))=0</formula>
    </cfRule>
  </conditionalFormatting>
  <conditionalFormatting sqref="J39">
    <cfRule type="cellIs" dxfId="69" priority="95" operator="lessThan">
      <formula>60</formula>
    </cfRule>
  </conditionalFormatting>
  <conditionalFormatting sqref="J40">
    <cfRule type="cellIs" dxfId="68" priority="94" operator="lessThan">
      <formula>15</formula>
    </cfRule>
  </conditionalFormatting>
  <conditionalFormatting sqref="J41">
    <cfRule type="cellIs" dxfId="67" priority="93" operator="lessThan">
      <formula>2</formula>
    </cfRule>
  </conditionalFormatting>
  <conditionalFormatting sqref="G9 G13:G15 K9:K15 K19:K22">
    <cfRule type="containsText" dxfId="66" priority="92" operator="containsText" text="IPS">
      <formula>NOT(ISERROR(SEARCH("IPS",G9)))</formula>
    </cfRule>
  </conditionalFormatting>
  <conditionalFormatting sqref="E26">
    <cfRule type="notContainsBlanks" dxfId="65" priority="61">
      <formula>LEN(TRIM(E26))&gt;0</formula>
    </cfRule>
    <cfRule type="expression" dxfId="64" priority="66">
      <formula>SUM(J24)&lt;15</formula>
    </cfRule>
  </conditionalFormatting>
  <conditionalFormatting sqref="F26">
    <cfRule type="notContainsBlanks" dxfId="63" priority="59">
      <formula>LEN(TRIM(F26))&gt;0</formula>
    </cfRule>
    <cfRule type="expression" dxfId="62" priority="60">
      <formula>NOT(ISBLANK(E26))</formula>
    </cfRule>
    <cfRule type="expression" dxfId="61" priority="65">
      <formula>SUM(J24)&lt;15</formula>
    </cfRule>
  </conditionalFormatting>
  <conditionalFormatting sqref="G26">
    <cfRule type="notContainsBlanks" dxfId="60" priority="62">
      <formula>LEN(TRIM(G26))&gt;0</formula>
    </cfRule>
    <cfRule type="expression" dxfId="59" priority="63">
      <formula>NOT(ISBLANK(E26))</formula>
    </cfRule>
    <cfRule type="expression" dxfId="58" priority="64">
      <formula>SUM(J24)&lt;15</formula>
    </cfRule>
  </conditionalFormatting>
  <conditionalFormatting sqref="E27">
    <cfRule type="notContainsBlanks" dxfId="57" priority="30">
      <formula>LEN(TRIM(E27))&gt;0</formula>
    </cfRule>
    <cfRule type="expression" dxfId="56" priority="58">
      <formula>SUM(J24)&lt;15</formula>
    </cfRule>
  </conditionalFormatting>
  <conditionalFormatting sqref="E28">
    <cfRule type="notContainsBlanks" dxfId="55" priority="29">
      <formula>LEN(TRIM(E28))&gt;0</formula>
    </cfRule>
    <cfRule type="expression" dxfId="54" priority="57">
      <formula>SUM(J24)&lt;15</formula>
    </cfRule>
  </conditionalFormatting>
  <conditionalFormatting sqref="E29">
    <cfRule type="notContainsBlanks" dxfId="53" priority="28">
      <formula>LEN(TRIM(E29))&gt;0</formula>
    </cfRule>
    <cfRule type="expression" dxfId="52" priority="56">
      <formula>SUM(J24)&lt;15</formula>
    </cfRule>
  </conditionalFormatting>
  <conditionalFormatting sqref="I26">
    <cfRule type="notContainsBlanks" dxfId="51" priority="27">
      <formula>LEN(TRIM(I26))&gt;0</formula>
    </cfRule>
    <cfRule type="expression" dxfId="50" priority="55">
      <formula>SUM(J24)&lt;15</formula>
    </cfRule>
  </conditionalFormatting>
  <conditionalFormatting sqref="I27">
    <cfRule type="notContainsBlanks" dxfId="49" priority="26">
      <formula>LEN(TRIM(I27))&gt;0</formula>
    </cfRule>
    <cfRule type="expression" dxfId="48" priority="54">
      <formula>SUM(J24)&lt;15</formula>
    </cfRule>
  </conditionalFormatting>
  <conditionalFormatting sqref="I28">
    <cfRule type="notContainsBlanks" dxfId="47" priority="25">
      <formula>LEN(TRIM(I28))&gt;0</formula>
    </cfRule>
    <cfRule type="expression" dxfId="46" priority="53">
      <formula>SUM(J24)&lt;15</formula>
    </cfRule>
  </conditionalFormatting>
  <conditionalFormatting sqref="I29">
    <cfRule type="notContainsBlanks" dxfId="45" priority="24">
      <formula>LEN(TRIM(I29))&gt;0</formula>
    </cfRule>
    <cfRule type="expression" dxfId="44" priority="52">
      <formula>SUM(J24)&lt;15</formula>
    </cfRule>
  </conditionalFormatting>
  <conditionalFormatting sqref="F27">
    <cfRule type="notContainsBlanks" dxfId="43" priority="37">
      <formula>LEN(TRIM(F27))&gt;0</formula>
    </cfRule>
    <cfRule type="expression" dxfId="42" priority="44">
      <formula>NOT(ISBLANK(E27))</formula>
    </cfRule>
    <cfRule type="expression" dxfId="41" priority="51">
      <formula>SUM(J24)&lt;15</formula>
    </cfRule>
  </conditionalFormatting>
  <conditionalFormatting sqref="F28">
    <cfRule type="notContainsBlanks" dxfId="40" priority="36">
      <formula>LEN(TRIM(F28))&gt;0</formula>
    </cfRule>
    <cfRule type="expression" dxfId="39" priority="43">
      <formula>NOT(ISBLANK(E28))</formula>
    </cfRule>
    <cfRule type="expression" dxfId="38" priority="50">
      <formula>SUM(J24)&lt;15</formula>
    </cfRule>
  </conditionalFormatting>
  <conditionalFormatting sqref="F29">
    <cfRule type="notContainsBlanks" dxfId="37" priority="35">
      <formula>LEN(TRIM(F29))&gt;0</formula>
    </cfRule>
    <cfRule type="expression" dxfId="36" priority="42">
      <formula>NOT(ISBLANK(E29))</formula>
    </cfRule>
    <cfRule type="expression" dxfId="35" priority="49">
      <formula>SUM(J24)&lt;15</formula>
    </cfRule>
  </conditionalFormatting>
  <conditionalFormatting sqref="J26">
    <cfRule type="notContainsBlanks" dxfId="34" priority="34">
      <formula>LEN(TRIM(J26))&gt;0</formula>
    </cfRule>
    <cfRule type="expression" dxfId="33" priority="41">
      <formula>NOT(ISBLANK(I26))</formula>
    </cfRule>
    <cfRule type="expression" dxfId="32" priority="48">
      <formula>SUM(J24)&lt;15</formula>
    </cfRule>
  </conditionalFormatting>
  <conditionalFormatting sqref="J27">
    <cfRule type="notContainsBlanks" dxfId="31" priority="33">
      <formula>LEN(TRIM(J27))&gt;0</formula>
    </cfRule>
    <cfRule type="expression" dxfId="30" priority="40">
      <formula>NOT(ISBLANK(I27))</formula>
    </cfRule>
    <cfRule type="expression" dxfId="29" priority="47">
      <formula>SUM(J24)&lt;15</formula>
    </cfRule>
  </conditionalFormatting>
  <conditionalFormatting sqref="J28">
    <cfRule type="notContainsBlanks" dxfId="28" priority="32">
      <formula>LEN(TRIM(J28))&gt;0</formula>
    </cfRule>
    <cfRule type="expression" dxfId="27" priority="39">
      <formula>NOT(ISBLANK(I28))</formula>
    </cfRule>
    <cfRule type="expression" dxfId="26" priority="46">
      <formula>SUM(J24)&lt;15</formula>
    </cfRule>
  </conditionalFormatting>
  <conditionalFormatting sqref="J29">
    <cfRule type="notContainsBlanks" dxfId="25" priority="31">
      <formula>LEN(TRIM(J29))&gt;0</formula>
    </cfRule>
    <cfRule type="expression" dxfId="24" priority="38">
      <formula>NOT(ISBLANK(I29))</formula>
    </cfRule>
    <cfRule type="expression" dxfId="23" priority="45">
      <formula>SUM(J24)&lt;15</formula>
    </cfRule>
  </conditionalFormatting>
  <conditionalFormatting sqref="G27">
    <cfRule type="notContainsBlanks" dxfId="22" priority="9">
      <formula>LEN(TRIM(G27))&gt;0</formula>
    </cfRule>
    <cfRule type="expression" dxfId="21" priority="16">
      <formula>NOT(ISBLANK(E27))</formula>
    </cfRule>
    <cfRule type="expression" dxfId="20" priority="23">
      <formula>SUM(J24&lt;15)</formula>
    </cfRule>
  </conditionalFormatting>
  <conditionalFormatting sqref="G28">
    <cfRule type="notContainsBlanks" dxfId="19" priority="8">
      <formula>LEN(TRIM(G28))&gt;0</formula>
    </cfRule>
    <cfRule type="expression" dxfId="18" priority="15">
      <formula>NOT(ISBLANK(E28))</formula>
    </cfRule>
    <cfRule type="expression" dxfId="17" priority="22">
      <formula>SUM(J24&lt;15)</formula>
    </cfRule>
  </conditionalFormatting>
  <conditionalFormatting sqref="G29">
    <cfRule type="notContainsBlanks" dxfId="16" priority="7">
      <formula>LEN(TRIM(G29))&gt;0</formula>
    </cfRule>
    <cfRule type="expression" dxfId="15" priority="14">
      <formula>NOT(ISBLANK(E29))</formula>
    </cfRule>
    <cfRule type="expression" dxfId="14" priority="21">
      <formula>SUM(J24&lt;15)</formula>
    </cfRule>
  </conditionalFormatting>
  <conditionalFormatting sqref="K26">
    <cfRule type="notContainsBlanks" dxfId="13" priority="6">
      <formula>LEN(TRIM(K26))&gt;0</formula>
    </cfRule>
    <cfRule type="expression" dxfId="12" priority="13">
      <formula>NOT(ISBLANK(I26))</formula>
    </cfRule>
    <cfRule type="expression" dxfId="11" priority="20">
      <formula>SUM(J24&lt;15)</formula>
    </cfRule>
  </conditionalFormatting>
  <conditionalFormatting sqref="K27">
    <cfRule type="notContainsBlanks" dxfId="10" priority="5">
      <formula>LEN(TRIM(K27))&gt;0</formula>
    </cfRule>
    <cfRule type="expression" dxfId="9" priority="12">
      <formula>NOT(ISBLANK(I27))</formula>
    </cfRule>
    <cfRule type="expression" dxfId="8" priority="19">
      <formula>SUM(J24&lt;15)</formula>
    </cfRule>
  </conditionalFormatting>
  <conditionalFormatting sqref="K28">
    <cfRule type="notContainsBlanks" dxfId="7" priority="4">
      <formula>LEN(TRIM(K28))&gt;0</formula>
    </cfRule>
    <cfRule type="expression" dxfId="6" priority="11">
      <formula>NOT(ISBLANK(I28))</formula>
    </cfRule>
    <cfRule type="expression" dxfId="5" priority="18">
      <formula>SUM(J24&lt;15)</formula>
    </cfRule>
  </conditionalFormatting>
  <conditionalFormatting sqref="K29">
    <cfRule type="notContainsBlanks" dxfId="4" priority="3">
      <formula>LEN(TRIM(K29))&gt;0</formula>
    </cfRule>
    <cfRule type="expression" dxfId="3" priority="10">
      <formula>NOT(ISBLANK(I29))</formula>
    </cfRule>
    <cfRule type="expression" dxfId="2" priority="17">
      <formula>SUM(J24&lt;15)</formula>
    </cfRule>
  </conditionalFormatting>
  <conditionalFormatting sqref="G26:G29">
    <cfRule type="containsText" dxfId="1" priority="2" operator="containsText" text="IPS">
      <formula>NOT(ISERROR(SEARCH("IPS",G26)))</formula>
    </cfRule>
  </conditionalFormatting>
  <conditionalFormatting sqref="K26:K29">
    <cfRule type="containsText" dxfId="0" priority="1" operator="containsText" text="IPS">
      <formula>NOT(ISERROR(SEARCH("IPS",K26)))</formula>
    </cfRule>
  </conditionalFormatting>
  <dataValidations count="14">
    <dataValidation type="list" allowBlank="1" showInputMessage="1" showErrorMessage="1" sqref="F13:F15 F9 J9:J15 J19:J22 F26:F29 J26:J29">
      <formula1>CREDIT</formula1>
    </dataValidation>
    <dataValidation type="list" allowBlank="1" showInputMessage="1" showErrorMessage="1" sqref="G9 G13:G15 K9:K15 K19:K22 G26:G28 G29:H29 K26:K29">
      <formula1>GRADE</formula1>
    </dataValidation>
    <dataValidation type="list" allowBlank="1" showInputMessage="1" showErrorMessage="1" sqref="E9 I9">
      <formula1>CATA</formula1>
    </dataValidation>
    <dataValidation type="list" allowBlank="1" showInputMessage="1" showErrorMessage="1" sqref="I10">
      <formula1>CATB</formula1>
    </dataValidation>
    <dataValidation type="list" allowBlank="1" showInputMessage="1" showErrorMessage="1" sqref="I11">
      <formula1>CATF</formula1>
    </dataValidation>
    <dataValidation type="list" allowBlank="1" showInputMessage="1" showErrorMessage="1" sqref="I12">
      <formula1>CATG</formula1>
    </dataValidation>
    <dataValidation type="list" allowBlank="1" showInputMessage="1" showErrorMessage="1" sqref="E13 I13">
      <formula1>CATE</formula1>
    </dataValidation>
    <dataValidation type="list" allowBlank="1" showInputMessage="1" showErrorMessage="1" sqref="E14 I14">
      <formula1>CATD</formula1>
    </dataValidation>
    <dataValidation type="list" allowBlank="1" showInputMessage="1" showErrorMessage="1" sqref="E15 I15">
      <formula1>CATC</formula1>
    </dataValidation>
    <dataValidation type="list" allowBlank="1" showInputMessage="1" showErrorMessage="1" sqref="I19:I20">
      <formula1>CATK</formula1>
    </dataValidation>
    <dataValidation type="list" allowBlank="1" showInputMessage="1" showErrorMessage="1" sqref="I21:I22">
      <formula1>CATJ</formula1>
    </dataValidation>
    <dataValidation type="list" allowBlank="1" showInputMessage="1" showErrorMessage="1" sqref="J35:K35">
      <formula1>CATI</formula1>
    </dataValidation>
    <dataValidation type="list" allowBlank="1" showInputMessage="1" showErrorMessage="1" sqref="J36:K36 J38:K38">
      <formula1>STATUS</formula1>
    </dataValidation>
    <dataValidation type="list" allowBlank="1" showInputMessage="1" showErrorMessage="1" sqref="J37:K37">
      <formula1>CATM</formula1>
    </dataValidation>
  </dataValidations>
  <pageMargins left="0.45" right="0.45" top="0.25" bottom="0.2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Z400"/>
  <sheetViews>
    <sheetView zoomScaleNormal="100" workbookViewId="0">
      <selection activeCell="A6" sqref="A6"/>
    </sheetView>
  </sheetViews>
  <sheetFormatPr defaultRowHeight="15" x14ac:dyDescent="0.25"/>
  <sheetData>
    <row r="1" spans="1:52"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row>
    <row r="2" spans="1:52"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row>
    <row r="3" spans="1:52" x14ac:dyDescent="0.25">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row>
    <row r="4" spans="1:52" x14ac:dyDescent="0.25">
      <c r="A4" s="69"/>
      <c r="B4" s="69"/>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row>
    <row r="5" spans="1:52" x14ac:dyDescent="0.25">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row>
    <row r="6" spans="1:52" x14ac:dyDescent="0.25">
      <c r="A6" s="69"/>
      <c r="B6" s="69"/>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row>
    <row r="7" spans="1:52" x14ac:dyDescent="0.25">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row>
    <row r="8" spans="1:52" x14ac:dyDescent="0.25">
      <c r="A8" s="69"/>
      <c r="B8" s="69"/>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row>
    <row r="9" spans="1:52" x14ac:dyDescent="0.25">
      <c r="A9" s="69"/>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row>
    <row r="10" spans="1:52" x14ac:dyDescent="0.25">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row>
    <row r="11" spans="1:52" x14ac:dyDescent="0.25">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row>
    <row r="12" spans="1:52" x14ac:dyDescent="0.25">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row>
    <row r="13" spans="1:52" x14ac:dyDescent="0.25">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row>
    <row r="14" spans="1:52" x14ac:dyDescent="0.25">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row>
    <row r="15" spans="1:52" x14ac:dyDescent="0.2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row>
    <row r="16" spans="1:52" x14ac:dyDescent="0.25">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row>
    <row r="17" spans="1:52" x14ac:dyDescent="0.25">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row>
    <row r="18" spans="1:52" x14ac:dyDescent="0.25">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row>
    <row r="19" spans="1:52"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row>
    <row r="20" spans="1:52"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row>
    <row r="21" spans="1:52"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row>
    <row r="22" spans="1:52"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row>
    <row r="23" spans="1:52"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row>
    <row r="24" spans="1:52"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row>
    <row r="25" spans="1:52"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row>
    <row r="26" spans="1:52"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row>
    <row r="27" spans="1:52"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row>
    <row r="28" spans="1:52"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row>
    <row r="29" spans="1:52"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row>
    <row r="30" spans="1:52"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row>
    <row r="31" spans="1:52"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row>
    <row r="32" spans="1:52"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row>
    <row r="33" spans="1:52" x14ac:dyDescent="0.25">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row>
    <row r="34" spans="1:52" x14ac:dyDescent="0.25">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row>
    <row r="35" spans="1:52" x14ac:dyDescent="0.2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row>
    <row r="36" spans="1:52" x14ac:dyDescent="0.25">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row>
    <row r="37" spans="1:52" x14ac:dyDescent="0.25">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row>
    <row r="38" spans="1:52" x14ac:dyDescent="0.25">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row>
    <row r="39" spans="1:52" x14ac:dyDescent="0.25">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row>
    <row r="40" spans="1:52" x14ac:dyDescent="0.25">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row>
    <row r="41" spans="1:52" x14ac:dyDescent="0.25">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row>
    <row r="42" spans="1:52" x14ac:dyDescent="0.25">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row>
    <row r="43" spans="1:52" x14ac:dyDescent="0.25">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c r="AN43" s="69"/>
      <c r="AO43" s="69"/>
      <c r="AP43" s="69"/>
      <c r="AQ43" s="69"/>
      <c r="AR43" s="69"/>
      <c r="AS43" s="69"/>
      <c r="AT43" s="69"/>
      <c r="AU43" s="69"/>
      <c r="AV43" s="69"/>
      <c r="AW43" s="69"/>
      <c r="AX43" s="69"/>
      <c r="AY43" s="69"/>
      <c r="AZ43" s="69"/>
    </row>
    <row r="44" spans="1:52" x14ac:dyDescent="0.25">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row>
    <row r="45" spans="1:52" x14ac:dyDescent="0.2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row>
    <row r="46" spans="1:52" x14ac:dyDescent="0.25">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row>
    <row r="47" spans="1:52" x14ac:dyDescent="0.25">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row>
    <row r="48" spans="1:52" x14ac:dyDescent="0.25">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row>
    <row r="49" spans="1:52" x14ac:dyDescent="0.25">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row>
    <row r="50" spans="1:52" x14ac:dyDescent="0.25">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row>
    <row r="51" spans="1:52" x14ac:dyDescent="0.25">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row>
    <row r="52" spans="1:52"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row>
    <row r="53" spans="1:52" x14ac:dyDescent="0.25">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row>
    <row r="54" spans="1:52" x14ac:dyDescent="0.25">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row>
    <row r="55" spans="1:52"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row>
    <row r="56" spans="1:52"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row>
    <row r="57" spans="1:52"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row>
    <row r="58" spans="1:52"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row>
    <row r="59" spans="1:52"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row>
    <row r="60" spans="1:52"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row>
    <row r="61" spans="1:52"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row>
    <row r="62" spans="1:52"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row>
    <row r="63" spans="1:52"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row>
    <row r="64" spans="1:52"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row>
    <row r="65" spans="1:52"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row>
    <row r="66" spans="1:52"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row>
    <row r="67" spans="1:52"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row>
    <row r="68" spans="1:52"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row>
    <row r="69" spans="1:52"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row>
    <row r="70" spans="1:52"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row>
    <row r="71" spans="1:52"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row>
    <row r="72" spans="1:52"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row>
    <row r="73" spans="1:52"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row>
    <row r="74" spans="1:52"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row>
    <row r="75" spans="1:52"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row>
    <row r="76" spans="1:52"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row>
    <row r="77" spans="1:52"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row>
    <row r="78" spans="1:52"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row>
    <row r="79" spans="1:52"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row>
    <row r="80" spans="1:52"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row>
    <row r="81" spans="1:52"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row>
    <row r="82" spans="1:52"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row>
    <row r="83" spans="1:52"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row>
    <row r="84" spans="1:52"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row>
    <row r="85" spans="1:52"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row>
    <row r="86" spans="1:52"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row>
    <row r="87" spans="1:52"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row>
    <row r="88" spans="1:52"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row>
    <row r="89" spans="1:52"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row>
    <row r="90" spans="1:52"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row>
    <row r="91" spans="1:52"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row>
    <row r="92" spans="1:52"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row>
    <row r="93" spans="1:52"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row>
    <row r="94" spans="1:52"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row>
    <row r="95" spans="1:52"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row>
    <row r="96" spans="1:52"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row>
    <row r="97" spans="1:52"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row>
    <row r="98" spans="1:52"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row>
    <row r="99" spans="1:52"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row>
    <row r="100" spans="1:52"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row>
    <row r="101" spans="1:52"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row>
    <row r="102" spans="1:52"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row>
    <row r="103" spans="1:52"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row>
    <row r="104" spans="1:52"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row>
    <row r="105" spans="1:52"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row>
    <row r="106" spans="1:52"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row>
    <row r="107" spans="1:52"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row>
    <row r="108" spans="1:52"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row>
    <row r="109" spans="1:52"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row>
    <row r="110" spans="1:52"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row>
    <row r="111" spans="1:52"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row>
    <row r="112" spans="1:52"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row>
    <row r="113" spans="1:52"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row>
    <row r="114" spans="1:52"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row>
    <row r="115" spans="1:52"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row>
    <row r="116" spans="1:52"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row>
    <row r="117" spans="1:52"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row>
    <row r="118" spans="1:52"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row>
    <row r="119" spans="1:52"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row>
    <row r="120" spans="1:52"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row>
    <row r="121" spans="1:52"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row>
    <row r="122" spans="1:52"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row>
    <row r="123" spans="1:52"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row>
    <row r="124" spans="1:52"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row>
    <row r="125" spans="1:52"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row>
    <row r="126" spans="1:52"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row>
    <row r="127" spans="1:52"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row>
    <row r="128" spans="1:52"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row>
    <row r="129" spans="1:52"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row>
    <row r="130" spans="1:52"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row>
    <row r="131" spans="1:52"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row>
    <row r="132" spans="1:52"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row>
    <row r="133" spans="1:52"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row>
    <row r="134" spans="1:52"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row>
    <row r="135" spans="1:52"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row>
    <row r="136" spans="1:52"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row>
    <row r="137" spans="1:52"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row>
    <row r="138" spans="1:52"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row>
    <row r="139" spans="1:52"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row>
    <row r="140" spans="1:52"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row>
    <row r="141" spans="1:52"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row>
    <row r="142" spans="1:52"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row>
    <row r="143" spans="1:52"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row>
    <row r="144" spans="1:52"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row>
    <row r="145" spans="1:52"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row>
    <row r="146" spans="1:52"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row>
    <row r="147" spans="1:52"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row>
    <row r="148" spans="1:52"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row>
    <row r="149" spans="1:52"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row>
    <row r="150" spans="1:52"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row>
    <row r="151" spans="1:52"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row>
    <row r="152" spans="1:52"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row>
    <row r="153" spans="1:52"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row>
    <row r="154" spans="1:52"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row>
    <row r="155" spans="1:52"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row>
    <row r="156" spans="1:52"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row>
    <row r="157" spans="1:52"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row>
    <row r="158" spans="1:52"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row>
    <row r="159" spans="1:52"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row>
    <row r="160" spans="1:52"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row>
    <row r="161" spans="1:52"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row>
    <row r="162" spans="1:52"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row>
    <row r="163" spans="1:52"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row>
    <row r="164" spans="1:52"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row>
    <row r="165" spans="1:52"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row>
    <row r="166" spans="1:52"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row>
    <row r="167" spans="1:52"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row>
    <row r="168" spans="1:52"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row>
    <row r="169" spans="1:52"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row>
    <row r="170" spans="1:52"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row>
    <row r="171" spans="1:52"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row>
    <row r="172" spans="1:52"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row>
    <row r="173" spans="1:52"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row>
    <row r="174" spans="1:52"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row>
    <row r="175" spans="1:52"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row>
    <row r="176" spans="1:52"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row>
    <row r="177" spans="1:52"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row>
    <row r="178" spans="1:52"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row>
    <row r="179" spans="1:52"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row>
    <row r="180" spans="1:52"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row>
    <row r="181" spans="1:52"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row>
    <row r="182" spans="1:52"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row>
    <row r="183" spans="1:52"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row>
    <row r="184" spans="1:52"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row>
    <row r="185" spans="1:52"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row>
    <row r="186" spans="1:52"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row>
    <row r="187" spans="1:52"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row>
    <row r="188" spans="1:52"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row>
    <row r="189" spans="1:52"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row>
    <row r="190" spans="1:52"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row>
    <row r="191" spans="1:52" x14ac:dyDescent="0.25">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row>
    <row r="192" spans="1:52" x14ac:dyDescent="0.25">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row>
    <row r="193" spans="1:52" x14ac:dyDescent="0.25">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row>
    <row r="194" spans="1:52" x14ac:dyDescent="0.25">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row>
    <row r="195" spans="1:52" x14ac:dyDescent="0.2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row>
    <row r="196" spans="1:52" x14ac:dyDescent="0.25">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row>
    <row r="197" spans="1:52" x14ac:dyDescent="0.25">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row>
    <row r="198" spans="1:52" x14ac:dyDescent="0.25">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row>
    <row r="199" spans="1:52" x14ac:dyDescent="0.25">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row>
    <row r="200" spans="1:52" x14ac:dyDescent="0.25">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row>
    <row r="201" spans="1:52" x14ac:dyDescent="0.25">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row>
    <row r="202" spans="1:52" x14ac:dyDescent="0.25">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row>
    <row r="203" spans="1:52" x14ac:dyDescent="0.25">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row>
    <row r="204" spans="1:52" x14ac:dyDescent="0.25">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row>
    <row r="205" spans="1:52" x14ac:dyDescent="0.2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row>
    <row r="206" spans="1:52" x14ac:dyDescent="0.25">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row>
    <row r="207" spans="1:52" x14ac:dyDescent="0.25">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row>
    <row r="208" spans="1:52" x14ac:dyDescent="0.25">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row>
    <row r="209" spans="1:52" x14ac:dyDescent="0.25">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row>
    <row r="210" spans="1:52" x14ac:dyDescent="0.25">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row>
    <row r="211" spans="1:52" x14ac:dyDescent="0.25">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row>
    <row r="212" spans="1:52" x14ac:dyDescent="0.25">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row>
    <row r="213" spans="1:52" x14ac:dyDescent="0.25">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row>
    <row r="214" spans="1:52" x14ac:dyDescent="0.25">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row>
    <row r="215" spans="1:52" x14ac:dyDescent="0.2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row>
    <row r="216" spans="1:52" x14ac:dyDescent="0.25">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row>
    <row r="217" spans="1:52" x14ac:dyDescent="0.25">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row>
    <row r="218" spans="1:52" x14ac:dyDescent="0.25">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row>
    <row r="219" spans="1:52" x14ac:dyDescent="0.25">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row>
    <row r="220" spans="1:52" x14ac:dyDescent="0.25">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row>
    <row r="221" spans="1:52" x14ac:dyDescent="0.25">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row>
    <row r="222" spans="1:52" x14ac:dyDescent="0.25">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row>
    <row r="223" spans="1:52" x14ac:dyDescent="0.25">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row>
    <row r="224" spans="1:52" x14ac:dyDescent="0.25">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row>
    <row r="225" spans="1:52" x14ac:dyDescent="0.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row>
    <row r="226" spans="1:52" x14ac:dyDescent="0.25">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row>
    <row r="227" spans="1:52" x14ac:dyDescent="0.25">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row>
    <row r="228" spans="1:52" x14ac:dyDescent="0.25">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row>
    <row r="229" spans="1:52" x14ac:dyDescent="0.25">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row>
    <row r="230" spans="1:52" x14ac:dyDescent="0.25">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row>
    <row r="231" spans="1:52" x14ac:dyDescent="0.25">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row>
    <row r="232" spans="1:52" x14ac:dyDescent="0.25">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row>
    <row r="233" spans="1:52" x14ac:dyDescent="0.25">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row>
    <row r="234" spans="1:52" x14ac:dyDescent="0.25">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row>
    <row r="235" spans="1:52" x14ac:dyDescent="0.2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row>
    <row r="236" spans="1:52" x14ac:dyDescent="0.25">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row>
    <row r="237" spans="1:52" x14ac:dyDescent="0.25">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row>
    <row r="238" spans="1:52" x14ac:dyDescent="0.25">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row>
    <row r="239" spans="1:52" x14ac:dyDescent="0.25">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row>
    <row r="240" spans="1:52" x14ac:dyDescent="0.25">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row>
    <row r="241" spans="1:52" x14ac:dyDescent="0.25">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row>
    <row r="242" spans="1:52" x14ac:dyDescent="0.25">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row>
    <row r="243" spans="1:52" x14ac:dyDescent="0.25">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row>
    <row r="244" spans="1:52" x14ac:dyDescent="0.25">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row>
    <row r="245" spans="1:52" x14ac:dyDescent="0.2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row>
    <row r="246" spans="1:52" x14ac:dyDescent="0.25">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row>
    <row r="247" spans="1:52" x14ac:dyDescent="0.25">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row>
    <row r="248" spans="1:52" x14ac:dyDescent="0.25">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row>
    <row r="249" spans="1:52" x14ac:dyDescent="0.25">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row>
    <row r="250" spans="1:52" x14ac:dyDescent="0.25">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row>
    <row r="251" spans="1:52" x14ac:dyDescent="0.25">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row>
    <row r="252" spans="1:52" x14ac:dyDescent="0.25">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row>
    <row r="253" spans="1:52" x14ac:dyDescent="0.25">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row>
    <row r="254" spans="1:52" x14ac:dyDescent="0.25">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row>
    <row r="255" spans="1:52" x14ac:dyDescent="0.2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row>
    <row r="256" spans="1:52" x14ac:dyDescent="0.25">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row>
    <row r="257" spans="1:52" x14ac:dyDescent="0.25">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row>
    <row r="258" spans="1:52" x14ac:dyDescent="0.25">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row>
    <row r="259" spans="1:52" x14ac:dyDescent="0.25">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row>
    <row r="260" spans="1:52" x14ac:dyDescent="0.25">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row>
    <row r="261" spans="1:52" x14ac:dyDescent="0.25">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row>
    <row r="262" spans="1:52" x14ac:dyDescent="0.25">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row>
    <row r="263" spans="1:52" x14ac:dyDescent="0.25">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row>
    <row r="264" spans="1:52" x14ac:dyDescent="0.25">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row>
    <row r="265" spans="1:52" x14ac:dyDescent="0.2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row>
    <row r="266" spans="1:52" x14ac:dyDescent="0.25">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row>
    <row r="267" spans="1:52" x14ac:dyDescent="0.25">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row>
    <row r="268" spans="1:52" x14ac:dyDescent="0.25">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row>
    <row r="269" spans="1:52" x14ac:dyDescent="0.25">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row>
    <row r="270" spans="1:52" x14ac:dyDescent="0.25">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row>
    <row r="271" spans="1:52" x14ac:dyDescent="0.25">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row>
    <row r="272" spans="1:52" x14ac:dyDescent="0.25">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row>
    <row r="273" spans="1:52" x14ac:dyDescent="0.25">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c r="AZ273" s="69"/>
    </row>
    <row r="274" spans="1:52" x14ac:dyDescent="0.25">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row>
    <row r="275" spans="1:52" x14ac:dyDescent="0.2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c r="AZ275" s="69"/>
    </row>
    <row r="276" spans="1:52" x14ac:dyDescent="0.25">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row>
    <row r="277" spans="1:52" x14ac:dyDescent="0.25">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c r="AZ277" s="69"/>
    </row>
    <row r="278" spans="1:52" x14ac:dyDescent="0.25">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row>
    <row r="279" spans="1:52" x14ac:dyDescent="0.25">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c r="AZ279" s="69"/>
    </row>
    <row r="280" spans="1:52" x14ac:dyDescent="0.25">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row>
    <row r="281" spans="1:52" x14ac:dyDescent="0.25">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c r="AZ281" s="69"/>
    </row>
    <row r="282" spans="1:52" x14ac:dyDescent="0.25">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row>
    <row r="283" spans="1:52" x14ac:dyDescent="0.25">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c r="AZ283" s="69"/>
    </row>
    <row r="284" spans="1:52" x14ac:dyDescent="0.25">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row>
    <row r="285" spans="1:52" x14ac:dyDescent="0.2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c r="AZ285" s="69"/>
    </row>
    <row r="286" spans="1:52" x14ac:dyDescent="0.25">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row>
    <row r="287" spans="1:52" x14ac:dyDescent="0.25">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c r="AZ287" s="69"/>
    </row>
    <row r="288" spans="1:52" x14ac:dyDescent="0.25">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row>
    <row r="289" spans="1:52" x14ac:dyDescent="0.25">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c r="AZ289" s="69"/>
    </row>
    <row r="290" spans="1:52" x14ac:dyDescent="0.25">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row>
    <row r="291" spans="1:52" x14ac:dyDescent="0.25">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row>
    <row r="292" spans="1:52" x14ac:dyDescent="0.25">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row>
    <row r="293" spans="1:52" x14ac:dyDescent="0.25">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c r="AZ293" s="69"/>
    </row>
    <row r="294" spans="1:52" x14ac:dyDescent="0.25">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row>
    <row r="295" spans="1:52" x14ac:dyDescent="0.2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c r="AZ295" s="69"/>
    </row>
    <row r="296" spans="1:52" x14ac:dyDescent="0.25">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row>
    <row r="297" spans="1:52" x14ac:dyDescent="0.25">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c r="AZ297" s="69"/>
    </row>
    <row r="298" spans="1:52" x14ac:dyDescent="0.25">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row>
    <row r="299" spans="1:52" x14ac:dyDescent="0.25">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c r="AZ299" s="69"/>
    </row>
    <row r="300" spans="1:52" x14ac:dyDescent="0.25">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row>
    <row r="301" spans="1:52" x14ac:dyDescent="0.25">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c r="AZ301" s="69"/>
    </row>
    <row r="302" spans="1:52" x14ac:dyDescent="0.25">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row>
    <row r="303" spans="1:52" x14ac:dyDescent="0.25">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c r="AZ303" s="69"/>
    </row>
    <row r="304" spans="1:52" x14ac:dyDescent="0.25">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row>
    <row r="305" spans="1:52" x14ac:dyDescent="0.2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c r="AZ305" s="69"/>
    </row>
    <row r="306" spans="1:52" x14ac:dyDescent="0.25">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row>
    <row r="307" spans="1:52" x14ac:dyDescent="0.25">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row>
    <row r="308" spans="1:52" x14ac:dyDescent="0.25">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row>
    <row r="309" spans="1:52" x14ac:dyDescent="0.25">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c r="AZ309" s="69"/>
    </row>
    <row r="310" spans="1:52" x14ac:dyDescent="0.25">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row>
    <row r="311" spans="1:52" x14ac:dyDescent="0.25">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c r="AZ311" s="69"/>
    </row>
    <row r="312" spans="1:52" x14ac:dyDescent="0.25">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row>
    <row r="313" spans="1:52" x14ac:dyDescent="0.25">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row>
    <row r="314" spans="1:52" x14ac:dyDescent="0.25">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row>
    <row r="315" spans="1:52" x14ac:dyDescent="0.2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c r="AZ315" s="69"/>
    </row>
    <row r="316" spans="1:52" x14ac:dyDescent="0.25">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row>
    <row r="317" spans="1:52" x14ac:dyDescent="0.25">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c r="AZ317" s="69"/>
    </row>
    <row r="318" spans="1:52" x14ac:dyDescent="0.25">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row>
    <row r="319" spans="1:52" x14ac:dyDescent="0.25">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c r="AZ319" s="69"/>
    </row>
    <row r="320" spans="1:52" x14ac:dyDescent="0.25">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row>
    <row r="321" spans="1:52" x14ac:dyDescent="0.25">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69"/>
    </row>
    <row r="322" spans="1:52" x14ac:dyDescent="0.25">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row>
    <row r="323" spans="1:52" x14ac:dyDescent="0.25">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c r="AZ323" s="69"/>
    </row>
    <row r="324" spans="1:52" x14ac:dyDescent="0.25">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row>
    <row r="325" spans="1:52" x14ac:dyDescent="0.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c r="AZ325" s="69"/>
    </row>
    <row r="326" spans="1:52" x14ac:dyDescent="0.25">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row>
    <row r="327" spans="1:52" x14ac:dyDescent="0.25">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c r="AZ327" s="69"/>
    </row>
    <row r="328" spans="1:52" x14ac:dyDescent="0.25">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row>
    <row r="329" spans="1:52" x14ac:dyDescent="0.25">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c r="AZ329" s="69"/>
    </row>
    <row r="330" spans="1:52" x14ac:dyDescent="0.25">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row>
    <row r="331" spans="1:52" x14ac:dyDescent="0.25">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row>
    <row r="332" spans="1:52" x14ac:dyDescent="0.25">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row>
    <row r="333" spans="1:52" x14ac:dyDescent="0.25">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c r="AZ333" s="69"/>
    </row>
    <row r="334" spans="1:52" x14ac:dyDescent="0.25">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row>
    <row r="335" spans="1:52" x14ac:dyDescent="0.2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c r="AZ335" s="69"/>
    </row>
    <row r="336" spans="1:52" x14ac:dyDescent="0.25">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row>
    <row r="337" spans="1:52" x14ac:dyDescent="0.25">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c r="AZ337" s="69"/>
    </row>
    <row r="338" spans="1:52" x14ac:dyDescent="0.25">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row>
    <row r="339" spans="1:52" x14ac:dyDescent="0.25">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c r="AZ339" s="69"/>
    </row>
    <row r="340" spans="1:52" x14ac:dyDescent="0.25">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row>
    <row r="341" spans="1:52" x14ac:dyDescent="0.25">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row>
    <row r="342" spans="1:52" x14ac:dyDescent="0.25">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row>
    <row r="343" spans="1:52" x14ac:dyDescent="0.25">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row>
    <row r="344" spans="1:52" x14ac:dyDescent="0.25">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row>
    <row r="345" spans="1:52" x14ac:dyDescent="0.2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c r="AZ345" s="69"/>
    </row>
    <row r="346" spans="1:52" x14ac:dyDescent="0.25">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row>
    <row r="347" spans="1:52" x14ac:dyDescent="0.25">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c r="AZ347" s="69"/>
    </row>
    <row r="348" spans="1:52" x14ac:dyDescent="0.25">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row>
    <row r="349" spans="1:52" x14ac:dyDescent="0.25">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c r="AZ349" s="69"/>
    </row>
    <row r="350" spans="1:52" x14ac:dyDescent="0.25">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row>
    <row r="351" spans="1:52" x14ac:dyDescent="0.25">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c r="AZ351" s="69"/>
    </row>
    <row r="352" spans="1:52" x14ac:dyDescent="0.25">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row>
    <row r="353" spans="1:52" x14ac:dyDescent="0.25">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c r="AZ353" s="69"/>
    </row>
    <row r="354" spans="1:52" x14ac:dyDescent="0.25">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row>
    <row r="355" spans="1:52" x14ac:dyDescent="0.2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c r="AZ355" s="69"/>
    </row>
    <row r="356" spans="1:52" x14ac:dyDescent="0.25">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row>
    <row r="357" spans="1:52" x14ac:dyDescent="0.25">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row>
    <row r="358" spans="1:52" x14ac:dyDescent="0.25">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row>
    <row r="359" spans="1:52" x14ac:dyDescent="0.25">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c r="AZ359" s="69"/>
    </row>
    <row r="360" spans="1:52" x14ac:dyDescent="0.25">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row>
    <row r="361" spans="1:52" x14ac:dyDescent="0.25">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c r="AZ361" s="69"/>
    </row>
    <row r="362" spans="1:52" x14ac:dyDescent="0.25">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row>
    <row r="363" spans="1:52" x14ac:dyDescent="0.25">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c r="AZ363" s="69"/>
    </row>
    <row r="364" spans="1:52" x14ac:dyDescent="0.25">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row>
    <row r="365" spans="1:52" x14ac:dyDescent="0.2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c r="AZ365" s="69"/>
    </row>
    <row r="366" spans="1:52" x14ac:dyDescent="0.25">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row>
    <row r="367" spans="1:52" x14ac:dyDescent="0.25">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c r="AZ367" s="69"/>
    </row>
    <row r="368" spans="1:52" x14ac:dyDescent="0.25">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row>
    <row r="369" spans="1:52" x14ac:dyDescent="0.25">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c r="AZ369" s="69"/>
    </row>
    <row r="370" spans="1:52" x14ac:dyDescent="0.25">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row>
    <row r="371" spans="1:52" x14ac:dyDescent="0.25">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c r="AZ371" s="69"/>
    </row>
    <row r="372" spans="1:52" x14ac:dyDescent="0.25">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row>
    <row r="373" spans="1:52" x14ac:dyDescent="0.25">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c r="AZ373" s="69"/>
    </row>
    <row r="374" spans="1:52" x14ac:dyDescent="0.25">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row>
    <row r="375" spans="1:52" x14ac:dyDescent="0.2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c r="AZ375" s="69"/>
    </row>
    <row r="376" spans="1:52" x14ac:dyDescent="0.25">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row>
    <row r="377" spans="1:52" x14ac:dyDescent="0.25">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c r="AZ377" s="69"/>
    </row>
    <row r="378" spans="1:52" x14ac:dyDescent="0.25">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row>
    <row r="379" spans="1:52" x14ac:dyDescent="0.25">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c r="AZ379" s="69"/>
    </row>
    <row r="380" spans="1:52" x14ac:dyDescent="0.25">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row>
    <row r="381" spans="1:52" x14ac:dyDescent="0.25">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c r="AZ381" s="69"/>
    </row>
    <row r="382" spans="1:52" x14ac:dyDescent="0.25">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row>
    <row r="383" spans="1:52" x14ac:dyDescent="0.25">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c r="AZ383" s="69"/>
    </row>
    <row r="384" spans="1:52" x14ac:dyDescent="0.25">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row>
    <row r="385" spans="1:52" x14ac:dyDescent="0.2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c r="AZ385" s="69"/>
    </row>
    <row r="386" spans="1:52" x14ac:dyDescent="0.25">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row>
    <row r="387" spans="1:52" x14ac:dyDescent="0.25">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c r="AZ387" s="69"/>
    </row>
    <row r="388" spans="1:52" x14ac:dyDescent="0.25">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c r="AZ388" s="69"/>
    </row>
    <row r="389" spans="1:52" x14ac:dyDescent="0.25">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c r="AW389" s="69"/>
      <c r="AX389" s="69"/>
      <c r="AY389" s="69"/>
      <c r="AZ389" s="69"/>
    </row>
    <row r="390" spans="1:52" x14ac:dyDescent="0.25">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c r="AZ390" s="69"/>
    </row>
    <row r="391" spans="1:52" x14ac:dyDescent="0.25">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c r="AW391" s="69"/>
      <c r="AX391" s="69"/>
      <c r="AY391" s="69"/>
      <c r="AZ391" s="69"/>
    </row>
    <row r="392" spans="1:52" x14ac:dyDescent="0.25">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c r="AZ392" s="69"/>
    </row>
    <row r="393" spans="1:52" x14ac:dyDescent="0.25">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c r="AW393" s="69"/>
      <c r="AX393" s="69"/>
      <c r="AY393" s="69"/>
      <c r="AZ393" s="69"/>
    </row>
    <row r="394" spans="1:52" x14ac:dyDescent="0.25">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c r="AZ394" s="69"/>
    </row>
    <row r="395" spans="1:52" x14ac:dyDescent="0.2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c r="AW395" s="69"/>
      <c r="AX395" s="69"/>
      <c r="AY395" s="69"/>
      <c r="AZ395" s="69"/>
    </row>
    <row r="396" spans="1:52" x14ac:dyDescent="0.25">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c r="AZ396" s="69"/>
    </row>
    <row r="397" spans="1:52" x14ac:dyDescent="0.25">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c r="AW397" s="69"/>
      <c r="AX397" s="69"/>
      <c r="AY397" s="69"/>
      <c r="AZ397" s="69"/>
    </row>
    <row r="398" spans="1:52" x14ac:dyDescent="0.25">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c r="AZ398" s="69"/>
    </row>
    <row r="399" spans="1:52" x14ac:dyDescent="0.25">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c r="AW399" s="69"/>
      <c r="AX399" s="69"/>
      <c r="AY399" s="69"/>
      <c r="AZ399" s="69"/>
    </row>
    <row r="400" spans="1:52" x14ac:dyDescent="0.25">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c r="AZ400" s="69"/>
    </row>
  </sheetData>
  <sheetProtection password="CA97" sheet="1" objects="1" scenarios="1"/>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Z200"/>
  <sheetViews>
    <sheetView workbookViewId="0">
      <selection activeCell="A5" sqref="A5"/>
    </sheetView>
  </sheetViews>
  <sheetFormatPr defaultRowHeight="15" x14ac:dyDescent="0.25"/>
  <cols>
    <col min="14" max="14" width="9.140625" style="19"/>
  </cols>
  <sheetData>
    <row r="1" spans="1:52" ht="21" x14ac:dyDescent="0.35">
      <c r="A1" s="106"/>
      <c r="B1" s="106"/>
      <c r="C1" s="106"/>
      <c r="D1" s="106"/>
      <c r="E1" s="106"/>
      <c r="F1" s="106"/>
      <c r="G1" s="106"/>
      <c r="H1" s="106"/>
      <c r="I1" s="106"/>
      <c r="J1" s="106"/>
      <c r="K1" s="106"/>
      <c r="L1" s="106"/>
      <c r="M1" s="106"/>
      <c r="N1" s="106"/>
      <c r="O1" s="106"/>
      <c r="P1" s="10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row>
    <row r="2" spans="1:52" x14ac:dyDescent="0.25">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row>
    <row r="3" spans="1:52" x14ac:dyDescent="0.25">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row>
    <row r="4" spans="1:52" x14ac:dyDescent="0.25">
      <c r="A4" s="66"/>
      <c r="B4" s="66"/>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row>
    <row r="5" spans="1:52" x14ac:dyDescent="0.25">
      <c r="A5" s="66"/>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row>
    <row r="6" spans="1:52" x14ac:dyDescent="0.25">
      <c r="A6" s="66"/>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row>
    <row r="7" spans="1:52" x14ac:dyDescent="0.25">
      <c r="A7" s="66"/>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row>
    <row r="8" spans="1:52" x14ac:dyDescent="0.25">
      <c r="A8" s="66"/>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row>
    <row r="9" spans="1:52" x14ac:dyDescent="0.25">
      <c r="A9" s="66"/>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row>
    <row r="10" spans="1:52" x14ac:dyDescent="0.25">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row>
    <row r="11" spans="1:52" x14ac:dyDescent="0.25">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row>
    <row r="12" spans="1:52" x14ac:dyDescent="0.25">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row>
    <row r="13" spans="1:52" x14ac:dyDescent="0.25">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row>
    <row r="14" spans="1:52" x14ac:dyDescent="0.25">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row>
    <row r="15" spans="1:52" x14ac:dyDescent="0.2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row>
    <row r="16" spans="1:52" x14ac:dyDescent="0.25">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row>
    <row r="17" spans="1:52"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row>
    <row r="18" spans="1:52" x14ac:dyDescent="0.25">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row>
    <row r="19" spans="1:52" x14ac:dyDescent="0.25">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row>
    <row r="20" spans="1:52" x14ac:dyDescent="0.25">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row>
    <row r="21" spans="1:52" x14ac:dyDescent="0.25">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row>
    <row r="22" spans="1:52" x14ac:dyDescent="0.25">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row>
    <row r="23" spans="1:52" x14ac:dyDescent="0.25">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row>
    <row r="24" spans="1:52" x14ac:dyDescent="0.25">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row>
    <row r="25" spans="1:52" x14ac:dyDescent="0.25">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row>
    <row r="26" spans="1:52"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row>
    <row r="27" spans="1:52"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row>
    <row r="28" spans="1:52" x14ac:dyDescent="0.25">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row>
    <row r="29" spans="1:52" x14ac:dyDescent="0.2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row>
    <row r="30" spans="1:52" x14ac:dyDescent="0.25">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row>
    <row r="31" spans="1:52" x14ac:dyDescent="0.25">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row>
    <row r="32" spans="1:52" x14ac:dyDescent="0.25">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row>
    <row r="33" spans="1:52" x14ac:dyDescent="0.2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row>
    <row r="34" spans="1:52" x14ac:dyDescent="0.25">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row>
    <row r="35" spans="1:52" x14ac:dyDescent="0.2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row>
    <row r="36" spans="1:52" x14ac:dyDescent="0.25">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row>
    <row r="37" spans="1:52" x14ac:dyDescent="0.25">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row>
    <row r="38" spans="1:52" x14ac:dyDescent="0.25">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row>
    <row r="39" spans="1:52" x14ac:dyDescent="0.25">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row>
    <row r="40" spans="1:52" x14ac:dyDescent="0.25">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row>
    <row r="41" spans="1:52" x14ac:dyDescent="0.25">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row>
    <row r="42" spans="1:52" x14ac:dyDescent="0.25">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row>
    <row r="43" spans="1:52" x14ac:dyDescent="0.25">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row>
    <row r="44" spans="1:52" x14ac:dyDescent="0.25">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row>
    <row r="45" spans="1:52" x14ac:dyDescent="0.2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row>
    <row r="46" spans="1:52" x14ac:dyDescent="0.25">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row>
    <row r="47" spans="1:52" x14ac:dyDescent="0.25">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row>
    <row r="48" spans="1:52" x14ac:dyDescent="0.25">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row>
    <row r="49" spans="1:52" x14ac:dyDescent="0.25">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row>
    <row r="50" spans="1:52" x14ac:dyDescent="0.25">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row>
    <row r="51" spans="1:52" x14ac:dyDescent="0.25">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row>
    <row r="52" spans="1:52" x14ac:dyDescent="0.25">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row>
    <row r="53" spans="1:52" x14ac:dyDescent="0.25">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row>
    <row r="54" spans="1:52" x14ac:dyDescent="0.25">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row>
    <row r="55" spans="1:52" x14ac:dyDescent="0.2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row>
    <row r="56" spans="1:52" x14ac:dyDescent="0.25">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row>
    <row r="57" spans="1:52" x14ac:dyDescent="0.25">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row>
    <row r="58" spans="1:52" x14ac:dyDescent="0.25">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row>
    <row r="59" spans="1:52" x14ac:dyDescent="0.25">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row>
    <row r="60" spans="1:52" x14ac:dyDescent="0.25">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row>
    <row r="61" spans="1:52" x14ac:dyDescent="0.25">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row>
    <row r="62" spans="1:52" x14ac:dyDescent="0.25">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row>
    <row r="63" spans="1:52" x14ac:dyDescent="0.25">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row>
    <row r="64" spans="1:52" x14ac:dyDescent="0.25">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row>
    <row r="65" spans="1:52" x14ac:dyDescent="0.2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row>
    <row r="66" spans="1:52" x14ac:dyDescent="0.25">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row>
    <row r="67" spans="1:52" x14ac:dyDescent="0.25">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row>
    <row r="68" spans="1:52" x14ac:dyDescent="0.25">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row>
    <row r="69" spans="1:52" x14ac:dyDescent="0.25">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row>
    <row r="70" spans="1:52" x14ac:dyDescent="0.25">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row>
    <row r="71" spans="1:52" x14ac:dyDescent="0.25">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row>
    <row r="72" spans="1:52" x14ac:dyDescent="0.25">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row>
    <row r="73" spans="1:52" x14ac:dyDescent="0.25">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row>
    <row r="74" spans="1:52" x14ac:dyDescent="0.25">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row>
    <row r="75" spans="1:52" x14ac:dyDescent="0.2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row>
    <row r="76" spans="1:52" x14ac:dyDescent="0.25">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row>
    <row r="77" spans="1:52" x14ac:dyDescent="0.25">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row>
    <row r="78" spans="1:52" x14ac:dyDescent="0.25">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row>
    <row r="79" spans="1:52" x14ac:dyDescent="0.25">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row>
    <row r="80" spans="1:52" x14ac:dyDescent="0.25">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row>
    <row r="81" spans="1:52" x14ac:dyDescent="0.25">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row>
    <row r="82" spans="1:52" x14ac:dyDescent="0.25">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row>
    <row r="83" spans="1:52" x14ac:dyDescent="0.25">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row>
    <row r="84" spans="1:52" x14ac:dyDescent="0.25">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row>
    <row r="85" spans="1:52" x14ac:dyDescent="0.2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row>
    <row r="86" spans="1:52" x14ac:dyDescent="0.25">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row>
    <row r="87" spans="1:52" x14ac:dyDescent="0.25">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row>
    <row r="88" spans="1:52" x14ac:dyDescent="0.25">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row>
    <row r="89" spans="1:52" x14ac:dyDescent="0.25">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row>
    <row r="90" spans="1:52" x14ac:dyDescent="0.25">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row>
    <row r="91" spans="1:52" x14ac:dyDescent="0.25">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row>
    <row r="92" spans="1:52" x14ac:dyDescent="0.25">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row>
    <row r="93" spans="1:52" x14ac:dyDescent="0.25">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row>
    <row r="94" spans="1:52" x14ac:dyDescent="0.25">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row>
    <row r="95" spans="1:52" x14ac:dyDescent="0.2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row>
    <row r="96" spans="1:52" x14ac:dyDescent="0.25">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row>
    <row r="97" spans="1:52" x14ac:dyDescent="0.25">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row>
    <row r="98" spans="1:52" x14ac:dyDescent="0.25">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row>
    <row r="99" spans="1:52" x14ac:dyDescent="0.25">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row>
    <row r="100" spans="1:52" x14ac:dyDescent="0.25">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row>
    <row r="101" spans="1:52" x14ac:dyDescent="0.25">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row>
    <row r="102" spans="1:52" x14ac:dyDescent="0.25">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row>
    <row r="103" spans="1:52" x14ac:dyDescent="0.25">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row>
    <row r="104" spans="1:52" x14ac:dyDescent="0.25">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row>
    <row r="105" spans="1:52" x14ac:dyDescent="0.2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row>
    <row r="106" spans="1:52" x14ac:dyDescent="0.25">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row>
    <row r="107" spans="1:52" x14ac:dyDescent="0.25">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row>
    <row r="108" spans="1:52" x14ac:dyDescent="0.25">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row>
    <row r="109" spans="1:52" x14ac:dyDescent="0.25">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row>
    <row r="110" spans="1:52" x14ac:dyDescent="0.25">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row>
    <row r="111" spans="1:52" x14ac:dyDescent="0.25">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row>
    <row r="112" spans="1:52" x14ac:dyDescent="0.25">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row>
    <row r="113" spans="1:52" x14ac:dyDescent="0.25">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row>
    <row r="114" spans="1:52" x14ac:dyDescent="0.25">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row>
    <row r="115" spans="1:52" x14ac:dyDescent="0.2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row>
    <row r="116" spans="1:52" x14ac:dyDescent="0.25">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row>
    <row r="117" spans="1:52" x14ac:dyDescent="0.25">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row>
    <row r="118" spans="1:52" x14ac:dyDescent="0.25">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row>
    <row r="119" spans="1:52" x14ac:dyDescent="0.25">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row>
    <row r="120" spans="1:52" x14ac:dyDescent="0.25">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row>
    <row r="121" spans="1:52" x14ac:dyDescent="0.25">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row>
    <row r="122" spans="1:52" x14ac:dyDescent="0.25">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row>
    <row r="123" spans="1:52" x14ac:dyDescent="0.25">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row>
    <row r="124" spans="1:52" x14ac:dyDescent="0.25">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row>
    <row r="125" spans="1:52" x14ac:dyDescent="0.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row>
    <row r="126" spans="1:52" x14ac:dyDescent="0.25">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row>
    <row r="127" spans="1:52" x14ac:dyDescent="0.25">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row>
    <row r="128" spans="1:52" x14ac:dyDescent="0.25">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row>
    <row r="129" spans="1:52" x14ac:dyDescent="0.25">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row>
    <row r="130" spans="1:52" x14ac:dyDescent="0.25">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row>
    <row r="131" spans="1:52" x14ac:dyDescent="0.25">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row>
    <row r="132" spans="1:52" x14ac:dyDescent="0.25">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row>
    <row r="133" spans="1:52" x14ac:dyDescent="0.25">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row>
    <row r="134" spans="1:52" x14ac:dyDescent="0.25">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row>
    <row r="135" spans="1:52" x14ac:dyDescent="0.2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row>
    <row r="136" spans="1:52" x14ac:dyDescent="0.25">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row>
    <row r="137" spans="1:52" x14ac:dyDescent="0.25">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row>
    <row r="138" spans="1:52" x14ac:dyDescent="0.25">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row>
    <row r="139" spans="1:52" x14ac:dyDescent="0.25">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row>
    <row r="140" spans="1:52" x14ac:dyDescent="0.25">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row>
    <row r="141" spans="1:52" x14ac:dyDescent="0.25">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row>
    <row r="142" spans="1:52" x14ac:dyDescent="0.25">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row>
    <row r="143" spans="1:52" x14ac:dyDescent="0.25">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row>
    <row r="144" spans="1:52" x14ac:dyDescent="0.25">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row>
    <row r="145" spans="1:52" x14ac:dyDescent="0.2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row>
    <row r="146" spans="1:52" x14ac:dyDescent="0.25">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row>
    <row r="147" spans="1:52" x14ac:dyDescent="0.25">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row>
    <row r="148" spans="1:52" x14ac:dyDescent="0.25">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row>
    <row r="149" spans="1:52" x14ac:dyDescent="0.25">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row>
    <row r="150" spans="1:52" x14ac:dyDescent="0.25">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row>
    <row r="151" spans="1:52" x14ac:dyDescent="0.25">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row>
    <row r="152" spans="1:52" x14ac:dyDescent="0.25">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row>
    <row r="153" spans="1:52" x14ac:dyDescent="0.25">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row>
    <row r="154" spans="1:52" x14ac:dyDescent="0.25">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row>
    <row r="155" spans="1:52" x14ac:dyDescent="0.2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row>
    <row r="156" spans="1:52" x14ac:dyDescent="0.25">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row>
    <row r="157" spans="1:52" x14ac:dyDescent="0.25">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row>
    <row r="158" spans="1:52" x14ac:dyDescent="0.25">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row>
    <row r="159" spans="1:52" x14ac:dyDescent="0.25">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row>
    <row r="160" spans="1:52" x14ac:dyDescent="0.25">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row>
    <row r="161" spans="1:52" x14ac:dyDescent="0.25">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row>
    <row r="162" spans="1:52" x14ac:dyDescent="0.25">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row>
    <row r="163" spans="1:52" x14ac:dyDescent="0.25">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row>
    <row r="164" spans="1:52" x14ac:dyDescent="0.25">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row>
    <row r="165" spans="1:52" x14ac:dyDescent="0.2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row>
    <row r="166" spans="1:52" x14ac:dyDescent="0.25">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row>
    <row r="167" spans="1:52" x14ac:dyDescent="0.25">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row>
    <row r="168" spans="1:52" x14ac:dyDescent="0.25">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row>
    <row r="169" spans="1:52" x14ac:dyDescent="0.25">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row>
    <row r="170" spans="1:52" x14ac:dyDescent="0.25">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row>
    <row r="171" spans="1:52" x14ac:dyDescent="0.25">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row>
    <row r="172" spans="1:52" x14ac:dyDescent="0.25">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row>
    <row r="173" spans="1:52" x14ac:dyDescent="0.25">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row>
    <row r="174" spans="1:52" x14ac:dyDescent="0.25">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row>
    <row r="175" spans="1:52" x14ac:dyDescent="0.2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row>
    <row r="176" spans="1:52" x14ac:dyDescent="0.25">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row>
    <row r="177" spans="1:52" x14ac:dyDescent="0.25">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row>
    <row r="178" spans="1:52" x14ac:dyDescent="0.25">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row>
    <row r="179" spans="1:52" x14ac:dyDescent="0.25">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row>
    <row r="180" spans="1:52" x14ac:dyDescent="0.25">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row>
    <row r="181" spans="1:52" x14ac:dyDescent="0.25">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row>
    <row r="182" spans="1:52" x14ac:dyDescent="0.25">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row>
    <row r="183" spans="1:52" x14ac:dyDescent="0.25">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row>
    <row r="184" spans="1:52" x14ac:dyDescent="0.25">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row>
    <row r="185" spans="1:52" x14ac:dyDescent="0.2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row>
    <row r="186" spans="1:52" x14ac:dyDescent="0.25">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row>
    <row r="187" spans="1:52" x14ac:dyDescent="0.25">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row>
    <row r="188" spans="1:52" x14ac:dyDescent="0.25">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row>
    <row r="189" spans="1:52" x14ac:dyDescent="0.25">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row>
    <row r="190" spans="1:52" x14ac:dyDescent="0.25">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row>
    <row r="191" spans="1:52" x14ac:dyDescent="0.25">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row>
    <row r="192" spans="1:52" x14ac:dyDescent="0.25">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row>
    <row r="193" spans="1:52" x14ac:dyDescent="0.25">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row>
    <row r="194" spans="1:52" x14ac:dyDescent="0.25">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row>
    <row r="195" spans="1:52" x14ac:dyDescent="0.2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row>
    <row r="196" spans="1:52" x14ac:dyDescent="0.25">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row>
    <row r="197" spans="1:52" x14ac:dyDescent="0.25">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row>
    <row r="198" spans="1:52" x14ac:dyDescent="0.25">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row>
    <row r="199" spans="1:52" x14ac:dyDescent="0.25">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row>
    <row r="200" spans="1:52" x14ac:dyDescent="0.25">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row>
  </sheetData>
  <sheetProtection password="CA97" sheet="1" objects="1" scenarios="1"/>
  <mergeCells count="1">
    <mergeCell ref="A1:P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00000"/>
  </sheetPr>
  <dimension ref="A1:O350"/>
  <sheetViews>
    <sheetView workbookViewId="0">
      <selection activeCell="K61" sqref="K61"/>
    </sheetView>
  </sheetViews>
  <sheetFormatPr defaultRowHeight="15" x14ac:dyDescent="0.25"/>
  <cols>
    <col min="1" max="1" width="14.7109375" style="42" customWidth="1"/>
    <col min="2" max="2" width="14.7109375" style="44" customWidth="1"/>
    <col min="3" max="3" width="14.7109375" style="46" customWidth="1"/>
    <col min="4" max="4" width="14.7109375" style="44" customWidth="1"/>
    <col min="5" max="5" width="14.7109375" style="46" customWidth="1"/>
    <col min="6" max="6" width="14.7109375" style="44" customWidth="1"/>
    <col min="7" max="7" width="14.7109375" style="46" customWidth="1"/>
    <col min="8" max="8" width="14.7109375" style="44" customWidth="1"/>
    <col min="9" max="9" width="14.7109375" style="42" customWidth="1"/>
    <col min="10" max="10" width="14.7109375" style="44" customWidth="1"/>
    <col min="11" max="11" width="14.7109375" style="42" customWidth="1"/>
    <col min="12" max="12" width="14.7109375" style="44" customWidth="1"/>
    <col min="13" max="13" width="14.7109375" style="42" customWidth="1"/>
    <col min="14" max="15" width="14.7109375" customWidth="1"/>
    <col min="16" max="16" width="14.28515625" customWidth="1"/>
    <col min="17" max="17" width="11" customWidth="1"/>
    <col min="18" max="18" width="13.7109375" customWidth="1"/>
    <col min="20" max="20" width="14.28515625" customWidth="1"/>
    <col min="21" max="21" width="11" customWidth="1"/>
    <col min="22" max="22" width="13.7109375" customWidth="1"/>
  </cols>
  <sheetData>
    <row r="1" spans="1:15" x14ac:dyDescent="0.25">
      <c r="A1" s="41" t="s">
        <v>25</v>
      </c>
      <c r="B1" s="43" t="s">
        <v>52</v>
      </c>
      <c r="C1" s="45" t="s">
        <v>26</v>
      </c>
      <c r="D1" s="43" t="s">
        <v>27</v>
      </c>
      <c r="E1" s="45" t="s">
        <v>28</v>
      </c>
      <c r="F1" s="43" t="s">
        <v>29</v>
      </c>
      <c r="G1" s="45" t="s">
        <v>30</v>
      </c>
      <c r="H1" s="43" t="s">
        <v>31</v>
      </c>
      <c r="I1" s="41" t="s">
        <v>32</v>
      </c>
      <c r="J1" s="43" t="s">
        <v>33</v>
      </c>
      <c r="K1" s="41" t="s">
        <v>34</v>
      </c>
      <c r="L1" s="43" t="s">
        <v>35</v>
      </c>
      <c r="M1" s="41" t="s">
        <v>36</v>
      </c>
    </row>
    <row r="2" spans="1:15" x14ac:dyDescent="0.25">
      <c r="A2" s="47" t="s">
        <v>297</v>
      </c>
      <c r="B2" s="48" t="s">
        <v>297</v>
      </c>
      <c r="C2" s="49" t="s">
        <v>392</v>
      </c>
      <c r="D2" s="48" t="s">
        <v>387</v>
      </c>
      <c r="E2" s="49" t="s">
        <v>386</v>
      </c>
      <c r="F2" s="48" t="s">
        <v>79</v>
      </c>
      <c r="G2" s="49" t="s">
        <v>84</v>
      </c>
      <c r="H2" s="48" t="s">
        <v>90</v>
      </c>
      <c r="I2" s="47" t="s">
        <v>95</v>
      </c>
      <c r="J2" s="48" t="s">
        <v>102</v>
      </c>
      <c r="K2" s="47" t="s">
        <v>389</v>
      </c>
      <c r="L2" s="48" t="s">
        <v>390</v>
      </c>
      <c r="M2" s="47" t="s">
        <v>124</v>
      </c>
    </row>
    <row r="3" spans="1:15" x14ac:dyDescent="0.25">
      <c r="A3" s="47" t="s">
        <v>349</v>
      </c>
      <c r="B3" s="48" t="s">
        <v>388</v>
      </c>
      <c r="C3" s="49" t="s">
        <v>393</v>
      </c>
      <c r="D3" s="48"/>
      <c r="E3" s="49" t="s">
        <v>394</v>
      </c>
      <c r="F3" s="48"/>
      <c r="G3" s="49"/>
      <c r="H3" s="48"/>
      <c r="I3" s="47"/>
      <c r="J3" s="48" t="s">
        <v>395</v>
      </c>
      <c r="K3" s="47"/>
      <c r="L3" s="48"/>
      <c r="M3" s="47"/>
    </row>
    <row r="4" spans="1:15" x14ac:dyDescent="0.25">
      <c r="N4" s="19"/>
      <c r="O4" s="19"/>
    </row>
    <row r="5" spans="1:15" x14ac:dyDescent="0.25">
      <c r="A5" s="75" t="s">
        <v>39</v>
      </c>
      <c r="B5" s="76" t="s">
        <v>40</v>
      </c>
      <c r="C5" s="70" t="s">
        <v>406</v>
      </c>
      <c r="D5" s="76" t="s">
        <v>41</v>
      </c>
      <c r="E5" s="70" t="s">
        <v>42</v>
      </c>
      <c r="F5" s="76" t="s">
        <v>43</v>
      </c>
      <c r="G5" s="70" t="s">
        <v>410</v>
      </c>
      <c r="H5" s="76" t="s">
        <v>285</v>
      </c>
      <c r="I5" s="75" t="s">
        <v>410</v>
      </c>
      <c r="J5" s="76" t="s">
        <v>42</v>
      </c>
      <c r="K5" s="75" t="s">
        <v>41</v>
      </c>
      <c r="L5" s="76" t="s">
        <v>42</v>
      </c>
      <c r="M5" s="75" t="s">
        <v>353</v>
      </c>
      <c r="N5" s="19"/>
      <c r="O5" s="19"/>
    </row>
    <row r="6" spans="1:15" x14ac:dyDescent="0.25">
      <c r="A6" s="75" t="s">
        <v>45</v>
      </c>
      <c r="B6" s="76" t="s">
        <v>46</v>
      </c>
      <c r="C6" s="70" t="s">
        <v>47</v>
      </c>
      <c r="D6" s="76" t="s">
        <v>48</v>
      </c>
      <c r="E6" s="70" t="s">
        <v>49</v>
      </c>
      <c r="F6" s="76" t="s">
        <v>50</v>
      </c>
      <c r="G6" s="70" t="s">
        <v>51</v>
      </c>
      <c r="H6" s="76" t="s">
        <v>286</v>
      </c>
      <c r="I6" s="75" t="s">
        <v>58</v>
      </c>
      <c r="J6" s="76" t="s">
        <v>41</v>
      </c>
      <c r="K6" s="75" t="s">
        <v>48</v>
      </c>
      <c r="L6" s="76" t="s">
        <v>49</v>
      </c>
      <c r="M6" s="75" t="s">
        <v>354</v>
      </c>
      <c r="N6" s="19"/>
      <c r="O6" s="19"/>
    </row>
    <row r="7" spans="1:15" x14ac:dyDescent="0.25">
      <c r="A7" s="75" t="s">
        <v>53</v>
      </c>
      <c r="B7" s="76" t="s">
        <v>54</v>
      </c>
      <c r="C7" s="70" t="s">
        <v>55</v>
      </c>
      <c r="D7" s="76" t="s">
        <v>408</v>
      </c>
      <c r="E7" s="70" t="s">
        <v>410</v>
      </c>
      <c r="F7" s="76" t="s">
        <v>56</v>
      </c>
      <c r="G7" s="70" t="s">
        <v>57</v>
      </c>
      <c r="H7" s="76" t="s">
        <v>287</v>
      </c>
      <c r="I7" s="75" t="s">
        <v>64</v>
      </c>
      <c r="J7" s="76" t="s">
        <v>49</v>
      </c>
      <c r="K7" s="75" t="s">
        <v>61</v>
      </c>
      <c r="L7" s="76" t="s">
        <v>58</v>
      </c>
      <c r="M7" s="75" t="s">
        <v>355</v>
      </c>
      <c r="N7" s="19"/>
      <c r="O7" s="19"/>
    </row>
    <row r="8" spans="1:15" x14ac:dyDescent="0.25">
      <c r="A8" s="75" t="s">
        <v>296</v>
      </c>
      <c r="B8" s="76" t="s">
        <v>59</v>
      </c>
      <c r="C8" s="70" t="s">
        <v>60</v>
      </c>
      <c r="D8" s="76" t="s">
        <v>61</v>
      </c>
      <c r="E8" s="70" t="s">
        <v>58</v>
      </c>
      <c r="F8" s="76" t="s">
        <v>62</v>
      </c>
      <c r="G8" s="70" t="s">
        <v>63</v>
      </c>
      <c r="H8" s="76" t="s">
        <v>288</v>
      </c>
      <c r="I8" s="75" t="s">
        <v>69</v>
      </c>
      <c r="J8" s="76" t="s">
        <v>58</v>
      </c>
      <c r="K8" s="75" t="s">
        <v>66</v>
      </c>
      <c r="L8" s="76" t="s">
        <v>64</v>
      </c>
      <c r="M8" s="75" t="s">
        <v>356</v>
      </c>
      <c r="N8" s="19"/>
      <c r="O8" s="19"/>
    </row>
    <row r="9" spans="1:15" x14ac:dyDescent="0.25">
      <c r="A9" s="75" t="s">
        <v>298</v>
      </c>
      <c r="B9" s="76" t="s">
        <v>309</v>
      </c>
      <c r="C9" s="70" t="s">
        <v>65</v>
      </c>
      <c r="D9" s="76" t="s">
        <v>66</v>
      </c>
      <c r="E9" s="70" t="s">
        <v>64</v>
      </c>
      <c r="F9" s="76" t="s">
        <v>67</v>
      </c>
      <c r="G9" s="70" t="s">
        <v>68</v>
      </c>
      <c r="H9" s="76" t="s">
        <v>89</v>
      </c>
      <c r="I9" s="75" t="s">
        <v>73</v>
      </c>
      <c r="J9" s="76" t="s">
        <v>64</v>
      </c>
      <c r="K9" s="75" t="s">
        <v>353</v>
      </c>
      <c r="L9" s="76" t="s">
        <v>69</v>
      </c>
      <c r="M9" s="75" t="s">
        <v>357</v>
      </c>
      <c r="N9" s="19"/>
      <c r="O9" s="19"/>
    </row>
    <row r="10" spans="1:15" x14ac:dyDescent="0.25">
      <c r="A10" s="75"/>
      <c r="B10" s="76" t="s">
        <v>298</v>
      </c>
      <c r="C10" s="70" t="s">
        <v>70</v>
      </c>
      <c r="D10" s="76" t="s">
        <v>353</v>
      </c>
      <c r="E10" s="70" t="s">
        <v>69</v>
      </c>
      <c r="F10" s="76" t="s">
        <v>71</v>
      </c>
      <c r="G10" s="70" t="s">
        <v>72</v>
      </c>
      <c r="H10" s="76" t="s">
        <v>94</v>
      </c>
      <c r="I10" s="75" t="s">
        <v>78</v>
      </c>
      <c r="J10" s="76" t="s">
        <v>69</v>
      </c>
      <c r="K10" s="75" t="s">
        <v>408</v>
      </c>
      <c r="L10" s="76" t="s">
        <v>73</v>
      </c>
      <c r="M10" s="75" t="s">
        <v>358</v>
      </c>
      <c r="N10" s="19"/>
      <c r="O10" s="19"/>
    </row>
    <row r="11" spans="1:15" x14ac:dyDescent="0.25">
      <c r="A11" s="75"/>
      <c r="B11" s="76"/>
      <c r="C11" s="70" t="s">
        <v>74</v>
      </c>
      <c r="D11" s="76" t="s">
        <v>75</v>
      </c>
      <c r="E11" s="70" t="s">
        <v>73</v>
      </c>
      <c r="F11" s="76" t="s">
        <v>76</v>
      </c>
      <c r="G11" s="70" t="s">
        <v>316</v>
      </c>
      <c r="H11" s="76" t="s">
        <v>101</v>
      </c>
      <c r="I11" s="75" t="s">
        <v>83</v>
      </c>
      <c r="J11" s="76" t="s">
        <v>73</v>
      </c>
      <c r="K11" s="75" t="s">
        <v>75</v>
      </c>
      <c r="L11" s="76" t="s">
        <v>78</v>
      </c>
      <c r="M11" s="75" t="s">
        <v>359</v>
      </c>
      <c r="N11" s="19"/>
      <c r="O11" s="19"/>
    </row>
    <row r="12" spans="1:15" x14ac:dyDescent="0.25">
      <c r="A12" s="75"/>
      <c r="B12" s="76"/>
      <c r="C12" s="70" t="s">
        <v>80</v>
      </c>
      <c r="D12" s="76" t="s">
        <v>354</v>
      </c>
      <c r="E12" s="70" t="s">
        <v>78</v>
      </c>
      <c r="F12" s="76" t="s">
        <v>81</v>
      </c>
      <c r="G12" s="70" t="s">
        <v>77</v>
      </c>
      <c r="H12" s="76" t="s">
        <v>106</v>
      </c>
      <c r="I12" s="75" t="s">
        <v>57</v>
      </c>
      <c r="J12" s="76" t="s">
        <v>78</v>
      </c>
      <c r="K12" s="75" t="s">
        <v>354</v>
      </c>
      <c r="L12" s="76" t="s">
        <v>83</v>
      </c>
      <c r="M12" s="75" t="s">
        <v>360</v>
      </c>
      <c r="N12" s="19"/>
      <c r="O12" s="19"/>
    </row>
    <row r="13" spans="1:15" x14ac:dyDescent="0.25">
      <c r="A13" s="75"/>
      <c r="B13" s="76"/>
      <c r="C13" s="70" t="s">
        <v>350</v>
      </c>
      <c r="D13" s="76" t="s">
        <v>86</v>
      </c>
      <c r="E13" s="70" t="s">
        <v>83</v>
      </c>
      <c r="F13" s="76" t="s">
        <v>87</v>
      </c>
      <c r="G13" s="70" t="s">
        <v>82</v>
      </c>
      <c r="H13" s="76" t="s">
        <v>112</v>
      </c>
      <c r="I13" s="75" t="s">
        <v>285</v>
      </c>
      <c r="J13" s="76" t="s">
        <v>83</v>
      </c>
      <c r="K13" s="75" t="s">
        <v>86</v>
      </c>
      <c r="L13" s="76" t="s">
        <v>410</v>
      </c>
      <c r="M13" s="75" t="s">
        <v>361</v>
      </c>
      <c r="N13" s="19"/>
      <c r="O13" s="19"/>
    </row>
    <row r="14" spans="1:15" x14ac:dyDescent="0.25">
      <c r="A14" s="75"/>
      <c r="B14" s="76"/>
      <c r="C14" s="70" t="s">
        <v>351</v>
      </c>
      <c r="D14" s="76" t="s">
        <v>355</v>
      </c>
      <c r="E14" s="70" t="s">
        <v>98</v>
      </c>
      <c r="F14" s="76" t="s">
        <v>92</v>
      </c>
      <c r="G14" s="70" t="s">
        <v>88</v>
      </c>
      <c r="H14" s="76" t="s">
        <v>118</v>
      </c>
      <c r="I14" s="75" t="s">
        <v>286</v>
      </c>
      <c r="J14" s="76" t="s">
        <v>410</v>
      </c>
      <c r="K14" s="75" t="s">
        <v>355</v>
      </c>
      <c r="L14" s="76" t="s">
        <v>410</v>
      </c>
      <c r="M14" s="75" t="s">
        <v>362</v>
      </c>
      <c r="N14" s="19"/>
      <c r="O14" s="19"/>
    </row>
    <row r="15" spans="1:15" x14ac:dyDescent="0.25">
      <c r="A15" s="75"/>
      <c r="B15" s="76"/>
      <c r="C15" s="70" t="s">
        <v>85</v>
      </c>
      <c r="D15" s="76" t="s">
        <v>97</v>
      </c>
      <c r="E15" s="70" t="s">
        <v>411</v>
      </c>
      <c r="F15" s="76" t="s">
        <v>99</v>
      </c>
      <c r="G15" s="70" t="s">
        <v>93</v>
      </c>
      <c r="H15" s="76" t="s">
        <v>123</v>
      </c>
      <c r="I15" s="75" t="s">
        <v>287</v>
      </c>
      <c r="J15" s="76" t="s">
        <v>410</v>
      </c>
      <c r="K15" s="75" t="s">
        <v>97</v>
      </c>
      <c r="L15" s="76" t="s">
        <v>51</v>
      </c>
      <c r="M15" s="75" t="s">
        <v>363</v>
      </c>
      <c r="N15" s="19"/>
      <c r="O15" s="19"/>
    </row>
    <row r="16" spans="1:15" x14ac:dyDescent="0.25">
      <c r="A16" s="75"/>
      <c r="B16" s="76"/>
      <c r="C16" s="70" t="s">
        <v>91</v>
      </c>
      <c r="D16" s="76" t="s">
        <v>356</v>
      </c>
      <c r="E16" s="70" t="s">
        <v>109</v>
      </c>
      <c r="F16" s="76" t="s">
        <v>104</v>
      </c>
      <c r="G16" s="70" t="s">
        <v>100</v>
      </c>
      <c r="H16" s="76" t="s">
        <v>130</v>
      </c>
      <c r="I16" s="75" t="s">
        <v>288</v>
      </c>
      <c r="J16" s="76" t="s">
        <v>51</v>
      </c>
      <c r="K16" s="75" t="s">
        <v>356</v>
      </c>
      <c r="L16" s="76" t="s">
        <v>57</v>
      </c>
      <c r="M16" s="75" t="s">
        <v>365</v>
      </c>
      <c r="N16" s="19"/>
      <c r="O16" s="19"/>
    </row>
    <row r="17" spans="1:15" x14ac:dyDescent="0.25">
      <c r="A17" s="75"/>
      <c r="B17" s="76"/>
      <c r="C17" s="70" t="s">
        <v>96</v>
      </c>
      <c r="D17" s="76" t="s">
        <v>108</v>
      </c>
      <c r="E17" s="70" t="s">
        <v>115</v>
      </c>
      <c r="F17" s="76" t="s">
        <v>110</v>
      </c>
      <c r="G17" s="70" t="s">
        <v>105</v>
      </c>
      <c r="H17" s="76" t="s">
        <v>138</v>
      </c>
      <c r="I17" s="75" t="s">
        <v>109</v>
      </c>
      <c r="J17" s="76" t="s">
        <v>57</v>
      </c>
      <c r="K17" s="75" t="s">
        <v>108</v>
      </c>
      <c r="L17" s="76" t="s">
        <v>63</v>
      </c>
      <c r="M17" s="75" t="s">
        <v>366</v>
      </c>
      <c r="N17" s="19"/>
      <c r="O17" s="19"/>
    </row>
    <row r="18" spans="1:15" x14ac:dyDescent="0.25">
      <c r="A18" s="75"/>
      <c r="B18" s="76"/>
      <c r="C18" s="70" t="s">
        <v>103</v>
      </c>
      <c r="D18" s="76" t="s">
        <v>114</v>
      </c>
      <c r="E18" s="70" t="s">
        <v>315</v>
      </c>
      <c r="F18" s="76" t="s">
        <v>116</v>
      </c>
      <c r="G18" s="70" t="s">
        <v>111</v>
      </c>
      <c r="H18" s="76" t="s">
        <v>144</v>
      </c>
      <c r="I18" s="75" t="s">
        <v>315</v>
      </c>
      <c r="J18" s="76" t="s">
        <v>63</v>
      </c>
      <c r="K18" s="75" t="s">
        <v>114</v>
      </c>
      <c r="L18" s="76" t="s">
        <v>68</v>
      </c>
      <c r="M18" s="75" t="s">
        <v>367</v>
      </c>
      <c r="N18" s="19"/>
      <c r="O18" s="19"/>
    </row>
    <row r="19" spans="1:15" x14ac:dyDescent="0.25">
      <c r="A19" s="75"/>
      <c r="B19" s="76"/>
      <c r="C19" s="70" t="s">
        <v>107</v>
      </c>
      <c r="D19" s="76" t="s">
        <v>357</v>
      </c>
      <c r="E19" s="70" t="s">
        <v>120</v>
      </c>
      <c r="F19" s="76" t="s">
        <v>121</v>
      </c>
      <c r="G19" s="70" t="s">
        <v>117</v>
      </c>
      <c r="H19" s="76" t="s">
        <v>150</v>
      </c>
      <c r="I19" s="75" t="s">
        <v>88</v>
      </c>
      <c r="J19" s="76" t="s">
        <v>68</v>
      </c>
      <c r="K19" s="75" t="s">
        <v>357</v>
      </c>
      <c r="L19" s="76" t="s">
        <v>72</v>
      </c>
      <c r="M19" s="75" t="s">
        <v>368</v>
      </c>
      <c r="N19" s="19"/>
      <c r="O19" s="19"/>
    </row>
    <row r="20" spans="1:15" x14ac:dyDescent="0.25">
      <c r="A20" s="75"/>
      <c r="B20" s="76"/>
      <c r="C20" s="70" t="s">
        <v>418</v>
      </c>
      <c r="D20" s="76" t="s">
        <v>126</v>
      </c>
      <c r="E20" s="70" t="s">
        <v>127</v>
      </c>
      <c r="F20" s="76" t="s">
        <v>128</v>
      </c>
      <c r="G20" s="70" t="s">
        <v>122</v>
      </c>
      <c r="H20" s="76" t="s">
        <v>155</v>
      </c>
      <c r="I20" s="75" t="s">
        <v>129</v>
      </c>
      <c r="J20" s="76" t="s">
        <v>72</v>
      </c>
      <c r="K20" s="75" t="s">
        <v>126</v>
      </c>
      <c r="L20" s="76" t="s">
        <v>316</v>
      </c>
      <c r="M20" s="75" t="s">
        <v>369</v>
      </c>
      <c r="N20" s="19"/>
      <c r="O20" s="19"/>
    </row>
    <row r="21" spans="1:15" x14ac:dyDescent="0.25">
      <c r="A21" s="75"/>
      <c r="B21" s="76"/>
      <c r="C21" s="70" t="s">
        <v>119</v>
      </c>
      <c r="D21" s="76" t="s">
        <v>134</v>
      </c>
      <c r="E21" s="70" t="s">
        <v>135</v>
      </c>
      <c r="F21" s="76" t="s">
        <v>136</v>
      </c>
      <c r="G21" s="70" t="s">
        <v>129</v>
      </c>
      <c r="H21" s="76" t="s">
        <v>289</v>
      </c>
      <c r="I21" s="75" t="s">
        <v>137</v>
      </c>
      <c r="J21" s="76" t="s">
        <v>316</v>
      </c>
      <c r="K21" s="75" t="s">
        <v>134</v>
      </c>
      <c r="L21" s="76" t="s">
        <v>77</v>
      </c>
      <c r="M21" s="75" t="s">
        <v>370</v>
      </c>
      <c r="N21" s="19"/>
      <c r="O21" s="19"/>
    </row>
    <row r="22" spans="1:15" x14ac:dyDescent="0.25">
      <c r="A22" s="75"/>
      <c r="B22" s="76"/>
      <c r="C22" s="70" t="s">
        <v>313</v>
      </c>
      <c r="D22" s="76" t="s">
        <v>140</v>
      </c>
      <c r="E22" s="70" t="s">
        <v>141</v>
      </c>
      <c r="F22" s="76" t="s">
        <v>142</v>
      </c>
      <c r="G22" s="70" t="s">
        <v>137</v>
      </c>
      <c r="H22" s="76" t="s">
        <v>290</v>
      </c>
      <c r="I22" s="75" t="s">
        <v>162</v>
      </c>
      <c r="J22" s="76" t="s">
        <v>77</v>
      </c>
      <c r="K22" s="75" t="s">
        <v>140</v>
      </c>
      <c r="L22" s="76" t="s">
        <v>82</v>
      </c>
      <c r="M22" s="75" t="s">
        <v>371</v>
      </c>
      <c r="N22" s="19"/>
      <c r="O22" s="19"/>
    </row>
    <row r="23" spans="1:15" x14ac:dyDescent="0.25">
      <c r="A23" s="75"/>
      <c r="B23" s="76"/>
      <c r="C23" s="70" t="s">
        <v>125</v>
      </c>
      <c r="D23" s="76" t="s">
        <v>358</v>
      </c>
      <c r="E23" s="70" t="s">
        <v>147</v>
      </c>
      <c r="F23" s="76" t="s">
        <v>148</v>
      </c>
      <c r="G23" s="70" t="s">
        <v>143</v>
      </c>
      <c r="H23" s="76" t="s">
        <v>291</v>
      </c>
      <c r="I23" s="75" t="s">
        <v>415</v>
      </c>
      <c r="J23" s="76" t="s">
        <v>82</v>
      </c>
      <c r="K23" s="75" t="s">
        <v>358</v>
      </c>
      <c r="L23" s="76" t="s">
        <v>285</v>
      </c>
      <c r="M23" s="75" t="s">
        <v>372</v>
      </c>
      <c r="N23" s="19"/>
      <c r="O23" s="19"/>
    </row>
    <row r="24" spans="1:15" x14ac:dyDescent="0.25">
      <c r="A24" s="75"/>
      <c r="B24" s="76"/>
      <c r="C24" s="70" t="s">
        <v>310</v>
      </c>
      <c r="D24" s="76" t="s">
        <v>359</v>
      </c>
      <c r="E24" s="70" t="s">
        <v>152</v>
      </c>
      <c r="F24" s="76" t="s">
        <v>153</v>
      </c>
      <c r="G24" s="70" t="s">
        <v>149</v>
      </c>
      <c r="H24" s="76" t="s">
        <v>292</v>
      </c>
      <c r="I24" s="75" t="s">
        <v>89</v>
      </c>
      <c r="J24" s="76" t="s">
        <v>285</v>
      </c>
      <c r="K24" s="75" t="s">
        <v>359</v>
      </c>
      <c r="L24" s="76" t="s">
        <v>286</v>
      </c>
      <c r="M24" s="75" t="s">
        <v>407</v>
      </c>
      <c r="N24" s="19"/>
      <c r="O24" s="19"/>
    </row>
    <row r="25" spans="1:15" x14ac:dyDescent="0.25">
      <c r="A25" s="75"/>
      <c r="B25" s="76"/>
      <c r="C25" s="70" t="s">
        <v>133</v>
      </c>
      <c r="D25" s="76" t="s">
        <v>360</v>
      </c>
      <c r="E25" s="70" t="s">
        <v>159</v>
      </c>
      <c r="F25" s="76" t="s">
        <v>160</v>
      </c>
      <c r="G25" s="70" t="s">
        <v>154</v>
      </c>
      <c r="H25" s="76" t="s">
        <v>182</v>
      </c>
      <c r="I25" s="75" t="s">
        <v>94</v>
      </c>
      <c r="J25" s="76" t="s">
        <v>286</v>
      </c>
      <c r="K25" s="75" t="s">
        <v>360</v>
      </c>
      <c r="L25" s="76" t="s">
        <v>287</v>
      </c>
      <c r="M25" s="75" t="s">
        <v>373</v>
      </c>
      <c r="N25" s="19"/>
      <c r="O25" s="19"/>
    </row>
    <row r="26" spans="1:15" x14ac:dyDescent="0.25">
      <c r="A26" s="75"/>
      <c r="B26" s="76"/>
      <c r="C26" s="70" t="s">
        <v>139</v>
      </c>
      <c r="D26" s="76" t="s">
        <v>164</v>
      </c>
      <c r="E26" s="70" t="s">
        <v>165</v>
      </c>
      <c r="F26" s="76" t="s">
        <v>166</v>
      </c>
      <c r="G26" s="70" t="s">
        <v>161</v>
      </c>
      <c r="H26" s="76" t="s">
        <v>186</v>
      </c>
      <c r="I26" s="75" t="s">
        <v>101</v>
      </c>
      <c r="J26" s="76" t="s">
        <v>287</v>
      </c>
      <c r="K26" s="75" t="s">
        <v>164</v>
      </c>
      <c r="L26" s="76" t="s">
        <v>288</v>
      </c>
      <c r="M26" s="75" t="s">
        <v>374</v>
      </c>
      <c r="N26" s="19"/>
      <c r="O26" s="19"/>
    </row>
    <row r="27" spans="1:15" x14ac:dyDescent="0.25">
      <c r="A27" s="75"/>
      <c r="B27" s="76"/>
      <c r="C27" s="70" t="s">
        <v>146</v>
      </c>
      <c r="D27" s="76" t="s">
        <v>361</v>
      </c>
      <c r="E27" s="70" t="s">
        <v>170</v>
      </c>
      <c r="F27" s="76" t="s">
        <v>171</v>
      </c>
      <c r="G27" s="70" t="s">
        <v>162</v>
      </c>
      <c r="H27" s="76" t="s">
        <v>190</v>
      </c>
      <c r="I27" s="75" t="s">
        <v>106</v>
      </c>
      <c r="J27" s="76" t="s">
        <v>288</v>
      </c>
      <c r="K27" s="75" t="s">
        <v>361</v>
      </c>
      <c r="L27" s="76" t="s">
        <v>98</v>
      </c>
      <c r="M27" s="75" t="s">
        <v>375</v>
      </c>
      <c r="N27" s="19"/>
      <c r="O27" s="19"/>
    </row>
    <row r="28" spans="1:15" x14ac:dyDescent="0.25">
      <c r="A28" s="75"/>
      <c r="B28" s="76"/>
      <c r="C28" s="70" t="s">
        <v>311</v>
      </c>
      <c r="D28" s="76" t="s">
        <v>175</v>
      </c>
      <c r="E28" s="70" t="s">
        <v>399</v>
      </c>
      <c r="F28" s="76" t="s">
        <v>177</v>
      </c>
      <c r="G28" s="70" t="s">
        <v>172</v>
      </c>
      <c r="H28" s="76" t="s">
        <v>192</v>
      </c>
      <c r="I28" s="75" t="s">
        <v>165</v>
      </c>
      <c r="J28" s="76" t="s">
        <v>48</v>
      </c>
      <c r="K28" s="75" t="s">
        <v>175</v>
      </c>
      <c r="L28" s="76" t="s">
        <v>109</v>
      </c>
      <c r="M28" s="75" t="s">
        <v>376</v>
      </c>
      <c r="N28" s="19"/>
      <c r="O28" s="19"/>
    </row>
    <row r="29" spans="1:15" x14ac:dyDescent="0.25">
      <c r="A29" s="75"/>
      <c r="B29" s="76"/>
      <c r="C29" s="70" t="s">
        <v>151</v>
      </c>
      <c r="D29" s="76" t="s">
        <v>362</v>
      </c>
      <c r="E29" s="70" t="s">
        <v>400</v>
      </c>
      <c r="F29" s="76" t="s">
        <v>181</v>
      </c>
      <c r="G29" s="70" t="s">
        <v>178</v>
      </c>
      <c r="H29" s="76" t="s">
        <v>298</v>
      </c>
      <c r="I29" s="75" t="s">
        <v>170</v>
      </c>
      <c r="J29" s="76" t="s">
        <v>61</v>
      </c>
      <c r="K29" s="75" t="s">
        <v>362</v>
      </c>
      <c r="L29" s="76" t="s">
        <v>411</v>
      </c>
      <c r="M29" s="75" t="s">
        <v>377</v>
      </c>
      <c r="N29" s="19"/>
      <c r="O29" s="19"/>
    </row>
    <row r="30" spans="1:15" x14ac:dyDescent="0.25">
      <c r="A30" s="75"/>
      <c r="B30" s="76"/>
      <c r="C30" s="70" t="s">
        <v>314</v>
      </c>
      <c r="D30" s="76" t="s">
        <v>184</v>
      </c>
      <c r="E30" s="70" t="s">
        <v>176</v>
      </c>
      <c r="F30" s="76" t="s">
        <v>298</v>
      </c>
      <c r="G30" s="70" t="s">
        <v>414</v>
      </c>
      <c r="H30" s="76" t="s">
        <v>299</v>
      </c>
      <c r="I30" s="75" t="s">
        <v>399</v>
      </c>
      <c r="J30" s="76" t="s">
        <v>66</v>
      </c>
      <c r="K30" s="75" t="s">
        <v>184</v>
      </c>
      <c r="L30" s="76" t="s">
        <v>115</v>
      </c>
      <c r="M30" s="75" t="s">
        <v>403</v>
      </c>
      <c r="N30" s="19"/>
      <c r="O30" s="19"/>
    </row>
    <row r="31" spans="1:15" x14ac:dyDescent="0.25">
      <c r="A31" s="75"/>
      <c r="B31" s="76"/>
      <c r="C31" s="70" t="s">
        <v>158</v>
      </c>
      <c r="D31" s="76" t="s">
        <v>188</v>
      </c>
      <c r="E31" s="70" t="s">
        <v>180</v>
      </c>
      <c r="F31" s="76" t="s">
        <v>299</v>
      </c>
      <c r="G31" s="70" t="s">
        <v>415</v>
      </c>
      <c r="H31" s="76" t="s">
        <v>318</v>
      </c>
      <c r="I31" s="75" t="s">
        <v>400</v>
      </c>
      <c r="J31" s="76" t="s">
        <v>353</v>
      </c>
      <c r="K31" s="75" t="s">
        <v>188</v>
      </c>
      <c r="L31" s="76" t="s">
        <v>315</v>
      </c>
      <c r="M31" s="75" t="s">
        <v>378</v>
      </c>
      <c r="N31" s="19"/>
      <c r="O31" s="19"/>
    </row>
    <row r="32" spans="1:15" x14ac:dyDescent="0.25">
      <c r="A32" s="75"/>
      <c r="B32" s="76"/>
      <c r="C32" s="70" t="s">
        <v>312</v>
      </c>
      <c r="D32" s="76" t="s">
        <v>363</v>
      </c>
      <c r="E32" s="70" t="s">
        <v>185</v>
      </c>
      <c r="F32" s="76" t="s">
        <v>306</v>
      </c>
      <c r="G32" s="70" t="s">
        <v>43</v>
      </c>
      <c r="H32" s="76"/>
      <c r="I32" s="75" t="s">
        <v>112</v>
      </c>
      <c r="J32" s="76" t="s">
        <v>408</v>
      </c>
      <c r="K32" s="75" t="s">
        <v>363</v>
      </c>
      <c r="L32" s="76" t="s">
        <v>120</v>
      </c>
      <c r="M32" s="75" t="s">
        <v>379</v>
      </c>
      <c r="N32" s="19"/>
      <c r="O32" s="19"/>
    </row>
    <row r="33" spans="1:15" x14ac:dyDescent="0.25">
      <c r="A33" s="75"/>
      <c r="B33" s="76"/>
      <c r="C33" s="70" t="s">
        <v>402</v>
      </c>
      <c r="D33" s="76" t="s">
        <v>193</v>
      </c>
      <c r="E33" s="70" t="s">
        <v>189</v>
      </c>
      <c r="F33" s="76"/>
      <c r="G33" s="70" t="s">
        <v>191</v>
      </c>
      <c r="H33" s="76"/>
      <c r="I33" s="75" t="s">
        <v>118</v>
      </c>
      <c r="J33" s="76" t="s">
        <v>75</v>
      </c>
      <c r="K33" s="75" t="s">
        <v>193</v>
      </c>
      <c r="L33" s="76" t="s">
        <v>127</v>
      </c>
      <c r="M33" s="75" t="s">
        <v>380</v>
      </c>
      <c r="N33" s="19"/>
      <c r="O33" s="19"/>
    </row>
    <row r="34" spans="1:15" x14ac:dyDescent="0.25">
      <c r="A34" s="75"/>
      <c r="B34" s="76"/>
      <c r="C34" s="70" t="s">
        <v>163</v>
      </c>
      <c r="D34" s="76" t="s">
        <v>364</v>
      </c>
      <c r="E34" s="70" t="s">
        <v>194</v>
      </c>
      <c r="F34" s="76"/>
      <c r="G34" s="70" t="s">
        <v>319</v>
      </c>
      <c r="H34" s="76"/>
      <c r="I34" s="75" t="s">
        <v>123</v>
      </c>
      <c r="J34" s="76" t="s">
        <v>354</v>
      </c>
      <c r="K34" s="75" t="s">
        <v>364</v>
      </c>
      <c r="L34" s="76" t="s">
        <v>88</v>
      </c>
      <c r="M34" s="75" t="s">
        <v>381</v>
      </c>
      <c r="N34" s="19"/>
      <c r="O34" s="19"/>
    </row>
    <row r="35" spans="1:15" x14ac:dyDescent="0.25">
      <c r="A35" s="75"/>
      <c r="B35" s="76"/>
      <c r="C35" s="70" t="s">
        <v>169</v>
      </c>
      <c r="D35" s="76" t="s">
        <v>409</v>
      </c>
      <c r="E35" s="70" t="s">
        <v>196</v>
      </c>
      <c r="F35" s="76"/>
      <c r="G35" s="70" t="s">
        <v>195</v>
      </c>
      <c r="H35" s="76"/>
      <c r="I35" s="75" t="s">
        <v>130</v>
      </c>
      <c r="J35" s="76" t="s">
        <v>86</v>
      </c>
      <c r="K35" s="75" t="s">
        <v>365</v>
      </c>
      <c r="L35" s="76" t="s">
        <v>93</v>
      </c>
      <c r="M35" s="75" t="s">
        <v>404</v>
      </c>
      <c r="N35" s="19"/>
      <c r="O35" s="19"/>
    </row>
    <row r="36" spans="1:15" x14ac:dyDescent="0.25">
      <c r="A36" s="75"/>
      <c r="B36" s="76"/>
      <c r="C36" s="70" t="s">
        <v>281</v>
      </c>
      <c r="D36" s="76" t="s">
        <v>365</v>
      </c>
      <c r="E36" s="70" t="s">
        <v>198</v>
      </c>
      <c r="F36" s="76"/>
      <c r="G36" s="70" t="s">
        <v>197</v>
      </c>
      <c r="H36" s="76"/>
      <c r="I36" s="75" t="s">
        <v>50</v>
      </c>
      <c r="J36" s="76" t="s">
        <v>355</v>
      </c>
      <c r="K36" s="75" t="s">
        <v>200</v>
      </c>
      <c r="L36" s="76" t="s">
        <v>100</v>
      </c>
      <c r="M36" s="75" t="s">
        <v>405</v>
      </c>
      <c r="N36" s="19"/>
      <c r="O36" s="19"/>
    </row>
    <row r="37" spans="1:15" x14ac:dyDescent="0.25">
      <c r="A37" s="75"/>
      <c r="B37" s="76"/>
      <c r="C37" s="70" t="s">
        <v>282</v>
      </c>
      <c r="D37" s="76" t="s">
        <v>200</v>
      </c>
      <c r="E37" s="70" t="s">
        <v>201</v>
      </c>
      <c r="F37" s="76"/>
      <c r="G37" s="70" t="s">
        <v>199</v>
      </c>
      <c r="H37" s="76"/>
      <c r="I37" s="75" t="s">
        <v>56</v>
      </c>
      <c r="J37" s="76" t="s">
        <v>97</v>
      </c>
      <c r="K37" s="75" t="s">
        <v>366</v>
      </c>
      <c r="L37" s="76" t="s">
        <v>105</v>
      </c>
      <c r="M37" s="75" t="s">
        <v>382</v>
      </c>
      <c r="N37" s="19"/>
      <c r="O37" s="19"/>
    </row>
    <row r="38" spans="1:15" x14ac:dyDescent="0.25">
      <c r="A38" s="75"/>
      <c r="B38" s="76"/>
      <c r="C38" s="70" t="s">
        <v>419</v>
      </c>
      <c r="D38" s="76" t="s">
        <v>366</v>
      </c>
      <c r="E38" s="70" t="s">
        <v>204</v>
      </c>
      <c r="F38" s="76"/>
      <c r="G38" s="70" t="s">
        <v>202</v>
      </c>
      <c r="H38" s="76"/>
      <c r="I38" s="75" t="s">
        <v>110</v>
      </c>
      <c r="J38" s="76" t="s">
        <v>356</v>
      </c>
      <c r="K38" s="75" t="s">
        <v>208</v>
      </c>
      <c r="L38" s="76" t="s">
        <v>111</v>
      </c>
      <c r="M38" s="75" t="s">
        <v>383</v>
      </c>
      <c r="N38" s="19"/>
      <c r="O38" s="19"/>
    </row>
    <row r="39" spans="1:15" x14ac:dyDescent="0.25">
      <c r="A39" s="75"/>
      <c r="B39" s="76"/>
      <c r="C39" s="70" t="s">
        <v>283</v>
      </c>
      <c r="D39" s="76" t="s">
        <v>208</v>
      </c>
      <c r="E39" s="70" t="s">
        <v>209</v>
      </c>
      <c r="F39" s="76"/>
      <c r="G39" s="70" t="s">
        <v>205</v>
      </c>
      <c r="H39" s="76"/>
      <c r="I39" s="75" t="s">
        <v>116</v>
      </c>
      <c r="J39" s="76" t="s">
        <v>108</v>
      </c>
      <c r="K39" s="75" t="s">
        <v>367</v>
      </c>
      <c r="L39" s="76" t="s">
        <v>117</v>
      </c>
      <c r="M39" s="75" t="s">
        <v>384</v>
      </c>
      <c r="N39" s="19"/>
      <c r="O39" s="19"/>
    </row>
    <row r="40" spans="1:15" x14ac:dyDescent="0.25">
      <c r="A40" s="75"/>
      <c r="B40" s="76"/>
      <c r="C40" s="70" t="s">
        <v>284</v>
      </c>
      <c r="D40" s="76" t="s">
        <v>367</v>
      </c>
      <c r="E40" s="70" t="s">
        <v>212</v>
      </c>
      <c r="F40" s="76"/>
      <c r="G40" s="70" t="s">
        <v>210</v>
      </c>
      <c r="H40" s="76"/>
      <c r="I40" s="75" t="s">
        <v>128</v>
      </c>
      <c r="J40" s="76" t="s">
        <v>114</v>
      </c>
      <c r="K40" s="75" t="s">
        <v>409</v>
      </c>
      <c r="L40" s="76" t="s">
        <v>122</v>
      </c>
      <c r="M40" s="75" t="s">
        <v>385</v>
      </c>
      <c r="N40" s="19"/>
      <c r="O40" s="19"/>
    </row>
    <row r="41" spans="1:15" x14ac:dyDescent="0.25">
      <c r="A41" s="75"/>
      <c r="B41" s="76"/>
      <c r="C41" s="70" t="s">
        <v>298</v>
      </c>
      <c r="D41" s="76" t="s">
        <v>219</v>
      </c>
      <c r="E41" s="70" t="s">
        <v>214</v>
      </c>
      <c r="F41" s="76"/>
      <c r="G41" s="70" t="s">
        <v>213</v>
      </c>
      <c r="H41" s="76"/>
      <c r="I41" s="75" t="s">
        <v>136</v>
      </c>
      <c r="J41" s="76" t="s">
        <v>357</v>
      </c>
      <c r="K41" s="75" t="s">
        <v>219</v>
      </c>
      <c r="L41" s="76" t="s">
        <v>129</v>
      </c>
      <c r="M41" s="75" t="s">
        <v>303</v>
      </c>
      <c r="N41" s="19"/>
      <c r="O41" s="19"/>
    </row>
    <row r="42" spans="1:15" x14ac:dyDescent="0.25">
      <c r="A42" s="75"/>
      <c r="B42" s="76"/>
      <c r="C42" s="70" t="s">
        <v>299</v>
      </c>
      <c r="D42" s="76" t="s">
        <v>368</v>
      </c>
      <c r="E42" s="70" t="s">
        <v>216</v>
      </c>
      <c r="F42" s="76"/>
      <c r="G42" s="70" t="s">
        <v>215</v>
      </c>
      <c r="H42" s="76"/>
      <c r="I42" s="75" t="s">
        <v>142</v>
      </c>
      <c r="J42" s="76" t="s">
        <v>126</v>
      </c>
      <c r="K42" s="75" t="s">
        <v>368</v>
      </c>
      <c r="L42" s="76" t="s">
        <v>137</v>
      </c>
      <c r="M42" s="75"/>
      <c r="N42" s="19"/>
      <c r="O42" s="19"/>
    </row>
    <row r="43" spans="1:15" x14ac:dyDescent="0.25">
      <c r="A43" s="75"/>
      <c r="B43" s="76"/>
      <c r="C43" s="70" t="s">
        <v>304</v>
      </c>
      <c r="D43" s="76" t="s">
        <v>131</v>
      </c>
      <c r="E43" s="70" t="s">
        <v>220</v>
      </c>
      <c r="F43" s="76"/>
      <c r="G43" s="70" t="s">
        <v>217</v>
      </c>
      <c r="H43" s="76"/>
      <c r="I43" s="75" t="s">
        <v>148</v>
      </c>
      <c r="J43" s="76" t="s">
        <v>134</v>
      </c>
      <c r="K43" s="75" t="s">
        <v>131</v>
      </c>
      <c r="L43" s="76" t="s">
        <v>143</v>
      </c>
      <c r="M43" s="75"/>
      <c r="N43" s="19"/>
      <c r="O43" s="19"/>
    </row>
    <row r="44" spans="1:15" x14ac:dyDescent="0.25">
      <c r="A44" s="75"/>
      <c r="B44" s="76"/>
      <c r="C44" s="70"/>
      <c r="D44" s="76" t="s">
        <v>223</v>
      </c>
      <c r="E44" s="70" t="s">
        <v>224</v>
      </c>
      <c r="F44" s="76"/>
      <c r="G44" s="70" t="s">
        <v>221</v>
      </c>
      <c r="H44" s="76"/>
      <c r="I44" s="75" t="s">
        <v>153</v>
      </c>
      <c r="J44" s="76" t="s">
        <v>140</v>
      </c>
      <c r="K44" s="75" t="s">
        <v>223</v>
      </c>
      <c r="L44" s="76" t="s">
        <v>149</v>
      </c>
      <c r="M44" s="75"/>
      <c r="N44" s="19"/>
      <c r="O44" s="19"/>
    </row>
    <row r="45" spans="1:15" x14ac:dyDescent="0.25">
      <c r="A45" s="75"/>
      <c r="B45" s="76"/>
      <c r="C45" s="70"/>
      <c r="D45" s="76" t="s">
        <v>369</v>
      </c>
      <c r="E45" s="70" t="s">
        <v>225</v>
      </c>
      <c r="F45" s="76"/>
      <c r="G45" s="70" t="s">
        <v>194</v>
      </c>
      <c r="H45" s="76"/>
      <c r="I45" s="75" t="s">
        <v>160</v>
      </c>
      <c r="J45" s="76" t="s">
        <v>358</v>
      </c>
      <c r="K45" s="75" t="s">
        <v>369</v>
      </c>
      <c r="L45" s="76" t="s">
        <v>154</v>
      </c>
      <c r="M45" s="75"/>
      <c r="N45" s="19"/>
      <c r="O45" s="19"/>
    </row>
    <row r="46" spans="1:15" x14ac:dyDescent="0.25">
      <c r="A46" s="75"/>
      <c r="B46" s="76"/>
      <c r="C46" s="70"/>
      <c r="D46" s="76" t="s">
        <v>226</v>
      </c>
      <c r="E46" s="70" t="s">
        <v>227</v>
      </c>
      <c r="F46" s="76"/>
      <c r="G46" s="70" t="s">
        <v>317</v>
      </c>
      <c r="H46" s="76"/>
      <c r="I46" s="75" t="s">
        <v>177</v>
      </c>
      <c r="J46" s="76" t="s">
        <v>359</v>
      </c>
      <c r="K46" s="75" t="s">
        <v>226</v>
      </c>
      <c r="L46" s="76" t="s">
        <v>161</v>
      </c>
      <c r="M46" s="75"/>
      <c r="N46" s="19"/>
      <c r="O46" s="19"/>
    </row>
    <row r="47" spans="1:15" x14ac:dyDescent="0.25">
      <c r="A47" s="75"/>
      <c r="B47" s="76"/>
      <c r="C47" s="70"/>
      <c r="D47" s="76" t="s">
        <v>370</v>
      </c>
      <c r="E47" s="70" t="s">
        <v>228</v>
      </c>
      <c r="F47" s="76"/>
      <c r="G47" s="70" t="s">
        <v>222</v>
      </c>
      <c r="H47" s="76"/>
      <c r="I47" s="75" t="s">
        <v>181</v>
      </c>
      <c r="J47" s="76" t="s">
        <v>360</v>
      </c>
      <c r="K47" s="75" t="s">
        <v>370</v>
      </c>
      <c r="L47" s="76" t="s">
        <v>162</v>
      </c>
      <c r="M47" s="75"/>
      <c r="N47" s="19"/>
      <c r="O47" s="19"/>
    </row>
    <row r="48" spans="1:15" x14ac:dyDescent="0.25">
      <c r="A48" s="75"/>
      <c r="B48" s="76"/>
      <c r="C48" s="70"/>
      <c r="D48" s="76" t="s">
        <v>230</v>
      </c>
      <c r="E48" s="70" t="s">
        <v>231</v>
      </c>
      <c r="F48" s="76"/>
      <c r="G48" s="70" t="s">
        <v>398</v>
      </c>
      <c r="H48" s="76"/>
      <c r="I48" s="75" t="s">
        <v>221</v>
      </c>
      <c r="J48" s="76" t="s">
        <v>164</v>
      </c>
      <c r="K48" s="75" t="s">
        <v>230</v>
      </c>
      <c r="L48" s="76" t="s">
        <v>172</v>
      </c>
      <c r="M48" s="75"/>
      <c r="N48" s="19"/>
      <c r="O48" s="19"/>
    </row>
    <row r="49" spans="1:15" x14ac:dyDescent="0.25">
      <c r="A49" s="75"/>
      <c r="B49" s="76"/>
      <c r="C49" s="70"/>
      <c r="D49" s="76" t="s">
        <v>371</v>
      </c>
      <c r="E49" s="70" t="s">
        <v>233</v>
      </c>
      <c r="F49" s="76"/>
      <c r="G49" s="70" t="s">
        <v>196</v>
      </c>
      <c r="H49" s="76"/>
      <c r="I49" s="75" t="s">
        <v>194</v>
      </c>
      <c r="J49" s="76" t="s">
        <v>361</v>
      </c>
      <c r="K49" s="75" t="s">
        <v>371</v>
      </c>
      <c r="L49" s="76" t="s">
        <v>178</v>
      </c>
      <c r="M49" s="75"/>
      <c r="N49" s="19"/>
      <c r="O49" s="19"/>
    </row>
    <row r="50" spans="1:15" x14ac:dyDescent="0.25">
      <c r="A50" s="75"/>
      <c r="B50" s="76"/>
      <c r="C50" s="70"/>
      <c r="D50" s="76" t="s">
        <v>235</v>
      </c>
      <c r="E50" s="70" t="s">
        <v>352</v>
      </c>
      <c r="F50" s="76"/>
      <c r="G50" s="70" t="s">
        <v>198</v>
      </c>
      <c r="H50" s="76"/>
      <c r="I50" s="75" t="s">
        <v>317</v>
      </c>
      <c r="J50" s="76" t="s">
        <v>175</v>
      </c>
      <c r="K50" s="75" t="s">
        <v>235</v>
      </c>
      <c r="L50" s="76" t="s">
        <v>414</v>
      </c>
      <c r="M50" s="75"/>
      <c r="N50" s="19"/>
      <c r="O50" s="19"/>
    </row>
    <row r="51" spans="1:15" x14ac:dyDescent="0.25">
      <c r="A51" s="75"/>
      <c r="B51" s="76"/>
      <c r="C51" s="70"/>
      <c r="D51" s="76" t="s">
        <v>372</v>
      </c>
      <c r="E51" s="70" t="s">
        <v>236</v>
      </c>
      <c r="F51" s="76"/>
      <c r="G51" s="70" t="s">
        <v>201</v>
      </c>
      <c r="H51" s="76"/>
      <c r="I51" s="75" t="s">
        <v>222</v>
      </c>
      <c r="J51" s="76" t="s">
        <v>362</v>
      </c>
      <c r="K51" s="75" t="s">
        <v>372</v>
      </c>
      <c r="L51" s="76" t="s">
        <v>415</v>
      </c>
      <c r="M51" s="75"/>
      <c r="N51" s="19"/>
      <c r="O51" s="19"/>
    </row>
    <row r="52" spans="1:15" x14ac:dyDescent="0.25">
      <c r="A52" s="75"/>
      <c r="B52" s="76"/>
      <c r="C52" s="70"/>
      <c r="D52" s="76" t="s">
        <v>407</v>
      </c>
      <c r="E52" s="70" t="s">
        <v>238</v>
      </c>
      <c r="F52" s="76"/>
      <c r="G52" s="70" t="s">
        <v>229</v>
      </c>
      <c r="H52" s="76"/>
      <c r="I52" s="75" t="s">
        <v>398</v>
      </c>
      <c r="J52" s="76" t="s">
        <v>184</v>
      </c>
      <c r="K52" s="75" t="s">
        <v>407</v>
      </c>
      <c r="L52" s="76" t="s">
        <v>135</v>
      </c>
      <c r="M52" s="75"/>
      <c r="N52" s="19"/>
      <c r="O52" s="19"/>
    </row>
    <row r="53" spans="1:15" x14ac:dyDescent="0.25">
      <c r="A53" s="75"/>
      <c r="B53" s="76"/>
      <c r="C53" s="70"/>
      <c r="D53" s="76" t="s">
        <v>239</v>
      </c>
      <c r="E53" s="70" t="s">
        <v>412</v>
      </c>
      <c r="F53" s="76"/>
      <c r="G53" s="70" t="s">
        <v>232</v>
      </c>
      <c r="H53" s="76"/>
      <c r="I53" s="75" t="s">
        <v>196</v>
      </c>
      <c r="J53" s="76" t="s">
        <v>188</v>
      </c>
      <c r="K53" s="75" t="s">
        <v>239</v>
      </c>
      <c r="L53" s="76" t="s">
        <v>141</v>
      </c>
      <c r="M53" s="75"/>
      <c r="N53" s="19"/>
      <c r="O53" s="19"/>
    </row>
    <row r="54" spans="1:15" x14ac:dyDescent="0.25">
      <c r="A54" s="75"/>
      <c r="B54" s="76"/>
      <c r="C54" s="70"/>
      <c r="D54" s="76" t="s">
        <v>373</v>
      </c>
      <c r="E54" s="70" t="s">
        <v>240</v>
      </c>
      <c r="F54" s="76"/>
      <c r="G54" s="70" t="s">
        <v>234</v>
      </c>
      <c r="H54" s="76"/>
      <c r="I54" s="75" t="s">
        <v>198</v>
      </c>
      <c r="J54" s="76" t="s">
        <v>363</v>
      </c>
      <c r="K54" s="75" t="s">
        <v>373</v>
      </c>
      <c r="L54" s="76" t="s">
        <v>43</v>
      </c>
      <c r="M54" s="75"/>
      <c r="N54" s="19"/>
      <c r="O54" s="19"/>
    </row>
    <row r="55" spans="1:15" x14ac:dyDescent="0.25">
      <c r="A55" s="75"/>
      <c r="B55" s="76"/>
      <c r="C55" s="70"/>
      <c r="D55" s="76" t="s">
        <v>244</v>
      </c>
      <c r="E55" s="70" t="s">
        <v>242</v>
      </c>
      <c r="F55" s="76"/>
      <c r="G55" s="70" t="s">
        <v>237</v>
      </c>
      <c r="H55" s="76"/>
      <c r="I55" s="75" t="s">
        <v>201</v>
      </c>
      <c r="J55" s="76" t="s">
        <v>193</v>
      </c>
      <c r="K55" s="75" t="s">
        <v>244</v>
      </c>
      <c r="L55" s="76" t="s">
        <v>43</v>
      </c>
      <c r="M55" s="75"/>
      <c r="N55" s="19"/>
      <c r="O55" s="19"/>
    </row>
    <row r="56" spans="1:15" x14ac:dyDescent="0.25">
      <c r="A56" s="75"/>
      <c r="B56" s="76"/>
      <c r="C56" s="70"/>
      <c r="D56" s="76" t="s">
        <v>374</v>
      </c>
      <c r="E56" s="70" t="s">
        <v>245</v>
      </c>
      <c r="F56" s="76"/>
      <c r="G56" s="70" t="s">
        <v>416</v>
      </c>
      <c r="H56" s="76"/>
      <c r="I56" s="75" t="s">
        <v>204</v>
      </c>
      <c r="J56" s="76" t="s">
        <v>364</v>
      </c>
      <c r="K56" s="75" t="s">
        <v>374</v>
      </c>
      <c r="L56" s="76" t="s">
        <v>147</v>
      </c>
      <c r="M56" s="75"/>
      <c r="N56" s="19"/>
      <c r="O56" s="19"/>
    </row>
    <row r="57" spans="1:15" x14ac:dyDescent="0.25">
      <c r="A57" s="75"/>
      <c r="B57" s="76"/>
      <c r="C57" s="70"/>
      <c r="D57" s="76" t="s">
        <v>375</v>
      </c>
      <c r="E57" s="70" t="s">
        <v>247</v>
      </c>
      <c r="F57" s="76"/>
      <c r="G57" s="70" t="s">
        <v>417</v>
      </c>
      <c r="H57" s="76"/>
      <c r="I57" s="75" t="s">
        <v>232</v>
      </c>
      <c r="J57" s="76" t="s">
        <v>365</v>
      </c>
      <c r="K57" s="75" t="s">
        <v>375</v>
      </c>
      <c r="L57" s="76" t="s">
        <v>89</v>
      </c>
      <c r="M57" s="75"/>
      <c r="N57" s="19"/>
      <c r="O57" s="19"/>
    </row>
    <row r="58" spans="1:15" x14ac:dyDescent="0.25">
      <c r="A58" s="75"/>
      <c r="B58" s="76"/>
      <c r="C58" s="70"/>
      <c r="D58" s="76" t="s">
        <v>251</v>
      </c>
      <c r="E58" s="70" t="s">
        <v>249</v>
      </c>
      <c r="F58" s="76"/>
      <c r="G58" s="70" t="s">
        <v>241</v>
      </c>
      <c r="H58" s="76"/>
      <c r="I58" s="75" t="s">
        <v>234</v>
      </c>
      <c r="J58" s="76" t="s">
        <v>200</v>
      </c>
      <c r="K58" s="75" t="s">
        <v>251</v>
      </c>
      <c r="L58" s="76" t="s">
        <v>94</v>
      </c>
      <c r="M58" s="75"/>
      <c r="N58" s="19"/>
      <c r="O58" s="19"/>
    </row>
    <row r="59" spans="1:15" x14ac:dyDescent="0.25">
      <c r="A59" s="75"/>
      <c r="B59" s="76"/>
      <c r="C59" s="70"/>
      <c r="D59" s="76" t="s">
        <v>253</v>
      </c>
      <c r="E59" s="70" t="s">
        <v>413</v>
      </c>
      <c r="F59" s="76"/>
      <c r="G59" s="70" t="s">
        <v>243</v>
      </c>
      <c r="H59" s="76"/>
      <c r="I59" s="75" t="s">
        <v>237</v>
      </c>
      <c r="J59" s="76" t="s">
        <v>366</v>
      </c>
      <c r="K59" s="75" t="s">
        <v>253</v>
      </c>
      <c r="L59" s="76" t="s">
        <v>101</v>
      </c>
      <c r="M59" s="75"/>
      <c r="N59" s="19"/>
      <c r="O59" s="19"/>
    </row>
    <row r="60" spans="1:15" x14ac:dyDescent="0.25">
      <c r="A60" s="75"/>
      <c r="B60" s="76"/>
      <c r="C60" s="70"/>
      <c r="D60" s="76" t="s">
        <v>420</v>
      </c>
      <c r="E60" s="70" t="s">
        <v>254</v>
      </c>
      <c r="F60" s="76"/>
      <c r="G60" s="70" t="s">
        <v>246</v>
      </c>
      <c r="H60" s="76"/>
      <c r="I60" s="75" t="s">
        <v>417</v>
      </c>
      <c r="J60" s="76" t="s">
        <v>208</v>
      </c>
      <c r="K60" s="75" t="s">
        <v>420</v>
      </c>
      <c r="L60" s="76" t="s">
        <v>106</v>
      </c>
      <c r="M60" s="75"/>
      <c r="N60" s="19"/>
      <c r="O60" s="19"/>
    </row>
    <row r="61" spans="1:15" x14ac:dyDescent="0.25">
      <c r="A61" s="75"/>
      <c r="B61" s="76"/>
      <c r="C61" s="70"/>
      <c r="D61" s="76" t="s">
        <v>255</v>
      </c>
      <c r="E61" s="70" t="s">
        <v>256</v>
      </c>
      <c r="F61" s="76"/>
      <c r="G61" s="70" t="s">
        <v>248</v>
      </c>
      <c r="H61" s="76"/>
      <c r="I61" s="75" t="s">
        <v>138</v>
      </c>
      <c r="J61" s="76" t="s">
        <v>367</v>
      </c>
      <c r="K61" s="75" t="s">
        <v>255</v>
      </c>
      <c r="L61" s="76" t="s">
        <v>191</v>
      </c>
      <c r="M61" s="75"/>
      <c r="N61" s="19"/>
      <c r="O61" s="19"/>
    </row>
    <row r="62" spans="1:15" x14ac:dyDescent="0.25">
      <c r="A62" s="75"/>
      <c r="B62" s="76"/>
      <c r="C62" s="70"/>
      <c r="D62" s="76" t="s">
        <v>258</v>
      </c>
      <c r="E62" s="70" t="s">
        <v>259</v>
      </c>
      <c r="F62" s="76"/>
      <c r="G62" s="70" t="s">
        <v>250</v>
      </c>
      <c r="H62" s="76"/>
      <c r="I62" s="75" t="s">
        <v>144</v>
      </c>
      <c r="J62" s="76" t="s">
        <v>409</v>
      </c>
      <c r="K62" s="75" t="s">
        <v>258</v>
      </c>
      <c r="L62" s="76" t="s">
        <v>152</v>
      </c>
      <c r="M62" s="75"/>
      <c r="N62" s="19"/>
      <c r="O62" s="19"/>
    </row>
    <row r="63" spans="1:15" x14ac:dyDescent="0.25">
      <c r="A63" s="75"/>
      <c r="B63" s="76"/>
      <c r="C63" s="70"/>
      <c r="D63" s="76" t="s">
        <v>261</v>
      </c>
      <c r="E63" s="70" t="s">
        <v>262</v>
      </c>
      <c r="F63" s="76"/>
      <c r="G63" s="70" t="s">
        <v>252</v>
      </c>
      <c r="H63" s="76"/>
      <c r="I63" s="75" t="s">
        <v>241</v>
      </c>
      <c r="J63" s="76" t="s">
        <v>219</v>
      </c>
      <c r="K63" s="75" t="s">
        <v>261</v>
      </c>
      <c r="L63" s="76" t="s">
        <v>159</v>
      </c>
      <c r="M63" s="75"/>
      <c r="N63" s="19"/>
      <c r="O63" s="19"/>
    </row>
    <row r="64" spans="1:15" x14ac:dyDescent="0.25">
      <c r="A64" s="75"/>
      <c r="B64" s="76"/>
      <c r="C64" s="70"/>
      <c r="D64" s="76" t="s">
        <v>264</v>
      </c>
      <c r="E64" s="70" t="s">
        <v>298</v>
      </c>
      <c r="F64" s="76"/>
      <c r="G64" s="70" t="s">
        <v>257</v>
      </c>
      <c r="H64" s="76"/>
      <c r="I64" s="75" t="s">
        <v>246</v>
      </c>
      <c r="J64" s="76" t="s">
        <v>368</v>
      </c>
      <c r="K64" s="75" t="s">
        <v>264</v>
      </c>
      <c r="L64" s="76" t="s">
        <v>165</v>
      </c>
      <c r="M64" s="75"/>
      <c r="N64" s="19"/>
      <c r="O64" s="19"/>
    </row>
    <row r="65" spans="1:15" x14ac:dyDescent="0.25">
      <c r="A65" s="75"/>
      <c r="B65" s="76"/>
      <c r="C65" s="70"/>
      <c r="D65" s="76" t="s">
        <v>376</v>
      </c>
      <c r="E65" s="70" t="s">
        <v>299</v>
      </c>
      <c r="F65" s="76"/>
      <c r="G65" s="70" t="s">
        <v>260</v>
      </c>
      <c r="H65" s="76"/>
      <c r="I65" s="75" t="s">
        <v>252</v>
      </c>
      <c r="J65" s="76" t="s">
        <v>131</v>
      </c>
      <c r="K65" s="75" t="s">
        <v>376</v>
      </c>
      <c r="L65" s="76" t="s">
        <v>170</v>
      </c>
      <c r="M65" s="75"/>
      <c r="N65" s="19"/>
      <c r="O65" s="19"/>
    </row>
    <row r="66" spans="1:15" x14ac:dyDescent="0.25">
      <c r="A66" s="75"/>
      <c r="B66" s="76"/>
      <c r="C66" s="70"/>
      <c r="D66" s="76" t="s">
        <v>377</v>
      </c>
      <c r="E66" s="70" t="s">
        <v>302</v>
      </c>
      <c r="F66" s="76"/>
      <c r="G66" s="70" t="s">
        <v>263</v>
      </c>
      <c r="H66" s="76"/>
      <c r="I66" s="75" t="s">
        <v>214</v>
      </c>
      <c r="J66" s="76" t="s">
        <v>223</v>
      </c>
      <c r="K66" s="75" t="s">
        <v>377</v>
      </c>
      <c r="L66" s="76" t="s">
        <v>399</v>
      </c>
      <c r="M66" s="75"/>
      <c r="N66" s="19"/>
      <c r="O66" s="19"/>
    </row>
    <row r="67" spans="1:15" x14ac:dyDescent="0.25">
      <c r="A67" s="75"/>
      <c r="B67" s="76"/>
      <c r="C67" s="70"/>
      <c r="D67" s="76" t="s">
        <v>268</v>
      </c>
      <c r="E67" s="70"/>
      <c r="F67" s="76"/>
      <c r="G67" s="70" t="s">
        <v>265</v>
      </c>
      <c r="H67" s="76"/>
      <c r="I67" s="75" t="s">
        <v>216</v>
      </c>
      <c r="J67" s="76" t="s">
        <v>369</v>
      </c>
      <c r="K67" s="75" t="s">
        <v>268</v>
      </c>
      <c r="L67" s="76" t="s">
        <v>400</v>
      </c>
      <c r="M67" s="75"/>
      <c r="N67" s="19"/>
      <c r="O67" s="19"/>
    </row>
    <row r="68" spans="1:15" x14ac:dyDescent="0.25">
      <c r="A68" s="75"/>
      <c r="B68" s="76"/>
      <c r="C68" s="70"/>
      <c r="D68" s="76" t="s">
        <v>403</v>
      </c>
      <c r="E68" s="70"/>
      <c r="F68" s="76"/>
      <c r="G68" s="70" t="s">
        <v>266</v>
      </c>
      <c r="H68" s="76"/>
      <c r="I68" s="75" t="s">
        <v>236</v>
      </c>
      <c r="J68" s="76" t="s">
        <v>226</v>
      </c>
      <c r="K68" s="75" t="s">
        <v>403</v>
      </c>
      <c r="L68" s="76" t="s">
        <v>176</v>
      </c>
      <c r="M68" s="75"/>
      <c r="N68" s="19"/>
      <c r="O68" s="19"/>
    </row>
    <row r="69" spans="1:15" x14ac:dyDescent="0.25">
      <c r="A69" s="75"/>
      <c r="B69" s="76"/>
      <c r="C69" s="70"/>
      <c r="D69" s="76" t="s">
        <v>378</v>
      </c>
      <c r="E69" s="70"/>
      <c r="F69" s="76"/>
      <c r="G69" s="70" t="s">
        <v>267</v>
      </c>
      <c r="H69" s="76"/>
      <c r="I69" s="75" t="s">
        <v>150</v>
      </c>
      <c r="J69" s="76" t="s">
        <v>370</v>
      </c>
      <c r="K69" s="75" t="s">
        <v>378</v>
      </c>
      <c r="L69" s="76" t="s">
        <v>180</v>
      </c>
      <c r="M69" s="75"/>
      <c r="N69" s="19"/>
      <c r="O69" s="19"/>
    </row>
    <row r="70" spans="1:15" x14ac:dyDescent="0.25">
      <c r="A70" s="75"/>
      <c r="B70" s="76"/>
      <c r="C70" s="70"/>
      <c r="D70" s="76" t="s">
        <v>271</v>
      </c>
      <c r="E70" s="70"/>
      <c r="F70" s="76"/>
      <c r="G70" s="70" t="s">
        <v>269</v>
      </c>
      <c r="H70" s="76"/>
      <c r="I70" s="75" t="s">
        <v>155</v>
      </c>
      <c r="J70" s="76" t="s">
        <v>230</v>
      </c>
      <c r="K70" s="75" t="s">
        <v>406</v>
      </c>
      <c r="L70" s="76" t="s">
        <v>185</v>
      </c>
      <c r="M70" s="75"/>
      <c r="N70" s="19"/>
      <c r="O70" s="19"/>
    </row>
    <row r="71" spans="1:15" x14ac:dyDescent="0.25">
      <c r="A71" s="75"/>
      <c r="B71" s="76"/>
      <c r="C71" s="70"/>
      <c r="D71" s="76" t="s">
        <v>273</v>
      </c>
      <c r="E71" s="70"/>
      <c r="F71" s="76"/>
      <c r="G71" s="70" t="s">
        <v>270</v>
      </c>
      <c r="H71" s="76"/>
      <c r="I71" s="75" t="s">
        <v>238</v>
      </c>
      <c r="J71" s="76" t="s">
        <v>371</v>
      </c>
      <c r="K71" s="75" t="s">
        <v>47</v>
      </c>
      <c r="L71" s="76" t="s">
        <v>189</v>
      </c>
      <c r="M71" s="75"/>
      <c r="N71" s="19"/>
      <c r="O71" s="19"/>
    </row>
    <row r="72" spans="1:15" x14ac:dyDescent="0.25">
      <c r="A72" s="75"/>
      <c r="B72" s="76"/>
      <c r="C72" s="70"/>
      <c r="D72" s="76" t="s">
        <v>274</v>
      </c>
      <c r="E72" s="70"/>
      <c r="F72" s="76"/>
      <c r="G72" s="70" t="s">
        <v>272</v>
      </c>
      <c r="H72" s="76"/>
      <c r="I72" s="75" t="s">
        <v>412</v>
      </c>
      <c r="J72" s="76" t="s">
        <v>235</v>
      </c>
      <c r="K72" s="75" t="s">
        <v>55</v>
      </c>
      <c r="L72" s="76" t="s">
        <v>112</v>
      </c>
      <c r="M72" s="75"/>
      <c r="N72" s="19"/>
      <c r="O72" s="19"/>
    </row>
    <row r="73" spans="1:15" x14ac:dyDescent="0.25">
      <c r="A73" s="75"/>
      <c r="B73" s="76"/>
      <c r="C73" s="70"/>
      <c r="D73" s="76" t="s">
        <v>379</v>
      </c>
      <c r="E73" s="70"/>
      <c r="F73" s="76"/>
      <c r="G73" s="70" t="s">
        <v>238</v>
      </c>
      <c r="H73" s="76"/>
      <c r="I73" s="75" t="s">
        <v>289</v>
      </c>
      <c r="J73" s="76" t="s">
        <v>372</v>
      </c>
      <c r="K73" s="75" t="s">
        <v>60</v>
      </c>
      <c r="L73" s="76" t="s">
        <v>118</v>
      </c>
      <c r="M73" s="75"/>
      <c r="N73" s="19"/>
      <c r="O73" s="19"/>
    </row>
    <row r="74" spans="1:15" x14ac:dyDescent="0.25">
      <c r="A74" s="75"/>
      <c r="B74" s="76"/>
      <c r="C74" s="70"/>
      <c r="D74" s="76" t="s">
        <v>380</v>
      </c>
      <c r="E74" s="70"/>
      <c r="F74" s="76"/>
      <c r="G74" s="70" t="s">
        <v>412</v>
      </c>
      <c r="H74" s="76"/>
      <c r="I74" s="75" t="s">
        <v>290</v>
      </c>
      <c r="J74" s="76" t="s">
        <v>407</v>
      </c>
      <c r="K74" s="75" t="s">
        <v>65</v>
      </c>
      <c r="L74" s="76" t="s">
        <v>123</v>
      </c>
      <c r="M74" s="75"/>
      <c r="N74" s="19"/>
      <c r="O74" s="19"/>
    </row>
    <row r="75" spans="1:15" x14ac:dyDescent="0.25">
      <c r="A75" s="75"/>
      <c r="B75" s="76"/>
      <c r="C75" s="70"/>
      <c r="D75" s="76" t="s">
        <v>381</v>
      </c>
      <c r="E75" s="70"/>
      <c r="F75" s="76"/>
      <c r="G75" s="70" t="s">
        <v>275</v>
      </c>
      <c r="H75" s="76"/>
      <c r="I75" s="75" t="s">
        <v>291</v>
      </c>
      <c r="J75" s="76" t="s">
        <v>239</v>
      </c>
      <c r="K75" s="75" t="s">
        <v>70</v>
      </c>
      <c r="L75" s="76" t="s">
        <v>130</v>
      </c>
      <c r="M75" s="75"/>
      <c r="N75" s="19"/>
      <c r="O75" s="19"/>
    </row>
    <row r="76" spans="1:15" x14ac:dyDescent="0.25">
      <c r="A76" s="75"/>
      <c r="B76" s="76"/>
      <c r="C76" s="70"/>
      <c r="D76" s="76" t="s">
        <v>404</v>
      </c>
      <c r="E76" s="70"/>
      <c r="F76" s="76"/>
      <c r="G76" s="70" t="s">
        <v>276</v>
      </c>
      <c r="H76" s="76"/>
      <c r="I76" s="75" t="s">
        <v>292</v>
      </c>
      <c r="J76" s="76" t="s">
        <v>373</v>
      </c>
      <c r="K76" s="75" t="s">
        <v>74</v>
      </c>
      <c r="L76" s="76" t="s">
        <v>50</v>
      </c>
      <c r="M76" s="75"/>
      <c r="N76" s="19"/>
      <c r="O76" s="19"/>
    </row>
    <row r="77" spans="1:15" x14ac:dyDescent="0.25">
      <c r="A77" s="75"/>
      <c r="B77" s="76"/>
      <c r="C77" s="70"/>
      <c r="D77" s="76" t="s">
        <v>405</v>
      </c>
      <c r="E77" s="70"/>
      <c r="F77" s="76"/>
      <c r="G77" s="70" t="s">
        <v>277</v>
      </c>
      <c r="H77" s="76"/>
      <c r="I77" s="75" t="s">
        <v>249</v>
      </c>
      <c r="J77" s="76" t="s">
        <v>244</v>
      </c>
      <c r="K77" s="75" t="s">
        <v>80</v>
      </c>
      <c r="L77" s="76" t="s">
        <v>56</v>
      </c>
      <c r="M77" s="75"/>
      <c r="N77" s="19"/>
      <c r="O77" s="19"/>
    </row>
    <row r="78" spans="1:15" x14ac:dyDescent="0.25">
      <c r="A78" s="75"/>
      <c r="B78" s="76"/>
      <c r="C78" s="70"/>
      <c r="D78" s="76" t="s">
        <v>279</v>
      </c>
      <c r="E78" s="70"/>
      <c r="F78" s="76"/>
      <c r="G78" s="70" t="s">
        <v>278</v>
      </c>
      <c r="H78" s="76"/>
      <c r="I78" s="75" t="s">
        <v>182</v>
      </c>
      <c r="J78" s="76" t="s">
        <v>374</v>
      </c>
      <c r="K78" s="75" t="s">
        <v>350</v>
      </c>
      <c r="L78" s="76" t="s">
        <v>62</v>
      </c>
      <c r="M78" s="75"/>
      <c r="N78" s="19"/>
      <c r="O78" s="19"/>
    </row>
    <row r="79" spans="1:15" x14ac:dyDescent="0.25">
      <c r="A79" s="75"/>
      <c r="B79" s="76"/>
      <c r="C79" s="70"/>
      <c r="D79" s="76" t="s">
        <v>382</v>
      </c>
      <c r="E79" s="70"/>
      <c r="F79" s="76"/>
      <c r="G79" s="70" t="s">
        <v>298</v>
      </c>
      <c r="H79" s="76"/>
      <c r="I79" s="75" t="s">
        <v>186</v>
      </c>
      <c r="J79" s="76" t="s">
        <v>98</v>
      </c>
      <c r="K79" s="75" t="s">
        <v>351</v>
      </c>
      <c r="L79" s="76" t="s">
        <v>67</v>
      </c>
      <c r="M79" s="75"/>
      <c r="N79" s="19"/>
      <c r="O79" s="19"/>
    </row>
    <row r="80" spans="1:15" x14ac:dyDescent="0.25">
      <c r="A80" s="75"/>
      <c r="B80" s="76"/>
      <c r="C80" s="70"/>
      <c r="D80" s="76" t="s">
        <v>280</v>
      </c>
      <c r="E80" s="70"/>
      <c r="F80" s="76"/>
      <c r="G80" s="70" t="s">
        <v>299</v>
      </c>
      <c r="H80" s="76"/>
      <c r="I80" s="75" t="s">
        <v>256</v>
      </c>
      <c r="J80" s="76" t="s">
        <v>40</v>
      </c>
      <c r="K80" s="75" t="s">
        <v>85</v>
      </c>
      <c r="L80" s="76" t="s">
        <v>71</v>
      </c>
      <c r="M80" s="75"/>
      <c r="N80" s="19"/>
      <c r="O80" s="19"/>
    </row>
    <row r="81" spans="1:15" x14ac:dyDescent="0.25">
      <c r="A81" s="75"/>
      <c r="B81" s="76"/>
      <c r="C81" s="70"/>
      <c r="D81" s="76" t="s">
        <v>383</v>
      </c>
      <c r="E81" s="70"/>
      <c r="F81" s="76"/>
      <c r="G81" s="70" t="s">
        <v>301</v>
      </c>
      <c r="H81" s="76"/>
      <c r="I81" s="75" t="s">
        <v>190</v>
      </c>
      <c r="J81" s="76" t="s">
        <v>46</v>
      </c>
      <c r="K81" s="75" t="s">
        <v>91</v>
      </c>
      <c r="L81" s="76" t="s">
        <v>76</v>
      </c>
      <c r="M81" s="75"/>
      <c r="N81" s="19"/>
      <c r="O81" s="19"/>
    </row>
    <row r="82" spans="1:15" x14ac:dyDescent="0.25">
      <c r="A82" s="75"/>
      <c r="B82" s="76"/>
      <c r="C82" s="70"/>
      <c r="D82" s="76" t="s">
        <v>206</v>
      </c>
      <c r="E82" s="70"/>
      <c r="F82" s="76"/>
      <c r="G82" s="70"/>
      <c r="H82" s="76"/>
      <c r="I82" s="75" t="s">
        <v>192</v>
      </c>
      <c r="J82" s="76" t="s">
        <v>109</v>
      </c>
      <c r="K82" s="75" t="s">
        <v>96</v>
      </c>
      <c r="L82" s="76" t="s">
        <v>81</v>
      </c>
      <c r="M82" s="75"/>
      <c r="N82" s="19"/>
      <c r="O82" s="19"/>
    </row>
    <row r="83" spans="1:15" x14ac:dyDescent="0.25">
      <c r="A83" s="75"/>
      <c r="B83" s="76"/>
      <c r="C83" s="70"/>
      <c r="D83" s="76" t="s">
        <v>211</v>
      </c>
      <c r="E83" s="70"/>
      <c r="F83" s="76"/>
      <c r="G83" s="70"/>
      <c r="H83" s="76"/>
      <c r="I83" s="75" t="s">
        <v>262</v>
      </c>
      <c r="J83" s="76" t="s">
        <v>54</v>
      </c>
      <c r="K83" s="75" t="s">
        <v>103</v>
      </c>
      <c r="L83" s="76" t="s">
        <v>87</v>
      </c>
      <c r="M83" s="75"/>
      <c r="N83" s="19"/>
      <c r="O83" s="19"/>
    </row>
    <row r="84" spans="1:15" x14ac:dyDescent="0.25">
      <c r="A84" s="75"/>
      <c r="B84" s="76"/>
      <c r="C84" s="70"/>
      <c r="D84" s="76" t="s">
        <v>384</v>
      </c>
      <c r="E84" s="70"/>
      <c r="F84" s="76"/>
      <c r="G84" s="70"/>
      <c r="H84" s="76"/>
      <c r="I84" s="75" t="s">
        <v>278</v>
      </c>
      <c r="J84" s="76" t="s">
        <v>59</v>
      </c>
      <c r="K84" s="75" t="s">
        <v>107</v>
      </c>
      <c r="L84" s="76" t="s">
        <v>92</v>
      </c>
      <c r="M84" s="75"/>
      <c r="N84" s="19"/>
      <c r="O84" s="19"/>
    </row>
    <row r="85" spans="1:15" x14ac:dyDescent="0.25">
      <c r="A85" s="75"/>
      <c r="B85" s="76"/>
      <c r="C85" s="70"/>
      <c r="D85" s="76" t="s">
        <v>385</v>
      </c>
      <c r="E85" s="70"/>
      <c r="F85" s="76"/>
      <c r="G85" s="70"/>
      <c r="H85" s="76"/>
      <c r="I85" s="75" t="s">
        <v>298</v>
      </c>
      <c r="J85" s="76" t="s">
        <v>411</v>
      </c>
      <c r="K85" s="75" t="s">
        <v>113</v>
      </c>
      <c r="L85" s="76" t="s">
        <v>99</v>
      </c>
      <c r="M85" s="75"/>
      <c r="N85" s="19"/>
      <c r="O85" s="19"/>
    </row>
    <row r="86" spans="1:15" x14ac:dyDescent="0.25">
      <c r="A86" s="75"/>
      <c r="B86" s="76"/>
      <c r="C86" s="70"/>
      <c r="D86" s="76" t="s">
        <v>218</v>
      </c>
      <c r="E86" s="70"/>
      <c r="F86" s="76"/>
      <c r="G86" s="70"/>
      <c r="H86" s="76"/>
      <c r="I86" s="75" t="s">
        <v>299</v>
      </c>
      <c r="J86" s="76" t="s">
        <v>115</v>
      </c>
      <c r="K86" s="75" t="s">
        <v>119</v>
      </c>
      <c r="L86" s="76" t="s">
        <v>104</v>
      </c>
      <c r="M86" s="75"/>
      <c r="N86" s="19"/>
      <c r="O86" s="19"/>
    </row>
    <row r="87" spans="1:15" x14ac:dyDescent="0.25">
      <c r="A87" s="75"/>
      <c r="B87" s="76"/>
      <c r="C87" s="70"/>
      <c r="D87" s="76" t="s">
        <v>298</v>
      </c>
      <c r="E87" s="70"/>
      <c r="F87" s="76"/>
      <c r="G87" s="70"/>
      <c r="H87" s="76"/>
      <c r="I87" s="75" t="s">
        <v>306</v>
      </c>
      <c r="J87" s="76" t="s">
        <v>315</v>
      </c>
      <c r="K87" s="75" t="s">
        <v>313</v>
      </c>
      <c r="L87" s="76" t="s">
        <v>110</v>
      </c>
      <c r="M87" s="75"/>
      <c r="N87" s="19"/>
      <c r="O87" s="19"/>
    </row>
    <row r="88" spans="1:15" x14ac:dyDescent="0.25">
      <c r="A88" s="75"/>
      <c r="B88" s="76"/>
      <c r="C88" s="70"/>
      <c r="D88" s="76" t="s">
        <v>299</v>
      </c>
      <c r="E88" s="70"/>
      <c r="F88" s="76"/>
      <c r="G88" s="70"/>
      <c r="H88" s="76"/>
      <c r="I88" s="75" t="s">
        <v>301</v>
      </c>
      <c r="J88" s="76" t="s">
        <v>120</v>
      </c>
      <c r="K88" s="75" t="s">
        <v>125</v>
      </c>
      <c r="L88" s="76" t="s">
        <v>116</v>
      </c>
      <c r="M88" s="75"/>
      <c r="N88" s="19"/>
      <c r="O88" s="19"/>
    </row>
    <row r="89" spans="1:15" x14ac:dyDescent="0.25">
      <c r="A89" s="75"/>
      <c r="B89" s="76"/>
      <c r="C89" s="70"/>
      <c r="D89" s="76" t="s">
        <v>300</v>
      </c>
      <c r="E89" s="70"/>
      <c r="F89" s="76"/>
      <c r="G89" s="70"/>
      <c r="H89" s="76"/>
      <c r="I89" s="75" t="s">
        <v>302</v>
      </c>
      <c r="J89" s="76" t="s">
        <v>127</v>
      </c>
      <c r="K89" s="75" t="s">
        <v>310</v>
      </c>
      <c r="L89" s="76" t="s">
        <v>121</v>
      </c>
      <c r="M89" s="75"/>
      <c r="N89" s="19"/>
      <c r="O89" s="19"/>
    </row>
    <row r="90" spans="1:15" x14ac:dyDescent="0.25">
      <c r="A90" s="75"/>
      <c r="B90" s="76"/>
      <c r="C90" s="70"/>
      <c r="D90" s="76" t="s">
        <v>303</v>
      </c>
      <c r="E90" s="70"/>
      <c r="F90" s="76"/>
      <c r="G90" s="70"/>
      <c r="H90" s="76"/>
      <c r="I90" s="75"/>
      <c r="J90" s="76" t="s">
        <v>39</v>
      </c>
      <c r="K90" s="75" t="s">
        <v>133</v>
      </c>
      <c r="L90" s="76" t="s">
        <v>128</v>
      </c>
      <c r="M90" s="75"/>
      <c r="N90" s="19"/>
      <c r="O90" s="19"/>
    </row>
    <row r="91" spans="1:15" x14ac:dyDescent="0.25">
      <c r="A91" s="75"/>
      <c r="B91" s="76"/>
      <c r="C91" s="70"/>
      <c r="D91" s="76"/>
      <c r="E91" s="70"/>
      <c r="F91" s="76"/>
      <c r="G91" s="70"/>
      <c r="H91" s="76"/>
      <c r="I91" s="75"/>
      <c r="J91" s="76" t="s">
        <v>45</v>
      </c>
      <c r="K91" s="75" t="s">
        <v>139</v>
      </c>
      <c r="L91" s="76" t="s">
        <v>136</v>
      </c>
      <c r="M91" s="75"/>
      <c r="N91" s="19"/>
      <c r="O91" s="19"/>
    </row>
    <row r="92" spans="1:15" x14ac:dyDescent="0.25">
      <c r="A92" s="75"/>
      <c r="B92" s="76"/>
      <c r="C92" s="70"/>
      <c r="D92" s="76"/>
      <c r="E92" s="70"/>
      <c r="F92" s="76"/>
      <c r="G92" s="70"/>
      <c r="H92" s="76"/>
      <c r="I92" s="75"/>
      <c r="J92" s="76" t="s">
        <v>53</v>
      </c>
      <c r="K92" s="75" t="s">
        <v>146</v>
      </c>
      <c r="L92" s="76" t="s">
        <v>142</v>
      </c>
      <c r="M92" s="75"/>
      <c r="N92" s="19"/>
      <c r="O92" s="19"/>
    </row>
    <row r="93" spans="1:15" x14ac:dyDescent="0.25">
      <c r="A93" s="75"/>
      <c r="B93" s="76"/>
      <c r="C93" s="70"/>
      <c r="D93" s="76"/>
      <c r="E93" s="70"/>
      <c r="F93" s="76"/>
      <c r="G93" s="70"/>
      <c r="H93" s="76"/>
      <c r="I93" s="75"/>
      <c r="J93" s="76" t="s">
        <v>88</v>
      </c>
      <c r="K93" s="75" t="s">
        <v>311</v>
      </c>
      <c r="L93" s="76" t="s">
        <v>148</v>
      </c>
      <c r="M93" s="75"/>
      <c r="N93" s="19"/>
      <c r="O93" s="19"/>
    </row>
    <row r="94" spans="1:15" x14ac:dyDescent="0.25">
      <c r="A94" s="75"/>
      <c r="B94" s="76"/>
      <c r="C94" s="70"/>
      <c r="D94" s="76"/>
      <c r="E94" s="70"/>
      <c r="F94" s="76"/>
      <c r="G94" s="70"/>
      <c r="H94" s="76"/>
      <c r="I94" s="75"/>
      <c r="J94" s="76" t="s">
        <v>93</v>
      </c>
      <c r="K94" s="75" t="s">
        <v>151</v>
      </c>
      <c r="L94" s="76" t="s">
        <v>153</v>
      </c>
      <c r="M94" s="75"/>
      <c r="N94" s="19"/>
      <c r="O94" s="19"/>
    </row>
    <row r="95" spans="1:15" x14ac:dyDescent="0.25">
      <c r="A95" s="75"/>
      <c r="B95" s="76"/>
      <c r="C95" s="70"/>
      <c r="D95" s="76"/>
      <c r="E95" s="70"/>
      <c r="F95" s="76"/>
      <c r="G95" s="70"/>
      <c r="H95" s="76"/>
      <c r="I95" s="75"/>
      <c r="J95" s="76" t="s">
        <v>100</v>
      </c>
      <c r="K95" s="75" t="s">
        <v>314</v>
      </c>
      <c r="L95" s="76" t="s">
        <v>160</v>
      </c>
      <c r="M95" s="75"/>
      <c r="N95" s="19"/>
      <c r="O95" s="19"/>
    </row>
    <row r="96" spans="1:15" x14ac:dyDescent="0.25">
      <c r="A96" s="75"/>
      <c r="B96" s="76"/>
      <c r="C96" s="70"/>
      <c r="D96" s="76"/>
      <c r="E96" s="70"/>
      <c r="F96" s="76"/>
      <c r="G96" s="70"/>
      <c r="H96" s="76"/>
      <c r="I96" s="75"/>
      <c r="J96" s="76" t="s">
        <v>105</v>
      </c>
      <c r="K96" s="75" t="s">
        <v>158</v>
      </c>
      <c r="L96" s="76" t="s">
        <v>166</v>
      </c>
      <c r="M96" s="75"/>
      <c r="N96" s="19"/>
      <c r="O96" s="19"/>
    </row>
    <row r="97" spans="1:15" x14ac:dyDescent="0.25">
      <c r="A97" s="75"/>
      <c r="B97" s="76"/>
      <c r="C97" s="70"/>
      <c r="D97" s="76"/>
      <c r="E97" s="70"/>
      <c r="F97" s="76"/>
      <c r="G97" s="70"/>
      <c r="H97" s="76"/>
      <c r="I97" s="75"/>
      <c r="J97" s="76" t="s">
        <v>111</v>
      </c>
      <c r="K97" s="75" t="s">
        <v>312</v>
      </c>
      <c r="L97" s="76" t="s">
        <v>171</v>
      </c>
      <c r="M97" s="75"/>
      <c r="N97" s="19"/>
      <c r="O97" s="19"/>
    </row>
    <row r="98" spans="1:15" x14ac:dyDescent="0.25">
      <c r="A98" s="75"/>
      <c r="B98" s="76"/>
      <c r="C98" s="70"/>
      <c r="D98" s="76"/>
      <c r="E98" s="70"/>
      <c r="F98" s="76"/>
      <c r="G98" s="70"/>
      <c r="H98" s="76"/>
      <c r="I98" s="75"/>
      <c r="J98" s="76" t="s">
        <v>117</v>
      </c>
      <c r="K98" s="75" t="s">
        <v>402</v>
      </c>
      <c r="L98" s="76" t="s">
        <v>177</v>
      </c>
      <c r="M98" s="75"/>
      <c r="N98" s="19"/>
      <c r="O98" s="19"/>
    </row>
    <row r="99" spans="1:15" x14ac:dyDescent="0.25">
      <c r="A99" s="75"/>
      <c r="B99" s="76"/>
      <c r="C99" s="70"/>
      <c r="D99" s="76"/>
      <c r="E99" s="70"/>
      <c r="F99" s="76"/>
      <c r="G99" s="70"/>
      <c r="H99" s="76"/>
      <c r="I99" s="75"/>
      <c r="J99" s="76" t="s">
        <v>122</v>
      </c>
      <c r="K99" s="75" t="s">
        <v>163</v>
      </c>
      <c r="L99" s="76" t="s">
        <v>181</v>
      </c>
      <c r="M99" s="75"/>
      <c r="N99" s="19"/>
      <c r="O99" s="19"/>
    </row>
    <row r="100" spans="1:15" x14ac:dyDescent="0.25">
      <c r="A100" s="75"/>
      <c r="B100" s="76"/>
      <c r="C100" s="70"/>
      <c r="D100" s="76"/>
      <c r="E100" s="70"/>
      <c r="F100" s="76"/>
      <c r="G100" s="70"/>
      <c r="H100" s="76"/>
      <c r="I100" s="75"/>
      <c r="J100" s="76" t="s">
        <v>129</v>
      </c>
      <c r="K100" s="75" t="s">
        <v>169</v>
      </c>
      <c r="L100" s="76" t="s">
        <v>319</v>
      </c>
      <c r="M100" s="75"/>
      <c r="N100" s="19"/>
      <c r="O100" s="19"/>
    </row>
    <row r="101" spans="1:15" x14ac:dyDescent="0.25">
      <c r="A101" s="75"/>
      <c r="B101" s="76"/>
      <c r="C101" s="70"/>
      <c r="D101" s="76"/>
      <c r="E101" s="70"/>
      <c r="F101" s="76"/>
      <c r="G101" s="70"/>
      <c r="H101" s="76"/>
      <c r="I101" s="75"/>
      <c r="J101" s="76" t="s">
        <v>137</v>
      </c>
      <c r="K101" s="75" t="s">
        <v>271</v>
      </c>
      <c r="L101" s="76" t="s">
        <v>195</v>
      </c>
      <c r="M101" s="75"/>
      <c r="N101" s="19"/>
      <c r="O101" s="19"/>
    </row>
    <row r="102" spans="1:15" x14ac:dyDescent="0.25">
      <c r="A102" s="75"/>
      <c r="B102" s="76"/>
      <c r="C102" s="70"/>
      <c r="D102" s="76"/>
      <c r="E102" s="70"/>
      <c r="F102" s="76"/>
      <c r="G102" s="70"/>
      <c r="H102" s="76"/>
      <c r="I102" s="75"/>
      <c r="J102" s="76" t="s">
        <v>143</v>
      </c>
      <c r="K102" s="75" t="s">
        <v>273</v>
      </c>
      <c r="L102" s="76" t="s">
        <v>197</v>
      </c>
      <c r="M102" s="75"/>
      <c r="N102" s="19"/>
      <c r="O102" s="19"/>
    </row>
    <row r="103" spans="1:15" x14ac:dyDescent="0.25">
      <c r="A103" s="75"/>
      <c r="B103" s="76"/>
      <c r="C103" s="70"/>
      <c r="D103" s="76"/>
      <c r="E103" s="70"/>
      <c r="F103" s="76"/>
      <c r="G103" s="70"/>
      <c r="H103" s="76"/>
      <c r="I103" s="75"/>
      <c r="J103" s="76" t="s">
        <v>149</v>
      </c>
      <c r="K103" s="75" t="s">
        <v>274</v>
      </c>
      <c r="L103" s="76" t="s">
        <v>199</v>
      </c>
      <c r="M103" s="75"/>
      <c r="N103" s="19"/>
      <c r="O103" s="19"/>
    </row>
    <row r="104" spans="1:15" x14ac:dyDescent="0.25">
      <c r="A104" s="75"/>
      <c r="B104" s="76"/>
      <c r="C104" s="70"/>
      <c r="D104" s="76"/>
      <c r="E104" s="70"/>
      <c r="F104" s="76"/>
      <c r="G104" s="70"/>
      <c r="H104" s="76"/>
      <c r="I104" s="75"/>
      <c r="J104" s="76" t="s">
        <v>154</v>
      </c>
      <c r="K104" s="75" t="s">
        <v>379</v>
      </c>
      <c r="L104" s="76" t="s">
        <v>202</v>
      </c>
      <c r="M104" s="75"/>
      <c r="N104" s="19"/>
      <c r="O104" s="19"/>
    </row>
    <row r="105" spans="1:15" x14ac:dyDescent="0.25">
      <c r="A105" s="75"/>
      <c r="B105" s="76"/>
      <c r="C105" s="70"/>
      <c r="D105" s="76"/>
      <c r="E105" s="70"/>
      <c r="F105" s="76"/>
      <c r="G105" s="70"/>
      <c r="H105" s="76"/>
      <c r="I105" s="75"/>
      <c r="J105" s="76" t="s">
        <v>161</v>
      </c>
      <c r="K105" s="75" t="s">
        <v>380</v>
      </c>
      <c r="L105" s="76" t="s">
        <v>205</v>
      </c>
      <c r="M105" s="75"/>
      <c r="N105" s="19"/>
      <c r="O105" s="19"/>
    </row>
    <row r="106" spans="1:15" x14ac:dyDescent="0.25">
      <c r="A106" s="75"/>
      <c r="B106" s="76"/>
      <c r="C106" s="70"/>
      <c r="D106" s="76"/>
      <c r="E106" s="70"/>
      <c r="F106" s="76"/>
      <c r="G106" s="70"/>
      <c r="H106" s="76"/>
      <c r="I106" s="75"/>
      <c r="J106" s="76" t="s">
        <v>162</v>
      </c>
      <c r="K106" s="75" t="s">
        <v>381</v>
      </c>
      <c r="L106" s="76" t="s">
        <v>210</v>
      </c>
      <c r="M106" s="75"/>
      <c r="N106" s="19"/>
      <c r="O106" s="19"/>
    </row>
    <row r="107" spans="1:15" x14ac:dyDescent="0.25">
      <c r="A107" s="75"/>
      <c r="B107" s="76"/>
      <c r="C107" s="70"/>
      <c r="D107" s="76"/>
      <c r="E107" s="70"/>
      <c r="F107" s="76"/>
      <c r="G107" s="70"/>
      <c r="H107" s="76"/>
      <c r="I107" s="75"/>
      <c r="J107" s="76" t="s">
        <v>172</v>
      </c>
      <c r="K107" s="75" t="s">
        <v>404</v>
      </c>
      <c r="L107" s="76" t="s">
        <v>213</v>
      </c>
      <c r="M107" s="75"/>
      <c r="N107" s="19"/>
      <c r="O107" s="19"/>
    </row>
    <row r="108" spans="1:15" x14ac:dyDescent="0.25">
      <c r="A108" s="75"/>
      <c r="B108" s="76"/>
      <c r="C108" s="70"/>
      <c r="D108" s="76"/>
      <c r="E108" s="70"/>
      <c r="F108" s="76"/>
      <c r="G108" s="70"/>
      <c r="H108" s="76"/>
      <c r="I108" s="75"/>
      <c r="J108" s="76" t="s">
        <v>178</v>
      </c>
      <c r="K108" s="75" t="s">
        <v>405</v>
      </c>
      <c r="L108" s="76" t="s">
        <v>215</v>
      </c>
      <c r="M108" s="75"/>
      <c r="N108" s="19"/>
      <c r="O108" s="19"/>
    </row>
    <row r="109" spans="1:15" x14ac:dyDescent="0.25">
      <c r="A109" s="75"/>
      <c r="B109" s="76"/>
      <c r="C109" s="70"/>
      <c r="D109" s="76"/>
      <c r="E109" s="70"/>
      <c r="F109" s="76"/>
      <c r="G109" s="70"/>
      <c r="H109" s="76"/>
      <c r="I109" s="75"/>
      <c r="J109" s="76" t="s">
        <v>414</v>
      </c>
      <c r="K109" s="75" t="s">
        <v>279</v>
      </c>
      <c r="L109" s="76" t="s">
        <v>217</v>
      </c>
      <c r="M109" s="75"/>
      <c r="N109" s="19"/>
      <c r="O109" s="19"/>
    </row>
    <row r="110" spans="1:15" x14ac:dyDescent="0.25">
      <c r="A110" s="75"/>
      <c r="B110" s="76"/>
      <c r="C110" s="70"/>
      <c r="D110" s="76"/>
      <c r="E110" s="70"/>
      <c r="F110" s="76"/>
      <c r="G110" s="70"/>
      <c r="H110" s="76"/>
      <c r="I110" s="75"/>
      <c r="J110" s="76" t="s">
        <v>415</v>
      </c>
      <c r="K110" s="75" t="s">
        <v>382</v>
      </c>
      <c r="L110" s="76" t="s">
        <v>221</v>
      </c>
      <c r="M110" s="75"/>
      <c r="N110" s="19"/>
      <c r="O110" s="19"/>
    </row>
    <row r="111" spans="1:15" x14ac:dyDescent="0.25">
      <c r="A111" s="75"/>
      <c r="B111" s="76"/>
      <c r="C111" s="70"/>
      <c r="D111" s="76"/>
      <c r="E111" s="70"/>
      <c r="F111" s="76"/>
      <c r="G111" s="70"/>
      <c r="H111" s="76"/>
      <c r="I111" s="75"/>
      <c r="J111" s="76" t="s">
        <v>375</v>
      </c>
      <c r="K111" s="75" t="s">
        <v>280</v>
      </c>
      <c r="L111" s="76" t="s">
        <v>194</v>
      </c>
      <c r="M111" s="75"/>
      <c r="N111" s="19"/>
      <c r="O111" s="19"/>
    </row>
    <row r="112" spans="1:15" x14ac:dyDescent="0.25">
      <c r="A112" s="75"/>
      <c r="B112" s="76"/>
      <c r="C112" s="70"/>
      <c r="D112" s="76"/>
      <c r="E112" s="70"/>
      <c r="F112" s="76"/>
      <c r="G112" s="70"/>
      <c r="H112" s="76"/>
      <c r="I112" s="75"/>
      <c r="J112" s="76" t="s">
        <v>251</v>
      </c>
      <c r="K112" s="75" t="s">
        <v>383</v>
      </c>
      <c r="L112" s="76" t="s">
        <v>194</v>
      </c>
      <c r="M112" s="75"/>
      <c r="N112" s="19"/>
      <c r="O112" s="19"/>
    </row>
    <row r="113" spans="1:15" x14ac:dyDescent="0.25">
      <c r="A113" s="75"/>
      <c r="B113" s="76"/>
      <c r="C113" s="70"/>
      <c r="D113" s="76"/>
      <c r="E113" s="70"/>
      <c r="F113" s="76"/>
      <c r="G113" s="70"/>
      <c r="H113" s="76"/>
      <c r="I113" s="75"/>
      <c r="J113" s="76" t="s">
        <v>135</v>
      </c>
      <c r="K113" s="75" t="s">
        <v>206</v>
      </c>
      <c r="L113" s="76" t="s">
        <v>317</v>
      </c>
      <c r="M113" s="75"/>
      <c r="N113" s="19"/>
      <c r="O113" s="19"/>
    </row>
    <row r="114" spans="1:15" x14ac:dyDescent="0.25">
      <c r="A114" s="75"/>
      <c r="B114" s="76"/>
      <c r="C114" s="70"/>
      <c r="D114" s="76"/>
      <c r="E114" s="70"/>
      <c r="F114" s="76"/>
      <c r="G114" s="70"/>
      <c r="H114" s="76"/>
      <c r="I114" s="75"/>
      <c r="J114" s="76" t="s">
        <v>141</v>
      </c>
      <c r="K114" s="75" t="s">
        <v>211</v>
      </c>
      <c r="L114" s="76" t="s">
        <v>222</v>
      </c>
      <c r="M114" s="75"/>
      <c r="N114" s="19"/>
      <c r="O114" s="19"/>
    </row>
    <row r="115" spans="1:15" x14ac:dyDescent="0.25">
      <c r="A115" s="75"/>
      <c r="B115" s="76"/>
      <c r="C115" s="70"/>
      <c r="D115" s="76"/>
      <c r="E115" s="70"/>
      <c r="F115" s="76"/>
      <c r="G115" s="70"/>
      <c r="H115" s="76"/>
      <c r="I115" s="75"/>
      <c r="J115" s="76" t="s">
        <v>43</v>
      </c>
      <c r="K115" s="75" t="s">
        <v>384</v>
      </c>
      <c r="L115" s="76" t="s">
        <v>398</v>
      </c>
      <c r="M115" s="75"/>
      <c r="N115" s="19"/>
      <c r="O115" s="19"/>
    </row>
    <row r="116" spans="1:15" x14ac:dyDescent="0.25">
      <c r="A116" s="75"/>
      <c r="B116" s="76"/>
      <c r="C116" s="70"/>
      <c r="D116" s="76"/>
      <c r="E116" s="70"/>
      <c r="F116" s="76"/>
      <c r="G116" s="70"/>
      <c r="H116" s="76"/>
      <c r="I116" s="75"/>
      <c r="J116" s="76" t="s">
        <v>43</v>
      </c>
      <c r="K116" s="75" t="s">
        <v>385</v>
      </c>
      <c r="L116" s="76" t="s">
        <v>196</v>
      </c>
      <c r="M116" s="75"/>
      <c r="N116" s="19"/>
      <c r="O116" s="19"/>
    </row>
    <row r="117" spans="1:15" x14ac:dyDescent="0.25">
      <c r="A117" s="75"/>
      <c r="B117" s="76"/>
      <c r="C117" s="70"/>
      <c r="D117" s="76"/>
      <c r="E117" s="70"/>
      <c r="F117" s="76"/>
      <c r="G117" s="70"/>
      <c r="H117" s="76"/>
      <c r="I117" s="75"/>
      <c r="J117" s="76" t="s">
        <v>147</v>
      </c>
      <c r="K117" s="75" t="s">
        <v>218</v>
      </c>
      <c r="L117" s="76" t="s">
        <v>196</v>
      </c>
      <c r="M117" s="75"/>
      <c r="N117" s="19"/>
      <c r="O117" s="19"/>
    </row>
    <row r="118" spans="1:15" x14ac:dyDescent="0.25">
      <c r="A118" s="75"/>
      <c r="B118" s="76"/>
      <c r="C118" s="70"/>
      <c r="D118" s="76"/>
      <c r="E118" s="70"/>
      <c r="F118" s="76"/>
      <c r="G118" s="70"/>
      <c r="H118" s="76"/>
      <c r="I118" s="75"/>
      <c r="J118" s="76" t="s">
        <v>89</v>
      </c>
      <c r="K118" s="75" t="s">
        <v>281</v>
      </c>
      <c r="L118" s="76" t="s">
        <v>198</v>
      </c>
      <c r="M118" s="75"/>
      <c r="N118" s="19"/>
      <c r="O118" s="19"/>
    </row>
    <row r="119" spans="1:15" x14ac:dyDescent="0.25">
      <c r="A119" s="75"/>
      <c r="B119" s="76"/>
      <c r="C119" s="70"/>
      <c r="D119" s="76"/>
      <c r="E119" s="70"/>
      <c r="F119" s="76"/>
      <c r="G119" s="70"/>
      <c r="H119" s="76"/>
      <c r="I119" s="75"/>
      <c r="J119" s="76" t="s">
        <v>94</v>
      </c>
      <c r="K119" s="75" t="s">
        <v>282</v>
      </c>
      <c r="L119" s="76" t="s">
        <v>198</v>
      </c>
      <c r="M119" s="75"/>
      <c r="N119" s="19"/>
      <c r="O119" s="19"/>
    </row>
    <row r="120" spans="1:15" x14ac:dyDescent="0.25">
      <c r="A120" s="75"/>
      <c r="B120" s="76"/>
      <c r="C120" s="70"/>
      <c r="D120" s="76"/>
      <c r="E120" s="70"/>
      <c r="F120" s="76"/>
      <c r="G120" s="70"/>
      <c r="H120" s="76"/>
      <c r="I120" s="75"/>
      <c r="J120" s="76" t="s">
        <v>101</v>
      </c>
      <c r="K120" s="75" t="s">
        <v>419</v>
      </c>
      <c r="L120" s="76" t="s">
        <v>201</v>
      </c>
      <c r="M120" s="75"/>
      <c r="N120" s="19"/>
      <c r="O120" s="19"/>
    </row>
    <row r="121" spans="1:15" x14ac:dyDescent="0.25">
      <c r="A121" s="75"/>
      <c r="B121" s="76"/>
      <c r="C121" s="70"/>
      <c r="D121" s="76"/>
      <c r="E121" s="70"/>
      <c r="F121" s="76"/>
      <c r="G121" s="70"/>
      <c r="H121" s="76"/>
      <c r="I121" s="75"/>
      <c r="J121" s="76" t="s">
        <v>106</v>
      </c>
      <c r="K121" s="75" t="s">
        <v>283</v>
      </c>
      <c r="L121" s="76" t="s">
        <v>201</v>
      </c>
      <c r="M121" s="75"/>
      <c r="N121" s="19"/>
      <c r="O121" s="19"/>
    </row>
    <row r="122" spans="1:15" x14ac:dyDescent="0.25">
      <c r="A122" s="75"/>
      <c r="B122" s="76"/>
      <c r="C122" s="70"/>
      <c r="D122" s="76"/>
      <c r="E122" s="70"/>
      <c r="F122" s="76"/>
      <c r="G122" s="70"/>
      <c r="H122" s="76"/>
      <c r="I122" s="75"/>
      <c r="J122" s="76" t="s">
        <v>191</v>
      </c>
      <c r="K122" s="75" t="s">
        <v>284</v>
      </c>
      <c r="L122" s="76" t="s">
        <v>229</v>
      </c>
      <c r="M122" s="75"/>
      <c r="N122" s="19"/>
      <c r="O122" s="19"/>
    </row>
    <row r="123" spans="1:15" x14ac:dyDescent="0.25">
      <c r="A123" s="75"/>
      <c r="B123" s="76"/>
      <c r="C123" s="70"/>
      <c r="D123" s="76"/>
      <c r="E123" s="70"/>
      <c r="F123" s="76"/>
      <c r="G123" s="70"/>
      <c r="H123" s="76"/>
      <c r="I123" s="75"/>
      <c r="J123" s="76" t="s">
        <v>152</v>
      </c>
      <c r="K123" s="75" t="s">
        <v>298</v>
      </c>
      <c r="L123" s="76" t="s">
        <v>204</v>
      </c>
      <c r="M123" s="75"/>
      <c r="N123" s="19"/>
      <c r="O123" s="19"/>
    </row>
    <row r="124" spans="1:15" x14ac:dyDescent="0.25">
      <c r="A124" s="75"/>
      <c r="B124" s="76"/>
      <c r="C124" s="70"/>
      <c r="D124" s="76"/>
      <c r="E124" s="70"/>
      <c r="F124" s="76"/>
      <c r="G124" s="70"/>
      <c r="H124" s="76"/>
      <c r="I124" s="75"/>
      <c r="J124" s="76" t="s">
        <v>159</v>
      </c>
      <c r="K124" s="75" t="s">
        <v>299</v>
      </c>
      <c r="L124" s="76" t="s">
        <v>232</v>
      </c>
      <c r="M124" s="75"/>
      <c r="N124" s="19"/>
      <c r="O124" s="19"/>
    </row>
    <row r="125" spans="1:15" x14ac:dyDescent="0.25">
      <c r="A125" s="75"/>
      <c r="B125" s="76"/>
      <c r="C125" s="70"/>
      <c r="D125" s="76"/>
      <c r="E125" s="70"/>
      <c r="F125" s="76"/>
      <c r="G125" s="70"/>
      <c r="H125" s="76"/>
      <c r="I125" s="75"/>
      <c r="J125" s="76" t="s">
        <v>253</v>
      </c>
      <c r="K125" s="75" t="s">
        <v>304</v>
      </c>
      <c r="L125" s="76" t="s">
        <v>234</v>
      </c>
      <c r="M125" s="75"/>
      <c r="N125" s="19"/>
      <c r="O125" s="19"/>
    </row>
    <row r="126" spans="1:15" x14ac:dyDescent="0.25">
      <c r="A126" s="75"/>
      <c r="B126" s="76"/>
      <c r="C126" s="70"/>
      <c r="D126" s="76"/>
      <c r="E126" s="70"/>
      <c r="F126" s="76"/>
      <c r="G126" s="70"/>
      <c r="H126" s="76"/>
      <c r="I126" s="75"/>
      <c r="J126" s="76" t="s">
        <v>420</v>
      </c>
      <c r="K126" s="75" t="s">
        <v>300</v>
      </c>
      <c r="L126" s="76" t="s">
        <v>237</v>
      </c>
      <c r="M126" s="75"/>
      <c r="N126" s="19"/>
      <c r="O126" s="19"/>
    </row>
    <row r="127" spans="1:15" x14ac:dyDescent="0.25">
      <c r="A127" s="75"/>
      <c r="B127" s="76"/>
      <c r="C127" s="70"/>
      <c r="D127" s="76"/>
      <c r="E127" s="70"/>
      <c r="F127" s="76"/>
      <c r="G127" s="70"/>
      <c r="H127" s="76"/>
      <c r="I127" s="75"/>
      <c r="J127" s="76" t="s">
        <v>165</v>
      </c>
      <c r="K127" s="75" t="s">
        <v>303</v>
      </c>
      <c r="L127" s="76" t="s">
        <v>416</v>
      </c>
      <c r="M127" s="75"/>
      <c r="N127" s="19"/>
      <c r="O127" s="19"/>
    </row>
    <row r="128" spans="1:15" x14ac:dyDescent="0.25">
      <c r="A128" s="75"/>
      <c r="B128" s="76"/>
      <c r="C128" s="70"/>
      <c r="D128" s="76"/>
      <c r="E128" s="70"/>
      <c r="F128" s="76"/>
      <c r="G128" s="70"/>
      <c r="H128" s="76"/>
      <c r="I128" s="75"/>
      <c r="J128" s="76" t="s">
        <v>170</v>
      </c>
      <c r="K128" s="75"/>
      <c r="L128" s="76" t="s">
        <v>417</v>
      </c>
      <c r="M128" s="75"/>
      <c r="N128" s="19"/>
      <c r="O128" s="19"/>
    </row>
    <row r="129" spans="1:15" x14ac:dyDescent="0.25">
      <c r="A129" s="75"/>
      <c r="B129" s="76"/>
      <c r="C129" s="70"/>
      <c r="D129" s="76"/>
      <c r="E129" s="70"/>
      <c r="F129" s="76"/>
      <c r="G129" s="70"/>
      <c r="H129" s="76"/>
      <c r="I129" s="75"/>
      <c r="J129" s="76" t="s">
        <v>399</v>
      </c>
      <c r="K129" s="75"/>
      <c r="L129" s="76" t="s">
        <v>138</v>
      </c>
      <c r="M129" s="75"/>
      <c r="N129" s="19"/>
      <c r="O129" s="19"/>
    </row>
    <row r="130" spans="1:15" x14ac:dyDescent="0.25">
      <c r="A130" s="75"/>
      <c r="B130" s="76"/>
      <c r="C130" s="70"/>
      <c r="D130" s="76"/>
      <c r="E130" s="70"/>
      <c r="F130" s="76"/>
      <c r="G130" s="70"/>
      <c r="H130" s="76"/>
      <c r="I130" s="75"/>
      <c r="J130" s="76" t="s">
        <v>400</v>
      </c>
      <c r="K130" s="75"/>
      <c r="L130" s="76" t="s">
        <v>144</v>
      </c>
      <c r="M130" s="75"/>
      <c r="N130" s="19"/>
      <c r="O130" s="19"/>
    </row>
    <row r="131" spans="1:15" x14ac:dyDescent="0.25">
      <c r="A131" s="75"/>
      <c r="B131" s="76"/>
      <c r="C131" s="70"/>
      <c r="D131" s="76"/>
      <c r="E131" s="70"/>
      <c r="F131" s="76"/>
      <c r="G131" s="70"/>
      <c r="H131" s="76"/>
      <c r="I131" s="75"/>
      <c r="J131" s="76" t="s">
        <v>176</v>
      </c>
      <c r="K131" s="75"/>
      <c r="L131" s="76" t="s">
        <v>241</v>
      </c>
      <c r="M131" s="75"/>
      <c r="N131" s="19"/>
      <c r="O131" s="19"/>
    </row>
    <row r="132" spans="1:15" x14ac:dyDescent="0.25">
      <c r="A132" s="75"/>
      <c r="B132" s="76"/>
      <c r="C132" s="70"/>
      <c r="D132" s="76"/>
      <c r="E132" s="70"/>
      <c r="F132" s="76"/>
      <c r="G132" s="70"/>
      <c r="H132" s="76"/>
      <c r="I132" s="75"/>
      <c r="J132" s="76" t="s">
        <v>180</v>
      </c>
      <c r="K132" s="75"/>
      <c r="L132" s="76" t="s">
        <v>243</v>
      </c>
      <c r="M132" s="75"/>
      <c r="N132" s="19"/>
      <c r="O132" s="19"/>
    </row>
    <row r="133" spans="1:15" x14ac:dyDescent="0.25">
      <c r="A133" s="75"/>
      <c r="B133" s="76"/>
      <c r="C133" s="70"/>
      <c r="D133" s="76"/>
      <c r="E133" s="70"/>
      <c r="F133" s="76"/>
      <c r="G133" s="70"/>
      <c r="H133" s="76"/>
      <c r="I133" s="75"/>
      <c r="J133" s="76" t="s">
        <v>185</v>
      </c>
      <c r="K133" s="75"/>
      <c r="L133" s="76" t="s">
        <v>246</v>
      </c>
      <c r="M133" s="75"/>
      <c r="N133" s="19"/>
      <c r="O133" s="19"/>
    </row>
    <row r="134" spans="1:15" x14ac:dyDescent="0.25">
      <c r="A134" s="75"/>
      <c r="B134" s="76"/>
      <c r="C134" s="70"/>
      <c r="D134" s="76"/>
      <c r="E134" s="70"/>
      <c r="F134" s="76"/>
      <c r="G134" s="70"/>
      <c r="H134" s="76"/>
      <c r="I134" s="75"/>
      <c r="J134" s="76" t="s">
        <v>189</v>
      </c>
      <c r="K134" s="75"/>
      <c r="L134" s="76" t="s">
        <v>248</v>
      </c>
      <c r="M134" s="75"/>
      <c r="N134" s="19"/>
      <c r="O134" s="19"/>
    </row>
    <row r="135" spans="1:15" x14ac:dyDescent="0.25">
      <c r="A135" s="75"/>
      <c r="B135" s="76"/>
      <c r="C135" s="70"/>
      <c r="D135" s="76"/>
      <c r="E135" s="70"/>
      <c r="F135" s="76"/>
      <c r="G135" s="70"/>
      <c r="H135" s="76"/>
      <c r="I135" s="75"/>
      <c r="J135" s="76" t="s">
        <v>255</v>
      </c>
      <c r="K135" s="75"/>
      <c r="L135" s="76" t="s">
        <v>250</v>
      </c>
      <c r="M135" s="75"/>
      <c r="N135" s="19"/>
      <c r="O135" s="19"/>
    </row>
    <row r="136" spans="1:15" x14ac:dyDescent="0.25">
      <c r="A136" s="75"/>
      <c r="B136" s="76"/>
      <c r="C136" s="70"/>
      <c r="D136" s="76"/>
      <c r="E136" s="70"/>
      <c r="F136" s="76"/>
      <c r="G136" s="70"/>
      <c r="H136" s="76"/>
      <c r="I136" s="75"/>
      <c r="J136" s="76" t="s">
        <v>112</v>
      </c>
      <c r="K136" s="75"/>
      <c r="L136" s="76" t="s">
        <v>252</v>
      </c>
      <c r="M136" s="75"/>
      <c r="N136" s="19"/>
      <c r="O136" s="19"/>
    </row>
    <row r="137" spans="1:15" x14ac:dyDescent="0.25">
      <c r="A137" s="75"/>
      <c r="B137" s="76"/>
      <c r="C137" s="70"/>
      <c r="D137" s="76"/>
      <c r="E137" s="70"/>
      <c r="F137" s="76"/>
      <c r="G137" s="70"/>
      <c r="H137" s="76"/>
      <c r="I137" s="75"/>
      <c r="J137" s="76" t="s">
        <v>118</v>
      </c>
      <c r="K137" s="75"/>
      <c r="L137" s="76" t="s">
        <v>257</v>
      </c>
      <c r="M137" s="75"/>
      <c r="N137" s="19"/>
      <c r="O137" s="19"/>
    </row>
    <row r="138" spans="1:15" x14ac:dyDescent="0.25">
      <c r="A138" s="75"/>
      <c r="B138" s="76"/>
      <c r="C138" s="70"/>
      <c r="D138" s="76"/>
      <c r="E138" s="70"/>
      <c r="F138" s="76"/>
      <c r="G138" s="70"/>
      <c r="H138" s="76"/>
      <c r="I138" s="75"/>
      <c r="J138" s="76" t="s">
        <v>123</v>
      </c>
      <c r="K138" s="75"/>
      <c r="L138" s="76" t="s">
        <v>260</v>
      </c>
      <c r="M138" s="75"/>
      <c r="N138" s="19"/>
      <c r="O138" s="19"/>
    </row>
    <row r="139" spans="1:15" x14ac:dyDescent="0.25">
      <c r="A139" s="75"/>
      <c r="B139" s="76"/>
      <c r="C139" s="70"/>
      <c r="D139" s="76"/>
      <c r="E139" s="70"/>
      <c r="F139" s="76"/>
      <c r="G139" s="70"/>
      <c r="H139" s="76"/>
      <c r="I139" s="75"/>
      <c r="J139" s="76" t="s">
        <v>130</v>
      </c>
      <c r="K139" s="75"/>
      <c r="L139" s="76" t="s">
        <v>263</v>
      </c>
      <c r="M139" s="75"/>
      <c r="N139" s="19"/>
      <c r="O139" s="19"/>
    </row>
    <row r="140" spans="1:15" x14ac:dyDescent="0.25">
      <c r="A140" s="75"/>
      <c r="B140" s="76"/>
      <c r="C140" s="70"/>
      <c r="D140" s="76"/>
      <c r="E140" s="70"/>
      <c r="F140" s="76"/>
      <c r="G140" s="70"/>
      <c r="H140" s="76"/>
      <c r="I140" s="75"/>
      <c r="J140" s="76" t="s">
        <v>258</v>
      </c>
      <c r="K140" s="75"/>
      <c r="L140" s="76" t="s">
        <v>265</v>
      </c>
      <c r="M140" s="75"/>
      <c r="N140" s="19"/>
      <c r="O140" s="19"/>
    </row>
    <row r="141" spans="1:15" x14ac:dyDescent="0.25">
      <c r="A141" s="75"/>
      <c r="B141" s="76"/>
      <c r="C141" s="70"/>
      <c r="D141" s="76"/>
      <c r="E141" s="70"/>
      <c r="F141" s="76"/>
      <c r="G141" s="70"/>
      <c r="H141" s="76"/>
      <c r="I141" s="75"/>
      <c r="J141" s="76" t="s">
        <v>261</v>
      </c>
      <c r="K141" s="75"/>
      <c r="L141" s="76" t="s">
        <v>266</v>
      </c>
      <c r="M141" s="75"/>
      <c r="N141" s="19"/>
      <c r="O141" s="19"/>
    </row>
    <row r="142" spans="1:15" x14ac:dyDescent="0.25">
      <c r="A142" s="75"/>
      <c r="B142" s="76"/>
      <c r="C142" s="70"/>
      <c r="D142" s="76"/>
      <c r="E142" s="70"/>
      <c r="F142" s="76"/>
      <c r="G142" s="70"/>
      <c r="H142" s="76"/>
      <c r="I142" s="75"/>
      <c r="J142" s="76" t="s">
        <v>264</v>
      </c>
      <c r="K142" s="75"/>
      <c r="L142" s="76" t="s">
        <v>267</v>
      </c>
      <c r="M142" s="75"/>
      <c r="N142" s="19"/>
      <c r="O142" s="19"/>
    </row>
    <row r="143" spans="1:15" x14ac:dyDescent="0.25">
      <c r="A143" s="75"/>
      <c r="B143" s="76"/>
      <c r="C143" s="70"/>
      <c r="D143" s="76"/>
      <c r="E143" s="70"/>
      <c r="F143" s="76"/>
      <c r="G143" s="70"/>
      <c r="H143" s="76"/>
      <c r="I143" s="75"/>
      <c r="J143" s="76" t="s">
        <v>376</v>
      </c>
      <c r="K143" s="75"/>
      <c r="L143" s="76" t="s">
        <v>269</v>
      </c>
      <c r="M143" s="75"/>
      <c r="N143" s="19"/>
      <c r="O143" s="19"/>
    </row>
    <row r="144" spans="1:15" x14ac:dyDescent="0.25">
      <c r="A144" s="75"/>
      <c r="B144" s="76"/>
      <c r="C144" s="70"/>
      <c r="D144" s="76"/>
      <c r="E144" s="70"/>
      <c r="F144" s="76"/>
      <c r="G144" s="70"/>
      <c r="H144" s="76"/>
      <c r="I144" s="75"/>
      <c r="J144" s="76" t="s">
        <v>377</v>
      </c>
      <c r="K144" s="75"/>
      <c r="L144" s="76" t="s">
        <v>270</v>
      </c>
      <c r="M144" s="75"/>
      <c r="N144" s="19"/>
      <c r="O144" s="19"/>
    </row>
    <row r="145" spans="1:15" x14ac:dyDescent="0.25">
      <c r="A145" s="75"/>
      <c r="B145" s="76"/>
      <c r="C145" s="70"/>
      <c r="D145" s="76"/>
      <c r="E145" s="70"/>
      <c r="F145" s="76"/>
      <c r="G145" s="70"/>
      <c r="H145" s="76"/>
      <c r="I145" s="75"/>
      <c r="J145" s="76" t="s">
        <v>268</v>
      </c>
      <c r="K145" s="75"/>
      <c r="L145" s="76" t="s">
        <v>272</v>
      </c>
      <c r="M145" s="75"/>
      <c r="N145" s="19"/>
      <c r="O145" s="19"/>
    </row>
    <row r="146" spans="1:15" x14ac:dyDescent="0.25">
      <c r="A146" s="75"/>
      <c r="B146" s="76"/>
      <c r="C146" s="70"/>
      <c r="D146" s="76"/>
      <c r="E146" s="70"/>
      <c r="F146" s="76"/>
      <c r="G146" s="70"/>
      <c r="H146" s="76"/>
      <c r="I146" s="75"/>
      <c r="J146" s="76" t="s">
        <v>403</v>
      </c>
      <c r="K146" s="75"/>
      <c r="L146" s="76" t="s">
        <v>209</v>
      </c>
      <c r="M146" s="75"/>
      <c r="N146" s="19"/>
      <c r="O146" s="19"/>
    </row>
    <row r="147" spans="1:15" x14ac:dyDescent="0.25">
      <c r="A147" s="75"/>
      <c r="B147" s="76"/>
      <c r="C147" s="70"/>
      <c r="D147" s="76"/>
      <c r="E147" s="70"/>
      <c r="F147" s="76"/>
      <c r="G147" s="70"/>
      <c r="H147" s="76"/>
      <c r="I147" s="75"/>
      <c r="J147" s="76" t="s">
        <v>378</v>
      </c>
      <c r="K147" s="75"/>
      <c r="L147" s="76" t="s">
        <v>212</v>
      </c>
      <c r="M147" s="75"/>
      <c r="N147" s="19"/>
      <c r="O147" s="19"/>
    </row>
    <row r="148" spans="1:15" x14ac:dyDescent="0.25">
      <c r="A148" s="75"/>
      <c r="B148" s="76"/>
      <c r="C148" s="70"/>
      <c r="D148" s="76"/>
      <c r="E148" s="70"/>
      <c r="F148" s="76"/>
      <c r="G148" s="70"/>
      <c r="H148" s="76"/>
      <c r="I148" s="75"/>
      <c r="J148" s="76" t="s">
        <v>50</v>
      </c>
      <c r="K148" s="75"/>
      <c r="L148" s="76" t="s">
        <v>214</v>
      </c>
      <c r="M148" s="75"/>
      <c r="N148" s="19"/>
      <c r="O148" s="19"/>
    </row>
    <row r="149" spans="1:15" x14ac:dyDescent="0.25">
      <c r="A149" s="75"/>
      <c r="B149" s="76"/>
      <c r="C149" s="70"/>
      <c r="D149" s="76"/>
      <c r="E149" s="70"/>
      <c r="F149" s="76"/>
      <c r="G149" s="70"/>
      <c r="H149" s="76"/>
      <c r="I149" s="75"/>
      <c r="J149" s="76" t="s">
        <v>56</v>
      </c>
      <c r="K149" s="75"/>
      <c r="L149" s="76" t="s">
        <v>216</v>
      </c>
      <c r="M149" s="75"/>
      <c r="N149" s="19"/>
      <c r="O149" s="19"/>
    </row>
    <row r="150" spans="1:15" x14ac:dyDescent="0.25">
      <c r="A150" s="75"/>
      <c r="B150" s="76"/>
      <c r="C150" s="70"/>
      <c r="D150" s="76"/>
      <c r="E150" s="70"/>
      <c r="F150" s="76"/>
      <c r="G150" s="70"/>
      <c r="H150" s="76"/>
      <c r="I150" s="75"/>
      <c r="J150" s="76" t="s">
        <v>62</v>
      </c>
      <c r="K150" s="75"/>
      <c r="L150" s="76" t="s">
        <v>220</v>
      </c>
      <c r="M150" s="75"/>
      <c r="N150" s="19"/>
      <c r="O150" s="19"/>
    </row>
    <row r="151" spans="1:15" x14ac:dyDescent="0.25">
      <c r="A151" s="75"/>
      <c r="B151" s="76"/>
      <c r="C151" s="70"/>
      <c r="D151" s="76"/>
      <c r="E151" s="70"/>
      <c r="F151" s="76"/>
      <c r="G151" s="70"/>
      <c r="H151" s="76"/>
      <c r="I151" s="75"/>
      <c r="J151" s="76" t="s">
        <v>67</v>
      </c>
      <c r="K151" s="75"/>
      <c r="L151" s="76" t="s">
        <v>224</v>
      </c>
      <c r="M151" s="75"/>
      <c r="N151" s="19"/>
      <c r="O151" s="19"/>
    </row>
    <row r="152" spans="1:15" x14ac:dyDescent="0.25">
      <c r="A152" s="75"/>
      <c r="B152" s="76"/>
      <c r="C152" s="70"/>
      <c r="D152" s="76"/>
      <c r="E152" s="70"/>
      <c r="F152" s="76"/>
      <c r="G152" s="70"/>
      <c r="H152" s="76"/>
      <c r="I152" s="75"/>
      <c r="J152" s="76" t="s">
        <v>71</v>
      </c>
      <c r="K152" s="75"/>
      <c r="L152" s="76" t="s">
        <v>225</v>
      </c>
      <c r="M152" s="75"/>
      <c r="N152" s="19"/>
      <c r="O152" s="19"/>
    </row>
    <row r="153" spans="1:15" x14ac:dyDescent="0.25">
      <c r="A153" s="75"/>
      <c r="B153" s="76"/>
      <c r="C153" s="70"/>
      <c r="D153" s="76"/>
      <c r="E153" s="70"/>
      <c r="F153" s="76"/>
      <c r="G153" s="70"/>
      <c r="H153" s="76"/>
      <c r="I153" s="75"/>
      <c r="J153" s="76" t="s">
        <v>76</v>
      </c>
      <c r="K153" s="75"/>
      <c r="L153" s="76" t="s">
        <v>227</v>
      </c>
      <c r="M153" s="75"/>
      <c r="N153" s="19"/>
      <c r="O153" s="19"/>
    </row>
    <row r="154" spans="1:15" x14ac:dyDescent="0.25">
      <c r="A154" s="75"/>
      <c r="B154" s="76"/>
      <c r="C154" s="70"/>
      <c r="D154" s="76"/>
      <c r="E154" s="70"/>
      <c r="F154" s="76"/>
      <c r="G154" s="70"/>
      <c r="H154" s="76"/>
      <c r="I154" s="75"/>
      <c r="J154" s="76" t="s">
        <v>81</v>
      </c>
      <c r="K154" s="75"/>
      <c r="L154" s="76" t="s">
        <v>228</v>
      </c>
      <c r="M154" s="75"/>
      <c r="N154" s="19"/>
      <c r="O154" s="19"/>
    </row>
    <row r="155" spans="1:15" x14ac:dyDescent="0.25">
      <c r="A155" s="75"/>
      <c r="B155" s="76"/>
      <c r="C155" s="70"/>
      <c r="D155" s="76"/>
      <c r="E155" s="70"/>
      <c r="F155" s="76"/>
      <c r="G155" s="70"/>
      <c r="H155" s="76"/>
      <c r="I155" s="75"/>
      <c r="J155" s="76" t="s">
        <v>87</v>
      </c>
      <c r="K155" s="75"/>
      <c r="L155" s="76" t="s">
        <v>231</v>
      </c>
      <c r="M155" s="75"/>
      <c r="N155" s="19"/>
      <c r="O155" s="19"/>
    </row>
    <row r="156" spans="1:15" x14ac:dyDescent="0.25">
      <c r="A156" s="75"/>
      <c r="B156" s="76"/>
      <c r="C156" s="70"/>
      <c r="D156" s="76"/>
      <c r="E156" s="70"/>
      <c r="F156" s="76"/>
      <c r="G156" s="70"/>
      <c r="H156" s="76"/>
      <c r="I156" s="75"/>
      <c r="J156" s="76" t="s">
        <v>92</v>
      </c>
      <c r="K156" s="75"/>
      <c r="L156" s="76" t="s">
        <v>233</v>
      </c>
      <c r="M156" s="75"/>
      <c r="N156" s="19"/>
      <c r="O156" s="19"/>
    </row>
    <row r="157" spans="1:15" x14ac:dyDescent="0.25">
      <c r="A157" s="75"/>
      <c r="B157" s="76"/>
      <c r="C157" s="70"/>
      <c r="D157" s="76"/>
      <c r="E157" s="70"/>
      <c r="F157" s="76"/>
      <c r="G157" s="70"/>
      <c r="H157" s="76"/>
      <c r="I157" s="75"/>
      <c r="J157" s="76" t="s">
        <v>99</v>
      </c>
      <c r="K157" s="75"/>
      <c r="L157" s="76" t="s">
        <v>352</v>
      </c>
      <c r="M157" s="75"/>
      <c r="N157" s="19"/>
      <c r="O157" s="19"/>
    </row>
    <row r="158" spans="1:15" x14ac:dyDescent="0.25">
      <c r="A158" s="75"/>
      <c r="B158" s="76"/>
      <c r="C158" s="70"/>
      <c r="D158" s="76"/>
      <c r="E158" s="70"/>
      <c r="F158" s="76"/>
      <c r="G158" s="70"/>
      <c r="H158" s="76"/>
      <c r="I158" s="75"/>
      <c r="J158" s="76" t="s">
        <v>104</v>
      </c>
      <c r="K158" s="75"/>
      <c r="L158" s="76" t="s">
        <v>236</v>
      </c>
      <c r="M158" s="75"/>
      <c r="N158" s="19"/>
      <c r="O158" s="19"/>
    </row>
    <row r="159" spans="1:15" x14ac:dyDescent="0.25">
      <c r="A159" s="75"/>
      <c r="B159" s="76"/>
      <c r="C159" s="70"/>
      <c r="D159" s="76"/>
      <c r="E159" s="70"/>
      <c r="F159" s="76"/>
      <c r="G159" s="70"/>
      <c r="H159" s="76"/>
      <c r="I159" s="75"/>
      <c r="J159" s="76" t="s">
        <v>110</v>
      </c>
      <c r="K159" s="75"/>
      <c r="L159" s="76" t="s">
        <v>150</v>
      </c>
      <c r="M159" s="75"/>
      <c r="N159" s="19"/>
      <c r="O159" s="19"/>
    </row>
    <row r="160" spans="1:15" x14ac:dyDescent="0.25">
      <c r="A160" s="75"/>
      <c r="B160" s="76"/>
      <c r="C160" s="70"/>
      <c r="D160" s="76"/>
      <c r="E160" s="70"/>
      <c r="F160" s="76"/>
      <c r="G160" s="70"/>
      <c r="H160" s="76"/>
      <c r="I160" s="75"/>
      <c r="J160" s="76" t="s">
        <v>116</v>
      </c>
      <c r="K160" s="75"/>
      <c r="L160" s="76" t="s">
        <v>155</v>
      </c>
      <c r="M160" s="75"/>
      <c r="N160" s="19"/>
      <c r="O160" s="19"/>
    </row>
    <row r="161" spans="1:15" x14ac:dyDescent="0.25">
      <c r="A161" s="75"/>
      <c r="B161" s="76"/>
      <c r="C161" s="70"/>
      <c r="D161" s="76"/>
      <c r="E161" s="70"/>
      <c r="F161" s="76"/>
      <c r="G161" s="70"/>
      <c r="H161" s="76"/>
      <c r="I161" s="75"/>
      <c r="J161" s="76" t="s">
        <v>121</v>
      </c>
      <c r="K161" s="75"/>
      <c r="L161" s="76" t="s">
        <v>238</v>
      </c>
      <c r="M161" s="75"/>
      <c r="N161" s="19"/>
      <c r="O161" s="19"/>
    </row>
    <row r="162" spans="1:15" x14ac:dyDescent="0.25">
      <c r="A162" s="75"/>
      <c r="B162" s="76"/>
      <c r="C162" s="70"/>
      <c r="D162" s="76"/>
      <c r="E162" s="70"/>
      <c r="F162" s="76"/>
      <c r="G162" s="70"/>
      <c r="H162" s="76"/>
      <c r="I162" s="75"/>
      <c r="J162" s="76" t="s">
        <v>128</v>
      </c>
      <c r="K162" s="75"/>
      <c r="L162" s="76" t="s">
        <v>238</v>
      </c>
      <c r="M162" s="75"/>
      <c r="N162" s="19"/>
      <c r="O162" s="19"/>
    </row>
    <row r="163" spans="1:15" x14ac:dyDescent="0.25">
      <c r="A163" s="75"/>
      <c r="B163" s="76"/>
      <c r="C163" s="70"/>
      <c r="D163" s="76"/>
      <c r="E163" s="70"/>
      <c r="F163" s="76"/>
      <c r="G163" s="70"/>
      <c r="H163" s="76"/>
      <c r="I163" s="75"/>
      <c r="J163" s="76" t="s">
        <v>136</v>
      </c>
      <c r="K163" s="75"/>
      <c r="L163" s="76" t="s">
        <v>412</v>
      </c>
      <c r="M163" s="75"/>
      <c r="N163" s="19"/>
      <c r="O163" s="19"/>
    </row>
    <row r="164" spans="1:15" x14ac:dyDescent="0.25">
      <c r="A164" s="75"/>
      <c r="B164" s="76"/>
      <c r="C164" s="70"/>
      <c r="D164" s="76"/>
      <c r="E164" s="70"/>
      <c r="F164" s="76"/>
      <c r="G164" s="70"/>
      <c r="H164" s="76"/>
      <c r="I164" s="75"/>
      <c r="J164" s="76" t="s">
        <v>142</v>
      </c>
      <c r="K164" s="75"/>
      <c r="L164" s="76" t="s">
        <v>412</v>
      </c>
      <c r="M164" s="75"/>
      <c r="N164" s="19"/>
      <c r="O164" s="19"/>
    </row>
    <row r="165" spans="1:15" x14ac:dyDescent="0.25">
      <c r="A165" s="75"/>
      <c r="B165" s="76"/>
      <c r="C165" s="70"/>
      <c r="D165" s="76"/>
      <c r="E165" s="70"/>
      <c r="F165" s="76"/>
      <c r="G165" s="70"/>
      <c r="H165" s="76"/>
      <c r="I165" s="75"/>
      <c r="J165" s="76" t="s">
        <v>148</v>
      </c>
      <c r="K165" s="75"/>
      <c r="L165" s="76" t="s">
        <v>289</v>
      </c>
      <c r="M165" s="75"/>
      <c r="N165" s="19"/>
      <c r="O165" s="19"/>
    </row>
    <row r="166" spans="1:15" x14ac:dyDescent="0.25">
      <c r="A166" s="75"/>
      <c r="B166" s="76"/>
      <c r="C166" s="70"/>
      <c r="D166" s="76"/>
      <c r="E166" s="70"/>
      <c r="F166" s="76"/>
      <c r="G166" s="70"/>
      <c r="H166" s="76"/>
      <c r="I166" s="75"/>
      <c r="J166" s="76" t="s">
        <v>153</v>
      </c>
      <c r="K166" s="75"/>
      <c r="L166" s="76" t="s">
        <v>290</v>
      </c>
      <c r="M166" s="75"/>
      <c r="N166" s="19"/>
      <c r="O166" s="19"/>
    </row>
    <row r="167" spans="1:15" x14ac:dyDescent="0.25">
      <c r="A167" s="75"/>
      <c r="B167" s="76"/>
      <c r="C167" s="70"/>
      <c r="D167" s="76"/>
      <c r="E167" s="70"/>
      <c r="F167" s="76"/>
      <c r="G167" s="70"/>
      <c r="H167" s="76"/>
      <c r="I167" s="75"/>
      <c r="J167" s="76" t="s">
        <v>160</v>
      </c>
      <c r="K167" s="75"/>
      <c r="L167" s="76" t="s">
        <v>291</v>
      </c>
      <c r="M167" s="75"/>
      <c r="N167" s="19"/>
      <c r="O167" s="19"/>
    </row>
    <row r="168" spans="1:15" x14ac:dyDescent="0.25">
      <c r="A168" s="75"/>
      <c r="B168" s="76"/>
      <c r="C168" s="70"/>
      <c r="D168" s="76"/>
      <c r="E168" s="70"/>
      <c r="F168" s="76"/>
      <c r="G168" s="70"/>
      <c r="H168" s="76"/>
      <c r="I168" s="75"/>
      <c r="J168" s="76" t="s">
        <v>166</v>
      </c>
      <c r="K168" s="75"/>
      <c r="L168" s="76" t="s">
        <v>292</v>
      </c>
      <c r="M168" s="75"/>
      <c r="N168" s="19"/>
      <c r="O168" s="19"/>
    </row>
    <row r="169" spans="1:15" x14ac:dyDescent="0.25">
      <c r="A169" s="75"/>
      <c r="B169" s="76"/>
      <c r="C169" s="70"/>
      <c r="D169" s="76"/>
      <c r="E169" s="70"/>
      <c r="F169" s="76"/>
      <c r="G169" s="70"/>
      <c r="H169" s="76"/>
      <c r="I169" s="75"/>
      <c r="J169" s="76" t="s">
        <v>171</v>
      </c>
      <c r="K169" s="75"/>
      <c r="L169" s="76" t="s">
        <v>240</v>
      </c>
      <c r="M169" s="75"/>
      <c r="N169" s="19"/>
      <c r="O169" s="19"/>
    </row>
    <row r="170" spans="1:15" x14ac:dyDescent="0.25">
      <c r="A170" s="75"/>
      <c r="B170" s="76"/>
      <c r="C170" s="70"/>
      <c r="D170" s="76"/>
      <c r="E170" s="70"/>
      <c r="F170" s="76"/>
      <c r="G170" s="70"/>
      <c r="H170" s="76"/>
      <c r="I170" s="75"/>
      <c r="J170" s="76" t="s">
        <v>177</v>
      </c>
      <c r="K170" s="75"/>
      <c r="L170" s="76" t="s">
        <v>242</v>
      </c>
      <c r="M170" s="75"/>
      <c r="N170" s="19"/>
      <c r="O170" s="19"/>
    </row>
    <row r="171" spans="1:15" x14ac:dyDescent="0.25">
      <c r="A171" s="75"/>
      <c r="B171" s="76"/>
      <c r="C171" s="70"/>
      <c r="D171" s="76"/>
      <c r="E171" s="70"/>
      <c r="F171" s="76"/>
      <c r="G171" s="70"/>
      <c r="H171" s="76"/>
      <c r="I171" s="75"/>
      <c r="J171" s="76" t="s">
        <v>181</v>
      </c>
      <c r="K171" s="75"/>
      <c r="L171" s="76" t="s">
        <v>245</v>
      </c>
      <c r="M171" s="75"/>
      <c r="N171" s="19"/>
      <c r="O171" s="19"/>
    </row>
    <row r="172" spans="1:15" x14ac:dyDescent="0.25">
      <c r="A172" s="75"/>
      <c r="B172" s="76"/>
      <c r="C172" s="70"/>
      <c r="D172" s="76"/>
      <c r="E172" s="70"/>
      <c r="F172" s="76"/>
      <c r="G172" s="70"/>
      <c r="H172" s="76"/>
      <c r="I172" s="75"/>
      <c r="J172" s="76" t="s">
        <v>319</v>
      </c>
      <c r="K172" s="75"/>
      <c r="L172" s="76" t="s">
        <v>247</v>
      </c>
      <c r="M172" s="75"/>
      <c r="N172" s="19"/>
      <c r="O172" s="19"/>
    </row>
    <row r="173" spans="1:15" x14ac:dyDescent="0.25">
      <c r="A173" s="75"/>
      <c r="B173" s="76"/>
      <c r="C173" s="70"/>
      <c r="D173" s="76"/>
      <c r="E173" s="70"/>
      <c r="F173" s="76"/>
      <c r="G173" s="70"/>
      <c r="H173" s="76"/>
      <c r="I173" s="75"/>
      <c r="J173" s="76" t="s">
        <v>195</v>
      </c>
      <c r="K173" s="75"/>
      <c r="L173" s="76" t="s">
        <v>249</v>
      </c>
      <c r="M173" s="75"/>
      <c r="N173" s="19"/>
      <c r="O173" s="19"/>
    </row>
    <row r="174" spans="1:15" x14ac:dyDescent="0.25">
      <c r="A174" s="75"/>
      <c r="B174" s="76"/>
      <c r="C174" s="70"/>
      <c r="D174" s="76"/>
      <c r="E174" s="70"/>
      <c r="F174" s="76"/>
      <c r="G174" s="70"/>
      <c r="H174" s="76"/>
      <c r="I174" s="75"/>
      <c r="J174" s="76" t="s">
        <v>197</v>
      </c>
      <c r="K174" s="75"/>
      <c r="L174" s="76" t="s">
        <v>254</v>
      </c>
      <c r="M174" s="75"/>
      <c r="N174" s="19"/>
      <c r="O174" s="19"/>
    </row>
    <row r="175" spans="1:15" x14ac:dyDescent="0.25">
      <c r="A175" s="75"/>
      <c r="B175" s="76"/>
      <c r="C175" s="70"/>
      <c r="D175" s="76"/>
      <c r="E175" s="70"/>
      <c r="F175" s="76"/>
      <c r="G175" s="70"/>
      <c r="H175" s="76"/>
      <c r="I175" s="75"/>
      <c r="J175" s="76" t="s">
        <v>199</v>
      </c>
      <c r="K175" s="75"/>
      <c r="L175" s="76" t="s">
        <v>413</v>
      </c>
      <c r="M175" s="75"/>
      <c r="N175" s="19"/>
      <c r="O175" s="19"/>
    </row>
    <row r="176" spans="1:15" x14ac:dyDescent="0.25">
      <c r="A176" s="75"/>
      <c r="B176" s="76"/>
      <c r="C176" s="70"/>
      <c r="D176" s="76"/>
      <c r="E176" s="70"/>
      <c r="F176" s="76"/>
      <c r="G176" s="70"/>
      <c r="H176" s="76"/>
      <c r="I176" s="75"/>
      <c r="J176" s="76" t="s">
        <v>202</v>
      </c>
      <c r="K176" s="75"/>
      <c r="L176" s="76" t="s">
        <v>182</v>
      </c>
      <c r="M176" s="75"/>
      <c r="N176" s="19"/>
      <c r="O176" s="19"/>
    </row>
    <row r="177" spans="1:15" x14ac:dyDescent="0.25">
      <c r="A177" s="75"/>
      <c r="B177" s="76"/>
      <c r="C177" s="70"/>
      <c r="D177" s="76"/>
      <c r="E177" s="70"/>
      <c r="F177" s="76"/>
      <c r="G177" s="70"/>
      <c r="H177" s="76"/>
      <c r="I177" s="75"/>
      <c r="J177" s="76" t="s">
        <v>205</v>
      </c>
      <c r="K177" s="75"/>
      <c r="L177" s="76" t="s">
        <v>186</v>
      </c>
      <c r="M177" s="75"/>
      <c r="N177" s="19"/>
      <c r="O177" s="19"/>
    </row>
    <row r="178" spans="1:15" x14ac:dyDescent="0.25">
      <c r="A178" s="75"/>
      <c r="B178" s="76"/>
      <c r="C178" s="70"/>
      <c r="D178" s="76"/>
      <c r="E178" s="70"/>
      <c r="F178" s="76"/>
      <c r="G178" s="70"/>
      <c r="H178" s="76"/>
      <c r="I178" s="75"/>
      <c r="J178" s="76" t="s">
        <v>210</v>
      </c>
      <c r="K178" s="75"/>
      <c r="L178" s="76" t="s">
        <v>256</v>
      </c>
      <c r="M178" s="75"/>
      <c r="N178" s="19"/>
      <c r="O178" s="19"/>
    </row>
    <row r="179" spans="1:15" x14ac:dyDescent="0.25">
      <c r="A179" s="75"/>
      <c r="B179" s="76"/>
      <c r="C179" s="70"/>
      <c r="D179" s="76"/>
      <c r="E179" s="70"/>
      <c r="F179" s="76"/>
      <c r="G179" s="70"/>
      <c r="H179" s="76"/>
      <c r="I179" s="75"/>
      <c r="J179" s="76" t="s">
        <v>213</v>
      </c>
      <c r="K179" s="75"/>
      <c r="L179" s="76" t="s">
        <v>190</v>
      </c>
      <c r="M179" s="75"/>
      <c r="N179" s="19"/>
      <c r="O179" s="19"/>
    </row>
    <row r="180" spans="1:15" x14ac:dyDescent="0.25">
      <c r="A180" s="75"/>
      <c r="B180" s="76"/>
      <c r="C180" s="70"/>
      <c r="D180" s="76"/>
      <c r="E180" s="70"/>
      <c r="F180" s="76"/>
      <c r="G180" s="70"/>
      <c r="H180" s="76"/>
      <c r="I180" s="75"/>
      <c r="J180" s="76" t="s">
        <v>215</v>
      </c>
      <c r="K180" s="75"/>
      <c r="L180" s="76" t="s">
        <v>192</v>
      </c>
      <c r="M180" s="75"/>
      <c r="N180" s="19"/>
      <c r="O180" s="19"/>
    </row>
    <row r="181" spans="1:15" x14ac:dyDescent="0.25">
      <c r="A181" s="75"/>
      <c r="B181" s="76"/>
      <c r="C181" s="70"/>
      <c r="D181" s="76"/>
      <c r="E181" s="70"/>
      <c r="F181" s="76"/>
      <c r="G181" s="70"/>
      <c r="H181" s="76"/>
      <c r="I181" s="75"/>
      <c r="J181" s="76" t="s">
        <v>217</v>
      </c>
      <c r="K181" s="75"/>
      <c r="L181" s="76" t="s">
        <v>259</v>
      </c>
      <c r="M181" s="75"/>
      <c r="N181" s="19"/>
      <c r="O181" s="19"/>
    </row>
    <row r="182" spans="1:15" x14ac:dyDescent="0.25">
      <c r="A182" s="75"/>
      <c r="B182" s="76"/>
      <c r="C182" s="70"/>
      <c r="D182" s="76"/>
      <c r="E182" s="70"/>
      <c r="F182" s="76"/>
      <c r="G182" s="70"/>
      <c r="H182" s="76"/>
      <c r="I182" s="75"/>
      <c r="J182" s="76" t="s">
        <v>221</v>
      </c>
      <c r="K182" s="75"/>
      <c r="L182" s="76" t="s">
        <v>275</v>
      </c>
      <c r="M182" s="75"/>
      <c r="N182" s="19"/>
      <c r="O182" s="19"/>
    </row>
    <row r="183" spans="1:15" x14ac:dyDescent="0.25">
      <c r="A183" s="75"/>
      <c r="B183" s="76"/>
      <c r="C183" s="70"/>
      <c r="D183" s="76"/>
      <c r="E183" s="70"/>
      <c r="F183" s="76"/>
      <c r="G183" s="70"/>
      <c r="H183" s="76"/>
      <c r="I183" s="75"/>
      <c r="J183" s="76" t="s">
        <v>194</v>
      </c>
      <c r="K183" s="75"/>
      <c r="L183" s="76" t="s">
        <v>276</v>
      </c>
      <c r="M183" s="75"/>
      <c r="N183" s="19"/>
      <c r="O183" s="19"/>
    </row>
    <row r="184" spans="1:15" x14ac:dyDescent="0.25">
      <c r="A184" s="75"/>
      <c r="B184" s="76"/>
      <c r="C184" s="70"/>
      <c r="D184" s="76"/>
      <c r="E184" s="70"/>
      <c r="F184" s="76"/>
      <c r="G184" s="70"/>
      <c r="H184" s="76"/>
      <c r="I184" s="75"/>
      <c r="J184" s="76" t="s">
        <v>194</v>
      </c>
      <c r="K184" s="75"/>
      <c r="L184" s="76" t="s">
        <v>277</v>
      </c>
      <c r="M184" s="75"/>
      <c r="N184" s="19"/>
      <c r="O184" s="19"/>
    </row>
    <row r="185" spans="1:15" x14ac:dyDescent="0.25">
      <c r="A185" s="75"/>
      <c r="B185" s="76"/>
      <c r="C185" s="70"/>
      <c r="D185" s="76"/>
      <c r="E185" s="70"/>
      <c r="F185" s="76"/>
      <c r="G185" s="70"/>
      <c r="H185" s="76"/>
      <c r="I185" s="75"/>
      <c r="J185" s="76" t="s">
        <v>317</v>
      </c>
      <c r="K185" s="75"/>
      <c r="L185" s="76" t="s">
        <v>262</v>
      </c>
      <c r="M185" s="75"/>
      <c r="N185" s="19"/>
      <c r="O185" s="19"/>
    </row>
    <row r="186" spans="1:15" x14ac:dyDescent="0.25">
      <c r="A186" s="75"/>
      <c r="B186" s="76"/>
      <c r="C186" s="70"/>
      <c r="D186" s="76"/>
      <c r="E186" s="70"/>
      <c r="F186" s="76"/>
      <c r="G186" s="70"/>
      <c r="H186" s="76"/>
      <c r="I186" s="75"/>
      <c r="J186" s="76" t="s">
        <v>222</v>
      </c>
      <c r="K186" s="75"/>
      <c r="L186" s="76" t="s">
        <v>278</v>
      </c>
      <c r="M186" s="75"/>
      <c r="N186" s="19"/>
      <c r="O186" s="19"/>
    </row>
    <row r="187" spans="1:15" x14ac:dyDescent="0.25">
      <c r="A187" s="75"/>
      <c r="B187" s="76"/>
      <c r="C187" s="70"/>
      <c r="D187" s="76"/>
      <c r="E187" s="70"/>
      <c r="F187" s="76"/>
      <c r="G187" s="70"/>
      <c r="H187" s="76"/>
      <c r="I187" s="75"/>
      <c r="J187" s="76" t="s">
        <v>398</v>
      </c>
      <c r="K187" s="75"/>
      <c r="L187" s="76" t="s">
        <v>318</v>
      </c>
      <c r="M187" s="75"/>
      <c r="N187" s="19"/>
      <c r="O187" s="19"/>
    </row>
    <row r="188" spans="1:15" x14ac:dyDescent="0.25">
      <c r="A188" s="75"/>
      <c r="B188" s="76"/>
      <c r="C188" s="70"/>
      <c r="D188" s="76"/>
      <c r="E188" s="70"/>
      <c r="F188" s="76"/>
      <c r="G188" s="70"/>
      <c r="H188" s="76"/>
      <c r="I188" s="75"/>
      <c r="J188" s="76" t="s">
        <v>196</v>
      </c>
      <c r="K188" s="75"/>
      <c r="L188" s="76" t="s">
        <v>298</v>
      </c>
      <c r="M188" s="75"/>
      <c r="N188" s="19"/>
      <c r="O188" s="19"/>
    </row>
    <row r="189" spans="1:15" x14ac:dyDescent="0.25">
      <c r="A189" s="75"/>
      <c r="B189" s="76"/>
      <c r="C189" s="70"/>
      <c r="D189" s="76"/>
      <c r="E189" s="70"/>
      <c r="F189" s="76"/>
      <c r="G189" s="70"/>
      <c r="H189" s="76"/>
      <c r="I189" s="75"/>
      <c r="J189" s="76" t="s">
        <v>196</v>
      </c>
      <c r="K189" s="75"/>
      <c r="L189" s="76" t="s">
        <v>299</v>
      </c>
      <c r="M189" s="75"/>
      <c r="N189" s="19"/>
      <c r="O189" s="19"/>
    </row>
    <row r="190" spans="1:15" x14ac:dyDescent="0.25">
      <c r="A190" s="75"/>
      <c r="B190" s="76"/>
      <c r="C190" s="70"/>
      <c r="D190" s="76"/>
      <c r="E190" s="70"/>
      <c r="F190" s="76"/>
      <c r="G190" s="70"/>
      <c r="H190" s="76"/>
      <c r="I190" s="75"/>
      <c r="J190" s="76" t="s">
        <v>198</v>
      </c>
      <c r="K190" s="75"/>
      <c r="L190" s="76" t="s">
        <v>306</v>
      </c>
      <c r="M190" s="75"/>
      <c r="N190" s="19"/>
      <c r="O190" s="19"/>
    </row>
    <row r="191" spans="1:15" x14ac:dyDescent="0.25">
      <c r="A191" s="75"/>
      <c r="B191" s="76"/>
      <c r="C191" s="70"/>
      <c r="D191" s="76"/>
      <c r="E191" s="70"/>
      <c r="F191" s="76"/>
      <c r="G191" s="70"/>
      <c r="H191" s="76"/>
      <c r="I191" s="75"/>
      <c r="J191" s="76" t="s">
        <v>198</v>
      </c>
      <c r="K191" s="75"/>
      <c r="L191" s="76" t="s">
        <v>301</v>
      </c>
      <c r="M191" s="75"/>
      <c r="N191" s="19"/>
      <c r="O191" s="19"/>
    </row>
    <row r="192" spans="1:15" x14ac:dyDescent="0.25">
      <c r="A192" s="75"/>
      <c r="B192" s="76"/>
      <c r="C192" s="70"/>
      <c r="D192" s="76"/>
      <c r="E192" s="70"/>
      <c r="F192" s="76"/>
      <c r="G192" s="70"/>
      <c r="H192" s="76"/>
      <c r="I192" s="75"/>
      <c r="J192" s="76" t="s">
        <v>201</v>
      </c>
      <c r="K192" s="75"/>
      <c r="L192" s="76" t="s">
        <v>302</v>
      </c>
      <c r="M192" s="75"/>
      <c r="N192" s="19"/>
      <c r="O192" s="19"/>
    </row>
    <row r="193" spans="1:15" x14ac:dyDescent="0.25">
      <c r="A193" s="75"/>
      <c r="B193" s="76"/>
      <c r="C193" s="70"/>
      <c r="D193" s="76"/>
      <c r="E193" s="70"/>
      <c r="F193" s="76"/>
      <c r="G193" s="70"/>
      <c r="H193" s="76"/>
      <c r="I193" s="75"/>
      <c r="J193" s="76" t="s">
        <v>201</v>
      </c>
      <c r="K193" s="75"/>
      <c r="L193" s="76"/>
      <c r="M193" s="75"/>
      <c r="N193" s="19"/>
      <c r="O193" s="19"/>
    </row>
    <row r="194" spans="1:15" x14ac:dyDescent="0.25">
      <c r="A194" s="75"/>
      <c r="B194" s="76"/>
      <c r="C194" s="70"/>
      <c r="D194" s="76"/>
      <c r="E194" s="70"/>
      <c r="F194" s="76"/>
      <c r="G194" s="70"/>
      <c r="H194" s="76"/>
      <c r="I194" s="75"/>
      <c r="J194" s="76" t="s">
        <v>229</v>
      </c>
      <c r="K194" s="75"/>
      <c r="L194" s="76"/>
      <c r="M194" s="75"/>
      <c r="N194" s="19"/>
      <c r="O194" s="19"/>
    </row>
    <row r="195" spans="1:15" x14ac:dyDescent="0.25">
      <c r="A195" s="75"/>
      <c r="B195" s="76"/>
      <c r="C195" s="70"/>
      <c r="D195" s="76"/>
      <c r="E195" s="70"/>
      <c r="F195" s="76"/>
      <c r="G195" s="70"/>
      <c r="H195" s="76"/>
      <c r="I195" s="75"/>
      <c r="J195" s="76" t="s">
        <v>204</v>
      </c>
      <c r="K195" s="75"/>
      <c r="L195" s="76"/>
      <c r="M195" s="75"/>
      <c r="N195" s="19"/>
      <c r="O195" s="19"/>
    </row>
    <row r="196" spans="1:15" x14ac:dyDescent="0.25">
      <c r="A196" s="75"/>
      <c r="B196" s="76"/>
      <c r="C196" s="70"/>
      <c r="D196" s="76"/>
      <c r="E196" s="70"/>
      <c r="F196" s="76"/>
      <c r="G196" s="70"/>
      <c r="H196" s="76"/>
      <c r="I196" s="75"/>
      <c r="J196" s="76" t="s">
        <v>232</v>
      </c>
      <c r="K196" s="75"/>
      <c r="L196" s="76"/>
      <c r="M196" s="75"/>
      <c r="N196" s="19"/>
      <c r="O196" s="19"/>
    </row>
    <row r="197" spans="1:15" x14ac:dyDescent="0.25">
      <c r="A197" s="75"/>
      <c r="B197" s="76"/>
      <c r="C197" s="70"/>
      <c r="D197" s="76"/>
      <c r="E197" s="70"/>
      <c r="F197" s="76"/>
      <c r="G197" s="70"/>
      <c r="H197" s="76"/>
      <c r="I197" s="75"/>
      <c r="J197" s="76" t="s">
        <v>234</v>
      </c>
      <c r="K197" s="75"/>
      <c r="L197" s="76"/>
      <c r="M197" s="75"/>
      <c r="N197" s="19"/>
      <c r="O197" s="19"/>
    </row>
    <row r="198" spans="1:15" x14ac:dyDescent="0.25">
      <c r="A198" s="75"/>
      <c r="B198" s="76"/>
      <c r="C198" s="70"/>
      <c r="D198" s="76"/>
      <c r="E198" s="70"/>
      <c r="F198" s="76"/>
      <c r="G198" s="70"/>
      <c r="H198" s="76"/>
      <c r="I198" s="75"/>
      <c r="J198" s="76" t="s">
        <v>237</v>
      </c>
      <c r="K198" s="75"/>
      <c r="L198" s="76"/>
      <c r="M198" s="75"/>
      <c r="N198" s="19"/>
      <c r="O198" s="19"/>
    </row>
    <row r="199" spans="1:15" x14ac:dyDescent="0.25">
      <c r="A199" s="75"/>
      <c r="B199" s="76"/>
      <c r="C199" s="70"/>
      <c r="D199" s="76"/>
      <c r="E199" s="70"/>
      <c r="F199" s="76"/>
      <c r="G199" s="70"/>
      <c r="H199" s="76"/>
      <c r="I199" s="75"/>
      <c r="J199" s="76" t="s">
        <v>416</v>
      </c>
      <c r="K199" s="75"/>
      <c r="L199" s="76"/>
      <c r="M199" s="75"/>
      <c r="N199" s="19"/>
      <c r="O199" s="19"/>
    </row>
    <row r="200" spans="1:15" x14ac:dyDescent="0.25">
      <c r="A200" s="75"/>
      <c r="B200" s="76"/>
      <c r="C200" s="70"/>
      <c r="D200" s="76"/>
      <c r="E200" s="70"/>
      <c r="F200" s="76"/>
      <c r="G200" s="70"/>
      <c r="H200" s="76"/>
      <c r="I200" s="75"/>
      <c r="J200" s="76" t="s">
        <v>417</v>
      </c>
      <c r="K200" s="75"/>
      <c r="L200" s="76"/>
      <c r="M200" s="75"/>
      <c r="N200" s="19"/>
      <c r="O200" s="19"/>
    </row>
    <row r="201" spans="1:15" x14ac:dyDescent="0.25">
      <c r="A201" s="75"/>
      <c r="B201" s="76"/>
      <c r="C201" s="70"/>
      <c r="D201" s="76"/>
      <c r="E201" s="70"/>
      <c r="F201" s="76"/>
      <c r="G201" s="70"/>
      <c r="H201" s="76"/>
      <c r="I201" s="75"/>
      <c r="J201" s="76" t="s">
        <v>138</v>
      </c>
      <c r="K201" s="75"/>
      <c r="L201" s="76"/>
      <c r="M201" s="75"/>
      <c r="N201" s="19"/>
      <c r="O201" s="19"/>
    </row>
    <row r="202" spans="1:15" x14ac:dyDescent="0.25">
      <c r="A202" s="75"/>
      <c r="B202" s="76"/>
      <c r="C202" s="70"/>
      <c r="D202" s="76"/>
      <c r="E202" s="70"/>
      <c r="F202" s="76"/>
      <c r="G202" s="70"/>
      <c r="H202" s="76"/>
      <c r="I202" s="75"/>
      <c r="J202" s="76" t="s">
        <v>144</v>
      </c>
      <c r="K202" s="75"/>
      <c r="L202" s="76"/>
      <c r="M202" s="75"/>
      <c r="N202" s="19"/>
      <c r="O202" s="19"/>
    </row>
    <row r="203" spans="1:15" x14ac:dyDescent="0.25">
      <c r="A203" s="75"/>
      <c r="B203" s="76"/>
      <c r="C203" s="70"/>
      <c r="D203" s="76"/>
      <c r="E203" s="70"/>
      <c r="F203" s="76"/>
      <c r="G203" s="70"/>
      <c r="H203" s="76"/>
      <c r="I203" s="75"/>
      <c r="J203" s="76" t="s">
        <v>406</v>
      </c>
      <c r="K203" s="75"/>
      <c r="L203" s="76"/>
      <c r="M203" s="75"/>
      <c r="N203" s="19"/>
      <c r="O203" s="19"/>
    </row>
    <row r="204" spans="1:15" x14ac:dyDescent="0.25">
      <c r="A204" s="75"/>
      <c r="B204" s="76"/>
      <c r="C204" s="70"/>
      <c r="D204" s="76"/>
      <c r="E204" s="70"/>
      <c r="F204" s="76"/>
      <c r="G204" s="70"/>
      <c r="H204" s="76"/>
      <c r="I204" s="75"/>
      <c r="J204" s="76" t="s">
        <v>47</v>
      </c>
      <c r="K204" s="75"/>
      <c r="L204" s="76"/>
      <c r="M204" s="75"/>
      <c r="N204" s="19"/>
      <c r="O204" s="19"/>
    </row>
    <row r="205" spans="1:15" x14ac:dyDescent="0.25">
      <c r="A205" s="75"/>
      <c r="B205" s="76"/>
      <c r="C205" s="70"/>
      <c r="D205" s="76"/>
      <c r="E205" s="70"/>
      <c r="F205" s="76"/>
      <c r="G205" s="70"/>
      <c r="H205" s="76"/>
      <c r="I205" s="75"/>
      <c r="J205" s="76" t="s">
        <v>55</v>
      </c>
      <c r="K205" s="75"/>
      <c r="L205" s="76"/>
      <c r="M205" s="75"/>
      <c r="N205" s="19"/>
      <c r="O205" s="19"/>
    </row>
    <row r="206" spans="1:15" x14ac:dyDescent="0.25">
      <c r="A206" s="75"/>
      <c r="B206" s="76"/>
      <c r="C206" s="70"/>
      <c r="D206" s="76"/>
      <c r="E206" s="70"/>
      <c r="F206" s="76"/>
      <c r="G206" s="70"/>
      <c r="H206" s="76"/>
      <c r="I206" s="75"/>
      <c r="J206" s="76" t="s">
        <v>60</v>
      </c>
      <c r="K206" s="75"/>
      <c r="L206" s="76"/>
      <c r="M206" s="75"/>
      <c r="N206" s="19"/>
      <c r="O206" s="19"/>
    </row>
    <row r="207" spans="1:15" x14ac:dyDescent="0.25">
      <c r="A207" s="75"/>
      <c r="B207" s="76"/>
      <c r="C207" s="70"/>
      <c r="D207" s="76"/>
      <c r="E207" s="70"/>
      <c r="F207" s="76"/>
      <c r="G207" s="70"/>
      <c r="H207" s="76"/>
      <c r="I207" s="75"/>
      <c r="J207" s="76" t="s">
        <v>65</v>
      </c>
      <c r="K207" s="75"/>
      <c r="L207" s="76"/>
      <c r="M207" s="75"/>
      <c r="N207" s="19"/>
      <c r="O207" s="19"/>
    </row>
    <row r="208" spans="1:15" x14ac:dyDescent="0.25">
      <c r="A208" s="75"/>
      <c r="B208" s="76"/>
      <c r="C208" s="70"/>
      <c r="D208" s="76"/>
      <c r="E208" s="70"/>
      <c r="F208" s="76"/>
      <c r="G208" s="70"/>
      <c r="H208" s="76"/>
      <c r="I208" s="75"/>
      <c r="J208" s="76" t="s">
        <v>70</v>
      </c>
      <c r="K208" s="75"/>
      <c r="L208" s="76"/>
      <c r="M208" s="75"/>
      <c r="N208" s="19"/>
      <c r="O208" s="19"/>
    </row>
    <row r="209" spans="1:15" x14ac:dyDescent="0.25">
      <c r="A209" s="75"/>
      <c r="B209" s="76"/>
      <c r="C209" s="70"/>
      <c r="D209" s="76"/>
      <c r="E209" s="70"/>
      <c r="F209" s="76"/>
      <c r="G209" s="70"/>
      <c r="H209" s="76"/>
      <c r="I209" s="75"/>
      <c r="J209" s="76" t="s">
        <v>74</v>
      </c>
      <c r="K209" s="75"/>
      <c r="L209" s="76"/>
      <c r="M209" s="75"/>
      <c r="N209" s="19"/>
      <c r="O209" s="19"/>
    </row>
    <row r="210" spans="1:15" x14ac:dyDescent="0.25">
      <c r="A210" s="75"/>
      <c r="B210" s="76"/>
      <c r="C210" s="70"/>
      <c r="D210" s="76"/>
      <c r="E210" s="70"/>
      <c r="F210" s="76"/>
      <c r="G210" s="70"/>
      <c r="H210" s="76"/>
      <c r="I210" s="75"/>
      <c r="J210" s="76" t="s">
        <v>80</v>
      </c>
      <c r="K210" s="75"/>
      <c r="L210" s="76"/>
      <c r="M210" s="75"/>
      <c r="N210" s="19"/>
      <c r="O210" s="19"/>
    </row>
    <row r="211" spans="1:15" x14ac:dyDescent="0.25">
      <c r="A211" s="75"/>
      <c r="B211" s="76"/>
      <c r="C211" s="70"/>
      <c r="D211" s="76"/>
      <c r="E211" s="70"/>
      <c r="F211" s="76"/>
      <c r="G211" s="70"/>
      <c r="H211" s="76"/>
      <c r="I211" s="75"/>
      <c r="J211" s="76" t="s">
        <v>350</v>
      </c>
      <c r="K211" s="75"/>
      <c r="L211" s="76"/>
      <c r="M211" s="75"/>
      <c r="N211" s="19"/>
      <c r="O211" s="19"/>
    </row>
    <row r="212" spans="1:15" x14ac:dyDescent="0.25">
      <c r="A212" s="75"/>
      <c r="B212" s="76"/>
      <c r="C212" s="70"/>
      <c r="D212" s="76"/>
      <c r="E212" s="70"/>
      <c r="F212" s="76"/>
      <c r="G212" s="70"/>
      <c r="H212" s="76"/>
      <c r="I212" s="75"/>
      <c r="J212" s="76" t="s">
        <v>351</v>
      </c>
      <c r="K212" s="75"/>
      <c r="L212" s="76"/>
      <c r="M212" s="75"/>
      <c r="N212" s="19"/>
      <c r="O212" s="19"/>
    </row>
    <row r="213" spans="1:15" x14ac:dyDescent="0.25">
      <c r="A213" s="75"/>
      <c r="B213" s="76"/>
      <c r="C213" s="70"/>
      <c r="D213" s="76"/>
      <c r="E213" s="70"/>
      <c r="F213" s="76"/>
      <c r="G213" s="70"/>
      <c r="H213" s="76"/>
      <c r="I213" s="75"/>
      <c r="J213" s="76" t="s">
        <v>85</v>
      </c>
      <c r="K213" s="75"/>
      <c r="L213" s="76"/>
      <c r="M213" s="75"/>
      <c r="N213" s="19"/>
      <c r="O213" s="19"/>
    </row>
    <row r="214" spans="1:15" x14ac:dyDescent="0.25">
      <c r="A214" s="75"/>
      <c r="B214" s="76"/>
      <c r="C214" s="70"/>
      <c r="D214" s="76"/>
      <c r="E214" s="70"/>
      <c r="F214" s="76"/>
      <c r="G214" s="70"/>
      <c r="H214" s="76"/>
      <c r="I214" s="75"/>
      <c r="J214" s="76" t="s">
        <v>91</v>
      </c>
      <c r="K214" s="75"/>
      <c r="L214" s="76"/>
      <c r="M214" s="75"/>
      <c r="N214" s="19"/>
      <c r="O214" s="19"/>
    </row>
    <row r="215" spans="1:15" x14ac:dyDescent="0.25">
      <c r="A215" s="75"/>
      <c r="B215" s="76"/>
      <c r="C215" s="70"/>
      <c r="D215" s="76"/>
      <c r="E215" s="70"/>
      <c r="F215" s="76"/>
      <c r="G215" s="70"/>
      <c r="H215" s="76"/>
      <c r="I215" s="75"/>
      <c r="J215" s="76" t="s">
        <v>96</v>
      </c>
      <c r="K215" s="75"/>
      <c r="L215" s="76"/>
      <c r="M215" s="75"/>
      <c r="N215" s="19"/>
      <c r="O215" s="19"/>
    </row>
    <row r="216" spans="1:15" x14ac:dyDescent="0.25">
      <c r="A216" s="75"/>
      <c r="B216" s="76"/>
      <c r="C216" s="70"/>
      <c r="D216" s="76"/>
      <c r="E216" s="70"/>
      <c r="F216" s="76"/>
      <c r="G216" s="70"/>
      <c r="H216" s="76"/>
      <c r="I216" s="75"/>
      <c r="J216" s="76" t="s">
        <v>103</v>
      </c>
      <c r="K216" s="75"/>
      <c r="L216" s="76"/>
      <c r="M216" s="75"/>
      <c r="N216" s="19"/>
      <c r="O216" s="19"/>
    </row>
    <row r="217" spans="1:15" x14ac:dyDescent="0.25">
      <c r="A217" s="75"/>
      <c r="B217" s="76"/>
      <c r="C217" s="70"/>
      <c r="D217" s="76"/>
      <c r="E217" s="70"/>
      <c r="F217" s="76"/>
      <c r="G217" s="70"/>
      <c r="H217" s="76"/>
      <c r="I217" s="75"/>
      <c r="J217" s="76" t="s">
        <v>107</v>
      </c>
      <c r="K217" s="75"/>
      <c r="L217" s="76"/>
      <c r="M217" s="75"/>
      <c r="N217" s="19"/>
      <c r="O217" s="19"/>
    </row>
    <row r="218" spans="1:15" x14ac:dyDescent="0.25">
      <c r="A218" s="75"/>
      <c r="B218" s="76"/>
      <c r="C218" s="70"/>
      <c r="D218" s="76"/>
      <c r="E218" s="70"/>
      <c r="F218" s="76"/>
      <c r="G218" s="70"/>
      <c r="H218" s="76"/>
      <c r="I218" s="75"/>
      <c r="J218" s="76" t="s">
        <v>113</v>
      </c>
      <c r="K218" s="75"/>
      <c r="L218" s="76"/>
      <c r="M218" s="75"/>
      <c r="N218" s="19"/>
      <c r="O218" s="19"/>
    </row>
    <row r="219" spans="1:15" x14ac:dyDescent="0.25">
      <c r="A219" s="75"/>
      <c r="B219" s="76"/>
      <c r="C219" s="70"/>
      <c r="D219" s="76"/>
      <c r="E219" s="70"/>
      <c r="F219" s="76"/>
      <c r="G219" s="70"/>
      <c r="H219" s="76"/>
      <c r="I219" s="75"/>
      <c r="J219" s="76" t="s">
        <v>119</v>
      </c>
      <c r="K219" s="75"/>
      <c r="L219" s="76"/>
      <c r="M219" s="75"/>
      <c r="N219" s="19"/>
      <c r="O219" s="19"/>
    </row>
    <row r="220" spans="1:15" x14ac:dyDescent="0.25">
      <c r="A220" s="75"/>
      <c r="B220" s="76"/>
      <c r="C220" s="70"/>
      <c r="D220" s="76"/>
      <c r="E220" s="70"/>
      <c r="F220" s="76"/>
      <c r="G220" s="70"/>
      <c r="H220" s="76"/>
      <c r="I220" s="75"/>
      <c r="J220" s="76" t="s">
        <v>313</v>
      </c>
      <c r="K220" s="75"/>
      <c r="L220" s="76"/>
      <c r="M220" s="75"/>
      <c r="N220" s="19"/>
      <c r="O220" s="19"/>
    </row>
    <row r="221" spans="1:15" x14ac:dyDescent="0.25">
      <c r="A221" s="75"/>
      <c r="B221" s="76"/>
      <c r="C221" s="70"/>
      <c r="D221" s="76"/>
      <c r="E221" s="70"/>
      <c r="F221" s="76"/>
      <c r="G221" s="70"/>
      <c r="H221" s="76"/>
      <c r="I221" s="75"/>
      <c r="J221" s="76" t="s">
        <v>125</v>
      </c>
      <c r="K221" s="75"/>
      <c r="L221" s="76"/>
      <c r="M221" s="75"/>
      <c r="N221" s="19"/>
      <c r="O221" s="19"/>
    </row>
    <row r="222" spans="1:15" x14ac:dyDescent="0.25">
      <c r="A222" s="75"/>
      <c r="B222" s="76"/>
      <c r="C222" s="70"/>
      <c r="D222" s="76"/>
      <c r="E222" s="70"/>
      <c r="F222" s="76"/>
      <c r="G222" s="70"/>
      <c r="H222" s="76"/>
      <c r="I222" s="75"/>
      <c r="J222" s="76" t="s">
        <v>310</v>
      </c>
      <c r="K222" s="75"/>
      <c r="L222" s="76"/>
      <c r="M222" s="75"/>
      <c r="N222" s="19"/>
      <c r="O222" s="19"/>
    </row>
    <row r="223" spans="1:15" x14ac:dyDescent="0.25">
      <c r="A223" s="75"/>
      <c r="B223" s="76"/>
      <c r="C223" s="70"/>
      <c r="D223" s="76"/>
      <c r="E223" s="70"/>
      <c r="F223" s="76"/>
      <c r="G223" s="70"/>
      <c r="H223" s="76"/>
      <c r="I223" s="75"/>
      <c r="J223" s="76" t="s">
        <v>133</v>
      </c>
      <c r="K223" s="75"/>
      <c r="L223" s="76"/>
      <c r="M223" s="75"/>
      <c r="N223" s="19"/>
      <c r="O223" s="19"/>
    </row>
    <row r="224" spans="1:15" x14ac:dyDescent="0.25">
      <c r="A224" s="75"/>
      <c r="B224" s="76"/>
      <c r="C224" s="70"/>
      <c r="D224" s="76"/>
      <c r="E224" s="70"/>
      <c r="F224" s="76"/>
      <c r="G224" s="70"/>
      <c r="H224" s="76"/>
      <c r="I224" s="75"/>
      <c r="J224" s="76" t="s">
        <v>139</v>
      </c>
      <c r="K224" s="75"/>
      <c r="L224" s="76"/>
      <c r="M224" s="75"/>
      <c r="N224" s="19"/>
      <c r="O224" s="19"/>
    </row>
    <row r="225" spans="1:15" x14ac:dyDescent="0.25">
      <c r="A225" s="75"/>
      <c r="B225" s="76"/>
      <c r="C225" s="70"/>
      <c r="D225" s="76"/>
      <c r="E225" s="70"/>
      <c r="F225" s="76"/>
      <c r="G225" s="70"/>
      <c r="H225" s="76"/>
      <c r="I225" s="75"/>
      <c r="J225" s="76" t="s">
        <v>146</v>
      </c>
      <c r="K225" s="75"/>
      <c r="L225" s="76"/>
      <c r="M225" s="75"/>
      <c r="N225" s="19"/>
      <c r="O225" s="19"/>
    </row>
    <row r="226" spans="1:15" x14ac:dyDescent="0.25">
      <c r="A226" s="75"/>
      <c r="B226" s="76"/>
      <c r="C226" s="70"/>
      <c r="D226" s="76"/>
      <c r="E226" s="70"/>
      <c r="F226" s="76"/>
      <c r="G226" s="70"/>
      <c r="H226" s="76"/>
      <c r="I226" s="75"/>
      <c r="J226" s="76" t="s">
        <v>311</v>
      </c>
      <c r="K226" s="75"/>
      <c r="L226" s="76"/>
      <c r="M226" s="75"/>
      <c r="N226" s="19"/>
      <c r="O226" s="19"/>
    </row>
    <row r="227" spans="1:15" x14ac:dyDescent="0.25">
      <c r="A227" s="75"/>
      <c r="B227" s="76"/>
      <c r="C227" s="70"/>
      <c r="D227" s="76"/>
      <c r="E227" s="70"/>
      <c r="F227" s="76"/>
      <c r="G227" s="70"/>
      <c r="H227" s="76"/>
      <c r="I227" s="75"/>
      <c r="J227" s="76" t="s">
        <v>151</v>
      </c>
      <c r="K227" s="75"/>
      <c r="L227" s="76"/>
      <c r="M227" s="75"/>
      <c r="N227" s="19"/>
      <c r="O227" s="19"/>
    </row>
    <row r="228" spans="1:15" x14ac:dyDescent="0.25">
      <c r="A228" s="75"/>
      <c r="B228" s="76"/>
      <c r="C228" s="70"/>
      <c r="D228" s="76"/>
      <c r="E228" s="70"/>
      <c r="F228" s="76"/>
      <c r="G228" s="70"/>
      <c r="H228" s="76"/>
      <c r="I228" s="75"/>
      <c r="J228" s="76" t="s">
        <v>314</v>
      </c>
      <c r="K228" s="75"/>
      <c r="L228" s="76"/>
      <c r="M228" s="75"/>
      <c r="N228" s="19"/>
      <c r="O228" s="19"/>
    </row>
    <row r="229" spans="1:15" x14ac:dyDescent="0.25">
      <c r="A229" s="75"/>
      <c r="B229" s="76"/>
      <c r="C229" s="70"/>
      <c r="D229" s="76"/>
      <c r="E229" s="70"/>
      <c r="F229" s="76"/>
      <c r="G229" s="70"/>
      <c r="H229" s="76"/>
      <c r="I229" s="75"/>
      <c r="J229" s="76" t="s">
        <v>158</v>
      </c>
      <c r="K229" s="75"/>
      <c r="L229" s="76"/>
      <c r="M229" s="75"/>
      <c r="N229" s="19"/>
      <c r="O229" s="19"/>
    </row>
    <row r="230" spans="1:15" x14ac:dyDescent="0.25">
      <c r="A230" s="75"/>
      <c r="B230" s="76"/>
      <c r="C230" s="70"/>
      <c r="D230" s="76"/>
      <c r="E230" s="70"/>
      <c r="F230" s="76"/>
      <c r="G230" s="70"/>
      <c r="H230" s="76"/>
      <c r="I230" s="75"/>
      <c r="J230" s="76" t="s">
        <v>312</v>
      </c>
      <c r="K230" s="75"/>
      <c r="L230" s="76"/>
      <c r="M230" s="75"/>
      <c r="N230" s="19"/>
      <c r="O230" s="19"/>
    </row>
    <row r="231" spans="1:15" x14ac:dyDescent="0.25">
      <c r="A231" s="75"/>
      <c r="B231" s="76"/>
      <c r="C231" s="70"/>
      <c r="D231" s="76"/>
      <c r="E231" s="70"/>
      <c r="F231" s="76"/>
      <c r="G231" s="70"/>
      <c r="H231" s="76"/>
      <c r="I231" s="75"/>
      <c r="J231" s="76" t="s">
        <v>402</v>
      </c>
      <c r="K231" s="75"/>
      <c r="L231" s="76"/>
      <c r="M231" s="75"/>
      <c r="N231" s="19"/>
      <c r="O231" s="19"/>
    </row>
    <row r="232" spans="1:15" x14ac:dyDescent="0.25">
      <c r="A232" s="75"/>
      <c r="B232" s="76"/>
      <c r="C232" s="70"/>
      <c r="D232" s="76"/>
      <c r="E232" s="70"/>
      <c r="F232" s="76"/>
      <c r="G232" s="70"/>
      <c r="H232" s="76"/>
      <c r="I232" s="75"/>
      <c r="J232" s="76" t="s">
        <v>163</v>
      </c>
      <c r="K232" s="75"/>
      <c r="L232" s="76"/>
      <c r="M232" s="75"/>
      <c r="N232" s="19"/>
      <c r="O232" s="19"/>
    </row>
    <row r="233" spans="1:15" x14ac:dyDescent="0.25">
      <c r="A233" s="75"/>
      <c r="B233" s="76"/>
      <c r="C233" s="70"/>
      <c r="D233" s="76"/>
      <c r="E233" s="70"/>
      <c r="F233" s="76"/>
      <c r="G233" s="70"/>
      <c r="H233" s="76"/>
      <c r="I233" s="75"/>
      <c r="J233" s="76" t="s">
        <v>169</v>
      </c>
      <c r="K233" s="75"/>
      <c r="L233" s="76"/>
      <c r="M233" s="75"/>
      <c r="N233" s="19"/>
      <c r="O233" s="19"/>
    </row>
    <row r="234" spans="1:15" x14ac:dyDescent="0.25">
      <c r="A234" s="75"/>
      <c r="B234" s="76"/>
      <c r="C234" s="70"/>
      <c r="D234" s="76"/>
      <c r="E234" s="70"/>
      <c r="F234" s="76"/>
      <c r="G234" s="70"/>
      <c r="H234" s="76"/>
      <c r="I234" s="75"/>
      <c r="J234" s="76" t="s">
        <v>241</v>
      </c>
      <c r="K234" s="75"/>
      <c r="L234" s="76"/>
      <c r="M234" s="75"/>
      <c r="N234" s="19"/>
      <c r="O234" s="19"/>
    </row>
    <row r="235" spans="1:15" x14ac:dyDescent="0.25">
      <c r="A235" s="75"/>
      <c r="B235" s="76"/>
      <c r="C235" s="70"/>
      <c r="D235" s="76"/>
      <c r="E235" s="70"/>
      <c r="F235" s="76"/>
      <c r="G235" s="70"/>
      <c r="H235" s="76"/>
      <c r="I235" s="75"/>
      <c r="J235" s="76" t="s">
        <v>243</v>
      </c>
      <c r="K235" s="75"/>
      <c r="L235" s="76"/>
      <c r="M235" s="75"/>
      <c r="N235" s="19"/>
      <c r="O235" s="19"/>
    </row>
    <row r="236" spans="1:15" x14ac:dyDescent="0.25">
      <c r="A236" s="75"/>
      <c r="B236" s="76"/>
      <c r="C236" s="70"/>
      <c r="D236" s="76"/>
      <c r="E236" s="70"/>
      <c r="F236" s="76"/>
      <c r="G236" s="70"/>
      <c r="H236" s="76"/>
      <c r="I236" s="75"/>
      <c r="J236" s="76" t="s">
        <v>246</v>
      </c>
      <c r="K236" s="75"/>
      <c r="L236" s="76"/>
      <c r="M236" s="75"/>
      <c r="N236" s="19"/>
      <c r="O236" s="19"/>
    </row>
    <row r="237" spans="1:15" x14ac:dyDescent="0.25">
      <c r="A237" s="75"/>
      <c r="B237" s="76"/>
      <c r="C237" s="70"/>
      <c r="D237" s="76"/>
      <c r="E237" s="70"/>
      <c r="F237" s="76"/>
      <c r="G237" s="70"/>
      <c r="H237" s="76"/>
      <c r="I237" s="75"/>
      <c r="J237" s="76" t="s">
        <v>248</v>
      </c>
      <c r="K237" s="75"/>
      <c r="L237" s="76"/>
      <c r="M237" s="75"/>
      <c r="N237" s="19"/>
      <c r="O237" s="19"/>
    </row>
    <row r="238" spans="1:15" x14ac:dyDescent="0.25">
      <c r="A238" s="75"/>
      <c r="B238" s="76"/>
      <c r="C238" s="70"/>
      <c r="D238" s="76"/>
      <c r="E238" s="70"/>
      <c r="F238" s="76"/>
      <c r="G238" s="70"/>
      <c r="H238" s="76"/>
      <c r="I238" s="75"/>
      <c r="J238" s="76" t="s">
        <v>250</v>
      </c>
      <c r="K238" s="75"/>
      <c r="L238" s="76"/>
      <c r="M238" s="75"/>
      <c r="N238" s="19"/>
      <c r="O238" s="19"/>
    </row>
    <row r="239" spans="1:15" x14ac:dyDescent="0.25">
      <c r="A239" s="75"/>
      <c r="B239" s="76"/>
      <c r="C239" s="70"/>
      <c r="D239" s="76"/>
      <c r="E239" s="70"/>
      <c r="F239" s="76"/>
      <c r="G239" s="70"/>
      <c r="H239" s="76"/>
      <c r="I239" s="75"/>
      <c r="J239" s="76" t="s">
        <v>252</v>
      </c>
      <c r="K239" s="75"/>
      <c r="L239" s="76"/>
      <c r="M239" s="75"/>
      <c r="N239" s="19"/>
      <c r="O239" s="19"/>
    </row>
    <row r="240" spans="1:15" x14ac:dyDescent="0.25">
      <c r="A240" s="75"/>
      <c r="B240" s="76"/>
      <c r="C240" s="70"/>
      <c r="D240" s="76"/>
      <c r="E240" s="70"/>
      <c r="F240" s="76"/>
      <c r="G240" s="70"/>
      <c r="H240" s="76"/>
      <c r="I240" s="75"/>
      <c r="J240" s="76" t="s">
        <v>257</v>
      </c>
      <c r="K240" s="75"/>
      <c r="L240" s="76"/>
      <c r="M240" s="75"/>
      <c r="N240" s="19"/>
      <c r="O240" s="19"/>
    </row>
    <row r="241" spans="1:15" x14ac:dyDescent="0.25">
      <c r="A241" s="75"/>
      <c r="B241" s="76"/>
      <c r="C241" s="70"/>
      <c r="D241" s="76"/>
      <c r="E241" s="70"/>
      <c r="F241" s="76"/>
      <c r="G241" s="70"/>
      <c r="H241" s="76"/>
      <c r="I241" s="75"/>
      <c r="J241" s="76" t="s">
        <v>271</v>
      </c>
      <c r="K241" s="75"/>
      <c r="L241" s="76"/>
      <c r="M241" s="75"/>
      <c r="N241" s="19"/>
      <c r="O241" s="19"/>
    </row>
    <row r="242" spans="1:15" x14ac:dyDescent="0.25">
      <c r="A242" s="75"/>
      <c r="B242" s="76"/>
      <c r="C242" s="70"/>
      <c r="D242" s="76"/>
      <c r="E242" s="70"/>
      <c r="F242" s="76"/>
      <c r="G242" s="70"/>
      <c r="H242" s="76"/>
      <c r="I242" s="75"/>
      <c r="J242" s="76" t="s">
        <v>260</v>
      </c>
      <c r="K242" s="75"/>
      <c r="L242" s="76"/>
      <c r="M242" s="75"/>
      <c r="N242" s="19"/>
      <c r="O242" s="19"/>
    </row>
    <row r="243" spans="1:15" x14ac:dyDescent="0.25">
      <c r="A243" s="75"/>
      <c r="B243" s="76"/>
      <c r="C243" s="70"/>
      <c r="D243" s="76"/>
      <c r="E243" s="70"/>
      <c r="F243" s="76"/>
      <c r="G243" s="70"/>
      <c r="H243" s="76"/>
      <c r="I243" s="75"/>
      <c r="J243" s="76" t="s">
        <v>263</v>
      </c>
      <c r="K243" s="75"/>
      <c r="L243" s="76"/>
      <c r="M243" s="75"/>
      <c r="N243" s="19"/>
      <c r="O243" s="19"/>
    </row>
    <row r="244" spans="1:15" x14ac:dyDescent="0.25">
      <c r="A244" s="75"/>
      <c r="B244" s="76"/>
      <c r="C244" s="70"/>
      <c r="D244" s="76"/>
      <c r="E244" s="70"/>
      <c r="F244" s="76"/>
      <c r="G244" s="70"/>
      <c r="H244" s="76"/>
      <c r="I244" s="75"/>
      <c r="J244" s="76" t="s">
        <v>265</v>
      </c>
      <c r="K244" s="75"/>
      <c r="L244" s="76"/>
      <c r="M244" s="75"/>
      <c r="N244" s="19"/>
      <c r="O244" s="19"/>
    </row>
    <row r="245" spans="1:15" x14ac:dyDescent="0.25">
      <c r="A245" s="75"/>
      <c r="B245" s="76"/>
      <c r="C245" s="70"/>
      <c r="D245" s="76"/>
      <c r="E245" s="70"/>
      <c r="F245" s="76"/>
      <c r="G245" s="70"/>
      <c r="H245" s="76"/>
      <c r="I245" s="75"/>
      <c r="J245" s="76" t="s">
        <v>266</v>
      </c>
      <c r="K245" s="75"/>
      <c r="L245" s="76"/>
      <c r="M245" s="75"/>
      <c r="N245" s="19"/>
      <c r="O245" s="19"/>
    </row>
    <row r="246" spans="1:15" x14ac:dyDescent="0.25">
      <c r="A246" s="75"/>
      <c r="B246" s="76"/>
      <c r="C246" s="70"/>
      <c r="D246" s="76"/>
      <c r="E246" s="70"/>
      <c r="F246" s="76"/>
      <c r="G246" s="70"/>
      <c r="H246" s="76"/>
      <c r="I246" s="75"/>
      <c r="J246" s="76" t="s">
        <v>267</v>
      </c>
      <c r="K246" s="75"/>
      <c r="L246" s="76"/>
      <c r="M246" s="75"/>
      <c r="N246" s="19"/>
      <c r="O246" s="19"/>
    </row>
    <row r="247" spans="1:15" x14ac:dyDescent="0.25">
      <c r="A247" s="75"/>
      <c r="B247" s="76"/>
      <c r="C247" s="70"/>
      <c r="D247" s="76"/>
      <c r="E247" s="70"/>
      <c r="F247" s="76"/>
      <c r="G247" s="70"/>
      <c r="H247" s="76"/>
      <c r="I247" s="75"/>
      <c r="J247" s="76" t="s">
        <v>269</v>
      </c>
      <c r="K247" s="75"/>
      <c r="L247" s="76"/>
      <c r="M247" s="75"/>
      <c r="N247" s="19"/>
      <c r="O247" s="19"/>
    </row>
    <row r="248" spans="1:15" x14ac:dyDescent="0.25">
      <c r="A248" s="75"/>
      <c r="B248" s="76"/>
      <c r="C248" s="70"/>
      <c r="D248" s="76"/>
      <c r="E248" s="70"/>
      <c r="F248" s="76"/>
      <c r="G248" s="70"/>
      <c r="H248" s="76"/>
      <c r="I248" s="75"/>
      <c r="J248" s="76" t="s">
        <v>270</v>
      </c>
      <c r="K248" s="75"/>
      <c r="L248" s="76"/>
      <c r="M248" s="75"/>
      <c r="N248" s="19"/>
      <c r="O248" s="19"/>
    </row>
    <row r="249" spans="1:15" x14ac:dyDescent="0.25">
      <c r="A249" s="75"/>
      <c r="B249" s="76"/>
      <c r="C249" s="70"/>
      <c r="D249" s="76"/>
      <c r="E249" s="70"/>
      <c r="F249" s="76"/>
      <c r="G249" s="70"/>
      <c r="H249" s="76"/>
      <c r="I249" s="75"/>
      <c r="J249" s="76" t="s">
        <v>272</v>
      </c>
      <c r="K249" s="75"/>
      <c r="L249" s="76"/>
      <c r="M249" s="75"/>
      <c r="N249" s="19"/>
      <c r="O249" s="19"/>
    </row>
    <row r="250" spans="1:15" x14ac:dyDescent="0.25">
      <c r="A250" s="75"/>
      <c r="B250" s="76"/>
      <c r="C250" s="70"/>
      <c r="D250" s="76"/>
      <c r="E250" s="70"/>
      <c r="F250" s="76"/>
      <c r="G250" s="70"/>
      <c r="H250" s="76"/>
      <c r="I250" s="75"/>
      <c r="J250" s="76" t="s">
        <v>273</v>
      </c>
      <c r="K250" s="75"/>
      <c r="L250" s="76"/>
      <c r="M250" s="75"/>
      <c r="N250" s="19"/>
      <c r="O250" s="19"/>
    </row>
    <row r="251" spans="1:15" x14ac:dyDescent="0.25">
      <c r="A251" s="75"/>
      <c r="B251" s="76"/>
      <c r="C251" s="70"/>
      <c r="D251" s="76"/>
      <c r="E251" s="70"/>
      <c r="F251" s="76"/>
      <c r="G251" s="70"/>
      <c r="H251" s="76"/>
      <c r="I251" s="75"/>
      <c r="J251" s="76" t="s">
        <v>274</v>
      </c>
      <c r="K251" s="75"/>
      <c r="L251" s="76"/>
      <c r="M251" s="75"/>
      <c r="N251" s="19"/>
      <c r="O251" s="19"/>
    </row>
    <row r="252" spans="1:15" x14ac:dyDescent="0.25">
      <c r="A252" s="75"/>
      <c r="B252" s="76"/>
      <c r="C252" s="70"/>
      <c r="D252" s="76"/>
      <c r="E252" s="70"/>
      <c r="F252" s="76"/>
      <c r="G252" s="70"/>
      <c r="H252" s="76"/>
      <c r="I252" s="75"/>
      <c r="J252" s="76" t="s">
        <v>379</v>
      </c>
      <c r="K252" s="75"/>
      <c r="L252" s="76"/>
      <c r="M252" s="75"/>
      <c r="N252" s="19"/>
      <c r="O252" s="19"/>
    </row>
    <row r="253" spans="1:15" x14ac:dyDescent="0.25">
      <c r="A253" s="75"/>
      <c r="B253" s="76"/>
      <c r="C253" s="70"/>
      <c r="D253" s="76"/>
      <c r="E253" s="70"/>
      <c r="F253" s="76"/>
      <c r="G253" s="70"/>
      <c r="H253" s="76"/>
      <c r="I253" s="75"/>
      <c r="J253" s="76" t="s">
        <v>380</v>
      </c>
      <c r="K253" s="75"/>
      <c r="L253" s="76"/>
      <c r="M253" s="75"/>
      <c r="N253" s="19"/>
      <c r="O253" s="19"/>
    </row>
    <row r="254" spans="1:15" x14ac:dyDescent="0.25">
      <c r="A254" s="75"/>
      <c r="B254" s="76"/>
      <c r="C254" s="70"/>
      <c r="D254" s="76"/>
      <c r="E254" s="70"/>
      <c r="F254" s="76"/>
      <c r="G254" s="70"/>
      <c r="H254" s="76"/>
      <c r="I254" s="75"/>
      <c r="J254" s="76" t="s">
        <v>381</v>
      </c>
      <c r="K254" s="75"/>
      <c r="L254" s="76"/>
      <c r="M254" s="75"/>
      <c r="N254" s="19"/>
      <c r="O254" s="19"/>
    </row>
    <row r="255" spans="1:15" x14ac:dyDescent="0.25">
      <c r="A255" s="75"/>
      <c r="B255" s="76"/>
      <c r="C255" s="70"/>
      <c r="D255" s="76"/>
      <c r="E255" s="70"/>
      <c r="F255" s="76"/>
      <c r="G255" s="70"/>
      <c r="H255" s="76"/>
      <c r="I255" s="75"/>
      <c r="J255" s="76" t="s">
        <v>404</v>
      </c>
      <c r="K255" s="75"/>
      <c r="L255" s="76"/>
      <c r="M255" s="75"/>
      <c r="N255" s="19"/>
      <c r="O255" s="19"/>
    </row>
    <row r="256" spans="1:15" x14ac:dyDescent="0.25">
      <c r="A256" s="75"/>
      <c r="B256" s="76"/>
      <c r="C256" s="70"/>
      <c r="D256" s="76"/>
      <c r="E256" s="70"/>
      <c r="F256" s="76"/>
      <c r="G256" s="70"/>
      <c r="H256" s="76"/>
      <c r="I256" s="75"/>
      <c r="J256" s="76" t="s">
        <v>405</v>
      </c>
      <c r="K256" s="75"/>
      <c r="L256" s="76"/>
      <c r="M256" s="75"/>
      <c r="N256" s="19"/>
      <c r="O256" s="19"/>
    </row>
    <row r="257" spans="1:15" x14ac:dyDescent="0.25">
      <c r="A257" s="75"/>
      <c r="B257" s="76"/>
      <c r="C257" s="70"/>
      <c r="D257" s="76"/>
      <c r="E257" s="70"/>
      <c r="F257" s="76"/>
      <c r="G257" s="70"/>
      <c r="H257" s="76"/>
      <c r="I257" s="75"/>
      <c r="J257" s="76" t="s">
        <v>279</v>
      </c>
      <c r="K257" s="75"/>
      <c r="L257" s="76"/>
      <c r="M257" s="75"/>
      <c r="N257" s="19"/>
      <c r="O257" s="19"/>
    </row>
    <row r="258" spans="1:15" x14ac:dyDescent="0.25">
      <c r="A258" s="75"/>
      <c r="B258" s="76"/>
      <c r="C258" s="70"/>
      <c r="D258" s="76"/>
      <c r="E258" s="70"/>
      <c r="F258" s="76"/>
      <c r="G258" s="70"/>
      <c r="H258" s="76"/>
      <c r="I258" s="75"/>
      <c r="J258" s="76" t="s">
        <v>382</v>
      </c>
      <c r="K258" s="75"/>
      <c r="L258" s="76"/>
      <c r="M258" s="75"/>
      <c r="N258" s="19"/>
      <c r="O258" s="19"/>
    </row>
    <row r="259" spans="1:15" x14ac:dyDescent="0.25">
      <c r="A259" s="75"/>
      <c r="B259" s="76"/>
      <c r="C259" s="70"/>
      <c r="D259" s="76"/>
      <c r="E259" s="70"/>
      <c r="F259" s="76"/>
      <c r="G259" s="70"/>
      <c r="H259" s="76"/>
      <c r="I259" s="75"/>
      <c r="J259" s="76" t="s">
        <v>280</v>
      </c>
      <c r="K259" s="75"/>
      <c r="L259" s="76"/>
      <c r="M259" s="75"/>
      <c r="N259" s="19"/>
      <c r="O259" s="19"/>
    </row>
    <row r="260" spans="1:15" x14ac:dyDescent="0.25">
      <c r="A260" s="75"/>
      <c r="B260" s="76"/>
      <c r="C260" s="70"/>
      <c r="D260" s="76"/>
      <c r="E260" s="70"/>
      <c r="F260" s="76"/>
      <c r="G260" s="70"/>
      <c r="H260" s="76"/>
      <c r="I260" s="75"/>
      <c r="J260" s="76" t="s">
        <v>383</v>
      </c>
      <c r="K260" s="75"/>
      <c r="L260" s="76"/>
      <c r="M260" s="75"/>
      <c r="N260" s="19"/>
      <c r="O260" s="19"/>
    </row>
    <row r="261" spans="1:15" x14ac:dyDescent="0.25">
      <c r="A261" s="75"/>
      <c r="B261" s="76"/>
      <c r="C261" s="70"/>
      <c r="D261" s="76"/>
      <c r="E261" s="70"/>
      <c r="F261" s="76"/>
      <c r="G261" s="70"/>
      <c r="H261" s="76"/>
      <c r="I261" s="75"/>
      <c r="J261" s="76" t="s">
        <v>206</v>
      </c>
      <c r="K261" s="75"/>
      <c r="L261" s="76"/>
      <c r="M261" s="75"/>
      <c r="N261" s="19"/>
      <c r="O261" s="19"/>
    </row>
    <row r="262" spans="1:15" x14ac:dyDescent="0.25">
      <c r="A262" s="75"/>
      <c r="B262" s="76"/>
      <c r="C262" s="70"/>
      <c r="D262" s="76"/>
      <c r="E262" s="70"/>
      <c r="F262" s="76"/>
      <c r="G262" s="70"/>
      <c r="H262" s="76"/>
      <c r="I262" s="75"/>
      <c r="J262" s="76" t="s">
        <v>211</v>
      </c>
      <c r="K262" s="75"/>
      <c r="L262" s="76"/>
      <c r="M262" s="75"/>
      <c r="N262" s="19"/>
      <c r="O262" s="19"/>
    </row>
    <row r="263" spans="1:15" x14ac:dyDescent="0.25">
      <c r="A263" s="75"/>
      <c r="B263" s="76"/>
      <c r="C263" s="70"/>
      <c r="D263" s="76"/>
      <c r="E263" s="70"/>
      <c r="F263" s="76"/>
      <c r="G263" s="70"/>
      <c r="H263" s="76"/>
      <c r="I263" s="75"/>
      <c r="J263" s="76" t="s">
        <v>384</v>
      </c>
      <c r="K263" s="75"/>
      <c r="L263" s="76"/>
      <c r="M263" s="75"/>
      <c r="N263" s="19"/>
      <c r="O263" s="19"/>
    </row>
    <row r="264" spans="1:15" x14ac:dyDescent="0.25">
      <c r="A264" s="75"/>
      <c r="B264" s="76"/>
      <c r="C264" s="70"/>
      <c r="D264" s="76"/>
      <c r="E264" s="70"/>
      <c r="F264" s="76"/>
      <c r="G264" s="70"/>
      <c r="H264" s="76"/>
      <c r="I264" s="75"/>
      <c r="J264" s="76" t="s">
        <v>385</v>
      </c>
      <c r="K264" s="75"/>
      <c r="L264" s="76"/>
      <c r="M264" s="75"/>
      <c r="N264" s="19"/>
      <c r="O264" s="19"/>
    </row>
    <row r="265" spans="1:15" x14ac:dyDescent="0.25">
      <c r="A265" s="75"/>
      <c r="B265" s="76"/>
      <c r="C265" s="70"/>
      <c r="D265" s="76"/>
      <c r="E265" s="70"/>
      <c r="F265" s="76"/>
      <c r="G265" s="70"/>
      <c r="H265" s="76"/>
      <c r="I265" s="75"/>
      <c r="J265" s="76" t="s">
        <v>209</v>
      </c>
      <c r="K265" s="75"/>
      <c r="L265" s="76"/>
      <c r="M265" s="75"/>
      <c r="N265" s="19"/>
      <c r="O265" s="19"/>
    </row>
    <row r="266" spans="1:15" x14ac:dyDescent="0.25">
      <c r="A266" s="75"/>
      <c r="B266" s="76"/>
      <c r="C266" s="70"/>
      <c r="D266" s="76"/>
      <c r="E266" s="70"/>
      <c r="F266" s="76"/>
      <c r="G266" s="70"/>
      <c r="H266" s="76"/>
      <c r="I266" s="75"/>
      <c r="J266" s="76" t="s">
        <v>212</v>
      </c>
      <c r="K266" s="75"/>
      <c r="L266" s="76"/>
      <c r="M266" s="75"/>
      <c r="N266" s="19"/>
      <c r="O266" s="19"/>
    </row>
    <row r="267" spans="1:15" x14ac:dyDescent="0.25">
      <c r="A267" s="75"/>
      <c r="B267" s="76"/>
      <c r="C267" s="70"/>
      <c r="D267" s="76"/>
      <c r="E267" s="70"/>
      <c r="F267" s="76"/>
      <c r="G267" s="70"/>
      <c r="H267" s="76"/>
      <c r="I267" s="75"/>
      <c r="J267" s="76" t="s">
        <v>214</v>
      </c>
      <c r="K267" s="75"/>
      <c r="L267" s="76"/>
      <c r="M267" s="75"/>
      <c r="N267" s="19"/>
      <c r="O267" s="19"/>
    </row>
    <row r="268" spans="1:15" x14ac:dyDescent="0.25">
      <c r="A268" s="75"/>
      <c r="B268" s="76"/>
      <c r="C268" s="70"/>
      <c r="D268" s="76"/>
      <c r="E268" s="70"/>
      <c r="F268" s="76"/>
      <c r="G268" s="70"/>
      <c r="H268" s="76"/>
      <c r="I268" s="75"/>
      <c r="J268" s="76" t="s">
        <v>216</v>
      </c>
      <c r="K268" s="75"/>
      <c r="L268" s="76"/>
      <c r="M268" s="75"/>
      <c r="N268" s="19"/>
      <c r="O268" s="19"/>
    </row>
    <row r="269" spans="1:15" x14ac:dyDescent="0.25">
      <c r="A269" s="75"/>
      <c r="B269" s="76"/>
      <c r="C269" s="70"/>
      <c r="D269" s="76"/>
      <c r="E269" s="70"/>
      <c r="F269" s="76"/>
      <c r="G269" s="70"/>
      <c r="H269" s="76"/>
      <c r="I269" s="75"/>
      <c r="J269" s="76" t="s">
        <v>220</v>
      </c>
      <c r="K269" s="75"/>
      <c r="L269" s="76"/>
      <c r="M269" s="75"/>
      <c r="N269" s="19"/>
      <c r="O269" s="19"/>
    </row>
    <row r="270" spans="1:15" x14ac:dyDescent="0.25">
      <c r="A270" s="75"/>
      <c r="B270" s="76"/>
      <c r="C270" s="70"/>
      <c r="D270" s="76"/>
      <c r="E270" s="70"/>
      <c r="F270" s="76"/>
      <c r="G270" s="70"/>
      <c r="H270" s="76"/>
      <c r="I270" s="75"/>
      <c r="J270" s="76" t="s">
        <v>224</v>
      </c>
      <c r="K270" s="75"/>
      <c r="L270" s="76"/>
      <c r="M270" s="75"/>
      <c r="N270" s="19"/>
      <c r="O270" s="19"/>
    </row>
    <row r="271" spans="1:15" x14ac:dyDescent="0.25">
      <c r="A271" s="75"/>
      <c r="B271" s="76"/>
      <c r="C271" s="70"/>
      <c r="D271" s="76"/>
      <c r="E271" s="70"/>
      <c r="F271" s="76"/>
      <c r="G271" s="70"/>
      <c r="H271" s="76"/>
      <c r="I271" s="75"/>
      <c r="J271" s="76" t="s">
        <v>225</v>
      </c>
      <c r="K271" s="75"/>
      <c r="L271" s="76"/>
      <c r="M271" s="75"/>
      <c r="N271" s="19"/>
      <c r="O271" s="19"/>
    </row>
    <row r="272" spans="1:15" x14ac:dyDescent="0.25">
      <c r="A272" s="75"/>
      <c r="B272" s="76"/>
      <c r="C272" s="70"/>
      <c r="D272" s="76"/>
      <c r="E272" s="70"/>
      <c r="F272" s="76"/>
      <c r="G272" s="70"/>
      <c r="H272" s="76"/>
      <c r="I272" s="75"/>
      <c r="J272" s="76" t="s">
        <v>227</v>
      </c>
      <c r="K272" s="75"/>
      <c r="L272" s="76"/>
      <c r="M272" s="75"/>
      <c r="N272" s="19"/>
      <c r="O272" s="19"/>
    </row>
    <row r="273" spans="1:15" x14ac:dyDescent="0.25">
      <c r="A273" s="75"/>
      <c r="B273" s="76"/>
      <c r="C273" s="70"/>
      <c r="D273" s="76"/>
      <c r="E273" s="70"/>
      <c r="F273" s="76"/>
      <c r="G273" s="70"/>
      <c r="H273" s="76"/>
      <c r="I273" s="75"/>
      <c r="J273" s="76" t="s">
        <v>228</v>
      </c>
      <c r="K273" s="75"/>
      <c r="L273" s="76"/>
      <c r="M273" s="75"/>
      <c r="N273" s="19"/>
      <c r="O273" s="19"/>
    </row>
    <row r="274" spans="1:15" x14ac:dyDescent="0.25">
      <c r="A274" s="75"/>
      <c r="B274" s="76"/>
      <c r="C274" s="70"/>
      <c r="D274" s="76"/>
      <c r="E274" s="70"/>
      <c r="F274" s="76"/>
      <c r="G274" s="70"/>
      <c r="H274" s="76"/>
      <c r="I274" s="75"/>
      <c r="J274" s="76" t="s">
        <v>231</v>
      </c>
      <c r="K274" s="75"/>
      <c r="L274" s="76"/>
      <c r="M274" s="75"/>
      <c r="N274" s="19"/>
      <c r="O274" s="19"/>
    </row>
    <row r="275" spans="1:15" x14ac:dyDescent="0.25">
      <c r="A275" s="75"/>
      <c r="B275" s="76"/>
      <c r="C275" s="70"/>
      <c r="D275" s="76"/>
      <c r="E275" s="70"/>
      <c r="F275" s="76"/>
      <c r="G275" s="70"/>
      <c r="H275" s="76"/>
      <c r="I275" s="75"/>
      <c r="J275" s="76" t="s">
        <v>233</v>
      </c>
      <c r="K275" s="75"/>
      <c r="L275" s="76"/>
      <c r="M275" s="75"/>
      <c r="N275" s="19"/>
      <c r="O275" s="19"/>
    </row>
    <row r="276" spans="1:15" x14ac:dyDescent="0.25">
      <c r="A276" s="75"/>
      <c r="B276" s="76"/>
      <c r="C276" s="70"/>
      <c r="D276" s="76"/>
      <c r="E276" s="70"/>
      <c r="F276" s="76"/>
      <c r="G276" s="70"/>
      <c r="H276" s="76"/>
      <c r="I276" s="75"/>
      <c r="J276" s="76" t="s">
        <v>352</v>
      </c>
      <c r="K276" s="75"/>
      <c r="L276" s="76"/>
      <c r="M276" s="75"/>
      <c r="N276" s="19"/>
      <c r="O276" s="19"/>
    </row>
    <row r="277" spans="1:15" x14ac:dyDescent="0.25">
      <c r="A277" s="75"/>
      <c r="B277" s="76"/>
      <c r="C277" s="70"/>
      <c r="D277" s="76"/>
      <c r="E277" s="70"/>
      <c r="F277" s="76"/>
      <c r="G277" s="70"/>
      <c r="H277" s="76"/>
      <c r="I277" s="75"/>
      <c r="J277" s="76" t="s">
        <v>236</v>
      </c>
      <c r="K277" s="75"/>
      <c r="L277" s="76"/>
      <c r="M277" s="75"/>
      <c r="N277" s="19"/>
      <c r="O277" s="19"/>
    </row>
    <row r="278" spans="1:15" x14ac:dyDescent="0.25">
      <c r="A278" s="75"/>
      <c r="B278" s="76"/>
      <c r="C278" s="70"/>
      <c r="D278" s="76"/>
      <c r="E278" s="70"/>
      <c r="F278" s="76"/>
      <c r="G278" s="70"/>
      <c r="H278" s="76"/>
      <c r="I278" s="75"/>
      <c r="J278" s="76" t="s">
        <v>150</v>
      </c>
      <c r="K278" s="75"/>
      <c r="L278" s="76"/>
      <c r="M278" s="75"/>
      <c r="N278" s="19"/>
      <c r="O278" s="19"/>
    </row>
    <row r="279" spans="1:15" x14ac:dyDescent="0.25">
      <c r="A279" s="75"/>
      <c r="B279" s="76"/>
      <c r="C279" s="70"/>
      <c r="D279" s="76"/>
      <c r="E279" s="70"/>
      <c r="F279" s="76"/>
      <c r="G279" s="70"/>
      <c r="H279" s="76"/>
      <c r="I279" s="75"/>
      <c r="J279" s="76" t="s">
        <v>155</v>
      </c>
      <c r="K279" s="75"/>
      <c r="L279" s="76"/>
      <c r="M279" s="75"/>
      <c r="N279" s="19"/>
      <c r="O279" s="19"/>
    </row>
    <row r="280" spans="1:15" x14ac:dyDescent="0.25">
      <c r="A280" s="75"/>
      <c r="B280" s="76"/>
      <c r="C280" s="70"/>
      <c r="D280" s="76"/>
      <c r="E280" s="70"/>
      <c r="F280" s="76"/>
      <c r="G280" s="70"/>
      <c r="H280" s="76"/>
      <c r="I280" s="75"/>
      <c r="J280" s="76" t="s">
        <v>238</v>
      </c>
      <c r="K280" s="75"/>
      <c r="L280" s="76"/>
      <c r="M280" s="75"/>
      <c r="N280" s="19"/>
      <c r="O280" s="19"/>
    </row>
    <row r="281" spans="1:15" x14ac:dyDescent="0.25">
      <c r="A281" s="75"/>
      <c r="B281" s="76"/>
      <c r="C281" s="70"/>
      <c r="D281" s="76"/>
      <c r="E281" s="70"/>
      <c r="F281" s="76"/>
      <c r="G281" s="70"/>
      <c r="H281" s="76"/>
      <c r="I281" s="75"/>
      <c r="J281" s="76" t="s">
        <v>238</v>
      </c>
      <c r="K281" s="75"/>
      <c r="L281" s="76"/>
      <c r="M281" s="75"/>
      <c r="N281" s="19"/>
      <c r="O281" s="19"/>
    </row>
    <row r="282" spans="1:15" x14ac:dyDescent="0.25">
      <c r="A282" s="75"/>
      <c r="B282" s="76"/>
      <c r="C282" s="70"/>
      <c r="D282" s="76"/>
      <c r="E282" s="70"/>
      <c r="F282" s="76"/>
      <c r="G282" s="70"/>
      <c r="H282" s="76"/>
      <c r="I282" s="75"/>
      <c r="J282" s="76" t="s">
        <v>412</v>
      </c>
      <c r="K282" s="75"/>
      <c r="L282" s="76"/>
      <c r="M282" s="75"/>
      <c r="N282" s="19"/>
      <c r="O282" s="19"/>
    </row>
    <row r="283" spans="1:15" x14ac:dyDescent="0.25">
      <c r="A283" s="75"/>
      <c r="B283" s="76"/>
      <c r="C283" s="70"/>
      <c r="D283" s="76"/>
      <c r="E283" s="70"/>
      <c r="F283" s="76"/>
      <c r="G283" s="70"/>
      <c r="H283" s="76"/>
      <c r="I283" s="75"/>
      <c r="J283" s="76" t="s">
        <v>412</v>
      </c>
      <c r="K283" s="75"/>
      <c r="L283" s="76"/>
      <c r="M283" s="75"/>
      <c r="N283" s="19"/>
      <c r="O283" s="19"/>
    </row>
    <row r="284" spans="1:15" x14ac:dyDescent="0.25">
      <c r="A284" s="75"/>
      <c r="B284" s="76"/>
      <c r="C284" s="70"/>
      <c r="D284" s="76"/>
      <c r="E284" s="70"/>
      <c r="F284" s="76"/>
      <c r="G284" s="70"/>
      <c r="H284" s="76"/>
      <c r="I284" s="75"/>
      <c r="J284" s="76" t="s">
        <v>218</v>
      </c>
      <c r="K284" s="75"/>
      <c r="L284" s="76"/>
      <c r="M284" s="75"/>
      <c r="N284" s="19"/>
      <c r="O284" s="19"/>
    </row>
    <row r="285" spans="1:15" x14ac:dyDescent="0.25">
      <c r="A285" s="75"/>
      <c r="B285" s="76"/>
      <c r="C285" s="70"/>
      <c r="D285" s="76"/>
      <c r="E285" s="70"/>
      <c r="F285" s="76"/>
      <c r="G285" s="70"/>
      <c r="H285" s="76"/>
      <c r="I285" s="75"/>
      <c r="J285" s="76" t="s">
        <v>289</v>
      </c>
      <c r="K285" s="75"/>
      <c r="L285" s="76"/>
      <c r="M285" s="75"/>
      <c r="N285" s="19"/>
      <c r="O285" s="19"/>
    </row>
    <row r="286" spans="1:15" x14ac:dyDescent="0.25">
      <c r="A286" s="75"/>
      <c r="B286" s="76"/>
      <c r="C286" s="70"/>
      <c r="D286" s="76"/>
      <c r="E286" s="70"/>
      <c r="F286" s="76"/>
      <c r="G286" s="70"/>
      <c r="H286" s="76"/>
      <c r="I286" s="75"/>
      <c r="J286" s="76" t="s">
        <v>290</v>
      </c>
      <c r="K286" s="75"/>
      <c r="L286" s="76"/>
      <c r="M286" s="75"/>
      <c r="N286" s="19"/>
      <c r="O286" s="19"/>
    </row>
    <row r="287" spans="1:15" x14ac:dyDescent="0.25">
      <c r="A287" s="75"/>
      <c r="B287" s="76"/>
      <c r="C287" s="70"/>
      <c r="D287" s="76"/>
      <c r="E287" s="70"/>
      <c r="F287" s="76"/>
      <c r="G287" s="70"/>
      <c r="H287" s="76"/>
      <c r="I287" s="75"/>
      <c r="J287" s="76" t="s">
        <v>291</v>
      </c>
      <c r="K287" s="75"/>
      <c r="L287" s="76"/>
      <c r="M287" s="75"/>
      <c r="N287" s="19"/>
      <c r="O287" s="19"/>
    </row>
    <row r="288" spans="1:15" x14ac:dyDescent="0.25">
      <c r="A288" s="75"/>
      <c r="B288" s="76"/>
      <c r="C288" s="70"/>
      <c r="D288" s="76"/>
      <c r="E288" s="70"/>
      <c r="F288" s="76"/>
      <c r="G288" s="70"/>
      <c r="H288" s="76"/>
      <c r="I288" s="75"/>
      <c r="J288" s="76" t="s">
        <v>292</v>
      </c>
      <c r="K288" s="75"/>
      <c r="L288" s="76"/>
      <c r="M288" s="75"/>
      <c r="N288" s="19"/>
      <c r="O288" s="19"/>
    </row>
    <row r="289" spans="1:15" x14ac:dyDescent="0.25">
      <c r="A289" s="75"/>
      <c r="B289" s="76"/>
      <c r="C289" s="70"/>
      <c r="D289" s="76"/>
      <c r="E289" s="70"/>
      <c r="F289" s="76"/>
      <c r="G289" s="70"/>
      <c r="H289" s="76"/>
      <c r="I289" s="75"/>
      <c r="J289" s="76" t="s">
        <v>240</v>
      </c>
      <c r="K289" s="75"/>
      <c r="L289" s="76"/>
      <c r="M289" s="75"/>
      <c r="N289" s="19"/>
      <c r="O289" s="19"/>
    </row>
    <row r="290" spans="1:15" x14ac:dyDescent="0.25">
      <c r="A290" s="75"/>
      <c r="B290" s="76"/>
      <c r="C290" s="70"/>
      <c r="D290" s="76"/>
      <c r="E290" s="70"/>
      <c r="F290" s="76"/>
      <c r="G290" s="70"/>
      <c r="H290" s="76"/>
      <c r="I290" s="75"/>
      <c r="J290" s="76" t="s">
        <v>242</v>
      </c>
      <c r="K290" s="75"/>
      <c r="L290" s="76"/>
      <c r="M290" s="75"/>
      <c r="N290" s="19"/>
      <c r="O290" s="19"/>
    </row>
    <row r="291" spans="1:15" x14ac:dyDescent="0.25">
      <c r="A291" s="75"/>
      <c r="B291" s="76"/>
      <c r="C291" s="70"/>
      <c r="D291" s="76"/>
      <c r="E291" s="70"/>
      <c r="F291" s="76"/>
      <c r="G291" s="70"/>
      <c r="H291" s="76"/>
      <c r="I291" s="75"/>
      <c r="J291" s="76" t="s">
        <v>245</v>
      </c>
      <c r="K291" s="75"/>
      <c r="L291" s="76"/>
      <c r="M291" s="75"/>
      <c r="N291" s="19"/>
      <c r="O291" s="19"/>
    </row>
    <row r="292" spans="1:15" x14ac:dyDescent="0.25">
      <c r="A292" s="75"/>
      <c r="B292" s="76"/>
      <c r="C292" s="70"/>
      <c r="D292" s="76"/>
      <c r="E292" s="70"/>
      <c r="F292" s="76"/>
      <c r="G292" s="70"/>
      <c r="H292" s="76"/>
      <c r="I292" s="75"/>
      <c r="J292" s="76" t="s">
        <v>247</v>
      </c>
      <c r="K292" s="75"/>
      <c r="L292" s="76"/>
      <c r="M292" s="75"/>
      <c r="N292" s="19"/>
      <c r="O292" s="19"/>
    </row>
    <row r="293" spans="1:15" x14ac:dyDescent="0.25">
      <c r="A293" s="75"/>
      <c r="B293" s="76"/>
      <c r="C293" s="70"/>
      <c r="D293" s="76"/>
      <c r="E293" s="70"/>
      <c r="F293" s="76"/>
      <c r="G293" s="70"/>
      <c r="H293" s="76"/>
      <c r="I293" s="75"/>
      <c r="J293" s="76" t="s">
        <v>249</v>
      </c>
      <c r="K293" s="75"/>
      <c r="L293" s="76"/>
      <c r="M293" s="75"/>
      <c r="N293" s="19"/>
      <c r="O293" s="19"/>
    </row>
    <row r="294" spans="1:15" x14ac:dyDescent="0.25">
      <c r="A294" s="75"/>
      <c r="B294" s="76"/>
      <c r="C294" s="70"/>
      <c r="D294" s="76"/>
      <c r="E294" s="70"/>
      <c r="F294" s="76"/>
      <c r="G294" s="70"/>
      <c r="H294" s="76"/>
      <c r="I294" s="75"/>
      <c r="J294" s="76" t="s">
        <v>254</v>
      </c>
      <c r="K294" s="75"/>
      <c r="L294" s="76"/>
      <c r="M294" s="75"/>
      <c r="N294" s="19"/>
      <c r="O294" s="19"/>
    </row>
    <row r="295" spans="1:15" x14ac:dyDescent="0.25">
      <c r="A295" s="75"/>
      <c r="B295" s="76"/>
      <c r="C295" s="70"/>
      <c r="D295" s="76"/>
      <c r="E295" s="70"/>
      <c r="F295" s="76"/>
      <c r="G295" s="70"/>
      <c r="H295" s="76"/>
      <c r="I295" s="75"/>
      <c r="J295" s="76" t="s">
        <v>413</v>
      </c>
      <c r="K295" s="75"/>
      <c r="L295" s="76"/>
      <c r="M295" s="75"/>
      <c r="N295" s="19"/>
      <c r="O295" s="19"/>
    </row>
    <row r="296" spans="1:15" x14ac:dyDescent="0.25">
      <c r="A296" s="75"/>
      <c r="B296" s="76"/>
      <c r="C296" s="70"/>
      <c r="D296" s="76"/>
      <c r="E296" s="70"/>
      <c r="F296" s="76"/>
      <c r="G296" s="70"/>
      <c r="H296" s="76"/>
      <c r="I296" s="75"/>
      <c r="J296" s="76" t="s">
        <v>182</v>
      </c>
      <c r="K296" s="75"/>
      <c r="L296" s="76"/>
      <c r="M296" s="75"/>
      <c r="N296" s="19"/>
      <c r="O296" s="19"/>
    </row>
    <row r="297" spans="1:15" x14ac:dyDescent="0.25">
      <c r="A297" s="75"/>
      <c r="B297" s="76"/>
      <c r="C297" s="70"/>
      <c r="D297" s="76"/>
      <c r="E297" s="70"/>
      <c r="F297" s="76"/>
      <c r="G297" s="70"/>
      <c r="H297" s="76"/>
      <c r="I297" s="75"/>
      <c r="J297" s="76" t="s">
        <v>186</v>
      </c>
      <c r="K297" s="75"/>
      <c r="L297" s="76"/>
      <c r="M297" s="75"/>
      <c r="N297" s="19"/>
      <c r="O297" s="19"/>
    </row>
    <row r="298" spans="1:15" x14ac:dyDescent="0.25">
      <c r="A298" s="75"/>
      <c r="B298" s="76"/>
      <c r="C298" s="70"/>
      <c r="D298" s="76"/>
      <c r="E298" s="70"/>
      <c r="F298" s="76"/>
      <c r="G298" s="70"/>
      <c r="H298" s="76"/>
      <c r="I298" s="75"/>
      <c r="J298" s="76" t="s">
        <v>256</v>
      </c>
      <c r="K298" s="75"/>
      <c r="L298" s="76"/>
      <c r="M298" s="75"/>
      <c r="N298" s="19"/>
      <c r="O298" s="19"/>
    </row>
    <row r="299" spans="1:15" x14ac:dyDescent="0.25">
      <c r="A299" s="75"/>
      <c r="B299" s="76"/>
      <c r="C299" s="70"/>
      <c r="D299" s="76"/>
      <c r="E299" s="70"/>
      <c r="F299" s="76"/>
      <c r="G299" s="70"/>
      <c r="H299" s="76"/>
      <c r="I299" s="75"/>
      <c r="J299" s="76" t="s">
        <v>190</v>
      </c>
      <c r="K299" s="75"/>
      <c r="L299" s="76"/>
      <c r="M299" s="75"/>
      <c r="N299" s="19"/>
      <c r="O299" s="19"/>
    </row>
    <row r="300" spans="1:15" x14ac:dyDescent="0.25">
      <c r="A300" s="75"/>
      <c r="B300" s="76"/>
      <c r="C300" s="70"/>
      <c r="D300" s="76"/>
      <c r="E300" s="70"/>
      <c r="F300" s="76"/>
      <c r="G300" s="70"/>
      <c r="H300" s="76"/>
      <c r="I300" s="75"/>
      <c r="J300" s="76" t="s">
        <v>192</v>
      </c>
      <c r="K300" s="75"/>
      <c r="L300" s="76"/>
      <c r="M300" s="75"/>
      <c r="N300" s="19"/>
      <c r="O300" s="19"/>
    </row>
    <row r="301" spans="1:15" x14ac:dyDescent="0.25">
      <c r="A301" s="75"/>
      <c r="B301" s="76"/>
      <c r="C301" s="70"/>
      <c r="D301" s="76"/>
      <c r="E301" s="70"/>
      <c r="F301" s="76"/>
      <c r="G301" s="70"/>
      <c r="H301" s="76"/>
      <c r="I301" s="75"/>
      <c r="J301" s="76" t="s">
        <v>281</v>
      </c>
      <c r="K301" s="75"/>
      <c r="L301" s="76"/>
      <c r="M301" s="75"/>
      <c r="N301" s="19"/>
      <c r="O301" s="19"/>
    </row>
    <row r="302" spans="1:15" x14ac:dyDescent="0.25">
      <c r="A302" s="75"/>
      <c r="B302" s="76"/>
      <c r="C302" s="70"/>
      <c r="D302" s="76"/>
      <c r="E302" s="70"/>
      <c r="F302" s="76"/>
      <c r="G302" s="70"/>
      <c r="H302" s="76"/>
      <c r="I302" s="75"/>
      <c r="J302" s="76" t="s">
        <v>282</v>
      </c>
      <c r="K302" s="75"/>
      <c r="L302" s="76"/>
      <c r="M302" s="75"/>
      <c r="N302" s="19"/>
      <c r="O302" s="19"/>
    </row>
    <row r="303" spans="1:15" x14ac:dyDescent="0.25">
      <c r="A303" s="75"/>
      <c r="B303" s="76"/>
      <c r="C303" s="70"/>
      <c r="D303" s="76"/>
      <c r="E303" s="70"/>
      <c r="F303" s="76"/>
      <c r="G303" s="70"/>
      <c r="H303" s="76"/>
      <c r="I303" s="75"/>
      <c r="J303" s="76" t="s">
        <v>419</v>
      </c>
      <c r="K303" s="75"/>
      <c r="L303" s="76"/>
      <c r="M303" s="75"/>
      <c r="N303" s="19"/>
      <c r="O303" s="19"/>
    </row>
    <row r="304" spans="1:15" x14ac:dyDescent="0.25">
      <c r="A304" s="75"/>
      <c r="B304" s="76"/>
      <c r="C304" s="70"/>
      <c r="D304" s="76"/>
      <c r="E304" s="70"/>
      <c r="F304" s="76"/>
      <c r="G304" s="70"/>
      <c r="H304" s="76"/>
      <c r="I304" s="75"/>
      <c r="J304" s="76" t="s">
        <v>283</v>
      </c>
      <c r="K304" s="75"/>
      <c r="L304" s="76"/>
      <c r="M304" s="75"/>
      <c r="N304" s="19"/>
      <c r="O304" s="19"/>
    </row>
    <row r="305" spans="1:15" x14ac:dyDescent="0.25">
      <c r="A305" s="75"/>
      <c r="B305" s="76"/>
      <c r="C305" s="70"/>
      <c r="D305" s="76"/>
      <c r="E305" s="70"/>
      <c r="F305" s="76"/>
      <c r="G305" s="70"/>
      <c r="H305" s="76"/>
      <c r="I305" s="75"/>
      <c r="J305" s="76" t="s">
        <v>284</v>
      </c>
      <c r="K305" s="75"/>
      <c r="L305" s="76"/>
      <c r="M305" s="75"/>
      <c r="N305" s="19"/>
      <c r="O305" s="19"/>
    </row>
    <row r="306" spans="1:15" x14ac:dyDescent="0.25">
      <c r="A306" s="75"/>
      <c r="B306" s="76"/>
      <c r="C306" s="70"/>
      <c r="D306" s="76"/>
      <c r="E306" s="70"/>
      <c r="F306" s="76"/>
      <c r="G306" s="70"/>
      <c r="H306" s="76"/>
      <c r="I306" s="75"/>
      <c r="J306" s="76" t="s">
        <v>259</v>
      </c>
      <c r="K306" s="75"/>
      <c r="L306" s="76"/>
      <c r="M306" s="75"/>
      <c r="N306" s="19"/>
      <c r="O306" s="19"/>
    </row>
    <row r="307" spans="1:15" x14ac:dyDescent="0.25">
      <c r="A307" s="75"/>
      <c r="B307" s="76"/>
      <c r="C307" s="70"/>
      <c r="D307" s="76"/>
      <c r="E307" s="70"/>
      <c r="F307" s="76"/>
      <c r="G307" s="70"/>
      <c r="H307" s="76"/>
      <c r="I307" s="75"/>
      <c r="J307" s="76" t="s">
        <v>275</v>
      </c>
      <c r="K307" s="75"/>
      <c r="L307" s="76"/>
      <c r="M307" s="75"/>
      <c r="N307" s="19"/>
      <c r="O307" s="19"/>
    </row>
    <row r="308" spans="1:15" x14ac:dyDescent="0.25">
      <c r="A308" s="75"/>
      <c r="B308" s="76"/>
      <c r="C308" s="70"/>
      <c r="D308" s="76"/>
      <c r="E308" s="70"/>
      <c r="F308" s="76"/>
      <c r="G308" s="70"/>
      <c r="H308" s="76"/>
      <c r="I308" s="75"/>
      <c r="J308" s="76" t="s">
        <v>276</v>
      </c>
      <c r="K308" s="75"/>
      <c r="L308" s="76"/>
      <c r="M308" s="75"/>
      <c r="N308" s="19"/>
      <c r="O308" s="19"/>
    </row>
    <row r="309" spans="1:15" x14ac:dyDescent="0.25">
      <c r="A309" s="75"/>
      <c r="B309" s="76"/>
      <c r="C309" s="70"/>
      <c r="D309" s="76"/>
      <c r="E309" s="70"/>
      <c r="F309" s="76"/>
      <c r="G309" s="70"/>
      <c r="H309" s="76"/>
      <c r="I309" s="75"/>
      <c r="J309" s="76" t="s">
        <v>277</v>
      </c>
      <c r="K309" s="75"/>
      <c r="L309" s="76"/>
      <c r="M309" s="75"/>
      <c r="N309" s="19"/>
      <c r="O309" s="19"/>
    </row>
    <row r="310" spans="1:15" x14ac:dyDescent="0.25">
      <c r="A310" s="75"/>
      <c r="B310" s="76"/>
      <c r="C310" s="70"/>
      <c r="D310" s="76"/>
      <c r="E310" s="70"/>
      <c r="F310" s="76"/>
      <c r="G310" s="70"/>
      <c r="H310" s="76"/>
      <c r="I310" s="75"/>
      <c r="J310" s="76" t="s">
        <v>262</v>
      </c>
      <c r="K310" s="75"/>
      <c r="L310" s="76"/>
      <c r="M310" s="75"/>
      <c r="N310" s="19"/>
      <c r="O310" s="19"/>
    </row>
    <row r="311" spans="1:15" x14ac:dyDescent="0.25">
      <c r="A311" s="75"/>
      <c r="B311" s="76"/>
      <c r="C311" s="70"/>
      <c r="D311" s="76"/>
      <c r="E311" s="70"/>
      <c r="F311" s="76"/>
      <c r="G311" s="70"/>
      <c r="H311" s="76"/>
      <c r="I311" s="75"/>
      <c r="J311" s="76" t="s">
        <v>278</v>
      </c>
      <c r="K311" s="75"/>
      <c r="L311" s="76"/>
      <c r="M311" s="75"/>
      <c r="N311" s="19"/>
      <c r="O311" s="19"/>
    </row>
    <row r="312" spans="1:15" x14ac:dyDescent="0.25">
      <c r="A312" s="75"/>
      <c r="B312" s="76"/>
      <c r="C312" s="70"/>
      <c r="D312" s="76"/>
      <c r="E312" s="70"/>
      <c r="F312" s="76"/>
      <c r="G312" s="70"/>
      <c r="H312" s="76"/>
      <c r="I312" s="75"/>
      <c r="J312" s="76" t="s">
        <v>309</v>
      </c>
      <c r="K312" s="75"/>
      <c r="L312" s="76"/>
      <c r="M312" s="75"/>
      <c r="N312" s="19"/>
      <c r="O312" s="19"/>
    </row>
    <row r="313" spans="1:15" x14ac:dyDescent="0.25">
      <c r="A313" s="75"/>
      <c r="B313" s="76"/>
      <c r="C313" s="70"/>
      <c r="D313" s="76"/>
      <c r="E313" s="70"/>
      <c r="F313" s="76"/>
      <c r="G313" s="70"/>
      <c r="H313" s="76"/>
      <c r="I313" s="75"/>
      <c r="J313" s="76" t="s">
        <v>296</v>
      </c>
      <c r="K313" s="75"/>
      <c r="L313" s="76"/>
      <c r="M313" s="75"/>
      <c r="N313" s="19"/>
      <c r="O313" s="19"/>
    </row>
    <row r="314" spans="1:15" x14ac:dyDescent="0.25">
      <c r="A314" s="75"/>
      <c r="B314" s="76"/>
      <c r="C314" s="70"/>
      <c r="D314" s="76"/>
      <c r="E314" s="70"/>
      <c r="F314" s="76"/>
      <c r="G314" s="70"/>
      <c r="H314" s="76"/>
      <c r="I314" s="75"/>
      <c r="J314" s="76" t="s">
        <v>318</v>
      </c>
      <c r="K314" s="75"/>
      <c r="L314" s="76"/>
      <c r="M314" s="75"/>
      <c r="N314" s="19"/>
      <c r="O314" s="19"/>
    </row>
    <row r="315" spans="1:15" x14ac:dyDescent="0.25">
      <c r="A315" s="75"/>
      <c r="B315" s="76"/>
      <c r="C315" s="70"/>
      <c r="D315" s="76"/>
      <c r="E315" s="70"/>
      <c r="F315" s="76"/>
      <c r="G315" s="70"/>
      <c r="H315" s="76"/>
      <c r="I315" s="75"/>
      <c r="J315" s="76" t="s">
        <v>298</v>
      </c>
      <c r="K315" s="75"/>
      <c r="L315" s="76"/>
      <c r="M315" s="75"/>
      <c r="N315" s="19"/>
      <c r="O315" s="19"/>
    </row>
    <row r="316" spans="1:15" x14ac:dyDescent="0.25">
      <c r="A316" s="75"/>
      <c r="B316" s="76"/>
      <c r="C316" s="70"/>
      <c r="D316" s="76"/>
      <c r="E316" s="70"/>
      <c r="F316" s="76"/>
      <c r="G316" s="70"/>
      <c r="H316" s="76"/>
      <c r="I316" s="75"/>
      <c r="J316" s="76" t="s">
        <v>299</v>
      </c>
      <c r="K316" s="75"/>
      <c r="L316" s="76"/>
      <c r="M316" s="75"/>
      <c r="N316" s="19"/>
      <c r="O316" s="19"/>
    </row>
    <row r="317" spans="1:15" x14ac:dyDescent="0.25">
      <c r="A317" s="75"/>
      <c r="B317" s="76"/>
      <c r="C317" s="70"/>
      <c r="D317" s="76"/>
      <c r="E317" s="70"/>
      <c r="F317" s="76"/>
      <c r="G317" s="70"/>
      <c r="H317" s="76"/>
      <c r="I317" s="75"/>
      <c r="J317" s="76" t="s">
        <v>306</v>
      </c>
      <c r="K317" s="75"/>
      <c r="L317" s="76"/>
      <c r="M317" s="75"/>
      <c r="N317" s="19"/>
      <c r="O317" s="19"/>
    </row>
    <row r="318" spans="1:15" x14ac:dyDescent="0.25">
      <c r="A318" s="75"/>
      <c r="B318" s="76"/>
      <c r="C318" s="70"/>
      <c r="D318" s="76"/>
      <c r="E318" s="70"/>
      <c r="F318" s="76"/>
      <c r="G318" s="70"/>
      <c r="H318" s="76"/>
      <c r="I318" s="75"/>
      <c r="J318" s="76" t="s">
        <v>301</v>
      </c>
      <c r="K318" s="75"/>
      <c r="L318" s="76"/>
      <c r="M318" s="75"/>
      <c r="N318" s="19"/>
      <c r="O318" s="19"/>
    </row>
    <row r="319" spans="1:15" x14ac:dyDescent="0.25">
      <c r="A319" s="75"/>
      <c r="B319" s="76"/>
      <c r="C319" s="70"/>
      <c r="D319" s="76"/>
      <c r="E319" s="70"/>
      <c r="F319" s="76"/>
      <c r="G319" s="70"/>
      <c r="H319" s="76"/>
      <c r="I319" s="75"/>
      <c r="J319" s="76" t="s">
        <v>304</v>
      </c>
      <c r="K319" s="75"/>
      <c r="L319" s="76"/>
      <c r="M319" s="75"/>
      <c r="N319" s="19"/>
      <c r="O319" s="19"/>
    </row>
    <row r="320" spans="1:15" x14ac:dyDescent="0.25">
      <c r="A320" s="75"/>
      <c r="B320" s="76"/>
      <c r="C320" s="70"/>
      <c r="D320" s="76"/>
      <c r="E320" s="70"/>
      <c r="F320" s="76"/>
      <c r="G320" s="70"/>
      <c r="H320" s="76"/>
      <c r="I320" s="75"/>
      <c r="J320" s="76" t="s">
        <v>300</v>
      </c>
      <c r="K320" s="75"/>
      <c r="L320" s="76"/>
      <c r="M320" s="75"/>
      <c r="N320" s="19"/>
      <c r="O320" s="19"/>
    </row>
    <row r="321" spans="1:15" x14ac:dyDescent="0.25">
      <c r="A321" s="75"/>
      <c r="B321" s="76"/>
      <c r="C321" s="70"/>
      <c r="D321" s="76"/>
      <c r="E321" s="70"/>
      <c r="F321" s="76"/>
      <c r="G321" s="70"/>
      <c r="H321" s="76"/>
      <c r="I321" s="75"/>
      <c r="J321" s="76" t="s">
        <v>303</v>
      </c>
      <c r="K321" s="75"/>
      <c r="L321" s="76"/>
      <c r="M321" s="75"/>
      <c r="N321" s="19"/>
      <c r="O321" s="19"/>
    </row>
    <row r="322" spans="1:15" x14ac:dyDescent="0.25">
      <c r="J322" s="76" t="s">
        <v>302</v>
      </c>
      <c r="N322" s="19"/>
      <c r="O322" s="19"/>
    </row>
    <row r="323" spans="1:15" x14ac:dyDescent="0.25">
      <c r="N323" s="19"/>
      <c r="O323" s="19"/>
    </row>
    <row r="324" spans="1:15" x14ac:dyDescent="0.25">
      <c r="N324" s="19"/>
      <c r="O324" s="19"/>
    </row>
    <row r="325" spans="1:15" x14ac:dyDescent="0.25">
      <c r="N325" s="19"/>
      <c r="O325" s="19"/>
    </row>
    <row r="326" spans="1:15" x14ac:dyDescent="0.25">
      <c r="N326" s="19"/>
      <c r="O326" s="19"/>
    </row>
    <row r="327" spans="1:15" x14ac:dyDescent="0.25">
      <c r="N327" s="19"/>
      <c r="O327" s="19"/>
    </row>
    <row r="328" spans="1:15" x14ac:dyDescent="0.25">
      <c r="N328" s="19"/>
      <c r="O328" s="19"/>
    </row>
    <row r="329" spans="1:15" x14ac:dyDescent="0.25">
      <c r="N329" s="19"/>
      <c r="O329" s="19"/>
    </row>
    <row r="330" spans="1:15" x14ac:dyDescent="0.25">
      <c r="N330" s="19"/>
      <c r="O330" s="19"/>
    </row>
    <row r="331" spans="1:15" x14ac:dyDescent="0.25">
      <c r="N331" s="19"/>
      <c r="O331" s="19"/>
    </row>
    <row r="332" spans="1:15" x14ac:dyDescent="0.25">
      <c r="N332" s="19"/>
      <c r="O332" s="19"/>
    </row>
    <row r="333" spans="1:15" x14ac:dyDescent="0.25">
      <c r="N333" s="19"/>
      <c r="O333" s="19"/>
    </row>
    <row r="334" spans="1:15" x14ac:dyDescent="0.25">
      <c r="N334" s="19"/>
      <c r="O334" s="19"/>
    </row>
    <row r="335" spans="1:15" x14ac:dyDescent="0.25">
      <c r="N335" s="19"/>
      <c r="O335" s="19"/>
    </row>
    <row r="336" spans="1:15" x14ac:dyDescent="0.25">
      <c r="N336" s="19"/>
      <c r="O336" s="19"/>
    </row>
    <row r="337" spans="14:15" x14ac:dyDescent="0.25">
      <c r="N337" s="19"/>
      <c r="O337" s="19"/>
    </row>
    <row r="338" spans="14:15" x14ac:dyDescent="0.25">
      <c r="N338" s="19"/>
      <c r="O338" s="19"/>
    </row>
    <row r="339" spans="14:15" x14ac:dyDescent="0.25">
      <c r="N339" s="19"/>
      <c r="O339" s="19"/>
    </row>
    <row r="340" spans="14:15" x14ac:dyDescent="0.25">
      <c r="N340" s="19"/>
      <c r="O340" s="19"/>
    </row>
    <row r="341" spans="14:15" x14ac:dyDescent="0.25">
      <c r="N341" s="19"/>
      <c r="O341" s="19"/>
    </row>
    <row r="342" spans="14:15" x14ac:dyDescent="0.25">
      <c r="N342" s="19"/>
      <c r="O342" s="19"/>
    </row>
    <row r="343" spans="14:15" x14ac:dyDescent="0.25">
      <c r="N343" s="19"/>
      <c r="O343" s="19"/>
    </row>
    <row r="344" spans="14:15" x14ac:dyDescent="0.25">
      <c r="N344" s="19"/>
      <c r="O344" s="19"/>
    </row>
    <row r="345" spans="14:15" x14ac:dyDescent="0.25">
      <c r="N345" s="19"/>
      <c r="O345" s="19"/>
    </row>
    <row r="346" spans="14:15" x14ac:dyDescent="0.25">
      <c r="N346" s="19"/>
      <c r="O346" s="19"/>
    </row>
    <row r="347" spans="14:15" x14ac:dyDescent="0.25">
      <c r="N347" s="19"/>
      <c r="O347" s="19"/>
    </row>
    <row r="348" spans="14:15" x14ac:dyDescent="0.25">
      <c r="N348" s="19"/>
      <c r="O348" s="19"/>
    </row>
    <row r="349" spans="14:15" x14ac:dyDescent="0.25">
      <c r="N349" s="19"/>
      <c r="O349" s="19"/>
    </row>
    <row r="350" spans="14:15" x14ac:dyDescent="0.25">
      <c r="N350" s="19"/>
      <c r="O350" s="19"/>
    </row>
  </sheetData>
  <sheetProtection password="CA97" sheet="1" objects="1" scenarios="1"/>
  <sortState ref="L5:L198">
    <sortCondition ref="L5"/>
  </sortState>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C00000"/>
  </sheetPr>
  <dimension ref="A1:Q38"/>
  <sheetViews>
    <sheetView workbookViewId="0">
      <selection activeCell="A22" sqref="A22"/>
    </sheetView>
  </sheetViews>
  <sheetFormatPr defaultRowHeight="15" x14ac:dyDescent="0.25"/>
  <sheetData>
    <row r="1" spans="1:17" x14ac:dyDescent="0.25">
      <c r="A1" s="27" t="s">
        <v>38</v>
      </c>
      <c r="B1" s="26"/>
      <c r="C1" s="26"/>
      <c r="D1" s="26"/>
      <c r="E1" s="26"/>
      <c r="F1" s="26"/>
      <c r="G1" s="26"/>
      <c r="H1" s="1"/>
      <c r="J1" s="28" t="s">
        <v>145</v>
      </c>
      <c r="K1" s="26"/>
      <c r="L1" s="26"/>
      <c r="M1" s="26"/>
      <c r="N1" s="74"/>
      <c r="O1" s="74"/>
      <c r="P1" s="74"/>
      <c r="Q1" s="19"/>
    </row>
    <row r="2" spans="1:17" x14ac:dyDescent="0.25">
      <c r="A2" s="26"/>
      <c r="B2" s="26"/>
      <c r="C2" s="26"/>
      <c r="D2" s="26"/>
      <c r="E2" s="26"/>
      <c r="F2" s="26"/>
      <c r="G2" s="26"/>
      <c r="H2" s="1"/>
      <c r="J2" s="1"/>
      <c r="K2" s="25"/>
      <c r="L2" s="25"/>
      <c r="M2" s="25"/>
      <c r="N2" s="74"/>
      <c r="O2" s="74"/>
      <c r="P2" s="74"/>
      <c r="Q2" s="19"/>
    </row>
    <row r="3" spans="1:17" x14ac:dyDescent="0.25">
      <c r="A3" s="4"/>
      <c r="B3" s="4"/>
      <c r="C3" s="4"/>
      <c r="D3" s="4"/>
      <c r="E3" s="4"/>
      <c r="F3" s="4"/>
      <c r="G3" s="4"/>
      <c r="H3" s="1"/>
      <c r="J3" s="1"/>
      <c r="K3" s="1"/>
      <c r="L3" s="1"/>
      <c r="M3" s="1"/>
      <c r="N3" s="74"/>
      <c r="O3" s="74"/>
      <c r="P3" s="74"/>
      <c r="Q3" s="19"/>
    </row>
    <row r="4" spans="1:17" x14ac:dyDescent="0.25">
      <c r="A4" s="4" t="s">
        <v>44</v>
      </c>
      <c r="B4" s="4" t="s">
        <v>344</v>
      </c>
      <c r="C4" s="4"/>
      <c r="D4" s="4"/>
      <c r="E4" s="4"/>
      <c r="F4" s="4"/>
      <c r="G4" s="4"/>
      <c r="H4" s="1"/>
      <c r="J4" s="5" t="s">
        <v>7</v>
      </c>
      <c r="K4" s="5" t="s">
        <v>156</v>
      </c>
      <c r="L4" s="5" t="s">
        <v>157</v>
      </c>
      <c r="M4" s="6"/>
      <c r="N4" s="74"/>
      <c r="O4" s="74"/>
      <c r="P4" s="74"/>
      <c r="Q4" s="19"/>
    </row>
    <row r="5" spans="1:17" x14ac:dyDescent="0.25">
      <c r="A5" s="4" t="s">
        <v>52</v>
      </c>
      <c r="B5" s="4" t="s">
        <v>345</v>
      </c>
      <c r="C5" s="4"/>
      <c r="D5" s="4"/>
      <c r="E5" s="4"/>
      <c r="F5" s="4"/>
      <c r="G5" s="4"/>
      <c r="H5" s="1"/>
      <c r="J5" s="7"/>
      <c r="K5" s="7"/>
      <c r="L5" s="6"/>
      <c r="M5" s="6"/>
      <c r="N5" s="74"/>
      <c r="O5" s="74"/>
      <c r="P5" s="74"/>
      <c r="Q5" s="19"/>
    </row>
    <row r="6" spans="1:17" x14ac:dyDescent="0.25">
      <c r="A6" s="4" t="s">
        <v>26</v>
      </c>
      <c r="B6" s="4" t="s">
        <v>341</v>
      </c>
      <c r="C6" s="4"/>
      <c r="D6" s="4"/>
      <c r="E6" s="4"/>
      <c r="F6" s="4"/>
      <c r="G6" s="4"/>
      <c r="H6" s="1"/>
      <c r="J6" s="6" t="s">
        <v>167</v>
      </c>
      <c r="K6" s="6">
        <v>1</v>
      </c>
      <c r="L6" s="6" t="s">
        <v>168</v>
      </c>
      <c r="M6" s="6"/>
      <c r="N6" s="74"/>
      <c r="O6" s="74"/>
      <c r="P6" s="74"/>
      <c r="Q6" s="19"/>
    </row>
    <row r="7" spans="1:17" x14ac:dyDescent="0.25">
      <c r="A7" s="4" t="s">
        <v>27</v>
      </c>
      <c r="B7" s="4" t="s">
        <v>293</v>
      </c>
      <c r="C7" s="4"/>
      <c r="D7" s="4"/>
      <c r="E7" s="4"/>
      <c r="F7" s="4"/>
      <c r="G7" s="4"/>
      <c r="H7" s="1"/>
      <c r="J7" s="6" t="s">
        <v>173</v>
      </c>
      <c r="K7" s="6">
        <v>2</v>
      </c>
      <c r="L7" s="6" t="s">
        <v>174</v>
      </c>
      <c r="M7" s="6"/>
      <c r="N7" s="74"/>
      <c r="O7" s="74"/>
      <c r="P7" s="74"/>
      <c r="Q7" s="19"/>
    </row>
    <row r="8" spans="1:17" x14ac:dyDescent="0.25">
      <c r="A8" s="4" t="s">
        <v>28</v>
      </c>
      <c r="B8" s="4" t="s">
        <v>342</v>
      </c>
      <c r="C8" s="4"/>
      <c r="D8" s="4"/>
      <c r="E8" s="4"/>
      <c r="F8" s="4"/>
      <c r="G8" s="4"/>
      <c r="H8" s="1"/>
      <c r="J8" s="6" t="s">
        <v>179</v>
      </c>
      <c r="K8" s="6">
        <v>3</v>
      </c>
      <c r="L8" s="6" t="s">
        <v>24</v>
      </c>
      <c r="M8" s="6"/>
      <c r="N8" s="74"/>
      <c r="O8" s="74"/>
      <c r="P8" s="74"/>
      <c r="Q8" s="19"/>
    </row>
    <row r="9" spans="1:17" x14ac:dyDescent="0.25">
      <c r="A9" s="4" t="s">
        <v>29</v>
      </c>
      <c r="B9" s="4" t="s">
        <v>346</v>
      </c>
      <c r="C9" s="4"/>
      <c r="D9" s="4"/>
      <c r="E9" s="4"/>
      <c r="F9" s="4"/>
      <c r="G9" s="4"/>
      <c r="H9" s="1"/>
      <c r="J9" s="6" t="s">
        <v>183</v>
      </c>
      <c r="K9" s="6">
        <v>4</v>
      </c>
      <c r="L9" s="6"/>
      <c r="M9" s="6"/>
      <c r="N9" s="74"/>
      <c r="O9" s="74"/>
      <c r="P9" s="74"/>
      <c r="Q9" s="19"/>
    </row>
    <row r="10" spans="1:17" x14ac:dyDescent="0.25">
      <c r="A10" s="4" t="s">
        <v>30</v>
      </c>
      <c r="B10" s="4" t="s">
        <v>347</v>
      </c>
      <c r="C10" s="4"/>
      <c r="D10" s="4"/>
      <c r="E10" s="4"/>
      <c r="F10" s="4"/>
      <c r="G10" s="4"/>
      <c r="H10" s="1"/>
      <c r="J10" s="6" t="s">
        <v>187</v>
      </c>
      <c r="K10" s="6"/>
      <c r="L10" s="6"/>
      <c r="M10" s="6"/>
      <c r="N10" s="74"/>
      <c r="O10" s="74"/>
      <c r="P10" s="74"/>
      <c r="Q10" s="19"/>
    </row>
    <row r="11" spans="1:17" x14ac:dyDescent="0.25">
      <c r="A11" s="4" t="s">
        <v>31</v>
      </c>
      <c r="B11" s="4" t="s">
        <v>90</v>
      </c>
      <c r="C11" s="4"/>
      <c r="D11" s="4"/>
      <c r="E11" s="4"/>
      <c r="F11" s="4"/>
      <c r="G11" s="4"/>
      <c r="H11" s="1"/>
      <c r="J11" s="6" t="s">
        <v>23</v>
      </c>
      <c r="K11" s="6"/>
      <c r="L11" s="6"/>
      <c r="M11" s="6"/>
      <c r="N11" s="74"/>
      <c r="O11" s="74"/>
      <c r="P11" s="74"/>
      <c r="Q11" s="19"/>
    </row>
    <row r="12" spans="1:17" x14ac:dyDescent="0.25">
      <c r="A12" s="4" t="s">
        <v>32</v>
      </c>
      <c r="B12" s="4" t="s">
        <v>95</v>
      </c>
      <c r="C12" s="4"/>
      <c r="D12" s="4"/>
      <c r="E12" s="4"/>
      <c r="F12" s="4"/>
      <c r="G12" s="4"/>
      <c r="H12" s="1"/>
      <c r="J12" s="6" t="s">
        <v>24</v>
      </c>
      <c r="K12" s="6"/>
      <c r="L12" s="6"/>
      <c r="M12" s="6"/>
      <c r="N12" s="74"/>
      <c r="O12" s="74"/>
      <c r="P12" s="74"/>
      <c r="Q12" s="19"/>
    </row>
    <row r="13" spans="1:17" x14ac:dyDescent="0.25">
      <c r="A13" s="4" t="s">
        <v>33</v>
      </c>
      <c r="B13" s="4" t="s">
        <v>102</v>
      </c>
      <c r="C13" s="4"/>
      <c r="D13" s="4"/>
      <c r="E13" s="4"/>
      <c r="F13" s="4"/>
      <c r="G13" s="4"/>
      <c r="H13" s="1"/>
      <c r="J13" s="6"/>
      <c r="K13" s="6"/>
      <c r="L13" s="6"/>
      <c r="M13" s="6"/>
      <c r="N13" s="74"/>
      <c r="O13" s="74"/>
      <c r="P13" s="74"/>
      <c r="Q13" s="19"/>
    </row>
    <row r="14" spans="1:17" x14ac:dyDescent="0.25">
      <c r="A14" s="4" t="s">
        <v>34</v>
      </c>
      <c r="B14" s="4" t="s">
        <v>343</v>
      </c>
      <c r="C14" s="4"/>
      <c r="D14" s="4"/>
      <c r="E14" s="4"/>
      <c r="F14" s="4"/>
      <c r="G14" s="4"/>
      <c r="H14" s="1"/>
      <c r="J14" s="6"/>
      <c r="K14" s="6"/>
      <c r="L14" s="6"/>
      <c r="M14" s="6"/>
      <c r="N14" s="74"/>
      <c r="O14" s="74"/>
      <c r="P14" s="74"/>
      <c r="Q14" s="19"/>
    </row>
    <row r="15" spans="1:17" x14ac:dyDescent="0.25">
      <c r="A15" s="4" t="s">
        <v>35</v>
      </c>
      <c r="B15" s="4" t="s">
        <v>391</v>
      </c>
      <c r="C15" s="4"/>
      <c r="D15" s="4"/>
      <c r="E15" s="4"/>
      <c r="F15" s="4"/>
      <c r="G15" s="4"/>
      <c r="H15" s="1"/>
      <c r="J15" s="6"/>
      <c r="K15" s="6"/>
      <c r="L15" s="6"/>
      <c r="M15" s="6"/>
      <c r="N15" s="74"/>
      <c r="O15" s="74"/>
      <c r="P15" s="74"/>
      <c r="Q15" s="19"/>
    </row>
    <row r="16" spans="1:17" x14ac:dyDescent="0.25">
      <c r="A16" s="4" t="s">
        <v>36</v>
      </c>
      <c r="B16" s="4" t="s">
        <v>124</v>
      </c>
      <c r="C16" s="4"/>
      <c r="D16" s="4"/>
      <c r="E16" s="4"/>
      <c r="F16" s="4"/>
      <c r="G16" s="4"/>
      <c r="H16" s="1"/>
      <c r="J16" s="6" t="s">
        <v>203</v>
      </c>
      <c r="K16" s="6"/>
      <c r="L16" s="6"/>
      <c r="M16" s="6"/>
      <c r="N16" s="74"/>
      <c r="O16" s="74"/>
      <c r="P16" s="74"/>
      <c r="Q16" s="19"/>
    </row>
    <row r="17" spans="1:17" x14ac:dyDescent="0.25">
      <c r="A17" s="4" t="s">
        <v>37</v>
      </c>
      <c r="B17" s="4" t="s">
        <v>305</v>
      </c>
      <c r="C17" s="4"/>
      <c r="D17" s="4"/>
      <c r="E17" s="4"/>
      <c r="F17" s="4"/>
      <c r="G17" s="4"/>
      <c r="H17" s="1"/>
      <c r="J17" s="6" t="s">
        <v>207</v>
      </c>
      <c r="K17" s="6"/>
      <c r="L17" s="6"/>
      <c r="M17" s="6"/>
      <c r="N17" s="74"/>
      <c r="O17" s="74"/>
      <c r="P17" s="74"/>
      <c r="Q17" s="19"/>
    </row>
    <row r="18" spans="1:17" x14ac:dyDescent="0.25">
      <c r="A18" s="1"/>
      <c r="B18" s="1"/>
      <c r="C18" s="1"/>
      <c r="D18" s="1"/>
      <c r="E18" s="1"/>
      <c r="F18" s="1"/>
      <c r="G18" s="1"/>
      <c r="H18" s="1"/>
      <c r="J18" s="6"/>
      <c r="K18" s="6"/>
      <c r="L18" s="6"/>
      <c r="M18" s="6"/>
      <c r="N18" s="74"/>
      <c r="O18" s="74"/>
      <c r="P18" s="74"/>
      <c r="Q18" s="19"/>
    </row>
    <row r="19" spans="1:17" x14ac:dyDescent="0.25">
      <c r="A19" s="1"/>
      <c r="B19" s="1"/>
      <c r="C19" s="1"/>
      <c r="D19" s="1"/>
      <c r="E19" s="1"/>
      <c r="F19" s="1"/>
      <c r="G19" s="1"/>
      <c r="H19" s="1"/>
      <c r="J19" s="6"/>
      <c r="K19" s="6"/>
      <c r="L19" s="6"/>
      <c r="M19" s="6"/>
      <c r="N19" s="74"/>
      <c r="O19" s="74"/>
      <c r="P19" s="74"/>
      <c r="Q19" s="19"/>
    </row>
    <row r="20" spans="1:17" x14ac:dyDescent="0.25">
      <c r="A20" s="3" t="s">
        <v>132</v>
      </c>
      <c r="B20" s="3"/>
      <c r="C20" s="3"/>
      <c r="D20" s="3"/>
      <c r="E20" s="3"/>
      <c r="F20" s="3"/>
      <c r="G20" s="3"/>
      <c r="H20" s="34"/>
      <c r="J20" s="3" t="s">
        <v>132</v>
      </c>
      <c r="K20" s="3"/>
      <c r="L20" s="3"/>
      <c r="M20" s="3"/>
      <c r="N20" s="73"/>
      <c r="O20" s="73"/>
      <c r="P20" s="73"/>
      <c r="Q20" s="19"/>
    </row>
    <row r="21" spans="1:17" x14ac:dyDescent="0.25">
      <c r="A21" s="19"/>
      <c r="B21" s="19"/>
      <c r="C21" s="19"/>
      <c r="D21" s="19"/>
      <c r="E21" s="19"/>
      <c r="F21" s="19"/>
      <c r="G21" s="19"/>
      <c r="H21" s="19"/>
      <c r="J21" s="28" t="s">
        <v>145</v>
      </c>
      <c r="K21" s="26"/>
      <c r="L21" s="26"/>
      <c r="M21" s="26"/>
      <c r="N21" s="74"/>
      <c r="O21" s="74"/>
      <c r="P21" s="74"/>
      <c r="Q21" s="19"/>
    </row>
    <row r="22" spans="1:17" x14ac:dyDescent="0.25">
      <c r="A22" s="71"/>
      <c r="B22" s="72"/>
      <c r="C22" s="72"/>
      <c r="D22" s="19"/>
      <c r="E22" s="71"/>
      <c r="F22" s="72"/>
      <c r="G22" s="72"/>
      <c r="H22" s="19"/>
      <c r="J22" s="1"/>
      <c r="K22" s="25"/>
      <c r="L22" s="25"/>
      <c r="M22" s="25"/>
      <c r="N22" s="74"/>
      <c r="O22" s="74"/>
      <c r="P22" s="74"/>
      <c r="Q22" s="19"/>
    </row>
    <row r="23" spans="1:17" x14ac:dyDescent="0.25">
      <c r="A23" s="72"/>
      <c r="B23" s="72"/>
      <c r="C23" s="72"/>
      <c r="D23" s="19"/>
      <c r="E23" s="72"/>
      <c r="F23" s="72"/>
      <c r="G23" s="72"/>
      <c r="H23" s="19"/>
      <c r="J23" s="1"/>
      <c r="K23" s="1"/>
      <c r="L23" s="1"/>
      <c r="M23" s="1"/>
      <c r="N23" s="74"/>
      <c r="O23" s="74"/>
      <c r="P23" s="74"/>
      <c r="Q23" s="19"/>
    </row>
    <row r="24" spans="1:17" x14ac:dyDescent="0.25">
      <c r="A24" s="72"/>
      <c r="B24" s="72"/>
      <c r="C24" s="72"/>
      <c r="D24" s="19"/>
      <c r="E24" s="72"/>
      <c r="F24" s="72"/>
      <c r="G24" s="72"/>
      <c r="H24" s="19"/>
      <c r="J24" s="5" t="s">
        <v>7</v>
      </c>
      <c r="K24" s="5" t="s">
        <v>156</v>
      </c>
      <c r="L24" s="6"/>
      <c r="M24" s="6"/>
      <c r="N24" s="74"/>
      <c r="O24" s="74"/>
      <c r="P24" s="74"/>
      <c r="Q24" s="19"/>
    </row>
    <row r="25" spans="1:17" x14ac:dyDescent="0.25">
      <c r="A25" s="72"/>
      <c r="B25" s="72"/>
      <c r="C25" s="72"/>
      <c r="D25" s="19"/>
      <c r="E25" s="72"/>
      <c r="F25" s="72"/>
      <c r="G25" s="72"/>
      <c r="H25" s="19"/>
      <c r="J25" s="7"/>
      <c r="K25" s="7"/>
      <c r="L25" s="6"/>
      <c r="M25" s="6"/>
      <c r="N25" s="74"/>
      <c r="O25" s="74"/>
      <c r="P25" s="74"/>
      <c r="Q25" s="19"/>
    </row>
    <row r="26" spans="1:17" x14ac:dyDescent="0.25">
      <c r="A26" s="72"/>
      <c r="B26" s="72"/>
      <c r="C26" s="72"/>
      <c r="D26" s="19"/>
      <c r="E26" s="72"/>
      <c r="F26" s="72"/>
      <c r="G26" s="72"/>
      <c r="H26" s="19"/>
      <c r="J26" s="6" t="s">
        <v>167</v>
      </c>
      <c r="K26" s="6">
        <v>1</v>
      </c>
      <c r="L26" s="6"/>
      <c r="M26" s="6"/>
      <c r="N26" s="74"/>
      <c r="O26" s="74"/>
      <c r="P26" s="74"/>
      <c r="Q26" s="19"/>
    </row>
    <row r="27" spans="1:17" x14ac:dyDescent="0.25">
      <c r="A27" s="72"/>
      <c r="B27" s="72"/>
      <c r="C27" s="72"/>
      <c r="D27" s="19"/>
      <c r="E27" s="72"/>
      <c r="F27" s="72"/>
      <c r="G27" s="72"/>
      <c r="H27" s="19"/>
      <c r="J27" s="6" t="s">
        <v>173</v>
      </c>
      <c r="K27" s="6">
        <v>2</v>
      </c>
      <c r="L27" s="6"/>
      <c r="M27" s="6"/>
      <c r="N27" s="74"/>
      <c r="O27" s="74"/>
      <c r="P27" s="74"/>
      <c r="Q27" s="19"/>
    </row>
    <row r="28" spans="1:17" x14ac:dyDescent="0.25">
      <c r="A28" s="72"/>
      <c r="B28" s="72"/>
      <c r="C28" s="72"/>
      <c r="D28" s="19"/>
      <c r="E28" s="72"/>
      <c r="F28" s="72"/>
      <c r="G28" s="72"/>
      <c r="H28" s="19"/>
      <c r="J28" s="6" t="s">
        <v>179</v>
      </c>
      <c r="K28" s="6">
        <v>3</v>
      </c>
      <c r="L28" s="6"/>
      <c r="M28" s="6"/>
      <c r="N28" s="74"/>
      <c r="O28" s="74"/>
      <c r="P28" s="74"/>
      <c r="Q28" s="19"/>
    </row>
    <row r="29" spans="1:17" x14ac:dyDescent="0.25">
      <c r="A29" s="72"/>
      <c r="B29" s="72"/>
      <c r="C29" s="72"/>
      <c r="D29" s="19"/>
      <c r="E29" s="72"/>
      <c r="F29" s="72"/>
      <c r="G29" s="72"/>
      <c r="H29" s="19"/>
      <c r="J29" s="6" t="s">
        <v>183</v>
      </c>
      <c r="K29" s="6">
        <v>4</v>
      </c>
      <c r="L29" s="6"/>
      <c r="M29" s="6"/>
      <c r="N29" s="74"/>
      <c r="O29" s="74"/>
      <c r="P29" s="74"/>
      <c r="Q29" s="19"/>
    </row>
    <row r="30" spans="1:17" x14ac:dyDescent="0.25">
      <c r="A30" s="72"/>
      <c r="B30" s="72"/>
      <c r="C30" s="72"/>
      <c r="D30" s="19"/>
      <c r="E30" s="72"/>
      <c r="F30" s="72"/>
      <c r="G30" s="72"/>
      <c r="H30" s="19"/>
      <c r="J30" s="6" t="s">
        <v>396</v>
      </c>
      <c r="K30" s="6"/>
      <c r="L30" s="6"/>
      <c r="M30" s="6"/>
      <c r="N30" s="74"/>
      <c r="O30" s="74"/>
      <c r="P30" s="74"/>
      <c r="Q30" s="19"/>
    </row>
    <row r="31" spans="1:17" x14ac:dyDescent="0.25">
      <c r="A31" s="72"/>
      <c r="B31" s="72"/>
      <c r="C31" s="72"/>
      <c r="D31" s="19"/>
      <c r="E31" s="72"/>
      <c r="F31" s="72"/>
      <c r="G31" s="72"/>
      <c r="H31" s="19"/>
      <c r="J31" s="6"/>
      <c r="K31" s="6"/>
      <c r="L31" s="6"/>
      <c r="M31" s="6"/>
      <c r="N31" s="74"/>
      <c r="O31" s="74"/>
      <c r="P31" s="74"/>
      <c r="Q31" s="19"/>
    </row>
    <row r="32" spans="1:17" x14ac:dyDescent="0.25">
      <c r="A32" s="72"/>
      <c r="B32" s="72"/>
      <c r="C32" s="72"/>
      <c r="D32" s="19"/>
      <c r="E32" s="72"/>
      <c r="F32" s="72"/>
      <c r="G32" s="72"/>
      <c r="H32" s="19"/>
      <c r="J32" s="6"/>
      <c r="K32" s="6"/>
      <c r="L32" s="6"/>
      <c r="M32" s="6"/>
      <c r="N32" s="74"/>
      <c r="O32" s="74"/>
      <c r="P32" s="74"/>
      <c r="Q32" s="19"/>
    </row>
    <row r="33" spans="1:17" x14ac:dyDescent="0.25">
      <c r="A33" s="72"/>
      <c r="B33" s="72"/>
      <c r="C33" s="72"/>
      <c r="D33" s="19"/>
      <c r="E33" s="72"/>
      <c r="F33" s="72"/>
      <c r="G33" s="72"/>
      <c r="H33" s="19"/>
      <c r="J33" s="3" t="s">
        <v>132</v>
      </c>
      <c r="K33" s="3"/>
      <c r="L33" s="3"/>
      <c r="M33" s="3"/>
      <c r="N33" s="73"/>
      <c r="O33" s="73"/>
      <c r="P33" s="73"/>
      <c r="Q33" s="19"/>
    </row>
    <row r="34" spans="1:17" x14ac:dyDescent="0.25">
      <c r="A34" s="72"/>
      <c r="B34" s="72"/>
      <c r="C34" s="72"/>
      <c r="D34" s="19"/>
      <c r="E34" s="72"/>
      <c r="F34" s="72"/>
      <c r="G34" s="72"/>
      <c r="H34" s="19"/>
    </row>
    <row r="35" spans="1:17" x14ac:dyDescent="0.25">
      <c r="A35" s="72"/>
      <c r="B35" s="72"/>
      <c r="C35" s="72"/>
      <c r="D35" s="19"/>
      <c r="E35" s="72"/>
      <c r="F35" s="72"/>
      <c r="G35" s="72"/>
      <c r="H35" s="19"/>
    </row>
    <row r="36" spans="1:17" x14ac:dyDescent="0.25">
      <c r="A36" s="72"/>
      <c r="B36" s="72"/>
      <c r="C36" s="72"/>
      <c r="D36" s="19"/>
      <c r="E36" s="72"/>
      <c r="F36" s="72"/>
      <c r="G36" s="72"/>
      <c r="H36" s="19"/>
    </row>
    <row r="37" spans="1:17" x14ac:dyDescent="0.25">
      <c r="A37" s="72"/>
      <c r="B37" s="72"/>
      <c r="C37" s="72"/>
      <c r="D37" s="19"/>
      <c r="E37" s="72"/>
      <c r="F37" s="72"/>
      <c r="G37" s="72"/>
      <c r="H37" s="19"/>
    </row>
    <row r="38" spans="1:17" x14ac:dyDescent="0.25">
      <c r="A38" s="73"/>
      <c r="B38" s="73"/>
      <c r="C38" s="73"/>
      <c r="D38" s="73"/>
      <c r="E38" s="73"/>
      <c r="F38" s="73"/>
      <c r="G38" s="73"/>
      <c r="H38" s="19"/>
    </row>
  </sheetData>
  <sheetProtection password="CA97"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23</vt:i4>
      </vt:variant>
    </vt:vector>
  </HeadingPairs>
  <TitlesOfParts>
    <vt:vector size="30" baseType="lpstr">
      <vt:lpstr>MENU</vt:lpstr>
      <vt:lpstr>Arts</vt:lpstr>
      <vt:lpstr>Science</vt:lpstr>
      <vt:lpstr>Courses</vt:lpstr>
      <vt:lpstr>Help</vt:lpstr>
      <vt:lpstr>M1</vt:lpstr>
      <vt:lpstr>M2</vt:lpstr>
      <vt:lpstr>AALink</vt:lpstr>
      <vt:lpstr>ASLink</vt:lpstr>
      <vt:lpstr>CATA</vt:lpstr>
      <vt:lpstr>CATB</vt:lpstr>
      <vt:lpstr>CATC</vt:lpstr>
      <vt:lpstr>CATD</vt:lpstr>
      <vt:lpstr>CATE</vt:lpstr>
      <vt:lpstr>CATF</vt:lpstr>
      <vt:lpstr>CATG</vt:lpstr>
      <vt:lpstr>CATH</vt:lpstr>
      <vt:lpstr>CATI</vt:lpstr>
      <vt:lpstr>CATJ</vt:lpstr>
      <vt:lpstr>CATK</vt:lpstr>
      <vt:lpstr>CATL</vt:lpstr>
      <vt:lpstr>CATM</vt:lpstr>
      <vt:lpstr>CREDIT</vt:lpstr>
      <vt:lpstr>GPACredit</vt:lpstr>
      <vt:lpstr>GPAGrade</vt:lpstr>
      <vt:lpstr>GRADE</vt:lpstr>
      <vt:lpstr>MENU</vt:lpstr>
      <vt:lpstr>Arts!Print_Area</vt:lpstr>
      <vt:lpstr>Science!Print_Area</vt:lpstr>
      <vt:lpstr>STATUS</vt:lpstr>
    </vt:vector>
  </TitlesOfParts>
  <Company>Bluegrass Community and Technical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Smith, Nathan S (Bluegrass)</cp:lastModifiedBy>
  <cp:lastPrinted>2013-10-23T15:32:48Z</cp:lastPrinted>
  <dcterms:created xsi:type="dcterms:W3CDTF">2010-10-27T19:47:43Z</dcterms:created>
  <dcterms:modified xsi:type="dcterms:W3CDTF">2013-10-25T18:41:00Z</dcterms:modified>
</cp:coreProperties>
</file>