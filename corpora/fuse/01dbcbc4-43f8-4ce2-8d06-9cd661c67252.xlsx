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35" yWindow="60" windowWidth="11235" windowHeight="11670"/>
  </bookViews>
  <sheets>
    <sheet name="Summary Pivot" sheetId="3" r:id="rId1"/>
    <sheet name="6-30-13 Info" sheetId="1" r:id="rId2"/>
  </sheets>
  <externalReferences>
    <externalReference r:id="rId3"/>
    <externalReference r:id="rId4"/>
  </externalReferences>
  <definedNames>
    <definedName name="\a">#N/A</definedName>
    <definedName name="\b">#N/A</definedName>
    <definedName name="\c">#N/A</definedName>
    <definedName name="\f">#N/A</definedName>
    <definedName name="\g">#N/A</definedName>
    <definedName name="\r">#N/A</definedName>
    <definedName name="\t">#N/A</definedName>
    <definedName name="____PG32" localSheetId="1">#REF!</definedName>
    <definedName name="____PG32">#REF!</definedName>
    <definedName name="____PG33" localSheetId="1">#REF!</definedName>
    <definedName name="____PG33">#REF!</definedName>
    <definedName name="____PG34" localSheetId="1">#REF!</definedName>
    <definedName name="____PG34">#REF!</definedName>
    <definedName name="____PG35" localSheetId="1">#REF!</definedName>
    <definedName name="____PG35">#REF!</definedName>
    <definedName name="____PG36" localSheetId="1">#REF!</definedName>
    <definedName name="____PG36">#REF!</definedName>
    <definedName name="____PG37" localSheetId="1">#REF!</definedName>
    <definedName name="____PG37">#REF!</definedName>
    <definedName name="____PG38" localSheetId="1">#REF!</definedName>
    <definedName name="____PG38">#REF!</definedName>
    <definedName name="__PG32" localSheetId="1">#REF!</definedName>
    <definedName name="__PG32">#REF!</definedName>
    <definedName name="__PG33" localSheetId="1">#REF!</definedName>
    <definedName name="__PG33">#REF!</definedName>
    <definedName name="__PG34" localSheetId="1">#REF!</definedName>
    <definedName name="__PG34">#REF!</definedName>
    <definedName name="__PG35" localSheetId="1">#REF!</definedName>
    <definedName name="__PG35">#REF!</definedName>
    <definedName name="__PG36" localSheetId="1">#REF!</definedName>
    <definedName name="__PG36">#REF!</definedName>
    <definedName name="__PG37" localSheetId="1">#REF!</definedName>
    <definedName name="__PG37">#REF!</definedName>
    <definedName name="__PG38" localSheetId="1">#REF!</definedName>
    <definedName name="__PG38">#REF!</definedName>
    <definedName name="__ZZ1" localSheetId="1">#REF!</definedName>
    <definedName name="__ZZ1">#REF!</definedName>
    <definedName name="__ZZ10" localSheetId="1">#REF!</definedName>
    <definedName name="__ZZ10">#REF!</definedName>
    <definedName name="__ZZ11" localSheetId="1">#REF!</definedName>
    <definedName name="__ZZ11">#REF!</definedName>
    <definedName name="__ZZ12" localSheetId="1">#REF!</definedName>
    <definedName name="__ZZ12">#REF!</definedName>
    <definedName name="__ZZ13" localSheetId="1">#REF!</definedName>
    <definedName name="__ZZ13">#REF!</definedName>
    <definedName name="__ZZ14" localSheetId="1">#REF!</definedName>
    <definedName name="__ZZ14">#REF!</definedName>
    <definedName name="__ZZ15" localSheetId="1">#REF!</definedName>
    <definedName name="__ZZ15">#REF!</definedName>
    <definedName name="__ZZ16" localSheetId="1">#REF!</definedName>
    <definedName name="__ZZ16">#REF!</definedName>
    <definedName name="__ZZ17" localSheetId="1">#REF!</definedName>
    <definedName name="__ZZ17">#REF!</definedName>
    <definedName name="__ZZ18" localSheetId="1">#REF!</definedName>
    <definedName name="__ZZ18">#REF!</definedName>
    <definedName name="__ZZ19" localSheetId="1">#REF!</definedName>
    <definedName name="__ZZ19">#REF!</definedName>
    <definedName name="__ZZ2" localSheetId="1">#REF!</definedName>
    <definedName name="__ZZ2">#REF!</definedName>
    <definedName name="__ZZ3" localSheetId="1">#REF!</definedName>
    <definedName name="__ZZ3">#REF!</definedName>
    <definedName name="__ZZ4" localSheetId="1">#REF!</definedName>
    <definedName name="__ZZ4">#REF!</definedName>
    <definedName name="__ZZ5" localSheetId="1">#REF!</definedName>
    <definedName name="__ZZ5">#REF!</definedName>
    <definedName name="__ZZ6" localSheetId="1">#REF!</definedName>
    <definedName name="__ZZ6">#REF!</definedName>
    <definedName name="__ZZ7" localSheetId="1">#REF!</definedName>
    <definedName name="__ZZ7">#REF!</definedName>
    <definedName name="__ZZ8" localSheetId="1">#REF!</definedName>
    <definedName name="__ZZ8">#REF!</definedName>
    <definedName name="__ZZ9" localSheetId="1">#REF!</definedName>
    <definedName name="__ZZ9">#REF!</definedName>
    <definedName name="_081">#N/A</definedName>
    <definedName name="_083">#N/A</definedName>
    <definedName name="_085">#N/A</definedName>
    <definedName name="_147" localSheetId="1">#REF!</definedName>
    <definedName name="_147">#REF!</definedName>
    <definedName name="_20FOUR">#N/A</definedName>
    <definedName name="_20THREE">#N/A</definedName>
    <definedName name="_2OTHREE">#N/A</definedName>
    <definedName name="_3G20" localSheetId="1">#REF!</definedName>
    <definedName name="_3G20">#REF!</definedName>
    <definedName name="_3R14">'[1]3R14'!$K$4</definedName>
    <definedName name="_Fill" localSheetId="1" hidden="1">#REF!</definedName>
    <definedName name="_Fill" hidden="1">#REF!</definedName>
    <definedName name="_xlnm._FilterDatabase" localSheetId="1" hidden="1">'6-30-13 Info'!$B$1:$P$2</definedName>
    <definedName name="_Order1" hidden="1">255</definedName>
    <definedName name="_Order2" hidden="1">255</definedName>
    <definedName name="_ZZ1" localSheetId="1">#REF!</definedName>
    <definedName name="_ZZ1">#REF!</definedName>
    <definedName name="_ZZ10" localSheetId="1">#REF!</definedName>
    <definedName name="_ZZ10">#REF!</definedName>
    <definedName name="_ZZ11" localSheetId="1">#REF!</definedName>
    <definedName name="_ZZ11">#REF!</definedName>
    <definedName name="_ZZ12" localSheetId="1">#REF!</definedName>
    <definedName name="_ZZ12">#REF!</definedName>
    <definedName name="_ZZ13" localSheetId="1">#REF!</definedName>
    <definedName name="_ZZ13">#REF!</definedName>
    <definedName name="_ZZ14" localSheetId="1">#REF!</definedName>
    <definedName name="_ZZ14">#REF!</definedName>
    <definedName name="_ZZ15" localSheetId="1">#REF!</definedName>
    <definedName name="_ZZ15">#REF!</definedName>
    <definedName name="_ZZ16" localSheetId="1">#REF!</definedName>
    <definedName name="_ZZ16">#REF!</definedName>
    <definedName name="_ZZ17" localSheetId="1">#REF!</definedName>
    <definedName name="_ZZ17">#REF!</definedName>
    <definedName name="_ZZ18" localSheetId="1">#REF!</definedName>
    <definedName name="_ZZ18">#REF!</definedName>
    <definedName name="_ZZ19" localSheetId="1">#REF!</definedName>
    <definedName name="_ZZ19">#REF!</definedName>
    <definedName name="_ZZ2" localSheetId="1">#REF!</definedName>
    <definedName name="_ZZ2">#REF!</definedName>
    <definedName name="_ZZ3" localSheetId="1">#REF!</definedName>
    <definedName name="_ZZ3">#REF!</definedName>
    <definedName name="_ZZ4" localSheetId="1">#REF!</definedName>
    <definedName name="_ZZ4">#REF!</definedName>
    <definedName name="_ZZ5" localSheetId="1">#REF!</definedName>
    <definedName name="_ZZ5">#REF!</definedName>
    <definedName name="_ZZ6" localSheetId="1">#REF!</definedName>
    <definedName name="_ZZ6">#REF!</definedName>
    <definedName name="_ZZ7" localSheetId="1">#REF!</definedName>
    <definedName name="_ZZ7">#REF!</definedName>
    <definedName name="_ZZ8" localSheetId="1">#REF!</definedName>
    <definedName name="_ZZ8">#REF!</definedName>
    <definedName name="_ZZ9" localSheetId="1">#REF!</definedName>
    <definedName name="_ZZ9">#REF!</definedName>
    <definedName name="A">#N/A</definedName>
    <definedName name="AddRes">'[2]Other Resources Data'!$A$1:$G$409</definedName>
    <definedName name="AllocSched">'[2]Alloc Sched Data'!$A$1:$J$599</definedName>
    <definedName name="ALLOT">#N/A</definedName>
    <definedName name="ASASCC">#N/A</definedName>
    <definedName name="ASASFC">#N/A</definedName>
    <definedName name="ATHLETICS">#N/A</definedName>
    <definedName name="BALANCE">#N/A</definedName>
    <definedName name="BDGBK91">#N/A</definedName>
    <definedName name="CLEAR">#N/A</definedName>
    <definedName name="CLRWKS">#N/A</definedName>
    <definedName name="CURLEW">#N/A</definedName>
    <definedName name="_xlnm.Database" localSheetId="1">#REF!</definedName>
    <definedName name="_xlnm.Database">#REF!</definedName>
    <definedName name="District">[2]district!$A$1:$B$33</definedName>
    <definedName name="DP">#N/A</definedName>
    <definedName name="E" localSheetId="1">#REF!</definedName>
    <definedName name="E">#REF!</definedName>
    <definedName name="ELEVEN">#N/A</definedName>
    <definedName name="EXCL522">#N/A</definedName>
    <definedName name="EXCL569">#N/A</definedName>
    <definedName name="EXCL570">#N/A</definedName>
    <definedName name="F">#N/A</definedName>
    <definedName name="FAATHLTS">#N/A</definedName>
    <definedName name="HARRINGTON">#N/A</definedName>
    <definedName name="IRPSCC">#N/A</definedName>
    <definedName name="IRPSFC">#N/A</definedName>
    <definedName name="LINE" localSheetId="1">#REF!</definedName>
    <definedName name="LINE">#REF!</definedName>
    <definedName name="no" hidden="1">{#N/A,#N/A,TRUE,"440CNTLSTR";#N/A,#N/A,TRUE,"443DP";#N/A,#N/A,TRUE,"460MPOOL";#N/A,#N/A,TRUE,"522SCCASA";#N/A,#N/A,TRUE,"522SCCIRP";#N/A,#N/A,TRUE,"522SFCCASA";#N/A,#N/A,TRUE,"522SFCCIRP";#N/A,#N/A,TRUE,"522IELSA";#N/A,#N/A,TRUE,"522SCCBUILD";#N/A,#N/A,TRUE,"522SFCCBUILD";#N/A,#N/A,TRUE,"522ATH";#N/A,#N/A,TRUE,"522ATHFA";#N/A,#N/A,TRUE,"ACCINSURE";#N/A,#N/A,TRUE,"LIABINSURE";#N/A,#N/A,TRUE,"DISTATHL";#N/A,#N/A,TRUE,"DATHCONC";#N/A,#N/A,TRUE,"SCCEQUIP";#N/A,#N/A,TRUE,"SFCCEQUIP";#N/A,#N/A,TRUE,"528PARK";#N/A,#N/A,TRUE,"570AUTO";#N/A,#N/A,TRUE,"570SCCBOWL";#N/A,#N/A,TRUE,"570SFCCBOWL";#N/A,#N/A,TRUE,"569SCCFOOD";#N/A,#N/A,TRUE,"569SFCCFOOD";#N/A,#N/A,TRUE,"570SCCVEND";#N/A,#N/A,TRUE,"570SFCCVEND";#N/A,#N/A,TRUE,"570IELVEND";#N/A,#N/A,TRUE,"846SCCSCHOL";#N/A,#N/A,TRUE,"846SFCCSCHOL";#N/A,#N/A,TRUE,"849SCCLOAN";#N/A,#N/A,TRUE,"859 843 ENDOW";#N/A,#N/A,TRUE,"849SFCCLOAN";#N/A,#N/A,TRUE,"860SCCLTLOAN";#N/A,#N/A,TRUE,"860SFCCLTLOAN"}</definedName>
    <definedName name="NW_CHRISTIAN" localSheetId="1">#REF!</definedName>
    <definedName name="NW_CHRISTIAN">#REF!</definedName>
    <definedName name="PAGE" localSheetId="1">#REF!</definedName>
    <definedName name="PAGE">#REF!</definedName>
    <definedName name="PAGE6" localSheetId="1">#REF!</definedName>
    <definedName name="PAGE6">#REF!</definedName>
    <definedName name="_xlnm.Print_Area" localSheetId="1">#REF!</definedName>
    <definedName name="_xlnm.Print_Area">#REF!</definedName>
    <definedName name="_xlnm.Print_Titles" localSheetId="1">#REF!</definedName>
    <definedName name="_xlnm.Print_Titles" localSheetId="0">'Summary Pivot'!$1:$5</definedName>
    <definedName name="_xlnm.Print_Titles">#REF!</definedName>
    <definedName name="SPOKANEVALLEY">#N/A</definedName>
    <definedName name="Student">'[2]Student Data'!$A$1:$E$33</definedName>
    <definedName name="T" localSheetId="1">#REF!</definedName>
    <definedName name="T">#REF!</definedName>
    <definedName name="TEN">#N/A</definedName>
    <definedName name="TWSCC">#N/A</definedName>
    <definedName name="TWSFC">#N/A</definedName>
    <definedName name="VERSION1">#N/A</definedName>
    <definedName name="VERSION2">#N/A</definedName>
    <definedName name="VERSION4">#N/A</definedName>
    <definedName name="VERSION5" localSheetId="1">#REF!</definedName>
    <definedName name="VERSION5">#REF!</definedName>
    <definedName name="VERSION6">#N/A</definedName>
  </definedNames>
  <calcPr calcId="145621"/>
  <pivotCaches>
    <pivotCache cacheId="20" r:id="rId5"/>
  </pivotCaches>
</workbook>
</file>

<file path=xl/calcChain.xml><?xml version="1.0" encoding="utf-8"?>
<calcChain xmlns="http://schemas.openxmlformats.org/spreadsheetml/2006/main">
  <c r="K130" i="1" l="1"/>
  <c r="L130" i="1"/>
  <c r="M130" i="1"/>
  <c r="N130" i="1"/>
  <c r="O130" i="1"/>
  <c r="A3" i="1"/>
  <c r="A4" i="1"/>
  <c r="A5" i="1"/>
  <c r="A6" i="1"/>
  <c r="A7" i="1"/>
  <c r="A16" i="1"/>
  <c r="A14" i="1"/>
  <c r="A18" i="1"/>
  <c r="A17" i="1"/>
  <c r="A10" i="1"/>
  <c r="A11" i="1"/>
  <c r="A15" i="1"/>
  <c r="A13" i="1"/>
  <c r="A12" i="1"/>
  <c r="A9" i="1"/>
  <c r="A8" i="1"/>
  <c r="A19" i="1"/>
  <c r="A20" i="1"/>
  <c r="A22" i="1"/>
  <c r="A21" i="1"/>
  <c r="A23" i="1"/>
  <c r="A24" i="1"/>
  <c r="A25" i="1"/>
  <c r="A26" i="1"/>
  <c r="A27" i="1"/>
  <c r="A28" i="1"/>
  <c r="A30" i="1"/>
  <c r="A29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5" i="1"/>
  <c r="A44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80" i="1"/>
  <c r="A79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28" i="1"/>
  <c r="A125" i="1"/>
  <c r="A123" i="1"/>
  <c r="A127" i="1"/>
  <c r="A126" i="1"/>
  <c r="A119" i="1"/>
  <c r="A120" i="1"/>
  <c r="A124" i="1"/>
  <c r="A122" i="1"/>
  <c r="A121" i="1"/>
  <c r="A118" i="1"/>
  <c r="A117" i="1"/>
  <c r="A2" i="1"/>
  <c r="B3" i="1"/>
  <c r="B4" i="1"/>
  <c r="B5" i="1"/>
  <c r="B6" i="1"/>
  <c r="B7" i="1"/>
  <c r="B16" i="1"/>
  <c r="B14" i="1"/>
  <c r="B18" i="1"/>
  <c r="B17" i="1"/>
  <c r="B10" i="1"/>
  <c r="B11" i="1"/>
  <c r="B15" i="1"/>
  <c r="B13" i="1"/>
  <c r="B12" i="1"/>
  <c r="B9" i="1"/>
  <c r="B8" i="1"/>
  <c r="B19" i="1"/>
  <c r="B20" i="1"/>
  <c r="B22" i="1"/>
  <c r="B21" i="1"/>
  <c r="B23" i="1"/>
  <c r="B24" i="1"/>
  <c r="B25" i="1"/>
  <c r="B26" i="1"/>
  <c r="B27" i="1"/>
  <c r="B28" i="1"/>
  <c r="B30" i="1"/>
  <c r="B29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5" i="1"/>
  <c r="B44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80" i="1"/>
  <c r="B79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28" i="1"/>
  <c r="B125" i="1"/>
  <c r="B123" i="1"/>
  <c r="B127" i="1"/>
  <c r="B126" i="1"/>
  <c r="B119" i="1"/>
  <c r="B120" i="1"/>
  <c r="B124" i="1"/>
  <c r="B122" i="1"/>
  <c r="B121" i="1"/>
  <c r="B118" i="1"/>
  <c r="B117" i="1"/>
  <c r="B2" i="1"/>
  <c r="Q26" i="1"/>
  <c r="Q24" i="1"/>
</calcChain>
</file>

<file path=xl/sharedStrings.xml><?xml version="1.0" encoding="utf-8"?>
<sst xmlns="http://schemas.openxmlformats.org/spreadsheetml/2006/main" count="1276" uniqueCount="202">
  <si>
    <t>FY</t>
  </si>
  <si>
    <t>APP</t>
  </si>
  <si>
    <t>PRG</t>
  </si>
  <si>
    <t>ORG</t>
  </si>
  <si>
    <t>SOBJ</t>
  </si>
  <si>
    <t>SS</t>
  </si>
  <si>
    <t>SRC</t>
  </si>
  <si>
    <t>SSRC</t>
  </si>
  <si>
    <t>FY BDGT</t>
  </si>
  <si>
    <t>FTD AMT</t>
  </si>
  <si>
    <t>COMMIT</t>
  </si>
  <si>
    <t>CURR AMT</t>
  </si>
  <si>
    <t xml:space="preserve">TITLE </t>
  </si>
  <si>
    <t>1213</t>
  </si>
  <si>
    <t>522</t>
  </si>
  <si>
    <t>264</t>
  </si>
  <si>
    <t>4218</t>
  </si>
  <si>
    <t>E</t>
  </si>
  <si>
    <t xml:space="preserve"> </t>
  </si>
  <si>
    <t>ASA-TECHNOLOGY</t>
  </si>
  <si>
    <t>4221</t>
  </si>
  <si>
    <t>STUDENT SUPPORT CTRS</t>
  </si>
  <si>
    <t>EA</t>
  </si>
  <si>
    <t>00</t>
  </si>
  <si>
    <t>JC</t>
  </si>
  <si>
    <t>KA</t>
  </si>
  <si>
    <t>4223</t>
  </si>
  <si>
    <t>MAGNUSN STDNT LOUNGE</t>
  </si>
  <si>
    <t>ED</t>
  </si>
  <si>
    <t>4225</t>
  </si>
  <si>
    <t>STUDENT BUILDING FND</t>
  </si>
  <si>
    <t>4383</t>
  </si>
  <si>
    <t>0424</t>
  </si>
  <si>
    <t>#A</t>
  </si>
  <si>
    <t>S&amp;A FINANCIAL AID</t>
  </si>
  <si>
    <t>#B</t>
  </si>
  <si>
    <t>+1</t>
  </si>
  <si>
    <t>+2</t>
  </si>
  <si>
    <t>+A</t>
  </si>
  <si>
    <t>+G</t>
  </si>
  <si>
    <t>+H</t>
  </si>
  <si>
    <t>+M</t>
  </si>
  <si>
    <t>TN</t>
  </si>
  <si>
    <t>TR</t>
  </si>
  <si>
    <t>0782</t>
  </si>
  <si>
    <t>0999</t>
  </si>
  <si>
    <t>4405</t>
  </si>
  <si>
    <t>IEL BUS PASS MATCH</t>
  </si>
  <si>
    <t>EZ</t>
  </si>
  <si>
    <t>60</t>
  </si>
  <si>
    <t>4406</t>
  </si>
  <si>
    <t>0499</t>
  </si>
  <si>
    <t>BUS TICKET CLEARING</t>
  </si>
  <si>
    <t>OX</t>
  </si>
  <si>
    <t>4409</t>
  </si>
  <si>
    <t>AE</t>
  </si>
  <si>
    <t>CA</t>
  </si>
  <si>
    <t>ASA CLUB ADVISORS</t>
  </si>
  <si>
    <t>B</t>
  </si>
  <si>
    <t>BA</t>
  </si>
  <si>
    <t>BB</t>
  </si>
  <si>
    <t>BF</t>
  </si>
  <si>
    <t>EN</t>
  </si>
  <si>
    <t>06</t>
  </si>
  <si>
    <t>4410</t>
  </si>
  <si>
    <t>ASA GENERAL FUND</t>
  </si>
  <si>
    <t>4412</t>
  </si>
  <si>
    <t>CONTINGENCY</t>
  </si>
  <si>
    <t>4414</t>
  </si>
  <si>
    <t>INCHELIUM STDNT GOV</t>
  </si>
  <si>
    <t>30</t>
  </si>
  <si>
    <t>NB</t>
  </si>
  <si>
    <t>4415</t>
  </si>
  <si>
    <t>AEC STUDENT GOVT</t>
  </si>
  <si>
    <t>GD</t>
  </si>
  <si>
    <t>4416</t>
  </si>
  <si>
    <t>HILLYARD STUDENT GOV</t>
  </si>
  <si>
    <t>4417</t>
  </si>
  <si>
    <t>9R</t>
  </si>
  <si>
    <t>REPUBLIC STUDENT GOV</t>
  </si>
  <si>
    <t>EB</t>
  </si>
  <si>
    <t>EH</t>
  </si>
  <si>
    <t>JA</t>
  </si>
  <si>
    <t>4418</t>
  </si>
  <si>
    <t>NEWPORT STUDENT GOVT</t>
  </si>
  <si>
    <t>EF</t>
  </si>
  <si>
    <t>EY</t>
  </si>
  <si>
    <t>4419</t>
  </si>
  <si>
    <t>COLVILLE STUDENT GOV</t>
  </si>
  <si>
    <t>ER</t>
  </si>
  <si>
    <t>10</t>
  </si>
  <si>
    <t>20</t>
  </si>
  <si>
    <t>4420</t>
  </si>
  <si>
    <t>9B</t>
  </si>
  <si>
    <t>BETA EPSILON ZETA</t>
  </si>
  <si>
    <t>EG</t>
  </si>
  <si>
    <t>70</t>
  </si>
  <si>
    <t>4421</t>
  </si>
  <si>
    <t>COLVILLE REC CTR REV</t>
  </si>
  <si>
    <t>4422</t>
  </si>
  <si>
    <t>N PEND ORE STDNT GOV</t>
  </si>
  <si>
    <t>4423</t>
  </si>
  <si>
    <t>PULLMAN STUDENT GOVT</t>
  </si>
  <si>
    <t>AM</t>
  </si>
  <si>
    <t>01</t>
  </si>
  <si>
    <t>4426</t>
  </si>
  <si>
    <t>LODGE/MGNSN STDNT GV</t>
  </si>
  <si>
    <t>4436</t>
  </si>
  <si>
    <t>CREDIT ORIENTATION</t>
  </si>
  <si>
    <t>4439</t>
  </si>
  <si>
    <t>NEW ACTIVITIES</t>
  </si>
  <si>
    <t>GA</t>
  </si>
  <si>
    <t>4440</t>
  </si>
  <si>
    <t>STUDENT LEADERSHIP</t>
  </si>
  <si>
    <t>80</t>
  </si>
  <si>
    <t>4443</t>
  </si>
  <si>
    <t>STUDENT AMBASSADORS</t>
  </si>
  <si>
    <t>BC</t>
  </si>
  <si>
    <t>4444</t>
  </si>
  <si>
    <t>AD</t>
  </si>
  <si>
    <t>05</t>
  </si>
  <si>
    <t>TUTORING</t>
  </si>
  <si>
    <t>4445</t>
  </si>
  <si>
    <t>HLTH, WELLNESS &amp; FIT</t>
  </si>
  <si>
    <t>4499</t>
  </si>
  <si>
    <t>0401</t>
  </si>
  <si>
    <t>STUDENT ACTIVITY FEE</t>
  </si>
  <si>
    <t>0621</t>
  </si>
  <si>
    <t>TYPE</t>
  </si>
  <si>
    <t>TITLE</t>
  </si>
  <si>
    <t>Budget</t>
  </si>
  <si>
    <t>Balance</t>
  </si>
  <si>
    <t>4218-ASA-TECHNOLOGY</t>
  </si>
  <si>
    <t>4221-STUDENT SUPPORT CTRS</t>
  </si>
  <si>
    <t>4223-MAGNUSN STDNT LOUNGE</t>
  </si>
  <si>
    <t>4225-STUDENT BUILDING FND</t>
  </si>
  <si>
    <t>4405-IEL BUS PASS MATCH</t>
  </si>
  <si>
    <t>4406-BUS TICKET CLEARING</t>
  </si>
  <si>
    <t>4409-ASA CLUB ADVISORS</t>
  </si>
  <si>
    <t>4412-CONTINGENCY</t>
  </si>
  <si>
    <t>4414-INCHELIUM STDNT GOV</t>
  </si>
  <si>
    <t>4415-AEC STUDENT GOVT</t>
  </si>
  <si>
    <t>4416-HILLYARD STUDENT GOV</t>
  </si>
  <si>
    <t>4417-REPUBLIC STUDENT GOV</t>
  </si>
  <si>
    <t>4418-NEWPORT STUDENT GOVT</t>
  </si>
  <si>
    <t>4419-COLVILLE STUDENT GOV</t>
  </si>
  <si>
    <t>4420-BETA EPSILON ZETA</t>
  </si>
  <si>
    <t>4421-COLVILLE REC CTR REV</t>
  </si>
  <si>
    <t>4422-N PEND ORE STDNT GOV</t>
  </si>
  <si>
    <t>4423-PULLMAN STUDENT GOVT</t>
  </si>
  <si>
    <t>4426-LODGE/MGNSN STDNT GV</t>
  </si>
  <si>
    <t>4436-CREDIT ORIENTATION</t>
  </si>
  <si>
    <t>4439-NEW ACTIVITIES</t>
  </si>
  <si>
    <t>4440-STUDENT LEADERSHIP</t>
  </si>
  <si>
    <t>4443-STUDENT AMBASSADORS</t>
  </si>
  <si>
    <t>4444-TUTORING</t>
  </si>
  <si>
    <t>4445-HLTH, WELLNESS &amp; FIT</t>
  </si>
  <si>
    <t>Grand Total</t>
  </si>
  <si>
    <t>Goods &amp; Services</t>
  </si>
  <si>
    <t>Equipment</t>
  </si>
  <si>
    <t>Travel</t>
  </si>
  <si>
    <t>Carryforward</t>
  </si>
  <si>
    <t>Revenue</t>
  </si>
  <si>
    <t>Salary &amp; Benefits</t>
  </si>
  <si>
    <t>(Rev)/Exp</t>
  </si>
  <si>
    <t>Encumbrance</t>
  </si>
  <si>
    <t>BAL</t>
  </si>
  <si>
    <t>Account Title</t>
  </si>
  <si>
    <t>4218-ASA-TECHNOLOGY Total</t>
  </si>
  <si>
    <t>4221-STUDENT SUPPORT CTRS Total</t>
  </si>
  <si>
    <t>4223-MAGNUSN STDNT LOUNGE Total</t>
  </si>
  <si>
    <t>4225-STUDENT BUILDING FND Total</t>
  </si>
  <si>
    <t>4405-IEL BUS PASS MATCH Total</t>
  </si>
  <si>
    <t>4406-BUS TICKET CLEARING Total</t>
  </si>
  <si>
    <t>4409-ASA CLUB ADVISORS Total</t>
  </si>
  <si>
    <t>4412-CONTINGENCY Total</t>
  </si>
  <si>
    <t>4414-INCHELIUM STDNT GOV Total</t>
  </si>
  <si>
    <t>4415-AEC STUDENT GOVT Total</t>
  </si>
  <si>
    <t>4416-HILLYARD STUDENT GOV Total</t>
  </si>
  <si>
    <t>4417-REPUBLIC STUDENT GOV Total</t>
  </si>
  <si>
    <t>4418-NEWPORT STUDENT GOVT Total</t>
  </si>
  <si>
    <t>4419-COLVILLE STUDENT GOV Total</t>
  </si>
  <si>
    <t>4420-BETA EPSILON ZETA Total</t>
  </si>
  <si>
    <t>4421-COLVILLE REC CTR REV Total</t>
  </si>
  <si>
    <t>4422-N PEND ORE STDNT GOV Total</t>
  </si>
  <si>
    <t>4423-PULLMAN STUDENT GOVT Total</t>
  </si>
  <si>
    <t>4426-LODGE/MGNSN STDNT GV Total</t>
  </si>
  <si>
    <t>4436-CREDIT ORIENTATION Total</t>
  </si>
  <si>
    <t>4439-NEW ACTIVITIES Total</t>
  </si>
  <si>
    <t>4440-STUDENT LEADERSHIP Total</t>
  </si>
  <si>
    <t>4443-STUDENT AMBASSADORS Total</t>
  </si>
  <si>
    <t>4444-TUTORING Total</t>
  </si>
  <si>
    <t>4445-HLTH, WELLNESS &amp; FIT Total</t>
  </si>
  <si>
    <t>IEL S&amp;A BUDGET STATUS</t>
  </si>
  <si>
    <t>FISCAL YEAR 2012-13</t>
  </si>
  <si>
    <t>4383-S&amp;A FINANCIAL AID</t>
  </si>
  <si>
    <t>4383-S&amp;A FINANCIAL AID Total</t>
  </si>
  <si>
    <t>4410-ASA GENERAL FUND</t>
  </si>
  <si>
    <t>4410-ASA GENERAL FUND Total</t>
  </si>
  <si>
    <t>4499-STUDENT ACTIVITY FEE</t>
  </si>
  <si>
    <t>Transfers</t>
  </si>
  <si>
    <t>4499-STUDENT ACTIVITY FEE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</si>
</sst>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#"/>
    <numFmt numFmtId="165" formatCode="_(* #,##0_);_(* \(#,##0\);_(* &quot;-&quot;??_);_(@_)"/>
    <numFmt numFmtId="166" formatCode="&quot;FOR THE PERIOD ENDING &quot;m/d/y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u val="singleAccounting"/>
      <sz val="8"/>
      <name val="Arial"/>
      <family val="2"/>
    </font>
    <font>
      <sz val="8"/>
      <name val="Arial"/>
      <family val="2"/>
    </font>
    <font>
      <sz val="11"/>
      <name val="Arial"/>
      <family val="2"/>
    </font>
    <font>
      <sz val="9"/>
      <name val="Times New Roman"/>
      <family val="1"/>
    </font>
    <font>
      <sz val="10"/>
      <name val="MS Sans Serif"/>
      <family val="2"/>
    </font>
    <font>
      <sz val="9"/>
      <name val="Arial"/>
      <family val="2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8">
    <xf numFmtId="0" fontId="0" fillId="0" borderId="0"/>
    <xf numFmtId="43" fontId="2" fillId="0" borderId="0" applyFont="0" applyFill="0" applyBorder="0" applyAlignment="0" applyProtection="0"/>
    <xf numFmtId="0" fontId="2" fillId="0" borderId="0"/>
    <xf numFmtId="0" fontId="4" fillId="0" borderId="0"/>
    <xf numFmtId="39" fontId="5" fillId="0" borderId="0" applyNumberFormat="0" applyAlignment="0"/>
    <xf numFmtId="39" fontId="6" fillId="0" borderId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8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9">
    <xf numFmtId="0" fontId="0" fillId="0" borderId="0" xfId="0"/>
    <xf numFmtId="43" fontId="3" fillId="0" borderId="0" xfId="1" applyFont="1" applyAlignment="1" applyProtection="1">
      <alignment horizontal="center"/>
      <protection locked="0"/>
    </xf>
    <xf numFmtId="164" fontId="3" fillId="0" borderId="0" xfId="1" applyNumberFormat="1" applyFont="1" applyAlignment="1" applyProtection="1">
      <alignment horizontal="center"/>
      <protection locked="0"/>
    </xf>
    <xf numFmtId="165" fontId="3" fillId="0" borderId="0" xfId="1" applyNumberFormat="1" applyFont="1" applyAlignment="1" applyProtection="1">
      <alignment horizontal="center"/>
      <protection locked="0"/>
    </xf>
    <xf numFmtId="43" fontId="4" fillId="0" borderId="0" xfId="2" applyNumberFormat="1" applyFont="1" applyProtection="1">
      <protection locked="0"/>
    </xf>
    <xf numFmtId="0" fontId="4" fillId="0" borderId="0" xfId="2" applyFont="1"/>
    <xf numFmtId="164" fontId="4" fillId="0" borderId="0" xfId="3" applyNumberFormat="1" applyFont="1"/>
    <xf numFmtId="43" fontId="4" fillId="0" borderId="0" xfId="1" applyFont="1"/>
    <xf numFmtId="165" fontId="4" fillId="0" borderId="0" xfId="1" applyNumberFormat="1" applyFont="1"/>
    <xf numFmtId="0" fontId="4" fillId="0" borderId="0" xfId="3" applyFont="1"/>
    <xf numFmtId="43" fontId="4" fillId="0" borderId="0" xfId="3" applyNumberFormat="1" applyFon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0" applyNumberFormat="1"/>
    <xf numFmtId="43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Continuous"/>
    </xf>
    <xf numFmtId="166" fontId="1" fillId="0" borderId="0" xfId="0" applyNumberFormat="1" applyFont="1" applyAlignment="1">
      <alignment horizontal="centerContinuous"/>
    </xf>
  </cellXfs>
  <cellStyles count="38">
    <cellStyle name="a-19" xfId="4"/>
    <cellStyle name="Bill's" xfId="5"/>
    <cellStyle name="Comma" xfId="1" builtinId="3"/>
    <cellStyle name="Comma 2" xfId="6"/>
    <cellStyle name="Comma 2 2" xfId="7"/>
    <cellStyle name="Comma 2 3" xfId="8"/>
    <cellStyle name="Comma 3" xfId="9"/>
    <cellStyle name="Comma 3 2" xfId="10"/>
    <cellStyle name="Comma 3 3" xfId="11"/>
    <cellStyle name="Comma 4" xfId="12"/>
    <cellStyle name="Comma 4 2" xfId="13"/>
    <cellStyle name="Comma 4 3" xfId="14"/>
    <cellStyle name="Comma 5" xfId="15"/>
    <cellStyle name="Comma 5 2" xfId="16"/>
    <cellStyle name="Comma 5 3" xfId="17"/>
    <cellStyle name="Currency 2" xfId="18"/>
    <cellStyle name="Currency 2 2" xfId="19"/>
    <cellStyle name="Currency 2 3" xfId="20"/>
    <cellStyle name="Normal" xfId="0" builtinId="0"/>
    <cellStyle name="Normal 2" xfId="21"/>
    <cellStyle name="Normal 2 2" xfId="22"/>
    <cellStyle name="Normal 2 2 2" xfId="23"/>
    <cellStyle name="Normal 2 2 3" xfId="24"/>
    <cellStyle name="Normal 3" xfId="25"/>
    <cellStyle name="Normal 3 2" xfId="26"/>
    <cellStyle name="Normal 3 3" xfId="27"/>
    <cellStyle name="Normal 4" xfId="28"/>
    <cellStyle name="Normal 4 2" xfId="29"/>
    <cellStyle name="Normal 4 3" xfId="30"/>
    <cellStyle name="Normal 6" xfId="31"/>
    <cellStyle name="Normal_Detail Info 01-02" xfId="2"/>
    <cellStyle name="Normal_Projections - Shell" xfId="3"/>
    <cellStyle name="Percent 2" xfId="32"/>
    <cellStyle name="Percent 2 2" xfId="33"/>
    <cellStyle name="Percent 2 3" xfId="34"/>
    <cellStyle name="Percent 3" xfId="35"/>
    <cellStyle name="Percent 3 2" xfId="36"/>
    <cellStyle name="Percent 3 3" xfId="37"/>
  </cellStyles>
  <dxfs count="6">
    <dxf>
      <alignment horizontal="center" readingOrder="0"/>
    </dxf>
    <dxf>
      <alignment horizontal="center" readingOrder="0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PTS\BUDGET\Plan%202000-2001\Sfcc\Worksheets_revised\Goodwi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t17_master\sys\DEPTS\BUDGET\SFCC\2003-04\SBCTC\FY04%20Allocation%20%23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R14"/>
      <sheetName val="SALARY DETAIL"/>
    </sheetNames>
    <sheetDataSet>
      <sheetData sheetId="0" refreshError="1">
        <row r="4">
          <cell r="K4" t="str">
            <v>011-3R14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oc Sched Data"/>
      <sheetName val="Student Data"/>
      <sheetName val="district"/>
      <sheetName val="Attachment One"/>
      <sheetName val="Attachment Two"/>
      <sheetName val="Attachment Three"/>
      <sheetName val="Attachment Four"/>
      <sheetName val="Attachment Five"/>
      <sheetName val="Other Resources Data"/>
      <sheetName val="Bates"/>
      <sheetName val="Bellevue"/>
      <sheetName val="Bellingham"/>
      <sheetName val="Big Bend"/>
      <sheetName val="Cascadia"/>
      <sheetName val="Centralia"/>
      <sheetName val="Clark"/>
      <sheetName val="Clover Park"/>
      <sheetName val="Columbia Basin"/>
      <sheetName val="Edmonds"/>
      <sheetName val="Everett"/>
      <sheetName val="Grays Harbor"/>
      <sheetName val="Green River"/>
      <sheetName val="Highline"/>
      <sheetName val="Lk Wash."/>
      <sheetName val="Lower Columbia"/>
      <sheetName val="Olympic"/>
      <sheetName val="Peninsula"/>
      <sheetName val="Pierce"/>
      <sheetName val="Renton"/>
      <sheetName val="Seattle"/>
      <sheetName val="Shoreline"/>
      <sheetName val="Skagit"/>
      <sheetName val="So Puget Sound"/>
      <sheetName val="Spokane"/>
      <sheetName val="Tacoma"/>
      <sheetName val="Walla Walla"/>
      <sheetName val="Wenatchee"/>
      <sheetName val="Whatcom"/>
      <sheetName val="Yakima"/>
      <sheetName val="CIS"/>
      <sheetName val="SBCTC"/>
    </sheetNames>
    <sheetDataSet>
      <sheetData sheetId="0">
        <row r="1">
          <cell r="A1" t="str">
            <v>excel_code</v>
          </cell>
          <cell r="B1" t="str">
            <v>Period</v>
          </cell>
          <cell r="C1" t="str">
            <v>DISTRICT</v>
          </cell>
          <cell r="D1" t="str">
            <v>General Fund State</v>
          </cell>
          <cell r="E1" t="str">
            <v>NAME</v>
          </cell>
          <cell r="F1" t="str">
            <v>Fund Appr Number</v>
          </cell>
          <cell r="G1" t="str">
            <v>Sort order</v>
          </cell>
          <cell r="H1" t="str">
            <v>Category</v>
          </cell>
          <cell r="I1" t="str">
            <v>Prior</v>
          </cell>
          <cell r="J1" t="str">
            <v>Current</v>
          </cell>
        </row>
        <row r="2">
          <cell r="A2" t="str">
            <v>1Operations</v>
          </cell>
          <cell r="B2">
            <v>6</v>
          </cell>
          <cell r="C2">
            <v>1</v>
          </cell>
          <cell r="D2" t="b">
            <v>1</v>
          </cell>
          <cell r="E2" t="str">
            <v>Peninsula</v>
          </cell>
          <cell r="F2" t="str">
            <v>001011</v>
          </cell>
          <cell r="G2">
            <v>100</v>
          </cell>
          <cell r="H2" t="str">
            <v>Operations</v>
          </cell>
          <cell r="I2">
            <v>6645903</v>
          </cell>
          <cell r="J2">
            <v>0</v>
          </cell>
        </row>
        <row r="3">
          <cell r="A3" t="str">
            <v>1Outcomes Assessment</v>
          </cell>
          <cell r="B3">
            <v>6</v>
          </cell>
          <cell r="C3">
            <v>1</v>
          </cell>
          <cell r="D3" t="b">
            <v>1</v>
          </cell>
          <cell r="E3" t="str">
            <v>Peninsula</v>
          </cell>
          <cell r="F3" t="str">
            <v>001011</v>
          </cell>
          <cell r="G3">
            <v>110</v>
          </cell>
          <cell r="H3" t="str">
            <v>Outcomes Assessment</v>
          </cell>
          <cell r="I3">
            <v>54210</v>
          </cell>
          <cell r="J3">
            <v>0</v>
          </cell>
        </row>
        <row r="4">
          <cell r="A4" t="str">
            <v>1Part-time Faculty Salaries</v>
          </cell>
          <cell r="B4">
            <v>6</v>
          </cell>
          <cell r="C4">
            <v>1</v>
          </cell>
          <cell r="D4" t="b">
            <v>1</v>
          </cell>
          <cell r="E4" t="str">
            <v>Peninsula</v>
          </cell>
          <cell r="F4" t="str">
            <v>001031</v>
          </cell>
          <cell r="G4">
            <v>111</v>
          </cell>
          <cell r="H4" t="str">
            <v>Part-time Faculty Salaries</v>
          </cell>
          <cell r="I4">
            <v>28100</v>
          </cell>
          <cell r="J4">
            <v>0</v>
          </cell>
        </row>
        <row r="5">
          <cell r="A5" t="str">
            <v>1Faculty Increments</v>
          </cell>
          <cell r="B5">
            <v>6</v>
          </cell>
          <cell r="C5">
            <v>1</v>
          </cell>
          <cell r="D5" t="b">
            <v>1</v>
          </cell>
          <cell r="E5" t="str">
            <v>Peninsula</v>
          </cell>
          <cell r="F5" t="str">
            <v>001091</v>
          </cell>
          <cell r="G5">
            <v>112</v>
          </cell>
          <cell r="H5" t="str">
            <v>Faculty Increments</v>
          </cell>
          <cell r="I5">
            <v>19400</v>
          </cell>
          <cell r="J5">
            <v>0</v>
          </cell>
        </row>
        <row r="6">
          <cell r="A6" t="str">
            <v>1Childcare Program</v>
          </cell>
          <cell r="B6">
            <v>6</v>
          </cell>
          <cell r="C6">
            <v>1</v>
          </cell>
          <cell r="D6" t="b">
            <v>1</v>
          </cell>
          <cell r="E6" t="str">
            <v>Peninsula</v>
          </cell>
          <cell r="F6" t="str">
            <v>001011</v>
          </cell>
          <cell r="G6">
            <v>120</v>
          </cell>
          <cell r="H6" t="str">
            <v>Childcare Program</v>
          </cell>
          <cell r="I6">
            <v>9140</v>
          </cell>
          <cell r="J6">
            <v>0</v>
          </cell>
        </row>
        <row r="7">
          <cell r="A7" t="str">
            <v>1Childcare Match</v>
          </cell>
          <cell r="B7">
            <v>6</v>
          </cell>
          <cell r="C7">
            <v>1</v>
          </cell>
          <cell r="D7" t="b">
            <v>1</v>
          </cell>
          <cell r="E7" t="str">
            <v>Peninsula</v>
          </cell>
          <cell r="F7" t="str">
            <v>0011E1</v>
          </cell>
          <cell r="G7">
            <v>121</v>
          </cell>
          <cell r="H7" t="str">
            <v>Childcare Match</v>
          </cell>
          <cell r="I7">
            <v>0</v>
          </cell>
          <cell r="J7">
            <v>0</v>
          </cell>
        </row>
        <row r="8">
          <cell r="A8" t="str">
            <v>1Students of Color</v>
          </cell>
          <cell r="B8">
            <v>6</v>
          </cell>
          <cell r="C8">
            <v>1</v>
          </cell>
          <cell r="D8" t="b">
            <v>1</v>
          </cell>
          <cell r="E8" t="str">
            <v>Peninsula</v>
          </cell>
          <cell r="F8" t="str">
            <v>001011</v>
          </cell>
          <cell r="G8">
            <v>122</v>
          </cell>
          <cell r="H8" t="str">
            <v>Students of Color</v>
          </cell>
          <cell r="I8">
            <v>7800</v>
          </cell>
          <cell r="J8">
            <v>0</v>
          </cell>
        </row>
        <row r="9">
          <cell r="A9" t="str">
            <v>1Annual Disability Accommod.</v>
          </cell>
          <cell r="B9">
            <v>6</v>
          </cell>
          <cell r="C9">
            <v>1</v>
          </cell>
          <cell r="D9" t="b">
            <v>1</v>
          </cell>
          <cell r="E9" t="str">
            <v>Peninsula</v>
          </cell>
          <cell r="F9" t="str">
            <v>001011</v>
          </cell>
          <cell r="G9">
            <v>123</v>
          </cell>
          <cell r="H9" t="str">
            <v>Annual Disability Accommod.</v>
          </cell>
          <cell r="I9">
            <v>33100</v>
          </cell>
          <cell r="J9">
            <v>0</v>
          </cell>
        </row>
        <row r="10">
          <cell r="A10" t="str">
            <v>1Qtrly Disability Accomm Reserves</v>
          </cell>
          <cell r="B10">
            <v>6</v>
          </cell>
          <cell r="C10">
            <v>1</v>
          </cell>
          <cell r="D10" t="b">
            <v>1</v>
          </cell>
          <cell r="E10" t="str">
            <v>Peninsula</v>
          </cell>
          <cell r="F10" t="str">
            <v>001011</v>
          </cell>
          <cell r="G10">
            <v>124</v>
          </cell>
          <cell r="H10" t="str">
            <v>Qtrly Disability Accomm Reserves</v>
          </cell>
          <cell r="I10">
            <v>0</v>
          </cell>
          <cell r="J10">
            <v>0</v>
          </cell>
        </row>
        <row r="11">
          <cell r="A11" t="str">
            <v>1Work-Based Learning</v>
          </cell>
          <cell r="B11">
            <v>6</v>
          </cell>
          <cell r="C11">
            <v>1</v>
          </cell>
          <cell r="D11" t="b">
            <v>1</v>
          </cell>
          <cell r="E11" t="str">
            <v>Peninsula</v>
          </cell>
          <cell r="F11" t="str">
            <v>001351</v>
          </cell>
          <cell r="G11">
            <v>130</v>
          </cell>
          <cell r="H11" t="str">
            <v>Work-Based Learning</v>
          </cell>
          <cell r="I11">
            <v>29412</v>
          </cell>
          <cell r="J11">
            <v>0</v>
          </cell>
        </row>
        <row r="12">
          <cell r="A12" t="str">
            <v>1Worker Retraining</v>
          </cell>
          <cell r="B12">
            <v>6</v>
          </cell>
          <cell r="C12">
            <v>1</v>
          </cell>
          <cell r="D12" t="b">
            <v>1</v>
          </cell>
          <cell r="E12" t="str">
            <v>Peninsula</v>
          </cell>
          <cell r="F12" t="str">
            <v>001231</v>
          </cell>
          <cell r="G12">
            <v>135</v>
          </cell>
          <cell r="H12" t="str">
            <v>Worker Retraining</v>
          </cell>
          <cell r="I12">
            <v>1191194</v>
          </cell>
          <cell r="J12">
            <v>0</v>
          </cell>
        </row>
        <row r="13">
          <cell r="A13" t="str">
            <v>1WF Development Base</v>
          </cell>
          <cell r="B13">
            <v>6</v>
          </cell>
          <cell r="C13">
            <v>1</v>
          </cell>
          <cell r="D13" t="b">
            <v>1</v>
          </cell>
          <cell r="E13" t="str">
            <v>Peninsula</v>
          </cell>
          <cell r="F13" t="str">
            <v>001011</v>
          </cell>
          <cell r="G13">
            <v>140</v>
          </cell>
          <cell r="H13" t="str">
            <v>WF Development Base</v>
          </cell>
          <cell r="I13">
            <v>28800</v>
          </cell>
          <cell r="J13">
            <v>0</v>
          </cell>
        </row>
        <row r="14">
          <cell r="A14" t="str">
            <v>1WF Development Projects</v>
          </cell>
          <cell r="B14">
            <v>6</v>
          </cell>
          <cell r="C14">
            <v>1</v>
          </cell>
          <cell r="D14" t="b">
            <v>1</v>
          </cell>
          <cell r="E14" t="str">
            <v>Peninsula</v>
          </cell>
          <cell r="F14" t="str">
            <v>001011</v>
          </cell>
          <cell r="G14">
            <v>141</v>
          </cell>
          <cell r="H14" t="str">
            <v>WF Development Projects</v>
          </cell>
          <cell r="I14">
            <v>0</v>
          </cell>
          <cell r="J14">
            <v>0</v>
          </cell>
        </row>
        <row r="15">
          <cell r="A15" t="str">
            <v>1Apprenticeship</v>
          </cell>
          <cell r="B15">
            <v>6</v>
          </cell>
          <cell r="C15">
            <v>1</v>
          </cell>
          <cell r="D15" t="b">
            <v>1</v>
          </cell>
          <cell r="E15" t="str">
            <v>Peninsula</v>
          </cell>
          <cell r="F15" t="str">
            <v>001011</v>
          </cell>
          <cell r="G15">
            <v>145</v>
          </cell>
          <cell r="H15" t="str">
            <v>Apprenticeship</v>
          </cell>
          <cell r="I15">
            <v>0</v>
          </cell>
          <cell r="J15">
            <v>0</v>
          </cell>
        </row>
        <row r="16">
          <cell r="A16" t="str">
            <v>1Rural/Community Development</v>
          </cell>
          <cell r="B16">
            <v>6</v>
          </cell>
          <cell r="C16">
            <v>1</v>
          </cell>
          <cell r="D16" t="b">
            <v>1</v>
          </cell>
          <cell r="E16" t="str">
            <v>Peninsula</v>
          </cell>
          <cell r="F16" t="str">
            <v>001311</v>
          </cell>
          <cell r="G16">
            <v>150</v>
          </cell>
          <cell r="H16" t="str">
            <v>Rural/Community Development</v>
          </cell>
          <cell r="I16">
            <v>90747</v>
          </cell>
          <cell r="J16">
            <v>0</v>
          </cell>
        </row>
        <row r="17">
          <cell r="A17" t="str">
            <v>1New Facilities Maint &amp; Ops</v>
          </cell>
          <cell r="B17">
            <v>6</v>
          </cell>
          <cell r="C17">
            <v>1</v>
          </cell>
          <cell r="D17" t="b">
            <v>1</v>
          </cell>
          <cell r="E17" t="str">
            <v>Peninsula</v>
          </cell>
          <cell r="F17" t="str">
            <v>001011</v>
          </cell>
          <cell r="G17">
            <v>160</v>
          </cell>
          <cell r="H17" t="str">
            <v>New Facilities Maint &amp; Ops</v>
          </cell>
          <cell r="I17">
            <v>0</v>
          </cell>
          <cell r="J17">
            <v>21600</v>
          </cell>
        </row>
        <row r="18">
          <cell r="A18" t="str">
            <v>1Building Maintenance Shift to Capital</v>
          </cell>
          <cell r="B18">
            <v>6</v>
          </cell>
          <cell r="C18">
            <v>1</v>
          </cell>
          <cell r="D18" t="b">
            <v>1</v>
          </cell>
          <cell r="E18" t="str">
            <v>Peninsula</v>
          </cell>
          <cell r="F18" t="str">
            <v>001011</v>
          </cell>
          <cell r="G18">
            <v>161</v>
          </cell>
          <cell r="H18" t="str">
            <v>Building Maintenance Shift to Capital</v>
          </cell>
          <cell r="I18">
            <v>-128200</v>
          </cell>
          <cell r="J18">
            <v>0</v>
          </cell>
        </row>
        <row r="19">
          <cell r="A19" t="str">
            <v>1UWT Technology Institute</v>
          </cell>
          <cell r="B19">
            <v>6</v>
          </cell>
          <cell r="C19">
            <v>1</v>
          </cell>
          <cell r="D19" t="b">
            <v>1</v>
          </cell>
          <cell r="E19" t="str">
            <v>Peninsula</v>
          </cell>
          <cell r="F19" t="str">
            <v>001331</v>
          </cell>
          <cell r="G19">
            <v>165</v>
          </cell>
          <cell r="H19" t="str">
            <v>UWT Technology Institute</v>
          </cell>
          <cell r="I19">
            <v>0</v>
          </cell>
          <cell r="J19">
            <v>0</v>
          </cell>
        </row>
        <row r="20">
          <cell r="A20" t="str">
            <v>1Labor Liaison Position</v>
          </cell>
          <cell r="B20">
            <v>6</v>
          </cell>
          <cell r="C20">
            <v>1</v>
          </cell>
          <cell r="D20" t="b">
            <v>1</v>
          </cell>
          <cell r="E20" t="str">
            <v>Peninsula</v>
          </cell>
          <cell r="F20" t="str">
            <v>001011</v>
          </cell>
          <cell r="G20">
            <v>220</v>
          </cell>
          <cell r="H20" t="str">
            <v>Labor Liaison Position</v>
          </cell>
          <cell r="I20">
            <v>-2100</v>
          </cell>
          <cell r="J20">
            <v>0</v>
          </cell>
        </row>
        <row r="21">
          <cell r="A21" t="str">
            <v>2Operations</v>
          </cell>
          <cell r="B21">
            <v>6</v>
          </cell>
          <cell r="C21">
            <v>2</v>
          </cell>
          <cell r="D21" t="b">
            <v>1</v>
          </cell>
          <cell r="E21" t="str">
            <v>Grays Harbor</v>
          </cell>
          <cell r="F21" t="str">
            <v>001011</v>
          </cell>
          <cell r="G21">
            <v>100</v>
          </cell>
          <cell r="H21" t="str">
            <v>Operations</v>
          </cell>
          <cell r="I21">
            <v>6499881</v>
          </cell>
          <cell r="J21">
            <v>0</v>
          </cell>
        </row>
        <row r="22">
          <cell r="A22" t="str">
            <v>2Outcomes Assessment</v>
          </cell>
          <cell r="B22">
            <v>6</v>
          </cell>
          <cell r="C22">
            <v>2</v>
          </cell>
          <cell r="D22" t="b">
            <v>1</v>
          </cell>
          <cell r="E22" t="str">
            <v>Grays Harbor</v>
          </cell>
          <cell r="F22" t="str">
            <v>001011</v>
          </cell>
          <cell r="G22">
            <v>110</v>
          </cell>
          <cell r="H22" t="str">
            <v>Outcomes Assessment</v>
          </cell>
          <cell r="I22">
            <v>54210</v>
          </cell>
          <cell r="J22">
            <v>0</v>
          </cell>
        </row>
        <row r="23">
          <cell r="A23" t="str">
            <v>2Part-time Faculty Salaries</v>
          </cell>
          <cell r="B23">
            <v>6</v>
          </cell>
          <cell r="C23">
            <v>2</v>
          </cell>
          <cell r="D23" t="b">
            <v>1</v>
          </cell>
          <cell r="E23" t="str">
            <v>Grays Harbor</v>
          </cell>
          <cell r="F23" t="str">
            <v>001031</v>
          </cell>
          <cell r="G23">
            <v>111</v>
          </cell>
          <cell r="H23" t="str">
            <v>Part-time Faculty Salaries</v>
          </cell>
          <cell r="I23">
            <v>24000</v>
          </cell>
          <cell r="J23">
            <v>0</v>
          </cell>
        </row>
        <row r="24">
          <cell r="A24" t="str">
            <v>2Faculty Increments</v>
          </cell>
          <cell r="B24">
            <v>6</v>
          </cell>
          <cell r="C24">
            <v>2</v>
          </cell>
          <cell r="D24" t="b">
            <v>1</v>
          </cell>
          <cell r="E24" t="str">
            <v>Grays Harbor</v>
          </cell>
          <cell r="F24" t="str">
            <v>001091</v>
          </cell>
          <cell r="G24">
            <v>112</v>
          </cell>
          <cell r="H24" t="str">
            <v>Faculty Increments</v>
          </cell>
          <cell r="I24">
            <v>16500</v>
          </cell>
          <cell r="J24">
            <v>0</v>
          </cell>
        </row>
        <row r="25">
          <cell r="A25" t="str">
            <v>2Childcare Program</v>
          </cell>
          <cell r="B25">
            <v>6</v>
          </cell>
          <cell r="C25">
            <v>2</v>
          </cell>
          <cell r="D25" t="b">
            <v>1</v>
          </cell>
          <cell r="E25" t="str">
            <v>Grays Harbor</v>
          </cell>
          <cell r="F25" t="str">
            <v>001011</v>
          </cell>
          <cell r="G25">
            <v>120</v>
          </cell>
          <cell r="H25" t="str">
            <v>Childcare Program</v>
          </cell>
          <cell r="I25">
            <v>9300</v>
          </cell>
          <cell r="J25">
            <v>0</v>
          </cell>
        </row>
        <row r="26">
          <cell r="A26" t="str">
            <v>2Childcare Match</v>
          </cell>
          <cell r="B26">
            <v>6</v>
          </cell>
          <cell r="C26">
            <v>2</v>
          </cell>
          <cell r="D26" t="b">
            <v>1</v>
          </cell>
          <cell r="E26" t="str">
            <v>Grays Harbor</v>
          </cell>
          <cell r="F26" t="str">
            <v>0011E1</v>
          </cell>
          <cell r="G26">
            <v>121</v>
          </cell>
          <cell r="H26" t="str">
            <v>Childcare Match</v>
          </cell>
          <cell r="I26">
            <v>0</v>
          </cell>
          <cell r="J26">
            <v>0</v>
          </cell>
        </row>
        <row r="27">
          <cell r="A27" t="str">
            <v>2Students of Color</v>
          </cell>
          <cell r="B27">
            <v>6</v>
          </cell>
          <cell r="C27">
            <v>2</v>
          </cell>
          <cell r="D27" t="b">
            <v>1</v>
          </cell>
          <cell r="E27" t="str">
            <v>Grays Harbor</v>
          </cell>
          <cell r="F27" t="str">
            <v>001011</v>
          </cell>
          <cell r="G27">
            <v>122</v>
          </cell>
          <cell r="H27" t="str">
            <v>Students of Color</v>
          </cell>
          <cell r="I27">
            <v>11480</v>
          </cell>
          <cell r="J27">
            <v>0</v>
          </cell>
        </row>
        <row r="28">
          <cell r="A28" t="str">
            <v>2Annual Disability Accommod.</v>
          </cell>
          <cell r="B28">
            <v>6</v>
          </cell>
          <cell r="C28">
            <v>2</v>
          </cell>
          <cell r="D28" t="b">
            <v>1</v>
          </cell>
          <cell r="E28" t="str">
            <v>Grays Harbor</v>
          </cell>
          <cell r="F28" t="str">
            <v>001011</v>
          </cell>
          <cell r="G28">
            <v>123</v>
          </cell>
          <cell r="H28" t="str">
            <v>Annual Disability Accommod.</v>
          </cell>
          <cell r="I28">
            <v>34230</v>
          </cell>
          <cell r="J28">
            <v>0</v>
          </cell>
        </row>
        <row r="29">
          <cell r="A29" t="str">
            <v>2Qtrly Disability Accomm Reserves</v>
          </cell>
          <cell r="B29">
            <v>6</v>
          </cell>
          <cell r="C29">
            <v>2</v>
          </cell>
          <cell r="D29" t="b">
            <v>1</v>
          </cell>
          <cell r="E29" t="str">
            <v>Grays Harbor</v>
          </cell>
          <cell r="F29" t="str">
            <v>001011</v>
          </cell>
          <cell r="G29">
            <v>124</v>
          </cell>
          <cell r="H29" t="str">
            <v>Qtrly Disability Accomm Reserves</v>
          </cell>
          <cell r="I29">
            <v>0</v>
          </cell>
          <cell r="J29">
            <v>0</v>
          </cell>
        </row>
        <row r="30">
          <cell r="A30" t="str">
            <v>2Work-Based Learning</v>
          </cell>
          <cell r="B30">
            <v>6</v>
          </cell>
          <cell r="C30">
            <v>2</v>
          </cell>
          <cell r="D30" t="b">
            <v>1</v>
          </cell>
          <cell r="E30" t="str">
            <v>Grays Harbor</v>
          </cell>
          <cell r="F30" t="str">
            <v>001351</v>
          </cell>
          <cell r="G30">
            <v>130</v>
          </cell>
          <cell r="H30" t="str">
            <v>Work-Based Learning</v>
          </cell>
          <cell r="I30">
            <v>29412</v>
          </cell>
          <cell r="J30">
            <v>0</v>
          </cell>
        </row>
        <row r="31">
          <cell r="A31" t="str">
            <v>2Worker Retraining</v>
          </cell>
          <cell r="B31">
            <v>6</v>
          </cell>
          <cell r="C31">
            <v>2</v>
          </cell>
          <cell r="D31" t="b">
            <v>1</v>
          </cell>
          <cell r="E31" t="str">
            <v>Grays Harbor</v>
          </cell>
          <cell r="F31" t="str">
            <v>001231</v>
          </cell>
          <cell r="G31">
            <v>135</v>
          </cell>
          <cell r="H31" t="str">
            <v>Worker Retraining</v>
          </cell>
          <cell r="I31">
            <v>931422</v>
          </cell>
          <cell r="J31">
            <v>0</v>
          </cell>
        </row>
        <row r="32">
          <cell r="A32" t="str">
            <v>2WF Development Base</v>
          </cell>
          <cell r="B32">
            <v>6</v>
          </cell>
          <cell r="C32">
            <v>2</v>
          </cell>
          <cell r="D32" t="b">
            <v>1</v>
          </cell>
          <cell r="E32" t="str">
            <v>Grays Harbor</v>
          </cell>
          <cell r="F32" t="str">
            <v>001011</v>
          </cell>
          <cell r="G32">
            <v>140</v>
          </cell>
          <cell r="H32" t="str">
            <v>WF Development Base</v>
          </cell>
          <cell r="I32">
            <v>28800</v>
          </cell>
          <cell r="J32">
            <v>0</v>
          </cell>
        </row>
        <row r="33">
          <cell r="A33" t="str">
            <v>2WF Development Projects</v>
          </cell>
          <cell r="B33">
            <v>6</v>
          </cell>
          <cell r="C33">
            <v>2</v>
          </cell>
          <cell r="D33" t="b">
            <v>1</v>
          </cell>
          <cell r="E33" t="str">
            <v>Grays Harbor</v>
          </cell>
          <cell r="F33" t="str">
            <v>001011</v>
          </cell>
          <cell r="G33">
            <v>141</v>
          </cell>
          <cell r="H33" t="str">
            <v>WF Development Projects</v>
          </cell>
          <cell r="I33">
            <v>0</v>
          </cell>
          <cell r="J33">
            <v>0</v>
          </cell>
        </row>
        <row r="34">
          <cell r="A34" t="str">
            <v>2Apprenticeship</v>
          </cell>
          <cell r="B34">
            <v>6</v>
          </cell>
          <cell r="C34">
            <v>2</v>
          </cell>
          <cell r="D34" t="b">
            <v>1</v>
          </cell>
          <cell r="E34" t="str">
            <v>Grays Harbor</v>
          </cell>
          <cell r="F34" t="str">
            <v>001011</v>
          </cell>
          <cell r="G34">
            <v>145</v>
          </cell>
          <cell r="H34" t="str">
            <v>Apprenticeship</v>
          </cell>
          <cell r="I34">
            <v>7254</v>
          </cell>
          <cell r="J34">
            <v>0</v>
          </cell>
        </row>
        <row r="35">
          <cell r="A35" t="str">
            <v>2Rural/Community Development</v>
          </cell>
          <cell r="B35">
            <v>6</v>
          </cell>
          <cell r="C35">
            <v>2</v>
          </cell>
          <cell r="D35" t="b">
            <v>1</v>
          </cell>
          <cell r="E35" t="str">
            <v>Grays Harbor</v>
          </cell>
          <cell r="F35" t="str">
            <v>001311</v>
          </cell>
          <cell r="G35">
            <v>150</v>
          </cell>
          <cell r="H35" t="str">
            <v>Rural/Community Development</v>
          </cell>
          <cell r="I35">
            <v>136121</v>
          </cell>
          <cell r="J35">
            <v>0</v>
          </cell>
        </row>
        <row r="36">
          <cell r="A36" t="str">
            <v>2New Facilities Maint &amp; Ops</v>
          </cell>
          <cell r="B36">
            <v>6</v>
          </cell>
          <cell r="C36">
            <v>2</v>
          </cell>
          <cell r="D36" t="b">
            <v>1</v>
          </cell>
          <cell r="E36" t="str">
            <v>Grays Harbor</v>
          </cell>
          <cell r="F36" t="str">
            <v>001011</v>
          </cell>
          <cell r="G36">
            <v>160</v>
          </cell>
          <cell r="H36" t="str">
            <v>New Facilities Maint &amp; Ops</v>
          </cell>
          <cell r="I36">
            <v>58700</v>
          </cell>
          <cell r="J36">
            <v>0</v>
          </cell>
        </row>
        <row r="37">
          <cell r="A37" t="str">
            <v>2Building Maintenance Shift to Capital</v>
          </cell>
          <cell r="B37">
            <v>6</v>
          </cell>
          <cell r="C37">
            <v>2</v>
          </cell>
          <cell r="D37" t="b">
            <v>1</v>
          </cell>
          <cell r="E37" t="str">
            <v>Grays Harbor</v>
          </cell>
          <cell r="F37" t="str">
            <v>001011</v>
          </cell>
          <cell r="G37">
            <v>161</v>
          </cell>
          <cell r="H37" t="str">
            <v>Building Maintenance Shift to Capital</v>
          </cell>
          <cell r="I37">
            <v>-136100</v>
          </cell>
          <cell r="J37">
            <v>0</v>
          </cell>
        </row>
        <row r="38">
          <cell r="A38" t="str">
            <v>2UWT Technology Institute</v>
          </cell>
          <cell r="B38">
            <v>6</v>
          </cell>
          <cell r="C38">
            <v>2</v>
          </cell>
          <cell r="D38" t="b">
            <v>1</v>
          </cell>
          <cell r="E38" t="str">
            <v>Grays Harbor</v>
          </cell>
          <cell r="F38" t="str">
            <v>001331</v>
          </cell>
          <cell r="G38">
            <v>165</v>
          </cell>
          <cell r="H38" t="str">
            <v>UWT Technology Institute</v>
          </cell>
          <cell r="I38">
            <v>15600</v>
          </cell>
          <cell r="J38">
            <v>0</v>
          </cell>
        </row>
        <row r="39">
          <cell r="A39" t="str">
            <v>2Labor Liaison Position</v>
          </cell>
          <cell r="B39">
            <v>6</v>
          </cell>
          <cell r="C39">
            <v>2</v>
          </cell>
          <cell r="D39" t="b">
            <v>1</v>
          </cell>
          <cell r="E39" t="str">
            <v>Grays Harbor</v>
          </cell>
          <cell r="F39" t="str">
            <v>001011</v>
          </cell>
          <cell r="G39">
            <v>220</v>
          </cell>
          <cell r="H39" t="str">
            <v>Labor Liaison Position</v>
          </cell>
          <cell r="I39">
            <v>-2100</v>
          </cell>
          <cell r="J39">
            <v>0</v>
          </cell>
        </row>
        <row r="40">
          <cell r="A40" t="str">
            <v>3Operations</v>
          </cell>
          <cell r="B40">
            <v>6</v>
          </cell>
          <cell r="C40">
            <v>3</v>
          </cell>
          <cell r="D40" t="b">
            <v>1</v>
          </cell>
          <cell r="E40" t="str">
            <v>Olympic</v>
          </cell>
          <cell r="F40" t="str">
            <v>001011</v>
          </cell>
          <cell r="G40">
            <v>100</v>
          </cell>
          <cell r="H40" t="str">
            <v>Operations</v>
          </cell>
          <cell r="I40">
            <v>13517092</v>
          </cell>
          <cell r="J40">
            <v>0</v>
          </cell>
        </row>
        <row r="41">
          <cell r="A41" t="str">
            <v>3Outcomes Assessment</v>
          </cell>
          <cell r="B41">
            <v>6</v>
          </cell>
          <cell r="C41">
            <v>3</v>
          </cell>
          <cell r="D41" t="b">
            <v>1</v>
          </cell>
          <cell r="E41" t="str">
            <v>Olympic</v>
          </cell>
          <cell r="F41" t="str">
            <v>001011</v>
          </cell>
          <cell r="G41">
            <v>110</v>
          </cell>
          <cell r="H41" t="str">
            <v>Outcomes Assessment</v>
          </cell>
          <cell r="I41">
            <v>54210</v>
          </cell>
          <cell r="J41">
            <v>0</v>
          </cell>
        </row>
        <row r="42">
          <cell r="A42" t="str">
            <v>3Part-time Faculty Salaries</v>
          </cell>
          <cell r="B42">
            <v>6</v>
          </cell>
          <cell r="C42">
            <v>3</v>
          </cell>
          <cell r="D42" t="b">
            <v>1</v>
          </cell>
          <cell r="E42" t="str">
            <v>Olympic</v>
          </cell>
          <cell r="F42" t="str">
            <v>001031</v>
          </cell>
          <cell r="G42">
            <v>111</v>
          </cell>
          <cell r="H42" t="str">
            <v>Part-time Faculty Salaries</v>
          </cell>
          <cell r="I42">
            <v>43400</v>
          </cell>
          <cell r="J42">
            <v>0</v>
          </cell>
        </row>
        <row r="43">
          <cell r="A43" t="str">
            <v>3Faculty Increments</v>
          </cell>
          <cell r="B43">
            <v>6</v>
          </cell>
          <cell r="C43">
            <v>3</v>
          </cell>
          <cell r="D43" t="b">
            <v>1</v>
          </cell>
          <cell r="E43" t="str">
            <v>Olympic</v>
          </cell>
          <cell r="F43" t="str">
            <v>001091</v>
          </cell>
          <cell r="G43">
            <v>112</v>
          </cell>
          <cell r="H43" t="str">
            <v>Faculty Increments</v>
          </cell>
          <cell r="I43">
            <v>39500</v>
          </cell>
          <cell r="J43">
            <v>0</v>
          </cell>
        </row>
        <row r="44">
          <cell r="A44" t="str">
            <v>3Childcare Program</v>
          </cell>
          <cell r="B44">
            <v>6</v>
          </cell>
          <cell r="C44">
            <v>3</v>
          </cell>
          <cell r="D44" t="b">
            <v>1</v>
          </cell>
          <cell r="E44" t="str">
            <v>Olympic</v>
          </cell>
          <cell r="F44" t="str">
            <v>001011</v>
          </cell>
          <cell r="G44">
            <v>120</v>
          </cell>
          <cell r="H44" t="str">
            <v>Childcare Program</v>
          </cell>
          <cell r="I44">
            <v>17540</v>
          </cell>
          <cell r="J44">
            <v>0</v>
          </cell>
        </row>
        <row r="45">
          <cell r="A45" t="str">
            <v>3Childcare Match</v>
          </cell>
          <cell r="B45">
            <v>6</v>
          </cell>
          <cell r="C45">
            <v>3</v>
          </cell>
          <cell r="D45" t="b">
            <v>1</v>
          </cell>
          <cell r="E45" t="str">
            <v>Olympic</v>
          </cell>
          <cell r="F45" t="str">
            <v>0011E1</v>
          </cell>
          <cell r="G45">
            <v>121</v>
          </cell>
          <cell r="H45" t="str">
            <v>Childcare Match</v>
          </cell>
          <cell r="I45">
            <v>0</v>
          </cell>
          <cell r="J45">
            <v>0</v>
          </cell>
        </row>
        <row r="46">
          <cell r="A46" t="str">
            <v>3Students of Color</v>
          </cell>
          <cell r="B46">
            <v>6</v>
          </cell>
          <cell r="C46">
            <v>3</v>
          </cell>
          <cell r="D46" t="b">
            <v>1</v>
          </cell>
          <cell r="E46" t="str">
            <v>Olympic</v>
          </cell>
          <cell r="F46" t="str">
            <v>001011</v>
          </cell>
          <cell r="G46">
            <v>122</v>
          </cell>
          <cell r="H46" t="str">
            <v>Students of Color</v>
          </cell>
          <cell r="I46">
            <v>31870</v>
          </cell>
          <cell r="J46">
            <v>0</v>
          </cell>
        </row>
        <row r="47">
          <cell r="A47" t="str">
            <v>3Annual Disability Accommod.</v>
          </cell>
          <cell r="B47">
            <v>6</v>
          </cell>
          <cell r="C47">
            <v>3</v>
          </cell>
          <cell r="D47" t="b">
            <v>1</v>
          </cell>
          <cell r="E47" t="str">
            <v>Olympic</v>
          </cell>
          <cell r="F47" t="str">
            <v>001011</v>
          </cell>
          <cell r="G47">
            <v>123</v>
          </cell>
          <cell r="H47" t="str">
            <v>Annual Disability Accommod.</v>
          </cell>
          <cell r="I47">
            <v>41510</v>
          </cell>
          <cell r="J47">
            <v>0</v>
          </cell>
        </row>
        <row r="48">
          <cell r="A48" t="str">
            <v>3Qtrly Disability Accomm Reserves</v>
          </cell>
          <cell r="B48">
            <v>6</v>
          </cell>
          <cell r="C48">
            <v>3</v>
          </cell>
          <cell r="D48" t="b">
            <v>1</v>
          </cell>
          <cell r="E48" t="str">
            <v>Olympic</v>
          </cell>
          <cell r="F48" t="str">
            <v>001011</v>
          </cell>
          <cell r="G48">
            <v>124</v>
          </cell>
          <cell r="H48" t="str">
            <v>Qtrly Disability Accomm Reserves</v>
          </cell>
          <cell r="I48">
            <v>0</v>
          </cell>
          <cell r="J48">
            <v>0</v>
          </cell>
        </row>
        <row r="49">
          <cell r="A49" t="str">
            <v>3Work-Based Learning</v>
          </cell>
          <cell r="B49">
            <v>6</v>
          </cell>
          <cell r="C49">
            <v>3</v>
          </cell>
          <cell r="D49" t="b">
            <v>1</v>
          </cell>
          <cell r="E49" t="str">
            <v>Olympic</v>
          </cell>
          <cell r="F49" t="str">
            <v>001351</v>
          </cell>
          <cell r="G49">
            <v>130</v>
          </cell>
          <cell r="H49" t="str">
            <v>Work-Based Learning</v>
          </cell>
          <cell r="I49">
            <v>29412</v>
          </cell>
          <cell r="J49">
            <v>0</v>
          </cell>
        </row>
        <row r="50">
          <cell r="A50" t="str">
            <v>3Worker Retraining</v>
          </cell>
          <cell r="B50">
            <v>6</v>
          </cell>
          <cell r="C50">
            <v>3</v>
          </cell>
          <cell r="D50" t="b">
            <v>1</v>
          </cell>
          <cell r="E50" t="str">
            <v>Olympic</v>
          </cell>
          <cell r="F50" t="str">
            <v>001231</v>
          </cell>
          <cell r="G50">
            <v>135</v>
          </cell>
          <cell r="H50" t="str">
            <v>Worker Retraining</v>
          </cell>
          <cell r="I50">
            <v>982143</v>
          </cell>
          <cell r="J50">
            <v>0</v>
          </cell>
        </row>
        <row r="51">
          <cell r="A51" t="str">
            <v>3WF Development Base</v>
          </cell>
          <cell r="B51">
            <v>6</v>
          </cell>
          <cell r="C51">
            <v>3</v>
          </cell>
          <cell r="D51" t="b">
            <v>1</v>
          </cell>
          <cell r="E51" t="str">
            <v>Olympic</v>
          </cell>
          <cell r="F51" t="str">
            <v>001011</v>
          </cell>
          <cell r="G51">
            <v>140</v>
          </cell>
          <cell r="H51" t="str">
            <v>WF Development Base</v>
          </cell>
          <cell r="I51">
            <v>28800</v>
          </cell>
          <cell r="J51">
            <v>0</v>
          </cell>
        </row>
        <row r="52">
          <cell r="A52" t="str">
            <v>3WF Development Projects</v>
          </cell>
          <cell r="B52">
            <v>6</v>
          </cell>
          <cell r="C52">
            <v>3</v>
          </cell>
          <cell r="D52" t="b">
            <v>1</v>
          </cell>
          <cell r="E52" t="str">
            <v>Olympic</v>
          </cell>
          <cell r="F52" t="str">
            <v>001011</v>
          </cell>
          <cell r="G52">
            <v>141</v>
          </cell>
          <cell r="H52" t="str">
            <v>WF Development Projects</v>
          </cell>
          <cell r="I52">
            <v>129221</v>
          </cell>
          <cell r="J52">
            <v>0</v>
          </cell>
        </row>
        <row r="53">
          <cell r="A53" t="str">
            <v>3Apprenticeship</v>
          </cell>
          <cell r="B53">
            <v>6</v>
          </cell>
          <cell r="C53">
            <v>3</v>
          </cell>
          <cell r="D53" t="b">
            <v>1</v>
          </cell>
          <cell r="E53" t="str">
            <v>Olympic</v>
          </cell>
          <cell r="F53" t="str">
            <v>001011</v>
          </cell>
          <cell r="G53">
            <v>145</v>
          </cell>
          <cell r="H53" t="str">
            <v>Apprenticeship</v>
          </cell>
          <cell r="I53">
            <v>261144</v>
          </cell>
          <cell r="J53">
            <v>0</v>
          </cell>
        </row>
        <row r="54">
          <cell r="A54" t="str">
            <v>3Rural/Community Development</v>
          </cell>
          <cell r="B54">
            <v>6</v>
          </cell>
          <cell r="C54">
            <v>3</v>
          </cell>
          <cell r="D54" t="b">
            <v>1</v>
          </cell>
          <cell r="E54" t="str">
            <v>Olympic</v>
          </cell>
          <cell r="F54" t="str">
            <v>001311</v>
          </cell>
          <cell r="G54">
            <v>150</v>
          </cell>
          <cell r="H54" t="str">
            <v>Rural/Community Development</v>
          </cell>
          <cell r="I54">
            <v>0</v>
          </cell>
          <cell r="J54">
            <v>0</v>
          </cell>
        </row>
        <row r="55">
          <cell r="A55" t="str">
            <v>3New Facilities Maint &amp; Ops</v>
          </cell>
          <cell r="B55">
            <v>6</v>
          </cell>
          <cell r="C55">
            <v>3</v>
          </cell>
          <cell r="D55" t="b">
            <v>1</v>
          </cell>
          <cell r="E55" t="str">
            <v>Olympic</v>
          </cell>
          <cell r="F55" t="str">
            <v>001011</v>
          </cell>
          <cell r="G55">
            <v>160</v>
          </cell>
          <cell r="H55" t="str">
            <v>New Facilities Maint &amp; Ops</v>
          </cell>
          <cell r="I55">
            <v>260500</v>
          </cell>
          <cell r="J55">
            <v>0</v>
          </cell>
        </row>
        <row r="56">
          <cell r="A56" t="str">
            <v>3Building Maintenance Shift to Capital</v>
          </cell>
          <cell r="B56">
            <v>6</v>
          </cell>
          <cell r="C56">
            <v>3</v>
          </cell>
          <cell r="D56" t="b">
            <v>1</v>
          </cell>
          <cell r="E56" t="str">
            <v>Olympic</v>
          </cell>
          <cell r="F56" t="str">
            <v>001011</v>
          </cell>
          <cell r="G56">
            <v>161</v>
          </cell>
          <cell r="H56" t="str">
            <v>Building Maintenance Shift to Capital</v>
          </cell>
          <cell r="I56">
            <v>-239900</v>
          </cell>
          <cell r="J56">
            <v>0</v>
          </cell>
        </row>
        <row r="57">
          <cell r="A57" t="str">
            <v>3UWT Technology Institute</v>
          </cell>
          <cell r="B57">
            <v>6</v>
          </cell>
          <cell r="C57">
            <v>3</v>
          </cell>
          <cell r="D57" t="b">
            <v>1</v>
          </cell>
          <cell r="E57" t="str">
            <v>Olympic</v>
          </cell>
          <cell r="F57" t="str">
            <v>001331</v>
          </cell>
          <cell r="G57">
            <v>165</v>
          </cell>
          <cell r="H57" t="str">
            <v>UWT Technology Institute</v>
          </cell>
          <cell r="I57">
            <v>42900</v>
          </cell>
          <cell r="J57">
            <v>0</v>
          </cell>
        </row>
        <row r="58">
          <cell r="A58" t="str">
            <v>3Olympic 2+2</v>
          </cell>
          <cell r="B58">
            <v>6</v>
          </cell>
          <cell r="C58">
            <v>3</v>
          </cell>
          <cell r="D58" t="b">
            <v>1</v>
          </cell>
          <cell r="E58" t="str">
            <v>Olympic</v>
          </cell>
          <cell r="F58" t="str">
            <v>001391</v>
          </cell>
          <cell r="G58">
            <v>170</v>
          </cell>
          <cell r="H58" t="str">
            <v>Olympic 2+2</v>
          </cell>
          <cell r="I58">
            <v>212000</v>
          </cell>
          <cell r="J58">
            <v>0</v>
          </cell>
        </row>
        <row r="59">
          <cell r="A59" t="str">
            <v>3Labor Liaison Position</v>
          </cell>
          <cell r="B59">
            <v>6</v>
          </cell>
          <cell r="C59">
            <v>3</v>
          </cell>
          <cell r="D59" t="b">
            <v>1</v>
          </cell>
          <cell r="E59" t="str">
            <v>Olympic</v>
          </cell>
          <cell r="F59" t="str">
            <v>001011</v>
          </cell>
          <cell r="G59">
            <v>220</v>
          </cell>
          <cell r="H59" t="str">
            <v>Labor Liaison Position</v>
          </cell>
          <cell r="I59">
            <v>-2100</v>
          </cell>
          <cell r="J59">
            <v>0</v>
          </cell>
        </row>
        <row r="60">
          <cell r="A60" t="str">
            <v>4Operations</v>
          </cell>
          <cell r="B60">
            <v>6</v>
          </cell>
          <cell r="C60">
            <v>4</v>
          </cell>
          <cell r="D60" t="b">
            <v>1</v>
          </cell>
          <cell r="E60" t="str">
            <v>Skagit Valley</v>
          </cell>
          <cell r="F60" t="str">
            <v>001011</v>
          </cell>
          <cell r="G60">
            <v>100</v>
          </cell>
          <cell r="H60" t="str">
            <v>Operations</v>
          </cell>
          <cell r="I60">
            <v>12429512</v>
          </cell>
          <cell r="J60">
            <v>0</v>
          </cell>
        </row>
        <row r="61">
          <cell r="A61" t="str">
            <v>4Outcomes Assessment</v>
          </cell>
          <cell r="B61">
            <v>6</v>
          </cell>
          <cell r="C61">
            <v>4</v>
          </cell>
          <cell r="D61" t="b">
            <v>1</v>
          </cell>
          <cell r="E61" t="str">
            <v>Skagit Valley</v>
          </cell>
          <cell r="F61" t="str">
            <v>001011</v>
          </cell>
          <cell r="G61">
            <v>110</v>
          </cell>
          <cell r="H61" t="str">
            <v>Outcomes Assessment</v>
          </cell>
          <cell r="I61">
            <v>54210</v>
          </cell>
          <cell r="J61">
            <v>0</v>
          </cell>
        </row>
        <row r="62">
          <cell r="A62" t="str">
            <v>4Part-time Faculty Salaries</v>
          </cell>
          <cell r="B62">
            <v>6</v>
          </cell>
          <cell r="C62">
            <v>4</v>
          </cell>
          <cell r="D62" t="b">
            <v>1</v>
          </cell>
          <cell r="E62" t="str">
            <v>Skagit Valley</v>
          </cell>
          <cell r="F62" t="str">
            <v>001031</v>
          </cell>
          <cell r="G62">
            <v>111</v>
          </cell>
          <cell r="H62" t="str">
            <v>Part-time Faculty Salaries</v>
          </cell>
          <cell r="I62">
            <v>32200</v>
          </cell>
          <cell r="J62">
            <v>0</v>
          </cell>
        </row>
        <row r="63">
          <cell r="A63" t="str">
            <v>4Faculty Increments</v>
          </cell>
          <cell r="B63">
            <v>6</v>
          </cell>
          <cell r="C63">
            <v>4</v>
          </cell>
          <cell r="D63" t="b">
            <v>1</v>
          </cell>
          <cell r="E63" t="str">
            <v>Skagit Valley</v>
          </cell>
          <cell r="F63" t="str">
            <v>001091</v>
          </cell>
          <cell r="G63">
            <v>112</v>
          </cell>
          <cell r="H63" t="str">
            <v>Faculty Increments</v>
          </cell>
          <cell r="I63">
            <v>41900</v>
          </cell>
          <cell r="J63">
            <v>0</v>
          </cell>
        </row>
        <row r="64">
          <cell r="A64" t="str">
            <v>4Childcare Program</v>
          </cell>
          <cell r="B64">
            <v>6</v>
          </cell>
          <cell r="C64">
            <v>4</v>
          </cell>
          <cell r="D64" t="b">
            <v>1</v>
          </cell>
          <cell r="E64" t="str">
            <v>Skagit Valley</v>
          </cell>
          <cell r="F64" t="str">
            <v>001011</v>
          </cell>
          <cell r="G64">
            <v>120</v>
          </cell>
          <cell r="H64" t="str">
            <v>Childcare Program</v>
          </cell>
          <cell r="I64">
            <v>14290</v>
          </cell>
          <cell r="J64">
            <v>0</v>
          </cell>
        </row>
        <row r="65">
          <cell r="A65" t="str">
            <v>4Childcare Match</v>
          </cell>
          <cell r="B65">
            <v>6</v>
          </cell>
          <cell r="C65">
            <v>4</v>
          </cell>
          <cell r="D65" t="b">
            <v>1</v>
          </cell>
          <cell r="E65" t="str">
            <v>Skagit Valley</v>
          </cell>
          <cell r="F65" t="str">
            <v>0011E1</v>
          </cell>
          <cell r="G65">
            <v>121</v>
          </cell>
          <cell r="H65" t="str">
            <v>Childcare Match</v>
          </cell>
          <cell r="I65">
            <v>0</v>
          </cell>
          <cell r="J65">
            <v>0</v>
          </cell>
        </row>
        <row r="66">
          <cell r="A66" t="str">
            <v>4Students of Color</v>
          </cell>
          <cell r="B66">
            <v>6</v>
          </cell>
          <cell r="C66">
            <v>4</v>
          </cell>
          <cell r="D66" t="b">
            <v>1</v>
          </cell>
          <cell r="E66" t="str">
            <v>Skagit Valley</v>
          </cell>
          <cell r="F66" t="str">
            <v>001011</v>
          </cell>
          <cell r="G66">
            <v>122</v>
          </cell>
          <cell r="H66" t="str">
            <v>Students of Color</v>
          </cell>
          <cell r="I66">
            <v>28520</v>
          </cell>
          <cell r="J66">
            <v>0</v>
          </cell>
        </row>
        <row r="67">
          <cell r="A67" t="str">
            <v>4Annual Disability Accommod.</v>
          </cell>
          <cell r="B67">
            <v>6</v>
          </cell>
          <cell r="C67">
            <v>4</v>
          </cell>
          <cell r="D67" t="b">
            <v>1</v>
          </cell>
          <cell r="E67" t="str">
            <v>Skagit Valley</v>
          </cell>
          <cell r="F67" t="str">
            <v>001011</v>
          </cell>
          <cell r="G67">
            <v>123</v>
          </cell>
          <cell r="H67" t="str">
            <v>Annual Disability Accommod.</v>
          </cell>
          <cell r="I67">
            <v>30970</v>
          </cell>
          <cell r="J67">
            <v>0</v>
          </cell>
        </row>
        <row r="68">
          <cell r="A68" t="str">
            <v>4Qtrly Disability Accomm Reserves</v>
          </cell>
          <cell r="B68">
            <v>6</v>
          </cell>
          <cell r="C68">
            <v>4</v>
          </cell>
          <cell r="D68" t="b">
            <v>1</v>
          </cell>
          <cell r="E68" t="str">
            <v>Skagit Valley</v>
          </cell>
          <cell r="F68" t="str">
            <v>001011</v>
          </cell>
          <cell r="G68">
            <v>124</v>
          </cell>
          <cell r="H68" t="str">
            <v>Qtrly Disability Accomm Reserves</v>
          </cell>
          <cell r="I68">
            <v>0</v>
          </cell>
          <cell r="J68">
            <v>0</v>
          </cell>
        </row>
        <row r="69">
          <cell r="A69" t="str">
            <v>4Work-Based Learning</v>
          </cell>
          <cell r="B69">
            <v>6</v>
          </cell>
          <cell r="C69">
            <v>4</v>
          </cell>
          <cell r="D69" t="b">
            <v>1</v>
          </cell>
          <cell r="E69" t="str">
            <v>Skagit Valley</v>
          </cell>
          <cell r="F69" t="str">
            <v>001351</v>
          </cell>
          <cell r="G69">
            <v>130</v>
          </cell>
          <cell r="H69" t="str">
            <v>Work-Based Learning</v>
          </cell>
          <cell r="I69">
            <v>29412</v>
          </cell>
          <cell r="J69">
            <v>0</v>
          </cell>
        </row>
        <row r="70">
          <cell r="A70" t="str">
            <v>4Worker Retraining</v>
          </cell>
          <cell r="B70">
            <v>6</v>
          </cell>
          <cell r="C70">
            <v>4</v>
          </cell>
          <cell r="D70" t="b">
            <v>1</v>
          </cell>
          <cell r="E70" t="str">
            <v>Skagit Valley</v>
          </cell>
          <cell r="F70" t="str">
            <v>001231</v>
          </cell>
          <cell r="G70">
            <v>135</v>
          </cell>
          <cell r="H70" t="str">
            <v>Worker Retraining</v>
          </cell>
          <cell r="I70">
            <v>746982</v>
          </cell>
          <cell r="J70">
            <v>0</v>
          </cell>
        </row>
        <row r="71">
          <cell r="A71" t="str">
            <v>4High Demand Competitive</v>
          </cell>
          <cell r="B71">
            <v>6</v>
          </cell>
          <cell r="C71">
            <v>4</v>
          </cell>
          <cell r="D71" t="b">
            <v>1</v>
          </cell>
          <cell r="E71" t="str">
            <v>Skagit Valley</v>
          </cell>
          <cell r="F71" t="str">
            <v>0011H1</v>
          </cell>
          <cell r="G71">
            <v>137</v>
          </cell>
          <cell r="H71" t="str">
            <v>High Demand Competitive</v>
          </cell>
          <cell r="I71">
            <v>119400</v>
          </cell>
          <cell r="J71">
            <v>0</v>
          </cell>
        </row>
        <row r="72">
          <cell r="A72" t="str">
            <v>4WF Development Base</v>
          </cell>
          <cell r="B72">
            <v>6</v>
          </cell>
          <cell r="C72">
            <v>4</v>
          </cell>
          <cell r="D72" t="b">
            <v>1</v>
          </cell>
          <cell r="E72" t="str">
            <v>Skagit Valley</v>
          </cell>
          <cell r="F72" t="str">
            <v>001011</v>
          </cell>
          <cell r="G72">
            <v>140</v>
          </cell>
          <cell r="H72" t="str">
            <v>WF Development Base</v>
          </cell>
          <cell r="I72">
            <v>28800</v>
          </cell>
          <cell r="J72">
            <v>0</v>
          </cell>
        </row>
        <row r="73">
          <cell r="A73" t="str">
            <v>4WF Development Projects</v>
          </cell>
          <cell r="B73">
            <v>6</v>
          </cell>
          <cell r="C73">
            <v>4</v>
          </cell>
          <cell r="D73" t="b">
            <v>1</v>
          </cell>
          <cell r="E73" t="str">
            <v>Skagit Valley</v>
          </cell>
          <cell r="F73" t="str">
            <v>001011</v>
          </cell>
          <cell r="G73">
            <v>141</v>
          </cell>
          <cell r="H73" t="str">
            <v>WF Development Projects</v>
          </cell>
          <cell r="I73">
            <v>0</v>
          </cell>
          <cell r="J73">
            <v>0</v>
          </cell>
        </row>
        <row r="74">
          <cell r="A74" t="str">
            <v>4Apprenticeship</v>
          </cell>
          <cell r="B74">
            <v>6</v>
          </cell>
          <cell r="C74">
            <v>4</v>
          </cell>
          <cell r="D74" t="b">
            <v>1</v>
          </cell>
          <cell r="E74" t="str">
            <v>Skagit Valley</v>
          </cell>
          <cell r="F74" t="str">
            <v>001011</v>
          </cell>
          <cell r="G74">
            <v>145</v>
          </cell>
          <cell r="H74" t="str">
            <v>Apprenticeship</v>
          </cell>
          <cell r="I74">
            <v>0</v>
          </cell>
          <cell r="J74">
            <v>0</v>
          </cell>
        </row>
        <row r="75">
          <cell r="A75" t="str">
            <v>4Rural/Community Development</v>
          </cell>
          <cell r="B75">
            <v>6</v>
          </cell>
          <cell r="C75">
            <v>4</v>
          </cell>
          <cell r="D75" t="b">
            <v>1</v>
          </cell>
          <cell r="E75" t="str">
            <v>Skagit Valley</v>
          </cell>
          <cell r="F75" t="str">
            <v>001311</v>
          </cell>
          <cell r="G75">
            <v>150</v>
          </cell>
          <cell r="H75" t="str">
            <v>Rural/Community Development</v>
          </cell>
          <cell r="I75">
            <v>40000</v>
          </cell>
          <cell r="J75">
            <v>0</v>
          </cell>
        </row>
        <row r="76">
          <cell r="A76" t="str">
            <v>4New Facilities Maint &amp; Ops</v>
          </cell>
          <cell r="B76">
            <v>6</v>
          </cell>
          <cell r="C76">
            <v>4</v>
          </cell>
          <cell r="D76" t="b">
            <v>1</v>
          </cell>
          <cell r="E76" t="str">
            <v>Skagit Valley</v>
          </cell>
          <cell r="F76" t="str">
            <v>001011</v>
          </cell>
          <cell r="G76">
            <v>160</v>
          </cell>
          <cell r="H76" t="str">
            <v>New Facilities Maint &amp; Ops</v>
          </cell>
          <cell r="I76">
            <v>248900</v>
          </cell>
          <cell r="J76">
            <v>0</v>
          </cell>
        </row>
        <row r="77">
          <cell r="A77" t="str">
            <v>4Building Maintenance Shift to Capital</v>
          </cell>
          <cell r="B77">
            <v>6</v>
          </cell>
          <cell r="C77">
            <v>4</v>
          </cell>
          <cell r="D77" t="b">
            <v>1</v>
          </cell>
          <cell r="E77" t="str">
            <v>Skagit Valley</v>
          </cell>
          <cell r="F77" t="str">
            <v>001011</v>
          </cell>
          <cell r="G77">
            <v>161</v>
          </cell>
          <cell r="H77" t="str">
            <v>Building Maintenance Shift to Capital</v>
          </cell>
          <cell r="I77">
            <v>-265400</v>
          </cell>
          <cell r="J77">
            <v>0</v>
          </cell>
        </row>
        <row r="78">
          <cell r="A78" t="str">
            <v>4UWT Technology Institute</v>
          </cell>
          <cell r="B78">
            <v>6</v>
          </cell>
          <cell r="C78">
            <v>4</v>
          </cell>
          <cell r="D78" t="b">
            <v>1</v>
          </cell>
          <cell r="E78" t="str">
            <v>Skagit Valley</v>
          </cell>
          <cell r="F78" t="str">
            <v>001331</v>
          </cell>
          <cell r="G78">
            <v>165</v>
          </cell>
          <cell r="H78" t="str">
            <v>UWT Technology Institute</v>
          </cell>
          <cell r="I78">
            <v>0</v>
          </cell>
          <cell r="J78">
            <v>0</v>
          </cell>
        </row>
        <row r="79">
          <cell r="A79" t="str">
            <v>4Labor Liaison Position</v>
          </cell>
          <cell r="B79">
            <v>6</v>
          </cell>
          <cell r="C79">
            <v>4</v>
          </cell>
          <cell r="D79" t="b">
            <v>1</v>
          </cell>
          <cell r="E79" t="str">
            <v>Skagit Valley</v>
          </cell>
          <cell r="F79" t="str">
            <v>001011</v>
          </cell>
          <cell r="G79">
            <v>220</v>
          </cell>
          <cell r="H79" t="str">
            <v>Labor Liaison Position</v>
          </cell>
          <cell r="I79">
            <v>-2100</v>
          </cell>
          <cell r="J79">
            <v>0</v>
          </cell>
        </row>
        <row r="80">
          <cell r="A80" t="str">
            <v>5Operations</v>
          </cell>
          <cell r="B80">
            <v>6</v>
          </cell>
          <cell r="C80">
            <v>5</v>
          </cell>
          <cell r="D80" t="b">
            <v>1</v>
          </cell>
          <cell r="E80" t="str">
            <v>Everett</v>
          </cell>
          <cell r="F80" t="str">
            <v>001011</v>
          </cell>
          <cell r="G80">
            <v>100</v>
          </cell>
          <cell r="H80" t="str">
            <v>Operations</v>
          </cell>
          <cell r="I80">
            <v>14744401</v>
          </cell>
          <cell r="J80">
            <v>0</v>
          </cell>
        </row>
        <row r="81">
          <cell r="A81" t="str">
            <v>5Outcomes Assessment</v>
          </cell>
          <cell r="B81">
            <v>6</v>
          </cell>
          <cell r="C81">
            <v>5</v>
          </cell>
          <cell r="D81" t="b">
            <v>1</v>
          </cell>
          <cell r="E81" t="str">
            <v>Everett</v>
          </cell>
          <cell r="F81" t="str">
            <v>001011</v>
          </cell>
          <cell r="G81">
            <v>110</v>
          </cell>
          <cell r="H81" t="str">
            <v>Outcomes Assessment</v>
          </cell>
          <cell r="I81">
            <v>54210</v>
          </cell>
          <cell r="J81">
            <v>0</v>
          </cell>
        </row>
        <row r="82">
          <cell r="A82" t="str">
            <v>5Part-time Faculty Salaries</v>
          </cell>
          <cell r="B82">
            <v>6</v>
          </cell>
          <cell r="C82">
            <v>5</v>
          </cell>
          <cell r="D82" t="b">
            <v>1</v>
          </cell>
          <cell r="E82" t="str">
            <v>Everett</v>
          </cell>
          <cell r="F82" t="str">
            <v>001031</v>
          </cell>
          <cell r="G82">
            <v>111</v>
          </cell>
          <cell r="H82" t="str">
            <v>Part-time Faculty Salaries</v>
          </cell>
          <cell r="I82">
            <v>44800</v>
          </cell>
          <cell r="J82">
            <v>0</v>
          </cell>
        </row>
        <row r="83">
          <cell r="A83" t="str">
            <v>5Faculty Increments</v>
          </cell>
          <cell r="B83">
            <v>6</v>
          </cell>
          <cell r="C83">
            <v>5</v>
          </cell>
          <cell r="D83" t="b">
            <v>1</v>
          </cell>
          <cell r="E83" t="str">
            <v>Everett</v>
          </cell>
          <cell r="F83" t="str">
            <v>001091</v>
          </cell>
          <cell r="G83">
            <v>112</v>
          </cell>
          <cell r="H83" t="str">
            <v>Faculty Increments</v>
          </cell>
          <cell r="I83">
            <v>41400</v>
          </cell>
          <cell r="J83">
            <v>0</v>
          </cell>
        </row>
        <row r="84">
          <cell r="A84" t="str">
            <v>5Childcare Program</v>
          </cell>
          <cell r="B84">
            <v>6</v>
          </cell>
          <cell r="C84">
            <v>5</v>
          </cell>
          <cell r="D84" t="b">
            <v>1</v>
          </cell>
          <cell r="E84" t="str">
            <v>Everett</v>
          </cell>
          <cell r="F84" t="str">
            <v>001011</v>
          </cell>
          <cell r="G84">
            <v>120</v>
          </cell>
          <cell r="H84" t="str">
            <v>Childcare Program</v>
          </cell>
          <cell r="I84">
            <v>16690</v>
          </cell>
          <cell r="J84">
            <v>0</v>
          </cell>
        </row>
        <row r="85">
          <cell r="A85" t="str">
            <v>5Childcare Match</v>
          </cell>
          <cell r="B85">
            <v>6</v>
          </cell>
          <cell r="C85">
            <v>5</v>
          </cell>
          <cell r="D85" t="b">
            <v>1</v>
          </cell>
          <cell r="E85" t="str">
            <v>Everett</v>
          </cell>
          <cell r="F85" t="str">
            <v>0011E1</v>
          </cell>
          <cell r="G85">
            <v>121</v>
          </cell>
          <cell r="H85" t="str">
            <v>Childcare Match</v>
          </cell>
          <cell r="I85">
            <v>0</v>
          </cell>
          <cell r="J85">
            <v>0</v>
          </cell>
        </row>
        <row r="86">
          <cell r="A86" t="str">
            <v>5Students of Color</v>
          </cell>
          <cell r="B86">
            <v>6</v>
          </cell>
          <cell r="C86">
            <v>5</v>
          </cell>
          <cell r="D86" t="b">
            <v>1</v>
          </cell>
          <cell r="E86" t="str">
            <v>Everett</v>
          </cell>
          <cell r="F86" t="str">
            <v>001011</v>
          </cell>
          <cell r="G86">
            <v>122</v>
          </cell>
          <cell r="H86" t="str">
            <v>Students of Color</v>
          </cell>
          <cell r="I86">
            <v>31200</v>
          </cell>
          <cell r="J86">
            <v>0</v>
          </cell>
        </row>
        <row r="87">
          <cell r="A87" t="str">
            <v>5Annual Disability Accommod.</v>
          </cell>
          <cell r="B87">
            <v>6</v>
          </cell>
          <cell r="C87">
            <v>5</v>
          </cell>
          <cell r="D87" t="b">
            <v>1</v>
          </cell>
          <cell r="E87" t="str">
            <v>Everett</v>
          </cell>
          <cell r="F87" t="str">
            <v>001011</v>
          </cell>
          <cell r="G87">
            <v>123</v>
          </cell>
          <cell r="H87" t="str">
            <v>Annual Disability Accommod.</v>
          </cell>
          <cell r="I87">
            <v>28480</v>
          </cell>
          <cell r="J87">
            <v>0</v>
          </cell>
        </row>
        <row r="88">
          <cell r="A88" t="str">
            <v>5Qtrly Disability Accomm Reserves</v>
          </cell>
          <cell r="B88">
            <v>6</v>
          </cell>
          <cell r="C88">
            <v>5</v>
          </cell>
          <cell r="D88" t="b">
            <v>1</v>
          </cell>
          <cell r="E88" t="str">
            <v>Everett</v>
          </cell>
          <cell r="F88" t="str">
            <v>001011</v>
          </cell>
          <cell r="G88">
            <v>124</v>
          </cell>
          <cell r="H88" t="str">
            <v>Qtrly Disability Accomm Reserves</v>
          </cell>
          <cell r="I88">
            <v>0</v>
          </cell>
          <cell r="J88">
            <v>0</v>
          </cell>
        </row>
        <row r="89">
          <cell r="A89" t="str">
            <v>5Work-Based Learning</v>
          </cell>
          <cell r="B89">
            <v>6</v>
          </cell>
          <cell r="C89">
            <v>5</v>
          </cell>
          <cell r="D89" t="b">
            <v>1</v>
          </cell>
          <cell r="E89" t="str">
            <v>Everett</v>
          </cell>
          <cell r="F89" t="str">
            <v>001351</v>
          </cell>
          <cell r="G89">
            <v>130</v>
          </cell>
          <cell r="H89" t="str">
            <v>Work-Based Learning</v>
          </cell>
          <cell r="I89">
            <v>29412</v>
          </cell>
          <cell r="J89">
            <v>0</v>
          </cell>
        </row>
        <row r="90">
          <cell r="A90" t="str">
            <v>5Worker Retraining</v>
          </cell>
          <cell r="B90">
            <v>6</v>
          </cell>
          <cell r="C90">
            <v>5</v>
          </cell>
          <cell r="D90" t="b">
            <v>1</v>
          </cell>
          <cell r="E90" t="str">
            <v>Everett</v>
          </cell>
          <cell r="F90" t="str">
            <v>001231</v>
          </cell>
          <cell r="G90">
            <v>135</v>
          </cell>
          <cell r="H90" t="str">
            <v>Worker Retraining</v>
          </cell>
          <cell r="I90">
            <v>816147</v>
          </cell>
          <cell r="J90">
            <v>0</v>
          </cell>
        </row>
        <row r="91">
          <cell r="A91" t="str">
            <v>5High Demand Competitive</v>
          </cell>
          <cell r="B91">
            <v>6</v>
          </cell>
          <cell r="C91">
            <v>5</v>
          </cell>
          <cell r="D91" t="b">
            <v>1</v>
          </cell>
          <cell r="E91" t="str">
            <v>Everett</v>
          </cell>
          <cell r="F91" t="str">
            <v>0011H1</v>
          </cell>
          <cell r="G91">
            <v>137</v>
          </cell>
          <cell r="H91" t="str">
            <v>High Demand Competitive</v>
          </cell>
          <cell r="I91">
            <v>149250</v>
          </cell>
          <cell r="J91">
            <v>0</v>
          </cell>
        </row>
        <row r="92">
          <cell r="A92" t="str">
            <v>5WF Development Base</v>
          </cell>
          <cell r="B92">
            <v>6</v>
          </cell>
          <cell r="C92">
            <v>5</v>
          </cell>
          <cell r="D92" t="b">
            <v>1</v>
          </cell>
          <cell r="E92" t="str">
            <v>Everett</v>
          </cell>
          <cell r="F92" t="str">
            <v>001011</v>
          </cell>
          <cell r="G92">
            <v>140</v>
          </cell>
          <cell r="H92" t="str">
            <v>WF Development Base</v>
          </cell>
          <cell r="I92">
            <v>28800</v>
          </cell>
          <cell r="J92">
            <v>0</v>
          </cell>
        </row>
        <row r="93">
          <cell r="A93" t="str">
            <v>5WF Development Projects</v>
          </cell>
          <cell r="B93">
            <v>6</v>
          </cell>
          <cell r="C93">
            <v>5</v>
          </cell>
          <cell r="D93" t="b">
            <v>1</v>
          </cell>
          <cell r="E93" t="str">
            <v>Everett</v>
          </cell>
          <cell r="F93" t="str">
            <v>001011</v>
          </cell>
          <cell r="G93">
            <v>141</v>
          </cell>
          <cell r="H93" t="str">
            <v>WF Development Projects</v>
          </cell>
          <cell r="I93">
            <v>0</v>
          </cell>
          <cell r="J93">
            <v>0</v>
          </cell>
        </row>
        <row r="94">
          <cell r="A94" t="str">
            <v>5Apprenticeship</v>
          </cell>
          <cell r="B94">
            <v>6</v>
          </cell>
          <cell r="C94">
            <v>5</v>
          </cell>
          <cell r="D94" t="b">
            <v>1</v>
          </cell>
          <cell r="E94" t="str">
            <v>Everett</v>
          </cell>
          <cell r="F94" t="str">
            <v>001011</v>
          </cell>
          <cell r="G94">
            <v>145</v>
          </cell>
          <cell r="H94" t="str">
            <v>Apprenticeship</v>
          </cell>
          <cell r="I94">
            <v>76167</v>
          </cell>
          <cell r="J94">
            <v>0</v>
          </cell>
        </row>
        <row r="95">
          <cell r="A95" t="str">
            <v>5Rural/Community Development</v>
          </cell>
          <cell r="B95">
            <v>6</v>
          </cell>
          <cell r="C95">
            <v>5</v>
          </cell>
          <cell r="D95" t="b">
            <v>1</v>
          </cell>
          <cell r="E95" t="str">
            <v>Everett</v>
          </cell>
          <cell r="F95" t="str">
            <v>001311</v>
          </cell>
          <cell r="G95">
            <v>150</v>
          </cell>
          <cell r="H95" t="str">
            <v>Rural/Community Development</v>
          </cell>
          <cell r="I95">
            <v>0</v>
          </cell>
          <cell r="J95">
            <v>0</v>
          </cell>
        </row>
        <row r="96">
          <cell r="A96" t="str">
            <v>5New Facilities Maint &amp; Ops</v>
          </cell>
          <cell r="B96">
            <v>6</v>
          </cell>
          <cell r="C96">
            <v>5</v>
          </cell>
          <cell r="D96" t="b">
            <v>1</v>
          </cell>
          <cell r="E96" t="str">
            <v>Everett</v>
          </cell>
          <cell r="F96" t="str">
            <v>001011</v>
          </cell>
          <cell r="G96">
            <v>160</v>
          </cell>
          <cell r="H96" t="str">
            <v>New Facilities Maint &amp; Ops</v>
          </cell>
          <cell r="I96">
            <v>0</v>
          </cell>
          <cell r="J96">
            <v>0</v>
          </cell>
        </row>
        <row r="97">
          <cell r="A97" t="str">
            <v>5Building Maintenance Shift to Capital</v>
          </cell>
          <cell r="B97">
            <v>6</v>
          </cell>
          <cell r="C97">
            <v>5</v>
          </cell>
          <cell r="D97" t="b">
            <v>1</v>
          </cell>
          <cell r="E97" t="str">
            <v>Everett</v>
          </cell>
          <cell r="F97" t="str">
            <v>001011</v>
          </cell>
          <cell r="G97">
            <v>161</v>
          </cell>
          <cell r="H97" t="str">
            <v>Building Maintenance Shift to Capital</v>
          </cell>
          <cell r="I97">
            <v>-260300</v>
          </cell>
          <cell r="J97">
            <v>0</v>
          </cell>
        </row>
        <row r="98">
          <cell r="A98" t="str">
            <v>5UWT Technology Institute</v>
          </cell>
          <cell r="B98">
            <v>6</v>
          </cell>
          <cell r="C98">
            <v>5</v>
          </cell>
          <cell r="D98" t="b">
            <v>1</v>
          </cell>
          <cell r="E98" t="str">
            <v>Everett</v>
          </cell>
          <cell r="F98" t="str">
            <v>001331</v>
          </cell>
          <cell r="G98">
            <v>165</v>
          </cell>
          <cell r="H98" t="str">
            <v>UWT Technology Institute</v>
          </cell>
          <cell r="I98">
            <v>0</v>
          </cell>
          <cell r="J98">
            <v>0</v>
          </cell>
        </row>
        <row r="99">
          <cell r="A99" t="str">
            <v>5Labor Liaison Position</v>
          </cell>
          <cell r="B99">
            <v>6</v>
          </cell>
          <cell r="C99">
            <v>5</v>
          </cell>
          <cell r="D99" t="b">
            <v>1</v>
          </cell>
          <cell r="E99" t="str">
            <v>Everett</v>
          </cell>
          <cell r="F99" t="str">
            <v>001011</v>
          </cell>
          <cell r="G99">
            <v>220</v>
          </cell>
          <cell r="H99" t="str">
            <v>Labor Liaison Position</v>
          </cell>
          <cell r="I99">
            <v>-2100</v>
          </cell>
          <cell r="J99">
            <v>0</v>
          </cell>
        </row>
        <row r="100">
          <cell r="A100" t="str">
            <v>6Operations</v>
          </cell>
          <cell r="B100">
            <v>6</v>
          </cell>
          <cell r="C100">
            <v>6</v>
          </cell>
          <cell r="D100" t="b">
            <v>1</v>
          </cell>
          <cell r="E100" t="str">
            <v>Seattle</v>
          </cell>
          <cell r="F100" t="str">
            <v>001011</v>
          </cell>
          <cell r="G100">
            <v>100</v>
          </cell>
          <cell r="H100" t="str">
            <v>Operations</v>
          </cell>
          <cell r="I100">
            <v>49615444</v>
          </cell>
          <cell r="J100">
            <v>0</v>
          </cell>
        </row>
        <row r="101">
          <cell r="A101" t="str">
            <v>6Outcomes Assessment</v>
          </cell>
          <cell r="B101">
            <v>6</v>
          </cell>
          <cell r="C101">
            <v>6</v>
          </cell>
          <cell r="D101" t="b">
            <v>1</v>
          </cell>
          <cell r="E101" t="str">
            <v>Seattle</v>
          </cell>
          <cell r="F101" t="str">
            <v>001011</v>
          </cell>
          <cell r="G101">
            <v>110</v>
          </cell>
          <cell r="H101" t="str">
            <v>Outcomes Assessment</v>
          </cell>
          <cell r="I101">
            <v>162630</v>
          </cell>
          <cell r="J101">
            <v>0</v>
          </cell>
        </row>
        <row r="102">
          <cell r="A102" t="str">
            <v>6Part-time Faculty Salaries</v>
          </cell>
          <cell r="B102">
            <v>6</v>
          </cell>
          <cell r="C102">
            <v>6</v>
          </cell>
          <cell r="D102" t="b">
            <v>1</v>
          </cell>
          <cell r="E102" t="str">
            <v>Seattle</v>
          </cell>
          <cell r="F102" t="str">
            <v>001031</v>
          </cell>
          <cell r="G102">
            <v>111</v>
          </cell>
          <cell r="H102" t="str">
            <v>Part-time Faculty Salaries</v>
          </cell>
          <cell r="I102">
            <v>147200</v>
          </cell>
          <cell r="J102">
            <v>0</v>
          </cell>
        </row>
        <row r="103">
          <cell r="A103" t="str">
            <v>6Faculty Increments</v>
          </cell>
          <cell r="B103">
            <v>6</v>
          </cell>
          <cell r="C103">
            <v>6</v>
          </cell>
          <cell r="D103" t="b">
            <v>1</v>
          </cell>
          <cell r="E103" t="str">
            <v>Seattle</v>
          </cell>
          <cell r="F103" t="str">
            <v>001091</v>
          </cell>
          <cell r="G103">
            <v>112</v>
          </cell>
          <cell r="H103" t="str">
            <v>Faculty Increments</v>
          </cell>
          <cell r="I103">
            <v>120300</v>
          </cell>
          <cell r="J103">
            <v>0</v>
          </cell>
        </row>
        <row r="104">
          <cell r="A104" t="str">
            <v>6Childcare Program</v>
          </cell>
          <cell r="B104">
            <v>6</v>
          </cell>
          <cell r="C104">
            <v>6</v>
          </cell>
          <cell r="D104" t="b">
            <v>1</v>
          </cell>
          <cell r="E104" t="str">
            <v>Seattle</v>
          </cell>
          <cell r="F104" t="str">
            <v>001011</v>
          </cell>
          <cell r="G104">
            <v>120</v>
          </cell>
          <cell r="H104" t="str">
            <v>Childcare Program</v>
          </cell>
          <cell r="I104">
            <v>62230</v>
          </cell>
          <cell r="J104">
            <v>0</v>
          </cell>
        </row>
        <row r="105">
          <cell r="A105" t="str">
            <v>6Childcare Match</v>
          </cell>
          <cell r="B105">
            <v>6</v>
          </cell>
          <cell r="C105">
            <v>6</v>
          </cell>
          <cell r="D105" t="b">
            <v>1</v>
          </cell>
          <cell r="E105" t="str">
            <v>Seattle</v>
          </cell>
          <cell r="F105" t="str">
            <v>0011E1</v>
          </cell>
          <cell r="G105">
            <v>121</v>
          </cell>
          <cell r="H105" t="str">
            <v>Childcare Match</v>
          </cell>
          <cell r="I105">
            <v>0</v>
          </cell>
          <cell r="J105">
            <v>0</v>
          </cell>
        </row>
        <row r="106">
          <cell r="A106" t="str">
            <v>6Students of Color</v>
          </cell>
          <cell r="B106">
            <v>6</v>
          </cell>
          <cell r="C106">
            <v>6</v>
          </cell>
          <cell r="D106" t="b">
            <v>1</v>
          </cell>
          <cell r="E106" t="str">
            <v>Seattle</v>
          </cell>
          <cell r="F106" t="str">
            <v>001011</v>
          </cell>
          <cell r="G106">
            <v>122</v>
          </cell>
          <cell r="H106" t="str">
            <v>Students of Color</v>
          </cell>
          <cell r="I106">
            <v>200670</v>
          </cell>
          <cell r="J106">
            <v>0</v>
          </cell>
        </row>
        <row r="107">
          <cell r="A107" t="str">
            <v>6Annual Disability Accommod.</v>
          </cell>
          <cell r="B107">
            <v>6</v>
          </cell>
          <cell r="C107">
            <v>6</v>
          </cell>
          <cell r="D107" t="b">
            <v>1</v>
          </cell>
          <cell r="E107" t="str">
            <v>Seattle</v>
          </cell>
          <cell r="F107" t="str">
            <v>001011</v>
          </cell>
          <cell r="G107">
            <v>123</v>
          </cell>
          <cell r="H107" t="str">
            <v>Annual Disability Accommod.</v>
          </cell>
          <cell r="I107">
            <v>86740</v>
          </cell>
          <cell r="J107">
            <v>0</v>
          </cell>
        </row>
        <row r="108">
          <cell r="A108" t="str">
            <v>6Qtrly Disability Accomm Reserves</v>
          </cell>
          <cell r="B108">
            <v>6</v>
          </cell>
          <cell r="C108">
            <v>6</v>
          </cell>
          <cell r="D108" t="b">
            <v>1</v>
          </cell>
          <cell r="E108" t="str">
            <v>Seattle</v>
          </cell>
          <cell r="F108" t="str">
            <v>001011</v>
          </cell>
          <cell r="G108">
            <v>124</v>
          </cell>
          <cell r="H108" t="str">
            <v>Qtrly Disability Accomm Reserves</v>
          </cell>
          <cell r="I108">
            <v>0</v>
          </cell>
          <cell r="J108">
            <v>0</v>
          </cell>
        </row>
        <row r="109">
          <cell r="A109" t="str">
            <v>6Work-Based Learning</v>
          </cell>
          <cell r="B109">
            <v>6</v>
          </cell>
          <cell r="C109">
            <v>6</v>
          </cell>
          <cell r="D109" t="b">
            <v>1</v>
          </cell>
          <cell r="E109" t="str">
            <v>Seattle</v>
          </cell>
          <cell r="F109" t="str">
            <v>001351</v>
          </cell>
          <cell r="G109">
            <v>130</v>
          </cell>
          <cell r="H109" t="str">
            <v>Work-Based Learning</v>
          </cell>
          <cell r="I109">
            <v>88232</v>
          </cell>
          <cell r="J109">
            <v>0</v>
          </cell>
        </row>
        <row r="110">
          <cell r="A110" t="str">
            <v>6Worker Retraining</v>
          </cell>
          <cell r="B110">
            <v>6</v>
          </cell>
          <cell r="C110">
            <v>6</v>
          </cell>
          <cell r="D110" t="b">
            <v>1</v>
          </cell>
          <cell r="E110" t="str">
            <v>Seattle</v>
          </cell>
          <cell r="F110" t="str">
            <v>001231</v>
          </cell>
          <cell r="G110">
            <v>135</v>
          </cell>
          <cell r="H110" t="str">
            <v>Worker Retraining</v>
          </cell>
          <cell r="I110">
            <v>1957515</v>
          </cell>
          <cell r="J110">
            <v>0</v>
          </cell>
        </row>
        <row r="111">
          <cell r="A111" t="str">
            <v>6High Demand Worker Retraining</v>
          </cell>
          <cell r="B111">
            <v>6</v>
          </cell>
          <cell r="C111">
            <v>6</v>
          </cell>
          <cell r="D111" t="b">
            <v>1</v>
          </cell>
          <cell r="E111" t="str">
            <v>Seattle</v>
          </cell>
          <cell r="F111" t="str">
            <v>0011H1</v>
          </cell>
          <cell r="G111">
            <v>136</v>
          </cell>
          <cell r="H111" t="str">
            <v>High Demand Worker Retraining</v>
          </cell>
          <cell r="I111">
            <v>1849572</v>
          </cell>
          <cell r="J111">
            <v>0</v>
          </cell>
        </row>
        <row r="112">
          <cell r="A112" t="str">
            <v>6WF Development Base</v>
          </cell>
          <cell r="B112">
            <v>6</v>
          </cell>
          <cell r="C112">
            <v>6</v>
          </cell>
          <cell r="D112" t="b">
            <v>1</v>
          </cell>
          <cell r="E112" t="str">
            <v>Seattle</v>
          </cell>
          <cell r="F112" t="str">
            <v>001011</v>
          </cell>
          <cell r="G112">
            <v>140</v>
          </cell>
          <cell r="H112" t="str">
            <v>WF Development Base</v>
          </cell>
          <cell r="I112">
            <v>86400</v>
          </cell>
          <cell r="J112">
            <v>0</v>
          </cell>
        </row>
        <row r="113">
          <cell r="A113" t="str">
            <v>6WF Development Projects</v>
          </cell>
          <cell r="B113">
            <v>6</v>
          </cell>
          <cell r="C113">
            <v>6</v>
          </cell>
          <cell r="D113" t="b">
            <v>1</v>
          </cell>
          <cell r="E113" t="str">
            <v>Seattle</v>
          </cell>
          <cell r="F113" t="str">
            <v>001011</v>
          </cell>
          <cell r="G113">
            <v>141</v>
          </cell>
          <cell r="H113" t="str">
            <v>WF Development Projects</v>
          </cell>
          <cell r="I113">
            <v>301515</v>
          </cell>
          <cell r="J113">
            <v>0</v>
          </cell>
        </row>
        <row r="114">
          <cell r="A114" t="str">
            <v>6Apprenticeship</v>
          </cell>
          <cell r="B114">
            <v>6</v>
          </cell>
          <cell r="C114">
            <v>6</v>
          </cell>
          <cell r="D114" t="b">
            <v>1</v>
          </cell>
          <cell r="E114" t="str">
            <v>Seattle</v>
          </cell>
          <cell r="F114" t="str">
            <v>001011</v>
          </cell>
          <cell r="G114">
            <v>145</v>
          </cell>
          <cell r="H114" t="str">
            <v>Apprenticeship</v>
          </cell>
          <cell r="I114">
            <v>533519</v>
          </cell>
          <cell r="J114">
            <v>0</v>
          </cell>
        </row>
        <row r="115">
          <cell r="A115" t="str">
            <v>6Rural/Community Development</v>
          </cell>
          <cell r="B115">
            <v>6</v>
          </cell>
          <cell r="C115">
            <v>6</v>
          </cell>
          <cell r="D115" t="b">
            <v>1</v>
          </cell>
          <cell r="E115" t="str">
            <v>Seattle</v>
          </cell>
          <cell r="F115" t="str">
            <v>001311</v>
          </cell>
          <cell r="G115">
            <v>150</v>
          </cell>
          <cell r="H115" t="str">
            <v>Rural/Community Development</v>
          </cell>
          <cell r="I115">
            <v>0</v>
          </cell>
          <cell r="J115">
            <v>0</v>
          </cell>
        </row>
        <row r="116">
          <cell r="A116" t="str">
            <v>6New Facilities Maint &amp; Ops</v>
          </cell>
          <cell r="B116">
            <v>6</v>
          </cell>
          <cell r="C116">
            <v>6</v>
          </cell>
          <cell r="D116" t="b">
            <v>1</v>
          </cell>
          <cell r="E116" t="str">
            <v>Seattle</v>
          </cell>
          <cell r="F116" t="str">
            <v>001011</v>
          </cell>
          <cell r="G116">
            <v>160</v>
          </cell>
          <cell r="H116" t="str">
            <v>New Facilities Maint &amp; Ops</v>
          </cell>
          <cell r="I116">
            <v>16200</v>
          </cell>
          <cell r="J116">
            <v>0</v>
          </cell>
        </row>
        <row r="117">
          <cell r="A117" t="str">
            <v>6Building Maintenance Shift to Capital</v>
          </cell>
          <cell r="B117">
            <v>6</v>
          </cell>
          <cell r="C117">
            <v>6</v>
          </cell>
          <cell r="D117" t="b">
            <v>1</v>
          </cell>
          <cell r="E117" t="str">
            <v>Seattle</v>
          </cell>
          <cell r="F117" t="str">
            <v>001011</v>
          </cell>
          <cell r="G117">
            <v>161</v>
          </cell>
          <cell r="H117" t="str">
            <v>Building Maintenance Shift to Capital</v>
          </cell>
          <cell r="I117">
            <v>-1053600</v>
          </cell>
          <cell r="J117">
            <v>0</v>
          </cell>
        </row>
        <row r="118">
          <cell r="A118" t="str">
            <v>6UWT Technology Institute</v>
          </cell>
          <cell r="B118">
            <v>6</v>
          </cell>
          <cell r="C118">
            <v>6</v>
          </cell>
          <cell r="D118" t="b">
            <v>1</v>
          </cell>
          <cell r="E118" t="str">
            <v>Seattle</v>
          </cell>
          <cell r="F118" t="str">
            <v>001331</v>
          </cell>
          <cell r="G118">
            <v>165</v>
          </cell>
          <cell r="H118" t="str">
            <v>UWT Technology Institute</v>
          </cell>
          <cell r="I118">
            <v>52700</v>
          </cell>
          <cell r="J118">
            <v>0</v>
          </cell>
        </row>
        <row r="119">
          <cell r="A119" t="str">
            <v>6Labor Liaison Position</v>
          </cell>
          <cell r="B119">
            <v>6</v>
          </cell>
          <cell r="C119">
            <v>6</v>
          </cell>
          <cell r="D119" t="b">
            <v>1</v>
          </cell>
          <cell r="E119" t="str">
            <v>Seattle</v>
          </cell>
          <cell r="F119" t="str">
            <v>001011</v>
          </cell>
          <cell r="G119">
            <v>220</v>
          </cell>
          <cell r="H119" t="str">
            <v>Labor Liaison Position</v>
          </cell>
          <cell r="I119">
            <v>-10500</v>
          </cell>
          <cell r="J119">
            <v>0</v>
          </cell>
        </row>
        <row r="120">
          <cell r="A120" t="str">
            <v>7Operations</v>
          </cell>
          <cell r="B120">
            <v>6</v>
          </cell>
          <cell r="C120">
            <v>7</v>
          </cell>
          <cell r="D120" t="b">
            <v>1</v>
          </cell>
          <cell r="E120" t="str">
            <v>Shoreline</v>
          </cell>
          <cell r="F120" t="str">
            <v>001011</v>
          </cell>
          <cell r="G120">
            <v>100</v>
          </cell>
          <cell r="H120" t="str">
            <v>Operations</v>
          </cell>
          <cell r="I120">
            <v>17676074</v>
          </cell>
          <cell r="J120">
            <v>0</v>
          </cell>
        </row>
        <row r="121">
          <cell r="A121" t="str">
            <v>7Outcomes Assessment</v>
          </cell>
          <cell r="B121">
            <v>6</v>
          </cell>
          <cell r="C121">
            <v>7</v>
          </cell>
          <cell r="D121" t="b">
            <v>1</v>
          </cell>
          <cell r="E121" t="str">
            <v>Shoreline</v>
          </cell>
          <cell r="F121" t="str">
            <v>001011</v>
          </cell>
          <cell r="G121">
            <v>110</v>
          </cell>
          <cell r="H121" t="str">
            <v>Outcomes Assessment</v>
          </cell>
          <cell r="I121">
            <v>54210</v>
          </cell>
          <cell r="J121">
            <v>0</v>
          </cell>
        </row>
        <row r="122">
          <cell r="A122" t="str">
            <v>7Part-time Faculty Salaries</v>
          </cell>
          <cell r="B122">
            <v>6</v>
          </cell>
          <cell r="C122">
            <v>7</v>
          </cell>
          <cell r="D122" t="b">
            <v>1</v>
          </cell>
          <cell r="E122" t="str">
            <v>Shoreline</v>
          </cell>
          <cell r="F122" t="str">
            <v>001031</v>
          </cell>
          <cell r="G122">
            <v>111</v>
          </cell>
          <cell r="H122" t="str">
            <v>Part-time Faculty Salaries</v>
          </cell>
          <cell r="I122">
            <v>62000</v>
          </cell>
          <cell r="J122">
            <v>0</v>
          </cell>
        </row>
        <row r="123">
          <cell r="A123" t="str">
            <v>7Faculty Increments</v>
          </cell>
          <cell r="B123">
            <v>6</v>
          </cell>
          <cell r="C123">
            <v>7</v>
          </cell>
          <cell r="D123" t="b">
            <v>1</v>
          </cell>
          <cell r="E123" t="str">
            <v>Shoreline</v>
          </cell>
          <cell r="F123" t="str">
            <v>001091</v>
          </cell>
          <cell r="G123">
            <v>112</v>
          </cell>
          <cell r="H123" t="str">
            <v>Faculty Increments</v>
          </cell>
          <cell r="I123">
            <v>56200</v>
          </cell>
          <cell r="J123">
            <v>0</v>
          </cell>
        </row>
        <row r="124">
          <cell r="A124" t="str">
            <v>7Childcare Program</v>
          </cell>
          <cell r="B124">
            <v>6</v>
          </cell>
          <cell r="C124">
            <v>7</v>
          </cell>
          <cell r="D124" t="b">
            <v>1</v>
          </cell>
          <cell r="E124" t="str">
            <v>Shoreline</v>
          </cell>
          <cell r="F124" t="str">
            <v>001011</v>
          </cell>
          <cell r="G124">
            <v>120</v>
          </cell>
          <cell r="H124" t="str">
            <v>Childcare Program</v>
          </cell>
          <cell r="I124">
            <v>19560</v>
          </cell>
          <cell r="J124">
            <v>0</v>
          </cell>
        </row>
        <row r="125">
          <cell r="A125" t="str">
            <v>7Childcare Match</v>
          </cell>
          <cell r="B125">
            <v>6</v>
          </cell>
          <cell r="C125">
            <v>7</v>
          </cell>
          <cell r="D125" t="b">
            <v>1</v>
          </cell>
          <cell r="E125" t="str">
            <v>Shoreline</v>
          </cell>
          <cell r="F125" t="str">
            <v>0011E1</v>
          </cell>
          <cell r="G125">
            <v>121</v>
          </cell>
          <cell r="H125" t="str">
            <v>Childcare Match</v>
          </cell>
          <cell r="I125">
            <v>0</v>
          </cell>
          <cell r="J125">
            <v>0</v>
          </cell>
        </row>
        <row r="126">
          <cell r="A126" t="str">
            <v>7Students of Color</v>
          </cell>
          <cell r="B126">
            <v>6</v>
          </cell>
          <cell r="C126">
            <v>7</v>
          </cell>
          <cell r="D126" t="b">
            <v>1</v>
          </cell>
          <cell r="E126" t="str">
            <v>Shoreline</v>
          </cell>
          <cell r="F126" t="str">
            <v>001011</v>
          </cell>
          <cell r="G126">
            <v>122</v>
          </cell>
          <cell r="H126" t="str">
            <v>Students of Color</v>
          </cell>
          <cell r="I126">
            <v>42180</v>
          </cell>
          <cell r="J126">
            <v>0</v>
          </cell>
        </row>
        <row r="127">
          <cell r="A127" t="str">
            <v>7Annual Disability Accommod.</v>
          </cell>
          <cell r="B127">
            <v>6</v>
          </cell>
          <cell r="C127">
            <v>7</v>
          </cell>
          <cell r="D127" t="b">
            <v>1</v>
          </cell>
          <cell r="E127" t="str">
            <v>Shoreline</v>
          </cell>
          <cell r="F127" t="str">
            <v>001011</v>
          </cell>
          <cell r="G127">
            <v>123</v>
          </cell>
          <cell r="H127" t="str">
            <v>Annual Disability Accommod.</v>
          </cell>
          <cell r="I127">
            <v>34060</v>
          </cell>
          <cell r="J127">
            <v>0</v>
          </cell>
        </row>
        <row r="128">
          <cell r="A128" t="str">
            <v>7Qtrly Disability Accomm Reserves</v>
          </cell>
          <cell r="B128">
            <v>6</v>
          </cell>
          <cell r="C128">
            <v>7</v>
          </cell>
          <cell r="D128" t="b">
            <v>1</v>
          </cell>
          <cell r="E128" t="str">
            <v>Shoreline</v>
          </cell>
          <cell r="F128" t="str">
            <v>001011</v>
          </cell>
          <cell r="G128">
            <v>124</v>
          </cell>
          <cell r="H128" t="str">
            <v>Qtrly Disability Accomm Reserves</v>
          </cell>
          <cell r="I128">
            <v>0</v>
          </cell>
          <cell r="J128">
            <v>0</v>
          </cell>
        </row>
        <row r="129">
          <cell r="A129" t="str">
            <v>7Work-Based Learning</v>
          </cell>
          <cell r="B129">
            <v>6</v>
          </cell>
          <cell r="C129">
            <v>7</v>
          </cell>
          <cell r="D129" t="b">
            <v>1</v>
          </cell>
          <cell r="E129" t="str">
            <v>Shoreline</v>
          </cell>
          <cell r="F129" t="str">
            <v>001351</v>
          </cell>
          <cell r="G129">
            <v>130</v>
          </cell>
          <cell r="H129" t="str">
            <v>Work-Based Learning</v>
          </cell>
          <cell r="I129">
            <v>29412</v>
          </cell>
          <cell r="J129">
            <v>0</v>
          </cell>
        </row>
        <row r="130">
          <cell r="A130" t="str">
            <v>7Worker Retraining</v>
          </cell>
          <cell r="B130">
            <v>6</v>
          </cell>
          <cell r="C130">
            <v>7</v>
          </cell>
          <cell r="D130" t="b">
            <v>1</v>
          </cell>
          <cell r="E130" t="str">
            <v>Shoreline</v>
          </cell>
          <cell r="F130" t="str">
            <v>001231</v>
          </cell>
          <cell r="G130">
            <v>135</v>
          </cell>
          <cell r="H130" t="str">
            <v>Worker Retraining</v>
          </cell>
          <cell r="I130">
            <v>947796</v>
          </cell>
          <cell r="J130">
            <v>0</v>
          </cell>
        </row>
        <row r="131">
          <cell r="A131" t="str">
            <v>7WF Development Base</v>
          </cell>
          <cell r="B131">
            <v>6</v>
          </cell>
          <cell r="C131">
            <v>7</v>
          </cell>
          <cell r="D131" t="b">
            <v>1</v>
          </cell>
          <cell r="E131" t="str">
            <v>Shoreline</v>
          </cell>
          <cell r="F131" t="str">
            <v>001011</v>
          </cell>
          <cell r="G131">
            <v>140</v>
          </cell>
          <cell r="H131" t="str">
            <v>WF Development Base</v>
          </cell>
          <cell r="I131">
            <v>28800</v>
          </cell>
          <cell r="J131">
            <v>0</v>
          </cell>
        </row>
        <row r="132">
          <cell r="A132" t="str">
            <v>7WF Development Projects</v>
          </cell>
          <cell r="B132">
            <v>6</v>
          </cell>
          <cell r="C132">
            <v>7</v>
          </cell>
          <cell r="D132" t="b">
            <v>1</v>
          </cell>
          <cell r="E132" t="str">
            <v>Shoreline</v>
          </cell>
          <cell r="F132" t="str">
            <v>001011</v>
          </cell>
          <cell r="G132">
            <v>141</v>
          </cell>
          <cell r="H132" t="str">
            <v>WF Development Projects</v>
          </cell>
          <cell r="I132">
            <v>229084</v>
          </cell>
          <cell r="J132">
            <v>0</v>
          </cell>
        </row>
        <row r="133">
          <cell r="A133" t="str">
            <v>7Apprenticeship</v>
          </cell>
          <cell r="B133">
            <v>6</v>
          </cell>
          <cell r="C133">
            <v>7</v>
          </cell>
          <cell r="D133" t="b">
            <v>1</v>
          </cell>
          <cell r="E133" t="str">
            <v>Shoreline</v>
          </cell>
          <cell r="F133" t="str">
            <v>001011</v>
          </cell>
          <cell r="G133">
            <v>145</v>
          </cell>
          <cell r="H133" t="str">
            <v>Apprenticeship</v>
          </cell>
          <cell r="I133">
            <v>0</v>
          </cell>
          <cell r="J133">
            <v>0</v>
          </cell>
        </row>
        <row r="134">
          <cell r="A134" t="str">
            <v>7Rural/Community Development</v>
          </cell>
          <cell r="B134">
            <v>6</v>
          </cell>
          <cell r="C134">
            <v>7</v>
          </cell>
          <cell r="D134" t="b">
            <v>1</v>
          </cell>
          <cell r="E134" t="str">
            <v>Shoreline</v>
          </cell>
          <cell r="F134" t="str">
            <v>001311</v>
          </cell>
          <cell r="G134">
            <v>150</v>
          </cell>
          <cell r="H134" t="str">
            <v>Rural/Community Development</v>
          </cell>
          <cell r="I134">
            <v>0</v>
          </cell>
          <cell r="J134">
            <v>0</v>
          </cell>
        </row>
        <row r="135">
          <cell r="A135" t="str">
            <v>7New Facilities Maint &amp; Ops</v>
          </cell>
          <cell r="B135">
            <v>6</v>
          </cell>
          <cell r="C135">
            <v>7</v>
          </cell>
          <cell r="D135" t="b">
            <v>1</v>
          </cell>
          <cell r="E135" t="str">
            <v>Shoreline</v>
          </cell>
          <cell r="F135" t="str">
            <v>001011</v>
          </cell>
          <cell r="G135">
            <v>160</v>
          </cell>
          <cell r="H135" t="str">
            <v>New Facilities Maint &amp; Ops</v>
          </cell>
          <cell r="I135">
            <v>0</v>
          </cell>
          <cell r="J135">
            <v>0</v>
          </cell>
        </row>
        <row r="136">
          <cell r="A136" t="str">
            <v>7Building Maintenance Shift to Capital</v>
          </cell>
          <cell r="B136">
            <v>6</v>
          </cell>
          <cell r="C136">
            <v>7</v>
          </cell>
          <cell r="D136" t="b">
            <v>1</v>
          </cell>
          <cell r="E136" t="str">
            <v>Shoreline</v>
          </cell>
          <cell r="F136" t="str">
            <v>001011</v>
          </cell>
          <cell r="G136">
            <v>161</v>
          </cell>
          <cell r="H136" t="str">
            <v>Building Maintenance Shift to Capital</v>
          </cell>
          <cell r="I136">
            <v>-308200</v>
          </cell>
          <cell r="J136">
            <v>0</v>
          </cell>
        </row>
        <row r="137">
          <cell r="A137" t="str">
            <v>7UWT Technology Institute</v>
          </cell>
          <cell r="B137">
            <v>6</v>
          </cell>
          <cell r="C137">
            <v>7</v>
          </cell>
          <cell r="D137" t="b">
            <v>1</v>
          </cell>
          <cell r="E137" t="str">
            <v>Shoreline</v>
          </cell>
          <cell r="F137" t="str">
            <v>001331</v>
          </cell>
          <cell r="G137">
            <v>165</v>
          </cell>
          <cell r="H137" t="str">
            <v>UWT Technology Institute</v>
          </cell>
          <cell r="I137">
            <v>0</v>
          </cell>
          <cell r="J137">
            <v>0</v>
          </cell>
        </row>
        <row r="138">
          <cell r="A138" t="str">
            <v>7Labor Liaison Position</v>
          </cell>
          <cell r="B138">
            <v>6</v>
          </cell>
          <cell r="C138">
            <v>7</v>
          </cell>
          <cell r="D138" t="b">
            <v>1</v>
          </cell>
          <cell r="E138" t="str">
            <v>Shoreline</v>
          </cell>
          <cell r="F138" t="str">
            <v>001011</v>
          </cell>
          <cell r="G138">
            <v>220</v>
          </cell>
          <cell r="H138" t="str">
            <v>Labor Liaison Position</v>
          </cell>
          <cell r="I138">
            <v>-3500</v>
          </cell>
          <cell r="J138">
            <v>0</v>
          </cell>
        </row>
        <row r="139">
          <cell r="A139" t="str">
            <v>7Alliance for Corporate Education</v>
          </cell>
          <cell r="B139">
            <v>6</v>
          </cell>
          <cell r="C139">
            <v>7</v>
          </cell>
          <cell r="D139" t="b">
            <v>1</v>
          </cell>
          <cell r="E139" t="str">
            <v>Shoreline</v>
          </cell>
          <cell r="F139" t="str">
            <v>1201G0</v>
          </cell>
          <cell r="G139">
            <v>225</v>
          </cell>
          <cell r="H139" t="str">
            <v>Alliance for Corporate Education</v>
          </cell>
          <cell r="I139">
            <v>125000</v>
          </cell>
          <cell r="J139">
            <v>0</v>
          </cell>
        </row>
        <row r="140">
          <cell r="A140" t="str">
            <v>8Operations</v>
          </cell>
          <cell r="B140">
            <v>6</v>
          </cell>
          <cell r="C140">
            <v>8</v>
          </cell>
          <cell r="D140" t="b">
            <v>1</v>
          </cell>
          <cell r="E140" t="str">
            <v>Bellevue</v>
          </cell>
          <cell r="F140" t="str">
            <v>001011</v>
          </cell>
          <cell r="G140">
            <v>100</v>
          </cell>
          <cell r="H140" t="str">
            <v>Operations</v>
          </cell>
          <cell r="I140">
            <v>20819507</v>
          </cell>
          <cell r="J140">
            <v>0</v>
          </cell>
        </row>
        <row r="141">
          <cell r="A141" t="str">
            <v>8Outcomes Assessment</v>
          </cell>
          <cell r="B141">
            <v>6</v>
          </cell>
          <cell r="C141">
            <v>8</v>
          </cell>
          <cell r="D141" t="b">
            <v>1</v>
          </cell>
          <cell r="E141" t="str">
            <v>Bellevue</v>
          </cell>
          <cell r="F141" t="str">
            <v>001011</v>
          </cell>
          <cell r="G141">
            <v>110</v>
          </cell>
          <cell r="H141" t="str">
            <v>Outcomes Assessment</v>
          </cell>
          <cell r="I141">
            <v>54210</v>
          </cell>
          <cell r="J141">
            <v>0</v>
          </cell>
        </row>
        <row r="142">
          <cell r="A142" t="str">
            <v>8Part-time Faculty Salaries</v>
          </cell>
          <cell r="B142">
            <v>6</v>
          </cell>
          <cell r="C142">
            <v>8</v>
          </cell>
          <cell r="D142" t="b">
            <v>1</v>
          </cell>
          <cell r="E142" t="str">
            <v>Bellevue</v>
          </cell>
          <cell r="F142" t="str">
            <v>001031</v>
          </cell>
          <cell r="G142">
            <v>111</v>
          </cell>
          <cell r="H142" t="str">
            <v>Part-time Faculty Salaries</v>
          </cell>
          <cell r="I142">
            <v>88600</v>
          </cell>
          <cell r="J142">
            <v>0</v>
          </cell>
        </row>
        <row r="143">
          <cell r="A143" t="str">
            <v>8Faculty Increments</v>
          </cell>
          <cell r="B143">
            <v>6</v>
          </cell>
          <cell r="C143">
            <v>8</v>
          </cell>
          <cell r="D143" t="b">
            <v>1</v>
          </cell>
          <cell r="E143" t="str">
            <v>Bellevue</v>
          </cell>
          <cell r="F143" t="str">
            <v>001091</v>
          </cell>
          <cell r="G143">
            <v>112</v>
          </cell>
          <cell r="H143" t="str">
            <v>Faculty Increments</v>
          </cell>
          <cell r="I143">
            <v>55200</v>
          </cell>
          <cell r="J143">
            <v>0</v>
          </cell>
        </row>
        <row r="144">
          <cell r="A144" t="str">
            <v>8Childcare Program</v>
          </cell>
          <cell r="B144">
            <v>6</v>
          </cell>
          <cell r="C144">
            <v>8</v>
          </cell>
          <cell r="D144" t="b">
            <v>1</v>
          </cell>
          <cell r="E144" t="str">
            <v>Bellevue</v>
          </cell>
          <cell r="F144" t="str">
            <v>001011</v>
          </cell>
          <cell r="G144">
            <v>120</v>
          </cell>
          <cell r="H144" t="str">
            <v>Childcare Program</v>
          </cell>
          <cell r="I144">
            <v>24370</v>
          </cell>
          <cell r="J144">
            <v>0</v>
          </cell>
        </row>
        <row r="145">
          <cell r="A145" t="str">
            <v>8Childcare Match</v>
          </cell>
          <cell r="B145">
            <v>6</v>
          </cell>
          <cell r="C145">
            <v>8</v>
          </cell>
          <cell r="D145" t="b">
            <v>1</v>
          </cell>
          <cell r="E145" t="str">
            <v>Bellevue</v>
          </cell>
          <cell r="F145" t="str">
            <v>0011E1</v>
          </cell>
          <cell r="G145">
            <v>121</v>
          </cell>
          <cell r="H145" t="str">
            <v>Childcare Match</v>
          </cell>
          <cell r="I145">
            <v>0</v>
          </cell>
          <cell r="J145">
            <v>0</v>
          </cell>
        </row>
        <row r="146">
          <cell r="A146" t="str">
            <v>8Students of Color</v>
          </cell>
          <cell r="B146">
            <v>6</v>
          </cell>
          <cell r="C146">
            <v>8</v>
          </cell>
          <cell r="D146" t="b">
            <v>1</v>
          </cell>
          <cell r="E146" t="str">
            <v>Bellevue</v>
          </cell>
          <cell r="F146" t="str">
            <v>001011</v>
          </cell>
          <cell r="G146">
            <v>122</v>
          </cell>
          <cell r="H146" t="str">
            <v>Students of Color</v>
          </cell>
          <cell r="I146">
            <v>53590</v>
          </cell>
          <cell r="J146">
            <v>0</v>
          </cell>
        </row>
        <row r="147">
          <cell r="A147" t="str">
            <v>8Annual Disability Accommod.</v>
          </cell>
          <cell r="B147">
            <v>6</v>
          </cell>
          <cell r="C147">
            <v>8</v>
          </cell>
          <cell r="D147" t="b">
            <v>1</v>
          </cell>
          <cell r="E147" t="str">
            <v>Bellevue</v>
          </cell>
          <cell r="F147" t="str">
            <v>001011</v>
          </cell>
          <cell r="G147">
            <v>123</v>
          </cell>
          <cell r="H147" t="str">
            <v>Annual Disability Accommod.</v>
          </cell>
          <cell r="I147">
            <v>50350</v>
          </cell>
          <cell r="J147">
            <v>0</v>
          </cell>
        </row>
        <row r="148">
          <cell r="A148" t="str">
            <v>8Qtrly Disability Accomm Reserves</v>
          </cell>
          <cell r="B148">
            <v>6</v>
          </cell>
          <cell r="C148">
            <v>8</v>
          </cell>
          <cell r="D148" t="b">
            <v>1</v>
          </cell>
          <cell r="E148" t="str">
            <v>Bellevue</v>
          </cell>
          <cell r="F148" t="str">
            <v>001011</v>
          </cell>
          <cell r="G148">
            <v>124</v>
          </cell>
          <cell r="H148" t="str">
            <v>Qtrly Disability Accomm Reserves</v>
          </cell>
          <cell r="I148">
            <v>0</v>
          </cell>
          <cell r="J148">
            <v>0</v>
          </cell>
        </row>
        <row r="149">
          <cell r="A149" t="str">
            <v>8Work-Based Learning</v>
          </cell>
          <cell r="B149">
            <v>6</v>
          </cell>
          <cell r="C149">
            <v>8</v>
          </cell>
          <cell r="D149" t="b">
            <v>1</v>
          </cell>
          <cell r="E149" t="str">
            <v>Bellevue</v>
          </cell>
          <cell r="F149" t="str">
            <v>001351</v>
          </cell>
          <cell r="G149">
            <v>130</v>
          </cell>
          <cell r="H149" t="str">
            <v>Work-Based Learning</v>
          </cell>
          <cell r="I149">
            <v>29412</v>
          </cell>
          <cell r="J149">
            <v>0</v>
          </cell>
        </row>
        <row r="150">
          <cell r="A150" t="str">
            <v>8Worker Retraining</v>
          </cell>
          <cell r="B150">
            <v>6</v>
          </cell>
          <cell r="C150">
            <v>8</v>
          </cell>
          <cell r="D150" t="b">
            <v>1</v>
          </cell>
          <cell r="E150" t="str">
            <v>Bellevue</v>
          </cell>
          <cell r="F150" t="str">
            <v>001231</v>
          </cell>
          <cell r="G150">
            <v>135</v>
          </cell>
          <cell r="H150" t="str">
            <v>Worker Retraining</v>
          </cell>
          <cell r="I150">
            <v>1510338</v>
          </cell>
          <cell r="J150">
            <v>0</v>
          </cell>
        </row>
        <row r="151">
          <cell r="A151" t="str">
            <v>8WF Development Base</v>
          </cell>
          <cell r="B151">
            <v>6</v>
          </cell>
          <cell r="C151">
            <v>8</v>
          </cell>
          <cell r="D151" t="b">
            <v>1</v>
          </cell>
          <cell r="E151" t="str">
            <v>Bellevue</v>
          </cell>
          <cell r="F151" t="str">
            <v>001011</v>
          </cell>
          <cell r="G151">
            <v>140</v>
          </cell>
          <cell r="H151" t="str">
            <v>WF Development Base</v>
          </cell>
          <cell r="I151">
            <v>28800</v>
          </cell>
          <cell r="J151">
            <v>0</v>
          </cell>
        </row>
        <row r="152">
          <cell r="A152" t="str">
            <v>8WF Development Projects</v>
          </cell>
          <cell r="B152">
            <v>6</v>
          </cell>
          <cell r="C152">
            <v>8</v>
          </cell>
          <cell r="D152" t="b">
            <v>1</v>
          </cell>
          <cell r="E152" t="str">
            <v>Bellevue</v>
          </cell>
          <cell r="F152" t="str">
            <v>001011</v>
          </cell>
          <cell r="G152">
            <v>141</v>
          </cell>
          <cell r="H152" t="str">
            <v>WF Development Projects</v>
          </cell>
          <cell r="I152">
            <v>125473</v>
          </cell>
          <cell r="J152">
            <v>0</v>
          </cell>
        </row>
        <row r="153">
          <cell r="A153" t="str">
            <v>8Apprenticeship</v>
          </cell>
          <cell r="B153">
            <v>6</v>
          </cell>
          <cell r="C153">
            <v>8</v>
          </cell>
          <cell r="D153" t="b">
            <v>1</v>
          </cell>
          <cell r="E153" t="str">
            <v>Bellevue</v>
          </cell>
          <cell r="F153" t="str">
            <v>001011</v>
          </cell>
          <cell r="G153">
            <v>145</v>
          </cell>
          <cell r="H153" t="str">
            <v>Apprenticeship</v>
          </cell>
          <cell r="I153">
            <v>0</v>
          </cell>
          <cell r="J153">
            <v>0</v>
          </cell>
        </row>
        <row r="154">
          <cell r="A154" t="str">
            <v>8Rural/Community Development</v>
          </cell>
          <cell r="B154">
            <v>6</v>
          </cell>
          <cell r="C154">
            <v>8</v>
          </cell>
          <cell r="D154" t="b">
            <v>1</v>
          </cell>
          <cell r="E154" t="str">
            <v>Bellevue</v>
          </cell>
          <cell r="F154" t="str">
            <v>001311</v>
          </cell>
          <cell r="G154">
            <v>150</v>
          </cell>
          <cell r="H154" t="str">
            <v>Rural/Community Development</v>
          </cell>
          <cell r="I154">
            <v>0</v>
          </cell>
          <cell r="J154">
            <v>0</v>
          </cell>
        </row>
        <row r="155">
          <cell r="A155" t="str">
            <v>8New Facilities Maint &amp; Ops</v>
          </cell>
          <cell r="B155">
            <v>6</v>
          </cell>
          <cell r="C155">
            <v>8</v>
          </cell>
          <cell r="D155" t="b">
            <v>1</v>
          </cell>
          <cell r="E155" t="str">
            <v>Bellevue</v>
          </cell>
          <cell r="F155" t="str">
            <v>001011</v>
          </cell>
          <cell r="G155">
            <v>160</v>
          </cell>
          <cell r="H155" t="str">
            <v>New Facilities Maint &amp; Ops</v>
          </cell>
          <cell r="I155">
            <v>0</v>
          </cell>
          <cell r="J155">
            <v>30000</v>
          </cell>
        </row>
        <row r="156">
          <cell r="A156" t="str">
            <v>8Building Maintenance Shift to Capital</v>
          </cell>
          <cell r="B156">
            <v>6</v>
          </cell>
          <cell r="C156">
            <v>8</v>
          </cell>
          <cell r="D156" t="b">
            <v>1</v>
          </cell>
          <cell r="E156" t="str">
            <v>Bellevue</v>
          </cell>
          <cell r="F156" t="str">
            <v>001011</v>
          </cell>
          <cell r="G156">
            <v>161</v>
          </cell>
          <cell r="H156" t="str">
            <v>Building Maintenance Shift to Capital</v>
          </cell>
          <cell r="I156">
            <v>-433300</v>
          </cell>
          <cell r="J156">
            <v>0</v>
          </cell>
        </row>
        <row r="157">
          <cell r="A157" t="str">
            <v>8UWT Technology Institute</v>
          </cell>
          <cell r="B157">
            <v>6</v>
          </cell>
          <cell r="C157">
            <v>8</v>
          </cell>
          <cell r="D157" t="b">
            <v>1</v>
          </cell>
          <cell r="E157" t="str">
            <v>Bellevue</v>
          </cell>
          <cell r="F157" t="str">
            <v>001331</v>
          </cell>
          <cell r="G157">
            <v>165</v>
          </cell>
          <cell r="H157" t="str">
            <v>UWT Technology Institute</v>
          </cell>
          <cell r="I157">
            <v>54600</v>
          </cell>
          <cell r="J157">
            <v>0</v>
          </cell>
        </row>
        <row r="158">
          <cell r="A158" t="str">
            <v>8Labor Liaison Position</v>
          </cell>
          <cell r="B158">
            <v>6</v>
          </cell>
          <cell r="C158">
            <v>8</v>
          </cell>
          <cell r="D158" t="b">
            <v>1</v>
          </cell>
          <cell r="E158" t="str">
            <v>Bellevue</v>
          </cell>
          <cell r="F158" t="str">
            <v>001011</v>
          </cell>
          <cell r="G158">
            <v>220</v>
          </cell>
          <cell r="H158" t="str">
            <v>Labor Liaison Position</v>
          </cell>
          <cell r="I158">
            <v>-3500</v>
          </cell>
          <cell r="J158">
            <v>0</v>
          </cell>
        </row>
        <row r="159">
          <cell r="A159" t="str">
            <v>9Operations</v>
          </cell>
          <cell r="B159">
            <v>6</v>
          </cell>
          <cell r="C159">
            <v>9</v>
          </cell>
          <cell r="D159" t="b">
            <v>1</v>
          </cell>
          <cell r="E159" t="str">
            <v>Highline</v>
          </cell>
          <cell r="F159" t="str">
            <v>001011</v>
          </cell>
          <cell r="G159">
            <v>100</v>
          </cell>
          <cell r="H159" t="str">
            <v>Operations</v>
          </cell>
          <cell r="I159">
            <v>17754482</v>
          </cell>
          <cell r="J159">
            <v>0</v>
          </cell>
        </row>
        <row r="160">
          <cell r="A160" t="str">
            <v>9Outcomes Assessment</v>
          </cell>
          <cell r="B160">
            <v>6</v>
          </cell>
          <cell r="C160">
            <v>9</v>
          </cell>
          <cell r="D160" t="b">
            <v>1</v>
          </cell>
          <cell r="E160" t="str">
            <v>Highline</v>
          </cell>
          <cell r="F160" t="str">
            <v>001011</v>
          </cell>
          <cell r="G160">
            <v>110</v>
          </cell>
          <cell r="H160" t="str">
            <v>Outcomes Assessment</v>
          </cell>
          <cell r="I160">
            <v>54210</v>
          </cell>
          <cell r="J160">
            <v>0</v>
          </cell>
        </row>
        <row r="161">
          <cell r="A161" t="str">
            <v>9Part-time Faculty Salaries</v>
          </cell>
          <cell r="B161">
            <v>6</v>
          </cell>
          <cell r="C161">
            <v>9</v>
          </cell>
          <cell r="D161" t="b">
            <v>1</v>
          </cell>
          <cell r="E161" t="str">
            <v>Highline</v>
          </cell>
          <cell r="F161" t="str">
            <v>001031</v>
          </cell>
          <cell r="G161">
            <v>111</v>
          </cell>
          <cell r="H161" t="str">
            <v>Part-time Faculty Salaries</v>
          </cell>
          <cell r="I161">
            <v>51800</v>
          </cell>
          <cell r="J161">
            <v>0</v>
          </cell>
        </row>
        <row r="162">
          <cell r="A162" t="str">
            <v>9Faculty Increments</v>
          </cell>
          <cell r="B162">
            <v>6</v>
          </cell>
          <cell r="C162">
            <v>9</v>
          </cell>
          <cell r="D162" t="b">
            <v>1</v>
          </cell>
          <cell r="E162" t="str">
            <v>Highline</v>
          </cell>
          <cell r="F162" t="str">
            <v>001091</v>
          </cell>
          <cell r="G162">
            <v>112</v>
          </cell>
          <cell r="H162" t="str">
            <v>Faculty Increments</v>
          </cell>
          <cell r="I162">
            <v>48000</v>
          </cell>
          <cell r="J162">
            <v>0</v>
          </cell>
        </row>
        <row r="163">
          <cell r="A163" t="str">
            <v>9Childcare Program</v>
          </cell>
          <cell r="B163">
            <v>6</v>
          </cell>
          <cell r="C163">
            <v>9</v>
          </cell>
          <cell r="D163" t="b">
            <v>1</v>
          </cell>
          <cell r="E163" t="str">
            <v>Highline</v>
          </cell>
          <cell r="F163" t="str">
            <v>001011</v>
          </cell>
          <cell r="G163">
            <v>120</v>
          </cell>
          <cell r="H163" t="str">
            <v>Childcare Program</v>
          </cell>
          <cell r="I163">
            <v>21290</v>
          </cell>
          <cell r="J163">
            <v>0</v>
          </cell>
        </row>
        <row r="164">
          <cell r="A164" t="str">
            <v>9Childcare Match</v>
          </cell>
          <cell r="B164">
            <v>6</v>
          </cell>
          <cell r="C164">
            <v>9</v>
          </cell>
          <cell r="D164" t="b">
            <v>1</v>
          </cell>
          <cell r="E164" t="str">
            <v>Highline</v>
          </cell>
          <cell r="F164" t="str">
            <v>0011E1</v>
          </cell>
          <cell r="G164">
            <v>121</v>
          </cell>
          <cell r="H164" t="str">
            <v>Childcare Match</v>
          </cell>
          <cell r="I164">
            <v>0</v>
          </cell>
          <cell r="J164">
            <v>0</v>
          </cell>
        </row>
        <row r="165">
          <cell r="A165" t="str">
            <v>9Students of Color</v>
          </cell>
          <cell r="B165">
            <v>6</v>
          </cell>
          <cell r="C165">
            <v>9</v>
          </cell>
          <cell r="D165" t="b">
            <v>1</v>
          </cell>
          <cell r="E165" t="str">
            <v>Highline</v>
          </cell>
          <cell r="F165" t="str">
            <v>001011</v>
          </cell>
          <cell r="G165">
            <v>122</v>
          </cell>
          <cell r="H165" t="str">
            <v>Students of Color</v>
          </cell>
          <cell r="I165">
            <v>66960</v>
          </cell>
          <cell r="J165">
            <v>0</v>
          </cell>
        </row>
        <row r="166">
          <cell r="A166" t="str">
            <v>9Annual Disability Accommod.</v>
          </cell>
          <cell r="B166">
            <v>6</v>
          </cell>
          <cell r="C166">
            <v>9</v>
          </cell>
          <cell r="D166" t="b">
            <v>1</v>
          </cell>
          <cell r="E166" t="str">
            <v>Highline</v>
          </cell>
          <cell r="F166" t="str">
            <v>001011</v>
          </cell>
          <cell r="G166">
            <v>123</v>
          </cell>
          <cell r="H166" t="str">
            <v>Annual Disability Accommod.</v>
          </cell>
          <cell r="I166">
            <v>59670</v>
          </cell>
          <cell r="J166">
            <v>0</v>
          </cell>
        </row>
        <row r="167">
          <cell r="A167" t="str">
            <v>9Qtrly Disability Accomm Reserves</v>
          </cell>
          <cell r="B167">
            <v>6</v>
          </cell>
          <cell r="C167">
            <v>9</v>
          </cell>
          <cell r="D167" t="b">
            <v>1</v>
          </cell>
          <cell r="E167" t="str">
            <v>Highline</v>
          </cell>
          <cell r="F167" t="str">
            <v>001011</v>
          </cell>
          <cell r="G167">
            <v>124</v>
          </cell>
          <cell r="H167" t="str">
            <v>Qtrly Disability Accomm Reserves</v>
          </cell>
          <cell r="I167">
            <v>0</v>
          </cell>
          <cell r="J167">
            <v>0</v>
          </cell>
        </row>
        <row r="168">
          <cell r="A168" t="str">
            <v>9Work-Based Learning</v>
          </cell>
          <cell r="B168">
            <v>6</v>
          </cell>
          <cell r="C168">
            <v>9</v>
          </cell>
          <cell r="D168" t="b">
            <v>1</v>
          </cell>
          <cell r="E168" t="str">
            <v>Highline</v>
          </cell>
          <cell r="F168" t="str">
            <v>001351</v>
          </cell>
          <cell r="G168">
            <v>130</v>
          </cell>
          <cell r="H168" t="str">
            <v>Work-Based Learning</v>
          </cell>
          <cell r="I168">
            <v>29412</v>
          </cell>
          <cell r="J168">
            <v>0</v>
          </cell>
        </row>
        <row r="169">
          <cell r="A169" t="str">
            <v>9Worker Retraining</v>
          </cell>
          <cell r="B169">
            <v>6</v>
          </cell>
          <cell r="C169">
            <v>9</v>
          </cell>
          <cell r="D169" t="b">
            <v>1</v>
          </cell>
          <cell r="E169" t="str">
            <v>Highline</v>
          </cell>
          <cell r="F169" t="str">
            <v>001231</v>
          </cell>
          <cell r="G169">
            <v>135</v>
          </cell>
          <cell r="H169" t="str">
            <v>Worker Retraining</v>
          </cell>
          <cell r="I169">
            <v>1284399</v>
          </cell>
          <cell r="J169">
            <v>0</v>
          </cell>
        </row>
        <row r="170">
          <cell r="A170" t="str">
            <v>9WF Development Base</v>
          </cell>
          <cell r="B170">
            <v>6</v>
          </cell>
          <cell r="C170">
            <v>9</v>
          </cell>
          <cell r="D170" t="b">
            <v>1</v>
          </cell>
          <cell r="E170" t="str">
            <v>Highline</v>
          </cell>
          <cell r="F170" t="str">
            <v>001011</v>
          </cell>
          <cell r="G170">
            <v>140</v>
          </cell>
          <cell r="H170" t="str">
            <v>WF Development Base</v>
          </cell>
          <cell r="I170">
            <v>28800</v>
          </cell>
          <cell r="J170">
            <v>0</v>
          </cell>
        </row>
        <row r="171">
          <cell r="A171" t="str">
            <v>9WF Development Projects</v>
          </cell>
          <cell r="B171">
            <v>6</v>
          </cell>
          <cell r="C171">
            <v>9</v>
          </cell>
          <cell r="D171" t="b">
            <v>1</v>
          </cell>
          <cell r="E171" t="str">
            <v>Highline</v>
          </cell>
          <cell r="F171" t="str">
            <v>001011</v>
          </cell>
          <cell r="G171">
            <v>141</v>
          </cell>
          <cell r="H171" t="str">
            <v>WF Development Projects</v>
          </cell>
          <cell r="I171">
            <v>10000</v>
          </cell>
          <cell r="J171">
            <v>0</v>
          </cell>
        </row>
        <row r="172">
          <cell r="A172" t="str">
            <v>9Apprenticeship</v>
          </cell>
          <cell r="B172">
            <v>6</v>
          </cell>
          <cell r="C172">
            <v>9</v>
          </cell>
          <cell r="D172" t="b">
            <v>1</v>
          </cell>
          <cell r="E172" t="str">
            <v>Highline</v>
          </cell>
          <cell r="F172" t="str">
            <v>001011</v>
          </cell>
          <cell r="G172">
            <v>145</v>
          </cell>
          <cell r="H172" t="str">
            <v>Apprenticeship</v>
          </cell>
          <cell r="I172">
            <v>7254</v>
          </cell>
          <cell r="J172">
            <v>0</v>
          </cell>
        </row>
        <row r="173">
          <cell r="A173" t="str">
            <v>9Rural/Community Development</v>
          </cell>
          <cell r="B173">
            <v>6</v>
          </cell>
          <cell r="C173">
            <v>9</v>
          </cell>
          <cell r="D173" t="b">
            <v>1</v>
          </cell>
          <cell r="E173" t="str">
            <v>Highline</v>
          </cell>
          <cell r="F173" t="str">
            <v>001311</v>
          </cell>
          <cell r="G173">
            <v>150</v>
          </cell>
          <cell r="H173" t="str">
            <v>Rural/Community Development</v>
          </cell>
          <cell r="I173">
            <v>0</v>
          </cell>
          <cell r="J173">
            <v>0</v>
          </cell>
        </row>
        <row r="174">
          <cell r="A174" t="str">
            <v>9New Facilities Maint &amp; Ops</v>
          </cell>
          <cell r="B174">
            <v>6</v>
          </cell>
          <cell r="C174">
            <v>9</v>
          </cell>
          <cell r="D174" t="b">
            <v>1</v>
          </cell>
          <cell r="E174" t="str">
            <v>Highline</v>
          </cell>
          <cell r="F174" t="str">
            <v>001011</v>
          </cell>
          <cell r="G174">
            <v>160</v>
          </cell>
          <cell r="H174" t="str">
            <v>New Facilities Maint &amp; Ops</v>
          </cell>
          <cell r="I174">
            <v>0</v>
          </cell>
          <cell r="J174">
            <v>0</v>
          </cell>
        </row>
        <row r="175">
          <cell r="A175" t="str">
            <v>9Building Maintenance Shift to Capital</v>
          </cell>
          <cell r="B175">
            <v>6</v>
          </cell>
          <cell r="C175">
            <v>9</v>
          </cell>
          <cell r="D175" t="b">
            <v>1</v>
          </cell>
          <cell r="E175" t="str">
            <v>Highline</v>
          </cell>
          <cell r="F175" t="str">
            <v>001011</v>
          </cell>
          <cell r="G175">
            <v>161</v>
          </cell>
          <cell r="H175" t="str">
            <v>Building Maintenance Shift to Capital</v>
          </cell>
          <cell r="I175">
            <v>-371000</v>
          </cell>
          <cell r="J175">
            <v>0</v>
          </cell>
        </row>
        <row r="176">
          <cell r="A176" t="str">
            <v>9UWT Technology Institute</v>
          </cell>
          <cell r="B176">
            <v>6</v>
          </cell>
          <cell r="C176">
            <v>9</v>
          </cell>
          <cell r="D176" t="b">
            <v>1</v>
          </cell>
          <cell r="E176" t="str">
            <v>Highline</v>
          </cell>
          <cell r="F176" t="str">
            <v>001331</v>
          </cell>
          <cell r="G176">
            <v>165</v>
          </cell>
          <cell r="H176" t="str">
            <v>UWT Technology Institute</v>
          </cell>
          <cell r="I176">
            <v>50700</v>
          </cell>
          <cell r="J176">
            <v>0</v>
          </cell>
        </row>
        <row r="177">
          <cell r="A177" t="str">
            <v>9Labor Liaison Position</v>
          </cell>
          <cell r="B177">
            <v>6</v>
          </cell>
          <cell r="C177">
            <v>9</v>
          </cell>
          <cell r="D177" t="b">
            <v>1</v>
          </cell>
          <cell r="E177" t="str">
            <v>Highline</v>
          </cell>
          <cell r="F177" t="str">
            <v>001011</v>
          </cell>
          <cell r="G177">
            <v>220</v>
          </cell>
          <cell r="H177" t="str">
            <v>Labor Liaison Position</v>
          </cell>
          <cell r="I177">
            <v>-3500</v>
          </cell>
          <cell r="J177">
            <v>0</v>
          </cell>
        </row>
        <row r="178">
          <cell r="A178" t="str">
            <v>10Operations</v>
          </cell>
          <cell r="B178">
            <v>6</v>
          </cell>
          <cell r="C178">
            <v>10</v>
          </cell>
          <cell r="D178" t="b">
            <v>1</v>
          </cell>
          <cell r="E178" t="str">
            <v>Green River</v>
          </cell>
          <cell r="F178" t="str">
            <v>001011</v>
          </cell>
          <cell r="G178">
            <v>100</v>
          </cell>
          <cell r="H178" t="str">
            <v>Operations</v>
          </cell>
          <cell r="I178">
            <v>17058157</v>
          </cell>
          <cell r="J178">
            <v>0</v>
          </cell>
        </row>
        <row r="179">
          <cell r="A179" t="str">
            <v>10Outcomes Assessment</v>
          </cell>
          <cell r="B179">
            <v>6</v>
          </cell>
          <cell r="C179">
            <v>10</v>
          </cell>
          <cell r="D179" t="b">
            <v>1</v>
          </cell>
          <cell r="E179" t="str">
            <v>Green River</v>
          </cell>
          <cell r="F179" t="str">
            <v>001011</v>
          </cell>
          <cell r="G179">
            <v>110</v>
          </cell>
          <cell r="H179" t="str">
            <v>Outcomes Assessment</v>
          </cell>
          <cell r="I179">
            <v>54210</v>
          </cell>
          <cell r="J179">
            <v>0</v>
          </cell>
        </row>
        <row r="180">
          <cell r="A180" t="str">
            <v>10Part-time Faculty Salaries</v>
          </cell>
          <cell r="B180">
            <v>6</v>
          </cell>
          <cell r="C180">
            <v>10</v>
          </cell>
          <cell r="D180" t="b">
            <v>1</v>
          </cell>
          <cell r="E180" t="str">
            <v>Green River</v>
          </cell>
          <cell r="F180" t="str">
            <v>001031</v>
          </cell>
          <cell r="G180">
            <v>111</v>
          </cell>
          <cell r="H180" t="str">
            <v>Part-time Faculty Salaries</v>
          </cell>
          <cell r="I180">
            <v>54600</v>
          </cell>
          <cell r="J180">
            <v>0</v>
          </cell>
        </row>
        <row r="181">
          <cell r="A181" t="str">
            <v>10Faculty Increments</v>
          </cell>
          <cell r="B181">
            <v>6</v>
          </cell>
          <cell r="C181">
            <v>10</v>
          </cell>
          <cell r="D181" t="b">
            <v>1</v>
          </cell>
          <cell r="E181" t="str">
            <v>Green River</v>
          </cell>
          <cell r="F181" t="str">
            <v>001091</v>
          </cell>
          <cell r="G181">
            <v>112</v>
          </cell>
          <cell r="H181" t="str">
            <v>Faculty Increments</v>
          </cell>
          <cell r="I181">
            <v>45500</v>
          </cell>
          <cell r="J181">
            <v>0</v>
          </cell>
        </row>
        <row r="182">
          <cell r="A182" t="str">
            <v>10Childcare Program</v>
          </cell>
          <cell r="B182">
            <v>6</v>
          </cell>
          <cell r="C182">
            <v>10</v>
          </cell>
          <cell r="D182" t="b">
            <v>1</v>
          </cell>
          <cell r="E182" t="str">
            <v>Green River</v>
          </cell>
          <cell r="F182" t="str">
            <v>001011</v>
          </cell>
          <cell r="G182">
            <v>120</v>
          </cell>
          <cell r="H182" t="str">
            <v>Childcare Program</v>
          </cell>
          <cell r="I182">
            <v>17970</v>
          </cell>
          <cell r="J182">
            <v>0</v>
          </cell>
        </row>
        <row r="183">
          <cell r="A183" t="str">
            <v>10Childcare Match</v>
          </cell>
          <cell r="B183">
            <v>6</v>
          </cell>
          <cell r="C183">
            <v>10</v>
          </cell>
          <cell r="D183" t="b">
            <v>1</v>
          </cell>
          <cell r="E183" t="str">
            <v>Green River</v>
          </cell>
          <cell r="F183" t="str">
            <v>0011E1</v>
          </cell>
          <cell r="G183">
            <v>121</v>
          </cell>
          <cell r="H183" t="str">
            <v>Childcare Match</v>
          </cell>
          <cell r="I183">
            <v>0</v>
          </cell>
          <cell r="J183">
            <v>0</v>
          </cell>
        </row>
        <row r="184">
          <cell r="A184" t="str">
            <v>10Students of Color</v>
          </cell>
          <cell r="B184">
            <v>6</v>
          </cell>
          <cell r="C184">
            <v>10</v>
          </cell>
          <cell r="D184" t="b">
            <v>1</v>
          </cell>
          <cell r="E184" t="str">
            <v>Green River</v>
          </cell>
          <cell r="F184" t="str">
            <v>001011</v>
          </cell>
          <cell r="G184">
            <v>122</v>
          </cell>
          <cell r="H184" t="str">
            <v>Students of Color</v>
          </cell>
          <cell r="I184">
            <v>30810</v>
          </cell>
          <cell r="J184">
            <v>0</v>
          </cell>
        </row>
        <row r="185">
          <cell r="A185" t="str">
            <v>10Annual Disability Accommod.</v>
          </cell>
          <cell r="B185">
            <v>6</v>
          </cell>
          <cell r="C185">
            <v>10</v>
          </cell>
          <cell r="D185" t="b">
            <v>1</v>
          </cell>
          <cell r="E185" t="str">
            <v>Green River</v>
          </cell>
          <cell r="F185" t="str">
            <v>001011</v>
          </cell>
          <cell r="G185">
            <v>123</v>
          </cell>
          <cell r="H185" t="str">
            <v>Annual Disability Accommod.</v>
          </cell>
          <cell r="I185">
            <v>41480</v>
          </cell>
          <cell r="J185">
            <v>0</v>
          </cell>
        </row>
        <row r="186">
          <cell r="A186" t="str">
            <v>10Qtrly Disability Accomm Reserves</v>
          </cell>
          <cell r="B186">
            <v>6</v>
          </cell>
          <cell r="C186">
            <v>10</v>
          </cell>
          <cell r="D186" t="b">
            <v>1</v>
          </cell>
          <cell r="E186" t="str">
            <v>Green River</v>
          </cell>
          <cell r="F186" t="str">
            <v>001011</v>
          </cell>
          <cell r="G186">
            <v>124</v>
          </cell>
          <cell r="H186" t="str">
            <v>Qtrly Disability Accomm Reserves</v>
          </cell>
          <cell r="I186">
            <v>0</v>
          </cell>
          <cell r="J186">
            <v>0</v>
          </cell>
        </row>
        <row r="187">
          <cell r="A187" t="str">
            <v>10Work-Based Learning</v>
          </cell>
          <cell r="B187">
            <v>6</v>
          </cell>
          <cell r="C187">
            <v>10</v>
          </cell>
          <cell r="D187" t="b">
            <v>1</v>
          </cell>
          <cell r="E187" t="str">
            <v>Green River</v>
          </cell>
          <cell r="F187" t="str">
            <v>001351</v>
          </cell>
          <cell r="G187">
            <v>130</v>
          </cell>
          <cell r="H187" t="str">
            <v>Work-Based Learning</v>
          </cell>
          <cell r="I187">
            <v>29412</v>
          </cell>
          <cell r="J187">
            <v>0</v>
          </cell>
        </row>
        <row r="188">
          <cell r="A188" t="str">
            <v>10Worker Retraining</v>
          </cell>
          <cell r="B188">
            <v>6</v>
          </cell>
          <cell r="C188">
            <v>10</v>
          </cell>
          <cell r="D188" t="b">
            <v>1</v>
          </cell>
          <cell r="E188" t="str">
            <v>Green River</v>
          </cell>
          <cell r="F188" t="str">
            <v>001231</v>
          </cell>
          <cell r="G188">
            <v>135</v>
          </cell>
          <cell r="H188" t="str">
            <v>Worker Retraining</v>
          </cell>
          <cell r="I188">
            <v>1722444</v>
          </cell>
          <cell r="J188">
            <v>0</v>
          </cell>
        </row>
        <row r="189">
          <cell r="A189" t="str">
            <v>10WF Development Base</v>
          </cell>
          <cell r="B189">
            <v>6</v>
          </cell>
          <cell r="C189">
            <v>10</v>
          </cell>
          <cell r="D189" t="b">
            <v>1</v>
          </cell>
          <cell r="E189" t="str">
            <v>Green River</v>
          </cell>
          <cell r="F189" t="str">
            <v>001011</v>
          </cell>
          <cell r="G189">
            <v>140</v>
          </cell>
          <cell r="H189" t="str">
            <v>WF Development Base</v>
          </cell>
          <cell r="I189">
            <v>28800</v>
          </cell>
          <cell r="J189">
            <v>0</v>
          </cell>
        </row>
        <row r="190">
          <cell r="A190" t="str">
            <v>10WF Development Projects</v>
          </cell>
          <cell r="B190">
            <v>6</v>
          </cell>
          <cell r="C190">
            <v>10</v>
          </cell>
          <cell r="D190" t="b">
            <v>1</v>
          </cell>
          <cell r="E190" t="str">
            <v>Green River</v>
          </cell>
          <cell r="F190" t="str">
            <v>001011</v>
          </cell>
          <cell r="G190">
            <v>141</v>
          </cell>
          <cell r="H190" t="str">
            <v>WF Development Projects</v>
          </cell>
          <cell r="I190">
            <v>129181</v>
          </cell>
          <cell r="J190">
            <v>0</v>
          </cell>
        </row>
        <row r="191">
          <cell r="A191" t="str">
            <v>10Apprenticeship</v>
          </cell>
          <cell r="B191">
            <v>6</v>
          </cell>
          <cell r="C191">
            <v>10</v>
          </cell>
          <cell r="D191" t="b">
            <v>1</v>
          </cell>
          <cell r="E191" t="str">
            <v>Green River</v>
          </cell>
          <cell r="F191" t="str">
            <v>001011</v>
          </cell>
          <cell r="G191">
            <v>145</v>
          </cell>
          <cell r="H191" t="str">
            <v>Apprenticeship</v>
          </cell>
          <cell r="I191">
            <v>0</v>
          </cell>
          <cell r="J191">
            <v>0</v>
          </cell>
        </row>
        <row r="192">
          <cell r="A192" t="str">
            <v>10Rural/Community Development</v>
          </cell>
          <cell r="B192">
            <v>6</v>
          </cell>
          <cell r="C192">
            <v>10</v>
          </cell>
          <cell r="D192" t="b">
            <v>1</v>
          </cell>
          <cell r="E192" t="str">
            <v>Green River</v>
          </cell>
          <cell r="F192" t="str">
            <v>001311</v>
          </cell>
          <cell r="G192">
            <v>150</v>
          </cell>
          <cell r="H192" t="str">
            <v>Rural/Community Development</v>
          </cell>
          <cell r="I192">
            <v>0</v>
          </cell>
          <cell r="J192">
            <v>0</v>
          </cell>
        </row>
        <row r="193">
          <cell r="A193" t="str">
            <v>10New Facilities Maint &amp; Ops</v>
          </cell>
          <cell r="B193">
            <v>6</v>
          </cell>
          <cell r="C193">
            <v>10</v>
          </cell>
          <cell r="D193" t="b">
            <v>1</v>
          </cell>
          <cell r="E193" t="str">
            <v>Green River</v>
          </cell>
          <cell r="F193" t="str">
            <v>001011</v>
          </cell>
          <cell r="G193">
            <v>160</v>
          </cell>
          <cell r="H193" t="str">
            <v>New Facilities Maint &amp; Ops</v>
          </cell>
          <cell r="I193">
            <v>0</v>
          </cell>
          <cell r="J193">
            <v>0</v>
          </cell>
        </row>
        <row r="194">
          <cell r="A194" t="str">
            <v>10Building Maintenance Shift to Capital</v>
          </cell>
          <cell r="B194">
            <v>6</v>
          </cell>
          <cell r="C194">
            <v>10</v>
          </cell>
          <cell r="D194" t="b">
            <v>1</v>
          </cell>
          <cell r="E194" t="str">
            <v>Green River</v>
          </cell>
          <cell r="F194" t="str">
            <v>001011</v>
          </cell>
          <cell r="G194">
            <v>161</v>
          </cell>
          <cell r="H194" t="str">
            <v>Building Maintenance Shift to Capital</v>
          </cell>
          <cell r="I194">
            <v>-317500</v>
          </cell>
          <cell r="J194">
            <v>0</v>
          </cell>
        </row>
        <row r="195">
          <cell r="A195" t="str">
            <v>10UWT Technology Institute</v>
          </cell>
          <cell r="B195">
            <v>6</v>
          </cell>
          <cell r="C195">
            <v>10</v>
          </cell>
          <cell r="D195" t="b">
            <v>1</v>
          </cell>
          <cell r="E195" t="str">
            <v>Green River</v>
          </cell>
          <cell r="F195" t="str">
            <v>001331</v>
          </cell>
          <cell r="G195">
            <v>165</v>
          </cell>
          <cell r="H195" t="str">
            <v>UWT Technology Institute</v>
          </cell>
          <cell r="I195">
            <v>50700</v>
          </cell>
          <cell r="J195">
            <v>0</v>
          </cell>
        </row>
        <row r="196">
          <cell r="A196" t="str">
            <v>10Labor Liaison Position</v>
          </cell>
          <cell r="B196">
            <v>6</v>
          </cell>
          <cell r="C196">
            <v>10</v>
          </cell>
          <cell r="D196" t="b">
            <v>1</v>
          </cell>
          <cell r="E196" t="str">
            <v>Green River</v>
          </cell>
          <cell r="F196" t="str">
            <v>001011</v>
          </cell>
          <cell r="G196">
            <v>220</v>
          </cell>
          <cell r="H196" t="str">
            <v>Labor Liaison Position</v>
          </cell>
          <cell r="I196">
            <v>-3500</v>
          </cell>
          <cell r="J196">
            <v>0</v>
          </cell>
        </row>
        <row r="197">
          <cell r="A197" t="str">
            <v>11Operations</v>
          </cell>
          <cell r="B197">
            <v>6</v>
          </cell>
          <cell r="C197">
            <v>11</v>
          </cell>
          <cell r="D197" t="b">
            <v>1</v>
          </cell>
          <cell r="E197" t="str">
            <v>Pierce</v>
          </cell>
          <cell r="F197" t="str">
            <v>001011</v>
          </cell>
          <cell r="G197">
            <v>100</v>
          </cell>
          <cell r="H197" t="str">
            <v>Operations</v>
          </cell>
          <cell r="I197">
            <v>16425403</v>
          </cell>
          <cell r="J197">
            <v>0</v>
          </cell>
        </row>
        <row r="198">
          <cell r="A198" t="str">
            <v>11Outcomes Assessment</v>
          </cell>
          <cell r="B198">
            <v>6</v>
          </cell>
          <cell r="C198">
            <v>11</v>
          </cell>
          <cell r="D198" t="b">
            <v>1</v>
          </cell>
          <cell r="E198" t="str">
            <v>Pierce</v>
          </cell>
          <cell r="F198" t="str">
            <v>001011</v>
          </cell>
          <cell r="G198">
            <v>110</v>
          </cell>
          <cell r="H198" t="str">
            <v>Outcomes Assessment</v>
          </cell>
          <cell r="I198">
            <v>108420</v>
          </cell>
          <cell r="J198">
            <v>0</v>
          </cell>
        </row>
        <row r="199">
          <cell r="A199" t="str">
            <v>11Part-time Faculty Salaries</v>
          </cell>
          <cell r="B199">
            <v>6</v>
          </cell>
          <cell r="C199">
            <v>11</v>
          </cell>
          <cell r="D199" t="b">
            <v>1</v>
          </cell>
          <cell r="E199" t="str">
            <v>Pierce</v>
          </cell>
          <cell r="F199" t="str">
            <v>001031</v>
          </cell>
          <cell r="G199">
            <v>111</v>
          </cell>
          <cell r="H199" t="str">
            <v>Part-time Faculty Salaries</v>
          </cell>
          <cell r="I199">
            <v>57700</v>
          </cell>
          <cell r="J199">
            <v>0</v>
          </cell>
        </row>
        <row r="200">
          <cell r="A200" t="str">
            <v>11Faculty Increments</v>
          </cell>
          <cell r="B200">
            <v>6</v>
          </cell>
          <cell r="C200">
            <v>11</v>
          </cell>
          <cell r="D200" t="b">
            <v>1</v>
          </cell>
          <cell r="E200" t="str">
            <v>Pierce</v>
          </cell>
          <cell r="F200" t="str">
            <v>001091</v>
          </cell>
          <cell r="G200">
            <v>112</v>
          </cell>
          <cell r="H200" t="str">
            <v>Faculty Increments</v>
          </cell>
          <cell r="I200">
            <v>44000</v>
          </cell>
          <cell r="J200">
            <v>0</v>
          </cell>
        </row>
        <row r="201">
          <cell r="A201" t="str">
            <v>11Childcare Program</v>
          </cell>
          <cell r="B201">
            <v>6</v>
          </cell>
          <cell r="C201">
            <v>11</v>
          </cell>
          <cell r="D201" t="b">
            <v>1</v>
          </cell>
          <cell r="E201" t="str">
            <v>Pierce</v>
          </cell>
          <cell r="F201" t="str">
            <v>001011</v>
          </cell>
          <cell r="G201">
            <v>120</v>
          </cell>
          <cell r="H201" t="str">
            <v>Childcare Program</v>
          </cell>
          <cell r="I201">
            <v>24280</v>
          </cell>
          <cell r="J201">
            <v>0</v>
          </cell>
        </row>
        <row r="202">
          <cell r="A202" t="str">
            <v>11Childcare Match</v>
          </cell>
          <cell r="B202">
            <v>6</v>
          </cell>
          <cell r="C202">
            <v>11</v>
          </cell>
          <cell r="D202" t="b">
            <v>1</v>
          </cell>
          <cell r="E202" t="str">
            <v>Pierce</v>
          </cell>
          <cell r="F202" t="str">
            <v>0011E1</v>
          </cell>
          <cell r="G202">
            <v>121</v>
          </cell>
          <cell r="H202" t="str">
            <v>Childcare Match</v>
          </cell>
          <cell r="I202">
            <v>0</v>
          </cell>
          <cell r="J202">
            <v>8250</v>
          </cell>
        </row>
        <row r="203">
          <cell r="A203" t="str">
            <v>11Students of Color</v>
          </cell>
          <cell r="B203">
            <v>6</v>
          </cell>
          <cell r="C203">
            <v>11</v>
          </cell>
          <cell r="D203" t="b">
            <v>1</v>
          </cell>
          <cell r="E203" t="str">
            <v>Pierce</v>
          </cell>
          <cell r="F203" t="str">
            <v>001011</v>
          </cell>
          <cell r="G203">
            <v>122</v>
          </cell>
          <cell r="H203" t="str">
            <v>Students of Color</v>
          </cell>
          <cell r="I203">
            <v>52320</v>
          </cell>
          <cell r="J203">
            <v>0</v>
          </cell>
        </row>
        <row r="204">
          <cell r="A204" t="str">
            <v>11Annual Disability Accommod.</v>
          </cell>
          <cell r="B204">
            <v>6</v>
          </cell>
          <cell r="C204">
            <v>11</v>
          </cell>
          <cell r="D204" t="b">
            <v>1</v>
          </cell>
          <cell r="E204" t="str">
            <v>Pierce</v>
          </cell>
          <cell r="F204" t="str">
            <v>001011</v>
          </cell>
          <cell r="G204">
            <v>123</v>
          </cell>
          <cell r="H204" t="str">
            <v>Annual Disability Accommod.</v>
          </cell>
          <cell r="I204">
            <v>55980</v>
          </cell>
          <cell r="J204">
            <v>0</v>
          </cell>
        </row>
        <row r="205">
          <cell r="A205" t="str">
            <v>11Qtrly Disability Accomm Reserves</v>
          </cell>
          <cell r="B205">
            <v>6</v>
          </cell>
          <cell r="C205">
            <v>11</v>
          </cell>
          <cell r="D205" t="b">
            <v>1</v>
          </cell>
          <cell r="E205" t="str">
            <v>Pierce</v>
          </cell>
          <cell r="F205" t="str">
            <v>001011</v>
          </cell>
          <cell r="G205">
            <v>124</v>
          </cell>
          <cell r="H205" t="str">
            <v>Qtrly Disability Accomm Reserves</v>
          </cell>
          <cell r="I205">
            <v>0</v>
          </cell>
          <cell r="J205">
            <v>0</v>
          </cell>
        </row>
        <row r="206">
          <cell r="A206" t="str">
            <v>11Work-Based Learning</v>
          </cell>
          <cell r="B206">
            <v>6</v>
          </cell>
          <cell r="C206">
            <v>11</v>
          </cell>
          <cell r="D206" t="b">
            <v>1</v>
          </cell>
          <cell r="E206" t="str">
            <v>Pierce</v>
          </cell>
          <cell r="F206" t="str">
            <v>001351</v>
          </cell>
          <cell r="G206">
            <v>130</v>
          </cell>
          <cell r="H206" t="str">
            <v>Work-Based Learning</v>
          </cell>
          <cell r="I206">
            <v>58822</v>
          </cell>
          <cell r="J206">
            <v>0</v>
          </cell>
        </row>
        <row r="207">
          <cell r="A207" t="str">
            <v>11Worker Retraining</v>
          </cell>
          <cell r="B207">
            <v>6</v>
          </cell>
          <cell r="C207">
            <v>11</v>
          </cell>
          <cell r="D207" t="b">
            <v>1</v>
          </cell>
          <cell r="E207" t="str">
            <v>Pierce</v>
          </cell>
          <cell r="F207" t="str">
            <v>001231</v>
          </cell>
          <cell r="G207">
            <v>135</v>
          </cell>
          <cell r="H207" t="str">
            <v>Worker Retraining</v>
          </cell>
          <cell r="I207">
            <v>1019031</v>
          </cell>
          <cell r="J207">
            <v>0</v>
          </cell>
        </row>
        <row r="208">
          <cell r="A208" t="str">
            <v>11High Demand Competitive</v>
          </cell>
          <cell r="B208">
            <v>6</v>
          </cell>
          <cell r="C208">
            <v>11</v>
          </cell>
          <cell r="D208" t="b">
            <v>1</v>
          </cell>
          <cell r="E208" t="str">
            <v>Pierce</v>
          </cell>
          <cell r="F208" t="str">
            <v>0011H1</v>
          </cell>
          <cell r="G208">
            <v>137</v>
          </cell>
          <cell r="H208" t="str">
            <v>High Demand Competitive</v>
          </cell>
          <cell r="I208">
            <v>298500</v>
          </cell>
          <cell r="J208">
            <v>0</v>
          </cell>
        </row>
        <row r="209">
          <cell r="A209" t="str">
            <v>11WF Development Base</v>
          </cell>
          <cell r="B209">
            <v>6</v>
          </cell>
          <cell r="C209">
            <v>11</v>
          </cell>
          <cell r="D209" t="b">
            <v>1</v>
          </cell>
          <cell r="E209" t="str">
            <v>Pierce</v>
          </cell>
          <cell r="F209" t="str">
            <v>001011</v>
          </cell>
          <cell r="G209">
            <v>140</v>
          </cell>
          <cell r="H209" t="str">
            <v>WF Development Base</v>
          </cell>
          <cell r="I209">
            <v>57600</v>
          </cell>
          <cell r="J209">
            <v>0</v>
          </cell>
        </row>
        <row r="210">
          <cell r="A210" t="str">
            <v>11WF Development Projects</v>
          </cell>
          <cell r="B210">
            <v>6</v>
          </cell>
          <cell r="C210">
            <v>11</v>
          </cell>
          <cell r="D210" t="b">
            <v>1</v>
          </cell>
          <cell r="E210" t="str">
            <v>Pierce</v>
          </cell>
          <cell r="F210" t="str">
            <v>001011</v>
          </cell>
          <cell r="G210">
            <v>141</v>
          </cell>
          <cell r="H210" t="str">
            <v>WF Development Projects</v>
          </cell>
          <cell r="I210">
            <v>0</v>
          </cell>
          <cell r="J210">
            <v>0</v>
          </cell>
        </row>
        <row r="211">
          <cell r="A211" t="str">
            <v>11Apprenticeship</v>
          </cell>
          <cell r="B211">
            <v>6</v>
          </cell>
          <cell r="C211">
            <v>11</v>
          </cell>
          <cell r="D211" t="b">
            <v>1</v>
          </cell>
          <cell r="E211" t="str">
            <v>Pierce</v>
          </cell>
          <cell r="F211" t="str">
            <v>001011</v>
          </cell>
          <cell r="G211">
            <v>145</v>
          </cell>
          <cell r="H211" t="str">
            <v>Apprenticeship</v>
          </cell>
          <cell r="I211">
            <v>58032</v>
          </cell>
          <cell r="J211">
            <v>0</v>
          </cell>
        </row>
        <row r="212">
          <cell r="A212" t="str">
            <v>11Rural/Community Development</v>
          </cell>
          <cell r="B212">
            <v>6</v>
          </cell>
          <cell r="C212">
            <v>11</v>
          </cell>
          <cell r="D212" t="b">
            <v>1</v>
          </cell>
          <cell r="E212" t="str">
            <v>Pierce</v>
          </cell>
          <cell r="F212" t="str">
            <v>001311</v>
          </cell>
          <cell r="G212">
            <v>150</v>
          </cell>
          <cell r="H212" t="str">
            <v>Rural/Community Development</v>
          </cell>
          <cell r="I212">
            <v>0</v>
          </cell>
          <cell r="J212">
            <v>0</v>
          </cell>
        </row>
        <row r="213">
          <cell r="A213" t="str">
            <v>11New Facilities Maint &amp; Ops</v>
          </cell>
          <cell r="B213">
            <v>6</v>
          </cell>
          <cell r="C213">
            <v>11</v>
          </cell>
          <cell r="D213" t="b">
            <v>1</v>
          </cell>
          <cell r="E213" t="str">
            <v>Pierce</v>
          </cell>
          <cell r="F213" t="str">
            <v>001011</v>
          </cell>
          <cell r="G213">
            <v>160</v>
          </cell>
          <cell r="H213" t="str">
            <v>New Facilities Maint &amp; Ops</v>
          </cell>
          <cell r="I213">
            <v>0</v>
          </cell>
          <cell r="J213">
            <v>0</v>
          </cell>
        </row>
        <row r="214">
          <cell r="A214" t="str">
            <v>11Building Maintenance Shift to Capital</v>
          </cell>
          <cell r="B214">
            <v>6</v>
          </cell>
          <cell r="C214">
            <v>11</v>
          </cell>
          <cell r="D214" t="b">
            <v>1</v>
          </cell>
          <cell r="E214" t="str">
            <v>Pierce</v>
          </cell>
          <cell r="F214" t="str">
            <v>001011</v>
          </cell>
          <cell r="G214">
            <v>161</v>
          </cell>
          <cell r="H214" t="str">
            <v>Building Maintenance Shift to Capital</v>
          </cell>
          <cell r="I214">
            <v>-271300</v>
          </cell>
          <cell r="J214">
            <v>0</v>
          </cell>
        </row>
        <row r="215">
          <cell r="A215" t="str">
            <v>11UWT Technology Institute</v>
          </cell>
          <cell r="B215">
            <v>6</v>
          </cell>
          <cell r="C215">
            <v>11</v>
          </cell>
          <cell r="D215" t="b">
            <v>1</v>
          </cell>
          <cell r="E215" t="str">
            <v>Pierce</v>
          </cell>
          <cell r="F215" t="str">
            <v>001331</v>
          </cell>
          <cell r="G215">
            <v>165</v>
          </cell>
          <cell r="H215" t="str">
            <v>UWT Technology Institute</v>
          </cell>
          <cell r="I215">
            <v>76300</v>
          </cell>
          <cell r="J215">
            <v>0</v>
          </cell>
        </row>
        <row r="216">
          <cell r="A216" t="str">
            <v>11Labor Liaison Position</v>
          </cell>
          <cell r="B216">
            <v>6</v>
          </cell>
          <cell r="C216">
            <v>11</v>
          </cell>
          <cell r="D216" t="b">
            <v>1</v>
          </cell>
          <cell r="E216" t="str">
            <v>Pierce</v>
          </cell>
          <cell r="F216" t="str">
            <v>001011</v>
          </cell>
          <cell r="G216">
            <v>220</v>
          </cell>
          <cell r="H216" t="str">
            <v>Labor Liaison Position</v>
          </cell>
          <cell r="I216">
            <v>-4200</v>
          </cell>
          <cell r="J216">
            <v>0</v>
          </cell>
        </row>
        <row r="217">
          <cell r="A217" t="str">
            <v>12Operations</v>
          </cell>
          <cell r="B217">
            <v>6</v>
          </cell>
          <cell r="C217">
            <v>12</v>
          </cell>
          <cell r="D217" t="b">
            <v>1</v>
          </cell>
          <cell r="E217" t="str">
            <v>Centralia</v>
          </cell>
          <cell r="F217" t="str">
            <v>001011</v>
          </cell>
          <cell r="G217">
            <v>100</v>
          </cell>
          <cell r="H217" t="str">
            <v>Operations</v>
          </cell>
          <cell r="I217">
            <v>7765197</v>
          </cell>
          <cell r="J217">
            <v>0</v>
          </cell>
        </row>
        <row r="218">
          <cell r="A218" t="str">
            <v>12Outcomes Assessment</v>
          </cell>
          <cell r="B218">
            <v>6</v>
          </cell>
          <cell r="C218">
            <v>12</v>
          </cell>
          <cell r="D218" t="b">
            <v>1</v>
          </cell>
          <cell r="E218" t="str">
            <v>Centralia</v>
          </cell>
          <cell r="F218" t="str">
            <v>001011</v>
          </cell>
          <cell r="G218">
            <v>110</v>
          </cell>
          <cell r="H218" t="str">
            <v>Outcomes Assessment</v>
          </cell>
          <cell r="I218">
            <v>54210</v>
          </cell>
          <cell r="J218">
            <v>0</v>
          </cell>
        </row>
        <row r="219">
          <cell r="A219" t="str">
            <v>12Part-time Faculty Salaries</v>
          </cell>
          <cell r="B219">
            <v>6</v>
          </cell>
          <cell r="C219">
            <v>12</v>
          </cell>
          <cell r="D219" t="b">
            <v>1</v>
          </cell>
          <cell r="E219" t="str">
            <v>Centralia</v>
          </cell>
          <cell r="F219" t="str">
            <v>001031</v>
          </cell>
          <cell r="G219">
            <v>111</v>
          </cell>
          <cell r="H219" t="str">
            <v>Part-time Faculty Salaries</v>
          </cell>
          <cell r="I219">
            <v>21200</v>
          </cell>
          <cell r="J219">
            <v>0</v>
          </cell>
        </row>
        <row r="220">
          <cell r="A220" t="str">
            <v>12Faculty Increments</v>
          </cell>
          <cell r="B220">
            <v>6</v>
          </cell>
          <cell r="C220">
            <v>12</v>
          </cell>
          <cell r="D220" t="b">
            <v>1</v>
          </cell>
          <cell r="E220" t="str">
            <v>Centralia</v>
          </cell>
          <cell r="F220" t="str">
            <v>001091</v>
          </cell>
          <cell r="G220">
            <v>112</v>
          </cell>
          <cell r="H220" t="str">
            <v>Faculty Increments</v>
          </cell>
          <cell r="I220">
            <v>21400</v>
          </cell>
          <cell r="J220">
            <v>0</v>
          </cell>
        </row>
        <row r="221">
          <cell r="A221" t="str">
            <v>12Childcare Program</v>
          </cell>
          <cell r="B221">
            <v>6</v>
          </cell>
          <cell r="C221">
            <v>12</v>
          </cell>
          <cell r="D221" t="b">
            <v>1</v>
          </cell>
          <cell r="E221" t="str">
            <v>Centralia</v>
          </cell>
          <cell r="F221" t="str">
            <v>001011</v>
          </cell>
          <cell r="G221">
            <v>120</v>
          </cell>
          <cell r="H221" t="str">
            <v>Childcare Program</v>
          </cell>
          <cell r="I221">
            <v>10840</v>
          </cell>
          <cell r="J221">
            <v>0</v>
          </cell>
        </row>
        <row r="222">
          <cell r="A222" t="str">
            <v>12Childcare Match</v>
          </cell>
          <cell r="B222">
            <v>6</v>
          </cell>
          <cell r="C222">
            <v>12</v>
          </cell>
          <cell r="D222" t="b">
            <v>1</v>
          </cell>
          <cell r="E222" t="str">
            <v>Centralia</v>
          </cell>
          <cell r="F222" t="str">
            <v>0011E1</v>
          </cell>
          <cell r="G222">
            <v>121</v>
          </cell>
          <cell r="H222" t="str">
            <v>Childcare Match</v>
          </cell>
          <cell r="I222">
            <v>0</v>
          </cell>
          <cell r="J222">
            <v>15000</v>
          </cell>
        </row>
        <row r="223">
          <cell r="A223" t="str">
            <v>12Students of Color</v>
          </cell>
          <cell r="B223">
            <v>6</v>
          </cell>
          <cell r="C223">
            <v>12</v>
          </cell>
          <cell r="D223" t="b">
            <v>1</v>
          </cell>
          <cell r="E223" t="str">
            <v>Centralia</v>
          </cell>
          <cell r="F223" t="str">
            <v>001011</v>
          </cell>
          <cell r="G223">
            <v>122</v>
          </cell>
          <cell r="H223" t="str">
            <v>Students of Color</v>
          </cell>
          <cell r="I223">
            <v>12230</v>
          </cell>
          <cell r="J223">
            <v>0</v>
          </cell>
        </row>
        <row r="224">
          <cell r="A224" t="str">
            <v>12Annual Disability Accommod.</v>
          </cell>
          <cell r="B224">
            <v>6</v>
          </cell>
          <cell r="C224">
            <v>12</v>
          </cell>
          <cell r="D224" t="b">
            <v>1</v>
          </cell>
          <cell r="E224" t="str">
            <v>Centralia</v>
          </cell>
          <cell r="F224" t="str">
            <v>001011</v>
          </cell>
          <cell r="G224">
            <v>123</v>
          </cell>
          <cell r="H224" t="str">
            <v>Annual Disability Accommod.</v>
          </cell>
          <cell r="I224">
            <v>28450</v>
          </cell>
          <cell r="J224">
            <v>0</v>
          </cell>
        </row>
        <row r="225">
          <cell r="A225" t="str">
            <v>12Qtrly Disability Accomm Reserves</v>
          </cell>
          <cell r="B225">
            <v>6</v>
          </cell>
          <cell r="C225">
            <v>12</v>
          </cell>
          <cell r="D225" t="b">
            <v>1</v>
          </cell>
          <cell r="E225" t="str">
            <v>Centralia</v>
          </cell>
          <cell r="F225" t="str">
            <v>001011</v>
          </cell>
          <cell r="G225">
            <v>124</v>
          </cell>
          <cell r="H225" t="str">
            <v>Qtrly Disability Accomm Reserves</v>
          </cell>
          <cell r="I225">
            <v>0</v>
          </cell>
          <cell r="J225">
            <v>0</v>
          </cell>
        </row>
        <row r="226">
          <cell r="A226" t="str">
            <v>12Work-Based Learning</v>
          </cell>
          <cell r="B226">
            <v>6</v>
          </cell>
          <cell r="C226">
            <v>12</v>
          </cell>
          <cell r="D226" t="b">
            <v>1</v>
          </cell>
          <cell r="E226" t="str">
            <v>Centralia</v>
          </cell>
          <cell r="F226" t="str">
            <v>001351</v>
          </cell>
          <cell r="G226">
            <v>130</v>
          </cell>
          <cell r="H226" t="str">
            <v>Work-Based Learning</v>
          </cell>
          <cell r="I226">
            <v>29412</v>
          </cell>
          <cell r="J226">
            <v>0</v>
          </cell>
        </row>
        <row r="227">
          <cell r="A227" t="str">
            <v>12Worker Retraining</v>
          </cell>
          <cell r="B227">
            <v>6</v>
          </cell>
          <cell r="C227">
            <v>12</v>
          </cell>
          <cell r="D227" t="b">
            <v>1</v>
          </cell>
          <cell r="E227" t="str">
            <v>Centralia</v>
          </cell>
          <cell r="F227" t="str">
            <v>001231</v>
          </cell>
          <cell r="G227">
            <v>135</v>
          </cell>
          <cell r="H227" t="str">
            <v>Worker Retraining</v>
          </cell>
          <cell r="I227">
            <v>608652</v>
          </cell>
          <cell r="J227">
            <v>0</v>
          </cell>
        </row>
        <row r="228">
          <cell r="A228" t="str">
            <v>12WF Development Base</v>
          </cell>
          <cell r="B228">
            <v>6</v>
          </cell>
          <cell r="C228">
            <v>12</v>
          </cell>
          <cell r="D228" t="b">
            <v>1</v>
          </cell>
          <cell r="E228" t="str">
            <v>Centralia</v>
          </cell>
          <cell r="F228" t="str">
            <v>001011</v>
          </cell>
          <cell r="G228">
            <v>140</v>
          </cell>
          <cell r="H228" t="str">
            <v>WF Development Base</v>
          </cell>
          <cell r="I228">
            <v>28800</v>
          </cell>
          <cell r="J228">
            <v>0</v>
          </cell>
        </row>
        <row r="229">
          <cell r="A229" t="str">
            <v>12WF Development Projects</v>
          </cell>
          <cell r="B229">
            <v>6</v>
          </cell>
          <cell r="C229">
            <v>12</v>
          </cell>
          <cell r="D229" t="b">
            <v>1</v>
          </cell>
          <cell r="E229" t="str">
            <v>Centralia</v>
          </cell>
          <cell r="F229" t="str">
            <v>001011</v>
          </cell>
          <cell r="G229">
            <v>141</v>
          </cell>
          <cell r="H229" t="str">
            <v>WF Development Projects</v>
          </cell>
          <cell r="I229">
            <v>100000</v>
          </cell>
          <cell r="J229">
            <v>0</v>
          </cell>
        </row>
        <row r="230">
          <cell r="A230" t="str">
            <v>12Apprenticeship</v>
          </cell>
          <cell r="B230">
            <v>6</v>
          </cell>
          <cell r="C230">
            <v>12</v>
          </cell>
          <cell r="D230" t="b">
            <v>1</v>
          </cell>
          <cell r="E230" t="str">
            <v>Centralia</v>
          </cell>
          <cell r="F230" t="str">
            <v>001011</v>
          </cell>
          <cell r="G230">
            <v>145</v>
          </cell>
          <cell r="H230" t="str">
            <v>Apprenticeship</v>
          </cell>
          <cell r="I230">
            <v>7254</v>
          </cell>
          <cell r="J230">
            <v>0</v>
          </cell>
        </row>
        <row r="231">
          <cell r="A231" t="str">
            <v>12Rural/Community Development</v>
          </cell>
          <cell r="B231">
            <v>6</v>
          </cell>
          <cell r="C231">
            <v>12</v>
          </cell>
          <cell r="D231" t="b">
            <v>1</v>
          </cell>
          <cell r="E231" t="str">
            <v>Centralia</v>
          </cell>
          <cell r="F231" t="str">
            <v>001311</v>
          </cell>
          <cell r="G231">
            <v>150</v>
          </cell>
          <cell r="H231" t="str">
            <v>Rural/Community Development</v>
          </cell>
          <cell r="I231">
            <v>136120</v>
          </cell>
          <cell r="J231">
            <v>0</v>
          </cell>
        </row>
        <row r="232">
          <cell r="A232" t="str">
            <v>12New Facilities Maint &amp; Ops</v>
          </cell>
          <cell r="B232">
            <v>6</v>
          </cell>
          <cell r="C232">
            <v>12</v>
          </cell>
          <cell r="D232" t="b">
            <v>1</v>
          </cell>
          <cell r="E232" t="str">
            <v>Centralia</v>
          </cell>
          <cell r="F232" t="str">
            <v>001011</v>
          </cell>
          <cell r="G232">
            <v>160</v>
          </cell>
          <cell r="H232" t="str">
            <v>New Facilities Maint &amp; Ops</v>
          </cell>
          <cell r="I232">
            <v>0</v>
          </cell>
          <cell r="J232">
            <v>0</v>
          </cell>
        </row>
        <row r="233">
          <cell r="A233" t="str">
            <v>12Building Maintenance Shift to Capital</v>
          </cell>
          <cell r="B233">
            <v>6</v>
          </cell>
          <cell r="C233">
            <v>12</v>
          </cell>
          <cell r="D233" t="b">
            <v>1</v>
          </cell>
          <cell r="E233" t="str">
            <v>Centralia</v>
          </cell>
          <cell r="F233" t="str">
            <v>001011</v>
          </cell>
          <cell r="G233">
            <v>161</v>
          </cell>
          <cell r="H233" t="str">
            <v>Building Maintenance Shift to Capital</v>
          </cell>
          <cell r="I233">
            <v>-135200</v>
          </cell>
          <cell r="J233">
            <v>0</v>
          </cell>
        </row>
        <row r="234">
          <cell r="A234" t="str">
            <v>12UWT Technology Institute</v>
          </cell>
          <cell r="B234">
            <v>6</v>
          </cell>
          <cell r="C234">
            <v>12</v>
          </cell>
          <cell r="D234" t="b">
            <v>1</v>
          </cell>
          <cell r="E234" t="str">
            <v>Centralia</v>
          </cell>
          <cell r="F234" t="str">
            <v>001331</v>
          </cell>
          <cell r="G234">
            <v>165</v>
          </cell>
          <cell r="H234" t="str">
            <v>UWT Technology Institute</v>
          </cell>
          <cell r="I234">
            <v>31200</v>
          </cell>
          <cell r="J234">
            <v>0</v>
          </cell>
        </row>
        <row r="235">
          <cell r="A235" t="str">
            <v>12Labor Liaison Position</v>
          </cell>
          <cell r="B235">
            <v>6</v>
          </cell>
          <cell r="C235">
            <v>12</v>
          </cell>
          <cell r="D235" t="b">
            <v>1</v>
          </cell>
          <cell r="E235" t="str">
            <v>Centralia</v>
          </cell>
          <cell r="F235" t="str">
            <v>001011</v>
          </cell>
          <cell r="G235">
            <v>220</v>
          </cell>
          <cell r="H235" t="str">
            <v>Labor Liaison Position</v>
          </cell>
          <cell r="I235">
            <v>-2100</v>
          </cell>
          <cell r="J235">
            <v>0</v>
          </cell>
        </row>
        <row r="236">
          <cell r="A236" t="str">
            <v>13Operations</v>
          </cell>
          <cell r="B236">
            <v>6</v>
          </cell>
          <cell r="C236">
            <v>13</v>
          </cell>
          <cell r="D236" t="b">
            <v>1</v>
          </cell>
          <cell r="E236" t="str">
            <v>Lower Columbia</v>
          </cell>
          <cell r="F236" t="str">
            <v>001011</v>
          </cell>
          <cell r="G236">
            <v>100</v>
          </cell>
          <cell r="H236" t="str">
            <v>Operations</v>
          </cell>
          <cell r="I236">
            <v>9005735</v>
          </cell>
          <cell r="J236">
            <v>0</v>
          </cell>
        </row>
        <row r="237">
          <cell r="A237" t="str">
            <v>13Outcomes Assessment</v>
          </cell>
          <cell r="B237">
            <v>6</v>
          </cell>
          <cell r="C237">
            <v>13</v>
          </cell>
          <cell r="D237" t="b">
            <v>1</v>
          </cell>
          <cell r="E237" t="str">
            <v>Lower Columbia</v>
          </cell>
          <cell r="F237" t="str">
            <v>001011</v>
          </cell>
          <cell r="G237">
            <v>110</v>
          </cell>
          <cell r="H237" t="str">
            <v>Outcomes Assessment</v>
          </cell>
          <cell r="I237">
            <v>54210</v>
          </cell>
          <cell r="J237">
            <v>0</v>
          </cell>
        </row>
        <row r="238">
          <cell r="A238" t="str">
            <v>13Part-time Faculty Salaries</v>
          </cell>
          <cell r="B238">
            <v>6</v>
          </cell>
          <cell r="C238">
            <v>13</v>
          </cell>
          <cell r="D238" t="b">
            <v>1</v>
          </cell>
          <cell r="E238" t="str">
            <v>Lower Columbia</v>
          </cell>
          <cell r="F238" t="str">
            <v>001031</v>
          </cell>
          <cell r="G238">
            <v>111</v>
          </cell>
          <cell r="H238" t="str">
            <v>Part-time Faculty Salaries</v>
          </cell>
          <cell r="I238">
            <v>14500</v>
          </cell>
          <cell r="J238">
            <v>0</v>
          </cell>
        </row>
        <row r="239">
          <cell r="A239" t="str">
            <v>13Faculty Increments</v>
          </cell>
          <cell r="B239">
            <v>6</v>
          </cell>
          <cell r="C239">
            <v>13</v>
          </cell>
          <cell r="D239" t="b">
            <v>1</v>
          </cell>
          <cell r="E239" t="str">
            <v>Lower Columbia</v>
          </cell>
          <cell r="F239" t="str">
            <v>001091</v>
          </cell>
          <cell r="G239">
            <v>112</v>
          </cell>
          <cell r="H239" t="str">
            <v>Faculty Increments</v>
          </cell>
          <cell r="I239">
            <v>30000</v>
          </cell>
          <cell r="J239">
            <v>0</v>
          </cell>
        </row>
        <row r="240">
          <cell r="A240" t="str">
            <v>13Childcare Program</v>
          </cell>
          <cell r="B240">
            <v>6</v>
          </cell>
          <cell r="C240">
            <v>13</v>
          </cell>
          <cell r="D240" t="b">
            <v>1</v>
          </cell>
          <cell r="E240" t="str">
            <v>Lower Columbia</v>
          </cell>
          <cell r="F240" t="str">
            <v>001011</v>
          </cell>
          <cell r="G240">
            <v>120</v>
          </cell>
          <cell r="H240" t="str">
            <v>Childcare Program</v>
          </cell>
          <cell r="I240">
            <v>11610</v>
          </cell>
          <cell r="J240">
            <v>0</v>
          </cell>
        </row>
        <row r="241">
          <cell r="A241" t="str">
            <v>13Childcare Match</v>
          </cell>
          <cell r="B241">
            <v>6</v>
          </cell>
          <cell r="C241">
            <v>13</v>
          </cell>
          <cell r="D241" t="b">
            <v>1</v>
          </cell>
          <cell r="E241" t="str">
            <v>Lower Columbia</v>
          </cell>
          <cell r="F241" t="str">
            <v>0011E1</v>
          </cell>
          <cell r="G241">
            <v>121</v>
          </cell>
          <cell r="H241" t="str">
            <v>Childcare Match</v>
          </cell>
          <cell r="I241">
            <v>0</v>
          </cell>
          <cell r="J241">
            <v>0</v>
          </cell>
        </row>
        <row r="242">
          <cell r="A242" t="str">
            <v>13Students of Color</v>
          </cell>
          <cell r="B242">
            <v>6</v>
          </cell>
          <cell r="C242">
            <v>13</v>
          </cell>
          <cell r="D242" t="b">
            <v>1</v>
          </cell>
          <cell r="E242" t="str">
            <v>Lower Columbia</v>
          </cell>
          <cell r="F242" t="str">
            <v>001011</v>
          </cell>
          <cell r="G242">
            <v>122</v>
          </cell>
          <cell r="H242" t="str">
            <v>Students of Color</v>
          </cell>
          <cell r="I242">
            <v>8860</v>
          </cell>
          <cell r="J242">
            <v>0</v>
          </cell>
        </row>
        <row r="243">
          <cell r="A243" t="str">
            <v>13Annual Disability Accommod.</v>
          </cell>
          <cell r="B243">
            <v>6</v>
          </cell>
          <cell r="C243">
            <v>13</v>
          </cell>
          <cell r="D243" t="b">
            <v>1</v>
          </cell>
          <cell r="E243" t="str">
            <v>Lower Columbia</v>
          </cell>
          <cell r="F243" t="str">
            <v>001011</v>
          </cell>
          <cell r="G243">
            <v>123</v>
          </cell>
          <cell r="H243" t="str">
            <v>Annual Disability Accommod.</v>
          </cell>
          <cell r="I243">
            <v>40730</v>
          </cell>
          <cell r="J243">
            <v>0</v>
          </cell>
        </row>
        <row r="244">
          <cell r="A244" t="str">
            <v>13Qtrly Disability Accomm Reserves</v>
          </cell>
          <cell r="B244">
            <v>6</v>
          </cell>
          <cell r="C244">
            <v>13</v>
          </cell>
          <cell r="D244" t="b">
            <v>1</v>
          </cell>
          <cell r="E244" t="str">
            <v>Lower Columbia</v>
          </cell>
          <cell r="F244" t="str">
            <v>001011</v>
          </cell>
          <cell r="G244">
            <v>124</v>
          </cell>
          <cell r="H244" t="str">
            <v>Qtrly Disability Accomm Reserves</v>
          </cell>
          <cell r="I244">
            <v>0</v>
          </cell>
          <cell r="J244">
            <v>0</v>
          </cell>
        </row>
        <row r="245">
          <cell r="A245" t="str">
            <v>13Work-Based Learning</v>
          </cell>
          <cell r="B245">
            <v>6</v>
          </cell>
          <cell r="C245">
            <v>13</v>
          </cell>
          <cell r="D245" t="b">
            <v>1</v>
          </cell>
          <cell r="E245" t="str">
            <v>Lower Columbia</v>
          </cell>
          <cell r="F245" t="str">
            <v>001351</v>
          </cell>
          <cell r="G245">
            <v>130</v>
          </cell>
          <cell r="H245" t="str">
            <v>Work-Based Learning</v>
          </cell>
          <cell r="I245">
            <v>29412</v>
          </cell>
          <cell r="J245">
            <v>0</v>
          </cell>
        </row>
        <row r="246">
          <cell r="A246" t="str">
            <v>13Worker Retraining</v>
          </cell>
          <cell r="B246">
            <v>6</v>
          </cell>
          <cell r="C246">
            <v>13</v>
          </cell>
          <cell r="D246" t="b">
            <v>1</v>
          </cell>
          <cell r="E246" t="str">
            <v>Lower Columbia</v>
          </cell>
          <cell r="F246" t="str">
            <v>001231</v>
          </cell>
          <cell r="G246">
            <v>135</v>
          </cell>
          <cell r="H246" t="str">
            <v>Worker Retraining</v>
          </cell>
          <cell r="I246">
            <v>221328</v>
          </cell>
          <cell r="J246">
            <v>0</v>
          </cell>
        </row>
        <row r="247">
          <cell r="A247" t="str">
            <v>13WF Development Base</v>
          </cell>
          <cell r="B247">
            <v>6</v>
          </cell>
          <cell r="C247">
            <v>13</v>
          </cell>
          <cell r="D247" t="b">
            <v>1</v>
          </cell>
          <cell r="E247" t="str">
            <v>Lower Columbia</v>
          </cell>
          <cell r="F247" t="str">
            <v>001011</v>
          </cell>
          <cell r="G247">
            <v>140</v>
          </cell>
          <cell r="H247" t="str">
            <v>WF Development Base</v>
          </cell>
          <cell r="I247">
            <v>28800</v>
          </cell>
          <cell r="J247">
            <v>0</v>
          </cell>
        </row>
        <row r="248">
          <cell r="A248" t="str">
            <v>13WF Development Projects</v>
          </cell>
          <cell r="B248">
            <v>6</v>
          </cell>
          <cell r="C248">
            <v>13</v>
          </cell>
          <cell r="D248" t="b">
            <v>1</v>
          </cell>
          <cell r="E248" t="str">
            <v>Lower Columbia</v>
          </cell>
          <cell r="F248" t="str">
            <v>001011</v>
          </cell>
          <cell r="G248">
            <v>141</v>
          </cell>
          <cell r="H248" t="str">
            <v>WF Development Projects</v>
          </cell>
          <cell r="I248">
            <v>0</v>
          </cell>
          <cell r="J248">
            <v>0</v>
          </cell>
        </row>
        <row r="249">
          <cell r="A249" t="str">
            <v>13Apprenticeship</v>
          </cell>
          <cell r="B249">
            <v>6</v>
          </cell>
          <cell r="C249">
            <v>13</v>
          </cell>
          <cell r="D249" t="b">
            <v>1</v>
          </cell>
          <cell r="E249" t="str">
            <v>Lower Columbia</v>
          </cell>
          <cell r="F249" t="str">
            <v>001011</v>
          </cell>
          <cell r="G249">
            <v>145</v>
          </cell>
          <cell r="H249" t="str">
            <v>Apprenticeship</v>
          </cell>
          <cell r="I249">
            <v>32643</v>
          </cell>
          <cell r="J249">
            <v>0</v>
          </cell>
        </row>
        <row r="250">
          <cell r="A250" t="str">
            <v>13Rural/Community Development</v>
          </cell>
          <cell r="B250">
            <v>6</v>
          </cell>
          <cell r="C250">
            <v>13</v>
          </cell>
          <cell r="D250" t="b">
            <v>1</v>
          </cell>
          <cell r="E250" t="str">
            <v>Lower Columbia</v>
          </cell>
          <cell r="F250" t="str">
            <v>001311</v>
          </cell>
          <cell r="G250">
            <v>150</v>
          </cell>
          <cell r="H250" t="str">
            <v>Rural/Community Development</v>
          </cell>
          <cell r="I250">
            <v>76241</v>
          </cell>
          <cell r="J250">
            <v>0</v>
          </cell>
        </row>
        <row r="251">
          <cell r="A251" t="str">
            <v>13New Facilities Maint &amp; Ops</v>
          </cell>
          <cell r="B251">
            <v>6</v>
          </cell>
          <cell r="C251">
            <v>13</v>
          </cell>
          <cell r="D251" t="b">
            <v>1</v>
          </cell>
          <cell r="E251" t="str">
            <v>Lower Columbia</v>
          </cell>
          <cell r="F251" t="str">
            <v>001011</v>
          </cell>
          <cell r="G251">
            <v>160</v>
          </cell>
          <cell r="H251" t="str">
            <v>New Facilities Maint &amp; Ops</v>
          </cell>
          <cell r="I251">
            <v>71400</v>
          </cell>
          <cell r="J251">
            <v>0</v>
          </cell>
        </row>
        <row r="252">
          <cell r="A252" t="str">
            <v>13Building Maintenance Shift to Capital</v>
          </cell>
          <cell r="B252">
            <v>6</v>
          </cell>
          <cell r="C252">
            <v>13</v>
          </cell>
          <cell r="D252" t="b">
            <v>1</v>
          </cell>
          <cell r="E252" t="str">
            <v>Lower Columbia</v>
          </cell>
          <cell r="F252" t="str">
            <v>001011</v>
          </cell>
          <cell r="G252">
            <v>161</v>
          </cell>
          <cell r="H252" t="str">
            <v>Building Maintenance Shift to Capital</v>
          </cell>
          <cell r="I252">
            <v>-196100</v>
          </cell>
          <cell r="J252">
            <v>0</v>
          </cell>
        </row>
        <row r="253">
          <cell r="A253" t="str">
            <v>13UWT Technology Institute</v>
          </cell>
          <cell r="B253">
            <v>6</v>
          </cell>
          <cell r="C253">
            <v>13</v>
          </cell>
          <cell r="D253" t="b">
            <v>1</v>
          </cell>
          <cell r="E253" t="str">
            <v>Lower Columbia</v>
          </cell>
          <cell r="F253" t="str">
            <v>001331</v>
          </cell>
          <cell r="G253">
            <v>165</v>
          </cell>
          <cell r="H253" t="str">
            <v>UWT Technology Institute</v>
          </cell>
          <cell r="I253">
            <v>0</v>
          </cell>
          <cell r="J253">
            <v>0</v>
          </cell>
        </row>
        <row r="254">
          <cell r="A254" t="str">
            <v>13WSU Engr. &amp; Sci. Institute</v>
          </cell>
          <cell r="B254">
            <v>6</v>
          </cell>
          <cell r="C254">
            <v>13</v>
          </cell>
          <cell r="D254" t="b">
            <v>1</v>
          </cell>
          <cell r="E254" t="str">
            <v>Lower Columbia</v>
          </cell>
          <cell r="F254" t="str">
            <v>001471</v>
          </cell>
          <cell r="G254">
            <v>166</v>
          </cell>
          <cell r="H254" t="str">
            <v>WSU Engr. &amp; Sci. Institute</v>
          </cell>
          <cell r="I254">
            <v>158714</v>
          </cell>
          <cell r="J254">
            <v>0</v>
          </cell>
        </row>
        <row r="255">
          <cell r="A255" t="str">
            <v>13Labor Liaison Position</v>
          </cell>
          <cell r="B255">
            <v>6</v>
          </cell>
          <cell r="C255">
            <v>13</v>
          </cell>
          <cell r="D255" t="b">
            <v>1</v>
          </cell>
          <cell r="E255" t="str">
            <v>Lower Columbia</v>
          </cell>
          <cell r="F255" t="str">
            <v>001011</v>
          </cell>
          <cell r="G255">
            <v>220</v>
          </cell>
          <cell r="H255" t="str">
            <v>Labor Liaison Position</v>
          </cell>
          <cell r="I255">
            <v>-2100</v>
          </cell>
          <cell r="J255">
            <v>0</v>
          </cell>
        </row>
        <row r="256">
          <cell r="A256" t="str">
            <v>14Operations</v>
          </cell>
          <cell r="B256">
            <v>6</v>
          </cell>
          <cell r="C256">
            <v>14</v>
          </cell>
          <cell r="D256" t="b">
            <v>1</v>
          </cell>
          <cell r="E256" t="str">
            <v>Clark</v>
          </cell>
          <cell r="F256" t="str">
            <v>001011</v>
          </cell>
          <cell r="G256">
            <v>100</v>
          </cell>
          <cell r="H256" t="str">
            <v>Operations</v>
          </cell>
          <cell r="I256">
            <v>19785445</v>
          </cell>
          <cell r="J256">
            <v>0</v>
          </cell>
        </row>
        <row r="257">
          <cell r="A257" t="str">
            <v>14Outcomes Assessment</v>
          </cell>
          <cell r="B257">
            <v>6</v>
          </cell>
          <cell r="C257">
            <v>14</v>
          </cell>
          <cell r="D257" t="b">
            <v>1</v>
          </cell>
          <cell r="E257" t="str">
            <v>Clark</v>
          </cell>
          <cell r="F257" t="str">
            <v>001011</v>
          </cell>
          <cell r="G257">
            <v>110</v>
          </cell>
          <cell r="H257" t="str">
            <v>Outcomes Assessment</v>
          </cell>
          <cell r="I257">
            <v>54210</v>
          </cell>
          <cell r="J257">
            <v>0</v>
          </cell>
        </row>
        <row r="258">
          <cell r="A258" t="str">
            <v>14Part-time Faculty Salaries</v>
          </cell>
          <cell r="B258">
            <v>6</v>
          </cell>
          <cell r="C258">
            <v>14</v>
          </cell>
          <cell r="D258" t="b">
            <v>1</v>
          </cell>
          <cell r="E258" t="str">
            <v>Clark</v>
          </cell>
          <cell r="F258" t="str">
            <v>001031</v>
          </cell>
          <cell r="G258">
            <v>111</v>
          </cell>
          <cell r="H258" t="str">
            <v>Part-time Faculty Salaries</v>
          </cell>
          <cell r="I258">
            <v>64300</v>
          </cell>
          <cell r="J258">
            <v>0</v>
          </cell>
        </row>
        <row r="259">
          <cell r="A259" t="str">
            <v>14Faculty Increments</v>
          </cell>
          <cell r="B259">
            <v>6</v>
          </cell>
          <cell r="C259">
            <v>14</v>
          </cell>
          <cell r="D259" t="b">
            <v>1</v>
          </cell>
          <cell r="E259" t="str">
            <v>Clark</v>
          </cell>
          <cell r="F259" t="str">
            <v>001091</v>
          </cell>
          <cell r="G259">
            <v>112</v>
          </cell>
          <cell r="H259" t="str">
            <v>Faculty Increments</v>
          </cell>
          <cell r="I259">
            <v>57100</v>
          </cell>
          <cell r="J259">
            <v>0</v>
          </cell>
        </row>
        <row r="260">
          <cell r="A260" t="str">
            <v>14Childcare Program</v>
          </cell>
          <cell r="B260">
            <v>6</v>
          </cell>
          <cell r="C260">
            <v>14</v>
          </cell>
          <cell r="D260" t="b">
            <v>1</v>
          </cell>
          <cell r="E260" t="str">
            <v>Clark</v>
          </cell>
          <cell r="F260" t="str">
            <v>001011</v>
          </cell>
          <cell r="G260">
            <v>120</v>
          </cell>
          <cell r="H260" t="str">
            <v>Childcare Program</v>
          </cell>
          <cell r="I260">
            <v>22570</v>
          </cell>
          <cell r="J260">
            <v>0</v>
          </cell>
        </row>
        <row r="261">
          <cell r="A261" t="str">
            <v>14Childcare Match</v>
          </cell>
          <cell r="B261">
            <v>6</v>
          </cell>
          <cell r="C261">
            <v>14</v>
          </cell>
          <cell r="D261" t="b">
            <v>1</v>
          </cell>
          <cell r="E261" t="str">
            <v>Clark</v>
          </cell>
          <cell r="F261" t="str">
            <v>0011E1</v>
          </cell>
          <cell r="G261">
            <v>121</v>
          </cell>
          <cell r="H261" t="str">
            <v>Childcare Match</v>
          </cell>
          <cell r="I261">
            <v>0</v>
          </cell>
          <cell r="J261">
            <v>7000</v>
          </cell>
        </row>
        <row r="262">
          <cell r="A262" t="str">
            <v>14Students of Color</v>
          </cell>
          <cell r="B262">
            <v>6</v>
          </cell>
          <cell r="C262">
            <v>14</v>
          </cell>
          <cell r="D262" t="b">
            <v>1</v>
          </cell>
          <cell r="E262" t="str">
            <v>Clark</v>
          </cell>
          <cell r="F262" t="str">
            <v>001011</v>
          </cell>
          <cell r="G262">
            <v>122</v>
          </cell>
          <cell r="H262" t="str">
            <v>Students of Color</v>
          </cell>
          <cell r="I262">
            <v>34160</v>
          </cell>
          <cell r="J262">
            <v>0</v>
          </cell>
        </row>
        <row r="263">
          <cell r="A263" t="str">
            <v>14Annual Disability Accommod.</v>
          </cell>
          <cell r="B263">
            <v>6</v>
          </cell>
          <cell r="C263">
            <v>14</v>
          </cell>
          <cell r="D263" t="b">
            <v>1</v>
          </cell>
          <cell r="E263" t="str">
            <v>Clark</v>
          </cell>
          <cell r="F263" t="str">
            <v>001011</v>
          </cell>
          <cell r="G263">
            <v>123</v>
          </cell>
          <cell r="H263" t="str">
            <v>Annual Disability Accommod.</v>
          </cell>
          <cell r="I263">
            <v>46190</v>
          </cell>
          <cell r="J263">
            <v>0</v>
          </cell>
        </row>
        <row r="264">
          <cell r="A264" t="str">
            <v>14Qtrly Disability Accomm Reserves</v>
          </cell>
          <cell r="B264">
            <v>6</v>
          </cell>
          <cell r="C264">
            <v>14</v>
          </cell>
          <cell r="D264" t="b">
            <v>1</v>
          </cell>
          <cell r="E264" t="str">
            <v>Clark</v>
          </cell>
          <cell r="F264" t="str">
            <v>001011</v>
          </cell>
          <cell r="G264">
            <v>124</v>
          </cell>
          <cell r="H264" t="str">
            <v>Qtrly Disability Accomm Reserves</v>
          </cell>
          <cell r="I264">
            <v>0</v>
          </cell>
          <cell r="J264">
            <v>0</v>
          </cell>
        </row>
        <row r="265">
          <cell r="A265" t="str">
            <v>14Work-Based Learning</v>
          </cell>
          <cell r="B265">
            <v>6</v>
          </cell>
          <cell r="C265">
            <v>14</v>
          </cell>
          <cell r="D265" t="b">
            <v>1</v>
          </cell>
          <cell r="E265" t="str">
            <v>Clark</v>
          </cell>
          <cell r="F265" t="str">
            <v>001351</v>
          </cell>
          <cell r="G265">
            <v>130</v>
          </cell>
          <cell r="H265" t="str">
            <v>Work-Based Learning</v>
          </cell>
          <cell r="I265">
            <v>29412</v>
          </cell>
          <cell r="J265">
            <v>0</v>
          </cell>
        </row>
        <row r="266">
          <cell r="A266" t="str">
            <v>14Worker Retraining</v>
          </cell>
          <cell r="B266">
            <v>6</v>
          </cell>
          <cell r="C266">
            <v>14</v>
          </cell>
          <cell r="D266" t="b">
            <v>1</v>
          </cell>
          <cell r="E266" t="str">
            <v>Clark</v>
          </cell>
          <cell r="F266" t="str">
            <v>001231</v>
          </cell>
          <cell r="G266">
            <v>135</v>
          </cell>
          <cell r="H266" t="str">
            <v>Worker Retraining</v>
          </cell>
          <cell r="I266">
            <v>673206</v>
          </cell>
          <cell r="J266">
            <v>0</v>
          </cell>
        </row>
        <row r="267">
          <cell r="A267" t="str">
            <v>14WF Development Base</v>
          </cell>
          <cell r="B267">
            <v>6</v>
          </cell>
          <cell r="C267">
            <v>14</v>
          </cell>
          <cell r="D267" t="b">
            <v>1</v>
          </cell>
          <cell r="E267" t="str">
            <v>Clark</v>
          </cell>
          <cell r="F267" t="str">
            <v>001011</v>
          </cell>
          <cell r="G267">
            <v>140</v>
          </cell>
          <cell r="H267" t="str">
            <v>WF Development Base</v>
          </cell>
          <cell r="I267">
            <v>28800</v>
          </cell>
          <cell r="J267">
            <v>0</v>
          </cell>
        </row>
        <row r="268">
          <cell r="A268" t="str">
            <v>14WF Development Projects</v>
          </cell>
          <cell r="B268">
            <v>6</v>
          </cell>
          <cell r="C268">
            <v>14</v>
          </cell>
          <cell r="D268" t="b">
            <v>1</v>
          </cell>
          <cell r="E268" t="str">
            <v>Clark</v>
          </cell>
          <cell r="F268" t="str">
            <v>001011</v>
          </cell>
          <cell r="G268">
            <v>141</v>
          </cell>
          <cell r="H268" t="str">
            <v>WF Development Projects</v>
          </cell>
          <cell r="I268">
            <v>129221</v>
          </cell>
          <cell r="J268">
            <v>0</v>
          </cell>
        </row>
        <row r="269">
          <cell r="A269" t="str">
            <v>14Apprenticeship</v>
          </cell>
          <cell r="B269">
            <v>6</v>
          </cell>
          <cell r="C269">
            <v>14</v>
          </cell>
          <cell r="D269" t="b">
            <v>1</v>
          </cell>
          <cell r="E269" t="str">
            <v>Clark</v>
          </cell>
          <cell r="F269" t="str">
            <v>001011</v>
          </cell>
          <cell r="G269">
            <v>145</v>
          </cell>
          <cell r="H269" t="str">
            <v>Apprenticeship</v>
          </cell>
          <cell r="I269">
            <v>25389</v>
          </cell>
          <cell r="J269">
            <v>0</v>
          </cell>
        </row>
        <row r="270">
          <cell r="A270" t="str">
            <v>14Rural/Community Development</v>
          </cell>
          <cell r="B270">
            <v>6</v>
          </cell>
          <cell r="C270">
            <v>14</v>
          </cell>
          <cell r="D270" t="b">
            <v>1</v>
          </cell>
          <cell r="E270" t="str">
            <v>Clark</v>
          </cell>
          <cell r="F270" t="str">
            <v>001311</v>
          </cell>
          <cell r="G270">
            <v>150</v>
          </cell>
          <cell r="H270" t="str">
            <v>Rural/Community Development</v>
          </cell>
          <cell r="I270">
            <v>0</v>
          </cell>
          <cell r="J270">
            <v>0</v>
          </cell>
        </row>
        <row r="271">
          <cell r="A271" t="str">
            <v>14New Facilities Maint &amp; Ops</v>
          </cell>
          <cell r="B271">
            <v>6</v>
          </cell>
          <cell r="C271">
            <v>14</v>
          </cell>
          <cell r="D271" t="b">
            <v>1</v>
          </cell>
          <cell r="E271" t="str">
            <v>Clark</v>
          </cell>
          <cell r="F271" t="str">
            <v>001011</v>
          </cell>
          <cell r="G271">
            <v>160</v>
          </cell>
          <cell r="H271" t="str">
            <v>New Facilities Maint &amp; Ops</v>
          </cell>
          <cell r="I271">
            <v>0</v>
          </cell>
          <cell r="J271">
            <v>0</v>
          </cell>
        </row>
        <row r="272">
          <cell r="A272" t="str">
            <v>14Building Maintenance Shift to Capital</v>
          </cell>
          <cell r="B272">
            <v>6</v>
          </cell>
          <cell r="C272">
            <v>14</v>
          </cell>
          <cell r="D272" t="b">
            <v>1</v>
          </cell>
          <cell r="E272" t="str">
            <v>Clark</v>
          </cell>
          <cell r="F272" t="str">
            <v>001011</v>
          </cell>
          <cell r="G272">
            <v>161</v>
          </cell>
          <cell r="H272" t="str">
            <v>Building Maintenance Shift to Capital</v>
          </cell>
          <cell r="I272">
            <v>-365500</v>
          </cell>
          <cell r="J272">
            <v>0</v>
          </cell>
        </row>
        <row r="273">
          <cell r="A273" t="str">
            <v>14UWT Technology Institute</v>
          </cell>
          <cell r="B273">
            <v>6</v>
          </cell>
          <cell r="C273">
            <v>14</v>
          </cell>
          <cell r="D273" t="b">
            <v>1</v>
          </cell>
          <cell r="E273" t="str">
            <v>Clark</v>
          </cell>
          <cell r="F273" t="str">
            <v>001331</v>
          </cell>
          <cell r="G273">
            <v>165</v>
          </cell>
          <cell r="H273" t="str">
            <v>UWT Technology Institute</v>
          </cell>
          <cell r="I273">
            <v>0</v>
          </cell>
          <cell r="J273">
            <v>0</v>
          </cell>
        </row>
        <row r="274">
          <cell r="A274" t="str">
            <v>14WSU Engr. &amp; Sci. Institute</v>
          </cell>
          <cell r="B274">
            <v>6</v>
          </cell>
          <cell r="C274">
            <v>14</v>
          </cell>
          <cell r="D274" t="b">
            <v>1</v>
          </cell>
          <cell r="E274" t="str">
            <v>Clark</v>
          </cell>
          <cell r="F274" t="str">
            <v>001471</v>
          </cell>
          <cell r="G274">
            <v>166</v>
          </cell>
          <cell r="H274" t="str">
            <v>WSU Engr. &amp; Sci. Institute</v>
          </cell>
          <cell r="I274">
            <v>507886</v>
          </cell>
          <cell r="J274">
            <v>0</v>
          </cell>
        </row>
        <row r="275">
          <cell r="A275" t="str">
            <v>14Labor Liaison Position</v>
          </cell>
          <cell r="B275">
            <v>6</v>
          </cell>
          <cell r="C275">
            <v>14</v>
          </cell>
          <cell r="D275" t="b">
            <v>1</v>
          </cell>
          <cell r="E275" t="str">
            <v>Clark</v>
          </cell>
          <cell r="F275" t="str">
            <v>001011</v>
          </cell>
          <cell r="G275">
            <v>220</v>
          </cell>
          <cell r="H275" t="str">
            <v>Labor Liaison Position</v>
          </cell>
          <cell r="I275">
            <v>-2100</v>
          </cell>
          <cell r="J275">
            <v>0</v>
          </cell>
        </row>
        <row r="276">
          <cell r="A276" t="str">
            <v>15Operations</v>
          </cell>
          <cell r="B276">
            <v>6</v>
          </cell>
          <cell r="C276">
            <v>15</v>
          </cell>
          <cell r="D276" t="b">
            <v>1</v>
          </cell>
          <cell r="E276" t="str">
            <v>Wenatchee</v>
          </cell>
          <cell r="F276" t="str">
            <v>001011</v>
          </cell>
          <cell r="G276">
            <v>100</v>
          </cell>
          <cell r="H276" t="str">
            <v>Operations</v>
          </cell>
          <cell r="I276">
            <v>8555848</v>
          </cell>
          <cell r="J276">
            <v>0</v>
          </cell>
        </row>
        <row r="277">
          <cell r="A277" t="str">
            <v>15Outcomes Assessment</v>
          </cell>
          <cell r="B277">
            <v>6</v>
          </cell>
          <cell r="C277">
            <v>15</v>
          </cell>
          <cell r="D277" t="b">
            <v>1</v>
          </cell>
          <cell r="E277" t="str">
            <v>Wenatchee</v>
          </cell>
          <cell r="F277" t="str">
            <v>001011</v>
          </cell>
          <cell r="G277">
            <v>110</v>
          </cell>
          <cell r="H277" t="str">
            <v>Outcomes Assessment</v>
          </cell>
          <cell r="I277">
            <v>54210</v>
          </cell>
          <cell r="J277">
            <v>0</v>
          </cell>
        </row>
        <row r="278">
          <cell r="A278" t="str">
            <v>15Part-time Faculty Salaries</v>
          </cell>
          <cell r="B278">
            <v>6</v>
          </cell>
          <cell r="C278">
            <v>15</v>
          </cell>
          <cell r="D278" t="b">
            <v>1</v>
          </cell>
          <cell r="E278" t="str">
            <v>Wenatchee</v>
          </cell>
          <cell r="F278" t="str">
            <v>001031</v>
          </cell>
          <cell r="G278">
            <v>111</v>
          </cell>
          <cell r="H278" t="str">
            <v>Part-time Faculty Salaries</v>
          </cell>
          <cell r="I278">
            <v>24700</v>
          </cell>
          <cell r="J278">
            <v>0</v>
          </cell>
        </row>
        <row r="279">
          <cell r="A279" t="str">
            <v>15Faculty Increments</v>
          </cell>
          <cell r="B279">
            <v>6</v>
          </cell>
          <cell r="C279">
            <v>15</v>
          </cell>
          <cell r="D279" t="b">
            <v>1</v>
          </cell>
          <cell r="E279" t="str">
            <v>Wenatchee</v>
          </cell>
          <cell r="F279" t="str">
            <v>001091</v>
          </cell>
          <cell r="G279">
            <v>112</v>
          </cell>
          <cell r="H279" t="str">
            <v>Faculty Increments</v>
          </cell>
          <cell r="I279">
            <v>25200</v>
          </cell>
          <cell r="J279">
            <v>0</v>
          </cell>
        </row>
        <row r="280">
          <cell r="A280" t="str">
            <v>15Childcare Program</v>
          </cell>
          <cell r="B280">
            <v>6</v>
          </cell>
          <cell r="C280">
            <v>15</v>
          </cell>
          <cell r="D280" t="b">
            <v>1</v>
          </cell>
          <cell r="E280" t="str">
            <v>Wenatchee</v>
          </cell>
          <cell r="F280" t="str">
            <v>001011</v>
          </cell>
          <cell r="G280">
            <v>120</v>
          </cell>
          <cell r="H280" t="str">
            <v>Childcare Program</v>
          </cell>
          <cell r="I280">
            <v>11070</v>
          </cell>
          <cell r="J280">
            <v>0</v>
          </cell>
        </row>
        <row r="281">
          <cell r="A281" t="str">
            <v>15Childcare Match</v>
          </cell>
          <cell r="B281">
            <v>6</v>
          </cell>
          <cell r="C281">
            <v>15</v>
          </cell>
          <cell r="D281" t="b">
            <v>1</v>
          </cell>
          <cell r="E281" t="str">
            <v>Wenatchee</v>
          </cell>
          <cell r="F281" t="str">
            <v>0011E1</v>
          </cell>
          <cell r="G281">
            <v>121</v>
          </cell>
          <cell r="H281" t="str">
            <v>Childcare Match</v>
          </cell>
          <cell r="I281">
            <v>0</v>
          </cell>
          <cell r="J281">
            <v>0</v>
          </cell>
        </row>
        <row r="282">
          <cell r="A282" t="str">
            <v>15Students of Color</v>
          </cell>
          <cell r="B282">
            <v>6</v>
          </cell>
          <cell r="C282">
            <v>15</v>
          </cell>
          <cell r="D282" t="b">
            <v>1</v>
          </cell>
          <cell r="E282" t="str">
            <v>Wenatchee</v>
          </cell>
          <cell r="F282" t="str">
            <v>001011</v>
          </cell>
          <cell r="G282">
            <v>122</v>
          </cell>
          <cell r="H282" t="str">
            <v>Students of Color</v>
          </cell>
          <cell r="I282">
            <v>26810</v>
          </cell>
          <cell r="J282">
            <v>0</v>
          </cell>
        </row>
        <row r="283">
          <cell r="A283" t="str">
            <v>15Annual Disability Accommod.</v>
          </cell>
          <cell r="B283">
            <v>6</v>
          </cell>
          <cell r="C283">
            <v>15</v>
          </cell>
          <cell r="D283" t="b">
            <v>1</v>
          </cell>
          <cell r="E283" t="str">
            <v>Wenatchee</v>
          </cell>
          <cell r="F283" t="str">
            <v>001011</v>
          </cell>
          <cell r="G283">
            <v>123</v>
          </cell>
          <cell r="H283" t="str">
            <v>Annual Disability Accommod.</v>
          </cell>
          <cell r="I283">
            <v>24320</v>
          </cell>
          <cell r="J283">
            <v>0</v>
          </cell>
        </row>
        <row r="284">
          <cell r="A284" t="str">
            <v>15Qtrly Disability Accomm Reserves</v>
          </cell>
          <cell r="B284">
            <v>6</v>
          </cell>
          <cell r="C284">
            <v>15</v>
          </cell>
          <cell r="D284" t="b">
            <v>1</v>
          </cell>
          <cell r="E284" t="str">
            <v>Wenatchee</v>
          </cell>
          <cell r="F284" t="str">
            <v>001011</v>
          </cell>
          <cell r="G284">
            <v>124</v>
          </cell>
          <cell r="H284" t="str">
            <v>Qtrly Disability Accomm Reserves</v>
          </cell>
          <cell r="I284">
            <v>0</v>
          </cell>
          <cell r="J284">
            <v>0</v>
          </cell>
        </row>
        <row r="285">
          <cell r="A285" t="str">
            <v>15Work-Based Learning</v>
          </cell>
          <cell r="B285">
            <v>6</v>
          </cell>
          <cell r="C285">
            <v>15</v>
          </cell>
          <cell r="D285" t="b">
            <v>1</v>
          </cell>
          <cell r="E285" t="str">
            <v>Wenatchee</v>
          </cell>
          <cell r="F285" t="str">
            <v>001351</v>
          </cell>
          <cell r="G285">
            <v>130</v>
          </cell>
          <cell r="H285" t="str">
            <v>Work-Based Learning</v>
          </cell>
          <cell r="I285">
            <v>29412</v>
          </cell>
          <cell r="J285">
            <v>0</v>
          </cell>
        </row>
        <row r="286">
          <cell r="A286" t="str">
            <v>15Worker Retraining</v>
          </cell>
          <cell r="B286">
            <v>6</v>
          </cell>
          <cell r="C286">
            <v>15</v>
          </cell>
          <cell r="D286" t="b">
            <v>1</v>
          </cell>
          <cell r="E286" t="str">
            <v>Wenatchee</v>
          </cell>
          <cell r="F286" t="str">
            <v>001231</v>
          </cell>
          <cell r="G286">
            <v>135</v>
          </cell>
          <cell r="H286" t="str">
            <v>Worker Retraining</v>
          </cell>
          <cell r="I286">
            <v>654762</v>
          </cell>
          <cell r="J286">
            <v>0</v>
          </cell>
        </row>
        <row r="287">
          <cell r="A287" t="str">
            <v>15WF Development Base</v>
          </cell>
          <cell r="B287">
            <v>6</v>
          </cell>
          <cell r="C287">
            <v>15</v>
          </cell>
          <cell r="D287" t="b">
            <v>1</v>
          </cell>
          <cell r="E287" t="str">
            <v>Wenatchee</v>
          </cell>
          <cell r="F287" t="str">
            <v>001011</v>
          </cell>
          <cell r="G287">
            <v>140</v>
          </cell>
          <cell r="H287" t="str">
            <v>WF Development Base</v>
          </cell>
          <cell r="I287">
            <v>28800</v>
          </cell>
          <cell r="J287">
            <v>0</v>
          </cell>
        </row>
        <row r="288">
          <cell r="A288" t="str">
            <v>15WF Development Projects</v>
          </cell>
          <cell r="B288">
            <v>6</v>
          </cell>
          <cell r="C288">
            <v>15</v>
          </cell>
          <cell r="D288" t="b">
            <v>1</v>
          </cell>
          <cell r="E288" t="str">
            <v>Wenatchee</v>
          </cell>
          <cell r="F288" t="str">
            <v>001011</v>
          </cell>
          <cell r="G288">
            <v>141</v>
          </cell>
          <cell r="H288" t="str">
            <v>WF Development Projects</v>
          </cell>
          <cell r="I288">
            <v>0</v>
          </cell>
          <cell r="J288">
            <v>0</v>
          </cell>
        </row>
        <row r="289">
          <cell r="A289" t="str">
            <v>15Apprenticeship</v>
          </cell>
          <cell r="B289">
            <v>6</v>
          </cell>
          <cell r="C289">
            <v>15</v>
          </cell>
          <cell r="D289" t="b">
            <v>1</v>
          </cell>
          <cell r="E289" t="str">
            <v>Wenatchee</v>
          </cell>
          <cell r="F289" t="str">
            <v>001011</v>
          </cell>
          <cell r="G289">
            <v>145</v>
          </cell>
          <cell r="H289" t="str">
            <v>Apprenticeship</v>
          </cell>
          <cell r="I289">
            <v>7254</v>
          </cell>
          <cell r="J289">
            <v>0</v>
          </cell>
        </row>
        <row r="290">
          <cell r="A290" t="str">
            <v>15Wine Industry Partnership</v>
          </cell>
          <cell r="B290">
            <v>6</v>
          </cell>
          <cell r="C290">
            <v>15</v>
          </cell>
          <cell r="D290" t="b">
            <v>1</v>
          </cell>
          <cell r="E290" t="str">
            <v>Wenatchee</v>
          </cell>
          <cell r="F290" t="str">
            <v>0011J1</v>
          </cell>
          <cell r="G290">
            <v>147</v>
          </cell>
          <cell r="H290" t="str">
            <v>Wine Industry Partnership</v>
          </cell>
          <cell r="I290">
            <v>25000</v>
          </cell>
          <cell r="J290">
            <v>0</v>
          </cell>
        </row>
        <row r="291">
          <cell r="A291" t="str">
            <v>15Rural/Community Development</v>
          </cell>
          <cell r="B291">
            <v>6</v>
          </cell>
          <cell r="C291">
            <v>15</v>
          </cell>
          <cell r="D291" t="b">
            <v>1</v>
          </cell>
          <cell r="E291" t="str">
            <v>Wenatchee</v>
          </cell>
          <cell r="F291" t="str">
            <v>001311</v>
          </cell>
          <cell r="G291">
            <v>150</v>
          </cell>
          <cell r="H291" t="str">
            <v>Rural/Community Development</v>
          </cell>
          <cell r="I291">
            <v>0</v>
          </cell>
          <cell r="J291">
            <v>0</v>
          </cell>
        </row>
        <row r="292">
          <cell r="A292" t="str">
            <v>15New Facilities Maint &amp; Ops</v>
          </cell>
          <cell r="B292">
            <v>6</v>
          </cell>
          <cell r="C292">
            <v>15</v>
          </cell>
          <cell r="D292" t="b">
            <v>1</v>
          </cell>
          <cell r="E292" t="str">
            <v>Wenatchee</v>
          </cell>
          <cell r="F292" t="str">
            <v>001011</v>
          </cell>
          <cell r="G292">
            <v>160</v>
          </cell>
          <cell r="H292" t="str">
            <v>New Facilities Maint &amp; Ops</v>
          </cell>
          <cell r="I292">
            <v>0</v>
          </cell>
          <cell r="J292">
            <v>0</v>
          </cell>
        </row>
        <row r="293">
          <cell r="A293" t="str">
            <v>15Building Maintenance Shift to Capital</v>
          </cell>
          <cell r="B293">
            <v>6</v>
          </cell>
          <cell r="C293">
            <v>15</v>
          </cell>
          <cell r="D293" t="b">
            <v>1</v>
          </cell>
          <cell r="E293" t="str">
            <v>Wenatchee</v>
          </cell>
          <cell r="F293" t="str">
            <v>001011</v>
          </cell>
          <cell r="G293">
            <v>161</v>
          </cell>
          <cell r="H293" t="str">
            <v>Building Maintenance Shift to Capital</v>
          </cell>
          <cell r="I293">
            <v>-177100</v>
          </cell>
          <cell r="J293">
            <v>0</v>
          </cell>
        </row>
        <row r="294">
          <cell r="A294" t="str">
            <v>15UWT Technology Institute</v>
          </cell>
          <cell r="B294">
            <v>6</v>
          </cell>
          <cell r="C294">
            <v>15</v>
          </cell>
          <cell r="D294" t="b">
            <v>1</v>
          </cell>
          <cell r="E294" t="str">
            <v>Wenatchee</v>
          </cell>
          <cell r="F294" t="str">
            <v>001331</v>
          </cell>
          <cell r="G294">
            <v>165</v>
          </cell>
          <cell r="H294" t="str">
            <v>UWT Technology Institute</v>
          </cell>
          <cell r="I294">
            <v>0</v>
          </cell>
          <cell r="J294">
            <v>0</v>
          </cell>
        </row>
        <row r="295">
          <cell r="A295" t="str">
            <v>15Labor Liaison Position</v>
          </cell>
          <cell r="B295">
            <v>6</v>
          </cell>
          <cell r="C295">
            <v>15</v>
          </cell>
          <cell r="D295" t="b">
            <v>1</v>
          </cell>
          <cell r="E295" t="str">
            <v>Wenatchee</v>
          </cell>
          <cell r="F295" t="str">
            <v>001011</v>
          </cell>
          <cell r="G295">
            <v>220</v>
          </cell>
          <cell r="H295" t="str">
            <v>Labor Liaison Position</v>
          </cell>
          <cell r="I295">
            <v>-2100</v>
          </cell>
          <cell r="J295">
            <v>0</v>
          </cell>
        </row>
        <row r="296">
          <cell r="A296" t="str">
            <v>16Operations</v>
          </cell>
          <cell r="B296">
            <v>6</v>
          </cell>
          <cell r="C296">
            <v>16</v>
          </cell>
          <cell r="D296" t="b">
            <v>1</v>
          </cell>
          <cell r="E296" t="str">
            <v>Yakima Valley</v>
          </cell>
          <cell r="F296" t="str">
            <v>001011</v>
          </cell>
          <cell r="G296">
            <v>100</v>
          </cell>
          <cell r="H296" t="str">
            <v>Operations</v>
          </cell>
          <cell r="I296">
            <v>12478844</v>
          </cell>
          <cell r="J296">
            <v>0</v>
          </cell>
        </row>
        <row r="297">
          <cell r="A297" t="str">
            <v>16Outcomes Assessment</v>
          </cell>
          <cell r="B297">
            <v>6</v>
          </cell>
          <cell r="C297">
            <v>16</v>
          </cell>
          <cell r="D297" t="b">
            <v>1</v>
          </cell>
          <cell r="E297" t="str">
            <v>Yakima Valley</v>
          </cell>
          <cell r="F297" t="str">
            <v>001011</v>
          </cell>
          <cell r="G297">
            <v>110</v>
          </cell>
          <cell r="H297" t="str">
            <v>Outcomes Assessment</v>
          </cell>
          <cell r="I297">
            <v>54210</v>
          </cell>
          <cell r="J297">
            <v>0</v>
          </cell>
        </row>
        <row r="298">
          <cell r="A298" t="str">
            <v>16Part-time Faculty Salaries</v>
          </cell>
          <cell r="B298">
            <v>6</v>
          </cell>
          <cell r="C298">
            <v>16</v>
          </cell>
          <cell r="D298" t="b">
            <v>1</v>
          </cell>
          <cell r="E298" t="str">
            <v>Yakima Valley</v>
          </cell>
          <cell r="F298" t="str">
            <v>001031</v>
          </cell>
          <cell r="G298">
            <v>111</v>
          </cell>
          <cell r="H298" t="str">
            <v>Part-time Faculty Salaries</v>
          </cell>
          <cell r="I298">
            <v>30800</v>
          </cell>
          <cell r="J298">
            <v>0</v>
          </cell>
        </row>
        <row r="299">
          <cell r="A299" t="str">
            <v>16Faculty Increments</v>
          </cell>
          <cell r="B299">
            <v>6</v>
          </cell>
          <cell r="C299">
            <v>16</v>
          </cell>
          <cell r="D299" t="b">
            <v>1</v>
          </cell>
          <cell r="E299" t="str">
            <v>Yakima Valley</v>
          </cell>
          <cell r="F299" t="str">
            <v>001091</v>
          </cell>
          <cell r="G299">
            <v>112</v>
          </cell>
          <cell r="H299" t="str">
            <v>Faculty Increments</v>
          </cell>
          <cell r="I299">
            <v>34200</v>
          </cell>
          <cell r="J299">
            <v>0</v>
          </cell>
        </row>
        <row r="300">
          <cell r="A300" t="str">
            <v>16Childcare Program</v>
          </cell>
          <cell r="B300">
            <v>6</v>
          </cell>
          <cell r="C300">
            <v>16</v>
          </cell>
          <cell r="D300" t="b">
            <v>1</v>
          </cell>
          <cell r="E300" t="str">
            <v>Yakima Valley</v>
          </cell>
          <cell r="F300" t="str">
            <v>001011</v>
          </cell>
          <cell r="G300">
            <v>120</v>
          </cell>
          <cell r="H300" t="str">
            <v>Childcare Program</v>
          </cell>
          <cell r="I300">
            <v>16800</v>
          </cell>
          <cell r="J300">
            <v>0</v>
          </cell>
        </row>
        <row r="301">
          <cell r="A301" t="str">
            <v>16Childcare Match</v>
          </cell>
          <cell r="B301">
            <v>6</v>
          </cell>
          <cell r="C301">
            <v>16</v>
          </cell>
          <cell r="D301" t="b">
            <v>1</v>
          </cell>
          <cell r="E301" t="str">
            <v>Yakima Valley</v>
          </cell>
          <cell r="F301" t="str">
            <v>0011E1</v>
          </cell>
          <cell r="G301">
            <v>121</v>
          </cell>
          <cell r="H301" t="str">
            <v>Childcare Match</v>
          </cell>
          <cell r="I301">
            <v>0</v>
          </cell>
          <cell r="J301">
            <v>0</v>
          </cell>
        </row>
        <row r="302">
          <cell r="A302" t="str">
            <v>16Students of Color</v>
          </cell>
          <cell r="B302">
            <v>6</v>
          </cell>
          <cell r="C302">
            <v>16</v>
          </cell>
          <cell r="D302" t="b">
            <v>1</v>
          </cell>
          <cell r="E302" t="str">
            <v>Yakima Valley</v>
          </cell>
          <cell r="F302" t="str">
            <v>001011</v>
          </cell>
          <cell r="G302">
            <v>122</v>
          </cell>
          <cell r="H302" t="str">
            <v>Students of Color</v>
          </cell>
          <cell r="I302">
            <v>66680</v>
          </cell>
          <cell r="J302">
            <v>0</v>
          </cell>
        </row>
        <row r="303">
          <cell r="A303" t="str">
            <v>16Annual Disability Accommod.</v>
          </cell>
          <cell r="B303">
            <v>6</v>
          </cell>
          <cell r="C303">
            <v>16</v>
          </cell>
          <cell r="D303" t="b">
            <v>1</v>
          </cell>
          <cell r="E303" t="str">
            <v>Yakima Valley</v>
          </cell>
          <cell r="F303" t="str">
            <v>001011</v>
          </cell>
          <cell r="G303">
            <v>123</v>
          </cell>
          <cell r="H303" t="str">
            <v>Annual Disability Accommod.</v>
          </cell>
          <cell r="I303">
            <v>32870</v>
          </cell>
          <cell r="J303">
            <v>0</v>
          </cell>
        </row>
        <row r="304">
          <cell r="A304" t="str">
            <v>16Qtrly Disability Accomm Reserves</v>
          </cell>
          <cell r="B304">
            <v>6</v>
          </cell>
          <cell r="C304">
            <v>16</v>
          </cell>
          <cell r="D304" t="b">
            <v>1</v>
          </cell>
          <cell r="E304" t="str">
            <v>Yakima Valley</v>
          </cell>
          <cell r="F304" t="str">
            <v>001011</v>
          </cell>
          <cell r="G304">
            <v>124</v>
          </cell>
          <cell r="H304" t="str">
            <v>Qtrly Disability Accomm Reserves</v>
          </cell>
          <cell r="I304">
            <v>0</v>
          </cell>
          <cell r="J304">
            <v>0</v>
          </cell>
        </row>
        <row r="305">
          <cell r="A305" t="str">
            <v>16Work-Based Learning</v>
          </cell>
          <cell r="B305">
            <v>6</v>
          </cell>
          <cell r="C305">
            <v>16</v>
          </cell>
          <cell r="D305" t="b">
            <v>1</v>
          </cell>
          <cell r="E305" t="str">
            <v>Yakima Valley</v>
          </cell>
          <cell r="F305" t="str">
            <v>001351</v>
          </cell>
          <cell r="G305">
            <v>130</v>
          </cell>
          <cell r="H305" t="str">
            <v>Work-Based Learning</v>
          </cell>
          <cell r="I305">
            <v>29412</v>
          </cell>
          <cell r="J305">
            <v>0</v>
          </cell>
        </row>
        <row r="306">
          <cell r="A306" t="str">
            <v>16Worker Retraining</v>
          </cell>
          <cell r="B306">
            <v>6</v>
          </cell>
          <cell r="C306">
            <v>16</v>
          </cell>
          <cell r="D306" t="b">
            <v>1</v>
          </cell>
          <cell r="E306" t="str">
            <v>Yakima Valley</v>
          </cell>
          <cell r="F306" t="str">
            <v>001231</v>
          </cell>
          <cell r="G306">
            <v>135</v>
          </cell>
          <cell r="H306" t="str">
            <v>Worker Retraining</v>
          </cell>
          <cell r="I306">
            <v>502599</v>
          </cell>
          <cell r="J306">
            <v>0</v>
          </cell>
        </row>
        <row r="307">
          <cell r="A307" t="str">
            <v>16WF Development Base</v>
          </cell>
          <cell r="B307">
            <v>6</v>
          </cell>
          <cell r="C307">
            <v>16</v>
          </cell>
          <cell r="D307" t="b">
            <v>1</v>
          </cell>
          <cell r="E307" t="str">
            <v>Yakima Valley</v>
          </cell>
          <cell r="F307" t="str">
            <v>001011</v>
          </cell>
          <cell r="G307">
            <v>140</v>
          </cell>
          <cell r="H307" t="str">
            <v>WF Development Base</v>
          </cell>
          <cell r="I307">
            <v>28800</v>
          </cell>
          <cell r="J307">
            <v>0</v>
          </cell>
        </row>
        <row r="308">
          <cell r="A308" t="str">
            <v>16WF Development Projects</v>
          </cell>
          <cell r="B308">
            <v>6</v>
          </cell>
          <cell r="C308">
            <v>16</v>
          </cell>
          <cell r="D308" t="b">
            <v>1</v>
          </cell>
          <cell r="E308" t="str">
            <v>Yakima Valley</v>
          </cell>
          <cell r="F308" t="str">
            <v>001011</v>
          </cell>
          <cell r="G308">
            <v>141</v>
          </cell>
          <cell r="H308" t="str">
            <v>WF Development Projects</v>
          </cell>
          <cell r="I308">
            <v>100000</v>
          </cell>
          <cell r="J308">
            <v>0</v>
          </cell>
        </row>
        <row r="309">
          <cell r="A309" t="str">
            <v>16Apprenticeship</v>
          </cell>
          <cell r="B309">
            <v>6</v>
          </cell>
          <cell r="C309">
            <v>16</v>
          </cell>
          <cell r="D309" t="b">
            <v>1</v>
          </cell>
          <cell r="E309" t="str">
            <v>Yakima Valley</v>
          </cell>
          <cell r="F309" t="str">
            <v>001011</v>
          </cell>
          <cell r="G309">
            <v>145</v>
          </cell>
          <cell r="H309" t="str">
            <v>Apprenticeship</v>
          </cell>
          <cell r="I309">
            <v>0</v>
          </cell>
          <cell r="J309">
            <v>0</v>
          </cell>
        </row>
        <row r="310">
          <cell r="A310" t="str">
            <v>16Wine Industry Partnership</v>
          </cell>
          <cell r="B310">
            <v>6</v>
          </cell>
          <cell r="C310">
            <v>16</v>
          </cell>
          <cell r="D310" t="b">
            <v>1</v>
          </cell>
          <cell r="E310" t="str">
            <v>Yakima Valley</v>
          </cell>
          <cell r="F310" t="str">
            <v>0011J1</v>
          </cell>
          <cell r="G310">
            <v>147</v>
          </cell>
          <cell r="H310" t="str">
            <v>Wine Industry Partnership</v>
          </cell>
          <cell r="I310">
            <v>11000</v>
          </cell>
          <cell r="J310">
            <v>0</v>
          </cell>
        </row>
        <row r="311">
          <cell r="A311" t="str">
            <v>16Rural/Community Development</v>
          </cell>
          <cell r="B311">
            <v>6</v>
          </cell>
          <cell r="C311">
            <v>16</v>
          </cell>
          <cell r="D311" t="b">
            <v>1</v>
          </cell>
          <cell r="E311" t="str">
            <v>Yakima Valley</v>
          </cell>
          <cell r="F311" t="str">
            <v>001311</v>
          </cell>
          <cell r="G311">
            <v>150</v>
          </cell>
          <cell r="H311" t="str">
            <v>Rural/Community Development</v>
          </cell>
          <cell r="I311">
            <v>90746</v>
          </cell>
          <cell r="J311">
            <v>0</v>
          </cell>
        </row>
        <row r="312">
          <cell r="A312" t="str">
            <v>16New Facilities Maint &amp; Ops</v>
          </cell>
          <cell r="B312">
            <v>6</v>
          </cell>
          <cell r="C312">
            <v>16</v>
          </cell>
          <cell r="D312" t="b">
            <v>1</v>
          </cell>
          <cell r="E312" t="str">
            <v>Yakima Valley</v>
          </cell>
          <cell r="F312" t="str">
            <v>001011</v>
          </cell>
          <cell r="G312">
            <v>160</v>
          </cell>
          <cell r="H312" t="str">
            <v>New Facilities Maint &amp; Ops</v>
          </cell>
          <cell r="I312">
            <v>626700</v>
          </cell>
          <cell r="J312">
            <v>0</v>
          </cell>
        </row>
        <row r="313">
          <cell r="A313" t="str">
            <v>16Building Maintenance Shift to Capital</v>
          </cell>
          <cell r="B313">
            <v>6</v>
          </cell>
          <cell r="C313">
            <v>16</v>
          </cell>
          <cell r="D313" t="b">
            <v>1</v>
          </cell>
          <cell r="E313" t="str">
            <v>Yakima Valley</v>
          </cell>
          <cell r="F313" t="str">
            <v>001011</v>
          </cell>
          <cell r="G313">
            <v>161</v>
          </cell>
          <cell r="H313" t="str">
            <v>Building Maintenance Shift to Capital</v>
          </cell>
          <cell r="I313">
            <v>-246000</v>
          </cell>
          <cell r="J313">
            <v>0</v>
          </cell>
        </row>
        <row r="314">
          <cell r="A314" t="str">
            <v>16UWT Technology Institute</v>
          </cell>
          <cell r="B314">
            <v>6</v>
          </cell>
          <cell r="C314">
            <v>16</v>
          </cell>
          <cell r="D314" t="b">
            <v>1</v>
          </cell>
          <cell r="E314" t="str">
            <v>Yakima Valley</v>
          </cell>
          <cell r="F314" t="str">
            <v>001331</v>
          </cell>
          <cell r="G314">
            <v>165</v>
          </cell>
          <cell r="H314" t="str">
            <v>UWT Technology Institute</v>
          </cell>
          <cell r="I314">
            <v>0</v>
          </cell>
          <cell r="J314">
            <v>0</v>
          </cell>
        </row>
        <row r="315">
          <cell r="A315" t="str">
            <v>16Labor Liaison Position</v>
          </cell>
          <cell r="B315">
            <v>6</v>
          </cell>
          <cell r="C315">
            <v>16</v>
          </cell>
          <cell r="D315" t="b">
            <v>1</v>
          </cell>
          <cell r="E315" t="str">
            <v>Yakima Valley</v>
          </cell>
          <cell r="F315" t="str">
            <v>001011</v>
          </cell>
          <cell r="G315">
            <v>220</v>
          </cell>
          <cell r="H315" t="str">
            <v>Labor Liaison Position</v>
          </cell>
          <cell r="I315">
            <v>-2100</v>
          </cell>
          <cell r="J315">
            <v>0</v>
          </cell>
        </row>
        <row r="316">
          <cell r="A316" t="str">
            <v>17Operations</v>
          </cell>
          <cell r="B316">
            <v>6</v>
          </cell>
          <cell r="C316">
            <v>17</v>
          </cell>
          <cell r="D316" t="b">
            <v>1</v>
          </cell>
          <cell r="E316" t="str">
            <v>Spokane</v>
          </cell>
          <cell r="F316" t="str">
            <v>001011</v>
          </cell>
          <cell r="G316">
            <v>100</v>
          </cell>
          <cell r="H316" t="str">
            <v>Operations</v>
          </cell>
          <cell r="I316">
            <v>44217692</v>
          </cell>
          <cell r="J316">
            <v>0</v>
          </cell>
        </row>
        <row r="317">
          <cell r="A317" t="str">
            <v>17Outcomes Assessment</v>
          </cell>
          <cell r="B317">
            <v>6</v>
          </cell>
          <cell r="C317">
            <v>17</v>
          </cell>
          <cell r="D317" t="b">
            <v>1</v>
          </cell>
          <cell r="E317" t="str">
            <v>Spokane</v>
          </cell>
          <cell r="F317" t="str">
            <v>001011</v>
          </cell>
          <cell r="G317">
            <v>110</v>
          </cell>
          <cell r="H317" t="str">
            <v>Outcomes Assessment</v>
          </cell>
          <cell r="I317">
            <v>108420</v>
          </cell>
          <cell r="J317">
            <v>0</v>
          </cell>
        </row>
        <row r="318">
          <cell r="A318" t="str">
            <v>17Part-time Faculty Salaries</v>
          </cell>
          <cell r="B318">
            <v>6</v>
          </cell>
          <cell r="C318">
            <v>17</v>
          </cell>
          <cell r="D318" t="b">
            <v>1</v>
          </cell>
          <cell r="E318" t="str">
            <v>Spokane</v>
          </cell>
          <cell r="F318" t="str">
            <v>001031</v>
          </cell>
          <cell r="G318">
            <v>111</v>
          </cell>
          <cell r="H318" t="str">
            <v>Part-time Faculty Salaries</v>
          </cell>
          <cell r="I318">
            <v>116100</v>
          </cell>
          <cell r="J318">
            <v>0</v>
          </cell>
        </row>
        <row r="319">
          <cell r="A319" t="str">
            <v>17Faculty Increments</v>
          </cell>
          <cell r="B319">
            <v>6</v>
          </cell>
          <cell r="C319">
            <v>17</v>
          </cell>
          <cell r="D319" t="b">
            <v>1</v>
          </cell>
          <cell r="E319" t="str">
            <v>Spokane</v>
          </cell>
          <cell r="F319" t="str">
            <v>001091</v>
          </cell>
          <cell r="G319">
            <v>112</v>
          </cell>
          <cell r="H319" t="str">
            <v>Faculty Increments</v>
          </cell>
          <cell r="I319">
            <v>144200</v>
          </cell>
          <cell r="J319">
            <v>0</v>
          </cell>
        </row>
        <row r="320">
          <cell r="A320" t="str">
            <v>17Childcare Program</v>
          </cell>
          <cell r="B320">
            <v>6</v>
          </cell>
          <cell r="C320">
            <v>17</v>
          </cell>
          <cell r="D320" t="b">
            <v>1</v>
          </cell>
          <cell r="E320" t="str">
            <v>Spokane</v>
          </cell>
          <cell r="F320" t="str">
            <v>001011</v>
          </cell>
          <cell r="G320">
            <v>120</v>
          </cell>
          <cell r="H320" t="str">
            <v>Childcare Program</v>
          </cell>
          <cell r="I320">
            <v>39450</v>
          </cell>
          <cell r="J320">
            <v>0</v>
          </cell>
        </row>
        <row r="321">
          <cell r="A321" t="str">
            <v>17Childcare Match</v>
          </cell>
          <cell r="B321">
            <v>6</v>
          </cell>
          <cell r="C321">
            <v>17</v>
          </cell>
          <cell r="D321" t="b">
            <v>1</v>
          </cell>
          <cell r="E321" t="str">
            <v>Spokane</v>
          </cell>
          <cell r="F321" t="str">
            <v>0011E1</v>
          </cell>
          <cell r="G321">
            <v>121</v>
          </cell>
          <cell r="H321" t="str">
            <v>Childcare Match</v>
          </cell>
          <cell r="I321">
            <v>0</v>
          </cell>
          <cell r="J321">
            <v>0</v>
          </cell>
        </row>
        <row r="322">
          <cell r="A322" t="str">
            <v>17Students of Color</v>
          </cell>
          <cell r="B322">
            <v>6</v>
          </cell>
          <cell r="C322">
            <v>17</v>
          </cell>
          <cell r="D322" t="b">
            <v>1</v>
          </cell>
          <cell r="E322" t="str">
            <v>Spokane</v>
          </cell>
          <cell r="F322" t="str">
            <v>001011</v>
          </cell>
          <cell r="G322">
            <v>122</v>
          </cell>
          <cell r="H322" t="str">
            <v>Students of Color</v>
          </cell>
          <cell r="I322">
            <v>48550</v>
          </cell>
          <cell r="J322">
            <v>0</v>
          </cell>
        </row>
        <row r="323">
          <cell r="A323" t="str">
            <v>17Annual Disability Accommod.</v>
          </cell>
          <cell r="B323">
            <v>6</v>
          </cell>
          <cell r="C323">
            <v>17</v>
          </cell>
          <cell r="D323" t="b">
            <v>1</v>
          </cell>
          <cell r="E323" t="str">
            <v>Spokane</v>
          </cell>
          <cell r="F323" t="str">
            <v>001011</v>
          </cell>
          <cell r="G323">
            <v>123</v>
          </cell>
          <cell r="H323" t="str">
            <v>Annual Disability Accommod.</v>
          </cell>
          <cell r="I323">
            <v>111510</v>
          </cell>
          <cell r="J323">
            <v>0</v>
          </cell>
        </row>
        <row r="324">
          <cell r="A324" t="str">
            <v>17Qtrly Disability Accomm Reserves</v>
          </cell>
          <cell r="B324">
            <v>6</v>
          </cell>
          <cell r="C324">
            <v>17</v>
          </cell>
          <cell r="D324" t="b">
            <v>1</v>
          </cell>
          <cell r="E324" t="str">
            <v>Spokane</v>
          </cell>
          <cell r="F324" t="str">
            <v>001011</v>
          </cell>
          <cell r="G324">
            <v>124</v>
          </cell>
          <cell r="H324" t="str">
            <v>Qtrly Disability Accomm Reserves</v>
          </cell>
          <cell r="I324">
            <v>0</v>
          </cell>
          <cell r="J324">
            <v>0</v>
          </cell>
        </row>
        <row r="325">
          <cell r="A325" t="str">
            <v>17Work-Based Learning</v>
          </cell>
          <cell r="B325">
            <v>6</v>
          </cell>
          <cell r="C325">
            <v>17</v>
          </cell>
          <cell r="D325" t="b">
            <v>1</v>
          </cell>
          <cell r="E325" t="str">
            <v>Spokane</v>
          </cell>
          <cell r="F325" t="str">
            <v>001351</v>
          </cell>
          <cell r="G325">
            <v>130</v>
          </cell>
          <cell r="H325" t="str">
            <v>Work-Based Learning</v>
          </cell>
          <cell r="I325">
            <v>58822</v>
          </cell>
          <cell r="J325">
            <v>0</v>
          </cell>
        </row>
        <row r="326">
          <cell r="A326" t="str">
            <v>17Worker Retraining</v>
          </cell>
          <cell r="B326">
            <v>6</v>
          </cell>
          <cell r="C326">
            <v>17</v>
          </cell>
          <cell r="D326" t="b">
            <v>1</v>
          </cell>
          <cell r="E326" t="str">
            <v>Spokane</v>
          </cell>
          <cell r="F326" t="str">
            <v>001231</v>
          </cell>
          <cell r="G326">
            <v>135</v>
          </cell>
          <cell r="H326" t="str">
            <v>Worker Retraining</v>
          </cell>
          <cell r="I326">
            <v>1355634</v>
          </cell>
          <cell r="J326">
            <v>0</v>
          </cell>
        </row>
        <row r="327">
          <cell r="A327" t="str">
            <v>17WF Development Base</v>
          </cell>
          <cell r="B327">
            <v>6</v>
          </cell>
          <cell r="C327">
            <v>17</v>
          </cell>
          <cell r="D327" t="b">
            <v>1</v>
          </cell>
          <cell r="E327" t="str">
            <v>Spokane</v>
          </cell>
          <cell r="F327" t="str">
            <v>001011</v>
          </cell>
          <cell r="G327">
            <v>140</v>
          </cell>
          <cell r="H327" t="str">
            <v>WF Development Base</v>
          </cell>
          <cell r="I327">
            <v>57600</v>
          </cell>
          <cell r="J327">
            <v>0</v>
          </cell>
        </row>
        <row r="328">
          <cell r="A328" t="str">
            <v>17WF Development Projects</v>
          </cell>
          <cell r="B328">
            <v>6</v>
          </cell>
          <cell r="C328">
            <v>17</v>
          </cell>
          <cell r="D328" t="b">
            <v>1</v>
          </cell>
          <cell r="E328" t="str">
            <v>Spokane</v>
          </cell>
          <cell r="F328" t="str">
            <v>001011</v>
          </cell>
          <cell r="G328">
            <v>141</v>
          </cell>
          <cell r="H328" t="str">
            <v>WF Development Projects</v>
          </cell>
          <cell r="I328">
            <v>129221</v>
          </cell>
          <cell r="J328">
            <v>0</v>
          </cell>
        </row>
        <row r="329">
          <cell r="A329" t="str">
            <v>17Apprenticeship</v>
          </cell>
          <cell r="B329">
            <v>6</v>
          </cell>
          <cell r="C329">
            <v>17</v>
          </cell>
          <cell r="D329" t="b">
            <v>1</v>
          </cell>
          <cell r="E329" t="str">
            <v>Spokane</v>
          </cell>
          <cell r="F329" t="str">
            <v>001011</v>
          </cell>
          <cell r="G329">
            <v>145</v>
          </cell>
          <cell r="H329" t="str">
            <v>Apprenticeship</v>
          </cell>
          <cell r="I329">
            <v>155961</v>
          </cell>
          <cell r="J329">
            <v>0</v>
          </cell>
        </row>
        <row r="330">
          <cell r="A330" t="str">
            <v>17Rural/Community Development</v>
          </cell>
          <cell r="B330">
            <v>6</v>
          </cell>
          <cell r="C330">
            <v>17</v>
          </cell>
          <cell r="D330" t="b">
            <v>1</v>
          </cell>
          <cell r="E330" t="str">
            <v>Spokane</v>
          </cell>
          <cell r="F330" t="str">
            <v>001311</v>
          </cell>
          <cell r="G330">
            <v>150</v>
          </cell>
          <cell r="H330" t="str">
            <v>Rural/Community Development</v>
          </cell>
          <cell r="I330">
            <v>61336</v>
          </cell>
          <cell r="J330">
            <v>0</v>
          </cell>
        </row>
        <row r="331">
          <cell r="A331" t="str">
            <v>17New Facilities Maint &amp; Ops</v>
          </cell>
          <cell r="B331">
            <v>6</v>
          </cell>
          <cell r="C331">
            <v>17</v>
          </cell>
          <cell r="D331" t="b">
            <v>1</v>
          </cell>
          <cell r="E331" t="str">
            <v>Spokane</v>
          </cell>
          <cell r="F331" t="str">
            <v>001011</v>
          </cell>
          <cell r="G331">
            <v>160</v>
          </cell>
          <cell r="H331" t="str">
            <v>New Facilities Maint &amp; Ops</v>
          </cell>
          <cell r="I331">
            <v>110400</v>
          </cell>
          <cell r="J331">
            <v>16700</v>
          </cell>
        </row>
        <row r="332">
          <cell r="A332" t="str">
            <v>17Building Maintenance Shift to Capital</v>
          </cell>
          <cell r="B332">
            <v>6</v>
          </cell>
          <cell r="C332">
            <v>17</v>
          </cell>
          <cell r="D332" t="b">
            <v>1</v>
          </cell>
          <cell r="E332" t="str">
            <v>Spokane</v>
          </cell>
          <cell r="F332" t="str">
            <v>001011</v>
          </cell>
          <cell r="G332">
            <v>161</v>
          </cell>
          <cell r="H332" t="str">
            <v>Building Maintenance Shift to Capital</v>
          </cell>
          <cell r="I332">
            <v>-868200</v>
          </cell>
          <cell r="J332">
            <v>0</v>
          </cell>
        </row>
        <row r="333">
          <cell r="A333" t="str">
            <v>17UWT Technology Institute</v>
          </cell>
          <cell r="B333">
            <v>6</v>
          </cell>
          <cell r="C333">
            <v>17</v>
          </cell>
          <cell r="D333" t="b">
            <v>1</v>
          </cell>
          <cell r="E333" t="str">
            <v>Spokane</v>
          </cell>
          <cell r="F333" t="str">
            <v>001331</v>
          </cell>
          <cell r="G333">
            <v>165</v>
          </cell>
          <cell r="H333" t="str">
            <v>UWT Technology Institute</v>
          </cell>
          <cell r="I333">
            <v>0</v>
          </cell>
          <cell r="J333">
            <v>0</v>
          </cell>
        </row>
        <row r="334">
          <cell r="A334" t="str">
            <v>17Labor Liaison Position</v>
          </cell>
          <cell r="B334">
            <v>6</v>
          </cell>
          <cell r="C334">
            <v>17</v>
          </cell>
          <cell r="D334" t="b">
            <v>1</v>
          </cell>
          <cell r="E334" t="str">
            <v>Spokane</v>
          </cell>
          <cell r="F334" t="str">
            <v>001011</v>
          </cell>
          <cell r="G334">
            <v>220</v>
          </cell>
          <cell r="H334" t="str">
            <v>Labor Liaison Position</v>
          </cell>
          <cell r="I334">
            <v>-4200</v>
          </cell>
          <cell r="J334">
            <v>0</v>
          </cell>
        </row>
        <row r="335">
          <cell r="A335" t="str">
            <v>18Operations</v>
          </cell>
          <cell r="B335">
            <v>6</v>
          </cell>
          <cell r="C335">
            <v>18</v>
          </cell>
          <cell r="D335" t="b">
            <v>1</v>
          </cell>
          <cell r="E335" t="str">
            <v>Big Bend</v>
          </cell>
          <cell r="F335" t="str">
            <v>001011</v>
          </cell>
          <cell r="G335">
            <v>100</v>
          </cell>
          <cell r="H335" t="str">
            <v>Operations</v>
          </cell>
          <cell r="I335">
            <v>7105417</v>
          </cell>
          <cell r="J335">
            <v>0</v>
          </cell>
        </row>
        <row r="336">
          <cell r="A336" t="str">
            <v>18Outcomes Assessment</v>
          </cell>
          <cell r="B336">
            <v>6</v>
          </cell>
          <cell r="C336">
            <v>18</v>
          </cell>
          <cell r="D336" t="b">
            <v>1</v>
          </cell>
          <cell r="E336" t="str">
            <v>Big Bend</v>
          </cell>
          <cell r="F336" t="str">
            <v>001011</v>
          </cell>
          <cell r="G336">
            <v>110</v>
          </cell>
          <cell r="H336" t="str">
            <v>Outcomes Assessment</v>
          </cell>
          <cell r="I336">
            <v>54210</v>
          </cell>
          <cell r="J336">
            <v>0</v>
          </cell>
        </row>
        <row r="337">
          <cell r="A337" t="str">
            <v>18Part-time Faculty Salaries</v>
          </cell>
          <cell r="B337">
            <v>6</v>
          </cell>
          <cell r="C337">
            <v>18</v>
          </cell>
          <cell r="D337" t="b">
            <v>1</v>
          </cell>
          <cell r="E337" t="str">
            <v>Big Bend</v>
          </cell>
          <cell r="F337" t="str">
            <v>001031</v>
          </cell>
          <cell r="G337">
            <v>111</v>
          </cell>
          <cell r="H337" t="str">
            <v>Part-time Faculty Salaries</v>
          </cell>
          <cell r="I337">
            <v>14000</v>
          </cell>
          <cell r="J337">
            <v>0</v>
          </cell>
        </row>
        <row r="338">
          <cell r="A338" t="str">
            <v>18Faculty Increments</v>
          </cell>
          <cell r="B338">
            <v>6</v>
          </cell>
          <cell r="C338">
            <v>18</v>
          </cell>
          <cell r="D338" t="b">
            <v>1</v>
          </cell>
          <cell r="E338" t="str">
            <v>Big Bend</v>
          </cell>
          <cell r="F338" t="str">
            <v>001091</v>
          </cell>
          <cell r="G338">
            <v>112</v>
          </cell>
          <cell r="H338" t="str">
            <v>Faculty Increments</v>
          </cell>
          <cell r="I338">
            <v>19700</v>
          </cell>
          <cell r="J338">
            <v>0</v>
          </cell>
        </row>
        <row r="339">
          <cell r="A339" t="str">
            <v>18Childcare Program</v>
          </cell>
          <cell r="B339">
            <v>6</v>
          </cell>
          <cell r="C339">
            <v>18</v>
          </cell>
          <cell r="D339" t="b">
            <v>1</v>
          </cell>
          <cell r="E339" t="str">
            <v>Big Bend</v>
          </cell>
          <cell r="F339" t="str">
            <v>001011</v>
          </cell>
          <cell r="G339">
            <v>120</v>
          </cell>
          <cell r="H339" t="str">
            <v>Childcare Program</v>
          </cell>
          <cell r="I339">
            <v>9210</v>
          </cell>
          <cell r="J339">
            <v>0</v>
          </cell>
        </row>
        <row r="340">
          <cell r="A340" t="str">
            <v>18Childcare Match</v>
          </cell>
          <cell r="B340">
            <v>6</v>
          </cell>
          <cell r="C340">
            <v>18</v>
          </cell>
          <cell r="D340" t="b">
            <v>1</v>
          </cell>
          <cell r="E340" t="str">
            <v>Big Bend</v>
          </cell>
          <cell r="F340" t="str">
            <v>0011E1</v>
          </cell>
          <cell r="G340">
            <v>121</v>
          </cell>
          <cell r="H340" t="str">
            <v>Childcare Match</v>
          </cell>
          <cell r="I340">
            <v>0</v>
          </cell>
          <cell r="J340">
            <v>0</v>
          </cell>
        </row>
        <row r="341">
          <cell r="A341" t="str">
            <v>18Students of Color</v>
          </cell>
          <cell r="B341">
            <v>6</v>
          </cell>
          <cell r="C341">
            <v>18</v>
          </cell>
          <cell r="D341" t="b">
            <v>1</v>
          </cell>
          <cell r="E341" t="str">
            <v>Big Bend</v>
          </cell>
          <cell r="F341" t="str">
            <v>001011</v>
          </cell>
          <cell r="G341">
            <v>122</v>
          </cell>
          <cell r="H341" t="str">
            <v>Students of Color</v>
          </cell>
          <cell r="I341">
            <v>18630</v>
          </cell>
          <cell r="J341">
            <v>0</v>
          </cell>
        </row>
        <row r="342">
          <cell r="A342" t="str">
            <v>18Annual Disability Accommod.</v>
          </cell>
          <cell r="B342">
            <v>6</v>
          </cell>
          <cell r="C342">
            <v>18</v>
          </cell>
          <cell r="D342" t="b">
            <v>1</v>
          </cell>
          <cell r="E342" t="str">
            <v>Big Bend</v>
          </cell>
          <cell r="F342" t="str">
            <v>001011</v>
          </cell>
          <cell r="G342">
            <v>123</v>
          </cell>
          <cell r="H342" t="str">
            <v>Annual Disability Accommod.</v>
          </cell>
          <cell r="I342">
            <v>24030</v>
          </cell>
          <cell r="J342">
            <v>0</v>
          </cell>
        </row>
        <row r="343">
          <cell r="A343" t="str">
            <v>18Qtrly Disability Accomm Reserves</v>
          </cell>
          <cell r="B343">
            <v>6</v>
          </cell>
          <cell r="C343">
            <v>18</v>
          </cell>
          <cell r="D343" t="b">
            <v>1</v>
          </cell>
          <cell r="E343" t="str">
            <v>Big Bend</v>
          </cell>
          <cell r="F343" t="str">
            <v>001011</v>
          </cell>
          <cell r="G343">
            <v>124</v>
          </cell>
          <cell r="H343" t="str">
            <v>Qtrly Disability Accomm Reserves</v>
          </cell>
          <cell r="I343">
            <v>0</v>
          </cell>
          <cell r="J343">
            <v>0</v>
          </cell>
        </row>
        <row r="344">
          <cell r="A344" t="str">
            <v>18Work-Based Learning</v>
          </cell>
          <cell r="B344">
            <v>6</v>
          </cell>
          <cell r="C344">
            <v>18</v>
          </cell>
          <cell r="D344" t="b">
            <v>1</v>
          </cell>
          <cell r="E344" t="str">
            <v>Big Bend</v>
          </cell>
          <cell r="F344" t="str">
            <v>001351</v>
          </cell>
          <cell r="G344">
            <v>130</v>
          </cell>
          <cell r="H344" t="str">
            <v>Work-Based Learning</v>
          </cell>
          <cell r="I344">
            <v>29412</v>
          </cell>
          <cell r="J344">
            <v>0</v>
          </cell>
        </row>
        <row r="345">
          <cell r="A345" t="str">
            <v>18Worker Retraining</v>
          </cell>
          <cell r="B345">
            <v>6</v>
          </cell>
          <cell r="C345">
            <v>18</v>
          </cell>
          <cell r="D345" t="b">
            <v>1</v>
          </cell>
          <cell r="E345" t="str">
            <v>Big Bend</v>
          </cell>
          <cell r="F345" t="str">
            <v>001231</v>
          </cell>
          <cell r="G345">
            <v>135</v>
          </cell>
          <cell r="H345" t="str">
            <v>Worker Retraining</v>
          </cell>
          <cell r="I345">
            <v>290493</v>
          </cell>
          <cell r="J345">
            <v>0</v>
          </cell>
        </row>
        <row r="346">
          <cell r="A346" t="str">
            <v>18WF Development Base</v>
          </cell>
          <cell r="B346">
            <v>6</v>
          </cell>
          <cell r="C346">
            <v>18</v>
          </cell>
          <cell r="D346" t="b">
            <v>1</v>
          </cell>
          <cell r="E346" t="str">
            <v>Big Bend</v>
          </cell>
          <cell r="F346" t="str">
            <v>001011</v>
          </cell>
          <cell r="G346">
            <v>140</v>
          </cell>
          <cell r="H346" t="str">
            <v>WF Development Base</v>
          </cell>
          <cell r="I346">
            <v>28800</v>
          </cell>
          <cell r="J346">
            <v>0</v>
          </cell>
        </row>
        <row r="347">
          <cell r="A347" t="str">
            <v>18WF Development Projects</v>
          </cell>
          <cell r="B347">
            <v>6</v>
          </cell>
          <cell r="C347">
            <v>18</v>
          </cell>
          <cell r="D347" t="b">
            <v>1</v>
          </cell>
          <cell r="E347" t="str">
            <v>Big Bend</v>
          </cell>
          <cell r="F347" t="str">
            <v>001011</v>
          </cell>
          <cell r="G347">
            <v>141</v>
          </cell>
          <cell r="H347" t="str">
            <v>WF Development Projects</v>
          </cell>
          <cell r="I347">
            <v>0</v>
          </cell>
          <cell r="J347">
            <v>0</v>
          </cell>
        </row>
        <row r="348">
          <cell r="A348" t="str">
            <v>18Apprenticeship</v>
          </cell>
          <cell r="B348">
            <v>6</v>
          </cell>
          <cell r="C348">
            <v>18</v>
          </cell>
          <cell r="D348" t="b">
            <v>1</v>
          </cell>
          <cell r="E348" t="str">
            <v>Big Bend</v>
          </cell>
          <cell r="F348" t="str">
            <v>001011</v>
          </cell>
          <cell r="G348">
            <v>145</v>
          </cell>
          <cell r="H348" t="str">
            <v>Apprenticeship</v>
          </cell>
          <cell r="I348">
            <v>0</v>
          </cell>
          <cell r="J348">
            <v>0</v>
          </cell>
        </row>
        <row r="349">
          <cell r="A349" t="str">
            <v>18Rural/Community Development</v>
          </cell>
          <cell r="B349">
            <v>6</v>
          </cell>
          <cell r="C349">
            <v>18</v>
          </cell>
          <cell r="D349" t="b">
            <v>1</v>
          </cell>
          <cell r="E349" t="str">
            <v>Big Bend</v>
          </cell>
          <cell r="F349" t="str">
            <v>001311</v>
          </cell>
          <cell r="G349">
            <v>150</v>
          </cell>
          <cell r="H349" t="str">
            <v>Rural/Community Development</v>
          </cell>
          <cell r="I349">
            <v>72598</v>
          </cell>
          <cell r="J349">
            <v>0</v>
          </cell>
        </row>
        <row r="350">
          <cell r="A350" t="str">
            <v>18New Facilities Maint &amp; Ops</v>
          </cell>
          <cell r="B350">
            <v>6</v>
          </cell>
          <cell r="C350">
            <v>18</v>
          </cell>
          <cell r="D350" t="b">
            <v>1</v>
          </cell>
          <cell r="E350" t="str">
            <v>Big Bend</v>
          </cell>
          <cell r="F350" t="str">
            <v>001011</v>
          </cell>
          <cell r="G350">
            <v>160</v>
          </cell>
          <cell r="H350" t="str">
            <v>New Facilities Maint &amp; Ops</v>
          </cell>
          <cell r="I350">
            <v>16800</v>
          </cell>
          <cell r="J350">
            <v>0</v>
          </cell>
        </row>
        <row r="351">
          <cell r="A351" t="str">
            <v>18Building Maintenance Shift to Capital</v>
          </cell>
          <cell r="B351">
            <v>6</v>
          </cell>
          <cell r="C351">
            <v>18</v>
          </cell>
          <cell r="D351" t="b">
            <v>1</v>
          </cell>
          <cell r="E351" t="str">
            <v>Big Bend</v>
          </cell>
          <cell r="F351" t="str">
            <v>001011</v>
          </cell>
          <cell r="G351">
            <v>161</v>
          </cell>
          <cell r="H351" t="str">
            <v>Building Maintenance Shift to Capital</v>
          </cell>
          <cell r="I351">
            <v>-168600</v>
          </cell>
          <cell r="J351">
            <v>0</v>
          </cell>
        </row>
        <row r="352">
          <cell r="A352" t="str">
            <v>18UWT Technology Institute</v>
          </cell>
          <cell r="B352">
            <v>6</v>
          </cell>
          <cell r="C352">
            <v>18</v>
          </cell>
          <cell r="D352" t="b">
            <v>1</v>
          </cell>
          <cell r="E352" t="str">
            <v>Big Bend</v>
          </cell>
          <cell r="F352" t="str">
            <v>001331</v>
          </cell>
          <cell r="G352">
            <v>165</v>
          </cell>
          <cell r="H352" t="str">
            <v>UWT Technology Institute</v>
          </cell>
          <cell r="I352">
            <v>0</v>
          </cell>
          <cell r="J352">
            <v>0</v>
          </cell>
        </row>
        <row r="353">
          <cell r="A353" t="str">
            <v>18Labor Liaison Position</v>
          </cell>
          <cell r="B353">
            <v>6</v>
          </cell>
          <cell r="C353">
            <v>18</v>
          </cell>
          <cell r="D353" t="b">
            <v>1</v>
          </cell>
          <cell r="E353" t="str">
            <v>Big Bend</v>
          </cell>
          <cell r="F353" t="str">
            <v>001011</v>
          </cell>
          <cell r="G353">
            <v>220</v>
          </cell>
          <cell r="H353" t="str">
            <v>Labor Liaison Position</v>
          </cell>
          <cell r="I353">
            <v>-2100</v>
          </cell>
          <cell r="J353">
            <v>0</v>
          </cell>
        </row>
        <row r="354">
          <cell r="A354" t="str">
            <v>19Operations</v>
          </cell>
          <cell r="B354">
            <v>6</v>
          </cell>
          <cell r="C354">
            <v>19</v>
          </cell>
          <cell r="D354" t="b">
            <v>1</v>
          </cell>
          <cell r="E354" t="str">
            <v>Columbia Basin</v>
          </cell>
          <cell r="F354" t="str">
            <v>001011</v>
          </cell>
          <cell r="G354">
            <v>100</v>
          </cell>
          <cell r="H354" t="str">
            <v>Operations</v>
          </cell>
          <cell r="I354">
            <v>14108215</v>
          </cell>
          <cell r="J354">
            <v>0</v>
          </cell>
        </row>
        <row r="355">
          <cell r="A355" t="str">
            <v>19Outcomes Assessment</v>
          </cell>
          <cell r="B355">
            <v>6</v>
          </cell>
          <cell r="C355">
            <v>19</v>
          </cell>
          <cell r="D355" t="b">
            <v>1</v>
          </cell>
          <cell r="E355" t="str">
            <v>Columbia Basin</v>
          </cell>
          <cell r="F355" t="str">
            <v>001011</v>
          </cell>
          <cell r="G355">
            <v>110</v>
          </cell>
          <cell r="H355" t="str">
            <v>Outcomes Assessment</v>
          </cell>
          <cell r="I355">
            <v>54210</v>
          </cell>
          <cell r="J355">
            <v>0</v>
          </cell>
        </row>
        <row r="356">
          <cell r="A356" t="str">
            <v>19Part-time Faculty Salaries</v>
          </cell>
          <cell r="B356">
            <v>6</v>
          </cell>
          <cell r="C356">
            <v>19</v>
          </cell>
          <cell r="D356" t="b">
            <v>1</v>
          </cell>
          <cell r="E356" t="str">
            <v>Columbia Basin</v>
          </cell>
          <cell r="F356" t="str">
            <v>001031</v>
          </cell>
          <cell r="G356">
            <v>111</v>
          </cell>
          <cell r="H356" t="str">
            <v>Part-time Faculty Salaries</v>
          </cell>
          <cell r="I356">
            <v>43900</v>
          </cell>
          <cell r="J356">
            <v>0</v>
          </cell>
        </row>
        <row r="357">
          <cell r="A357" t="str">
            <v>19Faculty Increments</v>
          </cell>
          <cell r="B357">
            <v>6</v>
          </cell>
          <cell r="C357">
            <v>19</v>
          </cell>
          <cell r="D357" t="b">
            <v>1</v>
          </cell>
          <cell r="E357" t="str">
            <v>Columbia Basin</v>
          </cell>
          <cell r="F357" t="str">
            <v>001091</v>
          </cell>
          <cell r="G357">
            <v>112</v>
          </cell>
          <cell r="H357" t="str">
            <v>Faculty Increments</v>
          </cell>
          <cell r="I357">
            <v>36600</v>
          </cell>
          <cell r="J357">
            <v>0</v>
          </cell>
        </row>
        <row r="358">
          <cell r="A358" t="str">
            <v>19Childcare Program</v>
          </cell>
          <cell r="B358">
            <v>6</v>
          </cell>
          <cell r="C358">
            <v>19</v>
          </cell>
          <cell r="D358" t="b">
            <v>1</v>
          </cell>
          <cell r="E358" t="str">
            <v>Columbia Basin</v>
          </cell>
          <cell r="F358" t="str">
            <v>001011</v>
          </cell>
          <cell r="G358">
            <v>120</v>
          </cell>
          <cell r="H358" t="str">
            <v>Childcare Program</v>
          </cell>
          <cell r="I358">
            <v>18820</v>
          </cell>
          <cell r="J358">
            <v>0</v>
          </cell>
        </row>
        <row r="359">
          <cell r="A359" t="str">
            <v>19Childcare Match</v>
          </cell>
          <cell r="B359">
            <v>6</v>
          </cell>
          <cell r="C359">
            <v>19</v>
          </cell>
          <cell r="D359" t="b">
            <v>1</v>
          </cell>
          <cell r="E359" t="str">
            <v>Columbia Basin</v>
          </cell>
          <cell r="F359" t="str">
            <v>0011E1</v>
          </cell>
          <cell r="G359">
            <v>121</v>
          </cell>
          <cell r="H359" t="str">
            <v>Childcare Match</v>
          </cell>
          <cell r="I359">
            <v>0</v>
          </cell>
          <cell r="J359">
            <v>0</v>
          </cell>
        </row>
        <row r="360">
          <cell r="A360" t="str">
            <v>19Students of Color</v>
          </cell>
          <cell r="B360">
            <v>6</v>
          </cell>
          <cell r="C360">
            <v>19</v>
          </cell>
          <cell r="D360" t="b">
            <v>1</v>
          </cell>
          <cell r="E360" t="str">
            <v>Columbia Basin</v>
          </cell>
          <cell r="F360" t="str">
            <v>001011</v>
          </cell>
          <cell r="G360">
            <v>122</v>
          </cell>
          <cell r="H360" t="str">
            <v>Students of Color</v>
          </cell>
          <cell r="I360">
            <v>50710</v>
          </cell>
          <cell r="J360">
            <v>0</v>
          </cell>
        </row>
        <row r="361">
          <cell r="A361" t="str">
            <v>19Annual Disability Accommod.</v>
          </cell>
          <cell r="B361">
            <v>6</v>
          </cell>
          <cell r="C361">
            <v>19</v>
          </cell>
          <cell r="D361" t="b">
            <v>1</v>
          </cell>
          <cell r="E361" t="str">
            <v>Columbia Basin</v>
          </cell>
          <cell r="F361" t="str">
            <v>001011</v>
          </cell>
          <cell r="G361">
            <v>123</v>
          </cell>
          <cell r="H361" t="str">
            <v>Annual Disability Accommod.</v>
          </cell>
          <cell r="I361">
            <v>36250</v>
          </cell>
          <cell r="J361">
            <v>0</v>
          </cell>
        </row>
        <row r="362">
          <cell r="A362" t="str">
            <v>19Qtrly Disability Accomm Reserves</v>
          </cell>
          <cell r="B362">
            <v>6</v>
          </cell>
          <cell r="C362">
            <v>19</v>
          </cell>
          <cell r="D362" t="b">
            <v>1</v>
          </cell>
          <cell r="E362" t="str">
            <v>Columbia Basin</v>
          </cell>
          <cell r="F362" t="str">
            <v>001011</v>
          </cell>
          <cell r="G362">
            <v>124</v>
          </cell>
          <cell r="H362" t="str">
            <v>Qtrly Disability Accomm Reserves</v>
          </cell>
          <cell r="I362">
            <v>0</v>
          </cell>
          <cell r="J362">
            <v>0</v>
          </cell>
        </row>
        <row r="363">
          <cell r="A363" t="str">
            <v>19Work-Based Learning</v>
          </cell>
          <cell r="B363">
            <v>6</v>
          </cell>
          <cell r="C363">
            <v>19</v>
          </cell>
          <cell r="D363" t="b">
            <v>1</v>
          </cell>
          <cell r="E363" t="str">
            <v>Columbia Basin</v>
          </cell>
          <cell r="F363" t="str">
            <v>001351</v>
          </cell>
          <cell r="G363">
            <v>130</v>
          </cell>
          <cell r="H363" t="str">
            <v>Work-Based Learning</v>
          </cell>
          <cell r="I363">
            <v>29412</v>
          </cell>
          <cell r="J363">
            <v>0</v>
          </cell>
        </row>
        <row r="364">
          <cell r="A364" t="str">
            <v>19Worker Retraining</v>
          </cell>
          <cell r="B364">
            <v>6</v>
          </cell>
          <cell r="C364">
            <v>19</v>
          </cell>
          <cell r="D364" t="b">
            <v>1</v>
          </cell>
          <cell r="E364" t="str">
            <v>Columbia Basin</v>
          </cell>
          <cell r="F364" t="str">
            <v>001231</v>
          </cell>
          <cell r="G364">
            <v>135</v>
          </cell>
          <cell r="H364" t="str">
            <v>Worker Retraining</v>
          </cell>
          <cell r="I364">
            <v>1263414</v>
          </cell>
          <cell r="J364">
            <v>0</v>
          </cell>
        </row>
        <row r="365">
          <cell r="A365" t="str">
            <v>19WF Development Base</v>
          </cell>
          <cell r="B365">
            <v>6</v>
          </cell>
          <cell r="C365">
            <v>19</v>
          </cell>
          <cell r="D365" t="b">
            <v>1</v>
          </cell>
          <cell r="E365" t="str">
            <v>Columbia Basin</v>
          </cell>
          <cell r="F365" t="str">
            <v>001011</v>
          </cell>
          <cell r="G365">
            <v>140</v>
          </cell>
          <cell r="H365" t="str">
            <v>WF Development Base</v>
          </cell>
          <cell r="I365">
            <v>28800</v>
          </cell>
          <cell r="J365">
            <v>0</v>
          </cell>
        </row>
        <row r="366">
          <cell r="A366" t="str">
            <v>19WF Development Projects</v>
          </cell>
          <cell r="B366">
            <v>6</v>
          </cell>
          <cell r="C366">
            <v>19</v>
          </cell>
          <cell r="D366" t="b">
            <v>1</v>
          </cell>
          <cell r="E366" t="str">
            <v>Columbia Basin</v>
          </cell>
          <cell r="F366" t="str">
            <v>001011</v>
          </cell>
          <cell r="G366">
            <v>141</v>
          </cell>
          <cell r="H366" t="str">
            <v>WF Development Projects</v>
          </cell>
          <cell r="I366">
            <v>0</v>
          </cell>
          <cell r="J366">
            <v>0</v>
          </cell>
        </row>
        <row r="367">
          <cell r="A367" t="str">
            <v>19Apprenticeship</v>
          </cell>
          <cell r="B367">
            <v>6</v>
          </cell>
          <cell r="C367">
            <v>19</v>
          </cell>
          <cell r="D367" t="b">
            <v>1</v>
          </cell>
          <cell r="E367" t="str">
            <v>Columbia Basin</v>
          </cell>
          <cell r="F367" t="str">
            <v>001011</v>
          </cell>
          <cell r="G367">
            <v>145</v>
          </cell>
          <cell r="H367" t="str">
            <v>Apprenticeship</v>
          </cell>
          <cell r="I367">
            <v>76167</v>
          </cell>
          <cell r="J367">
            <v>0</v>
          </cell>
        </row>
        <row r="368">
          <cell r="A368" t="str">
            <v>19Rural/Community Development</v>
          </cell>
          <cell r="B368">
            <v>6</v>
          </cell>
          <cell r="C368">
            <v>19</v>
          </cell>
          <cell r="D368" t="b">
            <v>1</v>
          </cell>
          <cell r="E368" t="str">
            <v>Columbia Basin</v>
          </cell>
          <cell r="F368" t="str">
            <v>001311</v>
          </cell>
          <cell r="G368">
            <v>150</v>
          </cell>
          <cell r="H368" t="str">
            <v>Rural/Community Development</v>
          </cell>
          <cell r="I368">
            <v>136121</v>
          </cell>
          <cell r="J368">
            <v>0</v>
          </cell>
        </row>
        <row r="369">
          <cell r="A369" t="str">
            <v>19New Facilities Maint &amp; Ops</v>
          </cell>
          <cell r="B369">
            <v>6</v>
          </cell>
          <cell r="C369">
            <v>19</v>
          </cell>
          <cell r="D369" t="b">
            <v>1</v>
          </cell>
          <cell r="E369" t="str">
            <v>Columbia Basin</v>
          </cell>
          <cell r="F369" t="str">
            <v>001011</v>
          </cell>
          <cell r="G369">
            <v>160</v>
          </cell>
          <cell r="H369" t="str">
            <v>New Facilities Maint &amp; Ops</v>
          </cell>
          <cell r="I369">
            <v>72400</v>
          </cell>
          <cell r="J369">
            <v>0</v>
          </cell>
        </row>
        <row r="370">
          <cell r="A370" t="str">
            <v>19Building Maintenance Shift to Capital</v>
          </cell>
          <cell r="B370">
            <v>6</v>
          </cell>
          <cell r="C370">
            <v>19</v>
          </cell>
          <cell r="D370" t="b">
            <v>1</v>
          </cell>
          <cell r="E370" t="str">
            <v>Columbia Basin</v>
          </cell>
          <cell r="F370" t="str">
            <v>001011</v>
          </cell>
          <cell r="G370">
            <v>161</v>
          </cell>
          <cell r="H370" t="str">
            <v>Building Maintenance Shift to Capital</v>
          </cell>
          <cell r="I370">
            <v>-300000</v>
          </cell>
          <cell r="J370">
            <v>0</v>
          </cell>
        </row>
        <row r="371">
          <cell r="A371" t="str">
            <v>19UWT Technology Institute</v>
          </cell>
          <cell r="B371">
            <v>6</v>
          </cell>
          <cell r="C371">
            <v>19</v>
          </cell>
          <cell r="D371" t="b">
            <v>1</v>
          </cell>
          <cell r="E371" t="str">
            <v>Columbia Basin</v>
          </cell>
          <cell r="F371" t="str">
            <v>001331</v>
          </cell>
          <cell r="G371">
            <v>165</v>
          </cell>
          <cell r="H371" t="str">
            <v>UWT Technology Institute</v>
          </cell>
          <cell r="I371">
            <v>0</v>
          </cell>
          <cell r="J371">
            <v>0</v>
          </cell>
        </row>
        <row r="372">
          <cell r="A372" t="str">
            <v>19Labor Liaison Position</v>
          </cell>
          <cell r="B372">
            <v>6</v>
          </cell>
          <cell r="C372">
            <v>19</v>
          </cell>
          <cell r="D372" t="b">
            <v>1</v>
          </cell>
          <cell r="E372" t="str">
            <v>Columbia Basin</v>
          </cell>
          <cell r="F372" t="str">
            <v>001011</v>
          </cell>
          <cell r="G372">
            <v>220</v>
          </cell>
          <cell r="H372" t="str">
            <v>Labor Liaison Position</v>
          </cell>
          <cell r="I372">
            <v>-2100</v>
          </cell>
          <cell r="J372">
            <v>0</v>
          </cell>
        </row>
        <row r="373">
          <cell r="A373" t="str">
            <v>20Operations</v>
          </cell>
          <cell r="B373">
            <v>6</v>
          </cell>
          <cell r="C373">
            <v>20</v>
          </cell>
          <cell r="D373" t="b">
            <v>1</v>
          </cell>
          <cell r="E373" t="str">
            <v>Walla Walla</v>
          </cell>
          <cell r="F373" t="str">
            <v>001011</v>
          </cell>
          <cell r="G373">
            <v>100</v>
          </cell>
          <cell r="H373" t="str">
            <v>Operations</v>
          </cell>
          <cell r="I373">
            <v>10929829</v>
          </cell>
          <cell r="J373">
            <v>0</v>
          </cell>
        </row>
        <row r="374">
          <cell r="A374" t="str">
            <v>20Outcomes Assessment</v>
          </cell>
          <cell r="B374">
            <v>6</v>
          </cell>
          <cell r="C374">
            <v>20</v>
          </cell>
          <cell r="D374" t="b">
            <v>1</v>
          </cell>
          <cell r="E374" t="str">
            <v>Walla Walla</v>
          </cell>
          <cell r="F374" t="str">
            <v>001011</v>
          </cell>
          <cell r="G374">
            <v>110</v>
          </cell>
          <cell r="H374" t="str">
            <v>Outcomes Assessment</v>
          </cell>
          <cell r="I374">
            <v>54210</v>
          </cell>
          <cell r="J374">
            <v>0</v>
          </cell>
        </row>
        <row r="375">
          <cell r="A375" t="str">
            <v>20Part-time Faculty Salaries</v>
          </cell>
          <cell r="B375">
            <v>6</v>
          </cell>
          <cell r="C375">
            <v>20</v>
          </cell>
          <cell r="D375" t="b">
            <v>1</v>
          </cell>
          <cell r="E375" t="str">
            <v>Walla Walla</v>
          </cell>
          <cell r="F375" t="str">
            <v>001031</v>
          </cell>
          <cell r="G375">
            <v>111</v>
          </cell>
          <cell r="H375" t="str">
            <v>Part-time Faculty Salaries</v>
          </cell>
          <cell r="I375">
            <v>21900</v>
          </cell>
          <cell r="J375">
            <v>0</v>
          </cell>
        </row>
        <row r="376">
          <cell r="A376" t="str">
            <v>20Faculty Increments</v>
          </cell>
          <cell r="B376">
            <v>6</v>
          </cell>
          <cell r="C376">
            <v>20</v>
          </cell>
          <cell r="D376" t="b">
            <v>1</v>
          </cell>
          <cell r="E376" t="str">
            <v>Walla Walla</v>
          </cell>
          <cell r="F376" t="str">
            <v>001091</v>
          </cell>
          <cell r="G376">
            <v>112</v>
          </cell>
          <cell r="H376" t="str">
            <v>Faculty Increments</v>
          </cell>
          <cell r="I376">
            <v>34400</v>
          </cell>
          <cell r="J376">
            <v>0</v>
          </cell>
        </row>
        <row r="377">
          <cell r="A377" t="str">
            <v>20Childcare Program</v>
          </cell>
          <cell r="B377">
            <v>6</v>
          </cell>
          <cell r="C377">
            <v>20</v>
          </cell>
          <cell r="D377" t="b">
            <v>1</v>
          </cell>
          <cell r="E377" t="str">
            <v>Walla Walla</v>
          </cell>
          <cell r="F377" t="str">
            <v>001011</v>
          </cell>
          <cell r="G377">
            <v>120</v>
          </cell>
          <cell r="H377" t="str">
            <v>Childcare Program</v>
          </cell>
          <cell r="I377">
            <v>12410</v>
          </cell>
          <cell r="J377">
            <v>0</v>
          </cell>
        </row>
        <row r="378">
          <cell r="A378" t="str">
            <v>20Childcare Match</v>
          </cell>
          <cell r="B378">
            <v>6</v>
          </cell>
          <cell r="C378">
            <v>20</v>
          </cell>
          <cell r="D378" t="b">
            <v>1</v>
          </cell>
          <cell r="E378" t="str">
            <v>Walla Walla</v>
          </cell>
          <cell r="F378" t="str">
            <v>0011E1</v>
          </cell>
          <cell r="G378">
            <v>121</v>
          </cell>
          <cell r="H378" t="str">
            <v>Childcare Match</v>
          </cell>
          <cell r="I378">
            <v>0</v>
          </cell>
          <cell r="J378">
            <v>0</v>
          </cell>
        </row>
        <row r="379">
          <cell r="A379" t="str">
            <v>20Students of Color</v>
          </cell>
          <cell r="B379">
            <v>6</v>
          </cell>
          <cell r="C379">
            <v>20</v>
          </cell>
          <cell r="D379" t="b">
            <v>1</v>
          </cell>
          <cell r="E379" t="str">
            <v>Walla Walla</v>
          </cell>
          <cell r="F379" t="str">
            <v>001011</v>
          </cell>
          <cell r="G379">
            <v>122</v>
          </cell>
          <cell r="H379" t="str">
            <v>Students of Color</v>
          </cell>
          <cell r="I379">
            <v>22360</v>
          </cell>
          <cell r="J379">
            <v>0</v>
          </cell>
        </row>
        <row r="380">
          <cell r="A380" t="str">
            <v>20Annual Disability Accommod.</v>
          </cell>
          <cell r="B380">
            <v>6</v>
          </cell>
          <cell r="C380">
            <v>20</v>
          </cell>
          <cell r="D380" t="b">
            <v>1</v>
          </cell>
          <cell r="E380" t="str">
            <v>Walla Walla</v>
          </cell>
          <cell r="F380" t="str">
            <v>001011</v>
          </cell>
          <cell r="G380">
            <v>123</v>
          </cell>
          <cell r="H380" t="str">
            <v>Annual Disability Accommod.</v>
          </cell>
          <cell r="I380">
            <v>28220</v>
          </cell>
          <cell r="J380">
            <v>0</v>
          </cell>
        </row>
        <row r="381">
          <cell r="A381" t="str">
            <v>20Qtrly Disability Accomm Reserves</v>
          </cell>
          <cell r="B381">
            <v>6</v>
          </cell>
          <cell r="C381">
            <v>20</v>
          </cell>
          <cell r="D381" t="b">
            <v>1</v>
          </cell>
          <cell r="E381" t="str">
            <v>Walla Walla</v>
          </cell>
          <cell r="F381" t="str">
            <v>001011</v>
          </cell>
          <cell r="G381">
            <v>124</v>
          </cell>
          <cell r="H381" t="str">
            <v>Qtrly Disability Accomm Reserves</v>
          </cell>
          <cell r="I381">
            <v>0</v>
          </cell>
          <cell r="J381">
            <v>0</v>
          </cell>
        </row>
        <row r="382">
          <cell r="A382" t="str">
            <v>20Work-Based Learning</v>
          </cell>
          <cell r="B382">
            <v>6</v>
          </cell>
          <cell r="C382">
            <v>20</v>
          </cell>
          <cell r="D382" t="b">
            <v>1</v>
          </cell>
          <cell r="E382" t="str">
            <v>Walla Walla</v>
          </cell>
          <cell r="F382" t="str">
            <v>001351</v>
          </cell>
          <cell r="G382">
            <v>130</v>
          </cell>
          <cell r="H382" t="str">
            <v>Work-Based Learning</v>
          </cell>
          <cell r="I382">
            <v>29412</v>
          </cell>
          <cell r="J382">
            <v>0</v>
          </cell>
        </row>
        <row r="383">
          <cell r="A383" t="str">
            <v>20Worker Retraining</v>
          </cell>
          <cell r="B383">
            <v>6</v>
          </cell>
          <cell r="C383">
            <v>20</v>
          </cell>
          <cell r="D383" t="b">
            <v>1</v>
          </cell>
          <cell r="E383" t="str">
            <v>Walla Walla</v>
          </cell>
          <cell r="F383" t="str">
            <v>001231</v>
          </cell>
          <cell r="G383">
            <v>135</v>
          </cell>
          <cell r="H383" t="str">
            <v>Worker Retraining</v>
          </cell>
          <cell r="I383">
            <v>1286469</v>
          </cell>
          <cell r="J383">
            <v>0</v>
          </cell>
        </row>
        <row r="384">
          <cell r="A384" t="str">
            <v>20High Demand Competitive</v>
          </cell>
          <cell r="B384">
            <v>6</v>
          </cell>
          <cell r="C384">
            <v>20</v>
          </cell>
          <cell r="D384" t="b">
            <v>1</v>
          </cell>
          <cell r="E384" t="str">
            <v>Walla Walla</v>
          </cell>
          <cell r="F384" t="str">
            <v>0011H1</v>
          </cell>
          <cell r="G384">
            <v>137</v>
          </cell>
          <cell r="H384" t="str">
            <v>High Demand Competitive</v>
          </cell>
          <cell r="I384">
            <v>149250</v>
          </cell>
          <cell r="J384">
            <v>0</v>
          </cell>
        </row>
        <row r="385">
          <cell r="A385" t="str">
            <v>20WF Development Base</v>
          </cell>
          <cell r="B385">
            <v>6</v>
          </cell>
          <cell r="C385">
            <v>20</v>
          </cell>
          <cell r="D385" t="b">
            <v>1</v>
          </cell>
          <cell r="E385" t="str">
            <v>Walla Walla</v>
          </cell>
          <cell r="F385" t="str">
            <v>001011</v>
          </cell>
          <cell r="G385">
            <v>140</v>
          </cell>
          <cell r="H385" t="str">
            <v>WF Development Base</v>
          </cell>
          <cell r="I385">
            <v>28800</v>
          </cell>
          <cell r="J385">
            <v>0</v>
          </cell>
        </row>
        <row r="386">
          <cell r="A386" t="str">
            <v>20WF Development Projects</v>
          </cell>
          <cell r="B386">
            <v>6</v>
          </cell>
          <cell r="C386">
            <v>20</v>
          </cell>
          <cell r="D386" t="b">
            <v>1</v>
          </cell>
          <cell r="E386" t="str">
            <v>Walla Walla</v>
          </cell>
          <cell r="F386" t="str">
            <v>001011</v>
          </cell>
          <cell r="G386">
            <v>141</v>
          </cell>
          <cell r="H386" t="str">
            <v>WF Development Projects</v>
          </cell>
          <cell r="I386">
            <v>0</v>
          </cell>
          <cell r="J386">
            <v>0</v>
          </cell>
        </row>
        <row r="387">
          <cell r="A387" t="str">
            <v>20Apprenticeship</v>
          </cell>
          <cell r="B387">
            <v>6</v>
          </cell>
          <cell r="C387">
            <v>20</v>
          </cell>
          <cell r="D387" t="b">
            <v>1</v>
          </cell>
          <cell r="E387" t="str">
            <v>Walla Walla</v>
          </cell>
          <cell r="F387" t="str">
            <v>001011</v>
          </cell>
          <cell r="G387">
            <v>145</v>
          </cell>
          <cell r="H387" t="str">
            <v>Apprenticeship</v>
          </cell>
          <cell r="I387">
            <v>0</v>
          </cell>
          <cell r="J387">
            <v>0</v>
          </cell>
        </row>
        <row r="388">
          <cell r="A388" t="str">
            <v>20Wine Industry Partnership</v>
          </cell>
          <cell r="B388">
            <v>6</v>
          </cell>
          <cell r="C388">
            <v>20</v>
          </cell>
          <cell r="D388" t="b">
            <v>1</v>
          </cell>
          <cell r="E388" t="str">
            <v>Walla Walla</v>
          </cell>
          <cell r="F388" t="str">
            <v>0011J1</v>
          </cell>
          <cell r="G388">
            <v>147</v>
          </cell>
          <cell r="H388" t="str">
            <v>Wine Industry Partnership</v>
          </cell>
          <cell r="I388">
            <v>75000</v>
          </cell>
          <cell r="J388">
            <v>0</v>
          </cell>
        </row>
        <row r="389">
          <cell r="A389" t="str">
            <v>20Rural/Community Development</v>
          </cell>
          <cell r="B389">
            <v>6</v>
          </cell>
          <cell r="C389">
            <v>20</v>
          </cell>
          <cell r="D389" t="b">
            <v>1</v>
          </cell>
          <cell r="E389" t="str">
            <v>Walla Walla</v>
          </cell>
          <cell r="F389" t="str">
            <v>001311</v>
          </cell>
          <cell r="G389">
            <v>150</v>
          </cell>
          <cell r="H389" t="str">
            <v>Rural/Community Development</v>
          </cell>
          <cell r="I389">
            <v>99970</v>
          </cell>
          <cell r="J389">
            <v>0</v>
          </cell>
        </row>
        <row r="390">
          <cell r="A390" t="str">
            <v>20New Facilities Maint &amp; Ops</v>
          </cell>
          <cell r="B390">
            <v>6</v>
          </cell>
          <cell r="C390">
            <v>20</v>
          </cell>
          <cell r="D390" t="b">
            <v>1</v>
          </cell>
          <cell r="E390" t="str">
            <v>Walla Walla</v>
          </cell>
          <cell r="F390" t="str">
            <v>001011</v>
          </cell>
          <cell r="G390">
            <v>160</v>
          </cell>
          <cell r="H390" t="str">
            <v>New Facilities Maint &amp; Ops</v>
          </cell>
          <cell r="I390">
            <v>89100</v>
          </cell>
          <cell r="J390">
            <v>0</v>
          </cell>
        </row>
        <row r="391">
          <cell r="A391" t="str">
            <v>20Building Maintenance Shift to Capital</v>
          </cell>
          <cell r="B391">
            <v>6</v>
          </cell>
          <cell r="C391">
            <v>20</v>
          </cell>
          <cell r="D391" t="b">
            <v>1</v>
          </cell>
          <cell r="E391" t="str">
            <v>Walla Walla</v>
          </cell>
          <cell r="F391" t="str">
            <v>001011</v>
          </cell>
          <cell r="G391">
            <v>161</v>
          </cell>
          <cell r="H391" t="str">
            <v>Building Maintenance Shift to Capital</v>
          </cell>
          <cell r="I391">
            <v>-244600</v>
          </cell>
          <cell r="J391">
            <v>0</v>
          </cell>
        </row>
        <row r="392">
          <cell r="A392" t="str">
            <v>20UWT Technology Institute</v>
          </cell>
          <cell r="B392">
            <v>6</v>
          </cell>
          <cell r="C392">
            <v>20</v>
          </cell>
          <cell r="D392" t="b">
            <v>1</v>
          </cell>
          <cell r="E392" t="str">
            <v>Walla Walla</v>
          </cell>
          <cell r="F392" t="str">
            <v>001331</v>
          </cell>
          <cell r="G392">
            <v>165</v>
          </cell>
          <cell r="H392" t="str">
            <v>UWT Technology Institute</v>
          </cell>
          <cell r="I392">
            <v>0</v>
          </cell>
          <cell r="J392">
            <v>0</v>
          </cell>
        </row>
        <row r="393">
          <cell r="A393" t="str">
            <v>20Labor Liaison Position</v>
          </cell>
          <cell r="B393">
            <v>6</v>
          </cell>
          <cell r="C393">
            <v>20</v>
          </cell>
          <cell r="D393" t="b">
            <v>1</v>
          </cell>
          <cell r="E393" t="str">
            <v>Walla Walla</v>
          </cell>
          <cell r="F393" t="str">
            <v>001011</v>
          </cell>
          <cell r="G393">
            <v>220</v>
          </cell>
          <cell r="H393" t="str">
            <v>Labor Liaison Position</v>
          </cell>
          <cell r="I393">
            <v>-2100</v>
          </cell>
          <cell r="J393">
            <v>0</v>
          </cell>
        </row>
        <row r="394">
          <cell r="A394" t="str">
            <v>21Operations</v>
          </cell>
          <cell r="B394">
            <v>6</v>
          </cell>
          <cell r="C394">
            <v>21</v>
          </cell>
          <cell r="D394" t="b">
            <v>1</v>
          </cell>
          <cell r="E394" t="str">
            <v>Whatcom</v>
          </cell>
          <cell r="F394" t="str">
            <v>001011</v>
          </cell>
          <cell r="G394">
            <v>100</v>
          </cell>
          <cell r="H394" t="str">
            <v>Operations</v>
          </cell>
          <cell r="I394">
            <v>8174518</v>
          </cell>
          <cell r="J394">
            <v>0</v>
          </cell>
        </row>
        <row r="395">
          <cell r="A395" t="str">
            <v>21Outcomes Assessment</v>
          </cell>
          <cell r="B395">
            <v>6</v>
          </cell>
          <cell r="C395">
            <v>21</v>
          </cell>
          <cell r="D395" t="b">
            <v>1</v>
          </cell>
          <cell r="E395" t="str">
            <v>Whatcom</v>
          </cell>
          <cell r="F395" t="str">
            <v>001011</v>
          </cell>
          <cell r="G395">
            <v>110</v>
          </cell>
          <cell r="H395" t="str">
            <v>Outcomes Assessment</v>
          </cell>
          <cell r="I395">
            <v>54210</v>
          </cell>
          <cell r="J395">
            <v>0</v>
          </cell>
        </row>
        <row r="396">
          <cell r="A396" t="str">
            <v>21Part-time Faculty Salaries</v>
          </cell>
          <cell r="B396">
            <v>6</v>
          </cell>
          <cell r="C396">
            <v>21</v>
          </cell>
          <cell r="D396" t="b">
            <v>1</v>
          </cell>
          <cell r="E396" t="str">
            <v>Whatcom</v>
          </cell>
          <cell r="F396" t="str">
            <v>001031</v>
          </cell>
          <cell r="G396">
            <v>111</v>
          </cell>
          <cell r="H396" t="str">
            <v>Part-time Faculty Salaries</v>
          </cell>
          <cell r="I396">
            <v>36900</v>
          </cell>
          <cell r="J396">
            <v>0</v>
          </cell>
        </row>
        <row r="397">
          <cell r="A397" t="str">
            <v>21Faculty Increments</v>
          </cell>
          <cell r="B397">
            <v>6</v>
          </cell>
          <cell r="C397">
            <v>21</v>
          </cell>
          <cell r="D397" t="b">
            <v>1</v>
          </cell>
          <cell r="E397" t="str">
            <v>Whatcom</v>
          </cell>
          <cell r="F397" t="str">
            <v>001091</v>
          </cell>
          <cell r="G397">
            <v>112</v>
          </cell>
          <cell r="H397" t="str">
            <v>Faculty Increments</v>
          </cell>
          <cell r="I397">
            <v>20300</v>
          </cell>
          <cell r="J397">
            <v>0</v>
          </cell>
        </row>
        <row r="398">
          <cell r="A398" t="str">
            <v>21Childcare Program</v>
          </cell>
          <cell r="B398">
            <v>6</v>
          </cell>
          <cell r="C398">
            <v>21</v>
          </cell>
          <cell r="D398" t="b">
            <v>1</v>
          </cell>
          <cell r="E398" t="str">
            <v>Whatcom</v>
          </cell>
          <cell r="F398" t="str">
            <v>001011</v>
          </cell>
          <cell r="G398">
            <v>120</v>
          </cell>
          <cell r="H398" t="str">
            <v>Childcare Program</v>
          </cell>
          <cell r="I398">
            <v>10470</v>
          </cell>
          <cell r="J398">
            <v>0</v>
          </cell>
        </row>
        <row r="399">
          <cell r="A399" t="str">
            <v>21Childcare Match</v>
          </cell>
          <cell r="B399">
            <v>6</v>
          </cell>
          <cell r="C399">
            <v>21</v>
          </cell>
          <cell r="D399" t="b">
            <v>1</v>
          </cell>
          <cell r="E399" t="str">
            <v>Whatcom</v>
          </cell>
          <cell r="F399" t="str">
            <v>0011E1</v>
          </cell>
          <cell r="G399">
            <v>121</v>
          </cell>
          <cell r="H399" t="str">
            <v>Childcare Match</v>
          </cell>
          <cell r="I399">
            <v>0</v>
          </cell>
          <cell r="J399">
            <v>0</v>
          </cell>
        </row>
        <row r="400">
          <cell r="A400" t="str">
            <v>21Students of Color</v>
          </cell>
          <cell r="B400">
            <v>6</v>
          </cell>
          <cell r="C400">
            <v>21</v>
          </cell>
          <cell r="D400" t="b">
            <v>1</v>
          </cell>
          <cell r="E400" t="str">
            <v>Whatcom</v>
          </cell>
          <cell r="F400" t="str">
            <v>001011</v>
          </cell>
          <cell r="G400">
            <v>122</v>
          </cell>
          <cell r="H400" t="str">
            <v>Students of Color</v>
          </cell>
          <cell r="I400">
            <v>10790</v>
          </cell>
          <cell r="J400">
            <v>0</v>
          </cell>
        </row>
        <row r="401">
          <cell r="A401" t="str">
            <v>21Annual Disability Accommod.</v>
          </cell>
          <cell r="B401">
            <v>6</v>
          </cell>
          <cell r="C401">
            <v>21</v>
          </cell>
          <cell r="D401" t="b">
            <v>1</v>
          </cell>
          <cell r="E401" t="str">
            <v>Whatcom</v>
          </cell>
          <cell r="F401" t="str">
            <v>001011</v>
          </cell>
          <cell r="G401">
            <v>123</v>
          </cell>
          <cell r="H401" t="str">
            <v>Annual Disability Accommod.</v>
          </cell>
          <cell r="I401">
            <v>28510</v>
          </cell>
          <cell r="J401">
            <v>0</v>
          </cell>
        </row>
        <row r="402">
          <cell r="A402" t="str">
            <v>21Qtrly Disability Accomm Reserves</v>
          </cell>
          <cell r="B402">
            <v>6</v>
          </cell>
          <cell r="C402">
            <v>21</v>
          </cell>
          <cell r="D402" t="b">
            <v>1</v>
          </cell>
          <cell r="E402" t="str">
            <v>Whatcom</v>
          </cell>
          <cell r="F402" t="str">
            <v>001011</v>
          </cell>
          <cell r="G402">
            <v>124</v>
          </cell>
          <cell r="H402" t="str">
            <v>Qtrly Disability Accomm Reserves</v>
          </cell>
          <cell r="I402">
            <v>0</v>
          </cell>
          <cell r="J402">
            <v>0</v>
          </cell>
        </row>
        <row r="403">
          <cell r="A403" t="str">
            <v>21Work-Based Learning</v>
          </cell>
          <cell r="B403">
            <v>6</v>
          </cell>
          <cell r="C403">
            <v>21</v>
          </cell>
          <cell r="D403" t="b">
            <v>1</v>
          </cell>
          <cell r="E403" t="str">
            <v>Whatcom</v>
          </cell>
          <cell r="F403" t="str">
            <v>001351</v>
          </cell>
          <cell r="G403">
            <v>130</v>
          </cell>
          <cell r="H403" t="str">
            <v>Work-Based Learning</v>
          </cell>
          <cell r="I403">
            <v>29412</v>
          </cell>
          <cell r="J403">
            <v>0</v>
          </cell>
        </row>
        <row r="404">
          <cell r="A404" t="str">
            <v>21Worker Retraining</v>
          </cell>
          <cell r="B404">
            <v>6</v>
          </cell>
          <cell r="C404">
            <v>21</v>
          </cell>
          <cell r="D404" t="b">
            <v>1</v>
          </cell>
          <cell r="E404" t="str">
            <v>Whatcom</v>
          </cell>
          <cell r="F404" t="str">
            <v>001231</v>
          </cell>
          <cell r="G404">
            <v>135</v>
          </cell>
          <cell r="H404" t="str">
            <v>Worker Retraining</v>
          </cell>
          <cell r="I404">
            <v>189051</v>
          </cell>
          <cell r="J404">
            <v>23076</v>
          </cell>
        </row>
        <row r="405">
          <cell r="A405" t="str">
            <v>21High Demand Competitive</v>
          </cell>
          <cell r="B405">
            <v>6</v>
          </cell>
          <cell r="C405">
            <v>21</v>
          </cell>
          <cell r="D405" t="b">
            <v>1</v>
          </cell>
          <cell r="E405" t="str">
            <v>Whatcom</v>
          </cell>
          <cell r="F405" t="str">
            <v>0011H1</v>
          </cell>
          <cell r="G405">
            <v>137</v>
          </cell>
          <cell r="H405" t="str">
            <v>High Demand Competitive</v>
          </cell>
          <cell r="I405">
            <v>89550</v>
          </cell>
          <cell r="J405">
            <v>0</v>
          </cell>
        </row>
        <row r="406">
          <cell r="A406" t="str">
            <v>21WF Development Base</v>
          </cell>
          <cell r="B406">
            <v>6</v>
          </cell>
          <cell r="C406">
            <v>21</v>
          </cell>
          <cell r="D406" t="b">
            <v>1</v>
          </cell>
          <cell r="E406" t="str">
            <v>Whatcom</v>
          </cell>
          <cell r="F406" t="str">
            <v>001011</v>
          </cell>
          <cell r="G406">
            <v>140</v>
          </cell>
          <cell r="H406" t="str">
            <v>WF Development Base</v>
          </cell>
          <cell r="I406">
            <v>28800</v>
          </cell>
          <cell r="J406">
            <v>0</v>
          </cell>
        </row>
        <row r="407">
          <cell r="A407" t="str">
            <v>21WF Development Projects</v>
          </cell>
          <cell r="B407">
            <v>6</v>
          </cell>
          <cell r="C407">
            <v>21</v>
          </cell>
          <cell r="D407" t="b">
            <v>1</v>
          </cell>
          <cell r="E407" t="str">
            <v>Whatcom</v>
          </cell>
          <cell r="F407" t="str">
            <v>001011</v>
          </cell>
          <cell r="G407">
            <v>141</v>
          </cell>
          <cell r="H407" t="str">
            <v>WF Development Projects</v>
          </cell>
          <cell r="I407">
            <v>0</v>
          </cell>
          <cell r="J407">
            <v>0</v>
          </cell>
        </row>
        <row r="408">
          <cell r="A408" t="str">
            <v>21Apprenticeship</v>
          </cell>
          <cell r="B408">
            <v>6</v>
          </cell>
          <cell r="C408">
            <v>21</v>
          </cell>
          <cell r="D408" t="b">
            <v>1</v>
          </cell>
          <cell r="E408" t="str">
            <v>Whatcom</v>
          </cell>
          <cell r="F408" t="str">
            <v>001011</v>
          </cell>
          <cell r="G408">
            <v>145</v>
          </cell>
          <cell r="H408" t="str">
            <v>Apprenticeship</v>
          </cell>
          <cell r="I408">
            <v>0</v>
          </cell>
          <cell r="J408">
            <v>0</v>
          </cell>
        </row>
        <row r="409">
          <cell r="A409" t="str">
            <v>21Rural/Community Development</v>
          </cell>
          <cell r="B409">
            <v>6</v>
          </cell>
          <cell r="C409">
            <v>21</v>
          </cell>
          <cell r="D409" t="b">
            <v>1</v>
          </cell>
          <cell r="E409" t="str">
            <v>Whatcom</v>
          </cell>
          <cell r="F409" t="str">
            <v>001311</v>
          </cell>
          <cell r="G409">
            <v>150</v>
          </cell>
          <cell r="H409" t="str">
            <v>Rural/Community Development</v>
          </cell>
          <cell r="I409">
            <v>0</v>
          </cell>
          <cell r="J409">
            <v>0</v>
          </cell>
        </row>
        <row r="410">
          <cell r="A410" t="str">
            <v>21New Facilities Maint &amp; Ops</v>
          </cell>
          <cell r="B410">
            <v>6</v>
          </cell>
          <cell r="C410">
            <v>21</v>
          </cell>
          <cell r="D410" t="b">
            <v>1</v>
          </cell>
          <cell r="E410" t="str">
            <v>Whatcom</v>
          </cell>
          <cell r="F410" t="str">
            <v>001011</v>
          </cell>
          <cell r="G410">
            <v>160</v>
          </cell>
          <cell r="H410" t="str">
            <v>New Facilities Maint &amp; Ops</v>
          </cell>
          <cell r="I410">
            <v>0</v>
          </cell>
          <cell r="J410">
            <v>0</v>
          </cell>
        </row>
        <row r="411">
          <cell r="A411" t="str">
            <v>21Building Maintenance Shift to Capital</v>
          </cell>
          <cell r="B411">
            <v>6</v>
          </cell>
          <cell r="C411">
            <v>21</v>
          </cell>
          <cell r="D411" t="b">
            <v>1</v>
          </cell>
          <cell r="E411" t="str">
            <v>Whatcom</v>
          </cell>
          <cell r="F411" t="str">
            <v>001011</v>
          </cell>
          <cell r="G411">
            <v>161</v>
          </cell>
          <cell r="H411" t="str">
            <v>Building Maintenance Shift to Capital</v>
          </cell>
          <cell r="I411">
            <v>-154300</v>
          </cell>
          <cell r="J411">
            <v>0</v>
          </cell>
        </row>
        <row r="412">
          <cell r="A412" t="str">
            <v>21UWT Technology Institute</v>
          </cell>
          <cell r="B412">
            <v>6</v>
          </cell>
          <cell r="C412">
            <v>21</v>
          </cell>
          <cell r="D412" t="b">
            <v>1</v>
          </cell>
          <cell r="E412" t="str">
            <v>Whatcom</v>
          </cell>
          <cell r="F412" t="str">
            <v>001331</v>
          </cell>
          <cell r="G412">
            <v>165</v>
          </cell>
          <cell r="H412" t="str">
            <v>UWT Technology Institute</v>
          </cell>
          <cell r="I412">
            <v>0</v>
          </cell>
          <cell r="J412">
            <v>0</v>
          </cell>
        </row>
        <row r="413">
          <cell r="A413" t="str">
            <v>21Labor Liaison Position</v>
          </cell>
          <cell r="B413">
            <v>6</v>
          </cell>
          <cell r="C413">
            <v>21</v>
          </cell>
          <cell r="D413" t="b">
            <v>1</v>
          </cell>
          <cell r="E413" t="str">
            <v>Whatcom</v>
          </cell>
          <cell r="F413" t="str">
            <v>001011</v>
          </cell>
          <cell r="G413">
            <v>220</v>
          </cell>
          <cell r="H413" t="str">
            <v>Labor Liaison Position</v>
          </cell>
          <cell r="I413">
            <v>-2100</v>
          </cell>
          <cell r="J413">
            <v>0</v>
          </cell>
        </row>
        <row r="414">
          <cell r="A414" t="str">
            <v>22Operations</v>
          </cell>
          <cell r="B414">
            <v>6</v>
          </cell>
          <cell r="C414">
            <v>22</v>
          </cell>
          <cell r="D414" t="b">
            <v>1</v>
          </cell>
          <cell r="E414" t="str">
            <v>Tacoma</v>
          </cell>
          <cell r="F414" t="str">
            <v>001011</v>
          </cell>
          <cell r="G414">
            <v>100</v>
          </cell>
          <cell r="H414" t="str">
            <v>Operations</v>
          </cell>
          <cell r="I414">
            <v>13984936</v>
          </cell>
          <cell r="J414">
            <v>0</v>
          </cell>
        </row>
        <row r="415">
          <cell r="A415" t="str">
            <v>22Outcomes Assessment</v>
          </cell>
          <cell r="B415">
            <v>6</v>
          </cell>
          <cell r="C415">
            <v>22</v>
          </cell>
          <cell r="D415" t="b">
            <v>1</v>
          </cell>
          <cell r="E415" t="str">
            <v>Tacoma</v>
          </cell>
          <cell r="F415" t="str">
            <v>001011</v>
          </cell>
          <cell r="G415">
            <v>110</v>
          </cell>
          <cell r="H415" t="str">
            <v>Outcomes Assessment</v>
          </cell>
          <cell r="I415">
            <v>54210</v>
          </cell>
          <cell r="J415">
            <v>0</v>
          </cell>
        </row>
        <row r="416">
          <cell r="A416" t="str">
            <v>22Part-time Faculty Salaries</v>
          </cell>
          <cell r="B416">
            <v>6</v>
          </cell>
          <cell r="C416">
            <v>22</v>
          </cell>
          <cell r="D416" t="b">
            <v>1</v>
          </cell>
          <cell r="E416" t="str">
            <v>Tacoma</v>
          </cell>
          <cell r="F416" t="str">
            <v>001031</v>
          </cell>
          <cell r="G416">
            <v>111</v>
          </cell>
          <cell r="H416" t="str">
            <v>Part-time Faculty Salaries</v>
          </cell>
          <cell r="I416">
            <v>49300</v>
          </cell>
          <cell r="J416">
            <v>0</v>
          </cell>
        </row>
        <row r="417">
          <cell r="A417" t="str">
            <v>22Faculty Increments</v>
          </cell>
          <cell r="B417">
            <v>6</v>
          </cell>
          <cell r="C417">
            <v>22</v>
          </cell>
          <cell r="D417" t="b">
            <v>1</v>
          </cell>
          <cell r="E417" t="str">
            <v>Tacoma</v>
          </cell>
          <cell r="F417" t="str">
            <v>001091</v>
          </cell>
          <cell r="G417">
            <v>112</v>
          </cell>
          <cell r="H417" t="str">
            <v>Faculty Increments</v>
          </cell>
          <cell r="I417">
            <v>37800</v>
          </cell>
          <cell r="J417">
            <v>0</v>
          </cell>
        </row>
        <row r="418">
          <cell r="A418" t="str">
            <v>22Childcare Program</v>
          </cell>
          <cell r="B418">
            <v>6</v>
          </cell>
          <cell r="C418">
            <v>22</v>
          </cell>
          <cell r="D418" t="b">
            <v>1</v>
          </cell>
          <cell r="E418" t="str">
            <v>Tacoma</v>
          </cell>
          <cell r="F418" t="str">
            <v>001011</v>
          </cell>
          <cell r="G418">
            <v>120</v>
          </cell>
          <cell r="H418" t="str">
            <v>Childcare Program</v>
          </cell>
          <cell r="I418">
            <v>17230</v>
          </cell>
          <cell r="J418">
            <v>0</v>
          </cell>
        </row>
        <row r="419">
          <cell r="A419" t="str">
            <v>22Childcare Match</v>
          </cell>
          <cell r="B419">
            <v>6</v>
          </cell>
          <cell r="C419">
            <v>22</v>
          </cell>
          <cell r="D419" t="b">
            <v>1</v>
          </cell>
          <cell r="E419" t="str">
            <v>Tacoma</v>
          </cell>
          <cell r="F419" t="str">
            <v>0011E1</v>
          </cell>
          <cell r="G419">
            <v>121</v>
          </cell>
          <cell r="H419" t="str">
            <v>Childcare Match</v>
          </cell>
          <cell r="I419">
            <v>0</v>
          </cell>
          <cell r="J419">
            <v>0</v>
          </cell>
        </row>
        <row r="420">
          <cell r="A420" t="str">
            <v>22Students of Color</v>
          </cell>
          <cell r="B420">
            <v>6</v>
          </cell>
          <cell r="C420">
            <v>22</v>
          </cell>
          <cell r="D420" t="b">
            <v>1</v>
          </cell>
          <cell r="E420" t="str">
            <v>Tacoma</v>
          </cell>
          <cell r="F420" t="str">
            <v>001011</v>
          </cell>
          <cell r="G420">
            <v>122</v>
          </cell>
          <cell r="H420" t="str">
            <v>Students of Color</v>
          </cell>
          <cell r="I420">
            <v>43060</v>
          </cell>
          <cell r="J420">
            <v>0</v>
          </cell>
        </row>
        <row r="421">
          <cell r="A421" t="str">
            <v>22Annual Disability Accommod.</v>
          </cell>
          <cell r="B421">
            <v>6</v>
          </cell>
          <cell r="C421">
            <v>22</v>
          </cell>
          <cell r="D421" t="b">
            <v>1</v>
          </cell>
          <cell r="E421" t="str">
            <v>Tacoma</v>
          </cell>
          <cell r="F421" t="str">
            <v>001011</v>
          </cell>
          <cell r="G421">
            <v>123</v>
          </cell>
          <cell r="H421" t="str">
            <v>Annual Disability Accommod.</v>
          </cell>
          <cell r="I421">
            <v>40500</v>
          </cell>
          <cell r="J421">
            <v>0</v>
          </cell>
        </row>
        <row r="422">
          <cell r="A422" t="str">
            <v>22Qtrly Disability Accomm Reserves</v>
          </cell>
          <cell r="B422">
            <v>6</v>
          </cell>
          <cell r="C422">
            <v>22</v>
          </cell>
          <cell r="D422" t="b">
            <v>1</v>
          </cell>
          <cell r="E422" t="str">
            <v>Tacoma</v>
          </cell>
          <cell r="F422" t="str">
            <v>001011</v>
          </cell>
          <cell r="G422">
            <v>124</v>
          </cell>
          <cell r="H422" t="str">
            <v>Qtrly Disability Accomm Reserves</v>
          </cell>
          <cell r="I422">
            <v>0</v>
          </cell>
          <cell r="J422">
            <v>0</v>
          </cell>
        </row>
        <row r="423">
          <cell r="A423" t="str">
            <v>22Work-Based Learning</v>
          </cell>
          <cell r="B423">
            <v>6</v>
          </cell>
          <cell r="C423">
            <v>22</v>
          </cell>
          <cell r="D423" t="b">
            <v>1</v>
          </cell>
          <cell r="E423" t="str">
            <v>Tacoma</v>
          </cell>
          <cell r="F423" t="str">
            <v>001351</v>
          </cell>
          <cell r="G423">
            <v>130</v>
          </cell>
          <cell r="H423" t="str">
            <v>Work-Based Learning</v>
          </cell>
          <cell r="I423">
            <v>29412</v>
          </cell>
          <cell r="J423">
            <v>0</v>
          </cell>
        </row>
        <row r="424">
          <cell r="A424" t="str">
            <v>22Worker Retraining</v>
          </cell>
          <cell r="B424">
            <v>6</v>
          </cell>
          <cell r="C424">
            <v>22</v>
          </cell>
          <cell r="D424" t="b">
            <v>1</v>
          </cell>
          <cell r="E424" t="str">
            <v>Tacoma</v>
          </cell>
          <cell r="F424" t="str">
            <v>001231</v>
          </cell>
          <cell r="G424">
            <v>135</v>
          </cell>
          <cell r="H424" t="str">
            <v>Worker Retraining</v>
          </cell>
          <cell r="I424">
            <v>1249581</v>
          </cell>
          <cell r="J424">
            <v>0</v>
          </cell>
        </row>
        <row r="425">
          <cell r="A425" t="str">
            <v>22High Demand Competitive</v>
          </cell>
          <cell r="B425">
            <v>6</v>
          </cell>
          <cell r="C425">
            <v>22</v>
          </cell>
          <cell r="D425" t="b">
            <v>1</v>
          </cell>
          <cell r="E425" t="str">
            <v>Tacoma</v>
          </cell>
          <cell r="F425" t="str">
            <v>0011H1</v>
          </cell>
          <cell r="G425">
            <v>137</v>
          </cell>
          <cell r="H425" t="str">
            <v>High Demand Competitive</v>
          </cell>
          <cell r="I425">
            <v>99500</v>
          </cell>
          <cell r="J425">
            <v>0</v>
          </cell>
        </row>
        <row r="426">
          <cell r="A426" t="str">
            <v>22WF Development Base</v>
          </cell>
          <cell r="B426">
            <v>6</v>
          </cell>
          <cell r="C426">
            <v>22</v>
          </cell>
          <cell r="D426" t="b">
            <v>1</v>
          </cell>
          <cell r="E426" t="str">
            <v>Tacoma</v>
          </cell>
          <cell r="F426" t="str">
            <v>001011</v>
          </cell>
          <cell r="G426">
            <v>140</v>
          </cell>
          <cell r="H426" t="str">
            <v>WF Development Base</v>
          </cell>
          <cell r="I426">
            <v>28800</v>
          </cell>
          <cell r="J426">
            <v>0</v>
          </cell>
        </row>
        <row r="427">
          <cell r="A427" t="str">
            <v>22WF Development Projects</v>
          </cell>
          <cell r="B427">
            <v>6</v>
          </cell>
          <cell r="C427">
            <v>22</v>
          </cell>
          <cell r="D427" t="b">
            <v>1</v>
          </cell>
          <cell r="E427" t="str">
            <v>Tacoma</v>
          </cell>
          <cell r="F427" t="str">
            <v>001011</v>
          </cell>
          <cell r="G427">
            <v>141</v>
          </cell>
          <cell r="H427" t="str">
            <v>WF Development Projects</v>
          </cell>
          <cell r="I427">
            <v>0</v>
          </cell>
          <cell r="J427">
            <v>0</v>
          </cell>
        </row>
        <row r="428">
          <cell r="A428" t="str">
            <v>22Apprenticeship</v>
          </cell>
          <cell r="B428">
            <v>6</v>
          </cell>
          <cell r="C428">
            <v>22</v>
          </cell>
          <cell r="D428" t="b">
            <v>1</v>
          </cell>
          <cell r="E428" t="str">
            <v>Tacoma</v>
          </cell>
          <cell r="F428" t="str">
            <v>001011</v>
          </cell>
          <cell r="G428">
            <v>145</v>
          </cell>
          <cell r="H428" t="str">
            <v>Apprenticeship</v>
          </cell>
          <cell r="I428">
            <v>0</v>
          </cell>
          <cell r="J428">
            <v>0</v>
          </cell>
        </row>
        <row r="429">
          <cell r="A429" t="str">
            <v>22Rural/Community Development</v>
          </cell>
          <cell r="B429">
            <v>6</v>
          </cell>
          <cell r="C429">
            <v>22</v>
          </cell>
          <cell r="D429" t="b">
            <v>1</v>
          </cell>
          <cell r="E429" t="str">
            <v>Tacoma</v>
          </cell>
          <cell r="F429" t="str">
            <v>001311</v>
          </cell>
          <cell r="G429">
            <v>150</v>
          </cell>
          <cell r="H429" t="str">
            <v>Rural/Community Development</v>
          </cell>
          <cell r="I429">
            <v>0</v>
          </cell>
          <cell r="J429">
            <v>0</v>
          </cell>
        </row>
        <row r="430">
          <cell r="A430" t="str">
            <v>22New Facilities Maint &amp; Ops</v>
          </cell>
          <cell r="B430">
            <v>6</v>
          </cell>
          <cell r="C430">
            <v>22</v>
          </cell>
          <cell r="D430" t="b">
            <v>1</v>
          </cell>
          <cell r="E430" t="str">
            <v>Tacoma</v>
          </cell>
          <cell r="F430" t="str">
            <v>001011</v>
          </cell>
          <cell r="G430">
            <v>160</v>
          </cell>
          <cell r="H430" t="str">
            <v>New Facilities Maint &amp; Ops</v>
          </cell>
          <cell r="I430">
            <v>7800</v>
          </cell>
          <cell r="J430">
            <v>0</v>
          </cell>
        </row>
        <row r="431">
          <cell r="A431" t="str">
            <v>22Building Maintenance Shift to Capital</v>
          </cell>
          <cell r="B431">
            <v>6</v>
          </cell>
          <cell r="C431">
            <v>22</v>
          </cell>
          <cell r="D431" t="b">
            <v>1</v>
          </cell>
          <cell r="E431" t="str">
            <v>Tacoma</v>
          </cell>
          <cell r="F431" t="str">
            <v>001011</v>
          </cell>
          <cell r="G431">
            <v>161</v>
          </cell>
          <cell r="H431" t="str">
            <v>Building Maintenance Shift to Capital</v>
          </cell>
          <cell r="I431">
            <v>-269600</v>
          </cell>
          <cell r="J431">
            <v>0</v>
          </cell>
        </row>
        <row r="432">
          <cell r="A432" t="str">
            <v>22UWT Technology Institute</v>
          </cell>
          <cell r="B432">
            <v>6</v>
          </cell>
          <cell r="C432">
            <v>22</v>
          </cell>
          <cell r="D432" t="b">
            <v>1</v>
          </cell>
          <cell r="E432" t="str">
            <v>Tacoma</v>
          </cell>
          <cell r="F432" t="str">
            <v>001331</v>
          </cell>
          <cell r="G432">
            <v>165</v>
          </cell>
          <cell r="H432" t="str">
            <v>UWT Technology Institute</v>
          </cell>
          <cell r="I432">
            <v>58500</v>
          </cell>
          <cell r="J432">
            <v>0</v>
          </cell>
        </row>
        <row r="433">
          <cell r="A433" t="str">
            <v>22Labor Liaison Position</v>
          </cell>
          <cell r="B433">
            <v>6</v>
          </cell>
          <cell r="C433">
            <v>22</v>
          </cell>
          <cell r="D433" t="b">
            <v>1</v>
          </cell>
          <cell r="E433" t="str">
            <v>Tacoma</v>
          </cell>
          <cell r="F433" t="str">
            <v>001011</v>
          </cell>
          <cell r="G433">
            <v>220</v>
          </cell>
          <cell r="H433" t="str">
            <v>Labor Liaison Position</v>
          </cell>
          <cell r="I433">
            <v>-2100</v>
          </cell>
          <cell r="J433">
            <v>0</v>
          </cell>
        </row>
        <row r="434">
          <cell r="A434" t="str">
            <v>23Operations</v>
          </cell>
          <cell r="B434">
            <v>6</v>
          </cell>
          <cell r="C434">
            <v>23</v>
          </cell>
          <cell r="D434" t="b">
            <v>1</v>
          </cell>
          <cell r="E434" t="str">
            <v>Edmonds</v>
          </cell>
          <cell r="F434" t="str">
            <v>001011</v>
          </cell>
          <cell r="G434">
            <v>100</v>
          </cell>
          <cell r="H434" t="str">
            <v>Operations</v>
          </cell>
          <cell r="I434">
            <v>17049759</v>
          </cell>
          <cell r="J434">
            <v>0</v>
          </cell>
        </row>
        <row r="435">
          <cell r="A435" t="str">
            <v>23Outcomes Assessment</v>
          </cell>
          <cell r="B435">
            <v>6</v>
          </cell>
          <cell r="C435">
            <v>23</v>
          </cell>
          <cell r="D435" t="b">
            <v>1</v>
          </cell>
          <cell r="E435" t="str">
            <v>Edmonds</v>
          </cell>
          <cell r="F435" t="str">
            <v>001011</v>
          </cell>
          <cell r="G435">
            <v>110</v>
          </cell>
          <cell r="H435" t="str">
            <v>Outcomes Assessment</v>
          </cell>
          <cell r="I435">
            <v>54210</v>
          </cell>
          <cell r="J435">
            <v>0</v>
          </cell>
        </row>
        <row r="436">
          <cell r="A436" t="str">
            <v>23Part-time Faculty Salaries</v>
          </cell>
          <cell r="B436">
            <v>6</v>
          </cell>
          <cell r="C436">
            <v>23</v>
          </cell>
          <cell r="D436" t="b">
            <v>1</v>
          </cell>
          <cell r="E436" t="str">
            <v>Edmonds</v>
          </cell>
          <cell r="F436" t="str">
            <v>001031</v>
          </cell>
          <cell r="G436">
            <v>111</v>
          </cell>
          <cell r="H436" t="str">
            <v>Part-time Faculty Salaries</v>
          </cell>
          <cell r="I436">
            <v>49600</v>
          </cell>
          <cell r="J436">
            <v>0</v>
          </cell>
        </row>
        <row r="437">
          <cell r="A437" t="str">
            <v>23Faculty Increments</v>
          </cell>
          <cell r="B437">
            <v>6</v>
          </cell>
          <cell r="C437">
            <v>23</v>
          </cell>
          <cell r="D437" t="b">
            <v>1</v>
          </cell>
          <cell r="E437" t="str">
            <v>Edmonds</v>
          </cell>
          <cell r="F437" t="str">
            <v>001091</v>
          </cell>
          <cell r="G437">
            <v>112</v>
          </cell>
          <cell r="H437" t="str">
            <v>Faculty Increments</v>
          </cell>
          <cell r="I437">
            <v>42700</v>
          </cell>
          <cell r="J437">
            <v>0</v>
          </cell>
        </row>
        <row r="438">
          <cell r="A438" t="str">
            <v>23Childcare Program</v>
          </cell>
          <cell r="B438">
            <v>6</v>
          </cell>
          <cell r="C438">
            <v>23</v>
          </cell>
          <cell r="D438" t="b">
            <v>1</v>
          </cell>
          <cell r="E438" t="str">
            <v>Edmonds</v>
          </cell>
          <cell r="F438" t="str">
            <v>001011</v>
          </cell>
          <cell r="G438">
            <v>120</v>
          </cell>
          <cell r="H438" t="str">
            <v>Childcare Program</v>
          </cell>
          <cell r="I438">
            <v>18290</v>
          </cell>
          <cell r="J438">
            <v>0</v>
          </cell>
        </row>
        <row r="439">
          <cell r="A439" t="str">
            <v>23Childcare Match</v>
          </cell>
          <cell r="B439">
            <v>6</v>
          </cell>
          <cell r="C439">
            <v>23</v>
          </cell>
          <cell r="D439" t="b">
            <v>1</v>
          </cell>
          <cell r="E439" t="str">
            <v>Edmonds</v>
          </cell>
          <cell r="F439" t="str">
            <v>0011E1</v>
          </cell>
          <cell r="G439">
            <v>121</v>
          </cell>
          <cell r="H439" t="str">
            <v>Childcare Match</v>
          </cell>
          <cell r="I439">
            <v>0</v>
          </cell>
          <cell r="J439">
            <v>9875</v>
          </cell>
        </row>
        <row r="440">
          <cell r="A440" t="str">
            <v>23Students of Color</v>
          </cell>
          <cell r="B440">
            <v>6</v>
          </cell>
          <cell r="C440">
            <v>23</v>
          </cell>
          <cell r="D440" t="b">
            <v>1</v>
          </cell>
          <cell r="E440" t="str">
            <v>Edmonds</v>
          </cell>
          <cell r="F440" t="str">
            <v>001011</v>
          </cell>
          <cell r="G440">
            <v>122</v>
          </cell>
          <cell r="H440" t="str">
            <v>Students of Color</v>
          </cell>
          <cell r="I440">
            <v>47130</v>
          </cell>
          <cell r="J440">
            <v>0</v>
          </cell>
        </row>
        <row r="441">
          <cell r="A441" t="str">
            <v>23Annual Disability Accommod.</v>
          </cell>
          <cell r="B441">
            <v>6</v>
          </cell>
          <cell r="C441">
            <v>23</v>
          </cell>
          <cell r="D441" t="b">
            <v>1</v>
          </cell>
          <cell r="E441" t="str">
            <v>Edmonds</v>
          </cell>
          <cell r="F441" t="str">
            <v>001011</v>
          </cell>
          <cell r="G441">
            <v>123</v>
          </cell>
          <cell r="H441" t="str">
            <v>Annual Disability Accommod.</v>
          </cell>
          <cell r="I441">
            <v>43640</v>
          </cell>
          <cell r="J441">
            <v>0</v>
          </cell>
        </row>
        <row r="442">
          <cell r="A442" t="str">
            <v>23Qtrly Disability Accomm Reserves</v>
          </cell>
          <cell r="B442">
            <v>6</v>
          </cell>
          <cell r="C442">
            <v>23</v>
          </cell>
          <cell r="D442" t="b">
            <v>1</v>
          </cell>
          <cell r="E442" t="str">
            <v>Edmonds</v>
          </cell>
          <cell r="F442" t="str">
            <v>001011</v>
          </cell>
          <cell r="G442">
            <v>124</v>
          </cell>
          <cell r="H442" t="str">
            <v>Qtrly Disability Accomm Reserves</v>
          </cell>
          <cell r="I442">
            <v>0</v>
          </cell>
          <cell r="J442">
            <v>0</v>
          </cell>
        </row>
        <row r="443">
          <cell r="A443" t="str">
            <v>23Work-Based Learning</v>
          </cell>
          <cell r="B443">
            <v>6</v>
          </cell>
          <cell r="C443">
            <v>23</v>
          </cell>
          <cell r="D443" t="b">
            <v>1</v>
          </cell>
          <cell r="E443" t="str">
            <v>Edmonds</v>
          </cell>
          <cell r="F443" t="str">
            <v>001351</v>
          </cell>
          <cell r="G443">
            <v>130</v>
          </cell>
          <cell r="H443" t="str">
            <v>Work-Based Learning</v>
          </cell>
          <cell r="I443">
            <v>29412</v>
          </cell>
          <cell r="J443">
            <v>0</v>
          </cell>
        </row>
        <row r="444">
          <cell r="A444" t="str">
            <v>23Worker Retraining</v>
          </cell>
          <cell r="B444">
            <v>6</v>
          </cell>
          <cell r="C444">
            <v>23</v>
          </cell>
          <cell r="D444" t="b">
            <v>1</v>
          </cell>
          <cell r="E444" t="str">
            <v>Edmonds</v>
          </cell>
          <cell r="F444" t="str">
            <v>001231</v>
          </cell>
          <cell r="G444">
            <v>135</v>
          </cell>
          <cell r="H444" t="str">
            <v>Worker Retraining</v>
          </cell>
          <cell r="I444">
            <v>1111251</v>
          </cell>
          <cell r="J444">
            <v>0</v>
          </cell>
        </row>
        <row r="445">
          <cell r="A445" t="str">
            <v>23WF Development Base</v>
          </cell>
          <cell r="B445">
            <v>6</v>
          </cell>
          <cell r="C445">
            <v>23</v>
          </cell>
          <cell r="D445" t="b">
            <v>1</v>
          </cell>
          <cell r="E445" t="str">
            <v>Edmonds</v>
          </cell>
          <cell r="F445" t="str">
            <v>001011</v>
          </cell>
          <cell r="G445">
            <v>140</v>
          </cell>
          <cell r="H445" t="str">
            <v>WF Development Base</v>
          </cell>
          <cell r="I445">
            <v>28800</v>
          </cell>
          <cell r="J445">
            <v>0</v>
          </cell>
        </row>
        <row r="446">
          <cell r="A446" t="str">
            <v>23WF Development Projects</v>
          </cell>
          <cell r="B446">
            <v>6</v>
          </cell>
          <cell r="C446">
            <v>23</v>
          </cell>
          <cell r="D446" t="b">
            <v>1</v>
          </cell>
          <cell r="E446" t="str">
            <v>Edmonds</v>
          </cell>
          <cell r="F446" t="str">
            <v>001011</v>
          </cell>
          <cell r="G446">
            <v>141</v>
          </cell>
          <cell r="H446" t="str">
            <v>WF Development Projects</v>
          </cell>
          <cell r="I446">
            <v>229221</v>
          </cell>
          <cell r="J446">
            <v>0</v>
          </cell>
        </row>
        <row r="447">
          <cell r="A447" t="str">
            <v>23Apprenticeship</v>
          </cell>
          <cell r="B447">
            <v>6</v>
          </cell>
          <cell r="C447">
            <v>23</v>
          </cell>
          <cell r="D447" t="b">
            <v>1</v>
          </cell>
          <cell r="E447" t="str">
            <v>Edmonds</v>
          </cell>
          <cell r="F447" t="str">
            <v>001011</v>
          </cell>
          <cell r="G447">
            <v>145</v>
          </cell>
          <cell r="H447" t="str">
            <v>Apprenticeship</v>
          </cell>
          <cell r="I447">
            <v>0</v>
          </cell>
          <cell r="J447">
            <v>0</v>
          </cell>
        </row>
        <row r="448">
          <cell r="A448" t="str">
            <v>23Rural/Community Development</v>
          </cell>
          <cell r="B448">
            <v>6</v>
          </cell>
          <cell r="C448">
            <v>23</v>
          </cell>
          <cell r="D448" t="b">
            <v>1</v>
          </cell>
          <cell r="E448" t="str">
            <v>Edmonds</v>
          </cell>
          <cell r="F448" t="str">
            <v>001311</v>
          </cell>
          <cell r="G448">
            <v>150</v>
          </cell>
          <cell r="H448" t="str">
            <v>Rural/Community Development</v>
          </cell>
          <cell r="I448">
            <v>0</v>
          </cell>
          <cell r="J448">
            <v>0</v>
          </cell>
        </row>
        <row r="449">
          <cell r="A449" t="str">
            <v>23New Facilities Maint &amp; Ops</v>
          </cell>
          <cell r="B449">
            <v>6</v>
          </cell>
          <cell r="C449">
            <v>23</v>
          </cell>
          <cell r="D449" t="b">
            <v>1</v>
          </cell>
          <cell r="E449" t="str">
            <v>Edmonds</v>
          </cell>
          <cell r="F449" t="str">
            <v>001011</v>
          </cell>
          <cell r="G449">
            <v>160</v>
          </cell>
          <cell r="H449" t="str">
            <v>New Facilities Maint &amp; Ops</v>
          </cell>
          <cell r="I449">
            <v>51000</v>
          </cell>
          <cell r="J449">
            <v>0</v>
          </cell>
        </row>
        <row r="450">
          <cell r="A450" t="str">
            <v>23Building Maintenance Shift to Capital</v>
          </cell>
          <cell r="B450">
            <v>6</v>
          </cell>
          <cell r="C450">
            <v>23</v>
          </cell>
          <cell r="D450" t="b">
            <v>1</v>
          </cell>
          <cell r="E450" t="str">
            <v>Edmonds</v>
          </cell>
          <cell r="F450" t="str">
            <v>001011</v>
          </cell>
          <cell r="G450">
            <v>161</v>
          </cell>
          <cell r="H450" t="str">
            <v>Building Maintenance Shift to Capital</v>
          </cell>
          <cell r="I450">
            <v>-402400</v>
          </cell>
          <cell r="J450">
            <v>0</v>
          </cell>
        </row>
        <row r="451">
          <cell r="A451" t="str">
            <v>23UWT Technology Institute</v>
          </cell>
          <cell r="B451">
            <v>6</v>
          </cell>
          <cell r="C451">
            <v>23</v>
          </cell>
          <cell r="D451" t="b">
            <v>1</v>
          </cell>
          <cell r="E451" t="str">
            <v>Edmonds</v>
          </cell>
          <cell r="F451" t="str">
            <v>001331</v>
          </cell>
          <cell r="G451">
            <v>165</v>
          </cell>
          <cell r="H451" t="str">
            <v>UWT Technology Institute</v>
          </cell>
          <cell r="I451">
            <v>0</v>
          </cell>
          <cell r="J451">
            <v>0</v>
          </cell>
        </row>
        <row r="452">
          <cell r="A452" t="str">
            <v>23Labor Liaison Position</v>
          </cell>
          <cell r="B452">
            <v>6</v>
          </cell>
          <cell r="C452">
            <v>23</v>
          </cell>
          <cell r="D452" t="b">
            <v>1</v>
          </cell>
          <cell r="E452" t="str">
            <v>Edmonds</v>
          </cell>
          <cell r="F452" t="str">
            <v>001011</v>
          </cell>
          <cell r="G452">
            <v>220</v>
          </cell>
          <cell r="H452" t="str">
            <v>Labor Liaison Position</v>
          </cell>
          <cell r="I452">
            <v>-2100</v>
          </cell>
          <cell r="J452">
            <v>0</v>
          </cell>
        </row>
        <row r="453">
          <cell r="A453" t="str">
            <v>24Operations</v>
          </cell>
          <cell r="B453">
            <v>6</v>
          </cell>
          <cell r="C453">
            <v>24</v>
          </cell>
          <cell r="D453" t="b">
            <v>1</v>
          </cell>
          <cell r="E453" t="str">
            <v>South Puget Sound</v>
          </cell>
          <cell r="F453" t="str">
            <v>001011</v>
          </cell>
          <cell r="G453">
            <v>100</v>
          </cell>
          <cell r="H453" t="str">
            <v>Operations</v>
          </cell>
          <cell r="I453">
            <v>11417349</v>
          </cell>
          <cell r="J453">
            <v>0</v>
          </cell>
        </row>
        <row r="454">
          <cell r="A454" t="str">
            <v>24Outcomes Assessment</v>
          </cell>
          <cell r="B454">
            <v>6</v>
          </cell>
          <cell r="C454">
            <v>24</v>
          </cell>
          <cell r="D454" t="b">
            <v>1</v>
          </cell>
          <cell r="E454" t="str">
            <v>South Puget Sound</v>
          </cell>
          <cell r="F454" t="str">
            <v>001011</v>
          </cell>
          <cell r="G454">
            <v>110</v>
          </cell>
          <cell r="H454" t="str">
            <v>Outcomes Assessment</v>
          </cell>
          <cell r="I454">
            <v>54210</v>
          </cell>
          <cell r="J454">
            <v>0</v>
          </cell>
        </row>
        <row r="455">
          <cell r="A455" t="str">
            <v>24Part-time Faculty Salaries</v>
          </cell>
          <cell r="B455">
            <v>6</v>
          </cell>
          <cell r="C455">
            <v>24</v>
          </cell>
          <cell r="D455" t="b">
            <v>1</v>
          </cell>
          <cell r="E455" t="str">
            <v>South Puget Sound</v>
          </cell>
          <cell r="F455" t="str">
            <v>001031</v>
          </cell>
          <cell r="G455">
            <v>111</v>
          </cell>
          <cell r="H455" t="str">
            <v>Part-time Faculty Salaries</v>
          </cell>
          <cell r="I455">
            <v>39200</v>
          </cell>
          <cell r="J455">
            <v>0</v>
          </cell>
        </row>
        <row r="456">
          <cell r="A456" t="str">
            <v>24Faculty Increments</v>
          </cell>
          <cell r="B456">
            <v>6</v>
          </cell>
          <cell r="C456">
            <v>24</v>
          </cell>
          <cell r="D456" t="b">
            <v>1</v>
          </cell>
          <cell r="E456" t="str">
            <v>South Puget Sound</v>
          </cell>
          <cell r="F456" t="str">
            <v>001091</v>
          </cell>
          <cell r="G456">
            <v>112</v>
          </cell>
          <cell r="H456" t="str">
            <v>Faculty Increments</v>
          </cell>
          <cell r="I456">
            <v>37600</v>
          </cell>
          <cell r="J456">
            <v>0</v>
          </cell>
        </row>
        <row r="457">
          <cell r="A457" t="str">
            <v>24Childcare Program</v>
          </cell>
          <cell r="B457">
            <v>6</v>
          </cell>
          <cell r="C457">
            <v>24</v>
          </cell>
          <cell r="D457" t="b">
            <v>1</v>
          </cell>
          <cell r="E457" t="str">
            <v>South Puget Sound</v>
          </cell>
          <cell r="F457" t="str">
            <v>001011</v>
          </cell>
          <cell r="G457">
            <v>120</v>
          </cell>
          <cell r="H457" t="str">
            <v>Childcare Program</v>
          </cell>
          <cell r="I457">
            <v>14820</v>
          </cell>
          <cell r="J457">
            <v>0</v>
          </cell>
        </row>
        <row r="458">
          <cell r="A458" t="str">
            <v>24Childcare Match</v>
          </cell>
          <cell r="B458">
            <v>6</v>
          </cell>
          <cell r="C458">
            <v>24</v>
          </cell>
          <cell r="D458" t="b">
            <v>1</v>
          </cell>
          <cell r="E458" t="str">
            <v>South Puget Sound</v>
          </cell>
          <cell r="F458" t="str">
            <v>0011E1</v>
          </cell>
          <cell r="G458">
            <v>121</v>
          </cell>
          <cell r="H458" t="str">
            <v>Childcare Match</v>
          </cell>
          <cell r="I458">
            <v>0</v>
          </cell>
          <cell r="J458">
            <v>0</v>
          </cell>
        </row>
        <row r="459">
          <cell r="A459" t="str">
            <v>24Students of Color</v>
          </cell>
          <cell r="B459">
            <v>6</v>
          </cell>
          <cell r="C459">
            <v>24</v>
          </cell>
          <cell r="D459" t="b">
            <v>1</v>
          </cell>
          <cell r="E459" t="str">
            <v>South Puget Sound</v>
          </cell>
          <cell r="F459" t="str">
            <v>001011</v>
          </cell>
          <cell r="G459">
            <v>122</v>
          </cell>
          <cell r="H459" t="str">
            <v>Students of Color</v>
          </cell>
          <cell r="I459">
            <v>20570</v>
          </cell>
          <cell r="J459">
            <v>0</v>
          </cell>
        </row>
        <row r="460">
          <cell r="A460" t="str">
            <v>24Annual Disability Accommod.</v>
          </cell>
          <cell r="B460">
            <v>6</v>
          </cell>
          <cell r="C460">
            <v>24</v>
          </cell>
          <cell r="D460" t="b">
            <v>1</v>
          </cell>
          <cell r="E460" t="str">
            <v>South Puget Sound</v>
          </cell>
          <cell r="F460" t="str">
            <v>001011</v>
          </cell>
          <cell r="G460">
            <v>123</v>
          </cell>
          <cell r="H460" t="str">
            <v>Annual Disability Accommod.</v>
          </cell>
          <cell r="I460">
            <v>30270</v>
          </cell>
          <cell r="J460">
            <v>0</v>
          </cell>
        </row>
        <row r="461">
          <cell r="A461" t="str">
            <v>24Qtrly Disability Accomm Reserves</v>
          </cell>
          <cell r="B461">
            <v>6</v>
          </cell>
          <cell r="C461">
            <v>24</v>
          </cell>
          <cell r="D461" t="b">
            <v>1</v>
          </cell>
          <cell r="E461" t="str">
            <v>South Puget Sound</v>
          </cell>
          <cell r="F461" t="str">
            <v>001011</v>
          </cell>
          <cell r="G461">
            <v>124</v>
          </cell>
          <cell r="H461" t="str">
            <v>Qtrly Disability Accomm Reserves</v>
          </cell>
          <cell r="I461">
            <v>0</v>
          </cell>
          <cell r="J461">
            <v>0</v>
          </cell>
        </row>
        <row r="462">
          <cell r="A462" t="str">
            <v>24Work-Based Learning</v>
          </cell>
          <cell r="B462">
            <v>6</v>
          </cell>
          <cell r="C462">
            <v>24</v>
          </cell>
          <cell r="D462" t="b">
            <v>1</v>
          </cell>
          <cell r="E462" t="str">
            <v>South Puget Sound</v>
          </cell>
          <cell r="F462" t="str">
            <v>001351</v>
          </cell>
          <cell r="G462">
            <v>130</v>
          </cell>
          <cell r="H462" t="str">
            <v>Work-Based Learning</v>
          </cell>
          <cell r="I462">
            <v>29412</v>
          </cell>
          <cell r="J462">
            <v>0</v>
          </cell>
        </row>
        <row r="463">
          <cell r="A463" t="str">
            <v>24Worker Retraining</v>
          </cell>
          <cell r="B463">
            <v>6</v>
          </cell>
          <cell r="C463">
            <v>24</v>
          </cell>
          <cell r="D463" t="b">
            <v>1</v>
          </cell>
          <cell r="E463" t="str">
            <v>South Puget Sound</v>
          </cell>
          <cell r="F463" t="str">
            <v>001231</v>
          </cell>
          <cell r="G463">
            <v>135</v>
          </cell>
          <cell r="H463" t="str">
            <v>Worker Retraining</v>
          </cell>
          <cell r="I463">
            <v>556042</v>
          </cell>
          <cell r="J463">
            <v>0</v>
          </cell>
        </row>
        <row r="464">
          <cell r="A464" t="str">
            <v>24WF Development Base</v>
          </cell>
          <cell r="B464">
            <v>6</v>
          </cell>
          <cell r="C464">
            <v>24</v>
          </cell>
          <cell r="D464" t="b">
            <v>1</v>
          </cell>
          <cell r="E464" t="str">
            <v>South Puget Sound</v>
          </cell>
          <cell r="F464" t="str">
            <v>001011</v>
          </cell>
          <cell r="G464">
            <v>140</v>
          </cell>
          <cell r="H464" t="str">
            <v>WF Development Base</v>
          </cell>
          <cell r="I464">
            <v>28800</v>
          </cell>
          <cell r="J464">
            <v>0</v>
          </cell>
        </row>
        <row r="465">
          <cell r="A465" t="str">
            <v>24WF Development Projects</v>
          </cell>
          <cell r="B465">
            <v>6</v>
          </cell>
          <cell r="C465">
            <v>24</v>
          </cell>
          <cell r="D465" t="b">
            <v>1</v>
          </cell>
          <cell r="E465" t="str">
            <v>South Puget Sound</v>
          </cell>
          <cell r="F465" t="str">
            <v>001011</v>
          </cell>
          <cell r="G465">
            <v>141</v>
          </cell>
          <cell r="H465" t="str">
            <v>WF Development Projects</v>
          </cell>
          <cell r="I465">
            <v>129221</v>
          </cell>
          <cell r="J465">
            <v>0</v>
          </cell>
        </row>
        <row r="466">
          <cell r="A466" t="str">
            <v>24Apprenticeship</v>
          </cell>
          <cell r="B466">
            <v>6</v>
          </cell>
          <cell r="C466">
            <v>24</v>
          </cell>
          <cell r="D466" t="b">
            <v>1</v>
          </cell>
          <cell r="E466" t="str">
            <v>South Puget Sound</v>
          </cell>
          <cell r="F466" t="str">
            <v>001011</v>
          </cell>
          <cell r="G466">
            <v>145</v>
          </cell>
          <cell r="H466" t="str">
            <v>Apprenticeship</v>
          </cell>
          <cell r="I466">
            <v>0</v>
          </cell>
          <cell r="J466">
            <v>7254</v>
          </cell>
        </row>
        <row r="467">
          <cell r="A467" t="str">
            <v>24Rural/Community Development</v>
          </cell>
          <cell r="B467">
            <v>6</v>
          </cell>
          <cell r="C467">
            <v>24</v>
          </cell>
          <cell r="D467" t="b">
            <v>1</v>
          </cell>
          <cell r="E467" t="str">
            <v>South Puget Sound</v>
          </cell>
          <cell r="F467" t="str">
            <v>001311</v>
          </cell>
          <cell r="G467">
            <v>150</v>
          </cell>
          <cell r="H467" t="str">
            <v>Rural/Community Development</v>
          </cell>
          <cell r="I467">
            <v>0</v>
          </cell>
          <cell r="J467">
            <v>0</v>
          </cell>
        </row>
        <row r="468">
          <cell r="A468" t="str">
            <v>24New Facilities Maint &amp; Ops</v>
          </cell>
          <cell r="B468">
            <v>6</v>
          </cell>
          <cell r="C468">
            <v>24</v>
          </cell>
          <cell r="D468" t="b">
            <v>1</v>
          </cell>
          <cell r="E468" t="str">
            <v>South Puget Sound</v>
          </cell>
          <cell r="F468" t="str">
            <v>001011</v>
          </cell>
          <cell r="G468">
            <v>160</v>
          </cell>
          <cell r="H468" t="str">
            <v>New Facilities Maint &amp; Ops</v>
          </cell>
          <cell r="I468">
            <v>0</v>
          </cell>
          <cell r="J468">
            <v>0</v>
          </cell>
        </row>
        <row r="469">
          <cell r="A469" t="str">
            <v>24Building Maintenance Shift to Capital</v>
          </cell>
          <cell r="B469">
            <v>6</v>
          </cell>
          <cell r="C469">
            <v>24</v>
          </cell>
          <cell r="D469" t="b">
            <v>1</v>
          </cell>
          <cell r="E469" t="str">
            <v>South Puget Sound</v>
          </cell>
          <cell r="F469" t="str">
            <v>001011</v>
          </cell>
          <cell r="G469">
            <v>161</v>
          </cell>
          <cell r="H469" t="str">
            <v>Building Maintenance Shift to Capital</v>
          </cell>
          <cell r="I469">
            <v>-248100</v>
          </cell>
          <cell r="J469">
            <v>0</v>
          </cell>
        </row>
        <row r="470">
          <cell r="A470" t="str">
            <v>24UWT Technology Institute</v>
          </cell>
          <cell r="B470">
            <v>6</v>
          </cell>
          <cell r="C470">
            <v>24</v>
          </cell>
          <cell r="D470" t="b">
            <v>1</v>
          </cell>
          <cell r="E470" t="str">
            <v>South Puget Sound</v>
          </cell>
          <cell r="F470" t="str">
            <v>001331</v>
          </cell>
          <cell r="G470">
            <v>165</v>
          </cell>
          <cell r="H470" t="str">
            <v>UWT Technology Institute</v>
          </cell>
          <cell r="I470">
            <v>46800</v>
          </cell>
          <cell r="J470">
            <v>0</v>
          </cell>
        </row>
        <row r="471">
          <cell r="A471" t="str">
            <v>24Labor Liaison Position</v>
          </cell>
          <cell r="B471">
            <v>6</v>
          </cell>
          <cell r="C471">
            <v>24</v>
          </cell>
          <cell r="D471" t="b">
            <v>1</v>
          </cell>
          <cell r="E471" t="str">
            <v>South Puget Sound</v>
          </cell>
          <cell r="F471" t="str">
            <v>001011</v>
          </cell>
          <cell r="G471">
            <v>220</v>
          </cell>
          <cell r="H471" t="str">
            <v>Labor Liaison Position</v>
          </cell>
          <cell r="I471">
            <v>-2100</v>
          </cell>
          <cell r="J471">
            <v>0</v>
          </cell>
        </row>
        <row r="472">
          <cell r="A472" t="str">
            <v>25Operations</v>
          </cell>
          <cell r="B472">
            <v>6</v>
          </cell>
          <cell r="C472">
            <v>25</v>
          </cell>
          <cell r="D472" t="b">
            <v>1</v>
          </cell>
          <cell r="E472" t="str">
            <v>Bellingham</v>
          </cell>
          <cell r="F472" t="str">
            <v>001011</v>
          </cell>
          <cell r="G472">
            <v>100</v>
          </cell>
          <cell r="H472" t="str">
            <v>Operations</v>
          </cell>
          <cell r="I472">
            <v>6170530</v>
          </cell>
          <cell r="J472">
            <v>0</v>
          </cell>
        </row>
        <row r="473">
          <cell r="A473" t="str">
            <v>25Outcomes Assessment</v>
          </cell>
          <cell r="B473">
            <v>6</v>
          </cell>
          <cell r="C473">
            <v>25</v>
          </cell>
          <cell r="D473" t="b">
            <v>1</v>
          </cell>
          <cell r="E473" t="str">
            <v>Bellingham</v>
          </cell>
          <cell r="F473" t="str">
            <v>001011</v>
          </cell>
          <cell r="G473">
            <v>110</v>
          </cell>
          <cell r="H473" t="str">
            <v>Outcomes Assessment</v>
          </cell>
          <cell r="I473">
            <v>54210</v>
          </cell>
          <cell r="J473">
            <v>0</v>
          </cell>
        </row>
        <row r="474">
          <cell r="A474" t="str">
            <v>25Part-time Faculty Salaries</v>
          </cell>
          <cell r="B474">
            <v>6</v>
          </cell>
          <cell r="C474">
            <v>25</v>
          </cell>
          <cell r="D474" t="b">
            <v>1</v>
          </cell>
          <cell r="E474" t="str">
            <v>Bellingham</v>
          </cell>
          <cell r="F474" t="str">
            <v>001031</v>
          </cell>
          <cell r="G474">
            <v>111</v>
          </cell>
          <cell r="H474" t="str">
            <v>Part-time Faculty Salaries</v>
          </cell>
          <cell r="I474">
            <v>5600</v>
          </cell>
          <cell r="J474">
            <v>0</v>
          </cell>
        </row>
        <row r="475">
          <cell r="A475" t="str">
            <v>25Faculty Increments</v>
          </cell>
          <cell r="B475">
            <v>6</v>
          </cell>
          <cell r="C475">
            <v>25</v>
          </cell>
          <cell r="D475" t="b">
            <v>1</v>
          </cell>
          <cell r="E475" t="str">
            <v>Bellingham</v>
          </cell>
          <cell r="F475" t="str">
            <v>001091</v>
          </cell>
          <cell r="G475">
            <v>112</v>
          </cell>
          <cell r="H475" t="str">
            <v>Faculty Increments</v>
          </cell>
          <cell r="I475">
            <v>19500</v>
          </cell>
          <cell r="J475">
            <v>0</v>
          </cell>
        </row>
        <row r="476">
          <cell r="A476" t="str">
            <v>25Childcare Program</v>
          </cell>
          <cell r="B476">
            <v>6</v>
          </cell>
          <cell r="C476">
            <v>25</v>
          </cell>
          <cell r="D476" t="b">
            <v>1</v>
          </cell>
          <cell r="E476" t="str">
            <v>Bellingham</v>
          </cell>
          <cell r="F476" t="str">
            <v>001011</v>
          </cell>
          <cell r="G476">
            <v>120</v>
          </cell>
          <cell r="H476" t="str">
            <v>Childcare Program</v>
          </cell>
          <cell r="I476">
            <v>0</v>
          </cell>
          <cell r="J476">
            <v>0</v>
          </cell>
        </row>
        <row r="477">
          <cell r="A477" t="str">
            <v>25Childcare Match</v>
          </cell>
          <cell r="B477">
            <v>6</v>
          </cell>
          <cell r="C477">
            <v>25</v>
          </cell>
          <cell r="D477" t="b">
            <v>1</v>
          </cell>
          <cell r="E477" t="str">
            <v>Bellingham</v>
          </cell>
          <cell r="F477" t="str">
            <v>0011E1</v>
          </cell>
          <cell r="G477">
            <v>121</v>
          </cell>
          <cell r="H477" t="str">
            <v>Childcare Match</v>
          </cell>
          <cell r="I477">
            <v>0</v>
          </cell>
          <cell r="J477">
            <v>0</v>
          </cell>
        </row>
        <row r="478">
          <cell r="A478" t="str">
            <v>25Students of Color</v>
          </cell>
          <cell r="B478">
            <v>6</v>
          </cell>
          <cell r="C478">
            <v>25</v>
          </cell>
          <cell r="D478" t="b">
            <v>1</v>
          </cell>
          <cell r="E478" t="str">
            <v>Bellingham</v>
          </cell>
          <cell r="F478" t="str">
            <v>001011</v>
          </cell>
          <cell r="G478">
            <v>122</v>
          </cell>
          <cell r="H478" t="str">
            <v>Students of Color</v>
          </cell>
          <cell r="I478">
            <v>13920</v>
          </cell>
          <cell r="J478">
            <v>0</v>
          </cell>
        </row>
        <row r="479">
          <cell r="A479" t="str">
            <v>25Annual Disability Accommod.</v>
          </cell>
          <cell r="B479">
            <v>6</v>
          </cell>
          <cell r="C479">
            <v>25</v>
          </cell>
          <cell r="D479" t="b">
            <v>1</v>
          </cell>
          <cell r="E479" t="str">
            <v>Bellingham</v>
          </cell>
          <cell r="F479" t="str">
            <v>001011</v>
          </cell>
          <cell r="G479">
            <v>123</v>
          </cell>
          <cell r="H479" t="str">
            <v>Annual Disability Accommod.</v>
          </cell>
          <cell r="I479">
            <v>27820</v>
          </cell>
          <cell r="J479">
            <v>0</v>
          </cell>
        </row>
        <row r="480">
          <cell r="A480" t="str">
            <v>25Qtrly Disability Accomm Reserves</v>
          </cell>
          <cell r="B480">
            <v>6</v>
          </cell>
          <cell r="C480">
            <v>25</v>
          </cell>
          <cell r="D480" t="b">
            <v>1</v>
          </cell>
          <cell r="E480" t="str">
            <v>Bellingham</v>
          </cell>
          <cell r="F480" t="str">
            <v>001011</v>
          </cell>
          <cell r="G480">
            <v>124</v>
          </cell>
          <cell r="H480" t="str">
            <v>Qtrly Disability Accomm Reserves</v>
          </cell>
          <cell r="I480">
            <v>0</v>
          </cell>
          <cell r="J480">
            <v>0</v>
          </cell>
        </row>
        <row r="481">
          <cell r="A481" t="str">
            <v>25Work-Based Learning</v>
          </cell>
          <cell r="B481">
            <v>6</v>
          </cell>
          <cell r="C481">
            <v>25</v>
          </cell>
          <cell r="D481" t="b">
            <v>1</v>
          </cell>
          <cell r="E481" t="str">
            <v>Bellingham</v>
          </cell>
          <cell r="F481" t="str">
            <v>001351</v>
          </cell>
          <cell r="G481">
            <v>130</v>
          </cell>
          <cell r="H481" t="str">
            <v>Work-Based Learning</v>
          </cell>
          <cell r="I481">
            <v>29412</v>
          </cell>
          <cell r="J481">
            <v>0</v>
          </cell>
        </row>
        <row r="482">
          <cell r="A482" t="str">
            <v>25Worker Retraining</v>
          </cell>
          <cell r="B482">
            <v>6</v>
          </cell>
          <cell r="C482">
            <v>25</v>
          </cell>
          <cell r="D482" t="b">
            <v>1</v>
          </cell>
          <cell r="E482" t="str">
            <v>Bellingham</v>
          </cell>
          <cell r="F482" t="str">
            <v>001231</v>
          </cell>
          <cell r="G482">
            <v>135</v>
          </cell>
          <cell r="H482" t="str">
            <v>Worker Retraining</v>
          </cell>
          <cell r="I482">
            <v>495653</v>
          </cell>
          <cell r="J482">
            <v>0</v>
          </cell>
        </row>
        <row r="483">
          <cell r="A483" t="str">
            <v>25High Demand Competitive</v>
          </cell>
          <cell r="B483">
            <v>6</v>
          </cell>
          <cell r="C483">
            <v>25</v>
          </cell>
          <cell r="D483" t="b">
            <v>1</v>
          </cell>
          <cell r="E483" t="str">
            <v>Bellingham</v>
          </cell>
          <cell r="F483" t="str">
            <v>0011H1</v>
          </cell>
          <cell r="G483">
            <v>137</v>
          </cell>
          <cell r="H483" t="str">
            <v>High Demand Competitive</v>
          </cell>
          <cell r="I483">
            <v>89550</v>
          </cell>
          <cell r="J483">
            <v>0</v>
          </cell>
        </row>
        <row r="484">
          <cell r="A484" t="str">
            <v>25WF Development Base</v>
          </cell>
          <cell r="B484">
            <v>6</v>
          </cell>
          <cell r="C484">
            <v>25</v>
          </cell>
          <cell r="D484" t="b">
            <v>1</v>
          </cell>
          <cell r="E484" t="str">
            <v>Bellingham</v>
          </cell>
          <cell r="F484" t="str">
            <v>001011</v>
          </cell>
          <cell r="G484">
            <v>140</v>
          </cell>
          <cell r="H484" t="str">
            <v>WF Development Base</v>
          </cell>
          <cell r="I484">
            <v>28800</v>
          </cell>
          <cell r="J484">
            <v>0</v>
          </cell>
        </row>
        <row r="485">
          <cell r="A485" t="str">
            <v>25WF Development Projects</v>
          </cell>
          <cell r="B485">
            <v>6</v>
          </cell>
          <cell r="C485">
            <v>25</v>
          </cell>
          <cell r="D485" t="b">
            <v>1</v>
          </cell>
          <cell r="E485" t="str">
            <v>Bellingham</v>
          </cell>
          <cell r="F485" t="str">
            <v>001011</v>
          </cell>
          <cell r="G485">
            <v>141</v>
          </cell>
          <cell r="H485" t="str">
            <v>WF Development Projects</v>
          </cell>
          <cell r="I485">
            <v>0</v>
          </cell>
          <cell r="J485">
            <v>0</v>
          </cell>
        </row>
        <row r="486">
          <cell r="A486" t="str">
            <v>25Apprenticeship</v>
          </cell>
          <cell r="B486">
            <v>6</v>
          </cell>
          <cell r="C486">
            <v>25</v>
          </cell>
          <cell r="D486" t="b">
            <v>1</v>
          </cell>
          <cell r="E486" t="str">
            <v>Bellingham</v>
          </cell>
          <cell r="F486" t="str">
            <v>001011</v>
          </cell>
          <cell r="G486">
            <v>145</v>
          </cell>
          <cell r="H486" t="str">
            <v>Apprenticeship</v>
          </cell>
          <cell r="I486">
            <v>32643</v>
          </cell>
          <cell r="J486">
            <v>0</v>
          </cell>
        </row>
        <row r="487">
          <cell r="A487" t="str">
            <v>25Rural/Community Development</v>
          </cell>
          <cell r="B487">
            <v>6</v>
          </cell>
          <cell r="C487">
            <v>25</v>
          </cell>
          <cell r="D487" t="b">
            <v>1</v>
          </cell>
          <cell r="E487" t="str">
            <v>Bellingham</v>
          </cell>
          <cell r="F487" t="str">
            <v>001311</v>
          </cell>
          <cell r="G487">
            <v>150</v>
          </cell>
          <cell r="H487" t="str">
            <v>Rural/Community Development</v>
          </cell>
          <cell r="I487">
            <v>60000</v>
          </cell>
          <cell r="J487">
            <v>0</v>
          </cell>
        </row>
        <row r="488">
          <cell r="A488" t="str">
            <v>25New Facilities Maint &amp; Ops</v>
          </cell>
          <cell r="B488">
            <v>6</v>
          </cell>
          <cell r="C488">
            <v>25</v>
          </cell>
          <cell r="D488" t="b">
            <v>1</v>
          </cell>
          <cell r="E488" t="str">
            <v>Bellingham</v>
          </cell>
          <cell r="F488" t="str">
            <v>001011</v>
          </cell>
          <cell r="G488">
            <v>160</v>
          </cell>
          <cell r="H488" t="str">
            <v>New Facilities Maint &amp; Ops</v>
          </cell>
          <cell r="I488">
            <v>230800</v>
          </cell>
          <cell r="J488">
            <v>0</v>
          </cell>
        </row>
        <row r="489">
          <cell r="A489" t="str">
            <v>25Building Maintenance Shift to Capital</v>
          </cell>
          <cell r="B489">
            <v>6</v>
          </cell>
          <cell r="C489">
            <v>25</v>
          </cell>
          <cell r="D489" t="b">
            <v>1</v>
          </cell>
          <cell r="E489" t="str">
            <v>Bellingham</v>
          </cell>
          <cell r="F489" t="str">
            <v>001011</v>
          </cell>
          <cell r="G489">
            <v>161</v>
          </cell>
          <cell r="H489" t="str">
            <v>Building Maintenance Shift to Capital</v>
          </cell>
          <cell r="I489">
            <v>-131500</v>
          </cell>
          <cell r="J489">
            <v>0</v>
          </cell>
        </row>
        <row r="490">
          <cell r="A490" t="str">
            <v>25UWT Technology Institute</v>
          </cell>
          <cell r="B490">
            <v>6</v>
          </cell>
          <cell r="C490">
            <v>25</v>
          </cell>
          <cell r="D490" t="b">
            <v>1</v>
          </cell>
          <cell r="E490" t="str">
            <v>Bellingham</v>
          </cell>
          <cell r="F490" t="str">
            <v>001331</v>
          </cell>
          <cell r="G490">
            <v>165</v>
          </cell>
          <cell r="H490" t="str">
            <v>UWT Technology Institute</v>
          </cell>
          <cell r="I490">
            <v>0</v>
          </cell>
          <cell r="J490">
            <v>0</v>
          </cell>
        </row>
        <row r="491">
          <cell r="A491" t="str">
            <v>25Labor Liaison Position</v>
          </cell>
          <cell r="B491">
            <v>6</v>
          </cell>
          <cell r="C491">
            <v>25</v>
          </cell>
          <cell r="D491" t="b">
            <v>1</v>
          </cell>
          <cell r="E491" t="str">
            <v>Bellingham</v>
          </cell>
          <cell r="F491" t="str">
            <v>001011</v>
          </cell>
          <cell r="G491">
            <v>220</v>
          </cell>
          <cell r="H491" t="str">
            <v>Labor Liaison Position</v>
          </cell>
          <cell r="I491">
            <v>-2100</v>
          </cell>
          <cell r="J491">
            <v>0</v>
          </cell>
        </row>
        <row r="492">
          <cell r="A492" t="str">
            <v>26Operations</v>
          </cell>
          <cell r="B492">
            <v>6</v>
          </cell>
          <cell r="C492">
            <v>26</v>
          </cell>
          <cell r="D492" t="b">
            <v>1</v>
          </cell>
          <cell r="E492" t="str">
            <v>Lake Washington</v>
          </cell>
          <cell r="F492" t="str">
            <v>001011</v>
          </cell>
          <cell r="G492">
            <v>100</v>
          </cell>
          <cell r="H492" t="str">
            <v>Operations</v>
          </cell>
          <cell r="I492">
            <v>9861869</v>
          </cell>
          <cell r="J492">
            <v>0</v>
          </cell>
        </row>
        <row r="493">
          <cell r="A493" t="str">
            <v>26Outcomes Assessment</v>
          </cell>
          <cell r="B493">
            <v>6</v>
          </cell>
          <cell r="C493">
            <v>26</v>
          </cell>
          <cell r="D493" t="b">
            <v>1</v>
          </cell>
          <cell r="E493" t="str">
            <v>Lake Washington</v>
          </cell>
          <cell r="F493" t="str">
            <v>001011</v>
          </cell>
          <cell r="G493">
            <v>110</v>
          </cell>
          <cell r="H493" t="str">
            <v>Outcomes Assessment</v>
          </cell>
          <cell r="I493">
            <v>54210</v>
          </cell>
          <cell r="J493">
            <v>0</v>
          </cell>
        </row>
        <row r="494">
          <cell r="A494" t="str">
            <v>26Part-time Faculty Salaries</v>
          </cell>
          <cell r="B494">
            <v>6</v>
          </cell>
          <cell r="C494">
            <v>26</v>
          </cell>
          <cell r="D494" t="b">
            <v>1</v>
          </cell>
          <cell r="E494" t="str">
            <v>Lake Washington</v>
          </cell>
          <cell r="F494" t="str">
            <v>001031</v>
          </cell>
          <cell r="G494">
            <v>111</v>
          </cell>
          <cell r="H494" t="str">
            <v>Part-time Faculty Salaries</v>
          </cell>
          <cell r="I494">
            <v>31700</v>
          </cell>
          <cell r="J494">
            <v>0</v>
          </cell>
        </row>
        <row r="495">
          <cell r="A495" t="str">
            <v>26Faculty Increments</v>
          </cell>
          <cell r="B495">
            <v>6</v>
          </cell>
          <cell r="C495">
            <v>26</v>
          </cell>
          <cell r="D495" t="b">
            <v>1</v>
          </cell>
          <cell r="E495" t="str">
            <v>Lake Washington</v>
          </cell>
          <cell r="F495" t="str">
            <v>001091</v>
          </cell>
          <cell r="G495">
            <v>112</v>
          </cell>
          <cell r="H495" t="str">
            <v>Faculty Increments</v>
          </cell>
          <cell r="I495">
            <v>19600</v>
          </cell>
          <cell r="J495">
            <v>0</v>
          </cell>
        </row>
        <row r="496">
          <cell r="A496" t="str">
            <v>26Childcare Program</v>
          </cell>
          <cell r="B496">
            <v>6</v>
          </cell>
          <cell r="C496">
            <v>26</v>
          </cell>
          <cell r="D496" t="b">
            <v>1</v>
          </cell>
          <cell r="E496" t="str">
            <v>Lake Washington</v>
          </cell>
          <cell r="F496" t="str">
            <v>001011</v>
          </cell>
          <cell r="G496">
            <v>120</v>
          </cell>
          <cell r="H496" t="str">
            <v>Childcare Program</v>
          </cell>
          <cell r="I496">
            <v>0</v>
          </cell>
          <cell r="J496">
            <v>0</v>
          </cell>
        </row>
        <row r="497">
          <cell r="A497" t="str">
            <v>26Childcare Match</v>
          </cell>
          <cell r="B497">
            <v>6</v>
          </cell>
          <cell r="C497">
            <v>26</v>
          </cell>
          <cell r="D497" t="b">
            <v>1</v>
          </cell>
          <cell r="E497" t="str">
            <v>Lake Washington</v>
          </cell>
          <cell r="F497" t="str">
            <v>0011E1</v>
          </cell>
          <cell r="G497">
            <v>121</v>
          </cell>
          <cell r="H497" t="str">
            <v>Childcare Match</v>
          </cell>
          <cell r="I497">
            <v>0</v>
          </cell>
          <cell r="J497">
            <v>0</v>
          </cell>
        </row>
        <row r="498">
          <cell r="A498" t="str">
            <v>26Students of Color</v>
          </cell>
          <cell r="B498">
            <v>6</v>
          </cell>
          <cell r="C498">
            <v>26</v>
          </cell>
          <cell r="D498" t="b">
            <v>1</v>
          </cell>
          <cell r="E498" t="str">
            <v>Lake Washington</v>
          </cell>
          <cell r="F498" t="str">
            <v>001011</v>
          </cell>
          <cell r="G498">
            <v>122</v>
          </cell>
          <cell r="H498" t="str">
            <v>Students of Color</v>
          </cell>
          <cell r="I498">
            <v>31650</v>
          </cell>
          <cell r="J498">
            <v>0</v>
          </cell>
        </row>
        <row r="499">
          <cell r="A499" t="str">
            <v>26Annual Disability Accommod.</v>
          </cell>
          <cell r="B499">
            <v>6</v>
          </cell>
          <cell r="C499">
            <v>26</v>
          </cell>
          <cell r="D499" t="b">
            <v>1</v>
          </cell>
          <cell r="E499" t="str">
            <v>Lake Washington</v>
          </cell>
          <cell r="F499" t="str">
            <v>001011</v>
          </cell>
          <cell r="G499">
            <v>123</v>
          </cell>
          <cell r="H499" t="str">
            <v>Annual Disability Accommod.</v>
          </cell>
          <cell r="I499">
            <v>25130</v>
          </cell>
          <cell r="J499">
            <v>0</v>
          </cell>
        </row>
        <row r="500">
          <cell r="A500" t="str">
            <v>26Qtrly Disability Accomm Reserves</v>
          </cell>
          <cell r="B500">
            <v>6</v>
          </cell>
          <cell r="C500">
            <v>26</v>
          </cell>
          <cell r="D500" t="b">
            <v>1</v>
          </cell>
          <cell r="E500" t="str">
            <v>Lake Washington</v>
          </cell>
          <cell r="F500" t="str">
            <v>001011</v>
          </cell>
          <cell r="G500">
            <v>124</v>
          </cell>
          <cell r="H500" t="str">
            <v>Qtrly Disability Accomm Reserves</v>
          </cell>
          <cell r="I500">
            <v>0</v>
          </cell>
          <cell r="J500">
            <v>0</v>
          </cell>
        </row>
        <row r="501">
          <cell r="A501" t="str">
            <v>26Work-Based Learning</v>
          </cell>
          <cell r="B501">
            <v>6</v>
          </cell>
          <cell r="C501">
            <v>26</v>
          </cell>
          <cell r="D501" t="b">
            <v>1</v>
          </cell>
          <cell r="E501" t="str">
            <v>Lake Washington</v>
          </cell>
          <cell r="F501" t="str">
            <v>001351</v>
          </cell>
          <cell r="G501">
            <v>130</v>
          </cell>
          <cell r="H501" t="str">
            <v>Work-Based Learning</v>
          </cell>
          <cell r="I501">
            <v>29412</v>
          </cell>
          <cell r="J501">
            <v>0</v>
          </cell>
        </row>
        <row r="502">
          <cell r="A502" t="str">
            <v>26Worker Retraining</v>
          </cell>
          <cell r="B502">
            <v>6</v>
          </cell>
          <cell r="C502">
            <v>26</v>
          </cell>
          <cell r="D502" t="b">
            <v>1</v>
          </cell>
          <cell r="E502" t="str">
            <v>Lake Washington</v>
          </cell>
          <cell r="F502" t="str">
            <v>001231</v>
          </cell>
          <cell r="G502">
            <v>135</v>
          </cell>
          <cell r="H502" t="str">
            <v>Worker Retraining</v>
          </cell>
          <cell r="I502">
            <v>841743</v>
          </cell>
          <cell r="J502">
            <v>0</v>
          </cell>
        </row>
        <row r="503">
          <cell r="A503" t="str">
            <v>26WF Development Base</v>
          </cell>
          <cell r="B503">
            <v>6</v>
          </cell>
          <cell r="C503">
            <v>26</v>
          </cell>
          <cell r="D503" t="b">
            <v>1</v>
          </cell>
          <cell r="E503" t="str">
            <v>Lake Washington</v>
          </cell>
          <cell r="F503" t="str">
            <v>001011</v>
          </cell>
          <cell r="G503">
            <v>140</v>
          </cell>
          <cell r="H503" t="str">
            <v>WF Development Base</v>
          </cell>
          <cell r="I503">
            <v>28800</v>
          </cell>
          <cell r="J503">
            <v>0</v>
          </cell>
        </row>
        <row r="504">
          <cell r="A504" t="str">
            <v>26WF Development Projects</v>
          </cell>
          <cell r="B504">
            <v>6</v>
          </cell>
          <cell r="C504">
            <v>26</v>
          </cell>
          <cell r="D504" t="b">
            <v>1</v>
          </cell>
          <cell r="E504" t="str">
            <v>Lake Washington</v>
          </cell>
          <cell r="F504" t="str">
            <v>001011</v>
          </cell>
          <cell r="G504">
            <v>141</v>
          </cell>
          <cell r="H504" t="str">
            <v>WF Development Projects</v>
          </cell>
          <cell r="I504">
            <v>0</v>
          </cell>
          <cell r="J504">
            <v>0</v>
          </cell>
        </row>
        <row r="505">
          <cell r="A505" t="str">
            <v>26Apprenticeship</v>
          </cell>
          <cell r="B505">
            <v>6</v>
          </cell>
          <cell r="C505">
            <v>26</v>
          </cell>
          <cell r="D505" t="b">
            <v>1</v>
          </cell>
          <cell r="E505" t="str">
            <v>Lake Washington</v>
          </cell>
          <cell r="F505" t="str">
            <v>001011</v>
          </cell>
          <cell r="G505">
            <v>145</v>
          </cell>
          <cell r="H505" t="str">
            <v>Apprenticeship</v>
          </cell>
          <cell r="I505">
            <v>29016</v>
          </cell>
          <cell r="J505">
            <v>0</v>
          </cell>
        </row>
        <row r="506">
          <cell r="A506" t="str">
            <v>26Rural/Community Development</v>
          </cell>
          <cell r="B506">
            <v>6</v>
          </cell>
          <cell r="C506">
            <v>26</v>
          </cell>
          <cell r="D506" t="b">
            <v>1</v>
          </cell>
          <cell r="E506" t="str">
            <v>Lake Washington</v>
          </cell>
          <cell r="F506" t="str">
            <v>001311</v>
          </cell>
          <cell r="G506">
            <v>150</v>
          </cell>
          <cell r="H506" t="str">
            <v>Rural/Community Development</v>
          </cell>
          <cell r="I506">
            <v>0</v>
          </cell>
          <cell r="J506">
            <v>0</v>
          </cell>
        </row>
        <row r="507">
          <cell r="A507" t="str">
            <v>26New Facilities Maint &amp; Ops</v>
          </cell>
          <cell r="B507">
            <v>6</v>
          </cell>
          <cell r="C507">
            <v>26</v>
          </cell>
          <cell r="D507" t="b">
            <v>1</v>
          </cell>
          <cell r="E507" t="str">
            <v>Lake Washington</v>
          </cell>
          <cell r="F507" t="str">
            <v>001011</v>
          </cell>
          <cell r="G507">
            <v>160</v>
          </cell>
          <cell r="H507" t="str">
            <v>New Facilities Maint &amp; Ops</v>
          </cell>
          <cell r="I507">
            <v>0</v>
          </cell>
          <cell r="J507">
            <v>0</v>
          </cell>
        </row>
        <row r="508">
          <cell r="A508" t="str">
            <v>26Building Maintenance Shift to Capital</v>
          </cell>
          <cell r="B508">
            <v>6</v>
          </cell>
          <cell r="C508">
            <v>26</v>
          </cell>
          <cell r="D508" t="b">
            <v>1</v>
          </cell>
          <cell r="E508" t="str">
            <v>Lake Washington</v>
          </cell>
          <cell r="F508" t="str">
            <v>001011</v>
          </cell>
          <cell r="G508">
            <v>161</v>
          </cell>
          <cell r="H508" t="str">
            <v>Building Maintenance Shift to Capital</v>
          </cell>
          <cell r="I508">
            <v>-162700</v>
          </cell>
          <cell r="J508">
            <v>0</v>
          </cell>
        </row>
        <row r="509">
          <cell r="A509" t="str">
            <v>26UWT Technology Institute</v>
          </cell>
          <cell r="B509">
            <v>6</v>
          </cell>
          <cell r="C509">
            <v>26</v>
          </cell>
          <cell r="D509" t="b">
            <v>1</v>
          </cell>
          <cell r="E509" t="str">
            <v>Lake Washington</v>
          </cell>
          <cell r="F509" t="str">
            <v>001331</v>
          </cell>
          <cell r="G509">
            <v>165</v>
          </cell>
          <cell r="H509" t="str">
            <v>UWT Technology Institute</v>
          </cell>
          <cell r="I509">
            <v>0</v>
          </cell>
          <cell r="J509">
            <v>0</v>
          </cell>
        </row>
        <row r="510">
          <cell r="A510" t="str">
            <v>26Labor Liaison Position</v>
          </cell>
          <cell r="B510">
            <v>6</v>
          </cell>
          <cell r="C510">
            <v>26</v>
          </cell>
          <cell r="D510" t="b">
            <v>1</v>
          </cell>
          <cell r="E510" t="str">
            <v>Lake Washington</v>
          </cell>
          <cell r="F510" t="str">
            <v>001011</v>
          </cell>
          <cell r="G510">
            <v>220</v>
          </cell>
          <cell r="H510" t="str">
            <v>Labor Liaison Position</v>
          </cell>
          <cell r="I510">
            <v>-3500</v>
          </cell>
          <cell r="J510">
            <v>0</v>
          </cell>
        </row>
        <row r="511">
          <cell r="A511" t="str">
            <v>27Operations</v>
          </cell>
          <cell r="B511">
            <v>6</v>
          </cell>
          <cell r="C511">
            <v>27</v>
          </cell>
          <cell r="D511" t="b">
            <v>1</v>
          </cell>
          <cell r="E511" t="str">
            <v>Renton</v>
          </cell>
          <cell r="F511" t="str">
            <v>001011</v>
          </cell>
          <cell r="G511">
            <v>100</v>
          </cell>
          <cell r="H511" t="str">
            <v>Operations</v>
          </cell>
          <cell r="I511">
            <v>12066225</v>
          </cell>
          <cell r="J511">
            <v>0</v>
          </cell>
        </row>
        <row r="512">
          <cell r="A512" t="str">
            <v>27Outcomes Assessment</v>
          </cell>
          <cell r="B512">
            <v>6</v>
          </cell>
          <cell r="C512">
            <v>27</v>
          </cell>
          <cell r="D512" t="b">
            <v>1</v>
          </cell>
          <cell r="E512" t="str">
            <v>Renton</v>
          </cell>
          <cell r="F512" t="str">
            <v>001011</v>
          </cell>
          <cell r="G512">
            <v>110</v>
          </cell>
          <cell r="H512" t="str">
            <v>Outcomes Assessment</v>
          </cell>
          <cell r="I512">
            <v>54210</v>
          </cell>
          <cell r="J512">
            <v>0</v>
          </cell>
        </row>
        <row r="513">
          <cell r="A513" t="str">
            <v>27Part-time Faculty Salaries</v>
          </cell>
          <cell r="B513">
            <v>6</v>
          </cell>
          <cell r="C513">
            <v>27</v>
          </cell>
          <cell r="D513" t="b">
            <v>1</v>
          </cell>
          <cell r="E513" t="str">
            <v>Renton</v>
          </cell>
          <cell r="F513" t="str">
            <v>001031</v>
          </cell>
          <cell r="G513">
            <v>111</v>
          </cell>
          <cell r="H513" t="str">
            <v>Part-time Faculty Salaries</v>
          </cell>
          <cell r="I513">
            <v>18700</v>
          </cell>
          <cell r="J513">
            <v>0</v>
          </cell>
        </row>
        <row r="514">
          <cell r="A514" t="str">
            <v>27Faculty Increments</v>
          </cell>
          <cell r="B514">
            <v>6</v>
          </cell>
          <cell r="C514">
            <v>27</v>
          </cell>
          <cell r="D514" t="b">
            <v>1</v>
          </cell>
          <cell r="E514" t="str">
            <v>Renton</v>
          </cell>
          <cell r="F514" t="str">
            <v>001091</v>
          </cell>
          <cell r="G514">
            <v>112</v>
          </cell>
          <cell r="H514" t="str">
            <v>Faculty Increments</v>
          </cell>
          <cell r="I514">
            <v>35800</v>
          </cell>
          <cell r="J514">
            <v>0</v>
          </cell>
        </row>
        <row r="515">
          <cell r="A515" t="str">
            <v>27Childcare Program</v>
          </cell>
          <cell r="B515">
            <v>6</v>
          </cell>
          <cell r="C515">
            <v>27</v>
          </cell>
          <cell r="D515" t="b">
            <v>1</v>
          </cell>
          <cell r="E515" t="str">
            <v>Renton</v>
          </cell>
          <cell r="F515" t="str">
            <v>001011</v>
          </cell>
          <cell r="G515">
            <v>120</v>
          </cell>
          <cell r="H515" t="str">
            <v>Childcare Program</v>
          </cell>
          <cell r="I515">
            <v>0</v>
          </cell>
          <cell r="J515">
            <v>0</v>
          </cell>
        </row>
        <row r="516">
          <cell r="A516" t="str">
            <v>27Childcare Match</v>
          </cell>
          <cell r="B516">
            <v>6</v>
          </cell>
          <cell r="C516">
            <v>27</v>
          </cell>
          <cell r="D516" t="b">
            <v>1</v>
          </cell>
          <cell r="E516" t="str">
            <v>Renton</v>
          </cell>
          <cell r="F516" t="str">
            <v>0011E1</v>
          </cell>
          <cell r="G516">
            <v>121</v>
          </cell>
          <cell r="H516" t="str">
            <v>Childcare Match</v>
          </cell>
          <cell r="I516">
            <v>0</v>
          </cell>
          <cell r="J516">
            <v>0</v>
          </cell>
        </row>
        <row r="517">
          <cell r="A517" t="str">
            <v>27Students of Color</v>
          </cell>
          <cell r="B517">
            <v>6</v>
          </cell>
          <cell r="C517">
            <v>27</v>
          </cell>
          <cell r="D517" t="b">
            <v>1</v>
          </cell>
          <cell r="E517" t="str">
            <v>Renton</v>
          </cell>
          <cell r="F517" t="str">
            <v>001011</v>
          </cell>
          <cell r="G517">
            <v>122</v>
          </cell>
          <cell r="H517" t="str">
            <v>Students of Color</v>
          </cell>
          <cell r="I517">
            <v>35780</v>
          </cell>
          <cell r="J517">
            <v>0</v>
          </cell>
        </row>
        <row r="518">
          <cell r="A518" t="str">
            <v>27Annual Disability Accommod.</v>
          </cell>
          <cell r="B518">
            <v>6</v>
          </cell>
          <cell r="C518">
            <v>27</v>
          </cell>
          <cell r="D518" t="b">
            <v>1</v>
          </cell>
          <cell r="E518" t="str">
            <v>Renton</v>
          </cell>
          <cell r="F518" t="str">
            <v>001011</v>
          </cell>
          <cell r="G518">
            <v>123</v>
          </cell>
          <cell r="H518" t="str">
            <v>Annual Disability Accommod.</v>
          </cell>
          <cell r="I518">
            <v>19330</v>
          </cell>
          <cell r="J518">
            <v>0</v>
          </cell>
        </row>
        <row r="519">
          <cell r="A519" t="str">
            <v>27Qtrly Disability Accomm Reserves</v>
          </cell>
          <cell r="B519">
            <v>6</v>
          </cell>
          <cell r="C519">
            <v>27</v>
          </cell>
          <cell r="D519" t="b">
            <v>1</v>
          </cell>
          <cell r="E519" t="str">
            <v>Renton</v>
          </cell>
          <cell r="F519" t="str">
            <v>001011</v>
          </cell>
          <cell r="G519">
            <v>124</v>
          </cell>
          <cell r="H519" t="str">
            <v>Qtrly Disability Accomm Reserves</v>
          </cell>
          <cell r="I519">
            <v>0</v>
          </cell>
          <cell r="J519">
            <v>0</v>
          </cell>
        </row>
        <row r="520">
          <cell r="A520" t="str">
            <v>27Work-Based Learning</v>
          </cell>
          <cell r="B520">
            <v>6</v>
          </cell>
          <cell r="C520">
            <v>27</v>
          </cell>
          <cell r="D520" t="b">
            <v>1</v>
          </cell>
          <cell r="E520" t="str">
            <v>Renton</v>
          </cell>
          <cell r="F520" t="str">
            <v>001351</v>
          </cell>
          <cell r="G520">
            <v>130</v>
          </cell>
          <cell r="H520" t="str">
            <v>Work-Based Learning</v>
          </cell>
          <cell r="I520">
            <v>29412</v>
          </cell>
          <cell r="J520">
            <v>0</v>
          </cell>
        </row>
        <row r="521">
          <cell r="A521" t="str">
            <v>27Worker Retraining</v>
          </cell>
          <cell r="B521">
            <v>6</v>
          </cell>
          <cell r="C521">
            <v>27</v>
          </cell>
          <cell r="D521" t="b">
            <v>1</v>
          </cell>
          <cell r="E521" t="str">
            <v>Renton</v>
          </cell>
          <cell r="F521" t="str">
            <v>001231</v>
          </cell>
          <cell r="G521">
            <v>135</v>
          </cell>
          <cell r="H521" t="str">
            <v>Worker Retraining</v>
          </cell>
          <cell r="I521">
            <v>1321287</v>
          </cell>
          <cell r="J521">
            <v>0</v>
          </cell>
        </row>
        <row r="522">
          <cell r="A522" t="str">
            <v>27WF Development Base</v>
          </cell>
          <cell r="B522">
            <v>6</v>
          </cell>
          <cell r="C522">
            <v>27</v>
          </cell>
          <cell r="D522" t="b">
            <v>1</v>
          </cell>
          <cell r="E522" t="str">
            <v>Renton</v>
          </cell>
          <cell r="F522" t="str">
            <v>001011</v>
          </cell>
          <cell r="G522">
            <v>140</v>
          </cell>
          <cell r="H522" t="str">
            <v>WF Development Base</v>
          </cell>
          <cell r="I522">
            <v>28800</v>
          </cell>
          <cell r="J522">
            <v>0</v>
          </cell>
        </row>
        <row r="523">
          <cell r="A523" t="str">
            <v>27WF Development Projects</v>
          </cell>
          <cell r="B523">
            <v>6</v>
          </cell>
          <cell r="C523">
            <v>27</v>
          </cell>
          <cell r="D523" t="b">
            <v>1</v>
          </cell>
          <cell r="E523" t="str">
            <v>Renton</v>
          </cell>
          <cell r="F523" t="str">
            <v>001011</v>
          </cell>
          <cell r="G523">
            <v>141</v>
          </cell>
          <cell r="H523" t="str">
            <v>WF Development Projects</v>
          </cell>
          <cell r="I523">
            <v>129221</v>
          </cell>
          <cell r="J523">
            <v>0</v>
          </cell>
        </row>
        <row r="524">
          <cell r="A524" t="str">
            <v>27Apprenticeship</v>
          </cell>
          <cell r="B524">
            <v>6</v>
          </cell>
          <cell r="C524">
            <v>27</v>
          </cell>
          <cell r="D524" t="b">
            <v>1</v>
          </cell>
          <cell r="E524" t="str">
            <v>Renton</v>
          </cell>
          <cell r="F524" t="str">
            <v>001011</v>
          </cell>
          <cell r="G524">
            <v>145</v>
          </cell>
          <cell r="H524" t="str">
            <v>Apprenticeship</v>
          </cell>
          <cell r="I524">
            <v>159588</v>
          </cell>
          <cell r="J524">
            <v>0</v>
          </cell>
        </row>
        <row r="525">
          <cell r="A525" t="str">
            <v>27Rural/Community Development</v>
          </cell>
          <cell r="B525">
            <v>6</v>
          </cell>
          <cell r="C525">
            <v>27</v>
          </cell>
          <cell r="D525" t="b">
            <v>1</v>
          </cell>
          <cell r="E525" t="str">
            <v>Renton</v>
          </cell>
          <cell r="F525" t="str">
            <v>001311</v>
          </cell>
          <cell r="G525">
            <v>150</v>
          </cell>
          <cell r="H525" t="str">
            <v>Rural/Community Development</v>
          </cell>
          <cell r="I525">
            <v>0</v>
          </cell>
          <cell r="J525">
            <v>0</v>
          </cell>
        </row>
        <row r="526">
          <cell r="A526" t="str">
            <v>27New Facilities Maint &amp; Ops</v>
          </cell>
          <cell r="B526">
            <v>6</v>
          </cell>
          <cell r="C526">
            <v>27</v>
          </cell>
          <cell r="D526" t="b">
            <v>1</v>
          </cell>
          <cell r="E526" t="str">
            <v>Renton</v>
          </cell>
          <cell r="F526" t="str">
            <v>001011</v>
          </cell>
          <cell r="G526">
            <v>160</v>
          </cell>
          <cell r="H526" t="str">
            <v>New Facilities Maint &amp; Ops</v>
          </cell>
          <cell r="I526">
            <v>357000</v>
          </cell>
          <cell r="J526">
            <v>0</v>
          </cell>
        </row>
        <row r="527">
          <cell r="A527" t="str">
            <v>27Building Maintenance Shift to Capital</v>
          </cell>
          <cell r="B527">
            <v>6</v>
          </cell>
          <cell r="C527">
            <v>27</v>
          </cell>
          <cell r="D527" t="b">
            <v>1</v>
          </cell>
          <cell r="E527" t="str">
            <v>Renton</v>
          </cell>
          <cell r="F527" t="str">
            <v>001011</v>
          </cell>
          <cell r="G527">
            <v>161</v>
          </cell>
          <cell r="H527" t="str">
            <v>Building Maintenance Shift to Capital</v>
          </cell>
          <cell r="I527">
            <v>-251900</v>
          </cell>
          <cell r="J527">
            <v>0</v>
          </cell>
        </row>
        <row r="528">
          <cell r="A528" t="str">
            <v>27UWT Technology Institute</v>
          </cell>
          <cell r="B528">
            <v>6</v>
          </cell>
          <cell r="C528">
            <v>27</v>
          </cell>
          <cell r="D528" t="b">
            <v>1</v>
          </cell>
          <cell r="E528" t="str">
            <v>Renton</v>
          </cell>
          <cell r="F528" t="str">
            <v>001331</v>
          </cell>
          <cell r="G528">
            <v>165</v>
          </cell>
          <cell r="H528" t="str">
            <v>UWT Technology Institute</v>
          </cell>
          <cell r="I528">
            <v>0</v>
          </cell>
          <cell r="J528">
            <v>0</v>
          </cell>
        </row>
        <row r="529">
          <cell r="A529" t="str">
            <v>27Labor Liaison Position</v>
          </cell>
          <cell r="B529">
            <v>6</v>
          </cell>
          <cell r="C529">
            <v>27</v>
          </cell>
          <cell r="D529" t="b">
            <v>1</v>
          </cell>
          <cell r="E529" t="str">
            <v>Renton</v>
          </cell>
          <cell r="F529" t="str">
            <v>001011</v>
          </cell>
          <cell r="G529">
            <v>220</v>
          </cell>
          <cell r="H529" t="str">
            <v>Labor Liaison Position</v>
          </cell>
          <cell r="I529">
            <v>-3500</v>
          </cell>
          <cell r="J529">
            <v>0</v>
          </cell>
        </row>
        <row r="530">
          <cell r="A530" t="str">
            <v>28Operations</v>
          </cell>
          <cell r="B530">
            <v>6</v>
          </cell>
          <cell r="C530">
            <v>28</v>
          </cell>
          <cell r="D530" t="b">
            <v>1</v>
          </cell>
          <cell r="E530" t="str">
            <v>Bates</v>
          </cell>
          <cell r="F530" t="str">
            <v>001011</v>
          </cell>
          <cell r="G530">
            <v>100</v>
          </cell>
          <cell r="H530" t="str">
            <v>Operations</v>
          </cell>
          <cell r="I530">
            <v>15505632</v>
          </cell>
          <cell r="J530">
            <v>0</v>
          </cell>
        </row>
        <row r="531">
          <cell r="A531" t="str">
            <v>28Outcomes Assessment</v>
          </cell>
          <cell r="B531">
            <v>6</v>
          </cell>
          <cell r="C531">
            <v>28</v>
          </cell>
          <cell r="D531" t="b">
            <v>1</v>
          </cell>
          <cell r="E531" t="str">
            <v>Bates</v>
          </cell>
          <cell r="F531" t="str">
            <v>001011</v>
          </cell>
          <cell r="G531">
            <v>110</v>
          </cell>
          <cell r="H531" t="str">
            <v>Outcomes Assessment</v>
          </cell>
          <cell r="I531">
            <v>54210</v>
          </cell>
          <cell r="J531">
            <v>0</v>
          </cell>
        </row>
        <row r="532">
          <cell r="A532" t="str">
            <v>28Part-time Faculty Salaries</v>
          </cell>
          <cell r="B532">
            <v>6</v>
          </cell>
          <cell r="C532">
            <v>28</v>
          </cell>
          <cell r="D532" t="b">
            <v>1</v>
          </cell>
          <cell r="E532" t="str">
            <v>Bates</v>
          </cell>
          <cell r="F532" t="str">
            <v>001031</v>
          </cell>
          <cell r="G532">
            <v>111</v>
          </cell>
          <cell r="H532" t="str">
            <v>Part-time Faculty Salaries</v>
          </cell>
          <cell r="I532">
            <v>0</v>
          </cell>
          <cell r="J532">
            <v>0</v>
          </cell>
        </row>
        <row r="533">
          <cell r="A533" t="str">
            <v>28Faculty Increments</v>
          </cell>
          <cell r="B533">
            <v>6</v>
          </cell>
          <cell r="C533">
            <v>28</v>
          </cell>
          <cell r="D533" t="b">
            <v>1</v>
          </cell>
          <cell r="E533" t="str">
            <v>Bates</v>
          </cell>
          <cell r="F533" t="str">
            <v>001091</v>
          </cell>
          <cell r="G533">
            <v>112</v>
          </cell>
          <cell r="H533" t="str">
            <v>Faculty Increments</v>
          </cell>
          <cell r="I533">
            <v>46600</v>
          </cell>
          <cell r="J533">
            <v>0</v>
          </cell>
        </row>
        <row r="534">
          <cell r="A534" t="str">
            <v>28Childcare Program</v>
          </cell>
          <cell r="B534">
            <v>6</v>
          </cell>
          <cell r="C534">
            <v>28</v>
          </cell>
          <cell r="D534" t="b">
            <v>1</v>
          </cell>
          <cell r="E534" t="str">
            <v>Bates</v>
          </cell>
          <cell r="F534" t="str">
            <v>001011</v>
          </cell>
          <cell r="G534">
            <v>120</v>
          </cell>
          <cell r="H534" t="str">
            <v>Childcare Program</v>
          </cell>
          <cell r="I534">
            <v>0</v>
          </cell>
          <cell r="J534">
            <v>0</v>
          </cell>
        </row>
        <row r="535">
          <cell r="A535" t="str">
            <v>28Childcare Match</v>
          </cell>
          <cell r="B535">
            <v>6</v>
          </cell>
          <cell r="C535">
            <v>28</v>
          </cell>
          <cell r="D535" t="b">
            <v>1</v>
          </cell>
          <cell r="E535" t="str">
            <v>Bates</v>
          </cell>
          <cell r="F535" t="str">
            <v>0011E1</v>
          </cell>
          <cell r="G535">
            <v>121</v>
          </cell>
          <cell r="H535" t="str">
            <v>Childcare Match</v>
          </cell>
          <cell r="I535">
            <v>0</v>
          </cell>
          <cell r="J535">
            <v>9875</v>
          </cell>
        </row>
        <row r="536">
          <cell r="A536" t="str">
            <v>28Students of Color</v>
          </cell>
          <cell r="B536">
            <v>6</v>
          </cell>
          <cell r="C536">
            <v>28</v>
          </cell>
          <cell r="D536" t="b">
            <v>1</v>
          </cell>
          <cell r="E536" t="str">
            <v>Bates</v>
          </cell>
          <cell r="F536" t="str">
            <v>001011</v>
          </cell>
          <cell r="G536">
            <v>122</v>
          </cell>
          <cell r="H536" t="str">
            <v>Students of Color</v>
          </cell>
          <cell r="I536">
            <v>24970</v>
          </cell>
          <cell r="J536">
            <v>0</v>
          </cell>
        </row>
        <row r="537">
          <cell r="A537" t="str">
            <v>28Annual Disability Accommod.</v>
          </cell>
          <cell r="B537">
            <v>6</v>
          </cell>
          <cell r="C537">
            <v>28</v>
          </cell>
          <cell r="D537" t="b">
            <v>1</v>
          </cell>
          <cell r="E537" t="str">
            <v>Bates</v>
          </cell>
          <cell r="F537" t="str">
            <v>001011</v>
          </cell>
          <cell r="G537">
            <v>123</v>
          </cell>
          <cell r="H537" t="str">
            <v>Annual Disability Accommod.</v>
          </cell>
          <cell r="I537">
            <v>45350</v>
          </cell>
          <cell r="J537">
            <v>0</v>
          </cell>
        </row>
        <row r="538">
          <cell r="A538" t="str">
            <v>28Qtrly Disability Accomm Reserves</v>
          </cell>
          <cell r="B538">
            <v>6</v>
          </cell>
          <cell r="C538">
            <v>28</v>
          </cell>
          <cell r="D538" t="b">
            <v>1</v>
          </cell>
          <cell r="E538" t="str">
            <v>Bates</v>
          </cell>
          <cell r="F538" t="str">
            <v>001011</v>
          </cell>
          <cell r="G538">
            <v>124</v>
          </cell>
          <cell r="H538" t="str">
            <v>Qtrly Disability Accomm Reserves</v>
          </cell>
          <cell r="I538">
            <v>0</v>
          </cell>
          <cell r="J538">
            <v>0</v>
          </cell>
        </row>
        <row r="539">
          <cell r="A539" t="str">
            <v>28Work-Based Learning</v>
          </cell>
          <cell r="B539">
            <v>6</v>
          </cell>
          <cell r="C539">
            <v>28</v>
          </cell>
          <cell r="D539" t="b">
            <v>1</v>
          </cell>
          <cell r="E539" t="str">
            <v>Bates</v>
          </cell>
          <cell r="F539" t="str">
            <v>001351</v>
          </cell>
          <cell r="G539">
            <v>130</v>
          </cell>
          <cell r="H539" t="str">
            <v>Work-Based Learning</v>
          </cell>
          <cell r="I539">
            <v>29412</v>
          </cell>
          <cell r="J539">
            <v>0</v>
          </cell>
        </row>
        <row r="540">
          <cell r="A540" t="str">
            <v>28Worker Retraining</v>
          </cell>
          <cell r="B540">
            <v>6</v>
          </cell>
          <cell r="C540">
            <v>28</v>
          </cell>
          <cell r="D540" t="b">
            <v>1</v>
          </cell>
          <cell r="E540" t="str">
            <v>Bates</v>
          </cell>
          <cell r="F540" t="str">
            <v>001231</v>
          </cell>
          <cell r="G540">
            <v>135</v>
          </cell>
          <cell r="H540" t="str">
            <v>Worker Retraining</v>
          </cell>
          <cell r="I540">
            <v>1484742</v>
          </cell>
          <cell r="J540">
            <v>0</v>
          </cell>
        </row>
        <row r="541">
          <cell r="A541" t="str">
            <v>28WF Development Base</v>
          </cell>
          <cell r="B541">
            <v>6</v>
          </cell>
          <cell r="C541">
            <v>28</v>
          </cell>
          <cell r="D541" t="b">
            <v>1</v>
          </cell>
          <cell r="E541" t="str">
            <v>Bates</v>
          </cell>
          <cell r="F541" t="str">
            <v>001011</v>
          </cell>
          <cell r="G541">
            <v>140</v>
          </cell>
          <cell r="H541" t="str">
            <v>WF Development Base</v>
          </cell>
          <cell r="I541">
            <v>28800</v>
          </cell>
          <cell r="J541">
            <v>0</v>
          </cell>
        </row>
        <row r="542">
          <cell r="A542" t="str">
            <v>28WF Development Projects</v>
          </cell>
          <cell r="B542">
            <v>6</v>
          </cell>
          <cell r="C542">
            <v>28</v>
          </cell>
          <cell r="D542" t="b">
            <v>1</v>
          </cell>
          <cell r="E542" t="str">
            <v>Bates</v>
          </cell>
          <cell r="F542" t="str">
            <v>001011</v>
          </cell>
          <cell r="G542">
            <v>141</v>
          </cell>
          <cell r="H542" t="str">
            <v>WF Development Projects</v>
          </cell>
          <cell r="I542">
            <v>129221</v>
          </cell>
          <cell r="J542">
            <v>0</v>
          </cell>
        </row>
        <row r="543">
          <cell r="A543" t="str">
            <v>28Apprenticeship</v>
          </cell>
          <cell r="B543">
            <v>6</v>
          </cell>
          <cell r="C543">
            <v>28</v>
          </cell>
          <cell r="D543" t="b">
            <v>1</v>
          </cell>
          <cell r="E543" t="str">
            <v>Bates</v>
          </cell>
          <cell r="F543" t="str">
            <v>001011</v>
          </cell>
          <cell r="G543">
            <v>145</v>
          </cell>
          <cell r="H543" t="str">
            <v>Apprenticeship</v>
          </cell>
          <cell r="I543">
            <v>116064</v>
          </cell>
          <cell r="J543">
            <v>0</v>
          </cell>
        </row>
        <row r="544">
          <cell r="A544" t="str">
            <v>28Rural/Community Development</v>
          </cell>
          <cell r="B544">
            <v>6</v>
          </cell>
          <cell r="C544">
            <v>28</v>
          </cell>
          <cell r="D544" t="b">
            <v>1</v>
          </cell>
          <cell r="E544" t="str">
            <v>Bates</v>
          </cell>
          <cell r="F544" t="str">
            <v>001311</v>
          </cell>
          <cell r="G544">
            <v>150</v>
          </cell>
          <cell r="H544" t="str">
            <v>Rural/Community Development</v>
          </cell>
          <cell r="I544">
            <v>0</v>
          </cell>
          <cell r="J544">
            <v>0</v>
          </cell>
        </row>
        <row r="545">
          <cell r="A545" t="str">
            <v>28New Facilities Maint &amp; Ops</v>
          </cell>
          <cell r="B545">
            <v>6</v>
          </cell>
          <cell r="C545">
            <v>28</v>
          </cell>
          <cell r="D545" t="b">
            <v>1</v>
          </cell>
          <cell r="E545" t="str">
            <v>Bates</v>
          </cell>
          <cell r="F545" t="str">
            <v>001011</v>
          </cell>
          <cell r="G545">
            <v>160</v>
          </cell>
          <cell r="H545" t="str">
            <v>New Facilities Maint &amp; Ops</v>
          </cell>
          <cell r="I545">
            <v>0</v>
          </cell>
          <cell r="J545">
            <v>0</v>
          </cell>
        </row>
        <row r="546">
          <cell r="A546" t="str">
            <v>28Building Maintenance Shift to Capital</v>
          </cell>
          <cell r="B546">
            <v>6</v>
          </cell>
          <cell r="C546">
            <v>28</v>
          </cell>
          <cell r="D546" t="b">
            <v>1</v>
          </cell>
          <cell r="E546" t="str">
            <v>Bates</v>
          </cell>
          <cell r="F546" t="str">
            <v>001011</v>
          </cell>
          <cell r="G546">
            <v>161</v>
          </cell>
          <cell r="H546" t="str">
            <v>Building Maintenance Shift to Capital</v>
          </cell>
          <cell r="I546">
            <v>-355200</v>
          </cell>
          <cell r="J546">
            <v>0</v>
          </cell>
        </row>
        <row r="547">
          <cell r="A547" t="str">
            <v>28UWT Technology Institute</v>
          </cell>
          <cell r="B547">
            <v>6</v>
          </cell>
          <cell r="C547">
            <v>28</v>
          </cell>
          <cell r="D547" t="b">
            <v>1</v>
          </cell>
          <cell r="E547" t="str">
            <v>Bates</v>
          </cell>
          <cell r="F547" t="str">
            <v>001331</v>
          </cell>
          <cell r="G547">
            <v>165</v>
          </cell>
          <cell r="H547" t="str">
            <v>UWT Technology Institute</v>
          </cell>
          <cell r="I547">
            <v>39000</v>
          </cell>
          <cell r="J547">
            <v>0</v>
          </cell>
        </row>
        <row r="548">
          <cell r="A548" t="str">
            <v>28Labor Liaison Position</v>
          </cell>
          <cell r="B548">
            <v>6</v>
          </cell>
          <cell r="C548">
            <v>28</v>
          </cell>
          <cell r="D548" t="b">
            <v>1</v>
          </cell>
          <cell r="E548" t="str">
            <v>Bates</v>
          </cell>
          <cell r="F548" t="str">
            <v>001011</v>
          </cell>
          <cell r="G548">
            <v>220</v>
          </cell>
          <cell r="H548" t="str">
            <v>Labor Liaison Position</v>
          </cell>
          <cell r="I548">
            <v>-2100</v>
          </cell>
          <cell r="J548">
            <v>0</v>
          </cell>
        </row>
        <row r="549">
          <cell r="A549" t="str">
            <v>29Operations</v>
          </cell>
          <cell r="B549">
            <v>6</v>
          </cell>
          <cell r="C549">
            <v>29</v>
          </cell>
          <cell r="D549" t="b">
            <v>1</v>
          </cell>
          <cell r="E549" t="str">
            <v>Clover Park</v>
          </cell>
          <cell r="F549" t="str">
            <v>001011</v>
          </cell>
          <cell r="G549">
            <v>100</v>
          </cell>
          <cell r="H549" t="str">
            <v>Operations</v>
          </cell>
          <cell r="I549">
            <v>14542756</v>
          </cell>
          <cell r="J549">
            <v>0</v>
          </cell>
        </row>
        <row r="550">
          <cell r="A550" t="str">
            <v>29Outcomes Assessment</v>
          </cell>
          <cell r="B550">
            <v>6</v>
          </cell>
          <cell r="C550">
            <v>29</v>
          </cell>
          <cell r="D550" t="b">
            <v>1</v>
          </cell>
          <cell r="E550" t="str">
            <v>Clover Park</v>
          </cell>
          <cell r="F550" t="str">
            <v>001011</v>
          </cell>
          <cell r="G550">
            <v>110</v>
          </cell>
          <cell r="H550" t="str">
            <v>Outcomes Assessment</v>
          </cell>
          <cell r="I550">
            <v>54210</v>
          </cell>
          <cell r="J550">
            <v>0</v>
          </cell>
        </row>
        <row r="551">
          <cell r="A551" t="str">
            <v>29Part-time Faculty Salaries</v>
          </cell>
          <cell r="B551">
            <v>6</v>
          </cell>
          <cell r="C551">
            <v>29</v>
          </cell>
          <cell r="D551" t="b">
            <v>1</v>
          </cell>
          <cell r="E551" t="str">
            <v>Clover Park</v>
          </cell>
          <cell r="F551" t="str">
            <v>001031</v>
          </cell>
          <cell r="G551">
            <v>111</v>
          </cell>
          <cell r="H551" t="str">
            <v>Part-time Faculty Salaries</v>
          </cell>
          <cell r="I551">
            <v>14500</v>
          </cell>
          <cell r="J551">
            <v>0</v>
          </cell>
        </row>
        <row r="552">
          <cell r="A552" t="str">
            <v>29Faculty Increments</v>
          </cell>
          <cell r="B552">
            <v>6</v>
          </cell>
          <cell r="C552">
            <v>29</v>
          </cell>
          <cell r="D552" t="b">
            <v>1</v>
          </cell>
          <cell r="E552" t="str">
            <v>Clover Park</v>
          </cell>
          <cell r="F552" t="str">
            <v>001091</v>
          </cell>
          <cell r="G552">
            <v>112</v>
          </cell>
          <cell r="H552" t="str">
            <v>Faculty Increments</v>
          </cell>
          <cell r="I552">
            <v>51400</v>
          </cell>
          <cell r="J552">
            <v>0</v>
          </cell>
        </row>
        <row r="553">
          <cell r="A553" t="str">
            <v>29Childcare Program</v>
          </cell>
          <cell r="B553">
            <v>6</v>
          </cell>
          <cell r="C553">
            <v>29</v>
          </cell>
          <cell r="D553" t="b">
            <v>1</v>
          </cell>
          <cell r="E553" t="str">
            <v>Clover Park</v>
          </cell>
          <cell r="F553" t="str">
            <v>001011</v>
          </cell>
          <cell r="G553">
            <v>120</v>
          </cell>
          <cell r="H553" t="str">
            <v>Childcare Program</v>
          </cell>
          <cell r="I553">
            <v>0</v>
          </cell>
          <cell r="J553">
            <v>0</v>
          </cell>
        </row>
        <row r="554">
          <cell r="A554" t="str">
            <v>29Childcare Match</v>
          </cell>
          <cell r="B554">
            <v>6</v>
          </cell>
          <cell r="C554">
            <v>29</v>
          </cell>
          <cell r="D554" t="b">
            <v>1</v>
          </cell>
          <cell r="E554" t="str">
            <v>Clover Park</v>
          </cell>
          <cell r="F554" t="str">
            <v>0011E1</v>
          </cell>
          <cell r="G554">
            <v>121</v>
          </cell>
          <cell r="H554" t="str">
            <v>Childcare Match</v>
          </cell>
          <cell r="I554">
            <v>0</v>
          </cell>
          <cell r="J554">
            <v>0</v>
          </cell>
        </row>
        <row r="555">
          <cell r="A555" t="str">
            <v>29Students of Color</v>
          </cell>
          <cell r="B555">
            <v>6</v>
          </cell>
          <cell r="C555">
            <v>29</v>
          </cell>
          <cell r="D555" t="b">
            <v>1</v>
          </cell>
          <cell r="E555" t="str">
            <v>Clover Park</v>
          </cell>
          <cell r="F555" t="str">
            <v>001011</v>
          </cell>
          <cell r="G555">
            <v>122</v>
          </cell>
          <cell r="H555" t="str">
            <v>Students of Color</v>
          </cell>
          <cell r="I555">
            <v>34230</v>
          </cell>
          <cell r="J555">
            <v>0</v>
          </cell>
        </row>
        <row r="556">
          <cell r="A556" t="str">
            <v>29Annual Disability Accommod.</v>
          </cell>
          <cell r="B556">
            <v>6</v>
          </cell>
          <cell r="C556">
            <v>29</v>
          </cell>
          <cell r="D556" t="b">
            <v>1</v>
          </cell>
          <cell r="E556" t="str">
            <v>Clover Park</v>
          </cell>
          <cell r="F556" t="str">
            <v>001011</v>
          </cell>
          <cell r="G556">
            <v>123</v>
          </cell>
          <cell r="H556" t="str">
            <v>Annual Disability Accommod.</v>
          </cell>
          <cell r="I556">
            <v>25130</v>
          </cell>
          <cell r="J556">
            <v>0</v>
          </cell>
        </row>
        <row r="557">
          <cell r="A557" t="str">
            <v>29Qtrly Disability Accomm Reserves</v>
          </cell>
          <cell r="B557">
            <v>6</v>
          </cell>
          <cell r="C557">
            <v>29</v>
          </cell>
          <cell r="D557" t="b">
            <v>1</v>
          </cell>
          <cell r="E557" t="str">
            <v>Clover Park</v>
          </cell>
          <cell r="F557" t="str">
            <v>001011</v>
          </cell>
          <cell r="G557">
            <v>124</v>
          </cell>
          <cell r="H557" t="str">
            <v>Qtrly Disability Accomm Reserves</v>
          </cell>
          <cell r="I557">
            <v>0</v>
          </cell>
          <cell r="J557">
            <v>0</v>
          </cell>
        </row>
        <row r="558">
          <cell r="A558" t="str">
            <v>29Work-Based Learning</v>
          </cell>
          <cell r="B558">
            <v>6</v>
          </cell>
          <cell r="C558">
            <v>29</v>
          </cell>
          <cell r="D558" t="b">
            <v>1</v>
          </cell>
          <cell r="E558" t="str">
            <v>Clover Park</v>
          </cell>
          <cell r="F558" t="str">
            <v>001351</v>
          </cell>
          <cell r="G558">
            <v>130</v>
          </cell>
          <cell r="H558" t="str">
            <v>Work-Based Learning</v>
          </cell>
          <cell r="I558">
            <v>29412</v>
          </cell>
          <cell r="J558">
            <v>0</v>
          </cell>
        </row>
        <row r="559">
          <cell r="A559" t="str">
            <v>29Worker Retraining</v>
          </cell>
          <cell r="B559">
            <v>6</v>
          </cell>
          <cell r="C559">
            <v>29</v>
          </cell>
          <cell r="D559" t="b">
            <v>1</v>
          </cell>
          <cell r="E559" t="str">
            <v>Clover Park</v>
          </cell>
          <cell r="F559" t="str">
            <v>001231</v>
          </cell>
          <cell r="G559">
            <v>135</v>
          </cell>
          <cell r="H559" t="str">
            <v>Worker Retraining</v>
          </cell>
          <cell r="I559">
            <v>1129695</v>
          </cell>
          <cell r="J559">
            <v>0</v>
          </cell>
        </row>
        <row r="560">
          <cell r="A560" t="str">
            <v>29WF Development Base</v>
          </cell>
          <cell r="B560">
            <v>6</v>
          </cell>
          <cell r="C560">
            <v>29</v>
          </cell>
          <cell r="D560" t="b">
            <v>1</v>
          </cell>
          <cell r="E560" t="str">
            <v>Clover Park</v>
          </cell>
          <cell r="F560" t="str">
            <v>001011</v>
          </cell>
          <cell r="G560">
            <v>140</v>
          </cell>
          <cell r="H560" t="str">
            <v>WF Development Base</v>
          </cell>
          <cell r="I560">
            <v>28800</v>
          </cell>
          <cell r="J560">
            <v>0</v>
          </cell>
        </row>
        <row r="561">
          <cell r="A561" t="str">
            <v>29WF Development Projects</v>
          </cell>
          <cell r="B561">
            <v>6</v>
          </cell>
          <cell r="C561">
            <v>29</v>
          </cell>
          <cell r="D561" t="b">
            <v>1</v>
          </cell>
          <cell r="E561" t="str">
            <v>Clover Park</v>
          </cell>
          <cell r="F561" t="str">
            <v>001011</v>
          </cell>
          <cell r="G561">
            <v>141</v>
          </cell>
          <cell r="H561" t="str">
            <v>WF Development Projects</v>
          </cell>
          <cell r="I561">
            <v>0</v>
          </cell>
          <cell r="J561">
            <v>0</v>
          </cell>
        </row>
        <row r="562">
          <cell r="A562" t="str">
            <v>29Apprenticeship</v>
          </cell>
          <cell r="B562">
            <v>6</v>
          </cell>
          <cell r="C562">
            <v>29</v>
          </cell>
          <cell r="D562" t="b">
            <v>1</v>
          </cell>
          <cell r="E562" t="str">
            <v>Clover Park</v>
          </cell>
          <cell r="F562" t="str">
            <v>001011</v>
          </cell>
          <cell r="G562">
            <v>145</v>
          </cell>
          <cell r="H562" t="str">
            <v>Apprenticeship</v>
          </cell>
          <cell r="I562">
            <v>0</v>
          </cell>
          <cell r="J562">
            <v>0</v>
          </cell>
        </row>
        <row r="563">
          <cell r="A563" t="str">
            <v>29Rural/Community Development</v>
          </cell>
          <cell r="B563">
            <v>6</v>
          </cell>
          <cell r="C563">
            <v>29</v>
          </cell>
          <cell r="D563" t="b">
            <v>1</v>
          </cell>
          <cell r="E563" t="str">
            <v>Clover Park</v>
          </cell>
          <cell r="F563" t="str">
            <v>001311</v>
          </cell>
          <cell r="G563">
            <v>150</v>
          </cell>
          <cell r="H563" t="str">
            <v>Rural/Community Development</v>
          </cell>
          <cell r="I563">
            <v>0</v>
          </cell>
          <cell r="J563">
            <v>0</v>
          </cell>
        </row>
        <row r="564">
          <cell r="A564" t="str">
            <v>29New Facilities Maint &amp; Ops</v>
          </cell>
          <cell r="B564">
            <v>6</v>
          </cell>
          <cell r="C564">
            <v>29</v>
          </cell>
          <cell r="D564" t="b">
            <v>1</v>
          </cell>
          <cell r="E564" t="str">
            <v>Clover Park</v>
          </cell>
          <cell r="F564" t="str">
            <v>001011</v>
          </cell>
          <cell r="G564">
            <v>160</v>
          </cell>
          <cell r="H564" t="str">
            <v>New Facilities Maint &amp; Ops</v>
          </cell>
          <cell r="I564">
            <v>0</v>
          </cell>
          <cell r="J564">
            <v>0</v>
          </cell>
        </row>
        <row r="565">
          <cell r="A565" t="str">
            <v>29Building Maintenance Shift to Capital</v>
          </cell>
          <cell r="B565">
            <v>6</v>
          </cell>
          <cell r="C565">
            <v>29</v>
          </cell>
          <cell r="D565" t="b">
            <v>1</v>
          </cell>
          <cell r="E565" t="str">
            <v>Clover Park</v>
          </cell>
          <cell r="F565" t="str">
            <v>001011</v>
          </cell>
          <cell r="G565">
            <v>161</v>
          </cell>
          <cell r="H565" t="str">
            <v>Building Maintenance Shift to Capital</v>
          </cell>
          <cell r="I565">
            <v>-293300</v>
          </cell>
          <cell r="J565">
            <v>0</v>
          </cell>
        </row>
        <row r="566">
          <cell r="A566" t="str">
            <v>29UWT Technology Institute</v>
          </cell>
          <cell r="B566">
            <v>6</v>
          </cell>
          <cell r="C566">
            <v>29</v>
          </cell>
          <cell r="D566" t="b">
            <v>1</v>
          </cell>
          <cell r="E566" t="str">
            <v>Clover Park</v>
          </cell>
          <cell r="F566" t="str">
            <v>001331</v>
          </cell>
          <cell r="G566">
            <v>165</v>
          </cell>
          <cell r="H566" t="str">
            <v>UWT Technology Institute</v>
          </cell>
          <cell r="I566">
            <v>39000</v>
          </cell>
          <cell r="J566">
            <v>0</v>
          </cell>
        </row>
        <row r="567">
          <cell r="A567" t="str">
            <v>29Labor Liaison Position</v>
          </cell>
          <cell r="B567">
            <v>6</v>
          </cell>
          <cell r="C567">
            <v>29</v>
          </cell>
          <cell r="D567" t="b">
            <v>1</v>
          </cell>
          <cell r="E567" t="str">
            <v>Clover Park</v>
          </cell>
          <cell r="F567" t="str">
            <v>001011</v>
          </cell>
          <cell r="G567">
            <v>220</v>
          </cell>
          <cell r="H567" t="str">
            <v>Labor Liaison Position</v>
          </cell>
          <cell r="I567">
            <v>-2100</v>
          </cell>
          <cell r="J567">
            <v>0</v>
          </cell>
        </row>
        <row r="568">
          <cell r="A568" t="str">
            <v>30Operations</v>
          </cell>
          <cell r="B568">
            <v>6</v>
          </cell>
          <cell r="C568">
            <v>30</v>
          </cell>
          <cell r="D568" t="b">
            <v>1</v>
          </cell>
          <cell r="E568" t="str">
            <v>Cascadia</v>
          </cell>
          <cell r="F568" t="str">
            <v>001011</v>
          </cell>
          <cell r="G568">
            <v>100</v>
          </cell>
          <cell r="H568" t="str">
            <v>Operations</v>
          </cell>
          <cell r="I568">
            <v>6443504</v>
          </cell>
          <cell r="J568">
            <v>0</v>
          </cell>
        </row>
        <row r="569">
          <cell r="A569" t="str">
            <v>30Outcomes Assessment</v>
          </cell>
          <cell r="B569">
            <v>6</v>
          </cell>
          <cell r="C569">
            <v>30</v>
          </cell>
          <cell r="D569" t="b">
            <v>1</v>
          </cell>
          <cell r="E569" t="str">
            <v>Cascadia</v>
          </cell>
          <cell r="F569" t="str">
            <v>001011</v>
          </cell>
          <cell r="G569">
            <v>110</v>
          </cell>
          <cell r="H569" t="str">
            <v>Outcomes Assessment</v>
          </cell>
          <cell r="I569">
            <v>54210</v>
          </cell>
          <cell r="J569">
            <v>0</v>
          </cell>
        </row>
        <row r="570">
          <cell r="A570" t="str">
            <v>30Part-time Faculty Salaries</v>
          </cell>
          <cell r="B570">
            <v>6</v>
          </cell>
          <cell r="C570">
            <v>30</v>
          </cell>
          <cell r="D570" t="b">
            <v>1</v>
          </cell>
          <cell r="E570" t="str">
            <v>Cascadia</v>
          </cell>
          <cell r="F570" t="str">
            <v>001031</v>
          </cell>
          <cell r="G570">
            <v>111</v>
          </cell>
          <cell r="H570" t="str">
            <v>Part-time Faculty Salaries</v>
          </cell>
          <cell r="I570">
            <v>18700</v>
          </cell>
          <cell r="J570">
            <v>0</v>
          </cell>
        </row>
        <row r="571">
          <cell r="A571" t="str">
            <v>30Faculty Increments</v>
          </cell>
          <cell r="B571">
            <v>6</v>
          </cell>
          <cell r="C571">
            <v>30</v>
          </cell>
          <cell r="D571" t="b">
            <v>1</v>
          </cell>
          <cell r="E571" t="str">
            <v>Cascadia</v>
          </cell>
          <cell r="F571" t="str">
            <v>001091</v>
          </cell>
          <cell r="G571">
            <v>112</v>
          </cell>
          <cell r="H571" t="str">
            <v>Faculty Increments</v>
          </cell>
          <cell r="I571">
            <v>8000</v>
          </cell>
          <cell r="J571">
            <v>0</v>
          </cell>
        </row>
        <row r="572">
          <cell r="A572" t="str">
            <v>30Childcare Program</v>
          </cell>
          <cell r="B572">
            <v>6</v>
          </cell>
          <cell r="C572">
            <v>30</v>
          </cell>
          <cell r="D572" t="b">
            <v>1</v>
          </cell>
          <cell r="E572" t="str">
            <v>Cascadia</v>
          </cell>
          <cell r="F572" t="str">
            <v>001011</v>
          </cell>
          <cell r="G572">
            <v>120</v>
          </cell>
          <cell r="H572" t="str">
            <v>Childcare Program</v>
          </cell>
          <cell r="I572">
            <v>8150</v>
          </cell>
          <cell r="J572">
            <v>0</v>
          </cell>
        </row>
        <row r="573">
          <cell r="A573" t="str">
            <v>30Childcare Match</v>
          </cell>
          <cell r="B573">
            <v>6</v>
          </cell>
          <cell r="C573">
            <v>30</v>
          </cell>
          <cell r="D573" t="b">
            <v>1</v>
          </cell>
          <cell r="E573" t="str">
            <v>Cascadia</v>
          </cell>
          <cell r="F573" t="str">
            <v>0011E1</v>
          </cell>
          <cell r="G573">
            <v>121</v>
          </cell>
          <cell r="H573" t="str">
            <v>Childcare Match</v>
          </cell>
          <cell r="I573">
            <v>0</v>
          </cell>
          <cell r="J573">
            <v>0</v>
          </cell>
        </row>
        <row r="574">
          <cell r="A574" t="str">
            <v>30Students of Color</v>
          </cell>
          <cell r="B574">
            <v>6</v>
          </cell>
          <cell r="C574">
            <v>30</v>
          </cell>
          <cell r="D574" t="b">
            <v>1</v>
          </cell>
          <cell r="E574" t="str">
            <v>Cascadia</v>
          </cell>
          <cell r="F574" t="str">
            <v>001011</v>
          </cell>
          <cell r="G574">
            <v>122</v>
          </cell>
          <cell r="H574" t="str">
            <v>Students of Color</v>
          </cell>
          <cell r="I574">
            <v>7110</v>
          </cell>
          <cell r="J574">
            <v>0</v>
          </cell>
        </row>
        <row r="575">
          <cell r="A575" t="str">
            <v>30Annual Disability Accommod.</v>
          </cell>
          <cell r="B575">
            <v>6</v>
          </cell>
          <cell r="C575">
            <v>30</v>
          </cell>
          <cell r="D575" t="b">
            <v>1</v>
          </cell>
          <cell r="E575" t="str">
            <v>Cascadia</v>
          </cell>
          <cell r="F575" t="str">
            <v>001011</v>
          </cell>
          <cell r="G575">
            <v>123</v>
          </cell>
          <cell r="H575" t="str">
            <v>Annual Disability Accommod.</v>
          </cell>
          <cell r="I575">
            <v>17040</v>
          </cell>
          <cell r="J575">
            <v>0</v>
          </cell>
        </row>
        <row r="576">
          <cell r="A576" t="str">
            <v>30Qtrly Disability Accomm Reserves</v>
          </cell>
          <cell r="B576">
            <v>6</v>
          </cell>
          <cell r="C576">
            <v>30</v>
          </cell>
          <cell r="D576" t="b">
            <v>1</v>
          </cell>
          <cell r="E576" t="str">
            <v>Cascadia</v>
          </cell>
          <cell r="F576" t="str">
            <v>001011</v>
          </cell>
          <cell r="G576">
            <v>124</v>
          </cell>
          <cell r="H576" t="str">
            <v>Qtrly Disability Accomm Reserves</v>
          </cell>
          <cell r="I576">
            <v>0</v>
          </cell>
          <cell r="J576">
            <v>0</v>
          </cell>
        </row>
        <row r="577">
          <cell r="A577" t="str">
            <v>30Work-Based Learning</v>
          </cell>
          <cell r="B577">
            <v>6</v>
          </cell>
          <cell r="C577">
            <v>30</v>
          </cell>
          <cell r="D577" t="b">
            <v>1</v>
          </cell>
          <cell r="E577" t="str">
            <v>Cascadia</v>
          </cell>
          <cell r="F577" t="str">
            <v>001351</v>
          </cell>
          <cell r="G577">
            <v>130</v>
          </cell>
          <cell r="H577" t="str">
            <v>Work-Based Learning</v>
          </cell>
          <cell r="I577">
            <v>29412</v>
          </cell>
          <cell r="J577">
            <v>0</v>
          </cell>
        </row>
        <row r="578">
          <cell r="A578" t="str">
            <v>30Worker Retraining</v>
          </cell>
          <cell r="B578">
            <v>6</v>
          </cell>
          <cell r="C578">
            <v>30</v>
          </cell>
          <cell r="D578" t="b">
            <v>1</v>
          </cell>
          <cell r="E578" t="str">
            <v>Cascadia</v>
          </cell>
          <cell r="F578" t="str">
            <v>001231</v>
          </cell>
          <cell r="G578">
            <v>135</v>
          </cell>
          <cell r="H578" t="str">
            <v>Worker Retraining</v>
          </cell>
          <cell r="I578">
            <v>214647</v>
          </cell>
          <cell r="J578">
            <v>0</v>
          </cell>
        </row>
        <row r="579">
          <cell r="A579" t="str">
            <v>30WF Development Base</v>
          </cell>
          <cell r="B579">
            <v>6</v>
          </cell>
          <cell r="C579">
            <v>30</v>
          </cell>
          <cell r="D579" t="b">
            <v>1</v>
          </cell>
          <cell r="E579" t="str">
            <v>Cascadia</v>
          </cell>
          <cell r="F579" t="str">
            <v>001011</v>
          </cell>
          <cell r="G579">
            <v>140</v>
          </cell>
          <cell r="H579" t="str">
            <v>WF Development Base</v>
          </cell>
          <cell r="I579">
            <v>28800</v>
          </cell>
          <cell r="J579">
            <v>0</v>
          </cell>
        </row>
        <row r="580">
          <cell r="A580" t="str">
            <v>30WF Development Projects</v>
          </cell>
          <cell r="B580">
            <v>6</v>
          </cell>
          <cell r="C580">
            <v>30</v>
          </cell>
          <cell r="D580" t="b">
            <v>1</v>
          </cell>
          <cell r="E580" t="str">
            <v>Cascadia</v>
          </cell>
          <cell r="F580" t="str">
            <v>001011</v>
          </cell>
          <cell r="G580">
            <v>141</v>
          </cell>
          <cell r="H580" t="str">
            <v>WF Development Projects</v>
          </cell>
          <cell r="I580">
            <v>0</v>
          </cell>
          <cell r="J580">
            <v>0</v>
          </cell>
        </row>
        <row r="581">
          <cell r="A581" t="str">
            <v>30Apprenticeship</v>
          </cell>
          <cell r="B581">
            <v>6</v>
          </cell>
          <cell r="C581">
            <v>30</v>
          </cell>
          <cell r="D581" t="b">
            <v>1</v>
          </cell>
          <cell r="E581" t="str">
            <v>Cascadia</v>
          </cell>
          <cell r="F581" t="str">
            <v>001011</v>
          </cell>
          <cell r="G581">
            <v>145</v>
          </cell>
          <cell r="H581" t="str">
            <v>Apprenticeship</v>
          </cell>
          <cell r="I581">
            <v>0</v>
          </cell>
          <cell r="J581">
            <v>0</v>
          </cell>
        </row>
        <row r="582">
          <cell r="A582" t="str">
            <v>30Rural/Community Development</v>
          </cell>
          <cell r="B582">
            <v>6</v>
          </cell>
          <cell r="C582">
            <v>30</v>
          </cell>
          <cell r="D582" t="b">
            <v>1</v>
          </cell>
          <cell r="E582" t="str">
            <v>Cascadia</v>
          </cell>
          <cell r="F582" t="str">
            <v>001311</v>
          </cell>
          <cell r="G582">
            <v>150</v>
          </cell>
          <cell r="H582" t="str">
            <v>Rural/Community Development</v>
          </cell>
          <cell r="I582">
            <v>0</v>
          </cell>
          <cell r="J582">
            <v>0</v>
          </cell>
        </row>
        <row r="583">
          <cell r="A583" t="str">
            <v>30New Facilities Maint &amp; Ops</v>
          </cell>
          <cell r="B583">
            <v>6</v>
          </cell>
          <cell r="C583">
            <v>30</v>
          </cell>
          <cell r="D583" t="b">
            <v>1</v>
          </cell>
          <cell r="E583" t="str">
            <v>Cascadia</v>
          </cell>
          <cell r="F583" t="str">
            <v>001011</v>
          </cell>
          <cell r="G583">
            <v>160</v>
          </cell>
          <cell r="H583" t="str">
            <v>New Facilities Maint &amp; Ops</v>
          </cell>
          <cell r="I583">
            <v>66000</v>
          </cell>
          <cell r="J583">
            <v>0</v>
          </cell>
        </row>
        <row r="584">
          <cell r="A584" t="str">
            <v>30Building Maintenance Shift to Capital</v>
          </cell>
          <cell r="B584">
            <v>6</v>
          </cell>
          <cell r="C584">
            <v>30</v>
          </cell>
          <cell r="D584" t="b">
            <v>1</v>
          </cell>
          <cell r="E584" t="str">
            <v>Cascadia</v>
          </cell>
          <cell r="F584" t="str">
            <v>001011</v>
          </cell>
          <cell r="G584">
            <v>161</v>
          </cell>
          <cell r="H584" t="str">
            <v>Building Maintenance Shift to Capital</v>
          </cell>
          <cell r="I584">
            <v>-121900</v>
          </cell>
          <cell r="J584">
            <v>0</v>
          </cell>
        </row>
        <row r="585">
          <cell r="A585" t="str">
            <v>30UWT Technology Institute</v>
          </cell>
          <cell r="B585">
            <v>6</v>
          </cell>
          <cell r="C585">
            <v>30</v>
          </cell>
          <cell r="D585" t="b">
            <v>1</v>
          </cell>
          <cell r="E585" t="str">
            <v>Cascadia</v>
          </cell>
          <cell r="F585" t="str">
            <v>001331</v>
          </cell>
          <cell r="G585">
            <v>165</v>
          </cell>
          <cell r="H585" t="str">
            <v>UWT Technology Institute</v>
          </cell>
          <cell r="I585">
            <v>0</v>
          </cell>
          <cell r="J585">
            <v>0</v>
          </cell>
        </row>
        <row r="586">
          <cell r="A586" t="str">
            <v>30Labor Liaison Position</v>
          </cell>
          <cell r="B586">
            <v>6</v>
          </cell>
          <cell r="C586">
            <v>30</v>
          </cell>
          <cell r="D586" t="b">
            <v>1</v>
          </cell>
          <cell r="E586" t="str">
            <v>Cascadia</v>
          </cell>
          <cell r="F586" t="str">
            <v>001011</v>
          </cell>
          <cell r="G586">
            <v>220</v>
          </cell>
          <cell r="H586" t="str">
            <v>Labor Liaison Position</v>
          </cell>
          <cell r="I586">
            <v>-3500</v>
          </cell>
          <cell r="J586">
            <v>0</v>
          </cell>
        </row>
        <row r="587">
          <cell r="A587" t="str">
            <v>88Operations</v>
          </cell>
          <cell r="B587">
            <v>6</v>
          </cell>
          <cell r="C587">
            <v>88</v>
          </cell>
          <cell r="D587" t="b">
            <v>1</v>
          </cell>
          <cell r="E587" t="str">
            <v>Center for Information Services</v>
          </cell>
          <cell r="F587" t="str">
            <v>001011</v>
          </cell>
          <cell r="G587">
            <v>100</v>
          </cell>
          <cell r="H587" t="str">
            <v>Operations</v>
          </cell>
          <cell r="I587">
            <v>7653424</v>
          </cell>
          <cell r="J587">
            <v>0</v>
          </cell>
        </row>
        <row r="588">
          <cell r="A588" t="str">
            <v>88High Demand Competitive</v>
          </cell>
          <cell r="B588">
            <v>6</v>
          </cell>
          <cell r="C588">
            <v>88</v>
          </cell>
          <cell r="D588" t="b">
            <v>1</v>
          </cell>
          <cell r="E588" t="str">
            <v>Center for Information Services</v>
          </cell>
          <cell r="F588" t="str">
            <v>0011H1</v>
          </cell>
          <cell r="G588">
            <v>137</v>
          </cell>
          <cell r="H588" t="str">
            <v>High Demand Competitive</v>
          </cell>
          <cell r="I588">
            <v>5000</v>
          </cell>
          <cell r="J588">
            <v>0</v>
          </cell>
        </row>
        <row r="589">
          <cell r="A589" t="str">
            <v>88UWT Technology Institute</v>
          </cell>
          <cell r="B589">
            <v>6</v>
          </cell>
          <cell r="C589">
            <v>88</v>
          </cell>
          <cell r="D589" t="b">
            <v>1</v>
          </cell>
          <cell r="E589" t="str">
            <v>Center for Information Services</v>
          </cell>
          <cell r="F589" t="str">
            <v>001331</v>
          </cell>
          <cell r="G589">
            <v>165</v>
          </cell>
          <cell r="H589" t="str">
            <v>UWT Technology Institute</v>
          </cell>
          <cell r="I589">
            <v>7000</v>
          </cell>
          <cell r="J589">
            <v>0</v>
          </cell>
        </row>
        <row r="590">
          <cell r="A590" t="str">
            <v>88WSU Engr. &amp; Sci. Institute</v>
          </cell>
          <cell r="B590">
            <v>6</v>
          </cell>
          <cell r="C590">
            <v>88</v>
          </cell>
          <cell r="D590" t="b">
            <v>1</v>
          </cell>
          <cell r="E590" t="str">
            <v>Center for Information Services</v>
          </cell>
          <cell r="F590" t="str">
            <v>001471</v>
          </cell>
          <cell r="G590">
            <v>166</v>
          </cell>
          <cell r="H590" t="str">
            <v>WSU Engr. &amp; Sci. Institute</v>
          </cell>
          <cell r="I590">
            <v>8400</v>
          </cell>
          <cell r="J590">
            <v>0</v>
          </cell>
        </row>
        <row r="591">
          <cell r="A591" t="str">
            <v>89Operations</v>
          </cell>
          <cell r="B591">
            <v>6</v>
          </cell>
          <cell r="C591">
            <v>89</v>
          </cell>
          <cell r="D591" t="b">
            <v>1</v>
          </cell>
          <cell r="E591" t="str">
            <v>State Board</v>
          </cell>
          <cell r="F591" t="str">
            <v>001011</v>
          </cell>
          <cell r="G591">
            <v>100</v>
          </cell>
          <cell r="H591" t="str">
            <v>Operations</v>
          </cell>
          <cell r="I591">
            <v>5322569</v>
          </cell>
          <cell r="J591">
            <v>0</v>
          </cell>
        </row>
        <row r="592">
          <cell r="A592" t="str">
            <v>89Outcomes Assessment</v>
          </cell>
          <cell r="B592">
            <v>6</v>
          </cell>
          <cell r="C592">
            <v>89</v>
          </cell>
          <cell r="D592" t="b">
            <v>1</v>
          </cell>
          <cell r="E592" t="str">
            <v>State Board</v>
          </cell>
          <cell r="F592" t="str">
            <v>001011</v>
          </cell>
          <cell r="G592">
            <v>110</v>
          </cell>
          <cell r="H592" t="str">
            <v>Outcomes Assessment</v>
          </cell>
          <cell r="I592">
            <v>182555</v>
          </cell>
          <cell r="J592">
            <v>0</v>
          </cell>
        </row>
        <row r="593">
          <cell r="A593" t="str">
            <v>89Worker Retraining</v>
          </cell>
          <cell r="B593">
            <v>6</v>
          </cell>
          <cell r="C593">
            <v>89</v>
          </cell>
          <cell r="D593" t="b">
            <v>1</v>
          </cell>
          <cell r="E593" t="str">
            <v>State Board</v>
          </cell>
          <cell r="F593" t="str">
            <v>001231</v>
          </cell>
          <cell r="G593">
            <v>135</v>
          </cell>
          <cell r="H593" t="str">
            <v>Worker Retraining</v>
          </cell>
          <cell r="I593">
            <v>0</v>
          </cell>
          <cell r="J593">
            <v>0</v>
          </cell>
        </row>
        <row r="594">
          <cell r="A594" t="str">
            <v>89High Demand Worker Retraining</v>
          </cell>
          <cell r="B594">
            <v>6</v>
          </cell>
          <cell r="C594">
            <v>89</v>
          </cell>
          <cell r="D594" t="b">
            <v>1</v>
          </cell>
          <cell r="E594" t="str">
            <v>State Board</v>
          </cell>
          <cell r="F594" t="str">
            <v>0011H1</v>
          </cell>
          <cell r="G594">
            <v>136</v>
          </cell>
          <cell r="H594" t="str">
            <v>High Demand Worker Retraining</v>
          </cell>
          <cell r="I594">
            <v>3454428</v>
          </cell>
          <cell r="J594">
            <v>0</v>
          </cell>
        </row>
        <row r="595">
          <cell r="A595" t="str">
            <v>89Worker Retraining (WF)</v>
          </cell>
          <cell r="B595">
            <v>6</v>
          </cell>
          <cell r="C595">
            <v>89</v>
          </cell>
          <cell r="D595" t="b">
            <v>1</v>
          </cell>
          <cell r="E595" t="str">
            <v>State Board</v>
          </cell>
          <cell r="F595" t="str">
            <v>001011</v>
          </cell>
          <cell r="G595">
            <v>138</v>
          </cell>
          <cell r="H595" t="str">
            <v>Worker Retraining (WF)</v>
          </cell>
          <cell r="I595">
            <v>190100</v>
          </cell>
          <cell r="J595">
            <v>0</v>
          </cell>
        </row>
        <row r="596">
          <cell r="A596" t="str">
            <v>89UWT Technology Institute</v>
          </cell>
          <cell r="B596">
            <v>6</v>
          </cell>
          <cell r="C596">
            <v>89</v>
          </cell>
          <cell r="D596" t="b">
            <v>1</v>
          </cell>
          <cell r="E596" t="str">
            <v>State Board</v>
          </cell>
          <cell r="F596" t="str">
            <v>001331</v>
          </cell>
          <cell r="G596">
            <v>165</v>
          </cell>
          <cell r="H596" t="str">
            <v>UWT Technology Institute</v>
          </cell>
          <cell r="I596">
            <v>19500</v>
          </cell>
          <cell r="J596">
            <v>0</v>
          </cell>
        </row>
        <row r="597">
          <cell r="A597" t="str">
            <v>89Labor Liaison Position</v>
          </cell>
          <cell r="B597">
            <v>6</v>
          </cell>
          <cell r="C597">
            <v>89</v>
          </cell>
          <cell r="D597" t="b">
            <v>1</v>
          </cell>
          <cell r="E597" t="str">
            <v>State Board</v>
          </cell>
          <cell r="F597" t="str">
            <v>001011</v>
          </cell>
          <cell r="G597">
            <v>220</v>
          </cell>
          <cell r="H597" t="str">
            <v>Labor Liaison Position</v>
          </cell>
          <cell r="I597">
            <v>85400</v>
          </cell>
          <cell r="J597">
            <v>0</v>
          </cell>
        </row>
        <row r="598">
          <cell r="A598" t="str">
            <v>89Job Skills Program (SBCTC only)</v>
          </cell>
          <cell r="B598">
            <v>6</v>
          </cell>
          <cell r="C598">
            <v>89</v>
          </cell>
          <cell r="D598" t="b">
            <v>1</v>
          </cell>
          <cell r="E598" t="str">
            <v>State Board</v>
          </cell>
          <cell r="F598" t="str">
            <v>120490</v>
          </cell>
          <cell r="G598">
            <v>230</v>
          </cell>
          <cell r="H598" t="str">
            <v>Job Skills Program (SBCTC only)</v>
          </cell>
          <cell r="I598">
            <v>2950000</v>
          </cell>
          <cell r="J598">
            <v>0</v>
          </cell>
        </row>
        <row r="599">
          <cell r="A599" t="str">
            <v>89Savings Incentive (SBCTC only)</v>
          </cell>
          <cell r="B599">
            <v>6</v>
          </cell>
          <cell r="C599">
            <v>89</v>
          </cell>
          <cell r="D599" t="b">
            <v>1</v>
          </cell>
          <cell r="E599" t="str">
            <v>State Board</v>
          </cell>
          <cell r="F599" t="str">
            <v>290960</v>
          </cell>
          <cell r="G599">
            <v>250</v>
          </cell>
          <cell r="H599" t="str">
            <v>Savings Incentive (SBCTC only)</v>
          </cell>
          <cell r="I599">
            <v>0</v>
          </cell>
          <cell r="J599">
            <v>127000</v>
          </cell>
        </row>
      </sheetData>
      <sheetData sheetId="1">
        <row r="1">
          <cell r="A1" t="str">
            <v>District</v>
          </cell>
          <cell r="B1" t="str">
            <v>Period</v>
          </cell>
          <cell r="C1" t="str">
            <v>GenEnr</v>
          </cell>
          <cell r="D1" t="str">
            <v>WSU</v>
          </cell>
          <cell r="E1" t="str">
            <v>WR</v>
          </cell>
        </row>
        <row r="2">
          <cell r="A2">
            <v>1</v>
          </cell>
          <cell r="C2">
            <v>1375</v>
          </cell>
          <cell r="D2">
            <v>0</v>
          </cell>
          <cell r="E2">
            <v>254</v>
          </cell>
        </row>
        <row r="3">
          <cell r="A3">
            <v>2</v>
          </cell>
          <cell r="C3">
            <v>1488</v>
          </cell>
          <cell r="D3">
            <v>0</v>
          </cell>
          <cell r="E3">
            <v>202</v>
          </cell>
        </row>
        <row r="4">
          <cell r="A4">
            <v>3</v>
          </cell>
          <cell r="C4">
            <v>4258</v>
          </cell>
          <cell r="D4">
            <v>0</v>
          </cell>
          <cell r="E4">
            <v>213</v>
          </cell>
        </row>
        <row r="5">
          <cell r="A5">
            <v>4</v>
          </cell>
          <cell r="C5">
            <v>3357</v>
          </cell>
          <cell r="D5">
            <v>0</v>
          </cell>
          <cell r="E5">
            <v>162</v>
          </cell>
        </row>
        <row r="6">
          <cell r="A6">
            <v>5</v>
          </cell>
          <cell r="C6">
            <v>4276</v>
          </cell>
          <cell r="D6">
            <v>0</v>
          </cell>
          <cell r="E6">
            <v>177</v>
          </cell>
        </row>
        <row r="7">
          <cell r="A7">
            <v>6</v>
          </cell>
          <cell r="C7">
            <v>13236</v>
          </cell>
          <cell r="D7">
            <v>0</v>
          </cell>
          <cell r="E7">
            <v>827</v>
          </cell>
        </row>
        <row r="8">
          <cell r="A8">
            <v>7</v>
          </cell>
          <cell r="C8">
            <v>4977</v>
          </cell>
          <cell r="D8">
            <v>0</v>
          </cell>
          <cell r="E8">
            <v>206</v>
          </cell>
        </row>
        <row r="9">
          <cell r="A9">
            <v>8</v>
          </cell>
          <cell r="C9">
            <v>6268</v>
          </cell>
          <cell r="D9">
            <v>0</v>
          </cell>
          <cell r="E9">
            <v>328</v>
          </cell>
        </row>
        <row r="10">
          <cell r="A10">
            <v>9</v>
          </cell>
          <cell r="C10">
            <v>5406</v>
          </cell>
          <cell r="D10">
            <v>0</v>
          </cell>
          <cell r="E10">
            <v>279</v>
          </cell>
        </row>
        <row r="11">
          <cell r="A11">
            <v>10</v>
          </cell>
          <cell r="C11">
            <v>4858</v>
          </cell>
          <cell r="D11">
            <v>0</v>
          </cell>
          <cell r="E11">
            <v>374</v>
          </cell>
        </row>
        <row r="12">
          <cell r="A12">
            <v>11</v>
          </cell>
          <cell r="C12">
            <v>4932</v>
          </cell>
          <cell r="D12">
            <v>0</v>
          </cell>
          <cell r="E12">
            <v>221</v>
          </cell>
        </row>
        <row r="13">
          <cell r="A13">
            <v>12</v>
          </cell>
          <cell r="C13">
            <v>1895</v>
          </cell>
          <cell r="D13">
            <v>0</v>
          </cell>
          <cell r="E13">
            <v>132</v>
          </cell>
        </row>
        <row r="14">
          <cell r="A14">
            <v>13</v>
          </cell>
          <cell r="C14">
            <v>2260</v>
          </cell>
          <cell r="D14">
            <v>40</v>
          </cell>
          <cell r="E14">
            <v>48</v>
          </cell>
        </row>
        <row r="15">
          <cell r="A15">
            <v>14</v>
          </cell>
          <cell r="C15">
            <v>5803</v>
          </cell>
          <cell r="D15">
            <v>128</v>
          </cell>
          <cell r="E15">
            <v>146</v>
          </cell>
        </row>
        <row r="16">
          <cell r="A16">
            <v>15</v>
          </cell>
          <cell r="C16">
            <v>2140</v>
          </cell>
          <cell r="D16">
            <v>0</v>
          </cell>
          <cell r="E16">
            <v>142</v>
          </cell>
        </row>
        <row r="17">
          <cell r="A17">
            <v>16</v>
          </cell>
          <cell r="C17">
            <v>3463</v>
          </cell>
          <cell r="D17">
            <v>0</v>
          </cell>
          <cell r="E17">
            <v>109</v>
          </cell>
        </row>
        <row r="18">
          <cell r="A18">
            <v>17</v>
          </cell>
          <cell r="C18">
            <v>12508</v>
          </cell>
          <cell r="D18">
            <v>0</v>
          </cell>
          <cell r="E18">
            <v>294</v>
          </cell>
        </row>
        <row r="19">
          <cell r="A19">
            <v>18</v>
          </cell>
          <cell r="C19">
            <v>1461</v>
          </cell>
          <cell r="D19">
            <v>0</v>
          </cell>
          <cell r="E19">
            <v>63</v>
          </cell>
        </row>
        <row r="20">
          <cell r="A20">
            <v>19</v>
          </cell>
          <cell r="C20">
            <v>4147</v>
          </cell>
          <cell r="D20">
            <v>0</v>
          </cell>
          <cell r="E20">
            <v>274</v>
          </cell>
        </row>
        <row r="21">
          <cell r="A21">
            <v>20</v>
          </cell>
          <cell r="C21">
            <v>2506</v>
          </cell>
          <cell r="D21">
            <v>0</v>
          </cell>
          <cell r="E21">
            <v>279</v>
          </cell>
        </row>
        <row r="22">
          <cell r="A22">
            <v>21</v>
          </cell>
          <cell r="C22">
            <v>2002</v>
          </cell>
          <cell r="D22">
            <v>0</v>
          </cell>
          <cell r="E22">
            <v>41</v>
          </cell>
        </row>
        <row r="23">
          <cell r="A23">
            <v>22</v>
          </cell>
          <cell r="C23">
            <v>3903</v>
          </cell>
          <cell r="D23">
            <v>0</v>
          </cell>
          <cell r="E23">
            <v>271</v>
          </cell>
        </row>
        <row r="24">
          <cell r="A24">
            <v>23</v>
          </cell>
          <cell r="C24">
            <v>4422</v>
          </cell>
          <cell r="D24">
            <v>0</v>
          </cell>
          <cell r="E24">
            <v>241</v>
          </cell>
        </row>
        <row r="25">
          <cell r="A25">
            <v>24</v>
          </cell>
          <cell r="C25">
            <v>3138</v>
          </cell>
          <cell r="D25">
            <v>0</v>
          </cell>
          <cell r="E25">
            <v>117</v>
          </cell>
        </row>
        <row r="26">
          <cell r="A26">
            <v>25</v>
          </cell>
          <cell r="C26">
            <v>1489</v>
          </cell>
          <cell r="D26">
            <v>0</v>
          </cell>
          <cell r="E26">
            <v>68</v>
          </cell>
        </row>
        <row r="27">
          <cell r="A27">
            <v>26</v>
          </cell>
          <cell r="C27">
            <v>2501</v>
          </cell>
          <cell r="D27">
            <v>0</v>
          </cell>
          <cell r="E27">
            <v>183</v>
          </cell>
        </row>
        <row r="28">
          <cell r="A28">
            <v>27</v>
          </cell>
          <cell r="C28">
            <v>3170</v>
          </cell>
          <cell r="D28">
            <v>0</v>
          </cell>
          <cell r="E28">
            <v>287</v>
          </cell>
        </row>
        <row r="29">
          <cell r="A29">
            <v>28</v>
          </cell>
          <cell r="C29">
            <v>4005</v>
          </cell>
          <cell r="D29">
            <v>0</v>
          </cell>
          <cell r="E29">
            <v>322</v>
          </cell>
        </row>
        <row r="30">
          <cell r="A30">
            <v>29</v>
          </cell>
          <cell r="C30">
            <v>3691</v>
          </cell>
          <cell r="D30">
            <v>0</v>
          </cell>
          <cell r="E30">
            <v>245</v>
          </cell>
        </row>
        <row r="31">
          <cell r="A31">
            <v>30</v>
          </cell>
          <cell r="C31">
            <v>1026</v>
          </cell>
          <cell r="D31">
            <v>0</v>
          </cell>
          <cell r="E31">
            <v>47</v>
          </cell>
        </row>
        <row r="32">
          <cell r="A32">
            <v>89</v>
          </cell>
          <cell r="C32">
            <v>0</v>
          </cell>
          <cell r="D32">
            <v>0</v>
          </cell>
          <cell r="E32">
            <v>667</v>
          </cell>
        </row>
      </sheetData>
      <sheetData sheetId="2">
        <row r="1">
          <cell r="A1" t="str">
            <v>DISTRICT</v>
          </cell>
          <cell r="B1" t="str">
            <v>NAME</v>
          </cell>
        </row>
        <row r="2">
          <cell r="A2">
            <v>1</v>
          </cell>
          <cell r="B2" t="str">
            <v>Peninsula</v>
          </cell>
        </row>
        <row r="3">
          <cell r="A3">
            <v>2</v>
          </cell>
          <cell r="B3" t="str">
            <v>Grays Harbor</v>
          </cell>
        </row>
        <row r="4">
          <cell r="A4">
            <v>3</v>
          </cell>
          <cell r="B4" t="str">
            <v>Olympic</v>
          </cell>
        </row>
        <row r="5">
          <cell r="A5">
            <v>4</v>
          </cell>
          <cell r="B5" t="str">
            <v>Skagit Valley</v>
          </cell>
        </row>
        <row r="6">
          <cell r="A6">
            <v>5</v>
          </cell>
          <cell r="B6" t="str">
            <v>Everett</v>
          </cell>
        </row>
        <row r="7">
          <cell r="A7">
            <v>6</v>
          </cell>
          <cell r="B7" t="str">
            <v>Seattle</v>
          </cell>
        </row>
        <row r="8">
          <cell r="A8">
            <v>7</v>
          </cell>
          <cell r="B8" t="str">
            <v>Shoreline</v>
          </cell>
        </row>
        <row r="9">
          <cell r="A9">
            <v>8</v>
          </cell>
          <cell r="B9" t="str">
            <v>Bellevue</v>
          </cell>
        </row>
        <row r="10">
          <cell r="A10">
            <v>9</v>
          </cell>
          <cell r="B10" t="str">
            <v>Highline</v>
          </cell>
        </row>
        <row r="11">
          <cell r="A11">
            <v>10</v>
          </cell>
          <cell r="B11" t="str">
            <v>Green River</v>
          </cell>
        </row>
        <row r="12">
          <cell r="A12">
            <v>11</v>
          </cell>
          <cell r="B12" t="str">
            <v>Pierce</v>
          </cell>
        </row>
        <row r="13">
          <cell r="A13">
            <v>12</v>
          </cell>
          <cell r="B13" t="str">
            <v>Centralia</v>
          </cell>
        </row>
        <row r="14">
          <cell r="A14">
            <v>13</v>
          </cell>
          <cell r="B14" t="str">
            <v>Lower Columbia</v>
          </cell>
        </row>
        <row r="15">
          <cell r="A15">
            <v>14</v>
          </cell>
          <cell r="B15" t="str">
            <v>Clark</v>
          </cell>
        </row>
        <row r="16">
          <cell r="A16">
            <v>15</v>
          </cell>
          <cell r="B16" t="str">
            <v>Wenatchee</v>
          </cell>
        </row>
        <row r="17">
          <cell r="A17">
            <v>16</v>
          </cell>
          <cell r="B17" t="str">
            <v>Yakima Valley</v>
          </cell>
        </row>
        <row r="18">
          <cell r="A18">
            <v>17</v>
          </cell>
          <cell r="B18" t="str">
            <v>Spokane</v>
          </cell>
        </row>
        <row r="19">
          <cell r="A19">
            <v>18</v>
          </cell>
          <cell r="B19" t="str">
            <v>Big Bend</v>
          </cell>
        </row>
        <row r="20">
          <cell r="A20">
            <v>19</v>
          </cell>
          <cell r="B20" t="str">
            <v>Columbia Basin</v>
          </cell>
        </row>
        <row r="21">
          <cell r="A21">
            <v>20</v>
          </cell>
          <cell r="B21" t="str">
            <v>Walla Walla</v>
          </cell>
        </row>
        <row r="22">
          <cell r="A22">
            <v>21</v>
          </cell>
          <cell r="B22" t="str">
            <v>Whatcom</v>
          </cell>
        </row>
        <row r="23">
          <cell r="A23">
            <v>22</v>
          </cell>
          <cell r="B23" t="str">
            <v>Tacoma</v>
          </cell>
        </row>
        <row r="24">
          <cell r="A24">
            <v>23</v>
          </cell>
          <cell r="B24" t="str">
            <v>Edmonds</v>
          </cell>
        </row>
        <row r="25">
          <cell r="A25">
            <v>24</v>
          </cell>
          <cell r="B25" t="str">
            <v>South Puget Sound</v>
          </cell>
        </row>
        <row r="26">
          <cell r="A26">
            <v>25</v>
          </cell>
          <cell r="B26" t="str">
            <v>Bellingham</v>
          </cell>
        </row>
        <row r="27">
          <cell r="A27">
            <v>26</v>
          </cell>
          <cell r="B27" t="str">
            <v>Lake Washington</v>
          </cell>
        </row>
        <row r="28">
          <cell r="A28">
            <v>27</v>
          </cell>
          <cell r="B28" t="str">
            <v>Renton</v>
          </cell>
        </row>
        <row r="29">
          <cell r="A29">
            <v>28</v>
          </cell>
          <cell r="B29" t="str">
            <v>Bates</v>
          </cell>
        </row>
        <row r="30">
          <cell r="A30">
            <v>29</v>
          </cell>
          <cell r="B30" t="str">
            <v>Clover Park</v>
          </cell>
        </row>
        <row r="31">
          <cell r="A31">
            <v>30</v>
          </cell>
          <cell r="B31" t="str">
            <v>Cascadia</v>
          </cell>
        </row>
        <row r="32">
          <cell r="A32">
            <v>88</v>
          </cell>
          <cell r="B32" t="str">
            <v>Center for Information Services</v>
          </cell>
        </row>
        <row r="33">
          <cell r="A33">
            <v>89</v>
          </cell>
          <cell r="B33" t="str">
            <v>State Board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ExcelCode</v>
          </cell>
          <cell r="B1" t="str">
            <v>District</v>
          </cell>
          <cell r="C1" t="str">
            <v>Project</v>
          </cell>
          <cell r="D1" t="str">
            <v>Grant</v>
          </cell>
          <cell r="E1" t="str">
            <v>Amount</v>
          </cell>
          <cell r="F1" t="str">
            <v>UseBy</v>
          </cell>
          <cell r="G1" t="str">
            <v>Adjustment</v>
          </cell>
        </row>
        <row r="2">
          <cell r="A2" t="str">
            <v>1Corrections Education Program101-CE-04CBCC</v>
          </cell>
          <cell r="B2">
            <v>1</v>
          </cell>
          <cell r="C2" t="str">
            <v>Corrections Education Program</v>
          </cell>
          <cell r="D2" t="str">
            <v>101-CE-04CBCC</v>
          </cell>
          <cell r="E2">
            <v>1100606</v>
          </cell>
          <cell r="F2">
            <v>38168</v>
          </cell>
          <cell r="G2">
            <v>1100606</v>
          </cell>
        </row>
        <row r="3">
          <cell r="A3" t="str">
            <v>1Assessment101-ASSESS-03</v>
          </cell>
          <cell r="B3">
            <v>1</v>
          </cell>
          <cell r="C3" t="str">
            <v>Assessment</v>
          </cell>
          <cell r="D3" t="str">
            <v>101-ASSESS-03</v>
          </cell>
          <cell r="E3">
            <v>3000</v>
          </cell>
          <cell r="F3">
            <v>37833</v>
          </cell>
          <cell r="G3" t="str">
            <v/>
          </cell>
        </row>
        <row r="4">
          <cell r="A4" t="str">
            <v>1Basic Skills Distance Learning Pilot Project101-DLP-03</v>
          </cell>
          <cell r="B4">
            <v>1</v>
          </cell>
          <cell r="C4" t="str">
            <v>Basic Skills Distance Learning Pilot Project</v>
          </cell>
          <cell r="D4" t="str">
            <v>101-DLP-03</v>
          </cell>
          <cell r="E4">
            <v>9527</v>
          </cell>
          <cell r="F4">
            <v>38168</v>
          </cell>
          <cell r="G4" t="str">
            <v/>
          </cell>
        </row>
        <row r="5">
          <cell r="A5" t="str">
            <v>1CASAS Implementation Training101-CASAS-04</v>
          </cell>
          <cell r="B5">
            <v>1</v>
          </cell>
          <cell r="C5" t="str">
            <v>CASAS Implementation Training</v>
          </cell>
          <cell r="D5" t="str">
            <v>101-CASAS-04</v>
          </cell>
          <cell r="E5">
            <v>750</v>
          </cell>
          <cell r="F5">
            <v>37894</v>
          </cell>
          <cell r="G5" t="str">
            <v/>
          </cell>
        </row>
        <row r="6">
          <cell r="A6" t="str">
            <v>1COABE101-MC-04</v>
          </cell>
          <cell r="B6">
            <v>1</v>
          </cell>
          <cell r="C6" t="str">
            <v>COABE</v>
          </cell>
          <cell r="D6" t="str">
            <v>101-MC-04</v>
          </cell>
          <cell r="E6">
            <v>1000</v>
          </cell>
          <cell r="F6">
            <v>37986</v>
          </cell>
          <cell r="G6">
            <v>1000</v>
          </cell>
        </row>
        <row r="7">
          <cell r="A7" t="str">
            <v>1ABE101-ABE-04</v>
          </cell>
          <cell r="B7">
            <v>1</v>
          </cell>
          <cell r="C7" t="str">
            <v>ABE</v>
          </cell>
          <cell r="D7" t="str">
            <v>101-ABE-04</v>
          </cell>
          <cell r="E7">
            <v>100833</v>
          </cell>
          <cell r="F7">
            <v>38168</v>
          </cell>
          <cell r="G7" t="str">
            <v/>
          </cell>
        </row>
        <row r="8">
          <cell r="A8" t="str">
            <v>1Corrections Education Program101-CE-04OCC</v>
          </cell>
          <cell r="B8">
            <v>1</v>
          </cell>
          <cell r="C8" t="str">
            <v>Corrections Education Program</v>
          </cell>
          <cell r="D8" t="str">
            <v>101-CE-04OCC</v>
          </cell>
          <cell r="E8">
            <v>234815</v>
          </cell>
          <cell r="F8">
            <v>38168</v>
          </cell>
          <cell r="G8">
            <v>234815</v>
          </cell>
        </row>
        <row r="9">
          <cell r="A9" t="str">
            <v>1ELCivics - Federal101-ELC-04</v>
          </cell>
          <cell r="B9">
            <v>1</v>
          </cell>
          <cell r="C9" t="str">
            <v>ELCivics - Federal</v>
          </cell>
          <cell r="D9" t="str">
            <v>101-ELC-04</v>
          </cell>
          <cell r="E9">
            <v>15696</v>
          </cell>
          <cell r="F9">
            <v>38168</v>
          </cell>
          <cell r="G9" t="str">
            <v/>
          </cell>
        </row>
        <row r="10">
          <cell r="A10" t="str">
            <v>1Family Literacy101-FLP-04</v>
          </cell>
          <cell r="B10">
            <v>1</v>
          </cell>
          <cell r="C10" t="str">
            <v>Family Literacy</v>
          </cell>
          <cell r="D10" t="str">
            <v>101-FLP-04</v>
          </cell>
          <cell r="E10">
            <v>28981</v>
          </cell>
          <cell r="F10">
            <v>38168</v>
          </cell>
          <cell r="G10" t="str">
            <v/>
          </cell>
        </row>
        <row r="11">
          <cell r="A11" t="str">
            <v>1OAL Staff Development101-SD-04</v>
          </cell>
          <cell r="B11">
            <v>1</v>
          </cell>
          <cell r="C11" t="str">
            <v>OAL Staff Development</v>
          </cell>
          <cell r="D11" t="str">
            <v>101-SD-04</v>
          </cell>
          <cell r="E11">
            <v>3000</v>
          </cell>
          <cell r="F11">
            <v>38168</v>
          </cell>
          <cell r="G11" t="str">
            <v/>
          </cell>
        </row>
        <row r="12">
          <cell r="A12" t="str">
            <v>1Perkins101-PRK-04</v>
          </cell>
          <cell r="B12">
            <v>1</v>
          </cell>
          <cell r="C12" t="str">
            <v>Perkins</v>
          </cell>
          <cell r="D12" t="str">
            <v>101-PRK-04</v>
          </cell>
          <cell r="E12">
            <v>277819</v>
          </cell>
          <cell r="F12">
            <v>38168</v>
          </cell>
          <cell r="G12" t="str">
            <v/>
          </cell>
        </row>
        <row r="13">
          <cell r="A13" t="str">
            <v>1Tech Prep101-TP-04</v>
          </cell>
          <cell r="B13">
            <v>1</v>
          </cell>
          <cell r="C13" t="str">
            <v>Tech Prep</v>
          </cell>
          <cell r="D13" t="str">
            <v>101-TP-04</v>
          </cell>
          <cell r="E13">
            <v>89207</v>
          </cell>
          <cell r="F13">
            <v>38168</v>
          </cell>
          <cell r="G13" t="str">
            <v/>
          </cell>
        </row>
        <row r="14">
          <cell r="A14" t="str">
            <v>1Volunteer Literacy Program - Federal101-VLP-04</v>
          </cell>
          <cell r="B14">
            <v>1</v>
          </cell>
          <cell r="C14" t="str">
            <v>Volunteer Literacy Program - Federal</v>
          </cell>
          <cell r="D14" t="str">
            <v>101-VLP-04</v>
          </cell>
          <cell r="E14">
            <v>14277</v>
          </cell>
          <cell r="F14">
            <v>38168</v>
          </cell>
          <cell r="G14" t="str">
            <v/>
          </cell>
        </row>
        <row r="15">
          <cell r="A15" t="str">
            <v>1Workfirst 101-WFB-04</v>
          </cell>
          <cell r="B15">
            <v>1</v>
          </cell>
          <cell r="C15" t="str">
            <v xml:space="preserve">Workfirst </v>
          </cell>
          <cell r="D15" t="str">
            <v>101-WFB-04</v>
          </cell>
          <cell r="E15">
            <v>639670</v>
          </cell>
          <cell r="F15">
            <v>38168</v>
          </cell>
          <cell r="G15" t="str">
            <v/>
          </cell>
        </row>
        <row r="16">
          <cell r="A16" t="str">
            <v>1Youth Offender101-IYO-04CO</v>
          </cell>
          <cell r="B16">
            <v>1</v>
          </cell>
          <cell r="C16" t="str">
            <v>Youth Offender</v>
          </cell>
          <cell r="D16" t="str">
            <v>101-IYO-04CO</v>
          </cell>
          <cell r="E16">
            <v>104203</v>
          </cell>
          <cell r="F16">
            <v>38168</v>
          </cell>
          <cell r="G16">
            <v>104203</v>
          </cell>
        </row>
        <row r="17">
          <cell r="A17" t="str">
            <v>1CASAS Train the Trainer101-CTT-04</v>
          </cell>
          <cell r="B17">
            <v>1</v>
          </cell>
          <cell r="C17" t="str">
            <v>CASAS Train the Trainer</v>
          </cell>
          <cell r="D17" t="str">
            <v>101-CTT-04</v>
          </cell>
          <cell r="E17">
            <v>600</v>
          </cell>
          <cell r="F17">
            <v>38168</v>
          </cell>
          <cell r="G17">
            <v>600</v>
          </cell>
        </row>
        <row r="18">
          <cell r="A18" t="str">
            <v>2Family Literacy102-FLP-04</v>
          </cell>
          <cell r="B18">
            <v>2</v>
          </cell>
          <cell r="C18" t="str">
            <v>Family Literacy</v>
          </cell>
          <cell r="D18" t="str">
            <v>102-FLP-04</v>
          </cell>
          <cell r="E18">
            <v>28981</v>
          </cell>
          <cell r="F18">
            <v>38168</v>
          </cell>
          <cell r="G18" t="str">
            <v/>
          </cell>
        </row>
        <row r="19">
          <cell r="A19" t="str">
            <v>2Volunteer Literacy Program - Federal102-VLP-04</v>
          </cell>
          <cell r="B19">
            <v>2</v>
          </cell>
          <cell r="C19" t="str">
            <v>Volunteer Literacy Program - Federal</v>
          </cell>
          <cell r="D19" t="str">
            <v>102-VLP-04</v>
          </cell>
          <cell r="E19">
            <v>14277</v>
          </cell>
          <cell r="F19">
            <v>38168</v>
          </cell>
          <cell r="G19" t="str">
            <v/>
          </cell>
        </row>
        <row r="20">
          <cell r="A20" t="str">
            <v>2Tech Prep102-TP-04</v>
          </cell>
          <cell r="B20">
            <v>2</v>
          </cell>
          <cell r="C20" t="str">
            <v>Tech Prep</v>
          </cell>
          <cell r="D20" t="str">
            <v>102-TP-04</v>
          </cell>
          <cell r="E20">
            <v>92571</v>
          </cell>
          <cell r="F20">
            <v>38168</v>
          </cell>
          <cell r="G20" t="str">
            <v/>
          </cell>
        </row>
        <row r="21">
          <cell r="A21" t="str">
            <v>2Perkins102-PRK-04</v>
          </cell>
          <cell r="B21">
            <v>2</v>
          </cell>
          <cell r="C21" t="str">
            <v>Perkins</v>
          </cell>
          <cell r="D21" t="str">
            <v>102-PRK-04</v>
          </cell>
          <cell r="E21">
            <v>374875</v>
          </cell>
          <cell r="F21">
            <v>38168</v>
          </cell>
          <cell r="G21" t="str">
            <v/>
          </cell>
        </row>
        <row r="22">
          <cell r="A22" t="str">
            <v>2OAL Staff Development102-SD-04</v>
          </cell>
          <cell r="B22">
            <v>2</v>
          </cell>
          <cell r="C22" t="str">
            <v>OAL Staff Development</v>
          </cell>
          <cell r="D22" t="str">
            <v>102-SD-04</v>
          </cell>
          <cell r="E22">
            <v>3000</v>
          </cell>
          <cell r="F22">
            <v>38168</v>
          </cell>
          <cell r="G22">
            <v>3000</v>
          </cell>
        </row>
        <row r="23">
          <cell r="A23" t="str">
            <v>2New Teacher Orientation Distance Learning Pilot102-NTO-04</v>
          </cell>
          <cell r="B23">
            <v>2</v>
          </cell>
          <cell r="C23" t="str">
            <v>New Teacher Orientation Distance Learning Pilot</v>
          </cell>
          <cell r="D23" t="str">
            <v>102-NTO-04</v>
          </cell>
          <cell r="E23">
            <v>1000</v>
          </cell>
          <cell r="F23">
            <v>37986</v>
          </cell>
          <cell r="G23" t="str">
            <v/>
          </cell>
        </row>
        <row r="24">
          <cell r="A24" t="str">
            <v>2ELCivics - State102-ELC-04</v>
          </cell>
          <cell r="B24">
            <v>2</v>
          </cell>
          <cell r="C24" t="str">
            <v>ELCivics - State</v>
          </cell>
          <cell r="D24" t="str">
            <v>102-ELC-04</v>
          </cell>
          <cell r="E24">
            <v>10141</v>
          </cell>
          <cell r="F24">
            <v>38168</v>
          </cell>
          <cell r="G24" t="str">
            <v/>
          </cell>
        </row>
        <row r="25">
          <cell r="A25" t="str">
            <v>2Corrections Education Program102-CE-04SCCC</v>
          </cell>
          <cell r="B25">
            <v>2</v>
          </cell>
          <cell r="C25" t="str">
            <v>Corrections Education Program</v>
          </cell>
          <cell r="D25" t="str">
            <v>102-CE-04SCCC</v>
          </cell>
          <cell r="E25">
            <v>1274044</v>
          </cell>
          <cell r="F25">
            <v>38168</v>
          </cell>
          <cell r="G25">
            <v>7023</v>
          </cell>
        </row>
        <row r="26">
          <cell r="A26" t="str">
            <v>2CASAS Train the Trainer102-CTT-04</v>
          </cell>
          <cell r="B26">
            <v>2</v>
          </cell>
          <cell r="C26" t="str">
            <v>CASAS Train the Trainer</v>
          </cell>
          <cell r="D26" t="str">
            <v>102-CTT-04</v>
          </cell>
          <cell r="E26">
            <v>900</v>
          </cell>
          <cell r="F26">
            <v>38168</v>
          </cell>
          <cell r="G26" t="str">
            <v/>
          </cell>
        </row>
        <row r="27">
          <cell r="A27" t="str">
            <v>2CASAS Implementation Training102-CASAS-04</v>
          </cell>
          <cell r="B27">
            <v>2</v>
          </cell>
          <cell r="C27" t="str">
            <v>CASAS Implementation Training</v>
          </cell>
          <cell r="D27" t="str">
            <v>102-CASAS-04</v>
          </cell>
          <cell r="E27">
            <v>1125</v>
          </cell>
          <cell r="F27">
            <v>37894</v>
          </cell>
          <cell r="G27" t="str">
            <v/>
          </cell>
        </row>
        <row r="28">
          <cell r="A28" t="str">
            <v>2ABE102-ABE-04</v>
          </cell>
          <cell r="B28">
            <v>2</v>
          </cell>
          <cell r="C28" t="str">
            <v>ABE</v>
          </cell>
          <cell r="D28" t="str">
            <v>102-ABE-04</v>
          </cell>
          <cell r="E28">
            <v>124175</v>
          </cell>
          <cell r="F28">
            <v>38168</v>
          </cell>
          <cell r="G28" t="str">
            <v/>
          </cell>
        </row>
        <row r="29">
          <cell r="A29" t="str">
            <v>2Workfirst 102-WFB-04</v>
          </cell>
          <cell r="B29">
            <v>2</v>
          </cell>
          <cell r="C29" t="str">
            <v xml:space="preserve">Workfirst </v>
          </cell>
          <cell r="D29" t="str">
            <v>102-WFB-04</v>
          </cell>
          <cell r="E29">
            <v>381261</v>
          </cell>
          <cell r="F29">
            <v>38168</v>
          </cell>
          <cell r="G29" t="str">
            <v/>
          </cell>
        </row>
        <row r="30">
          <cell r="A30" t="str">
            <v>2Assessment102-ASSESS-03</v>
          </cell>
          <cell r="B30">
            <v>2</v>
          </cell>
          <cell r="C30" t="str">
            <v>Assessment</v>
          </cell>
          <cell r="D30" t="str">
            <v>102-ASSESS-03</v>
          </cell>
          <cell r="E30">
            <v>3000</v>
          </cell>
          <cell r="F30">
            <v>37833</v>
          </cell>
          <cell r="G30" t="str">
            <v/>
          </cell>
        </row>
        <row r="31">
          <cell r="A31" t="str">
            <v>3ELCivics - Federal103-ELC-04</v>
          </cell>
          <cell r="B31">
            <v>3</v>
          </cell>
          <cell r="C31" t="str">
            <v>ELCivics - Federal</v>
          </cell>
          <cell r="D31" t="str">
            <v>103-ELC-04</v>
          </cell>
          <cell r="E31">
            <v>15141</v>
          </cell>
          <cell r="F31">
            <v>38168</v>
          </cell>
          <cell r="G31" t="str">
            <v/>
          </cell>
        </row>
        <row r="32">
          <cell r="A32" t="str">
            <v>3Workfirst 103-WFB-04</v>
          </cell>
          <cell r="B32">
            <v>3</v>
          </cell>
          <cell r="C32" t="str">
            <v xml:space="preserve">Workfirst </v>
          </cell>
          <cell r="D32" t="str">
            <v>103-WFB-04</v>
          </cell>
          <cell r="E32">
            <v>530829</v>
          </cell>
          <cell r="F32">
            <v>38168</v>
          </cell>
          <cell r="G32" t="str">
            <v/>
          </cell>
        </row>
        <row r="33">
          <cell r="A33" t="str">
            <v>3Tech Prep103-TP-04</v>
          </cell>
          <cell r="B33">
            <v>3</v>
          </cell>
          <cell r="C33" t="str">
            <v>Tech Prep</v>
          </cell>
          <cell r="D33" t="str">
            <v>103-TP-04</v>
          </cell>
          <cell r="E33">
            <v>78970</v>
          </cell>
          <cell r="F33">
            <v>38168</v>
          </cell>
          <cell r="G33" t="str">
            <v/>
          </cell>
        </row>
        <row r="34">
          <cell r="A34" t="str">
            <v>3Perkins103-PRK-04</v>
          </cell>
          <cell r="B34">
            <v>3</v>
          </cell>
          <cell r="C34" t="str">
            <v>Perkins</v>
          </cell>
          <cell r="D34" t="str">
            <v>103-PRK-04</v>
          </cell>
          <cell r="E34">
            <v>308323</v>
          </cell>
          <cell r="F34">
            <v>38168</v>
          </cell>
          <cell r="G34" t="str">
            <v/>
          </cell>
        </row>
        <row r="35">
          <cell r="A35" t="str">
            <v>3Non-Traditional Project103-NT-04</v>
          </cell>
          <cell r="B35">
            <v>3</v>
          </cell>
          <cell r="C35" t="str">
            <v>Non-Traditional Project</v>
          </cell>
          <cell r="D35" t="str">
            <v>103-NT-04</v>
          </cell>
          <cell r="E35">
            <v>5000</v>
          </cell>
          <cell r="F35">
            <v>38168</v>
          </cell>
          <cell r="G35">
            <v>5000</v>
          </cell>
        </row>
        <row r="36">
          <cell r="A36" t="str">
            <v>3CASAS Implementation Training103-CASAS-04</v>
          </cell>
          <cell r="B36">
            <v>3</v>
          </cell>
          <cell r="C36" t="str">
            <v>CASAS Implementation Training</v>
          </cell>
          <cell r="D36" t="str">
            <v>103-CASAS-04</v>
          </cell>
          <cell r="E36">
            <v>300</v>
          </cell>
          <cell r="F36">
            <v>37894</v>
          </cell>
          <cell r="G36" t="str">
            <v/>
          </cell>
        </row>
        <row r="37">
          <cell r="A37" t="str">
            <v>3Best Practices103-BP-04</v>
          </cell>
          <cell r="B37">
            <v>3</v>
          </cell>
          <cell r="C37" t="str">
            <v>Best Practices</v>
          </cell>
          <cell r="D37" t="str">
            <v>103-BP-04</v>
          </cell>
          <cell r="E37">
            <v>9379</v>
          </cell>
          <cell r="F37">
            <v>38168</v>
          </cell>
          <cell r="G37" t="str">
            <v/>
          </cell>
        </row>
        <row r="38">
          <cell r="A38" t="str">
            <v>3ABE103-ABE-04</v>
          </cell>
          <cell r="B38">
            <v>3</v>
          </cell>
          <cell r="C38" t="str">
            <v>ABE</v>
          </cell>
          <cell r="D38" t="str">
            <v>103-ABE-04</v>
          </cell>
          <cell r="E38">
            <v>93572</v>
          </cell>
          <cell r="F38">
            <v>38168</v>
          </cell>
          <cell r="G38" t="str">
            <v/>
          </cell>
        </row>
        <row r="39">
          <cell r="A39" t="str">
            <v>3Assessment103-ASSESS-03</v>
          </cell>
          <cell r="B39">
            <v>3</v>
          </cell>
          <cell r="C39" t="str">
            <v>Assessment</v>
          </cell>
          <cell r="D39" t="str">
            <v>103-ASSESS-03</v>
          </cell>
          <cell r="E39">
            <v>3000</v>
          </cell>
          <cell r="F39">
            <v>37833</v>
          </cell>
          <cell r="G39" t="str">
            <v/>
          </cell>
        </row>
        <row r="40">
          <cell r="A40" t="str">
            <v>3CASAS Train the Trainer103-CTT-04</v>
          </cell>
          <cell r="B40">
            <v>3</v>
          </cell>
          <cell r="C40" t="str">
            <v>CASAS Train the Trainer</v>
          </cell>
          <cell r="D40" t="str">
            <v>103-CTT-04</v>
          </cell>
          <cell r="E40">
            <v>600</v>
          </cell>
          <cell r="F40">
            <v>38168</v>
          </cell>
          <cell r="G40" t="str">
            <v/>
          </cell>
        </row>
        <row r="41">
          <cell r="A41" t="str">
            <v>4OAL Staff Development104-SD-04</v>
          </cell>
          <cell r="B41">
            <v>4</v>
          </cell>
          <cell r="C41" t="str">
            <v>OAL Staff Development</v>
          </cell>
          <cell r="D41" t="str">
            <v>104-SD-04</v>
          </cell>
          <cell r="E41">
            <v>2000</v>
          </cell>
          <cell r="F41">
            <v>38168</v>
          </cell>
          <cell r="G41">
            <v>2000</v>
          </cell>
        </row>
        <row r="42">
          <cell r="A42" t="str">
            <v>4Workfirst 104-WFB-04</v>
          </cell>
          <cell r="B42">
            <v>4</v>
          </cell>
          <cell r="C42" t="str">
            <v xml:space="preserve">Workfirst </v>
          </cell>
          <cell r="D42" t="str">
            <v>104-WFB-04</v>
          </cell>
          <cell r="E42">
            <v>334099</v>
          </cell>
          <cell r="F42">
            <v>38168</v>
          </cell>
          <cell r="G42" t="str">
            <v/>
          </cell>
        </row>
        <row r="43">
          <cell r="A43" t="str">
            <v>4Tech Prep104-TP-04</v>
          </cell>
          <cell r="B43">
            <v>4</v>
          </cell>
          <cell r="C43" t="str">
            <v>Tech Prep</v>
          </cell>
          <cell r="D43" t="str">
            <v>104-TP-04</v>
          </cell>
          <cell r="E43">
            <v>79711</v>
          </cell>
          <cell r="F43">
            <v>38168</v>
          </cell>
          <cell r="G43" t="str">
            <v/>
          </cell>
        </row>
        <row r="44">
          <cell r="A44" t="str">
            <v>4Perkins104-PRK-04</v>
          </cell>
          <cell r="B44">
            <v>4</v>
          </cell>
          <cell r="C44" t="str">
            <v>Perkins</v>
          </cell>
          <cell r="D44" t="str">
            <v>104-PRK-04</v>
          </cell>
          <cell r="E44">
            <v>305775</v>
          </cell>
          <cell r="F44">
            <v>38168</v>
          </cell>
          <cell r="G44" t="str">
            <v/>
          </cell>
        </row>
        <row r="45">
          <cell r="A45" t="str">
            <v>4Family Literacy104-FLP-04</v>
          </cell>
          <cell r="B45">
            <v>4</v>
          </cell>
          <cell r="C45" t="str">
            <v>Family Literacy</v>
          </cell>
          <cell r="D45" t="str">
            <v>104-FLP-04</v>
          </cell>
          <cell r="E45">
            <v>28981</v>
          </cell>
          <cell r="F45">
            <v>38168</v>
          </cell>
          <cell r="G45" t="str">
            <v/>
          </cell>
        </row>
        <row r="46">
          <cell r="A46" t="str">
            <v>4CASAS Train the Trainer104-CTT-04</v>
          </cell>
          <cell r="B46">
            <v>4</v>
          </cell>
          <cell r="C46" t="str">
            <v>CASAS Train the Trainer</v>
          </cell>
          <cell r="D46" t="str">
            <v>104-CTT-04</v>
          </cell>
          <cell r="E46">
            <v>600</v>
          </cell>
          <cell r="F46">
            <v>38168</v>
          </cell>
          <cell r="G46" t="str">
            <v/>
          </cell>
        </row>
        <row r="47">
          <cell r="A47" t="str">
            <v>4CASAS Implementation Training104-CASAS-04</v>
          </cell>
          <cell r="B47">
            <v>4</v>
          </cell>
          <cell r="C47" t="str">
            <v>CASAS Implementation Training</v>
          </cell>
          <cell r="D47" t="str">
            <v>104-CASAS-04</v>
          </cell>
          <cell r="E47">
            <v>600</v>
          </cell>
          <cell r="F47">
            <v>37894</v>
          </cell>
          <cell r="G47" t="str">
            <v/>
          </cell>
        </row>
        <row r="48">
          <cell r="A48" t="str">
            <v>4Assessment104-ASSESS-03</v>
          </cell>
          <cell r="B48">
            <v>4</v>
          </cell>
          <cell r="C48" t="str">
            <v>Assessment</v>
          </cell>
          <cell r="D48" t="str">
            <v>104-ASSESS-03</v>
          </cell>
          <cell r="E48">
            <v>4000</v>
          </cell>
          <cell r="F48">
            <v>37833</v>
          </cell>
          <cell r="G48" t="str">
            <v/>
          </cell>
        </row>
        <row r="49">
          <cell r="A49" t="str">
            <v>4ABE104-ABE-04</v>
          </cell>
          <cell r="B49">
            <v>4</v>
          </cell>
          <cell r="C49" t="str">
            <v>ABE</v>
          </cell>
          <cell r="D49" t="str">
            <v>104-ABE-04</v>
          </cell>
          <cell r="E49">
            <v>139752</v>
          </cell>
          <cell r="F49">
            <v>38168</v>
          </cell>
          <cell r="G49" t="str">
            <v/>
          </cell>
        </row>
        <row r="50">
          <cell r="A50" t="str">
            <v>4ELCivics - Federal104-ELC-04</v>
          </cell>
          <cell r="B50">
            <v>4</v>
          </cell>
          <cell r="C50" t="str">
            <v>ELCivics - Federal</v>
          </cell>
          <cell r="D50" t="str">
            <v>104-ELC-04</v>
          </cell>
          <cell r="E50">
            <v>37112</v>
          </cell>
          <cell r="F50">
            <v>38168</v>
          </cell>
          <cell r="G50" t="str">
            <v/>
          </cell>
        </row>
        <row r="51">
          <cell r="A51" t="str">
            <v>4RTI104-RTI-04</v>
          </cell>
          <cell r="B51">
            <v>4</v>
          </cell>
          <cell r="C51" t="str">
            <v>RTI</v>
          </cell>
          <cell r="D51" t="str">
            <v>104-RTI-04</v>
          </cell>
          <cell r="E51">
            <v>1000</v>
          </cell>
          <cell r="F51">
            <v>38168</v>
          </cell>
          <cell r="G51" t="str">
            <v/>
          </cell>
        </row>
        <row r="52">
          <cell r="A52" t="str">
            <v>5ABE105-ABE-04</v>
          </cell>
          <cell r="B52">
            <v>5</v>
          </cell>
          <cell r="C52" t="str">
            <v>ABE</v>
          </cell>
          <cell r="D52" t="str">
            <v>105-ABE-04</v>
          </cell>
          <cell r="E52">
            <v>205970</v>
          </cell>
          <cell r="F52">
            <v>38168</v>
          </cell>
          <cell r="G52" t="str">
            <v/>
          </cell>
        </row>
        <row r="53">
          <cell r="A53" t="str">
            <v>5Tech Prep105-TP-04</v>
          </cell>
          <cell r="B53">
            <v>5</v>
          </cell>
          <cell r="C53" t="str">
            <v>Tech Prep</v>
          </cell>
          <cell r="D53" t="str">
            <v>105-TP-04</v>
          </cell>
          <cell r="E53">
            <v>103551</v>
          </cell>
          <cell r="F53">
            <v>38168</v>
          </cell>
          <cell r="G53" t="str">
            <v/>
          </cell>
        </row>
        <row r="54">
          <cell r="A54" t="str">
            <v>5Perkins105-PRK-04</v>
          </cell>
          <cell r="B54">
            <v>5</v>
          </cell>
          <cell r="C54" t="str">
            <v>Perkins</v>
          </cell>
          <cell r="D54" t="str">
            <v>105-PRK-04</v>
          </cell>
          <cell r="E54">
            <v>349445</v>
          </cell>
          <cell r="F54">
            <v>38168</v>
          </cell>
          <cell r="G54" t="str">
            <v/>
          </cell>
        </row>
        <row r="55">
          <cell r="A55" t="str">
            <v>5OAL Staff Development105-SD-04</v>
          </cell>
          <cell r="B55">
            <v>5</v>
          </cell>
          <cell r="C55" t="str">
            <v>OAL Staff Development</v>
          </cell>
          <cell r="D55" t="str">
            <v>105-SD-04</v>
          </cell>
          <cell r="E55">
            <v>2000</v>
          </cell>
          <cell r="F55">
            <v>38168</v>
          </cell>
          <cell r="G55">
            <v>2000</v>
          </cell>
        </row>
        <row r="56">
          <cell r="A56" t="str">
            <v>5New Teacher Orientation Distance Learning Pilot105-NTO-04</v>
          </cell>
          <cell r="B56">
            <v>5</v>
          </cell>
          <cell r="C56" t="str">
            <v>New Teacher Orientation Distance Learning Pilot</v>
          </cell>
          <cell r="D56" t="str">
            <v>105-NTO-04</v>
          </cell>
          <cell r="E56">
            <v>500</v>
          </cell>
          <cell r="F56">
            <v>37986</v>
          </cell>
          <cell r="G56" t="str">
            <v/>
          </cell>
        </row>
        <row r="57">
          <cell r="A57" t="str">
            <v>5ELCivics - Federal105-ELC-04</v>
          </cell>
          <cell r="B57">
            <v>5</v>
          </cell>
          <cell r="C57" t="str">
            <v>ELCivics - Federal</v>
          </cell>
          <cell r="D57" t="str">
            <v>105-ELC-04</v>
          </cell>
          <cell r="E57">
            <v>63747</v>
          </cell>
          <cell r="F57">
            <v>38168</v>
          </cell>
          <cell r="G57" t="str">
            <v/>
          </cell>
        </row>
        <row r="58">
          <cell r="A58" t="str">
            <v>5CASAS Train the Trainer105-CTT-04</v>
          </cell>
          <cell r="B58">
            <v>5</v>
          </cell>
          <cell r="C58" t="str">
            <v>CASAS Train the Trainer</v>
          </cell>
          <cell r="D58" t="str">
            <v>105-CTT-04</v>
          </cell>
          <cell r="E58">
            <v>1200</v>
          </cell>
          <cell r="F58">
            <v>38168</v>
          </cell>
          <cell r="G58">
            <v>900</v>
          </cell>
        </row>
        <row r="59">
          <cell r="A59" t="str">
            <v>5Assessment105-ASSESS-03</v>
          </cell>
          <cell r="B59">
            <v>5</v>
          </cell>
          <cell r="C59" t="str">
            <v>Assessment</v>
          </cell>
          <cell r="D59" t="str">
            <v>105-ASSESS-03</v>
          </cell>
          <cell r="E59">
            <v>3000</v>
          </cell>
          <cell r="F59">
            <v>37833</v>
          </cell>
          <cell r="G59" t="str">
            <v/>
          </cell>
        </row>
        <row r="60">
          <cell r="A60" t="str">
            <v>5Workfirst 105-WFB-04</v>
          </cell>
          <cell r="B60">
            <v>5</v>
          </cell>
          <cell r="C60" t="str">
            <v xml:space="preserve">Workfirst </v>
          </cell>
          <cell r="D60" t="str">
            <v>105-WFB-04</v>
          </cell>
          <cell r="E60">
            <v>1211656</v>
          </cell>
          <cell r="F60">
            <v>38168</v>
          </cell>
          <cell r="G60" t="str">
            <v/>
          </cell>
        </row>
        <row r="61">
          <cell r="A61" t="str">
            <v>5CBRNE Awareness Level Training Project105-LALT-04</v>
          </cell>
          <cell r="B61">
            <v>5</v>
          </cell>
          <cell r="C61" t="str">
            <v>CBRNE Awareness Level Training Project</v>
          </cell>
          <cell r="D61" t="str">
            <v>105-LALT-04</v>
          </cell>
          <cell r="E61">
            <v>25000</v>
          </cell>
          <cell r="F61">
            <v>38260</v>
          </cell>
          <cell r="G61">
            <v>25000</v>
          </cell>
        </row>
        <row r="62">
          <cell r="A62" t="str">
            <v>5Best Practices105-BP-04</v>
          </cell>
          <cell r="B62">
            <v>5</v>
          </cell>
          <cell r="C62" t="str">
            <v>Best Practices</v>
          </cell>
          <cell r="D62" t="str">
            <v>105-BP-04</v>
          </cell>
          <cell r="E62">
            <v>10000</v>
          </cell>
          <cell r="F62">
            <v>38168</v>
          </cell>
          <cell r="G62" t="str">
            <v/>
          </cell>
        </row>
        <row r="63">
          <cell r="A63" t="str">
            <v>5CASAS Implementation Training105-CASAS-04</v>
          </cell>
          <cell r="B63">
            <v>5</v>
          </cell>
          <cell r="C63" t="str">
            <v>CASAS Implementation Training</v>
          </cell>
          <cell r="D63" t="str">
            <v>105-CASAS-04</v>
          </cell>
          <cell r="E63">
            <v>1200</v>
          </cell>
          <cell r="F63">
            <v>37894</v>
          </cell>
          <cell r="G63" t="str">
            <v/>
          </cell>
        </row>
        <row r="64">
          <cell r="A64" t="str">
            <v>6RTI106S-RTI-04</v>
          </cell>
          <cell r="B64">
            <v>6</v>
          </cell>
          <cell r="C64" t="str">
            <v>RTI</v>
          </cell>
          <cell r="D64" t="str">
            <v>106S-RTI-04</v>
          </cell>
          <cell r="E64">
            <v>5000</v>
          </cell>
          <cell r="F64">
            <v>38168</v>
          </cell>
          <cell r="G64" t="str">
            <v/>
          </cell>
        </row>
        <row r="65">
          <cell r="A65" t="str">
            <v>6Non-Traditional Project106S-NT-04</v>
          </cell>
          <cell r="B65">
            <v>6</v>
          </cell>
          <cell r="C65" t="str">
            <v>Non-Traditional Project</v>
          </cell>
          <cell r="D65" t="str">
            <v>106S-NT-04</v>
          </cell>
          <cell r="E65">
            <v>5000</v>
          </cell>
          <cell r="F65">
            <v>38168</v>
          </cell>
          <cell r="G65">
            <v>5000</v>
          </cell>
        </row>
        <row r="66">
          <cell r="A66" t="str">
            <v>6OAL Staff Development106C-SD-04</v>
          </cell>
          <cell r="B66">
            <v>6</v>
          </cell>
          <cell r="C66" t="str">
            <v>OAL Staff Development</v>
          </cell>
          <cell r="D66" t="str">
            <v>106C-SD-04</v>
          </cell>
          <cell r="E66">
            <v>3000</v>
          </cell>
          <cell r="F66">
            <v>38168</v>
          </cell>
          <cell r="G66">
            <v>3000</v>
          </cell>
        </row>
        <row r="67">
          <cell r="A67" t="str">
            <v>6Workfirst 106D-WFB-04 SVI</v>
          </cell>
          <cell r="B67">
            <v>6</v>
          </cell>
          <cell r="C67" t="str">
            <v xml:space="preserve">Workfirst </v>
          </cell>
          <cell r="D67" t="str">
            <v>106D-WFB-04 SVI</v>
          </cell>
          <cell r="E67">
            <v>106591</v>
          </cell>
          <cell r="F67">
            <v>38168</v>
          </cell>
          <cell r="G67" t="str">
            <v/>
          </cell>
        </row>
        <row r="68">
          <cell r="A68" t="str">
            <v>6Perkins106D-PRK-04 Ce</v>
          </cell>
          <cell r="B68">
            <v>6</v>
          </cell>
          <cell r="C68" t="str">
            <v>Perkins</v>
          </cell>
          <cell r="D68" t="str">
            <v>106D-PRK-04 Ce</v>
          </cell>
          <cell r="E68">
            <v>252656</v>
          </cell>
          <cell r="F68">
            <v>38168</v>
          </cell>
          <cell r="G68">
            <v>6074</v>
          </cell>
        </row>
        <row r="69">
          <cell r="A69" t="str">
            <v>6Perkins106D-PRK-04 No</v>
          </cell>
          <cell r="B69">
            <v>6</v>
          </cell>
          <cell r="C69" t="str">
            <v>Perkins</v>
          </cell>
          <cell r="D69" t="str">
            <v>106D-PRK-04 No</v>
          </cell>
          <cell r="E69">
            <v>191406</v>
          </cell>
          <cell r="F69">
            <v>38168</v>
          </cell>
          <cell r="G69">
            <v>4601</v>
          </cell>
        </row>
        <row r="70">
          <cell r="A70" t="str">
            <v>6Perkins106D-PRK-04 So</v>
          </cell>
          <cell r="B70">
            <v>6</v>
          </cell>
          <cell r="C70" t="str">
            <v>Perkins</v>
          </cell>
          <cell r="D70" t="str">
            <v>106D-PRK-04 So</v>
          </cell>
          <cell r="E70">
            <v>245000</v>
          </cell>
          <cell r="F70">
            <v>38168</v>
          </cell>
          <cell r="G70">
            <v>5890</v>
          </cell>
        </row>
        <row r="71">
          <cell r="A71" t="str">
            <v>6Perkins106D-PRK-04 SVI</v>
          </cell>
          <cell r="B71">
            <v>6</v>
          </cell>
          <cell r="C71" t="str">
            <v>Perkins</v>
          </cell>
          <cell r="D71" t="str">
            <v>106D-PRK-04 SVI</v>
          </cell>
          <cell r="E71">
            <v>76562</v>
          </cell>
          <cell r="F71">
            <v>38168</v>
          </cell>
          <cell r="G71">
            <v>1840</v>
          </cell>
        </row>
        <row r="72">
          <cell r="A72" t="str">
            <v>6Family Literacy106S-FLP-04</v>
          </cell>
          <cell r="B72">
            <v>6</v>
          </cell>
          <cell r="C72" t="str">
            <v>Family Literacy</v>
          </cell>
          <cell r="D72" t="str">
            <v>106S-FLP-04</v>
          </cell>
          <cell r="E72">
            <v>28981</v>
          </cell>
          <cell r="F72">
            <v>38168</v>
          </cell>
          <cell r="G72" t="str">
            <v/>
          </cell>
        </row>
        <row r="73">
          <cell r="A73" t="str">
            <v>6RTI106C-RTI2-04</v>
          </cell>
          <cell r="B73">
            <v>6</v>
          </cell>
          <cell r="C73" t="str">
            <v>RTI</v>
          </cell>
          <cell r="D73" t="str">
            <v>106C-RTI2-04</v>
          </cell>
          <cell r="E73">
            <v>979</v>
          </cell>
          <cell r="F73">
            <v>38168</v>
          </cell>
          <cell r="G73" t="str">
            <v/>
          </cell>
        </row>
        <row r="74">
          <cell r="A74" t="str">
            <v>6OAL Staff Development106N-SD-04</v>
          </cell>
          <cell r="B74">
            <v>6</v>
          </cell>
          <cell r="C74" t="str">
            <v>OAL Staff Development</v>
          </cell>
          <cell r="D74" t="str">
            <v>106N-SD-04</v>
          </cell>
          <cell r="E74">
            <v>2000</v>
          </cell>
          <cell r="F74">
            <v>38168</v>
          </cell>
          <cell r="G74">
            <v>2000</v>
          </cell>
        </row>
        <row r="75">
          <cell r="A75" t="str">
            <v>6Tech Prep106D-TP-04</v>
          </cell>
          <cell r="B75">
            <v>6</v>
          </cell>
          <cell r="C75" t="str">
            <v>Tech Prep</v>
          </cell>
          <cell r="D75" t="str">
            <v>106D-TP-04</v>
          </cell>
          <cell r="E75">
            <v>88120</v>
          </cell>
          <cell r="F75">
            <v>38168</v>
          </cell>
          <cell r="G75" t="str">
            <v/>
          </cell>
        </row>
        <row r="76">
          <cell r="A76" t="str">
            <v>6Tech Prep106S-TP-04</v>
          </cell>
          <cell r="B76">
            <v>6</v>
          </cell>
          <cell r="C76" t="str">
            <v>Tech Prep</v>
          </cell>
          <cell r="D76" t="str">
            <v>106S-TP-04</v>
          </cell>
          <cell r="E76">
            <v>77683</v>
          </cell>
          <cell r="F76">
            <v>38168</v>
          </cell>
          <cell r="G76" t="str">
            <v/>
          </cell>
        </row>
        <row r="77">
          <cell r="A77" t="str">
            <v>6Volunteer Literacy Program - State106C-VLP-04</v>
          </cell>
          <cell r="B77">
            <v>6</v>
          </cell>
          <cell r="C77" t="str">
            <v>Volunteer Literacy Program - State</v>
          </cell>
          <cell r="D77" t="str">
            <v>106C-VLP-04</v>
          </cell>
          <cell r="E77">
            <v>21189</v>
          </cell>
          <cell r="F77">
            <v>38168</v>
          </cell>
          <cell r="G77" t="str">
            <v/>
          </cell>
        </row>
        <row r="78">
          <cell r="A78" t="str">
            <v>6Workfirst 106D-WFB-04 Ce</v>
          </cell>
          <cell r="B78">
            <v>6</v>
          </cell>
          <cell r="C78" t="str">
            <v xml:space="preserve">Workfirst </v>
          </cell>
          <cell r="D78" t="str">
            <v>106D-WFB-04 Ce</v>
          </cell>
          <cell r="E78">
            <v>550724</v>
          </cell>
          <cell r="F78">
            <v>38168</v>
          </cell>
          <cell r="G78" t="str">
            <v/>
          </cell>
        </row>
        <row r="79">
          <cell r="A79" t="str">
            <v>6Workfirst 106D-WFB-04 No</v>
          </cell>
          <cell r="B79">
            <v>6</v>
          </cell>
          <cell r="C79" t="str">
            <v xml:space="preserve">Workfirst </v>
          </cell>
          <cell r="D79" t="str">
            <v>106D-WFB-04 No</v>
          </cell>
          <cell r="E79">
            <v>248714</v>
          </cell>
          <cell r="F79">
            <v>38168</v>
          </cell>
          <cell r="G79" t="str">
            <v/>
          </cell>
        </row>
        <row r="80">
          <cell r="A80" t="str">
            <v>6Workfirst 106D-WFB-04 So</v>
          </cell>
          <cell r="B80">
            <v>6</v>
          </cell>
          <cell r="C80" t="str">
            <v xml:space="preserve">Workfirst </v>
          </cell>
          <cell r="D80" t="str">
            <v>106D-WFB-04 So</v>
          </cell>
          <cell r="E80">
            <v>870498</v>
          </cell>
          <cell r="F80">
            <v>38168</v>
          </cell>
          <cell r="G80" t="str">
            <v/>
          </cell>
        </row>
        <row r="81">
          <cell r="A81" t="str">
            <v>6ELCivics - Federal106C-ELC-04</v>
          </cell>
          <cell r="B81">
            <v>6</v>
          </cell>
          <cell r="C81" t="str">
            <v>ELCivics - Federal</v>
          </cell>
          <cell r="D81" t="str">
            <v>106C-ELC-04</v>
          </cell>
          <cell r="E81">
            <v>75185</v>
          </cell>
          <cell r="F81">
            <v>38168</v>
          </cell>
          <cell r="G81" t="str">
            <v/>
          </cell>
        </row>
        <row r="82">
          <cell r="A82" t="str">
            <v>6RTI106C-RTI-04</v>
          </cell>
          <cell r="B82">
            <v>6</v>
          </cell>
          <cell r="C82" t="str">
            <v>RTI</v>
          </cell>
          <cell r="D82" t="str">
            <v>106C-RTI-04</v>
          </cell>
          <cell r="E82">
            <v>1000</v>
          </cell>
          <cell r="F82">
            <v>38168</v>
          </cell>
          <cell r="G82" t="str">
            <v/>
          </cell>
        </row>
        <row r="83">
          <cell r="A83" t="str">
            <v>6CASAS Implementation Training106N-CASAS-04</v>
          </cell>
          <cell r="B83">
            <v>6</v>
          </cell>
          <cell r="C83" t="str">
            <v>CASAS Implementation Training</v>
          </cell>
          <cell r="D83" t="str">
            <v>106N-CASAS-04</v>
          </cell>
          <cell r="E83">
            <v>975</v>
          </cell>
          <cell r="F83">
            <v>37894</v>
          </cell>
          <cell r="G83" t="str">
            <v/>
          </cell>
        </row>
        <row r="84">
          <cell r="A84" t="str">
            <v>6Coalition for Engineering Education106D-CEE-04</v>
          </cell>
          <cell r="B84">
            <v>6</v>
          </cell>
          <cell r="C84" t="str">
            <v>Coalition for Engineering Education</v>
          </cell>
          <cell r="D84" t="str">
            <v>106D-CEE-04</v>
          </cell>
          <cell r="E84">
            <v>70000</v>
          </cell>
          <cell r="F84">
            <v>38168</v>
          </cell>
          <cell r="G84">
            <v>70000</v>
          </cell>
        </row>
        <row r="85">
          <cell r="A85" t="str">
            <v>6CASAS Train the Trainer106V-CTT-04</v>
          </cell>
          <cell r="B85">
            <v>6</v>
          </cell>
          <cell r="C85" t="str">
            <v>CASAS Train the Trainer</v>
          </cell>
          <cell r="D85" t="str">
            <v>106V-CTT-04</v>
          </cell>
          <cell r="E85">
            <v>600</v>
          </cell>
          <cell r="F85">
            <v>38168</v>
          </cell>
          <cell r="G85" t="str">
            <v/>
          </cell>
        </row>
        <row r="86">
          <cell r="A86" t="str">
            <v>6CASAS Train the Trainer106S-CTT-04</v>
          </cell>
          <cell r="B86">
            <v>6</v>
          </cell>
          <cell r="C86" t="str">
            <v>CASAS Train the Trainer</v>
          </cell>
          <cell r="D86" t="str">
            <v>106S-CTT-04</v>
          </cell>
          <cell r="E86">
            <v>1200</v>
          </cell>
          <cell r="F86">
            <v>38168</v>
          </cell>
          <cell r="G86" t="str">
            <v/>
          </cell>
        </row>
        <row r="87">
          <cell r="A87" t="str">
            <v>6CASAS Train the Trainer106N-CTT-04</v>
          </cell>
          <cell r="B87">
            <v>6</v>
          </cell>
          <cell r="C87" t="str">
            <v>CASAS Train the Trainer</v>
          </cell>
          <cell r="D87" t="str">
            <v>106N-CTT-04</v>
          </cell>
          <cell r="E87">
            <v>1200</v>
          </cell>
          <cell r="F87">
            <v>38168</v>
          </cell>
          <cell r="G87" t="str">
            <v/>
          </cell>
        </row>
        <row r="88">
          <cell r="A88" t="str">
            <v>6CASAS Train the Trainer106C-CTT-04</v>
          </cell>
          <cell r="B88">
            <v>6</v>
          </cell>
          <cell r="C88" t="str">
            <v>CASAS Train the Trainer</v>
          </cell>
          <cell r="D88" t="str">
            <v>106C-CTT-04</v>
          </cell>
          <cell r="E88">
            <v>1800</v>
          </cell>
          <cell r="F88">
            <v>38168</v>
          </cell>
          <cell r="G88" t="str">
            <v/>
          </cell>
        </row>
        <row r="89">
          <cell r="A89" t="str">
            <v>6CASAS Implementation Training106S-CASAS-04</v>
          </cell>
          <cell r="B89">
            <v>6</v>
          </cell>
          <cell r="C89" t="str">
            <v>CASAS Implementation Training</v>
          </cell>
          <cell r="D89" t="str">
            <v>106S-CASAS-04</v>
          </cell>
          <cell r="E89">
            <v>1125</v>
          </cell>
          <cell r="F89">
            <v>37894</v>
          </cell>
          <cell r="G89" t="str">
            <v/>
          </cell>
        </row>
        <row r="90">
          <cell r="A90" t="str">
            <v>6ELCivics - Federal106S-ELC-04</v>
          </cell>
          <cell r="B90">
            <v>6</v>
          </cell>
          <cell r="C90" t="str">
            <v>ELCivics - Federal</v>
          </cell>
          <cell r="D90" t="str">
            <v>106S-ELC-04</v>
          </cell>
          <cell r="E90">
            <v>69380</v>
          </cell>
          <cell r="F90">
            <v>38168</v>
          </cell>
          <cell r="G90" t="str">
            <v/>
          </cell>
        </row>
        <row r="91">
          <cell r="A91" t="str">
            <v>6CASAS Implementation Training106C-CASAS-04</v>
          </cell>
          <cell r="B91">
            <v>6</v>
          </cell>
          <cell r="C91" t="str">
            <v>CASAS Implementation Training</v>
          </cell>
          <cell r="D91" t="str">
            <v>106C-CASAS-04</v>
          </cell>
          <cell r="E91">
            <v>1875</v>
          </cell>
          <cell r="F91">
            <v>37894</v>
          </cell>
          <cell r="G91" t="str">
            <v/>
          </cell>
        </row>
        <row r="92">
          <cell r="A92" t="str">
            <v>6Assessment106V-ASSESS-03</v>
          </cell>
          <cell r="B92">
            <v>6</v>
          </cell>
          <cell r="C92" t="str">
            <v>Assessment</v>
          </cell>
          <cell r="D92" t="str">
            <v>106V-ASSESS-03</v>
          </cell>
          <cell r="E92">
            <v>3000</v>
          </cell>
          <cell r="F92">
            <v>37833</v>
          </cell>
          <cell r="G92" t="str">
            <v/>
          </cell>
        </row>
        <row r="93">
          <cell r="A93" t="str">
            <v>6ABE106N-ABE-04</v>
          </cell>
          <cell r="B93">
            <v>6</v>
          </cell>
          <cell r="C93" t="str">
            <v>ABE</v>
          </cell>
          <cell r="D93" t="str">
            <v>106N-ABE-04</v>
          </cell>
          <cell r="E93">
            <v>127183</v>
          </cell>
          <cell r="F93">
            <v>38168</v>
          </cell>
          <cell r="G93" t="str">
            <v/>
          </cell>
        </row>
        <row r="94">
          <cell r="A94" t="str">
            <v>6Assessment106N-ASSESS-03</v>
          </cell>
          <cell r="B94">
            <v>6</v>
          </cell>
          <cell r="C94" t="str">
            <v>Assessment</v>
          </cell>
          <cell r="D94" t="str">
            <v>106N-ASSESS-03</v>
          </cell>
          <cell r="E94">
            <v>3000</v>
          </cell>
          <cell r="F94">
            <v>37833</v>
          </cell>
          <cell r="G94" t="str">
            <v/>
          </cell>
        </row>
        <row r="95">
          <cell r="A95" t="str">
            <v>6Assessment106C-ASSESS-03</v>
          </cell>
          <cell r="B95">
            <v>6</v>
          </cell>
          <cell r="C95" t="str">
            <v>Assessment</v>
          </cell>
          <cell r="D95" t="str">
            <v>106C-ASSESS-03</v>
          </cell>
          <cell r="E95">
            <v>3000</v>
          </cell>
          <cell r="F95">
            <v>37833</v>
          </cell>
          <cell r="G95" t="str">
            <v/>
          </cell>
        </row>
        <row r="96">
          <cell r="A96" t="str">
            <v>6ABE106V-ABE-04</v>
          </cell>
          <cell r="B96">
            <v>6</v>
          </cell>
          <cell r="C96" t="str">
            <v>ABE</v>
          </cell>
          <cell r="D96" t="str">
            <v>106V-ABE-04</v>
          </cell>
          <cell r="E96">
            <v>106658</v>
          </cell>
          <cell r="F96">
            <v>38168</v>
          </cell>
          <cell r="G96" t="str">
            <v/>
          </cell>
        </row>
        <row r="97">
          <cell r="A97" t="str">
            <v>6ELCivics - Federal106N-ELC-04</v>
          </cell>
          <cell r="B97">
            <v>6</v>
          </cell>
          <cell r="C97" t="str">
            <v>ELCivics - Federal</v>
          </cell>
          <cell r="D97" t="str">
            <v>106N-ELC-04</v>
          </cell>
          <cell r="E97">
            <v>80895</v>
          </cell>
          <cell r="F97">
            <v>38168</v>
          </cell>
          <cell r="G97" t="str">
            <v/>
          </cell>
        </row>
        <row r="98">
          <cell r="A98" t="str">
            <v>6ABE106S-ABE-04</v>
          </cell>
          <cell r="B98">
            <v>6</v>
          </cell>
          <cell r="C98" t="str">
            <v>ABE</v>
          </cell>
          <cell r="D98" t="str">
            <v>106S-ABE-04</v>
          </cell>
          <cell r="E98">
            <v>209584</v>
          </cell>
          <cell r="F98">
            <v>38168</v>
          </cell>
          <cell r="G98" t="str">
            <v/>
          </cell>
        </row>
        <row r="99">
          <cell r="A99" t="str">
            <v>6Assessment106S-ASSESS-03</v>
          </cell>
          <cell r="B99">
            <v>6</v>
          </cell>
          <cell r="C99" t="str">
            <v>Assessment</v>
          </cell>
          <cell r="D99" t="str">
            <v>106S-ASSESS-03</v>
          </cell>
          <cell r="E99">
            <v>4000</v>
          </cell>
          <cell r="F99">
            <v>37833</v>
          </cell>
          <cell r="G99" t="str">
            <v/>
          </cell>
        </row>
        <row r="100">
          <cell r="A100" t="str">
            <v>6ABE106C-ABE-04</v>
          </cell>
          <cell r="B100">
            <v>6</v>
          </cell>
          <cell r="C100" t="str">
            <v>ABE</v>
          </cell>
          <cell r="D100" t="str">
            <v>106C-ABE-04</v>
          </cell>
          <cell r="E100">
            <v>330517</v>
          </cell>
          <cell r="F100">
            <v>38168</v>
          </cell>
          <cell r="G100" t="str">
            <v/>
          </cell>
        </row>
        <row r="101">
          <cell r="A101" t="str">
            <v>6CASAS Implementation Training106V-CASAS-04</v>
          </cell>
          <cell r="B101">
            <v>6</v>
          </cell>
          <cell r="C101" t="str">
            <v>CASAS Implementation Training</v>
          </cell>
          <cell r="D101" t="str">
            <v>106V-CASAS-04</v>
          </cell>
          <cell r="E101">
            <v>150</v>
          </cell>
          <cell r="F101">
            <v>37894</v>
          </cell>
          <cell r="G101" t="str">
            <v/>
          </cell>
        </row>
        <row r="102">
          <cell r="A102" t="str">
            <v>7JSP107-JSP-04WMS</v>
          </cell>
          <cell r="B102">
            <v>7</v>
          </cell>
          <cell r="C102" t="str">
            <v>JSP</v>
          </cell>
          <cell r="D102" t="str">
            <v>107-JSP-04WMS</v>
          </cell>
          <cell r="E102">
            <v>245211</v>
          </cell>
          <cell r="F102">
            <v>38533</v>
          </cell>
          <cell r="G102" t="str">
            <v/>
          </cell>
        </row>
        <row r="103">
          <cell r="A103" t="str">
            <v>7Lean Enterprise Transformation Model Grant107-LEAN-04</v>
          </cell>
          <cell r="B103">
            <v>7</v>
          </cell>
          <cell r="C103" t="str">
            <v>Lean Enterprise Transformation Model Grant</v>
          </cell>
          <cell r="D103" t="str">
            <v>107-LEAN-04</v>
          </cell>
          <cell r="E103">
            <v>121994</v>
          </cell>
          <cell r="F103">
            <v>38168</v>
          </cell>
          <cell r="G103">
            <v>121994</v>
          </cell>
        </row>
        <row r="104">
          <cell r="A104" t="str">
            <v>7OAL Staff Development107-SD-04</v>
          </cell>
          <cell r="B104">
            <v>7</v>
          </cell>
          <cell r="C104" t="str">
            <v>OAL Staff Development</v>
          </cell>
          <cell r="D104" t="str">
            <v>107-SD-04</v>
          </cell>
          <cell r="E104">
            <v>2000</v>
          </cell>
          <cell r="F104">
            <v>38168</v>
          </cell>
          <cell r="G104">
            <v>2000</v>
          </cell>
        </row>
        <row r="105">
          <cell r="A105" t="str">
            <v>7Perkins107-PRK-04</v>
          </cell>
          <cell r="B105">
            <v>7</v>
          </cell>
          <cell r="C105" t="str">
            <v>Perkins</v>
          </cell>
          <cell r="D105" t="str">
            <v>107-PRK-04</v>
          </cell>
          <cell r="E105">
            <v>240135</v>
          </cell>
          <cell r="F105">
            <v>38168</v>
          </cell>
          <cell r="G105" t="str">
            <v/>
          </cell>
        </row>
        <row r="106">
          <cell r="A106" t="str">
            <v>7RTI107-RTI2-04</v>
          </cell>
          <cell r="B106">
            <v>7</v>
          </cell>
          <cell r="C106" t="str">
            <v>RTI</v>
          </cell>
          <cell r="D106" t="str">
            <v>107-RTI2-04</v>
          </cell>
          <cell r="E106">
            <v>1000</v>
          </cell>
          <cell r="F106">
            <v>38168</v>
          </cell>
          <cell r="G106" t="str">
            <v/>
          </cell>
        </row>
        <row r="107">
          <cell r="A107" t="str">
            <v>7JSP107-JSP-04SH</v>
          </cell>
          <cell r="B107">
            <v>7</v>
          </cell>
          <cell r="C107" t="str">
            <v>JSP</v>
          </cell>
          <cell r="D107" t="str">
            <v>107-JSP-04SH</v>
          </cell>
          <cell r="E107">
            <v>121576</v>
          </cell>
          <cell r="F107">
            <v>38533</v>
          </cell>
          <cell r="G107" t="str">
            <v/>
          </cell>
        </row>
        <row r="108">
          <cell r="A108" t="str">
            <v>7Workfirst 107-WFB-04</v>
          </cell>
          <cell r="B108">
            <v>7</v>
          </cell>
          <cell r="C108" t="str">
            <v xml:space="preserve">Workfirst </v>
          </cell>
          <cell r="D108" t="str">
            <v>107-WFB-04</v>
          </cell>
          <cell r="E108">
            <v>643443</v>
          </cell>
          <cell r="F108">
            <v>38168</v>
          </cell>
          <cell r="G108" t="str">
            <v/>
          </cell>
        </row>
        <row r="109">
          <cell r="A109" t="str">
            <v>7RTI107-RTI3-04</v>
          </cell>
          <cell r="B109">
            <v>7</v>
          </cell>
          <cell r="C109" t="str">
            <v>RTI</v>
          </cell>
          <cell r="D109" t="str">
            <v>107-RTI3-04</v>
          </cell>
          <cell r="E109">
            <v>500</v>
          </cell>
          <cell r="F109">
            <v>38168</v>
          </cell>
          <cell r="G109" t="str">
            <v/>
          </cell>
        </row>
        <row r="110">
          <cell r="A110" t="str">
            <v>7RTI107-RTI-04</v>
          </cell>
          <cell r="B110">
            <v>7</v>
          </cell>
          <cell r="C110" t="str">
            <v>RTI</v>
          </cell>
          <cell r="D110" t="str">
            <v>107-RTI-04</v>
          </cell>
          <cell r="E110">
            <v>1000</v>
          </cell>
          <cell r="F110">
            <v>38168</v>
          </cell>
          <cell r="G110" t="str">
            <v/>
          </cell>
        </row>
        <row r="111">
          <cell r="A111" t="str">
            <v>7Assessment107-ASSESS-03</v>
          </cell>
          <cell r="B111">
            <v>7</v>
          </cell>
          <cell r="C111" t="str">
            <v>Assessment</v>
          </cell>
          <cell r="D111" t="str">
            <v>107-ASSESS-03</v>
          </cell>
          <cell r="E111">
            <v>3000</v>
          </cell>
          <cell r="F111">
            <v>37833</v>
          </cell>
          <cell r="G111" t="str">
            <v/>
          </cell>
        </row>
        <row r="112">
          <cell r="A112" t="str">
            <v>7Alliance for Corporate Education107-ACE-03</v>
          </cell>
          <cell r="B112">
            <v>7</v>
          </cell>
          <cell r="C112" t="str">
            <v>Alliance for Corporate Education</v>
          </cell>
          <cell r="D112" t="str">
            <v>107-ACE-03</v>
          </cell>
          <cell r="E112">
            <v>456264</v>
          </cell>
          <cell r="F112">
            <v>38092</v>
          </cell>
          <cell r="G112" t="str">
            <v/>
          </cell>
        </row>
        <row r="113">
          <cell r="A113" t="str">
            <v>7ELCivics - Federal107-ELC-04</v>
          </cell>
          <cell r="B113">
            <v>7</v>
          </cell>
          <cell r="C113" t="str">
            <v>ELCivics - Federal</v>
          </cell>
          <cell r="D113" t="str">
            <v>107-ELC-04</v>
          </cell>
          <cell r="E113">
            <v>47761</v>
          </cell>
          <cell r="F113">
            <v>38168</v>
          </cell>
          <cell r="G113" t="str">
            <v/>
          </cell>
        </row>
        <row r="114">
          <cell r="A114" t="str">
            <v>7ABE107-ABE-04</v>
          </cell>
          <cell r="B114">
            <v>7</v>
          </cell>
          <cell r="C114" t="str">
            <v>ABE</v>
          </cell>
          <cell r="D114" t="str">
            <v>107-ABE-04</v>
          </cell>
          <cell r="E114">
            <v>232081</v>
          </cell>
          <cell r="F114">
            <v>38168</v>
          </cell>
          <cell r="G114" t="str">
            <v/>
          </cell>
        </row>
        <row r="115">
          <cell r="A115" t="str">
            <v>7Basic Skills Distance Learning Pilot Project107-DLP-03</v>
          </cell>
          <cell r="B115">
            <v>7</v>
          </cell>
          <cell r="C115" t="str">
            <v>Basic Skills Distance Learning Pilot Project</v>
          </cell>
          <cell r="D115" t="str">
            <v>107-DLP-03</v>
          </cell>
          <cell r="E115">
            <v>10000</v>
          </cell>
          <cell r="F115">
            <v>38168</v>
          </cell>
          <cell r="G115" t="str">
            <v/>
          </cell>
        </row>
        <row r="116">
          <cell r="A116" t="str">
            <v>7Best Practices107-BP-04</v>
          </cell>
          <cell r="B116">
            <v>7</v>
          </cell>
          <cell r="C116" t="str">
            <v>Best Practices</v>
          </cell>
          <cell r="D116" t="str">
            <v>107-BP-04</v>
          </cell>
          <cell r="E116">
            <v>9000</v>
          </cell>
          <cell r="F116">
            <v>38168</v>
          </cell>
          <cell r="G116" t="str">
            <v/>
          </cell>
        </row>
        <row r="117">
          <cell r="A117" t="str">
            <v>7CASAS Implementation Training107-CASAS-04</v>
          </cell>
          <cell r="B117">
            <v>7</v>
          </cell>
          <cell r="C117" t="str">
            <v>CASAS Implementation Training</v>
          </cell>
          <cell r="D117" t="str">
            <v>107-CASAS-04</v>
          </cell>
          <cell r="E117">
            <v>675</v>
          </cell>
          <cell r="F117">
            <v>37894</v>
          </cell>
          <cell r="G117" t="str">
            <v/>
          </cell>
        </row>
        <row r="118">
          <cell r="A118" t="str">
            <v>7CASAS Train the Trainer107-CTT-04</v>
          </cell>
          <cell r="B118">
            <v>7</v>
          </cell>
          <cell r="C118" t="str">
            <v>CASAS Train the Trainer</v>
          </cell>
          <cell r="D118" t="str">
            <v>107-CTT-04</v>
          </cell>
          <cell r="E118">
            <v>600</v>
          </cell>
          <cell r="F118">
            <v>38168</v>
          </cell>
          <cell r="G118" t="str">
            <v/>
          </cell>
        </row>
        <row r="119">
          <cell r="A119" t="str">
            <v>8Tech Prep108-TP-04</v>
          </cell>
          <cell r="B119">
            <v>8</v>
          </cell>
          <cell r="C119" t="str">
            <v>Tech Prep</v>
          </cell>
          <cell r="D119" t="str">
            <v>108-TP-04</v>
          </cell>
          <cell r="E119">
            <v>143663</v>
          </cell>
          <cell r="F119">
            <v>38168</v>
          </cell>
          <cell r="G119" t="str">
            <v/>
          </cell>
        </row>
        <row r="120">
          <cell r="A120" t="str">
            <v>8Perkins108-PRK-04</v>
          </cell>
          <cell r="B120">
            <v>8</v>
          </cell>
          <cell r="C120" t="str">
            <v>Perkins</v>
          </cell>
          <cell r="D120" t="str">
            <v>108-PRK-04</v>
          </cell>
          <cell r="E120">
            <v>215577</v>
          </cell>
          <cell r="F120">
            <v>38168</v>
          </cell>
          <cell r="G120" t="str">
            <v/>
          </cell>
        </row>
        <row r="121">
          <cell r="A121" t="str">
            <v>8Volunteer Literacy Program - Federal108-VLP-04</v>
          </cell>
          <cell r="B121">
            <v>8</v>
          </cell>
          <cell r="C121" t="str">
            <v>Volunteer Literacy Program - Federal</v>
          </cell>
          <cell r="D121" t="str">
            <v>108-VLP-04</v>
          </cell>
          <cell r="E121">
            <v>14277</v>
          </cell>
          <cell r="F121">
            <v>38168</v>
          </cell>
          <cell r="G121" t="str">
            <v/>
          </cell>
        </row>
        <row r="122">
          <cell r="A122" t="str">
            <v>8Workfirst 108-WFB-04</v>
          </cell>
          <cell r="B122">
            <v>8</v>
          </cell>
          <cell r="C122" t="str">
            <v xml:space="preserve">Workfirst </v>
          </cell>
          <cell r="D122" t="str">
            <v>108-WFB-04</v>
          </cell>
          <cell r="E122">
            <v>550147</v>
          </cell>
          <cell r="F122">
            <v>38168</v>
          </cell>
          <cell r="G122" t="str">
            <v/>
          </cell>
        </row>
        <row r="123">
          <cell r="A123" t="str">
            <v>8ELCivics - Federal108-ELC-04</v>
          </cell>
          <cell r="B123">
            <v>8</v>
          </cell>
          <cell r="C123" t="str">
            <v>ELCivics - Federal</v>
          </cell>
          <cell r="D123" t="str">
            <v>108-ELC-04</v>
          </cell>
          <cell r="E123">
            <v>23363</v>
          </cell>
          <cell r="F123">
            <v>38168</v>
          </cell>
          <cell r="G123" t="str">
            <v/>
          </cell>
        </row>
        <row r="124">
          <cell r="A124" t="str">
            <v>8Perkins Leadership108-OPEP-04</v>
          </cell>
          <cell r="B124">
            <v>8</v>
          </cell>
          <cell r="C124" t="str">
            <v>Perkins Leadership</v>
          </cell>
          <cell r="D124" t="str">
            <v>108-OPEP-04</v>
          </cell>
          <cell r="E124">
            <v>3500</v>
          </cell>
          <cell r="F124">
            <v>38168</v>
          </cell>
          <cell r="G124" t="str">
            <v/>
          </cell>
        </row>
        <row r="125">
          <cell r="A125" t="str">
            <v>8JSP108-JSP-04PD</v>
          </cell>
          <cell r="B125">
            <v>8</v>
          </cell>
          <cell r="C125" t="str">
            <v>JSP</v>
          </cell>
          <cell r="D125" t="str">
            <v>108-JSP-04PD</v>
          </cell>
          <cell r="E125">
            <v>93890</v>
          </cell>
          <cell r="F125">
            <v>38168</v>
          </cell>
          <cell r="G125">
            <v>93890</v>
          </cell>
        </row>
        <row r="126">
          <cell r="A126" t="str">
            <v>8RTI108-RTI-04</v>
          </cell>
          <cell r="B126">
            <v>8</v>
          </cell>
          <cell r="C126" t="str">
            <v>RTI</v>
          </cell>
          <cell r="D126" t="str">
            <v>108-RTI-04</v>
          </cell>
          <cell r="E126">
            <v>4040</v>
          </cell>
          <cell r="F126">
            <v>38168</v>
          </cell>
          <cell r="G126">
            <v>4040</v>
          </cell>
        </row>
        <row r="127">
          <cell r="A127" t="str">
            <v>8CASAS Train the Trainer108-CTT-04</v>
          </cell>
          <cell r="B127">
            <v>8</v>
          </cell>
          <cell r="C127" t="str">
            <v>CASAS Train the Trainer</v>
          </cell>
          <cell r="D127" t="str">
            <v>108-CTT-04</v>
          </cell>
          <cell r="E127">
            <v>600</v>
          </cell>
          <cell r="F127">
            <v>38168</v>
          </cell>
          <cell r="G127" t="str">
            <v/>
          </cell>
        </row>
        <row r="128">
          <cell r="A128" t="str">
            <v>8OAL Staff Development108-SD-04</v>
          </cell>
          <cell r="B128">
            <v>8</v>
          </cell>
          <cell r="C128" t="str">
            <v>OAL Staff Development</v>
          </cell>
          <cell r="D128" t="str">
            <v>108-SD-04</v>
          </cell>
          <cell r="E128">
            <v>3000</v>
          </cell>
          <cell r="F128">
            <v>38168</v>
          </cell>
          <cell r="G128" t="str">
            <v/>
          </cell>
        </row>
        <row r="129">
          <cell r="A129" t="str">
            <v>8ABE108-ABE-04</v>
          </cell>
          <cell r="B129">
            <v>8</v>
          </cell>
          <cell r="C129" t="str">
            <v>ABE</v>
          </cell>
          <cell r="D129" t="str">
            <v>108-ABE-04</v>
          </cell>
          <cell r="E129">
            <v>66673</v>
          </cell>
          <cell r="F129">
            <v>38168</v>
          </cell>
          <cell r="G129" t="str">
            <v/>
          </cell>
        </row>
        <row r="130">
          <cell r="A130" t="str">
            <v>8Assessment108-ASSESS-03</v>
          </cell>
          <cell r="B130">
            <v>8</v>
          </cell>
          <cell r="C130" t="str">
            <v>Assessment</v>
          </cell>
          <cell r="D130" t="str">
            <v>108-ASSESS-03</v>
          </cell>
          <cell r="E130">
            <v>3000</v>
          </cell>
          <cell r="F130">
            <v>37833</v>
          </cell>
          <cell r="G130" t="str">
            <v/>
          </cell>
        </row>
        <row r="131">
          <cell r="A131" t="str">
            <v>8CASAS Implementation Training108-CASAS-04</v>
          </cell>
          <cell r="B131">
            <v>8</v>
          </cell>
          <cell r="C131" t="str">
            <v>CASAS Implementation Training</v>
          </cell>
          <cell r="D131" t="str">
            <v>108-CASAS-04</v>
          </cell>
          <cell r="E131">
            <v>675</v>
          </cell>
          <cell r="F131">
            <v>37894</v>
          </cell>
          <cell r="G131" t="str">
            <v/>
          </cell>
        </row>
        <row r="132">
          <cell r="A132" t="str">
            <v>9ABE109-ABE-04</v>
          </cell>
          <cell r="B132">
            <v>9</v>
          </cell>
          <cell r="C132" t="str">
            <v>ABE</v>
          </cell>
          <cell r="D132" t="str">
            <v>109-ABE-04</v>
          </cell>
          <cell r="E132">
            <v>157955</v>
          </cell>
          <cell r="F132">
            <v>38168</v>
          </cell>
          <cell r="G132" t="str">
            <v/>
          </cell>
        </row>
        <row r="133">
          <cell r="A133" t="str">
            <v>9Workfirst 109-WFB-04</v>
          </cell>
          <cell r="B133">
            <v>9</v>
          </cell>
          <cell r="C133" t="str">
            <v xml:space="preserve">Workfirst </v>
          </cell>
          <cell r="D133" t="str">
            <v>109-WFB-04</v>
          </cell>
          <cell r="E133">
            <v>660612</v>
          </cell>
          <cell r="F133">
            <v>38168</v>
          </cell>
          <cell r="G133">
            <v>-25000</v>
          </cell>
        </row>
        <row r="134">
          <cell r="A134" t="str">
            <v>9Assessment109-ASSESS-03</v>
          </cell>
          <cell r="B134">
            <v>9</v>
          </cell>
          <cell r="C134" t="str">
            <v>Assessment</v>
          </cell>
          <cell r="D134" t="str">
            <v>109-ASSESS-03</v>
          </cell>
          <cell r="E134">
            <v>3000</v>
          </cell>
          <cell r="F134">
            <v>37833</v>
          </cell>
          <cell r="G134" t="str">
            <v/>
          </cell>
        </row>
        <row r="135">
          <cell r="A135" t="str">
            <v>9CASAS Implementation Training109-CASAS-04</v>
          </cell>
          <cell r="B135">
            <v>9</v>
          </cell>
          <cell r="C135" t="str">
            <v>CASAS Implementation Training</v>
          </cell>
          <cell r="D135" t="str">
            <v>109-CASAS-04</v>
          </cell>
          <cell r="E135">
            <v>1875</v>
          </cell>
          <cell r="F135">
            <v>37894</v>
          </cell>
          <cell r="G135" t="str">
            <v/>
          </cell>
        </row>
        <row r="136">
          <cell r="A136" t="str">
            <v>9CASAS Train the Trainer109-CTT-04</v>
          </cell>
          <cell r="B136">
            <v>9</v>
          </cell>
          <cell r="C136" t="str">
            <v>CASAS Train the Trainer</v>
          </cell>
          <cell r="D136" t="str">
            <v>109-CTT-04</v>
          </cell>
          <cell r="E136">
            <v>1500</v>
          </cell>
          <cell r="F136">
            <v>38168</v>
          </cell>
          <cell r="G136">
            <v>300</v>
          </cell>
        </row>
        <row r="137">
          <cell r="A137" t="str">
            <v>9Family Literacy109-FLP-04</v>
          </cell>
          <cell r="B137">
            <v>9</v>
          </cell>
          <cell r="C137" t="str">
            <v>Family Literacy</v>
          </cell>
          <cell r="D137" t="str">
            <v>109-FLP-04</v>
          </cell>
          <cell r="E137">
            <v>28981</v>
          </cell>
          <cell r="F137">
            <v>38168</v>
          </cell>
          <cell r="G137" t="str">
            <v/>
          </cell>
        </row>
        <row r="138">
          <cell r="A138" t="str">
            <v>9Perkins109-PRK-04</v>
          </cell>
          <cell r="B138">
            <v>9</v>
          </cell>
          <cell r="C138" t="str">
            <v>Perkins</v>
          </cell>
          <cell r="D138" t="str">
            <v>109-PRK-04</v>
          </cell>
          <cell r="E138">
            <v>312936</v>
          </cell>
          <cell r="F138">
            <v>38168</v>
          </cell>
          <cell r="G138" t="str">
            <v/>
          </cell>
        </row>
        <row r="139">
          <cell r="A139" t="str">
            <v>9Running Start109-RSC-04</v>
          </cell>
          <cell r="B139">
            <v>9</v>
          </cell>
          <cell r="C139" t="str">
            <v>Running Start</v>
          </cell>
          <cell r="D139" t="str">
            <v>109-RSC-04</v>
          </cell>
          <cell r="E139">
            <v>5500</v>
          </cell>
          <cell r="F139">
            <v>38168</v>
          </cell>
          <cell r="G139" t="str">
            <v/>
          </cell>
        </row>
        <row r="140">
          <cell r="A140" t="str">
            <v>9VC Searchable Catalog 109-SC-04</v>
          </cell>
          <cell r="B140">
            <v>9</v>
          </cell>
          <cell r="C140" t="str">
            <v xml:space="preserve">VC Searchable Catalog </v>
          </cell>
          <cell r="D140" t="str">
            <v>109-SC-04</v>
          </cell>
          <cell r="E140">
            <v>4600</v>
          </cell>
          <cell r="F140">
            <v>37894</v>
          </cell>
          <cell r="G140" t="str">
            <v/>
          </cell>
        </row>
        <row r="141">
          <cell r="A141" t="str">
            <v>9Volunteer Literacy Program - State109-VLP-04</v>
          </cell>
          <cell r="B141">
            <v>9</v>
          </cell>
          <cell r="C141" t="str">
            <v>Volunteer Literacy Program - State</v>
          </cell>
          <cell r="D141" t="str">
            <v>109-VLP-04</v>
          </cell>
          <cell r="E141">
            <v>16922</v>
          </cell>
          <cell r="F141">
            <v>38168</v>
          </cell>
          <cell r="G141" t="str">
            <v/>
          </cell>
        </row>
        <row r="142">
          <cell r="A142" t="str">
            <v>10OAL Staff Development110-SD-04</v>
          </cell>
          <cell r="B142">
            <v>10</v>
          </cell>
          <cell r="C142" t="str">
            <v>OAL Staff Development</v>
          </cell>
          <cell r="D142" t="str">
            <v>110-SD-04</v>
          </cell>
          <cell r="E142">
            <v>2000</v>
          </cell>
          <cell r="F142">
            <v>38168</v>
          </cell>
          <cell r="G142">
            <v>2000</v>
          </cell>
        </row>
        <row r="143">
          <cell r="A143" t="str">
            <v>10ABE110-ABE-04</v>
          </cell>
          <cell r="B143">
            <v>10</v>
          </cell>
          <cell r="C143" t="str">
            <v>ABE</v>
          </cell>
          <cell r="D143" t="str">
            <v>110-ABE-04</v>
          </cell>
          <cell r="E143">
            <v>150098</v>
          </cell>
          <cell r="F143">
            <v>38168</v>
          </cell>
          <cell r="G143" t="str">
            <v/>
          </cell>
        </row>
        <row r="144">
          <cell r="A144" t="str">
            <v>10CASAS Implementation Training110-CASAS-04</v>
          </cell>
          <cell r="B144">
            <v>10</v>
          </cell>
          <cell r="C144" t="str">
            <v>CASAS Implementation Training</v>
          </cell>
          <cell r="D144" t="str">
            <v>110-CASAS-04</v>
          </cell>
          <cell r="E144">
            <v>975</v>
          </cell>
          <cell r="F144">
            <v>37894</v>
          </cell>
          <cell r="G144" t="str">
            <v/>
          </cell>
        </row>
        <row r="145">
          <cell r="A145" t="str">
            <v>10CASAS Train the Trainer110-CTT-04</v>
          </cell>
          <cell r="B145">
            <v>10</v>
          </cell>
          <cell r="C145" t="str">
            <v>CASAS Train the Trainer</v>
          </cell>
          <cell r="D145" t="str">
            <v>110-CTT-04</v>
          </cell>
          <cell r="E145">
            <v>1200</v>
          </cell>
          <cell r="F145">
            <v>38168</v>
          </cell>
          <cell r="G145" t="str">
            <v/>
          </cell>
        </row>
        <row r="146">
          <cell r="A146" t="str">
            <v>10ELCivics - Federal110-ELC-04</v>
          </cell>
          <cell r="B146">
            <v>10</v>
          </cell>
          <cell r="C146" t="str">
            <v>ELCivics - Federal</v>
          </cell>
          <cell r="D146" t="str">
            <v>110-ELC-04</v>
          </cell>
          <cell r="E146">
            <v>74622</v>
          </cell>
          <cell r="F146">
            <v>38168</v>
          </cell>
          <cell r="G146" t="str">
            <v/>
          </cell>
        </row>
        <row r="147">
          <cell r="A147" t="str">
            <v>10Perkins Leadership110-CWP-04</v>
          </cell>
          <cell r="B147">
            <v>10</v>
          </cell>
          <cell r="C147" t="str">
            <v>Perkins Leadership</v>
          </cell>
          <cell r="D147" t="str">
            <v>110-CWP-04</v>
          </cell>
          <cell r="E147">
            <v>3500</v>
          </cell>
          <cell r="F147">
            <v>38168</v>
          </cell>
          <cell r="G147" t="str">
            <v/>
          </cell>
        </row>
        <row r="148">
          <cell r="A148" t="str">
            <v>10RTI110-RTI-04</v>
          </cell>
          <cell r="B148">
            <v>10</v>
          </cell>
          <cell r="C148" t="str">
            <v>RTI</v>
          </cell>
          <cell r="D148" t="str">
            <v>110-RTI-04</v>
          </cell>
          <cell r="E148">
            <v>1000</v>
          </cell>
          <cell r="F148">
            <v>38168</v>
          </cell>
          <cell r="G148" t="str">
            <v/>
          </cell>
        </row>
        <row r="149">
          <cell r="A149" t="str">
            <v>10Tech Prep110-TP-04</v>
          </cell>
          <cell r="B149">
            <v>10</v>
          </cell>
          <cell r="C149" t="str">
            <v>Tech Prep</v>
          </cell>
          <cell r="D149" t="str">
            <v>110-TP-04</v>
          </cell>
          <cell r="E149">
            <v>117894</v>
          </cell>
          <cell r="F149">
            <v>38168</v>
          </cell>
          <cell r="G149" t="str">
            <v/>
          </cell>
        </row>
        <row r="150">
          <cell r="A150" t="str">
            <v>10Assessment110-ASSESS-03</v>
          </cell>
          <cell r="B150">
            <v>10</v>
          </cell>
          <cell r="C150" t="str">
            <v>Assessment</v>
          </cell>
          <cell r="D150" t="str">
            <v>110-ASSESS-03</v>
          </cell>
          <cell r="E150">
            <v>3000</v>
          </cell>
          <cell r="F150">
            <v>37833</v>
          </cell>
          <cell r="G150" t="str">
            <v/>
          </cell>
        </row>
        <row r="151">
          <cell r="A151" t="str">
            <v>10Workfirst 110-WFB-04</v>
          </cell>
          <cell r="B151">
            <v>10</v>
          </cell>
          <cell r="C151" t="str">
            <v xml:space="preserve">Workfirst </v>
          </cell>
          <cell r="D151" t="str">
            <v>110-WFB-04</v>
          </cell>
          <cell r="E151">
            <v>467066</v>
          </cell>
          <cell r="F151">
            <v>38168</v>
          </cell>
          <cell r="G151" t="str">
            <v/>
          </cell>
        </row>
        <row r="152">
          <cell r="A152" t="str">
            <v>10Perkins110-PRK-04</v>
          </cell>
          <cell r="B152">
            <v>10</v>
          </cell>
          <cell r="C152" t="str">
            <v>Perkins</v>
          </cell>
          <cell r="D152" t="str">
            <v>110-PRK-04</v>
          </cell>
          <cell r="E152">
            <v>221446</v>
          </cell>
          <cell r="F152">
            <v>38168</v>
          </cell>
          <cell r="G152" t="str">
            <v/>
          </cell>
        </row>
        <row r="153">
          <cell r="A153" t="str">
            <v>11CASAS Implementation Training111P-CASAS-04</v>
          </cell>
          <cell r="B153">
            <v>11</v>
          </cell>
          <cell r="C153" t="str">
            <v>CASAS Implementation Training</v>
          </cell>
          <cell r="D153" t="str">
            <v>111P-CASAS-04</v>
          </cell>
          <cell r="E153">
            <v>450</v>
          </cell>
          <cell r="F153">
            <v>37894</v>
          </cell>
          <cell r="G153" t="str">
            <v/>
          </cell>
        </row>
        <row r="154">
          <cell r="A154" t="str">
            <v>11ABE111F-ABE-04</v>
          </cell>
          <cell r="B154">
            <v>11</v>
          </cell>
          <cell r="C154" t="str">
            <v>ABE</v>
          </cell>
          <cell r="D154" t="str">
            <v>111F-ABE-04</v>
          </cell>
          <cell r="E154">
            <v>171379</v>
          </cell>
          <cell r="F154">
            <v>38168</v>
          </cell>
          <cell r="G154" t="str">
            <v/>
          </cell>
        </row>
        <row r="155">
          <cell r="A155" t="str">
            <v>11ABE111P-ABE-04</v>
          </cell>
          <cell r="B155">
            <v>11</v>
          </cell>
          <cell r="C155" t="str">
            <v>ABE</v>
          </cell>
          <cell r="D155" t="str">
            <v>111P-ABE-04</v>
          </cell>
          <cell r="E155">
            <v>25286</v>
          </cell>
          <cell r="F155">
            <v>38168</v>
          </cell>
          <cell r="G155" t="str">
            <v/>
          </cell>
        </row>
        <row r="156">
          <cell r="A156" t="str">
            <v>11Assessment111F-ASSESS-03</v>
          </cell>
          <cell r="B156">
            <v>11</v>
          </cell>
          <cell r="C156" t="str">
            <v>Assessment</v>
          </cell>
          <cell r="D156" t="str">
            <v>111F-ASSESS-03</v>
          </cell>
          <cell r="E156">
            <v>3000</v>
          </cell>
          <cell r="F156">
            <v>37833</v>
          </cell>
          <cell r="G156" t="str">
            <v/>
          </cell>
        </row>
        <row r="157">
          <cell r="A157" t="str">
            <v>11CASAS Implementation Training111F-CASAS-04</v>
          </cell>
          <cell r="B157">
            <v>11</v>
          </cell>
          <cell r="C157" t="str">
            <v>CASAS Implementation Training</v>
          </cell>
          <cell r="D157" t="str">
            <v>111F-CASAS-04</v>
          </cell>
          <cell r="E157">
            <v>975</v>
          </cell>
          <cell r="F157">
            <v>37894</v>
          </cell>
          <cell r="G157" t="str">
            <v/>
          </cell>
        </row>
        <row r="158">
          <cell r="A158" t="str">
            <v>11RTI111F-RTI-04</v>
          </cell>
          <cell r="B158">
            <v>11</v>
          </cell>
          <cell r="C158" t="str">
            <v>RTI</v>
          </cell>
          <cell r="D158" t="str">
            <v>111F-RTI-04</v>
          </cell>
          <cell r="E158">
            <v>5000</v>
          </cell>
          <cell r="F158">
            <v>38168</v>
          </cell>
          <cell r="G158" t="str">
            <v/>
          </cell>
        </row>
        <row r="159">
          <cell r="A159" t="str">
            <v>11Corrections Education Program111D-CE-04MICC</v>
          </cell>
          <cell r="B159">
            <v>11</v>
          </cell>
          <cell r="C159" t="str">
            <v>Corrections Education Program</v>
          </cell>
          <cell r="D159" t="str">
            <v>111D-CE-04MICC</v>
          </cell>
          <cell r="E159">
            <v>1397927</v>
          </cell>
          <cell r="F159">
            <v>38168</v>
          </cell>
          <cell r="G159">
            <v>1397927</v>
          </cell>
        </row>
        <row r="160">
          <cell r="A160" t="str">
            <v>11Corrections Education Program111D-CE-04TPR</v>
          </cell>
          <cell r="B160">
            <v>11</v>
          </cell>
          <cell r="C160" t="str">
            <v>Corrections Education Program</v>
          </cell>
          <cell r="D160" t="str">
            <v>111D-CE-04TPR</v>
          </cell>
          <cell r="E160">
            <v>386382</v>
          </cell>
          <cell r="F160">
            <v>38168</v>
          </cell>
          <cell r="G160">
            <v>386382</v>
          </cell>
        </row>
        <row r="161">
          <cell r="A161" t="str">
            <v>11ELCivics - State111F-ELC-04</v>
          </cell>
          <cell r="B161">
            <v>11</v>
          </cell>
          <cell r="C161" t="str">
            <v>ELCivics - State</v>
          </cell>
          <cell r="D161" t="str">
            <v>111F-ELC-04</v>
          </cell>
          <cell r="E161">
            <v>25698</v>
          </cell>
          <cell r="F161">
            <v>38168</v>
          </cell>
          <cell r="G161" t="str">
            <v/>
          </cell>
        </row>
        <row r="162">
          <cell r="A162" t="str">
            <v>11ELCivics - State111P-ELC-04</v>
          </cell>
          <cell r="B162">
            <v>11</v>
          </cell>
          <cell r="C162" t="str">
            <v>ELCivics - State</v>
          </cell>
          <cell r="D162" t="str">
            <v>111P-ELC-04</v>
          </cell>
          <cell r="E162">
            <v>12851</v>
          </cell>
          <cell r="F162">
            <v>38168</v>
          </cell>
          <cell r="G162" t="str">
            <v/>
          </cell>
        </row>
        <row r="163">
          <cell r="A163" t="str">
            <v>11Assessment111P-ASSESS-03</v>
          </cell>
          <cell r="B163">
            <v>11</v>
          </cell>
          <cell r="C163" t="str">
            <v>Assessment</v>
          </cell>
          <cell r="D163" t="str">
            <v>111P-ASSESS-03</v>
          </cell>
          <cell r="E163">
            <v>3000</v>
          </cell>
          <cell r="F163">
            <v>37833</v>
          </cell>
          <cell r="G163" t="str">
            <v/>
          </cell>
        </row>
        <row r="164">
          <cell r="A164" t="str">
            <v>11Perkins111D-PRK-04</v>
          </cell>
          <cell r="B164">
            <v>11</v>
          </cell>
          <cell r="C164" t="str">
            <v>Perkins</v>
          </cell>
          <cell r="D164" t="str">
            <v>111D-PRK-04</v>
          </cell>
          <cell r="E164">
            <v>319237</v>
          </cell>
          <cell r="F164">
            <v>38168</v>
          </cell>
          <cell r="G164" t="str">
            <v/>
          </cell>
        </row>
        <row r="165">
          <cell r="A165" t="str">
            <v>11Corrections Education Program111D-CE-04CCCC</v>
          </cell>
          <cell r="B165">
            <v>11</v>
          </cell>
          <cell r="C165" t="str">
            <v>Corrections Education Program</v>
          </cell>
          <cell r="D165" t="str">
            <v>111D-CE-04CCCC</v>
          </cell>
          <cell r="E165">
            <v>267828</v>
          </cell>
          <cell r="F165">
            <v>38168</v>
          </cell>
          <cell r="G165">
            <v>267828</v>
          </cell>
        </row>
        <row r="166">
          <cell r="A166" t="str">
            <v>11Tech Prep111D-TP-04</v>
          </cell>
          <cell r="B166">
            <v>11</v>
          </cell>
          <cell r="C166" t="str">
            <v>Tech Prep</v>
          </cell>
          <cell r="D166" t="str">
            <v>111D-TP-04</v>
          </cell>
          <cell r="E166">
            <v>149301</v>
          </cell>
          <cell r="F166">
            <v>38168</v>
          </cell>
          <cell r="G166" t="str">
            <v/>
          </cell>
        </row>
        <row r="167">
          <cell r="A167" t="str">
            <v>11Workfirst 111D-WFB-04</v>
          </cell>
          <cell r="B167">
            <v>11</v>
          </cell>
          <cell r="C167" t="str">
            <v xml:space="preserve">Workfirst </v>
          </cell>
          <cell r="D167" t="str">
            <v>111D-WFB-04</v>
          </cell>
          <cell r="E167">
            <v>512270</v>
          </cell>
          <cell r="F167">
            <v>38168</v>
          </cell>
          <cell r="G167" t="str">
            <v/>
          </cell>
        </row>
        <row r="168">
          <cell r="A168" t="str">
            <v>11Youth Offender111D-IYO-04MI</v>
          </cell>
          <cell r="B168">
            <v>11</v>
          </cell>
          <cell r="C168" t="str">
            <v>Youth Offender</v>
          </cell>
          <cell r="D168" t="str">
            <v>111D-IYO-04MI</v>
          </cell>
          <cell r="E168">
            <v>52965</v>
          </cell>
          <cell r="F168">
            <v>38168</v>
          </cell>
          <cell r="G168">
            <v>52965</v>
          </cell>
        </row>
        <row r="169">
          <cell r="A169" t="str">
            <v>11Youth Offender111D-IYO-04TPR</v>
          </cell>
          <cell r="B169">
            <v>11</v>
          </cell>
          <cell r="C169" t="str">
            <v>Youth Offender</v>
          </cell>
          <cell r="D169" t="str">
            <v>111D-IYO-04TPR</v>
          </cell>
          <cell r="E169">
            <v>12645</v>
          </cell>
          <cell r="F169">
            <v>38168</v>
          </cell>
          <cell r="G169">
            <v>12645</v>
          </cell>
        </row>
        <row r="170">
          <cell r="A170" t="str">
            <v>11CASAS Train the Trainer111P-CTT-04</v>
          </cell>
          <cell r="B170">
            <v>11</v>
          </cell>
          <cell r="C170" t="str">
            <v>CASAS Train the Trainer</v>
          </cell>
          <cell r="D170" t="str">
            <v>111P-CTT-04</v>
          </cell>
          <cell r="E170">
            <v>600</v>
          </cell>
          <cell r="F170">
            <v>38168</v>
          </cell>
          <cell r="G170" t="str">
            <v/>
          </cell>
        </row>
        <row r="171">
          <cell r="A171" t="str">
            <v>11CASAS Train the Trainer111F-CTT-04</v>
          </cell>
          <cell r="B171">
            <v>11</v>
          </cell>
          <cell r="C171" t="str">
            <v>CASAS Train the Trainer</v>
          </cell>
          <cell r="D171" t="str">
            <v>111F-CTT-04</v>
          </cell>
          <cell r="E171">
            <v>1200</v>
          </cell>
          <cell r="F171">
            <v>38168</v>
          </cell>
          <cell r="G171" t="str">
            <v/>
          </cell>
        </row>
        <row r="172">
          <cell r="A172" t="str">
            <v>11OAL Staff Development111F-SD-04</v>
          </cell>
          <cell r="B172">
            <v>11</v>
          </cell>
          <cell r="C172" t="str">
            <v>OAL Staff Development</v>
          </cell>
          <cell r="D172" t="str">
            <v>111F-SD-04</v>
          </cell>
          <cell r="E172">
            <v>2000</v>
          </cell>
          <cell r="F172">
            <v>38168</v>
          </cell>
          <cell r="G172" t="str">
            <v/>
          </cell>
        </row>
        <row r="173">
          <cell r="A173" t="str">
            <v>12CASAS Train the Trainer112-CTT-04</v>
          </cell>
          <cell r="B173">
            <v>12</v>
          </cell>
          <cell r="C173" t="str">
            <v>CASAS Train the Trainer</v>
          </cell>
          <cell r="D173" t="str">
            <v>112-CTT-04</v>
          </cell>
          <cell r="E173">
            <v>1200</v>
          </cell>
          <cell r="F173">
            <v>38168</v>
          </cell>
          <cell r="G173" t="str">
            <v/>
          </cell>
        </row>
        <row r="174">
          <cell r="A174" t="str">
            <v>12Corrections Education Program112-CE-04WCC</v>
          </cell>
          <cell r="B174">
            <v>12</v>
          </cell>
          <cell r="C174" t="str">
            <v>Corrections Education Program</v>
          </cell>
          <cell r="D174" t="str">
            <v>112-CE-04WCC</v>
          </cell>
          <cell r="E174">
            <v>808334</v>
          </cell>
          <cell r="F174">
            <v>38168</v>
          </cell>
          <cell r="G174">
            <v>808334</v>
          </cell>
        </row>
        <row r="175">
          <cell r="A175" t="str">
            <v>12ELCivics - Federal112-ELC-04</v>
          </cell>
          <cell r="B175">
            <v>12</v>
          </cell>
          <cell r="C175" t="str">
            <v>ELCivics - Federal</v>
          </cell>
          <cell r="D175" t="str">
            <v>112-ELC-04</v>
          </cell>
          <cell r="E175">
            <v>27215</v>
          </cell>
          <cell r="F175">
            <v>38168</v>
          </cell>
          <cell r="G175" t="str">
            <v/>
          </cell>
        </row>
        <row r="176">
          <cell r="A176" t="str">
            <v>12Volunteer Literacy Program - Federal112-VLP-04</v>
          </cell>
          <cell r="B176">
            <v>12</v>
          </cell>
          <cell r="C176" t="str">
            <v>Volunteer Literacy Program - Federal</v>
          </cell>
          <cell r="D176" t="str">
            <v>112-VLP-04</v>
          </cell>
          <cell r="E176">
            <v>14277</v>
          </cell>
          <cell r="F176">
            <v>38168</v>
          </cell>
          <cell r="G176" t="str">
            <v/>
          </cell>
        </row>
        <row r="177">
          <cell r="A177" t="str">
            <v>12Tech Prep112-TP-04</v>
          </cell>
          <cell r="B177">
            <v>12</v>
          </cell>
          <cell r="C177" t="str">
            <v>Tech Prep</v>
          </cell>
          <cell r="D177" t="str">
            <v>112-TP-04</v>
          </cell>
          <cell r="E177">
            <v>92719</v>
          </cell>
          <cell r="F177">
            <v>38168</v>
          </cell>
          <cell r="G177" t="str">
            <v/>
          </cell>
        </row>
        <row r="178">
          <cell r="A178" t="str">
            <v>12RTI112-RTI-04</v>
          </cell>
          <cell r="B178">
            <v>12</v>
          </cell>
          <cell r="C178" t="str">
            <v>RTI</v>
          </cell>
          <cell r="D178" t="str">
            <v>112-RTI-04</v>
          </cell>
          <cell r="E178">
            <v>4972</v>
          </cell>
          <cell r="F178">
            <v>38168</v>
          </cell>
          <cell r="G178" t="str">
            <v/>
          </cell>
        </row>
        <row r="179">
          <cell r="A179" t="str">
            <v>12Perkins112-PRK-04</v>
          </cell>
          <cell r="B179">
            <v>12</v>
          </cell>
          <cell r="C179" t="str">
            <v>Perkins</v>
          </cell>
          <cell r="D179" t="str">
            <v>112-PRK-04</v>
          </cell>
          <cell r="E179">
            <v>230095</v>
          </cell>
          <cell r="F179">
            <v>38168</v>
          </cell>
          <cell r="G179" t="str">
            <v/>
          </cell>
        </row>
        <row r="180">
          <cell r="A180" t="str">
            <v>12Family Literacy112-FLP-04</v>
          </cell>
          <cell r="B180">
            <v>12</v>
          </cell>
          <cell r="C180" t="str">
            <v>Family Literacy</v>
          </cell>
          <cell r="D180" t="str">
            <v>112-FLP-04</v>
          </cell>
          <cell r="E180">
            <v>28981</v>
          </cell>
          <cell r="F180">
            <v>38168</v>
          </cell>
          <cell r="G180" t="str">
            <v/>
          </cell>
        </row>
        <row r="181">
          <cell r="A181" t="str">
            <v>12Integrated Basic Skills - Workplace Training112-BSWT-03</v>
          </cell>
          <cell r="B181">
            <v>12</v>
          </cell>
          <cell r="C181" t="str">
            <v>Integrated Basic Skills - Workplace Training</v>
          </cell>
          <cell r="D181" t="str">
            <v>112-BSWT-03</v>
          </cell>
          <cell r="E181">
            <v>12300</v>
          </cell>
          <cell r="F181">
            <v>38168</v>
          </cell>
          <cell r="G181" t="str">
            <v/>
          </cell>
        </row>
        <row r="182">
          <cell r="A182" t="str">
            <v>12ABE112-ABE-04</v>
          </cell>
          <cell r="B182">
            <v>12</v>
          </cell>
          <cell r="C182" t="str">
            <v>ABE</v>
          </cell>
          <cell r="D182" t="str">
            <v>112-ABE-04</v>
          </cell>
          <cell r="E182">
            <v>150585</v>
          </cell>
          <cell r="F182">
            <v>38168</v>
          </cell>
          <cell r="G182" t="str">
            <v/>
          </cell>
        </row>
        <row r="183">
          <cell r="A183" t="str">
            <v>12Assessment112-ASSESS-03</v>
          </cell>
          <cell r="B183">
            <v>12</v>
          </cell>
          <cell r="C183" t="str">
            <v>Assessment</v>
          </cell>
          <cell r="D183" t="str">
            <v>112-ASSESS-03</v>
          </cell>
          <cell r="E183">
            <v>3000</v>
          </cell>
          <cell r="F183">
            <v>37833</v>
          </cell>
          <cell r="G183" t="str">
            <v/>
          </cell>
        </row>
        <row r="184">
          <cell r="A184" t="str">
            <v>12Workfirst 112-WFB-04</v>
          </cell>
          <cell r="B184">
            <v>12</v>
          </cell>
          <cell r="C184" t="str">
            <v xml:space="preserve">Workfirst </v>
          </cell>
          <cell r="D184" t="str">
            <v>112-WFB-04</v>
          </cell>
          <cell r="E184">
            <v>528506</v>
          </cell>
          <cell r="F184">
            <v>38168</v>
          </cell>
          <cell r="G184" t="str">
            <v/>
          </cell>
        </row>
        <row r="185">
          <cell r="A185" t="str">
            <v>12CASAS Implementation Training112-CASAS-04</v>
          </cell>
          <cell r="B185">
            <v>12</v>
          </cell>
          <cell r="C185" t="str">
            <v>CASAS Implementation Training</v>
          </cell>
          <cell r="D185" t="str">
            <v>112-CASAS-04</v>
          </cell>
          <cell r="E185">
            <v>975</v>
          </cell>
          <cell r="F185">
            <v>37894</v>
          </cell>
          <cell r="G185" t="str">
            <v/>
          </cell>
        </row>
        <row r="186">
          <cell r="A186" t="str">
            <v>13ABE113-ABE-04</v>
          </cell>
          <cell r="B186">
            <v>13</v>
          </cell>
          <cell r="C186" t="str">
            <v>ABE</v>
          </cell>
          <cell r="D186" t="str">
            <v>113-ABE-04</v>
          </cell>
          <cell r="E186">
            <v>104555</v>
          </cell>
          <cell r="F186">
            <v>38168</v>
          </cell>
          <cell r="G186" t="str">
            <v/>
          </cell>
        </row>
        <row r="187">
          <cell r="A187" t="str">
            <v>13CASAS Train the Trainer113-CTT-04</v>
          </cell>
          <cell r="B187">
            <v>13</v>
          </cell>
          <cell r="C187" t="str">
            <v>CASAS Train the Trainer</v>
          </cell>
          <cell r="D187" t="str">
            <v>113-CTT-04</v>
          </cell>
          <cell r="E187">
            <v>600</v>
          </cell>
          <cell r="F187">
            <v>38168</v>
          </cell>
          <cell r="G187" t="str">
            <v/>
          </cell>
        </row>
        <row r="188">
          <cell r="A188" t="str">
            <v>13Assessment113-ASSESS-03</v>
          </cell>
          <cell r="B188">
            <v>13</v>
          </cell>
          <cell r="C188" t="str">
            <v>Assessment</v>
          </cell>
          <cell r="D188" t="str">
            <v>113-ASSESS-03</v>
          </cell>
          <cell r="E188">
            <v>3000</v>
          </cell>
          <cell r="F188">
            <v>37833</v>
          </cell>
          <cell r="G188" t="str">
            <v/>
          </cell>
        </row>
        <row r="189">
          <cell r="A189" t="str">
            <v>13CASAS Implementation Training113-CASAS-04</v>
          </cell>
          <cell r="B189">
            <v>13</v>
          </cell>
          <cell r="C189" t="str">
            <v>CASAS Implementation Training</v>
          </cell>
          <cell r="D189" t="str">
            <v>113-CASAS-04</v>
          </cell>
          <cell r="E189">
            <v>675</v>
          </cell>
          <cell r="F189">
            <v>37894</v>
          </cell>
          <cell r="G189" t="str">
            <v/>
          </cell>
        </row>
        <row r="190">
          <cell r="A190" t="str">
            <v>13Perkins113-PRK-04</v>
          </cell>
          <cell r="B190">
            <v>13</v>
          </cell>
          <cell r="C190" t="str">
            <v>Perkins</v>
          </cell>
          <cell r="D190" t="str">
            <v>113-PRK-04</v>
          </cell>
          <cell r="E190">
            <v>330402</v>
          </cell>
          <cell r="F190">
            <v>38168</v>
          </cell>
          <cell r="G190" t="str">
            <v/>
          </cell>
        </row>
        <row r="191">
          <cell r="A191" t="str">
            <v>13Family Literacy113-FLP-04</v>
          </cell>
          <cell r="B191">
            <v>13</v>
          </cell>
          <cell r="C191" t="str">
            <v>Family Literacy</v>
          </cell>
          <cell r="D191" t="str">
            <v>113-FLP-04</v>
          </cell>
          <cell r="E191">
            <v>28981</v>
          </cell>
          <cell r="F191">
            <v>38168</v>
          </cell>
          <cell r="G191" t="str">
            <v/>
          </cell>
        </row>
        <row r="192">
          <cell r="A192" t="str">
            <v>13Tech Prep113-TP-04</v>
          </cell>
          <cell r="B192">
            <v>13</v>
          </cell>
          <cell r="C192" t="str">
            <v>Tech Prep</v>
          </cell>
          <cell r="D192" t="str">
            <v>113-TP-04</v>
          </cell>
          <cell r="E192">
            <v>78277</v>
          </cell>
          <cell r="F192">
            <v>38168</v>
          </cell>
          <cell r="G192" t="str">
            <v/>
          </cell>
        </row>
        <row r="193">
          <cell r="A193" t="str">
            <v>13Volunteer Literacy Program - Federal113-VLP-04</v>
          </cell>
          <cell r="B193">
            <v>13</v>
          </cell>
          <cell r="C193" t="str">
            <v>Volunteer Literacy Program - Federal</v>
          </cell>
          <cell r="D193" t="str">
            <v>113-VLP-04</v>
          </cell>
          <cell r="E193">
            <v>14277</v>
          </cell>
          <cell r="F193">
            <v>38168</v>
          </cell>
          <cell r="G193" t="str">
            <v/>
          </cell>
        </row>
        <row r="194">
          <cell r="A194" t="str">
            <v>13ELCivics - Federal113-ELC-04</v>
          </cell>
          <cell r="B194">
            <v>13</v>
          </cell>
          <cell r="C194" t="str">
            <v>ELCivics - Federal</v>
          </cell>
          <cell r="D194" t="str">
            <v>113-ELC-04</v>
          </cell>
          <cell r="E194">
            <v>15023</v>
          </cell>
          <cell r="F194">
            <v>38168</v>
          </cell>
          <cell r="G194" t="str">
            <v/>
          </cell>
        </row>
        <row r="195">
          <cell r="A195" t="str">
            <v>13Workfirst 113-WFB-04</v>
          </cell>
          <cell r="B195">
            <v>13</v>
          </cell>
          <cell r="C195" t="str">
            <v xml:space="preserve">Workfirst </v>
          </cell>
          <cell r="D195" t="str">
            <v>113-WFB-04</v>
          </cell>
          <cell r="E195">
            <v>748539</v>
          </cell>
          <cell r="F195">
            <v>38168</v>
          </cell>
          <cell r="G195" t="str">
            <v/>
          </cell>
        </row>
        <row r="196">
          <cell r="A196" t="str">
            <v>14CASAS Implementation Training114-CASAS-04</v>
          </cell>
          <cell r="B196">
            <v>14</v>
          </cell>
          <cell r="C196" t="str">
            <v>CASAS Implementation Training</v>
          </cell>
          <cell r="D196" t="str">
            <v>114-CASAS-04</v>
          </cell>
          <cell r="E196">
            <v>1725</v>
          </cell>
          <cell r="F196">
            <v>37894</v>
          </cell>
          <cell r="G196" t="str">
            <v/>
          </cell>
        </row>
        <row r="197">
          <cell r="A197" t="str">
            <v>14Workfirst 114-WFB-04</v>
          </cell>
          <cell r="B197">
            <v>14</v>
          </cell>
          <cell r="C197" t="str">
            <v xml:space="preserve">Workfirst </v>
          </cell>
          <cell r="D197" t="str">
            <v>114-WFB-04</v>
          </cell>
          <cell r="E197">
            <v>618794</v>
          </cell>
          <cell r="F197">
            <v>38168</v>
          </cell>
          <cell r="G197">
            <v>-7000</v>
          </cell>
        </row>
        <row r="198">
          <cell r="A198" t="str">
            <v>14Assessment114-ASSESS-03</v>
          </cell>
          <cell r="B198">
            <v>14</v>
          </cell>
          <cell r="C198" t="str">
            <v>Assessment</v>
          </cell>
          <cell r="D198" t="str">
            <v>114-ASSESS-03</v>
          </cell>
          <cell r="E198">
            <v>3000</v>
          </cell>
          <cell r="F198">
            <v>37833</v>
          </cell>
          <cell r="G198" t="str">
            <v/>
          </cell>
        </row>
        <row r="199">
          <cell r="A199" t="str">
            <v>14OAL Staff Development114-SD-04</v>
          </cell>
          <cell r="B199">
            <v>14</v>
          </cell>
          <cell r="C199" t="str">
            <v>OAL Staff Development</v>
          </cell>
          <cell r="D199" t="str">
            <v>114-SD-04</v>
          </cell>
          <cell r="E199">
            <v>2998</v>
          </cell>
          <cell r="F199">
            <v>38168</v>
          </cell>
          <cell r="G199">
            <v>2998</v>
          </cell>
        </row>
        <row r="200">
          <cell r="A200" t="str">
            <v>14CASAS Train the Trainer114-CTT-04</v>
          </cell>
          <cell r="B200">
            <v>14</v>
          </cell>
          <cell r="C200" t="str">
            <v>CASAS Train the Trainer</v>
          </cell>
          <cell r="D200" t="str">
            <v>114-CTT-04</v>
          </cell>
          <cell r="E200">
            <v>1800</v>
          </cell>
          <cell r="F200">
            <v>38168</v>
          </cell>
          <cell r="G200" t="str">
            <v/>
          </cell>
        </row>
        <row r="201">
          <cell r="A201" t="str">
            <v>14Corrections Education Program114-CE-04LCC</v>
          </cell>
          <cell r="B201">
            <v>14</v>
          </cell>
          <cell r="C201" t="str">
            <v>Corrections Education Program</v>
          </cell>
          <cell r="D201" t="str">
            <v>114-CE-04LCC</v>
          </cell>
          <cell r="E201">
            <v>324256</v>
          </cell>
          <cell r="F201">
            <v>38168</v>
          </cell>
          <cell r="G201">
            <v>1392</v>
          </cell>
        </row>
        <row r="202">
          <cell r="A202" t="str">
            <v>14ELCivics - Federal114-ELC-04</v>
          </cell>
          <cell r="B202">
            <v>14</v>
          </cell>
          <cell r="C202" t="str">
            <v>ELCivics - Federal</v>
          </cell>
          <cell r="D202" t="str">
            <v>114-ELC-04</v>
          </cell>
          <cell r="E202">
            <v>85836</v>
          </cell>
          <cell r="F202">
            <v>38168</v>
          </cell>
          <cell r="G202" t="str">
            <v/>
          </cell>
        </row>
        <row r="203">
          <cell r="A203" t="str">
            <v>14New Teacher Orientation Distance Learning Pilot114-NTO-04</v>
          </cell>
          <cell r="B203">
            <v>14</v>
          </cell>
          <cell r="C203" t="str">
            <v>New Teacher Orientation Distance Learning Pilot</v>
          </cell>
          <cell r="D203" t="str">
            <v>114-NTO-04</v>
          </cell>
          <cell r="E203">
            <v>1000</v>
          </cell>
          <cell r="F203">
            <v>37986</v>
          </cell>
          <cell r="G203" t="str">
            <v/>
          </cell>
        </row>
        <row r="204">
          <cell r="A204" t="str">
            <v>14Volunteer Literacy Program - Federal114-VLP-04</v>
          </cell>
          <cell r="B204">
            <v>14</v>
          </cell>
          <cell r="C204" t="str">
            <v>Volunteer Literacy Program - Federal</v>
          </cell>
          <cell r="D204" t="str">
            <v>114-VLP-04</v>
          </cell>
          <cell r="E204">
            <v>14277</v>
          </cell>
          <cell r="F204">
            <v>38168</v>
          </cell>
          <cell r="G204" t="str">
            <v/>
          </cell>
        </row>
        <row r="205">
          <cell r="A205" t="str">
            <v>14Tech Prep114-TP-04</v>
          </cell>
          <cell r="B205">
            <v>14</v>
          </cell>
          <cell r="C205" t="str">
            <v>Tech Prep</v>
          </cell>
          <cell r="D205" t="str">
            <v>114-TP-04</v>
          </cell>
          <cell r="E205">
            <v>72984</v>
          </cell>
          <cell r="F205">
            <v>38168</v>
          </cell>
          <cell r="G205" t="str">
            <v/>
          </cell>
        </row>
        <row r="206">
          <cell r="A206" t="str">
            <v>14Perkins114-PRK-04</v>
          </cell>
          <cell r="B206">
            <v>14</v>
          </cell>
          <cell r="C206" t="str">
            <v>Perkins</v>
          </cell>
          <cell r="D206" t="str">
            <v>114-PRK-04</v>
          </cell>
          <cell r="E206">
            <v>525284</v>
          </cell>
          <cell r="F206">
            <v>38168</v>
          </cell>
          <cell r="G206" t="str">
            <v/>
          </cell>
        </row>
        <row r="207">
          <cell r="A207" t="str">
            <v>14ABE114-ABE-04</v>
          </cell>
          <cell r="B207">
            <v>14</v>
          </cell>
          <cell r="C207" t="str">
            <v>ABE</v>
          </cell>
          <cell r="D207" t="str">
            <v>114-ABE-04</v>
          </cell>
          <cell r="E207">
            <v>281425</v>
          </cell>
          <cell r="F207">
            <v>38168</v>
          </cell>
          <cell r="G207" t="str">
            <v/>
          </cell>
        </row>
        <row r="208">
          <cell r="A208" t="str">
            <v>15ELCivics - Federal115-ELC-04</v>
          </cell>
          <cell r="B208">
            <v>15</v>
          </cell>
          <cell r="C208" t="str">
            <v>ELCivics - Federal</v>
          </cell>
          <cell r="D208" t="str">
            <v>115-ELC-04</v>
          </cell>
          <cell r="E208">
            <v>40957</v>
          </cell>
          <cell r="F208">
            <v>38168</v>
          </cell>
          <cell r="G208" t="str">
            <v/>
          </cell>
        </row>
        <row r="209">
          <cell r="A209" t="str">
            <v>15Workfirst 115-WFB-04</v>
          </cell>
          <cell r="B209">
            <v>15</v>
          </cell>
          <cell r="C209" t="str">
            <v xml:space="preserve">Workfirst </v>
          </cell>
          <cell r="D209" t="str">
            <v>115-WFB-04</v>
          </cell>
          <cell r="E209">
            <v>453552</v>
          </cell>
          <cell r="F209">
            <v>38168</v>
          </cell>
          <cell r="G209" t="str">
            <v/>
          </cell>
        </row>
        <row r="210">
          <cell r="A210" t="str">
            <v>15Tech Prep115-TP-04</v>
          </cell>
          <cell r="B210">
            <v>15</v>
          </cell>
          <cell r="C210" t="str">
            <v>Tech Prep</v>
          </cell>
          <cell r="D210" t="str">
            <v>115-TP-04</v>
          </cell>
          <cell r="E210">
            <v>76892</v>
          </cell>
          <cell r="F210">
            <v>38168</v>
          </cell>
          <cell r="G210" t="str">
            <v/>
          </cell>
        </row>
        <row r="211">
          <cell r="A211" t="str">
            <v>15Regional Trainer Space115-SPACE-04</v>
          </cell>
          <cell r="B211">
            <v>15</v>
          </cell>
          <cell r="C211" t="str">
            <v>Regional Trainer Space</v>
          </cell>
          <cell r="D211" t="str">
            <v>115-SPACE-04</v>
          </cell>
          <cell r="E211">
            <v>5000</v>
          </cell>
          <cell r="F211">
            <v>38168</v>
          </cell>
          <cell r="G211" t="str">
            <v/>
          </cell>
        </row>
        <row r="212">
          <cell r="A212" t="str">
            <v>15Perkins115-PRK-04</v>
          </cell>
          <cell r="B212">
            <v>15</v>
          </cell>
          <cell r="C212" t="str">
            <v>Perkins</v>
          </cell>
          <cell r="D212" t="str">
            <v>115-PRK-04</v>
          </cell>
          <cell r="E212">
            <v>284604</v>
          </cell>
          <cell r="F212">
            <v>38168</v>
          </cell>
          <cell r="G212" t="str">
            <v/>
          </cell>
        </row>
        <row r="213">
          <cell r="A213" t="str">
            <v>15Learning Disabilities-Quality Inititive115-LDQI-04</v>
          </cell>
          <cell r="B213">
            <v>15</v>
          </cell>
          <cell r="C213" t="str">
            <v>Learning Disabilities-Quality Inititive</v>
          </cell>
          <cell r="D213" t="str">
            <v>115-LDQI-04</v>
          </cell>
          <cell r="E213">
            <v>12500</v>
          </cell>
          <cell r="F213">
            <v>38168</v>
          </cell>
          <cell r="G213" t="str">
            <v/>
          </cell>
        </row>
        <row r="214">
          <cell r="A214" t="str">
            <v>15CASAS Train the Trainer115-CTT-04</v>
          </cell>
          <cell r="B214">
            <v>15</v>
          </cell>
          <cell r="C214" t="str">
            <v>CASAS Train the Trainer</v>
          </cell>
          <cell r="D214" t="str">
            <v>115-CTT-04</v>
          </cell>
          <cell r="E214">
            <v>600</v>
          </cell>
          <cell r="F214">
            <v>38168</v>
          </cell>
          <cell r="G214" t="str">
            <v/>
          </cell>
        </row>
        <row r="215">
          <cell r="A215" t="str">
            <v>15CASAS Implementation Training115-CASAS-04</v>
          </cell>
          <cell r="B215">
            <v>15</v>
          </cell>
          <cell r="C215" t="str">
            <v>CASAS Implementation Training</v>
          </cell>
          <cell r="D215" t="str">
            <v>115-CASAS-04</v>
          </cell>
          <cell r="E215">
            <v>600</v>
          </cell>
          <cell r="F215">
            <v>37894</v>
          </cell>
          <cell r="G215" t="str">
            <v/>
          </cell>
        </row>
        <row r="216">
          <cell r="A216" t="str">
            <v>15Assessment115-ASSESS-03</v>
          </cell>
          <cell r="B216">
            <v>15</v>
          </cell>
          <cell r="C216" t="str">
            <v>Assessment</v>
          </cell>
          <cell r="D216" t="str">
            <v>115-ASSESS-03</v>
          </cell>
          <cell r="E216">
            <v>3000</v>
          </cell>
          <cell r="F216">
            <v>37833</v>
          </cell>
          <cell r="G216" t="str">
            <v/>
          </cell>
        </row>
        <row r="217">
          <cell r="A217" t="str">
            <v>15ABE115-ABE-04</v>
          </cell>
          <cell r="B217">
            <v>15</v>
          </cell>
          <cell r="C217" t="str">
            <v>ABE</v>
          </cell>
          <cell r="D217" t="str">
            <v>115-ABE-04</v>
          </cell>
          <cell r="E217">
            <v>190984</v>
          </cell>
          <cell r="F217">
            <v>38168</v>
          </cell>
          <cell r="G217" t="str">
            <v/>
          </cell>
        </row>
        <row r="218">
          <cell r="A218" t="str">
            <v>15OAL Staff Development115-SD-04</v>
          </cell>
          <cell r="B218">
            <v>15</v>
          </cell>
          <cell r="C218" t="str">
            <v>OAL Staff Development</v>
          </cell>
          <cell r="D218" t="str">
            <v>115-SD-04</v>
          </cell>
          <cell r="E218">
            <v>1920</v>
          </cell>
          <cell r="F218">
            <v>38168</v>
          </cell>
          <cell r="G218" t="str">
            <v/>
          </cell>
        </row>
        <row r="219">
          <cell r="A219" t="str">
            <v>16Workfirst 116-WFB-04</v>
          </cell>
          <cell r="B219">
            <v>16</v>
          </cell>
          <cell r="C219" t="str">
            <v xml:space="preserve">Workfirst </v>
          </cell>
          <cell r="D219" t="str">
            <v>116-WFB-04</v>
          </cell>
          <cell r="E219">
            <v>529620</v>
          </cell>
          <cell r="F219">
            <v>38168</v>
          </cell>
          <cell r="G219" t="str">
            <v/>
          </cell>
        </row>
        <row r="220">
          <cell r="A220" t="str">
            <v>16Volunteer Literacy Program - State116-VLP-04</v>
          </cell>
          <cell r="B220">
            <v>16</v>
          </cell>
          <cell r="C220" t="str">
            <v>Volunteer Literacy Program - State</v>
          </cell>
          <cell r="D220" t="str">
            <v>116-VLP-04</v>
          </cell>
          <cell r="E220">
            <v>14922</v>
          </cell>
          <cell r="F220">
            <v>38168</v>
          </cell>
          <cell r="G220" t="str">
            <v/>
          </cell>
        </row>
        <row r="221">
          <cell r="A221" t="str">
            <v>16Tech Prep116-TP-04</v>
          </cell>
          <cell r="B221">
            <v>16</v>
          </cell>
          <cell r="C221" t="str">
            <v>Tech Prep</v>
          </cell>
          <cell r="D221" t="str">
            <v>116-TP-04</v>
          </cell>
          <cell r="E221">
            <v>83421</v>
          </cell>
          <cell r="F221">
            <v>38168</v>
          </cell>
          <cell r="G221" t="str">
            <v/>
          </cell>
        </row>
        <row r="222">
          <cell r="A222" t="str">
            <v>16Perkins116-PRK-04</v>
          </cell>
          <cell r="B222">
            <v>16</v>
          </cell>
          <cell r="C222" t="str">
            <v>Perkins</v>
          </cell>
          <cell r="D222" t="str">
            <v>116-PRK-04</v>
          </cell>
          <cell r="E222">
            <v>543840</v>
          </cell>
          <cell r="F222">
            <v>38168</v>
          </cell>
          <cell r="G222" t="str">
            <v/>
          </cell>
        </row>
        <row r="223">
          <cell r="A223" t="str">
            <v>16OAL Staff Development116-SD-04</v>
          </cell>
          <cell r="B223">
            <v>16</v>
          </cell>
          <cell r="C223" t="str">
            <v>OAL Staff Development</v>
          </cell>
          <cell r="D223" t="str">
            <v>116-SD-04</v>
          </cell>
          <cell r="E223">
            <v>3000</v>
          </cell>
          <cell r="F223">
            <v>38168</v>
          </cell>
          <cell r="G223">
            <v>3000</v>
          </cell>
        </row>
        <row r="224">
          <cell r="A224" t="str">
            <v>16ELCivics - Federal116-ELC-04</v>
          </cell>
          <cell r="B224">
            <v>16</v>
          </cell>
          <cell r="C224" t="str">
            <v>ELCivics - Federal</v>
          </cell>
          <cell r="D224" t="str">
            <v>116-ELC-04</v>
          </cell>
          <cell r="E224">
            <v>121616</v>
          </cell>
          <cell r="F224">
            <v>38168</v>
          </cell>
          <cell r="G224" t="str">
            <v/>
          </cell>
        </row>
        <row r="225">
          <cell r="A225" t="str">
            <v>16CASAS Train the Trainer116-CTT-04</v>
          </cell>
          <cell r="B225">
            <v>16</v>
          </cell>
          <cell r="C225" t="str">
            <v>CASAS Train the Trainer</v>
          </cell>
          <cell r="D225" t="str">
            <v>116-CTT-04</v>
          </cell>
          <cell r="E225">
            <v>1800</v>
          </cell>
          <cell r="F225">
            <v>38168</v>
          </cell>
          <cell r="G225" t="str">
            <v/>
          </cell>
        </row>
        <row r="226">
          <cell r="A226" t="str">
            <v>16Assessment116-ASSESS-03</v>
          </cell>
          <cell r="B226">
            <v>16</v>
          </cell>
          <cell r="C226" t="str">
            <v>Assessment</v>
          </cell>
          <cell r="D226" t="str">
            <v>116-ASSESS-03</v>
          </cell>
          <cell r="E226">
            <v>3000</v>
          </cell>
          <cell r="F226">
            <v>37833</v>
          </cell>
          <cell r="G226" t="str">
            <v/>
          </cell>
        </row>
        <row r="227">
          <cell r="A227" t="str">
            <v>16ABE116-ABE-04</v>
          </cell>
          <cell r="B227">
            <v>16</v>
          </cell>
          <cell r="C227" t="str">
            <v>ABE</v>
          </cell>
          <cell r="D227" t="str">
            <v>116-ABE-04</v>
          </cell>
          <cell r="E227">
            <v>360395</v>
          </cell>
          <cell r="F227">
            <v>38168</v>
          </cell>
          <cell r="G227" t="str">
            <v/>
          </cell>
        </row>
        <row r="228">
          <cell r="A228" t="str">
            <v>16CASAS Implementation Training116-CASAS-04</v>
          </cell>
          <cell r="B228">
            <v>16</v>
          </cell>
          <cell r="C228" t="str">
            <v>CASAS Implementation Training</v>
          </cell>
          <cell r="D228" t="str">
            <v>116-CASAS-04</v>
          </cell>
          <cell r="E228">
            <v>1800</v>
          </cell>
          <cell r="F228">
            <v>37894</v>
          </cell>
          <cell r="G228" t="str">
            <v/>
          </cell>
        </row>
        <row r="229">
          <cell r="A229" t="str">
            <v>17Best Practices117S-BP-04</v>
          </cell>
          <cell r="B229">
            <v>17</v>
          </cell>
          <cell r="C229" t="str">
            <v>Best Practices</v>
          </cell>
          <cell r="D229" t="str">
            <v>117S-BP-04</v>
          </cell>
          <cell r="E229">
            <v>10000</v>
          </cell>
          <cell r="F229">
            <v>38168</v>
          </cell>
          <cell r="G229" t="str">
            <v/>
          </cell>
        </row>
        <row r="230">
          <cell r="A230" t="str">
            <v>17RTI117S-RTI5-04</v>
          </cell>
          <cell r="B230">
            <v>17</v>
          </cell>
          <cell r="C230" t="str">
            <v>RTI</v>
          </cell>
          <cell r="D230" t="str">
            <v>117S-RTI5-04</v>
          </cell>
          <cell r="E230">
            <v>500</v>
          </cell>
          <cell r="F230">
            <v>38168</v>
          </cell>
          <cell r="G230" t="str">
            <v/>
          </cell>
        </row>
        <row r="231">
          <cell r="A231" t="str">
            <v>17New Teacher Orientation Distance Learning Pilot117D-NTO-04</v>
          </cell>
          <cell r="B231">
            <v>17</v>
          </cell>
          <cell r="C231" t="str">
            <v>New Teacher Orientation Distance Learning Pilot</v>
          </cell>
          <cell r="D231" t="str">
            <v>117D-NTO-04</v>
          </cell>
          <cell r="E231">
            <v>1000</v>
          </cell>
          <cell r="F231">
            <v>37986</v>
          </cell>
          <cell r="G231" t="str">
            <v/>
          </cell>
        </row>
        <row r="232">
          <cell r="A232" t="str">
            <v>17Workfirst 117D-WFB-04</v>
          </cell>
          <cell r="B232">
            <v>17</v>
          </cell>
          <cell r="C232" t="str">
            <v xml:space="preserve">Workfirst </v>
          </cell>
          <cell r="D232" t="str">
            <v>117D-WFB-04</v>
          </cell>
          <cell r="E232">
            <v>1922963</v>
          </cell>
          <cell r="F232">
            <v>38168</v>
          </cell>
          <cell r="G232">
            <v>-34358</v>
          </cell>
        </row>
        <row r="233">
          <cell r="A233" t="str">
            <v>17Tech Prep117D-TP-04</v>
          </cell>
          <cell r="B233">
            <v>17</v>
          </cell>
          <cell r="C233" t="str">
            <v>Tech Prep</v>
          </cell>
          <cell r="D233" t="str">
            <v>117D-TP-04</v>
          </cell>
          <cell r="E233">
            <v>73479</v>
          </cell>
          <cell r="F233">
            <v>38168</v>
          </cell>
          <cell r="G233" t="str">
            <v/>
          </cell>
        </row>
        <row r="234">
          <cell r="A234" t="str">
            <v>17Non-Traditional Project117D-NT-04</v>
          </cell>
          <cell r="B234">
            <v>17</v>
          </cell>
          <cell r="C234" t="str">
            <v>Non-Traditional Project</v>
          </cell>
          <cell r="D234" t="str">
            <v>117D-NT-04</v>
          </cell>
          <cell r="E234">
            <v>4800</v>
          </cell>
          <cell r="F234">
            <v>38168</v>
          </cell>
          <cell r="G234">
            <v>4800</v>
          </cell>
        </row>
        <row r="235">
          <cell r="A235" t="str">
            <v>17ABE117D-ABE-04</v>
          </cell>
          <cell r="B235">
            <v>17</v>
          </cell>
          <cell r="C235" t="str">
            <v>ABE</v>
          </cell>
          <cell r="D235" t="str">
            <v>117D-ABE-04</v>
          </cell>
          <cell r="E235">
            <v>473421</v>
          </cell>
          <cell r="F235">
            <v>38168</v>
          </cell>
          <cell r="G235" t="str">
            <v/>
          </cell>
        </row>
        <row r="236">
          <cell r="A236" t="str">
            <v>17Assessment117D-ASSESS-03</v>
          </cell>
          <cell r="B236">
            <v>17</v>
          </cell>
          <cell r="C236" t="str">
            <v>Assessment</v>
          </cell>
          <cell r="D236" t="str">
            <v>117D-ASSESS-03</v>
          </cell>
          <cell r="E236">
            <v>7000</v>
          </cell>
          <cell r="F236">
            <v>37833</v>
          </cell>
          <cell r="G236" t="str">
            <v/>
          </cell>
        </row>
        <row r="237">
          <cell r="A237" t="str">
            <v>17Basic Skills Distance Learning Pilot Project117I-DLP-04</v>
          </cell>
          <cell r="B237">
            <v>17</v>
          </cell>
          <cell r="C237" t="str">
            <v>Basic Skills Distance Learning Pilot Project</v>
          </cell>
          <cell r="D237" t="str">
            <v>117I-DLP-04</v>
          </cell>
          <cell r="E237">
            <v>9500</v>
          </cell>
          <cell r="F237">
            <v>38168</v>
          </cell>
          <cell r="G237" t="str">
            <v/>
          </cell>
        </row>
        <row r="238">
          <cell r="A238" t="str">
            <v>17CASAS Implementation Training117D-CASAS-04</v>
          </cell>
          <cell r="B238">
            <v>17</v>
          </cell>
          <cell r="C238" t="str">
            <v>CASAS Implementation Training</v>
          </cell>
          <cell r="D238" t="str">
            <v>117D-CASAS-04</v>
          </cell>
          <cell r="E238">
            <v>2700</v>
          </cell>
          <cell r="F238">
            <v>37894</v>
          </cell>
          <cell r="G238" t="str">
            <v/>
          </cell>
        </row>
        <row r="239">
          <cell r="A239" t="str">
            <v>17CASAS Train the Trainer117D-CTT-04</v>
          </cell>
          <cell r="B239">
            <v>17</v>
          </cell>
          <cell r="C239" t="str">
            <v>CASAS Train the Trainer</v>
          </cell>
          <cell r="D239" t="str">
            <v>117D-CTT-04</v>
          </cell>
          <cell r="E239">
            <v>1800</v>
          </cell>
          <cell r="F239">
            <v>38168</v>
          </cell>
          <cell r="G239" t="str">
            <v/>
          </cell>
        </row>
        <row r="240">
          <cell r="A240" t="str">
            <v>17Corrections Education Program117D-CE-04AHCC</v>
          </cell>
          <cell r="B240">
            <v>17</v>
          </cell>
          <cell r="C240" t="str">
            <v>Corrections Education Program</v>
          </cell>
          <cell r="D240" t="str">
            <v>117D-CE-04AHCC</v>
          </cell>
          <cell r="E240">
            <v>1547599</v>
          </cell>
          <cell r="F240">
            <v>38168</v>
          </cell>
          <cell r="G240">
            <v>1547599</v>
          </cell>
        </row>
        <row r="241">
          <cell r="A241" t="str">
            <v>17Corrections Education Program117D-CE-04PLPR</v>
          </cell>
          <cell r="B241">
            <v>17</v>
          </cell>
          <cell r="C241" t="str">
            <v>Corrections Education Program</v>
          </cell>
          <cell r="D241" t="str">
            <v>117D-CE-04PLPR</v>
          </cell>
          <cell r="E241">
            <v>468161</v>
          </cell>
          <cell r="F241">
            <v>38168</v>
          </cell>
          <cell r="G241">
            <v>1589</v>
          </cell>
        </row>
        <row r="242">
          <cell r="A242" t="str">
            <v>17ELCivics - Federal117D-ELC-04</v>
          </cell>
          <cell r="B242">
            <v>17</v>
          </cell>
          <cell r="C242" t="str">
            <v>ELCivics - Federal</v>
          </cell>
          <cell r="D242" t="str">
            <v>117D-ELC-04</v>
          </cell>
          <cell r="E242">
            <v>93720</v>
          </cell>
          <cell r="F242">
            <v>38168</v>
          </cell>
          <cell r="G242" t="str">
            <v/>
          </cell>
        </row>
        <row r="243">
          <cell r="A243" t="str">
            <v>17Family Literacy117D-FLP-04</v>
          </cell>
          <cell r="B243">
            <v>17</v>
          </cell>
          <cell r="C243" t="str">
            <v>Family Literacy</v>
          </cell>
          <cell r="D243" t="str">
            <v>117D-FLP-04</v>
          </cell>
          <cell r="E243">
            <v>28981</v>
          </cell>
          <cell r="F243">
            <v>38168</v>
          </cell>
          <cell r="G243" t="str">
            <v/>
          </cell>
        </row>
        <row r="244">
          <cell r="A244" t="str">
            <v>17JSP117D-JSP-04HE</v>
          </cell>
          <cell r="B244">
            <v>17</v>
          </cell>
          <cell r="C244" t="str">
            <v>JSP</v>
          </cell>
          <cell r="D244" t="str">
            <v>117D-JSP-04HE</v>
          </cell>
          <cell r="E244">
            <v>69195</v>
          </cell>
          <cell r="F244">
            <v>38168</v>
          </cell>
          <cell r="G244" t="str">
            <v/>
          </cell>
        </row>
        <row r="245">
          <cell r="A245" t="str">
            <v>17JSP117D-JSP-04TC</v>
          </cell>
          <cell r="B245">
            <v>17</v>
          </cell>
          <cell r="C245" t="str">
            <v>JSP</v>
          </cell>
          <cell r="D245" t="str">
            <v>117D-JSP-04TC</v>
          </cell>
          <cell r="E245">
            <v>195000</v>
          </cell>
          <cell r="F245">
            <v>38168</v>
          </cell>
          <cell r="G245" t="str">
            <v/>
          </cell>
        </row>
        <row r="246">
          <cell r="A246" t="str">
            <v>17OAL Staff Development117I-SD-04</v>
          </cell>
          <cell r="B246">
            <v>17</v>
          </cell>
          <cell r="C246" t="str">
            <v>OAL Staff Development</v>
          </cell>
          <cell r="D246" t="str">
            <v>117I-SD-04</v>
          </cell>
          <cell r="E246">
            <v>2000</v>
          </cell>
          <cell r="F246">
            <v>38168</v>
          </cell>
          <cell r="G246">
            <v>2000</v>
          </cell>
        </row>
        <row r="247">
          <cell r="A247" t="str">
            <v>17Learning Disabilities-Quality Inititive117D-LDQI-04</v>
          </cell>
          <cell r="B247">
            <v>17</v>
          </cell>
          <cell r="C247" t="str">
            <v>Learning Disabilities-Quality Inititive</v>
          </cell>
          <cell r="D247" t="str">
            <v>117D-LDQI-04</v>
          </cell>
          <cell r="E247">
            <v>20500</v>
          </cell>
          <cell r="F247">
            <v>38168</v>
          </cell>
          <cell r="G247" t="str">
            <v/>
          </cell>
        </row>
        <row r="248">
          <cell r="A248" t="str">
            <v>17RTI117S-RTI4-04</v>
          </cell>
          <cell r="B248">
            <v>17</v>
          </cell>
          <cell r="C248" t="str">
            <v>RTI</v>
          </cell>
          <cell r="D248" t="str">
            <v>117S-RTI4-04</v>
          </cell>
          <cell r="E248">
            <v>500</v>
          </cell>
          <cell r="F248">
            <v>38168</v>
          </cell>
          <cell r="G248" t="str">
            <v/>
          </cell>
        </row>
        <row r="249">
          <cell r="A249" t="str">
            <v>17RTI117S-RTI3-04</v>
          </cell>
          <cell r="B249">
            <v>17</v>
          </cell>
          <cell r="C249" t="str">
            <v>RTI</v>
          </cell>
          <cell r="D249" t="str">
            <v>117S-RTI3-04</v>
          </cell>
          <cell r="E249">
            <v>500</v>
          </cell>
          <cell r="F249">
            <v>38168</v>
          </cell>
          <cell r="G249" t="str">
            <v/>
          </cell>
        </row>
        <row r="250">
          <cell r="A250" t="str">
            <v>17RTI117S-RTI2-04</v>
          </cell>
          <cell r="B250">
            <v>17</v>
          </cell>
          <cell r="C250" t="str">
            <v>RTI</v>
          </cell>
          <cell r="D250" t="str">
            <v>117S-RTI2-04</v>
          </cell>
          <cell r="E250">
            <v>1920</v>
          </cell>
          <cell r="F250">
            <v>38168</v>
          </cell>
          <cell r="G250" t="str">
            <v/>
          </cell>
        </row>
        <row r="251">
          <cell r="A251" t="str">
            <v>17Perkins117D-PRK-04</v>
          </cell>
          <cell r="B251">
            <v>17</v>
          </cell>
          <cell r="C251" t="str">
            <v>Perkins</v>
          </cell>
          <cell r="D251" t="str">
            <v>117D-PRK-04</v>
          </cell>
          <cell r="E251">
            <v>1308906</v>
          </cell>
          <cell r="F251">
            <v>38168</v>
          </cell>
          <cell r="G251" t="str">
            <v/>
          </cell>
        </row>
        <row r="252">
          <cell r="A252" t="str">
            <v>17RTI117S-RTI-04</v>
          </cell>
          <cell r="B252">
            <v>17</v>
          </cell>
          <cell r="C252" t="str">
            <v>RTI</v>
          </cell>
          <cell r="D252" t="str">
            <v>117S-RTI-04</v>
          </cell>
          <cell r="E252">
            <v>1535</v>
          </cell>
          <cell r="F252">
            <v>38168</v>
          </cell>
          <cell r="G252" t="str">
            <v/>
          </cell>
        </row>
        <row r="253">
          <cell r="A253" t="str">
            <v>18CASAS Train the Trainer118-CTT-04</v>
          </cell>
          <cell r="B253">
            <v>18</v>
          </cell>
          <cell r="C253" t="str">
            <v>CASAS Train the Trainer</v>
          </cell>
          <cell r="D253" t="str">
            <v>118-CTT-04</v>
          </cell>
          <cell r="E253">
            <v>600</v>
          </cell>
          <cell r="F253">
            <v>38168</v>
          </cell>
          <cell r="G253" t="str">
            <v/>
          </cell>
        </row>
        <row r="254">
          <cell r="A254" t="str">
            <v>18ABE118-ABE-04</v>
          </cell>
          <cell r="B254">
            <v>18</v>
          </cell>
          <cell r="C254" t="str">
            <v>ABE</v>
          </cell>
          <cell r="D254" t="str">
            <v>118-ABE-04</v>
          </cell>
          <cell r="E254">
            <v>156541</v>
          </cell>
          <cell r="F254">
            <v>38168</v>
          </cell>
          <cell r="G254" t="str">
            <v/>
          </cell>
        </row>
        <row r="255">
          <cell r="A255" t="str">
            <v>18CASAS Implementation Training118-CASAS-04</v>
          </cell>
          <cell r="B255">
            <v>18</v>
          </cell>
          <cell r="C255" t="str">
            <v>CASAS Implementation Training</v>
          </cell>
          <cell r="D255" t="str">
            <v>118-CASAS-04</v>
          </cell>
          <cell r="E255">
            <v>525</v>
          </cell>
          <cell r="F255">
            <v>37894</v>
          </cell>
          <cell r="G255" t="str">
            <v/>
          </cell>
        </row>
        <row r="256">
          <cell r="A256" t="str">
            <v>18Tech Prep118-TP-04</v>
          </cell>
          <cell r="B256">
            <v>18</v>
          </cell>
          <cell r="C256" t="str">
            <v>Tech Prep</v>
          </cell>
          <cell r="D256" t="str">
            <v>118-TP-04</v>
          </cell>
          <cell r="E256">
            <v>86685</v>
          </cell>
          <cell r="F256">
            <v>38168</v>
          </cell>
          <cell r="G256" t="str">
            <v/>
          </cell>
        </row>
        <row r="257">
          <cell r="A257" t="str">
            <v>18ELCivics - Federal118-ELC-04</v>
          </cell>
          <cell r="B257">
            <v>18</v>
          </cell>
          <cell r="C257" t="str">
            <v>ELCivics - Federal</v>
          </cell>
          <cell r="D257" t="str">
            <v>118-ELC-04</v>
          </cell>
          <cell r="E257">
            <v>32007</v>
          </cell>
          <cell r="F257">
            <v>38168</v>
          </cell>
          <cell r="G257" t="str">
            <v/>
          </cell>
        </row>
        <row r="258">
          <cell r="A258" t="str">
            <v>18Family Literacy118-FLP-04</v>
          </cell>
          <cell r="B258">
            <v>18</v>
          </cell>
          <cell r="C258" t="str">
            <v>Family Literacy</v>
          </cell>
          <cell r="D258" t="str">
            <v>118-FLP-04</v>
          </cell>
          <cell r="E258">
            <v>28981</v>
          </cell>
          <cell r="F258">
            <v>38168</v>
          </cell>
          <cell r="G258" t="str">
            <v/>
          </cell>
        </row>
        <row r="259">
          <cell r="A259" t="str">
            <v>18New Teacher Orientation Distance Learning Pilot118-NTO-04</v>
          </cell>
          <cell r="B259">
            <v>18</v>
          </cell>
          <cell r="C259" t="str">
            <v>New Teacher Orientation Distance Learning Pilot</v>
          </cell>
          <cell r="D259" t="str">
            <v>118-NTO-04</v>
          </cell>
          <cell r="E259">
            <v>1000</v>
          </cell>
          <cell r="F259">
            <v>37986</v>
          </cell>
          <cell r="G259" t="str">
            <v/>
          </cell>
        </row>
        <row r="260">
          <cell r="A260" t="str">
            <v>18Workfirst 118-WFB-04</v>
          </cell>
          <cell r="B260">
            <v>18</v>
          </cell>
          <cell r="C260" t="str">
            <v xml:space="preserve">Workfirst </v>
          </cell>
          <cell r="D260" t="str">
            <v>118-WFB-04</v>
          </cell>
          <cell r="E260">
            <v>750227</v>
          </cell>
          <cell r="F260">
            <v>38168</v>
          </cell>
          <cell r="G260">
            <v>-50000</v>
          </cell>
        </row>
        <row r="261">
          <cell r="A261" t="str">
            <v>18Assessment118-ASSESS-03</v>
          </cell>
          <cell r="B261">
            <v>18</v>
          </cell>
          <cell r="C261" t="str">
            <v>Assessment</v>
          </cell>
          <cell r="D261" t="str">
            <v>118-ASSESS-03</v>
          </cell>
          <cell r="E261">
            <v>4000</v>
          </cell>
          <cell r="F261">
            <v>37833</v>
          </cell>
          <cell r="G261" t="str">
            <v/>
          </cell>
        </row>
        <row r="262">
          <cell r="A262" t="str">
            <v>18Volunteer Literacy Program - State118-VLP-04</v>
          </cell>
          <cell r="B262">
            <v>18</v>
          </cell>
          <cell r="C262" t="str">
            <v>Volunteer Literacy Program - State</v>
          </cell>
          <cell r="D262" t="str">
            <v>118-VLP-04</v>
          </cell>
          <cell r="E262">
            <v>14277</v>
          </cell>
          <cell r="F262">
            <v>38168</v>
          </cell>
          <cell r="G262" t="str">
            <v/>
          </cell>
        </row>
        <row r="263">
          <cell r="A263" t="str">
            <v>18OAL Staff Development118-SD-04</v>
          </cell>
          <cell r="B263">
            <v>18</v>
          </cell>
          <cell r="C263" t="str">
            <v>OAL Staff Development</v>
          </cell>
          <cell r="D263" t="str">
            <v>118-SD-04</v>
          </cell>
          <cell r="E263">
            <v>3000</v>
          </cell>
          <cell r="F263">
            <v>38168</v>
          </cell>
          <cell r="G263">
            <v>3000</v>
          </cell>
        </row>
        <row r="264">
          <cell r="A264" t="str">
            <v>18Perkins118-PRK-04</v>
          </cell>
          <cell r="B264">
            <v>18</v>
          </cell>
          <cell r="C264" t="str">
            <v>Perkins</v>
          </cell>
          <cell r="D264" t="str">
            <v>118-PRK-04</v>
          </cell>
          <cell r="E264">
            <v>206301</v>
          </cell>
          <cell r="F264">
            <v>38168</v>
          </cell>
          <cell r="G264" t="str">
            <v/>
          </cell>
        </row>
        <row r="265">
          <cell r="A265" t="str">
            <v>18RTI118-RTI-04</v>
          </cell>
          <cell r="B265">
            <v>18</v>
          </cell>
          <cell r="C265" t="str">
            <v>RTI</v>
          </cell>
          <cell r="D265" t="str">
            <v>118-RTI-04</v>
          </cell>
          <cell r="E265">
            <v>3000</v>
          </cell>
          <cell r="F265">
            <v>38168</v>
          </cell>
          <cell r="G265" t="str">
            <v/>
          </cell>
        </row>
        <row r="266">
          <cell r="A266" t="str">
            <v>19ELCivics - State119-ELC-04</v>
          </cell>
          <cell r="B266">
            <v>19</v>
          </cell>
          <cell r="C266" t="str">
            <v>ELCivics - State</v>
          </cell>
          <cell r="D266" t="str">
            <v>119-ELC-04</v>
          </cell>
          <cell r="E266">
            <v>115765</v>
          </cell>
          <cell r="F266">
            <v>38168</v>
          </cell>
          <cell r="G266" t="str">
            <v/>
          </cell>
        </row>
        <row r="267">
          <cell r="A267" t="str">
            <v>19JSP119-JSP-04FE</v>
          </cell>
          <cell r="B267">
            <v>19</v>
          </cell>
          <cell r="C267" t="str">
            <v>JSP</v>
          </cell>
          <cell r="D267" t="str">
            <v>119-JSP-04FE</v>
          </cell>
          <cell r="E267">
            <v>88252</v>
          </cell>
          <cell r="F267">
            <v>38168</v>
          </cell>
          <cell r="G267">
            <v>88252</v>
          </cell>
        </row>
        <row r="268">
          <cell r="A268" t="str">
            <v>19JSP119-JSP-04WK</v>
          </cell>
          <cell r="B268">
            <v>19</v>
          </cell>
          <cell r="C268" t="str">
            <v>JSP</v>
          </cell>
          <cell r="D268" t="str">
            <v>119-JSP-04WK</v>
          </cell>
          <cell r="E268">
            <v>60000</v>
          </cell>
          <cell r="F268">
            <v>38168</v>
          </cell>
          <cell r="G268" t="str">
            <v/>
          </cell>
        </row>
        <row r="269">
          <cell r="A269" t="str">
            <v>19Non-Traditional Project119-NT-04</v>
          </cell>
          <cell r="B269">
            <v>19</v>
          </cell>
          <cell r="C269" t="str">
            <v>Non-Traditional Project</v>
          </cell>
          <cell r="D269" t="str">
            <v>119-NT-04</v>
          </cell>
          <cell r="E269">
            <v>5000</v>
          </cell>
          <cell r="F269">
            <v>38168</v>
          </cell>
          <cell r="G269">
            <v>5000</v>
          </cell>
        </row>
        <row r="270">
          <cell r="A270" t="str">
            <v>19OAL Staff Development119-SD-04</v>
          </cell>
          <cell r="B270">
            <v>19</v>
          </cell>
          <cell r="C270" t="str">
            <v>OAL Staff Development</v>
          </cell>
          <cell r="D270" t="str">
            <v>119-SD-04</v>
          </cell>
          <cell r="E270">
            <v>3000</v>
          </cell>
          <cell r="F270">
            <v>38168</v>
          </cell>
          <cell r="G270">
            <v>3000</v>
          </cell>
        </row>
        <row r="271">
          <cell r="A271" t="str">
            <v>19Perkins119-PRK-04</v>
          </cell>
          <cell r="B271">
            <v>19</v>
          </cell>
          <cell r="C271" t="str">
            <v>Perkins</v>
          </cell>
          <cell r="D271" t="str">
            <v>119-PRK-04</v>
          </cell>
          <cell r="E271">
            <v>402460</v>
          </cell>
          <cell r="F271">
            <v>38168</v>
          </cell>
          <cell r="G271" t="str">
            <v/>
          </cell>
        </row>
        <row r="272">
          <cell r="A272" t="str">
            <v>19Workfirst 119-WFB-04</v>
          </cell>
          <cell r="B272">
            <v>19</v>
          </cell>
          <cell r="C272" t="str">
            <v xml:space="preserve">Workfirst </v>
          </cell>
          <cell r="D272" t="str">
            <v>119-WFB-04</v>
          </cell>
          <cell r="E272">
            <v>494581</v>
          </cell>
          <cell r="F272">
            <v>38168</v>
          </cell>
          <cell r="G272" t="str">
            <v/>
          </cell>
        </row>
        <row r="273">
          <cell r="A273" t="str">
            <v>19Volunteer Literacy Program - State119-VLP-04</v>
          </cell>
          <cell r="B273">
            <v>19</v>
          </cell>
          <cell r="C273" t="str">
            <v>Volunteer Literacy Program - State</v>
          </cell>
          <cell r="D273" t="str">
            <v>119-VLP-04</v>
          </cell>
          <cell r="E273">
            <v>14277</v>
          </cell>
          <cell r="F273">
            <v>38168</v>
          </cell>
          <cell r="G273" t="str">
            <v/>
          </cell>
        </row>
        <row r="274">
          <cell r="A274" t="str">
            <v>19Best Practices119-BP-04</v>
          </cell>
          <cell r="B274">
            <v>19</v>
          </cell>
          <cell r="C274" t="str">
            <v>Best Practices</v>
          </cell>
          <cell r="D274" t="str">
            <v>119-BP-04</v>
          </cell>
          <cell r="E274">
            <v>10000</v>
          </cell>
          <cell r="F274">
            <v>38168</v>
          </cell>
          <cell r="G274" t="str">
            <v/>
          </cell>
        </row>
        <row r="275">
          <cell r="A275" t="str">
            <v>19CASAS Train the Trainer119-CTT-04</v>
          </cell>
          <cell r="B275">
            <v>19</v>
          </cell>
          <cell r="C275" t="str">
            <v>CASAS Train the Trainer</v>
          </cell>
          <cell r="D275" t="str">
            <v>119-CTT-04</v>
          </cell>
          <cell r="E275">
            <v>1200</v>
          </cell>
          <cell r="F275">
            <v>38168</v>
          </cell>
          <cell r="G275" t="str">
            <v/>
          </cell>
        </row>
        <row r="276">
          <cell r="A276" t="str">
            <v>19ABE119-ABE-04</v>
          </cell>
          <cell r="B276">
            <v>19</v>
          </cell>
          <cell r="C276" t="str">
            <v>ABE</v>
          </cell>
          <cell r="D276" t="str">
            <v>119-ABE-04</v>
          </cell>
          <cell r="E276">
            <v>242831</v>
          </cell>
          <cell r="F276">
            <v>38168</v>
          </cell>
          <cell r="G276" t="str">
            <v/>
          </cell>
        </row>
        <row r="277">
          <cell r="A277" t="str">
            <v>19CASAS Implementation Training119-CASAS-04</v>
          </cell>
          <cell r="B277">
            <v>19</v>
          </cell>
          <cell r="C277" t="str">
            <v>CASAS Implementation Training</v>
          </cell>
          <cell r="D277" t="str">
            <v>119-CASAS-04</v>
          </cell>
          <cell r="E277">
            <v>1050</v>
          </cell>
          <cell r="F277">
            <v>37894</v>
          </cell>
          <cell r="G277" t="str">
            <v/>
          </cell>
        </row>
        <row r="278">
          <cell r="A278" t="str">
            <v>19Assessment119-ASSESS-03</v>
          </cell>
          <cell r="B278">
            <v>19</v>
          </cell>
          <cell r="C278" t="str">
            <v>Assessment</v>
          </cell>
          <cell r="D278" t="str">
            <v>119-ASSESS-03</v>
          </cell>
          <cell r="E278">
            <v>3000</v>
          </cell>
          <cell r="F278">
            <v>37833</v>
          </cell>
          <cell r="G278" t="str">
            <v/>
          </cell>
        </row>
        <row r="279">
          <cell r="A279" t="str">
            <v>19Tech Prep119-TP-04</v>
          </cell>
          <cell r="B279">
            <v>19</v>
          </cell>
          <cell r="C279" t="str">
            <v>Tech Prep</v>
          </cell>
          <cell r="D279" t="str">
            <v>119-TP-04</v>
          </cell>
          <cell r="E279">
            <v>98456</v>
          </cell>
          <cell r="F279">
            <v>38168</v>
          </cell>
          <cell r="G279" t="str">
            <v/>
          </cell>
        </row>
        <row r="280">
          <cell r="A280" t="str">
            <v>20Family Literacy120-FLP-04</v>
          </cell>
          <cell r="B280">
            <v>20</v>
          </cell>
          <cell r="C280" t="str">
            <v>Family Literacy</v>
          </cell>
          <cell r="D280" t="str">
            <v>120-FLP-04</v>
          </cell>
          <cell r="E280">
            <v>28981</v>
          </cell>
          <cell r="F280">
            <v>38168</v>
          </cell>
          <cell r="G280" t="str">
            <v/>
          </cell>
        </row>
        <row r="281">
          <cell r="A281" t="str">
            <v>20Non-Traditional Project120-NT-04</v>
          </cell>
          <cell r="B281">
            <v>20</v>
          </cell>
          <cell r="C281" t="str">
            <v>Non-Traditional Project</v>
          </cell>
          <cell r="D281" t="str">
            <v>120-NT-04</v>
          </cell>
          <cell r="E281">
            <v>5000</v>
          </cell>
          <cell r="F281">
            <v>38168</v>
          </cell>
          <cell r="G281">
            <v>5000</v>
          </cell>
        </row>
        <row r="282">
          <cell r="A282" t="str">
            <v>20Workfirst 120-WFB-04</v>
          </cell>
          <cell r="B282">
            <v>20</v>
          </cell>
          <cell r="C282" t="str">
            <v xml:space="preserve">Workfirst </v>
          </cell>
          <cell r="D282" t="str">
            <v>120-WFB-04</v>
          </cell>
          <cell r="E282">
            <v>632490</v>
          </cell>
          <cell r="F282">
            <v>38168</v>
          </cell>
          <cell r="G282" t="str">
            <v/>
          </cell>
        </row>
        <row r="283">
          <cell r="A283" t="str">
            <v>20Tech Prep120-TP-04</v>
          </cell>
          <cell r="B283">
            <v>20</v>
          </cell>
          <cell r="C283" t="str">
            <v>Tech Prep</v>
          </cell>
          <cell r="D283" t="str">
            <v>120-TP-04</v>
          </cell>
          <cell r="E283">
            <v>74716</v>
          </cell>
          <cell r="F283">
            <v>38168</v>
          </cell>
          <cell r="G283" t="str">
            <v/>
          </cell>
        </row>
        <row r="284">
          <cell r="A284" t="str">
            <v>20RTI120-RTI-04</v>
          </cell>
          <cell r="B284">
            <v>20</v>
          </cell>
          <cell r="C284" t="str">
            <v>RTI</v>
          </cell>
          <cell r="D284" t="str">
            <v>120-RTI-04</v>
          </cell>
          <cell r="E284">
            <v>5000</v>
          </cell>
          <cell r="F284">
            <v>38168</v>
          </cell>
          <cell r="G284" t="str">
            <v/>
          </cell>
        </row>
        <row r="285">
          <cell r="A285" t="str">
            <v>20Corrections Education Program120-CE-04WSP</v>
          </cell>
          <cell r="B285">
            <v>20</v>
          </cell>
          <cell r="C285" t="str">
            <v>Corrections Education Program</v>
          </cell>
          <cell r="D285" t="str">
            <v>120-CE-04WSP</v>
          </cell>
          <cell r="E285">
            <v>2320714</v>
          </cell>
          <cell r="F285">
            <v>38168</v>
          </cell>
          <cell r="G285">
            <v>2320714</v>
          </cell>
        </row>
        <row r="286">
          <cell r="A286" t="str">
            <v>20OAL Staff Development120-SD-04</v>
          </cell>
          <cell r="B286">
            <v>20</v>
          </cell>
          <cell r="C286" t="str">
            <v>OAL Staff Development</v>
          </cell>
          <cell r="D286" t="str">
            <v>120-SD-04</v>
          </cell>
          <cell r="E286">
            <v>2000</v>
          </cell>
          <cell r="F286">
            <v>38168</v>
          </cell>
          <cell r="G286">
            <v>2000</v>
          </cell>
        </row>
        <row r="287">
          <cell r="A287" t="str">
            <v>20ELCivics - Federal120-ELC-04</v>
          </cell>
          <cell r="B287">
            <v>20</v>
          </cell>
          <cell r="C287" t="str">
            <v>ELCivics - Federal</v>
          </cell>
          <cell r="D287" t="str">
            <v>120-ELC-04</v>
          </cell>
          <cell r="E287">
            <v>50507</v>
          </cell>
          <cell r="F287">
            <v>38168</v>
          </cell>
          <cell r="G287" t="str">
            <v/>
          </cell>
        </row>
        <row r="288">
          <cell r="A288" t="str">
            <v>20Corrections Education Program120-CE-04CRCC</v>
          </cell>
          <cell r="B288">
            <v>20</v>
          </cell>
          <cell r="C288" t="str">
            <v>Corrections Education Program</v>
          </cell>
          <cell r="D288" t="str">
            <v>120-CE-04CRCC</v>
          </cell>
          <cell r="E288">
            <v>507666</v>
          </cell>
          <cell r="F288">
            <v>38168</v>
          </cell>
          <cell r="G288">
            <v>507666</v>
          </cell>
        </row>
        <row r="289">
          <cell r="A289" t="str">
            <v>20Corrections Education Program120-CE-04AVCC</v>
          </cell>
          <cell r="B289">
            <v>20</v>
          </cell>
          <cell r="C289" t="str">
            <v>Corrections Education Program</v>
          </cell>
          <cell r="D289" t="str">
            <v>120-CE-04AVCC</v>
          </cell>
          <cell r="E289">
            <v>106318</v>
          </cell>
          <cell r="F289">
            <v>38168</v>
          </cell>
          <cell r="G289">
            <v>106318</v>
          </cell>
        </row>
        <row r="290">
          <cell r="A290" t="str">
            <v>20CASAS Train the Trainer120-CTT-04</v>
          </cell>
          <cell r="B290">
            <v>20</v>
          </cell>
          <cell r="C290" t="str">
            <v>CASAS Train the Trainer</v>
          </cell>
          <cell r="D290" t="str">
            <v>120-CTT-04</v>
          </cell>
          <cell r="E290">
            <v>600</v>
          </cell>
          <cell r="F290">
            <v>38168</v>
          </cell>
          <cell r="G290">
            <v>600</v>
          </cell>
        </row>
        <row r="291">
          <cell r="A291" t="str">
            <v>20CASAS Implementation Training120-CASAS-04</v>
          </cell>
          <cell r="B291">
            <v>20</v>
          </cell>
          <cell r="C291" t="str">
            <v>CASAS Implementation Training</v>
          </cell>
          <cell r="D291" t="str">
            <v>120-CASAS-04</v>
          </cell>
          <cell r="E291">
            <v>1350</v>
          </cell>
          <cell r="F291">
            <v>37894</v>
          </cell>
          <cell r="G291" t="str">
            <v/>
          </cell>
        </row>
        <row r="292">
          <cell r="A292" t="str">
            <v>20Best Practices120-BP-04</v>
          </cell>
          <cell r="B292">
            <v>20</v>
          </cell>
          <cell r="C292" t="str">
            <v>Best Practices</v>
          </cell>
          <cell r="D292" t="str">
            <v>120-BP-04</v>
          </cell>
          <cell r="E292">
            <v>10000</v>
          </cell>
          <cell r="F292">
            <v>38168</v>
          </cell>
          <cell r="G292" t="str">
            <v/>
          </cell>
        </row>
        <row r="293">
          <cell r="A293" t="str">
            <v>20Assessment120-ASSESS-03</v>
          </cell>
          <cell r="B293">
            <v>20</v>
          </cell>
          <cell r="C293" t="str">
            <v>Assessment</v>
          </cell>
          <cell r="D293" t="str">
            <v>120-ASSESS-03</v>
          </cell>
          <cell r="E293">
            <v>3000</v>
          </cell>
          <cell r="F293">
            <v>37833</v>
          </cell>
          <cell r="G293" t="str">
            <v/>
          </cell>
        </row>
        <row r="294">
          <cell r="A294" t="str">
            <v>20ABE120-ABE-04</v>
          </cell>
          <cell r="B294">
            <v>20</v>
          </cell>
          <cell r="C294" t="str">
            <v>ABE</v>
          </cell>
          <cell r="D294" t="str">
            <v>120-ABE-04</v>
          </cell>
          <cell r="E294">
            <v>171990</v>
          </cell>
          <cell r="F294">
            <v>38168</v>
          </cell>
          <cell r="G294" t="str">
            <v/>
          </cell>
        </row>
        <row r="295">
          <cell r="A295" t="str">
            <v>20Perkins120-PRK-04</v>
          </cell>
          <cell r="B295">
            <v>20</v>
          </cell>
          <cell r="C295" t="str">
            <v>Perkins</v>
          </cell>
          <cell r="D295" t="str">
            <v>120-PRK-04</v>
          </cell>
          <cell r="E295">
            <v>404732</v>
          </cell>
          <cell r="F295">
            <v>38168</v>
          </cell>
          <cell r="G295" t="str">
            <v/>
          </cell>
        </row>
        <row r="296">
          <cell r="A296" t="str">
            <v>21CASAS Train the Trainer121-CTT-04</v>
          </cell>
          <cell r="B296">
            <v>21</v>
          </cell>
          <cell r="C296" t="str">
            <v>CASAS Train the Trainer</v>
          </cell>
          <cell r="D296" t="str">
            <v>121-CTT-04</v>
          </cell>
          <cell r="E296">
            <v>600</v>
          </cell>
          <cell r="F296">
            <v>38168</v>
          </cell>
          <cell r="G296" t="str">
            <v/>
          </cell>
        </row>
        <row r="297">
          <cell r="A297" t="str">
            <v>21Workfirst 121-WFB-04</v>
          </cell>
          <cell r="B297">
            <v>21</v>
          </cell>
          <cell r="C297" t="str">
            <v xml:space="preserve">Workfirst </v>
          </cell>
          <cell r="D297" t="str">
            <v>121-WFB-04</v>
          </cell>
          <cell r="E297">
            <v>353966</v>
          </cell>
          <cell r="F297">
            <v>38168</v>
          </cell>
          <cell r="G297" t="str">
            <v/>
          </cell>
        </row>
        <row r="298">
          <cell r="A298" t="str">
            <v>21RTI121-RTI-04</v>
          </cell>
          <cell r="B298">
            <v>21</v>
          </cell>
          <cell r="C298" t="str">
            <v>RTI</v>
          </cell>
          <cell r="D298" t="str">
            <v>121-RTI-04</v>
          </cell>
          <cell r="E298">
            <v>1000</v>
          </cell>
          <cell r="F298">
            <v>38168</v>
          </cell>
          <cell r="G298" t="str">
            <v/>
          </cell>
        </row>
        <row r="299">
          <cell r="A299" t="str">
            <v>21Perkins121-PRK-04</v>
          </cell>
          <cell r="B299">
            <v>21</v>
          </cell>
          <cell r="C299" t="str">
            <v>Perkins</v>
          </cell>
          <cell r="D299" t="str">
            <v>121-PRK-04</v>
          </cell>
          <cell r="E299">
            <v>148286</v>
          </cell>
          <cell r="F299">
            <v>38168</v>
          </cell>
          <cell r="G299" t="str">
            <v/>
          </cell>
        </row>
        <row r="300">
          <cell r="A300" t="str">
            <v>21OAL Staff Development121-SD-04</v>
          </cell>
          <cell r="B300">
            <v>21</v>
          </cell>
          <cell r="C300" t="str">
            <v>OAL Staff Development</v>
          </cell>
          <cell r="D300" t="str">
            <v>121-SD-04</v>
          </cell>
          <cell r="E300">
            <v>1848</v>
          </cell>
          <cell r="F300">
            <v>38168</v>
          </cell>
          <cell r="G300">
            <v>1848</v>
          </cell>
        </row>
        <row r="301">
          <cell r="A301" t="str">
            <v>21CASAS Implementation Training121-CASAS-04</v>
          </cell>
          <cell r="B301">
            <v>21</v>
          </cell>
          <cell r="C301" t="str">
            <v>CASAS Implementation Training</v>
          </cell>
          <cell r="D301" t="str">
            <v>121-CASAS-04</v>
          </cell>
          <cell r="E301">
            <v>450</v>
          </cell>
          <cell r="F301">
            <v>37894</v>
          </cell>
          <cell r="G301" t="str">
            <v/>
          </cell>
        </row>
        <row r="302">
          <cell r="A302" t="str">
            <v>21Assessment121-ASSESS-03</v>
          </cell>
          <cell r="B302">
            <v>21</v>
          </cell>
          <cell r="C302" t="str">
            <v>Assessment</v>
          </cell>
          <cell r="D302" t="str">
            <v>121-ASSESS-03</v>
          </cell>
          <cell r="E302">
            <v>3000</v>
          </cell>
          <cell r="F302">
            <v>37833</v>
          </cell>
          <cell r="G302" t="str">
            <v/>
          </cell>
        </row>
        <row r="303">
          <cell r="A303" t="str">
            <v>21ABE121-ABE-04</v>
          </cell>
          <cell r="B303">
            <v>21</v>
          </cell>
          <cell r="C303" t="str">
            <v>ABE</v>
          </cell>
          <cell r="D303" t="str">
            <v>121-ABE-04</v>
          </cell>
          <cell r="E303">
            <v>91320</v>
          </cell>
          <cell r="F303">
            <v>38168</v>
          </cell>
          <cell r="G303" t="str">
            <v/>
          </cell>
        </row>
        <row r="304">
          <cell r="A304" t="str">
            <v>21ELCivics - Federal121-ELC-04</v>
          </cell>
          <cell r="B304">
            <v>21</v>
          </cell>
          <cell r="C304" t="str">
            <v>ELCivics - Federal</v>
          </cell>
          <cell r="D304" t="str">
            <v>121-ELC-04</v>
          </cell>
          <cell r="E304">
            <v>24063</v>
          </cell>
          <cell r="F304">
            <v>38168</v>
          </cell>
          <cell r="G304" t="str">
            <v/>
          </cell>
        </row>
        <row r="305">
          <cell r="A305" t="str">
            <v>21Family Literacy121-FLP-04</v>
          </cell>
          <cell r="B305">
            <v>21</v>
          </cell>
          <cell r="C305" t="str">
            <v>Family Literacy</v>
          </cell>
          <cell r="D305" t="str">
            <v>121-FLP-04</v>
          </cell>
          <cell r="E305">
            <v>28981</v>
          </cell>
          <cell r="F305">
            <v>38168</v>
          </cell>
          <cell r="G305" t="str">
            <v/>
          </cell>
        </row>
        <row r="306">
          <cell r="A306" t="str">
            <v>22CASAS Train the Trainer122-CTT-04</v>
          </cell>
          <cell r="B306">
            <v>22</v>
          </cell>
          <cell r="C306" t="str">
            <v>CASAS Train the Trainer</v>
          </cell>
          <cell r="D306" t="str">
            <v>122-CTT-04</v>
          </cell>
          <cell r="E306">
            <v>1200</v>
          </cell>
          <cell r="F306">
            <v>38168</v>
          </cell>
          <cell r="G306" t="str">
            <v/>
          </cell>
        </row>
        <row r="307">
          <cell r="A307" t="str">
            <v>22Youth Offender122-IYO-04WCC</v>
          </cell>
          <cell r="B307">
            <v>22</v>
          </cell>
          <cell r="C307" t="str">
            <v>Youth Offender</v>
          </cell>
          <cell r="D307" t="str">
            <v>122-IYO-04WCC</v>
          </cell>
          <cell r="E307">
            <v>103784</v>
          </cell>
          <cell r="F307">
            <v>38168</v>
          </cell>
          <cell r="G307">
            <v>103784</v>
          </cell>
        </row>
        <row r="308">
          <cell r="A308" t="str">
            <v>22Workfirst 122-WFB-04</v>
          </cell>
          <cell r="B308">
            <v>22</v>
          </cell>
          <cell r="C308" t="str">
            <v xml:space="preserve">Workfirst </v>
          </cell>
          <cell r="D308" t="str">
            <v>122-WFB-04</v>
          </cell>
          <cell r="E308">
            <v>1009362</v>
          </cell>
          <cell r="F308">
            <v>38168</v>
          </cell>
          <cell r="G308" t="str">
            <v/>
          </cell>
        </row>
        <row r="309">
          <cell r="A309" t="str">
            <v>22Volunteer Literacy Program - Federal122-VLP-04</v>
          </cell>
          <cell r="B309">
            <v>22</v>
          </cell>
          <cell r="C309" t="str">
            <v>Volunteer Literacy Program - Federal</v>
          </cell>
          <cell r="D309" t="str">
            <v>122-VLP-04</v>
          </cell>
          <cell r="E309">
            <v>14277</v>
          </cell>
          <cell r="F309">
            <v>38168</v>
          </cell>
          <cell r="G309" t="str">
            <v/>
          </cell>
        </row>
        <row r="310">
          <cell r="A310" t="str">
            <v>22Perkins122-PRK-04</v>
          </cell>
          <cell r="B310">
            <v>22</v>
          </cell>
          <cell r="C310" t="str">
            <v>Perkins</v>
          </cell>
          <cell r="D310" t="str">
            <v>122-PRK-04</v>
          </cell>
          <cell r="E310">
            <v>369003</v>
          </cell>
          <cell r="F310">
            <v>38168</v>
          </cell>
          <cell r="G310" t="str">
            <v/>
          </cell>
        </row>
        <row r="311">
          <cell r="A311" t="str">
            <v>22Learning Disabilities-Quality Inititive122-LDQI-04</v>
          </cell>
          <cell r="B311">
            <v>22</v>
          </cell>
          <cell r="C311" t="str">
            <v>Learning Disabilities-Quality Inititive</v>
          </cell>
          <cell r="D311" t="str">
            <v>122-LDQI-04</v>
          </cell>
          <cell r="E311">
            <v>35000</v>
          </cell>
          <cell r="F311">
            <v>38168</v>
          </cell>
          <cell r="G311" t="str">
            <v/>
          </cell>
        </row>
        <row r="312">
          <cell r="A312" t="str">
            <v>22Family Literacy122-FLP-04</v>
          </cell>
          <cell r="B312">
            <v>22</v>
          </cell>
          <cell r="C312" t="str">
            <v>Family Literacy</v>
          </cell>
          <cell r="D312" t="str">
            <v>122-FLP-04</v>
          </cell>
          <cell r="E312">
            <v>28981</v>
          </cell>
          <cell r="F312">
            <v>38168</v>
          </cell>
          <cell r="G312" t="str">
            <v/>
          </cell>
        </row>
        <row r="313">
          <cell r="A313" t="str">
            <v>22Corrections Education Program122-CE-04WCCW</v>
          </cell>
          <cell r="B313">
            <v>22</v>
          </cell>
          <cell r="C313" t="str">
            <v>Corrections Education Program</v>
          </cell>
          <cell r="D313" t="str">
            <v>122-CE-04WCCW</v>
          </cell>
          <cell r="E313">
            <v>956892</v>
          </cell>
          <cell r="F313">
            <v>38168</v>
          </cell>
          <cell r="G313">
            <v>956892</v>
          </cell>
        </row>
        <row r="314">
          <cell r="A314" t="str">
            <v>22CASAS Implementation Training122-CASAS-04</v>
          </cell>
          <cell r="B314">
            <v>22</v>
          </cell>
          <cell r="C314" t="str">
            <v>CASAS Implementation Training</v>
          </cell>
          <cell r="D314" t="str">
            <v>122-CASAS-04</v>
          </cell>
          <cell r="E314">
            <v>1200</v>
          </cell>
          <cell r="F314">
            <v>37894</v>
          </cell>
          <cell r="G314" t="str">
            <v/>
          </cell>
        </row>
        <row r="315">
          <cell r="A315" t="str">
            <v>22Assessment122-ASSESS-03</v>
          </cell>
          <cell r="B315">
            <v>22</v>
          </cell>
          <cell r="C315" t="str">
            <v>Assessment</v>
          </cell>
          <cell r="D315" t="str">
            <v>122-ASSESS-03</v>
          </cell>
          <cell r="E315">
            <v>3000</v>
          </cell>
          <cell r="F315">
            <v>37833</v>
          </cell>
          <cell r="G315" t="str">
            <v/>
          </cell>
        </row>
        <row r="316">
          <cell r="A316" t="str">
            <v>22ABE122-ABE-04</v>
          </cell>
          <cell r="B316">
            <v>22</v>
          </cell>
          <cell r="C316" t="str">
            <v>ABE</v>
          </cell>
          <cell r="D316" t="str">
            <v>122-ABE-04</v>
          </cell>
          <cell r="E316">
            <v>191070</v>
          </cell>
          <cell r="F316">
            <v>38168</v>
          </cell>
          <cell r="G316" t="str">
            <v/>
          </cell>
        </row>
        <row r="317">
          <cell r="A317" t="str">
            <v>22ELCivics - Federal122-ELC-04</v>
          </cell>
          <cell r="B317">
            <v>22</v>
          </cell>
          <cell r="C317" t="str">
            <v>ELCivics - Federal</v>
          </cell>
          <cell r="D317" t="str">
            <v>122-ELC-04</v>
          </cell>
          <cell r="E317">
            <v>25698</v>
          </cell>
          <cell r="F317">
            <v>38168</v>
          </cell>
          <cell r="G317" t="str">
            <v/>
          </cell>
        </row>
        <row r="318">
          <cell r="A318" t="str">
            <v>23Workfirst 123-WFB-04</v>
          </cell>
          <cell r="B318">
            <v>23</v>
          </cell>
          <cell r="C318" t="str">
            <v xml:space="preserve">Workfirst </v>
          </cell>
          <cell r="D318" t="str">
            <v>123-WFB-04</v>
          </cell>
          <cell r="E318">
            <v>977718</v>
          </cell>
          <cell r="F318">
            <v>38168</v>
          </cell>
          <cell r="G318" t="str">
            <v/>
          </cell>
        </row>
        <row r="319">
          <cell r="A319" t="str">
            <v>23Perkins123-PRK-04</v>
          </cell>
          <cell r="B319">
            <v>23</v>
          </cell>
          <cell r="C319" t="str">
            <v>Perkins</v>
          </cell>
          <cell r="D319" t="str">
            <v>123-PRK-04</v>
          </cell>
          <cell r="E319">
            <v>283163</v>
          </cell>
          <cell r="F319">
            <v>38168</v>
          </cell>
          <cell r="G319" t="str">
            <v/>
          </cell>
        </row>
        <row r="320">
          <cell r="A320" t="str">
            <v>23ABE123-ABE-04</v>
          </cell>
          <cell r="B320">
            <v>23</v>
          </cell>
          <cell r="C320" t="str">
            <v>ABE</v>
          </cell>
          <cell r="D320" t="str">
            <v>123-ABE-04</v>
          </cell>
          <cell r="E320">
            <v>276381</v>
          </cell>
          <cell r="F320">
            <v>38168</v>
          </cell>
          <cell r="G320" t="str">
            <v/>
          </cell>
        </row>
        <row r="321">
          <cell r="A321" t="str">
            <v>23RTI123-RTI2-04</v>
          </cell>
          <cell r="B321">
            <v>23</v>
          </cell>
          <cell r="C321" t="str">
            <v>RTI</v>
          </cell>
          <cell r="D321" t="str">
            <v>123-RTI2-04</v>
          </cell>
          <cell r="E321">
            <v>1694</v>
          </cell>
          <cell r="F321">
            <v>38168</v>
          </cell>
          <cell r="G321" t="str">
            <v/>
          </cell>
        </row>
        <row r="322">
          <cell r="A322" t="str">
            <v>23RTI123-RTI-04</v>
          </cell>
          <cell r="B322">
            <v>23</v>
          </cell>
          <cell r="C322" t="str">
            <v>RTI</v>
          </cell>
          <cell r="D322" t="str">
            <v>123-RTI-04</v>
          </cell>
          <cell r="E322">
            <v>975</v>
          </cell>
          <cell r="F322">
            <v>38168</v>
          </cell>
          <cell r="G322" t="str">
            <v/>
          </cell>
        </row>
        <row r="323">
          <cell r="A323" t="str">
            <v>23OAL Staff Development123-SD-04</v>
          </cell>
          <cell r="B323">
            <v>23</v>
          </cell>
          <cell r="C323" t="str">
            <v>OAL Staff Development</v>
          </cell>
          <cell r="D323" t="str">
            <v>123-SD-04</v>
          </cell>
          <cell r="E323">
            <v>2000</v>
          </cell>
          <cell r="F323">
            <v>38168</v>
          </cell>
          <cell r="G323">
            <v>2000</v>
          </cell>
        </row>
        <row r="324">
          <cell r="A324" t="str">
            <v>23Family Literacy123-FLP-04</v>
          </cell>
          <cell r="B324">
            <v>23</v>
          </cell>
          <cell r="C324" t="str">
            <v>Family Literacy</v>
          </cell>
          <cell r="D324" t="str">
            <v>123-FLP-04</v>
          </cell>
          <cell r="E324">
            <v>28981</v>
          </cell>
          <cell r="F324">
            <v>38168</v>
          </cell>
          <cell r="G324" t="str">
            <v/>
          </cell>
        </row>
        <row r="325">
          <cell r="A325" t="str">
            <v>23ELCivics - Federal123-ELC-04</v>
          </cell>
          <cell r="B325">
            <v>23</v>
          </cell>
          <cell r="C325" t="str">
            <v>ELCivics - Federal</v>
          </cell>
          <cell r="D325" t="str">
            <v>123-ELC-04</v>
          </cell>
          <cell r="E325">
            <v>71984</v>
          </cell>
          <cell r="F325">
            <v>38168</v>
          </cell>
          <cell r="G325" t="str">
            <v/>
          </cell>
        </row>
        <row r="326">
          <cell r="A326" t="str">
            <v>23Corrections Education Program123-CE-04MCC</v>
          </cell>
          <cell r="B326">
            <v>23</v>
          </cell>
          <cell r="C326" t="str">
            <v>Corrections Education Program</v>
          </cell>
          <cell r="D326" t="str">
            <v>123-CE-04MCC</v>
          </cell>
          <cell r="E326">
            <v>1736201</v>
          </cell>
          <cell r="F326">
            <v>38168</v>
          </cell>
          <cell r="G326">
            <v>7321</v>
          </cell>
        </row>
        <row r="327">
          <cell r="A327" t="str">
            <v>23CASAS Train the Trainer123-CTT-04</v>
          </cell>
          <cell r="B327">
            <v>23</v>
          </cell>
          <cell r="C327" t="str">
            <v>CASAS Train the Trainer</v>
          </cell>
          <cell r="D327" t="str">
            <v>123-CTT-04</v>
          </cell>
          <cell r="E327">
            <v>1200</v>
          </cell>
          <cell r="F327">
            <v>38168</v>
          </cell>
          <cell r="G327" t="str">
            <v/>
          </cell>
        </row>
        <row r="328">
          <cell r="A328" t="str">
            <v>23CASAS Implementation Training123-CASAS-04</v>
          </cell>
          <cell r="B328">
            <v>23</v>
          </cell>
          <cell r="C328" t="str">
            <v>CASAS Implementation Training</v>
          </cell>
          <cell r="D328" t="str">
            <v>123-CASAS-04</v>
          </cell>
          <cell r="E328">
            <v>2100</v>
          </cell>
          <cell r="F328">
            <v>37894</v>
          </cell>
          <cell r="G328" t="str">
            <v/>
          </cell>
        </row>
        <row r="329">
          <cell r="A329" t="str">
            <v>23Assessment123-ASSESS-03</v>
          </cell>
          <cell r="B329">
            <v>23</v>
          </cell>
          <cell r="C329" t="str">
            <v>Assessment</v>
          </cell>
          <cell r="D329" t="str">
            <v>123-ASSESS-03</v>
          </cell>
          <cell r="E329">
            <v>4000</v>
          </cell>
          <cell r="F329">
            <v>37833</v>
          </cell>
          <cell r="G329" t="str">
            <v/>
          </cell>
        </row>
        <row r="330">
          <cell r="A330" t="str">
            <v>23Tech Prep123-TP-04</v>
          </cell>
          <cell r="B330">
            <v>23</v>
          </cell>
          <cell r="C330" t="str">
            <v>Tech Prep</v>
          </cell>
          <cell r="D330" t="str">
            <v>123-TP-04</v>
          </cell>
          <cell r="E330">
            <v>84212</v>
          </cell>
          <cell r="F330">
            <v>38168</v>
          </cell>
          <cell r="G330" t="str">
            <v/>
          </cell>
        </row>
        <row r="331">
          <cell r="A331" t="str">
            <v>24RTI124-RTI4-04</v>
          </cell>
          <cell r="B331">
            <v>24</v>
          </cell>
          <cell r="C331" t="str">
            <v>RTI</v>
          </cell>
          <cell r="D331" t="str">
            <v>124-RTI4-04</v>
          </cell>
          <cell r="E331">
            <v>1000</v>
          </cell>
          <cell r="F331">
            <v>38168</v>
          </cell>
          <cell r="G331" t="str">
            <v/>
          </cell>
        </row>
        <row r="332">
          <cell r="A332" t="str">
            <v>24RTI124-RTI2-04</v>
          </cell>
          <cell r="B332">
            <v>24</v>
          </cell>
          <cell r="C332" t="str">
            <v>RTI</v>
          </cell>
          <cell r="D332" t="str">
            <v>124-RTI2-04</v>
          </cell>
          <cell r="E332">
            <v>1000</v>
          </cell>
          <cell r="F332">
            <v>38168</v>
          </cell>
          <cell r="G332" t="str">
            <v/>
          </cell>
        </row>
        <row r="333">
          <cell r="A333" t="str">
            <v>24Workfirst 124-WFB-04</v>
          </cell>
          <cell r="B333">
            <v>24</v>
          </cell>
          <cell r="C333" t="str">
            <v xml:space="preserve">Workfirst </v>
          </cell>
          <cell r="D333" t="str">
            <v>124-WFB-04</v>
          </cell>
          <cell r="E333">
            <v>406804</v>
          </cell>
          <cell r="F333">
            <v>38168</v>
          </cell>
          <cell r="G333">
            <v>-2500</v>
          </cell>
        </row>
        <row r="334">
          <cell r="A334" t="str">
            <v>24Tech Prep124-TP-04</v>
          </cell>
          <cell r="B334">
            <v>24</v>
          </cell>
          <cell r="C334" t="str">
            <v>Tech Prep</v>
          </cell>
          <cell r="D334" t="str">
            <v>124-TP-04</v>
          </cell>
          <cell r="E334">
            <v>77585</v>
          </cell>
          <cell r="F334">
            <v>38168</v>
          </cell>
          <cell r="G334" t="str">
            <v/>
          </cell>
        </row>
        <row r="335">
          <cell r="A335" t="str">
            <v>24RTI124-RTI5-04</v>
          </cell>
          <cell r="B335">
            <v>24</v>
          </cell>
          <cell r="C335" t="str">
            <v>RTI</v>
          </cell>
          <cell r="D335" t="str">
            <v>124-RTI5-04</v>
          </cell>
          <cell r="E335">
            <v>500</v>
          </cell>
          <cell r="F335">
            <v>38168</v>
          </cell>
          <cell r="G335" t="str">
            <v/>
          </cell>
        </row>
        <row r="336">
          <cell r="A336" t="str">
            <v>24RTI124-RTI3-04</v>
          </cell>
          <cell r="B336">
            <v>24</v>
          </cell>
          <cell r="C336" t="str">
            <v>RTI</v>
          </cell>
          <cell r="D336" t="str">
            <v>124-RTI3-04</v>
          </cell>
          <cell r="E336">
            <v>1000</v>
          </cell>
          <cell r="F336">
            <v>38168</v>
          </cell>
          <cell r="G336" t="str">
            <v/>
          </cell>
        </row>
        <row r="337">
          <cell r="A337" t="str">
            <v>24Perkins124-PRK-04</v>
          </cell>
          <cell r="B337">
            <v>24</v>
          </cell>
          <cell r="C337" t="str">
            <v>Perkins</v>
          </cell>
          <cell r="D337" t="str">
            <v>124-PRK-04</v>
          </cell>
          <cell r="E337">
            <v>199713</v>
          </cell>
          <cell r="F337">
            <v>38168</v>
          </cell>
          <cell r="G337" t="str">
            <v/>
          </cell>
        </row>
        <row r="338">
          <cell r="A338" t="str">
            <v>24OAL Staff Development124-SD-04</v>
          </cell>
          <cell r="B338">
            <v>24</v>
          </cell>
          <cell r="C338" t="str">
            <v>OAL Staff Development</v>
          </cell>
          <cell r="D338" t="str">
            <v>124-SD-04</v>
          </cell>
          <cell r="E338">
            <v>1000</v>
          </cell>
          <cell r="F338">
            <v>38168</v>
          </cell>
          <cell r="G338">
            <v>1000</v>
          </cell>
        </row>
        <row r="339">
          <cell r="A339" t="str">
            <v>24ABE124-ABE-04</v>
          </cell>
          <cell r="B339">
            <v>24</v>
          </cell>
          <cell r="C339" t="str">
            <v>ABE</v>
          </cell>
          <cell r="D339" t="str">
            <v>124-ABE-04</v>
          </cell>
          <cell r="E339">
            <v>176932</v>
          </cell>
          <cell r="F339">
            <v>38168</v>
          </cell>
          <cell r="G339" t="str">
            <v/>
          </cell>
        </row>
        <row r="340">
          <cell r="A340" t="str">
            <v>24Family Literacy124-FLP-04</v>
          </cell>
          <cell r="B340">
            <v>24</v>
          </cell>
          <cell r="C340" t="str">
            <v>Family Literacy</v>
          </cell>
          <cell r="D340" t="str">
            <v>124-FLP-04</v>
          </cell>
          <cell r="E340">
            <v>28981</v>
          </cell>
          <cell r="F340">
            <v>38168</v>
          </cell>
          <cell r="G340" t="str">
            <v/>
          </cell>
        </row>
        <row r="341">
          <cell r="A341" t="str">
            <v>24CASAS Train the Trainer124-CTT-04</v>
          </cell>
          <cell r="B341">
            <v>24</v>
          </cell>
          <cell r="C341" t="str">
            <v>CASAS Train the Trainer</v>
          </cell>
          <cell r="D341" t="str">
            <v>124-CTT-04</v>
          </cell>
          <cell r="E341">
            <v>600</v>
          </cell>
          <cell r="F341">
            <v>38168</v>
          </cell>
          <cell r="G341" t="str">
            <v/>
          </cell>
        </row>
        <row r="342">
          <cell r="A342" t="str">
            <v>24CASAS Implementation Training124-CASAS-04</v>
          </cell>
          <cell r="B342">
            <v>24</v>
          </cell>
          <cell r="C342" t="str">
            <v>CASAS Implementation Training</v>
          </cell>
          <cell r="D342" t="str">
            <v>124-CASAS-04</v>
          </cell>
          <cell r="E342">
            <v>450</v>
          </cell>
          <cell r="F342">
            <v>37894</v>
          </cell>
          <cell r="G342" t="str">
            <v/>
          </cell>
        </row>
        <row r="343">
          <cell r="A343" t="str">
            <v>24Assessment124-ASSESS-03</v>
          </cell>
          <cell r="B343">
            <v>24</v>
          </cell>
          <cell r="C343" t="str">
            <v>Assessment</v>
          </cell>
          <cell r="D343" t="str">
            <v>124-ASSESS-03</v>
          </cell>
          <cell r="E343">
            <v>3000</v>
          </cell>
          <cell r="F343">
            <v>37833</v>
          </cell>
          <cell r="G343" t="str">
            <v/>
          </cell>
        </row>
        <row r="344">
          <cell r="A344" t="str">
            <v>24RTI124-RTI-04</v>
          </cell>
          <cell r="B344">
            <v>24</v>
          </cell>
          <cell r="C344" t="str">
            <v>RTI</v>
          </cell>
          <cell r="D344" t="str">
            <v>124-RTI-04</v>
          </cell>
          <cell r="E344">
            <v>1000</v>
          </cell>
          <cell r="F344">
            <v>38168</v>
          </cell>
          <cell r="G344" t="str">
            <v/>
          </cell>
        </row>
        <row r="345">
          <cell r="A345" t="str">
            <v>24RTI124-RTI6-04</v>
          </cell>
          <cell r="B345">
            <v>24</v>
          </cell>
          <cell r="C345" t="str">
            <v>RTI</v>
          </cell>
          <cell r="D345" t="str">
            <v>124-RTI6-04</v>
          </cell>
          <cell r="E345">
            <v>500</v>
          </cell>
          <cell r="F345">
            <v>38168</v>
          </cell>
          <cell r="G345" t="str">
            <v/>
          </cell>
        </row>
        <row r="346">
          <cell r="A346" t="str">
            <v>25ELCivics - Federal125-ELC-04</v>
          </cell>
          <cell r="B346">
            <v>25</v>
          </cell>
          <cell r="C346" t="str">
            <v>ELCivics - Federal</v>
          </cell>
          <cell r="D346" t="str">
            <v>125-ELC-04</v>
          </cell>
          <cell r="E346">
            <v>7831</v>
          </cell>
          <cell r="F346">
            <v>38168</v>
          </cell>
          <cell r="G346" t="str">
            <v/>
          </cell>
        </row>
        <row r="347">
          <cell r="A347" t="str">
            <v>25Workfirst 125-WFB-04</v>
          </cell>
          <cell r="B347">
            <v>25</v>
          </cell>
          <cell r="C347" t="str">
            <v xml:space="preserve">Workfirst </v>
          </cell>
          <cell r="D347" t="str">
            <v>125-WFB-04</v>
          </cell>
          <cell r="E347">
            <v>198050</v>
          </cell>
          <cell r="F347">
            <v>38168</v>
          </cell>
          <cell r="G347" t="str">
            <v/>
          </cell>
        </row>
        <row r="348">
          <cell r="A348" t="str">
            <v>25Tech Prep125-TP-04</v>
          </cell>
          <cell r="B348">
            <v>25</v>
          </cell>
          <cell r="C348" t="str">
            <v>Tech Prep</v>
          </cell>
          <cell r="D348" t="str">
            <v>125-TP-04</v>
          </cell>
          <cell r="E348">
            <v>79761</v>
          </cell>
          <cell r="F348">
            <v>38168</v>
          </cell>
          <cell r="G348" t="str">
            <v/>
          </cell>
        </row>
        <row r="349">
          <cell r="A349" t="str">
            <v>25RTI125-RTI2-04</v>
          </cell>
          <cell r="B349">
            <v>25</v>
          </cell>
          <cell r="C349" t="str">
            <v>RTI</v>
          </cell>
          <cell r="D349" t="str">
            <v>125-RTI2-04</v>
          </cell>
          <cell r="E349">
            <v>500</v>
          </cell>
          <cell r="F349">
            <v>38168</v>
          </cell>
          <cell r="G349" t="str">
            <v/>
          </cell>
        </row>
        <row r="350">
          <cell r="A350" t="str">
            <v>25RTI125-RTI-04</v>
          </cell>
          <cell r="B350">
            <v>25</v>
          </cell>
          <cell r="C350" t="str">
            <v>RTI</v>
          </cell>
          <cell r="D350" t="str">
            <v>125-RTI-04</v>
          </cell>
          <cell r="E350">
            <v>500</v>
          </cell>
          <cell r="F350">
            <v>38168</v>
          </cell>
          <cell r="G350" t="str">
            <v/>
          </cell>
        </row>
        <row r="351">
          <cell r="A351" t="str">
            <v>25Perkins125-PRK-04</v>
          </cell>
          <cell r="B351">
            <v>25</v>
          </cell>
          <cell r="C351" t="str">
            <v>Perkins</v>
          </cell>
          <cell r="D351" t="str">
            <v>125-PRK-04</v>
          </cell>
          <cell r="E351">
            <v>331851</v>
          </cell>
          <cell r="F351">
            <v>38168</v>
          </cell>
          <cell r="G351" t="str">
            <v/>
          </cell>
        </row>
        <row r="352">
          <cell r="A352" t="str">
            <v>25OAL Staff Development125-SD-04</v>
          </cell>
          <cell r="B352">
            <v>25</v>
          </cell>
          <cell r="C352" t="str">
            <v>OAL Staff Development</v>
          </cell>
          <cell r="D352" t="str">
            <v>125-SD-04</v>
          </cell>
          <cell r="E352">
            <v>2000</v>
          </cell>
          <cell r="F352">
            <v>38168</v>
          </cell>
          <cell r="G352" t="str">
            <v/>
          </cell>
        </row>
        <row r="353">
          <cell r="A353" t="str">
            <v>25JSP125-JSP-04CP</v>
          </cell>
          <cell r="B353">
            <v>25</v>
          </cell>
          <cell r="C353" t="str">
            <v>JSP</v>
          </cell>
          <cell r="D353" t="str">
            <v>125-JSP-04CP</v>
          </cell>
          <cell r="E353">
            <v>36000</v>
          </cell>
          <cell r="F353">
            <v>38168</v>
          </cell>
          <cell r="G353" t="str">
            <v/>
          </cell>
        </row>
        <row r="354">
          <cell r="A354" t="str">
            <v>25CASAS Train the Trainer125-CTT-04</v>
          </cell>
          <cell r="B354">
            <v>25</v>
          </cell>
          <cell r="C354" t="str">
            <v>CASAS Train the Trainer</v>
          </cell>
          <cell r="D354" t="str">
            <v>125-CTT-04</v>
          </cell>
          <cell r="E354">
            <v>600</v>
          </cell>
          <cell r="F354">
            <v>38168</v>
          </cell>
          <cell r="G354" t="str">
            <v/>
          </cell>
        </row>
        <row r="355">
          <cell r="A355" t="str">
            <v>25CASAS Implementation Training125-CASAS-04</v>
          </cell>
          <cell r="B355">
            <v>25</v>
          </cell>
          <cell r="C355" t="str">
            <v>CASAS Implementation Training</v>
          </cell>
          <cell r="D355" t="str">
            <v>125-CASAS-04</v>
          </cell>
          <cell r="E355">
            <v>150</v>
          </cell>
          <cell r="F355">
            <v>37894</v>
          </cell>
          <cell r="G355" t="str">
            <v/>
          </cell>
        </row>
        <row r="356">
          <cell r="A356" t="str">
            <v>25Assessment125-ASSESS-03</v>
          </cell>
          <cell r="B356">
            <v>25</v>
          </cell>
          <cell r="C356" t="str">
            <v>Assessment</v>
          </cell>
          <cell r="D356" t="str">
            <v>125-ASSESS-03</v>
          </cell>
          <cell r="E356">
            <v>3000</v>
          </cell>
          <cell r="F356">
            <v>37833</v>
          </cell>
          <cell r="G356" t="str">
            <v/>
          </cell>
        </row>
        <row r="357">
          <cell r="A357" t="str">
            <v>25ABE125-ABE-04</v>
          </cell>
          <cell r="B357">
            <v>25</v>
          </cell>
          <cell r="C357" t="str">
            <v>ABE</v>
          </cell>
          <cell r="D357" t="str">
            <v>125-ABE-04</v>
          </cell>
          <cell r="E357">
            <v>57128</v>
          </cell>
          <cell r="F357">
            <v>38168</v>
          </cell>
          <cell r="G357" t="str">
            <v/>
          </cell>
        </row>
        <row r="358">
          <cell r="A358" t="str">
            <v>25New Teacher Orientation Distance Learning Pilot125-NTO-04</v>
          </cell>
          <cell r="B358">
            <v>25</v>
          </cell>
          <cell r="C358" t="str">
            <v>New Teacher Orientation Distance Learning Pilot</v>
          </cell>
          <cell r="D358" t="str">
            <v>125-NTO-04</v>
          </cell>
          <cell r="E358">
            <v>500</v>
          </cell>
          <cell r="F358">
            <v>37986</v>
          </cell>
          <cell r="G358" t="str">
            <v/>
          </cell>
        </row>
        <row r="359">
          <cell r="A359" t="str">
            <v>26Workfirst 126-WFB-04</v>
          </cell>
          <cell r="B359">
            <v>26</v>
          </cell>
          <cell r="C359" t="str">
            <v xml:space="preserve">Workfirst </v>
          </cell>
          <cell r="D359" t="str">
            <v>126-WFB-04</v>
          </cell>
          <cell r="E359">
            <v>490120</v>
          </cell>
          <cell r="F359">
            <v>38168</v>
          </cell>
          <cell r="G359" t="str">
            <v/>
          </cell>
        </row>
        <row r="360">
          <cell r="A360" t="str">
            <v>26Perkins126-PRK-04</v>
          </cell>
          <cell r="B360">
            <v>26</v>
          </cell>
          <cell r="C360" t="str">
            <v>Perkins</v>
          </cell>
          <cell r="D360" t="str">
            <v>126-PRK-04</v>
          </cell>
          <cell r="E360">
            <v>200851</v>
          </cell>
          <cell r="F360">
            <v>38168</v>
          </cell>
          <cell r="G360" t="str">
            <v/>
          </cell>
        </row>
        <row r="361">
          <cell r="A361" t="str">
            <v>26ELCivics - Federal126-ELC-04</v>
          </cell>
          <cell r="B361">
            <v>26</v>
          </cell>
          <cell r="C361" t="str">
            <v>ELCivics - Federal</v>
          </cell>
          <cell r="D361" t="str">
            <v>126-ELC-04</v>
          </cell>
          <cell r="E361">
            <v>23363</v>
          </cell>
          <cell r="F361">
            <v>38168</v>
          </cell>
          <cell r="G361" t="str">
            <v/>
          </cell>
        </row>
        <row r="362">
          <cell r="A362" t="str">
            <v>26Family Literacy126-FLP-04</v>
          </cell>
          <cell r="B362">
            <v>26</v>
          </cell>
          <cell r="C362" t="str">
            <v>Family Literacy</v>
          </cell>
          <cell r="D362" t="str">
            <v>126-FLP-04</v>
          </cell>
          <cell r="E362">
            <v>28981</v>
          </cell>
          <cell r="F362">
            <v>38168</v>
          </cell>
          <cell r="G362" t="str">
            <v/>
          </cell>
        </row>
        <row r="363">
          <cell r="A363" t="str">
            <v>26CASAS Implementation Training126-CASAS-04</v>
          </cell>
          <cell r="B363">
            <v>26</v>
          </cell>
          <cell r="C363" t="str">
            <v>CASAS Implementation Training</v>
          </cell>
          <cell r="D363" t="str">
            <v>126-CASAS-04</v>
          </cell>
          <cell r="E363">
            <v>825</v>
          </cell>
          <cell r="F363">
            <v>37894</v>
          </cell>
          <cell r="G363" t="str">
            <v/>
          </cell>
        </row>
        <row r="364">
          <cell r="A364" t="str">
            <v>26Basic Skills Distance Learning Pilot Project126-DLP-03</v>
          </cell>
          <cell r="B364">
            <v>26</v>
          </cell>
          <cell r="C364" t="str">
            <v>Basic Skills Distance Learning Pilot Project</v>
          </cell>
          <cell r="D364" t="str">
            <v>126-DLP-03</v>
          </cell>
          <cell r="E364">
            <v>9939</v>
          </cell>
          <cell r="F364">
            <v>38168</v>
          </cell>
          <cell r="G364" t="str">
            <v/>
          </cell>
        </row>
        <row r="365">
          <cell r="A365" t="str">
            <v>26Assessment126-ASSESS-03</v>
          </cell>
          <cell r="B365">
            <v>26</v>
          </cell>
          <cell r="C365" t="str">
            <v>Assessment</v>
          </cell>
          <cell r="D365" t="str">
            <v>126-ASSESS-03</v>
          </cell>
          <cell r="E365">
            <v>4000</v>
          </cell>
          <cell r="F365">
            <v>37833</v>
          </cell>
          <cell r="G365" t="str">
            <v/>
          </cell>
        </row>
        <row r="366">
          <cell r="A366" t="str">
            <v>26ABE126-ABE-04</v>
          </cell>
          <cell r="B366">
            <v>26</v>
          </cell>
          <cell r="C366" t="str">
            <v>ABE</v>
          </cell>
          <cell r="D366" t="str">
            <v>126-ABE-04</v>
          </cell>
          <cell r="E366">
            <v>100594</v>
          </cell>
          <cell r="F366">
            <v>38168</v>
          </cell>
          <cell r="G366" t="str">
            <v/>
          </cell>
        </row>
        <row r="367">
          <cell r="A367" t="str">
            <v>26CASAS Train the Trainer126-CTT-04</v>
          </cell>
          <cell r="B367">
            <v>26</v>
          </cell>
          <cell r="C367" t="str">
            <v>CASAS Train the Trainer</v>
          </cell>
          <cell r="D367" t="str">
            <v>126-CTT-04</v>
          </cell>
          <cell r="E367">
            <v>1200</v>
          </cell>
          <cell r="F367">
            <v>38168</v>
          </cell>
          <cell r="G367" t="str">
            <v/>
          </cell>
        </row>
        <row r="368">
          <cell r="A368" t="str">
            <v>26OAL Staff Development126-SD-04</v>
          </cell>
          <cell r="B368">
            <v>26</v>
          </cell>
          <cell r="C368" t="str">
            <v>OAL Staff Development</v>
          </cell>
          <cell r="D368" t="str">
            <v>126-SD-04</v>
          </cell>
          <cell r="E368">
            <v>2000</v>
          </cell>
          <cell r="F368">
            <v>38168</v>
          </cell>
          <cell r="G368">
            <v>2000</v>
          </cell>
        </row>
        <row r="369">
          <cell r="A369" t="str">
            <v>27CASAS Train the Trainer127-CTT-04</v>
          </cell>
          <cell r="B369">
            <v>27</v>
          </cell>
          <cell r="C369" t="str">
            <v>CASAS Train the Trainer</v>
          </cell>
          <cell r="D369" t="str">
            <v>127-CTT-04</v>
          </cell>
          <cell r="E369">
            <v>1200</v>
          </cell>
          <cell r="F369">
            <v>38168</v>
          </cell>
          <cell r="G369" t="str">
            <v/>
          </cell>
        </row>
        <row r="370">
          <cell r="A370" t="str">
            <v>27Workfirst 127-WFB-04</v>
          </cell>
          <cell r="B370">
            <v>27</v>
          </cell>
          <cell r="C370" t="str">
            <v xml:space="preserve">Workfirst </v>
          </cell>
          <cell r="D370" t="str">
            <v>127-WFB-04</v>
          </cell>
          <cell r="E370">
            <v>845488</v>
          </cell>
          <cell r="F370">
            <v>38168</v>
          </cell>
          <cell r="G370" t="str">
            <v/>
          </cell>
        </row>
        <row r="371">
          <cell r="A371" t="str">
            <v>27RTI127-RTI-04</v>
          </cell>
          <cell r="B371">
            <v>27</v>
          </cell>
          <cell r="C371" t="str">
            <v>RTI</v>
          </cell>
          <cell r="D371" t="str">
            <v>127-RTI-04</v>
          </cell>
          <cell r="E371">
            <v>2795</v>
          </cell>
          <cell r="F371">
            <v>38168</v>
          </cell>
          <cell r="G371" t="str">
            <v/>
          </cell>
        </row>
        <row r="372">
          <cell r="A372" t="str">
            <v>27Perkins127-PRK-04</v>
          </cell>
          <cell r="B372">
            <v>27</v>
          </cell>
          <cell r="C372" t="str">
            <v>Perkins</v>
          </cell>
          <cell r="D372" t="str">
            <v>127-PRK-04</v>
          </cell>
          <cell r="E372">
            <v>375059</v>
          </cell>
          <cell r="F372">
            <v>38168</v>
          </cell>
          <cell r="G372" t="str">
            <v/>
          </cell>
        </row>
        <row r="373">
          <cell r="A373" t="str">
            <v>27Learning Disabilities-Quality Inititive127-LDQI-04</v>
          </cell>
          <cell r="B373">
            <v>27</v>
          </cell>
          <cell r="C373" t="str">
            <v>Learning Disabilities-Quality Inititive</v>
          </cell>
          <cell r="D373" t="str">
            <v>127-LDQI-04</v>
          </cell>
          <cell r="E373">
            <v>12500</v>
          </cell>
          <cell r="F373">
            <v>38168</v>
          </cell>
          <cell r="G373" t="str">
            <v/>
          </cell>
        </row>
        <row r="374">
          <cell r="A374" t="str">
            <v>27ELCivics - State127-ELC-04</v>
          </cell>
          <cell r="B374">
            <v>27</v>
          </cell>
          <cell r="C374" t="str">
            <v>ELCivics - State</v>
          </cell>
          <cell r="D374" t="str">
            <v>127-ELC-04</v>
          </cell>
          <cell r="E374">
            <v>151505</v>
          </cell>
          <cell r="F374">
            <v>38168</v>
          </cell>
          <cell r="G374" t="str">
            <v/>
          </cell>
        </row>
        <row r="375">
          <cell r="A375" t="str">
            <v>27CASAS Implementation Training127-CASAS-04</v>
          </cell>
          <cell r="B375">
            <v>27</v>
          </cell>
          <cell r="C375" t="str">
            <v>CASAS Implementation Training</v>
          </cell>
          <cell r="D375" t="str">
            <v>127-CASAS-04</v>
          </cell>
          <cell r="E375">
            <v>900</v>
          </cell>
          <cell r="F375">
            <v>37894</v>
          </cell>
          <cell r="G375" t="str">
            <v/>
          </cell>
        </row>
        <row r="376">
          <cell r="A376" t="str">
            <v>27Basic Skills Distance Learning Pilot Project127-DLP-04</v>
          </cell>
          <cell r="B376">
            <v>27</v>
          </cell>
          <cell r="C376" t="str">
            <v>Basic Skills Distance Learning Pilot Project</v>
          </cell>
          <cell r="D376" t="str">
            <v>127-DLP-04</v>
          </cell>
          <cell r="E376">
            <v>9319</v>
          </cell>
          <cell r="F376">
            <v>38168</v>
          </cell>
          <cell r="G376" t="str">
            <v/>
          </cell>
        </row>
        <row r="377">
          <cell r="A377" t="str">
            <v>27Assessment127-ASSESS-03</v>
          </cell>
          <cell r="B377">
            <v>27</v>
          </cell>
          <cell r="C377" t="str">
            <v>Assessment</v>
          </cell>
          <cell r="D377" t="str">
            <v>127-ASSESS-03</v>
          </cell>
          <cell r="E377">
            <v>4000</v>
          </cell>
          <cell r="F377">
            <v>37833</v>
          </cell>
          <cell r="G377" t="str">
            <v/>
          </cell>
        </row>
        <row r="378">
          <cell r="A378" t="str">
            <v>27ABE127-ABE-04</v>
          </cell>
          <cell r="B378">
            <v>27</v>
          </cell>
          <cell r="C378" t="str">
            <v>ABE</v>
          </cell>
          <cell r="D378" t="str">
            <v>127-ABE-04</v>
          </cell>
          <cell r="E378">
            <v>208247</v>
          </cell>
          <cell r="F378">
            <v>38168</v>
          </cell>
          <cell r="G378" t="str">
            <v/>
          </cell>
        </row>
        <row r="379">
          <cell r="A379" t="str">
            <v>27Family Literacy127-FLP-04</v>
          </cell>
          <cell r="B379">
            <v>27</v>
          </cell>
          <cell r="C379" t="str">
            <v>Family Literacy</v>
          </cell>
          <cell r="D379" t="str">
            <v>127-FLP-04</v>
          </cell>
          <cell r="E379">
            <v>28981</v>
          </cell>
          <cell r="F379">
            <v>38168</v>
          </cell>
          <cell r="G379" t="str">
            <v/>
          </cell>
        </row>
        <row r="380">
          <cell r="A380" t="str">
            <v>28Family Literacy128-FLP-04</v>
          </cell>
          <cell r="B380">
            <v>28</v>
          </cell>
          <cell r="C380" t="str">
            <v>Family Literacy</v>
          </cell>
          <cell r="D380" t="str">
            <v>128-FLP-04</v>
          </cell>
          <cell r="E380">
            <v>28981</v>
          </cell>
          <cell r="F380">
            <v>38168</v>
          </cell>
          <cell r="G380" t="str">
            <v/>
          </cell>
        </row>
        <row r="381">
          <cell r="A381" t="str">
            <v>28Non-Traditional Project128-NT-04</v>
          </cell>
          <cell r="B381">
            <v>28</v>
          </cell>
          <cell r="C381" t="str">
            <v>Non-Traditional Project</v>
          </cell>
          <cell r="D381" t="str">
            <v>128-NT-04</v>
          </cell>
          <cell r="E381">
            <v>5000</v>
          </cell>
          <cell r="F381">
            <v>38168</v>
          </cell>
          <cell r="G381">
            <v>5000</v>
          </cell>
        </row>
        <row r="382">
          <cell r="A382" t="str">
            <v>28Perkins128-PRK-04</v>
          </cell>
          <cell r="B382">
            <v>28</v>
          </cell>
          <cell r="C382" t="str">
            <v>Perkins</v>
          </cell>
          <cell r="D382" t="str">
            <v>128-PRK-04</v>
          </cell>
          <cell r="E382">
            <v>434874</v>
          </cell>
          <cell r="F382">
            <v>38168</v>
          </cell>
          <cell r="G382" t="str">
            <v/>
          </cell>
        </row>
        <row r="383">
          <cell r="A383" t="str">
            <v>28CASAS Train the Trainer128-CTT-04</v>
          </cell>
          <cell r="B383">
            <v>28</v>
          </cell>
          <cell r="C383" t="str">
            <v>CASAS Train the Trainer</v>
          </cell>
          <cell r="D383" t="str">
            <v>128-CTT-04</v>
          </cell>
          <cell r="E383">
            <v>600</v>
          </cell>
          <cell r="F383">
            <v>38168</v>
          </cell>
          <cell r="G383" t="str">
            <v/>
          </cell>
        </row>
        <row r="384">
          <cell r="A384" t="str">
            <v>28CASAS Implementation Training128-CASAS-04</v>
          </cell>
          <cell r="B384">
            <v>28</v>
          </cell>
          <cell r="C384" t="str">
            <v>CASAS Implementation Training</v>
          </cell>
          <cell r="D384" t="str">
            <v>128-CASAS-04</v>
          </cell>
          <cell r="E384">
            <v>300</v>
          </cell>
          <cell r="F384">
            <v>37894</v>
          </cell>
          <cell r="G384" t="str">
            <v/>
          </cell>
        </row>
        <row r="385">
          <cell r="A385" t="str">
            <v>28Assessment128-ASSESS-03</v>
          </cell>
          <cell r="B385">
            <v>28</v>
          </cell>
          <cell r="C385" t="str">
            <v>Assessment</v>
          </cell>
          <cell r="D385" t="str">
            <v>128-ASSESS-03</v>
          </cell>
          <cell r="E385">
            <v>3000</v>
          </cell>
          <cell r="F385">
            <v>37833</v>
          </cell>
          <cell r="G385" t="str">
            <v/>
          </cell>
        </row>
        <row r="386">
          <cell r="A386" t="str">
            <v>28ABE128-ABE-04</v>
          </cell>
          <cell r="B386">
            <v>28</v>
          </cell>
          <cell r="C386" t="str">
            <v>ABE</v>
          </cell>
          <cell r="D386" t="str">
            <v>128-ABE-04</v>
          </cell>
          <cell r="E386">
            <v>103123</v>
          </cell>
          <cell r="F386">
            <v>38168</v>
          </cell>
          <cell r="G386" t="str">
            <v/>
          </cell>
        </row>
        <row r="387">
          <cell r="A387" t="str">
            <v>28Workfirst 128-WFB-04</v>
          </cell>
          <cell r="B387">
            <v>28</v>
          </cell>
          <cell r="C387" t="str">
            <v xml:space="preserve">Workfirst </v>
          </cell>
          <cell r="D387" t="str">
            <v>128-WFB-04</v>
          </cell>
          <cell r="E387">
            <v>1770968</v>
          </cell>
          <cell r="F387">
            <v>38168</v>
          </cell>
          <cell r="G387" t="str">
            <v/>
          </cell>
        </row>
        <row r="388">
          <cell r="A388" t="str">
            <v>28ELCivics - State128-ELC-04</v>
          </cell>
          <cell r="B388">
            <v>28</v>
          </cell>
          <cell r="C388" t="str">
            <v>ELCivics - State</v>
          </cell>
          <cell r="D388" t="str">
            <v>128-ELC-04</v>
          </cell>
          <cell r="E388">
            <v>12851</v>
          </cell>
          <cell r="F388">
            <v>38168</v>
          </cell>
          <cell r="G388" t="str">
            <v/>
          </cell>
        </row>
        <row r="389">
          <cell r="A389" t="str">
            <v>29Perkins129-PRK-04</v>
          </cell>
          <cell r="B389">
            <v>29</v>
          </cell>
          <cell r="C389" t="str">
            <v>Perkins</v>
          </cell>
          <cell r="D389" t="str">
            <v>129-PRK-04</v>
          </cell>
          <cell r="E389">
            <v>520508</v>
          </cell>
          <cell r="F389">
            <v>38168</v>
          </cell>
          <cell r="G389" t="str">
            <v/>
          </cell>
        </row>
        <row r="390">
          <cell r="A390" t="str">
            <v>29Workfirst 129-WFB-04</v>
          </cell>
          <cell r="B390">
            <v>29</v>
          </cell>
          <cell r="C390" t="str">
            <v xml:space="preserve">Workfirst </v>
          </cell>
          <cell r="D390" t="str">
            <v>129-WFB-04</v>
          </cell>
          <cell r="E390">
            <v>990243</v>
          </cell>
          <cell r="F390">
            <v>38168</v>
          </cell>
          <cell r="G390">
            <v>-10000</v>
          </cell>
        </row>
        <row r="391">
          <cell r="A391" t="str">
            <v>29RTI129-RTI-04</v>
          </cell>
          <cell r="B391">
            <v>29</v>
          </cell>
          <cell r="C391" t="str">
            <v>RTI</v>
          </cell>
          <cell r="D391" t="str">
            <v>129-RTI-04</v>
          </cell>
          <cell r="E391">
            <v>1760</v>
          </cell>
          <cell r="F391">
            <v>38168</v>
          </cell>
          <cell r="G391" t="str">
            <v/>
          </cell>
        </row>
        <row r="392">
          <cell r="A392" t="str">
            <v>29JSP129-JSP-04PM</v>
          </cell>
          <cell r="B392">
            <v>29</v>
          </cell>
          <cell r="C392" t="str">
            <v>JSP</v>
          </cell>
          <cell r="D392" t="str">
            <v>129-JSP-04PM</v>
          </cell>
          <cell r="E392">
            <v>26934</v>
          </cell>
          <cell r="F392">
            <v>38168</v>
          </cell>
          <cell r="G392" t="str">
            <v/>
          </cell>
        </row>
        <row r="393">
          <cell r="A393" t="str">
            <v>29ELCivics - Federal129-ELC-04</v>
          </cell>
          <cell r="B393">
            <v>29</v>
          </cell>
          <cell r="C393" t="str">
            <v>ELCivics - Federal</v>
          </cell>
          <cell r="D393" t="str">
            <v>129-ELC-04</v>
          </cell>
          <cell r="E393">
            <v>25697</v>
          </cell>
          <cell r="F393">
            <v>38168</v>
          </cell>
          <cell r="G393" t="str">
            <v/>
          </cell>
        </row>
        <row r="394">
          <cell r="A394" t="str">
            <v>29CASAS Train the Trainer129-CTT-04</v>
          </cell>
          <cell r="B394">
            <v>29</v>
          </cell>
          <cell r="C394" t="str">
            <v>CASAS Train the Trainer</v>
          </cell>
          <cell r="D394" t="str">
            <v>129-CTT-04</v>
          </cell>
          <cell r="E394">
            <v>600</v>
          </cell>
          <cell r="F394">
            <v>38168</v>
          </cell>
          <cell r="G394" t="str">
            <v/>
          </cell>
        </row>
        <row r="395">
          <cell r="A395" t="str">
            <v>29CASAS Implementation Training129-CASAS-04</v>
          </cell>
          <cell r="B395">
            <v>29</v>
          </cell>
          <cell r="C395" t="str">
            <v>CASAS Implementation Training</v>
          </cell>
          <cell r="D395" t="str">
            <v>129-CASAS-04</v>
          </cell>
          <cell r="E395">
            <v>525</v>
          </cell>
          <cell r="F395">
            <v>37894</v>
          </cell>
          <cell r="G395" t="str">
            <v/>
          </cell>
        </row>
        <row r="396">
          <cell r="A396" t="str">
            <v>29Assessment129-ASSESS-03</v>
          </cell>
          <cell r="B396">
            <v>29</v>
          </cell>
          <cell r="C396" t="str">
            <v>Assessment</v>
          </cell>
          <cell r="D396" t="str">
            <v>129-ASSESS-03</v>
          </cell>
          <cell r="E396">
            <v>3000</v>
          </cell>
          <cell r="F396">
            <v>37833</v>
          </cell>
          <cell r="G396" t="str">
            <v/>
          </cell>
        </row>
        <row r="397">
          <cell r="A397" t="str">
            <v>29ABE129-ABE-04</v>
          </cell>
          <cell r="B397">
            <v>29</v>
          </cell>
          <cell r="C397" t="str">
            <v>ABE</v>
          </cell>
          <cell r="D397" t="str">
            <v>129-ABE-04</v>
          </cell>
          <cell r="E397">
            <v>100520</v>
          </cell>
          <cell r="F397">
            <v>38168</v>
          </cell>
          <cell r="G397" t="str">
            <v/>
          </cell>
        </row>
        <row r="398">
          <cell r="A398" t="str">
            <v>29Family Literacy129-FLP-04</v>
          </cell>
          <cell r="B398">
            <v>29</v>
          </cell>
          <cell r="C398" t="str">
            <v>Family Literacy</v>
          </cell>
          <cell r="D398" t="str">
            <v>129-FLP-04</v>
          </cell>
          <cell r="E398">
            <v>28981</v>
          </cell>
          <cell r="F398">
            <v>38168</v>
          </cell>
          <cell r="G398">
            <v>28981</v>
          </cell>
        </row>
        <row r="399">
          <cell r="A399" t="str">
            <v>29RTI129-RTI2-04</v>
          </cell>
          <cell r="B399">
            <v>29</v>
          </cell>
          <cell r="C399" t="str">
            <v>RTI</v>
          </cell>
          <cell r="D399" t="str">
            <v>129-RTI2-04</v>
          </cell>
          <cell r="E399">
            <v>2210</v>
          </cell>
          <cell r="F399">
            <v>38168</v>
          </cell>
          <cell r="G399" t="str">
            <v/>
          </cell>
        </row>
        <row r="400">
          <cell r="A400" t="str">
            <v>30ABE130S-ABE-04</v>
          </cell>
          <cell r="B400">
            <v>30</v>
          </cell>
          <cell r="C400" t="str">
            <v>ABE</v>
          </cell>
          <cell r="D400" t="str">
            <v>130S-ABE-04</v>
          </cell>
          <cell r="E400">
            <v>17622</v>
          </cell>
          <cell r="F400">
            <v>38168</v>
          </cell>
          <cell r="G400" t="str">
            <v/>
          </cell>
        </row>
        <row r="401">
          <cell r="A401" t="str">
            <v>30Workfirst 130-WFB-04</v>
          </cell>
          <cell r="B401">
            <v>30</v>
          </cell>
          <cell r="C401" t="str">
            <v xml:space="preserve">Workfirst </v>
          </cell>
          <cell r="D401" t="str">
            <v>130-WFB-04</v>
          </cell>
          <cell r="E401">
            <v>134180</v>
          </cell>
          <cell r="F401">
            <v>38168</v>
          </cell>
          <cell r="G401" t="str">
            <v/>
          </cell>
        </row>
        <row r="402">
          <cell r="A402" t="str">
            <v>30ELCivics - State130E-ELC-04</v>
          </cell>
          <cell r="B402">
            <v>30</v>
          </cell>
          <cell r="C402" t="str">
            <v>ELCivics - State</v>
          </cell>
          <cell r="D402" t="str">
            <v>130E-ELC-04</v>
          </cell>
          <cell r="E402">
            <v>23364</v>
          </cell>
          <cell r="F402">
            <v>38168</v>
          </cell>
          <cell r="G402" t="str">
            <v/>
          </cell>
        </row>
        <row r="403">
          <cell r="A403" t="str">
            <v>30ELCivics - Federal130S-ELC-04</v>
          </cell>
          <cell r="B403">
            <v>30</v>
          </cell>
          <cell r="C403" t="str">
            <v>ELCivics - Federal</v>
          </cell>
          <cell r="D403" t="str">
            <v>130S-ELC-04</v>
          </cell>
          <cell r="E403">
            <v>28990</v>
          </cell>
          <cell r="F403">
            <v>38168</v>
          </cell>
          <cell r="G403" t="str">
            <v/>
          </cell>
        </row>
        <row r="404">
          <cell r="A404" t="str">
            <v>30CASAS Train the Trainer130-CTT-04</v>
          </cell>
          <cell r="B404">
            <v>30</v>
          </cell>
          <cell r="C404" t="str">
            <v>CASAS Train the Trainer</v>
          </cell>
          <cell r="D404" t="str">
            <v>130-CTT-04</v>
          </cell>
          <cell r="E404">
            <v>600</v>
          </cell>
          <cell r="F404">
            <v>38168</v>
          </cell>
          <cell r="G404" t="str">
            <v/>
          </cell>
        </row>
        <row r="405">
          <cell r="A405" t="str">
            <v>30Assessment130-ASSESS-03</v>
          </cell>
          <cell r="B405">
            <v>30</v>
          </cell>
          <cell r="C405" t="str">
            <v>Assessment</v>
          </cell>
          <cell r="D405" t="str">
            <v>130-ASSESS-03</v>
          </cell>
          <cell r="E405">
            <v>3000</v>
          </cell>
          <cell r="F405">
            <v>37833</v>
          </cell>
          <cell r="G405" t="str">
            <v/>
          </cell>
        </row>
        <row r="406">
          <cell r="A406" t="str">
            <v>30ABE130E-ABE-04</v>
          </cell>
          <cell r="B406">
            <v>30</v>
          </cell>
          <cell r="C406" t="str">
            <v>ABE</v>
          </cell>
          <cell r="D406" t="str">
            <v>130E-ABE-04</v>
          </cell>
          <cell r="E406">
            <v>17264</v>
          </cell>
          <cell r="F406">
            <v>38168</v>
          </cell>
          <cell r="G406" t="str">
            <v/>
          </cell>
        </row>
        <row r="407">
          <cell r="A407" t="str">
            <v>30CASAS Implementation Training130-CASAS-04</v>
          </cell>
          <cell r="B407">
            <v>30</v>
          </cell>
          <cell r="C407" t="str">
            <v>CASAS Implementation Training</v>
          </cell>
          <cell r="D407" t="str">
            <v>130-CASAS-04</v>
          </cell>
          <cell r="E407">
            <v>150</v>
          </cell>
          <cell r="F407">
            <v>37894</v>
          </cell>
          <cell r="G407" t="str">
            <v/>
          </cell>
        </row>
        <row r="408">
          <cell r="A408" t="str">
            <v>88Distance Learning CISCIS WAOL FY 04</v>
          </cell>
          <cell r="B408">
            <v>88</v>
          </cell>
          <cell r="C408" t="str">
            <v>Distance Learning CIS</v>
          </cell>
          <cell r="D408" t="str">
            <v>CIS WAOL FY 04</v>
          </cell>
          <cell r="E408">
            <v>217980</v>
          </cell>
          <cell r="F408">
            <v>38168</v>
          </cell>
          <cell r="G408" t="str">
            <v/>
          </cell>
        </row>
        <row r="409">
          <cell r="A409" t="str">
            <v>88Distance Learning CISCIS WAOL FY 04</v>
          </cell>
          <cell r="B409">
            <v>88</v>
          </cell>
          <cell r="C409" t="str">
            <v>Distance Learning CIS</v>
          </cell>
          <cell r="D409" t="str">
            <v>CIS WAOL FY 04</v>
          </cell>
          <cell r="E409">
            <v>217980</v>
          </cell>
          <cell r="F409">
            <v>38168</v>
          </cell>
          <cell r="G409" t="str">
            <v/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ckville-West, Bill" refreshedDate="41529.667141319442" createdVersion="4" refreshedVersion="4" minRefreshableVersion="3" recordCount="127">
  <cacheSource type="worksheet">
    <worksheetSource ref="A1:P128" sheet="6-30-13 Info"/>
  </cacheSource>
  <cacheFields count="16">
    <cacheField name="TITLE" numFmtId="0">
      <sharedItems count="30">
        <s v="4218-ASA-TECHNOLOGY"/>
        <s v="4221-STUDENT SUPPORT CTRS"/>
        <s v="4223-MAGNUSN STDNT LOUNGE"/>
        <s v="4225-STUDENT BUILDING FND"/>
        <s v="4383-S&amp;A FINANCIAL AID"/>
        <s v="4405-IEL BUS PASS MATCH"/>
        <s v="4406-BUS TICKET CLEARING"/>
        <s v="4409-ASA CLUB ADVISORS"/>
        <s v="4410-ASA GENERAL FUND"/>
        <s v="4412-CONTINGENCY"/>
        <s v="4414-INCHELIUM STDNT GOV"/>
        <s v="4415-AEC STUDENT GOVT"/>
        <s v="4416-HILLYARD STUDENT GOV"/>
        <s v="4417-REPUBLIC STUDENT GOV"/>
        <s v="4418-NEWPORT STUDENT GOVT"/>
        <s v="4419-COLVILLE STUDENT GOV"/>
        <s v="4420-BETA EPSILON ZETA"/>
        <s v="4421-COLVILLE REC CTR REV"/>
        <s v="4422-N PEND ORE STDNT GOV"/>
        <s v="4423-PULLMAN STUDENT GOVT"/>
        <s v="4426-LODGE/MGNSN STDNT GV"/>
        <s v="4436-CREDIT ORIENTATION"/>
        <s v="4439-NEW ACTIVITIES"/>
        <s v="4440-STUDENT LEADERSHIP"/>
        <s v="4443-STUDENT AMBASSADORS"/>
        <s v="4444-TUTORING"/>
        <s v="4445-HLTH, WELLNESS &amp; FIT"/>
        <s v="4499-STUDENT ACTIVITY FEE"/>
        <s v="4437-ABE ORIENTATION" u="1"/>
        <s v="4222-CRD CTR STDNT LOUNGE" u="1"/>
      </sharedItems>
    </cacheField>
    <cacheField name="TYPE" numFmtId="43">
      <sharedItems count="8">
        <s v="Goods &amp; Services"/>
        <s v="Equipment"/>
        <s v="Carryforward"/>
        <s v="Revenue"/>
        <s v="Salary &amp; Benefits"/>
        <s v="Travel"/>
        <s v="Transfers"/>
        <s v="N/A" u="1"/>
      </sharedItems>
    </cacheField>
    <cacheField name="FY" numFmtId="164">
      <sharedItems/>
    </cacheField>
    <cacheField name="APP" numFmtId="43">
      <sharedItems/>
    </cacheField>
    <cacheField name="PRG" numFmtId="43">
      <sharedItems/>
    </cacheField>
    <cacheField name="ORG" numFmtId="43">
      <sharedItems/>
    </cacheField>
    <cacheField name="SOBJ" numFmtId="43">
      <sharedItems/>
    </cacheField>
    <cacheField name="SS" numFmtId="43">
      <sharedItems/>
    </cacheField>
    <cacheField name="SRC" numFmtId="43">
      <sharedItems/>
    </cacheField>
    <cacheField name="SSRC" numFmtId="43">
      <sharedItems/>
    </cacheField>
    <cacheField name="FY BDGT" numFmtId="165">
      <sharedItems containsSemiMixedTypes="0" containsString="0" containsNumber="1" containsInteger="1" minValue="0" maxValue="20000"/>
    </cacheField>
    <cacheField name="FTD AMT" numFmtId="43">
      <sharedItems containsSemiMixedTypes="0" containsString="0" containsNumber="1" minValue="-96974.87" maxValue="24512.58"/>
    </cacheField>
    <cacheField name="COMMIT" numFmtId="43">
      <sharedItems containsSemiMixedTypes="0" containsString="0" containsNumber="1" containsInteger="1" minValue="0" maxValue="0"/>
    </cacheField>
    <cacheField name="BAL" numFmtId="43">
      <sharedItems containsSemiMixedTypes="0" containsString="0" containsNumber="1" minValue="-7642.7" maxValue="96974.87"/>
    </cacheField>
    <cacheField name="CURR AMT" numFmtId="43">
      <sharedItems containsSemiMixedTypes="0" containsString="0" containsNumber="1" minValue="-183.1" maxValue="0"/>
    </cacheField>
    <cacheField name="TITLE " numFmtId="43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7">
  <r>
    <x v="0"/>
    <x v="0"/>
    <s v="1213"/>
    <s v="522"/>
    <s v="264"/>
    <s v="4218"/>
    <s v="E"/>
    <s v=" "/>
    <s v=" "/>
    <s v=" "/>
    <n v="12000"/>
    <n v="0"/>
    <n v="0"/>
    <n v="12000"/>
    <n v="0"/>
    <s v="ASA-TECHNOLOGY"/>
  </r>
  <r>
    <x v="1"/>
    <x v="0"/>
    <s v="1213"/>
    <s v="522"/>
    <s v="264"/>
    <s v="4221"/>
    <s v="E"/>
    <s v=" "/>
    <s v=" "/>
    <s v=" "/>
    <n v="20000"/>
    <n v="0"/>
    <n v="0"/>
    <n v="20000"/>
    <n v="0"/>
    <s v="STUDENT SUPPORT CTRS"/>
  </r>
  <r>
    <x v="1"/>
    <x v="0"/>
    <s v="1213"/>
    <s v="522"/>
    <s v="264"/>
    <s v="4221"/>
    <s v="EA"/>
    <s v="00"/>
    <s v=" "/>
    <s v=" "/>
    <n v="0"/>
    <n v="1414.98"/>
    <n v="0"/>
    <n v="-1414.98"/>
    <n v="0"/>
    <s v="STUDENT SUPPORT CTRS"/>
  </r>
  <r>
    <x v="1"/>
    <x v="1"/>
    <s v="1213"/>
    <s v="522"/>
    <s v="264"/>
    <s v="4221"/>
    <s v="JC"/>
    <s v="00"/>
    <s v=" "/>
    <s v=" "/>
    <n v="0"/>
    <n v="7642.7"/>
    <n v="0"/>
    <n v="-7642.7"/>
    <n v="0"/>
    <s v="STUDENT SUPPORT CTRS"/>
  </r>
  <r>
    <x v="2"/>
    <x v="0"/>
    <s v="1213"/>
    <s v="522"/>
    <s v="264"/>
    <s v="4223"/>
    <s v="ED"/>
    <s v="00"/>
    <s v=" "/>
    <s v=" "/>
    <n v="0"/>
    <n v="129.36000000000001"/>
    <n v="0"/>
    <n v="-129.36000000000001"/>
    <n v="0"/>
    <s v="MAGNUSN STDNT LOUNGE"/>
  </r>
  <r>
    <x v="3"/>
    <x v="0"/>
    <s v="1213"/>
    <s v="522"/>
    <s v="264"/>
    <s v="4225"/>
    <s v="E"/>
    <s v=" "/>
    <s v=" "/>
    <s v=" "/>
    <n v="4100"/>
    <n v="0"/>
    <n v="0"/>
    <n v="4100"/>
    <n v="0"/>
    <s v="STUDENT BUILDING FND"/>
  </r>
  <r>
    <x v="4"/>
    <x v="2"/>
    <s v="1213"/>
    <s v="522"/>
    <s v="264"/>
    <s v="4383"/>
    <s v=" "/>
    <s v=" "/>
    <s v="0999"/>
    <s v=" "/>
    <n v="0"/>
    <n v="-11498.69"/>
    <n v="0"/>
    <n v="11498.69"/>
    <n v="0"/>
    <s v="S&amp;A FINANCIAL AID"/>
  </r>
  <r>
    <x v="4"/>
    <x v="3"/>
    <s v="1213"/>
    <s v="522"/>
    <s v="264"/>
    <s v="4383"/>
    <s v=" "/>
    <s v=" "/>
    <s v="0424"/>
    <s v="TR"/>
    <n v="0"/>
    <n v="-2830.89"/>
    <n v="0"/>
    <n v="2830.89"/>
    <n v="0"/>
    <s v="S&amp;A FINANCIAL AID"/>
  </r>
  <r>
    <x v="4"/>
    <x v="3"/>
    <s v="1213"/>
    <s v="522"/>
    <s v="264"/>
    <s v="4383"/>
    <s v=" "/>
    <s v=" "/>
    <s v="0424"/>
    <s v="+A"/>
    <n v="0"/>
    <n v="-332.43"/>
    <n v="0"/>
    <n v="332.43"/>
    <n v="0"/>
    <s v="S&amp;A FINANCIAL AID"/>
  </r>
  <r>
    <x v="4"/>
    <x v="3"/>
    <s v="1213"/>
    <s v="522"/>
    <s v="264"/>
    <s v="4383"/>
    <s v=" "/>
    <s v=" "/>
    <s v="0424"/>
    <s v="+G"/>
    <n v="0"/>
    <n v="-286.86"/>
    <n v="0"/>
    <n v="286.86"/>
    <n v="0"/>
    <s v="S&amp;A FINANCIAL AID"/>
  </r>
  <r>
    <x v="4"/>
    <x v="3"/>
    <s v="1213"/>
    <s v="522"/>
    <s v="264"/>
    <s v="4383"/>
    <s v=" "/>
    <s v=" "/>
    <s v="0424"/>
    <s v="TN"/>
    <n v="0"/>
    <n v="-64.59"/>
    <n v="0"/>
    <n v="64.59"/>
    <n v="0"/>
    <s v="S&amp;A FINANCIAL AID"/>
  </r>
  <r>
    <x v="4"/>
    <x v="3"/>
    <s v="1213"/>
    <s v="522"/>
    <s v="264"/>
    <s v="4383"/>
    <s v=" "/>
    <s v=" "/>
    <s v="0424"/>
    <s v="+M"/>
    <n v="0"/>
    <n v="-42.14"/>
    <n v="0"/>
    <n v="42.14"/>
    <n v="0"/>
    <s v="S&amp;A FINANCIAL AID"/>
  </r>
  <r>
    <x v="4"/>
    <x v="3"/>
    <s v="1213"/>
    <s v="522"/>
    <s v="264"/>
    <s v="4383"/>
    <s v=" "/>
    <s v=" "/>
    <s v="0424"/>
    <s v="#B"/>
    <n v="0"/>
    <n v="-12.47"/>
    <n v="0"/>
    <n v="12.47"/>
    <n v="0"/>
    <s v="S&amp;A FINANCIAL AID"/>
  </r>
  <r>
    <x v="4"/>
    <x v="3"/>
    <s v="1213"/>
    <s v="522"/>
    <s v="264"/>
    <s v="4383"/>
    <s v=" "/>
    <s v=" "/>
    <s v="0424"/>
    <s v="+H"/>
    <n v="0"/>
    <n v="-11.73"/>
    <n v="0"/>
    <n v="11.73"/>
    <n v="0"/>
    <s v="S&amp;A FINANCIAL AID"/>
  </r>
  <r>
    <x v="4"/>
    <x v="3"/>
    <s v="1213"/>
    <s v="522"/>
    <s v="264"/>
    <s v="4383"/>
    <s v=" "/>
    <s v=" "/>
    <s v="0424"/>
    <s v="#A"/>
    <n v="0"/>
    <n v="-6.49"/>
    <n v="0"/>
    <n v="6.49"/>
    <n v="0"/>
    <s v="S&amp;A FINANCIAL AID"/>
  </r>
  <r>
    <x v="4"/>
    <x v="3"/>
    <s v="1213"/>
    <s v="522"/>
    <s v="264"/>
    <s v="4383"/>
    <s v=" "/>
    <s v=" "/>
    <s v="0424"/>
    <s v="+2"/>
    <n v="0"/>
    <n v="-1.48"/>
    <n v="0"/>
    <n v="1.48"/>
    <n v="0"/>
    <s v="S&amp;A FINANCIAL AID"/>
  </r>
  <r>
    <x v="4"/>
    <x v="3"/>
    <s v="1213"/>
    <s v="522"/>
    <s v="264"/>
    <s v="4383"/>
    <s v=" "/>
    <s v=" "/>
    <s v="0424"/>
    <s v="+1"/>
    <n v="0"/>
    <n v="-1.18"/>
    <n v="0"/>
    <n v="1.18"/>
    <n v="0"/>
    <s v="S&amp;A FINANCIAL AID"/>
  </r>
  <r>
    <x v="5"/>
    <x v="0"/>
    <s v="1213"/>
    <s v="522"/>
    <s v="264"/>
    <s v="4405"/>
    <s v="E"/>
    <s v=" "/>
    <s v=" "/>
    <s v=" "/>
    <n v="5600"/>
    <n v="0"/>
    <n v="0"/>
    <n v="5600"/>
    <n v="0"/>
    <s v="IEL BUS PASS MATCH"/>
  </r>
  <r>
    <x v="5"/>
    <x v="0"/>
    <s v="1213"/>
    <s v="522"/>
    <s v="264"/>
    <s v="4405"/>
    <s v="EZ"/>
    <s v="60"/>
    <s v=" "/>
    <s v=" "/>
    <n v="0"/>
    <n v="7076"/>
    <n v="0"/>
    <n v="-7076"/>
    <n v="0"/>
    <s v="IEL BUS PASS MATCH"/>
  </r>
  <r>
    <x v="6"/>
    <x v="3"/>
    <s v="1213"/>
    <s v="522"/>
    <s v="264"/>
    <s v="4406"/>
    <s v=" "/>
    <s v=" "/>
    <s v="0499"/>
    <s v="OX"/>
    <n v="0"/>
    <n v="-290"/>
    <n v="0"/>
    <n v="290"/>
    <n v="0"/>
    <s v="BUS TICKET CLEARING"/>
  </r>
  <r>
    <x v="6"/>
    <x v="3"/>
    <s v="1213"/>
    <s v="522"/>
    <s v="264"/>
    <s v="4406"/>
    <s v=" "/>
    <s v=" "/>
    <s v="0499"/>
    <s v=" "/>
    <n v="0"/>
    <n v="290"/>
    <n v="0"/>
    <n v="-290"/>
    <n v="0"/>
    <s v="BUS TICKET CLEARING"/>
  </r>
  <r>
    <x v="7"/>
    <x v="4"/>
    <s v="1213"/>
    <s v="522"/>
    <s v="264"/>
    <s v="4409"/>
    <s v="AE"/>
    <s v="CA"/>
    <s v=" "/>
    <s v=" "/>
    <n v="12269"/>
    <n v="14766"/>
    <n v="0"/>
    <n v="-2497"/>
    <n v="0"/>
    <s v="ASA CLUB ADVISORS"/>
  </r>
  <r>
    <x v="7"/>
    <x v="4"/>
    <s v="1213"/>
    <s v="522"/>
    <s v="264"/>
    <s v="4409"/>
    <s v="B"/>
    <s v=" "/>
    <s v=" "/>
    <s v=" "/>
    <n v="2331"/>
    <n v="0"/>
    <n v="0"/>
    <n v="2331"/>
    <n v="0"/>
    <s v="ASA CLUB ADVISORS"/>
  </r>
  <r>
    <x v="7"/>
    <x v="4"/>
    <s v="1213"/>
    <s v="522"/>
    <s v="264"/>
    <s v="4409"/>
    <s v="BA"/>
    <s v=" "/>
    <s v=" "/>
    <s v=" "/>
    <n v="0"/>
    <n v="1119.02"/>
    <n v="0"/>
    <n v="-1119.02"/>
    <n v="0"/>
    <s v="ASA CLUB ADVISORS"/>
  </r>
  <r>
    <x v="7"/>
    <x v="4"/>
    <s v="1213"/>
    <s v="522"/>
    <s v="264"/>
    <s v="4409"/>
    <s v="BB"/>
    <s v=" "/>
    <s v=" "/>
    <s v=" "/>
    <n v="0"/>
    <n v="1342.22"/>
    <n v="0"/>
    <n v="-1342.22"/>
    <n v="0"/>
    <s v="ASA CLUB ADVISORS"/>
  </r>
  <r>
    <x v="7"/>
    <x v="4"/>
    <s v="1213"/>
    <s v="522"/>
    <s v="264"/>
    <s v="4409"/>
    <s v="BF"/>
    <s v=" "/>
    <s v=" "/>
    <s v=" "/>
    <n v="0"/>
    <n v="106.32"/>
    <n v="0"/>
    <n v="-106.32"/>
    <n v="0"/>
    <s v="ASA CLUB ADVISORS"/>
  </r>
  <r>
    <x v="7"/>
    <x v="0"/>
    <s v="1213"/>
    <s v="522"/>
    <s v="264"/>
    <s v="4409"/>
    <s v="EN"/>
    <s v="06"/>
    <s v=" "/>
    <s v=" "/>
    <n v="0"/>
    <n v="2.95"/>
    <n v="0"/>
    <n v="-2.95"/>
    <n v="0"/>
    <s v="ASA CLUB ADVISORS"/>
  </r>
  <r>
    <x v="8"/>
    <x v="2"/>
    <s v="1213"/>
    <s v="522"/>
    <s v="264"/>
    <s v="4410"/>
    <s v=" "/>
    <s v=" "/>
    <s v="0999"/>
    <s v=" "/>
    <n v="0"/>
    <n v="-96974.87"/>
    <n v="0"/>
    <n v="96974.87"/>
    <n v="0"/>
    <s v="ASA GENERAL FUND"/>
  </r>
  <r>
    <x v="8"/>
    <x v="2"/>
    <s v="1213"/>
    <s v="522"/>
    <s v="264"/>
    <s v="4410"/>
    <s v=" "/>
    <s v=" "/>
    <s v="0782"/>
    <s v=" "/>
    <n v="0"/>
    <n v="3824.55"/>
    <n v="0"/>
    <n v="-3824.55"/>
    <n v="0"/>
    <s v="ASA GENERAL FUND"/>
  </r>
  <r>
    <x v="9"/>
    <x v="0"/>
    <s v="1213"/>
    <s v="522"/>
    <s v="264"/>
    <s v="4412"/>
    <s v="E"/>
    <s v=" "/>
    <s v=" "/>
    <s v=" "/>
    <n v="1000"/>
    <n v="0"/>
    <n v="0"/>
    <n v="1000"/>
    <n v="0"/>
    <s v="CONTINGENCY"/>
  </r>
  <r>
    <x v="10"/>
    <x v="0"/>
    <s v="1213"/>
    <s v="522"/>
    <s v="264"/>
    <s v="4414"/>
    <s v="E"/>
    <s v=" "/>
    <s v=" "/>
    <s v=" "/>
    <n v="1700"/>
    <n v="0"/>
    <n v="0"/>
    <n v="1700"/>
    <n v="0"/>
    <s v="INCHELIUM STDNT GOV"/>
  </r>
  <r>
    <x v="10"/>
    <x v="0"/>
    <s v="1213"/>
    <s v="522"/>
    <s v="264"/>
    <s v="4414"/>
    <s v="EA"/>
    <s v="00"/>
    <s v=" "/>
    <s v=" "/>
    <n v="0"/>
    <n v="571.77"/>
    <n v="0"/>
    <n v="-571.77"/>
    <n v="0"/>
    <s v="INCHELIUM STDNT GOV"/>
  </r>
  <r>
    <x v="10"/>
    <x v="0"/>
    <s v="1213"/>
    <s v="522"/>
    <s v="264"/>
    <s v="4414"/>
    <s v="EZ"/>
    <s v="30"/>
    <s v=" "/>
    <s v=" "/>
    <n v="0"/>
    <n v="64.56"/>
    <n v="0"/>
    <n v="-64.56"/>
    <n v="0"/>
    <s v="INCHELIUM STDNT GOV"/>
  </r>
  <r>
    <x v="10"/>
    <x v="1"/>
    <s v="1213"/>
    <s v="522"/>
    <s v="264"/>
    <s v="4414"/>
    <s v="KA"/>
    <s v=" "/>
    <s v=" "/>
    <s v=" "/>
    <n v="0"/>
    <n v="688.62"/>
    <n v="0"/>
    <n v="-688.62"/>
    <n v="0"/>
    <s v="INCHELIUM STDNT GOV"/>
  </r>
  <r>
    <x v="11"/>
    <x v="2"/>
    <s v="1213"/>
    <s v="522"/>
    <s v="264"/>
    <s v="4415"/>
    <s v=" "/>
    <s v=" "/>
    <s v="0782"/>
    <s v=" "/>
    <n v="0"/>
    <n v="-290"/>
    <n v="0"/>
    <n v="290"/>
    <n v="0"/>
    <s v="AEC STUDENT GOVT"/>
  </r>
  <r>
    <x v="11"/>
    <x v="0"/>
    <s v="1213"/>
    <s v="522"/>
    <s v="264"/>
    <s v="4415"/>
    <s v="E"/>
    <s v=" "/>
    <s v=" "/>
    <s v=" "/>
    <n v="3300"/>
    <n v="0"/>
    <n v="0"/>
    <n v="3300"/>
    <n v="0"/>
    <s v="AEC STUDENT GOVT"/>
  </r>
  <r>
    <x v="11"/>
    <x v="0"/>
    <s v="1213"/>
    <s v="522"/>
    <s v="264"/>
    <s v="4415"/>
    <s v="EA"/>
    <s v="00"/>
    <s v=" "/>
    <s v=" "/>
    <n v="0"/>
    <n v="1030.3399999999999"/>
    <n v="0"/>
    <n v="-1030.3399999999999"/>
    <n v="0"/>
    <s v="AEC STUDENT GOVT"/>
  </r>
  <r>
    <x v="11"/>
    <x v="0"/>
    <s v="1213"/>
    <s v="522"/>
    <s v="264"/>
    <s v="4415"/>
    <s v="EZ"/>
    <s v="30"/>
    <s v=" "/>
    <s v=" "/>
    <n v="0"/>
    <n v="1261.0899999999999"/>
    <n v="0"/>
    <n v="-1261.0899999999999"/>
    <n v="0"/>
    <s v="AEC STUDENT GOVT"/>
  </r>
  <r>
    <x v="11"/>
    <x v="5"/>
    <s v="1213"/>
    <s v="522"/>
    <s v="264"/>
    <s v="4415"/>
    <s v="GD"/>
    <s v="30"/>
    <s v=" "/>
    <s v=" "/>
    <n v="0"/>
    <n v="315.36"/>
    <n v="0"/>
    <n v="-315.36"/>
    <n v="0"/>
    <s v="AEC STUDENT GOVT"/>
  </r>
  <r>
    <x v="12"/>
    <x v="0"/>
    <s v="1213"/>
    <s v="522"/>
    <s v="264"/>
    <s v="4416"/>
    <s v="E"/>
    <s v=" "/>
    <s v=" "/>
    <s v=" "/>
    <n v="2000"/>
    <n v="0"/>
    <n v="0"/>
    <n v="2000"/>
    <n v="0"/>
    <s v="HILLYARD STUDENT GOV"/>
  </r>
  <r>
    <x v="12"/>
    <x v="0"/>
    <s v="1213"/>
    <s v="522"/>
    <s v="264"/>
    <s v="4416"/>
    <s v="EA"/>
    <s v="00"/>
    <s v=" "/>
    <s v=" "/>
    <n v="0"/>
    <n v="235.8"/>
    <n v="0"/>
    <n v="-235.8"/>
    <n v="0"/>
    <s v="HILLYARD STUDENT GOV"/>
  </r>
  <r>
    <x v="12"/>
    <x v="0"/>
    <s v="1213"/>
    <s v="522"/>
    <s v="264"/>
    <s v="4416"/>
    <s v="EZ"/>
    <s v="30"/>
    <s v=" "/>
    <s v=" "/>
    <n v="0"/>
    <n v="1680.61"/>
    <n v="0"/>
    <n v="-1680.61"/>
    <n v="0"/>
    <s v="HILLYARD STUDENT GOV"/>
  </r>
  <r>
    <x v="13"/>
    <x v="2"/>
    <s v="1213"/>
    <s v="522"/>
    <s v="264"/>
    <s v="4417"/>
    <s v=" "/>
    <s v=" "/>
    <s v="0782"/>
    <s v=" "/>
    <n v="0"/>
    <n v="-330.48"/>
    <n v="0"/>
    <n v="330.48"/>
    <n v="0"/>
    <s v="REPUBLIC STUDENT GOV"/>
  </r>
  <r>
    <x v="13"/>
    <x v="3"/>
    <s v="1213"/>
    <s v="522"/>
    <s v="264"/>
    <s v="4417"/>
    <s v=" "/>
    <s v=" "/>
    <s v="0499"/>
    <s v="9R"/>
    <n v="0"/>
    <n v="-288"/>
    <n v="0"/>
    <n v="288"/>
    <n v="0"/>
    <s v="REPUBLIC STUDENT GOV"/>
  </r>
  <r>
    <x v="13"/>
    <x v="0"/>
    <s v="1213"/>
    <s v="522"/>
    <s v="264"/>
    <s v="4417"/>
    <s v="E"/>
    <s v=" "/>
    <s v=" "/>
    <s v=" "/>
    <n v="3100"/>
    <n v="0"/>
    <n v="0"/>
    <n v="3100"/>
    <n v="0"/>
    <s v="REPUBLIC STUDENT GOV"/>
  </r>
  <r>
    <x v="13"/>
    <x v="0"/>
    <s v="1213"/>
    <s v="522"/>
    <s v="264"/>
    <s v="4417"/>
    <s v="EA"/>
    <s v="00"/>
    <s v=" "/>
    <s v=" "/>
    <n v="0"/>
    <n v="1129"/>
    <n v="0"/>
    <n v="-1129"/>
    <n v="0"/>
    <s v="REPUBLIC STUDENT GOV"/>
  </r>
  <r>
    <x v="13"/>
    <x v="0"/>
    <s v="1213"/>
    <s v="522"/>
    <s v="264"/>
    <s v="4417"/>
    <s v="EB"/>
    <s v="00"/>
    <s v=" "/>
    <s v=" "/>
    <n v="0"/>
    <n v="395.05"/>
    <n v="0"/>
    <n v="-395.05"/>
    <n v="0"/>
    <s v="REPUBLIC STUDENT GOV"/>
  </r>
  <r>
    <x v="13"/>
    <x v="0"/>
    <s v="1213"/>
    <s v="522"/>
    <s v="264"/>
    <s v="4417"/>
    <s v="EH"/>
    <s v="30"/>
    <s v=" "/>
    <s v=" "/>
    <n v="0"/>
    <n v="32.01"/>
    <n v="0"/>
    <n v="-32.01"/>
    <n v="0"/>
    <s v="REPUBLIC STUDENT GOV"/>
  </r>
  <r>
    <x v="13"/>
    <x v="0"/>
    <s v="1213"/>
    <s v="522"/>
    <s v="264"/>
    <s v="4417"/>
    <s v="EZ"/>
    <s v="30"/>
    <s v=" "/>
    <s v=" "/>
    <n v="0"/>
    <n v="1758.9"/>
    <n v="0"/>
    <n v="-1758.9"/>
    <n v="0"/>
    <s v="REPUBLIC STUDENT GOV"/>
  </r>
  <r>
    <x v="13"/>
    <x v="1"/>
    <s v="1213"/>
    <s v="522"/>
    <s v="264"/>
    <s v="4417"/>
    <s v="JA"/>
    <s v="00"/>
    <s v=" "/>
    <s v=" "/>
    <n v="0"/>
    <n v="214.26"/>
    <n v="0"/>
    <n v="-214.26"/>
    <n v="0"/>
    <s v="REPUBLIC STUDENT GOV"/>
  </r>
  <r>
    <x v="14"/>
    <x v="2"/>
    <s v="1213"/>
    <s v="522"/>
    <s v="264"/>
    <s v="4418"/>
    <s v=" "/>
    <s v=" "/>
    <s v="0782"/>
    <s v=" "/>
    <n v="0"/>
    <n v="-405"/>
    <n v="0"/>
    <n v="405"/>
    <n v="0"/>
    <s v="NEWPORT STUDENT GOVT"/>
  </r>
  <r>
    <x v="14"/>
    <x v="0"/>
    <s v="1213"/>
    <s v="522"/>
    <s v="264"/>
    <s v="4418"/>
    <s v="E"/>
    <s v=" "/>
    <s v=" "/>
    <s v=" "/>
    <n v="9200"/>
    <n v="0"/>
    <n v="0"/>
    <n v="9200"/>
    <n v="0"/>
    <s v="NEWPORT STUDENT GOVT"/>
  </r>
  <r>
    <x v="14"/>
    <x v="0"/>
    <s v="1213"/>
    <s v="522"/>
    <s v="264"/>
    <s v="4418"/>
    <s v="EA"/>
    <s v="00"/>
    <s v=" "/>
    <s v=" "/>
    <n v="0"/>
    <n v="1510.89"/>
    <n v="0"/>
    <n v="-1510.89"/>
    <n v="0"/>
    <s v="NEWPORT STUDENT GOVT"/>
  </r>
  <r>
    <x v="14"/>
    <x v="0"/>
    <s v="1213"/>
    <s v="522"/>
    <s v="264"/>
    <s v="4418"/>
    <s v="EF"/>
    <s v="00"/>
    <s v=" "/>
    <s v=" "/>
    <n v="0"/>
    <n v="50.03"/>
    <n v="0"/>
    <n v="-50.03"/>
    <n v="0"/>
    <s v="NEWPORT STUDENT GOVT"/>
  </r>
  <r>
    <x v="14"/>
    <x v="0"/>
    <s v="1213"/>
    <s v="522"/>
    <s v="264"/>
    <s v="4418"/>
    <s v="EY"/>
    <s v="00"/>
    <s v=" "/>
    <s v=" "/>
    <n v="0"/>
    <n v="2394.91"/>
    <n v="0"/>
    <n v="-2394.91"/>
    <n v="0"/>
    <s v="NEWPORT STUDENT GOVT"/>
  </r>
  <r>
    <x v="14"/>
    <x v="0"/>
    <s v="1213"/>
    <s v="522"/>
    <s v="264"/>
    <s v="4418"/>
    <s v="EZ"/>
    <s v="00"/>
    <s v=" "/>
    <s v=" "/>
    <n v="0"/>
    <n v="1360.31"/>
    <n v="0"/>
    <n v="-1360.31"/>
    <n v="0"/>
    <s v="NEWPORT STUDENT GOVT"/>
  </r>
  <r>
    <x v="14"/>
    <x v="0"/>
    <s v="1213"/>
    <s v="522"/>
    <s v="264"/>
    <s v="4418"/>
    <s v="EZ"/>
    <s v="30"/>
    <s v=" "/>
    <s v=" "/>
    <n v="0"/>
    <n v="4079.22"/>
    <n v="0"/>
    <n v="-4079.22"/>
    <n v="0"/>
    <s v="NEWPORT STUDENT GOVT"/>
  </r>
  <r>
    <x v="14"/>
    <x v="1"/>
    <s v="1213"/>
    <s v="522"/>
    <s v="264"/>
    <s v="4418"/>
    <s v="JA"/>
    <s v="00"/>
    <s v=" "/>
    <s v=" "/>
    <n v="0"/>
    <n v="216.31"/>
    <n v="0"/>
    <n v="-216.31"/>
    <n v="0"/>
    <s v="NEWPORT STUDENT GOVT"/>
  </r>
  <r>
    <x v="14"/>
    <x v="0"/>
    <s v="1213"/>
    <s v="522"/>
    <s v="264"/>
    <s v="4418"/>
    <s v="NB"/>
    <s v="00"/>
    <s v=" "/>
    <s v=" "/>
    <n v="0"/>
    <n v="100"/>
    <n v="0"/>
    <n v="-100"/>
    <n v="0"/>
    <s v="NEWPORT STUDENT GOVT"/>
  </r>
  <r>
    <x v="15"/>
    <x v="2"/>
    <s v="1213"/>
    <s v="522"/>
    <s v="264"/>
    <s v="4419"/>
    <s v=" "/>
    <s v=" "/>
    <s v="0782"/>
    <s v=" "/>
    <n v="0"/>
    <n v="-1931.07"/>
    <n v="0"/>
    <n v="1931.07"/>
    <n v="0"/>
    <s v="COLVILLE STUDENT GOV"/>
  </r>
  <r>
    <x v="15"/>
    <x v="0"/>
    <s v="1213"/>
    <s v="522"/>
    <s v="264"/>
    <s v="4419"/>
    <s v="E"/>
    <s v=" "/>
    <s v=" "/>
    <s v=" "/>
    <n v="12600"/>
    <n v="0"/>
    <n v="0"/>
    <n v="12600"/>
    <n v="0"/>
    <s v="COLVILLE STUDENT GOV"/>
  </r>
  <r>
    <x v="15"/>
    <x v="0"/>
    <s v="1213"/>
    <s v="522"/>
    <s v="264"/>
    <s v="4419"/>
    <s v="EA"/>
    <s v="00"/>
    <s v=" "/>
    <s v=" "/>
    <n v="0"/>
    <n v="3172.94"/>
    <n v="0"/>
    <n v="-3172.94"/>
    <n v="0"/>
    <s v="COLVILLE STUDENT GOV"/>
  </r>
  <r>
    <x v="15"/>
    <x v="0"/>
    <s v="1213"/>
    <s v="522"/>
    <s v="264"/>
    <s v="4419"/>
    <s v="ER"/>
    <s v="00"/>
    <s v=" "/>
    <s v=" "/>
    <n v="0"/>
    <n v="150"/>
    <n v="0"/>
    <n v="-150"/>
    <n v="0"/>
    <s v="COLVILLE STUDENT GOV"/>
  </r>
  <r>
    <x v="15"/>
    <x v="0"/>
    <s v="1213"/>
    <s v="522"/>
    <s v="264"/>
    <s v="4419"/>
    <s v="EZ"/>
    <s v="00"/>
    <s v=" "/>
    <s v=" "/>
    <n v="0"/>
    <n v="225.96"/>
    <n v="0"/>
    <n v="-225.96"/>
    <n v="0"/>
    <s v="COLVILLE STUDENT GOV"/>
  </r>
  <r>
    <x v="15"/>
    <x v="0"/>
    <s v="1213"/>
    <s v="522"/>
    <s v="264"/>
    <s v="4419"/>
    <s v="EZ"/>
    <s v="10"/>
    <s v=" "/>
    <s v=" "/>
    <n v="0"/>
    <n v="505.26"/>
    <n v="0"/>
    <n v="-505.26"/>
    <n v="0"/>
    <s v="COLVILLE STUDENT GOV"/>
  </r>
  <r>
    <x v="15"/>
    <x v="0"/>
    <s v="1213"/>
    <s v="522"/>
    <s v="264"/>
    <s v="4419"/>
    <s v="EZ"/>
    <s v="30"/>
    <s v=" "/>
    <s v=" "/>
    <n v="0"/>
    <n v="5179.3100000000004"/>
    <n v="0"/>
    <n v="-5179.3100000000004"/>
    <n v="0"/>
    <s v="COLVILLE STUDENT GOV"/>
  </r>
  <r>
    <x v="15"/>
    <x v="5"/>
    <s v="1213"/>
    <s v="522"/>
    <s v="264"/>
    <s v="4419"/>
    <s v="GD"/>
    <s v="20"/>
    <s v=" "/>
    <s v=" "/>
    <n v="0"/>
    <n v="621.5"/>
    <n v="0"/>
    <n v="-621.5"/>
    <n v="0"/>
    <s v="COLVILLE STUDENT GOV"/>
  </r>
  <r>
    <x v="15"/>
    <x v="1"/>
    <s v="1213"/>
    <s v="522"/>
    <s v="264"/>
    <s v="4419"/>
    <s v="JA"/>
    <s v="00"/>
    <s v=" "/>
    <s v=" "/>
    <n v="0"/>
    <n v="3182.62"/>
    <n v="0"/>
    <n v="-3182.62"/>
    <n v="0"/>
    <s v="COLVILLE STUDENT GOV"/>
  </r>
  <r>
    <x v="15"/>
    <x v="0"/>
    <s v="1213"/>
    <s v="522"/>
    <s v="264"/>
    <s v="4419"/>
    <s v="NB"/>
    <s v="00"/>
    <s v=" "/>
    <s v=" "/>
    <n v="0"/>
    <n v="200"/>
    <n v="0"/>
    <n v="-200"/>
    <n v="0"/>
    <s v="COLVILLE STUDENT GOV"/>
  </r>
  <r>
    <x v="16"/>
    <x v="3"/>
    <s v="1213"/>
    <s v="522"/>
    <s v="264"/>
    <s v="4420"/>
    <s v=" "/>
    <s v=" "/>
    <s v="0499"/>
    <s v="9B"/>
    <n v="0"/>
    <n v="-1560"/>
    <n v="0"/>
    <n v="1560"/>
    <n v="0"/>
    <s v="BETA EPSILON ZETA"/>
  </r>
  <r>
    <x v="16"/>
    <x v="0"/>
    <s v="1213"/>
    <s v="522"/>
    <s v="264"/>
    <s v="4420"/>
    <s v="EA"/>
    <s v="00"/>
    <s v=" "/>
    <s v=" "/>
    <n v="0"/>
    <n v="447.08"/>
    <n v="0"/>
    <n v="-447.08"/>
    <n v="0"/>
    <s v="BETA EPSILON ZETA"/>
  </r>
  <r>
    <x v="16"/>
    <x v="0"/>
    <s v="1213"/>
    <s v="522"/>
    <s v="264"/>
    <s v="4420"/>
    <s v="EG"/>
    <s v="70"/>
    <s v=" "/>
    <s v=" "/>
    <n v="0"/>
    <n v="1620"/>
    <n v="0"/>
    <n v="-1620"/>
    <n v="0"/>
    <s v="BETA EPSILON ZETA"/>
  </r>
  <r>
    <x v="17"/>
    <x v="0"/>
    <s v="1213"/>
    <s v="522"/>
    <s v="264"/>
    <s v="4421"/>
    <s v="EA"/>
    <s v="00"/>
    <s v=" "/>
    <s v=" "/>
    <n v="0"/>
    <n v="482.79"/>
    <n v="0"/>
    <n v="-482.79"/>
    <n v="0"/>
    <s v="COLVILLE REC CTR REV"/>
  </r>
  <r>
    <x v="17"/>
    <x v="0"/>
    <s v="1213"/>
    <s v="522"/>
    <s v="264"/>
    <s v="4421"/>
    <s v="EG"/>
    <s v="60"/>
    <s v=" "/>
    <s v=" "/>
    <n v="0"/>
    <n v="59.24"/>
    <n v="0"/>
    <n v="-59.24"/>
    <n v="0"/>
    <s v="COLVILLE REC CTR REV"/>
  </r>
  <r>
    <x v="17"/>
    <x v="1"/>
    <s v="1213"/>
    <s v="522"/>
    <s v="264"/>
    <s v="4421"/>
    <s v="KA"/>
    <s v=" "/>
    <s v=" "/>
    <s v=" "/>
    <n v="0"/>
    <n v="6697.66"/>
    <n v="0"/>
    <n v="-6697.66"/>
    <n v="0"/>
    <s v="COLVILLE REC CTR REV"/>
  </r>
  <r>
    <x v="18"/>
    <x v="2"/>
    <s v="1213"/>
    <s v="522"/>
    <s v="264"/>
    <s v="4422"/>
    <s v=" "/>
    <s v=" "/>
    <s v="0782"/>
    <s v=" "/>
    <n v="0"/>
    <n v="-97"/>
    <n v="0"/>
    <n v="97"/>
    <n v="0"/>
    <s v="N PEND ORE STDNT GOV"/>
  </r>
  <r>
    <x v="18"/>
    <x v="0"/>
    <s v="1213"/>
    <s v="522"/>
    <s v="264"/>
    <s v="4422"/>
    <s v="E"/>
    <s v=" "/>
    <s v=" "/>
    <s v=" "/>
    <n v="1100"/>
    <n v="0"/>
    <n v="0"/>
    <n v="1100"/>
    <n v="0"/>
    <s v="N PEND ORE STDNT GOV"/>
  </r>
  <r>
    <x v="19"/>
    <x v="2"/>
    <s v="1213"/>
    <s v="522"/>
    <s v="264"/>
    <s v="4423"/>
    <s v=" "/>
    <s v=" "/>
    <s v="0782"/>
    <s v=" "/>
    <n v="0"/>
    <n v="-771"/>
    <n v="0"/>
    <n v="771"/>
    <n v="0"/>
    <s v="PULLMAN STUDENT GOVT"/>
  </r>
  <r>
    <x v="19"/>
    <x v="3"/>
    <s v="1213"/>
    <s v="522"/>
    <s v="264"/>
    <s v="4423"/>
    <s v=" "/>
    <s v=" "/>
    <s v="0499"/>
    <s v=" "/>
    <n v="0"/>
    <n v="-312"/>
    <n v="0"/>
    <n v="312"/>
    <n v="0"/>
    <s v="PULLMAN STUDENT GOVT"/>
  </r>
  <r>
    <x v="19"/>
    <x v="0"/>
    <s v="1213"/>
    <s v="522"/>
    <s v="264"/>
    <s v="4423"/>
    <s v="E"/>
    <s v=" "/>
    <s v=" "/>
    <s v=" "/>
    <n v="10850"/>
    <n v="0"/>
    <n v="0"/>
    <n v="10850"/>
    <n v="0"/>
    <s v="PULLMAN STUDENT GOVT"/>
  </r>
  <r>
    <x v="19"/>
    <x v="0"/>
    <s v="1213"/>
    <s v="522"/>
    <s v="264"/>
    <s v="4423"/>
    <s v="EA"/>
    <s v="00"/>
    <s v=" "/>
    <s v=" "/>
    <n v="0"/>
    <n v="3513.07"/>
    <n v="0"/>
    <n v="-3513.07"/>
    <n v="0"/>
    <s v="PULLMAN STUDENT GOVT"/>
  </r>
  <r>
    <x v="19"/>
    <x v="0"/>
    <s v="1213"/>
    <s v="522"/>
    <s v="264"/>
    <s v="4423"/>
    <s v="ED"/>
    <s v="00"/>
    <s v=" "/>
    <s v=" "/>
    <n v="0"/>
    <n v="30"/>
    <n v="0"/>
    <n v="-30"/>
    <n v="0"/>
    <s v="PULLMAN STUDENT GOVT"/>
  </r>
  <r>
    <x v="19"/>
    <x v="0"/>
    <s v="1213"/>
    <s v="522"/>
    <s v="264"/>
    <s v="4423"/>
    <s v="EF"/>
    <s v="00"/>
    <s v=" "/>
    <s v=" "/>
    <n v="0"/>
    <n v="1059.67"/>
    <n v="0"/>
    <n v="-1059.67"/>
    <n v="0"/>
    <s v="PULLMAN STUDENT GOVT"/>
  </r>
  <r>
    <x v="19"/>
    <x v="0"/>
    <s v="1213"/>
    <s v="522"/>
    <s v="264"/>
    <s v="4423"/>
    <s v="EH"/>
    <s v="20"/>
    <s v=" "/>
    <s v=" "/>
    <n v="0"/>
    <n v="136.37"/>
    <n v="0"/>
    <n v="-136.37"/>
    <n v="0"/>
    <s v="PULLMAN STUDENT GOVT"/>
  </r>
  <r>
    <x v="19"/>
    <x v="0"/>
    <s v="1213"/>
    <s v="522"/>
    <s v="264"/>
    <s v="4423"/>
    <s v="EZ"/>
    <s v="00"/>
    <s v=" "/>
    <s v=" "/>
    <n v="0"/>
    <n v="257.67"/>
    <n v="0"/>
    <n v="-257.67"/>
    <n v="0"/>
    <s v="PULLMAN STUDENT GOVT"/>
  </r>
  <r>
    <x v="19"/>
    <x v="0"/>
    <s v="1213"/>
    <s v="522"/>
    <s v="264"/>
    <s v="4423"/>
    <s v="EZ"/>
    <s v="30"/>
    <s v=" "/>
    <s v=" "/>
    <n v="0"/>
    <n v="3102.76"/>
    <n v="0"/>
    <n v="-3102.76"/>
    <n v="0"/>
    <s v="PULLMAN STUDENT GOVT"/>
  </r>
  <r>
    <x v="19"/>
    <x v="5"/>
    <s v="1213"/>
    <s v="522"/>
    <s v="264"/>
    <s v="4423"/>
    <s v="GD"/>
    <s v="30"/>
    <s v=" "/>
    <s v=" "/>
    <n v="0"/>
    <n v="148.94999999999999"/>
    <n v="0"/>
    <n v="-148.94999999999999"/>
    <n v="0"/>
    <s v="PULLMAN STUDENT GOVT"/>
  </r>
  <r>
    <x v="19"/>
    <x v="1"/>
    <s v="1213"/>
    <s v="522"/>
    <s v="264"/>
    <s v="4423"/>
    <s v="JA"/>
    <s v="00"/>
    <s v=" "/>
    <s v=" "/>
    <n v="0"/>
    <n v="1412"/>
    <n v="0"/>
    <n v="-1412"/>
    <n v="0"/>
    <s v="PULLMAN STUDENT GOVT"/>
  </r>
  <r>
    <x v="20"/>
    <x v="0"/>
    <s v="1213"/>
    <s v="522"/>
    <s v="264"/>
    <s v="4426"/>
    <s v="E"/>
    <s v=" "/>
    <s v=" "/>
    <s v=" "/>
    <n v="1000"/>
    <n v="0"/>
    <n v="0"/>
    <n v="1000"/>
    <n v="0"/>
    <s v="LODGE/MGNSN STDNT GV"/>
  </r>
  <r>
    <x v="20"/>
    <x v="0"/>
    <s v="1213"/>
    <s v="522"/>
    <s v="264"/>
    <s v="4426"/>
    <s v="EZ"/>
    <s v="30"/>
    <s v=" "/>
    <s v=" "/>
    <n v="0"/>
    <n v="651.82000000000005"/>
    <n v="0"/>
    <n v="-651.82000000000005"/>
    <n v="0"/>
    <s v="LODGE/MGNSN STDNT GV"/>
  </r>
  <r>
    <x v="21"/>
    <x v="0"/>
    <s v="1213"/>
    <s v="522"/>
    <s v="264"/>
    <s v="4436"/>
    <s v="E"/>
    <s v=" "/>
    <s v=" "/>
    <s v=" "/>
    <n v="2450"/>
    <n v="0"/>
    <n v="0"/>
    <n v="2450"/>
    <n v="0"/>
    <s v="CREDIT ORIENTATION"/>
  </r>
  <r>
    <x v="22"/>
    <x v="0"/>
    <s v="1213"/>
    <s v="522"/>
    <s v="264"/>
    <s v="4439"/>
    <s v="E"/>
    <s v=" "/>
    <s v=" "/>
    <s v=" "/>
    <n v="7800"/>
    <n v="0"/>
    <n v="0"/>
    <n v="7800"/>
    <n v="0"/>
    <s v="NEW ACTIVITIES"/>
  </r>
  <r>
    <x v="22"/>
    <x v="0"/>
    <s v="1213"/>
    <s v="522"/>
    <s v="264"/>
    <s v="4439"/>
    <s v="EA"/>
    <s v="00"/>
    <s v=" "/>
    <s v=" "/>
    <n v="0"/>
    <n v="433.32"/>
    <n v="0"/>
    <n v="-433.32"/>
    <n v="0"/>
    <s v="NEW ACTIVITIES"/>
  </r>
  <r>
    <x v="22"/>
    <x v="0"/>
    <s v="1213"/>
    <s v="522"/>
    <s v="264"/>
    <s v="4439"/>
    <s v="EZ"/>
    <s v="00"/>
    <s v=" "/>
    <s v=" "/>
    <n v="0"/>
    <n v="20"/>
    <n v="0"/>
    <n v="-20"/>
    <n v="0"/>
    <s v="NEW ACTIVITIES"/>
  </r>
  <r>
    <x v="22"/>
    <x v="0"/>
    <s v="1213"/>
    <s v="522"/>
    <s v="264"/>
    <s v="4439"/>
    <s v="EZ"/>
    <s v="30"/>
    <s v=" "/>
    <s v=" "/>
    <n v="0"/>
    <n v="2964.12"/>
    <n v="0"/>
    <n v="-2964.12"/>
    <n v="0"/>
    <s v="NEW ACTIVITIES"/>
  </r>
  <r>
    <x v="22"/>
    <x v="5"/>
    <s v="1213"/>
    <s v="522"/>
    <s v="264"/>
    <s v="4439"/>
    <s v="GA"/>
    <s v="00"/>
    <s v=" "/>
    <s v=" "/>
    <n v="0"/>
    <n v="517.24"/>
    <n v="0"/>
    <n v="-517.24"/>
    <n v="0"/>
    <s v="NEW ACTIVITIES"/>
  </r>
  <r>
    <x v="22"/>
    <x v="5"/>
    <s v="1213"/>
    <s v="522"/>
    <s v="264"/>
    <s v="4439"/>
    <s v="GD"/>
    <s v="30"/>
    <s v=" "/>
    <s v=" "/>
    <n v="0"/>
    <n v="281.14"/>
    <n v="0"/>
    <n v="-281.14"/>
    <n v="0"/>
    <s v="NEW ACTIVITIES"/>
  </r>
  <r>
    <x v="22"/>
    <x v="0"/>
    <s v="1213"/>
    <s v="522"/>
    <s v="264"/>
    <s v="4439"/>
    <s v="NB"/>
    <s v="00"/>
    <s v=" "/>
    <s v=" "/>
    <n v="0"/>
    <n v="1993"/>
    <n v="0"/>
    <n v="-1993"/>
    <n v="0"/>
    <s v="NEW ACTIVITIES"/>
  </r>
  <r>
    <x v="23"/>
    <x v="0"/>
    <s v="1213"/>
    <s v="522"/>
    <s v="264"/>
    <s v="4440"/>
    <s v="E"/>
    <s v=" "/>
    <s v=" "/>
    <s v=" "/>
    <n v="4000"/>
    <n v="0"/>
    <n v="0"/>
    <n v="4000"/>
    <n v="0"/>
    <s v="STUDENT LEADERSHIP"/>
  </r>
  <r>
    <x v="23"/>
    <x v="0"/>
    <s v="1213"/>
    <s v="522"/>
    <s v="264"/>
    <s v="4440"/>
    <s v="EA"/>
    <s v="00"/>
    <s v=" "/>
    <s v=" "/>
    <n v="0"/>
    <n v="369.92"/>
    <n v="0"/>
    <n v="-369.92"/>
    <n v="0"/>
    <s v="STUDENT LEADERSHIP"/>
  </r>
  <r>
    <x v="23"/>
    <x v="0"/>
    <s v="1213"/>
    <s v="522"/>
    <s v="264"/>
    <s v="4440"/>
    <s v="EG"/>
    <s v="80"/>
    <s v=" "/>
    <s v=" "/>
    <n v="0"/>
    <n v="196.5"/>
    <n v="0"/>
    <n v="-196.5"/>
    <n v="0"/>
    <s v="STUDENT LEADERSHIP"/>
  </r>
  <r>
    <x v="23"/>
    <x v="0"/>
    <s v="1213"/>
    <s v="522"/>
    <s v="264"/>
    <s v="4440"/>
    <s v="EZ"/>
    <s v="20"/>
    <s v=" "/>
    <s v=" "/>
    <n v="0"/>
    <n v="1543.92"/>
    <n v="0"/>
    <n v="-1543.92"/>
    <n v="0"/>
    <s v="STUDENT LEADERSHIP"/>
  </r>
  <r>
    <x v="23"/>
    <x v="0"/>
    <s v="1213"/>
    <s v="522"/>
    <s v="264"/>
    <s v="4440"/>
    <s v="EZ"/>
    <s v="30"/>
    <s v=" "/>
    <s v=" "/>
    <n v="0"/>
    <n v="187.75"/>
    <n v="0"/>
    <n v="-187.75"/>
    <n v="0"/>
    <s v="STUDENT LEADERSHIP"/>
  </r>
  <r>
    <x v="24"/>
    <x v="4"/>
    <s v="1213"/>
    <s v="522"/>
    <s v="264"/>
    <s v="4443"/>
    <s v="AM"/>
    <s v="01"/>
    <s v=" "/>
    <s v=" "/>
    <n v="0"/>
    <n v="1415.27"/>
    <n v="0"/>
    <n v="-1415.27"/>
    <n v="0"/>
    <s v="STUDENT AMBASSADORS"/>
  </r>
  <r>
    <x v="24"/>
    <x v="4"/>
    <s v="1213"/>
    <s v="522"/>
    <s v="264"/>
    <s v="4443"/>
    <s v="BC"/>
    <s v=" "/>
    <s v=" "/>
    <s v=" "/>
    <n v="0"/>
    <n v="46.18"/>
    <n v="0"/>
    <n v="-46.18"/>
    <n v="0"/>
    <s v="STUDENT AMBASSADORS"/>
  </r>
  <r>
    <x v="24"/>
    <x v="0"/>
    <s v="1213"/>
    <s v="522"/>
    <s v="264"/>
    <s v="4443"/>
    <s v="E"/>
    <s v=" "/>
    <s v=" "/>
    <s v=" "/>
    <n v="5800"/>
    <n v="0"/>
    <n v="0"/>
    <n v="5800"/>
    <n v="0"/>
    <s v="STUDENT AMBASSADORS"/>
  </r>
  <r>
    <x v="25"/>
    <x v="4"/>
    <s v="1213"/>
    <s v="522"/>
    <s v="264"/>
    <s v="4444"/>
    <s v="AD"/>
    <s v="05"/>
    <s v=" "/>
    <s v=" "/>
    <n v="18653"/>
    <n v="24512.58"/>
    <n v="0"/>
    <n v="-5859.58"/>
    <n v="0"/>
    <s v="TUTORING"/>
  </r>
  <r>
    <x v="25"/>
    <x v="4"/>
    <s v="1213"/>
    <s v="522"/>
    <s v="264"/>
    <s v="4444"/>
    <s v="B"/>
    <s v=" "/>
    <s v=" "/>
    <s v=" "/>
    <n v="1447"/>
    <n v="0"/>
    <n v="0"/>
    <n v="1447"/>
    <n v="0"/>
    <s v="TUTORING"/>
  </r>
  <r>
    <x v="25"/>
    <x v="4"/>
    <s v="1213"/>
    <s v="522"/>
    <s v="264"/>
    <s v="4444"/>
    <s v="BA"/>
    <s v=" "/>
    <s v=" "/>
    <s v=" "/>
    <n v="0"/>
    <n v="1875.21"/>
    <n v="0"/>
    <n v="-1875.21"/>
    <n v="0"/>
    <s v="TUTORING"/>
  </r>
  <r>
    <x v="25"/>
    <x v="4"/>
    <s v="1213"/>
    <s v="522"/>
    <s v="264"/>
    <s v="4444"/>
    <s v="BC"/>
    <s v=" "/>
    <s v=" "/>
    <s v=" "/>
    <n v="0"/>
    <n v="589"/>
    <n v="0"/>
    <n v="-589"/>
    <n v="0"/>
    <s v="TUTORING"/>
  </r>
  <r>
    <x v="25"/>
    <x v="4"/>
    <s v="1213"/>
    <s v="522"/>
    <s v="264"/>
    <s v="4444"/>
    <s v="BF"/>
    <s v=" "/>
    <s v=" "/>
    <s v=" "/>
    <n v="0"/>
    <n v="176.48"/>
    <n v="0"/>
    <n v="-176.48"/>
    <n v="0"/>
    <s v="TUTORING"/>
  </r>
  <r>
    <x v="25"/>
    <x v="0"/>
    <s v="1213"/>
    <s v="522"/>
    <s v="264"/>
    <s v="4444"/>
    <s v="EA"/>
    <s v="00"/>
    <s v=" "/>
    <s v=" "/>
    <n v="0"/>
    <n v="292.7"/>
    <n v="0"/>
    <n v="-292.7"/>
    <n v="0"/>
    <s v="TUTORING"/>
  </r>
  <r>
    <x v="26"/>
    <x v="0"/>
    <s v="1213"/>
    <s v="522"/>
    <s v="264"/>
    <s v="4445"/>
    <s v="E"/>
    <s v=" "/>
    <s v=" "/>
    <s v=" "/>
    <n v="12800"/>
    <n v="0"/>
    <n v="0"/>
    <n v="12800"/>
    <n v="0"/>
    <s v="HLTH, WELLNESS &amp; FIT"/>
  </r>
  <r>
    <x v="26"/>
    <x v="0"/>
    <s v="1213"/>
    <s v="522"/>
    <s v="264"/>
    <s v="4445"/>
    <s v="EA"/>
    <s v="00"/>
    <s v=" "/>
    <s v=" "/>
    <n v="0"/>
    <n v="1902.21"/>
    <n v="0"/>
    <n v="-1902.21"/>
    <n v="0"/>
    <s v="HLTH, WELLNESS &amp; FIT"/>
  </r>
  <r>
    <x v="26"/>
    <x v="0"/>
    <s v="1213"/>
    <s v="522"/>
    <s v="264"/>
    <s v="4445"/>
    <s v="EG"/>
    <s v="80"/>
    <s v=" "/>
    <s v=" "/>
    <n v="0"/>
    <n v="3237.5"/>
    <n v="0"/>
    <n v="-3237.5"/>
    <n v="0"/>
    <s v="HLTH, WELLNESS &amp; FIT"/>
  </r>
  <r>
    <x v="27"/>
    <x v="6"/>
    <s v="1213"/>
    <s v="522"/>
    <s v="264"/>
    <s v="4499"/>
    <s v=" "/>
    <s v=" "/>
    <s v="0621"/>
    <s v=" "/>
    <n v="0"/>
    <n v="-19400"/>
    <n v="0"/>
    <n v="19400"/>
    <n v="0"/>
    <s v="STUDENT ACTIVITY FEE"/>
  </r>
  <r>
    <x v="27"/>
    <x v="3"/>
    <s v="1213"/>
    <s v="522"/>
    <s v="264"/>
    <s v="4499"/>
    <s v=" "/>
    <s v=" "/>
    <s v="0424"/>
    <s v="TR"/>
    <n v="0"/>
    <n v="-48529.91"/>
    <n v="0"/>
    <n v="48529.91"/>
    <n v="0"/>
    <s v="STUDENT ACTIVITY FEE"/>
  </r>
  <r>
    <x v="27"/>
    <x v="3"/>
    <s v="1213"/>
    <s v="522"/>
    <s v="264"/>
    <s v="4499"/>
    <s v=" "/>
    <s v=" "/>
    <s v="0424"/>
    <s v="+A"/>
    <n v="0"/>
    <n v="-5698.98"/>
    <n v="0"/>
    <n v="5698.98"/>
    <n v="0"/>
    <s v="STUDENT ACTIVITY FEE"/>
  </r>
  <r>
    <x v="27"/>
    <x v="3"/>
    <s v="1213"/>
    <s v="522"/>
    <s v="264"/>
    <s v="4499"/>
    <s v=" "/>
    <s v=" "/>
    <s v="0424"/>
    <s v="+G"/>
    <n v="0"/>
    <n v="-4917.54"/>
    <n v="0"/>
    <n v="4917.54"/>
    <n v="0"/>
    <s v="STUDENT ACTIVITY FEE"/>
  </r>
  <r>
    <x v="27"/>
    <x v="3"/>
    <s v="1213"/>
    <s v="522"/>
    <s v="264"/>
    <s v="4499"/>
    <s v=" "/>
    <s v=" "/>
    <s v="0424"/>
    <s v="TN"/>
    <n v="0"/>
    <n v="-1106.6400000000001"/>
    <n v="0"/>
    <n v="1106.6400000000001"/>
    <n v="0"/>
    <s v="STUDENT ACTIVITY FEE"/>
  </r>
  <r>
    <x v="27"/>
    <x v="3"/>
    <s v="1213"/>
    <s v="522"/>
    <s v="264"/>
    <s v="4499"/>
    <s v=" "/>
    <s v=" "/>
    <s v="0424"/>
    <s v="+M"/>
    <n v="0"/>
    <n v="-722.47"/>
    <n v="0"/>
    <n v="722.47"/>
    <n v="0"/>
    <s v="STUDENT ACTIVITY FEE"/>
  </r>
  <r>
    <x v="27"/>
    <x v="3"/>
    <s v="1213"/>
    <s v="522"/>
    <s v="264"/>
    <s v="4499"/>
    <s v=" "/>
    <s v=" "/>
    <s v="0424"/>
    <s v="#B"/>
    <n v="0"/>
    <n v="-214.01"/>
    <n v="0"/>
    <n v="214.01"/>
    <n v="0"/>
    <s v="STUDENT ACTIVITY FEE"/>
  </r>
  <r>
    <x v="27"/>
    <x v="3"/>
    <s v="1213"/>
    <s v="522"/>
    <s v="264"/>
    <s v="4499"/>
    <s v=" "/>
    <s v=" "/>
    <s v="0424"/>
    <s v="+H"/>
    <n v="0"/>
    <n v="-201.03"/>
    <n v="0"/>
    <n v="201.03"/>
    <n v="0"/>
    <s v="STUDENT ACTIVITY FEE"/>
  </r>
  <r>
    <x v="27"/>
    <x v="3"/>
    <s v="1213"/>
    <s v="522"/>
    <s v="264"/>
    <s v="4499"/>
    <s v=" "/>
    <s v=" "/>
    <s v="0424"/>
    <s v="#A"/>
    <n v="0"/>
    <n v="-111.22"/>
    <n v="0"/>
    <n v="111.22"/>
    <n v="0"/>
    <s v="STUDENT ACTIVITY FEE"/>
  </r>
  <r>
    <x v="27"/>
    <x v="3"/>
    <s v="1213"/>
    <s v="522"/>
    <s v="264"/>
    <s v="4499"/>
    <s v=" "/>
    <s v=" "/>
    <s v="0424"/>
    <s v="+2"/>
    <n v="0"/>
    <n v="-25.41"/>
    <n v="0"/>
    <n v="25.41"/>
    <n v="0"/>
    <s v="STUDENT ACTIVITY FEE"/>
  </r>
  <r>
    <x v="27"/>
    <x v="3"/>
    <s v="1213"/>
    <s v="522"/>
    <s v="264"/>
    <s v="4499"/>
    <s v=" "/>
    <s v=" "/>
    <s v="0424"/>
    <s v="+1"/>
    <n v="0"/>
    <n v="-20.329999999999998"/>
    <n v="0"/>
    <n v="20.329999999999998"/>
    <n v="0"/>
    <s v="STUDENT ACTIVITY FEE"/>
  </r>
  <r>
    <x v="27"/>
    <x v="3"/>
    <s v="1213"/>
    <s v="522"/>
    <s v="264"/>
    <s v="4499"/>
    <s v=" "/>
    <s v=" "/>
    <s v="0401"/>
    <s v=" "/>
    <n v="0"/>
    <n v="-673.29"/>
    <n v="0"/>
    <n v="673.29"/>
    <n v="-183.1"/>
    <s v="STUDENT ACTIVITY FE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2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Account Title">
  <location ref="A5:E115" firstHeaderRow="0" firstDataRow="1" firstDataCol="1"/>
  <pivotFields count="16">
    <pivotField name="Account Title" axis="axisRow" subtotalTop="0" showAll="0">
      <items count="31">
        <item x="0"/>
        <item x="1"/>
        <item m="1" x="29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28"/>
        <item x="22"/>
        <item x="23"/>
        <item x="24"/>
        <item x="25"/>
        <item x="26"/>
        <item x="27"/>
        <item t="default"/>
      </items>
    </pivotField>
    <pivotField axis="axisRow" subtotalTop="0" showAll="0">
      <items count="9">
        <item x="2"/>
        <item x="1"/>
        <item x="0"/>
        <item m="1" x="7"/>
        <item x="3"/>
        <item x="4"/>
        <item x="6"/>
        <item x="5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numFmtId="165" subtotalTop="0" showAll="0"/>
    <pivotField dataField="1" numFmtId="43" subtotalTop="0" showAll="0"/>
    <pivotField dataField="1" numFmtId="43" subtotalTop="0" showAll="0"/>
    <pivotField dataField="1" numFmtId="43" subtotalTop="0" showAll="0"/>
    <pivotField numFmtId="43" subtotalTop="0" showAll="0"/>
    <pivotField subtotalTop="0" showAll="0"/>
  </pivotFields>
  <rowFields count="2">
    <field x="0"/>
    <field x="1"/>
  </rowFields>
  <rowItems count="110">
    <i>
      <x/>
    </i>
    <i r="1">
      <x v="2"/>
    </i>
    <i t="default">
      <x/>
    </i>
    <i>
      <x v="1"/>
    </i>
    <i r="1">
      <x v="1"/>
    </i>
    <i r="1">
      <x v="2"/>
    </i>
    <i t="default">
      <x v="1"/>
    </i>
    <i>
      <x v="3"/>
    </i>
    <i r="1">
      <x v="2"/>
    </i>
    <i t="default">
      <x v="3"/>
    </i>
    <i>
      <x v="4"/>
    </i>
    <i r="1">
      <x v="2"/>
    </i>
    <i t="default">
      <x v="4"/>
    </i>
    <i>
      <x v="5"/>
    </i>
    <i r="1">
      <x/>
    </i>
    <i r="1">
      <x v="4"/>
    </i>
    <i t="default">
      <x v="5"/>
    </i>
    <i>
      <x v="6"/>
    </i>
    <i r="1">
      <x v="2"/>
    </i>
    <i t="default">
      <x v="6"/>
    </i>
    <i>
      <x v="7"/>
    </i>
    <i r="1">
      <x v="4"/>
    </i>
    <i t="default">
      <x v="7"/>
    </i>
    <i>
      <x v="8"/>
    </i>
    <i r="1">
      <x v="2"/>
    </i>
    <i r="1">
      <x v="5"/>
    </i>
    <i t="default">
      <x v="8"/>
    </i>
    <i>
      <x v="9"/>
    </i>
    <i r="1">
      <x/>
    </i>
    <i t="default">
      <x v="9"/>
    </i>
    <i>
      <x v="10"/>
    </i>
    <i r="1">
      <x v="2"/>
    </i>
    <i t="default">
      <x v="10"/>
    </i>
    <i>
      <x v="11"/>
    </i>
    <i r="1">
      <x v="1"/>
    </i>
    <i r="1">
      <x v="2"/>
    </i>
    <i t="default">
      <x v="11"/>
    </i>
    <i>
      <x v="12"/>
    </i>
    <i r="1">
      <x/>
    </i>
    <i r="1">
      <x v="2"/>
    </i>
    <i r="1">
      <x v="7"/>
    </i>
    <i t="default">
      <x v="12"/>
    </i>
    <i>
      <x v="13"/>
    </i>
    <i r="1">
      <x v="2"/>
    </i>
    <i t="default">
      <x v="13"/>
    </i>
    <i>
      <x v="14"/>
    </i>
    <i r="1">
      <x/>
    </i>
    <i r="1">
      <x v="1"/>
    </i>
    <i r="1">
      <x v="2"/>
    </i>
    <i r="1">
      <x v="4"/>
    </i>
    <i t="default">
      <x v="14"/>
    </i>
    <i>
      <x v="15"/>
    </i>
    <i r="1">
      <x/>
    </i>
    <i r="1">
      <x v="1"/>
    </i>
    <i r="1">
      <x v="2"/>
    </i>
    <i t="default">
      <x v="15"/>
    </i>
    <i>
      <x v="16"/>
    </i>
    <i r="1">
      <x/>
    </i>
    <i r="1">
      <x v="1"/>
    </i>
    <i r="1">
      <x v="2"/>
    </i>
    <i r="1">
      <x v="7"/>
    </i>
    <i t="default">
      <x v="16"/>
    </i>
    <i>
      <x v="17"/>
    </i>
    <i r="1">
      <x v="2"/>
    </i>
    <i r="1">
      <x v="4"/>
    </i>
    <i t="default">
      <x v="17"/>
    </i>
    <i>
      <x v="18"/>
    </i>
    <i r="1">
      <x v="1"/>
    </i>
    <i r="1">
      <x v="2"/>
    </i>
    <i t="default">
      <x v="18"/>
    </i>
    <i>
      <x v="19"/>
    </i>
    <i r="1">
      <x/>
    </i>
    <i r="1">
      <x v="2"/>
    </i>
    <i t="default">
      <x v="19"/>
    </i>
    <i>
      <x v="20"/>
    </i>
    <i r="1">
      <x/>
    </i>
    <i r="1">
      <x v="1"/>
    </i>
    <i r="1">
      <x v="2"/>
    </i>
    <i r="1">
      <x v="4"/>
    </i>
    <i r="1">
      <x v="7"/>
    </i>
    <i t="default">
      <x v="20"/>
    </i>
    <i>
      <x v="21"/>
    </i>
    <i r="1">
      <x v="2"/>
    </i>
    <i t="default">
      <x v="21"/>
    </i>
    <i>
      <x v="22"/>
    </i>
    <i r="1">
      <x v="2"/>
    </i>
    <i t="default">
      <x v="22"/>
    </i>
    <i>
      <x v="24"/>
    </i>
    <i r="1">
      <x v="2"/>
    </i>
    <i r="1">
      <x v="7"/>
    </i>
    <i t="default">
      <x v="24"/>
    </i>
    <i>
      <x v="25"/>
    </i>
    <i r="1">
      <x v="2"/>
    </i>
    <i t="default">
      <x v="25"/>
    </i>
    <i>
      <x v="26"/>
    </i>
    <i r="1">
      <x v="2"/>
    </i>
    <i r="1">
      <x v="5"/>
    </i>
    <i t="default">
      <x v="26"/>
    </i>
    <i>
      <x v="27"/>
    </i>
    <i r="1">
      <x v="2"/>
    </i>
    <i r="1">
      <x v="5"/>
    </i>
    <i t="default">
      <x v="27"/>
    </i>
    <i>
      <x v="28"/>
    </i>
    <i r="1">
      <x v="2"/>
    </i>
    <i t="default">
      <x v="28"/>
    </i>
    <i>
      <x v="29"/>
    </i>
    <i r="1">
      <x v="4"/>
    </i>
    <i r="1">
      <x v="6"/>
    </i>
    <i t="default">
      <x v="2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Budget" fld="10" baseField="0" baseItem="0" numFmtId="165"/>
    <dataField name="(Rev)/Exp" fld="11" baseField="0" baseItem="0" numFmtId="43"/>
    <dataField name="Encumbrance" fld="12" baseField="0" baseItem="0" numFmtId="43"/>
    <dataField name="Balance" fld="13" baseField="1" baseItem="2" numFmtId="43"/>
  </dataFields>
  <formats count="3">
    <format dxfId="5">
      <pivotArea field="0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">
      <pivotArea outline="0" fieldPosition="0">
        <references count="1">
          <reference field="4294967294" count="1">
            <x v="3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5"/>
  <sheetViews>
    <sheetView tabSelected="1" workbookViewId="0">
      <selection activeCell="E3" sqref="E3"/>
    </sheetView>
  </sheetViews>
  <sheetFormatPr defaultRowHeight="15" x14ac:dyDescent="0.25"/>
  <cols>
    <col min="1" max="1" width="35.42578125" bestFit="1" customWidth="1"/>
    <col min="2" max="2" width="9" bestFit="1" customWidth="1"/>
    <col min="3" max="3" width="11.28515625" customWidth="1"/>
    <col min="4" max="4" width="12.85546875" bestFit="1" customWidth="1"/>
    <col min="5" max="5" width="11.5703125" customWidth="1"/>
  </cols>
  <sheetData>
    <row r="1" spans="1:5" x14ac:dyDescent="0.25">
      <c r="A1" s="17" t="s">
        <v>193</v>
      </c>
      <c r="B1" s="17"/>
      <c r="C1" s="17"/>
      <c r="D1" s="17"/>
      <c r="E1" s="17"/>
    </row>
    <row r="2" spans="1:5" x14ac:dyDescent="0.25">
      <c r="A2" s="17" t="s">
        <v>194</v>
      </c>
      <c r="B2" s="17"/>
      <c r="C2" s="17"/>
      <c r="D2" s="17"/>
      <c r="E2" s="17"/>
    </row>
    <row r="3" spans="1:5" x14ac:dyDescent="0.25">
      <c r="A3" s="18">
        <v>41455</v>
      </c>
      <c r="B3" s="17"/>
      <c r="C3" s="17"/>
      <c r="D3" s="17"/>
      <c r="E3" s="17"/>
    </row>
    <row r="4" spans="1:5" ht="20.25" customHeight="1" x14ac:dyDescent="0.25"/>
    <row r="5" spans="1:5" s="16" customFormat="1" x14ac:dyDescent="0.25">
      <c r="A5" s="15" t="s">
        <v>167</v>
      </c>
      <c r="B5" s="16" t="s">
        <v>130</v>
      </c>
      <c r="C5" s="16" t="s">
        <v>164</v>
      </c>
      <c r="D5" s="16" t="s">
        <v>165</v>
      </c>
      <c r="E5" s="16" t="s">
        <v>131</v>
      </c>
    </row>
    <row r="6" spans="1:5" x14ac:dyDescent="0.25">
      <c r="A6" s="11" t="s">
        <v>132</v>
      </c>
      <c r="B6" s="13"/>
      <c r="C6" s="14"/>
      <c r="D6" s="14"/>
      <c r="E6" s="14"/>
    </row>
    <row r="7" spans="1:5" x14ac:dyDescent="0.25">
      <c r="A7" s="12" t="s">
        <v>158</v>
      </c>
      <c r="B7" s="13">
        <v>12000</v>
      </c>
      <c r="C7" s="14">
        <v>0</v>
      </c>
      <c r="D7" s="14">
        <v>0</v>
      </c>
      <c r="E7" s="14">
        <v>12000</v>
      </c>
    </row>
    <row r="8" spans="1:5" x14ac:dyDescent="0.25">
      <c r="A8" s="11" t="s">
        <v>168</v>
      </c>
      <c r="B8" s="13">
        <v>12000</v>
      </c>
      <c r="C8" s="14">
        <v>0</v>
      </c>
      <c r="D8" s="14">
        <v>0</v>
      </c>
      <c r="E8" s="14">
        <v>12000</v>
      </c>
    </row>
    <row r="9" spans="1:5" x14ac:dyDescent="0.25">
      <c r="A9" s="11" t="s">
        <v>133</v>
      </c>
      <c r="B9" s="13"/>
      <c r="C9" s="14"/>
      <c r="D9" s="14"/>
      <c r="E9" s="14"/>
    </row>
    <row r="10" spans="1:5" x14ac:dyDescent="0.25">
      <c r="A10" s="12" t="s">
        <v>159</v>
      </c>
      <c r="B10" s="13">
        <v>0</v>
      </c>
      <c r="C10" s="14">
        <v>7642.7</v>
      </c>
      <c r="D10" s="14">
        <v>0</v>
      </c>
      <c r="E10" s="14">
        <v>-7642.7</v>
      </c>
    </row>
    <row r="11" spans="1:5" x14ac:dyDescent="0.25">
      <c r="A11" s="12" t="s">
        <v>158</v>
      </c>
      <c r="B11" s="13">
        <v>20000</v>
      </c>
      <c r="C11" s="14">
        <v>1414.98</v>
      </c>
      <c r="D11" s="14">
        <v>0</v>
      </c>
      <c r="E11" s="14">
        <v>18585.02</v>
      </c>
    </row>
    <row r="12" spans="1:5" x14ac:dyDescent="0.25">
      <c r="A12" s="11" t="s">
        <v>169</v>
      </c>
      <c r="B12" s="13">
        <v>20000</v>
      </c>
      <c r="C12" s="14">
        <v>9057.68</v>
      </c>
      <c r="D12" s="14">
        <v>0</v>
      </c>
      <c r="E12" s="14">
        <v>10942.32</v>
      </c>
    </row>
    <row r="13" spans="1:5" x14ac:dyDescent="0.25">
      <c r="A13" s="11" t="s">
        <v>134</v>
      </c>
      <c r="B13" s="13"/>
      <c r="C13" s="14"/>
      <c r="D13" s="14"/>
      <c r="E13" s="14"/>
    </row>
    <row r="14" spans="1:5" x14ac:dyDescent="0.25">
      <c r="A14" s="12" t="s">
        <v>158</v>
      </c>
      <c r="B14" s="13">
        <v>0</v>
      </c>
      <c r="C14" s="14">
        <v>129.36000000000001</v>
      </c>
      <c r="D14" s="14">
        <v>0</v>
      </c>
      <c r="E14" s="14">
        <v>-129.36000000000001</v>
      </c>
    </row>
    <row r="15" spans="1:5" x14ac:dyDescent="0.25">
      <c r="A15" s="11" t="s">
        <v>170</v>
      </c>
      <c r="B15" s="13">
        <v>0</v>
      </c>
      <c r="C15" s="14">
        <v>129.36000000000001</v>
      </c>
      <c r="D15" s="14">
        <v>0</v>
      </c>
      <c r="E15" s="14">
        <v>-129.36000000000001</v>
      </c>
    </row>
    <row r="16" spans="1:5" x14ac:dyDescent="0.25">
      <c r="A16" s="11" t="s">
        <v>135</v>
      </c>
      <c r="B16" s="13"/>
      <c r="C16" s="14"/>
      <c r="D16" s="14"/>
      <c r="E16" s="14"/>
    </row>
    <row r="17" spans="1:5" x14ac:dyDescent="0.25">
      <c r="A17" s="12" t="s">
        <v>158</v>
      </c>
      <c r="B17" s="13">
        <v>4100</v>
      </c>
      <c r="C17" s="14">
        <v>0</v>
      </c>
      <c r="D17" s="14">
        <v>0</v>
      </c>
      <c r="E17" s="14">
        <v>4100</v>
      </c>
    </row>
    <row r="18" spans="1:5" x14ac:dyDescent="0.25">
      <c r="A18" s="11" t="s">
        <v>171</v>
      </c>
      <c r="B18" s="13">
        <v>4100</v>
      </c>
      <c r="C18" s="14">
        <v>0</v>
      </c>
      <c r="D18" s="14">
        <v>0</v>
      </c>
      <c r="E18" s="14">
        <v>4100</v>
      </c>
    </row>
    <row r="19" spans="1:5" x14ac:dyDescent="0.25">
      <c r="A19" s="11" t="s">
        <v>195</v>
      </c>
      <c r="B19" s="13"/>
      <c r="C19" s="14"/>
      <c r="D19" s="14"/>
      <c r="E19" s="14"/>
    </row>
    <row r="20" spans="1:5" x14ac:dyDescent="0.25">
      <c r="A20" s="12" t="s">
        <v>161</v>
      </c>
      <c r="B20" s="13">
        <v>0</v>
      </c>
      <c r="C20" s="14">
        <v>-11498.69</v>
      </c>
      <c r="D20" s="14">
        <v>0</v>
      </c>
      <c r="E20" s="14">
        <v>11498.69</v>
      </c>
    </row>
    <row r="21" spans="1:5" x14ac:dyDescent="0.25">
      <c r="A21" s="12" t="s">
        <v>162</v>
      </c>
      <c r="B21" s="13">
        <v>0</v>
      </c>
      <c r="C21" s="14">
        <v>-3590.2599999999993</v>
      </c>
      <c r="D21" s="14">
        <v>0</v>
      </c>
      <c r="E21" s="14">
        <v>3590.2599999999993</v>
      </c>
    </row>
    <row r="22" spans="1:5" x14ac:dyDescent="0.25">
      <c r="A22" s="11" t="s">
        <v>196</v>
      </c>
      <c r="B22" s="13">
        <v>0</v>
      </c>
      <c r="C22" s="14">
        <v>-15088.95</v>
      </c>
      <c r="D22" s="14">
        <v>0</v>
      </c>
      <c r="E22" s="14">
        <v>15088.95</v>
      </c>
    </row>
    <row r="23" spans="1:5" x14ac:dyDescent="0.25">
      <c r="A23" s="11" t="s">
        <v>136</v>
      </c>
      <c r="B23" s="13"/>
      <c r="C23" s="14"/>
      <c r="D23" s="14"/>
      <c r="E23" s="14"/>
    </row>
    <row r="24" spans="1:5" x14ac:dyDescent="0.25">
      <c r="A24" s="12" t="s">
        <v>158</v>
      </c>
      <c r="B24" s="13">
        <v>5600</v>
      </c>
      <c r="C24" s="14">
        <v>7076</v>
      </c>
      <c r="D24" s="14">
        <v>0</v>
      </c>
      <c r="E24" s="14">
        <v>-1476</v>
      </c>
    </row>
    <row r="25" spans="1:5" x14ac:dyDescent="0.25">
      <c r="A25" s="11" t="s">
        <v>172</v>
      </c>
      <c r="B25" s="13">
        <v>5600</v>
      </c>
      <c r="C25" s="14">
        <v>7076</v>
      </c>
      <c r="D25" s="14">
        <v>0</v>
      </c>
      <c r="E25" s="14">
        <v>-1476</v>
      </c>
    </row>
    <row r="26" spans="1:5" x14ac:dyDescent="0.25">
      <c r="A26" s="11" t="s">
        <v>137</v>
      </c>
      <c r="B26" s="13"/>
      <c r="C26" s="14"/>
      <c r="D26" s="14"/>
      <c r="E26" s="14"/>
    </row>
    <row r="27" spans="1:5" x14ac:dyDescent="0.25">
      <c r="A27" s="12" t="s">
        <v>162</v>
      </c>
      <c r="B27" s="13">
        <v>0</v>
      </c>
      <c r="C27" s="14">
        <v>0</v>
      </c>
      <c r="D27" s="14">
        <v>0</v>
      </c>
      <c r="E27" s="14">
        <v>0</v>
      </c>
    </row>
    <row r="28" spans="1:5" x14ac:dyDescent="0.25">
      <c r="A28" s="11" t="s">
        <v>173</v>
      </c>
      <c r="B28" s="13">
        <v>0</v>
      </c>
      <c r="C28" s="14">
        <v>0</v>
      </c>
      <c r="D28" s="14">
        <v>0</v>
      </c>
      <c r="E28" s="14">
        <v>0</v>
      </c>
    </row>
    <row r="29" spans="1:5" x14ac:dyDescent="0.25">
      <c r="A29" s="11" t="s">
        <v>138</v>
      </c>
      <c r="B29" s="13"/>
      <c r="C29" s="14"/>
      <c r="D29" s="14"/>
      <c r="E29" s="14"/>
    </row>
    <row r="30" spans="1:5" x14ac:dyDescent="0.25">
      <c r="A30" s="12" t="s">
        <v>158</v>
      </c>
      <c r="B30" s="13">
        <v>0</v>
      </c>
      <c r="C30" s="14">
        <v>2.95</v>
      </c>
      <c r="D30" s="14">
        <v>0</v>
      </c>
      <c r="E30" s="14">
        <v>-2.95</v>
      </c>
    </row>
    <row r="31" spans="1:5" x14ac:dyDescent="0.25">
      <c r="A31" s="12" t="s">
        <v>163</v>
      </c>
      <c r="B31" s="13">
        <v>14600</v>
      </c>
      <c r="C31" s="14">
        <v>17333.560000000001</v>
      </c>
      <c r="D31" s="14">
        <v>0</v>
      </c>
      <c r="E31" s="14">
        <v>-2733.56</v>
      </c>
    </row>
    <row r="32" spans="1:5" x14ac:dyDescent="0.25">
      <c r="A32" s="11" t="s">
        <v>174</v>
      </c>
      <c r="B32" s="13">
        <v>14600</v>
      </c>
      <c r="C32" s="14">
        <v>17336.510000000002</v>
      </c>
      <c r="D32" s="14">
        <v>0</v>
      </c>
      <c r="E32" s="14">
        <v>-2736.5099999999998</v>
      </c>
    </row>
    <row r="33" spans="1:5" x14ac:dyDescent="0.25">
      <c r="A33" s="11" t="s">
        <v>197</v>
      </c>
      <c r="B33" s="13"/>
      <c r="C33" s="14"/>
      <c r="D33" s="14"/>
      <c r="E33" s="14"/>
    </row>
    <row r="34" spans="1:5" x14ac:dyDescent="0.25">
      <c r="A34" s="12" t="s">
        <v>161</v>
      </c>
      <c r="B34" s="13">
        <v>0</v>
      </c>
      <c r="C34" s="14">
        <v>-93150.319999999992</v>
      </c>
      <c r="D34" s="14">
        <v>0</v>
      </c>
      <c r="E34" s="14">
        <v>93150.319999999992</v>
      </c>
    </row>
    <row r="35" spans="1:5" x14ac:dyDescent="0.25">
      <c r="A35" s="11" t="s">
        <v>198</v>
      </c>
      <c r="B35" s="13">
        <v>0</v>
      </c>
      <c r="C35" s="14">
        <v>-93150.319999999992</v>
      </c>
      <c r="D35" s="14">
        <v>0</v>
      </c>
      <c r="E35" s="14">
        <v>93150.319999999992</v>
      </c>
    </row>
    <row r="36" spans="1:5" x14ac:dyDescent="0.25">
      <c r="A36" s="11" t="s">
        <v>139</v>
      </c>
      <c r="B36" s="13"/>
      <c r="C36" s="14"/>
      <c r="D36" s="14"/>
      <c r="E36" s="14"/>
    </row>
    <row r="37" spans="1:5" x14ac:dyDescent="0.25">
      <c r="A37" s="12" t="s">
        <v>158</v>
      </c>
      <c r="B37" s="13">
        <v>1000</v>
      </c>
      <c r="C37" s="14">
        <v>0</v>
      </c>
      <c r="D37" s="14">
        <v>0</v>
      </c>
      <c r="E37" s="14">
        <v>1000</v>
      </c>
    </row>
    <row r="38" spans="1:5" x14ac:dyDescent="0.25">
      <c r="A38" s="11" t="s">
        <v>175</v>
      </c>
      <c r="B38" s="13">
        <v>1000</v>
      </c>
      <c r="C38" s="14">
        <v>0</v>
      </c>
      <c r="D38" s="14">
        <v>0</v>
      </c>
      <c r="E38" s="14">
        <v>1000</v>
      </c>
    </row>
    <row r="39" spans="1:5" x14ac:dyDescent="0.25">
      <c r="A39" s="11" t="s">
        <v>140</v>
      </c>
      <c r="B39" s="13"/>
      <c r="C39" s="14"/>
      <c r="D39" s="14"/>
      <c r="E39" s="14"/>
    </row>
    <row r="40" spans="1:5" x14ac:dyDescent="0.25">
      <c r="A40" s="12" t="s">
        <v>159</v>
      </c>
      <c r="B40" s="13">
        <v>0</v>
      </c>
      <c r="C40" s="14">
        <v>688.62</v>
      </c>
      <c r="D40" s="14">
        <v>0</v>
      </c>
      <c r="E40" s="14">
        <v>-688.62</v>
      </c>
    </row>
    <row r="41" spans="1:5" x14ac:dyDescent="0.25">
      <c r="A41" s="12" t="s">
        <v>158</v>
      </c>
      <c r="B41" s="13">
        <v>1700</v>
      </c>
      <c r="C41" s="14">
        <v>636.32999999999993</v>
      </c>
      <c r="D41" s="14">
        <v>0</v>
      </c>
      <c r="E41" s="14">
        <v>1063.67</v>
      </c>
    </row>
    <row r="42" spans="1:5" x14ac:dyDescent="0.25">
      <c r="A42" s="11" t="s">
        <v>176</v>
      </c>
      <c r="B42" s="13">
        <v>1700</v>
      </c>
      <c r="C42" s="14">
        <v>1324.9499999999998</v>
      </c>
      <c r="D42" s="14">
        <v>0</v>
      </c>
      <c r="E42" s="14">
        <v>375.05000000000007</v>
      </c>
    </row>
    <row r="43" spans="1:5" x14ac:dyDescent="0.25">
      <c r="A43" s="11" t="s">
        <v>141</v>
      </c>
      <c r="B43" s="13"/>
      <c r="C43" s="14"/>
      <c r="D43" s="14"/>
      <c r="E43" s="14"/>
    </row>
    <row r="44" spans="1:5" x14ac:dyDescent="0.25">
      <c r="A44" s="12" t="s">
        <v>161</v>
      </c>
      <c r="B44" s="13">
        <v>0</v>
      </c>
      <c r="C44" s="14">
        <v>-290</v>
      </c>
      <c r="D44" s="14">
        <v>0</v>
      </c>
      <c r="E44" s="14">
        <v>290</v>
      </c>
    </row>
    <row r="45" spans="1:5" x14ac:dyDescent="0.25">
      <c r="A45" s="12" t="s">
        <v>158</v>
      </c>
      <c r="B45" s="13">
        <v>3300</v>
      </c>
      <c r="C45" s="14">
        <v>2291.4299999999998</v>
      </c>
      <c r="D45" s="14">
        <v>0</v>
      </c>
      <c r="E45" s="14">
        <v>1008.5699999999999</v>
      </c>
    </row>
    <row r="46" spans="1:5" x14ac:dyDescent="0.25">
      <c r="A46" s="12" t="s">
        <v>160</v>
      </c>
      <c r="B46" s="13">
        <v>0</v>
      </c>
      <c r="C46" s="14">
        <v>315.36</v>
      </c>
      <c r="D46" s="14">
        <v>0</v>
      </c>
      <c r="E46" s="14">
        <v>-315.36</v>
      </c>
    </row>
    <row r="47" spans="1:5" x14ac:dyDescent="0.25">
      <c r="A47" s="11" t="s">
        <v>177</v>
      </c>
      <c r="B47" s="13">
        <v>3300</v>
      </c>
      <c r="C47" s="14">
        <v>2316.79</v>
      </c>
      <c r="D47" s="14">
        <v>0</v>
      </c>
      <c r="E47" s="14">
        <v>983.20999999999992</v>
      </c>
    </row>
    <row r="48" spans="1:5" x14ac:dyDescent="0.25">
      <c r="A48" s="11" t="s">
        <v>142</v>
      </c>
      <c r="B48" s="13"/>
      <c r="C48" s="14"/>
      <c r="D48" s="14"/>
      <c r="E48" s="14"/>
    </row>
    <row r="49" spans="1:5" x14ac:dyDescent="0.25">
      <c r="A49" s="12" t="s">
        <v>158</v>
      </c>
      <c r="B49" s="13">
        <v>2000</v>
      </c>
      <c r="C49" s="14">
        <v>1916.4099999999999</v>
      </c>
      <c r="D49" s="14">
        <v>0</v>
      </c>
      <c r="E49" s="14">
        <v>83.590000000000146</v>
      </c>
    </row>
    <row r="50" spans="1:5" x14ac:dyDescent="0.25">
      <c r="A50" s="11" t="s">
        <v>178</v>
      </c>
      <c r="B50" s="13">
        <v>2000</v>
      </c>
      <c r="C50" s="14">
        <v>1916.4099999999999</v>
      </c>
      <c r="D50" s="14">
        <v>0</v>
      </c>
      <c r="E50" s="14">
        <v>83.590000000000146</v>
      </c>
    </row>
    <row r="51" spans="1:5" x14ac:dyDescent="0.25">
      <c r="A51" s="11" t="s">
        <v>143</v>
      </c>
      <c r="B51" s="13"/>
      <c r="C51" s="14"/>
      <c r="D51" s="14"/>
      <c r="E51" s="14"/>
    </row>
    <row r="52" spans="1:5" x14ac:dyDescent="0.25">
      <c r="A52" s="12" t="s">
        <v>161</v>
      </c>
      <c r="B52" s="13">
        <v>0</v>
      </c>
      <c r="C52" s="14">
        <v>-330.48</v>
      </c>
      <c r="D52" s="14">
        <v>0</v>
      </c>
      <c r="E52" s="14">
        <v>330.48</v>
      </c>
    </row>
    <row r="53" spans="1:5" x14ac:dyDescent="0.25">
      <c r="A53" s="12" t="s">
        <v>159</v>
      </c>
      <c r="B53" s="13">
        <v>0</v>
      </c>
      <c r="C53" s="14">
        <v>214.26</v>
      </c>
      <c r="D53" s="14">
        <v>0</v>
      </c>
      <c r="E53" s="14">
        <v>-214.26</v>
      </c>
    </row>
    <row r="54" spans="1:5" x14ac:dyDescent="0.25">
      <c r="A54" s="12" t="s">
        <v>158</v>
      </c>
      <c r="B54" s="13">
        <v>3100</v>
      </c>
      <c r="C54" s="14">
        <v>3314.96</v>
      </c>
      <c r="D54" s="14">
        <v>0</v>
      </c>
      <c r="E54" s="14">
        <v>-214.96000000000004</v>
      </c>
    </row>
    <row r="55" spans="1:5" x14ac:dyDescent="0.25">
      <c r="A55" s="12" t="s">
        <v>162</v>
      </c>
      <c r="B55" s="13">
        <v>0</v>
      </c>
      <c r="C55" s="14">
        <v>-288</v>
      </c>
      <c r="D55" s="14">
        <v>0</v>
      </c>
      <c r="E55" s="14">
        <v>288</v>
      </c>
    </row>
    <row r="56" spans="1:5" x14ac:dyDescent="0.25">
      <c r="A56" s="11" t="s">
        <v>179</v>
      </c>
      <c r="B56" s="13">
        <v>3100</v>
      </c>
      <c r="C56" s="14">
        <v>2910.74</v>
      </c>
      <c r="D56" s="14">
        <v>0</v>
      </c>
      <c r="E56" s="14">
        <v>189.26</v>
      </c>
    </row>
    <row r="57" spans="1:5" x14ac:dyDescent="0.25">
      <c r="A57" s="11" t="s">
        <v>144</v>
      </c>
      <c r="B57" s="13"/>
      <c r="C57" s="14"/>
      <c r="D57" s="14"/>
      <c r="E57" s="14"/>
    </row>
    <row r="58" spans="1:5" x14ac:dyDescent="0.25">
      <c r="A58" s="12" t="s">
        <v>161</v>
      </c>
      <c r="B58" s="13">
        <v>0</v>
      </c>
      <c r="C58" s="14">
        <v>-405</v>
      </c>
      <c r="D58" s="14">
        <v>0</v>
      </c>
      <c r="E58" s="14">
        <v>405</v>
      </c>
    </row>
    <row r="59" spans="1:5" x14ac:dyDescent="0.25">
      <c r="A59" s="12" t="s">
        <v>159</v>
      </c>
      <c r="B59" s="13">
        <v>0</v>
      </c>
      <c r="C59" s="14">
        <v>216.31</v>
      </c>
      <c r="D59" s="14">
        <v>0</v>
      </c>
      <c r="E59" s="14">
        <v>-216.31</v>
      </c>
    </row>
    <row r="60" spans="1:5" x14ac:dyDescent="0.25">
      <c r="A60" s="12" t="s">
        <v>158</v>
      </c>
      <c r="B60" s="13">
        <v>9200</v>
      </c>
      <c r="C60" s="14">
        <v>9495.3599999999988</v>
      </c>
      <c r="D60" s="14">
        <v>0</v>
      </c>
      <c r="E60" s="14">
        <v>-295.35999999999967</v>
      </c>
    </row>
    <row r="61" spans="1:5" x14ac:dyDescent="0.25">
      <c r="A61" s="11" t="s">
        <v>180</v>
      </c>
      <c r="B61" s="13">
        <v>9200</v>
      </c>
      <c r="C61" s="14">
        <v>9306.6699999999983</v>
      </c>
      <c r="D61" s="14">
        <v>0</v>
      </c>
      <c r="E61" s="14">
        <v>-106.66999999999967</v>
      </c>
    </row>
    <row r="62" spans="1:5" x14ac:dyDescent="0.25">
      <c r="A62" s="11" t="s">
        <v>145</v>
      </c>
      <c r="B62" s="13"/>
      <c r="C62" s="14"/>
      <c r="D62" s="14"/>
      <c r="E62" s="14"/>
    </row>
    <row r="63" spans="1:5" x14ac:dyDescent="0.25">
      <c r="A63" s="12" t="s">
        <v>161</v>
      </c>
      <c r="B63" s="13">
        <v>0</v>
      </c>
      <c r="C63" s="14">
        <v>-1931.07</v>
      </c>
      <c r="D63" s="14">
        <v>0</v>
      </c>
      <c r="E63" s="14">
        <v>1931.07</v>
      </c>
    </row>
    <row r="64" spans="1:5" x14ac:dyDescent="0.25">
      <c r="A64" s="12" t="s">
        <v>159</v>
      </c>
      <c r="B64" s="13">
        <v>0</v>
      </c>
      <c r="C64" s="14">
        <v>3182.62</v>
      </c>
      <c r="D64" s="14">
        <v>0</v>
      </c>
      <c r="E64" s="14">
        <v>-3182.62</v>
      </c>
    </row>
    <row r="65" spans="1:5" x14ac:dyDescent="0.25">
      <c r="A65" s="12" t="s">
        <v>158</v>
      </c>
      <c r="B65" s="13">
        <v>12600</v>
      </c>
      <c r="C65" s="14">
        <v>9433.4700000000012</v>
      </c>
      <c r="D65" s="14">
        <v>0</v>
      </c>
      <c r="E65" s="14">
        <v>3166.5299999999997</v>
      </c>
    </row>
    <row r="66" spans="1:5" x14ac:dyDescent="0.25">
      <c r="A66" s="12" t="s">
        <v>160</v>
      </c>
      <c r="B66" s="13">
        <v>0</v>
      </c>
      <c r="C66" s="14">
        <v>621.5</v>
      </c>
      <c r="D66" s="14">
        <v>0</v>
      </c>
      <c r="E66" s="14">
        <v>-621.5</v>
      </c>
    </row>
    <row r="67" spans="1:5" x14ac:dyDescent="0.25">
      <c r="A67" s="11" t="s">
        <v>181</v>
      </c>
      <c r="B67" s="13">
        <v>12600</v>
      </c>
      <c r="C67" s="14">
        <v>11306.52</v>
      </c>
      <c r="D67" s="14">
        <v>0</v>
      </c>
      <c r="E67" s="14">
        <v>1293.4799999999998</v>
      </c>
    </row>
    <row r="68" spans="1:5" x14ac:dyDescent="0.25">
      <c r="A68" s="11" t="s">
        <v>146</v>
      </c>
      <c r="B68" s="13"/>
      <c r="C68" s="14"/>
      <c r="D68" s="14"/>
      <c r="E68" s="14"/>
    </row>
    <row r="69" spans="1:5" x14ac:dyDescent="0.25">
      <c r="A69" s="12" t="s">
        <v>158</v>
      </c>
      <c r="B69" s="13">
        <v>0</v>
      </c>
      <c r="C69" s="14">
        <v>2067.08</v>
      </c>
      <c r="D69" s="14">
        <v>0</v>
      </c>
      <c r="E69" s="14">
        <v>-2067.08</v>
      </c>
    </row>
    <row r="70" spans="1:5" x14ac:dyDescent="0.25">
      <c r="A70" s="12" t="s">
        <v>162</v>
      </c>
      <c r="B70" s="13">
        <v>0</v>
      </c>
      <c r="C70" s="14">
        <v>-1560</v>
      </c>
      <c r="D70" s="14">
        <v>0</v>
      </c>
      <c r="E70" s="14">
        <v>1560</v>
      </c>
    </row>
    <row r="71" spans="1:5" x14ac:dyDescent="0.25">
      <c r="A71" s="11" t="s">
        <v>182</v>
      </c>
      <c r="B71" s="13">
        <v>0</v>
      </c>
      <c r="C71" s="14">
        <v>507.07999999999993</v>
      </c>
      <c r="D71" s="14">
        <v>0</v>
      </c>
      <c r="E71" s="14">
        <v>-507.07999999999993</v>
      </c>
    </row>
    <row r="72" spans="1:5" x14ac:dyDescent="0.25">
      <c r="A72" s="11" t="s">
        <v>147</v>
      </c>
      <c r="B72" s="13"/>
      <c r="C72" s="14"/>
      <c r="D72" s="14"/>
      <c r="E72" s="14"/>
    </row>
    <row r="73" spans="1:5" x14ac:dyDescent="0.25">
      <c r="A73" s="12" t="s">
        <v>159</v>
      </c>
      <c r="B73" s="13">
        <v>0</v>
      </c>
      <c r="C73" s="14">
        <v>6697.66</v>
      </c>
      <c r="D73" s="14">
        <v>0</v>
      </c>
      <c r="E73" s="14">
        <v>-6697.66</v>
      </c>
    </row>
    <row r="74" spans="1:5" x14ac:dyDescent="0.25">
      <c r="A74" s="12" t="s">
        <v>158</v>
      </c>
      <c r="B74" s="13">
        <v>0</v>
      </c>
      <c r="C74" s="14">
        <v>542.03</v>
      </c>
      <c r="D74" s="14">
        <v>0</v>
      </c>
      <c r="E74" s="14">
        <v>-542.03</v>
      </c>
    </row>
    <row r="75" spans="1:5" x14ac:dyDescent="0.25">
      <c r="A75" s="11" t="s">
        <v>183</v>
      </c>
      <c r="B75" s="13">
        <v>0</v>
      </c>
      <c r="C75" s="14">
        <v>7239.69</v>
      </c>
      <c r="D75" s="14">
        <v>0</v>
      </c>
      <c r="E75" s="14">
        <v>-7239.69</v>
      </c>
    </row>
    <row r="76" spans="1:5" x14ac:dyDescent="0.25">
      <c r="A76" s="11" t="s">
        <v>148</v>
      </c>
      <c r="B76" s="13"/>
      <c r="C76" s="14"/>
      <c r="D76" s="14"/>
      <c r="E76" s="14"/>
    </row>
    <row r="77" spans="1:5" x14ac:dyDescent="0.25">
      <c r="A77" s="12" t="s">
        <v>161</v>
      </c>
      <c r="B77" s="13">
        <v>0</v>
      </c>
      <c r="C77" s="14">
        <v>-97</v>
      </c>
      <c r="D77" s="14">
        <v>0</v>
      </c>
      <c r="E77" s="14">
        <v>97</v>
      </c>
    </row>
    <row r="78" spans="1:5" x14ac:dyDescent="0.25">
      <c r="A78" s="12" t="s">
        <v>158</v>
      </c>
      <c r="B78" s="13">
        <v>1100</v>
      </c>
      <c r="C78" s="14">
        <v>0</v>
      </c>
      <c r="D78" s="14">
        <v>0</v>
      </c>
      <c r="E78" s="14">
        <v>1100</v>
      </c>
    </row>
    <row r="79" spans="1:5" x14ac:dyDescent="0.25">
      <c r="A79" s="11" t="s">
        <v>184</v>
      </c>
      <c r="B79" s="13">
        <v>1100</v>
      </c>
      <c r="C79" s="14">
        <v>-97</v>
      </c>
      <c r="D79" s="14">
        <v>0</v>
      </c>
      <c r="E79" s="14">
        <v>1197</v>
      </c>
    </row>
    <row r="80" spans="1:5" x14ac:dyDescent="0.25">
      <c r="A80" s="11" t="s">
        <v>149</v>
      </c>
      <c r="B80" s="13"/>
      <c r="C80" s="14"/>
      <c r="D80" s="14"/>
      <c r="E80" s="14"/>
    </row>
    <row r="81" spans="1:5" x14ac:dyDescent="0.25">
      <c r="A81" s="12" t="s">
        <v>161</v>
      </c>
      <c r="B81" s="13">
        <v>0</v>
      </c>
      <c r="C81" s="14">
        <v>-771</v>
      </c>
      <c r="D81" s="14">
        <v>0</v>
      </c>
      <c r="E81" s="14">
        <v>771</v>
      </c>
    </row>
    <row r="82" spans="1:5" x14ac:dyDescent="0.25">
      <c r="A82" s="12" t="s">
        <v>159</v>
      </c>
      <c r="B82" s="13">
        <v>0</v>
      </c>
      <c r="C82" s="14">
        <v>1412</v>
      </c>
      <c r="D82" s="14">
        <v>0</v>
      </c>
      <c r="E82" s="14">
        <v>-1412</v>
      </c>
    </row>
    <row r="83" spans="1:5" x14ac:dyDescent="0.25">
      <c r="A83" s="12" t="s">
        <v>158</v>
      </c>
      <c r="B83" s="13">
        <v>10850</v>
      </c>
      <c r="C83" s="14">
        <v>8099.54</v>
      </c>
      <c r="D83" s="14">
        <v>0</v>
      </c>
      <c r="E83" s="14">
        <v>2750.46</v>
      </c>
    </row>
    <row r="84" spans="1:5" x14ac:dyDescent="0.25">
      <c r="A84" s="12" t="s">
        <v>162</v>
      </c>
      <c r="B84" s="13">
        <v>0</v>
      </c>
      <c r="C84" s="14">
        <v>-312</v>
      </c>
      <c r="D84" s="14">
        <v>0</v>
      </c>
      <c r="E84" s="14">
        <v>312</v>
      </c>
    </row>
    <row r="85" spans="1:5" x14ac:dyDescent="0.25">
      <c r="A85" s="12" t="s">
        <v>160</v>
      </c>
      <c r="B85" s="13">
        <v>0</v>
      </c>
      <c r="C85" s="14">
        <v>148.94999999999999</v>
      </c>
      <c r="D85" s="14">
        <v>0</v>
      </c>
      <c r="E85" s="14">
        <v>-148.94999999999999</v>
      </c>
    </row>
    <row r="86" spans="1:5" x14ac:dyDescent="0.25">
      <c r="A86" s="11" t="s">
        <v>185</v>
      </c>
      <c r="B86" s="13">
        <v>10850</v>
      </c>
      <c r="C86" s="14">
        <v>8577.4900000000016</v>
      </c>
      <c r="D86" s="14">
        <v>0</v>
      </c>
      <c r="E86" s="14">
        <v>2272.5100000000002</v>
      </c>
    </row>
    <row r="87" spans="1:5" x14ac:dyDescent="0.25">
      <c r="A87" s="11" t="s">
        <v>150</v>
      </c>
      <c r="B87" s="13"/>
      <c r="C87" s="14"/>
      <c r="D87" s="14"/>
      <c r="E87" s="14"/>
    </row>
    <row r="88" spans="1:5" x14ac:dyDescent="0.25">
      <c r="A88" s="12" t="s">
        <v>158</v>
      </c>
      <c r="B88" s="13">
        <v>1000</v>
      </c>
      <c r="C88" s="14">
        <v>651.82000000000005</v>
      </c>
      <c r="D88" s="14">
        <v>0</v>
      </c>
      <c r="E88" s="14">
        <v>348.17999999999995</v>
      </c>
    </row>
    <row r="89" spans="1:5" x14ac:dyDescent="0.25">
      <c r="A89" s="11" t="s">
        <v>186</v>
      </c>
      <c r="B89" s="13">
        <v>1000</v>
      </c>
      <c r="C89" s="14">
        <v>651.82000000000005</v>
      </c>
      <c r="D89" s="14">
        <v>0</v>
      </c>
      <c r="E89" s="14">
        <v>348.17999999999995</v>
      </c>
    </row>
    <row r="90" spans="1:5" x14ac:dyDescent="0.25">
      <c r="A90" s="11" t="s">
        <v>151</v>
      </c>
      <c r="B90" s="13"/>
      <c r="C90" s="14"/>
      <c r="D90" s="14"/>
      <c r="E90" s="14"/>
    </row>
    <row r="91" spans="1:5" x14ac:dyDescent="0.25">
      <c r="A91" s="12" t="s">
        <v>158</v>
      </c>
      <c r="B91" s="13">
        <v>2450</v>
      </c>
      <c r="C91" s="14">
        <v>0</v>
      </c>
      <c r="D91" s="14">
        <v>0</v>
      </c>
      <c r="E91" s="14">
        <v>2450</v>
      </c>
    </row>
    <row r="92" spans="1:5" x14ac:dyDescent="0.25">
      <c r="A92" s="11" t="s">
        <v>187</v>
      </c>
      <c r="B92" s="13">
        <v>2450</v>
      </c>
      <c r="C92" s="14">
        <v>0</v>
      </c>
      <c r="D92" s="14">
        <v>0</v>
      </c>
      <c r="E92" s="14">
        <v>2450</v>
      </c>
    </row>
    <row r="93" spans="1:5" x14ac:dyDescent="0.25">
      <c r="A93" s="11" t="s">
        <v>152</v>
      </c>
      <c r="B93" s="13"/>
      <c r="C93" s="14"/>
      <c r="D93" s="14"/>
      <c r="E93" s="14"/>
    </row>
    <row r="94" spans="1:5" x14ac:dyDescent="0.25">
      <c r="A94" s="12" t="s">
        <v>158</v>
      </c>
      <c r="B94" s="13">
        <v>7800</v>
      </c>
      <c r="C94" s="14">
        <v>5410.4400000000005</v>
      </c>
      <c r="D94" s="14">
        <v>0</v>
      </c>
      <c r="E94" s="14">
        <v>2389.5600000000004</v>
      </c>
    </row>
    <row r="95" spans="1:5" x14ac:dyDescent="0.25">
      <c r="A95" s="12" t="s">
        <v>160</v>
      </c>
      <c r="B95" s="13">
        <v>0</v>
      </c>
      <c r="C95" s="14">
        <v>798.38</v>
      </c>
      <c r="D95" s="14">
        <v>0</v>
      </c>
      <c r="E95" s="14">
        <v>-798.38</v>
      </c>
    </row>
    <row r="96" spans="1:5" x14ac:dyDescent="0.25">
      <c r="A96" s="11" t="s">
        <v>188</v>
      </c>
      <c r="B96" s="13">
        <v>7800</v>
      </c>
      <c r="C96" s="14">
        <v>6208.8200000000006</v>
      </c>
      <c r="D96" s="14">
        <v>0</v>
      </c>
      <c r="E96" s="14">
        <v>1591.1800000000003</v>
      </c>
    </row>
    <row r="97" spans="1:5" x14ac:dyDescent="0.25">
      <c r="A97" s="11" t="s">
        <v>153</v>
      </c>
      <c r="B97" s="13"/>
      <c r="C97" s="14"/>
      <c r="D97" s="14"/>
      <c r="E97" s="14"/>
    </row>
    <row r="98" spans="1:5" x14ac:dyDescent="0.25">
      <c r="A98" s="12" t="s">
        <v>158</v>
      </c>
      <c r="B98" s="13">
        <v>4000</v>
      </c>
      <c r="C98" s="14">
        <v>2298.09</v>
      </c>
      <c r="D98" s="14">
        <v>0</v>
      </c>
      <c r="E98" s="14">
        <v>1701.9099999999999</v>
      </c>
    </row>
    <row r="99" spans="1:5" x14ac:dyDescent="0.25">
      <c r="A99" s="11" t="s">
        <v>189</v>
      </c>
      <c r="B99" s="13">
        <v>4000</v>
      </c>
      <c r="C99" s="14">
        <v>2298.09</v>
      </c>
      <c r="D99" s="14">
        <v>0</v>
      </c>
      <c r="E99" s="14">
        <v>1701.9099999999999</v>
      </c>
    </row>
    <row r="100" spans="1:5" x14ac:dyDescent="0.25">
      <c r="A100" s="11" t="s">
        <v>154</v>
      </c>
      <c r="B100" s="13"/>
      <c r="C100" s="14"/>
      <c r="D100" s="14"/>
      <c r="E100" s="14"/>
    </row>
    <row r="101" spans="1:5" x14ac:dyDescent="0.25">
      <c r="A101" s="12" t="s">
        <v>158</v>
      </c>
      <c r="B101" s="13">
        <v>5800</v>
      </c>
      <c r="C101" s="14">
        <v>0</v>
      </c>
      <c r="D101" s="14">
        <v>0</v>
      </c>
      <c r="E101" s="14">
        <v>5800</v>
      </c>
    </row>
    <row r="102" spans="1:5" x14ac:dyDescent="0.25">
      <c r="A102" s="12" t="s">
        <v>163</v>
      </c>
      <c r="B102" s="13">
        <v>0</v>
      </c>
      <c r="C102" s="14">
        <v>1461.45</v>
      </c>
      <c r="D102" s="14">
        <v>0</v>
      </c>
      <c r="E102" s="14">
        <v>-1461.45</v>
      </c>
    </row>
    <row r="103" spans="1:5" x14ac:dyDescent="0.25">
      <c r="A103" s="11" t="s">
        <v>190</v>
      </c>
      <c r="B103" s="13">
        <v>5800</v>
      </c>
      <c r="C103" s="14">
        <v>1461.45</v>
      </c>
      <c r="D103" s="14">
        <v>0</v>
      </c>
      <c r="E103" s="14">
        <v>4338.55</v>
      </c>
    </row>
    <row r="104" spans="1:5" x14ac:dyDescent="0.25">
      <c r="A104" s="11" t="s">
        <v>155</v>
      </c>
      <c r="B104" s="13"/>
      <c r="C104" s="14"/>
      <c r="D104" s="14"/>
      <c r="E104" s="14"/>
    </row>
    <row r="105" spans="1:5" x14ac:dyDescent="0.25">
      <c r="A105" s="12" t="s">
        <v>158</v>
      </c>
      <c r="B105" s="13">
        <v>0</v>
      </c>
      <c r="C105" s="14">
        <v>292.7</v>
      </c>
      <c r="D105" s="14">
        <v>0</v>
      </c>
      <c r="E105" s="14">
        <v>-292.7</v>
      </c>
    </row>
    <row r="106" spans="1:5" x14ac:dyDescent="0.25">
      <c r="A106" s="12" t="s">
        <v>163</v>
      </c>
      <c r="B106" s="13">
        <v>20100</v>
      </c>
      <c r="C106" s="14">
        <v>27153.27</v>
      </c>
      <c r="D106" s="14">
        <v>0</v>
      </c>
      <c r="E106" s="14">
        <v>-7053.2699999999995</v>
      </c>
    </row>
    <row r="107" spans="1:5" x14ac:dyDescent="0.25">
      <c r="A107" s="11" t="s">
        <v>191</v>
      </c>
      <c r="B107" s="13">
        <v>20100</v>
      </c>
      <c r="C107" s="14">
        <v>27445.97</v>
      </c>
      <c r="D107" s="14">
        <v>0</v>
      </c>
      <c r="E107" s="14">
        <v>-7345.9699999999993</v>
      </c>
    </row>
    <row r="108" spans="1:5" x14ac:dyDescent="0.25">
      <c r="A108" s="11" t="s">
        <v>156</v>
      </c>
      <c r="B108" s="13"/>
      <c r="C108" s="14"/>
      <c r="D108" s="14"/>
      <c r="E108" s="14"/>
    </row>
    <row r="109" spans="1:5" x14ac:dyDescent="0.25">
      <c r="A109" s="12" t="s">
        <v>158</v>
      </c>
      <c r="B109" s="13">
        <v>12800</v>
      </c>
      <c r="C109" s="14">
        <v>5139.71</v>
      </c>
      <c r="D109" s="14">
        <v>0</v>
      </c>
      <c r="E109" s="14">
        <v>7660.2900000000009</v>
      </c>
    </row>
    <row r="110" spans="1:5" x14ac:dyDescent="0.25">
      <c r="A110" s="11" t="s">
        <v>192</v>
      </c>
      <c r="B110" s="13">
        <v>12800</v>
      </c>
      <c r="C110" s="14">
        <v>5139.71</v>
      </c>
      <c r="D110" s="14">
        <v>0</v>
      </c>
      <c r="E110" s="14">
        <v>7660.2900000000009</v>
      </c>
    </row>
    <row r="111" spans="1:5" x14ac:dyDescent="0.25">
      <c r="A111" s="11" t="s">
        <v>199</v>
      </c>
      <c r="B111" s="13"/>
      <c r="C111" s="14"/>
      <c r="D111" s="14"/>
      <c r="E111" s="14"/>
    </row>
    <row r="112" spans="1:5" x14ac:dyDescent="0.25">
      <c r="A112" s="12" t="s">
        <v>162</v>
      </c>
      <c r="B112" s="13">
        <v>0</v>
      </c>
      <c r="C112" s="14">
        <v>-62220.830000000009</v>
      </c>
      <c r="D112" s="14">
        <v>0</v>
      </c>
      <c r="E112" s="14">
        <v>62220.830000000009</v>
      </c>
    </row>
    <row r="113" spans="1:5" x14ac:dyDescent="0.25">
      <c r="A113" s="12" t="s">
        <v>200</v>
      </c>
      <c r="B113" s="13">
        <v>0</v>
      </c>
      <c r="C113" s="14">
        <v>-19400</v>
      </c>
      <c r="D113" s="14">
        <v>0</v>
      </c>
      <c r="E113" s="14">
        <v>19400</v>
      </c>
    </row>
    <row r="114" spans="1:5" x14ac:dyDescent="0.25">
      <c r="A114" s="11" t="s">
        <v>201</v>
      </c>
      <c r="B114" s="13">
        <v>0</v>
      </c>
      <c r="C114" s="14">
        <v>-81620.830000000016</v>
      </c>
      <c r="D114" s="14">
        <v>0</v>
      </c>
      <c r="E114" s="14">
        <v>81620.830000000016</v>
      </c>
    </row>
    <row r="115" spans="1:5" x14ac:dyDescent="0.25">
      <c r="A115" s="11" t="s">
        <v>157</v>
      </c>
      <c r="B115" s="13">
        <v>155100</v>
      </c>
      <c r="C115" s="14">
        <v>-67745.349999999991</v>
      </c>
      <c r="D115" s="14">
        <v>0</v>
      </c>
      <c r="E115" s="14">
        <v>222845.35000000009</v>
      </c>
    </row>
  </sheetData>
  <printOptions horizontalCentered="1"/>
  <pageMargins left="0" right="0" top="0.45" bottom="0.51" header="0.17" footer="0.2"/>
  <pageSetup orientation="portrait" r:id="rId2"/>
  <headerFooter>
    <oddFooter>Page &amp;P of &amp;N</oddFooter>
  </headerFooter>
  <rowBreaks count="1" manualBreakCount="1">
    <brk id="9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32"/>
  <sheetViews>
    <sheetView workbookViewId="0">
      <pane ySplit="1" topLeftCell="A2" activePane="bottomLeft" state="frozen"/>
      <selection pane="bottomLeft" sqref="A1:B2"/>
    </sheetView>
  </sheetViews>
  <sheetFormatPr defaultColWidth="8" defaultRowHeight="11.25" x14ac:dyDescent="0.2"/>
  <cols>
    <col min="1" max="1" width="24.42578125" style="9" bestFit="1" customWidth="1"/>
    <col min="2" max="2" width="14.85546875" style="7" bestFit="1" customWidth="1"/>
    <col min="3" max="3" width="5" style="6" customWidth="1"/>
    <col min="4" max="4" width="6" style="7" customWidth="1"/>
    <col min="5" max="5" width="6.140625" style="7" customWidth="1"/>
    <col min="6" max="6" width="6.28515625" style="7" customWidth="1"/>
    <col min="7" max="7" width="7" style="7" customWidth="1"/>
    <col min="8" max="8" width="4.7109375" style="7" customWidth="1"/>
    <col min="9" max="9" width="6" style="7" customWidth="1"/>
    <col min="10" max="10" width="7.28515625" style="7" customWidth="1"/>
    <col min="11" max="11" width="10.28515625" style="8" customWidth="1"/>
    <col min="12" max="12" width="11.85546875" style="7" customWidth="1"/>
    <col min="13" max="13" width="10.42578125" style="7" customWidth="1"/>
    <col min="14" max="14" width="11" style="7" customWidth="1"/>
    <col min="15" max="15" width="11.7109375" style="7" customWidth="1"/>
    <col min="16" max="16" width="25.7109375" style="7" customWidth="1"/>
    <col min="17" max="16384" width="8" style="9"/>
  </cols>
  <sheetData>
    <row r="1" spans="1:255" s="5" customFormat="1" ht="13.5" x14ac:dyDescent="0.35">
      <c r="A1" s="5" t="s">
        <v>129</v>
      </c>
      <c r="B1" s="1" t="s">
        <v>128</v>
      </c>
      <c r="C1" s="2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3" t="s">
        <v>8</v>
      </c>
      <c r="L1" s="1" t="s">
        <v>9</v>
      </c>
      <c r="M1" s="1" t="s">
        <v>10</v>
      </c>
      <c r="N1" s="1" t="s">
        <v>166</v>
      </c>
      <c r="O1" s="1" t="s">
        <v>11</v>
      </c>
      <c r="P1" s="1" t="s">
        <v>12</v>
      </c>
      <c r="Q1" s="4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</row>
    <row r="2" spans="1:255" x14ac:dyDescent="0.2">
      <c r="A2" s="9" t="str">
        <f t="shared" ref="A2:A33" si="0">F2&amp;"-"&amp;P2</f>
        <v>4218-ASA-TECHNOLOGY</v>
      </c>
      <c r="B2" s="7" t="str">
        <f t="shared" ref="B2:B33" si="1">IF(OR(LEFT(I2,2)="09",LEFT(I2,2)="07"),"Carryforward",IF(LEFT(I2,2)="04","Revenue",IF(OR(LEFT(I2,2)="06",LEFT(G2)="T"),"Transfers",IF(OR(LEFT(G2)="A",LEFT(G2)="B"),"Salary &amp; Benefits",IF(OR(LEFT(G2)="E",LEFT(G2)="C",LEFT(G2)="N"),"Goods &amp; Services",IF(LEFT(G2)="G", "Travel",IF(OR(LEFT(G2)="J",LEFT(G2)="K"),"Equipment","N/A")))))))</f>
        <v>Goods &amp; Services</v>
      </c>
      <c r="C2" s="6" t="s">
        <v>13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18</v>
      </c>
      <c r="I2" s="7" t="s">
        <v>18</v>
      </c>
      <c r="J2" s="7" t="s">
        <v>18</v>
      </c>
      <c r="K2" s="8">
        <v>12000</v>
      </c>
      <c r="L2" s="7">
        <v>0</v>
      </c>
      <c r="M2" s="7">
        <v>0</v>
      </c>
      <c r="N2" s="7">
        <v>12000</v>
      </c>
      <c r="O2" s="7">
        <v>0</v>
      </c>
      <c r="P2" s="7" t="s">
        <v>19</v>
      </c>
    </row>
    <row r="3" spans="1:255" x14ac:dyDescent="0.2">
      <c r="A3" s="9" t="str">
        <f t="shared" si="0"/>
        <v>4221-STUDENT SUPPORT CTRS</v>
      </c>
      <c r="B3" s="7" t="str">
        <f t="shared" si="1"/>
        <v>Goods &amp; Services</v>
      </c>
      <c r="C3" s="6" t="s">
        <v>13</v>
      </c>
      <c r="D3" s="7" t="s">
        <v>14</v>
      </c>
      <c r="E3" s="7" t="s">
        <v>15</v>
      </c>
      <c r="F3" s="7" t="s">
        <v>20</v>
      </c>
      <c r="G3" s="7" t="s">
        <v>17</v>
      </c>
      <c r="H3" s="7" t="s">
        <v>18</v>
      </c>
      <c r="I3" s="7" t="s">
        <v>18</v>
      </c>
      <c r="J3" s="7" t="s">
        <v>18</v>
      </c>
      <c r="K3" s="8">
        <v>20000</v>
      </c>
      <c r="L3" s="7">
        <v>0</v>
      </c>
      <c r="M3" s="7">
        <v>0</v>
      </c>
      <c r="N3" s="7">
        <v>20000</v>
      </c>
      <c r="O3" s="7">
        <v>0</v>
      </c>
      <c r="P3" s="7" t="s">
        <v>21</v>
      </c>
    </row>
    <row r="4" spans="1:255" x14ac:dyDescent="0.2">
      <c r="A4" s="9" t="str">
        <f t="shared" si="0"/>
        <v>4221-STUDENT SUPPORT CTRS</v>
      </c>
      <c r="B4" s="7" t="str">
        <f t="shared" si="1"/>
        <v>Goods &amp; Services</v>
      </c>
      <c r="C4" s="6" t="s">
        <v>13</v>
      </c>
      <c r="D4" s="7" t="s">
        <v>14</v>
      </c>
      <c r="E4" s="7" t="s">
        <v>15</v>
      </c>
      <c r="F4" s="7" t="s">
        <v>20</v>
      </c>
      <c r="G4" s="7" t="s">
        <v>22</v>
      </c>
      <c r="H4" s="7" t="s">
        <v>23</v>
      </c>
      <c r="I4" s="7" t="s">
        <v>18</v>
      </c>
      <c r="J4" s="7" t="s">
        <v>18</v>
      </c>
      <c r="K4" s="8">
        <v>0</v>
      </c>
      <c r="L4" s="7">
        <v>1414.98</v>
      </c>
      <c r="M4" s="7">
        <v>0</v>
      </c>
      <c r="N4" s="7">
        <v>-1414.98</v>
      </c>
      <c r="O4" s="7">
        <v>0</v>
      </c>
      <c r="P4" s="7" t="s">
        <v>21</v>
      </c>
    </row>
    <row r="5" spans="1:255" x14ac:dyDescent="0.2">
      <c r="A5" s="9" t="str">
        <f t="shared" si="0"/>
        <v>4221-STUDENT SUPPORT CTRS</v>
      </c>
      <c r="B5" s="7" t="str">
        <f t="shared" si="1"/>
        <v>Equipment</v>
      </c>
      <c r="C5" s="6" t="s">
        <v>13</v>
      </c>
      <c r="D5" s="7" t="s">
        <v>14</v>
      </c>
      <c r="E5" s="7" t="s">
        <v>15</v>
      </c>
      <c r="F5" s="7" t="s">
        <v>20</v>
      </c>
      <c r="G5" s="7" t="s">
        <v>24</v>
      </c>
      <c r="H5" s="7" t="s">
        <v>23</v>
      </c>
      <c r="I5" s="7" t="s">
        <v>18</v>
      </c>
      <c r="J5" s="7" t="s">
        <v>18</v>
      </c>
      <c r="K5" s="8">
        <v>0</v>
      </c>
      <c r="L5" s="7">
        <v>7642.7</v>
      </c>
      <c r="M5" s="7">
        <v>0</v>
      </c>
      <c r="N5" s="7">
        <v>-7642.7</v>
      </c>
      <c r="O5" s="7">
        <v>0</v>
      </c>
      <c r="P5" s="7" t="s">
        <v>21</v>
      </c>
    </row>
    <row r="6" spans="1:255" x14ac:dyDescent="0.2">
      <c r="A6" s="9" t="str">
        <f t="shared" si="0"/>
        <v>4223-MAGNUSN STDNT LOUNGE</v>
      </c>
      <c r="B6" s="7" t="str">
        <f t="shared" si="1"/>
        <v>Goods &amp; Services</v>
      </c>
      <c r="C6" s="6" t="s">
        <v>13</v>
      </c>
      <c r="D6" s="7" t="s">
        <v>14</v>
      </c>
      <c r="E6" s="7" t="s">
        <v>15</v>
      </c>
      <c r="F6" s="7" t="s">
        <v>26</v>
      </c>
      <c r="G6" s="7" t="s">
        <v>28</v>
      </c>
      <c r="H6" s="7" t="s">
        <v>23</v>
      </c>
      <c r="I6" s="7" t="s">
        <v>18</v>
      </c>
      <c r="J6" s="7" t="s">
        <v>18</v>
      </c>
      <c r="K6" s="8">
        <v>0</v>
      </c>
      <c r="L6" s="7">
        <v>129.36000000000001</v>
      </c>
      <c r="M6" s="7">
        <v>0</v>
      </c>
      <c r="N6" s="7">
        <v>-129.36000000000001</v>
      </c>
      <c r="O6" s="7">
        <v>0</v>
      </c>
      <c r="P6" s="7" t="s">
        <v>27</v>
      </c>
    </row>
    <row r="7" spans="1:255" x14ac:dyDescent="0.2">
      <c r="A7" s="9" t="str">
        <f t="shared" si="0"/>
        <v>4225-STUDENT BUILDING FND</v>
      </c>
      <c r="B7" s="7" t="str">
        <f t="shared" si="1"/>
        <v>Goods &amp; Services</v>
      </c>
      <c r="C7" s="6" t="s">
        <v>13</v>
      </c>
      <c r="D7" s="7" t="s">
        <v>14</v>
      </c>
      <c r="E7" s="7" t="s">
        <v>15</v>
      </c>
      <c r="F7" s="7" t="s">
        <v>29</v>
      </c>
      <c r="G7" s="7" t="s">
        <v>17</v>
      </c>
      <c r="H7" s="7" t="s">
        <v>18</v>
      </c>
      <c r="I7" s="7" t="s">
        <v>18</v>
      </c>
      <c r="J7" s="7" t="s">
        <v>18</v>
      </c>
      <c r="K7" s="8">
        <v>4100</v>
      </c>
      <c r="L7" s="7">
        <v>0</v>
      </c>
      <c r="M7" s="7">
        <v>0</v>
      </c>
      <c r="N7" s="7">
        <v>4100</v>
      </c>
      <c r="O7" s="7">
        <v>0</v>
      </c>
      <c r="P7" s="7" t="s">
        <v>30</v>
      </c>
    </row>
    <row r="8" spans="1:255" x14ac:dyDescent="0.2">
      <c r="A8" s="9" t="str">
        <f t="shared" si="0"/>
        <v>4383-S&amp;A FINANCIAL AID</v>
      </c>
      <c r="B8" s="7" t="str">
        <f t="shared" si="1"/>
        <v>Carryforward</v>
      </c>
      <c r="C8" s="6" t="s">
        <v>13</v>
      </c>
      <c r="D8" s="7" t="s">
        <v>14</v>
      </c>
      <c r="E8" s="7" t="s">
        <v>15</v>
      </c>
      <c r="F8" s="7" t="s">
        <v>31</v>
      </c>
      <c r="G8" s="7" t="s">
        <v>18</v>
      </c>
      <c r="H8" s="7" t="s">
        <v>18</v>
      </c>
      <c r="I8" s="7" t="s">
        <v>45</v>
      </c>
      <c r="J8" s="7" t="s">
        <v>18</v>
      </c>
      <c r="K8" s="8">
        <v>0</v>
      </c>
      <c r="L8" s="7">
        <v>-11498.69</v>
      </c>
      <c r="M8" s="7">
        <v>0</v>
      </c>
      <c r="N8" s="7">
        <v>11498.69</v>
      </c>
      <c r="O8" s="7">
        <v>0</v>
      </c>
      <c r="P8" s="7" t="s">
        <v>34</v>
      </c>
    </row>
    <row r="9" spans="1:255" x14ac:dyDescent="0.2">
      <c r="A9" s="9" t="str">
        <f t="shared" si="0"/>
        <v>4383-S&amp;A FINANCIAL AID</v>
      </c>
      <c r="B9" s="7" t="str">
        <f t="shared" si="1"/>
        <v>Revenue</v>
      </c>
      <c r="C9" s="6" t="s">
        <v>13</v>
      </c>
      <c r="D9" s="7" t="s">
        <v>14</v>
      </c>
      <c r="E9" s="7" t="s">
        <v>15</v>
      </c>
      <c r="F9" s="7" t="s">
        <v>31</v>
      </c>
      <c r="G9" s="7" t="s">
        <v>18</v>
      </c>
      <c r="H9" s="7" t="s">
        <v>18</v>
      </c>
      <c r="I9" s="7" t="s">
        <v>32</v>
      </c>
      <c r="J9" s="7" t="s">
        <v>43</v>
      </c>
      <c r="K9" s="8">
        <v>0</v>
      </c>
      <c r="L9" s="7">
        <v>-2830.89</v>
      </c>
      <c r="M9" s="7">
        <v>0</v>
      </c>
      <c r="N9" s="7">
        <v>2830.89</v>
      </c>
      <c r="O9" s="7">
        <v>0</v>
      </c>
      <c r="P9" s="7" t="s">
        <v>34</v>
      </c>
    </row>
    <row r="10" spans="1:255" x14ac:dyDescent="0.2">
      <c r="A10" s="9" t="str">
        <f t="shared" si="0"/>
        <v>4383-S&amp;A FINANCIAL AID</v>
      </c>
      <c r="B10" s="7" t="str">
        <f t="shared" si="1"/>
        <v>Revenue</v>
      </c>
      <c r="C10" s="6" t="s">
        <v>13</v>
      </c>
      <c r="D10" s="7" t="s">
        <v>14</v>
      </c>
      <c r="E10" s="7" t="s">
        <v>15</v>
      </c>
      <c r="F10" s="7" t="s">
        <v>31</v>
      </c>
      <c r="G10" s="7" t="s">
        <v>18</v>
      </c>
      <c r="H10" s="7" t="s">
        <v>18</v>
      </c>
      <c r="I10" s="7" t="s">
        <v>32</v>
      </c>
      <c r="J10" s="7" t="s">
        <v>38</v>
      </c>
      <c r="K10" s="8">
        <v>0</v>
      </c>
      <c r="L10" s="7">
        <v>-332.43</v>
      </c>
      <c r="M10" s="7">
        <v>0</v>
      </c>
      <c r="N10" s="7">
        <v>332.43</v>
      </c>
      <c r="O10" s="7">
        <v>0</v>
      </c>
      <c r="P10" s="7" t="s">
        <v>34</v>
      </c>
    </row>
    <row r="11" spans="1:255" x14ac:dyDescent="0.2">
      <c r="A11" s="9" t="str">
        <f t="shared" si="0"/>
        <v>4383-S&amp;A FINANCIAL AID</v>
      </c>
      <c r="B11" s="7" t="str">
        <f t="shared" si="1"/>
        <v>Revenue</v>
      </c>
      <c r="C11" s="6" t="s">
        <v>13</v>
      </c>
      <c r="D11" s="7" t="s">
        <v>14</v>
      </c>
      <c r="E11" s="7" t="s">
        <v>15</v>
      </c>
      <c r="F11" s="7" t="s">
        <v>31</v>
      </c>
      <c r="G11" s="7" t="s">
        <v>18</v>
      </c>
      <c r="H11" s="7" t="s">
        <v>18</v>
      </c>
      <c r="I11" s="7" t="s">
        <v>32</v>
      </c>
      <c r="J11" s="7" t="s">
        <v>39</v>
      </c>
      <c r="K11" s="8">
        <v>0</v>
      </c>
      <c r="L11" s="7">
        <v>-286.86</v>
      </c>
      <c r="M11" s="7">
        <v>0</v>
      </c>
      <c r="N11" s="7">
        <v>286.86</v>
      </c>
      <c r="O11" s="7">
        <v>0</v>
      </c>
      <c r="P11" s="7" t="s">
        <v>34</v>
      </c>
    </row>
    <row r="12" spans="1:255" x14ac:dyDescent="0.2">
      <c r="A12" s="9" t="str">
        <f t="shared" si="0"/>
        <v>4383-S&amp;A FINANCIAL AID</v>
      </c>
      <c r="B12" s="7" t="str">
        <f t="shared" si="1"/>
        <v>Revenue</v>
      </c>
      <c r="C12" s="6" t="s">
        <v>13</v>
      </c>
      <c r="D12" s="7" t="s">
        <v>14</v>
      </c>
      <c r="E12" s="7" t="s">
        <v>15</v>
      </c>
      <c r="F12" s="7" t="s">
        <v>31</v>
      </c>
      <c r="G12" s="7" t="s">
        <v>18</v>
      </c>
      <c r="H12" s="7" t="s">
        <v>18</v>
      </c>
      <c r="I12" s="7" t="s">
        <v>32</v>
      </c>
      <c r="J12" s="7" t="s">
        <v>42</v>
      </c>
      <c r="K12" s="8">
        <v>0</v>
      </c>
      <c r="L12" s="7">
        <v>-64.59</v>
      </c>
      <c r="M12" s="7">
        <v>0</v>
      </c>
      <c r="N12" s="7">
        <v>64.59</v>
      </c>
      <c r="O12" s="7">
        <v>0</v>
      </c>
      <c r="P12" s="7" t="s">
        <v>34</v>
      </c>
    </row>
    <row r="13" spans="1:255" x14ac:dyDescent="0.2">
      <c r="A13" s="9" t="str">
        <f t="shared" si="0"/>
        <v>4383-S&amp;A FINANCIAL AID</v>
      </c>
      <c r="B13" s="7" t="str">
        <f t="shared" si="1"/>
        <v>Revenue</v>
      </c>
      <c r="C13" s="6" t="s">
        <v>13</v>
      </c>
      <c r="D13" s="7" t="s">
        <v>14</v>
      </c>
      <c r="E13" s="7" t="s">
        <v>15</v>
      </c>
      <c r="F13" s="7" t="s">
        <v>31</v>
      </c>
      <c r="G13" s="7" t="s">
        <v>18</v>
      </c>
      <c r="H13" s="7" t="s">
        <v>18</v>
      </c>
      <c r="I13" s="7" t="s">
        <v>32</v>
      </c>
      <c r="J13" s="7" t="s">
        <v>41</v>
      </c>
      <c r="K13" s="8">
        <v>0</v>
      </c>
      <c r="L13" s="7">
        <v>-42.14</v>
      </c>
      <c r="M13" s="7">
        <v>0</v>
      </c>
      <c r="N13" s="7">
        <v>42.14</v>
      </c>
      <c r="O13" s="7">
        <v>0</v>
      </c>
      <c r="P13" s="7" t="s">
        <v>34</v>
      </c>
    </row>
    <row r="14" spans="1:255" x14ac:dyDescent="0.2">
      <c r="A14" s="9" t="str">
        <f t="shared" si="0"/>
        <v>4383-S&amp;A FINANCIAL AID</v>
      </c>
      <c r="B14" s="7" t="str">
        <f t="shared" si="1"/>
        <v>Revenue</v>
      </c>
      <c r="C14" s="6" t="s">
        <v>13</v>
      </c>
      <c r="D14" s="7" t="s">
        <v>14</v>
      </c>
      <c r="E14" s="7" t="s">
        <v>15</v>
      </c>
      <c r="F14" s="7" t="s">
        <v>31</v>
      </c>
      <c r="G14" s="7" t="s">
        <v>18</v>
      </c>
      <c r="H14" s="7" t="s">
        <v>18</v>
      </c>
      <c r="I14" s="7" t="s">
        <v>32</v>
      </c>
      <c r="J14" s="7" t="s">
        <v>35</v>
      </c>
      <c r="K14" s="8">
        <v>0</v>
      </c>
      <c r="L14" s="7">
        <v>-12.47</v>
      </c>
      <c r="M14" s="7">
        <v>0</v>
      </c>
      <c r="N14" s="7">
        <v>12.47</v>
      </c>
      <c r="O14" s="7">
        <v>0</v>
      </c>
      <c r="P14" s="7" t="s">
        <v>34</v>
      </c>
    </row>
    <row r="15" spans="1:255" x14ac:dyDescent="0.2">
      <c r="A15" s="9" t="str">
        <f t="shared" si="0"/>
        <v>4383-S&amp;A FINANCIAL AID</v>
      </c>
      <c r="B15" s="7" t="str">
        <f t="shared" si="1"/>
        <v>Revenue</v>
      </c>
      <c r="C15" s="6" t="s">
        <v>13</v>
      </c>
      <c r="D15" s="7" t="s">
        <v>14</v>
      </c>
      <c r="E15" s="7" t="s">
        <v>15</v>
      </c>
      <c r="F15" s="7" t="s">
        <v>31</v>
      </c>
      <c r="G15" s="7" t="s">
        <v>18</v>
      </c>
      <c r="H15" s="7" t="s">
        <v>18</v>
      </c>
      <c r="I15" s="7" t="s">
        <v>32</v>
      </c>
      <c r="J15" s="7" t="s">
        <v>40</v>
      </c>
      <c r="K15" s="8">
        <v>0</v>
      </c>
      <c r="L15" s="7">
        <v>-11.73</v>
      </c>
      <c r="M15" s="7">
        <v>0</v>
      </c>
      <c r="N15" s="7">
        <v>11.73</v>
      </c>
      <c r="O15" s="7">
        <v>0</v>
      </c>
      <c r="P15" s="7" t="s">
        <v>34</v>
      </c>
    </row>
    <row r="16" spans="1:255" x14ac:dyDescent="0.2">
      <c r="A16" s="9" t="str">
        <f t="shared" si="0"/>
        <v>4383-S&amp;A FINANCIAL AID</v>
      </c>
      <c r="B16" s="7" t="str">
        <f t="shared" si="1"/>
        <v>Revenue</v>
      </c>
      <c r="C16" s="6" t="s">
        <v>13</v>
      </c>
      <c r="D16" s="7" t="s">
        <v>14</v>
      </c>
      <c r="E16" s="7" t="s">
        <v>15</v>
      </c>
      <c r="F16" s="7" t="s">
        <v>31</v>
      </c>
      <c r="G16" s="7" t="s">
        <v>18</v>
      </c>
      <c r="H16" s="7" t="s">
        <v>18</v>
      </c>
      <c r="I16" s="7" t="s">
        <v>32</v>
      </c>
      <c r="J16" s="7" t="s">
        <v>33</v>
      </c>
      <c r="K16" s="8">
        <v>0</v>
      </c>
      <c r="L16" s="7">
        <v>-6.49</v>
      </c>
      <c r="M16" s="7">
        <v>0</v>
      </c>
      <c r="N16" s="7">
        <v>6.49</v>
      </c>
      <c r="O16" s="7">
        <v>0</v>
      </c>
      <c r="P16" s="7" t="s">
        <v>34</v>
      </c>
    </row>
    <row r="17" spans="1:17" x14ac:dyDescent="0.2">
      <c r="A17" s="9" t="str">
        <f t="shared" si="0"/>
        <v>4383-S&amp;A FINANCIAL AID</v>
      </c>
      <c r="B17" s="7" t="str">
        <f t="shared" si="1"/>
        <v>Revenue</v>
      </c>
      <c r="C17" s="6" t="s">
        <v>13</v>
      </c>
      <c r="D17" s="7" t="s">
        <v>14</v>
      </c>
      <c r="E17" s="7" t="s">
        <v>15</v>
      </c>
      <c r="F17" s="7" t="s">
        <v>31</v>
      </c>
      <c r="G17" s="7" t="s">
        <v>18</v>
      </c>
      <c r="H17" s="7" t="s">
        <v>18</v>
      </c>
      <c r="I17" s="7" t="s">
        <v>32</v>
      </c>
      <c r="J17" s="7" t="s">
        <v>37</v>
      </c>
      <c r="K17" s="8">
        <v>0</v>
      </c>
      <c r="L17" s="7">
        <v>-1.48</v>
      </c>
      <c r="M17" s="7">
        <v>0</v>
      </c>
      <c r="N17" s="7">
        <v>1.48</v>
      </c>
      <c r="O17" s="7">
        <v>0</v>
      </c>
      <c r="P17" s="7" t="s">
        <v>34</v>
      </c>
    </row>
    <row r="18" spans="1:17" x14ac:dyDescent="0.2">
      <c r="A18" s="9" t="str">
        <f t="shared" si="0"/>
        <v>4383-S&amp;A FINANCIAL AID</v>
      </c>
      <c r="B18" s="7" t="str">
        <f t="shared" si="1"/>
        <v>Revenue</v>
      </c>
      <c r="C18" s="6" t="s">
        <v>13</v>
      </c>
      <c r="D18" s="7" t="s">
        <v>14</v>
      </c>
      <c r="E18" s="7" t="s">
        <v>15</v>
      </c>
      <c r="F18" s="7" t="s">
        <v>31</v>
      </c>
      <c r="G18" s="7" t="s">
        <v>18</v>
      </c>
      <c r="H18" s="7" t="s">
        <v>18</v>
      </c>
      <c r="I18" s="7" t="s">
        <v>32</v>
      </c>
      <c r="J18" s="7" t="s">
        <v>36</v>
      </c>
      <c r="K18" s="8">
        <v>0</v>
      </c>
      <c r="L18" s="7">
        <v>-1.18</v>
      </c>
      <c r="M18" s="7">
        <v>0</v>
      </c>
      <c r="N18" s="7">
        <v>1.18</v>
      </c>
      <c r="O18" s="7">
        <v>0</v>
      </c>
      <c r="P18" s="7" t="s">
        <v>34</v>
      </c>
    </row>
    <row r="19" spans="1:17" x14ac:dyDescent="0.2">
      <c r="A19" s="9" t="str">
        <f t="shared" si="0"/>
        <v>4405-IEL BUS PASS MATCH</v>
      </c>
      <c r="B19" s="7" t="str">
        <f t="shared" si="1"/>
        <v>Goods &amp; Services</v>
      </c>
      <c r="C19" s="6" t="s">
        <v>13</v>
      </c>
      <c r="D19" s="7" t="s">
        <v>14</v>
      </c>
      <c r="E19" s="7" t="s">
        <v>15</v>
      </c>
      <c r="F19" s="7" t="s">
        <v>46</v>
      </c>
      <c r="G19" s="7" t="s">
        <v>17</v>
      </c>
      <c r="H19" s="7" t="s">
        <v>18</v>
      </c>
      <c r="I19" s="7" t="s">
        <v>18</v>
      </c>
      <c r="J19" s="7" t="s">
        <v>18</v>
      </c>
      <c r="K19" s="8">
        <v>5600</v>
      </c>
      <c r="L19" s="7">
        <v>0</v>
      </c>
      <c r="M19" s="7">
        <v>0</v>
      </c>
      <c r="N19" s="7">
        <v>5600</v>
      </c>
      <c r="O19" s="7">
        <v>0</v>
      </c>
      <c r="P19" s="7" t="s">
        <v>47</v>
      </c>
    </row>
    <row r="20" spans="1:17" x14ac:dyDescent="0.2">
      <c r="A20" s="9" t="str">
        <f t="shared" si="0"/>
        <v>4405-IEL BUS PASS MATCH</v>
      </c>
      <c r="B20" s="7" t="str">
        <f t="shared" si="1"/>
        <v>Goods &amp; Services</v>
      </c>
      <c r="C20" s="6" t="s">
        <v>13</v>
      </c>
      <c r="D20" s="7" t="s">
        <v>14</v>
      </c>
      <c r="E20" s="7" t="s">
        <v>15</v>
      </c>
      <c r="F20" s="7" t="s">
        <v>46</v>
      </c>
      <c r="G20" s="7" t="s">
        <v>48</v>
      </c>
      <c r="H20" s="7" t="s">
        <v>49</v>
      </c>
      <c r="I20" s="7" t="s">
        <v>18</v>
      </c>
      <c r="J20" s="7" t="s">
        <v>18</v>
      </c>
      <c r="K20" s="8">
        <v>0</v>
      </c>
      <c r="L20" s="7">
        <v>7076</v>
      </c>
      <c r="M20" s="7">
        <v>0</v>
      </c>
      <c r="N20" s="7">
        <v>-7076</v>
      </c>
      <c r="O20" s="7">
        <v>0</v>
      </c>
      <c r="P20" s="7" t="s">
        <v>47</v>
      </c>
    </row>
    <row r="21" spans="1:17" x14ac:dyDescent="0.2">
      <c r="A21" s="9" t="str">
        <f t="shared" si="0"/>
        <v>4406-BUS TICKET CLEARING</v>
      </c>
      <c r="B21" s="7" t="str">
        <f t="shared" si="1"/>
        <v>Revenue</v>
      </c>
      <c r="C21" s="6" t="s">
        <v>13</v>
      </c>
      <c r="D21" s="7" t="s">
        <v>14</v>
      </c>
      <c r="E21" s="7" t="s">
        <v>15</v>
      </c>
      <c r="F21" s="7" t="s">
        <v>50</v>
      </c>
      <c r="G21" s="7" t="s">
        <v>18</v>
      </c>
      <c r="H21" s="7" t="s">
        <v>18</v>
      </c>
      <c r="I21" s="7" t="s">
        <v>51</v>
      </c>
      <c r="J21" s="7" t="s">
        <v>53</v>
      </c>
      <c r="K21" s="8">
        <v>0</v>
      </c>
      <c r="L21" s="7">
        <v>-290</v>
      </c>
      <c r="M21" s="7">
        <v>0</v>
      </c>
      <c r="N21" s="7">
        <v>290</v>
      </c>
      <c r="O21" s="7">
        <v>0</v>
      </c>
      <c r="P21" s="7" t="s">
        <v>52</v>
      </c>
    </row>
    <row r="22" spans="1:17" x14ac:dyDescent="0.2">
      <c r="A22" s="9" t="str">
        <f t="shared" si="0"/>
        <v>4406-BUS TICKET CLEARING</v>
      </c>
      <c r="B22" s="7" t="str">
        <f t="shared" si="1"/>
        <v>Revenue</v>
      </c>
      <c r="C22" s="6" t="s">
        <v>13</v>
      </c>
      <c r="D22" s="7" t="s">
        <v>14</v>
      </c>
      <c r="E22" s="7" t="s">
        <v>15</v>
      </c>
      <c r="F22" s="7" t="s">
        <v>50</v>
      </c>
      <c r="G22" s="7" t="s">
        <v>18</v>
      </c>
      <c r="H22" s="7" t="s">
        <v>18</v>
      </c>
      <c r="I22" s="7" t="s">
        <v>51</v>
      </c>
      <c r="J22" s="7" t="s">
        <v>18</v>
      </c>
      <c r="K22" s="8">
        <v>0</v>
      </c>
      <c r="L22" s="7">
        <v>290</v>
      </c>
      <c r="M22" s="7">
        <v>0</v>
      </c>
      <c r="N22" s="7">
        <v>-290</v>
      </c>
      <c r="O22" s="7">
        <v>0</v>
      </c>
      <c r="P22" s="7" t="s">
        <v>52</v>
      </c>
    </row>
    <row r="23" spans="1:17" x14ac:dyDescent="0.2">
      <c r="A23" s="9" t="str">
        <f t="shared" si="0"/>
        <v>4409-ASA CLUB ADVISORS</v>
      </c>
      <c r="B23" s="7" t="str">
        <f t="shared" si="1"/>
        <v>Salary &amp; Benefits</v>
      </c>
      <c r="C23" s="6" t="s">
        <v>13</v>
      </c>
      <c r="D23" s="7" t="s">
        <v>14</v>
      </c>
      <c r="E23" s="7" t="s">
        <v>15</v>
      </c>
      <c r="F23" s="7" t="s">
        <v>54</v>
      </c>
      <c r="G23" s="7" t="s">
        <v>55</v>
      </c>
      <c r="H23" s="7" t="s">
        <v>56</v>
      </c>
      <c r="I23" s="7" t="s">
        <v>18</v>
      </c>
      <c r="J23" s="7" t="s">
        <v>18</v>
      </c>
      <c r="K23" s="8">
        <v>12269</v>
      </c>
      <c r="L23" s="7">
        <v>14766</v>
      </c>
      <c r="M23" s="7">
        <v>0</v>
      </c>
      <c r="N23" s="7">
        <v>-2497</v>
      </c>
      <c r="O23" s="7">
        <v>0</v>
      </c>
      <c r="P23" s="7" t="s">
        <v>57</v>
      </c>
    </row>
    <row r="24" spans="1:17" x14ac:dyDescent="0.2">
      <c r="A24" s="9" t="str">
        <f t="shared" si="0"/>
        <v>4409-ASA CLUB ADVISORS</v>
      </c>
      <c r="B24" s="7" t="str">
        <f t="shared" si="1"/>
        <v>Salary &amp; Benefits</v>
      </c>
      <c r="C24" s="6" t="s">
        <v>13</v>
      </c>
      <c r="D24" s="7" t="s">
        <v>14</v>
      </c>
      <c r="E24" s="7" t="s">
        <v>15</v>
      </c>
      <c r="F24" s="7" t="s">
        <v>54</v>
      </c>
      <c r="G24" s="7" t="s">
        <v>58</v>
      </c>
      <c r="H24" s="7" t="s">
        <v>18</v>
      </c>
      <c r="I24" s="7" t="s">
        <v>18</v>
      </c>
      <c r="J24" s="7" t="s">
        <v>18</v>
      </c>
      <c r="K24" s="8">
        <v>2331</v>
      </c>
      <c r="L24" s="7">
        <v>0</v>
      </c>
      <c r="M24" s="7">
        <v>0</v>
      </c>
      <c r="N24" s="7">
        <v>2331</v>
      </c>
      <c r="O24" s="7">
        <v>0</v>
      </c>
      <c r="P24" s="7" t="s">
        <v>57</v>
      </c>
      <c r="Q24" s="10">
        <f>SUM(L24:L28)</f>
        <v>2570.5099999999998</v>
      </c>
    </row>
    <row r="25" spans="1:17" x14ac:dyDescent="0.2">
      <c r="A25" s="9" t="str">
        <f t="shared" si="0"/>
        <v>4409-ASA CLUB ADVISORS</v>
      </c>
      <c r="B25" s="7" t="str">
        <f t="shared" si="1"/>
        <v>Salary &amp; Benefits</v>
      </c>
      <c r="C25" s="6" t="s">
        <v>13</v>
      </c>
      <c r="D25" s="7" t="s">
        <v>14</v>
      </c>
      <c r="E25" s="7" t="s">
        <v>15</v>
      </c>
      <c r="F25" s="7" t="s">
        <v>54</v>
      </c>
      <c r="G25" s="7" t="s">
        <v>59</v>
      </c>
      <c r="H25" s="7" t="s">
        <v>18</v>
      </c>
      <c r="I25" s="7" t="s">
        <v>18</v>
      </c>
      <c r="J25" s="7" t="s">
        <v>18</v>
      </c>
      <c r="K25" s="8">
        <v>0</v>
      </c>
      <c r="L25" s="7">
        <v>1119.02</v>
      </c>
      <c r="M25" s="7">
        <v>0</v>
      </c>
      <c r="N25" s="7">
        <v>-1119.02</v>
      </c>
      <c r="O25" s="7">
        <v>0</v>
      </c>
      <c r="P25" s="7" t="s">
        <v>57</v>
      </c>
    </row>
    <row r="26" spans="1:17" x14ac:dyDescent="0.2">
      <c r="A26" s="9" t="str">
        <f t="shared" si="0"/>
        <v>4409-ASA CLUB ADVISORS</v>
      </c>
      <c r="B26" s="7" t="str">
        <f t="shared" si="1"/>
        <v>Salary &amp; Benefits</v>
      </c>
      <c r="C26" s="6" t="s">
        <v>13</v>
      </c>
      <c r="D26" s="7" t="s">
        <v>14</v>
      </c>
      <c r="E26" s="7" t="s">
        <v>15</v>
      </c>
      <c r="F26" s="7" t="s">
        <v>54</v>
      </c>
      <c r="G26" s="7" t="s">
        <v>60</v>
      </c>
      <c r="H26" s="7" t="s">
        <v>18</v>
      </c>
      <c r="I26" s="7" t="s">
        <v>18</v>
      </c>
      <c r="J26" s="7" t="s">
        <v>18</v>
      </c>
      <c r="K26" s="8">
        <v>0</v>
      </c>
      <c r="L26" s="7">
        <v>1342.22</v>
      </c>
      <c r="M26" s="7">
        <v>0</v>
      </c>
      <c r="N26" s="7">
        <v>-1342.22</v>
      </c>
      <c r="O26" s="7">
        <v>0</v>
      </c>
      <c r="P26" s="7" t="s">
        <v>57</v>
      </c>
      <c r="Q26" s="9" t="e">
        <f>K24/K22</f>
        <v>#DIV/0!</v>
      </c>
    </row>
    <row r="27" spans="1:17" x14ac:dyDescent="0.2">
      <c r="A27" s="9" t="str">
        <f t="shared" si="0"/>
        <v>4409-ASA CLUB ADVISORS</v>
      </c>
      <c r="B27" s="7" t="str">
        <f t="shared" si="1"/>
        <v>Salary &amp; Benefits</v>
      </c>
      <c r="C27" s="6" t="s">
        <v>13</v>
      </c>
      <c r="D27" s="7" t="s">
        <v>14</v>
      </c>
      <c r="E27" s="7" t="s">
        <v>15</v>
      </c>
      <c r="F27" s="7" t="s">
        <v>54</v>
      </c>
      <c r="G27" s="7" t="s">
        <v>61</v>
      </c>
      <c r="H27" s="7" t="s">
        <v>18</v>
      </c>
      <c r="I27" s="7" t="s">
        <v>18</v>
      </c>
      <c r="J27" s="7" t="s">
        <v>18</v>
      </c>
      <c r="K27" s="8">
        <v>0</v>
      </c>
      <c r="L27" s="7">
        <v>106.32</v>
      </c>
      <c r="M27" s="7">
        <v>0</v>
      </c>
      <c r="N27" s="7">
        <v>-106.32</v>
      </c>
      <c r="O27" s="7">
        <v>0</v>
      </c>
      <c r="P27" s="7" t="s">
        <v>57</v>
      </c>
    </row>
    <row r="28" spans="1:17" x14ac:dyDescent="0.2">
      <c r="A28" s="9" t="str">
        <f t="shared" si="0"/>
        <v>4409-ASA CLUB ADVISORS</v>
      </c>
      <c r="B28" s="7" t="str">
        <f t="shared" si="1"/>
        <v>Goods &amp; Services</v>
      </c>
      <c r="C28" s="6" t="s">
        <v>13</v>
      </c>
      <c r="D28" s="7" t="s">
        <v>14</v>
      </c>
      <c r="E28" s="7" t="s">
        <v>15</v>
      </c>
      <c r="F28" s="7" t="s">
        <v>54</v>
      </c>
      <c r="G28" s="7" t="s">
        <v>62</v>
      </c>
      <c r="H28" s="7" t="s">
        <v>63</v>
      </c>
      <c r="I28" s="7" t="s">
        <v>18</v>
      </c>
      <c r="J28" s="7" t="s">
        <v>18</v>
      </c>
      <c r="K28" s="8">
        <v>0</v>
      </c>
      <c r="L28" s="7">
        <v>2.95</v>
      </c>
      <c r="M28" s="7">
        <v>0</v>
      </c>
      <c r="N28" s="7">
        <v>-2.95</v>
      </c>
      <c r="O28" s="7">
        <v>0</v>
      </c>
      <c r="P28" s="7" t="s">
        <v>57</v>
      </c>
    </row>
    <row r="29" spans="1:17" x14ac:dyDescent="0.2">
      <c r="A29" s="9" t="str">
        <f t="shared" si="0"/>
        <v>4410-ASA GENERAL FUND</v>
      </c>
      <c r="B29" s="7" t="str">
        <f t="shared" si="1"/>
        <v>Carryforward</v>
      </c>
      <c r="C29" s="6" t="s">
        <v>13</v>
      </c>
      <c r="D29" s="7" t="s">
        <v>14</v>
      </c>
      <c r="E29" s="7" t="s">
        <v>15</v>
      </c>
      <c r="F29" s="7" t="s">
        <v>64</v>
      </c>
      <c r="G29" s="7" t="s">
        <v>18</v>
      </c>
      <c r="H29" s="7" t="s">
        <v>18</v>
      </c>
      <c r="I29" s="7" t="s">
        <v>45</v>
      </c>
      <c r="J29" s="7" t="s">
        <v>18</v>
      </c>
      <c r="K29" s="8">
        <v>0</v>
      </c>
      <c r="L29" s="7">
        <v>-96974.87</v>
      </c>
      <c r="M29" s="7">
        <v>0</v>
      </c>
      <c r="N29" s="7">
        <v>96974.87</v>
      </c>
      <c r="O29" s="7">
        <v>0</v>
      </c>
      <c r="P29" s="7" t="s">
        <v>65</v>
      </c>
    </row>
    <row r="30" spans="1:17" x14ac:dyDescent="0.2">
      <c r="A30" s="9" t="str">
        <f t="shared" si="0"/>
        <v>4410-ASA GENERAL FUND</v>
      </c>
      <c r="B30" s="7" t="str">
        <f t="shared" si="1"/>
        <v>Carryforward</v>
      </c>
      <c r="C30" s="6" t="s">
        <v>13</v>
      </c>
      <c r="D30" s="7" t="s">
        <v>14</v>
      </c>
      <c r="E30" s="7" t="s">
        <v>15</v>
      </c>
      <c r="F30" s="7" t="s">
        <v>64</v>
      </c>
      <c r="G30" s="7" t="s">
        <v>18</v>
      </c>
      <c r="H30" s="7" t="s">
        <v>18</v>
      </c>
      <c r="I30" s="7" t="s">
        <v>44</v>
      </c>
      <c r="J30" s="7" t="s">
        <v>18</v>
      </c>
      <c r="K30" s="8">
        <v>0</v>
      </c>
      <c r="L30" s="7">
        <v>3824.55</v>
      </c>
      <c r="M30" s="7">
        <v>0</v>
      </c>
      <c r="N30" s="7">
        <v>-3824.55</v>
      </c>
      <c r="O30" s="7">
        <v>0</v>
      </c>
      <c r="P30" s="7" t="s">
        <v>65</v>
      </c>
    </row>
    <row r="31" spans="1:17" x14ac:dyDescent="0.2">
      <c r="A31" s="9" t="str">
        <f t="shared" si="0"/>
        <v>4412-CONTINGENCY</v>
      </c>
      <c r="B31" s="7" t="str">
        <f t="shared" si="1"/>
        <v>Goods &amp; Services</v>
      </c>
      <c r="C31" s="6" t="s">
        <v>13</v>
      </c>
      <c r="D31" s="7" t="s">
        <v>14</v>
      </c>
      <c r="E31" s="7" t="s">
        <v>15</v>
      </c>
      <c r="F31" s="7" t="s">
        <v>66</v>
      </c>
      <c r="G31" s="7" t="s">
        <v>17</v>
      </c>
      <c r="H31" s="7" t="s">
        <v>18</v>
      </c>
      <c r="I31" s="7" t="s">
        <v>18</v>
      </c>
      <c r="J31" s="7" t="s">
        <v>18</v>
      </c>
      <c r="K31" s="8">
        <v>1000</v>
      </c>
      <c r="L31" s="7">
        <v>0</v>
      </c>
      <c r="M31" s="7">
        <v>0</v>
      </c>
      <c r="N31" s="7">
        <v>1000</v>
      </c>
      <c r="O31" s="7">
        <v>0</v>
      </c>
      <c r="P31" s="7" t="s">
        <v>67</v>
      </c>
    </row>
    <row r="32" spans="1:17" x14ac:dyDescent="0.2">
      <c r="A32" s="9" t="str">
        <f t="shared" si="0"/>
        <v>4414-INCHELIUM STDNT GOV</v>
      </c>
      <c r="B32" s="7" t="str">
        <f t="shared" si="1"/>
        <v>Goods &amp; Services</v>
      </c>
      <c r="C32" s="6" t="s">
        <v>13</v>
      </c>
      <c r="D32" s="7" t="s">
        <v>14</v>
      </c>
      <c r="E32" s="7" t="s">
        <v>15</v>
      </c>
      <c r="F32" s="7" t="s">
        <v>68</v>
      </c>
      <c r="G32" s="7" t="s">
        <v>17</v>
      </c>
      <c r="H32" s="7" t="s">
        <v>18</v>
      </c>
      <c r="I32" s="7" t="s">
        <v>18</v>
      </c>
      <c r="J32" s="7" t="s">
        <v>18</v>
      </c>
      <c r="K32" s="8">
        <v>1700</v>
      </c>
      <c r="L32" s="7">
        <v>0</v>
      </c>
      <c r="M32" s="7">
        <v>0</v>
      </c>
      <c r="N32" s="7">
        <v>1700</v>
      </c>
      <c r="O32" s="7">
        <v>0</v>
      </c>
      <c r="P32" s="7" t="s">
        <v>69</v>
      </c>
    </row>
    <row r="33" spans="1:16" x14ac:dyDescent="0.2">
      <c r="A33" s="9" t="str">
        <f t="shared" si="0"/>
        <v>4414-INCHELIUM STDNT GOV</v>
      </c>
      <c r="B33" s="7" t="str">
        <f t="shared" si="1"/>
        <v>Goods &amp; Services</v>
      </c>
      <c r="C33" s="6" t="s">
        <v>13</v>
      </c>
      <c r="D33" s="7" t="s">
        <v>14</v>
      </c>
      <c r="E33" s="7" t="s">
        <v>15</v>
      </c>
      <c r="F33" s="7" t="s">
        <v>68</v>
      </c>
      <c r="G33" s="7" t="s">
        <v>22</v>
      </c>
      <c r="H33" s="7" t="s">
        <v>23</v>
      </c>
      <c r="I33" s="7" t="s">
        <v>18</v>
      </c>
      <c r="J33" s="7" t="s">
        <v>18</v>
      </c>
      <c r="K33" s="8">
        <v>0</v>
      </c>
      <c r="L33" s="7">
        <v>571.77</v>
      </c>
      <c r="M33" s="7">
        <v>0</v>
      </c>
      <c r="N33" s="7">
        <v>-571.77</v>
      </c>
      <c r="O33" s="7">
        <v>0</v>
      </c>
      <c r="P33" s="7" t="s">
        <v>69</v>
      </c>
    </row>
    <row r="34" spans="1:16" x14ac:dyDescent="0.2">
      <c r="A34" s="9" t="str">
        <f t="shared" ref="A34:A65" si="2">F34&amp;"-"&amp;P34</f>
        <v>4414-INCHELIUM STDNT GOV</v>
      </c>
      <c r="B34" s="7" t="str">
        <f t="shared" ref="B34:B65" si="3">IF(OR(LEFT(I34,2)="09",LEFT(I34,2)="07"),"Carryforward",IF(LEFT(I34,2)="04","Revenue",IF(OR(LEFT(I34,2)="06",LEFT(G34)="T"),"Transfers",IF(OR(LEFT(G34)="A",LEFT(G34)="B"),"Salary &amp; Benefits",IF(OR(LEFT(G34)="E",LEFT(G34)="C",LEFT(G34)="N"),"Goods &amp; Services",IF(LEFT(G34)="G", "Travel",IF(OR(LEFT(G34)="J",LEFT(G34)="K"),"Equipment","N/A")))))))</f>
        <v>Goods &amp; Services</v>
      </c>
      <c r="C34" s="6" t="s">
        <v>13</v>
      </c>
      <c r="D34" s="7" t="s">
        <v>14</v>
      </c>
      <c r="E34" s="7" t="s">
        <v>15</v>
      </c>
      <c r="F34" s="7" t="s">
        <v>68</v>
      </c>
      <c r="G34" s="7" t="s">
        <v>48</v>
      </c>
      <c r="H34" s="7" t="s">
        <v>70</v>
      </c>
      <c r="I34" s="7" t="s">
        <v>18</v>
      </c>
      <c r="J34" s="7" t="s">
        <v>18</v>
      </c>
      <c r="K34" s="8">
        <v>0</v>
      </c>
      <c r="L34" s="7">
        <v>64.56</v>
      </c>
      <c r="M34" s="7">
        <v>0</v>
      </c>
      <c r="N34" s="7">
        <v>-64.56</v>
      </c>
      <c r="O34" s="7">
        <v>0</v>
      </c>
      <c r="P34" s="7" t="s">
        <v>69</v>
      </c>
    </row>
    <row r="35" spans="1:16" x14ac:dyDescent="0.2">
      <c r="A35" s="9" t="str">
        <f t="shared" si="2"/>
        <v>4414-INCHELIUM STDNT GOV</v>
      </c>
      <c r="B35" s="7" t="str">
        <f t="shared" si="3"/>
        <v>Equipment</v>
      </c>
      <c r="C35" s="6" t="s">
        <v>13</v>
      </c>
      <c r="D35" s="7" t="s">
        <v>14</v>
      </c>
      <c r="E35" s="7" t="s">
        <v>15</v>
      </c>
      <c r="F35" s="7" t="s">
        <v>68</v>
      </c>
      <c r="G35" s="7" t="s">
        <v>25</v>
      </c>
      <c r="H35" s="7" t="s">
        <v>18</v>
      </c>
      <c r="I35" s="7" t="s">
        <v>18</v>
      </c>
      <c r="J35" s="7" t="s">
        <v>18</v>
      </c>
      <c r="K35" s="8">
        <v>0</v>
      </c>
      <c r="L35" s="7">
        <v>688.62</v>
      </c>
      <c r="M35" s="7">
        <v>0</v>
      </c>
      <c r="N35" s="7">
        <v>-688.62</v>
      </c>
      <c r="O35" s="7">
        <v>0</v>
      </c>
      <c r="P35" s="7" t="s">
        <v>69</v>
      </c>
    </row>
    <row r="36" spans="1:16" x14ac:dyDescent="0.2">
      <c r="A36" s="9" t="str">
        <f t="shared" si="2"/>
        <v>4415-AEC STUDENT GOVT</v>
      </c>
      <c r="B36" s="7" t="str">
        <f t="shared" si="3"/>
        <v>Carryforward</v>
      </c>
      <c r="C36" s="6" t="s">
        <v>13</v>
      </c>
      <c r="D36" s="7" t="s">
        <v>14</v>
      </c>
      <c r="E36" s="7" t="s">
        <v>15</v>
      </c>
      <c r="F36" s="7" t="s">
        <v>72</v>
      </c>
      <c r="G36" s="7" t="s">
        <v>18</v>
      </c>
      <c r="H36" s="7" t="s">
        <v>18</v>
      </c>
      <c r="I36" s="7" t="s">
        <v>44</v>
      </c>
      <c r="J36" s="7" t="s">
        <v>18</v>
      </c>
      <c r="K36" s="8">
        <v>0</v>
      </c>
      <c r="L36" s="7">
        <v>-290</v>
      </c>
      <c r="M36" s="7">
        <v>0</v>
      </c>
      <c r="N36" s="7">
        <v>290</v>
      </c>
      <c r="O36" s="7">
        <v>0</v>
      </c>
      <c r="P36" s="7" t="s">
        <v>73</v>
      </c>
    </row>
    <row r="37" spans="1:16" x14ac:dyDescent="0.2">
      <c r="A37" s="9" t="str">
        <f t="shared" si="2"/>
        <v>4415-AEC STUDENT GOVT</v>
      </c>
      <c r="B37" s="7" t="str">
        <f t="shared" si="3"/>
        <v>Goods &amp; Services</v>
      </c>
      <c r="C37" s="6" t="s">
        <v>13</v>
      </c>
      <c r="D37" s="7" t="s">
        <v>14</v>
      </c>
      <c r="E37" s="7" t="s">
        <v>15</v>
      </c>
      <c r="F37" s="7" t="s">
        <v>72</v>
      </c>
      <c r="G37" s="7" t="s">
        <v>17</v>
      </c>
      <c r="H37" s="7" t="s">
        <v>18</v>
      </c>
      <c r="I37" s="7" t="s">
        <v>18</v>
      </c>
      <c r="J37" s="7" t="s">
        <v>18</v>
      </c>
      <c r="K37" s="8">
        <v>3300</v>
      </c>
      <c r="L37" s="7">
        <v>0</v>
      </c>
      <c r="M37" s="7">
        <v>0</v>
      </c>
      <c r="N37" s="7">
        <v>3300</v>
      </c>
      <c r="O37" s="7">
        <v>0</v>
      </c>
      <c r="P37" s="7" t="s">
        <v>73</v>
      </c>
    </row>
    <row r="38" spans="1:16" x14ac:dyDescent="0.2">
      <c r="A38" s="9" t="str">
        <f t="shared" si="2"/>
        <v>4415-AEC STUDENT GOVT</v>
      </c>
      <c r="B38" s="7" t="str">
        <f t="shared" si="3"/>
        <v>Goods &amp; Services</v>
      </c>
      <c r="C38" s="6" t="s">
        <v>13</v>
      </c>
      <c r="D38" s="7" t="s">
        <v>14</v>
      </c>
      <c r="E38" s="7" t="s">
        <v>15</v>
      </c>
      <c r="F38" s="7" t="s">
        <v>72</v>
      </c>
      <c r="G38" s="7" t="s">
        <v>22</v>
      </c>
      <c r="H38" s="7" t="s">
        <v>23</v>
      </c>
      <c r="I38" s="7" t="s">
        <v>18</v>
      </c>
      <c r="J38" s="7" t="s">
        <v>18</v>
      </c>
      <c r="K38" s="8">
        <v>0</v>
      </c>
      <c r="L38" s="7">
        <v>1030.3399999999999</v>
      </c>
      <c r="M38" s="7">
        <v>0</v>
      </c>
      <c r="N38" s="7">
        <v>-1030.3399999999999</v>
      </c>
      <c r="O38" s="7">
        <v>0</v>
      </c>
      <c r="P38" s="7" t="s">
        <v>73</v>
      </c>
    </row>
    <row r="39" spans="1:16" x14ac:dyDescent="0.2">
      <c r="A39" s="9" t="str">
        <f t="shared" si="2"/>
        <v>4415-AEC STUDENT GOVT</v>
      </c>
      <c r="B39" s="7" t="str">
        <f t="shared" si="3"/>
        <v>Goods &amp; Services</v>
      </c>
      <c r="C39" s="6" t="s">
        <v>13</v>
      </c>
      <c r="D39" s="7" t="s">
        <v>14</v>
      </c>
      <c r="E39" s="7" t="s">
        <v>15</v>
      </c>
      <c r="F39" s="7" t="s">
        <v>72</v>
      </c>
      <c r="G39" s="7" t="s">
        <v>48</v>
      </c>
      <c r="H39" s="7" t="s">
        <v>70</v>
      </c>
      <c r="I39" s="7" t="s">
        <v>18</v>
      </c>
      <c r="J39" s="7" t="s">
        <v>18</v>
      </c>
      <c r="K39" s="8">
        <v>0</v>
      </c>
      <c r="L39" s="7">
        <v>1261.0899999999999</v>
      </c>
      <c r="M39" s="7">
        <v>0</v>
      </c>
      <c r="N39" s="7">
        <v>-1261.0899999999999</v>
      </c>
      <c r="O39" s="7">
        <v>0</v>
      </c>
      <c r="P39" s="7" t="s">
        <v>73</v>
      </c>
    </row>
    <row r="40" spans="1:16" x14ac:dyDescent="0.2">
      <c r="A40" s="9" t="str">
        <f t="shared" si="2"/>
        <v>4415-AEC STUDENT GOVT</v>
      </c>
      <c r="B40" s="7" t="str">
        <f t="shared" si="3"/>
        <v>Travel</v>
      </c>
      <c r="C40" s="6" t="s">
        <v>13</v>
      </c>
      <c r="D40" s="7" t="s">
        <v>14</v>
      </c>
      <c r="E40" s="7" t="s">
        <v>15</v>
      </c>
      <c r="F40" s="7" t="s">
        <v>72</v>
      </c>
      <c r="G40" s="7" t="s">
        <v>74</v>
      </c>
      <c r="H40" s="7" t="s">
        <v>70</v>
      </c>
      <c r="I40" s="7" t="s">
        <v>18</v>
      </c>
      <c r="J40" s="7" t="s">
        <v>18</v>
      </c>
      <c r="K40" s="8">
        <v>0</v>
      </c>
      <c r="L40" s="7">
        <v>315.36</v>
      </c>
      <c r="M40" s="7">
        <v>0</v>
      </c>
      <c r="N40" s="7">
        <v>-315.36</v>
      </c>
      <c r="O40" s="7">
        <v>0</v>
      </c>
      <c r="P40" s="7" t="s">
        <v>73</v>
      </c>
    </row>
    <row r="41" spans="1:16" x14ac:dyDescent="0.2">
      <c r="A41" s="9" t="str">
        <f t="shared" si="2"/>
        <v>4416-HILLYARD STUDENT GOV</v>
      </c>
      <c r="B41" s="7" t="str">
        <f t="shared" si="3"/>
        <v>Goods &amp; Services</v>
      </c>
      <c r="C41" s="6" t="s">
        <v>13</v>
      </c>
      <c r="D41" s="7" t="s">
        <v>14</v>
      </c>
      <c r="E41" s="7" t="s">
        <v>15</v>
      </c>
      <c r="F41" s="7" t="s">
        <v>75</v>
      </c>
      <c r="G41" s="7" t="s">
        <v>17</v>
      </c>
      <c r="H41" s="7" t="s">
        <v>18</v>
      </c>
      <c r="I41" s="7" t="s">
        <v>18</v>
      </c>
      <c r="J41" s="7" t="s">
        <v>18</v>
      </c>
      <c r="K41" s="8">
        <v>2000</v>
      </c>
      <c r="L41" s="7">
        <v>0</v>
      </c>
      <c r="M41" s="7">
        <v>0</v>
      </c>
      <c r="N41" s="7">
        <v>2000</v>
      </c>
      <c r="O41" s="7">
        <v>0</v>
      </c>
      <c r="P41" s="7" t="s">
        <v>76</v>
      </c>
    </row>
    <row r="42" spans="1:16" x14ac:dyDescent="0.2">
      <c r="A42" s="9" t="str">
        <f t="shared" si="2"/>
        <v>4416-HILLYARD STUDENT GOV</v>
      </c>
      <c r="B42" s="7" t="str">
        <f t="shared" si="3"/>
        <v>Goods &amp; Services</v>
      </c>
      <c r="C42" s="6" t="s">
        <v>13</v>
      </c>
      <c r="D42" s="7" t="s">
        <v>14</v>
      </c>
      <c r="E42" s="7" t="s">
        <v>15</v>
      </c>
      <c r="F42" s="7" t="s">
        <v>75</v>
      </c>
      <c r="G42" s="7" t="s">
        <v>22</v>
      </c>
      <c r="H42" s="7" t="s">
        <v>23</v>
      </c>
      <c r="I42" s="7" t="s">
        <v>18</v>
      </c>
      <c r="J42" s="7" t="s">
        <v>18</v>
      </c>
      <c r="K42" s="8">
        <v>0</v>
      </c>
      <c r="L42" s="7">
        <v>235.8</v>
      </c>
      <c r="M42" s="7">
        <v>0</v>
      </c>
      <c r="N42" s="7">
        <v>-235.8</v>
      </c>
      <c r="O42" s="7">
        <v>0</v>
      </c>
      <c r="P42" s="7" t="s">
        <v>76</v>
      </c>
    </row>
    <row r="43" spans="1:16" x14ac:dyDescent="0.2">
      <c r="A43" s="9" t="str">
        <f t="shared" si="2"/>
        <v>4416-HILLYARD STUDENT GOV</v>
      </c>
      <c r="B43" s="7" t="str">
        <f t="shared" si="3"/>
        <v>Goods &amp; Services</v>
      </c>
      <c r="C43" s="6" t="s">
        <v>13</v>
      </c>
      <c r="D43" s="7" t="s">
        <v>14</v>
      </c>
      <c r="E43" s="7" t="s">
        <v>15</v>
      </c>
      <c r="F43" s="7" t="s">
        <v>75</v>
      </c>
      <c r="G43" s="7" t="s">
        <v>48</v>
      </c>
      <c r="H43" s="7" t="s">
        <v>70</v>
      </c>
      <c r="I43" s="7" t="s">
        <v>18</v>
      </c>
      <c r="J43" s="7" t="s">
        <v>18</v>
      </c>
      <c r="K43" s="8">
        <v>0</v>
      </c>
      <c r="L43" s="7">
        <v>1680.61</v>
      </c>
      <c r="M43" s="7">
        <v>0</v>
      </c>
      <c r="N43" s="7">
        <v>-1680.61</v>
      </c>
      <c r="O43" s="7">
        <v>0</v>
      </c>
      <c r="P43" s="7" t="s">
        <v>76</v>
      </c>
    </row>
    <row r="44" spans="1:16" x14ac:dyDescent="0.2">
      <c r="A44" s="9" t="str">
        <f t="shared" si="2"/>
        <v>4417-REPUBLIC STUDENT GOV</v>
      </c>
      <c r="B44" s="7" t="str">
        <f t="shared" si="3"/>
        <v>Carryforward</v>
      </c>
      <c r="C44" s="6" t="s">
        <v>13</v>
      </c>
      <c r="D44" s="7" t="s">
        <v>14</v>
      </c>
      <c r="E44" s="7" t="s">
        <v>15</v>
      </c>
      <c r="F44" s="7" t="s">
        <v>77</v>
      </c>
      <c r="G44" s="7" t="s">
        <v>18</v>
      </c>
      <c r="H44" s="7" t="s">
        <v>18</v>
      </c>
      <c r="I44" s="7" t="s">
        <v>44</v>
      </c>
      <c r="J44" s="7" t="s">
        <v>18</v>
      </c>
      <c r="K44" s="8">
        <v>0</v>
      </c>
      <c r="L44" s="7">
        <v>-330.48</v>
      </c>
      <c r="M44" s="7">
        <v>0</v>
      </c>
      <c r="N44" s="7">
        <v>330.48</v>
      </c>
      <c r="O44" s="7">
        <v>0</v>
      </c>
      <c r="P44" s="7" t="s">
        <v>79</v>
      </c>
    </row>
    <row r="45" spans="1:16" x14ac:dyDescent="0.2">
      <c r="A45" s="9" t="str">
        <f t="shared" si="2"/>
        <v>4417-REPUBLIC STUDENT GOV</v>
      </c>
      <c r="B45" s="7" t="str">
        <f t="shared" si="3"/>
        <v>Revenue</v>
      </c>
      <c r="C45" s="6" t="s">
        <v>13</v>
      </c>
      <c r="D45" s="7" t="s">
        <v>14</v>
      </c>
      <c r="E45" s="7" t="s">
        <v>15</v>
      </c>
      <c r="F45" s="7" t="s">
        <v>77</v>
      </c>
      <c r="G45" s="7" t="s">
        <v>18</v>
      </c>
      <c r="H45" s="7" t="s">
        <v>18</v>
      </c>
      <c r="I45" s="7" t="s">
        <v>51</v>
      </c>
      <c r="J45" s="7" t="s">
        <v>78</v>
      </c>
      <c r="K45" s="8">
        <v>0</v>
      </c>
      <c r="L45" s="7">
        <v>-288</v>
      </c>
      <c r="M45" s="7">
        <v>0</v>
      </c>
      <c r="N45" s="7">
        <v>288</v>
      </c>
      <c r="O45" s="7">
        <v>0</v>
      </c>
      <c r="P45" s="7" t="s">
        <v>79</v>
      </c>
    </row>
    <row r="46" spans="1:16" x14ac:dyDescent="0.2">
      <c r="A46" s="9" t="str">
        <f t="shared" si="2"/>
        <v>4417-REPUBLIC STUDENT GOV</v>
      </c>
      <c r="B46" s="7" t="str">
        <f t="shared" si="3"/>
        <v>Goods &amp; Services</v>
      </c>
      <c r="C46" s="6" t="s">
        <v>13</v>
      </c>
      <c r="D46" s="7" t="s">
        <v>14</v>
      </c>
      <c r="E46" s="7" t="s">
        <v>15</v>
      </c>
      <c r="F46" s="7" t="s">
        <v>77</v>
      </c>
      <c r="G46" s="7" t="s">
        <v>17</v>
      </c>
      <c r="H46" s="7" t="s">
        <v>18</v>
      </c>
      <c r="I46" s="7" t="s">
        <v>18</v>
      </c>
      <c r="J46" s="7" t="s">
        <v>18</v>
      </c>
      <c r="K46" s="8">
        <v>3100</v>
      </c>
      <c r="L46" s="7">
        <v>0</v>
      </c>
      <c r="M46" s="7">
        <v>0</v>
      </c>
      <c r="N46" s="7">
        <v>3100</v>
      </c>
      <c r="O46" s="7">
        <v>0</v>
      </c>
      <c r="P46" s="7" t="s">
        <v>79</v>
      </c>
    </row>
    <row r="47" spans="1:16" x14ac:dyDescent="0.2">
      <c r="A47" s="9" t="str">
        <f t="shared" si="2"/>
        <v>4417-REPUBLIC STUDENT GOV</v>
      </c>
      <c r="B47" s="7" t="str">
        <f t="shared" si="3"/>
        <v>Goods &amp; Services</v>
      </c>
      <c r="C47" s="6" t="s">
        <v>13</v>
      </c>
      <c r="D47" s="7" t="s">
        <v>14</v>
      </c>
      <c r="E47" s="7" t="s">
        <v>15</v>
      </c>
      <c r="F47" s="7" t="s">
        <v>77</v>
      </c>
      <c r="G47" s="7" t="s">
        <v>22</v>
      </c>
      <c r="H47" s="7" t="s">
        <v>23</v>
      </c>
      <c r="I47" s="7" t="s">
        <v>18</v>
      </c>
      <c r="J47" s="7" t="s">
        <v>18</v>
      </c>
      <c r="K47" s="8">
        <v>0</v>
      </c>
      <c r="L47" s="7">
        <v>1129</v>
      </c>
      <c r="M47" s="7">
        <v>0</v>
      </c>
      <c r="N47" s="7">
        <v>-1129</v>
      </c>
      <c r="O47" s="7">
        <v>0</v>
      </c>
      <c r="P47" s="7" t="s">
        <v>79</v>
      </c>
    </row>
    <row r="48" spans="1:16" x14ac:dyDescent="0.2">
      <c r="A48" s="9" t="str">
        <f t="shared" si="2"/>
        <v>4417-REPUBLIC STUDENT GOV</v>
      </c>
      <c r="B48" s="7" t="str">
        <f t="shared" si="3"/>
        <v>Goods &amp; Services</v>
      </c>
      <c r="C48" s="6" t="s">
        <v>13</v>
      </c>
      <c r="D48" s="7" t="s">
        <v>14</v>
      </c>
      <c r="E48" s="7" t="s">
        <v>15</v>
      </c>
      <c r="F48" s="7" t="s">
        <v>77</v>
      </c>
      <c r="G48" s="7" t="s">
        <v>80</v>
      </c>
      <c r="H48" s="7" t="s">
        <v>23</v>
      </c>
      <c r="I48" s="7" t="s">
        <v>18</v>
      </c>
      <c r="J48" s="7" t="s">
        <v>18</v>
      </c>
      <c r="K48" s="8">
        <v>0</v>
      </c>
      <c r="L48" s="7">
        <v>395.05</v>
      </c>
      <c r="M48" s="7">
        <v>0</v>
      </c>
      <c r="N48" s="7">
        <v>-395.05</v>
      </c>
      <c r="O48" s="7">
        <v>0</v>
      </c>
      <c r="P48" s="7" t="s">
        <v>79</v>
      </c>
    </row>
    <row r="49" spans="1:16" x14ac:dyDescent="0.2">
      <c r="A49" s="9" t="str">
        <f t="shared" si="2"/>
        <v>4417-REPUBLIC STUDENT GOV</v>
      </c>
      <c r="B49" s="7" t="str">
        <f t="shared" si="3"/>
        <v>Goods &amp; Services</v>
      </c>
      <c r="C49" s="6" t="s">
        <v>13</v>
      </c>
      <c r="D49" s="7" t="s">
        <v>14</v>
      </c>
      <c r="E49" s="7" t="s">
        <v>15</v>
      </c>
      <c r="F49" s="7" t="s">
        <v>77</v>
      </c>
      <c r="G49" s="7" t="s">
        <v>81</v>
      </c>
      <c r="H49" s="7" t="s">
        <v>70</v>
      </c>
      <c r="I49" s="7" t="s">
        <v>18</v>
      </c>
      <c r="J49" s="7" t="s">
        <v>18</v>
      </c>
      <c r="K49" s="8">
        <v>0</v>
      </c>
      <c r="L49" s="7">
        <v>32.01</v>
      </c>
      <c r="M49" s="7">
        <v>0</v>
      </c>
      <c r="N49" s="7">
        <v>-32.01</v>
      </c>
      <c r="O49" s="7">
        <v>0</v>
      </c>
      <c r="P49" s="7" t="s">
        <v>79</v>
      </c>
    </row>
    <row r="50" spans="1:16" x14ac:dyDescent="0.2">
      <c r="A50" s="9" t="str">
        <f t="shared" si="2"/>
        <v>4417-REPUBLIC STUDENT GOV</v>
      </c>
      <c r="B50" s="7" t="str">
        <f t="shared" si="3"/>
        <v>Goods &amp; Services</v>
      </c>
      <c r="C50" s="6" t="s">
        <v>13</v>
      </c>
      <c r="D50" s="7" t="s">
        <v>14</v>
      </c>
      <c r="E50" s="7" t="s">
        <v>15</v>
      </c>
      <c r="F50" s="7" t="s">
        <v>77</v>
      </c>
      <c r="G50" s="7" t="s">
        <v>48</v>
      </c>
      <c r="H50" s="7" t="s">
        <v>70</v>
      </c>
      <c r="I50" s="7" t="s">
        <v>18</v>
      </c>
      <c r="J50" s="7" t="s">
        <v>18</v>
      </c>
      <c r="K50" s="8">
        <v>0</v>
      </c>
      <c r="L50" s="7">
        <v>1758.9</v>
      </c>
      <c r="M50" s="7">
        <v>0</v>
      </c>
      <c r="N50" s="7">
        <v>-1758.9</v>
      </c>
      <c r="O50" s="7">
        <v>0</v>
      </c>
      <c r="P50" s="7" t="s">
        <v>79</v>
      </c>
    </row>
    <row r="51" spans="1:16" x14ac:dyDescent="0.2">
      <c r="A51" s="9" t="str">
        <f t="shared" si="2"/>
        <v>4417-REPUBLIC STUDENT GOV</v>
      </c>
      <c r="B51" s="7" t="str">
        <f t="shared" si="3"/>
        <v>Equipment</v>
      </c>
      <c r="C51" s="6" t="s">
        <v>13</v>
      </c>
      <c r="D51" s="7" t="s">
        <v>14</v>
      </c>
      <c r="E51" s="7" t="s">
        <v>15</v>
      </c>
      <c r="F51" s="7" t="s">
        <v>77</v>
      </c>
      <c r="G51" s="7" t="s">
        <v>82</v>
      </c>
      <c r="H51" s="7" t="s">
        <v>23</v>
      </c>
      <c r="I51" s="7" t="s">
        <v>18</v>
      </c>
      <c r="J51" s="7" t="s">
        <v>18</v>
      </c>
      <c r="K51" s="8">
        <v>0</v>
      </c>
      <c r="L51" s="7">
        <v>214.26</v>
      </c>
      <c r="M51" s="7">
        <v>0</v>
      </c>
      <c r="N51" s="7">
        <v>-214.26</v>
      </c>
      <c r="O51" s="7">
        <v>0</v>
      </c>
      <c r="P51" s="7" t="s">
        <v>79</v>
      </c>
    </row>
    <row r="52" spans="1:16" x14ac:dyDescent="0.2">
      <c r="A52" s="9" t="str">
        <f t="shared" si="2"/>
        <v>4418-NEWPORT STUDENT GOVT</v>
      </c>
      <c r="B52" s="7" t="str">
        <f t="shared" si="3"/>
        <v>Carryforward</v>
      </c>
      <c r="C52" s="6" t="s">
        <v>13</v>
      </c>
      <c r="D52" s="7" t="s">
        <v>14</v>
      </c>
      <c r="E52" s="7" t="s">
        <v>15</v>
      </c>
      <c r="F52" s="7" t="s">
        <v>83</v>
      </c>
      <c r="G52" s="7" t="s">
        <v>18</v>
      </c>
      <c r="H52" s="7" t="s">
        <v>18</v>
      </c>
      <c r="I52" s="7" t="s">
        <v>44</v>
      </c>
      <c r="J52" s="7" t="s">
        <v>18</v>
      </c>
      <c r="K52" s="8">
        <v>0</v>
      </c>
      <c r="L52" s="7">
        <v>-405</v>
      </c>
      <c r="M52" s="7">
        <v>0</v>
      </c>
      <c r="N52" s="7">
        <v>405</v>
      </c>
      <c r="O52" s="7">
        <v>0</v>
      </c>
      <c r="P52" s="7" t="s">
        <v>84</v>
      </c>
    </row>
    <row r="53" spans="1:16" x14ac:dyDescent="0.2">
      <c r="A53" s="9" t="str">
        <f t="shared" si="2"/>
        <v>4418-NEWPORT STUDENT GOVT</v>
      </c>
      <c r="B53" s="7" t="str">
        <f t="shared" si="3"/>
        <v>Goods &amp; Services</v>
      </c>
      <c r="C53" s="6" t="s">
        <v>13</v>
      </c>
      <c r="D53" s="7" t="s">
        <v>14</v>
      </c>
      <c r="E53" s="7" t="s">
        <v>15</v>
      </c>
      <c r="F53" s="7" t="s">
        <v>83</v>
      </c>
      <c r="G53" s="7" t="s">
        <v>17</v>
      </c>
      <c r="H53" s="7" t="s">
        <v>18</v>
      </c>
      <c r="I53" s="7" t="s">
        <v>18</v>
      </c>
      <c r="J53" s="7" t="s">
        <v>18</v>
      </c>
      <c r="K53" s="8">
        <v>9200</v>
      </c>
      <c r="L53" s="7">
        <v>0</v>
      </c>
      <c r="M53" s="7">
        <v>0</v>
      </c>
      <c r="N53" s="7">
        <v>9200</v>
      </c>
      <c r="O53" s="7">
        <v>0</v>
      </c>
      <c r="P53" s="7" t="s">
        <v>84</v>
      </c>
    </row>
    <row r="54" spans="1:16" x14ac:dyDescent="0.2">
      <c r="A54" s="9" t="str">
        <f t="shared" si="2"/>
        <v>4418-NEWPORT STUDENT GOVT</v>
      </c>
      <c r="B54" s="7" t="str">
        <f t="shared" si="3"/>
        <v>Goods &amp; Services</v>
      </c>
      <c r="C54" s="6" t="s">
        <v>13</v>
      </c>
      <c r="D54" s="7" t="s">
        <v>14</v>
      </c>
      <c r="E54" s="7" t="s">
        <v>15</v>
      </c>
      <c r="F54" s="7" t="s">
        <v>83</v>
      </c>
      <c r="G54" s="7" t="s">
        <v>22</v>
      </c>
      <c r="H54" s="7" t="s">
        <v>23</v>
      </c>
      <c r="I54" s="7" t="s">
        <v>18</v>
      </c>
      <c r="J54" s="7" t="s">
        <v>18</v>
      </c>
      <c r="K54" s="8">
        <v>0</v>
      </c>
      <c r="L54" s="7">
        <v>1510.89</v>
      </c>
      <c r="M54" s="7">
        <v>0</v>
      </c>
      <c r="N54" s="7">
        <v>-1510.89</v>
      </c>
      <c r="O54" s="7">
        <v>0</v>
      </c>
      <c r="P54" s="7" t="s">
        <v>84</v>
      </c>
    </row>
    <row r="55" spans="1:16" x14ac:dyDescent="0.2">
      <c r="A55" s="9" t="str">
        <f t="shared" si="2"/>
        <v>4418-NEWPORT STUDENT GOVT</v>
      </c>
      <c r="B55" s="7" t="str">
        <f t="shared" si="3"/>
        <v>Goods &amp; Services</v>
      </c>
      <c r="C55" s="6" t="s">
        <v>13</v>
      </c>
      <c r="D55" s="7" t="s">
        <v>14</v>
      </c>
      <c r="E55" s="7" t="s">
        <v>15</v>
      </c>
      <c r="F55" s="7" t="s">
        <v>83</v>
      </c>
      <c r="G55" s="7" t="s">
        <v>85</v>
      </c>
      <c r="H55" s="7" t="s">
        <v>23</v>
      </c>
      <c r="I55" s="7" t="s">
        <v>18</v>
      </c>
      <c r="J55" s="7" t="s">
        <v>18</v>
      </c>
      <c r="K55" s="8">
        <v>0</v>
      </c>
      <c r="L55" s="7">
        <v>50.03</v>
      </c>
      <c r="M55" s="7">
        <v>0</v>
      </c>
      <c r="N55" s="7">
        <v>-50.03</v>
      </c>
      <c r="O55" s="7">
        <v>0</v>
      </c>
      <c r="P55" s="7" t="s">
        <v>84</v>
      </c>
    </row>
    <row r="56" spans="1:16" x14ac:dyDescent="0.2">
      <c r="A56" s="9" t="str">
        <f t="shared" si="2"/>
        <v>4418-NEWPORT STUDENT GOVT</v>
      </c>
      <c r="B56" s="7" t="str">
        <f t="shared" si="3"/>
        <v>Goods &amp; Services</v>
      </c>
      <c r="C56" s="6" t="s">
        <v>13</v>
      </c>
      <c r="D56" s="7" t="s">
        <v>14</v>
      </c>
      <c r="E56" s="7" t="s">
        <v>15</v>
      </c>
      <c r="F56" s="7" t="s">
        <v>83</v>
      </c>
      <c r="G56" s="7" t="s">
        <v>86</v>
      </c>
      <c r="H56" s="7" t="s">
        <v>23</v>
      </c>
      <c r="I56" s="7" t="s">
        <v>18</v>
      </c>
      <c r="J56" s="7" t="s">
        <v>18</v>
      </c>
      <c r="K56" s="8">
        <v>0</v>
      </c>
      <c r="L56" s="7">
        <v>2394.91</v>
      </c>
      <c r="M56" s="7">
        <v>0</v>
      </c>
      <c r="N56" s="7">
        <v>-2394.91</v>
      </c>
      <c r="O56" s="7">
        <v>0</v>
      </c>
      <c r="P56" s="7" t="s">
        <v>84</v>
      </c>
    </row>
    <row r="57" spans="1:16" x14ac:dyDescent="0.2">
      <c r="A57" s="9" t="str">
        <f t="shared" si="2"/>
        <v>4418-NEWPORT STUDENT GOVT</v>
      </c>
      <c r="B57" s="7" t="str">
        <f t="shared" si="3"/>
        <v>Goods &amp; Services</v>
      </c>
      <c r="C57" s="6" t="s">
        <v>13</v>
      </c>
      <c r="D57" s="7" t="s">
        <v>14</v>
      </c>
      <c r="E57" s="7" t="s">
        <v>15</v>
      </c>
      <c r="F57" s="7" t="s">
        <v>83</v>
      </c>
      <c r="G57" s="7" t="s">
        <v>48</v>
      </c>
      <c r="H57" s="7" t="s">
        <v>23</v>
      </c>
      <c r="I57" s="7" t="s">
        <v>18</v>
      </c>
      <c r="J57" s="7" t="s">
        <v>18</v>
      </c>
      <c r="K57" s="8">
        <v>0</v>
      </c>
      <c r="L57" s="7">
        <v>1360.31</v>
      </c>
      <c r="M57" s="7">
        <v>0</v>
      </c>
      <c r="N57" s="7">
        <v>-1360.31</v>
      </c>
      <c r="O57" s="7">
        <v>0</v>
      </c>
      <c r="P57" s="7" t="s">
        <v>84</v>
      </c>
    </row>
    <row r="58" spans="1:16" x14ac:dyDescent="0.2">
      <c r="A58" s="9" t="str">
        <f t="shared" si="2"/>
        <v>4418-NEWPORT STUDENT GOVT</v>
      </c>
      <c r="B58" s="7" t="str">
        <f t="shared" si="3"/>
        <v>Goods &amp; Services</v>
      </c>
      <c r="C58" s="6" t="s">
        <v>13</v>
      </c>
      <c r="D58" s="7" t="s">
        <v>14</v>
      </c>
      <c r="E58" s="7" t="s">
        <v>15</v>
      </c>
      <c r="F58" s="7" t="s">
        <v>83</v>
      </c>
      <c r="G58" s="7" t="s">
        <v>48</v>
      </c>
      <c r="H58" s="7" t="s">
        <v>70</v>
      </c>
      <c r="I58" s="7" t="s">
        <v>18</v>
      </c>
      <c r="J58" s="7" t="s">
        <v>18</v>
      </c>
      <c r="K58" s="8">
        <v>0</v>
      </c>
      <c r="L58" s="7">
        <v>4079.22</v>
      </c>
      <c r="M58" s="7">
        <v>0</v>
      </c>
      <c r="N58" s="7">
        <v>-4079.22</v>
      </c>
      <c r="O58" s="7">
        <v>0</v>
      </c>
      <c r="P58" s="7" t="s">
        <v>84</v>
      </c>
    </row>
    <row r="59" spans="1:16" x14ac:dyDescent="0.2">
      <c r="A59" s="9" t="str">
        <f t="shared" si="2"/>
        <v>4418-NEWPORT STUDENT GOVT</v>
      </c>
      <c r="B59" s="7" t="str">
        <f t="shared" si="3"/>
        <v>Equipment</v>
      </c>
      <c r="C59" s="6" t="s">
        <v>13</v>
      </c>
      <c r="D59" s="7" t="s">
        <v>14</v>
      </c>
      <c r="E59" s="7" t="s">
        <v>15</v>
      </c>
      <c r="F59" s="7" t="s">
        <v>83</v>
      </c>
      <c r="G59" s="7" t="s">
        <v>82</v>
      </c>
      <c r="H59" s="7" t="s">
        <v>23</v>
      </c>
      <c r="I59" s="7" t="s">
        <v>18</v>
      </c>
      <c r="J59" s="7" t="s">
        <v>18</v>
      </c>
      <c r="K59" s="8">
        <v>0</v>
      </c>
      <c r="L59" s="7">
        <v>216.31</v>
      </c>
      <c r="M59" s="7">
        <v>0</v>
      </c>
      <c r="N59" s="7">
        <v>-216.31</v>
      </c>
      <c r="O59" s="7">
        <v>0</v>
      </c>
      <c r="P59" s="7" t="s">
        <v>84</v>
      </c>
    </row>
    <row r="60" spans="1:16" x14ac:dyDescent="0.2">
      <c r="A60" s="9" t="str">
        <f t="shared" si="2"/>
        <v>4418-NEWPORT STUDENT GOVT</v>
      </c>
      <c r="B60" s="7" t="str">
        <f t="shared" si="3"/>
        <v>Goods &amp; Services</v>
      </c>
      <c r="C60" s="6" t="s">
        <v>13</v>
      </c>
      <c r="D60" s="7" t="s">
        <v>14</v>
      </c>
      <c r="E60" s="7" t="s">
        <v>15</v>
      </c>
      <c r="F60" s="7" t="s">
        <v>83</v>
      </c>
      <c r="G60" s="7" t="s">
        <v>71</v>
      </c>
      <c r="H60" s="7" t="s">
        <v>23</v>
      </c>
      <c r="I60" s="7" t="s">
        <v>18</v>
      </c>
      <c r="J60" s="7" t="s">
        <v>18</v>
      </c>
      <c r="K60" s="8">
        <v>0</v>
      </c>
      <c r="L60" s="7">
        <v>100</v>
      </c>
      <c r="M60" s="7">
        <v>0</v>
      </c>
      <c r="N60" s="7">
        <v>-100</v>
      </c>
      <c r="O60" s="7">
        <v>0</v>
      </c>
      <c r="P60" s="7" t="s">
        <v>84</v>
      </c>
    </row>
    <row r="61" spans="1:16" x14ac:dyDescent="0.2">
      <c r="A61" s="9" t="str">
        <f t="shared" si="2"/>
        <v>4419-COLVILLE STUDENT GOV</v>
      </c>
      <c r="B61" s="7" t="str">
        <f t="shared" si="3"/>
        <v>Carryforward</v>
      </c>
      <c r="C61" s="6" t="s">
        <v>13</v>
      </c>
      <c r="D61" s="7" t="s">
        <v>14</v>
      </c>
      <c r="E61" s="7" t="s">
        <v>15</v>
      </c>
      <c r="F61" s="7" t="s">
        <v>87</v>
      </c>
      <c r="G61" s="7" t="s">
        <v>18</v>
      </c>
      <c r="H61" s="7" t="s">
        <v>18</v>
      </c>
      <c r="I61" s="7" t="s">
        <v>44</v>
      </c>
      <c r="J61" s="7" t="s">
        <v>18</v>
      </c>
      <c r="K61" s="8">
        <v>0</v>
      </c>
      <c r="L61" s="7">
        <v>-1931.07</v>
      </c>
      <c r="M61" s="7">
        <v>0</v>
      </c>
      <c r="N61" s="7">
        <v>1931.07</v>
      </c>
      <c r="O61" s="7">
        <v>0</v>
      </c>
      <c r="P61" s="7" t="s">
        <v>88</v>
      </c>
    </row>
    <row r="62" spans="1:16" x14ac:dyDescent="0.2">
      <c r="A62" s="9" t="str">
        <f t="shared" si="2"/>
        <v>4419-COLVILLE STUDENT GOV</v>
      </c>
      <c r="B62" s="7" t="str">
        <f t="shared" si="3"/>
        <v>Goods &amp; Services</v>
      </c>
      <c r="C62" s="6" t="s">
        <v>13</v>
      </c>
      <c r="D62" s="7" t="s">
        <v>14</v>
      </c>
      <c r="E62" s="7" t="s">
        <v>15</v>
      </c>
      <c r="F62" s="7" t="s">
        <v>87</v>
      </c>
      <c r="G62" s="7" t="s">
        <v>17</v>
      </c>
      <c r="H62" s="7" t="s">
        <v>18</v>
      </c>
      <c r="I62" s="7" t="s">
        <v>18</v>
      </c>
      <c r="J62" s="7" t="s">
        <v>18</v>
      </c>
      <c r="K62" s="8">
        <v>12600</v>
      </c>
      <c r="L62" s="7">
        <v>0</v>
      </c>
      <c r="M62" s="7">
        <v>0</v>
      </c>
      <c r="N62" s="7">
        <v>12600</v>
      </c>
      <c r="O62" s="7">
        <v>0</v>
      </c>
      <c r="P62" s="7" t="s">
        <v>88</v>
      </c>
    </row>
    <row r="63" spans="1:16" x14ac:dyDescent="0.2">
      <c r="A63" s="9" t="str">
        <f t="shared" si="2"/>
        <v>4419-COLVILLE STUDENT GOV</v>
      </c>
      <c r="B63" s="7" t="str">
        <f t="shared" si="3"/>
        <v>Goods &amp; Services</v>
      </c>
      <c r="C63" s="6" t="s">
        <v>13</v>
      </c>
      <c r="D63" s="7" t="s">
        <v>14</v>
      </c>
      <c r="E63" s="7" t="s">
        <v>15</v>
      </c>
      <c r="F63" s="7" t="s">
        <v>87</v>
      </c>
      <c r="G63" s="7" t="s">
        <v>22</v>
      </c>
      <c r="H63" s="7" t="s">
        <v>23</v>
      </c>
      <c r="I63" s="7" t="s">
        <v>18</v>
      </c>
      <c r="J63" s="7" t="s">
        <v>18</v>
      </c>
      <c r="K63" s="8">
        <v>0</v>
      </c>
      <c r="L63" s="7">
        <v>3172.94</v>
      </c>
      <c r="M63" s="7">
        <v>0</v>
      </c>
      <c r="N63" s="7">
        <v>-3172.94</v>
      </c>
      <c r="O63" s="7">
        <v>0</v>
      </c>
      <c r="P63" s="7" t="s">
        <v>88</v>
      </c>
    </row>
    <row r="64" spans="1:16" x14ac:dyDescent="0.2">
      <c r="A64" s="9" t="str">
        <f t="shared" si="2"/>
        <v>4419-COLVILLE STUDENT GOV</v>
      </c>
      <c r="B64" s="7" t="str">
        <f t="shared" si="3"/>
        <v>Goods &amp; Services</v>
      </c>
      <c r="C64" s="6" t="s">
        <v>13</v>
      </c>
      <c r="D64" s="7" t="s">
        <v>14</v>
      </c>
      <c r="E64" s="7" t="s">
        <v>15</v>
      </c>
      <c r="F64" s="7" t="s">
        <v>87</v>
      </c>
      <c r="G64" s="7" t="s">
        <v>89</v>
      </c>
      <c r="H64" s="7" t="s">
        <v>23</v>
      </c>
      <c r="I64" s="7" t="s">
        <v>18</v>
      </c>
      <c r="J64" s="7" t="s">
        <v>18</v>
      </c>
      <c r="K64" s="8">
        <v>0</v>
      </c>
      <c r="L64" s="7">
        <v>150</v>
      </c>
      <c r="M64" s="7">
        <v>0</v>
      </c>
      <c r="N64" s="7">
        <v>-150</v>
      </c>
      <c r="O64" s="7">
        <v>0</v>
      </c>
      <c r="P64" s="7" t="s">
        <v>88</v>
      </c>
    </row>
    <row r="65" spans="1:16" x14ac:dyDescent="0.2">
      <c r="A65" s="9" t="str">
        <f t="shared" si="2"/>
        <v>4419-COLVILLE STUDENT GOV</v>
      </c>
      <c r="B65" s="7" t="str">
        <f t="shared" si="3"/>
        <v>Goods &amp; Services</v>
      </c>
      <c r="C65" s="6" t="s">
        <v>13</v>
      </c>
      <c r="D65" s="7" t="s">
        <v>14</v>
      </c>
      <c r="E65" s="7" t="s">
        <v>15</v>
      </c>
      <c r="F65" s="7" t="s">
        <v>87</v>
      </c>
      <c r="G65" s="7" t="s">
        <v>48</v>
      </c>
      <c r="H65" s="7" t="s">
        <v>23</v>
      </c>
      <c r="I65" s="7" t="s">
        <v>18</v>
      </c>
      <c r="J65" s="7" t="s">
        <v>18</v>
      </c>
      <c r="K65" s="8">
        <v>0</v>
      </c>
      <c r="L65" s="7">
        <v>225.96</v>
      </c>
      <c r="M65" s="7">
        <v>0</v>
      </c>
      <c r="N65" s="7">
        <v>-225.96</v>
      </c>
      <c r="O65" s="7">
        <v>0</v>
      </c>
      <c r="P65" s="7" t="s">
        <v>88</v>
      </c>
    </row>
    <row r="66" spans="1:16" x14ac:dyDescent="0.2">
      <c r="A66" s="9" t="str">
        <f t="shared" ref="A66:A97" si="4">F66&amp;"-"&amp;P66</f>
        <v>4419-COLVILLE STUDENT GOV</v>
      </c>
      <c r="B66" s="7" t="str">
        <f t="shared" ref="B66:B97" si="5">IF(OR(LEFT(I66,2)="09",LEFT(I66,2)="07"),"Carryforward",IF(LEFT(I66,2)="04","Revenue",IF(OR(LEFT(I66,2)="06",LEFT(G66)="T"),"Transfers",IF(OR(LEFT(G66)="A",LEFT(G66)="B"),"Salary &amp; Benefits",IF(OR(LEFT(G66)="E",LEFT(G66)="C",LEFT(G66)="N"),"Goods &amp; Services",IF(LEFT(G66)="G", "Travel",IF(OR(LEFT(G66)="J",LEFT(G66)="K"),"Equipment","N/A")))))))</f>
        <v>Goods &amp; Services</v>
      </c>
      <c r="C66" s="6" t="s">
        <v>13</v>
      </c>
      <c r="D66" s="7" t="s">
        <v>14</v>
      </c>
      <c r="E66" s="7" t="s">
        <v>15</v>
      </c>
      <c r="F66" s="7" t="s">
        <v>87</v>
      </c>
      <c r="G66" s="7" t="s">
        <v>48</v>
      </c>
      <c r="H66" s="7" t="s">
        <v>90</v>
      </c>
      <c r="I66" s="7" t="s">
        <v>18</v>
      </c>
      <c r="J66" s="7" t="s">
        <v>18</v>
      </c>
      <c r="K66" s="8">
        <v>0</v>
      </c>
      <c r="L66" s="7">
        <v>505.26</v>
      </c>
      <c r="M66" s="7">
        <v>0</v>
      </c>
      <c r="N66" s="7">
        <v>-505.26</v>
      </c>
      <c r="O66" s="7">
        <v>0</v>
      </c>
      <c r="P66" s="7" t="s">
        <v>88</v>
      </c>
    </row>
    <row r="67" spans="1:16" x14ac:dyDescent="0.2">
      <c r="A67" s="9" t="str">
        <f t="shared" si="4"/>
        <v>4419-COLVILLE STUDENT GOV</v>
      </c>
      <c r="B67" s="7" t="str">
        <f t="shared" si="5"/>
        <v>Goods &amp; Services</v>
      </c>
      <c r="C67" s="6" t="s">
        <v>13</v>
      </c>
      <c r="D67" s="7" t="s">
        <v>14</v>
      </c>
      <c r="E67" s="7" t="s">
        <v>15</v>
      </c>
      <c r="F67" s="7" t="s">
        <v>87</v>
      </c>
      <c r="G67" s="7" t="s">
        <v>48</v>
      </c>
      <c r="H67" s="7" t="s">
        <v>70</v>
      </c>
      <c r="I67" s="7" t="s">
        <v>18</v>
      </c>
      <c r="J67" s="7" t="s">
        <v>18</v>
      </c>
      <c r="K67" s="8">
        <v>0</v>
      </c>
      <c r="L67" s="7">
        <v>5179.3100000000004</v>
      </c>
      <c r="M67" s="7">
        <v>0</v>
      </c>
      <c r="N67" s="7">
        <v>-5179.3100000000004</v>
      </c>
      <c r="O67" s="7">
        <v>0</v>
      </c>
      <c r="P67" s="7" t="s">
        <v>88</v>
      </c>
    </row>
    <row r="68" spans="1:16" x14ac:dyDescent="0.2">
      <c r="A68" s="9" t="str">
        <f t="shared" si="4"/>
        <v>4419-COLVILLE STUDENT GOV</v>
      </c>
      <c r="B68" s="7" t="str">
        <f t="shared" si="5"/>
        <v>Travel</v>
      </c>
      <c r="C68" s="6" t="s">
        <v>13</v>
      </c>
      <c r="D68" s="7" t="s">
        <v>14</v>
      </c>
      <c r="E68" s="7" t="s">
        <v>15</v>
      </c>
      <c r="F68" s="7" t="s">
        <v>87</v>
      </c>
      <c r="G68" s="7" t="s">
        <v>74</v>
      </c>
      <c r="H68" s="7" t="s">
        <v>91</v>
      </c>
      <c r="I68" s="7" t="s">
        <v>18</v>
      </c>
      <c r="J68" s="7" t="s">
        <v>18</v>
      </c>
      <c r="K68" s="8">
        <v>0</v>
      </c>
      <c r="L68" s="7">
        <v>621.5</v>
      </c>
      <c r="M68" s="7">
        <v>0</v>
      </c>
      <c r="N68" s="7">
        <v>-621.5</v>
      </c>
      <c r="O68" s="7">
        <v>0</v>
      </c>
      <c r="P68" s="7" t="s">
        <v>88</v>
      </c>
    </row>
    <row r="69" spans="1:16" x14ac:dyDescent="0.2">
      <c r="A69" s="9" t="str">
        <f t="shared" si="4"/>
        <v>4419-COLVILLE STUDENT GOV</v>
      </c>
      <c r="B69" s="7" t="str">
        <f t="shared" si="5"/>
        <v>Equipment</v>
      </c>
      <c r="C69" s="6" t="s">
        <v>13</v>
      </c>
      <c r="D69" s="7" t="s">
        <v>14</v>
      </c>
      <c r="E69" s="7" t="s">
        <v>15</v>
      </c>
      <c r="F69" s="7" t="s">
        <v>87</v>
      </c>
      <c r="G69" s="7" t="s">
        <v>82</v>
      </c>
      <c r="H69" s="7" t="s">
        <v>23</v>
      </c>
      <c r="I69" s="7" t="s">
        <v>18</v>
      </c>
      <c r="J69" s="7" t="s">
        <v>18</v>
      </c>
      <c r="K69" s="8">
        <v>0</v>
      </c>
      <c r="L69" s="7">
        <v>3182.62</v>
      </c>
      <c r="M69" s="7">
        <v>0</v>
      </c>
      <c r="N69" s="7">
        <v>-3182.62</v>
      </c>
      <c r="O69" s="7">
        <v>0</v>
      </c>
      <c r="P69" s="7" t="s">
        <v>88</v>
      </c>
    </row>
    <row r="70" spans="1:16" x14ac:dyDescent="0.2">
      <c r="A70" s="9" t="str">
        <f t="shared" si="4"/>
        <v>4419-COLVILLE STUDENT GOV</v>
      </c>
      <c r="B70" s="7" t="str">
        <f t="shared" si="5"/>
        <v>Goods &amp; Services</v>
      </c>
      <c r="C70" s="6" t="s">
        <v>13</v>
      </c>
      <c r="D70" s="7" t="s">
        <v>14</v>
      </c>
      <c r="E70" s="7" t="s">
        <v>15</v>
      </c>
      <c r="F70" s="7" t="s">
        <v>87</v>
      </c>
      <c r="G70" s="7" t="s">
        <v>71</v>
      </c>
      <c r="H70" s="7" t="s">
        <v>23</v>
      </c>
      <c r="I70" s="7" t="s">
        <v>18</v>
      </c>
      <c r="J70" s="7" t="s">
        <v>18</v>
      </c>
      <c r="K70" s="8">
        <v>0</v>
      </c>
      <c r="L70" s="7">
        <v>200</v>
      </c>
      <c r="M70" s="7">
        <v>0</v>
      </c>
      <c r="N70" s="7">
        <v>-200</v>
      </c>
      <c r="O70" s="7">
        <v>0</v>
      </c>
      <c r="P70" s="7" t="s">
        <v>88</v>
      </c>
    </row>
    <row r="71" spans="1:16" x14ac:dyDescent="0.2">
      <c r="A71" s="9" t="str">
        <f t="shared" si="4"/>
        <v>4420-BETA EPSILON ZETA</v>
      </c>
      <c r="B71" s="7" t="str">
        <f t="shared" si="5"/>
        <v>Revenue</v>
      </c>
      <c r="C71" s="6" t="s">
        <v>13</v>
      </c>
      <c r="D71" s="7" t="s">
        <v>14</v>
      </c>
      <c r="E71" s="7" t="s">
        <v>15</v>
      </c>
      <c r="F71" s="7" t="s">
        <v>92</v>
      </c>
      <c r="G71" s="7" t="s">
        <v>18</v>
      </c>
      <c r="H71" s="7" t="s">
        <v>18</v>
      </c>
      <c r="I71" s="7" t="s">
        <v>51</v>
      </c>
      <c r="J71" s="7" t="s">
        <v>93</v>
      </c>
      <c r="K71" s="8">
        <v>0</v>
      </c>
      <c r="L71" s="7">
        <v>-1560</v>
      </c>
      <c r="M71" s="7">
        <v>0</v>
      </c>
      <c r="N71" s="7">
        <v>1560</v>
      </c>
      <c r="O71" s="7">
        <v>0</v>
      </c>
      <c r="P71" s="7" t="s">
        <v>94</v>
      </c>
    </row>
    <row r="72" spans="1:16" x14ac:dyDescent="0.2">
      <c r="A72" s="9" t="str">
        <f t="shared" si="4"/>
        <v>4420-BETA EPSILON ZETA</v>
      </c>
      <c r="B72" s="7" t="str">
        <f t="shared" si="5"/>
        <v>Goods &amp; Services</v>
      </c>
      <c r="C72" s="6" t="s">
        <v>13</v>
      </c>
      <c r="D72" s="7" t="s">
        <v>14</v>
      </c>
      <c r="E72" s="7" t="s">
        <v>15</v>
      </c>
      <c r="F72" s="7" t="s">
        <v>92</v>
      </c>
      <c r="G72" s="7" t="s">
        <v>22</v>
      </c>
      <c r="H72" s="7" t="s">
        <v>23</v>
      </c>
      <c r="I72" s="7" t="s">
        <v>18</v>
      </c>
      <c r="J72" s="7" t="s">
        <v>18</v>
      </c>
      <c r="K72" s="8">
        <v>0</v>
      </c>
      <c r="L72" s="7">
        <v>447.08</v>
      </c>
      <c r="M72" s="7">
        <v>0</v>
      </c>
      <c r="N72" s="7">
        <v>-447.08</v>
      </c>
      <c r="O72" s="7">
        <v>0</v>
      </c>
      <c r="P72" s="7" t="s">
        <v>94</v>
      </c>
    </row>
    <row r="73" spans="1:16" x14ac:dyDescent="0.2">
      <c r="A73" s="9" t="str">
        <f t="shared" si="4"/>
        <v>4420-BETA EPSILON ZETA</v>
      </c>
      <c r="B73" s="7" t="str">
        <f t="shared" si="5"/>
        <v>Goods &amp; Services</v>
      </c>
      <c r="C73" s="6" t="s">
        <v>13</v>
      </c>
      <c r="D73" s="7" t="s">
        <v>14</v>
      </c>
      <c r="E73" s="7" t="s">
        <v>15</v>
      </c>
      <c r="F73" s="7" t="s">
        <v>92</v>
      </c>
      <c r="G73" s="7" t="s">
        <v>95</v>
      </c>
      <c r="H73" s="7" t="s">
        <v>96</v>
      </c>
      <c r="I73" s="7" t="s">
        <v>18</v>
      </c>
      <c r="J73" s="7" t="s">
        <v>18</v>
      </c>
      <c r="K73" s="8">
        <v>0</v>
      </c>
      <c r="L73" s="7">
        <v>1620</v>
      </c>
      <c r="M73" s="7">
        <v>0</v>
      </c>
      <c r="N73" s="7">
        <v>-1620</v>
      </c>
      <c r="O73" s="7">
        <v>0</v>
      </c>
      <c r="P73" s="7" t="s">
        <v>94</v>
      </c>
    </row>
    <row r="74" spans="1:16" x14ac:dyDescent="0.2">
      <c r="A74" s="9" t="str">
        <f t="shared" si="4"/>
        <v>4421-COLVILLE REC CTR REV</v>
      </c>
      <c r="B74" s="7" t="str">
        <f t="shared" si="5"/>
        <v>Goods &amp; Services</v>
      </c>
      <c r="C74" s="6" t="s">
        <v>13</v>
      </c>
      <c r="D74" s="7" t="s">
        <v>14</v>
      </c>
      <c r="E74" s="7" t="s">
        <v>15</v>
      </c>
      <c r="F74" s="7" t="s">
        <v>97</v>
      </c>
      <c r="G74" s="7" t="s">
        <v>22</v>
      </c>
      <c r="H74" s="7" t="s">
        <v>23</v>
      </c>
      <c r="I74" s="7" t="s">
        <v>18</v>
      </c>
      <c r="J74" s="7" t="s">
        <v>18</v>
      </c>
      <c r="K74" s="8">
        <v>0</v>
      </c>
      <c r="L74" s="7">
        <v>482.79</v>
      </c>
      <c r="M74" s="7">
        <v>0</v>
      </c>
      <c r="N74" s="7">
        <v>-482.79</v>
      </c>
      <c r="O74" s="7">
        <v>0</v>
      </c>
      <c r="P74" s="7" t="s">
        <v>98</v>
      </c>
    </row>
    <row r="75" spans="1:16" x14ac:dyDescent="0.2">
      <c r="A75" s="9" t="str">
        <f t="shared" si="4"/>
        <v>4421-COLVILLE REC CTR REV</v>
      </c>
      <c r="B75" s="7" t="str">
        <f t="shared" si="5"/>
        <v>Goods &amp; Services</v>
      </c>
      <c r="C75" s="6" t="s">
        <v>13</v>
      </c>
      <c r="D75" s="7" t="s">
        <v>14</v>
      </c>
      <c r="E75" s="7" t="s">
        <v>15</v>
      </c>
      <c r="F75" s="7" t="s">
        <v>97</v>
      </c>
      <c r="G75" s="7" t="s">
        <v>95</v>
      </c>
      <c r="H75" s="7" t="s">
        <v>49</v>
      </c>
      <c r="I75" s="7" t="s">
        <v>18</v>
      </c>
      <c r="J75" s="7" t="s">
        <v>18</v>
      </c>
      <c r="K75" s="8">
        <v>0</v>
      </c>
      <c r="L75" s="7">
        <v>59.24</v>
      </c>
      <c r="M75" s="7">
        <v>0</v>
      </c>
      <c r="N75" s="7">
        <v>-59.24</v>
      </c>
      <c r="O75" s="7">
        <v>0</v>
      </c>
      <c r="P75" s="7" t="s">
        <v>98</v>
      </c>
    </row>
    <row r="76" spans="1:16" x14ac:dyDescent="0.2">
      <c r="A76" s="9" t="str">
        <f t="shared" si="4"/>
        <v>4421-COLVILLE REC CTR REV</v>
      </c>
      <c r="B76" s="7" t="str">
        <f t="shared" si="5"/>
        <v>Equipment</v>
      </c>
      <c r="C76" s="6" t="s">
        <v>13</v>
      </c>
      <c r="D76" s="7" t="s">
        <v>14</v>
      </c>
      <c r="E76" s="7" t="s">
        <v>15</v>
      </c>
      <c r="F76" s="7" t="s">
        <v>97</v>
      </c>
      <c r="G76" s="7" t="s">
        <v>25</v>
      </c>
      <c r="H76" s="7" t="s">
        <v>18</v>
      </c>
      <c r="I76" s="7" t="s">
        <v>18</v>
      </c>
      <c r="J76" s="7" t="s">
        <v>18</v>
      </c>
      <c r="K76" s="8">
        <v>0</v>
      </c>
      <c r="L76" s="7">
        <v>6697.66</v>
      </c>
      <c r="M76" s="7">
        <v>0</v>
      </c>
      <c r="N76" s="7">
        <v>-6697.66</v>
      </c>
      <c r="O76" s="7">
        <v>0</v>
      </c>
      <c r="P76" s="7" t="s">
        <v>98</v>
      </c>
    </row>
    <row r="77" spans="1:16" x14ac:dyDescent="0.2">
      <c r="A77" s="9" t="str">
        <f t="shared" si="4"/>
        <v>4422-N PEND ORE STDNT GOV</v>
      </c>
      <c r="B77" s="7" t="str">
        <f t="shared" si="5"/>
        <v>Carryforward</v>
      </c>
      <c r="C77" s="6" t="s">
        <v>13</v>
      </c>
      <c r="D77" s="7" t="s">
        <v>14</v>
      </c>
      <c r="E77" s="7" t="s">
        <v>15</v>
      </c>
      <c r="F77" s="7" t="s">
        <v>99</v>
      </c>
      <c r="G77" s="7" t="s">
        <v>18</v>
      </c>
      <c r="H77" s="7" t="s">
        <v>18</v>
      </c>
      <c r="I77" s="7" t="s">
        <v>44</v>
      </c>
      <c r="J77" s="7" t="s">
        <v>18</v>
      </c>
      <c r="K77" s="8">
        <v>0</v>
      </c>
      <c r="L77" s="7">
        <v>-97</v>
      </c>
      <c r="M77" s="7">
        <v>0</v>
      </c>
      <c r="N77" s="7">
        <v>97</v>
      </c>
      <c r="O77" s="7">
        <v>0</v>
      </c>
      <c r="P77" s="7" t="s">
        <v>100</v>
      </c>
    </row>
    <row r="78" spans="1:16" x14ac:dyDescent="0.2">
      <c r="A78" s="9" t="str">
        <f t="shared" si="4"/>
        <v>4422-N PEND ORE STDNT GOV</v>
      </c>
      <c r="B78" s="7" t="str">
        <f t="shared" si="5"/>
        <v>Goods &amp; Services</v>
      </c>
      <c r="C78" s="6" t="s">
        <v>13</v>
      </c>
      <c r="D78" s="7" t="s">
        <v>14</v>
      </c>
      <c r="E78" s="7" t="s">
        <v>15</v>
      </c>
      <c r="F78" s="7" t="s">
        <v>99</v>
      </c>
      <c r="G78" s="7" t="s">
        <v>17</v>
      </c>
      <c r="H78" s="7" t="s">
        <v>18</v>
      </c>
      <c r="I78" s="7" t="s">
        <v>18</v>
      </c>
      <c r="J78" s="7" t="s">
        <v>18</v>
      </c>
      <c r="K78" s="8">
        <v>1100</v>
      </c>
      <c r="L78" s="7">
        <v>0</v>
      </c>
      <c r="M78" s="7">
        <v>0</v>
      </c>
      <c r="N78" s="7">
        <v>1100</v>
      </c>
      <c r="O78" s="7">
        <v>0</v>
      </c>
      <c r="P78" s="7" t="s">
        <v>100</v>
      </c>
    </row>
    <row r="79" spans="1:16" x14ac:dyDescent="0.2">
      <c r="A79" s="9" t="str">
        <f t="shared" si="4"/>
        <v>4423-PULLMAN STUDENT GOVT</v>
      </c>
      <c r="B79" s="7" t="str">
        <f t="shared" si="5"/>
        <v>Carryforward</v>
      </c>
      <c r="C79" s="6" t="s">
        <v>13</v>
      </c>
      <c r="D79" s="7" t="s">
        <v>14</v>
      </c>
      <c r="E79" s="7" t="s">
        <v>15</v>
      </c>
      <c r="F79" s="7" t="s">
        <v>101</v>
      </c>
      <c r="G79" s="7" t="s">
        <v>18</v>
      </c>
      <c r="H79" s="7" t="s">
        <v>18</v>
      </c>
      <c r="I79" s="7" t="s">
        <v>44</v>
      </c>
      <c r="J79" s="7" t="s">
        <v>18</v>
      </c>
      <c r="K79" s="8">
        <v>0</v>
      </c>
      <c r="L79" s="7">
        <v>-771</v>
      </c>
      <c r="M79" s="7">
        <v>0</v>
      </c>
      <c r="N79" s="7">
        <v>771</v>
      </c>
      <c r="O79" s="7">
        <v>0</v>
      </c>
      <c r="P79" s="7" t="s">
        <v>102</v>
      </c>
    </row>
    <row r="80" spans="1:16" x14ac:dyDescent="0.2">
      <c r="A80" s="9" t="str">
        <f t="shared" si="4"/>
        <v>4423-PULLMAN STUDENT GOVT</v>
      </c>
      <c r="B80" s="7" t="str">
        <f t="shared" si="5"/>
        <v>Revenue</v>
      </c>
      <c r="C80" s="6" t="s">
        <v>13</v>
      </c>
      <c r="D80" s="7" t="s">
        <v>14</v>
      </c>
      <c r="E80" s="7" t="s">
        <v>15</v>
      </c>
      <c r="F80" s="7" t="s">
        <v>101</v>
      </c>
      <c r="G80" s="7" t="s">
        <v>18</v>
      </c>
      <c r="H80" s="7" t="s">
        <v>18</v>
      </c>
      <c r="I80" s="7" t="s">
        <v>51</v>
      </c>
      <c r="J80" s="7" t="s">
        <v>18</v>
      </c>
      <c r="K80" s="8">
        <v>0</v>
      </c>
      <c r="L80" s="7">
        <v>-312</v>
      </c>
      <c r="M80" s="7">
        <v>0</v>
      </c>
      <c r="N80" s="7">
        <v>312</v>
      </c>
      <c r="O80" s="7">
        <v>0</v>
      </c>
      <c r="P80" s="7" t="s">
        <v>102</v>
      </c>
    </row>
    <row r="81" spans="1:16" x14ac:dyDescent="0.2">
      <c r="A81" s="9" t="str">
        <f t="shared" si="4"/>
        <v>4423-PULLMAN STUDENT GOVT</v>
      </c>
      <c r="B81" s="7" t="str">
        <f t="shared" si="5"/>
        <v>Goods &amp; Services</v>
      </c>
      <c r="C81" s="6" t="s">
        <v>13</v>
      </c>
      <c r="D81" s="7" t="s">
        <v>14</v>
      </c>
      <c r="E81" s="7" t="s">
        <v>15</v>
      </c>
      <c r="F81" s="7" t="s">
        <v>101</v>
      </c>
      <c r="G81" s="7" t="s">
        <v>17</v>
      </c>
      <c r="H81" s="7" t="s">
        <v>18</v>
      </c>
      <c r="I81" s="7" t="s">
        <v>18</v>
      </c>
      <c r="J81" s="7" t="s">
        <v>18</v>
      </c>
      <c r="K81" s="8">
        <v>10850</v>
      </c>
      <c r="L81" s="7">
        <v>0</v>
      </c>
      <c r="M81" s="7">
        <v>0</v>
      </c>
      <c r="N81" s="7">
        <v>10850</v>
      </c>
      <c r="O81" s="7">
        <v>0</v>
      </c>
      <c r="P81" s="7" t="s">
        <v>102</v>
      </c>
    </row>
    <row r="82" spans="1:16" x14ac:dyDescent="0.2">
      <c r="A82" s="9" t="str">
        <f t="shared" si="4"/>
        <v>4423-PULLMAN STUDENT GOVT</v>
      </c>
      <c r="B82" s="7" t="str">
        <f t="shared" si="5"/>
        <v>Goods &amp; Services</v>
      </c>
      <c r="C82" s="6" t="s">
        <v>13</v>
      </c>
      <c r="D82" s="7" t="s">
        <v>14</v>
      </c>
      <c r="E82" s="7" t="s">
        <v>15</v>
      </c>
      <c r="F82" s="7" t="s">
        <v>101</v>
      </c>
      <c r="G82" s="7" t="s">
        <v>22</v>
      </c>
      <c r="H82" s="7" t="s">
        <v>23</v>
      </c>
      <c r="I82" s="7" t="s">
        <v>18</v>
      </c>
      <c r="J82" s="7" t="s">
        <v>18</v>
      </c>
      <c r="K82" s="8">
        <v>0</v>
      </c>
      <c r="L82" s="7">
        <v>3513.07</v>
      </c>
      <c r="M82" s="7">
        <v>0</v>
      </c>
      <c r="N82" s="7">
        <v>-3513.07</v>
      </c>
      <c r="O82" s="7">
        <v>0</v>
      </c>
      <c r="P82" s="7" t="s">
        <v>102</v>
      </c>
    </row>
    <row r="83" spans="1:16" x14ac:dyDescent="0.2">
      <c r="A83" s="9" t="str">
        <f t="shared" si="4"/>
        <v>4423-PULLMAN STUDENT GOVT</v>
      </c>
      <c r="B83" s="7" t="str">
        <f t="shared" si="5"/>
        <v>Goods &amp; Services</v>
      </c>
      <c r="C83" s="6" t="s">
        <v>13</v>
      </c>
      <c r="D83" s="7" t="s">
        <v>14</v>
      </c>
      <c r="E83" s="7" t="s">
        <v>15</v>
      </c>
      <c r="F83" s="7" t="s">
        <v>101</v>
      </c>
      <c r="G83" s="7" t="s">
        <v>28</v>
      </c>
      <c r="H83" s="7" t="s">
        <v>23</v>
      </c>
      <c r="I83" s="7" t="s">
        <v>18</v>
      </c>
      <c r="J83" s="7" t="s">
        <v>18</v>
      </c>
      <c r="K83" s="8">
        <v>0</v>
      </c>
      <c r="L83" s="7">
        <v>30</v>
      </c>
      <c r="M83" s="7">
        <v>0</v>
      </c>
      <c r="N83" s="7">
        <v>-30</v>
      </c>
      <c r="O83" s="7">
        <v>0</v>
      </c>
      <c r="P83" s="7" t="s">
        <v>102</v>
      </c>
    </row>
    <row r="84" spans="1:16" x14ac:dyDescent="0.2">
      <c r="A84" s="9" t="str">
        <f t="shared" si="4"/>
        <v>4423-PULLMAN STUDENT GOVT</v>
      </c>
      <c r="B84" s="7" t="str">
        <f t="shared" si="5"/>
        <v>Goods &amp; Services</v>
      </c>
      <c r="C84" s="6" t="s">
        <v>13</v>
      </c>
      <c r="D84" s="7" t="s">
        <v>14</v>
      </c>
      <c r="E84" s="7" t="s">
        <v>15</v>
      </c>
      <c r="F84" s="7" t="s">
        <v>101</v>
      </c>
      <c r="G84" s="7" t="s">
        <v>85</v>
      </c>
      <c r="H84" s="7" t="s">
        <v>23</v>
      </c>
      <c r="I84" s="7" t="s">
        <v>18</v>
      </c>
      <c r="J84" s="7" t="s">
        <v>18</v>
      </c>
      <c r="K84" s="8">
        <v>0</v>
      </c>
      <c r="L84" s="7">
        <v>1059.67</v>
      </c>
      <c r="M84" s="7">
        <v>0</v>
      </c>
      <c r="N84" s="7">
        <v>-1059.67</v>
      </c>
      <c r="O84" s="7">
        <v>0</v>
      </c>
      <c r="P84" s="7" t="s">
        <v>102</v>
      </c>
    </row>
    <row r="85" spans="1:16" x14ac:dyDescent="0.2">
      <c r="A85" s="9" t="str">
        <f t="shared" si="4"/>
        <v>4423-PULLMAN STUDENT GOVT</v>
      </c>
      <c r="B85" s="7" t="str">
        <f t="shared" si="5"/>
        <v>Goods &amp; Services</v>
      </c>
      <c r="C85" s="6" t="s">
        <v>13</v>
      </c>
      <c r="D85" s="7" t="s">
        <v>14</v>
      </c>
      <c r="E85" s="7" t="s">
        <v>15</v>
      </c>
      <c r="F85" s="7" t="s">
        <v>101</v>
      </c>
      <c r="G85" s="7" t="s">
        <v>81</v>
      </c>
      <c r="H85" s="7" t="s">
        <v>91</v>
      </c>
      <c r="I85" s="7" t="s">
        <v>18</v>
      </c>
      <c r="J85" s="7" t="s">
        <v>18</v>
      </c>
      <c r="K85" s="8">
        <v>0</v>
      </c>
      <c r="L85" s="7">
        <v>136.37</v>
      </c>
      <c r="M85" s="7">
        <v>0</v>
      </c>
      <c r="N85" s="7">
        <v>-136.37</v>
      </c>
      <c r="O85" s="7">
        <v>0</v>
      </c>
      <c r="P85" s="7" t="s">
        <v>102</v>
      </c>
    </row>
    <row r="86" spans="1:16" x14ac:dyDescent="0.2">
      <c r="A86" s="9" t="str">
        <f t="shared" si="4"/>
        <v>4423-PULLMAN STUDENT GOVT</v>
      </c>
      <c r="B86" s="7" t="str">
        <f t="shared" si="5"/>
        <v>Goods &amp; Services</v>
      </c>
      <c r="C86" s="6" t="s">
        <v>13</v>
      </c>
      <c r="D86" s="7" t="s">
        <v>14</v>
      </c>
      <c r="E86" s="7" t="s">
        <v>15</v>
      </c>
      <c r="F86" s="7" t="s">
        <v>101</v>
      </c>
      <c r="G86" s="7" t="s">
        <v>48</v>
      </c>
      <c r="H86" s="7" t="s">
        <v>23</v>
      </c>
      <c r="I86" s="7" t="s">
        <v>18</v>
      </c>
      <c r="J86" s="7" t="s">
        <v>18</v>
      </c>
      <c r="K86" s="8">
        <v>0</v>
      </c>
      <c r="L86" s="7">
        <v>257.67</v>
      </c>
      <c r="M86" s="7">
        <v>0</v>
      </c>
      <c r="N86" s="7">
        <v>-257.67</v>
      </c>
      <c r="O86" s="7">
        <v>0</v>
      </c>
      <c r="P86" s="7" t="s">
        <v>102</v>
      </c>
    </row>
    <row r="87" spans="1:16" x14ac:dyDescent="0.2">
      <c r="A87" s="9" t="str">
        <f t="shared" si="4"/>
        <v>4423-PULLMAN STUDENT GOVT</v>
      </c>
      <c r="B87" s="7" t="str">
        <f t="shared" si="5"/>
        <v>Goods &amp; Services</v>
      </c>
      <c r="C87" s="6" t="s">
        <v>13</v>
      </c>
      <c r="D87" s="7" t="s">
        <v>14</v>
      </c>
      <c r="E87" s="7" t="s">
        <v>15</v>
      </c>
      <c r="F87" s="7" t="s">
        <v>101</v>
      </c>
      <c r="G87" s="7" t="s">
        <v>48</v>
      </c>
      <c r="H87" s="7" t="s">
        <v>70</v>
      </c>
      <c r="I87" s="7" t="s">
        <v>18</v>
      </c>
      <c r="J87" s="7" t="s">
        <v>18</v>
      </c>
      <c r="K87" s="8">
        <v>0</v>
      </c>
      <c r="L87" s="7">
        <v>3102.76</v>
      </c>
      <c r="M87" s="7">
        <v>0</v>
      </c>
      <c r="N87" s="7">
        <v>-3102.76</v>
      </c>
      <c r="O87" s="7">
        <v>0</v>
      </c>
      <c r="P87" s="7" t="s">
        <v>102</v>
      </c>
    </row>
    <row r="88" spans="1:16" x14ac:dyDescent="0.2">
      <c r="A88" s="9" t="str">
        <f t="shared" si="4"/>
        <v>4423-PULLMAN STUDENT GOVT</v>
      </c>
      <c r="B88" s="7" t="str">
        <f t="shared" si="5"/>
        <v>Travel</v>
      </c>
      <c r="C88" s="6" t="s">
        <v>13</v>
      </c>
      <c r="D88" s="7" t="s">
        <v>14</v>
      </c>
      <c r="E88" s="7" t="s">
        <v>15</v>
      </c>
      <c r="F88" s="7" t="s">
        <v>101</v>
      </c>
      <c r="G88" s="7" t="s">
        <v>74</v>
      </c>
      <c r="H88" s="7" t="s">
        <v>70</v>
      </c>
      <c r="I88" s="7" t="s">
        <v>18</v>
      </c>
      <c r="J88" s="7" t="s">
        <v>18</v>
      </c>
      <c r="K88" s="8">
        <v>0</v>
      </c>
      <c r="L88" s="7">
        <v>148.94999999999999</v>
      </c>
      <c r="M88" s="7">
        <v>0</v>
      </c>
      <c r="N88" s="7">
        <v>-148.94999999999999</v>
      </c>
      <c r="O88" s="7">
        <v>0</v>
      </c>
      <c r="P88" s="7" t="s">
        <v>102</v>
      </c>
    </row>
    <row r="89" spans="1:16" x14ac:dyDescent="0.2">
      <c r="A89" s="9" t="str">
        <f t="shared" si="4"/>
        <v>4423-PULLMAN STUDENT GOVT</v>
      </c>
      <c r="B89" s="7" t="str">
        <f t="shared" si="5"/>
        <v>Equipment</v>
      </c>
      <c r="C89" s="6" t="s">
        <v>13</v>
      </c>
      <c r="D89" s="7" t="s">
        <v>14</v>
      </c>
      <c r="E89" s="7" t="s">
        <v>15</v>
      </c>
      <c r="F89" s="7" t="s">
        <v>101</v>
      </c>
      <c r="G89" s="7" t="s">
        <v>82</v>
      </c>
      <c r="H89" s="7" t="s">
        <v>23</v>
      </c>
      <c r="I89" s="7" t="s">
        <v>18</v>
      </c>
      <c r="J89" s="7" t="s">
        <v>18</v>
      </c>
      <c r="K89" s="8">
        <v>0</v>
      </c>
      <c r="L89" s="7">
        <v>1412</v>
      </c>
      <c r="M89" s="7">
        <v>0</v>
      </c>
      <c r="N89" s="7">
        <v>-1412</v>
      </c>
      <c r="O89" s="7">
        <v>0</v>
      </c>
      <c r="P89" s="7" t="s">
        <v>102</v>
      </c>
    </row>
    <row r="90" spans="1:16" x14ac:dyDescent="0.2">
      <c r="A90" s="9" t="str">
        <f t="shared" si="4"/>
        <v>4426-LODGE/MGNSN STDNT GV</v>
      </c>
      <c r="B90" s="7" t="str">
        <f t="shared" si="5"/>
        <v>Goods &amp; Services</v>
      </c>
      <c r="C90" s="6" t="s">
        <v>13</v>
      </c>
      <c r="D90" s="7" t="s">
        <v>14</v>
      </c>
      <c r="E90" s="7" t="s">
        <v>15</v>
      </c>
      <c r="F90" s="7" t="s">
        <v>105</v>
      </c>
      <c r="G90" s="7" t="s">
        <v>17</v>
      </c>
      <c r="H90" s="7" t="s">
        <v>18</v>
      </c>
      <c r="I90" s="7" t="s">
        <v>18</v>
      </c>
      <c r="J90" s="7" t="s">
        <v>18</v>
      </c>
      <c r="K90" s="8">
        <v>1000</v>
      </c>
      <c r="L90" s="7">
        <v>0</v>
      </c>
      <c r="M90" s="7">
        <v>0</v>
      </c>
      <c r="N90" s="7">
        <v>1000</v>
      </c>
      <c r="O90" s="7">
        <v>0</v>
      </c>
      <c r="P90" s="7" t="s">
        <v>106</v>
      </c>
    </row>
    <row r="91" spans="1:16" x14ac:dyDescent="0.2">
      <c r="A91" s="9" t="str">
        <f t="shared" si="4"/>
        <v>4426-LODGE/MGNSN STDNT GV</v>
      </c>
      <c r="B91" s="7" t="str">
        <f t="shared" si="5"/>
        <v>Goods &amp; Services</v>
      </c>
      <c r="C91" s="6" t="s">
        <v>13</v>
      </c>
      <c r="D91" s="7" t="s">
        <v>14</v>
      </c>
      <c r="E91" s="7" t="s">
        <v>15</v>
      </c>
      <c r="F91" s="7" t="s">
        <v>105</v>
      </c>
      <c r="G91" s="7" t="s">
        <v>48</v>
      </c>
      <c r="H91" s="7" t="s">
        <v>70</v>
      </c>
      <c r="I91" s="7" t="s">
        <v>18</v>
      </c>
      <c r="J91" s="7" t="s">
        <v>18</v>
      </c>
      <c r="K91" s="8">
        <v>0</v>
      </c>
      <c r="L91" s="7">
        <v>651.82000000000005</v>
      </c>
      <c r="M91" s="7">
        <v>0</v>
      </c>
      <c r="N91" s="7">
        <v>-651.82000000000005</v>
      </c>
      <c r="O91" s="7">
        <v>0</v>
      </c>
      <c r="P91" s="7" t="s">
        <v>106</v>
      </c>
    </row>
    <row r="92" spans="1:16" x14ac:dyDescent="0.2">
      <c r="A92" s="9" t="str">
        <f t="shared" si="4"/>
        <v>4436-CREDIT ORIENTATION</v>
      </c>
      <c r="B92" s="7" t="str">
        <f t="shared" si="5"/>
        <v>Goods &amp; Services</v>
      </c>
      <c r="C92" s="6" t="s">
        <v>13</v>
      </c>
      <c r="D92" s="7" t="s">
        <v>14</v>
      </c>
      <c r="E92" s="7" t="s">
        <v>15</v>
      </c>
      <c r="F92" s="7" t="s">
        <v>107</v>
      </c>
      <c r="G92" s="7" t="s">
        <v>17</v>
      </c>
      <c r="H92" s="7" t="s">
        <v>18</v>
      </c>
      <c r="I92" s="7" t="s">
        <v>18</v>
      </c>
      <c r="J92" s="7" t="s">
        <v>18</v>
      </c>
      <c r="K92" s="8">
        <v>2450</v>
      </c>
      <c r="L92" s="7">
        <v>0</v>
      </c>
      <c r="M92" s="7">
        <v>0</v>
      </c>
      <c r="N92" s="7">
        <v>2450</v>
      </c>
      <c r="O92" s="7">
        <v>0</v>
      </c>
      <c r="P92" s="7" t="s">
        <v>108</v>
      </c>
    </row>
    <row r="93" spans="1:16" x14ac:dyDescent="0.2">
      <c r="A93" s="9" t="str">
        <f t="shared" si="4"/>
        <v>4439-NEW ACTIVITIES</v>
      </c>
      <c r="B93" s="7" t="str">
        <f t="shared" si="5"/>
        <v>Goods &amp; Services</v>
      </c>
      <c r="C93" s="6" t="s">
        <v>13</v>
      </c>
      <c r="D93" s="7" t="s">
        <v>14</v>
      </c>
      <c r="E93" s="7" t="s">
        <v>15</v>
      </c>
      <c r="F93" s="7" t="s">
        <v>109</v>
      </c>
      <c r="G93" s="7" t="s">
        <v>17</v>
      </c>
      <c r="H93" s="7" t="s">
        <v>18</v>
      </c>
      <c r="I93" s="7" t="s">
        <v>18</v>
      </c>
      <c r="J93" s="7" t="s">
        <v>18</v>
      </c>
      <c r="K93" s="8">
        <v>7800</v>
      </c>
      <c r="L93" s="7">
        <v>0</v>
      </c>
      <c r="M93" s="7">
        <v>0</v>
      </c>
      <c r="N93" s="7">
        <v>7800</v>
      </c>
      <c r="O93" s="7">
        <v>0</v>
      </c>
      <c r="P93" s="7" t="s">
        <v>110</v>
      </c>
    </row>
    <row r="94" spans="1:16" x14ac:dyDescent="0.2">
      <c r="A94" s="9" t="str">
        <f t="shared" si="4"/>
        <v>4439-NEW ACTIVITIES</v>
      </c>
      <c r="B94" s="7" t="str">
        <f t="shared" si="5"/>
        <v>Goods &amp; Services</v>
      </c>
      <c r="C94" s="6" t="s">
        <v>13</v>
      </c>
      <c r="D94" s="7" t="s">
        <v>14</v>
      </c>
      <c r="E94" s="7" t="s">
        <v>15</v>
      </c>
      <c r="F94" s="7" t="s">
        <v>109</v>
      </c>
      <c r="G94" s="7" t="s">
        <v>22</v>
      </c>
      <c r="H94" s="7" t="s">
        <v>23</v>
      </c>
      <c r="I94" s="7" t="s">
        <v>18</v>
      </c>
      <c r="J94" s="7" t="s">
        <v>18</v>
      </c>
      <c r="K94" s="8">
        <v>0</v>
      </c>
      <c r="L94" s="7">
        <v>433.32</v>
      </c>
      <c r="M94" s="7">
        <v>0</v>
      </c>
      <c r="N94" s="7">
        <v>-433.32</v>
      </c>
      <c r="O94" s="7">
        <v>0</v>
      </c>
      <c r="P94" s="7" t="s">
        <v>110</v>
      </c>
    </row>
    <row r="95" spans="1:16" x14ac:dyDescent="0.2">
      <c r="A95" s="9" t="str">
        <f t="shared" si="4"/>
        <v>4439-NEW ACTIVITIES</v>
      </c>
      <c r="B95" s="7" t="str">
        <f t="shared" si="5"/>
        <v>Goods &amp; Services</v>
      </c>
      <c r="C95" s="6" t="s">
        <v>13</v>
      </c>
      <c r="D95" s="7" t="s">
        <v>14</v>
      </c>
      <c r="E95" s="7" t="s">
        <v>15</v>
      </c>
      <c r="F95" s="7" t="s">
        <v>109</v>
      </c>
      <c r="G95" s="7" t="s">
        <v>48</v>
      </c>
      <c r="H95" s="7" t="s">
        <v>23</v>
      </c>
      <c r="I95" s="7" t="s">
        <v>18</v>
      </c>
      <c r="J95" s="7" t="s">
        <v>18</v>
      </c>
      <c r="K95" s="8">
        <v>0</v>
      </c>
      <c r="L95" s="7">
        <v>20</v>
      </c>
      <c r="M95" s="7">
        <v>0</v>
      </c>
      <c r="N95" s="7">
        <v>-20</v>
      </c>
      <c r="O95" s="7">
        <v>0</v>
      </c>
      <c r="P95" s="7" t="s">
        <v>110</v>
      </c>
    </row>
    <row r="96" spans="1:16" x14ac:dyDescent="0.2">
      <c r="A96" s="9" t="str">
        <f t="shared" si="4"/>
        <v>4439-NEW ACTIVITIES</v>
      </c>
      <c r="B96" s="7" t="str">
        <f t="shared" si="5"/>
        <v>Goods &amp; Services</v>
      </c>
      <c r="C96" s="6" t="s">
        <v>13</v>
      </c>
      <c r="D96" s="7" t="s">
        <v>14</v>
      </c>
      <c r="E96" s="7" t="s">
        <v>15</v>
      </c>
      <c r="F96" s="7" t="s">
        <v>109</v>
      </c>
      <c r="G96" s="7" t="s">
        <v>48</v>
      </c>
      <c r="H96" s="7" t="s">
        <v>70</v>
      </c>
      <c r="I96" s="7" t="s">
        <v>18</v>
      </c>
      <c r="J96" s="7" t="s">
        <v>18</v>
      </c>
      <c r="K96" s="8">
        <v>0</v>
      </c>
      <c r="L96" s="7">
        <v>2964.12</v>
      </c>
      <c r="M96" s="7">
        <v>0</v>
      </c>
      <c r="N96" s="7">
        <v>-2964.12</v>
      </c>
      <c r="O96" s="7">
        <v>0</v>
      </c>
      <c r="P96" s="7" t="s">
        <v>110</v>
      </c>
    </row>
    <row r="97" spans="1:17" x14ac:dyDescent="0.2">
      <c r="A97" s="9" t="str">
        <f t="shared" si="4"/>
        <v>4439-NEW ACTIVITIES</v>
      </c>
      <c r="B97" s="7" t="str">
        <f t="shared" si="5"/>
        <v>Travel</v>
      </c>
      <c r="C97" s="6" t="s">
        <v>13</v>
      </c>
      <c r="D97" s="7" t="s">
        <v>14</v>
      </c>
      <c r="E97" s="7" t="s">
        <v>15</v>
      </c>
      <c r="F97" s="7" t="s">
        <v>109</v>
      </c>
      <c r="G97" s="7" t="s">
        <v>111</v>
      </c>
      <c r="H97" s="7" t="s">
        <v>23</v>
      </c>
      <c r="I97" s="7" t="s">
        <v>18</v>
      </c>
      <c r="J97" s="7" t="s">
        <v>18</v>
      </c>
      <c r="K97" s="8">
        <v>0</v>
      </c>
      <c r="L97" s="7">
        <v>517.24</v>
      </c>
      <c r="M97" s="7">
        <v>0</v>
      </c>
      <c r="N97" s="7">
        <v>-517.24</v>
      </c>
      <c r="O97" s="7">
        <v>0</v>
      </c>
      <c r="P97" s="7" t="s">
        <v>110</v>
      </c>
    </row>
    <row r="98" spans="1:17" x14ac:dyDescent="0.2">
      <c r="A98" s="9" t="str">
        <f t="shared" ref="A98:A128" si="6">F98&amp;"-"&amp;P98</f>
        <v>4439-NEW ACTIVITIES</v>
      </c>
      <c r="B98" s="7" t="str">
        <f t="shared" ref="B98:B128" si="7">IF(OR(LEFT(I98,2)="09",LEFT(I98,2)="07"),"Carryforward",IF(LEFT(I98,2)="04","Revenue",IF(OR(LEFT(I98,2)="06",LEFT(G98)="T"),"Transfers",IF(OR(LEFT(G98)="A",LEFT(G98)="B"),"Salary &amp; Benefits",IF(OR(LEFT(G98)="E",LEFT(G98)="C",LEFT(G98)="N"),"Goods &amp; Services",IF(LEFT(G98)="G", "Travel",IF(OR(LEFT(G98)="J",LEFT(G98)="K"),"Equipment","N/A")))))))</f>
        <v>Travel</v>
      </c>
      <c r="C98" s="6" t="s">
        <v>13</v>
      </c>
      <c r="D98" s="7" t="s">
        <v>14</v>
      </c>
      <c r="E98" s="7" t="s">
        <v>15</v>
      </c>
      <c r="F98" s="7" t="s">
        <v>109</v>
      </c>
      <c r="G98" s="7" t="s">
        <v>74</v>
      </c>
      <c r="H98" s="7" t="s">
        <v>70</v>
      </c>
      <c r="I98" s="7" t="s">
        <v>18</v>
      </c>
      <c r="J98" s="7" t="s">
        <v>18</v>
      </c>
      <c r="K98" s="8">
        <v>0</v>
      </c>
      <c r="L98" s="7">
        <v>281.14</v>
      </c>
      <c r="M98" s="7">
        <v>0</v>
      </c>
      <c r="N98" s="7">
        <v>-281.14</v>
      </c>
      <c r="O98" s="7">
        <v>0</v>
      </c>
      <c r="P98" s="7" t="s">
        <v>110</v>
      </c>
    </row>
    <row r="99" spans="1:17" x14ac:dyDescent="0.2">
      <c r="A99" s="9" t="str">
        <f t="shared" si="6"/>
        <v>4439-NEW ACTIVITIES</v>
      </c>
      <c r="B99" s="7" t="str">
        <f t="shared" si="7"/>
        <v>Goods &amp; Services</v>
      </c>
      <c r="C99" s="6" t="s">
        <v>13</v>
      </c>
      <c r="D99" s="7" t="s">
        <v>14</v>
      </c>
      <c r="E99" s="7" t="s">
        <v>15</v>
      </c>
      <c r="F99" s="7" t="s">
        <v>109</v>
      </c>
      <c r="G99" s="7" t="s">
        <v>71</v>
      </c>
      <c r="H99" s="7" t="s">
        <v>23</v>
      </c>
      <c r="I99" s="7" t="s">
        <v>18</v>
      </c>
      <c r="J99" s="7" t="s">
        <v>18</v>
      </c>
      <c r="K99" s="8">
        <v>0</v>
      </c>
      <c r="L99" s="7">
        <v>1993</v>
      </c>
      <c r="M99" s="7">
        <v>0</v>
      </c>
      <c r="N99" s="7">
        <v>-1993</v>
      </c>
      <c r="O99" s="7">
        <v>0</v>
      </c>
      <c r="P99" s="7" t="s">
        <v>110</v>
      </c>
    </row>
    <row r="100" spans="1:17" x14ac:dyDescent="0.2">
      <c r="A100" s="9" t="str">
        <f t="shared" si="6"/>
        <v>4440-STUDENT LEADERSHIP</v>
      </c>
      <c r="B100" s="7" t="str">
        <f t="shared" si="7"/>
        <v>Goods &amp; Services</v>
      </c>
      <c r="C100" s="6" t="s">
        <v>13</v>
      </c>
      <c r="D100" s="7" t="s">
        <v>14</v>
      </c>
      <c r="E100" s="7" t="s">
        <v>15</v>
      </c>
      <c r="F100" s="7" t="s">
        <v>112</v>
      </c>
      <c r="G100" s="7" t="s">
        <v>17</v>
      </c>
      <c r="H100" s="7" t="s">
        <v>18</v>
      </c>
      <c r="I100" s="7" t="s">
        <v>18</v>
      </c>
      <c r="J100" s="7" t="s">
        <v>18</v>
      </c>
      <c r="K100" s="8">
        <v>4000</v>
      </c>
      <c r="L100" s="7">
        <v>0</v>
      </c>
      <c r="M100" s="7">
        <v>0</v>
      </c>
      <c r="N100" s="7">
        <v>4000</v>
      </c>
      <c r="O100" s="7">
        <v>0</v>
      </c>
      <c r="P100" s="7" t="s">
        <v>113</v>
      </c>
    </row>
    <row r="101" spans="1:17" x14ac:dyDescent="0.2">
      <c r="A101" s="9" t="str">
        <f t="shared" si="6"/>
        <v>4440-STUDENT LEADERSHIP</v>
      </c>
      <c r="B101" s="7" t="str">
        <f t="shared" si="7"/>
        <v>Goods &amp; Services</v>
      </c>
      <c r="C101" s="6" t="s">
        <v>13</v>
      </c>
      <c r="D101" s="7" t="s">
        <v>14</v>
      </c>
      <c r="E101" s="7" t="s">
        <v>15</v>
      </c>
      <c r="F101" s="7" t="s">
        <v>112</v>
      </c>
      <c r="G101" s="7" t="s">
        <v>22</v>
      </c>
      <c r="H101" s="7" t="s">
        <v>23</v>
      </c>
      <c r="I101" s="7" t="s">
        <v>18</v>
      </c>
      <c r="J101" s="7" t="s">
        <v>18</v>
      </c>
      <c r="K101" s="8">
        <v>0</v>
      </c>
      <c r="L101" s="7">
        <v>369.92</v>
      </c>
      <c r="M101" s="7">
        <v>0</v>
      </c>
      <c r="N101" s="7">
        <v>-369.92</v>
      </c>
      <c r="O101" s="7">
        <v>0</v>
      </c>
      <c r="P101" s="7" t="s">
        <v>113</v>
      </c>
    </row>
    <row r="102" spans="1:17" x14ac:dyDescent="0.2">
      <c r="A102" s="9" t="str">
        <f t="shared" si="6"/>
        <v>4440-STUDENT LEADERSHIP</v>
      </c>
      <c r="B102" s="7" t="str">
        <f t="shared" si="7"/>
        <v>Goods &amp; Services</v>
      </c>
      <c r="C102" s="6" t="s">
        <v>13</v>
      </c>
      <c r="D102" s="7" t="s">
        <v>14</v>
      </c>
      <c r="E102" s="7" t="s">
        <v>15</v>
      </c>
      <c r="F102" s="7" t="s">
        <v>112</v>
      </c>
      <c r="G102" s="7" t="s">
        <v>95</v>
      </c>
      <c r="H102" s="7" t="s">
        <v>114</v>
      </c>
      <c r="I102" s="7" t="s">
        <v>18</v>
      </c>
      <c r="J102" s="7" t="s">
        <v>18</v>
      </c>
      <c r="K102" s="8">
        <v>0</v>
      </c>
      <c r="L102" s="7">
        <v>196.5</v>
      </c>
      <c r="M102" s="7">
        <v>0</v>
      </c>
      <c r="N102" s="7">
        <v>-196.5</v>
      </c>
      <c r="O102" s="7">
        <v>0</v>
      </c>
      <c r="P102" s="7" t="s">
        <v>113</v>
      </c>
    </row>
    <row r="103" spans="1:17" x14ac:dyDescent="0.2">
      <c r="A103" s="9" t="str">
        <f t="shared" si="6"/>
        <v>4440-STUDENT LEADERSHIP</v>
      </c>
      <c r="B103" s="7" t="str">
        <f t="shared" si="7"/>
        <v>Goods &amp; Services</v>
      </c>
      <c r="C103" s="6" t="s">
        <v>13</v>
      </c>
      <c r="D103" s="7" t="s">
        <v>14</v>
      </c>
      <c r="E103" s="7" t="s">
        <v>15</v>
      </c>
      <c r="F103" s="7" t="s">
        <v>112</v>
      </c>
      <c r="G103" s="7" t="s">
        <v>48</v>
      </c>
      <c r="H103" s="7" t="s">
        <v>91</v>
      </c>
      <c r="I103" s="7" t="s">
        <v>18</v>
      </c>
      <c r="J103" s="7" t="s">
        <v>18</v>
      </c>
      <c r="K103" s="8">
        <v>0</v>
      </c>
      <c r="L103" s="7">
        <v>1543.92</v>
      </c>
      <c r="M103" s="7">
        <v>0</v>
      </c>
      <c r="N103" s="7">
        <v>-1543.92</v>
      </c>
      <c r="O103" s="7">
        <v>0</v>
      </c>
      <c r="P103" s="7" t="s">
        <v>113</v>
      </c>
    </row>
    <row r="104" spans="1:17" x14ac:dyDescent="0.2">
      <c r="A104" s="9" t="str">
        <f t="shared" si="6"/>
        <v>4440-STUDENT LEADERSHIP</v>
      </c>
      <c r="B104" s="7" t="str">
        <f t="shared" si="7"/>
        <v>Goods &amp; Services</v>
      </c>
      <c r="C104" s="6" t="s">
        <v>13</v>
      </c>
      <c r="D104" s="7" t="s">
        <v>14</v>
      </c>
      <c r="E104" s="7" t="s">
        <v>15</v>
      </c>
      <c r="F104" s="7" t="s">
        <v>112</v>
      </c>
      <c r="G104" s="7" t="s">
        <v>48</v>
      </c>
      <c r="H104" s="7" t="s">
        <v>70</v>
      </c>
      <c r="I104" s="7" t="s">
        <v>18</v>
      </c>
      <c r="J104" s="7" t="s">
        <v>18</v>
      </c>
      <c r="K104" s="8">
        <v>0</v>
      </c>
      <c r="L104" s="7">
        <v>187.75</v>
      </c>
      <c r="M104" s="7">
        <v>0</v>
      </c>
      <c r="N104" s="7">
        <v>-187.75</v>
      </c>
      <c r="O104" s="7">
        <v>0</v>
      </c>
      <c r="P104" s="7" t="s">
        <v>113</v>
      </c>
    </row>
    <row r="105" spans="1:17" x14ac:dyDescent="0.2">
      <c r="A105" s="9" t="str">
        <f t="shared" si="6"/>
        <v>4443-STUDENT AMBASSADORS</v>
      </c>
      <c r="B105" s="7" t="str">
        <f t="shared" si="7"/>
        <v>Salary &amp; Benefits</v>
      </c>
      <c r="C105" s="6" t="s">
        <v>13</v>
      </c>
      <c r="D105" s="7" t="s">
        <v>14</v>
      </c>
      <c r="E105" s="7" t="s">
        <v>15</v>
      </c>
      <c r="F105" s="7" t="s">
        <v>115</v>
      </c>
      <c r="G105" s="7" t="s">
        <v>103</v>
      </c>
      <c r="H105" s="7" t="s">
        <v>104</v>
      </c>
      <c r="I105" s="7" t="s">
        <v>18</v>
      </c>
      <c r="J105" s="7" t="s">
        <v>18</v>
      </c>
      <c r="K105" s="8">
        <v>0</v>
      </c>
      <c r="L105" s="7">
        <v>1415.27</v>
      </c>
      <c r="M105" s="7">
        <v>0</v>
      </c>
      <c r="N105" s="7">
        <v>-1415.27</v>
      </c>
      <c r="O105" s="7">
        <v>0</v>
      </c>
      <c r="P105" s="7" t="s">
        <v>116</v>
      </c>
    </row>
    <row r="106" spans="1:17" x14ac:dyDescent="0.2">
      <c r="A106" s="9" t="str">
        <f t="shared" si="6"/>
        <v>4443-STUDENT AMBASSADORS</v>
      </c>
      <c r="B106" s="7" t="str">
        <f t="shared" si="7"/>
        <v>Salary &amp; Benefits</v>
      </c>
      <c r="C106" s="6" t="s">
        <v>13</v>
      </c>
      <c r="D106" s="7" t="s">
        <v>14</v>
      </c>
      <c r="E106" s="7" t="s">
        <v>15</v>
      </c>
      <c r="F106" s="7" t="s">
        <v>115</v>
      </c>
      <c r="G106" s="7" t="s">
        <v>117</v>
      </c>
      <c r="H106" s="7" t="s">
        <v>18</v>
      </c>
      <c r="I106" s="7" t="s">
        <v>18</v>
      </c>
      <c r="J106" s="7" t="s">
        <v>18</v>
      </c>
      <c r="K106" s="8">
        <v>0</v>
      </c>
      <c r="L106" s="7">
        <v>46.18</v>
      </c>
      <c r="M106" s="7">
        <v>0</v>
      </c>
      <c r="N106" s="7">
        <v>-46.18</v>
      </c>
      <c r="O106" s="7">
        <v>0</v>
      </c>
      <c r="P106" s="7" t="s">
        <v>116</v>
      </c>
    </row>
    <row r="107" spans="1:17" x14ac:dyDescent="0.2">
      <c r="A107" s="9" t="str">
        <f t="shared" si="6"/>
        <v>4443-STUDENT AMBASSADORS</v>
      </c>
      <c r="B107" s="7" t="str">
        <f t="shared" si="7"/>
        <v>Goods &amp; Services</v>
      </c>
      <c r="C107" s="6" t="s">
        <v>13</v>
      </c>
      <c r="D107" s="7" t="s">
        <v>14</v>
      </c>
      <c r="E107" s="7" t="s">
        <v>15</v>
      </c>
      <c r="F107" s="7" t="s">
        <v>115</v>
      </c>
      <c r="G107" s="7" t="s">
        <v>17</v>
      </c>
      <c r="H107" s="7" t="s">
        <v>18</v>
      </c>
      <c r="I107" s="7" t="s">
        <v>18</v>
      </c>
      <c r="J107" s="7" t="s">
        <v>18</v>
      </c>
      <c r="K107" s="8">
        <v>5800</v>
      </c>
      <c r="L107" s="7">
        <v>0</v>
      </c>
      <c r="M107" s="7">
        <v>0</v>
      </c>
      <c r="N107" s="7">
        <v>5800</v>
      </c>
      <c r="O107" s="7">
        <v>0</v>
      </c>
      <c r="P107" s="7" t="s">
        <v>116</v>
      </c>
    </row>
    <row r="108" spans="1:17" x14ac:dyDescent="0.2">
      <c r="A108" s="9" t="str">
        <f t="shared" si="6"/>
        <v>4444-TUTORING</v>
      </c>
      <c r="B108" s="7" t="str">
        <f t="shared" si="7"/>
        <v>Salary &amp; Benefits</v>
      </c>
      <c r="C108" s="6" t="s">
        <v>13</v>
      </c>
      <c r="D108" s="7" t="s">
        <v>14</v>
      </c>
      <c r="E108" s="7" t="s">
        <v>15</v>
      </c>
      <c r="F108" s="7" t="s">
        <v>118</v>
      </c>
      <c r="G108" s="7" t="s">
        <v>119</v>
      </c>
      <c r="H108" s="7" t="s">
        <v>120</v>
      </c>
      <c r="I108" s="7" t="s">
        <v>18</v>
      </c>
      <c r="J108" s="7" t="s">
        <v>18</v>
      </c>
      <c r="K108" s="8">
        <v>18653</v>
      </c>
      <c r="L108" s="7">
        <v>24512.58</v>
      </c>
      <c r="M108" s="7">
        <v>0</v>
      </c>
      <c r="N108" s="7">
        <v>-5859.58</v>
      </c>
      <c r="O108" s="7">
        <v>0</v>
      </c>
      <c r="P108" s="7" t="s">
        <v>121</v>
      </c>
    </row>
    <row r="109" spans="1:17" x14ac:dyDescent="0.2">
      <c r="A109" s="9" t="str">
        <f t="shared" si="6"/>
        <v>4444-TUTORING</v>
      </c>
      <c r="B109" s="7" t="str">
        <f t="shared" si="7"/>
        <v>Salary &amp; Benefits</v>
      </c>
      <c r="C109" s="6" t="s">
        <v>13</v>
      </c>
      <c r="D109" s="7" t="s">
        <v>14</v>
      </c>
      <c r="E109" s="7" t="s">
        <v>15</v>
      </c>
      <c r="F109" s="7" t="s">
        <v>118</v>
      </c>
      <c r="G109" s="7" t="s">
        <v>58</v>
      </c>
      <c r="H109" s="7" t="s">
        <v>18</v>
      </c>
      <c r="I109" s="7" t="s">
        <v>18</v>
      </c>
      <c r="J109" s="7" t="s">
        <v>18</v>
      </c>
      <c r="K109" s="8">
        <v>1447</v>
      </c>
      <c r="L109" s="7">
        <v>0</v>
      </c>
      <c r="M109" s="7">
        <v>0</v>
      </c>
      <c r="N109" s="7">
        <v>1447</v>
      </c>
      <c r="O109" s="7">
        <v>0</v>
      </c>
      <c r="P109" s="7" t="s">
        <v>121</v>
      </c>
      <c r="Q109" s="10"/>
    </row>
    <row r="110" spans="1:17" x14ac:dyDescent="0.2">
      <c r="A110" s="9" t="str">
        <f t="shared" si="6"/>
        <v>4444-TUTORING</v>
      </c>
      <c r="B110" s="7" t="str">
        <f t="shared" si="7"/>
        <v>Salary &amp; Benefits</v>
      </c>
      <c r="C110" s="6" t="s">
        <v>13</v>
      </c>
      <c r="D110" s="7" t="s">
        <v>14</v>
      </c>
      <c r="E110" s="7" t="s">
        <v>15</v>
      </c>
      <c r="F110" s="7" t="s">
        <v>118</v>
      </c>
      <c r="G110" s="7" t="s">
        <v>59</v>
      </c>
      <c r="H110" s="7" t="s">
        <v>18</v>
      </c>
      <c r="I110" s="7" t="s">
        <v>18</v>
      </c>
      <c r="J110" s="7" t="s">
        <v>18</v>
      </c>
      <c r="K110" s="8">
        <v>0</v>
      </c>
      <c r="L110" s="7">
        <v>1875.21</v>
      </c>
      <c r="M110" s="7">
        <v>0</v>
      </c>
      <c r="N110" s="7">
        <v>-1875.21</v>
      </c>
      <c r="O110" s="7">
        <v>0</v>
      </c>
      <c r="P110" s="7" t="s">
        <v>121</v>
      </c>
    </row>
    <row r="111" spans="1:17" x14ac:dyDescent="0.2">
      <c r="A111" s="9" t="str">
        <f t="shared" si="6"/>
        <v>4444-TUTORING</v>
      </c>
      <c r="B111" s="7" t="str">
        <f t="shared" si="7"/>
        <v>Salary &amp; Benefits</v>
      </c>
      <c r="C111" s="6" t="s">
        <v>13</v>
      </c>
      <c r="D111" s="7" t="s">
        <v>14</v>
      </c>
      <c r="E111" s="7" t="s">
        <v>15</v>
      </c>
      <c r="F111" s="7" t="s">
        <v>118</v>
      </c>
      <c r="G111" s="7" t="s">
        <v>117</v>
      </c>
      <c r="H111" s="7" t="s">
        <v>18</v>
      </c>
      <c r="I111" s="7" t="s">
        <v>18</v>
      </c>
      <c r="J111" s="7" t="s">
        <v>18</v>
      </c>
      <c r="K111" s="8">
        <v>0</v>
      </c>
      <c r="L111" s="7">
        <v>589</v>
      </c>
      <c r="M111" s="7">
        <v>0</v>
      </c>
      <c r="N111" s="7">
        <v>-589</v>
      </c>
      <c r="O111" s="7">
        <v>0</v>
      </c>
      <c r="P111" s="7" t="s">
        <v>121</v>
      </c>
    </row>
    <row r="112" spans="1:17" x14ac:dyDescent="0.2">
      <c r="A112" s="9" t="str">
        <f t="shared" si="6"/>
        <v>4444-TUTORING</v>
      </c>
      <c r="B112" s="7" t="str">
        <f t="shared" si="7"/>
        <v>Salary &amp; Benefits</v>
      </c>
      <c r="C112" s="6" t="s">
        <v>13</v>
      </c>
      <c r="D112" s="7" t="s">
        <v>14</v>
      </c>
      <c r="E112" s="7" t="s">
        <v>15</v>
      </c>
      <c r="F112" s="7" t="s">
        <v>118</v>
      </c>
      <c r="G112" s="7" t="s">
        <v>61</v>
      </c>
      <c r="H112" s="7" t="s">
        <v>18</v>
      </c>
      <c r="I112" s="7" t="s">
        <v>18</v>
      </c>
      <c r="J112" s="7" t="s">
        <v>18</v>
      </c>
      <c r="K112" s="8">
        <v>0</v>
      </c>
      <c r="L112" s="7">
        <v>176.48</v>
      </c>
      <c r="M112" s="7">
        <v>0</v>
      </c>
      <c r="N112" s="7">
        <v>-176.48</v>
      </c>
      <c r="O112" s="7">
        <v>0</v>
      </c>
      <c r="P112" s="7" t="s">
        <v>121</v>
      </c>
    </row>
    <row r="113" spans="1:16" x14ac:dyDescent="0.2">
      <c r="A113" s="9" t="str">
        <f t="shared" si="6"/>
        <v>4444-TUTORING</v>
      </c>
      <c r="B113" s="7" t="str">
        <f t="shared" si="7"/>
        <v>Goods &amp; Services</v>
      </c>
      <c r="C113" s="6" t="s">
        <v>13</v>
      </c>
      <c r="D113" s="7" t="s">
        <v>14</v>
      </c>
      <c r="E113" s="7" t="s">
        <v>15</v>
      </c>
      <c r="F113" s="7" t="s">
        <v>118</v>
      </c>
      <c r="G113" s="7" t="s">
        <v>22</v>
      </c>
      <c r="H113" s="7" t="s">
        <v>23</v>
      </c>
      <c r="I113" s="7" t="s">
        <v>18</v>
      </c>
      <c r="J113" s="7" t="s">
        <v>18</v>
      </c>
      <c r="K113" s="8">
        <v>0</v>
      </c>
      <c r="L113" s="7">
        <v>292.7</v>
      </c>
      <c r="M113" s="7">
        <v>0</v>
      </c>
      <c r="N113" s="7">
        <v>-292.7</v>
      </c>
      <c r="O113" s="7">
        <v>0</v>
      </c>
      <c r="P113" s="7" t="s">
        <v>121</v>
      </c>
    </row>
    <row r="114" spans="1:16" x14ac:dyDescent="0.2">
      <c r="A114" s="9" t="str">
        <f t="shared" si="6"/>
        <v>4445-HLTH, WELLNESS &amp; FIT</v>
      </c>
      <c r="B114" s="7" t="str">
        <f t="shared" si="7"/>
        <v>Goods &amp; Services</v>
      </c>
      <c r="C114" s="6" t="s">
        <v>13</v>
      </c>
      <c r="D114" s="7" t="s">
        <v>14</v>
      </c>
      <c r="E114" s="7" t="s">
        <v>15</v>
      </c>
      <c r="F114" s="7" t="s">
        <v>122</v>
      </c>
      <c r="G114" s="7" t="s">
        <v>17</v>
      </c>
      <c r="H114" s="7" t="s">
        <v>18</v>
      </c>
      <c r="I114" s="7" t="s">
        <v>18</v>
      </c>
      <c r="J114" s="7" t="s">
        <v>18</v>
      </c>
      <c r="K114" s="8">
        <v>12800</v>
      </c>
      <c r="L114" s="7">
        <v>0</v>
      </c>
      <c r="M114" s="7">
        <v>0</v>
      </c>
      <c r="N114" s="7">
        <v>12800</v>
      </c>
      <c r="O114" s="7">
        <v>0</v>
      </c>
      <c r="P114" s="7" t="s">
        <v>123</v>
      </c>
    </row>
    <row r="115" spans="1:16" x14ac:dyDescent="0.2">
      <c r="A115" s="9" t="str">
        <f t="shared" si="6"/>
        <v>4445-HLTH, WELLNESS &amp; FIT</v>
      </c>
      <c r="B115" s="7" t="str">
        <f t="shared" si="7"/>
        <v>Goods &amp; Services</v>
      </c>
      <c r="C115" s="6" t="s">
        <v>13</v>
      </c>
      <c r="D115" s="7" t="s">
        <v>14</v>
      </c>
      <c r="E115" s="7" t="s">
        <v>15</v>
      </c>
      <c r="F115" s="7" t="s">
        <v>122</v>
      </c>
      <c r="G115" s="7" t="s">
        <v>22</v>
      </c>
      <c r="H115" s="7" t="s">
        <v>23</v>
      </c>
      <c r="I115" s="7" t="s">
        <v>18</v>
      </c>
      <c r="J115" s="7" t="s">
        <v>18</v>
      </c>
      <c r="K115" s="8">
        <v>0</v>
      </c>
      <c r="L115" s="7">
        <v>1902.21</v>
      </c>
      <c r="M115" s="7">
        <v>0</v>
      </c>
      <c r="N115" s="7">
        <v>-1902.21</v>
      </c>
      <c r="O115" s="7">
        <v>0</v>
      </c>
      <c r="P115" s="7" t="s">
        <v>123</v>
      </c>
    </row>
    <row r="116" spans="1:16" x14ac:dyDescent="0.2">
      <c r="A116" s="9" t="str">
        <f t="shared" si="6"/>
        <v>4445-HLTH, WELLNESS &amp; FIT</v>
      </c>
      <c r="B116" s="7" t="str">
        <f t="shared" si="7"/>
        <v>Goods &amp; Services</v>
      </c>
      <c r="C116" s="6" t="s">
        <v>13</v>
      </c>
      <c r="D116" s="7" t="s">
        <v>14</v>
      </c>
      <c r="E116" s="7" t="s">
        <v>15</v>
      </c>
      <c r="F116" s="7" t="s">
        <v>122</v>
      </c>
      <c r="G116" s="7" t="s">
        <v>95</v>
      </c>
      <c r="H116" s="7" t="s">
        <v>114</v>
      </c>
      <c r="I116" s="7" t="s">
        <v>18</v>
      </c>
      <c r="J116" s="7" t="s">
        <v>18</v>
      </c>
      <c r="K116" s="8">
        <v>0</v>
      </c>
      <c r="L116" s="7">
        <v>3237.5</v>
      </c>
      <c r="M116" s="7">
        <v>0</v>
      </c>
      <c r="N116" s="7">
        <v>-3237.5</v>
      </c>
      <c r="O116" s="7">
        <v>0</v>
      </c>
      <c r="P116" s="7" t="s">
        <v>123</v>
      </c>
    </row>
    <row r="117" spans="1:16" x14ac:dyDescent="0.2">
      <c r="A117" s="9" t="str">
        <f t="shared" si="6"/>
        <v>4499-STUDENT ACTIVITY FEE</v>
      </c>
      <c r="B117" s="7" t="str">
        <f t="shared" si="7"/>
        <v>Transfers</v>
      </c>
      <c r="C117" s="6" t="s">
        <v>13</v>
      </c>
      <c r="D117" s="7" t="s">
        <v>14</v>
      </c>
      <c r="E117" s="7" t="s">
        <v>15</v>
      </c>
      <c r="F117" s="7" t="s">
        <v>124</v>
      </c>
      <c r="G117" s="7" t="s">
        <v>18</v>
      </c>
      <c r="H117" s="7" t="s">
        <v>18</v>
      </c>
      <c r="I117" s="7" t="s">
        <v>127</v>
      </c>
      <c r="J117" s="7" t="s">
        <v>18</v>
      </c>
      <c r="K117" s="8">
        <v>0</v>
      </c>
      <c r="L117" s="7">
        <v>-19400</v>
      </c>
      <c r="M117" s="7">
        <v>0</v>
      </c>
      <c r="N117" s="7">
        <v>19400</v>
      </c>
      <c r="O117" s="7">
        <v>0</v>
      </c>
      <c r="P117" s="7" t="s">
        <v>126</v>
      </c>
    </row>
    <row r="118" spans="1:16" x14ac:dyDescent="0.2">
      <c r="A118" s="9" t="str">
        <f t="shared" si="6"/>
        <v>4499-STUDENT ACTIVITY FEE</v>
      </c>
      <c r="B118" s="7" t="str">
        <f t="shared" si="7"/>
        <v>Revenue</v>
      </c>
      <c r="C118" s="6" t="s">
        <v>13</v>
      </c>
      <c r="D118" s="7" t="s">
        <v>14</v>
      </c>
      <c r="E118" s="7" t="s">
        <v>15</v>
      </c>
      <c r="F118" s="7" t="s">
        <v>124</v>
      </c>
      <c r="G118" s="7" t="s">
        <v>18</v>
      </c>
      <c r="H118" s="7" t="s">
        <v>18</v>
      </c>
      <c r="I118" s="7" t="s">
        <v>32</v>
      </c>
      <c r="J118" s="7" t="s">
        <v>43</v>
      </c>
      <c r="K118" s="8">
        <v>0</v>
      </c>
      <c r="L118" s="7">
        <v>-48529.91</v>
      </c>
      <c r="M118" s="7">
        <v>0</v>
      </c>
      <c r="N118" s="7">
        <v>48529.91</v>
      </c>
      <c r="O118" s="7">
        <v>0</v>
      </c>
      <c r="P118" s="7" t="s">
        <v>126</v>
      </c>
    </row>
    <row r="119" spans="1:16" x14ac:dyDescent="0.2">
      <c r="A119" s="9" t="str">
        <f t="shared" si="6"/>
        <v>4499-STUDENT ACTIVITY FEE</v>
      </c>
      <c r="B119" s="7" t="str">
        <f t="shared" si="7"/>
        <v>Revenue</v>
      </c>
      <c r="C119" s="6" t="s">
        <v>13</v>
      </c>
      <c r="D119" s="7" t="s">
        <v>14</v>
      </c>
      <c r="E119" s="7" t="s">
        <v>15</v>
      </c>
      <c r="F119" s="7" t="s">
        <v>124</v>
      </c>
      <c r="G119" s="7" t="s">
        <v>18</v>
      </c>
      <c r="H119" s="7" t="s">
        <v>18</v>
      </c>
      <c r="I119" s="7" t="s">
        <v>32</v>
      </c>
      <c r="J119" s="7" t="s">
        <v>38</v>
      </c>
      <c r="K119" s="8">
        <v>0</v>
      </c>
      <c r="L119" s="7">
        <v>-5698.98</v>
      </c>
      <c r="M119" s="7">
        <v>0</v>
      </c>
      <c r="N119" s="7">
        <v>5698.98</v>
      </c>
      <c r="O119" s="7">
        <v>0</v>
      </c>
      <c r="P119" s="7" t="s">
        <v>126</v>
      </c>
    </row>
    <row r="120" spans="1:16" x14ac:dyDescent="0.2">
      <c r="A120" s="9" t="str">
        <f t="shared" si="6"/>
        <v>4499-STUDENT ACTIVITY FEE</v>
      </c>
      <c r="B120" s="7" t="str">
        <f t="shared" si="7"/>
        <v>Revenue</v>
      </c>
      <c r="C120" s="6" t="s">
        <v>13</v>
      </c>
      <c r="D120" s="7" t="s">
        <v>14</v>
      </c>
      <c r="E120" s="7" t="s">
        <v>15</v>
      </c>
      <c r="F120" s="7" t="s">
        <v>124</v>
      </c>
      <c r="G120" s="7" t="s">
        <v>18</v>
      </c>
      <c r="H120" s="7" t="s">
        <v>18</v>
      </c>
      <c r="I120" s="7" t="s">
        <v>32</v>
      </c>
      <c r="J120" s="7" t="s">
        <v>39</v>
      </c>
      <c r="K120" s="8">
        <v>0</v>
      </c>
      <c r="L120" s="7">
        <v>-4917.54</v>
      </c>
      <c r="M120" s="7">
        <v>0</v>
      </c>
      <c r="N120" s="7">
        <v>4917.54</v>
      </c>
      <c r="O120" s="7">
        <v>0</v>
      </c>
      <c r="P120" s="7" t="s">
        <v>126</v>
      </c>
    </row>
    <row r="121" spans="1:16" x14ac:dyDescent="0.2">
      <c r="A121" s="9" t="str">
        <f t="shared" si="6"/>
        <v>4499-STUDENT ACTIVITY FEE</v>
      </c>
      <c r="B121" s="7" t="str">
        <f t="shared" si="7"/>
        <v>Revenue</v>
      </c>
      <c r="C121" s="6" t="s">
        <v>13</v>
      </c>
      <c r="D121" s="7" t="s">
        <v>14</v>
      </c>
      <c r="E121" s="7" t="s">
        <v>15</v>
      </c>
      <c r="F121" s="7" t="s">
        <v>124</v>
      </c>
      <c r="G121" s="7" t="s">
        <v>18</v>
      </c>
      <c r="H121" s="7" t="s">
        <v>18</v>
      </c>
      <c r="I121" s="7" t="s">
        <v>32</v>
      </c>
      <c r="J121" s="7" t="s">
        <v>42</v>
      </c>
      <c r="K121" s="8">
        <v>0</v>
      </c>
      <c r="L121" s="7">
        <v>-1106.6400000000001</v>
      </c>
      <c r="M121" s="7">
        <v>0</v>
      </c>
      <c r="N121" s="7">
        <v>1106.6400000000001</v>
      </c>
      <c r="O121" s="7">
        <v>0</v>
      </c>
      <c r="P121" s="7" t="s">
        <v>126</v>
      </c>
    </row>
    <row r="122" spans="1:16" x14ac:dyDescent="0.2">
      <c r="A122" s="9" t="str">
        <f t="shared" si="6"/>
        <v>4499-STUDENT ACTIVITY FEE</v>
      </c>
      <c r="B122" s="7" t="str">
        <f t="shared" si="7"/>
        <v>Revenue</v>
      </c>
      <c r="C122" s="6" t="s">
        <v>13</v>
      </c>
      <c r="D122" s="7" t="s">
        <v>14</v>
      </c>
      <c r="E122" s="7" t="s">
        <v>15</v>
      </c>
      <c r="F122" s="7" t="s">
        <v>124</v>
      </c>
      <c r="G122" s="7" t="s">
        <v>18</v>
      </c>
      <c r="H122" s="7" t="s">
        <v>18</v>
      </c>
      <c r="I122" s="7" t="s">
        <v>32</v>
      </c>
      <c r="J122" s="7" t="s">
        <v>41</v>
      </c>
      <c r="K122" s="8">
        <v>0</v>
      </c>
      <c r="L122" s="7">
        <v>-722.47</v>
      </c>
      <c r="M122" s="7">
        <v>0</v>
      </c>
      <c r="N122" s="7">
        <v>722.47</v>
      </c>
      <c r="O122" s="7">
        <v>0</v>
      </c>
      <c r="P122" s="7" t="s">
        <v>126</v>
      </c>
    </row>
    <row r="123" spans="1:16" x14ac:dyDescent="0.2">
      <c r="A123" s="9" t="str">
        <f t="shared" si="6"/>
        <v>4499-STUDENT ACTIVITY FEE</v>
      </c>
      <c r="B123" s="7" t="str">
        <f t="shared" si="7"/>
        <v>Revenue</v>
      </c>
      <c r="C123" s="6" t="s">
        <v>13</v>
      </c>
      <c r="D123" s="7" t="s">
        <v>14</v>
      </c>
      <c r="E123" s="7" t="s">
        <v>15</v>
      </c>
      <c r="F123" s="7" t="s">
        <v>124</v>
      </c>
      <c r="G123" s="7" t="s">
        <v>18</v>
      </c>
      <c r="H123" s="7" t="s">
        <v>18</v>
      </c>
      <c r="I123" s="7" t="s">
        <v>32</v>
      </c>
      <c r="J123" s="7" t="s">
        <v>35</v>
      </c>
      <c r="K123" s="8">
        <v>0</v>
      </c>
      <c r="L123" s="7">
        <v>-214.01</v>
      </c>
      <c r="M123" s="7">
        <v>0</v>
      </c>
      <c r="N123" s="7">
        <v>214.01</v>
      </c>
      <c r="O123" s="7">
        <v>0</v>
      </c>
      <c r="P123" s="7" t="s">
        <v>126</v>
      </c>
    </row>
    <row r="124" spans="1:16" x14ac:dyDescent="0.2">
      <c r="A124" s="9" t="str">
        <f t="shared" si="6"/>
        <v>4499-STUDENT ACTIVITY FEE</v>
      </c>
      <c r="B124" s="7" t="str">
        <f t="shared" si="7"/>
        <v>Revenue</v>
      </c>
      <c r="C124" s="6" t="s">
        <v>13</v>
      </c>
      <c r="D124" s="7" t="s">
        <v>14</v>
      </c>
      <c r="E124" s="7" t="s">
        <v>15</v>
      </c>
      <c r="F124" s="7" t="s">
        <v>124</v>
      </c>
      <c r="G124" s="7" t="s">
        <v>18</v>
      </c>
      <c r="H124" s="7" t="s">
        <v>18</v>
      </c>
      <c r="I124" s="7" t="s">
        <v>32</v>
      </c>
      <c r="J124" s="7" t="s">
        <v>40</v>
      </c>
      <c r="K124" s="8">
        <v>0</v>
      </c>
      <c r="L124" s="7">
        <v>-201.03</v>
      </c>
      <c r="M124" s="7">
        <v>0</v>
      </c>
      <c r="N124" s="7">
        <v>201.03</v>
      </c>
      <c r="O124" s="7">
        <v>0</v>
      </c>
      <c r="P124" s="7" t="s">
        <v>126</v>
      </c>
    </row>
    <row r="125" spans="1:16" x14ac:dyDescent="0.2">
      <c r="A125" s="9" t="str">
        <f t="shared" si="6"/>
        <v>4499-STUDENT ACTIVITY FEE</v>
      </c>
      <c r="B125" s="7" t="str">
        <f t="shared" si="7"/>
        <v>Revenue</v>
      </c>
      <c r="C125" s="6" t="s">
        <v>13</v>
      </c>
      <c r="D125" s="7" t="s">
        <v>14</v>
      </c>
      <c r="E125" s="7" t="s">
        <v>15</v>
      </c>
      <c r="F125" s="7" t="s">
        <v>124</v>
      </c>
      <c r="G125" s="7" t="s">
        <v>18</v>
      </c>
      <c r="H125" s="7" t="s">
        <v>18</v>
      </c>
      <c r="I125" s="7" t="s">
        <v>32</v>
      </c>
      <c r="J125" s="7" t="s">
        <v>33</v>
      </c>
      <c r="K125" s="8">
        <v>0</v>
      </c>
      <c r="L125" s="7">
        <v>-111.22</v>
      </c>
      <c r="M125" s="7">
        <v>0</v>
      </c>
      <c r="N125" s="7">
        <v>111.22</v>
      </c>
      <c r="O125" s="7">
        <v>0</v>
      </c>
      <c r="P125" s="7" t="s">
        <v>126</v>
      </c>
    </row>
    <row r="126" spans="1:16" x14ac:dyDescent="0.2">
      <c r="A126" s="9" t="str">
        <f t="shared" si="6"/>
        <v>4499-STUDENT ACTIVITY FEE</v>
      </c>
      <c r="B126" s="7" t="str">
        <f t="shared" si="7"/>
        <v>Revenue</v>
      </c>
      <c r="C126" s="6" t="s">
        <v>13</v>
      </c>
      <c r="D126" s="7" t="s">
        <v>14</v>
      </c>
      <c r="E126" s="7" t="s">
        <v>15</v>
      </c>
      <c r="F126" s="7" t="s">
        <v>124</v>
      </c>
      <c r="G126" s="7" t="s">
        <v>18</v>
      </c>
      <c r="H126" s="7" t="s">
        <v>18</v>
      </c>
      <c r="I126" s="7" t="s">
        <v>32</v>
      </c>
      <c r="J126" s="7" t="s">
        <v>37</v>
      </c>
      <c r="K126" s="8">
        <v>0</v>
      </c>
      <c r="L126" s="7">
        <v>-25.41</v>
      </c>
      <c r="M126" s="7">
        <v>0</v>
      </c>
      <c r="N126" s="7">
        <v>25.41</v>
      </c>
      <c r="O126" s="7">
        <v>0</v>
      </c>
      <c r="P126" s="7" t="s">
        <v>126</v>
      </c>
    </row>
    <row r="127" spans="1:16" x14ac:dyDescent="0.2">
      <c r="A127" s="9" t="str">
        <f t="shared" si="6"/>
        <v>4499-STUDENT ACTIVITY FEE</v>
      </c>
      <c r="B127" s="7" t="str">
        <f t="shared" si="7"/>
        <v>Revenue</v>
      </c>
      <c r="C127" s="6" t="s">
        <v>13</v>
      </c>
      <c r="D127" s="7" t="s">
        <v>14</v>
      </c>
      <c r="E127" s="7" t="s">
        <v>15</v>
      </c>
      <c r="F127" s="7" t="s">
        <v>124</v>
      </c>
      <c r="G127" s="7" t="s">
        <v>18</v>
      </c>
      <c r="H127" s="7" t="s">
        <v>18</v>
      </c>
      <c r="I127" s="7" t="s">
        <v>32</v>
      </c>
      <c r="J127" s="7" t="s">
        <v>36</v>
      </c>
      <c r="K127" s="8">
        <v>0</v>
      </c>
      <c r="L127" s="7">
        <v>-20.329999999999998</v>
      </c>
      <c r="M127" s="7">
        <v>0</v>
      </c>
      <c r="N127" s="7">
        <v>20.329999999999998</v>
      </c>
      <c r="O127" s="7">
        <v>0</v>
      </c>
      <c r="P127" s="7" t="s">
        <v>126</v>
      </c>
    </row>
    <row r="128" spans="1:16" x14ac:dyDescent="0.2">
      <c r="A128" s="9" t="str">
        <f t="shared" si="6"/>
        <v>4499-STUDENT ACTIVITY FEE</v>
      </c>
      <c r="B128" s="7" t="str">
        <f t="shared" si="7"/>
        <v>Revenue</v>
      </c>
      <c r="C128" s="6" t="s">
        <v>13</v>
      </c>
      <c r="D128" s="7" t="s">
        <v>14</v>
      </c>
      <c r="E128" s="7" t="s">
        <v>15</v>
      </c>
      <c r="F128" s="7" t="s">
        <v>124</v>
      </c>
      <c r="G128" s="7" t="s">
        <v>18</v>
      </c>
      <c r="H128" s="7" t="s">
        <v>18</v>
      </c>
      <c r="I128" s="7" t="s">
        <v>125</v>
      </c>
      <c r="J128" s="7" t="s">
        <v>18</v>
      </c>
      <c r="K128" s="8">
        <v>0</v>
      </c>
      <c r="L128" s="7">
        <v>-673.29</v>
      </c>
      <c r="M128" s="7">
        <v>0</v>
      </c>
      <c r="N128" s="7">
        <v>673.29</v>
      </c>
      <c r="O128" s="7">
        <v>-183.1</v>
      </c>
      <c r="P128" s="7" t="s">
        <v>126</v>
      </c>
    </row>
    <row r="130" spans="11:15" x14ac:dyDescent="0.2">
      <c r="K130" s="8">
        <f t="shared" ref="K130:O130" si="8">SUM(K2:K129)</f>
        <v>155100</v>
      </c>
      <c r="L130" s="7">
        <f t="shared" si="8"/>
        <v>-67745.349999999991</v>
      </c>
      <c r="M130" s="7">
        <f t="shared" si="8"/>
        <v>0</v>
      </c>
      <c r="N130" s="7">
        <f t="shared" si="8"/>
        <v>222845.35000000009</v>
      </c>
      <c r="O130" s="7">
        <f t="shared" si="8"/>
        <v>-183.1</v>
      </c>
    </row>
    <row r="132" spans="11:15" x14ac:dyDescent="0.2">
      <c r="K132" s="8">
        <v>155100</v>
      </c>
      <c r="L132" s="7">
        <v>-67745.350000000006</v>
      </c>
      <c r="M132" s="7">
        <v>0</v>
      </c>
      <c r="N132" s="7">
        <v>222845.35000000006</v>
      </c>
      <c r="O132" s="7">
        <v>-183.1</v>
      </c>
    </row>
  </sheetData>
  <autoFilter ref="B1:P2"/>
  <sortState ref="A2:Q128">
    <sortCondition ref="F2:F128"/>
    <sortCondition descending="1" ref="I2:I128"/>
    <sortCondition ref="G2:G128"/>
    <sortCondition ref="H2:H128"/>
  </sortState>
  <printOptions horizontalCentered="1"/>
  <pageMargins left="0" right="0" top="0.5" bottom="0.43" header="0.24" footer="0.23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 Pivot</vt:lpstr>
      <vt:lpstr>6-30-13 Info</vt:lpstr>
      <vt:lpstr>'Summary Pivot'!Print_Titles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Sackville-West, Bill</dc:creator>
  <cp:lastModifiedBy>Sackville-West, Bill</cp:lastModifiedBy>
  <cp:lastPrinted>2013-09-13T16:11:58Z</cp:lastPrinted>
  <dcterms:created xsi:type="dcterms:W3CDTF">2013-09-12T22:39:46Z</dcterms:created>
  <dcterms:modified xsi:type="dcterms:W3CDTF">2013-09-13T19:13:58Z</dcterms:modified>
</cp:coreProperties>
</file>