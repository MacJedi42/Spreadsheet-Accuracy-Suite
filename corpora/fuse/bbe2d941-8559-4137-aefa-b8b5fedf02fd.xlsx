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0" yWindow="60" windowWidth="15225" windowHeight="8280"/>
  </bookViews>
  <sheets>
    <sheet name="LF.1 Dev Res - Final Draft V.3" sheetId="1" r:id="rId1"/>
    <sheet name="LF.2 Oper - Final Draft V.3" sheetId="5" r:id="rId2"/>
  </sheets>
  <externalReferences>
    <externalReference r:id="rId3"/>
  </externalReferences>
  <definedNames>
    <definedName name="_xlnm.Print_Titles" localSheetId="0">'LF.1 Dev Res - Final Draft V.3'!$9:$11</definedName>
    <definedName name="_xlnm.Print_Titles" localSheetId="1">'LF.2 Oper - Final Draft V.3'!$10:$11</definedName>
  </definedNames>
  <calcPr calcId="145621"/>
</workbook>
</file>

<file path=xl/calcChain.xml><?xml version="1.0" encoding="utf-8"?>
<calcChain xmlns="http://schemas.openxmlformats.org/spreadsheetml/2006/main">
  <c r="H38" i="5" l="1"/>
  <c r="I38" i="5" s="1"/>
  <c r="J38" i="5" s="1"/>
  <c r="K38" i="5" s="1"/>
  <c r="L38" i="5" s="1"/>
  <c r="J24" i="5"/>
  <c r="I24" i="5" s="1"/>
  <c r="J13" i="5"/>
  <c r="H13" i="5" s="1"/>
  <c r="G80" i="5"/>
  <c r="J79" i="5"/>
  <c r="G79" i="5"/>
  <c r="D79" i="5"/>
  <c r="M74" i="5"/>
  <c r="N74" i="5" s="1"/>
  <c r="M61" i="5"/>
  <c r="N61" i="5" s="1"/>
  <c r="M47" i="5"/>
  <c r="N47" i="5" s="1"/>
  <c r="M29" i="5"/>
  <c r="N29" i="5" s="1"/>
  <c r="M16" i="5"/>
  <c r="N16" i="5" s="1"/>
  <c r="I13" i="5" l="1"/>
  <c r="H24" i="5"/>
  <c r="M79" i="5"/>
  <c r="N79" i="5" s="1"/>
  <c r="G26" i="1"/>
  <c r="K26" i="1" s="1"/>
  <c r="H26" i="1" l="1"/>
  <c r="J26" i="1"/>
  <c r="L26" i="1"/>
  <c r="I26" i="1"/>
</calcChain>
</file>

<file path=xl/sharedStrings.xml><?xml version="1.0" encoding="utf-8"?>
<sst xmlns="http://schemas.openxmlformats.org/spreadsheetml/2006/main" count="474" uniqueCount="226">
  <si>
    <t>Assumptions</t>
  </si>
  <si>
    <t>DFID (£)</t>
  </si>
  <si>
    <t>Govt (£)</t>
  </si>
  <si>
    <t>Other (£)</t>
  </si>
  <si>
    <t>DFID (FTEs)</t>
  </si>
  <si>
    <t>High</t>
  </si>
  <si>
    <t>tbd</t>
  </si>
  <si>
    <t>Medium</t>
  </si>
  <si>
    <t>Department for International Development (DFID)     -     IPP Consultants</t>
  </si>
  <si>
    <t>Indicator Source of Information / 
Means of Verification</t>
  </si>
  <si>
    <t>Level of LogFrame
Intervention Logic</t>
  </si>
  <si>
    <t>%</t>
  </si>
  <si>
    <t>#</t>
  </si>
  <si>
    <t>DFID Share (%)</t>
  </si>
  <si>
    <t>HSPU</t>
  </si>
  <si>
    <t>y/n</t>
  </si>
  <si>
    <t>0-10 scale</t>
  </si>
  <si>
    <t>Inputs for OT-1 (£)</t>
  </si>
  <si>
    <t>Inputs of OT-1 (HR)</t>
  </si>
  <si>
    <t>OT-1  Impact Weight</t>
  </si>
  <si>
    <t>OT-2  Impact Weight</t>
  </si>
  <si>
    <t>Inputs for OT-2 (£)</t>
  </si>
  <si>
    <t>Inputs of OT-2 (HR)</t>
  </si>
  <si>
    <t>OT-3  Impact Weight</t>
  </si>
  <si>
    <t>Inputs for OT-3 (£)</t>
  </si>
  <si>
    <t>Inputs of OT-3 (HR)</t>
  </si>
  <si>
    <t>OT-4  Impact Weight</t>
  </si>
  <si>
    <t>Inputs for OT-4 (£)</t>
  </si>
  <si>
    <t>Inputs of OT-4 (HR)</t>
  </si>
  <si>
    <t xml:space="preserve">Part 2:  Operational Performance (Outputs and Activities)  </t>
  </si>
  <si>
    <t xml:space="preserve">Part 1:  Development Results (Impact and Outcome) </t>
  </si>
  <si>
    <t>OT-5 Impact Weight</t>
  </si>
  <si>
    <t>Inputs for OT-5 (£)</t>
  </si>
  <si>
    <t>Inputs of OT-5 (HR)</t>
  </si>
  <si>
    <t>Total Inputs OT-1 - OT-5 (HR)</t>
  </si>
  <si>
    <t xml:space="preserve">Total Inputs OT-1 - OT-5 (£) </t>
  </si>
  <si>
    <t xml:space="preserve"> LogFrame Review and Baseline Data  for the "Roads in the East Phase 2" Programme in DR Congo</t>
  </si>
  <si>
    <t>(2)</t>
  </si>
  <si>
    <t>(3)</t>
  </si>
  <si>
    <t>(4)</t>
  </si>
  <si>
    <r>
      <t xml:space="preserve">Notes     </t>
    </r>
    <r>
      <rPr>
        <sz val="9"/>
        <rFont val="Arial"/>
        <family val="2"/>
      </rPr>
      <t>(1)</t>
    </r>
  </si>
  <si>
    <t>IM.01.01-06</t>
  </si>
  <si>
    <r>
      <t>1</t>
    </r>
    <r>
      <rPr>
        <b/>
        <vertAlign val="superscript"/>
        <sz val="9"/>
        <rFont val="Arial"/>
        <family val="2"/>
      </rPr>
      <t>st</t>
    </r>
    <r>
      <rPr>
        <b/>
        <sz val="9"/>
        <rFont val="Arial"/>
        <family val="2"/>
      </rPr>
      <t xml:space="preserve"> Year
01 Jul 13</t>
    </r>
  </si>
  <si>
    <r>
      <t>2</t>
    </r>
    <r>
      <rPr>
        <b/>
        <vertAlign val="superscript"/>
        <sz val="9"/>
        <rFont val="Arial"/>
        <family val="2"/>
      </rPr>
      <t>nd</t>
    </r>
    <r>
      <rPr>
        <b/>
        <sz val="9"/>
        <rFont val="Arial"/>
        <family val="2"/>
      </rPr>
      <t xml:space="preserve"> Year
01 Jul 14</t>
    </r>
  </si>
  <si>
    <r>
      <t>3</t>
    </r>
    <r>
      <rPr>
        <b/>
        <vertAlign val="superscript"/>
        <sz val="9"/>
        <rFont val="Arial"/>
        <family val="2"/>
      </rPr>
      <t>rd</t>
    </r>
    <r>
      <rPr>
        <b/>
        <sz val="9"/>
        <rFont val="Arial"/>
        <family val="2"/>
      </rPr>
      <t xml:space="preserve"> Year 
01 Jul 15</t>
    </r>
  </si>
  <si>
    <t>Medium 
Target 
01 Jul 18</t>
  </si>
  <si>
    <t>Final
Target 
01 Jul 22</t>
  </si>
  <si>
    <t>Provincial Five Year Plan; Provincial poverty reduction strategies for North Kivu and South Kivu; Provincial annual plans (PAPs); Bulletins statistiques (annual)</t>
  </si>
  <si>
    <r>
      <t xml:space="preserve">Key Performance (Result) Indicator  </t>
    </r>
    <r>
      <rPr>
        <b/>
        <vertAlign val="superscript"/>
        <sz val="9"/>
        <rFont val="Arial"/>
        <family val="2"/>
      </rPr>
      <t>(1)</t>
    </r>
  </si>
  <si>
    <t xml:space="preserve">MONUSCO Stabilisation Support Unit (SSU) - UN Peacekeep-ing Force reports and statistics on number of incidents </t>
  </si>
  <si>
    <t>IM.02.01-02</t>
  </si>
  <si>
    <t>Regular surveys by and data from the Ministry of Commerce; 
Under the project: Goods and price registration surveys every other week in four predetermined towns / markets in North Kivu (Goma, Sake, Masisi and Walikale) and in South Kivu (Bukavu, Bunyakiri, Burhale and Shabunda), preferably on a different day of the week (UNOPS and/or M&amp;E contractor  surveys and reports)</t>
  </si>
  <si>
    <t>IM.03.09-16</t>
  </si>
  <si>
    <r>
      <t xml:space="preserve">Code(s) </t>
    </r>
    <r>
      <rPr>
        <b/>
        <vertAlign val="superscript"/>
        <sz val="9"/>
        <rFont val="Arial"/>
        <family val="2"/>
      </rPr>
      <t>(2)</t>
    </r>
  </si>
  <si>
    <r>
      <t>UoM</t>
    </r>
    <r>
      <rPr>
        <b/>
        <vertAlign val="superscript"/>
        <sz val="9"/>
        <rFont val="Arial"/>
        <family val="2"/>
      </rPr>
      <t>(3)</t>
    </r>
  </si>
  <si>
    <r>
      <t xml:space="preserve">
Baseline
Value 
01 Jul 12
</t>
    </r>
    <r>
      <rPr>
        <b/>
        <vertAlign val="superscript"/>
        <sz val="9"/>
        <rFont val="Arial"/>
        <family val="2"/>
      </rPr>
      <t>(4)</t>
    </r>
  </si>
  <si>
    <r>
      <t>Annual Targets</t>
    </r>
    <r>
      <rPr>
        <b/>
        <vertAlign val="superscript"/>
        <sz val="9"/>
        <rFont val="Arial"/>
        <family val="2"/>
      </rPr>
      <t xml:space="preserve"> (4)</t>
    </r>
    <r>
      <rPr>
        <b/>
        <sz val="9"/>
        <rFont val="Arial"/>
        <family val="2"/>
      </rPr>
      <t xml:space="preserve"> of Road Building / 
Upgrading Phase </t>
    </r>
  </si>
  <si>
    <r>
      <t xml:space="preserve">Targets </t>
    </r>
    <r>
      <rPr>
        <b/>
        <vertAlign val="superscript"/>
        <sz val="9"/>
        <rFont val="Arial"/>
        <family val="2"/>
      </rPr>
      <t xml:space="preserve">(4) </t>
    </r>
    <r>
      <rPr>
        <b/>
        <sz val="9"/>
        <rFont val="Arial"/>
        <family val="2"/>
      </rPr>
      <t>of Rehabilitation /  Maintenance Phase</t>
    </r>
  </si>
  <si>
    <t>Final Draft V.3  -   10 May 2012</t>
  </si>
  <si>
    <t>OC.01.01-04</t>
  </si>
  <si>
    <r>
      <rPr>
        <b/>
        <sz val="9"/>
        <rFont val="Arial"/>
        <family val="2"/>
      </rPr>
      <t>Household poverty reduction</t>
    </r>
    <r>
      <rPr>
        <sz val="9"/>
        <rFont val="Arial"/>
        <family val="2"/>
      </rPr>
      <t>: Reduction of the proportion of the North and South Kivu population living below the absolute income poverty line of less than 1 USD / day  (MDG indicator 1.1)</t>
    </r>
  </si>
  <si>
    <r>
      <rPr>
        <b/>
        <sz val="9"/>
        <rFont val="Arial"/>
        <family val="2"/>
      </rPr>
      <t>Improved public security</t>
    </r>
    <r>
      <rPr>
        <sz val="9"/>
        <rFont val="Arial"/>
        <family val="2"/>
      </rPr>
      <t>: Improved security measured by reduced number of attacks against civilians in Norht and South Kivu (annual figures)</t>
    </r>
  </si>
  <si>
    <r>
      <rPr>
        <b/>
        <sz val="9"/>
        <rFont val="Arial"/>
        <family val="2"/>
      </rPr>
      <t>Access to nearest referral hospital and health centre</t>
    </r>
    <r>
      <rPr>
        <sz val="9"/>
        <rFont val="Arial"/>
        <family val="2"/>
      </rPr>
      <t>: Percentage of the villages with access by motorized vehicle within 60 minutes from the nearest health centre to the nearest referral hospital  in the territories along the four phase 2 roads</t>
    </r>
  </si>
  <si>
    <r>
      <rPr>
        <b/>
        <sz val="9"/>
        <rFont val="Arial"/>
        <family val="2"/>
      </rPr>
      <t>Availability and pricing of transported basic products:</t>
    </r>
    <r>
      <rPr>
        <sz val="9"/>
        <rFont val="Arial"/>
        <family val="2"/>
      </rPr>
      <t xml:space="preserve"> Average reduced total price of the basket of transported goods (in USD) in the last three months in six main cities of North and South Kivu</t>
    </r>
  </si>
  <si>
    <r>
      <rPr>
        <b/>
        <sz val="9"/>
        <rFont val="Arial"/>
        <family val="2"/>
      </rPr>
      <t>Access to nearest school:</t>
    </r>
    <r>
      <rPr>
        <sz val="9"/>
        <rFont val="Arial"/>
        <family val="2"/>
      </rPr>
      <t xml:space="preserve"> Percentage of the villages with access by motorized vehicle in the rainy season within 60 minutes to the  nearest secondary / vocational education school </t>
    </r>
  </si>
  <si>
    <t>Quarterly community surveys in  communities in the catchment area / along the four Phase 2 axes with or facilitated by  the multi-sectoral Civil Society Committees in the respective communities / villages; Villages / Provincial population and/or household records; Patients records of health centres / referral hospitals; Provincial roads and health centres / referral hospitals maps; UNOPS / Project M&amp;E Contractor &amp; MONUSCO-SSU</t>
  </si>
  <si>
    <t>Quarterly community surveys in  communities in the catchment area / along the four Phase 2 axes with or facilitated by  the multi-sectoral Civil Society Committees in the respective communities / villages; Villages / Provincial population and/or household records;  Students records of secondary schools;  Provincial roads and secondary schools maps; UNOPS / Project M&amp;E Contractor &amp; MONUSCO-SSU</t>
  </si>
  <si>
    <r>
      <rPr>
        <b/>
        <sz val="9"/>
        <rFont val="Arial"/>
        <family val="2"/>
      </rPr>
      <t>Village access time to rehabilitated / upgraded Provincial roads:</t>
    </r>
    <r>
      <rPr>
        <sz val="9"/>
        <rFont val="Arial"/>
        <family val="2"/>
      </rPr>
      <t xml:space="preserve"> Percentage of villages having access to a rehabilitated / upgraded (RP coded) Provincial or National (RM coded) road within 60 minutes</t>
    </r>
  </si>
  <si>
    <t>Annual special roads access (mini-) survey by UNOPS / Project M&amp;E Contractor jointly with OdR and MONUSCO-SSU; 
Covering whole Provinces with special focus on catchment areas / territories along the Phase 2 roads therein; Provincial roads and villages maps</t>
  </si>
  <si>
    <r>
      <rPr>
        <b/>
        <sz val="9"/>
        <rFont val="Arial"/>
        <family val="2"/>
      </rPr>
      <t xml:space="preserve">Road use intensity by type of vehicle: </t>
    </r>
    <r>
      <rPr>
        <sz val="9"/>
        <rFont val="Arial"/>
        <family val="2"/>
      </rPr>
      <t xml:space="preserve"> Average total daily number of vehicles (all types) operating  the four Phase 2 roads at the 15 main traffic count/control points</t>
    </r>
  </si>
  <si>
    <t>x 5.5</t>
  </si>
  <si>
    <t>x 7.5</t>
  </si>
  <si>
    <t>x 2</t>
  </si>
  <si>
    <t>x 3</t>
  </si>
  <si>
    <t>x 4</t>
  </si>
  <si>
    <t>Records and reports by the 15 proposed FONER traffic count/control points along the four Phase 2 axes; Monitoring records and reports by the UNOPS teams and by the M&amp;E contractor.</t>
  </si>
  <si>
    <r>
      <rPr>
        <b/>
        <sz val="9"/>
        <rFont val="Arial"/>
        <family val="2"/>
      </rPr>
      <t>Average freight transport volume:</t>
    </r>
    <r>
      <rPr>
        <sz val="9"/>
        <rFont val="Arial"/>
        <family val="2"/>
      </rPr>
      <t xml:space="preserve"> Average total daily freight in tonnes (T/day) measured at  the 15 main traffic count/control points </t>
    </r>
  </si>
  <si>
    <r>
      <rPr>
        <b/>
        <sz val="9"/>
        <rFont val="Arial"/>
        <family val="2"/>
      </rPr>
      <t>Road passability and average travel time:</t>
    </r>
    <r>
      <rPr>
        <sz val="9"/>
        <rFont val="Arial"/>
        <family val="2"/>
      </rPr>
      <t xml:space="preserve"> Average travel time (in hours) from start to end on the four Phase II axes</t>
    </r>
  </si>
  <si>
    <t>Records and reports by the 15 proposed FONER traffic count/control points and possibly also by the upgraded rain barrier stations along the four phase 2 roads; Monitoring records and reports by the UNOPS teams and by the M&amp;E contractor; Road maintenance records and reports by road maintenance contractors and communities</t>
  </si>
  <si>
    <r>
      <t xml:space="preserve">8 </t>
    </r>
    <r>
      <rPr>
        <sz val="9"/>
        <rFont val="Courier New"/>
        <family val="3"/>
      </rPr>
      <t>½</t>
    </r>
  </si>
  <si>
    <r>
      <t xml:space="preserve">5 </t>
    </r>
    <r>
      <rPr>
        <sz val="9"/>
        <rFont val="Courier New"/>
        <family val="3"/>
      </rPr>
      <t>¾</t>
    </r>
  </si>
  <si>
    <r>
      <t xml:space="preserve">4 </t>
    </r>
    <r>
      <rPr>
        <sz val="9"/>
        <rFont val="Courier New"/>
        <family val="3"/>
      </rPr>
      <t>¼</t>
    </r>
  </si>
  <si>
    <t>4 ¼</t>
  </si>
  <si>
    <t>Quarterly community surveys in  communities in the catchment area / along the four Phase 2 axes with or facilitated by the multi-sectoral Civil Society Committees in the respective communities / villages  (together with other survey items).Through routine filling  of standard questionnaire format.</t>
  </si>
  <si>
    <r>
      <rPr>
        <b/>
        <sz val="9"/>
        <rFont val="Arial"/>
        <family val="2"/>
      </rPr>
      <t>Passenger and cargo transport costs (wet and dry season)</t>
    </r>
    <r>
      <rPr>
        <sz val="9"/>
        <rFont val="Arial"/>
        <family val="2"/>
      </rPr>
      <t>: Transport cost per cargo tonne in USD on  main road stretches along the four phase 2 axes in the rainy season</t>
    </r>
  </si>
  <si>
    <t>95% BL</t>
  </si>
  <si>
    <r>
      <rPr>
        <b/>
        <sz val="9"/>
        <rFont val="Arial"/>
        <family val="2"/>
      </rPr>
      <t>Passenger and cargo transport costs (wet and dry season)</t>
    </r>
    <r>
      <rPr>
        <sz val="9"/>
        <rFont val="Arial"/>
        <family val="2"/>
      </rPr>
      <t xml:space="preserve">: Cheapest cost (in USD) of a passenger commercial return trip along Phase II axes for 5 popular routes (wet &amp; dry season, disaggregated by sex) -  Example case for illustration: Sake-Masisi, wet season, last 3 months, male.  </t>
    </r>
  </si>
  <si>
    <t>85% BL</t>
  </si>
  <si>
    <t>75% BL</t>
  </si>
  <si>
    <t>OC.07.32-42</t>
  </si>
  <si>
    <t>OC.07.01-20</t>
  </si>
  <si>
    <t>OC.06.06-09</t>
  </si>
  <si>
    <t>OC.05.01-16</t>
  </si>
  <si>
    <t>OC.04.11-26</t>
  </si>
  <si>
    <t>OC.03.01-04</t>
  </si>
  <si>
    <t>OC.02.01-04</t>
  </si>
  <si>
    <t>Improved access brings economic opportunities and freedom of movement that provide a framework of hope and helps the state administer the region. 
This in turn promotes stability.
Other roads in the stabilisation plan reopened by other donors by year 2. 
(LF)</t>
  </si>
  <si>
    <r>
      <rPr>
        <b/>
        <sz val="9"/>
        <rFont val="Arial"/>
        <family val="2"/>
      </rPr>
      <t>Satisfaction level of road users with the roads:</t>
    </r>
    <r>
      <rPr>
        <sz val="9"/>
        <rFont val="Arial"/>
        <family val="2"/>
      </rPr>
      <t xml:space="preserve"> Overall satisfaction level of road users with the built/upgraded and rehabilitated / maintained roads, broken down by the main types of road users - Average satisfaction score for all types of  users</t>
    </r>
  </si>
  <si>
    <t>OC.08.11-20</t>
  </si>
  <si>
    <t>Monthly road users satisfaction surveys (disaggregated by main types of road users and by the four phase 2 axes. Survey done at the location of the 15 suggested FONER traffic count/control posts. Executed by the trained FONER teams (questionnaires) or if the teams are not yet in place by a contracted survey entity; Monitoring records and reports by the UNOPS teams and by the M&amp;E contractor incorporate the satisfaction surveys.</t>
  </si>
  <si>
    <r>
      <rPr>
        <b/>
        <sz val="9"/>
        <rFont val="Arial"/>
        <family val="2"/>
      </rPr>
      <t xml:space="preserve">Volume of minerals traded at the Centres de Négoces and transported:  </t>
    </r>
    <r>
      <rPr>
        <sz val="9"/>
        <rFont val="Arial"/>
        <family val="2"/>
      </rPr>
      <t>Volumes of artisanal minerals traded in the Centres de négoces located in the territories along the phase 2 main axes (for three main types of minerals)</t>
    </r>
  </si>
  <si>
    <t>OC.09.04-12</t>
  </si>
  <si>
    <t>Monthly, quarterly and annual statistical reports by the Ministry of Mines on the official Centres de Négoces; Daily records and different reports by the Centres de Négoces to the tutelage Ministry, the Ministry of Mines;  UNOPS and Projects M&amp;E Contractor integrates data / info in the project progress and results reports.</t>
  </si>
  <si>
    <t>OC.10.01-12</t>
  </si>
  <si>
    <t>Ministry of Commerce: Office for the Promotion of Small and Medium Size Enterprises, since SMEs have to be registered with this Ministry of Commerce - OPEC); Business records with other Provincial Authorities, farmers associations, business associations and/or local Chambers of Commerce and Industry; Complementary, in addition: Enterprise surveys;   Agricultural surveys, farmers surveys</t>
  </si>
  <si>
    <r>
      <rPr>
        <b/>
        <sz val="9"/>
        <rFont val="Arial"/>
        <family val="2"/>
      </rPr>
      <t xml:space="preserve">Enterprise development: </t>
    </r>
    <r>
      <rPr>
        <sz val="9"/>
        <rFont val="Arial"/>
        <family val="2"/>
      </rPr>
      <t>Number of new businesses / started up annually in the North and South Kivu Territories along the two phase II axes  (All categories of enterprises)</t>
    </r>
  </si>
  <si>
    <t>BL+10%</t>
  </si>
  <si>
    <t>BL+20%</t>
  </si>
  <si>
    <t>BL+30%</t>
  </si>
  <si>
    <t>BL+60%</t>
  </si>
  <si>
    <r>
      <rPr>
        <b/>
        <sz val="9"/>
        <rFont val="Arial"/>
        <family val="2"/>
      </rPr>
      <t>Enterprise development:</t>
    </r>
    <r>
      <rPr>
        <sz val="9"/>
        <rFont val="Arial"/>
        <family val="2"/>
      </rPr>
      <t xml:space="preserve"> Percentage increase in net added value of the informal sector  in the territories along the Phase II axes of North and South Kivu (baseline in 1,000 USD) - Reflected figures are for combined North and South Kivu Provinces</t>
    </r>
  </si>
  <si>
    <t>Division Provinciale du Plan (DPP) - Summary tables on the Informal Sector in North and South Kivu; in; Cadrage Macroeconomique 2006-2008, Province du Sud-Kivu, June 2009, prepared by Banque Mondiale, Unité de Gestion Economique et Réduction de la Pauvreté, en collaboration avec les Autorités Nationales et Provinciales</t>
  </si>
  <si>
    <t>OC.10.17-20</t>
  </si>
  <si>
    <t xml:space="preserve">
Reduced transport costs and improved connectivity will encourage increase in traffic and growth in trade.
(LF)
• Access to services is supported by other necessary conditions e.g. availability of staff, affordable fees
• Enabling environment for commercial and agricultural activities is improved through other programmes
• Improvements in household income and expenditure are not undermined by significant shocks or increased informal taxes on the road 
• Related programmes tackle conditions for economic development, such as river or other connecting transport and safe access for women to markets
• GoDRC prepared, and has capacity, to provide security and services
• We are acting in coordination with the rest of ISSSS and the international community
• MONUSCO mandate is extended and MONUSCO has sufficient capacity
• MONUSCO provides security to areas that have been opened
• MONUSCO is prepared to develop ISSSS with our support
• Informal taxes and cost of transport do not undermine increased road use
• Improved roads lead to improved transport services 
(BC)
</t>
  </si>
  <si>
    <t>BL + 100%</t>
  </si>
  <si>
    <t>Not fully
 opened yet</t>
  </si>
  <si>
    <t>Risk Rating</t>
  </si>
  <si>
    <t>Total (£)</t>
  </si>
  <si>
    <t xml:space="preserve">
Output  3
Negative social and environmental impacts mitigated  
</t>
  </si>
  <si>
    <t xml:space="preserve">
Output  1
Strategic roads 
built or upgraded</t>
  </si>
  <si>
    <t>OT-1.02.01-06</t>
  </si>
  <si>
    <t>OT-1.01.01-06</t>
  </si>
  <si>
    <r>
      <rPr>
        <b/>
        <sz val="9"/>
        <rFont val="Arial"/>
        <family val="2"/>
      </rPr>
      <t>Technical studies completed:</t>
    </r>
    <r>
      <rPr>
        <sz val="9"/>
        <rFont val="Arial"/>
        <family val="2"/>
      </rPr>
      <t xml:space="preserve"> Percentage progress / completion level of roads technical studies for the four axes</t>
    </r>
  </si>
  <si>
    <t>• MONUSCO and/or GoDRC provide security for the works to go ahead
• Sufficient knowledge of appropriate design standards to ensure the sustainability of the roads
• Local SME market exists to supply the relevant services 
(BC)</t>
  </si>
  <si>
    <t>Roads Phase II project monitoring reports  (UNOPS / Project Manager &amp; M&amp;E Contractor)
Technical (feasibility) studies progress and completion reports by contractors</t>
  </si>
  <si>
    <t>Kilometers of the four Phase 2 roads built or upgraded (cumulative)</t>
  </si>
  <si>
    <t>OT-2.01.01-05</t>
  </si>
  <si>
    <t xml:space="preserve">
• Private sector and provincial government capacity exists to maintain the roads. 
• MONUSCO and/or GoDRC provide security for the works to go ahead
• We have sufficient knowledge of appropriate design standards to ensure the sustainability of the roads
• Local SME market exists to supply the relevant services
• Other roads in the stabilisation plan reopened by other donors by year 2.
</t>
  </si>
  <si>
    <r>
      <rPr>
        <b/>
        <sz val="9"/>
        <rFont val="Arial"/>
        <family val="2"/>
      </rPr>
      <t>Maintenance Memoranda of Understanding (MoU's) in place:</t>
    </r>
    <r>
      <rPr>
        <sz val="9"/>
        <rFont val="Arial"/>
        <family val="2"/>
      </rPr>
      <t xml:space="preserve">  Number of roads maintenance Memoranda of Understanding (MoUs) concluded for sections of the phase 2 roads, including maintenance plans and budgets (and financing provisions for both manual and mechanical maintenance components) for all four phase 2 roads</t>
    </r>
  </si>
  <si>
    <t>UNOPS / international project manager, OdR, CI progress and supervisory reports; Local contractors project progress reports;  M&amp;E contractor, MONUSCO and Cellule Infrastructure (CI) oversight and QC reports; DFID and technical assistance consultant field visits;  Project database and M&amp;E system;  Feedback from local stakeholders (CSOs, communities &amp; road users)</t>
  </si>
  <si>
    <t>Phase 2 project and FONER &amp; DVDA contracts with local contractors / private companies (SMEs) for HIMO style maintenance; Signed Memoranda of Understanding with communities / villages for HIMO cantonniers maintenance systems;  Annual Provincial roads maintenance plans; UNOPS / International Project Manager, M&amp;E Contractor, OdR, CI and/or MONUSCO progress, supervisory and QC reports; Maintenance contracts with local contractors and communities</t>
  </si>
  <si>
    <r>
      <rPr>
        <b/>
        <sz val="9"/>
        <rFont val="Arial"/>
        <family val="2"/>
      </rPr>
      <t>Provincial road maintenance budget for phase 2 roads</t>
    </r>
    <r>
      <rPr>
        <sz val="9"/>
        <rFont val="Arial"/>
        <family val="2"/>
      </rPr>
      <t>:  Total approved annual FONER budget for road maintenance (in USD) for the four axes of Phase 2, further broken down by manual and mechanical maintenance</t>
    </r>
  </si>
  <si>
    <t>OT-2.02.01-08</t>
  </si>
  <si>
    <t>OT-2.03.01-06</t>
  </si>
  <si>
    <r>
      <rPr>
        <b/>
        <sz val="9"/>
        <rFont val="Arial"/>
        <family val="2"/>
      </rPr>
      <t xml:space="preserve">
Kilometer roads rehabilitated or maintained:</t>
    </r>
    <r>
      <rPr>
        <sz val="9"/>
        <rFont val="Arial"/>
        <family val="2"/>
      </rPr>
      <t xml:space="preserve">  Kilometers of the four built or upgraded phase 2 roads rehabilitated and maintained year round</t>
    </r>
  </si>
  <si>
    <t>UNOPS / international project manager, OdR, CI progress and supervisory reports; Local contractors project progress reports; M&amp;E contractor, MONUSCO and Cellule Infrastructure (CI) oversight and QC reports; DFID and technical assistance consultant field visits; Project database and M&amp;E system; Feedback from local stakeholders (CSOs, communities &amp; road users)</t>
  </si>
  <si>
    <r>
      <rPr>
        <b/>
        <sz val="9"/>
        <rFont val="Arial"/>
        <family val="2"/>
      </rPr>
      <t xml:space="preserve">Road construction and utilisation compliance with road protection measures: (1) Rain barriers: </t>
    </r>
    <r>
      <rPr>
        <sz val="9"/>
        <rFont val="Arial"/>
        <family val="2"/>
      </rPr>
      <t xml:space="preserve"> Percentage of the  rain barriers effectively used in the rainy season for at least  75% of the applicable time</t>
    </r>
  </si>
  <si>
    <t>OT-2.04.05-08</t>
  </si>
  <si>
    <t>Roads construction provisional and final acceptance reports; UNOPS, international project manager, M&amp;E contractor, OdR, CI supervisory reports; Local contractors maintenance reports; M&amp;E contractor, MONUSCO and Cellule Infrastructure (CI) oversight and QC reports (security aspects around rain barriers); Project database and M&amp;E system; Rain barrier logbooks kept by the responsible rain barriers operators (FONER officials or designated community members); Feedback from local stakeholders (CSOs, communities &amp; road users); DFID and technical assistance consultant field visits; Feedback from local stakeholders (CSOs, communities &amp; road users); DFID and technical assistance consultant field visits</t>
  </si>
  <si>
    <t>OT-2.05.01-16</t>
  </si>
  <si>
    <r>
      <rPr>
        <b/>
        <sz val="9"/>
        <rFont val="Arial"/>
        <family val="2"/>
      </rPr>
      <t xml:space="preserve">Road construction and utilisation compliance with road protection measures: (2) Compliance of vehicles with maximum axle loads (weight): </t>
    </r>
    <r>
      <rPr>
        <sz val="9"/>
        <rFont val="Arial"/>
        <family val="2"/>
      </rPr>
      <t xml:space="preserve"> Percentage of checked vehicles (trucks) at the 15 main traffic count/control points complying with axle loads / maximum weight regulations</t>
    </r>
  </si>
  <si>
    <t>Logbooks and reports by the FONER traffic controllers at the 15 traffic count / control points; FONER monthly, quarterly and annual reports on the traffic count / control points; Project database and M&amp;E system; PNC police tickets and records; MONUSCO and PNC security reports</t>
  </si>
  <si>
    <t xml:space="preserve">
Output  2
Sustainable maintenance system in place and operational
</t>
  </si>
  <si>
    <t>Phase 2 project monitoring reports; ESIA progress reports by contractors; Feedback from Ministries and civil society stakeholders concerned; ESIA final reports and approval documents.</t>
  </si>
  <si>
    <t xml:space="preserve">
Increased access improves GoDRC ability to manage natural resources.
Security allows for ESIA to go ahead.
(LF)
Provincial government authorities, NGOs and communities have capacity and will to work with implementing partners
(BC)</t>
  </si>
  <si>
    <t>SEMPs documents and approval documents; Project monitoring reports by environmental and social specialist; Contract documents: contract awarding, execution progress, and completion documents; Checks by technical assistance consultant on implementation of projects; Phase II project progress reports</t>
  </si>
  <si>
    <r>
      <t xml:space="preserve">Updated Logical Framework  based on the Baseline Report   </t>
    </r>
    <r>
      <rPr>
        <b/>
        <vertAlign val="superscript"/>
        <sz val="14"/>
        <color indexed="9"/>
        <rFont val="Arial"/>
        <family val="2"/>
      </rPr>
      <t xml:space="preserve">(1) </t>
    </r>
  </si>
  <si>
    <r>
      <rPr>
        <b/>
        <sz val="9"/>
        <rFont val="Arial"/>
        <family val="2"/>
      </rPr>
      <t>Social and Environmental Management Plans (SMEPs) completed:</t>
    </r>
    <r>
      <rPr>
        <sz val="9"/>
        <rFont val="Arial"/>
        <family val="2"/>
      </rPr>
      <t xml:space="preserve">  Social and Environmental Management Plans (SEMP), based on the ESIAs, completed and approved 
</t>
    </r>
  </si>
  <si>
    <r>
      <rPr>
        <b/>
        <sz val="9"/>
        <rFont val="Arial"/>
        <family val="2"/>
      </rPr>
      <t xml:space="preserve">Negative side-effects of transport of ecologically vulnerable goods mitigated:  (A) Tons of charcoal </t>
    </r>
    <r>
      <rPr>
        <sz val="9"/>
        <rFont val="Arial"/>
        <family val="2"/>
      </rPr>
      <t>transported per day, as measured at the 15 main traffic count / control points along the phase II roads</t>
    </r>
  </si>
  <si>
    <r>
      <rPr>
        <b/>
        <sz val="9"/>
        <rFont val="Arial"/>
        <family val="2"/>
      </rPr>
      <t>Roads Environmental and Social Impact Assessments (ESIA) studies completed:</t>
    </r>
    <r>
      <rPr>
        <sz val="9"/>
        <rFont val="Arial"/>
        <family val="2"/>
      </rPr>
      <t xml:space="preserve">  Progress of the environmental and social impact assessment (ESIA) studies for the four Phase 2 roads</t>
    </r>
  </si>
  <si>
    <t>OT-3.01.01-04</t>
  </si>
  <si>
    <t>OT-3.02.01-04</t>
  </si>
  <si>
    <t>OT-3.03.01-16</t>
  </si>
  <si>
    <t>OT-3.03.17-34</t>
  </si>
  <si>
    <r>
      <rPr>
        <b/>
        <sz val="9"/>
        <rFont val="Arial"/>
        <family val="2"/>
      </rPr>
      <t xml:space="preserve">Negative side-effects of transport of ecologically vulnerable goods mitigated: (B) Kg of bush meat </t>
    </r>
    <r>
      <rPr>
        <sz val="9"/>
        <rFont val="Arial"/>
        <family val="2"/>
      </rPr>
      <t>transported per day, as measured at the 15 main traffic count / control points along the phase II roads</t>
    </r>
  </si>
  <si>
    <r>
      <rPr>
        <b/>
        <sz val="9"/>
        <rFont val="Arial"/>
        <family val="2"/>
      </rPr>
      <t xml:space="preserve">Negative side-effects of transport of illegal goods mitigated: </t>
    </r>
    <r>
      <rPr>
        <sz val="9"/>
        <rFont val="Arial"/>
        <family val="2"/>
      </rPr>
      <t xml:space="preserve">Volume  (in tonne/day) of </t>
    </r>
    <r>
      <rPr>
        <b/>
        <sz val="9"/>
        <rFont val="Arial"/>
        <family val="2"/>
      </rPr>
      <t xml:space="preserve">illegal timber </t>
    </r>
    <r>
      <rPr>
        <sz val="9"/>
        <rFont val="Arial"/>
        <family val="2"/>
      </rPr>
      <t>transported,  as measured at the 15 main traffic count / control points along the four phase II roads</t>
    </r>
  </si>
  <si>
    <t>Logbooks and reports by the FONER traffic controllers at the 15 traffic count / control points; FONER monthly, quarterly and annual reports on the traffic count / control points; Project database and M&amp;E system; PNC police tickets and records; MONUSCO and PNC security reports; Six monthly traffic and trade surveys.</t>
  </si>
  <si>
    <t xml:space="preserve">Same as for the above indicators on transport of charcoal.
Complementary, weekly monitoring / checking on market places in towns/villages along the four phase 2 axes may be thought of. In that case, the list of places needs to be identified and kept standard over time for monitoring purposes. </t>
  </si>
  <si>
    <t>Same as above</t>
  </si>
  <si>
    <r>
      <rPr>
        <b/>
        <sz val="9"/>
        <rFont val="Arial"/>
        <family val="2"/>
      </rPr>
      <t xml:space="preserve">Negative side-effects of transport of illegal goods mitigated: </t>
    </r>
    <r>
      <rPr>
        <sz val="9"/>
        <rFont val="Arial"/>
        <family val="2"/>
      </rPr>
      <t>Volume (in tonne/day) of</t>
    </r>
    <r>
      <rPr>
        <b/>
        <sz val="9"/>
        <rFont val="Arial"/>
        <family val="2"/>
      </rPr>
      <t xml:space="preserve"> illegal minerals</t>
    </r>
    <r>
      <rPr>
        <sz val="9"/>
        <rFont val="Arial"/>
        <family val="2"/>
      </rPr>
      <t xml:space="preserve"> (coltan and casserite)  transported, as measured at the 15 main traffic count / control points along the phase II roads</t>
    </r>
  </si>
  <si>
    <t>OT-3.04.05-20</t>
  </si>
  <si>
    <t>OT-3.04.21-38</t>
  </si>
  <si>
    <t>y-1 - 10%</t>
  </si>
  <si>
    <r>
      <rPr>
        <b/>
        <sz val="9"/>
        <rFont val="Arial"/>
        <family val="2"/>
      </rPr>
      <t xml:space="preserve">Health trainers trained and population sensitised on  HIV/Aids: </t>
    </r>
    <r>
      <rPr>
        <sz val="9"/>
        <rFont val="Arial"/>
        <family val="2"/>
      </rPr>
      <t xml:space="preserve"> Number of sexual health trainers in the territories along the Phase II routes  trained on HIV/Aids awareness (cumulative)</t>
    </r>
  </si>
  <si>
    <r>
      <rPr>
        <b/>
        <sz val="9"/>
        <rFont val="Arial"/>
        <family val="2"/>
      </rPr>
      <t xml:space="preserve">Health trainers trained and population sensitised on  HIV/Aids: </t>
    </r>
    <r>
      <rPr>
        <sz val="9"/>
        <rFont val="Arial"/>
        <family val="2"/>
      </rPr>
      <t xml:space="preserve"> Percentage of population sensitised on HIV/AIDS in the territories along the Phase II routes as a result of the HIV-Aids training sessions (training reach) and other sensitisation campaigns in the area</t>
    </r>
  </si>
  <si>
    <t>Statistics, quarterly and annual reports from PNMLS (Programme National Multi-sectoriel de Lutte contre le SIDA) and the  North and South Kivu Provincial Offices of the  Ministry of Health; Periodic reports by Phase 2 M&amp;E Contractor;  Reports by NGOs in charge of training and/or sensitization on HIV/AIDs; Records on HIV/AIDS patients by clinics / hospitals in the area (Provinces and Territories along the Phase 2 axes</t>
  </si>
  <si>
    <r>
      <rPr>
        <b/>
        <sz val="9"/>
        <rFont val="Arial"/>
        <family val="2"/>
      </rPr>
      <t xml:space="preserve">Incidence of road blocks and informal taxes collection: </t>
    </r>
    <r>
      <rPr>
        <sz val="9"/>
        <rFont val="Arial"/>
        <family val="2"/>
      </rPr>
      <t>Total number of illegal taxation cases reported annually in the territories along the four phase 2 axes</t>
    </r>
  </si>
  <si>
    <t>Reports from MONUSCO-SSU based on information obtained from MONUSCO (Peacekeeping Forces, Military Observers, UN Department of Safety and Security, other components) and local citizens  (reported cases of Illegal Taxation)</t>
  </si>
  <si>
    <r>
      <rPr>
        <b/>
        <sz val="9"/>
        <rFont val="Arial"/>
        <family val="2"/>
      </rPr>
      <t>Number of road traffic deaths and injuries:</t>
    </r>
    <r>
      <rPr>
        <sz val="9"/>
        <rFont val="Arial"/>
        <family val="2"/>
      </rPr>
      <t xml:space="preserve">  Total number of road traffic injuries on the phase 2 roads based on health outlet records (primary health clinics and referral hospitals) along the roads</t>
    </r>
  </si>
  <si>
    <t>Max.
BV + 20%</t>
  </si>
  <si>
    <t>Records and periodic reports (monthly, quarterly and/or annually) of the key GoDRC law and order institutions concerned (Police Nationale Congolaise - PNC, Police de Circulation, ...); Records and reports by clinics / hospitals in the territories along the Phase 2 axes; Periodic reports by UNOPS and/or Phase 2 M&amp;E Contractor; and possibly: Six monthly traffic and trade surveys</t>
  </si>
  <si>
    <t>n</t>
  </si>
  <si>
    <t>y</t>
  </si>
  <si>
    <t>UNOPS and Project Manager (with MITPR / OdR - FONER &amp; DVDA)  Provincial Roads works policy and strategy documents; Policy and strategy implementation reports; Roads works progress and completion reports; Project M&amp;E system documents; Project progress and final reports</t>
  </si>
  <si>
    <t>OT-3.05. 01-02</t>
  </si>
  <si>
    <t>OT-3.05.07-08</t>
  </si>
  <si>
    <t>OT-3.06.01-02</t>
  </si>
  <si>
    <t>OT-3.10.01-05</t>
  </si>
  <si>
    <r>
      <rPr>
        <b/>
        <sz val="9"/>
        <rFont val="Arial"/>
        <family val="2"/>
      </rPr>
      <t xml:space="preserve">Strategy for equitable employment generation developed and implemented: </t>
    </r>
    <r>
      <rPr>
        <sz val="9"/>
        <rFont val="Arial"/>
        <family val="2"/>
      </rPr>
      <t>Strategy for equitable employment generation developed, approved and updated as necessary, for UNOPS and the Project Manager</t>
    </r>
  </si>
  <si>
    <t>UNOPS and  Project Manager progress reports and/or M&amp;E contractor project monitoring reports; Contract documents; Contractors (progress and final) reports; Road works individual labourers / employment "fiches"  and booklets; Project component "employment generation" budget and financial information system; Project employment database, M&amp;E system and reporting; Records of the community / village level Civil Society Committees possibly coordinated with for the roads construction and maintenance HIMO component; DVDA information  system and records regarding road maintenance through the "cantonniers" system</t>
  </si>
  <si>
    <t>OT-4.02.01-10</t>
  </si>
  <si>
    <t>OT-4.01.01-02</t>
  </si>
  <si>
    <r>
      <rPr>
        <b/>
        <sz val="9"/>
        <rFont val="Arial"/>
        <family val="2"/>
      </rPr>
      <t xml:space="preserve">Number of person / days of equitable employment generated by road works, disaggregated by sex: </t>
    </r>
    <r>
      <rPr>
        <sz val="9"/>
        <rFont val="Arial"/>
        <family val="2"/>
      </rPr>
      <t>Total number of person days of employment generated annually on all four phase 2 axes, by road building / upgrading, cumulative and disaggregated by sex</t>
    </r>
  </si>
  <si>
    <r>
      <rPr>
        <b/>
        <sz val="9"/>
        <rFont val="Arial"/>
        <family val="2"/>
      </rPr>
      <t xml:space="preserve">Number of person / days of equitable employment generated by road works, disaggregated by sex: </t>
    </r>
    <r>
      <rPr>
        <sz val="9"/>
        <rFont val="Arial"/>
        <family val="2"/>
      </rPr>
      <t>Percentage of annual project budgetary resources for project component "equitable employment" effectively paid to labourers' / workers' salaries for work done on all four Phase II axes</t>
    </r>
  </si>
  <si>
    <t xml:space="preserve">
Same as above and ultimately based on the road works individual labourers / employment "fiches"  and booklets  (and possibly in a later stage individual bank accounts, at least when feasible)</t>
  </si>
  <si>
    <t>OT-4.02.21-25</t>
  </si>
  <si>
    <t>OT-4.03.01-02</t>
  </si>
  <si>
    <r>
      <rPr>
        <b/>
        <sz val="9"/>
        <rFont val="Arial"/>
        <family val="2"/>
      </rPr>
      <t>Percentage of poor and vulnerable persons (households) benefitting from equitable employment generated by the roads works programme:</t>
    </r>
    <r>
      <rPr>
        <sz val="9"/>
        <rFont val="Arial"/>
        <family val="2"/>
      </rPr>
      <t xml:space="preserve"> Percentage of </t>
    </r>
    <r>
      <rPr>
        <b/>
        <sz val="9"/>
        <rFont val="Arial"/>
        <family val="2"/>
      </rPr>
      <t>demobilised ex-combatants</t>
    </r>
    <r>
      <rPr>
        <sz val="9"/>
        <rFont val="Arial"/>
        <family val="2"/>
      </rPr>
      <t xml:space="preserve"> in the work force (with at least 50% FTE - full-time employment equivalent) for road construction and/or maintenance works</t>
    </r>
  </si>
  <si>
    <t>Project component "employment generation" budget and financial information system; UNOPS and/or M&amp;E contractor project monitoring reports/contract documents; Project employment database, M&amp;M45E system and reporting;  Records of the community / village level Civil Society Committees possibly coordinated with for the roads construction and maintenance HIMO component; DVDA information  system and records regarding road maintenance through the "cantonniers" system; Individual labourers' employment booklets and bank accounts</t>
  </si>
  <si>
    <t>OT-4.03.03-04</t>
  </si>
  <si>
    <t>OT-4.03.05-06</t>
  </si>
  <si>
    <r>
      <rPr>
        <b/>
        <sz val="9"/>
        <rFont val="Arial"/>
        <family val="2"/>
      </rPr>
      <t>Percentage of poor and vulnerable persons (households) benefitting from equitable employment generated by the roads works programme:</t>
    </r>
    <r>
      <rPr>
        <sz val="9"/>
        <rFont val="Arial"/>
        <family val="2"/>
      </rPr>
      <t xml:space="preserve"> Percentage of persons from families under the </t>
    </r>
    <r>
      <rPr>
        <b/>
        <sz val="9"/>
        <rFont val="Arial"/>
        <family val="2"/>
      </rPr>
      <t xml:space="preserve">absolute income poverty line / most vulnerable </t>
    </r>
    <r>
      <rPr>
        <sz val="9"/>
        <rFont val="Arial"/>
        <family val="2"/>
      </rPr>
      <t>families in the work force (with at least 50% FTE)</t>
    </r>
  </si>
  <si>
    <r>
      <rPr>
        <b/>
        <sz val="9"/>
        <rFont val="Arial"/>
        <family val="2"/>
      </rPr>
      <t>Percentage of poor and vulnerable persons (households) benefitting from equitable employment generated by the roads works programme:</t>
    </r>
    <r>
      <rPr>
        <sz val="9"/>
        <rFont val="Arial"/>
        <family val="2"/>
      </rPr>
      <t xml:space="preserve"> Percentage of </t>
    </r>
    <r>
      <rPr>
        <b/>
        <sz val="9"/>
        <rFont val="Arial"/>
        <family val="2"/>
      </rPr>
      <t>women</t>
    </r>
    <r>
      <rPr>
        <sz val="9"/>
        <rFont val="Arial"/>
        <family val="2"/>
      </rPr>
      <t xml:space="preserve"> in the work force (with at least 50% FTE) for road construction and/or maintenance works</t>
    </r>
  </si>
  <si>
    <r>
      <t xml:space="preserve">Presence of public authorities in zones of influence of the roads:  </t>
    </r>
    <r>
      <rPr>
        <sz val="9"/>
        <rFont val="Arial"/>
        <family val="2"/>
      </rPr>
      <t>Total kilometres of phase II roads covered by the roads patrol plans of the respective police stations and sub-stations along the Phase II roads:</t>
    </r>
  </si>
  <si>
    <r>
      <rPr>
        <b/>
        <sz val="9"/>
        <rFont val="Arial"/>
        <family val="2"/>
      </rPr>
      <t>Presence of public authorities in zones of influence of the roads:</t>
    </r>
    <r>
      <rPr>
        <sz val="9"/>
        <rFont val="Arial"/>
        <family val="2"/>
      </rPr>
      <t xml:space="preserve">  Government infrastructure with effectively operational status in the territories along the four phase 2 axes  </t>
    </r>
  </si>
  <si>
    <r>
      <rPr>
        <b/>
        <sz val="9"/>
        <rFont val="Arial"/>
        <family val="2"/>
      </rPr>
      <t xml:space="preserve">Broader socio-economic development planning and programming triggered off for the territories along the phase 2 roads: </t>
    </r>
    <r>
      <rPr>
        <sz val="9"/>
        <rFont val="Arial"/>
        <family val="2"/>
      </rPr>
      <t xml:space="preserve">   Annual development programmes with budget derived from the strategic plan ("Plan d'Actions Prioritaires" - PAPs), covering the territories along the phase 2 roads, are developed and approved </t>
    </r>
  </si>
  <si>
    <t>OT-5.01.01-10</t>
  </si>
  <si>
    <t>OT-5.01.21-25</t>
  </si>
  <si>
    <t>OT-5.02.03-04</t>
  </si>
  <si>
    <r>
      <rPr>
        <b/>
        <sz val="9"/>
        <rFont val="Arial"/>
        <family val="2"/>
      </rPr>
      <t xml:space="preserve">Expansion of socio-economic development programmes and projects and their actual implementation triggered off in the territories along the phase 2 roads: </t>
    </r>
    <r>
      <rPr>
        <sz val="9"/>
        <rFont val="Arial"/>
        <family val="2"/>
      </rPr>
      <t xml:space="preserve"> Percentage of disbursed and utilised resources for development projects in the territories along the Phase II axes especially targeting deprived and vulnerable groups of society for poverty alleviation:</t>
    </r>
  </si>
  <si>
    <t>OT-5.03.06-10</t>
  </si>
  <si>
    <t>OT-5.03.16-20</t>
  </si>
  <si>
    <r>
      <rPr>
        <b/>
        <sz val="9"/>
        <rFont val="Arial"/>
        <family val="2"/>
      </rPr>
      <t>Expansion of socio-economic development programmes and projects and their actual implementation triggered off in the territories along the phase 2 roads:</t>
    </r>
    <r>
      <rPr>
        <sz val="9"/>
        <rFont val="Arial"/>
        <family val="2"/>
      </rPr>
      <t xml:space="preserve"> Total value of the development projects under implementation in the territories along the Phase II roads (in USD)</t>
    </r>
  </si>
  <si>
    <t>BS+10%</t>
  </si>
  <si>
    <t>BS+20%</t>
  </si>
  <si>
    <t>BS+40%</t>
  </si>
  <si>
    <t>BS+100%</t>
  </si>
  <si>
    <t>BS+180%</t>
  </si>
  <si>
    <t xml:space="preserve">
Inventories by the Provincial Administrations of North Kivu and South Kivu;  Cartographie Judiciaire</t>
  </si>
  <si>
    <t xml:space="preserve">
• GoDRC prepared, and has capacity, to provide security and services
• Other donor funding continues and remains focused on eastern DRC</t>
  </si>
  <si>
    <t>Police stations and sub-stations roads patrol plans and budgets; Road patrol records and reports by the PNC policy stations and sub-stations along the phase II axes, and possibly by other agencies concerned / mandated  (FARDC, MONUSCO, etc.); MONUSCO-SSU statistics and reports</t>
  </si>
  <si>
    <t>Provincial annual development plans and budgets: "Plan d'Actions Prioritaires" - PAPs;  Provincial annual development reports (progress, results and financial); Projects documents, progress and annual reports; Macro-economic, sectoral and project reviews and evaluations
Total budget of the 2011 PAP for South Kivu: 226,499,513 USD of which 224,857,939 USD funded. PAP budget for the 5 year period 2011-2015: 2,477.149,113 USD of which 1,613,362,663 funded as of 2011.</t>
  </si>
  <si>
    <t>Provincial strategic development plans: "Plan Quinquennal"; Projects documents, progress and annual reports; Sections of UNDP Human Development Report for Congo focusing on the regions / provinces ; Other multilateral and bilateral donor documents and reports on North and/or South Kivu Provinces</t>
  </si>
  <si>
    <t>Same as above.</t>
  </si>
  <si>
    <t>MITPR / OdR - FONER &amp; DVDA Provincial road maintenance strategy documents and annual operational programmes; MITPR / OdR - FONER &amp; DVDA overall and annual maintenance budgets (both for manual and mechanized maintenance);  Roads Phase II roads maintenance budget and financial reports (both mechanical and manual) for the four axes, with breakdown by year;  UNOPS, M&amp;E Contractor, OdR, CI and/or MONUSCO progress, M&amp;E supervisory and QC reports; Phase II M&amp;E system, database and reporting; Maintenance contracts with local contractors and communities and their progress and financial reports</t>
  </si>
  <si>
    <t>Baseline Report fo "Roads in the East Phase 2"  - Updated Business Case  Updated Business Case Logical Framework and Key Performance Indicators : Indicators Selection, Benchmarking and Data Collection Methods ;  Final Draft Version V.7 of 08 May 2012. The present LogFrame is an abridged and simplified version of the full baseline LogFrame version, with completed sets of indicators and sub-indicators, and with for each descriptions of data collection methods and tools, methodological notes, and further elaborated baseline data and target setting. 
In this summary LogFrame, only a selection of the baseline report key performance / results indicators is reflected. For full details on each result, its indicator(s) and sub-indicators, kindly refer to the sections concerned of the baseline report.</t>
  </si>
  <si>
    <r>
      <t xml:space="preserve">Description </t>
    </r>
    <r>
      <rPr>
        <b/>
        <vertAlign val="superscript"/>
        <sz val="9"/>
        <rFont val="Arial"/>
        <family val="2"/>
      </rPr>
      <t>(2)</t>
    </r>
  </si>
  <si>
    <t>LogFrame indicator codes refer to the codes of the indicators and sub-indicators included in the baseline report. All key performance indicator (KPI - reflected in bold typeface) are composite indicators, each encompassing a series of baseline / monitoring and evaluation (M&amp;E) sub-indicators (S-KPIs) or at least a series of individual indicator measurements. The sub-indicator selected (as representative) for the key indicator is reflected in the LogFrame in regular typeface text, right after the bold text of the main KPI. In the detailed baseline report explicit attention is given to the listing of the sub-indicators and their operational definition in order to ensure the usefulness and actual (sustainable) use of the KPIs for project phase 2 programme management monitoring and evaluation purposes.</t>
  </si>
  <si>
    <t xml:space="preserve">Methodological explanations and further details are included in the "Guidelines for Completing the LogFrame Results Indicators and Baseline Data Sheets by the Key Stakeholders in North and South Kivu and Other Parties Concerned" (Version V.3 of 24 April 20112).   Five (5) types of Units of Measurement (UoM) only: (1) Number - #,   (2) Percentage - %,   (3) 0-10 Scale,  (4) HSPU (Qualitative: Highly satisfactory, Satisfactory, Partly satisfactory and Unsatisfactory)  and  (5) logical yes/no - y/n
</t>
  </si>
  <si>
    <t>Period of phase 2 project: 01 July 2012 - 01 July 2022:  10 years, of which first 3 years building/upgrading phase and subsequent 7 years for rehabilitation/maintenance phase.
"tbd" staning for "to be determined" refers to the indicator baseline value to be determined still during the early inception phase of the project and, where applicable, indicator target setting also to be done during this early phase depending on the baseline value.</t>
  </si>
  <si>
    <t xml:space="preserve">
Output  5
Government 
presence, other            DFID and donor programming leveraged into        zones of influence              of roads</t>
  </si>
  <si>
    <t xml:space="preserve">
Labour intensive road construction, rehabilitation and maintenance effectively pursued as policy and strategic objective
Women and demobilised ex-combatants able to work on roads.
Contractors willing to employ them.
Effective (enforcement of the) implementation of labour intensive road construction policy and strategy, in accordance with the established procedures, rules and regulation.</t>
  </si>
  <si>
    <t xml:space="preserve">
Output  4
Equitable employment generated by road works and maintenance </t>
  </si>
  <si>
    <t xml:space="preserve">
Outcome
Economic activity and access to service provision catalysed by secure, all-weather, climate resistant roads </t>
  </si>
  <si>
    <t xml:space="preserve">
Impact 
Reduced income poverty and improved security in North and South Kivu</t>
  </si>
  <si>
    <r>
      <rPr>
        <b/>
        <sz val="9"/>
        <rFont val="Arial"/>
        <family val="2"/>
      </rPr>
      <t xml:space="preserve">
Outcome</t>
    </r>
    <r>
      <rPr>
        <sz val="9"/>
        <rFont val="Arial"/>
        <family val="2"/>
      </rPr>
      <t xml:space="preserve">
Economic activity and access to service provision catalysed by secure, all-weather, climate resistant roads
</t>
    </r>
    <r>
      <rPr>
        <i/>
        <sz val="9"/>
        <rFont val="Arial"/>
        <family val="2"/>
      </rPr>
      <t xml:space="preserve">(continued) </t>
    </r>
  </si>
</sst>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quot;£&quot;#,##0"/>
    <numFmt numFmtId="165" formatCode="0.0"/>
    <numFmt numFmtId="166" formatCode="0.0%"/>
    <numFmt numFmtId="167" formatCode="#,##0.000"/>
  </numFmts>
  <fonts count="17" x14ac:knownFonts="1">
    <font>
      <sz val="10"/>
      <name val="Arial"/>
    </font>
    <font>
      <b/>
      <sz val="9"/>
      <name val="Arial"/>
      <family val="2"/>
    </font>
    <font>
      <sz val="9"/>
      <name val="Arial"/>
      <family val="2"/>
    </font>
    <font>
      <sz val="8"/>
      <name val="Arial"/>
      <family val="2"/>
    </font>
    <font>
      <sz val="10"/>
      <name val="Arial"/>
      <family val="2"/>
    </font>
    <font>
      <sz val="9"/>
      <name val="Arial"/>
      <family val="2"/>
    </font>
    <font>
      <sz val="10"/>
      <color theme="0"/>
      <name val="Arial"/>
      <family val="2"/>
    </font>
    <font>
      <sz val="12"/>
      <color theme="1"/>
      <name val="Arial"/>
      <family val="2"/>
    </font>
    <font>
      <b/>
      <sz val="12"/>
      <color theme="1"/>
      <name val="Arial"/>
      <family val="2"/>
    </font>
    <font>
      <sz val="16"/>
      <name val="Arial"/>
      <family val="2"/>
    </font>
    <font>
      <i/>
      <sz val="10"/>
      <name val="Arial"/>
      <family val="2"/>
    </font>
    <font>
      <b/>
      <sz val="14"/>
      <color indexed="9"/>
      <name val="Arial"/>
      <family val="2"/>
    </font>
    <font>
      <b/>
      <vertAlign val="superscript"/>
      <sz val="14"/>
      <color indexed="9"/>
      <name val="Arial"/>
      <family val="2"/>
    </font>
    <font>
      <b/>
      <sz val="12"/>
      <color indexed="9"/>
      <name val="Arial"/>
      <family val="2"/>
    </font>
    <font>
      <i/>
      <sz val="9"/>
      <name val="Arial"/>
      <family val="2"/>
    </font>
    <font>
      <b/>
      <vertAlign val="superscript"/>
      <sz val="9"/>
      <name val="Arial"/>
      <family val="2"/>
    </font>
    <font>
      <sz val="9"/>
      <name val="Courier New"/>
      <family val="3"/>
    </font>
  </fonts>
  <fills count="8">
    <fill>
      <patternFill patternType="none"/>
    </fill>
    <fill>
      <patternFill patternType="gray125"/>
    </fill>
    <fill>
      <patternFill patternType="solid">
        <fgColor indexed="63"/>
        <bgColor indexed="64"/>
      </patternFill>
    </fill>
    <fill>
      <patternFill patternType="solid">
        <fgColor theme="1" tint="0.34998626667073579"/>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6" tint="0.59999389629810485"/>
        <bgColor indexed="64"/>
      </patternFill>
    </fill>
    <fill>
      <patternFill patternType="solid">
        <fgColor theme="6" tint="0.79998168889431442"/>
        <bgColor indexed="64"/>
      </patternFill>
    </fill>
  </fills>
  <borders count="115">
    <border>
      <left/>
      <right/>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bottom style="thin">
        <color indexed="64"/>
      </bottom>
      <diagonal/>
    </border>
    <border>
      <left style="medium">
        <color indexed="64"/>
      </left>
      <right/>
      <top/>
      <bottom/>
      <diagonal/>
    </border>
    <border>
      <left/>
      <right/>
      <top style="thin">
        <color indexed="64"/>
      </top>
      <bottom style="medium">
        <color indexed="64"/>
      </bottom>
      <diagonal/>
    </border>
    <border>
      <left style="medium">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style="medium">
        <color indexed="64"/>
      </right>
      <top style="hair">
        <color indexed="64"/>
      </top>
      <bottom/>
      <diagonal/>
    </border>
    <border>
      <left style="thin">
        <color indexed="64"/>
      </left>
      <right style="thin">
        <color indexed="64"/>
      </right>
      <top/>
      <bottom style="hair">
        <color indexed="64"/>
      </bottom>
      <diagonal/>
    </border>
    <border>
      <left/>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double">
        <color indexed="64"/>
      </bottom>
      <diagonal/>
    </border>
    <border>
      <left style="medium">
        <color indexed="64"/>
      </left>
      <right style="thin">
        <color indexed="64"/>
      </right>
      <top style="hair">
        <color indexed="64"/>
      </top>
      <bottom style="double">
        <color indexed="64"/>
      </bottom>
      <diagonal/>
    </border>
    <border>
      <left style="thin">
        <color indexed="64"/>
      </left>
      <right style="medium">
        <color indexed="64"/>
      </right>
      <top style="hair">
        <color indexed="64"/>
      </top>
      <bottom style="double">
        <color indexed="64"/>
      </bottom>
      <diagonal/>
    </border>
    <border>
      <left style="medium">
        <color indexed="64"/>
      </left>
      <right style="thin">
        <color indexed="64"/>
      </right>
      <top style="double">
        <color indexed="64"/>
      </top>
      <bottom/>
      <diagonal/>
    </border>
    <border>
      <left style="thin">
        <color indexed="64"/>
      </left>
      <right style="thin">
        <color indexed="64"/>
      </right>
      <top style="double">
        <color indexed="64"/>
      </top>
      <bottom style="hair">
        <color indexed="64"/>
      </bottom>
      <diagonal/>
    </border>
    <border>
      <left style="thin">
        <color indexed="64"/>
      </left>
      <right style="medium">
        <color indexed="64"/>
      </right>
      <top style="double">
        <color indexed="64"/>
      </top>
      <bottom style="hair">
        <color indexed="64"/>
      </bottom>
      <diagonal/>
    </border>
    <border>
      <left style="medium">
        <color indexed="64"/>
      </left>
      <right style="thin">
        <color indexed="64"/>
      </right>
      <top/>
      <bottom style="medium">
        <color indexed="64"/>
      </bottom>
      <diagonal/>
    </border>
    <border>
      <left style="thin">
        <color indexed="64"/>
      </left>
      <right style="hair">
        <color indexed="64"/>
      </right>
      <top style="thin">
        <color indexed="64"/>
      </top>
      <bottom style="double">
        <color indexed="64"/>
      </bottom>
      <diagonal/>
    </border>
    <border>
      <left style="hair">
        <color indexed="64"/>
      </left>
      <right style="hair">
        <color indexed="64"/>
      </right>
      <top style="thin">
        <color indexed="64"/>
      </top>
      <bottom style="double">
        <color indexed="64"/>
      </bottom>
      <diagonal/>
    </border>
    <border>
      <left style="hair">
        <color indexed="64"/>
      </left>
      <right style="thin">
        <color indexed="64"/>
      </right>
      <top style="thin">
        <color indexed="64"/>
      </top>
      <bottom style="double">
        <color indexed="64"/>
      </bottom>
      <diagonal/>
    </border>
    <border>
      <left style="thin">
        <color indexed="64"/>
      </left>
      <right style="hair">
        <color indexed="64"/>
      </right>
      <top style="double">
        <color indexed="64"/>
      </top>
      <bottom style="hair">
        <color indexed="64"/>
      </bottom>
      <diagonal/>
    </border>
    <border>
      <left style="hair">
        <color indexed="64"/>
      </left>
      <right style="hair">
        <color indexed="64"/>
      </right>
      <top style="double">
        <color indexed="64"/>
      </top>
      <bottom style="hair">
        <color indexed="64"/>
      </bottom>
      <diagonal/>
    </border>
    <border>
      <left style="hair">
        <color indexed="64"/>
      </left>
      <right style="thin">
        <color indexed="64"/>
      </right>
      <top style="double">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hair">
        <color indexed="64"/>
      </left>
      <right style="thin">
        <color indexed="64"/>
      </right>
      <top style="hair">
        <color indexed="64"/>
      </top>
      <bottom style="double">
        <color indexed="64"/>
      </bottom>
      <diagonal/>
    </border>
    <border>
      <left style="thin">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thin">
        <color indexed="64"/>
      </right>
      <top style="hair">
        <color indexed="64"/>
      </top>
      <bottom style="medium">
        <color indexed="64"/>
      </bottom>
      <diagonal/>
    </border>
    <border>
      <left style="hair">
        <color indexed="64"/>
      </left>
      <right style="thin">
        <color indexed="64"/>
      </right>
      <top/>
      <bottom style="double">
        <color indexed="64"/>
      </bottom>
      <diagonal/>
    </border>
    <border>
      <left style="thin">
        <color indexed="64"/>
      </left>
      <right/>
      <top style="hair">
        <color indexed="64"/>
      </top>
      <bottom style="double">
        <color indexed="64"/>
      </bottom>
      <diagonal/>
    </border>
    <border>
      <left/>
      <right style="hair">
        <color indexed="64"/>
      </right>
      <top style="hair">
        <color indexed="64"/>
      </top>
      <bottom style="double">
        <color indexed="64"/>
      </bottom>
      <diagonal/>
    </border>
    <border>
      <left style="thin">
        <color indexed="64"/>
      </left>
      <right/>
      <top style="hair">
        <color indexed="64"/>
      </top>
      <bottom style="hair">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right/>
      <top style="double">
        <color indexed="64"/>
      </top>
      <bottom/>
      <diagonal/>
    </border>
    <border>
      <left style="thin">
        <color indexed="64"/>
      </left>
      <right/>
      <top style="double">
        <color indexed="64"/>
      </top>
      <bottom style="hair">
        <color indexed="64"/>
      </bottom>
      <diagonal/>
    </border>
    <border>
      <left style="thin">
        <color indexed="64"/>
      </left>
      <right/>
      <top style="hair">
        <color indexed="64"/>
      </top>
      <bottom style="medium">
        <color indexed="64"/>
      </bottom>
      <diagonal/>
    </border>
    <border>
      <left style="medium">
        <color indexed="64"/>
      </left>
      <right/>
      <top/>
      <bottom style="thin">
        <color indexed="64"/>
      </bottom>
      <diagonal/>
    </border>
    <border>
      <left style="thin">
        <color indexed="64"/>
      </left>
      <right style="thin">
        <color indexed="64"/>
      </right>
      <top style="double">
        <color indexed="64"/>
      </top>
      <bottom/>
      <diagonal/>
    </border>
    <border>
      <left style="thin">
        <color indexed="64"/>
      </left>
      <right style="hair">
        <color indexed="64"/>
      </right>
      <top style="double">
        <color indexed="64"/>
      </top>
      <bottom/>
      <diagonal/>
    </border>
    <border>
      <left style="hair">
        <color indexed="64"/>
      </left>
      <right style="hair">
        <color indexed="64"/>
      </right>
      <top style="double">
        <color indexed="64"/>
      </top>
      <bottom/>
      <diagonal/>
    </border>
    <border>
      <left style="hair">
        <color indexed="64"/>
      </left>
      <right style="thin">
        <color indexed="64"/>
      </right>
      <top style="double">
        <color indexed="64"/>
      </top>
      <bottom/>
      <diagonal/>
    </border>
    <border>
      <left style="thin">
        <color indexed="64"/>
      </left>
      <right style="medium">
        <color indexed="64"/>
      </right>
      <top style="double">
        <color indexed="64"/>
      </top>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medium">
        <color indexed="64"/>
      </right>
      <top/>
      <bottom/>
      <diagonal/>
    </border>
    <border>
      <left style="medium">
        <color indexed="64"/>
      </left>
      <right/>
      <top style="double">
        <color indexed="64"/>
      </top>
      <bottom style="double">
        <color indexed="64"/>
      </bottom>
      <diagonal/>
    </border>
    <border>
      <left style="thin">
        <color indexed="64"/>
      </left>
      <right/>
      <top style="double">
        <color indexed="64"/>
      </top>
      <bottom style="double">
        <color indexed="64"/>
      </bottom>
      <diagonal/>
    </border>
    <border>
      <left/>
      <right/>
      <top style="double">
        <color indexed="64"/>
      </top>
      <bottom style="double">
        <color indexed="64"/>
      </bottom>
      <diagonal/>
    </border>
    <border>
      <left style="medium">
        <color indexed="64"/>
      </left>
      <right/>
      <top style="double">
        <color indexed="64"/>
      </top>
      <bottom/>
      <diagonal/>
    </border>
    <border>
      <left style="thin">
        <color indexed="64"/>
      </left>
      <right style="hair">
        <color indexed="64"/>
      </right>
      <top/>
      <bottom style="double">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medium">
        <color indexed="64"/>
      </bottom>
      <diagonal/>
    </border>
    <border>
      <left/>
      <right style="hair">
        <color indexed="64"/>
      </right>
      <top style="hair">
        <color indexed="64"/>
      </top>
      <bottom style="medium">
        <color indexed="64"/>
      </bottom>
      <diagonal/>
    </border>
    <border>
      <left style="thin">
        <color indexed="64"/>
      </left>
      <right style="medium">
        <color indexed="64"/>
      </right>
      <top/>
      <bottom style="double">
        <color indexed="64"/>
      </bottom>
      <diagonal/>
    </border>
    <border>
      <left style="hair">
        <color indexed="64"/>
      </left>
      <right/>
      <top style="hair">
        <color indexed="64"/>
      </top>
      <bottom style="double">
        <color indexed="64"/>
      </bottom>
      <diagonal/>
    </border>
    <border>
      <left/>
      <right/>
      <top style="hair">
        <color indexed="64"/>
      </top>
      <bottom style="hair">
        <color indexed="64"/>
      </bottom>
      <diagonal/>
    </border>
    <border>
      <left/>
      <right/>
      <top style="hair">
        <color indexed="64"/>
      </top>
      <bottom style="double">
        <color indexed="64"/>
      </bottom>
      <diagonal/>
    </border>
    <border>
      <left/>
      <right/>
      <top style="double">
        <color indexed="64"/>
      </top>
      <bottom style="hair">
        <color indexed="64"/>
      </bottom>
      <diagonal/>
    </border>
    <border>
      <left/>
      <right/>
      <top/>
      <bottom style="hair">
        <color indexed="64"/>
      </bottom>
      <diagonal/>
    </border>
    <border>
      <left style="hair">
        <color indexed="64"/>
      </left>
      <right/>
      <top style="thin">
        <color indexed="64"/>
      </top>
      <bottom style="double">
        <color indexed="64"/>
      </bottom>
      <diagonal/>
    </border>
    <border>
      <left/>
      <right style="thin">
        <color indexed="64"/>
      </right>
      <top style="hair">
        <color indexed="64"/>
      </top>
      <bottom style="double">
        <color indexed="64"/>
      </bottom>
      <diagonal/>
    </border>
    <border>
      <left style="thin">
        <color indexed="64"/>
      </left>
      <right/>
      <top/>
      <bottom style="double">
        <color indexed="64"/>
      </bottom>
      <diagonal/>
    </border>
    <border>
      <left style="thin">
        <color indexed="64"/>
      </left>
      <right/>
      <top/>
      <bottom style="hair">
        <color indexed="64"/>
      </bottom>
      <diagonal/>
    </border>
    <border>
      <left style="hair">
        <color indexed="64"/>
      </left>
      <right/>
      <top style="double">
        <color indexed="64"/>
      </top>
      <bottom style="hair">
        <color indexed="64"/>
      </bottom>
      <diagonal/>
    </border>
    <border>
      <left style="thin">
        <color indexed="64"/>
      </left>
      <right style="thin">
        <color indexed="64"/>
      </right>
      <top style="hair">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thin">
        <color indexed="64"/>
      </right>
      <top style="thin">
        <color indexed="64"/>
      </top>
      <bottom style="thin">
        <color indexed="64"/>
      </bottom>
      <diagonal/>
    </border>
    <border>
      <left/>
      <right style="hair">
        <color indexed="64"/>
      </right>
      <top style="double">
        <color indexed="64"/>
      </top>
      <bottom style="hair">
        <color indexed="64"/>
      </bottom>
      <diagonal/>
    </border>
    <border>
      <left style="thin">
        <color indexed="64"/>
      </left>
      <right style="medium">
        <color indexed="64"/>
      </right>
      <top style="double">
        <color indexed="64"/>
      </top>
      <bottom style="double">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diagonal/>
    </border>
    <border>
      <left style="thin">
        <color indexed="64"/>
      </left>
      <right/>
      <top style="medium">
        <color indexed="64"/>
      </top>
      <bottom/>
      <diagonal/>
    </border>
    <border>
      <left style="thin">
        <color indexed="64"/>
      </left>
      <right style="hair">
        <color indexed="64"/>
      </right>
      <top style="medium">
        <color indexed="64"/>
      </top>
      <bottom style="thin">
        <color indexed="64"/>
      </bottom>
      <diagonal/>
    </border>
    <border>
      <left style="hair">
        <color indexed="64"/>
      </left>
      <right style="hair">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right style="thin">
        <color indexed="64"/>
      </right>
      <top style="medium">
        <color indexed="64"/>
      </top>
      <bottom style="hair">
        <color indexed="64"/>
      </bottom>
      <diagonal/>
    </border>
    <border>
      <left style="thin">
        <color indexed="64"/>
      </left>
      <right/>
      <top style="double">
        <color indexed="64"/>
      </top>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right/>
      <top style="hair">
        <color indexed="64"/>
      </top>
      <bottom/>
      <diagonal/>
    </border>
    <border>
      <left style="hair">
        <color indexed="64"/>
      </left>
      <right/>
      <top style="hair">
        <color indexed="64"/>
      </top>
      <bottom/>
      <diagonal/>
    </border>
    <border>
      <left/>
      <right style="thin">
        <color indexed="64"/>
      </right>
      <top style="double">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hair">
        <color indexed="64"/>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hair">
        <color indexed="64"/>
      </left>
      <right/>
      <top style="thin">
        <color indexed="64"/>
      </top>
      <bottom style="medium">
        <color indexed="64"/>
      </bottom>
      <diagonal/>
    </border>
    <border>
      <left style="thin">
        <color indexed="64"/>
      </left>
      <right/>
      <top/>
      <bottom style="medium">
        <color indexed="64"/>
      </bottom>
      <diagonal/>
    </border>
    <border>
      <left style="hair">
        <color indexed="64"/>
      </left>
      <right style="thin">
        <color indexed="64"/>
      </right>
      <top style="thin">
        <color indexed="64"/>
      </top>
      <bottom style="medium">
        <color indexed="64"/>
      </bottom>
      <diagonal/>
    </border>
    <border>
      <left style="thin">
        <color indexed="64"/>
      </left>
      <right style="hair">
        <color indexed="64"/>
      </right>
      <top/>
      <bottom style="medium">
        <color indexed="64"/>
      </bottom>
      <diagonal/>
    </border>
    <border>
      <left style="hair">
        <color indexed="64"/>
      </left>
      <right style="thin">
        <color indexed="64"/>
      </right>
      <top/>
      <bottom style="medium">
        <color indexed="64"/>
      </bottom>
      <diagonal/>
    </border>
    <border>
      <left/>
      <right style="thin">
        <color indexed="64"/>
      </right>
      <top style="hair">
        <color indexed="64"/>
      </top>
      <bottom style="medium">
        <color indexed="64"/>
      </bottom>
      <diagonal/>
    </border>
  </borders>
  <cellStyleXfs count="1">
    <xf numFmtId="0" fontId="0" fillId="0" borderId="0"/>
  </cellStyleXfs>
  <cellXfs count="259">
    <xf numFmtId="0" fontId="0" fillId="0" borderId="0" xfId="0"/>
    <xf numFmtId="0" fontId="0" fillId="0" borderId="0" xfId="0" applyAlignment="1">
      <alignment vertical="center"/>
    </xf>
    <xf numFmtId="0" fontId="7" fillId="0" borderId="0" xfId="0" applyFont="1" applyAlignment="1">
      <alignment vertical="center"/>
    </xf>
    <xf numFmtId="0" fontId="9" fillId="0" borderId="0" xfId="0" applyFont="1" applyAlignment="1">
      <alignment vertical="center"/>
    </xf>
    <xf numFmtId="0" fontId="2" fillId="0" borderId="0" xfId="0" applyFont="1" applyBorder="1" applyAlignment="1">
      <alignment vertical="center"/>
    </xf>
    <xf numFmtId="0" fontId="2" fillId="0" borderId="0" xfId="0" applyFont="1" applyBorder="1" applyAlignment="1">
      <alignment horizontal="center" vertical="center"/>
    </xf>
    <xf numFmtId="0" fontId="5" fillId="0" borderId="0" xfId="0" applyFont="1" applyAlignment="1">
      <alignment vertical="center"/>
    </xf>
    <xf numFmtId="0" fontId="5" fillId="0" borderId="0" xfId="0" applyFont="1" applyAlignment="1">
      <alignment horizontal="center" vertical="center"/>
    </xf>
    <xf numFmtId="0" fontId="1" fillId="0" borderId="0" xfId="0" applyFont="1" applyFill="1" applyBorder="1" applyAlignment="1">
      <alignment vertical="center" wrapText="1"/>
    </xf>
    <xf numFmtId="17" fontId="1" fillId="4" borderId="29" xfId="0" applyNumberFormat="1" applyFont="1" applyFill="1" applyBorder="1" applyAlignment="1">
      <alignment horizontal="center" vertical="center" wrapText="1"/>
    </xf>
    <xf numFmtId="17" fontId="1" fillId="4" borderId="30" xfId="0" applyNumberFormat="1" applyFont="1" applyFill="1" applyBorder="1" applyAlignment="1">
      <alignment horizontal="center" vertical="center" wrapText="1"/>
    </xf>
    <xf numFmtId="17" fontId="1" fillId="4" borderId="31" xfId="0" applyNumberFormat="1" applyFont="1" applyFill="1" applyBorder="1" applyAlignment="1">
      <alignment horizontal="center" vertical="center" wrapText="1"/>
    </xf>
    <xf numFmtId="0" fontId="2" fillId="5" borderId="33" xfId="0" applyFont="1" applyFill="1" applyBorder="1" applyAlignment="1">
      <alignment horizontal="center" vertical="center" wrapText="1"/>
    </xf>
    <xf numFmtId="9" fontId="2" fillId="5" borderId="34" xfId="0" applyNumberFormat="1" applyFont="1" applyFill="1" applyBorder="1" applyAlignment="1">
      <alignment horizontal="center" vertical="center" wrapText="1"/>
    </xf>
    <xf numFmtId="0" fontId="2" fillId="5" borderId="26" xfId="0" applyFont="1" applyFill="1" applyBorder="1" applyAlignment="1">
      <alignment vertical="center" wrapText="1"/>
    </xf>
    <xf numFmtId="0" fontId="2" fillId="5" borderId="36" xfId="0" applyFont="1" applyFill="1" applyBorder="1" applyAlignment="1">
      <alignment horizontal="center" vertical="center" wrapText="1"/>
    </xf>
    <xf numFmtId="9" fontId="2" fillId="5" borderId="37" xfId="0" applyNumberFormat="1" applyFont="1" applyFill="1" applyBorder="1" applyAlignment="1">
      <alignment horizontal="center" vertical="center" wrapText="1"/>
    </xf>
    <xf numFmtId="0" fontId="2" fillId="5" borderId="35" xfId="0" applyNumberFormat="1" applyFont="1" applyFill="1" applyBorder="1" applyAlignment="1">
      <alignment horizontal="center" vertical="center" wrapText="1"/>
    </xf>
    <xf numFmtId="0" fontId="2" fillId="5" borderId="36" xfId="0" applyNumberFormat="1" applyFont="1" applyFill="1" applyBorder="1" applyAlignment="1">
      <alignment horizontal="center" vertical="center" wrapText="1"/>
    </xf>
    <xf numFmtId="0" fontId="2" fillId="5" borderId="37" xfId="0" applyNumberFormat="1" applyFont="1" applyFill="1" applyBorder="1" applyAlignment="1">
      <alignment horizontal="center" vertical="center" wrapText="1"/>
    </xf>
    <xf numFmtId="0" fontId="2" fillId="5" borderId="14" xfId="0" applyNumberFormat="1" applyFont="1" applyFill="1" applyBorder="1" applyAlignment="1">
      <alignment horizontal="left" vertical="center" wrapText="1"/>
    </xf>
    <xf numFmtId="0" fontId="2" fillId="5" borderId="39" xfId="0" applyFont="1" applyFill="1" applyBorder="1" applyAlignment="1">
      <alignment horizontal="center" vertical="center" wrapText="1"/>
    </xf>
    <xf numFmtId="9" fontId="2" fillId="5" borderId="40" xfId="0" applyNumberFormat="1" applyFont="1" applyFill="1" applyBorder="1" applyAlignment="1">
      <alignment horizontal="center" vertical="center" wrapText="1"/>
    </xf>
    <xf numFmtId="0" fontId="2" fillId="5" borderId="32" xfId="0" applyFont="1" applyFill="1" applyBorder="1" applyAlignment="1">
      <alignment horizontal="center" vertical="center" wrapText="1"/>
    </xf>
    <xf numFmtId="0" fontId="2" fillId="5" borderId="35" xfId="0" applyFont="1" applyFill="1" applyBorder="1" applyAlignment="1">
      <alignment horizontal="center" vertical="center" wrapText="1"/>
    </xf>
    <xf numFmtId="0" fontId="2" fillId="5" borderId="42" xfId="0" applyFont="1" applyFill="1" applyBorder="1" applyAlignment="1">
      <alignment horizontal="center" vertical="center" wrapText="1"/>
    </xf>
    <xf numFmtId="0" fontId="2" fillId="5" borderId="41" xfId="0" applyFont="1" applyFill="1" applyBorder="1" applyAlignment="1">
      <alignment horizontal="center" vertical="center" wrapText="1"/>
    </xf>
    <xf numFmtId="0" fontId="2" fillId="5" borderId="16" xfId="0" applyFont="1" applyFill="1" applyBorder="1" applyAlignment="1">
      <alignment vertical="center" wrapText="1"/>
    </xf>
    <xf numFmtId="0" fontId="0" fillId="0" borderId="0" xfId="0" applyBorder="1" applyAlignment="1">
      <alignment vertical="center"/>
    </xf>
    <xf numFmtId="0" fontId="4" fillId="0" borderId="0" xfId="0" applyFont="1" applyAlignment="1">
      <alignment vertical="center"/>
    </xf>
    <xf numFmtId="9" fontId="2" fillId="5" borderId="36" xfId="0" applyNumberFormat="1" applyFont="1" applyFill="1" applyBorder="1" applyAlignment="1">
      <alignment horizontal="center" vertical="center" wrapText="1"/>
    </xf>
    <xf numFmtId="165" fontId="2" fillId="5" borderId="35" xfId="0" applyNumberFormat="1" applyFont="1" applyFill="1" applyBorder="1" applyAlignment="1">
      <alignment horizontal="center" vertical="center" wrapText="1"/>
    </xf>
    <xf numFmtId="165" fontId="2" fillId="5" borderId="36" xfId="0" applyNumberFormat="1" applyFont="1" applyFill="1" applyBorder="1" applyAlignment="1">
      <alignment horizontal="center" vertical="center" wrapText="1"/>
    </xf>
    <xf numFmtId="165" fontId="2" fillId="5" borderId="37" xfId="0" applyNumberFormat="1" applyFont="1" applyFill="1" applyBorder="1" applyAlignment="1">
      <alignment horizontal="center" vertical="center" wrapText="1"/>
    </xf>
    <xf numFmtId="0" fontId="6" fillId="0" borderId="0" xfId="0" applyFont="1" applyAlignment="1">
      <alignment horizontal="center" vertical="center"/>
    </xf>
    <xf numFmtId="0" fontId="6" fillId="0" borderId="0" xfId="0" applyFont="1" applyAlignment="1">
      <alignment vertical="center"/>
    </xf>
    <xf numFmtId="0" fontId="2" fillId="5" borderId="57" xfId="0" applyFont="1" applyFill="1" applyBorder="1" applyAlignment="1">
      <alignment horizontal="center" vertical="center" wrapText="1"/>
    </xf>
    <xf numFmtId="9" fontId="2" fillId="5" borderId="58" xfId="0" applyNumberFormat="1" applyFont="1" applyFill="1" applyBorder="1" applyAlignment="1">
      <alignment horizontal="center" vertical="center" wrapText="1"/>
    </xf>
    <xf numFmtId="0" fontId="2" fillId="5" borderId="61" xfId="0" applyFont="1" applyFill="1" applyBorder="1" applyAlignment="1">
      <alignment horizontal="center" vertical="center" wrapText="1"/>
    </xf>
    <xf numFmtId="9" fontId="2" fillId="5" borderId="62" xfId="0" applyNumberFormat="1" applyFont="1" applyFill="1" applyBorder="1" applyAlignment="1">
      <alignment horizontal="center" vertical="center" wrapText="1"/>
    </xf>
    <xf numFmtId="0" fontId="2" fillId="5" borderId="10" xfId="0" applyFont="1" applyFill="1" applyBorder="1" applyAlignment="1">
      <alignment vertical="top" wrapText="1"/>
    </xf>
    <xf numFmtId="0" fontId="9" fillId="0" borderId="0" xfId="0" applyFont="1" applyBorder="1" applyAlignment="1">
      <alignment vertical="center"/>
    </xf>
    <xf numFmtId="0" fontId="5" fillId="0" borderId="0" xfId="0" applyFont="1" applyBorder="1" applyAlignment="1">
      <alignment vertical="center"/>
    </xf>
    <xf numFmtId="3" fontId="2" fillId="5" borderId="56" xfId="0" applyNumberFormat="1" applyFont="1" applyFill="1" applyBorder="1" applyAlignment="1">
      <alignment horizontal="center" vertical="center" wrapText="1"/>
    </xf>
    <xf numFmtId="3" fontId="2" fillId="5" borderId="57" xfId="0" applyNumberFormat="1" applyFont="1" applyFill="1" applyBorder="1" applyAlignment="1">
      <alignment horizontal="center" vertical="center" wrapText="1"/>
    </xf>
    <xf numFmtId="3" fontId="2" fillId="5" borderId="58" xfId="0" applyNumberFormat="1" applyFont="1" applyFill="1" applyBorder="1" applyAlignment="1">
      <alignment horizontal="center" vertical="center" wrapText="1"/>
    </xf>
    <xf numFmtId="9" fontId="2" fillId="5" borderId="35" xfId="0" applyNumberFormat="1" applyFont="1" applyFill="1" applyBorder="1" applyAlignment="1">
      <alignment horizontal="center" vertical="center" wrapText="1"/>
    </xf>
    <xf numFmtId="0" fontId="1" fillId="4" borderId="29" xfId="0" applyFont="1" applyFill="1" applyBorder="1" applyAlignment="1">
      <alignment horizontal="center" vertical="center" wrapText="1"/>
    </xf>
    <xf numFmtId="0" fontId="2" fillId="5" borderId="38" xfId="0" applyFont="1" applyFill="1" applyBorder="1" applyAlignment="1">
      <alignment horizontal="center" vertical="center" wrapText="1"/>
    </xf>
    <xf numFmtId="0" fontId="2" fillId="5" borderId="56" xfId="0" applyFont="1" applyFill="1" applyBorder="1" applyAlignment="1">
      <alignment horizontal="center" vertical="center" wrapText="1"/>
    </xf>
    <xf numFmtId="0" fontId="2" fillId="5" borderId="60" xfId="0" applyFont="1" applyFill="1" applyBorder="1" applyAlignment="1">
      <alignment horizontal="center" vertical="center" wrapText="1"/>
    </xf>
    <xf numFmtId="9" fontId="2" fillId="5" borderId="60" xfId="0" applyNumberFormat="1" applyFont="1" applyFill="1" applyBorder="1" applyAlignment="1">
      <alignment horizontal="center" vertical="center" wrapText="1"/>
    </xf>
    <xf numFmtId="9" fontId="2" fillId="5" borderId="61" xfId="0" applyNumberFormat="1" applyFont="1" applyFill="1" applyBorder="1" applyAlignment="1">
      <alignment horizontal="center" vertical="center" wrapText="1"/>
    </xf>
    <xf numFmtId="0" fontId="0" fillId="0" borderId="0" xfId="0" applyAlignment="1">
      <alignment vertical="center"/>
    </xf>
    <xf numFmtId="0" fontId="7" fillId="0" borderId="0" xfId="0" applyFont="1" applyAlignment="1">
      <alignment vertical="center"/>
    </xf>
    <xf numFmtId="0" fontId="0" fillId="0" borderId="0" xfId="0" applyAlignment="1">
      <alignment vertical="center"/>
    </xf>
    <xf numFmtId="0" fontId="2" fillId="5" borderId="21" xfId="0" applyFont="1" applyFill="1" applyBorder="1" applyAlignment="1">
      <alignment vertical="top" wrapText="1"/>
    </xf>
    <xf numFmtId="0" fontId="2" fillId="5" borderId="28" xfId="0" applyFont="1" applyFill="1" applyBorder="1" applyAlignment="1">
      <alignment vertical="top" wrapText="1"/>
    </xf>
    <xf numFmtId="0" fontId="2" fillId="5" borderId="63" xfId="0" applyFont="1" applyFill="1" applyBorder="1" applyAlignment="1">
      <alignment vertical="top" wrapText="1"/>
    </xf>
    <xf numFmtId="49" fontId="1" fillId="0" borderId="0" xfId="0" applyNumberFormat="1" applyFont="1" applyAlignment="1">
      <alignment horizontal="right" vertical="top" indent="1"/>
    </xf>
    <xf numFmtId="0" fontId="5" fillId="0" borderId="0" xfId="0" applyFont="1" applyAlignment="1">
      <alignment vertical="top"/>
    </xf>
    <xf numFmtId="49" fontId="2" fillId="0" borderId="0" xfId="0" applyNumberFormat="1" applyFont="1" applyAlignment="1">
      <alignment horizontal="right" vertical="top" indent="1"/>
    </xf>
    <xf numFmtId="9" fontId="2" fillId="5" borderId="51" xfId="0" applyNumberFormat="1" applyFont="1" applyFill="1" applyBorder="1" applyAlignment="1">
      <alignment horizontal="center" vertical="center" wrapText="1"/>
    </xf>
    <xf numFmtId="9" fontId="2" fillId="5" borderId="75" xfId="0" applyNumberFormat="1" applyFont="1" applyFill="1" applyBorder="1" applyAlignment="1">
      <alignment horizontal="center" vertical="center" wrapText="1"/>
    </xf>
    <xf numFmtId="9" fontId="2" fillId="5" borderId="76" xfId="0" applyNumberFormat="1" applyFont="1" applyFill="1" applyBorder="1" applyAlignment="1">
      <alignment horizontal="center" vertical="center" wrapText="1"/>
    </xf>
    <xf numFmtId="9" fontId="2" fillId="5" borderId="77" xfId="0" applyNumberFormat="1" applyFont="1" applyFill="1" applyBorder="1" applyAlignment="1">
      <alignment horizontal="center" vertical="center" wrapText="1"/>
    </xf>
    <xf numFmtId="9" fontId="2" fillId="5" borderId="78" xfId="0" applyNumberFormat="1" applyFont="1" applyFill="1" applyBorder="1" applyAlignment="1">
      <alignment horizontal="center" vertical="center" wrapText="1"/>
    </xf>
    <xf numFmtId="17" fontId="1" fillId="4" borderId="68" xfId="0" applyNumberFormat="1" applyFont="1" applyFill="1" applyBorder="1" applyAlignment="1">
      <alignment horizontal="center" vertical="center" wrapText="1"/>
    </xf>
    <xf numFmtId="0" fontId="1" fillId="4" borderId="79" xfId="0" applyFont="1" applyFill="1" applyBorder="1" applyAlignment="1">
      <alignment horizontal="center" vertical="center" wrapText="1"/>
    </xf>
    <xf numFmtId="17" fontId="1" fillId="4" borderId="44" xfId="0" applyNumberFormat="1" applyFont="1" applyFill="1" applyBorder="1" applyAlignment="1">
      <alignment horizontal="center" vertical="center" wrapText="1"/>
    </xf>
    <xf numFmtId="0" fontId="2" fillId="5" borderId="52" xfId="0" applyFont="1" applyFill="1" applyBorder="1" applyAlignment="1">
      <alignment horizontal="center" vertical="center" wrapText="1"/>
    </xf>
    <xf numFmtId="165" fontId="2" fillId="5" borderId="47" xfId="0" applyNumberFormat="1" applyFont="1" applyFill="1" applyBorder="1" applyAlignment="1">
      <alignment horizontal="center" vertical="center" wrapText="1"/>
    </xf>
    <xf numFmtId="3" fontId="2" fillId="5" borderId="47" xfId="0" applyNumberFormat="1" applyFont="1" applyFill="1" applyBorder="1" applyAlignment="1">
      <alignment horizontal="center" vertical="center" wrapText="1"/>
    </xf>
    <xf numFmtId="1" fontId="2" fillId="5" borderId="47" xfId="0" applyNumberFormat="1" applyFont="1" applyFill="1" applyBorder="1" applyAlignment="1">
      <alignment horizontal="center" vertical="center" wrapText="1"/>
    </xf>
    <xf numFmtId="0" fontId="2" fillId="5" borderId="14" xfId="0" applyFont="1" applyFill="1" applyBorder="1" applyAlignment="1">
      <alignment vertical="center" wrapText="1"/>
    </xf>
    <xf numFmtId="9" fontId="2" fillId="5" borderId="32" xfId="0" applyNumberFormat="1" applyFont="1" applyFill="1" applyBorder="1" applyAlignment="1">
      <alignment horizontal="center" vertical="center" wrapText="1"/>
    </xf>
    <xf numFmtId="9" fontId="2" fillId="5" borderId="33" xfId="0" applyNumberFormat="1" applyFont="1" applyFill="1" applyBorder="1" applyAlignment="1">
      <alignment horizontal="center" vertical="center" wrapText="1"/>
    </xf>
    <xf numFmtId="49" fontId="2" fillId="5" borderId="35" xfId="0" applyNumberFormat="1" applyFont="1" applyFill="1" applyBorder="1" applyAlignment="1">
      <alignment horizontal="center" vertical="center" wrapText="1"/>
    </xf>
    <xf numFmtId="49" fontId="2" fillId="5" borderId="36" xfId="0" applyNumberFormat="1" applyFont="1" applyFill="1" applyBorder="1" applyAlignment="1">
      <alignment horizontal="center" vertical="center" wrapText="1"/>
    </xf>
    <xf numFmtId="49" fontId="2" fillId="5" borderId="37" xfId="0" applyNumberFormat="1" applyFont="1" applyFill="1" applyBorder="1" applyAlignment="1">
      <alignment horizontal="center" vertical="center" wrapText="1"/>
    </xf>
    <xf numFmtId="49" fontId="4" fillId="5" borderId="35" xfId="0" applyNumberFormat="1" applyFont="1" applyFill="1" applyBorder="1" applyAlignment="1">
      <alignment horizontal="center" vertical="center" wrapText="1"/>
    </xf>
    <xf numFmtId="49" fontId="4" fillId="5" borderId="36" xfId="0" applyNumberFormat="1" applyFont="1" applyFill="1" applyBorder="1" applyAlignment="1">
      <alignment horizontal="center" vertical="center" wrapText="1"/>
    </xf>
    <xf numFmtId="49" fontId="4" fillId="5" borderId="37" xfId="0" applyNumberFormat="1" applyFont="1" applyFill="1" applyBorder="1" applyAlignment="1">
      <alignment horizontal="center" vertical="center" wrapText="1"/>
    </xf>
    <xf numFmtId="3" fontId="4" fillId="5" borderId="41" xfId="0" applyNumberFormat="1" applyFont="1" applyFill="1" applyBorder="1" applyAlignment="1">
      <alignment horizontal="center" vertical="center" wrapText="1"/>
    </xf>
    <xf numFmtId="3" fontId="4" fillId="5" borderId="42" xfId="0" applyNumberFormat="1" applyFont="1" applyFill="1" applyBorder="1" applyAlignment="1">
      <alignment horizontal="center" vertical="center" wrapText="1"/>
    </xf>
    <xf numFmtId="3" fontId="4" fillId="5" borderId="43" xfId="0" applyNumberFormat="1" applyFont="1" applyFill="1" applyBorder="1" applyAlignment="1">
      <alignment horizontal="center" vertical="center" wrapText="1"/>
    </xf>
    <xf numFmtId="3" fontId="2" fillId="5" borderId="53" xfId="0" applyNumberFormat="1" applyFont="1" applyFill="1" applyBorder="1" applyAlignment="1">
      <alignment horizontal="center" vertical="center" wrapText="1"/>
    </xf>
    <xf numFmtId="0" fontId="2" fillId="0" borderId="0" xfId="0" applyFont="1" applyAlignment="1">
      <alignment horizontal="center" vertical="center"/>
    </xf>
    <xf numFmtId="0" fontId="2" fillId="5" borderId="55" xfId="0" applyFont="1" applyFill="1" applyBorder="1" applyAlignment="1">
      <alignment vertical="center" wrapText="1"/>
    </xf>
    <xf numFmtId="0" fontId="2" fillId="0" borderId="0" xfId="0" applyFont="1" applyAlignment="1">
      <alignment vertical="center"/>
    </xf>
    <xf numFmtId="0" fontId="2" fillId="5" borderId="84" xfId="0" applyFont="1" applyFill="1" applyBorder="1" applyAlignment="1">
      <alignment vertical="center" wrapText="1"/>
    </xf>
    <xf numFmtId="0" fontId="2" fillId="0" borderId="0" xfId="0" applyFont="1" applyFill="1" applyBorder="1" applyAlignment="1">
      <alignment vertical="center"/>
    </xf>
    <xf numFmtId="0" fontId="2" fillId="0" borderId="0" xfId="0" applyFont="1" applyFill="1" applyAlignment="1">
      <alignment vertical="center"/>
    </xf>
    <xf numFmtId="0" fontId="2" fillId="0" borderId="0" xfId="0" applyFont="1" applyAlignment="1">
      <alignment vertical="center" wrapText="1"/>
    </xf>
    <xf numFmtId="0" fontId="2" fillId="5" borderId="19" xfId="0" applyFont="1" applyFill="1" applyBorder="1" applyAlignment="1">
      <alignment vertical="center" wrapText="1"/>
    </xf>
    <xf numFmtId="9" fontId="2" fillId="5" borderId="69" xfId="0" applyNumberFormat="1" applyFont="1" applyFill="1" applyBorder="1" applyAlignment="1">
      <alignment horizontal="center" vertical="center" wrapText="1"/>
    </xf>
    <xf numFmtId="0" fontId="2" fillId="5" borderId="47" xfId="0" applyNumberFormat="1" applyFont="1" applyFill="1" applyBorder="1" applyAlignment="1">
      <alignment horizontal="center" vertical="center" wrapText="1"/>
    </xf>
    <xf numFmtId="0" fontId="2" fillId="5" borderId="75" xfId="0" applyNumberFormat="1" applyFont="1" applyFill="1" applyBorder="1" applyAlignment="1">
      <alignment horizontal="center" vertical="center" wrapText="1"/>
    </xf>
    <xf numFmtId="9" fontId="2" fillId="5" borderId="98" xfId="0" applyNumberFormat="1" applyFont="1" applyFill="1" applyBorder="1" applyAlignment="1">
      <alignment horizontal="center" vertical="center" wrapText="1"/>
    </xf>
    <xf numFmtId="9" fontId="2" fillId="5" borderId="56" xfId="0" applyNumberFormat="1" applyFont="1" applyFill="1" applyBorder="1" applyAlignment="1">
      <alignment horizontal="center" vertical="center" wrapText="1"/>
    </xf>
    <xf numFmtId="9" fontId="2" fillId="5" borderId="57" xfId="0" applyNumberFormat="1" applyFont="1" applyFill="1" applyBorder="1" applyAlignment="1">
      <alignment horizontal="center" vertical="center" wrapText="1"/>
    </xf>
    <xf numFmtId="3" fontId="2" fillId="5" borderId="38" xfId="0" applyNumberFormat="1" applyFont="1" applyFill="1" applyBorder="1" applyAlignment="1">
      <alignment horizontal="center" vertical="center" wrapText="1"/>
    </xf>
    <xf numFmtId="3" fontId="2" fillId="5" borderId="39" xfId="0" applyNumberFormat="1" applyFont="1" applyFill="1" applyBorder="1" applyAlignment="1">
      <alignment horizontal="center" vertical="center" wrapText="1"/>
    </xf>
    <xf numFmtId="3" fontId="2" fillId="5" borderId="40" xfId="0" applyNumberFormat="1" applyFont="1" applyFill="1" applyBorder="1" applyAlignment="1">
      <alignment horizontal="center" vertical="center" wrapText="1"/>
    </xf>
    <xf numFmtId="3" fontId="2" fillId="5" borderId="75" xfId="0" applyNumberFormat="1" applyFont="1" applyFill="1" applyBorder="1" applyAlignment="1">
      <alignment horizontal="center" vertical="center" wrapText="1"/>
    </xf>
    <xf numFmtId="3" fontId="2" fillId="5" borderId="37" xfId="0" applyNumberFormat="1" applyFont="1" applyFill="1" applyBorder="1" applyAlignment="1">
      <alignment horizontal="center" vertical="center" wrapText="1"/>
    </xf>
    <xf numFmtId="3" fontId="2" fillId="5" borderId="32" xfId="0" applyNumberFormat="1" applyFont="1" applyFill="1" applyBorder="1" applyAlignment="1">
      <alignment horizontal="center" vertical="center" wrapText="1"/>
    </xf>
    <xf numFmtId="3" fontId="2" fillId="5" borderId="33" xfId="0" applyNumberFormat="1" applyFont="1" applyFill="1" applyBorder="1" applyAlignment="1">
      <alignment horizontal="center" vertical="center" wrapText="1"/>
    </xf>
    <xf numFmtId="3" fontId="2" fillId="5" borderId="34" xfId="0" applyNumberFormat="1" applyFont="1" applyFill="1" applyBorder="1" applyAlignment="1">
      <alignment horizontal="center" vertical="center" wrapText="1"/>
    </xf>
    <xf numFmtId="3" fontId="2" fillId="5" borderId="35" xfId="0" applyNumberFormat="1" applyFont="1" applyFill="1" applyBorder="1" applyAlignment="1">
      <alignment horizontal="center" vertical="center" wrapText="1"/>
    </xf>
    <xf numFmtId="3" fontId="2" fillId="5" borderId="70" xfId="0" applyNumberFormat="1" applyFont="1" applyFill="1" applyBorder="1" applyAlignment="1">
      <alignment horizontal="center" vertical="center" wrapText="1"/>
    </xf>
    <xf numFmtId="3" fontId="2" fillId="5" borderId="36" xfId="0" applyNumberFormat="1" applyFont="1" applyFill="1" applyBorder="1" applyAlignment="1">
      <alignment horizontal="center" vertical="center" wrapText="1"/>
    </xf>
    <xf numFmtId="3" fontId="2" fillId="5" borderId="69" xfId="0" applyNumberFormat="1" applyFont="1" applyFill="1" applyBorder="1" applyAlignment="1">
      <alignment horizontal="center" vertical="center" wrapText="1"/>
    </xf>
    <xf numFmtId="9" fontId="2" fillId="5" borderId="38" xfId="0" applyNumberFormat="1" applyFont="1" applyFill="1" applyBorder="1" applyAlignment="1">
      <alignment horizontal="center" vertical="center" wrapText="1"/>
    </xf>
    <xf numFmtId="9" fontId="2" fillId="5" borderId="39" xfId="0" applyNumberFormat="1" applyFont="1" applyFill="1" applyBorder="1" applyAlignment="1">
      <alignment horizontal="center" vertical="center" wrapText="1"/>
    </xf>
    <xf numFmtId="9" fontId="2" fillId="5" borderId="52" xfId="0" applyNumberFormat="1" applyFont="1" applyFill="1" applyBorder="1" applyAlignment="1">
      <alignment horizontal="center" vertical="center" wrapText="1"/>
    </xf>
    <xf numFmtId="3" fontId="2" fillId="5" borderId="98" xfId="0" applyNumberFormat="1" applyFont="1" applyFill="1" applyBorder="1" applyAlignment="1">
      <alignment horizontal="center" vertical="center" wrapText="1"/>
    </xf>
    <xf numFmtId="9" fontId="2" fillId="5" borderId="82" xfId="0" applyNumberFormat="1" applyFont="1" applyFill="1" applyBorder="1" applyAlignment="1">
      <alignment horizontal="center" vertical="center" wrapText="1"/>
    </xf>
    <xf numFmtId="9" fontId="2" fillId="5" borderId="45" xfId="0" applyNumberFormat="1" applyFont="1" applyFill="1" applyBorder="1" applyAlignment="1">
      <alignment horizontal="center" vertical="center" wrapText="1"/>
    </xf>
    <xf numFmtId="3" fontId="2" fillId="5" borderId="51" xfId="0" applyNumberFormat="1" applyFont="1" applyFill="1" applyBorder="1" applyAlignment="1">
      <alignment horizontal="center" vertical="center" wrapText="1"/>
    </xf>
    <xf numFmtId="3" fontId="2" fillId="5" borderId="52" xfId="0" applyNumberFormat="1" applyFont="1" applyFill="1" applyBorder="1" applyAlignment="1">
      <alignment horizontal="center" vertical="center" wrapText="1"/>
    </xf>
    <xf numFmtId="9" fontId="2" fillId="5" borderId="47" xfId="0" applyNumberFormat="1" applyFont="1" applyFill="1" applyBorder="1" applyAlignment="1">
      <alignment horizontal="center" vertical="center" wrapText="1"/>
    </xf>
    <xf numFmtId="3" fontId="2" fillId="5" borderId="77" xfId="0" applyNumberFormat="1" applyFont="1" applyFill="1" applyBorder="1" applyAlignment="1">
      <alignment horizontal="center" vertical="center" wrapText="1"/>
    </xf>
    <xf numFmtId="167" fontId="2" fillId="5" borderId="47" xfId="0" applyNumberFormat="1" applyFont="1" applyFill="1" applyBorder="1" applyAlignment="1">
      <alignment horizontal="center" vertical="center" wrapText="1"/>
    </xf>
    <xf numFmtId="167" fontId="2" fillId="5" borderId="35" xfId="0" applyNumberFormat="1" applyFont="1" applyFill="1" applyBorder="1" applyAlignment="1">
      <alignment horizontal="center" vertical="center" wrapText="1"/>
    </xf>
    <xf numFmtId="167" fontId="2" fillId="5" borderId="36" xfId="0" applyNumberFormat="1" applyFont="1" applyFill="1" applyBorder="1" applyAlignment="1">
      <alignment horizontal="center" vertical="center" wrapText="1"/>
    </xf>
    <xf numFmtId="167" fontId="2" fillId="5" borderId="37" xfId="0" applyNumberFormat="1" applyFont="1" applyFill="1" applyBorder="1" applyAlignment="1">
      <alignment horizontal="center" vertical="center" wrapText="1"/>
    </xf>
    <xf numFmtId="167" fontId="2" fillId="5" borderId="75" xfId="0" applyNumberFormat="1" applyFont="1" applyFill="1" applyBorder="1" applyAlignment="1">
      <alignment horizontal="center" vertical="center" wrapText="1"/>
    </xf>
    <xf numFmtId="0" fontId="2" fillId="5" borderId="69" xfId="0" applyFont="1" applyFill="1" applyBorder="1" applyAlignment="1">
      <alignment horizontal="center" vertical="center" wrapText="1"/>
    </xf>
    <xf numFmtId="3" fontId="2" fillId="5" borderId="14" xfId="0" applyNumberFormat="1" applyFont="1" applyFill="1" applyBorder="1" applyAlignment="1">
      <alignment horizontal="center" vertical="center" wrapText="1"/>
    </xf>
    <xf numFmtId="0" fontId="2" fillId="5" borderId="99" xfId="0" applyFont="1" applyFill="1" applyBorder="1" applyAlignment="1">
      <alignment vertical="center" wrapText="1"/>
    </xf>
    <xf numFmtId="9" fontId="2" fillId="5" borderId="100" xfId="0" applyNumberFormat="1" applyFont="1" applyFill="1" applyBorder="1" applyAlignment="1">
      <alignment horizontal="center" vertical="center" wrapText="1"/>
    </xf>
    <xf numFmtId="9" fontId="2" fillId="5" borderId="101" xfId="0" applyNumberFormat="1" applyFont="1" applyFill="1" applyBorder="1" applyAlignment="1">
      <alignment horizontal="center" vertical="center" wrapText="1"/>
    </xf>
    <xf numFmtId="9" fontId="2" fillId="5" borderId="102" xfId="0" applyNumberFormat="1" applyFont="1" applyFill="1" applyBorder="1" applyAlignment="1">
      <alignment horizontal="center" vertical="center" wrapText="1"/>
    </xf>
    <xf numFmtId="9" fontId="2" fillId="5" borderId="103" xfId="0" applyNumberFormat="1" applyFont="1" applyFill="1" applyBorder="1" applyAlignment="1">
      <alignment horizontal="center" vertical="center" wrapText="1"/>
    </xf>
    <xf numFmtId="166" fontId="4" fillId="5" borderId="35" xfId="0" applyNumberFormat="1" applyFont="1" applyFill="1" applyBorder="1" applyAlignment="1">
      <alignment horizontal="center" vertical="center" wrapText="1"/>
    </xf>
    <xf numFmtId="166" fontId="4" fillId="5" borderId="36" xfId="0" applyNumberFormat="1" applyFont="1" applyFill="1" applyBorder="1" applyAlignment="1">
      <alignment horizontal="center" vertical="center" wrapText="1"/>
    </xf>
    <xf numFmtId="166" fontId="4" fillId="5" borderId="37" xfId="0" applyNumberFormat="1" applyFont="1" applyFill="1" applyBorder="1" applyAlignment="1">
      <alignment horizontal="center" vertical="center" wrapText="1"/>
    </xf>
    <xf numFmtId="9" fontId="2" fillId="5" borderId="104" xfId="0" applyNumberFormat="1" applyFont="1" applyFill="1" applyBorder="1" applyAlignment="1">
      <alignment horizontal="center" vertical="center" wrapText="1"/>
    </xf>
    <xf numFmtId="166" fontId="4" fillId="5" borderId="69" xfId="0" applyNumberFormat="1" applyFont="1" applyFill="1" applyBorder="1" applyAlignment="1">
      <alignment horizontal="center" vertical="center" wrapText="1"/>
    </xf>
    <xf numFmtId="3" fontId="4" fillId="5" borderId="60" xfId="0" applyNumberFormat="1" applyFont="1" applyFill="1" applyBorder="1" applyAlignment="1">
      <alignment horizontal="center" vertical="center" wrapText="1"/>
    </xf>
    <xf numFmtId="3" fontId="4" fillId="5" borderId="61" xfId="0" applyNumberFormat="1" applyFont="1" applyFill="1" applyBorder="1" applyAlignment="1">
      <alignment horizontal="center" vertical="center" wrapText="1"/>
    </xf>
    <xf numFmtId="3" fontId="4" fillId="5" borderId="62" xfId="0" applyNumberFormat="1" applyFont="1" applyFill="1" applyBorder="1" applyAlignment="1">
      <alignment horizontal="center" vertical="center" wrapText="1"/>
    </xf>
    <xf numFmtId="0" fontId="2" fillId="5" borderId="105" xfId="0" applyFont="1" applyFill="1" applyBorder="1" applyAlignment="1">
      <alignment vertical="center" wrapText="1"/>
    </xf>
    <xf numFmtId="0" fontId="2" fillId="5" borderId="80" xfId="0" applyFont="1" applyFill="1" applyBorder="1" applyAlignment="1">
      <alignment vertical="center" wrapText="1"/>
    </xf>
    <xf numFmtId="0" fontId="1" fillId="7" borderId="66" xfId="0" applyFont="1" applyFill="1" applyBorder="1" applyAlignment="1">
      <alignment horizontal="center" vertical="center" wrapText="1"/>
    </xf>
    <xf numFmtId="164" fontId="1" fillId="7" borderId="86" xfId="0" applyNumberFormat="1" applyFont="1" applyFill="1" applyBorder="1" applyAlignment="1">
      <alignment horizontal="center" vertical="center" wrapText="1"/>
    </xf>
    <xf numFmtId="0" fontId="1" fillId="7" borderId="11" xfId="0" applyFont="1" applyFill="1" applyBorder="1" applyAlignment="1">
      <alignment horizontal="center" vertical="center" wrapText="1"/>
    </xf>
    <xf numFmtId="9" fontId="1" fillId="7" borderId="90" xfId="0" applyNumberFormat="1" applyFont="1" applyFill="1" applyBorder="1" applyAlignment="1">
      <alignment horizontal="center" vertical="center" wrapText="1"/>
    </xf>
    <xf numFmtId="0" fontId="1" fillId="7" borderId="5" xfId="0" applyFont="1" applyFill="1" applyBorder="1" applyAlignment="1">
      <alignment horizontal="center" vertical="center" wrapText="1"/>
    </xf>
    <xf numFmtId="0" fontId="1" fillId="7" borderId="88" xfId="0" applyFont="1" applyFill="1" applyBorder="1" applyAlignment="1">
      <alignment horizontal="center" vertical="center" wrapText="1"/>
    </xf>
    <xf numFmtId="0" fontId="1" fillId="6" borderId="9" xfId="0" applyFont="1" applyFill="1" applyBorder="1" applyAlignment="1">
      <alignment horizontal="center" vertical="center" wrapText="1"/>
    </xf>
    <xf numFmtId="0" fontId="1" fillId="6" borderId="89" xfId="0" applyFont="1" applyFill="1" applyBorder="1" applyAlignment="1">
      <alignment horizontal="center" vertical="center" wrapText="1"/>
    </xf>
    <xf numFmtId="0" fontId="1" fillId="6" borderId="85"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6" borderId="91" xfId="0" applyFont="1" applyFill="1" applyBorder="1" applyAlignment="1">
      <alignment horizontal="center" vertical="center" wrapText="1"/>
    </xf>
    <xf numFmtId="166" fontId="2" fillId="5" borderId="82" xfId="0" applyNumberFormat="1" applyFont="1" applyFill="1" applyBorder="1" applyAlignment="1">
      <alignment horizontal="center" vertical="center" wrapText="1"/>
    </xf>
    <xf numFmtId="166" fontId="2" fillId="5" borderId="60" xfId="0" applyNumberFormat="1" applyFont="1" applyFill="1" applyBorder="1" applyAlignment="1">
      <alignment horizontal="center" vertical="center" wrapText="1"/>
    </xf>
    <xf numFmtId="166" fontId="2" fillId="5" borderId="61" xfId="0" applyNumberFormat="1" applyFont="1" applyFill="1" applyBorder="1" applyAlignment="1">
      <alignment horizontal="center" vertical="center" wrapText="1"/>
    </xf>
    <xf numFmtId="166" fontId="2" fillId="5" borderId="62" xfId="0" applyNumberFormat="1" applyFont="1" applyFill="1" applyBorder="1" applyAlignment="1">
      <alignment horizontal="center" vertical="center" wrapText="1"/>
    </xf>
    <xf numFmtId="0" fontId="1" fillId="4" borderId="107" xfId="0" applyFont="1" applyFill="1" applyBorder="1" applyAlignment="1">
      <alignment horizontal="center" vertical="center" wrapText="1"/>
    </xf>
    <xf numFmtId="0" fontId="1" fillId="4" borderId="109" xfId="0" applyFont="1" applyFill="1" applyBorder="1" applyAlignment="1">
      <alignment horizontal="center" vertical="center" wrapText="1"/>
    </xf>
    <xf numFmtId="17" fontId="1" fillId="4" borderId="107" xfId="0" applyNumberFormat="1" applyFont="1" applyFill="1" applyBorder="1" applyAlignment="1">
      <alignment horizontal="center" vertical="center" wrapText="1"/>
    </xf>
    <xf numFmtId="17" fontId="1" fillId="4" borderId="108" xfId="0" applyNumberFormat="1" applyFont="1" applyFill="1" applyBorder="1" applyAlignment="1">
      <alignment horizontal="center" vertical="center" wrapText="1"/>
    </xf>
    <xf numFmtId="17" fontId="1" fillId="4" borderId="111" xfId="0" applyNumberFormat="1" applyFont="1" applyFill="1" applyBorder="1" applyAlignment="1">
      <alignment horizontal="center" vertical="center" wrapText="1"/>
    </xf>
    <xf numFmtId="17" fontId="1" fillId="4" borderId="112" xfId="0" applyNumberFormat="1" applyFont="1" applyFill="1" applyBorder="1" applyAlignment="1">
      <alignment horizontal="center" vertical="center" wrapText="1"/>
    </xf>
    <xf numFmtId="17" fontId="1" fillId="4" borderId="113" xfId="0" applyNumberFormat="1" applyFont="1" applyFill="1" applyBorder="1" applyAlignment="1">
      <alignment horizontal="center" vertical="center" wrapText="1"/>
    </xf>
    <xf numFmtId="0" fontId="2" fillId="0" borderId="0" xfId="0" applyFont="1" applyAlignment="1">
      <alignment vertical="top" wrapText="1"/>
    </xf>
    <xf numFmtId="0" fontId="2" fillId="0" borderId="0" xfId="0" quotePrefix="1" applyFont="1" applyAlignment="1">
      <alignment vertical="top" wrapText="1"/>
    </xf>
    <xf numFmtId="0" fontId="5" fillId="0" borderId="0" xfId="0" applyFont="1" applyAlignment="1">
      <alignment vertical="top" wrapText="1"/>
    </xf>
    <xf numFmtId="0" fontId="2" fillId="5" borderId="33" xfId="0" applyFont="1" applyFill="1" applyBorder="1" applyAlignment="1">
      <alignment horizontal="left" vertical="center" wrapText="1"/>
    </xf>
    <xf numFmtId="0" fontId="5" fillId="5" borderId="33" xfId="0" applyFont="1" applyFill="1" applyBorder="1" applyAlignment="1">
      <alignment horizontal="left" vertical="center" wrapText="1"/>
    </xf>
    <xf numFmtId="0" fontId="2" fillId="5" borderId="36" xfId="0" applyFont="1" applyFill="1" applyBorder="1" applyAlignment="1">
      <alignment horizontal="left" vertical="center" wrapText="1"/>
    </xf>
    <xf numFmtId="0" fontId="2" fillId="5" borderId="69" xfId="0" applyFont="1" applyFill="1" applyBorder="1" applyAlignment="1">
      <alignment horizontal="left" vertical="center" wrapText="1"/>
    </xf>
    <xf numFmtId="0" fontId="2" fillId="5" borderId="70" xfId="0" applyFont="1" applyFill="1" applyBorder="1" applyAlignment="1">
      <alignment horizontal="left" vertical="center" wrapText="1"/>
    </xf>
    <xf numFmtId="0" fontId="1" fillId="4" borderId="2" xfId="0" applyFont="1" applyFill="1" applyBorder="1" applyAlignment="1">
      <alignment horizontal="center" vertical="center" wrapText="1"/>
    </xf>
    <xf numFmtId="0" fontId="1" fillId="4" borderId="20" xfId="0" applyFont="1" applyFill="1" applyBorder="1" applyAlignment="1">
      <alignment horizontal="center" vertical="center" wrapText="1"/>
    </xf>
    <xf numFmtId="0" fontId="1" fillId="4" borderId="13" xfId="0" applyFont="1" applyFill="1" applyBorder="1" applyAlignment="1">
      <alignment horizontal="center" vertical="center" wrapText="1"/>
    </xf>
    <xf numFmtId="0" fontId="1" fillId="4" borderId="24" xfId="0" applyFont="1" applyFill="1" applyBorder="1" applyAlignment="1">
      <alignment horizontal="center" vertical="center" wrapText="1"/>
    </xf>
    <xf numFmtId="0" fontId="1" fillId="4" borderId="12" xfId="0" applyFont="1" applyFill="1" applyBorder="1" applyAlignment="1">
      <alignment horizontal="center" vertical="center" wrapText="1"/>
    </xf>
    <xf numFmtId="0" fontId="1" fillId="4" borderId="23" xfId="0" applyFont="1" applyFill="1" applyBorder="1" applyAlignment="1">
      <alignment horizontal="center" vertical="center" wrapText="1"/>
    </xf>
    <xf numFmtId="0" fontId="1" fillId="4" borderId="97" xfId="0" applyFont="1" applyFill="1" applyBorder="1" applyAlignment="1">
      <alignment horizontal="center" vertical="center" wrapText="1"/>
    </xf>
    <xf numFmtId="0" fontId="1" fillId="4" borderId="80" xfId="0" applyFont="1" applyFill="1" applyBorder="1" applyAlignment="1">
      <alignment horizontal="center" vertical="center" wrapText="1"/>
    </xf>
    <xf numFmtId="0" fontId="2" fillId="5" borderId="63" xfId="0" applyFont="1" applyFill="1" applyBorder="1" applyAlignment="1">
      <alignment vertical="center" wrapText="1"/>
    </xf>
    <xf numFmtId="0" fontId="2" fillId="5" borderId="73" xfId="0" applyFont="1" applyFill="1" applyBorder="1" applyAlignment="1">
      <alignment vertical="center" wrapText="1"/>
    </xf>
    <xf numFmtId="0" fontId="2" fillId="5" borderId="36" xfId="0" applyFont="1" applyFill="1" applyBorder="1" applyAlignment="1">
      <alignment vertical="center" wrapText="1"/>
    </xf>
    <xf numFmtId="17" fontId="1" fillId="4" borderId="93" xfId="0" applyNumberFormat="1" applyFont="1" applyFill="1" applyBorder="1" applyAlignment="1">
      <alignment horizontal="center" vertical="top" wrapText="1"/>
    </xf>
    <xf numFmtId="17" fontId="1" fillId="4" borderId="81" xfId="0" applyNumberFormat="1" applyFont="1" applyFill="1" applyBorder="1" applyAlignment="1">
      <alignment horizontal="center" vertical="top" wrapText="1"/>
    </xf>
    <xf numFmtId="17" fontId="1" fillId="4" borderId="94" xfId="0" applyNumberFormat="1" applyFont="1" applyFill="1" applyBorder="1" applyAlignment="1">
      <alignment horizontal="center" vertical="center" wrapText="1"/>
    </xf>
    <xf numFmtId="17" fontId="1" fillId="4" borderId="95" xfId="0" applyNumberFormat="1" applyFont="1" applyFill="1" applyBorder="1" applyAlignment="1">
      <alignment horizontal="center" vertical="center" wrapText="1"/>
    </xf>
    <xf numFmtId="17" fontId="1" fillId="4" borderId="96" xfId="0" applyNumberFormat="1" applyFont="1" applyFill="1" applyBorder="1" applyAlignment="1">
      <alignment horizontal="center" vertical="center" wrapText="1"/>
    </xf>
    <xf numFmtId="0" fontId="8" fillId="0" borderId="0" xfId="0" applyFont="1" applyAlignment="1">
      <alignment horizontal="center" vertical="center"/>
    </xf>
    <xf numFmtId="0" fontId="7" fillId="0" borderId="0" xfId="0" applyFont="1" applyAlignment="1">
      <alignment vertical="center"/>
    </xf>
    <xf numFmtId="0" fontId="0" fillId="0" borderId="0" xfId="0" applyAlignment="1">
      <alignment vertical="center"/>
    </xf>
    <xf numFmtId="49" fontId="11" fillId="2" borderId="0" xfId="0" applyNumberFormat="1" applyFont="1" applyFill="1" applyAlignment="1">
      <alignment horizontal="center" vertical="center"/>
    </xf>
    <xf numFmtId="0" fontId="10" fillId="0" borderId="0" xfId="0" applyFont="1" applyAlignment="1">
      <alignment horizontal="right" vertical="center"/>
    </xf>
    <xf numFmtId="0" fontId="1" fillId="5" borderId="25" xfId="0" applyFont="1" applyFill="1" applyBorder="1" applyAlignment="1">
      <alignment vertical="top" wrapText="1"/>
    </xf>
    <xf numFmtId="0" fontId="1" fillId="5" borderId="21" xfId="0" applyFont="1" applyFill="1" applyBorder="1" applyAlignment="1">
      <alignment vertical="top" wrapText="1"/>
    </xf>
    <xf numFmtId="0" fontId="2" fillId="5" borderId="21" xfId="0" applyFont="1" applyFill="1" applyBorder="1" applyAlignment="1">
      <alignment vertical="top" wrapText="1"/>
    </xf>
    <xf numFmtId="0" fontId="2" fillId="5" borderId="27" xfId="0" applyFont="1" applyFill="1" applyBorder="1" applyAlignment="1">
      <alignment vertical="top" wrapText="1"/>
    </xf>
    <xf numFmtId="0" fontId="5" fillId="5" borderId="15" xfId="0" applyFont="1" applyFill="1" applyBorder="1" applyAlignment="1">
      <alignment vertical="top" wrapText="1"/>
    </xf>
    <xf numFmtId="0" fontId="5" fillId="5" borderId="18" xfId="0" applyFont="1" applyFill="1" applyBorder="1" applyAlignment="1">
      <alignment vertical="top" wrapText="1"/>
    </xf>
    <xf numFmtId="0" fontId="5" fillId="5" borderId="17" xfId="0" applyFont="1" applyFill="1" applyBorder="1" applyAlignment="1">
      <alignment vertical="top" wrapText="1"/>
    </xf>
    <xf numFmtId="0" fontId="5" fillId="5" borderId="36" xfId="0" applyFont="1" applyFill="1" applyBorder="1" applyAlignment="1">
      <alignment horizontal="left" vertical="center" wrapText="1"/>
    </xf>
    <xf numFmtId="0" fontId="2" fillId="5" borderId="71" xfId="0" applyFont="1" applyFill="1" applyBorder="1" applyAlignment="1">
      <alignment horizontal="left" vertical="center" wrapText="1"/>
    </xf>
    <xf numFmtId="0" fontId="2" fillId="5" borderId="72" xfId="0" applyFont="1" applyFill="1" applyBorder="1" applyAlignment="1">
      <alignment horizontal="left" vertical="center" wrapText="1"/>
    </xf>
    <xf numFmtId="0" fontId="2" fillId="5" borderId="61" xfId="0" applyFont="1" applyFill="1" applyBorder="1" applyAlignment="1">
      <alignment vertical="center" wrapText="1"/>
    </xf>
    <xf numFmtId="49" fontId="13" fillId="3" borderId="7" xfId="0" applyNumberFormat="1" applyFont="1" applyFill="1" applyBorder="1" applyAlignment="1">
      <alignment horizontal="left" vertical="center" indent="1"/>
    </xf>
    <xf numFmtId="49" fontId="13" fillId="3" borderId="8" xfId="0" applyNumberFormat="1" applyFont="1" applyFill="1" applyBorder="1" applyAlignment="1">
      <alignment horizontal="left" vertical="center" indent="1"/>
    </xf>
    <xf numFmtId="49" fontId="13" fillId="3" borderId="92" xfId="0" applyNumberFormat="1" applyFont="1" applyFill="1" applyBorder="1" applyAlignment="1">
      <alignment horizontal="left" vertical="center" indent="1"/>
    </xf>
    <xf numFmtId="0" fontId="1" fillId="4" borderId="30" xfId="0" applyFont="1" applyFill="1" applyBorder="1" applyAlignment="1">
      <alignment horizontal="center" vertical="center" wrapText="1"/>
    </xf>
    <xf numFmtId="0" fontId="2" fillId="5" borderId="59" xfId="0" applyFont="1" applyFill="1" applyBorder="1" applyAlignment="1">
      <alignment vertical="center" wrapText="1"/>
    </xf>
    <xf numFmtId="9" fontId="1" fillId="7" borderId="66" xfId="0" applyNumberFormat="1" applyFont="1" applyFill="1" applyBorder="1" applyAlignment="1">
      <alignment horizontal="center" vertical="center" wrapText="1"/>
    </xf>
    <xf numFmtId="0" fontId="1" fillId="6" borderId="9" xfId="0" applyFont="1" applyFill="1" applyBorder="1" applyAlignment="1">
      <alignment horizontal="center" vertical="center" wrapText="1"/>
    </xf>
    <xf numFmtId="0" fontId="0" fillId="6" borderId="9" xfId="0" applyFill="1" applyBorder="1" applyAlignment="1">
      <alignment horizontal="center" vertical="center"/>
    </xf>
    <xf numFmtId="0" fontId="1" fillId="4" borderId="106" xfId="0" applyFont="1" applyFill="1" applyBorder="1" applyAlignment="1">
      <alignment horizontal="center" vertical="center" wrapText="1"/>
    </xf>
    <xf numFmtId="0" fontId="2" fillId="5" borderId="57" xfId="0" applyFont="1" applyFill="1" applyBorder="1" applyAlignment="1">
      <alignment vertical="center" wrapText="1"/>
    </xf>
    <xf numFmtId="164" fontId="1" fillId="7" borderId="3" xfId="0" applyNumberFormat="1" applyFont="1" applyFill="1" applyBorder="1" applyAlignment="1">
      <alignment horizontal="center" vertical="center" wrapText="1"/>
    </xf>
    <xf numFmtId="164" fontId="1" fillId="7" borderId="50" xfId="0" applyNumberFormat="1" applyFont="1" applyFill="1" applyBorder="1" applyAlignment="1">
      <alignment horizontal="center" vertical="center" wrapText="1"/>
    </xf>
    <xf numFmtId="0" fontId="1" fillId="6" borderId="6" xfId="0" applyFont="1" applyFill="1" applyBorder="1" applyAlignment="1">
      <alignment horizontal="left" vertical="center" wrapText="1" indent="1"/>
    </xf>
    <xf numFmtId="0" fontId="1" fillId="6" borderId="11" xfId="0" applyFont="1" applyFill="1" applyBorder="1" applyAlignment="1">
      <alignment horizontal="left" vertical="center" wrapText="1" indent="1"/>
    </xf>
    <xf numFmtId="0" fontId="1" fillId="6" borderId="67" xfId="0" applyFont="1" applyFill="1" applyBorder="1" applyAlignment="1">
      <alignment horizontal="left" vertical="center" wrapText="1" indent="1"/>
    </xf>
    <xf numFmtId="0" fontId="1" fillId="6" borderId="51" xfId="0" applyFont="1" applyFill="1" applyBorder="1" applyAlignment="1">
      <alignment horizontal="left" vertical="center" wrapText="1" indent="1"/>
    </xf>
    <xf numFmtId="0" fontId="1" fillId="6" borderId="54" xfId="0" applyFont="1" applyFill="1" applyBorder="1" applyAlignment="1">
      <alignment horizontal="left" vertical="center" wrapText="1" indent="1"/>
    </xf>
    <xf numFmtId="0" fontId="1" fillId="6" borderId="49" xfId="0" applyFont="1" applyFill="1" applyBorder="1" applyAlignment="1">
      <alignment horizontal="left" vertical="center" wrapText="1" indent="1"/>
    </xf>
    <xf numFmtId="0" fontId="2" fillId="5" borderId="33" xfId="0" applyFont="1" applyFill="1" applyBorder="1" applyAlignment="1">
      <alignment vertical="center" wrapText="1"/>
    </xf>
    <xf numFmtId="0" fontId="2" fillId="5" borderId="83" xfId="0" applyFont="1" applyFill="1" applyBorder="1" applyAlignment="1">
      <alignment vertical="center" wrapText="1"/>
    </xf>
    <xf numFmtId="0" fontId="2" fillId="5" borderId="87" xfId="0" applyFont="1" applyFill="1" applyBorder="1" applyAlignment="1">
      <alignment vertical="center" wrapText="1"/>
    </xf>
    <xf numFmtId="0" fontId="2" fillId="5" borderId="69" xfId="0" applyFont="1" applyFill="1" applyBorder="1" applyAlignment="1">
      <alignment vertical="center" wrapText="1"/>
    </xf>
    <xf numFmtId="0" fontId="2" fillId="5" borderId="70" xfId="0" applyFont="1" applyFill="1" applyBorder="1" applyAlignment="1">
      <alignment vertical="center" wrapText="1"/>
    </xf>
    <xf numFmtId="0" fontId="2" fillId="5" borderId="74" xfId="0" applyFont="1" applyFill="1" applyBorder="1" applyAlignment="1">
      <alignment vertical="center" wrapText="1"/>
    </xf>
    <xf numFmtId="0" fontId="2" fillId="5" borderId="46" xfId="0" applyFont="1" applyFill="1" applyBorder="1" applyAlignment="1">
      <alignment vertical="center" wrapText="1"/>
    </xf>
    <xf numFmtId="9" fontId="1" fillId="7" borderId="65" xfId="0" applyNumberFormat="1" applyFont="1" applyFill="1" applyBorder="1" applyAlignment="1">
      <alignment horizontal="center" vertical="center" wrapText="1"/>
    </xf>
    <xf numFmtId="0" fontId="1" fillId="4" borderId="108" xfId="0" applyFont="1" applyFill="1" applyBorder="1" applyAlignment="1">
      <alignment horizontal="center" vertical="center" wrapText="1"/>
    </xf>
    <xf numFmtId="0" fontId="1" fillId="5" borderId="22" xfId="0" applyFont="1" applyFill="1" applyBorder="1" applyAlignment="1">
      <alignment vertical="top" wrapText="1"/>
    </xf>
    <xf numFmtId="0" fontId="1" fillId="6" borderId="64" xfId="0" applyFont="1" applyFill="1" applyBorder="1" applyAlignment="1">
      <alignment horizontal="left" vertical="center" wrapText="1" indent="1"/>
    </xf>
    <xf numFmtId="0" fontId="1" fillId="6" borderId="66" xfId="0" applyFont="1" applyFill="1" applyBorder="1" applyAlignment="1">
      <alignment horizontal="left" vertical="center" wrapText="1" indent="1"/>
    </xf>
    <xf numFmtId="0" fontId="1" fillId="6" borderId="48" xfId="0" applyFont="1" applyFill="1" applyBorder="1" applyAlignment="1">
      <alignment horizontal="center" vertical="center" wrapText="1"/>
    </xf>
    <xf numFmtId="0" fontId="1" fillId="6" borderId="49" xfId="0" applyFont="1" applyFill="1" applyBorder="1" applyAlignment="1">
      <alignment horizontal="center" vertical="center" wrapText="1"/>
    </xf>
    <xf numFmtId="0" fontId="0" fillId="6" borderId="9" xfId="0" applyFill="1" applyBorder="1" applyAlignment="1">
      <alignment horizontal="center" vertical="center" wrapText="1"/>
    </xf>
    <xf numFmtId="0" fontId="1" fillId="6" borderId="2" xfId="0" applyFont="1" applyFill="1" applyBorder="1" applyAlignment="1">
      <alignment horizontal="center" vertical="center" wrapText="1"/>
    </xf>
    <xf numFmtId="0" fontId="1" fillId="6" borderId="20"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0" fillId="6" borderId="1" xfId="0" applyFill="1" applyBorder="1" applyAlignment="1">
      <alignment horizontal="center" vertical="center" wrapText="1"/>
    </xf>
    <xf numFmtId="0" fontId="1" fillId="6" borderId="4" xfId="0" applyFont="1" applyFill="1" applyBorder="1" applyAlignment="1">
      <alignment horizontal="center" vertical="center" wrapText="1"/>
    </xf>
    <xf numFmtId="0" fontId="1" fillId="6" borderId="11" xfId="0" applyFont="1" applyFill="1" applyBorder="1" applyAlignment="1">
      <alignment horizontal="center" vertical="center" wrapText="1"/>
    </xf>
    <xf numFmtId="0" fontId="1" fillId="7" borderId="4" xfId="0" applyFont="1" applyFill="1" applyBorder="1" applyAlignment="1">
      <alignment horizontal="center" vertical="center" wrapText="1"/>
    </xf>
    <xf numFmtId="0" fontId="1" fillId="7" borderId="11" xfId="0" applyFont="1" applyFill="1" applyBorder="1" applyAlignment="1">
      <alignment horizontal="center" vertical="center" wrapText="1"/>
    </xf>
    <xf numFmtId="0" fontId="2" fillId="5" borderId="39" xfId="0" applyFont="1" applyFill="1" applyBorder="1" applyAlignment="1">
      <alignment vertical="center" wrapText="1"/>
    </xf>
    <xf numFmtId="0" fontId="2" fillId="5" borderId="59" xfId="0" applyFont="1" applyFill="1" applyBorder="1" applyAlignment="1">
      <alignment vertical="top" wrapText="1"/>
    </xf>
    <xf numFmtId="0" fontId="2" fillId="5" borderId="63" xfId="0" applyFont="1" applyFill="1" applyBorder="1" applyAlignment="1">
      <alignment vertical="top" wrapText="1"/>
    </xf>
    <xf numFmtId="0" fontId="2" fillId="5" borderId="73" xfId="0" applyFont="1" applyFill="1" applyBorder="1" applyAlignment="1">
      <alignment vertical="top" wrapText="1"/>
    </xf>
    <xf numFmtId="0" fontId="1" fillId="6" borderId="7" xfId="0" applyFont="1" applyFill="1" applyBorder="1" applyAlignment="1">
      <alignment horizontal="left" vertical="center" wrapText="1" indent="1"/>
    </xf>
    <xf numFmtId="0" fontId="1" fillId="6" borderId="8" xfId="0" applyFont="1" applyFill="1" applyBorder="1" applyAlignment="1">
      <alignment horizontal="left" vertical="center" wrapText="1" indent="1"/>
    </xf>
    <xf numFmtId="0" fontId="1" fillId="5" borderId="36" xfId="0" applyFont="1" applyFill="1" applyBorder="1" applyAlignment="1">
      <alignment vertical="center" wrapText="1"/>
    </xf>
    <xf numFmtId="0" fontId="1" fillId="4" borderId="114" xfId="0" applyFont="1" applyFill="1" applyBorder="1" applyAlignment="1">
      <alignment horizontal="center" vertical="center" wrapText="1"/>
    </xf>
    <xf numFmtId="0" fontId="1" fillId="4" borderId="17" xfId="0" applyFont="1" applyFill="1" applyBorder="1" applyAlignment="1">
      <alignment horizontal="center" vertical="center" wrapText="1"/>
    </xf>
    <xf numFmtId="17" fontId="1" fillId="4" borderId="110" xfId="0" applyNumberFormat="1" applyFont="1" applyFill="1" applyBorder="1" applyAlignment="1">
      <alignment horizontal="center" vertical="top" wrapText="1"/>
    </xf>
    <xf numFmtId="0" fontId="0" fillId="6" borderId="1" xfId="0"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Documents%20and%20Settings\v-seymour\Local%20Settings\Temporary%20Internet%20Files\Content.Outlook\WU2CQHPO\Roads%20in%20the%20East%20Phase%202%20%20-%20Abridged%20Final%20Baseline%20Report%20based%20on%20DFID%20Suggestions%20-%2008%20May%201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ents"/>
      <sheetName val="D1 Overview KPIs"/>
      <sheetName val="D2 Phase 2 Axes Base M&amp;E Data"/>
      <sheetName val="D3 LF.1 Dev Res - Impact"/>
      <sheetName val="D4 LF.1 Dev Res - Outcome"/>
      <sheetName val="D5 LF.2 Oper - Output 1"/>
      <sheetName val="D6 LF.2 Oper - Output 2"/>
      <sheetName val="D7 LF.2 Oper - Output 3"/>
      <sheetName val="D8 LF.2 Oper - Output 4"/>
      <sheetName val="D9 LF.2 Oper - Output 5"/>
      <sheetName val="D10 LF - All Results"/>
      <sheetName val="D11 North Kivu Stakeholders"/>
      <sheetName val="D12 South Kivu Stakeholders"/>
    </sheetNames>
    <sheetDataSet>
      <sheetData sheetId="0"/>
      <sheetData sheetId="1"/>
      <sheetData sheetId="2"/>
      <sheetData sheetId="3"/>
      <sheetData sheetId="4"/>
      <sheetData sheetId="5">
        <row r="221">
          <cell r="Q221">
            <v>375000</v>
          </cell>
        </row>
        <row r="223">
          <cell r="Q223">
            <v>356521.73913043481</v>
          </cell>
        </row>
      </sheetData>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1"/>
  <sheetViews>
    <sheetView showGridLines="0" tabSelected="1" topLeftCell="A18" zoomScale="90" zoomScaleNormal="90" workbookViewId="0">
      <selection activeCell="G20" sqref="G20"/>
    </sheetView>
  </sheetViews>
  <sheetFormatPr defaultColWidth="9.140625" defaultRowHeight="12" x14ac:dyDescent="0.2"/>
  <cols>
    <col min="1" max="1" width="1.5703125" style="6" customWidth="1"/>
    <col min="2" max="2" width="20.7109375" style="6" customWidth="1"/>
    <col min="3" max="3" width="11.42578125" style="6" customWidth="1"/>
    <col min="4" max="5" width="22.85546875" style="6" customWidth="1"/>
    <col min="6" max="6" width="6.42578125" style="6" customWidth="1"/>
    <col min="7" max="7" width="10.140625" style="6" customWidth="1"/>
    <col min="8" max="10" width="11.28515625" style="6" customWidth="1"/>
    <col min="11" max="11" width="11.85546875" style="6" customWidth="1"/>
    <col min="12" max="12" width="12.140625" style="6" customWidth="1"/>
    <col min="13" max="13" width="47.7109375" style="6" customWidth="1"/>
    <col min="14" max="14" width="25.28515625" style="6" customWidth="1"/>
    <col min="15" max="16384" width="9.140625" style="6"/>
  </cols>
  <sheetData>
    <row r="1" spans="2:14" s="1" customFormat="1" ht="6" customHeight="1" x14ac:dyDescent="0.2">
      <c r="I1" s="53"/>
      <c r="J1" s="53"/>
    </row>
    <row r="2" spans="2:14" s="2" customFormat="1" ht="21.75" customHeight="1" x14ac:dyDescent="0.2">
      <c r="B2" s="191" t="s">
        <v>8</v>
      </c>
      <c r="C2" s="191"/>
      <c r="D2" s="191"/>
      <c r="E2" s="191"/>
      <c r="F2" s="191"/>
      <c r="G2" s="191"/>
      <c r="H2" s="191"/>
      <c r="I2" s="191"/>
      <c r="J2" s="191"/>
      <c r="K2" s="191"/>
      <c r="L2" s="191"/>
      <c r="M2" s="191"/>
      <c r="N2" s="191"/>
    </row>
    <row r="3" spans="2:14" s="2" customFormat="1" ht="3.75" customHeight="1" x14ac:dyDescent="0.2">
      <c r="B3" s="192"/>
      <c r="C3" s="192"/>
      <c r="D3" s="192"/>
      <c r="E3" s="192"/>
      <c r="F3" s="192"/>
      <c r="G3" s="192"/>
      <c r="H3" s="192"/>
      <c r="I3" s="192"/>
      <c r="J3" s="192"/>
      <c r="K3" s="192"/>
      <c r="L3" s="192"/>
      <c r="M3" s="192"/>
      <c r="N3" s="192"/>
    </row>
    <row r="4" spans="2:14" s="2" customFormat="1" ht="22.5" customHeight="1" x14ac:dyDescent="0.2">
      <c r="B4" s="191" t="s">
        <v>36</v>
      </c>
      <c r="C4" s="191"/>
      <c r="D4" s="191"/>
      <c r="E4" s="191"/>
      <c r="F4" s="191"/>
      <c r="G4" s="191"/>
      <c r="H4" s="191"/>
      <c r="I4" s="191"/>
      <c r="J4" s="191"/>
      <c r="K4" s="191"/>
      <c r="L4" s="191"/>
      <c r="M4" s="191"/>
      <c r="N4" s="191"/>
    </row>
    <row r="5" spans="2:14" s="1" customFormat="1" ht="8.25" customHeight="1" x14ac:dyDescent="0.2">
      <c r="B5" s="193"/>
      <c r="C5" s="193"/>
      <c r="D5" s="193"/>
      <c r="E5" s="193"/>
      <c r="F5" s="193"/>
      <c r="G5" s="193"/>
      <c r="H5" s="193"/>
      <c r="I5" s="193"/>
      <c r="J5" s="193"/>
      <c r="K5" s="193"/>
      <c r="L5" s="193"/>
      <c r="M5" s="193"/>
      <c r="N5" s="193"/>
    </row>
    <row r="6" spans="2:14" s="3" customFormat="1" ht="31.5" customHeight="1" x14ac:dyDescent="0.2">
      <c r="B6" s="194" t="s">
        <v>146</v>
      </c>
      <c r="C6" s="194"/>
      <c r="D6" s="194"/>
      <c r="E6" s="194"/>
      <c r="F6" s="194"/>
      <c r="G6" s="194"/>
      <c r="H6" s="194"/>
      <c r="I6" s="194"/>
      <c r="J6" s="194"/>
      <c r="K6" s="194"/>
      <c r="L6" s="194"/>
      <c r="M6" s="194"/>
      <c r="N6" s="194"/>
    </row>
    <row r="7" spans="2:14" s="29" customFormat="1" ht="19.5" customHeight="1" x14ac:dyDescent="0.2">
      <c r="B7" s="34" t="s">
        <v>12</v>
      </c>
      <c r="C7" s="34" t="s">
        <v>11</v>
      </c>
      <c r="D7" s="35" t="s">
        <v>16</v>
      </c>
      <c r="E7" s="34" t="s">
        <v>14</v>
      </c>
      <c r="F7" s="34" t="s">
        <v>15</v>
      </c>
      <c r="G7" s="35"/>
      <c r="H7" s="34" t="s">
        <v>5</v>
      </c>
      <c r="I7" s="34"/>
      <c r="J7" s="34"/>
      <c r="K7" s="34"/>
      <c r="L7" s="34"/>
      <c r="M7" s="195" t="s">
        <v>58</v>
      </c>
      <c r="N7" s="195"/>
    </row>
    <row r="8" spans="2:14" s="4" customFormat="1" ht="7.5" customHeight="1" thickBot="1" x14ac:dyDescent="0.25">
      <c r="D8" s="5"/>
      <c r="E8" s="5"/>
      <c r="F8" s="5"/>
      <c r="G8" s="5"/>
      <c r="H8" s="5"/>
      <c r="I8" s="5"/>
      <c r="J8" s="5"/>
      <c r="K8" s="5"/>
      <c r="L8" s="5"/>
      <c r="M8" s="5"/>
      <c r="N8" s="5"/>
    </row>
    <row r="9" spans="2:14" s="3" customFormat="1" ht="23.25" customHeight="1" thickBot="1" x14ac:dyDescent="0.25">
      <c r="B9" s="207" t="s">
        <v>30</v>
      </c>
      <c r="C9" s="208"/>
      <c r="D9" s="208"/>
      <c r="E9" s="208"/>
      <c r="F9" s="208"/>
      <c r="G9" s="208"/>
      <c r="H9" s="208"/>
      <c r="I9" s="208"/>
      <c r="J9" s="208"/>
      <c r="K9" s="208"/>
      <c r="L9" s="208"/>
      <c r="M9" s="208"/>
      <c r="N9" s="209"/>
    </row>
    <row r="10" spans="2:14" s="7" customFormat="1" ht="30.75" customHeight="1" x14ac:dyDescent="0.2">
      <c r="B10" s="179" t="s">
        <v>10</v>
      </c>
      <c r="C10" s="175" t="s">
        <v>48</v>
      </c>
      <c r="D10" s="176"/>
      <c r="E10" s="176"/>
      <c r="F10" s="176"/>
      <c r="G10" s="186" t="s">
        <v>55</v>
      </c>
      <c r="H10" s="188" t="s">
        <v>56</v>
      </c>
      <c r="I10" s="189"/>
      <c r="J10" s="190"/>
      <c r="K10" s="188" t="s">
        <v>57</v>
      </c>
      <c r="L10" s="190"/>
      <c r="M10" s="181" t="s">
        <v>9</v>
      </c>
      <c r="N10" s="177" t="s">
        <v>0</v>
      </c>
    </row>
    <row r="11" spans="2:14" s="7" customFormat="1" ht="41.25" customHeight="1" thickBot="1" x14ac:dyDescent="0.25">
      <c r="B11" s="180"/>
      <c r="C11" s="47" t="s">
        <v>53</v>
      </c>
      <c r="D11" s="210" t="s">
        <v>216</v>
      </c>
      <c r="E11" s="210"/>
      <c r="F11" s="68" t="s">
        <v>54</v>
      </c>
      <c r="G11" s="187"/>
      <c r="H11" s="9" t="s">
        <v>42</v>
      </c>
      <c r="I11" s="10" t="s">
        <v>43</v>
      </c>
      <c r="J11" s="11" t="s">
        <v>44</v>
      </c>
      <c r="K11" s="67" t="s">
        <v>45</v>
      </c>
      <c r="L11" s="69" t="s">
        <v>46</v>
      </c>
      <c r="M11" s="182"/>
      <c r="N11" s="178"/>
    </row>
    <row r="12" spans="2:14" ht="62.25" customHeight="1" thickTop="1" x14ac:dyDescent="0.2">
      <c r="B12" s="197" t="s">
        <v>224</v>
      </c>
      <c r="C12" s="50" t="s">
        <v>41</v>
      </c>
      <c r="D12" s="206" t="s">
        <v>60</v>
      </c>
      <c r="E12" s="206"/>
      <c r="F12" s="38" t="s">
        <v>12</v>
      </c>
      <c r="G12" s="156">
        <v>0.85</v>
      </c>
      <c r="H12" s="157">
        <v>0.77</v>
      </c>
      <c r="I12" s="158">
        <v>0.68</v>
      </c>
      <c r="J12" s="159">
        <v>0.6</v>
      </c>
      <c r="K12" s="157">
        <v>0.5</v>
      </c>
      <c r="L12" s="159">
        <v>0.4</v>
      </c>
      <c r="M12" s="94" t="s">
        <v>47</v>
      </c>
      <c r="N12" s="183" t="s">
        <v>96</v>
      </c>
    </row>
    <row r="13" spans="2:14" ht="48.75" customHeight="1" x14ac:dyDescent="0.2">
      <c r="B13" s="197"/>
      <c r="C13" s="24" t="s">
        <v>50</v>
      </c>
      <c r="D13" s="185" t="s">
        <v>61</v>
      </c>
      <c r="E13" s="185"/>
      <c r="F13" s="15" t="s">
        <v>12</v>
      </c>
      <c r="G13" s="72">
        <v>3822.8571428571431</v>
      </c>
      <c r="H13" s="17">
        <v>0</v>
      </c>
      <c r="I13" s="18">
        <v>0</v>
      </c>
      <c r="J13" s="19">
        <v>0</v>
      </c>
      <c r="K13" s="17">
        <v>0</v>
      </c>
      <c r="L13" s="19">
        <v>0</v>
      </c>
      <c r="M13" s="20" t="s">
        <v>49</v>
      </c>
      <c r="N13" s="183"/>
    </row>
    <row r="14" spans="2:14" ht="91.5" customHeight="1" thickBot="1" x14ac:dyDescent="0.25">
      <c r="B14" s="197"/>
      <c r="C14" s="24" t="s">
        <v>52</v>
      </c>
      <c r="D14" s="185" t="s">
        <v>63</v>
      </c>
      <c r="E14" s="185"/>
      <c r="F14" s="15" t="s">
        <v>12</v>
      </c>
      <c r="G14" s="72" t="s">
        <v>6</v>
      </c>
      <c r="H14" s="46">
        <v>-0.05</v>
      </c>
      <c r="I14" s="30">
        <v>-0.15</v>
      </c>
      <c r="J14" s="16">
        <v>-0.25</v>
      </c>
      <c r="K14" s="46">
        <v>-0.25</v>
      </c>
      <c r="L14" s="16">
        <v>-0.25</v>
      </c>
      <c r="M14" s="20" t="s">
        <v>51</v>
      </c>
      <c r="N14" s="184"/>
    </row>
    <row r="15" spans="2:14" ht="99" customHeight="1" thickTop="1" x14ac:dyDescent="0.2">
      <c r="B15" s="196" t="s">
        <v>223</v>
      </c>
      <c r="C15" s="23" t="s">
        <v>59</v>
      </c>
      <c r="D15" s="170" t="s">
        <v>62</v>
      </c>
      <c r="E15" s="171"/>
      <c r="F15" s="12" t="s">
        <v>11</v>
      </c>
      <c r="G15" s="70" t="s">
        <v>6</v>
      </c>
      <c r="H15" s="75">
        <v>0.3</v>
      </c>
      <c r="I15" s="76">
        <v>0.6</v>
      </c>
      <c r="J15" s="13">
        <v>0.9</v>
      </c>
      <c r="K15" s="75">
        <v>0.9</v>
      </c>
      <c r="L15" s="13">
        <v>0.9</v>
      </c>
      <c r="M15" s="14" t="s">
        <v>65</v>
      </c>
      <c r="N15" s="199" t="s">
        <v>113</v>
      </c>
    </row>
    <row r="16" spans="2:14" ht="93" customHeight="1" x14ac:dyDescent="0.2">
      <c r="B16" s="197"/>
      <c r="C16" s="24" t="s">
        <v>95</v>
      </c>
      <c r="D16" s="172" t="s">
        <v>64</v>
      </c>
      <c r="E16" s="203"/>
      <c r="F16" s="15" t="s">
        <v>11</v>
      </c>
      <c r="G16" s="71" t="s">
        <v>6</v>
      </c>
      <c r="H16" s="46">
        <v>0.3</v>
      </c>
      <c r="I16" s="30">
        <v>0.6</v>
      </c>
      <c r="J16" s="16">
        <v>0.9</v>
      </c>
      <c r="K16" s="46">
        <v>0.9</v>
      </c>
      <c r="L16" s="16">
        <v>0.9</v>
      </c>
      <c r="M16" s="74" t="s">
        <v>66</v>
      </c>
      <c r="N16" s="200"/>
    </row>
    <row r="17" spans="1:14" ht="69" customHeight="1" x14ac:dyDescent="0.2">
      <c r="B17" s="56"/>
      <c r="C17" s="24" t="s">
        <v>94</v>
      </c>
      <c r="D17" s="172" t="s">
        <v>67</v>
      </c>
      <c r="E17" s="172"/>
      <c r="F17" s="15" t="s">
        <v>11</v>
      </c>
      <c r="G17" s="73" t="s">
        <v>6</v>
      </c>
      <c r="H17" s="46">
        <v>0.3</v>
      </c>
      <c r="I17" s="30">
        <v>0.6</v>
      </c>
      <c r="J17" s="16">
        <v>0.9</v>
      </c>
      <c r="K17" s="46">
        <v>0.9</v>
      </c>
      <c r="L17" s="16">
        <v>0.9</v>
      </c>
      <c r="M17" s="74" t="s">
        <v>68</v>
      </c>
      <c r="N17" s="201"/>
    </row>
    <row r="18" spans="1:14" ht="56.25" customHeight="1" x14ac:dyDescent="0.2">
      <c r="B18" s="56"/>
      <c r="C18" s="24" t="s">
        <v>93</v>
      </c>
      <c r="D18" s="173" t="s">
        <v>69</v>
      </c>
      <c r="E18" s="174"/>
      <c r="F18" s="15" t="s">
        <v>12</v>
      </c>
      <c r="G18" s="71" t="s">
        <v>6</v>
      </c>
      <c r="H18" s="77" t="s">
        <v>72</v>
      </c>
      <c r="I18" s="78" t="s">
        <v>73</v>
      </c>
      <c r="J18" s="79" t="s">
        <v>74</v>
      </c>
      <c r="K18" s="77" t="s">
        <v>70</v>
      </c>
      <c r="L18" s="79" t="s">
        <v>71</v>
      </c>
      <c r="M18" s="74" t="s">
        <v>75</v>
      </c>
      <c r="N18" s="201"/>
    </row>
    <row r="19" spans="1:14" ht="57" customHeight="1" x14ac:dyDescent="0.2">
      <c r="B19" s="56"/>
      <c r="C19" s="24" t="s">
        <v>92</v>
      </c>
      <c r="D19" s="173" t="s">
        <v>76</v>
      </c>
      <c r="E19" s="174"/>
      <c r="F19" s="15" t="s">
        <v>12</v>
      </c>
      <c r="G19" s="71" t="s">
        <v>6</v>
      </c>
      <c r="H19" s="77" t="s">
        <v>72</v>
      </c>
      <c r="I19" s="78" t="s">
        <v>73</v>
      </c>
      <c r="J19" s="79" t="s">
        <v>74</v>
      </c>
      <c r="K19" s="77" t="s">
        <v>70</v>
      </c>
      <c r="L19" s="79" t="s">
        <v>71</v>
      </c>
      <c r="M19" s="74" t="s">
        <v>75</v>
      </c>
      <c r="N19" s="201"/>
    </row>
    <row r="20" spans="1:14" ht="78.75" customHeight="1" x14ac:dyDescent="0.2">
      <c r="B20" s="56"/>
      <c r="C20" s="24" t="s">
        <v>91</v>
      </c>
      <c r="D20" s="173" t="s">
        <v>77</v>
      </c>
      <c r="E20" s="174"/>
      <c r="F20" s="15" t="s">
        <v>12</v>
      </c>
      <c r="G20" s="71" t="s">
        <v>115</v>
      </c>
      <c r="H20" s="77" t="s">
        <v>79</v>
      </c>
      <c r="I20" s="78" t="s">
        <v>80</v>
      </c>
      <c r="J20" s="79" t="s">
        <v>81</v>
      </c>
      <c r="K20" s="77" t="s">
        <v>82</v>
      </c>
      <c r="L20" s="79" t="s">
        <v>82</v>
      </c>
      <c r="M20" s="74" t="s">
        <v>78</v>
      </c>
      <c r="N20" s="201"/>
    </row>
    <row r="21" spans="1:14" ht="80.25" customHeight="1" x14ac:dyDescent="0.2">
      <c r="B21" s="198" t="s">
        <v>225</v>
      </c>
      <c r="C21" s="24" t="s">
        <v>90</v>
      </c>
      <c r="D21" s="173" t="s">
        <v>86</v>
      </c>
      <c r="E21" s="174"/>
      <c r="F21" s="15" t="s">
        <v>12</v>
      </c>
      <c r="G21" s="71">
        <v>12.1</v>
      </c>
      <c r="H21" s="31">
        <v>11.5</v>
      </c>
      <c r="I21" s="32">
        <v>10.3</v>
      </c>
      <c r="J21" s="33">
        <v>9.1</v>
      </c>
      <c r="K21" s="31">
        <v>9.1</v>
      </c>
      <c r="L21" s="33">
        <v>9.1</v>
      </c>
      <c r="M21" s="74" t="s">
        <v>83</v>
      </c>
      <c r="N21" s="201"/>
    </row>
    <row r="22" spans="1:14" ht="77.25" customHeight="1" x14ac:dyDescent="0.2">
      <c r="B22" s="198"/>
      <c r="C22" s="24" t="s">
        <v>89</v>
      </c>
      <c r="D22" s="173" t="s">
        <v>84</v>
      </c>
      <c r="E22" s="174"/>
      <c r="F22" s="15" t="s">
        <v>12</v>
      </c>
      <c r="G22" s="71" t="s">
        <v>6</v>
      </c>
      <c r="H22" s="31" t="s">
        <v>85</v>
      </c>
      <c r="I22" s="32" t="s">
        <v>87</v>
      </c>
      <c r="J22" s="33" t="s">
        <v>88</v>
      </c>
      <c r="K22" s="31" t="s">
        <v>88</v>
      </c>
      <c r="L22" s="33" t="s">
        <v>88</v>
      </c>
      <c r="M22" s="74" t="s">
        <v>83</v>
      </c>
      <c r="N22" s="201"/>
    </row>
    <row r="23" spans="1:14" ht="101.25" customHeight="1" x14ac:dyDescent="0.2">
      <c r="B23" s="56"/>
      <c r="C23" s="24" t="s">
        <v>98</v>
      </c>
      <c r="D23" s="173" t="s">
        <v>97</v>
      </c>
      <c r="E23" s="174"/>
      <c r="F23" s="15" t="s">
        <v>16</v>
      </c>
      <c r="G23" s="71">
        <v>3</v>
      </c>
      <c r="H23" s="31">
        <v>5</v>
      </c>
      <c r="I23" s="32">
        <v>7</v>
      </c>
      <c r="J23" s="33">
        <v>8</v>
      </c>
      <c r="K23" s="31">
        <v>8</v>
      </c>
      <c r="L23" s="33">
        <v>8</v>
      </c>
      <c r="M23" s="74" t="s">
        <v>99</v>
      </c>
      <c r="N23" s="201"/>
    </row>
    <row r="24" spans="1:14" ht="77.25" customHeight="1" x14ac:dyDescent="0.2">
      <c r="B24" s="56"/>
      <c r="C24" s="24" t="s">
        <v>101</v>
      </c>
      <c r="D24" s="173" t="s">
        <v>100</v>
      </c>
      <c r="E24" s="174"/>
      <c r="F24" s="15" t="s">
        <v>12</v>
      </c>
      <c r="G24" s="71">
        <v>0</v>
      </c>
      <c r="H24" s="31" t="s">
        <v>6</v>
      </c>
      <c r="I24" s="32" t="s">
        <v>6</v>
      </c>
      <c r="J24" s="33" t="s">
        <v>6</v>
      </c>
      <c r="K24" s="31" t="s">
        <v>6</v>
      </c>
      <c r="L24" s="33" t="s">
        <v>6</v>
      </c>
      <c r="M24" s="74" t="s">
        <v>102</v>
      </c>
      <c r="N24" s="201"/>
    </row>
    <row r="25" spans="1:14" ht="93.75" customHeight="1" x14ac:dyDescent="0.2">
      <c r="B25" s="56"/>
      <c r="C25" s="24" t="s">
        <v>103</v>
      </c>
      <c r="D25" s="173" t="s">
        <v>105</v>
      </c>
      <c r="E25" s="174"/>
      <c r="F25" s="15" t="s">
        <v>12</v>
      </c>
      <c r="G25" s="72">
        <v>10</v>
      </c>
      <c r="H25" s="80" t="s">
        <v>106</v>
      </c>
      <c r="I25" s="81" t="s">
        <v>107</v>
      </c>
      <c r="J25" s="82" t="s">
        <v>108</v>
      </c>
      <c r="K25" s="80" t="s">
        <v>109</v>
      </c>
      <c r="L25" s="82" t="s">
        <v>114</v>
      </c>
      <c r="M25" s="74" t="s">
        <v>104</v>
      </c>
      <c r="N25" s="201"/>
    </row>
    <row r="26" spans="1:14" ht="82.5" customHeight="1" thickBot="1" x14ac:dyDescent="0.25">
      <c r="B26" s="57"/>
      <c r="C26" s="26" t="s">
        <v>112</v>
      </c>
      <c r="D26" s="204" t="s">
        <v>110</v>
      </c>
      <c r="E26" s="205"/>
      <c r="F26" s="25" t="s">
        <v>12</v>
      </c>
      <c r="G26" s="86">
        <f>'[1]D4 LF.1 Dev Res - Outcome'!$Q$221+'[1]D4 LF.1 Dev Res - Outcome'!$Q$223</f>
        <v>731521.73913043481</v>
      </c>
      <c r="H26" s="83">
        <f>G26*1.2</f>
        <v>877826.08695652173</v>
      </c>
      <c r="I26" s="84">
        <f>G26*1.4</f>
        <v>1024130.4347826086</v>
      </c>
      <c r="J26" s="85">
        <f>G26*1.6</f>
        <v>1170434.7826086958</v>
      </c>
      <c r="K26" s="83">
        <f>G26*2.2</f>
        <v>1609347.8260869568</v>
      </c>
      <c r="L26" s="85">
        <f>G26*3</f>
        <v>2194565.2173913047</v>
      </c>
      <c r="M26" s="27" t="s">
        <v>111</v>
      </c>
      <c r="N26" s="202"/>
    </row>
    <row r="28" spans="1:14" ht="64.5" customHeight="1" x14ac:dyDescent="0.2">
      <c r="A28" s="42"/>
      <c r="B28" s="59" t="s">
        <v>40</v>
      </c>
      <c r="C28" s="167" t="s">
        <v>215</v>
      </c>
      <c r="D28" s="168"/>
      <c r="E28" s="168"/>
      <c r="F28" s="168"/>
      <c r="G28" s="168"/>
      <c r="H28" s="168"/>
      <c r="I28" s="168"/>
      <c r="J28" s="168"/>
      <c r="K28" s="168"/>
      <c r="L28" s="168"/>
      <c r="M28" s="168"/>
    </row>
    <row r="29" spans="1:14" s="60" customFormat="1" ht="53.25" customHeight="1" x14ac:dyDescent="0.2">
      <c r="B29" s="61" t="s">
        <v>37</v>
      </c>
      <c r="C29" s="167" t="s">
        <v>217</v>
      </c>
      <c r="D29" s="167"/>
      <c r="E29" s="167"/>
      <c r="F29" s="167"/>
      <c r="G29" s="167"/>
      <c r="H29" s="167"/>
      <c r="I29" s="167"/>
      <c r="J29" s="167"/>
      <c r="K29" s="167"/>
      <c r="L29" s="167"/>
      <c r="M29" s="167"/>
    </row>
    <row r="30" spans="1:14" s="60" customFormat="1" ht="42" customHeight="1" x14ac:dyDescent="0.2">
      <c r="B30" s="61" t="s">
        <v>38</v>
      </c>
      <c r="C30" s="167" t="s">
        <v>218</v>
      </c>
      <c r="D30" s="169"/>
      <c r="E30" s="169"/>
      <c r="F30" s="169"/>
      <c r="G30" s="169"/>
      <c r="H30" s="169"/>
      <c r="I30" s="169"/>
      <c r="J30" s="169"/>
      <c r="K30" s="169"/>
      <c r="L30" s="169"/>
      <c r="M30" s="169"/>
    </row>
    <row r="31" spans="1:14" s="60" customFormat="1" ht="39.75" customHeight="1" x14ac:dyDescent="0.2">
      <c r="B31" s="61" t="s">
        <v>39</v>
      </c>
      <c r="C31" s="167" t="s">
        <v>219</v>
      </c>
      <c r="D31" s="169"/>
      <c r="E31" s="169"/>
      <c r="F31" s="169"/>
      <c r="G31" s="169"/>
      <c r="H31" s="169"/>
      <c r="I31" s="169"/>
      <c r="J31" s="169"/>
      <c r="K31" s="169"/>
      <c r="L31" s="169"/>
      <c r="M31" s="169"/>
    </row>
  </sheetData>
  <mergeCells count="39">
    <mergeCell ref="M7:N7"/>
    <mergeCell ref="B15:B16"/>
    <mergeCell ref="B21:B22"/>
    <mergeCell ref="N15:N26"/>
    <mergeCell ref="D21:E21"/>
    <mergeCell ref="D22:E22"/>
    <mergeCell ref="D23:E23"/>
    <mergeCell ref="D24:E24"/>
    <mergeCell ref="D25:E25"/>
    <mergeCell ref="D16:E16"/>
    <mergeCell ref="D26:E26"/>
    <mergeCell ref="B12:B14"/>
    <mergeCell ref="D12:E12"/>
    <mergeCell ref="D13:E13"/>
    <mergeCell ref="B9:N9"/>
    <mergeCell ref="D11:E11"/>
    <mergeCell ref="B2:N2"/>
    <mergeCell ref="B3:N3"/>
    <mergeCell ref="B4:N4"/>
    <mergeCell ref="B5:N5"/>
    <mergeCell ref="B6:N6"/>
    <mergeCell ref="C10:F10"/>
    <mergeCell ref="N10:N11"/>
    <mergeCell ref="B10:B11"/>
    <mergeCell ref="M10:M11"/>
    <mergeCell ref="N12:N14"/>
    <mergeCell ref="D14:E14"/>
    <mergeCell ref="G10:G11"/>
    <mergeCell ref="H10:J10"/>
    <mergeCell ref="K10:L10"/>
    <mergeCell ref="C28:M28"/>
    <mergeCell ref="C29:M29"/>
    <mergeCell ref="C30:M30"/>
    <mergeCell ref="C31:M31"/>
    <mergeCell ref="D15:E15"/>
    <mergeCell ref="D17:E17"/>
    <mergeCell ref="D18:E18"/>
    <mergeCell ref="D19:E19"/>
    <mergeCell ref="D20:E20"/>
  </mergeCells>
  <phoneticPr fontId="3" type="noConversion"/>
  <dataValidations count="1">
    <dataValidation type="list" allowBlank="1" showInputMessage="1" showErrorMessage="1" sqref="F12:F26">
      <formula1>$B$7:$F$7</formula1>
    </dataValidation>
  </dataValidations>
  <pageMargins left="0.39370078740157483" right="0.39370078740157483" top="0.22" bottom="0.34" header="0.23622047244094491" footer="0.2"/>
  <pageSetup paperSize="9" scale="62" fitToHeight="7"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90"/>
  <sheetViews>
    <sheetView showGridLines="0" zoomScale="90" zoomScaleNormal="100" workbookViewId="0">
      <selection activeCell="D14" sqref="D14:F14"/>
    </sheetView>
  </sheetViews>
  <sheetFormatPr defaultColWidth="9.140625" defaultRowHeight="12" x14ac:dyDescent="0.2"/>
  <cols>
    <col min="1" max="1" width="1.5703125" style="4" customWidth="1"/>
    <col min="2" max="2" width="19.140625" style="89" customWidth="1"/>
    <col min="3" max="3" width="13" style="89" customWidth="1"/>
    <col min="4" max="5" width="22.85546875" style="89" customWidth="1"/>
    <col min="6" max="6" width="6.140625" style="89" customWidth="1"/>
    <col min="7" max="7" width="10.140625" style="89" customWidth="1"/>
    <col min="8" max="9" width="11.28515625" style="89" customWidth="1"/>
    <col min="10" max="11" width="11.85546875" style="89" customWidth="1"/>
    <col min="12" max="12" width="13.7109375" style="89" customWidth="1"/>
    <col min="13" max="13" width="47.7109375" style="89" customWidth="1"/>
    <col min="14" max="14" width="25.28515625" style="89" customWidth="1"/>
    <col min="15" max="16384" width="9.140625" style="89"/>
  </cols>
  <sheetData>
    <row r="1" spans="1:14" s="55" customFormat="1" ht="6" customHeight="1" x14ac:dyDescent="0.2">
      <c r="A1" s="28"/>
    </row>
    <row r="2" spans="1:14" s="54" customFormat="1" ht="21.75" customHeight="1" x14ac:dyDescent="0.2">
      <c r="B2" s="191" t="s">
        <v>8</v>
      </c>
      <c r="C2" s="191"/>
      <c r="D2" s="191"/>
      <c r="E2" s="191"/>
      <c r="F2" s="191"/>
      <c r="G2" s="191"/>
      <c r="H2" s="191"/>
      <c r="I2" s="191"/>
      <c r="J2" s="191"/>
      <c r="K2" s="191"/>
      <c r="L2" s="191"/>
      <c r="M2" s="191"/>
      <c r="N2" s="191"/>
    </row>
    <row r="3" spans="1:14" s="54" customFormat="1" ht="3.75" customHeight="1" x14ac:dyDescent="0.2">
      <c r="B3" s="192"/>
      <c r="C3" s="192"/>
      <c r="D3" s="192"/>
      <c r="E3" s="192"/>
      <c r="F3" s="192"/>
      <c r="G3" s="192"/>
      <c r="H3" s="192"/>
      <c r="I3" s="192"/>
      <c r="J3" s="192"/>
      <c r="K3" s="192"/>
      <c r="L3" s="192"/>
      <c r="M3" s="192"/>
      <c r="N3" s="192"/>
    </row>
    <row r="4" spans="1:14" s="54" customFormat="1" ht="22.5" customHeight="1" x14ac:dyDescent="0.2">
      <c r="B4" s="191" t="s">
        <v>36</v>
      </c>
      <c r="C4" s="191"/>
      <c r="D4" s="191"/>
      <c r="E4" s="191"/>
      <c r="F4" s="191"/>
      <c r="G4" s="191"/>
      <c r="H4" s="191"/>
      <c r="I4" s="191"/>
      <c r="J4" s="191"/>
      <c r="K4" s="191"/>
      <c r="L4" s="191"/>
      <c r="M4" s="191"/>
      <c r="N4" s="191"/>
    </row>
    <row r="5" spans="1:14" s="55" customFormat="1" ht="8.25" customHeight="1" x14ac:dyDescent="0.2">
      <c r="B5" s="193"/>
      <c r="C5" s="193"/>
      <c r="D5" s="193"/>
      <c r="E5" s="193"/>
      <c r="F5" s="193"/>
      <c r="G5" s="193"/>
      <c r="H5" s="193"/>
      <c r="I5" s="193"/>
      <c r="J5" s="193"/>
      <c r="K5" s="193"/>
      <c r="L5" s="193"/>
      <c r="M5" s="193"/>
      <c r="N5" s="193"/>
    </row>
    <row r="6" spans="1:14" s="3" customFormat="1" ht="31.5" customHeight="1" x14ac:dyDescent="0.2">
      <c r="B6" s="194" t="s">
        <v>146</v>
      </c>
      <c r="C6" s="194"/>
      <c r="D6" s="194"/>
      <c r="E6" s="194"/>
      <c r="F6" s="194"/>
      <c r="G6" s="194"/>
      <c r="H6" s="194"/>
      <c r="I6" s="194"/>
      <c r="J6" s="194"/>
      <c r="K6" s="194"/>
      <c r="L6" s="194"/>
      <c r="M6" s="194"/>
      <c r="N6" s="194"/>
    </row>
    <row r="7" spans="1:14" s="29" customFormat="1" ht="19.5" customHeight="1" x14ac:dyDescent="0.2">
      <c r="B7" s="34" t="s">
        <v>12</v>
      </c>
      <c r="C7" s="34" t="s">
        <v>11</v>
      </c>
      <c r="D7" s="35" t="s">
        <v>16</v>
      </c>
      <c r="E7" s="34" t="s">
        <v>14</v>
      </c>
      <c r="F7" s="34" t="s">
        <v>15</v>
      </c>
      <c r="G7" s="35"/>
      <c r="H7" s="34" t="s">
        <v>5</v>
      </c>
      <c r="I7" s="34"/>
      <c r="J7" s="34"/>
      <c r="K7" s="34"/>
      <c r="L7" s="34"/>
      <c r="M7" s="195" t="s">
        <v>58</v>
      </c>
      <c r="N7" s="195"/>
    </row>
    <row r="8" spans="1:14" s="4" customFormat="1" ht="7.5" customHeight="1" thickBot="1" x14ac:dyDescent="0.25">
      <c r="D8" s="5"/>
      <c r="E8" s="5"/>
      <c r="F8" s="5"/>
      <c r="G8" s="5"/>
      <c r="H8" s="5"/>
      <c r="I8" s="5"/>
      <c r="J8" s="5"/>
      <c r="K8" s="5"/>
      <c r="L8" s="5"/>
      <c r="M8" s="5"/>
      <c r="N8" s="5"/>
    </row>
    <row r="9" spans="1:14" s="3" customFormat="1" ht="23.25" customHeight="1" thickBot="1" x14ac:dyDescent="0.25">
      <c r="A9" s="41"/>
      <c r="B9" s="207" t="s">
        <v>29</v>
      </c>
      <c r="C9" s="208"/>
      <c r="D9" s="208"/>
      <c r="E9" s="208"/>
      <c r="F9" s="208"/>
      <c r="G9" s="208"/>
      <c r="H9" s="208"/>
      <c r="I9" s="208"/>
      <c r="J9" s="208"/>
      <c r="K9" s="208"/>
      <c r="L9" s="208"/>
      <c r="M9" s="208"/>
      <c r="N9" s="209"/>
    </row>
    <row r="10" spans="1:14" s="7" customFormat="1" ht="30.75" customHeight="1" x14ac:dyDescent="0.2">
      <c r="B10" s="179" t="s">
        <v>10</v>
      </c>
      <c r="C10" s="175" t="s">
        <v>48</v>
      </c>
      <c r="D10" s="176"/>
      <c r="E10" s="176"/>
      <c r="F10" s="176"/>
      <c r="G10" s="186" t="s">
        <v>55</v>
      </c>
      <c r="H10" s="188" t="s">
        <v>56</v>
      </c>
      <c r="I10" s="189"/>
      <c r="J10" s="190"/>
      <c r="K10" s="188" t="s">
        <v>57</v>
      </c>
      <c r="L10" s="190"/>
      <c r="M10" s="181" t="s">
        <v>9</v>
      </c>
      <c r="N10" s="177" t="s">
        <v>0</v>
      </c>
    </row>
    <row r="11" spans="1:14" s="7" customFormat="1" ht="41.25" customHeight="1" thickBot="1" x14ac:dyDescent="0.25">
      <c r="B11" s="215"/>
      <c r="C11" s="160" t="s">
        <v>53</v>
      </c>
      <c r="D11" s="233" t="s">
        <v>216</v>
      </c>
      <c r="E11" s="233"/>
      <c r="F11" s="161" t="s">
        <v>54</v>
      </c>
      <c r="G11" s="257"/>
      <c r="H11" s="162" t="s">
        <v>42</v>
      </c>
      <c r="I11" s="163" t="s">
        <v>43</v>
      </c>
      <c r="J11" s="164" t="s">
        <v>44</v>
      </c>
      <c r="K11" s="165" t="s">
        <v>45</v>
      </c>
      <c r="L11" s="166" t="s">
        <v>46</v>
      </c>
      <c r="M11" s="255"/>
      <c r="N11" s="256"/>
    </row>
    <row r="12" spans="1:14" ht="62.25" customHeight="1" thickTop="1" x14ac:dyDescent="0.2">
      <c r="B12" s="196" t="s">
        <v>119</v>
      </c>
      <c r="C12" s="49" t="s">
        <v>121</v>
      </c>
      <c r="D12" s="216" t="s">
        <v>122</v>
      </c>
      <c r="E12" s="216"/>
      <c r="F12" s="36" t="s">
        <v>11</v>
      </c>
      <c r="G12" s="98">
        <v>0</v>
      </c>
      <c r="H12" s="99">
        <v>0.75</v>
      </c>
      <c r="I12" s="100">
        <v>1</v>
      </c>
      <c r="J12" s="37">
        <v>1</v>
      </c>
      <c r="K12" s="62">
        <v>1</v>
      </c>
      <c r="L12" s="37">
        <v>1</v>
      </c>
      <c r="M12" s="88" t="s">
        <v>124</v>
      </c>
      <c r="N12" s="211" t="s">
        <v>123</v>
      </c>
    </row>
    <row r="13" spans="1:14" ht="92.25" customHeight="1" thickBot="1" x14ac:dyDescent="0.25">
      <c r="B13" s="197"/>
      <c r="C13" s="24" t="s">
        <v>120</v>
      </c>
      <c r="D13" s="185" t="s">
        <v>125</v>
      </c>
      <c r="E13" s="185"/>
      <c r="F13" s="15" t="s">
        <v>12</v>
      </c>
      <c r="G13" s="72">
        <v>0</v>
      </c>
      <c r="H13" s="101">
        <f>J13*20%</f>
        <v>136.80000000000001</v>
      </c>
      <c r="I13" s="102">
        <f>J13*60%</f>
        <v>410.4</v>
      </c>
      <c r="J13" s="103">
        <f>K13*100%</f>
        <v>684</v>
      </c>
      <c r="K13" s="104">
        <v>684</v>
      </c>
      <c r="L13" s="105">
        <v>684</v>
      </c>
      <c r="M13" s="74" t="s">
        <v>129</v>
      </c>
      <c r="N13" s="184"/>
    </row>
    <row r="14" spans="1:14" ht="18.75" customHeight="1" thickTop="1" thickBot="1" x14ac:dyDescent="0.25">
      <c r="B14" s="235" t="s">
        <v>19</v>
      </c>
      <c r="C14" s="236"/>
      <c r="D14" s="232">
        <v>0.3</v>
      </c>
      <c r="E14" s="212"/>
      <c r="F14" s="212"/>
      <c r="G14" s="212"/>
      <c r="H14" s="212"/>
      <c r="I14" s="212"/>
      <c r="J14" s="145"/>
      <c r="K14" s="145"/>
      <c r="L14" s="145"/>
      <c r="M14" s="153" t="s">
        <v>116</v>
      </c>
      <c r="N14" s="150" t="s">
        <v>7</v>
      </c>
    </row>
    <row r="15" spans="1:14" ht="17.25" customHeight="1" thickTop="1" x14ac:dyDescent="0.2">
      <c r="B15" s="221" t="s">
        <v>17</v>
      </c>
      <c r="C15" s="222"/>
      <c r="D15" s="237" t="s">
        <v>1</v>
      </c>
      <c r="E15" s="238"/>
      <c r="F15" s="238"/>
      <c r="G15" s="213" t="s">
        <v>2</v>
      </c>
      <c r="H15" s="213"/>
      <c r="I15" s="214"/>
      <c r="J15" s="213" t="s">
        <v>3</v>
      </c>
      <c r="K15" s="213"/>
      <c r="L15" s="239"/>
      <c r="M15" s="151" t="s">
        <v>117</v>
      </c>
      <c r="N15" s="152" t="s">
        <v>13</v>
      </c>
    </row>
    <row r="16" spans="1:14" ht="18" customHeight="1" x14ac:dyDescent="0.2">
      <c r="B16" s="223"/>
      <c r="C16" s="224"/>
      <c r="D16" s="217">
        <v>2740594</v>
      </c>
      <c r="E16" s="218"/>
      <c r="F16" s="218"/>
      <c r="G16" s="217"/>
      <c r="H16" s="218"/>
      <c r="I16" s="218"/>
      <c r="J16" s="217"/>
      <c r="K16" s="218"/>
      <c r="L16" s="218"/>
      <c r="M16" s="146">
        <f>D16+G16+J16</f>
        <v>2740594</v>
      </c>
      <c r="N16" s="148">
        <f>IF(M16=0,0,D16/M16)</f>
        <v>1</v>
      </c>
    </row>
    <row r="17" spans="1:14" ht="17.25" customHeight="1" thickBot="1" x14ac:dyDescent="0.25">
      <c r="B17" s="219" t="s">
        <v>18</v>
      </c>
      <c r="C17" s="220"/>
      <c r="D17" s="244" t="s">
        <v>4</v>
      </c>
      <c r="E17" s="245"/>
      <c r="F17" s="245"/>
      <c r="G17" s="246">
        <v>0.3</v>
      </c>
      <c r="H17" s="247"/>
      <c r="I17" s="247"/>
      <c r="J17" s="147"/>
      <c r="K17" s="147"/>
      <c r="L17" s="147"/>
      <c r="M17" s="147"/>
      <c r="N17" s="149"/>
    </row>
    <row r="18" spans="1:14" s="92" customFormat="1" ht="7.5" customHeight="1" x14ac:dyDescent="0.2">
      <c r="A18" s="91"/>
      <c r="B18" s="8"/>
      <c r="C18" s="8"/>
      <c r="D18" s="8"/>
      <c r="E18" s="8"/>
      <c r="F18" s="8"/>
      <c r="G18" s="8"/>
      <c r="H18" s="8"/>
      <c r="I18" s="8"/>
      <c r="J18" s="8"/>
      <c r="K18" s="8"/>
      <c r="L18" s="8"/>
      <c r="M18" s="8"/>
      <c r="N18" s="8"/>
    </row>
    <row r="19" spans="1:14" s="92" customFormat="1" ht="7.5" customHeight="1" thickBot="1" x14ac:dyDescent="0.25">
      <c r="A19" s="91"/>
      <c r="B19" s="8"/>
      <c r="C19" s="8"/>
      <c r="D19" s="8"/>
      <c r="E19" s="8"/>
      <c r="F19" s="8"/>
      <c r="G19" s="8"/>
      <c r="H19" s="8"/>
      <c r="I19" s="8"/>
      <c r="J19" s="8"/>
      <c r="K19" s="8"/>
      <c r="L19" s="8"/>
      <c r="M19" s="8"/>
      <c r="N19" s="8"/>
    </row>
    <row r="20" spans="1:14" s="7" customFormat="1" ht="30.75" customHeight="1" x14ac:dyDescent="0.2">
      <c r="B20" s="179" t="s">
        <v>10</v>
      </c>
      <c r="C20" s="175" t="s">
        <v>48</v>
      </c>
      <c r="D20" s="176"/>
      <c r="E20" s="176"/>
      <c r="F20" s="176"/>
      <c r="G20" s="186" t="s">
        <v>55</v>
      </c>
      <c r="H20" s="188" t="s">
        <v>56</v>
      </c>
      <c r="I20" s="189"/>
      <c r="J20" s="190"/>
      <c r="K20" s="188" t="s">
        <v>57</v>
      </c>
      <c r="L20" s="190"/>
      <c r="M20" s="181" t="s">
        <v>9</v>
      </c>
      <c r="N20" s="177" t="s">
        <v>0</v>
      </c>
    </row>
    <row r="21" spans="1:14" s="7" customFormat="1" ht="41.25" customHeight="1" thickBot="1" x14ac:dyDescent="0.25">
      <c r="B21" s="215"/>
      <c r="C21" s="160" t="s">
        <v>53</v>
      </c>
      <c r="D21" s="233" t="s">
        <v>216</v>
      </c>
      <c r="E21" s="233"/>
      <c r="F21" s="161" t="s">
        <v>54</v>
      </c>
      <c r="G21" s="257"/>
      <c r="H21" s="162" t="s">
        <v>42</v>
      </c>
      <c r="I21" s="163" t="s">
        <v>43</v>
      </c>
      <c r="J21" s="164" t="s">
        <v>44</v>
      </c>
      <c r="K21" s="165" t="s">
        <v>45</v>
      </c>
      <c r="L21" s="166" t="s">
        <v>46</v>
      </c>
      <c r="M21" s="255"/>
      <c r="N21" s="256"/>
    </row>
    <row r="22" spans="1:14" ht="108" customHeight="1" thickTop="1" x14ac:dyDescent="0.2">
      <c r="B22" s="196" t="s">
        <v>142</v>
      </c>
      <c r="C22" s="49" t="s">
        <v>126</v>
      </c>
      <c r="D22" s="226" t="s">
        <v>128</v>
      </c>
      <c r="E22" s="227"/>
      <c r="F22" s="36" t="s">
        <v>12</v>
      </c>
      <c r="G22" s="116">
        <v>0</v>
      </c>
      <c r="H22" s="43">
        <v>15</v>
      </c>
      <c r="I22" s="44">
        <v>35</v>
      </c>
      <c r="J22" s="45">
        <v>50</v>
      </c>
      <c r="K22" s="119">
        <v>62</v>
      </c>
      <c r="L22" s="45">
        <v>68</v>
      </c>
      <c r="M22" s="88" t="s">
        <v>130</v>
      </c>
      <c r="N22" s="249" t="s">
        <v>127</v>
      </c>
    </row>
    <row r="23" spans="1:14" ht="138" customHeight="1" x14ac:dyDescent="0.2">
      <c r="B23" s="197"/>
      <c r="C23" s="24" t="s">
        <v>132</v>
      </c>
      <c r="D23" s="228" t="s">
        <v>131</v>
      </c>
      <c r="E23" s="229"/>
      <c r="F23" s="15" t="s">
        <v>12</v>
      </c>
      <c r="G23" s="96" t="s">
        <v>6</v>
      </c>
      <c r="H23" s="17" t="s">
        <v>6</v>
      </c>
      <c r="I23" s="18" t="s">
        <v>6</v>
      </c>
      <c r="J23" s="19" t="s">
        <v>6</v>
      </c>
      <c r="K23" s="97" t="s">
        <v>6</v>
      </c>
      <c r="L23" s="19" t="s">
        <v>6</v>
      </c>
      <c r="M23" s="74" t="s">
        <v>214</v>
      </c>
      <c r="N23" s="250"/>
    </row>
    <row r="24" spans="1:14" ht="84.75" customHeight="1" x14ac:dyDescent="0.2">
      <c r="B24" s="197"/>
      <c r="C24" s="24" t="s">
        <v>133</v>
      </c>
      <c r="D24" s="228" t="s">
        <v>134</v>
      </c>
      <c r="E24" s="229"/>
      <c r="F24" s="15" t="s">
        <v>12</v>
      </c>
      <c r="G24" s="72">
        <v>0</v>
      </c>
      <c r="H24" s="109">
        <f>J24*20%</f>
        <v>136.80000000000001</v>
      </c>
      <c r="I24" s="111">
        <f>J24*60%</f>
        <v>410.4</v>
      </c>
      <c r="J24" s="105">
        <f>K24*100%</f>
        <v>684</v>
      </c>
      <c r="K24" s="110">
        <v>684</v>
      </c>
      <c r="L24" s="105">
        <v>684</v>
      </c>
      <c r="M24" s="74" t="s">
        <v>135</v>
      </c>
      <c r="N24" s="250"/>
    </row>
    <row r="25" spans="1:14" ht="156.75" customHeight="1" x14ac:dyDescent="0.2">
      <c r="B25" s="197"/>
      <c r="C25" s="24" t="s">
        <v>137</v>
      </c>
      <c r="D25" s="228" t="s">
        <v>136</v>
      </c>
      <c r="E25" s="229"/>
      <c r="F25" s="15" t="s">
        <v>11</v>
      </c>
      <c r="G25" s="117">
        <v>0</v>
      </c>
      <c r="H25" s="51">
        <v>0.3</v>
      </c>
      <c r="I25" s="52">
        <v>0.7</v>
      </c>
      <c r="J25" s="39">
        <v>0.9</v>
      </c>
      <c r="K25" s="66">
        <v>1</v>
      </c>
      <c r="L25" s="39">
        <v>1</v>
      </c>
      <c r="M25" s="74" t="s">
        <v>138</v>
      </c>
      <c r="N25" s="250"/>
    </row>
    <row r="26" spans="1:14" ht="85.5" customHeight="1" thickBot="1" x14ac:dyDescent="0.25">
      <c r="B26" s="234"/>
      <c r="C26" s="48" t="s">
        <v>139</v>
      </c>
      <c r="D26" s="230" t="s">
        <v>140</v>
      </c>
      <c r="E26" s="231"/>
      <c r="F26" s="21" t="s">
        <v>11</v>
      </c>
      <c r="G26" s="118" t="s">
        <v>6</v>
      </c>
      <c r="H26" s="113">
        <v>0.6</v>
      </c>
      <c r="I26" s="114">
        <v>0.7</v>
      </c>
      <c r="J26" s="22">
        <v>0.8</v>
      </c>
      <c r="K26" s="64">
        <v>0.9</v>
      </c>
      <c r="L26" s="22">
        <v>1</v>
      </c>
      <c r="M26" s="90" t="s">
        <v>141</v>
      </c>
      <c r="N26" s="251"/>
    </row>
    <row r="27" spans="1:14" ht="18.75" customHeight="1" thickTop="1" thickBot="1" x14ac:dyDescent="0.25">
      <c r="B27" s="235" t="s">
        <v>20</v>
      </c>
      <c r="C27" s="236"/>
      <c r="D27" s="232">
        <v>0.3</v>
      </c>
      <c r="E27" s="212"/>
      <c r="F27" s="212"/>
      <c r="G27" s="212"/>
      <c r="H27" s="212"/>
      <c r="I27" s="212"/>
      <c r="J27" s="145"/>
      <c r="K27" s="145"/>
      <c r="L27" s="145"/>
      <c r="M27" s="153" t="s">
        <v>116</v>
      </c>
      <c r="N27" s="150" t="s">
        <v>5</v>
      </c>
    </row>
    <row r="28" spans="1:14" ht="17.25" customHeight="1" thickTop="1" x14ac:dyDescent="0.2">
      <c r="B28" s="221" t="s">
        <v>21</v>
      </c>
      <c r="C28" s="222"/>
      <c r="D28" s="237" t="s">
        <v>1</v>
      </c>
      <c r="E28" s="238"/>
      <c r="F28" s="238"/>
      <c r="G28" s="213" t="s">
        <v>2</v>
      </c>
      <c r="H28" s="213"/>
      <c r="I28" s="214"/>
      <c r="J28" s="213" t="s">
        <v>3</v>
      </c>
      <c r="K28" s="213"/>
      <c r="L28" s="239"/>
      <c r="M28" s="151" t="s">
        <v>117</v>
      </c>
      <c r="N28" s="152" t="s">
        <v>13</v>
      </c>
    </row>
    <row r="29" spans="1:14" ht="18" customHeight="1" x14ac:dyDescent="0.2">
      <c r="B29" s="223"/>
      <c r="C29" s="224"/>
      <c r="D29" s="217">
        <v>401917</v>
      </c>
      <c r="E29" s="218"/>
      <c r="F29" s="218"/>
      <c r="G29" s="217"/>
      <c r="H29" s="218"/>
      <c r="I29" s="218"/>
      <c r="J29" s="217"/>
      <c r="K29" s="218"/>
      <c r="L29" s="218"/>
      <c r="M29" s="146">
        <f>D29+G29+J29</f>
        <v>401917</v>
      </c>
      <c r="N29" s="148">
        <f>IF(M29=0,0,D29/M29)</f>
        <v>1</v>
      </c>
    </row>
    <row r="30" spans="1:14" ht="17.25" customHeight="1" thickBot="1" x14ac:dyDescent="0.25">
      <c r="B30" s="219" t="s">
        <v>22</v>
      </c>
      <c r="C30" s="220"/>
      <c r="D30" s="244" t="s">
        <v>4</v>
      </c>
      <c r="E30" s="245"/>
      <c r="F30" s="245"/>
      <c r="G30" s="246">
        <v>0</v>
      </c>
      <c r="H30" s="247"/>
      <c r="I30" s="247"/>
      <c r="J30" s="147"/>
      <c r="K30" s="147"/>
      <c r="L30" s="147"/>
      <c r="M30" s="147"/>
      <c r="N30" s="149"/>
    </row>
    <row r="31" spans="1:14" x14ac:dyDescent="0.2">
      <c r="B31" s="93"/>
      <c r="C31" s="93"/>
      <c r="E31" s="87"/>
      <c r="F31" s="87"/>
    </row>
    <row r="32" spans="1:14" ht="12.75" thickBot="1" x14ac:dyDescent="0.25">
      <c r="B32" s="93"/>
      <c r="C32" s="93"/>
      <c r="E32" s="87"/>
      <c r="F32" s="87"/>
    </row>
    <row r="33" spans="2:14" s="7" customFormat="1" ht="30.75" customHeight="1" x14ac:dyDescent="0.2">
      <c r="B33" s="179" t="s">
        <v>10</v>
      </c>
      <c r="C33" s="175" t="s">
        <v>48</v>
      </c>
      <c r="D33" s="176"/>
      <c r="E33" s="176"/>
      <c r="F33" s="176"/>
      <c r="G33" s="186" t="s">
        <v>55</v>
      </c>
      <c r="H33" s="188" t="s">
        <v>56</v>
      </c>
      <c r="I33" s="189"/>
      <c r="J33" s="190"/>
      <c r="K33" s="188" t="s">
        <v>57</v>
      </c>
      <c r="L33" s="190"/>
      <c r="M33" s="181" t="s">
        <v>9</v>
      </c>
      <c r="N33" s="177" t="s">
        <v>0</v>
      </c>
    </row>
    <row r="34" spans="2:14" s="7" customFormat="1" ht="41.25" customHeight="1" thickBot="1" x14ac:dyDescent="0.25">
      <c r="B34" s="215"/>
      <c r="C34" s="160" t="s">
        <v>53</v>
      </c>
      <c r="D34" s="233" t="s">
        <v>216</v>
      </c>
      <c r="E34" s="233"/>
      <c r="F34" s="161" t="s">
        <v>54</v>
      </c>
      <c r="G34" s="257"/>
      <c r="H34" s="162" t="s">
        <v>42</v>
      </c>
      <c r="I34" s="163" t="s">
        <v>43</v>
      </c>
      <c r="J34" s="164" t="s">
        <v>44</v>
      </c>
      <c r="K34" s="165" t="s">
        <v>45</v>
      </c>
      <c r="L34" s="166" t="s">
        <v>46</v>
      </c>
      <c r="M34" s="255"/>
      <c r="N34" s="256"/>
    </row>
    <row r="35" spans="2:14" ht="60" customHeight="1" thickTop="1" x14ac:dyDescent="0.2">
      <c r="B35" s="196" t="s">
        <v>118</v>
      </c>
      <c r="C35" s="23" t="s">
        <v>150</v>
      </c>
      <c r="D35" s="225" t="s">
        <v>149</v>
      </c>
      <c r="E35" s="225"/>
      <c r="F35" s="12" t="s">
        <v>11</v>
      </c>
      <c r="G35" s="115">
        <v>0.5</v>
      </c>
      <c r="H35" s="75">
        <v>1</v>
      </c>
      <c r="I35" s="76">
        <v>1</v>
      </c>
      <c r="J35" s="13">
        <v>1</v>
      </c>
      <c r="K35" s="65">
        <v>1</v>
      </c>
      <c r="L35" s="13">
        <v>1</v>
      </c>
      <c r="M35" s="14" t="s">
        <v>143</v>
      </c>
      <c r="N35" s="249" t="s">
        <v>144</v>
      </c>
    </row>
    <row r="36" spans="2:14" ht="81" customHeight="1" x14ac:dyDescent="0.2">
      <c r="B36" s="197"/>
      <c r="C36" s="24" t="s">
        <v>151</v>
      </c>
      <c r="D36" s="185" t="s">
        <v>147</v>
      </c>
      <c r="E36" s="185"/>
      <c r="F36" s="15" t="s">
        <v>12</v>
      </c>
      <c r="G36" s="96">
        <v>0</v>
      </c>
      <c r="H36" s="17">
        <v>4</v>
      </c>
      <c r="I36" s="18">
        <v>4</v>
      </c>
      <c r="J36" s="19">
        <v>4</v>
      </c>
      <c r="K36" s="97">
        <v>4</v>
      </c>
      <c r="L36" s="19">
        <v>4</v>
      </c>
      <c r="M36" s="74" t="s">
        <v>145</v>
      </c>
      <c r="N36" s="250"/>
    </row>
    <row r="37" spans="2:14" ht="84" customHeight="1" x14ac:dyDescent="0.2">
      <c r="B37" s="40"/>
      <c r="C37" s="24" t="s">
        <v>152</v>
      </c>
      <c r="D37" s="185" t="s">
        <v>148</v>
      </c>
      <c r="E37" s="185"/>
      <c r="F37" s="15" t="s">
        <v>12</v>
      </c>
      <c r="G37" s="123">
        <v>500</v>
      </c>
      <c r="H37" s="124">
        <v>450</v>
      </c>
      <c r="I37" s="125">
        <v>405</v>
      </c>
      <c r="J37" s="126">
        <v>364.5</v>
      </c>
      <c r="K37" s="127">
        <v>255.15</v>
      </c>
      <c r="L37" s="126">
        <v>153.09</v>
      </c>
      <c r="M37" s="74" t="s">
        <v>156</v>
      </c>
      <c r="N37" s="250"/>
    </row>
    <row r="38" spans="2:14" ht="73.5" customHeight="1" x14ac:dyDescent="0.2">
      <c r="B38" s="40"/>
      <c r="C38" s="24" t="s">
        <v>153</v>
      </c>
      <c r="D38" s="185" t="s">
        <v>154</v>
      </c>
      <c r="E38" s="185"/>
      <c r="F38" s="128" t="s">
        <v>12</v>
      </c>
      <c r="G38" s="129">
        <v>300</v>
      </c>
      <c r="H38" s="109">
        <f t="shared" ref="H38:J38" si="0">G38-G38*10%</f>
        <v>270</v>
      </c>
      <c r="I38" s="111">
        <f t="shared" si="0"/>
        <v>243</v>
      </c>
      <c r="J38" s="105">
        <f t="shared" si="0"/>
        <v>218.7</v>
      </c>
      <c r="K38" s="109">
        <f>J38-J38*30%</f>
        <v>153.08999999999997</v>
      </c>
      <c r="L38" s="112">
        <f>K38-K38*40%</f>
        <v>91.853999999999985</v>
      </c>
      <c r="M38" s="74" t="s">
        <v>157</v>
      </c>
      <c r="N38" s="250"/>
    </row>
    <row r="39" spans="2:14" ht="54.75" customHeight="1" x14ac:dyDescent="0.2">
      <c r="B39" s="56"/>
      <c r="C39" s="24" t="s">
        <v>160</v>
      </c>
      <c r="D39" s="185" t="s">
        <v>155</v>
      </c>
      <c r="E39" s="185"/>
      <c r="F39" s="15" t="s">
        <v>12</v>
      </c>
      <c r="G39" s="96" t="s">
        <v>6</v>
      </c>
      <c r="H39" s="17" t="s">
        <v>162</v>
      </c>
      <c r="I39" s="18" t="s">
        <v>162</v>
      </c>
      <c r="J39" s="19" t="s">
        <v>162</v>
      </c>
      <c r="K39" s="97" t="s">
        <v>162</v>
      </c>
      <c r="L39" s="19" t="s">
        <v>162</v>
      </c>
      <c r="M39" s="74" t="s">
        <v>158</v>
      </c>
      <c r="N39" s="58"/>
    </row>
    <row r="40" spans="2:14" ht="60" customHeight="1" x14ac:dyDescent="0.2">
      <c r="B40" s="56"/>
      <c r="C40" s="24" t="s">
        <v>161</v>
      </c>
      <c r="D40" s="185" t="s">
        <v>159</v>
      </c>
      <c r="E40" s="185"/>
      <c r="F40" s="15" t="s">
        <v>12</v>
      </c>
      <c r="G40" s="96" t="s">
        <v>6</v>
      </c>
      <c r="H40" s="17" t="s">
        <v>162</v>
      </c>
      <c r="I40" s="18" t="s">
        <v>162</v>
      </c>
      <c r="J40" s="19" t="s">
        <v>162</v>
      </c>
      <c r="K40" s="97" t="s">
        <v>162</v>
      </c>
      <c r="L40" s="19" t="s">
        <v>162</v>
      </c>
      <c r="M40" s="74" t="s">
        <v>158</v>
      </c>
      <c r="N40" s="58"/>
    </row>
    <row r="41" spans="2:14" ht="102" customHeight="1" x14ac:dyDescent="0.2">
      <c r="B41" s="56"/>
      <c r="C41" s="24" t="s">
        <v>174</v>
      </c>
      <c r="D41" s="228" t="s">
        <v>163</v>
      </c>
      <c r="E41" s="229"/>
      <c r="F41" s="15" t="s">
        <v>12</v>
      </c>
      <c r="G41" s="96" t="s">
        <v>6</v>
      </c>
      <c r="H41" s="17">
        <v>60</v>
      </c>
      <c r="I41" s="18">
        <v>120</v>
      </c>
      <c r="J41" s="19">
        <v>180</v>
      </c>
      <c r="K41" s="97">
        <v>270</v>
      </c>
      <c r="L41" s="19">
        <v>390</v>
      </c>
      <c r="M41" s="74" t="s">
        <v>165</v>
      </c>
      <c r="N41" s="58"/>
    </row>
    <row r="42" spans="2:14" ht="66.75" customHeight="1" x14ac:dyDescent="0.2">
      <c r="B42" s="56"/>
      <c r="C42" s="24" t="s">
        <v>175</v>
      </c>
      <c r="D42" s="228" t="s">
        <v>164</v>
      </c>
      <c r="E42" s="229"/>
      <c r="F42" s="15" t="s">
        <v>11</v>
      </c>
      <c r="G42" s="121" t="s">
        <v>6</v>
      </c>
      <c r="H42" s="17" t="s">
        <v>162</v>
      </c>
      <c r="I42" s="18" t="s">
        <v>162</v>
      </c>
      <c r="J42" s="19" t="s">
        <v>162</v>
      </c>
      <c r="K42" s="97" t="s">
        <v>162</v>
      </c>
      <c r="L42" s="19" t="s">
        <v>162</v>
      </c>
      <c r="M42" s="74" t="s">
        <v>158</v>
      </c>
      <c r="N42" s="58"/>
    </row>
    <row r="43" spans="2:14" ht="56.25" customHeight="1" x14ac:dyDescent="0.2">
      <c r="B43" s="56"/>
      <c r="C43" s="24" t="s">
        <v>176</v>
      </c>
      <c r="D43" s="228" t="s">
        <v>166</v>
      </c>
      <c r="E43" s="229"/>
      <c r="F43" s="15" t="s">
        <v>12</v>
      </c>
      <c r="G43" s="96">
        <v>30</v>
      </c>
      <c r="H43" s="17">
        <v>22</v>
      </c>
      <c r="I43" s="18">
        <v>11</v>
      </c>
      <c r="J43" s="19">
        <v>5</v>
      </c>
      <c r="K43" s="97">
        <v>0</v>
      </c>
      <c r="L43" s="19">
        <v>0</v>
      </c>
      <c r="M43" s="74" t="s">
        <v>167</v>
      </c>
      <c r="N43" s="58"/>
    </row>
    <row r="44" spans="2:14" ht="92.25" customHeight="1" thickBot="1" x14ac:dyDescent="0.25">
      <c r="B44" s="56"/>
      <c r="C44" s="24" t="s">
        <v>177</v>
      </c>
      <c r="D44" s="228" t="s">
        <v>168</v>
      </c>
      <c r="E44" s="229"/>
      <c r="F44" s="15" t="s">
        <v>12</v>
      </c>
      <c r="G44" s="96" t="s">
        <v>6</v>
      </c>
      <c r="H44" s="17" t="s">
        <v>169</v>
      </c>
      <c r="I44" s="18" t="s">
        <v>169</v>
      </c>
      <c r="J44" s="19" t="s">
        <v>169</v>
      </c>
      <c r="K44" s="97" t="s">
        <v>169</v>
      </c>
      <c r="L44" s="19" t="s">
        <v>169</v>
      </c>
      <c r="M44" s="74" t="s">
        <v>170</v>
      </c>
      <c r="N44" s="58"/>
    </row>
    <row r="45" spans="2:14" ht="18.75" customHeight="1" thickTop="1" thickBot="1" x14ac:dyDescent="0.25">
      <c r="B45" s="235" t="s">
        <v>23</v>
      </c>
      <c r="C45" s="236"/>
      <c r="D45" s="232">
        <v>0.2</v>
      </c>
      <c r="E45" s="212"/>
      <c r="F45" s="212"/>
      <c r="G45" s="212"/>
      <c r="H45" s="212"/>
      <c r="I45" s="212"/>
      <c r="J45" s="145"/>
      <c r="K45" s="145"/>
      <c r="L45" s="145"/>
      <c r="M45" s="153" t="s">
        <v>116</v>
      </c>
      <c r="N45" s="150" t="s">
        <v>5</v>
      </c>
    </row>
    <row r="46" spans="2:14" ht="17.25" customHeight="1" thickTop="1" x14ac:dyDescent="0.2">
      <c r="B46" s="221" t="s">
        <v>24</v>
      </c>
      <c r="C46" s="222"/>
      <c r="D46" s="237" t="s">
        <v>1</v>
      </c>
      <c r="E46" s="238"/>
      <c r="F46" s="238"/>
      <c r="G46" s="213" t="s">
        <v>2</v>
      </c>
      <c r="H46" s="213"/>
      <c r="I46" s="214"/>
      <c r="J46" s="213" t="s">
        <v>3</v>
      </c>
      <c r="K46" s="213"/>
      <c r="L46" s="239"/>
      <c r="M46" s="151" t="s">
        <v>117</v>
      </c>
      <c r="N46" s="152" t="s">
        <v>13</v>
      </c>
    </row>
    <row r="47" spans="2:14" ht="18" customHeight="1" x14ac:dyDescent="0.2">
      <c r="B47" s="223"/>
      <c r="C47" s="224"/>
      <c r="D47" s="217">
        <v>664109</v>
      </c>
      <c r="E47" s="218"/>
      <c r="F47" s="218"/>
      <c r="G47" s="217"/>
      <c r="H47" s="218"/>
      <c r="I47" s="218"/>
      <c r="J47" s="217"/>
      <c r="K47" s="218"/>
      <c r="L47" s="218"/>
      <c r="M47" s="146">
        <f>D47+G47+J47</f>
        <v>664109</v>
      </c>
      <c r="N47" s="148">
        <f>IF(M47=0,0,D47/M47)</f>
        <v>1</v>
      </c>
    </row>
    <row r="48" spans="2:14" ht="17.25" customHeight="1" thickBot="1" x14ac:dyDescent="0.25">
      <c r="B48" s="219" t="s">
        <v>25</v>
      </c>
      <c r="C48" s="220"/>
      <c r="D48" s="244" t="s">
        <v>4</v>
      </c>
      <c r="E48" s="245"/>
      <c r="F48" s="245"/>
      <c r="G48" s="246">
        <v>0</v>
      </c>
      <c r="H48" s="247"/>
      <c r="I48" s="247"/>
      <c r="J48" s="147"/>
      <c r="K48" s="147"/>
      <c r="L48" s="147"/>
      <c r="M48" s="147"/>
      <c r="N48" s="149"/>
    </row>
    <row r="49" spans="2:14" x14ac:dyDescent="0.2">
      <c r="B49" s="93"/>
      <c r="C49" s="93"/>
      <c r="E49" s="87"/>
      <c r="F49" s="87"/>
    </row>
    <row r="50" spans="2:14" ht="12.75" thickBot="1" x14ac:dyDescent="0.25">
      <c r="B50" s="93"/>
      <c r="C50" s="93"/>
      <c r="E50" s="87"/>
      <c r="F50" s="87"/>
    </row>
    <row r="51" spans="2:14" s="7" customFormat="1" ht="30.75" customHeight="1" x14ac:dyDescent="0.2">
      <c r="B51" s="179" t="s">
        <v>10</v>
      </c>
      <c r="C51" s="175" t="s">
        <v>48</v>
      </c>
      <c r="D51" s="176"/>
      <c r="E51" s="176"/>
      <c r="F51" s="176"/>
      <c r="G51" s="186" t="s">
        <v>55</v>
      </c>
      <c r="H51" s="188" t="s">
        <v>56</v>
      </c>
      <c r="I51" s="189"/>
      <c r="J51" s="190"/>
      <c r="K51" s="188" t="s">
        <v>57</v>
      </c>
      <c r="L51" s="190"/>
      <c r="M51" s="181" t="s">
        <v>9</v>
      </c>
      <c r="N51" s="177" t="s">
        <v>0</v>
      </c>
    </row>
    <row r="52" spans="2:14" s="7" customFormat="1" ht="41.25" customHeight="1" thickBot="1" x14ac:dyDescent="0.25">
      <c r="B52" s="215"/>
      <c r="C52" s="160" t="s">
        <v>53</v>
      </c>
      <c r="D52" s="233" t="s">
        <v>216</v>
      </c>
      <c r="E52" s="233"/>
      <c r="F52" s="161" t="s">
        <v>54</v>
      </c>
      <c r="G52" s="257"/>
      <c r="H52" s="162" t="s">
        <v>42</v>
      </c>
      <c r="I52" s="163" t="s">
        <v>43</v>
      </c>
      <c r="J52" s="164" t="s">
        <v>44</v>
      </c>
      <c r="K52" s="165" t="s">
        <v>45</v>
      </c>
      <c r="L52" s="166" t="s">
        <v>46</v>
      </c>
      <c r="M52" s="255"/>
      <c r="N52" s="256"/>
    </row>
    <row r="53" spans="2:14" ht="71.25" customHeight="1" thickTop="1" x14ac:dyDescent="0.2">
      <c r="B53" s="196" t="s">
        <v>222</v>
      </c>
      <c r="C53" s="23" t="s">
        <v>181</v>
      </c>
      <c r="D53" s="225" t="s">
        <v>178</v>
      </c>
      <c r="E53" s="225"/>
      <c r="F53" s="12" t="s">
        <v>15</v>
      </c>
      <c r="G53" s="120" t="s">
        <v>171</v>
      </c>
      <c r="H53" s="106" t="s">
        <v>172</v>
      </c>
      <c r="I53" s="107" t="s">
        <v>172</v>
      </c>
      <c r="J53" s="108" t="s">
        <v>172</v>
      </c>
      <c r="K53" s="122" t="s">
        <v>172</v>
      </c>
      <c r="L53" s="108" t="s">
        <v>172</v>
      </c>
      <c r="M53" s="14" t="s">
        <v>173</v>
      </c>
      <c r="N53" s="249" t="s">
        <v>221</v>
      </c>
    </row>
    <row r="54" spans="2:14" ht="144.75" customHeight="1" x14ac:dyDescent="0.2">
      <c r="B54" s="197"/>
      <c r="C54" s="24" t="s">
        <v>180</v>
      </c>
      <c r="D54" s="185" t="s">
        <v>182</v>
      </c>
      <c r="E54" s="185"/>
      <c r="F54" s="15" t="s">
        <v>12</v>
      </c>
      <c r="G54" s="72">
        <v>0</v>
      </c>
      <c r="H54" s="109">
        <v>295488</v>
      </c>
      <c r="I54" s="111">
        <v>558144</v>
      </c>
      <c r="J54" s="105">
        <v>787968</v>
      </c>
      <c r="K54" s="104">
        <v>787968</v>
      </c>
      <c r="L54" s="112">
        <v>787968</v>
      </c>
      <c r="M54" s="74" t="s">
        <v>179</v>
      </c>
      <c r="N54" s="250"/>
    </row>
    <row r="55" spans="2:14" ht="78" customHeight="1" x14ac:dyDescent="0.2">
      <c r="B55" s="197"/>
      <c r="C55" s="24" t="s">
        <v>185</v>
      </c>
      <c r="D55" s="185" t="s">
        <v>183</v>
      </c>
      <c r="E55" s="185"/>
      <c r="F55" s="15" t="s">
        <v>11</v>
      </c>
      <c r="G55" s="121">
        <v>0</v>
      </c>
      <c r="H55" s="131">
        <v>0.7</v>
      </c>
      <c r="I55" s="132">
        <v>0.75</v>
      </c>
      <c r="J55" s="133">
        <v>0.8</v>
      </c>
      <c r="K55" s="134">
        <v>0.85</v>
      </c>
      <c r="L55" s="138">
        <v>0.85</v>
      </c>
      <c r="M55" s="74" t="s">
        <v>184</v>
      </c>
      <c r="N55" s="250"/>
    </row>
    <row r="56" spans="2:14" ht="126" customHeight="1" x14ac:dyDescent="0.2">
      <c r="B56" s="197"/>
      <c r="C56" s="24" t="s">
        <v>186</v>
      </c>
      <c r="D56" s="185" t="s">
        <v>187</v>
      </c>
      <c r="E56" s="185"/>
      <c r="F56" s="15" t="s">
        <v>11</v>
      </c>
      <c r="G56" s="121">
        <v>0</v>
      </c>
      <c r="H56" s="135">
        <v>0.2</v>
      </c>
      <c r="I56" s="136">
        <v>0.2</v>
      </c>
      <c r="J56" s="137">
        <v>0.2</v>
      </c>
      <c r="K56" s="135">
        <v>0.2</v>
      </c>
      <c r="L56" s="139">
        <v>0.2</v>
      </c>
      <c r="M56" s="74" t="s">
        <v>188</v>
      </c>
      <c r="N56" s="250"/>
    </row>
    <row r="57" spans="2:14" ht="75.75" customHeight="1" x14ac:dyDescent="0.2">
      <c r="B57" s="197"/>
      <c r="C57" s="24" t="s">
        <v>189</v>
      </c>
      <c r="D57" s="185" t="s">
        <v>192</v>
      </c>
      <c r="E57" s="185"/>
      <c r="F57" s="15" t="s">
        <v>11</v>
      </c>
      <c r="G57" s="121">
        <v>0</v>
      </c>
      <c r="H57" s="46">
        <v>0.3</v>
      </c>
      <c r="I57" s="30">
        <v>0.3</v>
      </c>
      <c r="J57" s="16">
        <v>0.3</v>
      </c>
      <c r="K57" s="63">
        <v>0.3</v>
      </c>
      <c r="L57" s="95">
        <v>0.3</v>
      </c>
      <c r="M57" s="74" t="s">
        <v>158</v>
      </c>
      <c r="N57" s="250"/>
    </row>
    <row r="58" spans="2:14" ht="84" customHeight="1" thickBot="1" x14ac:dyDescent="0.25">
      <c r="B58" s="234"/>
      <c r="C58" s="24" t="s">
        <v>190</v>
      </c>
      <c r="D58" s="185" t="s">
        <v>191</v>
      </c>
      <c r="E58" s="185"/>
      <c r="F58" s="15" t="s">
        <v>11</v>
      </c>
      <c r="G58" s="121">
        <v>0</v>
      </c>
      <c r="H58" s="46">
        <v>0.5</v>
      </c>
      <c r="I58" s="30">
        <v>0.5</v>
      </c>
      <c r="J58" s="16">
        <v>0.5</v>
      </c>
      <c r="K58" s="63">
        <v>0.5</v>
      </c>
      <c r="L58" s="16">
        <v>0.5</v>
      </c>
      <c r="M58" s="90" t="s">
        <v>158</v>
      </c>
      <c r="N58" s="251"/>
    </row>
    <row r="59" spans="2:14" ht="18.75" customHeight="1" thickTop="1" thickBot="1" x14ac:dyDescent="0.25">
      <c r="B59" s="235" t="s">
        <v>26</v>
      </c>
      <c r="C59" s="236"/>
      <c r="D59" s="232">
        <v>0.2</v>
      </c>
      <c r="E59" s="212"/>
      <c r="F59" s="212"/>
      <c r="G59" s="212"/>
      <c r="H59" s="212"/>
      <c r="I59" s="212"/>
      <c r="J59" s="145"/>
      <c r="K59" s="145"/>
      <c r="L59" s="145"/>
      <c r="M59" s="153" t="s">
        <v>116</v>
      </c>
      <c r="N59" s="150" t="s">
        <v>7</v>
      </c>
    </row>
    <row r="60" spans="2:14" ht="17.25" customHeight="1" thickTop="1" x14ac:dyDescent="0.2">
      <c r="B60" s="221" t="s">
        <v>27</v>
      </c>
      <c r="C60" s="222"/>
      <c r="D60" s="237" t="s">
        <v>1</v>
      </c>
      <c r="E60" s="238"/>
      <c r="F60" s="238"/>
      <c r="G60" s="213" t="s">
        <v>2</v>
      </c>
      <c r="H60" s="213"/>
      <c r="I60" s="214"/>
      <c r="J60" s="213" t="s">
        <v>3</v>
      </c>
      <c r="K60" s="213"/>
      <c r="L60" s="239"/>
      <c r="M60" s="151" t="s">
        <v>117</v>
      </c>
      <c r="N60" s="152" t="s">
        <v>13</v>
      </c>
    </row>
    <row r="61" spans="2:14" ht="18" customHeight="1" x14ac:dyDescent="0.2">
      <c r="B61" s="223"/>
      <c r="C61" s="224"/>
      <c r="D61" s="217">
        <v>2368954</v>
      </c>
      <c r="E61" s="218"/>
      <c r="F61" s="218"/>
      <c r="G61" s="217"/>
      <c r="H61" s="218"/>
      <c r="I61" s="218"/>
      <c r="J61" s="217"/>
      <c r="K61" s="218"/>
      <c r="L61" s="218"/>
      <c r="M61" s="146">
        <f>D61+G61+J61</f>
        <v>2368954</v>
      </c>
      <c r="N61" s="148">
        <f>IF(M61=0,0,D61/M61)</f>
        <v>1</v>
      </c>
    </row>
    <row r="62" spans="2:14" ht="17.25" customHeight="1" thickBot="1" x14ac:dyDescent="0.25">
      <c r="B62" s="219" t="s">
        <v>28</v>
      </c>
      <c r="C62" s="220"/>
      <c r="D62" s="244" t="s">
        <v>4</v>
      </c>
      <c r="E62" s="245"/>
      <c r="F62" s="245"/>
      <c r="G62" s="246">
        <v>0</v>
      </c>
      <c r="H62" s="247"/>
      <c r="I62" s="247"/>
      <c r="J62" s="147"/>
      <c r="K62" s="147"/>
      <c r="L62" s="147"/>
      <c r="M62" s="147"/>
      <c r="N62" s="149"/>
    </row>
    <row r="63" spans="2:14" ht="10.5" customHeight="1" x14ac:dyDescent="0.2"/>
    <row r="64" spans="2:14" ht="10.5" customHeight="1" thickBot="1" x14ac:dyDescent="0.25">
      <c r="B64" s="93"/>
      <c r="C64" s="93"/>
      <c r="E64" s="87"/>
      <c r="F64" s="87"/>
    </row>
    <row r="65" spans="2:14" s="7" customFormat="1" ht="30.75" customHeight="1" x14ac:dyDescent="0.2">
      <c r="B65" s="179" t="s">
        <v>10</v>
      </c>
      <c r="C65" s="175" t="s">
        <v>48</v>
      </c>
      <c r="D65" s="176"/>
      <c r="E65" s="176"/>
      <c r="F65" s="176"/>
      <c r="G65" s="186" t="s">
        <v>55</v>
      </c>
      <c r="H65" s="188" t="s">
        <v>56</v>
      </c>
      <c r="I65" s="189"/>
      <c r="J65" s="190"/>
      <c r="K65" s="188" t="s">
        <v>57</v>
      </c>
      <c r="L65" s="190"/>
      <c r="M65" s="181" t="s">
        <v>9</v>
      </c>
      <c r="N65" s="177" t="s">
        <v>0</v>
      </c>
    </row>
    <row r="66" spans="2:14" s="7" customFormat="1" ht="41.25" customHeight="1" thickBot="1" x14ac:dyDescent="0.25">
      <c r="B66" s="215"/>
      <c r="C66" s="160" t="s">
        <v>53</v>
      </c>
      <c r="D66" s="233" t="s">
        <v>216</v>
      </c>
      <c r="E66" s="233"/>
      <c r="F66" s="161" t="s">
        <v>54</v>
      </c>
      <c r="G66" s="257"/>
      <c r="H66" s="162" t="s">
        <v>42</v>
      </c>
      <c r="I66" s="163" t="s">
        <v>43</v>
      </c>
      <c r="J66" s="164" t="s">
        <v>44</v>
      </c>
      <c r="K66" s="165" t="s">
        <v>45</v>
      </c>
      <c r="L66" s="166" t="s">
        <v>46</v>
      </c>
      <c r="M66" s="255"/>
      <c r="N66" s="256"/>
    </row>
    <row r="67" spans="2:14" ht="59.25" customHeight="1" thickTop="1" x14ac:dyDescent="0.2">
      <c r="B67" s="196" t="s">
        <v>220</v>
      </c>
      <c r="C67" s="23" t="s">
        <v>196</v>
      </c>
      <c r="D67" s="225" t="s">
        <v>194</v>
      </c>
      <c r="E67" s="225"/>
      <c r="F67" s="12" t="s">
        <v>12</v>
      </c>
      <c r="G67" s="120" t="s">
        <v>6</v>
      </c>
      <c r="H67" s="106" t="s">
        <v>6</v>
      </c>
      <c r="I67" s="107" t="s">
        <v>6</v>
      </c>
      <c r="J67" s="108" t="s">
        <v>6</v>
      </c>
      <c r="K67" s="120" t="s">
        <v>6</v>
      </c>
      <c r="L67" s="108" t="s">
        <v>6</v>
      </c>
      <c r="M67" s="143" t="s">
        <v>208</v>
      </c>
      <c r="N67" s="249" t="s">
        <v>209</v>
      </c>
    </row>
    <row r="68" spans="2:14" ht="69.75" customHeight="1" x14ac:dyDescent="0.2">
      <c r="B68" s="197"/>
      <c r="C68" s="24" t="s">
        <v>197</v>
      </c>
      <c r="D68" s="254" t="s">
        <v>193</v>
      </c>
      <c r="E68" s="185"/>
      <c r="F68" s="15" t="s">
        <v>12</v>
      </c>
      <c r="G68" s="72" t="s">
        <v>6</v>
      </c>
      <c r="H68" s="140">
        <v>342</v>
      </c>
      <c r="I68" s="141">
        <v>513</v>
      </c>
      <c r="J68" s="142">
        <v>684</v>
      </c>
      <c r="K68" s="140">
        <v>684</v>
      </c>
      <c r="L68" s="142">
        <v>660</v>
      </c>
      <c r="M68" s="130" t="s">
        <v>210</v>
      </c>
      <c r="N68" s="250"/>
    </row>
    <row r="69" spans="2:14" ht="90" customHeight="1" x14ac:dyDescent="0.2">
      <c r="B69" s="197"/>
      <c r="C69" s="24" t="s">
        <v>198</v>
      </c>
      <c r="D69" s="185" t="s">
        <v>195</v>
      </c>
      <c r="E69" s="185"/>
      <c r="F69" s="15" t="s">
        <v>15</v>
      </c>
      <c r="G69" s="72" t="s">
        <v>172</v>
      </c>
      <c r="H69" s="109" t="s">
        <v>172</v>
      </c>
      <c r="I69" s="111" t="s">
        <v>172</v>
      </c>
      <c r="J69" s="105" t="s">
        <v>172</v>
      </c>
      <c r="K69" s="72" t="s">
        <v>172</v>
      </c>
      <c r="L69" s="105" t="s">
        <v>172</v>
      </c>
      <c r="M69" s="130" t="s">
        <v>212</v>
      </c>
      <c r="N69" s="250"/>
    </row>
    <row r="70" spans="2:14" ht="115.5" customHeight="1" x14ac:dyDescent="0.2">
      <c r="B70" s="197"/>
      <c r="C70" s="24" t="s">
        <v>200</v>
      </c>
      <c r="D70" s="185" t="s">
        <v>202</v>
      </c>
      <c r="E70" s="185"/>
      <c r="F70" s="15" t="s">
        <v>12</v>
      </c>
      <c r="G70" s="72" t="s">
        <v>6</v>
      </c>
      <c r="H70" s="109" t="s">
        <v>203</v>
      </c>
      <c r="I70" s="111" t="s">
        <v>204</v>
      </c>
      <c r="J70" s="105" t="s">
        <v>205</v>
      </c>
      <c r="K70" s="72" t="s">
        <v>206</v>
      </c>
      <c r="L70" s="105" t="s">
        <v>207</v>
      </c>
      <c r="M70" s="130" t="s">
        <v>211</v>
      </c>
      <c r="N70" s="250"/>
    </row>
    <row r="71" spans="2:14" ht="102" customHeight="1" thickBot="1" x14ac:dyDescent="0.25">
      <c r="B71" s="234"/>
      <c r="C71" s="48" t="s">
        <v>201</v>
      </c>
      <c r="D71" s="248" t="s">
        <v>199</v>
      </c>
      <c r="E71" s="248"/>
      <c r="F71" s="21" t="s">
        <v>11</v>
      </c>
      <c r="G71" s="121" t="s">
        <v>6</v>
      </c>
      <c r="H71" s="46">
        <v>0.7</v>
      </c>
      <c r="I71" s="30">
        <v>0.7</v>
      </c>
      <c r="J71" s="16">
        <v>0.7</v>
      </c>
      <c r="K71" s="118">
        <v>0.7</v>
      </c>
      <c r="L71" s="22">
        <v>0.7</v>
      </c>
      <c r="M71" s="144" t="s">
        <v>213</v>
      </c>
      <c r="N71" s="251"/>
    </row>
    <row r="72" spans="2:14" ht="18.75" customHeight="1" thickTop="1" thickBot="1" x14ac:dyDescent="0.25">
      <c r="B72" s="235" t="s">
        <v>31</v>
      </c>
      <c r="C72" s="236"/>
      <c r="D72" s="232"/>
      <c r="E72" s="212"/>
      <c r="F72" s="212"/>
      <c r="G72" s="212"/>
      <c r="H72" s="212"/>
      <c r="I72" s="212"/>
      <c r="J72" s="145"/>
      <c r="K72" s="145"/>
      <c r="L72" s="145"/>
      <c r="M72" s="153" t="s">
        <v>116</v>
      </c>
      <c r="N72" s="150" t="s">
        <v>7</v>
      </c>
    </row>
    <row r="73" spans="2:14" ht="17.25" customHeight="1" thickTop="1" x14ac:dyDescent="0.2">
      <c r="B73" s="221" t="s">
        <v>32</v>
      </c>
      <c r="C73" s="222"/>
      <c r="D73" s="237" t="s">
        <v>1</v>
      </c>
      <c r="E73" s="238"/>
      <c r="F73" s="238"/>
      <c r="G73" s="213" t="s">
        <v>2</v>
      </c>
      <c r="H73" s="213"/>
      <c r="I73" s="214"/>
      <c r="J73" s="213" t="s">
        <v>3</v>
      </c>
      <c r="K73" s="213"/>
      <c r="L73" s="239"/>
      <c r="M73" s="151" t="s">
        <v>117</v>
      </c>
      <c r="N73" s="152" t="s">
        <v>13</v>
      </c>
    </row>
    <row r="74" spans="2:14" ht="18" customHeight="1" x14ac:dyDescent="0.2">
      <c r="B74" s="223"/>
      <c r="C74" s="224"/>
      <c r="D74" s="217"/>
      <c r="E74" s="218"/>
      <c r="F74" s="218"/>
      <c r="G74" s="217"/>
      <c r="H74" s="218"/>
      <c r="I74" s="218"/>
      <c r="J74" s="217"/>
      <c r="K74" s="218"/>
      <c r="L74" s="218"/>
      <c r="M74" s="146">
        <f>D74+G74+J74</f>
        <v>0</v>
      </c>
      <c r="N74" s="148">
        <f>IF(M74=0,0,D74/M74)</f>
        <v>0</v>
      </c>
    </row>
    <row r="75" spans="2:14" ht="17.25" customHeight="1" thickBot="1" x14ac:dyDescent="0.25">
      <c r="B75" s="219" t="s">
        <v>33</v>
      </c>
      <c r="C75" s="220"/>
      <c r="D75" s="244" t="s">
        <v>4</v>
      </c>
      <c r="E75" s="245"/>
      <c r="F75" s="245"/>
      <c r="G75" s="246">
        <v>0</v>
      </c>
      <c r="H75" s="247"/>
      <c r="I75" s="247"/>
      <c r="J75" s="147"/>
      <c r="K75" s="147"/>
      <c r="L75" s="147"/>
      <c r="M75" s="147"/>
      <c r="N75" s="149"/>
    </row>
    <row r="76" spans="2:14" ht="15.75" customHeight="1" x14ac:dyDescent="0.2"/>
    <row r="77" spans="2:14" ht="15.75" customHeight="1" thickBot="1" x14ac:dyDescent="0.25"/>
    <row r="78" spans="2:14" ht="18" customHeight="1" x14ac:dyDescent="0.2">
      <c r="B78" s="252" t="s">
        <v>35</v>
      </c>
      <c r="C78" s="253"/>
      <c r="D78" s="240" t="s">
        <v>1</v>
      </c>
      <c r="E78" s="241"/>
      <c r="F78" s="241"/>
      <c r="G78" s="242" t="s">
        <v>2</v>
      </c>
      <c r="H78" s="242"/>
      <c r="I78" s="258"/>
      <c r="J78" s="242" t="s">
        <v>3</v>
      </c>
      <c r="K78" s="242"/>
      <c r="L78" s="243"/>
      <c r="M78" s="154" t="s">
        <v>117</v>
      </c>
      <c r="N78" s="155" t="s">
        <v>13</v>
      </c>
    </row>
    <row r="79" spans="2:14" ht="21" customHeight="1" x14ac:dyDescent="0.2">
      <c r="B79" s="223"/>
      <c r="C79" s="224"/>
      <c r="D79" s="217">
        <f>SUM(D16,D29,D47,D61,474)</f>
        <v>6176048</v>
      </c>
      <c r="E79" s="218"/>
      <c r="F79" s="218"/>
      <c r="G79" s="217">
        <f>SUM(G16,G29,G47,G61,G74)</f>
        <v>0</v>
      </c>
      <c r="H79" s="218"/>
      <c r="I79" s="218"/>
      <c r="J79" s="217">
        <f>SUM(J16,J29,J47,J61,J74)</f>
        <v>0</v>
      </c>
      <c r="K79" s="218"/>
      <c r="L79" s="218"/>
      <c r="M79" s="146">
        <f>D79+G79+J79</f>
        <v>6176048</v>
      </c>
      <c r="N79" s="148">
        <f>IF(M79=0,0,D79/M79)</f>
        <v>1</v>
      </c>
    </row>
    <row r="80" spans="2:14" ht="22.5" customHeight="1" thickBot="1" x14ac:dyDescent="0.25">
      <c r="B80" s="219" t="s">
        <v>34</v>
      </c>
      <c r="C80" s="220"/>
      <c r="D80" s="244" t="s">
        <v>4</v>
      </c>
      <c r="E80" s="245"/>
      <c r="F80" s="245"/>
      <c r="G80" s="246">
        <f>SUM(G17,G30,G48,G62,G75)</f>
        <v>0.3</v>
      </c>
      <c r="H80" s="247"/>
      <c r="I80" s="247"/>
      <c r="J80" s="147"/>
      <c r="K80" s="147"/>
      <c r="L80" s="147"/>
      <c r="M80" s="147"/>
      <c r="N80" s="149"/>
    </row>
    <row r="81" spans="1:13" s="6" customFormat="1" ht="30" customHeight="1" x14ac:dyDescent="0.2"/>
    <row r="82" spans="1:13" s="6" customFormat="1" ht="64.5" customHeight="1" x14ac:dyDescent="0.2">
      <c r="A82" s="42"/>
      <c r="B82" s="59" t="s">
        <v>40</v>
      </c>
      <c r="C82" s="167" t="s">
        <v>215</v>
      </c>
      <c r="D82" s="168"/>
      <c r="E82" s="168"/>
      <c r="F82" s="168"/>
      <c r="G82" s="168"/>
      <c r="H82" s="168"/>
      <c r="I82" s="168"/>
      <c r="J82" s="168"/>
      <c r="K82" s="168"/>
      <c r="L82" s="168"/>
      <c r="M82" s="168"/>
    </row>
    <row r="83" spans="1:13" s="60" customFormat="1" ht="53.25" customHeight="1" x14ac:dyDescent="0.2">
      <c r="B83" s="61" t="s">
        <v>37</v>
      </c>
      <c r="C83" s="167" t="s">
        <v>217</v>
      </c>
      <c r="D83" s="167"/>
      <c r="E83" s="167"/>
      <c r="F83" s="167"/>
      <c r="G83" s="167"/>
      <c r="H83" s="167"/>
      <c r="I83" s="167"/>
      <c r="J83" s="167"/>
      <c r="K83" s="167"/>
      <c r="L83" s="167"/>
      <c r="M83" s="167"/>
    </row>
    <row r="84" spans="1:13" s="60" customFormat="1" ht="42" customHeight="1" x14ac:dyDescent="0.2">
      <c r="B84" s="61" t="s">
        <v>38</v>
      </c>
      <c r="C84" s="167" t="s">
        <v>218</v>
      </c>
      <c r="D84" s="169"/>
      <c r="E84" s="169"/>
      <c r="F84" s="169"/>
      <c r="G84" s="169"/>
      <c r="H84" s="169"/>
      <c r="I84" s="169"/>
      <c r="J84" s="169"/>
      <c r="K84" s="169"/>
      <c r="L84" s="169"/>
      <c r="M84" s="169"/>
    </row>
    <row r="85" spans="1:13" s="60" customFormat="1" ht="39.75" customHeight="1" x14ac:dyDescent="0.2">
      <c r="B85" s="61" t="s">
        <v>39</v>
      </c>
      <c r="C85" s="167" t="s">
        <v>219</v>
      </c>
      <c r="D85" s="169"/>
      <c r="E85" s="169"/>
      <c r="F85" s="169"/>
      <c r="G85" s="169"/>
      <c r="H85" s="169"/>
      <c r="I85" s="169"/>
      <c r="J85" s="169"/>
      <c r="K85" s="169"/>
      <c r="L85" s="169"/>
      <c r="M85" s="169"/>
    </row>
    <row r="86" spans="1:13" s="6" customFormat="1" x14ac:dyDescent="0.2"/>
    <row r="87" spans="1:13" s="6" customFormat="1" x14ac:dyDescent="0.2"/>
    <row r="88" spans="1:13" ht="21" customHeight="1" x14ac:dyDescent="0.2"/>
    <row r="89" spans="1:13" ht="12" customHeight="1" x14ac:dyDescent="0.2"/>
    <row r="90" spans="1:13" ht="12" customHeight="1" x14ac:dyDescent="0.2"/>
  </sheetData>
  <mergeCells count="164">
    <mergeCell ref="C82:M82"/>
    <mergeCell ref="C83:M83"/>
    <mergeCell ref="C84:M84"/>
    <mergeCell ref="C85:M85"/>
    <mergeCell ref="D24:E24"/>
    <mergeCell ref="D25:E25"/>
    <mergeCell ref="N35:N38"/>
    <mergeCell ref="D40:E40"/>
    <mergeCell ref="D41:E41"/>
    <mergeCell ref="D42:E42"/>
    <mergeCell ref="D43:E43"/>
    <mergeCell ref="D44:E44"/>
    <mergeCell ref="D57:E57"/>
    <mergeCell ref="D69:E69"/>
    <mergeCell ref="D70:E70"/>
    <mergeCell ref="G78:I78"/>
    <mergeCell ref="G79:I79"/>
    <mergeCell ref="G80:I80"/>
    <mergeCell ref="G51:G52"/>
    <mergeCell ref="H51:J51"/>
    <mergeCell ref="G62:I62"/>
    <mergeCell ref="M65:M66"/>
    <mergeCell ref="N65:N66"/>
    <mergeCell ref="N67:N71"/>
    <mergeCell ref="G65:G66"/>
    <mergeCell ref="H65:J65"/>
    <mergeCell ref="K65:L65"/>
    <mergeCell ref="G45:I45"/>
    <mergeCell ref="G46:I46"/>
    <mergeCell ref="G47:I47"/>
    <mergeCell ref="G48:I48"/>
    <mergeCell ref="D11:E11"/>
    <mergeCell ref="C10:F10"/>
    <mergeCell ref="G10:G11"/>
    <mergeCell ref="H10:J10"/>
    <mergeCell ref="K10:L10"/>
    <mergeCell ref="G20:G21"/>
    <mergeCell ref="H20:J20"/>
    <mergeCell ref="K20:L20"/>
    <mergeCell ref="G33:G34"/>
    <mergeCell ref="H33:J33"/>
    <mergeCell ref="K33:L33"/>
    <mergeCell ref="D21:E21"/>
    <mergeCell ref="D16:F16"/>
    <mergeCell ref="D17:F17"/>
    <mergeCell ref="B14:C14"/>
    <mergeCell ref="J15:L15"/>
    <mergeCell ref="B12:B13"/>
    <mergeCell ref="M51:M52"/>
    <mergeCell ref="N51:N52"/>
    <mergeCell ref="K51:L51"/>
    <mergeCell ref="G16:I16"/>
    <mergeCell ref="G17:I17"/>
    <mergeCell ref="M20:M21"/>
    <mergeCell ref="N20:N21"/>
    <mergeCell ref="N22:N26"/>
    <mergeCell ref="G27:I27"/>
    <mergeCell ref="J46:L46"/>
    <mergeCell ref="J47:L47"/>
    <mergeCell ref="M33:M34"/>
    <mergeCell ref="N33:N34"/>
    <mergeCell ref="B2:N2"/>
    <mergeCell ref="B3:N3"/>
    <mergeCell ref="B4:N4"/>
    <mergeCell ref="B5:N5"/>
    <mergeCell ref="B6:N6"/>
    <mergeCell ref="B9:N9"/>
    <mergeCell ref="M10:M11"/>
    <mergeCell ref="N10:N11"/>
    <mergeCell ref="M7:N7"/>
    <mergeCell ref="B35:B36"/>
    <mergeCell ref="D55:E55"/>
    <mergeCell ref="D56:E56"/>
    <mergeCell ref="B62:C62"/>
    <mergeCell ref="B60:C61"/>
    <mergeCell ref="B78:C79"/>
    <mergeCell ref="B30:C30"/>
    <mergeCell ref="D30:F30"/>
    <mergeCell ref="B33:B34"/>
    <mergeCell ref="C33:F33"/>
    <mergeCell ref="D66:E66"/>
    <mergeCell ref="B67:B71"/>
    <mergeCell ref="D67:E67"/>
    <mergeCell ref="B45:C45"/>
    <mergeCell ref="B48:C48"/>
    <mergeCell ref="B46:C47"/>
    <mergeCell ref="D46:F46"/>
    <mergeCell ref="D68:E68"/>
    <mergeCell ref="B65:B66"/>
    <mergeCell ref="C65:F65"/>
    <mergeCell ref="B51:B52"/>
    <mergeCell ref="D47:F47"/>
    <mergeCell ref="D48:F48"/>
    <mergeCell ref="B75:C75"/>
    <mergeCell ref="D79:F79"/>
    <mergeCell ref="J79:L79"/>
    <mergeCell ref="D71:E71"/>
    <mergeCell ref="N53:N58"/>
    <mergeCell ref="G59:I59"/>
    <mergeCell ref="D61:F61"/>
    <mergeCell ref="B53:B58"/>
    <mergeCell ref="D53:E53"/>
    <mergeCell ref="D54:E54"/>
    <mergeCell ref="D58:E58"/>
    <mergeCell ref="G60:I60"/>
    <mergeCell ref="G61:I61"/>
    <mergeCell ref="D75:F75"/>
    <mergeCell ref="B73:C74"/>
    <mergeCell ref="D73:F73"/>
    <mergeCell ref="J73:L73"/>
    <mergeCell ref="D74:F74"/>
    <mergeCell ref="J74:L74"/>
    <mergeCell ref="B72:C72"/>
    <mergeCell ref="D72:F72"/>
    <mergeCell ref="G74:I74"/>
    <mergeCell ref="G75:I75"/>
    <mergeCell ref="G72:I72"/>
    <mergeCell ref="G73:I73"/>
    <mergeCell ref="B22:B26"/>
    <mergeCell ref="B27:C27"/>
    <mergeCell ref="D28:F28"/>
    <mergeCell ref="J28:L28"/>
    <mergeCell ref="B28:C29"/>
    <mergeCell ref="B80:C80"/>
    <mergeCell ref="C51:F51"/>
    <mergeCell ref="D52:E52"/>
    <mergeCell ref="D78:F78"/>
    <mergeCell ref="J78:L78"/>
    <mergeCell ref="B59:C59"/>
    <mergeCell ref="J61:L61"/>
    <mergeCell ref="D62:F62"/>
    <mergeCell ref="D59:F59"/>
    <mergeCell ref="D60:F60"/>
    <mergeCell ref="J60:L60"/>
    <mergeCell ref="D27:F27"/>
    <mergeCell ref="D29:F29"/>
    <mergeCell ref="J29:L29"/>
    <mergeCell ref="D39:E39"/>
    <mergeCell ref="G28:I28"/>
    <mergeCell ref="G29:I29"/>
    <mergeCell ref="G30:I30"/>
    <mergeCell ref="D80:F80"/>
    <mergeCell ref="D35:E35"/>
    <mergeCell ref="D36:E36"/>
    <mergeCell ref="D37:E37"/>
    <mergeCell ref="D38:E38"/>
    <mergeCell ref="D22:E22"/>
    <mergeCell ref="D23:E23"/>
    <mergeCell ref="D26:E26"/>
    <mergeCell ref="D45:F45"/>
    <mergeCell ref="D34:E34"/>
    <mergeCell ref="N12:N13"/>
    <mergeCell ref="G14:I14"/>
    <mergeCell ref="G15:I15"/>
    <mergeCell ref="B10:B11"/>
    <mergeCell ref="D12:E12"/>
    <mergeCell ref="J16:L16"/>
    <mergeCell ref="C20:F20"/>
    <mergeCell ref="B17:C17"/>
    <mergeCell ref="B15:C16"/>
    <mergeCell ref="D13:E13"/>
    <mergeCell ref="B20:B21"/>
    <mergeCell ref="D14:F14"/>
    <mergeCell ref="D15:F15"/>
  </mergeCells>
  <dataValidations count="2">
    <dataValidation type="list" allowBlank="1" showInputMessage="1" showErrorMessage="1" sqref="N72 N45 N59 N14 N27">
      <formula1>$I$7:$M$7</formula1>
    </dataValidation>
    <dataValidation type="list" allowBlank="1" showInputMessage="1" showErrorMessage="1" sqref="F35:F44 F53:F58 F12:F13 F22:F26 F67:F71">
      <formula1>$B$7:$F$7</formula1>
    </dataValidation>
  </dataValidations>
  <pageMargins left="0.33" right="0.37" top="0.23622047244094491" bottom="0.38" header="0.15748031496062992" footer="0.2"/>
  <pageSetup paperSize="9" scale="62" fitToHeight="7" orientation="landscape" r:id="rId1"/>
  <headerFooter alignWithMargins="0"/>
</worksheet>
</file>

<file path=docProps/app.xml><?xml version="1.0" encoding="utf-8"?>
<ap:Properties xmlns:vt="http://schemas.openxmlformats.org/officeDocument/2006/docPropsVTypes" xmlns:ap="http://schemas.openxmlformats.org/officeDocument/2006/extended-properties">
  <ap:Application>Microsoft Excel</ap:Application>
  <ap:ScaleCrop>false</ap:ScaleCrop>
  <ap:LinksUpToDate>false</ap:LinksUpToDate>
  <ap:HyperlinksChanged>false</ap:HyperlinksChanged>
  <ap:AppVersion>14.0300</ap:AppVersion>
</ap:Properties>
</file>

<file path=docProps/core.xml><?xml version="1.0" encoding="utf-8"?>
<coreProperties xmlns:dc="http://purl.org/dc/elements/1.1/" xmlns:dcterms="http://purl.org/dc/terms/" xmlns:xsi="http://www.w3.org/2001/XMLSchema-instance" xmlns="http://schemas.openxmlformats.org/package/2006/metadata/core-properties"/>
</file>