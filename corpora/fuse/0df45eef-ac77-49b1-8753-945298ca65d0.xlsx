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9155" windowHeight="7785"/>
  </bookViews>
  <sheets>
    <sheet name="District" sheetId="1" r:id="rId1"/>
    <sheet name="Charter" sheetId="2" r:id="rId2"/>
  </sheets>
  <calcPr calcId="145621"/>
</workbook>
</file>

<file path=xl/calcChain.xml><?xml version="1.0" encoding="utf-8"?>
<calcChain xmlns="http://schemas.openxmlformats.org/spreadsheetml/2006/main">
  <c r="D47" i="2" l="1"/>
  <c r="D60" i="2"/>
  <c r="D48" i="1"/>
  <c r="T10" i="2" l="1"/>
  <c r="D24" i="2" s="1"/>
  <c r="Q10" i="2"/>
  <c r="D30" i="2" s="1"/>
  <c r="T9" i="2"/>
  <c r="Q9" i="2"/>
  <c r="D29" i="2" s="1"/>
  <c r="T8" i="2"/>
  <c r="Q8" i="2"/>
  <c r="T7" i="2"/>
  <c r="Q7" i="2"/>
  <c r="T6" i="2"/>
  <c r="Q6" i="2"/>
  <c r="Q9" i="1"/>
  <c r="D31" i="1" s="1"/>
  <c r="U9" i="2" l="1"/>
  <c r="D23" i="2"/>
  <c r="D26" i="2" s="1"/>
  <c r="D15" i="2"/>
  <c r="U6" i="2"/>
  <c r="U7" i="2"/>
  <c r="U8" i="2"/>
  <c r="D32" i="2"/>
  <c r="D17" i="2"/>
  <c r="U10" i="2"/>
  <c r="T9" i="1"/>
  <c r="U9" i="1" s="1"/>
  <c r="Q5" i="1"/>
  <c r="Q6" i="1"/>
  <c r="Q7" i="1"/>
  <c r="Q8" i="1"/>
  <c r="D30" i="1" s="1"/>
  <c r="T5" i="1"/>
  <c r="T6" i="1"/>
  <c r="T7" i="1"/>
  <c r="T8" i="1"/>
  <c r="D21" i="1" s="1"/>
  <c r="D55" i="2" l="1"/>
  <c r="D57" i="2"/>
  <c r="D43" i="2"/>
  <c r="U7" i="1"/>
  <c r="U6" i="1"/>
  <c r="U5" i="1"/>
  <c r="U8" i="1"/>
  <c r="D24" i="1" s="1"/>
  <c r="D22" i="1"/>
  <c r="D25" i="1" s="1"/>
  <c r="D13" i="1"/>
  <c r="D15" i="1" s="1"/>
  <c r="D33" i="1"/>
  <c r="D59" i="2" l="1"/>
  <c r="D61" i="2"/>
  <c r="D35" i="2"/>
  <c r="D27" i="1"/>
  <c r="D44" i="1" s="1"/>
  <c r="D37" i="2" l="1"/>
  <c r="D38" i="2" s="1"/>
  <c r="D40" i="2" s="1"/>
  <c r="D46" i="2" s="1"/>
  <c r="D48" i="2" s="1"/>
  <c r="D36" i="1"/>
  <c r="D38" i="1" s="1"/>
  <c r="D39" i="1" s="1"/>
  <c r="D41" i="1" s="1"/>
  <c r="D47" i="1" s="1"/>
  <c r="D49" i="1" s="1"/>
</calcChain>
</file>

<file path=xl/sharedStrings.xml><?xml version="1.0" encoding="utf-8"?>
<sst xmlns="http://schemas.openxmlformats.org/spreadsheetml/2006/main" count="105" uniqueCount="59">
  <si>
    <t>http://www.schools.utah.gov/data/Educational-Data/Student-Enrollment-and-Membership.aspx</t>
  </si>
  <si>
    <t>Special Education</t>
  </si>
  <si>
    <t>K</t>
  </si>
  <si>
    <t>Self-Cont.</t>
  </si>
  <si>
    <t>Resource</t>
  </si>
  <si>
    <t>Prevalence</t>
  </si>
  <si>
    <t>2008-09</t>
  </si>
  <si>
    <t>2009-10</t>
  </si>
  <si>
    <t>2010-11</t>
  </si>
  <si>
    <t>2011-12</t>
  </si>
  <si>
    <t>2012-13</t>
  </si>
  <si>
    <t>x</t>
  </si>
  <si>
    <t>=</t>
  </si>
  <si>
    <t>Total</t>
  </si>
  <si>
    <t>5 Year Average Special Education Total ADM</t>
  </si>
  <si>
    <t>x WPU value</t>
  </si>
  <si>
    <t>Minimum Allocation of Add-On Funds</t>
  </si>
  <si>
    <t>ADJUSTED BASE CALCULATION</t>
  </si>
  <si>
    <t>Prior Year WPU (Base)</t>
  </si>
  <si>
    <t>2 Years Prior Special Education ADM</t>
  </si>
  <si>
    <t>3 Years Prior Special Education ADM</t>
  </si>
  <si>
    <t>2 Years Prior Adjusted Special Education ADM (adjusted if prevalence is greater than 12.18%)</t>
  </si>
  <si>
    <t>3 Years Prior Adjusted Special Education ADM (adjusted if prevalence is greater than 12.18%)</t>
  </si>
  <si>
    <t>Adjusted Special Education Growth</t>
  </si>
  <si>
    <t>Special Education Growth</t>
  </si>
  <si>
    <t>Total LEA Growth</t>
  </si>
  <si>
    <t xml:space="preserve">Average Daily Membership data reported below can be found at: </t>
  </si>
  <si>
    <t>Special Education Growth Factor</t>
  </si>
  <si>
    <t>Growth rate that will be used for adjusted base calculation (lower of special education or total LEA growth)</t>
  </si>
  <si>
    <t>Positive Growth ADM (Additional membership credit for growth)</t>
  </si>
  <si>
    <t>Base Plus Growth WPUs</t>
  </si>
  <si>
    <t>Negative Growth Adjustment (for declining enrollment)</t>
  </si>
  <si>
    <t>Add-On WPU Value</t>
  </si>
  <si>
    <t>Total Projected Add-On Funds</t>
  </si>
  <si>
    <t>Negative Growth</t>
  </si>
  <si>
    <t>Growth WPUs (Positive Growth ADM  * 1.53)</t>
  </si>
  <si>
    <t>Total Projected Special Education Add-On WPU (Base plus or minus growth, not lower than foundation)</t>
  </si>
  <si>
    <t>or</t>
  </si>
  <si>
    <t>Subtotal</t>
  </si>
  <si>
    <t>3 Years Prior Total District Enrollment</t>
  </si>
  <si>
    <t>2 Years Prior Total District Enrollment</t>
  </si>
  <si>
    <t>Growth rate of Total District</t>
  </si>
  <si>
    <t>FOUNDATION CALCULATION</t>
  </si>
  <si>
    <t>Years of operation (enter value up to 5)</t>
  </si>
  <si>
    <t>Special Education Growth (no prevalence limit for charter schools)</t>
  </si>
  <si>
    <t>3 Years Prior Total Charter Enrollment</t>
  </si>
  <si>
    <t>2 Years Prior Total Charter Enrollment</t>
  </si>
  <si>
    <t>Expansion Supplement</t>
  </si>
  <si>
    <t>Prior Year projected expansion (total number of student enrollment the charter is expected to increase, as reported to USOE Charter School Services Director)</t>
  </si>
  <si>
    <t>Current Year projected expansion (total number of student enrollment the charter is expected to increase, as reported to USOE Charter School Services Director)</t>
  </si>
  <si>
    <t>Estimated Special Education enrollment within the expansion (projected increase * prior year prevalence rate)</t>
  </si>
  <si>
    <t>WPU supplement for projected expansion in enrollment</t>
  </si>
  <si>
    <t>Prior year prevalence rate</t>
  </si>
  <si>
    <t>The Add-On Expansion Supplement is provided under R277-479 for charter schools authorized by the Utah State Board of Education for a "Significant Expansion" in enrollment. A significant expansion is a substantial increase in the number of students attending a charter school due to a significant event, such as the addition of new grade levels or additions of sites, that is unlikely to occur on a regular basis. Eligible schools are authorized for an increase of 2 or more grade levels, an enrollment increase greater than 25%, or some other significant event designated by the USBE.</t>
  </si>
  <si>
    <t>Prior Year WPU (Base) -- Does not include WPU provided for the Expansion Supplement</t>
  </si>
  <si>
    <t>General Education</t>
  </si>
  <si>
    <t>Total projected Add-On Expansion Supplement Funds</t>
  </si>
  <si>
    <t>District Special Education Add-On Calculator</t>
  </si>
  <si>
    <t>Charter School Special Education Add-On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</si>
</sst>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_);\(#,##0.000\)"/>
    <numFmt numFmtId="165" formatCode="0.000%"/>
    <numFmt numFmtId="166" formatCode="General_)"/>
    <numFmt numFmtId="167" formatCode="0.000"/>
    <numFmt numFmtId="168" formatCode="&quot;$&quot;#,##0"/>
  </numFmts>
  <fonts count="3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9.35"/>
      <color theme="1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rgb="FFFF0000"/>
      <name val="Arial"/>
      <family val="2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0"/>
      <color theme="4" tint="-0.249977111117893"/>
      <name val="Arial"/>
      <family val="2"/>
    </font>
    <font>
      <b/>
      <u/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name val="Arial"/>
    </font>
    <font>
      <u/>
      <sz val="10"/>
      <color theme="10"/>
      <name val="Arial"/>
      <family val="2"/>
    </font>
    <font>
      <b/>
      <sz val="10"/>
      <color rgb="FF7030A0"/>
      <name val="Arial"/>
      <family val="2"/>
    </font>
    <font>
      <sz val="10"/>
      <color rgb="FF7030A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1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0" fontId="6" fillId="0" borderId="0"/>
    <xf numFmtId="43" fontId="6" fillId="0" borderId="0" applyFont="0" applyFill="0" applyBorder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13" applyNumberFormat="0" applyAlignment="0" applyProtection="0"/>
    <xf numFmtId="0" fontId="18" fillId="7" borderId="14" applyNumberFormat="0" applyAlignment="0" applyProtection="0"/>
    <xf numFmtId="0" fontId="19" fillId="7" borderId="13" applyNumberFormat="0" applyAlignment="0" applyProtection="0"/>
    <xf numFmtId="0" fontId="20" fillId="0" borderId="15" applyNumberFormat="0" applyFill="0" applyAlignment="0" applyProtection="0"/>
    <xf numFmtId="0" fontId="21" fillId="8" borderId="16" applyNumberFormat="0" applyAlignment="0" applyProtection="0"/>
    <xf numFmtId="0" fontId="22" fillId="0" borderId="0" applyNumberFormat="0" applyFill="0" applyBorder="0" applyAlignment="0" applyProtection="0"/>
    <xf numFmtId="0" fontId="10" fillId="9" borderId="17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8" applyNumberFormat="0" applyFill="0" applyAlignment="0" applyProtection="0"/>
    <xf numFmtId="0" fontId="25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5" fillId="33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10" fillId="0" borderId="0"/>
    <xf numFmtId="44" fontId="6" fillId="0" borderId="0" applyFont="0" applyFill="0" applyBorder="0" applyAlignment="0" applyProtection="0"/>
    <xf numFmtId="166" fontId="26" fillId="0" borderId="0"/>
    <xf numFmtId="40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6" fontId="27" fillId="0" borderId="0" applyFont="0" applyFill="0" applyBorder="0" applyAlignment="0" applyProtection="0"/>
    <xf numFmtId="0" fontId="10" fillId="0" borderId="0"/>
    <xf numFmtId="9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166" fontId="26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6" fontId="26" fillId="0" borderId="0"/>
    <xf numFmtId="0" fontId="31" fillId="0" borderId="0"/>
  </cellStyleXfs>
  <cellXfs count="120">
    <xf numFmtId="0" fontId="0" fillId="0" borderId="0" xfId="0"/>
    <xf numFmtId="0" fontId="8" fillId="2" borderId="0" xfId="0" applyFont="1" applyFill="1" applyBorder="1"/>
    <xf numFmtId="0" fontId="2" fillId="2" borderId="0" xfId="0" applyFont="1" applyFill="1" applyBorder="1"/>
    <xf numFmtId="0" fontId="4" fillId="2" borderId="0" xfId="0" applyFont="1" applyFill="1" applyBorder="1"/>
    <xf numFmtId="0" fontId="6" fillId="2" borderId="25" xfId="0" applyFont="1" applyFill="1" applyBorder="1" applyAlignment="1">
      <alignment horizontal="center"/>
    </xf>
    <xf numFmtId="164" fontId="7" fillId="2" borderId="19" xfId="0" applyNumberFormat="1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164" fontId="7" fillId="2" borderId="27" xfId="0" applyNumberFormat="1" applyFont="1" applyFill="1" applyBorder="1" applyAlignment="1">
      <alignment horizontal="center"/>
    </xf>
    <xf numFmtId="0" fontId="28" fillId="2" borderId="0" xfId="0" applyFont="1" applyFill="1" applyBorder="1"/>
    <xf numFmtId="0" fontId="0" fillId="2" borderId="0" xfId="0" applyFont="1" applyFill="1" applyBorder="1"/>
    <xf numFmtId="0" fontId="6" fillId="2" borderId="24" xfId="0" applyFont="1" applyFill="1" applyBorder="1" applyAlignment="1">
      <alignment horizontal="center"/>
    </xf>
    <xf numFmtId="0" fontId="29" fillId="2" borderId="0" xfId="0" applyFont="1" applyFill="1" applyBorder="1"/>
    <xf numFmtId="165" fontId="28" fillId="2" borderId="0" xfId="0" applyNumberFormat="1" applyFont="1" applyFill="1" applyBorder="1" applyAlignment="1">
      <alignment horizontal="center"/>
    </xf>
    <xf numFmtId="0" fontId="28" fillId="2" borderId="0" xfId="0" applyFont="1" applyFill="1" applyBorder="1" applyAlignment="1">
      <alignment horizontal="right"/>
    </xf>
    <xf numFmtId="0" fontId="30" fillId="2" borderId="0" xfId="0" applyFont="1" applyFill="1" applyBorder="1"/>
    <xf numFmtId="40" fontId="30" fillId="2" borderId="0" xfId="0" applyNumberFormat="1" applyFont="1" applyFill="1" applyBorder="1" applyAlignment="1">
      <alignment horizontal="center"/>
    </xf>
    <xf numFmtId="0" fontId="30" fillId="2" borderId="0" xfId="0" applyFont="1" applyFill="1" applyBorder="1" applyAlignment="1">
      <alignment horizontal="right"/>
    </xf>
    <xf numFmtId="0" fontId="28" fillId="2" borderId="0" xfId="0" applyFont="1" applyFill="1" applyBorder="1" applyAlignment="1">
      <alignment horizontal="center"/>
    </xf>
    <xf numFmtId="10" fontId="6" fillId="2" borderId="25" xfId="0" applyNumberFormat="1" applyFont="1" applyFill="1" applyBorder="1" applyAlignment="1">
      <alignment horizontal="center"/>
    </xf>
    <xf numFmtId="10" fontId="6" fillId="2" borderId="28" xfId="0" applyNumberFormat="1" applyFont="1" applyFill="1" applyBorder="1" applyAlignment="1">
      <alignment horizontal="center"/>
    </xf>
    <xf numFmtId="164" fontId="28" fillId="2" borderId="0" xfId="0" applyNumberFormat="1" applyFont="1" applyFill="1" applyBorder="1" applyAlignment="1">
      <alignment horizontal="center"/>
    </xf>
    <xf numFmtId="0" fontId="30" fillId="2" borderId="0" xfId="0" applyFont="1" applyFill="1" applyBorder="1" applyAlignment="1">
      <alignment horizontal="left"/>
    </xf>
    <xf numFmtId="164" fontId="30" fillId="2" borderId="0" xfId="0" applyNumberFormat="1" applyFont="1" applyFill="1" applyBorder="1" applyAlignment="1">
      <alignment horizontal="left"/>
    </xf>
    <xf numFmtId="0" fontId="0" fillId="2" borderId="2" xfId="0" applyFont="1" applyFill="1" applyBorder="1"/>
    <xf numFmtId="165" fontId="30" fillId="2" borderId="0" xfId="0" applyNumberFormat="1" applyFont="1" applyFill="1" applyBorder="1" applyAlignment="1">
      <alignment horizontal="left"/>
    </xf>
    <xf numFmtId="2" fontId="28" fillId="2" borderId="0" xfId="0" applyNumberFormat="1" applyFont="1" applyFill="1" applyBorder="1" applyAlignment="1">
      <alignment horizontal="center"/>
    </xf>
    <xf numFmtId="167" fontId="28" fillId="2" borderId="0" xfId="0" applyNumberFormat="1" applyFont="1" applyFill="1" applyBorder="1" applyAlignment="1">
      <alignment horizontal="center"/>
    </xf>
    <xf numFmtId="0" fontId="0" fillId="2" borderId="1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164" fontId="0" fillId="2" borderId="0" xfId="0" applyNumberFormat="1" applyFont="1" applyFill="1" applyBorder="1"/>
    <xf numFmtId="0" fontId="0" fillId="2" borderId="8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2" xfId="0" applyFont="1" applyFill="1" applyBorder="1" applyAlignment="1">
      <alignment horizontal="left"/>
    </xf>
    <xf numFmtId="0" fontId="32" fillId="2" borderId="2" xfId="2" applyFont="1" applyFill="1" applyBorder="1" applyAlignment="1" applyProtection="1"/>
    <xf numFmtId="0" fontId="0" fillId="0" borderId="0" xfId="0" applyFont="1" applyFill="1"/>
    <xf numFmtId="0" fontId="3" fillId="0" borderId="0" xfId="0" applyFont="1" applyFill="1"/>
    <xf numFmtId="0" fontId="0" fillId="2" borderId="0" xfId="0" applyFont="1" applyFill="1" applyBorder="1" applyAlignment="1">
      <alignment horizontal="center"/>
    </xf>
    <xf numFmtId="167" fontId="7" fillId="2" borderId="27" xfId="0" applyNumberFormat="1" applyFont="1" applyFill="1" applyBorder="1" applyAlignment="1">
      <alignment horizontal="center"/>
    </xf>
    <xf numFmtId="167" fontId="6" fillId="2" borderId="24" xfId="0" applyNumberFormat="1" applyFont="1" applyFill="1" applyBorder="1" applyAlignment="1">
      <alignment horizontal="center"/>
    </xf>
    <xf numFmtId="167" fontId="7" fillId="2" borderId="25" xfId="0" applyNumberFormat="1" applyFont="1" applyFill="1" applyBorder="1" applyAlignment="1">
      <alignment horizontal="center"/>
    </xf>
    <xf numFmtId="167" fontId="7" fillId="2" borderId="24" xfId="0" applyNumberFormat="1" applyFont="1" applyFill="1" applyBorder="1" applyAlignment="1">
      <alignment horizontal="center"/>
    </xf>
    <xf numFmtId="167" fontId="7" fillId="2" borderId="20" xfId="0" applyNumberFormat="1" applyFont="1" applyFill="1" applyBorder="1" applyAlignment="1">
      <alignment horizontal="center"/>
    </xf>
    <xf numFmtId="167" fontId="7" fillId="2" borderId="19" xfId="0" applyNumberFormat="1" applyFont="1" applyFill="1" applyBorder="1" applyAlignment="1">
      <alignment horizontal="center"/>
    </xf>
    <xf numFmtId="0" fontId="33" fillId="2" borderId="0" xfId="0" applyFont="1" applyFill="1" applyBorder="1"/>
    <xf numFmtId="0" fontId="34" fillId="2" borderId="0" xfId="0" applyFont="1" applyFill="1" applyBorder="1"/>
    <xf numFmtId="10" fontId="34" fillId="2" borderId="0" xfId="0" applyNumberFormat="1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3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164" fontId="6" fillId="34" borderId="24" xfId="0" applyNumberFormat="1" applyFont="1" applyFill="1" applyBorder="1" applyAlignment="1"/>
    <xf numFmtId="164" fontId="6" fillId="34" borderId="19" xfId="0" applyNumberFormat="1" applyFont="1" applyFill="1" applyBorder="1" applyAlignment="1"/>
    <xf numFmtId="164" fontId="0" fillId="34" borderId="26" xfId="58" applyNumberFormat="1" applyFont="1" applyFill="1" applyBorder="1" applyAlignment="1"/>
    <xf numFmtId="164" fontId="0" fillId="34" borderId="27" xfId="58" applyNumberFormat="1" applyFont="1" applyFill="1" applyBorder="1" applyAlignment="1"/>
    <xf numFmtId="164" fontId="6" fillId="34" borderId="26" xfId="0" applyNumberFormat="1" applyFont="1" applyFill="1" applyBorder="1" applyAlignment="1"/>
    <xf numFmtId="164" fontId="6" fillId="34" borderId="27" xfId="0" applyNumberFormat="1" applyFont="1" applyFill="1" applyBorder="1" applyAlignment="1"/>
    <xf numFmtId="164" fontId="7" fillId="2" borderId="20" xfId="0" applyNumberFormat="1" applyFont="1" applyFill="1" applyBorder="1" applyAlignment="1">
      <alignment horizontal="center"/>
    </xf>
    <xf numFmtId="164" fontId="7" fillId="2" borderId="29" xfId="0" applyNumberFormat="1" applyFont="1" applyFill="1" applyBorder="1" applyAlignment="1">
      <alignment horizontal="center"/>
    </xf>
    <xf numFmtId="167" fontId="7" fillId="2" borderId="29" xfId="0" applyNumberFormat="1" applyFont="1" applyFill="1" applyBorder="1" applyAlignment="1">
      <alignment horizontal="center"/>
    </xf>
    <xf numFmtId="0" fontId="6" fillId="2" borderId="19" xfId="0" applyNumberFormat="1" applyFont="1" applyFill="1" applyBorder="1" applyAlignment="1">
      <alignment horizontal="center"/>
    </xf>
    <xf numFmtId="0" fontId="0" fillId="2" borderId="40" xfId="0" applyFont="1" applyFill="1" applyBorder="1"/>
    <xf numFmtId="0" fontId="0" fillId="2" borderId="35" xfId="0" applyFont="1" applyFill="1" applyBorder="1"/>
    <xf numFmtId="0" fontId="0" fillId="2" borderId="31" xfId="0" applyFont="1" applyFill="1" applyBorder="1"/>
    <xf numFmtId="0" fontId="0" fillId="2" borderId="36" xfId="0" applyFont="1" applyFill="1" applyBorder="1"/>
    <xf numFmtId="0" fontId="0" fillId="2" borderId="30" xfId="0" applyFont="1" applyFill="1" applyBorder="1"/>
    <xf numFmtId="0" fontId="0" fillId="2" borderId="41" xfId="0" applyFont="1" applyFill="1" applyBorder="1"/>
    <xf numFmtId="0" fontId="0" fillId="2" borderId="33" xfId="0" applyFont="1" applyFill="1" applyBorder="1"/>
    <xf numFmtId="164" fontId="0" fillId="2" borderId="33" xfId="0" applyNumberFormat="1" applyFont="1" applyFill="1" applyBorder="1"/>
    <xf numFmtId="0" fontId="0" fillId="2" borderId="34" xfId="0" applyFont="1" applyFill="1" applyBorder="1"/>
    <xf numFmtId="167" fontId="0" fillId="34" borderId="24" xfId="58" applyNumberFormat="1" applyFont="1" applyFill="1" applyBorder="1" applyAlignment="1">
      <alignment horizontal="center"/>
    </xf>
    <xf numFmtId="167" fontId="0" fillId="34" borderId="19" xfId="58" applyNumberFormat="1" applyFont="1" applyFill="1" applyBorder="1" applyAlignment="1">
      <alignment horizontal="center"/>
    </xf>
    <xf numFmtId="167" fontId="0" fillId="34" borderId="26" xfId="58" applyNumberFormat="1" applyFont="1" applyFill="1" applyBorder="1" applyAlignment="1">
      <alignment horizontal="center"/>
    </xf>
    <xf numFmtId="167" fontId="0" fillId="34" borderId="27" xfId="58" applyNumberFormat="1" applyFont="1" applyFill="1" applyBorder="1" applyAlignment="1">
      <alignment horizontal="center"/>
    </xf>
    <xf numFmtId="167" fontId="6" fillId="34" borderId="24" xfId="0" applyNumberFormat="1" applyFont="1" applyFill="1" applyBorder="1" applyAlignment="1">
      <alignment horizontal="center"/>
    </xf>
    <xf numFmtId="167" fontId="6" fillId="34" borderId="19" xfId="0" applyNumberFormat="1" applyFont="1" applyFill="1" applyBorder="1" applyAlignment="1">
      <alignment horizontal="center"/>
    </xf>
    <xf numFmtId="167" fontId="6" fillId="34" borderId="26" xfId="0" applyNumberFormat="1" applyFont="1" applyFill="1" applyBorder="1" applyAlignment="1">
      <alignment horizontal="center"/>
    </xf>
    <xf numFmtId="167" fontId="6" fillId="34" borderId="27" xfId="0" applyNumberFormat="1" applyFont="1" applyFill="1" applyBorder="1" applyAlignment="1">
      <alignment horizontal="center"/>
    </xf>
    <xf numFmtId="0" fontId="0" fillId="2" borderId="35" xfId="0" applyFont="1" applyFill="1" applyBorder="1" applyAlignment="1">
      <alignment horizontal="left"/>
    </xf>
    <xf numFmtId="0" fontId="32" fillId="2" borderId="35" xfId="2" applyFont="1" applyFill="1" applyBorder="1" applyAlignment="1" applyProtection="1"/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8" fontId="2" fillId="34" borderId="20" xfId="1" applyNumberFormat="1" applyFont="1" applyFill="1" applyBorder="1" applyAlignment="1">
      <alignment horizontal="center"/>
    </xf>
    <xf numFmtId="168" fontId="2" fillId="34" borderId="37" xfId="1" applyNumberFormat="1" applyFont="1" applyFill="1" applyBorder="1" applyAlignment="1">
      <alignment horizontal="center"/>
    </xf>
    <xf numFmtId="168" fontId="4" fillId="2" borderId="6" xfId="0" applyNumberFormat="1" applyFont="1" applyFill="1" applyBorder="1" applyAlignment="1">
      <alignment horizontal="center"/>
    </xf>
    <xf numFmtId="164" fontId="28" fillId="2" borderId="0" xfId="0" applyNumberFormat="1" applyFont="1" applyFill="1" applyBorder="1" applyAlignment="1">
      <alignment horizontal="center"/>
    </xf>
    <xf numFmtId="0" fontId="28" fillId="34" borderId="20" xfId="0" applyFont="1" applyFill="1" applyBorder="1" applyAlignment="1">
      <alignment horizontal="center"/>
    </xf>
    <xf numFmtId="0" fontId="28" fillId="34" borderId="37" xfId="0" applyFont="1" applyFill="1" applyBorder="1" applyAlignment="1">
      <alignment horizontal="center"/>
    </xf>
    <xf numFmtId="0" fontId="28" fillId="2" borderId="0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39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6" fontId="28" fillId="2" borderId="7" xfId="0" applyNumberFormat="1" applyFont="1" applyFill="1" applyBorder="1" applyAlignment="1">
      <alignment horizontal="center"/>
    </xf>
    <xf numFmtId="168" fontId="30" fillId="2" borderId="6" xfId="1" applyNumberFormat="1" applyFont="1" applyFill="1" applyBorder="1" applyAlignment="1">
      <alignment horizontal="center"/>
    </xf>
    <xf numFmtId="164" fontId="30" fillId="2" borderId="0" xfId="0" applyNumberFormat="1" applyFont="1" applyFill="1" applyBorder="1" applyAlignment="1">
      <alignment horizontal="center"/>
    </xf>
    <xf numFmtId="167" fontId="28" fillId="2" borderId="0" xfId="0" applyNumberFormat="1" applyFont="1" applyFill="1" applyBorder="1" applyAlignment="1">
      <alignment horizontal="center"/>
    </xf>
    <xf numFmtId="10" fontId="28" fillId="2" borderId="0" xfId="3" applyNumberFormat="1" applyFont="1" applyFill="1" applyBorder="1" applyAlignment="1">
      <alignment horizontal="center"/>
    </xf>
    <xf numFmtId="10" fontId="28" fillId="2" borderId="0" xfId="0" applyNumberFormat="1" applyFont="1" applyFill="1" applyBorder="1" applyAlignment="1">
      <alignment horizontal="center"/>
    </xf>
    <xf numFmtId="8" fontId="33" fillId="2" borderId="0" xfId="0" applyNumberFormat="1" applyFont="1" applyFill="1" applyBorder="1" applyAlignment="1">
      <alignment horizontal="center"/>
    </xf>
    <xf numFmtId="167" fontId="34" fillId="2" borderId="0" xfId="0" applyNumberFormat="1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6" fontId="34" fillId="2" borderId="7" xfId="0" applyNumberFormat="1" applyFont="1" applyFill="1" applyBorder="1" applyAlignment="1">
      <alignment horizontal="center"/>
    </xf>
    <xf numFmtId="10" fontId="34" fillId="2" borderId="0" xfId="0" applyNumberFormat="1" applyFont="1" applyFill="1" applyBorder="1" applyAlignment="1">
      <alignment horizontal="center"/>
    </xf>
    <xf numFmtId="0" fontId="34" fillId="2" borderId="0" xfId="0" applyFont="1" applyFill="1" applyBorder="1" applyAlignment="1">
      <alignment horizontal="left" vertical="top" wrapText="1"/>
    </xf>
    <xf numFmtId="0" fontId="2" fillId="34" borderId="20" xfId="0" applyFont="1" applyFill="1" applyBorder="1" applyAlignment="1">
      <alignment horizontal="center"/>
    </xf>
    <xf numFmtId="0" fontId="2" fillId="34" borderId="37" xfId="0" applyFont="1" applyFill="1" applyBorder="1" applyAlignment="1">
      <alignment horizontal="center"/>
    </xf>
    <xf numFmtId="0" fontId="34" fillId="34" borderId="20" xfId="0" applyFont="1" applyFill="1" applyBorder="1" applyAlignment="1">
      <alignment horizontal="center"/>
    </xf>
    <xf numFmtId="0" fontId="34" fillId="34" borderId="37" xfId="0" applyFont="1" applyFill="1" applyBorder="1" applyAlignment="1">
      <alignment horizontal="center"/>
    </xf>
    <xf numFmtId="167" fontId="7" fillId="2" borderId="21" xfId="0" applyNumberFormat="1" applyFont="1" applyFill="1" applyBorder="1" applyAlignment="1">
      <alignment horizontal="center"/>
    </xf>
    <xf numFmtId="167" fontId="7" fillId="2" borderId="22" xfId="0" applyNumberFormat="1" applyFont="1" applyFill="1" applyBorder="1" applyAlignment="1">
      <alignment horizontal="center"/>
    </xf>
    <xf numFmtId="167" fontId="7" fillId="2" borderId="23" xfId="0" applyNumberFormat="1" applyFont="1" applyFill="1" applyBorder="1" applyAlignment="1">
      <alignment horizontal="center"/>
    </xf>
    <xf numFmtId="167" fontId="7" fillId="2" borderId="38" xfId="0" applyNumberFormat="1" applyFont="1" applyFill="1" applyBorder="1" applyAlignment="1">
      <alignment horizontal="center"/>
    </xf>
    <xf numFmtId="167" fontId="7" fillId="2" borderId="39" xfId="0" applyNumberFormat="1" applyFont="1" applyFill="1" applyBorder="1" applyAlignment="1">
      <alignment horizontal="center"/>
    </xf>
    <xf numFmtId="167" fontId="7" fillId="2" borderId="32" xfId="0" applyNumberFormat="1" applyFont="1" applyFill="1" applyBorder="1" applyAlignment="1">
      <alignment horizontal="center"/>
    </xf>
  </cellXfs>
  <cellStyles count="91">
    <cellStyle name="20% - Accent1 2" xfId="25"/>
    <cellStyle name="20% - Accent2 2" xfId="29"/>
    <cellStyle name="20% - Accent3 2" xfId="33"/>
    <cellStyle name="20% - Accent4 2" xfId="37"/>
    <cellStyle name="20% - Accent5 2" xfId="41"/>
    <cellStyle name="20% - Accent6 2" xfId="45"/>
    <cellStyle name="40% - Accent1 2" xfId="26"/>
    <cellStyle name="40% - Accent2 2" xfId="30"/>
    <cellStyle name="40% - Accent3 2" xfId="34"/>
    <cellStyle name="40% - Accent4 2" xfId="38"/>
    <cellStyle name="40% - Accent5 2" xfId="42"/>
    <cellStyle name="40% - Accent6 2" xfId="46"/>
    <cellStyle name="60% - Accent1 2" xfId="27"/>
    <cellStyle name="60% - Accent2 2" xfId="31"/>
    <cellStyle name="60% - Accent3 2" xfId="35"/>
    <cellStyle name="60% - Accent4 2" xfId="39"/>
    <cellStyle name="60% - Accent5 2" xfId="43"/>
    <cellStyle name="60% - Accent6 2" xfId="47"/>
    <cellStyle name="Accent1 2" xfId="24"/>
    <cellStyle name="Accent2 2" xfId="28"/>
    <cellStyle name="Accent3 2" xfId="32"/>
    <cellStyle name="Accent4 2" xfId="36"/>
    <cellStyle name="Accent5 2" xfId="40"/>
    <cellStyle name="Accent6 2" xfId="44"/>
    <cellStyle name="Bad 2" xfId="13"/>
    <cellStyle name="Calculation 2" xfId="17"/>
    <cellStyle name="Check Cell 2" xfId="19"/>
    <cellStyle name="Comma" xfId="1" builtinId="3"/>
    <cellStyle name="Comma 2" xfId="7"/>
    <cellStyle name="Comma 2 2" xfId="49"/>
    <cellStyle name="Comma 3" xfId="50"/>
    <cellStyle name="Comma 4" xfId="55"/>
    <cellStyle name="Comma 4 2" xfId="87"/>
    <cellStyle name="Comma 5" xfId="85"/>
    <cellStyle name="Currency [0] 2" xfId="57"/>
    <cellStyle name="Currency 10" xfId="64"/>
    <cellStyle name="Currency 11" xfId="67"/>
    <cellStyle name="Currency 12" xfId="68"/>
    <cellStyle name="Currency 13" xfId="69"/>
    <cellStyle name="Currency 14" xfId="70"/>
    <cellStyle name="Currency 15" xfId="71"/>
    <cellStyle name="Currency 16" xfId="72"/>
    <cellStyle name="Currency 17" xfId="73"/>
    <cellStyle name="Currency 18" xfId="74"/>
    <cellStyle name="Currency 19" xfId="75"/>
    <cellStyle name="Currency 2" xfId="53"/>
    <cellStyle name="Currency 20" xfId="76"/>
    <cellStyle name="Currency 21" xfId="77"/>
    <cellStyle name="Currency 22" xfId="78"/>
    <cellStyle name="Currency 23" xfId="79"/>
    <cellStyle name="Currency 24" xfId="80"/>
    <cellStyle name="Currency 25" xfId="81"/>
    <cellStyle name="Currency 26" xfId="82"/>
    <cellStyle name="Currency 27" xfId="86"/>
    <cellStyle name="Currency 28" xfId="88"/>
    <cellStyle name="Currency 3" xfId="56"/>
    <cellStyle name="Currency 4" xfId="61"/>
    <cellStyle name="Currency 5" xfId="63"/>
    <cellStyle name="Currency 6" xfId="62"/>
    <cellStyle name="Currency 7" xfId="66"/>
    <cellStyle name="Currency 8" xfId="60"/>
    <cellStyle name="Currency 9" xfId="65"/>
    <cellStyle name="Explanatory Text 2" xfId="22"/>
    <cellStyle name="Good 2" xfId="12"/>
    <cellStyle name="Heading 1 2" xfId="8"/>
    <cellStyle name="Heading 2 2" xfId="9"/>
    <cellStyle name="Heading 3 2" xfId="10"/>
    <cellStyle name="Heading 4 2" xfId="11"/>
    <cellStyle name="Hyperlink" xfId="2" builtinId="8"/>
    <cellStyle name="Input 2" xfId="15"/>
    <cellStyle name="Linked Cell 2" xfId="18"/>
    <cellStyle name="Neutral 2" xfId="14"/>
    <cellStyle name="Normal" xfId="0" builtinId="0"/>
    <cellStyle name="Normal 2" xfId="6"/>
    <cellStyle name="Normal 2 2" xfId="48"/>
    <cellStyle name="Normal 2 3" xfId="58"/>
    <cellStyle name="Normal 3" xfId="52"/>
    <cellStyle name="Normal 4" xfId="51"/>
    <cellStyle name="Normal 4 2" xfId="84"/>
    <cellStyle name="Normal 5" xfId="54"/>
    <cellStyle name="Normal 5 2" xfId="83"/>
    <cellStyle name="Normal 5 2 2" xfId="89"/>
    <cellStyle name="Normal 6" xfId="5"/>
    <cellStyle name="Normal 7" xfId="90"/>
    <cellStyle name="Note 2" xfId="21"/>
    <cellStyle name="Output 2" xfId="16"/>
    <cellStyle name="Percent" xfId="3" builtinId="5"/>
    <cellStyle name="Percent 2" xfId="59"/>
    <cellStyle name="Title" xfId="4" builtinId="15" customBuiltin="1"/>
    <cellStyle name="Total 2" xfId="23"/>
    <cellStyle name="Warning Text 2" xfId="2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hools.utah.gov/data/Educational-Data/Student-Enrollment-and-Membership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hools.utah.gov/data/Educational-Data/Student-Enrollment-and-Membership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51"/>
  <sheetViews>
    <sheetView tabSelected="1" zoomScale="130" zoomScaleNormal="130" workbookViewId="0">
      <selection activeCell="J22" sqref="J22"/>
    </sheetView>
  </sheetViews>
  <sheetFormatPr defaultRowHeight="12.75" x14ac:dyDescent="0.2"/>
  <cols>
    <col min="1" max="1" width="2.28515625" style="39" customWidth="1"/>
    <col min="2" max="2" width="1.42578125" style="39" customWidth="1"/>
    <col min="3" max="3" width="8.140625" style="39" customWidth="1"/>
    <col min="4" max="21" width="10.7109375" style="39" customWidth="1"/>
    <col min="22" max="22" width="1.85546875" style="39" customWidth="1"/>
    <col min="23" max="16384" width="9.140625" style="39"/>
  </cols>
  <sheetData>
    <row r="1" spans="2:22" ht="13.5" thickBot="1" x14ac:dyDescent="0.25">
      <c r="B1" s="40" t="s">
        <v>57</v>
      </c>
    </row>
    <row r="2" spans="2:22" ht="13.5" thickBot="1" x14ac:dyDescent="0.25">
      <c r="B2" s="64"/>
      <c r="C2" s="65"/>
      <c r="D2" s="65"/>
      <c r="E2" s="65"/>
      <c r="F2" s="81" t="s">
        <v>26</v>
      </c>
      <c r="G2" s="82"/>
      <c r="H2" s="65"/>
      <c r="I2" s="65"/>
      <c r="J2" s="65"/>
      <c r="K2" s="65"/>
      <c r="L2" s="82" t="s">
        <v>0</v>
      </c>
      <c r="M2" s="65"/>
      <c r="N2" s="65"/>
      <c r="O2" s="65"/>
      <c r="P2" s="65"/>
      <c r="Q2" s="65"/>
      <c r="R2" s="65"/>
      <c r="S2" s="65"/>
      <c r="T2" s="65"/>
      <c r="U2" s="65"/>
      <c r="V2" s="66"/>
    </row>
    <row r="3" spans="2:22" ht="15" customHeight="1" x14ac:dyDescent="0.2">
      <c r="B3" s="67"/>
      <c r="C3" s="11"/>
      <c r="D3" s="95" t="s">
        <v>55</v>
      </c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83" t="s">
        <v>1</v>
      </c>
      <c r="S3" s="84"/>
      <c r="T3" s="84"/>
      <c r="U3" s="85"/>
      <c r="V3" s="68"/>
    </row>
    <row r="4" spans="2:22" x14ac:dyDescent="0.2">
      <c r="B4" s="67"/>
      <c r="C4" s="11"/>
      <c r="D4" s="12" t="s">
        <v>2</v>
      </c>
      <c r="E4" s="7">
        <v>1</v>
      </c>
      <c r="F4" s="7">
        <v>2</v>
      </c>
      <c r="G4" s="7">
        <v>3</v>
      </c>
      <c r="H4" s="7">
        <v>4</v>
      </c>
      <c r="I4" s="7">
        <v>5</v>
      </c>
      <c r="J4" s="7">
        <v>6</v>
      </c>
      <c r="K4" s="7">
        <v>7</v>
      </c>
      <c r="L4" s="7">
        <v>8</v>
      </c>
      <c r="M4" s="7">
        <v>9</v>
      </c>
      <c r="N4" s="7">
        <v>10</v>
      </c>
      <c r="O4" s="7">
        <v>11</v>
      </c>
      <c r="P4" s="7">
        <v>12</v>
      </c>
      <c r="Q4" s="8" t="s">
        <v>13</v>
      </c>
      <c r="R4" s="12" t="s">
        <v>3</v>
      </c>
      <c r="S4" s="7" t="s">
        <v>4</v>
      </c>
      <c r="T4" s="6" t="s">
        <v>13</v>
      </c>
      <c r="U4" s="4" t="s">
        <v>5</v>
      </c>
      <c r="V4" s="68"/>
    </row>
    <row r="5" spans="2:22" x14ac:dyDescent="0.2">
      <c r="B5" s="67"/>
      <c r="C5" s="41" t="s">
        <v>6</v>
      </c>
      <c r="D5" s="54">
        <v>2231.1</v>
      </c>
      <c r="E5" s="55">
        <v>2188.2611111111109</v>
      </c>
      <c r="F5" s="55">
        <v>2055.1666666666665</v>
      </c>
      <c r="G5" s="55">
        <v>2175.1833333333334</v>
      </c>
      <c r="H5" s="55">
        <v>2088.1999999999998</v>
      </c>
      <c r="I5" s="55">
        <v>2056.8222222222221</v>
      </c>
      <c r="J5" s="55">
        <v>1899.85</v>
      </c>
      <c r="K5" s="55">
        <v>1938.1777777777777</v>
      </c>
      <c r="L5" s="55">
        <v>1827.25</v>
      </c>
      <c r="M5" s="55">
        <v>1670.9333333333334</v>
      </c>
      <c r="N5" s="55">
        <v>1685.6222222222223</v>
      </c>
      <c r="O5" s="55">
        <v>1688.5666666666666</v>
      </c>
      <c r="P5" s="55">
        <v>1529.1166666666666</v>
      </c>
      <c r="Q5" s="60">
        <f t="shared" ref="Q5:Q9" si="0">SUM(D5:P5,R5)</f>
        <v>25456.394444444442</v>
      </c>
      <c r="R5" s="54">
        <v>422.14444444444445</v>
      </c>
      <c r="S5" s="55">
        <v>2156.8555555555554</v>
      </c>
      <c r="T5" s="5">
        <f t="shared" ref="T5:T9" si="1">SUM(R5:S5)</f>
        <v>2579</v>
      </c>
      <c r="U5" s="20">
        <f t="shared" ref="U5:U9" si="2">SUM(T5/Q5)</f>
        <v>0.10131049806084523</v>
      </c>
      <c r="V5" s="68"/>
    </row>
    <row r="6" spans="2:22" x14ac:dyDescent="0.2">
      <c r="B6" s="67"/>
      <c r="C6" s="41" t="s">
        <v>7</v>
      </c>
      <c r="D6" s="54">
        <v>2163.5777777777776</v>
      </c>
      <c r="E6" s="55">
        <v>2152.5166666666669</v>
      </c>
      <c r="F6" s="55">
        <v>2077.8000000000002</v>
      </c>
      <c r="G6" s="55">
        <v>1943.9722222222222</v>
      </c>
      <c r="H6" s="55">
        <v>2075.4333333333334</v>
      </c>
      <c r="I6" s="55">
        <v>2006.8</v>
      </c>
      <c r="J6" s="55">
        <v>1926.8722222222223</v>
      </c>
      <c r="K6" s="55">
        <v>1922.7277777777779</v>
      </c>
      <c r="L6" s="55">
        <v>1912.6888888888889</v>
      </c>
      <c r="M6" s="55">
        <v>1755.2111111111112</v>
      </c>
      <c r="N6" s="55">
        <v>1605.95</v>
      </c>
      <c r="O6" s="55">
        <v>1636.7611111111112</v>
      </c>
      <c r="P6" s="55">
        <v>1575.4222222222222</v>
      </c>
      <c r="Q6" s="60">
        <f t="shared" si="0"/>
        <v>25217.62777777778</v>
      </c>
      <c r="R6" s="54">
        <v>461.89444444444445</v>
      </c>
      <c r="S6" s="55">
        <v>2175.9</v>
      </c>
      <c r="T6" s="5">
        <f t="shared" si="1"/>
        <v>2637.7944444444447</v>
      </c>
      <c r="U6" s="20">
        <f t="shared" si="2"/>
        <v>0.10460121259974009</v>
      </c>
      <c r="V6" s="68"/>
    </row>
    <row r="7" spans="2:22" x14ac:dyDescent="0.2">
      <c r="B7" s="67"/>
      <c r="C7" s="41" t="s">
        <v>8</v>
      </c>
      <c r="D7" s="54">
        <v>2072.0444444444443</v>
      </c>
      <c r="E7" s="55">
        <v>2162.2555555555555</v>
      </c>
      <c r="F7" s="55">
        <v>2124.8055555555557</v>
      </c>
      <c r="G7" s="55">
        <v>2049.7611111111109</v>
      </c>
      <c r="H7" s="55">
        <v>1960.8277777777778</v>
      </c>
      <c r="I7" s="55">
        <v>2034.911111111111</v>
      </c>
      <c r="J7" s="55">
        <v>1956.4333333333334</v>
      </c>
      <c r="K7" s="55">
        <v>1967.4833333333333</v>
      </c>
      <c r="L7" s="55">
        <v>1914.6222222222223</v>
      </c>
      <c r="M7" s="55">
        <v>1835.9666666666667</v>
      </c>
      <c r="N7" s="55">
        <v>1716.7388888888888</v>
      </c>
      <c r="O7" s="55">
        <v>1578.9333333333334</v>
      </c>
      <c r="P7" s="55">
        <v>1610.8777777777777</v>
      </c>
      <c r="Q7" s="60">
        <f t="shared" si="0"/>
        <v>25532.333333333336</v>
      </c>
      <c r="R7" s="54">
        <v>546.67222222222222</v>
      </c>
      <c r="S7" s="55">
        <v>2143.8277777777776</v>
      </c>
      <c r="T7" s="5">
        <f t="shared" si="1"/>
        <v>2690.5</v>
      </c>
      <c r="U7" s="20">
        <f t="shared" si="2"/>
        <v>0.10537618966800265</v>
      </c>
      <c r="V7" s="68"/>
    </row>
    <row r="8" spans="2:22" x14ac:dyDescent="0.2">
      <c r="B8" s="67"/>
      <c r="C8" s="41" t="s">
        <v>9</v>
      </c>
      <c r="D8" s="54">
        <v>2159.1777777777779</v>
      </c>
      <c r="E8" s="55">
        <v>2039.4444444444443</v>
      </c>
      <c r="F8" s="55">
        <v>2140.25</v>
      </c>
      <c r="G8" s="55">
        <v>2108.5833333333335</v>
      </c>
      <c r="H8" s="55">
        <v>2045.9777777777779</v>
      </c>
      <c r="I8" s="55">
        <v>1962.5166666666667</v>
      </c>
      <c r="J8" s="55">
        <v>2057.5500000000002</v>
      </c>
      <c r="K8" s="55">
        <v>2001.5055555555555</v>
      </c>
      <c r="L8" s="55">
        <v>2011.5333333333333</v>
      </c>
      <c r="M8" s="55">
        <v>1901.7444444444445</v>
      </c>
      <c r="N8" s="55">
        <v>1843.6222222222223</v>
      </c>
      <c r="O8" s="55">
        <v>1680.6111111111111</v>
      </c>
      <c r="P8" s="55">
        <v>1514.588888888889</v>
      </c>
      <c r="Q8" s="60">
        <f t="shared" si="0"/>
        <v>26034.54444444444</v>
      </c>
      <c r="R8" s="54">
        <v>567.43888888888887</v>
      </c>
      <c r="S8" s="55">
        <v>2327.9055555555556</v>
      </c>
      <c r="T8" s="5">
        <f t="shared" si="1"/>
        <v>2895.3444444444444</v>
      </c>
      <c r="U8" s="20">
        <f t="shared" si="2"/>
        <v>0.11121164230942736</v>
      </c>
      <c r="V8" s="68"/>
    </row>
    <row r="9" spans="2:22" ht="13.5" thickBot="1" x14ac:dyDescent="0.25">
      <c r="B9" s="67"/>
      <c r="C9" s="41" t="s">
        <v>10</v>
      </c>
      <c r="D9" s="56">
        <v>2154.7111111111112</v>
      </c>
      <c r="E9" s="57">
        <v>2135.5166666666669</v>
      </c>
      <c r="F9" s="57">
        <v>1978.9388888888889</v>
      </c>
      <c r="G9" s="57">
        <v>2101.7888888888888</v>
      </c>
      <c r="H9" s="57">
        <v>2026.2944444444445</v>
      </c>
      <c r="I9" s="57">
        <v>2008.4277777777777</v>
      </c>
      <c r="J9" s="57">
        <v>1903.9</v>
      </c>
      <c r="K9" s="57">
        <v>1990.8611111111111</v>
      </c>
      <c r="L9" s="57">
        <v>2087.5611111111111</v>
      </c>
      <c r="M9" s="57">
        <v>2034.0166666666667</v>
      </c>
      <c r="N9" s="57">
        <v>1853.1333333333334</v>
      </c>
      <c r="O9" s="57">
        <v>1821.9166666666667</v>
      </c>
      <c r="P9" s="57">
        <v>1587.9166666666667</v>
      </c>
      <c r="Q9" s="61">
        <f t="shared" si="0"/>
        <v>26249.083333333336</v>
      </c>
      <c r="R9" s="58">
        <v>564.1</v>
      </c>
      <c r="S9" s="59">
        <v>2457.6669999999999</v>
      </c>
      <c r="T9" s="9">
        <f t="shared" si="1"/>
        <v>3021.7669999999998</v>
      </c>
      <c r="U9" s="21">
        <f t="shared" si="2"/>
        <v>0.11511895336027606</v>
      </c>
      <c r="V9" s="68"/>
    </row>
    <row r="10" spans="2:22" x14ac:dyDescent="0.2">
      <c r="B10" s="67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68"/>
    </row>
    <row r="11" spans="2:22" x14ac:dyDescent="0.2">
      <c r="B11" s="6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68"/>
    </row>
    <row r="12" spans="2:22" x14ac:dyDescent="0.2">
      <c r="B12" s="67"/>
      <c r="C12" s="11"/>
      <c r="D12" s="1" t="s">
        <v>42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68"/>
    </row>
    <row r="13" spans="2:22" x14ac:dyDescent="0.2">
      <c r="B13" s="67"/>
      <c r="C13" s="11"/>
      <c r="D13" s="86">
        <f>SUM(T5:T9)/5</f>
        <v>2764.8811777777778</v>
      </c>
      <c r="E13" s="87"/>
      <c r="F13" s="2" t="s">
        <v>14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68"/>
    </row>
    <row r="14" spans="2:22" x14ac:dyDescent="0.2">
      <c r="B14" s="67"/>
      <c r="C14" s="53" t="s">
        <v>11</v>
      </c>
      <c r="D14" s="88">
        <v>2659</v>
      </c>
      <c r="E14" s="89"/>
      <c r="F14" s="2" t="s">
        <v>15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68"/>
    </row>
    <row r="15" spans="2:22" ht="13.5" thickBot="1" x14ac:dyDescent="0.25">
      <c r="B15" s="67"/>
      <c r="C15" s="53" t="s">
        <v>12</v>
      </c>
      <c r="D15" s="90">
        <f>D13*D14</f>
        <v>7351819.0517111113</v>
      </c>
      <c r="E15" s="90"/>
      <c r="F15" s="3" t="s">
        <v>16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68"/>
    </row>
    <row r="16" spans="2:22" ht="13.5" thickTop="1" x14ac:dyDescent="0.2">
      <c r="B16" s="6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68"/>
    </row>
    <row r="17" spans="2:22" x14ac:dyDescent="0.2">
      <c r="B17" s="67"/>
      <c r="C17" s="16"/>
      <c r="D17" s="13" t="s">
        <v>17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1"/>
      <c r="R17" s="11"/>
      <c r="S17" s="11"/>
      <c r="T17" s="11"/>
      <c r="U17" s="11"/>
      <c r="V17" s="68"/>
    </row>
    <row r="18" spans="2:22" x14ac:dyDescent="0.2">
      <c r="B18" s="67"/>
      <c r="C18" s="16"/>
      <c r="D18" s="92">
        <v>2962.4630000000002</v>
      </c>
      <c r="E18" s="93"/>
      <c r="F18" s="10" t="s">
        <v>18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1"/>
      <c r="R18" s="11"/>
      <c r="S18" s="11"/>
      <c r="T18" s="11"/>
      <c r="U18" s="11"/>
      <c r="V18" s="68"/>
    </row>
    <row r="19" spans="2:22" x14ac:dyDescent="0.2">
      <c r="B19" s="67"/>
      <c r="C19" s="16"/>
      <c r="D19" s="94"/>
      <c r="E19" s="94"/>
      <c r="F19" s="10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1"/>
      <c r="R19" s="11"/>
      <c r="S19" s="11"/>
      <c r="T19" s="11"/>
      <c r="U19" s="11"/>
      <c r="V19" s="68"/>
    </row>
    <row r="20" spans="2:22" x14ac:dyDescent="0.2">
      <c r="B20" s="67"/>
      <c r="C20" s="16"/>
      <c r="D20" s="23" t="s">
        <v>24</v>
      </c>
      <c r="E20" s="19"/>
      <c r="F20" s="10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1"/>
      <c r="R20" s="11"/>
      <c r="S20" s="11"/>
      <c r="T20" s="11"/>
      <c r="U20" s="11"/>
      <c r="V20" s="68"/>
    </row>
    <row r="21" spans="2:22" x14ac:dyDescent="0.2">
      <c r="B21" s="67"/>
      <c r="C21" s="16"/>
      <c r="D21" s="91">
        <f>T8</f>
        <v>2895.3444444444444</v>
      </c>
      <c r="E21" s="94"/>
      <c r="F21" s="10" t="s">
        <v>20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1"/>
      <c r="R21" s="11"/>
      <c r="S21" s="11"/>
      <c r="T21" s="11"/>
      <c r="U21" s="11"/>
      <c r="V21" s="68"/>
    </row>
    <row r="22" spans="2:22" x14ac:dyDescent="0.2">
      <c r="B22" s="67"/>
      <c r="C22" s="16"/>
      <c r="D22" s="91">
        <f>T9</f>
        <v>3021.7669999999998</v>
      </c>
      <c r="E22" s="94"/>
      <c r="F22" s="10" t="s">
        <v>19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1"/>
      <c r="R22" s="11"/>
      <c r="S22" s="11"/>
      <c r="T22" s="11"/>
      <c r="U22" s="11"/>
      <c r="V22" s="68"/>
    </row>
    <row r="23" spans="2:22" x14ac:dyDescent="0.2">
      <c r="B23" s="67"/>
      <c r="C23" s="16"/>
      <c r="D23" s="22"/>
      <c r="E23" s="15" t="s">
        <v>37</v>
      </c>
      <c r="F23" s="10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1"/>
      <c r="R23" s="11"/>
      <c r="S23" s="11"/>
      <c r="T23" s="11"/>
      <c r="U23" s="11"/>
      <c r="V23" s="68"/>
    </row>
    <row r="24" spans="2:22" x14ac:dyDescent="0.2">
      <c r="B24" s="67"/>
      <c r="C24" s="16"/>
      <c r="D24" s="91">
        <f>IF(U8&gt;0.1218,(0.1218*D21/U8),D21)</f>
        <v>2895.3444444444444</v>
      </c>
      <c r="E24" s="91"/>
      <c r="F24" s="10" t="s">
        <v>22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1"/>
      <c r="R24" s="11"/>
      <c r="S24" s="11"/>
      <c r="T24" s="11"/>
      <c r="U24" s="11"/>
      <c r="V24" s="68"/>
    </row>
    <row r="25" spans="2:22" x14ac:dyDescent="0.2">
      <c r="B25" s="67"/>
      <c r="C25" s="16"/>
      <c r="D25" s="91">
        <f>IF(U9&gt;0.1218,(0.1218*D22/U9),D22)</f>
        <v>3021.7669999999998</v>
      </c>
      <c r="E25" s="91"/>
      <c r="F25" s="10" t="s">
        <v>21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1"/>
      <c r="R25" s="11"/>
      <c r="S25" s="11"/>
      <c r="T25" s="11"/>
      <c r="U25" s="11"/>
      <c r="V25" s="68"/>
    </row>
    <row r="26" spans="2:22" x14ac:dyDescent="0.2">
      <c r="B26" s="67"/>
      <c r="C26" s="16"/>
      <c r="D26" s="22"/>
      <c r="E26" s="19"/>
      <c r="F26" s="10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1"/>
      <c r="R26" s="11"/>
      <c r="S26" s="11"/>
      <c r="T26" s="11"/>
      <c r="U26" s="11"/>
      <c r="V26" s="68"/>
    </row>
    <row r="27" spans="2:22" x14ac:dyDescent="0.2">
      <c r="B27" s="67"/>
      <c r="C27" s="16"/>
      <c r="D27" s="102">
        <f>(D25-D24)/D24</f>
        <v>4.3664081418061891E-2</v>
      </c>
      <c r="E27" s="102"/>
      <c r="F27" s="10" t="s">
        <v>23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1"/>
      <c r="R27" s="11"/>
      <c r="S27" s="11"/>
      <c r="T27" s="11"/>
      <c r="U27" s="11"/>
      <c r="V27" s="68"/>
    </row>
    <row r="28" spans="2:22" x14ac:dyDescent="0.2">
      <c r="B28" s="67"/>
      <c r="C28" s="16"/>
      <c r="D28" s="91"/>
      <c r="E28" s="91"/>
      <c r="F28" s="10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1"/>
      <c r="R28" s="11"/>
      <c r="S28" s="11"/>
      <c r="T28" s="11"/>
      <c r="U28" s="11"/>
      <c r="V28" s="68"/>
    </row>
    <row r="29" spans="2:22" x14ac:dyDescent="0.2">
      <c r="B29" s="67"/>
      <c r="C29" s="16"/>
      <c r="D29" s="24" t="s">
        <v>25</v>
      </c>
      <c r="E29" s="22"/>
      <c r="F29" s="10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1"/>
      <c r="R29" s="11"/>
      <c r="S29" s="11"/>
      <c r="T29" s="11"/>
      <c r="U29" s="11"/>
      <c r="V29" s="68"/>
    </row>
    <row r="30" spans="2:22" x14ac:dyDescent="0.2">
      <c r="B30" s="67"/>
      <c r="C30" s="16"/>
      <c r="D30" s="91">
        <f>Q8</f>
        <v>26034.54444444444</v>
      </c>
      <c r="E30" s="91"/>
      <c r="F30" s="10" t="s">
        <v>39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1"/>
      <c r="R30" s="11"/>
      <c r="S30" s="11"/>
      <c r="T30" s="11"/>
      <c r="U30" s="11"/>
      <c r="V30" s="68"/>
    </row>
    <row r="31" spans="2:22" x14ac:dyDescent="0.2">
      <c r="B31" s="67"/>
      <c r="C31" s="16"/>
      <c r="D31" s="91">
        <f>Q9</f>
        <v>26249.083333333336</v>
      </c>
      <c r="E31" s="91"/>
      <c r="F31" s="10" t="s">
        <v>40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1"/>
      <c r="R31" s="11"/>
      <c r="S31" s="11"/>
      <c r="T31" s="11"/>
      <c r="U31" s="11"/>
      <c r="V31" s="68"/>
    </row>
    <row r="32" spans="2:22" x14ac:dyDescent="0.2">
      <c r="B32" s="67"/>
      <c r="C32" s="16"/>
      <c r="D32" s="22"/>
      <c r="E32" s="22"/>
      <c r="F32" s="10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1"/>
      <c r="R32" s="11"/>
      <c r="S32" s="11"/>
      <c r="T32" s="11"/>
      <c r="U32" s="11"/>
      <c r="V32" s="68"/>
    </row>
    <row r="33" spans="2:22" x14ac:dyDescent="0.2">
      <c r="B33" s="67"/>
      <c r="C33" s="16"/>
      <c r="D33" s="103">
        <f>(D31-D30)/D30</f>
        <v>8.2405470680197157E-3</v>
      </c>
      <c r="E33" s="103"/>
      <c r="F33" s="10" t="s">
        <v>41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1"/>
      <c r="R33" s="11"/>
      <c r="S33" s="11"/>
      <c r="T33" s="11"/>
      <c r="U33" s="11"/>
      <c r="V33" s="68"/>
    </row>
    <row r="34" spans="2:22" x14ac:dyDescent="0.2">
      <c r="B34" s="67"/>
      <c r="C34" s="16"/>
      <c r="D34" s="14"/>
      <c r="E34" s="14"/>
      <c r="F34" s="10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1"/>
      <c r="R34" s="33"/>
      <c r="S34" s="11"/>
      <c r="T34" s="11"/>
      <c r="U34" s="11"/>
      <c r="V34" s="68"/>
    </row>
    <row r="35" spans="2:22" x14ac:dyDescent="0.2">
      <c r="B35" s="67"/>
      <c r="C35" s="16"/>
      <c r="D35" s="26" t="s">
        <v>27</v>
      </c>
      <c r="E35" s="14"/>
      <c r="F35" s="10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1"/>
      <c r="R35" s="33"/>
      <c r="S35" s="11"/>
      <c r="T35" s="11"/>
      <c r="U35" s="11"/>
      <c r="V35" s="68"/>
    </row>
    <row r="36" spans="2:22" x14ac:dyDescent="0.2">
      <c r="B36" s="67"/>
      <c r="C36" s="16"/>
      <c r="D36" s="101">
        <f>IF(D27&lt;D33,D27,D33)</f>
        <v>8.2405470680197157E-3</v>
      </c>
      <c r="E36" s="101"/>
      <c r="F36" s="10" t="s">
        <v>28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1"/>
      <c r="R36" s="33"/>
      <c r="S36" s="11"/>
      <c r="T36" s="11"/>
      <c r="U36" s="11"/>
      <c r="V36" s="68"/>
    </row>
    <row r="37" spans="2:22" x14ac:dyDescent="0.2">
      <c r="B37" s="67"/>
      <c r="C37" s="16"/>
      <c r="D37" s="14"/>
      <c r="E37" s="14"/>
      <c r="F37" s="10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1"/>
      <c r="R37" s="33"/>
      <c r="S37" s="11"/>
      <c r="T37" s="11"/>
      <c r="U37" s="11"/>
      <c r="V37" s="68"/>
    </row>
    <row r="38" spans="2:22" x14ac:dyDescent="0.2">
      <c r="B38" s="67"/>
      <c r="C38" s="16"/>
      <c r="D38" s="101">
        <f>IF(D36&gt;0,D25*D36,0)</f>
        <v>24.90101319208873</v>
      </c>
      <c r="E38" s="101"/>
      <c r="F38" s="10" t="s">
        <v>29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1"/>
      <c r="R38" s="33"/>
      <c r="S38" s="11"/>
      <c r="T38" s="11"/>
      <c r="U38" s="11"/>
      <c r="V38" s="68"/>
    </row>
    <row r="39" spans="2:22" x14ac:dyDescent="0.2">
      <c r="B39" s="67"/>
      <c r="C39" s="16"/>
      <c r="D39" s="101">
        <f>D38*1.53</f>
        <v>38.09855018389576</v>
      </c>
      <c r="E39" s="101"/>
      <c r="F39" s="10" t="s">
        <v>35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1"/>
      <c r="R39" s="33"/>
      <c r="S39" s="11"/>
      <c r="T39" s="11"/>
      <c r="U39" s="11"/>
      <c r="V39" s="68"/>
    </row>
    <row r="40" spans="2:22" x14ac:dyDescent="0.2">
      <c r="B40" s="67"/>
      <c r="C40" s="16"/>
      <c r="D40" s="27"/>
      <c r="E40" s="27"/>
      <c r="F40" s="10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1"/>
      <c r="R40" s="33"/>
      <c r="S40" s="11"/>
      <c r="T40" s="11"/>
      <c r="U40" s="11"/>
      <c r="V40" s="68"/>
    </row>
    <row r="41" spans="2:22" x14ac:dyDescent="0.2">
      <c r="B41" s="67"/>
      <c r="C41" s="16"/>
      <c r="D41" s="101">
        <f>D39+D18</f>
        <v>3000.5615501838961</v>
      </c>
      <c r="E41" s="101"/>
      <c r="F41" s="10" t="s">
        <v>30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1"/>
      <c r="R41" s="33"/>
      <c r="S41" s="11"/>
      <c r="T41" s="11"/>
      <c r="U41" s="11"/>
      <c r="V41" s="68"/>
    </row>
    <row r="42" spans="2:22" x14ac:dyDescent="0.2">
      <c r="B42" s="67"/>
      <c r="C42" s="16"/>
      <c r="D42" s="28"/>
      <c r="E42" s="28"/>
      <c r="F42" s="10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1"/>
      <c r="R42" s="33"/>
      <c r="S42" s="11"/>
      <c r="T42" s="11"/>
      <c r="U42" s="11"/>
      <c r="V42" s="68"/>
    </row>
    <row r="43" spans="2:22" x14ac:dyDescent="0.2">
      <c r="B43" s="67"/>
      <c r="C43" s="16"/>
      <c r="D43" s="26" t="s">
        <v>34</v>
      </c>
      <c r="E43" s="14"/>
      <c r="F43" s="10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1"/>
      <c r="R43" s="33"/>
      <c r="S43" s="11"/>
      <c r="T43" s="11"/>
      <c r="U43" s="11"/>
      <c r="V43" s="68"/>
    </row>
    <row r="44" spans="2:22" x14ac:dyDescent="0.2">
      <c r="B44" s="67"/>
      <c r="C44" s="16"/>
      <c r="D44" s="91">
        <f>IF(D27&lt;0,D41*D27,0)</f>
        <v>0</v>
      </c>
      <c r="E44" s="91"/>
      <c r="F44" s="10" t="s">
        <v>31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1"/>
      <c r="R44" s="33"/>
      <c r="S44" s="11"/>
      <c r="T44" s="11"/>
      <c r="U44" s="11"/>
      <c r="V44" s="68"/>
    </row>
    <row r="45" spans="2:22" x14ac:dyDescent="0.2">
      <c r="B45" s="67"/>
      <c r="C45" s="16"/>
      <c r="D45" s="22"/>
      <c r="E45" s="22"/>
      <c r="F45" s="10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1"/>
      <c r="R45" s="33"/>
      <c r="S45" s="11"/>
      <c r="T45" s="11"/>
      <c r="U45" s="11"/>
      <c r="V45" s="68"/>
    </row>
    <row r="46" spans="2:22" x14ac:dyDescent="0.2">
      <c r="B46" s="67"/>
      <c r="C46" s="16"/>
      <c r="D46" s="24" t="s">
        <v>38</v>
      </c>
      <c r="E46" s="22"/>
      <c r="F46" s="10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1"/>
      <c r="R46" s="33"/>
      <c r="S46" s="11"/>
      <c r="T46" s="11"/>
      <c r="U46" s="11"/>
      <c r="V46" s="68"/>
    </row>
    <row r="47" spans="2:22" x14ac:dyDescent="0.2">
      <c r="B47" s="67"/>
      <c r="C47" s="16"/>
      <c r="D47" s="100">
        <f>IF(D41+D44&lt;D13,D13,D41+D44)</f>
        <v>3000.5615501838961</v>
      </c>
      <c r="E47" s="100"/>
      <c r="F47" s="10" t="s">
        <v>36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1"/>
      <c r="R47" s="33"/>
      <c r="S47" s="11"/>
      <c r="T47" s="11"/>
      <c r="U47" s="11"/>
      <c r="V47" s="68"/>
    </row>
    <row r="48" spans="2:22" x14ac:dyDescent="0.2">
      <c r="B48" s="67"/>
      <c r="C48" s="18" t="s">
        <v>11</v>
      </c>
      <c r="D48" s="98">
        <f>D14</f>
        <v>2659</v>
      </c>
      <c r="E48" s="98"/>
      <c r="F48" s="10" t="s">
        <v>32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1"/>
      <c r="R48" s="33"/>
      <c r="S48" s="11"/>
      <c r="T48" s="11"/>
      <c r="U48" s="11"/>
      <c r="V48" s="68"/>
    </row>
    <row r="49" spans="2:22" ht="21.75" customHeight="1" thickBot="1" x14ac:dyDescent="0.25">
      <c r="B49" s="67"/>
      <c r="C49" s="18" t="s">
        <v>12</v>
      </c>
      <c r="D49" s="99">
        <f>D47*D48</f>
        <v>7978493.1619389793</v>
      </c>
      <c r="E49" s="99"/>
      <c r="F49" s="16" t="s">
        <v>33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1"/>
      <c r="R49" s="33"/>
      <c r="S49" s="11"/>
      <c r="T49" s="11"/>
      <c r="U49" s="11"/>
      <c r="V49" s="68"/>
    </row>
    <row r="50" spans="2:22" ht="13.5" thickTop="1" x14ac:dyDescent="0.2">
      <c r="B50" s="67"/>
      <c r="C50" s="18"/>
      <c r="D50" s="17"/>
      <c r="E50" s="17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1"/>
      <c r="R50" s="33"/>
      <c r="S50" s="11"/>
      <c r="T50" s="11"/>
      <c r="U50" s="11"/>
      <c r="V50" s="68"/>
    </row>
    <row r="51" spans="2:22" ht="13.5" thickBot="1" x14ac:dyDescent="0.25">
      <c r="B51" s="69"/>
      <c r="C51" s="70"/>
      <c r="D51" s="70"/>
      <c r="E51" s="70"/>
      <c r="F51" s="70"/>
      <c r="G51" s="71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2"/>
    </row>
  </sheetData>
  <mergeCells count="24">
    <mergeCell ref="D31:E31"/>
    <mergeCell ref="D33:E33"/>
    <mergeCell ref="D44:E44"/>
    <mergeCell ref="D48:E48"/>
    <mergeCell ref="D49:E49"/>
    <mergeCell ref="D47:E47"/>
    <mergeCell ref="D36:E36"/>
    <mergeCell ref="D38:E38"/>
    <mergeCell ref="D41:E41"/>
    <mergeCell ref="D39:E39"/>
    <mergeCell ref="R3:U3"/>
    <mergeCell ref="D13:E13"/>
    <mergeCell ref="D14:E14"/>
    <mergeCell ref="D15:E15"/>
    <mergeCell ref="D30:E30"/>
    <mergeCell ref="D18:E18"/>
    <mergeCell ref="D19:E19"/>
    <mergeCell ref="D21:E21"/>
    <mergeCell ref="D22:E22"/>
    <mergeCell ref="D24:E24"/>
    <mergeCell ref="D3:Q3"/>
    <mergeCell ref="D25:E25"/>
    <mergeCell ref="D27:E27"/>
    <mergeCell ref="D28:E28"/>
  </mergeCells>
  <conditionalFormatting sqref="U5:U9">
    <cfRule type="cellIs" dxfId="1" priority="1" operator="greaterThan">
      <formula>0.1218</formula>
    </cfRule>
  </conditionalFormatting>
  <hyperlinks>
    <hyperlink ref="L2" r:id="rId1"/>
  </hyperlinks>
  <pageMargins left="0.7" right="0.7" top="0.75" bottom="0.75" header="0.3" footer="0.3"/>
  <pageSetup orientation="landscape" r:id="rId2"/>
  <ignoredErrors>
    <ignoredError sqref="D33:E33 E30 E31 D3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67"/>
  <sheetViews>
    <sheetView zoomScale="130" zoomScaleNormal="130" workbookViewId="0">
      <selection activeCell="K21" sqref="K21"/>
    </sheetView>
  </sheetViews>
  <sheetFormatPr defaultRowHeight="12.75" x14ac:dyDescent="0.2"/>
  <cols>
    <col min="1" max="1" width="1.5703125" style="39" customWidth="1"/>
    <col min="2" max="2" width="2.7109375" style="39" customWidth="1"/>
    <col min="3" max="3" width="8.28515625" style="39" customWidth="1"/>
    <col min="4" max="16" width="9.7109375" style="39" customWidth="1"/>
    <col min="17" max="17" width="13.85546875" style="39" customWidth="1"/>
    <col min="18" max="21" width="11.5703125" style="39" customWidth="1"/>
    <col min="22" max="22" width="1.85546875" style="39" customWidth="1"/>
    <col min="23" max="16384" width="9.140625" style="39"/>
  </cols>
  <sheetData>
    <row r="2" spans="2:22" x14ac:dyDescent="0.2">
      <c r="B2" s="40" t="s">
        <v>58</v>
      </c>
    </row>
    <row r="3" spans="2:22" ht="13.5" thickBot="1" x14ac:dyDescent="0.25">
      <c r="B3" s="29"/>
      <c r="C3" s="25"/>
      <c r="D3" s="25"/>
      <c r="E3" s="25"/>
      <c r="F3" s="37" t="s">
        <v>26</v>
      </c>
      <c r="G3" s="38"/>
      <c r="H3" s="25"/>
      <c r="I3" s="25"/>
      <c r="J3" s="25"/>
      <c r="K3" s="25"/>
      <c r="L3" s="38" t="s">
        <v>0</v>
      </c>
      <c r="M3" s="25"/>
      <c r="N3" s="25"/>
      <c r="O3" s="25"/>
      <c r="P3" s="25"/>
      <c r="Q3" s="25"/>
      <c r="R3" s="25"/>
      <c r="S3" s="25"/>
      <c r="T3" s="25"/>
      <c r="U3" s="25"/>
      <c r="V3" s="30"/>
    </row>
    <row r="4" spans="2:22" ht="15" customHeight="1" x14ac:dyDescent="0.2">
      <c r="B4" s="31"/>
      <c r="C4" s="11"/>
      <c r="D4" s="117" t="s">
        <v>55</v>
      </c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9"/>
      <c r="R4" s="114" t="s">
        <v>1</v>
      </c>
      <c r="S4" s="115"/>
      <c r="T4" s="115"/>
      <c r="U4" s="116"/>
      <c r="V4" s="32"/>
    </row>
    <row r="5" spans="2:22" x14ac:dyDescent="0.2">
      <c r="B5" s="31"/>
      <c r="C5" s="11"/>
      <c r="D5" s="43" t="s">
        <v>2</v>
      </c>
      <c r="E5" s="63">
        <v>1</v>
      </c>
      <c r="F5" s="63">
        <v>2</v>
      </c>
      <c r="G5" s="63">
        <v>3</v>
      </c>
      <c r="H5" s="63">
        <v>4</v>
      </c>
      <c r="I5" s="63">
        <v>5</v>
      </c>
      <c r="J5" s="63">
        <v>6</v>
      </c>
      <c r="K5" s="63">
        <v>7</v>
      </c>
      <c r="L5" s="63">
        <v>8</v>
      </c>
      <c r="M5" s="63">
        <v>9</v>
      </c>
      <c r="N5" s="63">
        <v>10</v>
      </c>
      <c r="O5" s="63">
        <v>11</v>
      </c>
      <c r="P5" s="63">
        <v>12</v>
      </c>
      <c r="Q5" s="46" t="s">
        <v>13</v>
      </c>
      <c r="R5" s="45" t="s">
        <v>3</v>
      </c>
      <c r="S5" s="47" t="s">
        <v>4</v>
      </c>
      <c r="T5" s="47" t="s">
        <v>13</v>
      </c>
      <c r="U5" s="44" t="s">
        <v>5</v>
      </c>
      <c r="V5" s="32"/>
    </row>
    <row r="6" spans="2:22" x14ac:dyDescent="0.2">
      <c r="B6" s="31"/>
      <c r="C6" s="11" t="s">
        <v>6</v>
      </c>
      <c r="D6" s="73">
        <v>77.761111111111106</v>
      </c>
      <c r="E6" s="74">
        <v>74.788888888888891</v>
      </c>
      <c r="F6" s="74">
        <v>74.916666666666671</v>
      </c>
      <c r="G6" s="74">
        <v>74.933333333333337</v>
      </c>
      <c r="H6" s="74">
        <v>76.572222222222223</v>
      </c>
      <c r="I6" s="74">
        <v>72.638888888888886</v>
      </c>
      <c r="J6" s="74">
        <v>42.85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46">
        <f t="shared" ref="Q6:Q10" si="0">SUM(D6:P6,R6)</f>
        <v>496.46711111111119</v>
      </c>
      <c r="R6" s="77">
        <v>2.0059999999999998</v>
      </c>
      <c r="S6" s="78">
        <v>27.594000000000001</v>
      </c>
      <c r="T6" s="47">
        <f t="shared" ref="T6:T10" si="1">SUM(R6:S6)</f>
        <v>29.6</v>
      </c>
      <c r="U6" s="20">
        <f t="shared" ref="U6:U10" si="2">SUM(T6/Q6)</f>
        <v>5.9621270649236238E-2</v>
      </c>
      <c r="V6" s="32"/>
    </row>
    <row r="7" spans="2:22" x14ac:dyDescent="0.2">
      <c r="B7" s="31"/>
      <c r="C7" s="11" t="s">
        <v>7</v>
      </c>
      <c r="D7" s="73">
        <v>78.927777777777777</v>
      </c>
      <c r="E7" s="74">
        <v>73.944444444444443</v>
      </c>
      <c r="F7" s="74">
        <v>72.88333333333334</v>
      </c>
      <c r="G7" s="74">
        <v>72.99444444444444</v>
      </c>
      <c r="H7" s="74">
        <v>72.011111111111106</v>
      </c>
      <c r="I7" s="74">
        <v>71.927777777777777</v>
      </c>
      <c r="J7" s="74">
        <v>71.00555555555556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46">
        <f t="shared" si="0"/>
        <v>514.26144444444446</v>
      </c>
      <c r="R7" s="77">
        <v>0.56699999999999995</v>
      </c>
      <c r="S7" s="78">
        <v>37.667000000000002</v>
      </c>
      <c r="T7" s="47">
        <f t="shared" si="1"/>
        <v>38.234000000000002</v>
      </c>
      <c r="U7" s="20">
        <f t="shared" si="2"/>
        <v>7.4347397443539853E-2</v>
      </c>
      <c r="V7" s="32"/>
    </row>
    <row r="8" spans="2:22" x14ac:dyDescent="0.2">
      <c r="B8" s="31"/>
      <c r="C8" s="11" t="s">
        <v>8</v>
      </c>
      <c r="D8" s="73">
        <v>76.944444444444443</v>
      </c>
      <c r="E8" s="74">
        <v>76.444444444444443</v>
      </c>
      <c r="F8" s="74">
        <v>73.961111111111109</v>
      </c>
      <c r="G8" s="74">
        <v>74.727777777777774</v>
      </c>
      <c r="H8" s="74">
        <v>73.827777777777783</v>
      </c>
      <c r="I8" s="74">
        <v>73.05</v>
      </c>
      <c r="J8" s="74">
        <v>73.688888888888883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46">
        <f t="shared" si="0"/>
        <v>522.6444444444445</v>
      </c>
      <c r="R8" s="77">
        <v>0</v>
      </c>
      <c r="S8" s="78">
        <v>44.03</v>
      </c>
      <c r="T8" s="47">
        <f t="shared" si="1"/>
        <v>44.03</v>
      </c>
      <c r="U8" s="20">
        <f t="shared" si="2"/>
        <v>8.4244653259067132E-2</v>
      </c>
      <c r="V8" s="32"/>
    </row>
    <row r="9" spans="2:22" x14ac:dyDescent="0.2">
      <c r="B9" s="31"/>
      <c r="C9" s="11" t="s">
        <v>9</v>
      </c>
      <c r="D9" s="73">
        <v>77.288888888888891</v>
      </c>
      <c r="E9" s="74">
        <v>74.2</v>
      </c>
      <c r="F9" s="74">
        <v>72.811111111111117</v>
      </c>
      <c r="G9" s="74">
        <v>75.933333333333337</v>
      </c>
      <c r="H9" s="74">
        <v>73.988888888888894</v>
      </c>
      <c r="I9" s="74">
        <v>76.166666666666671</v>
      </c>
      <c r="J9" s="74">
        <v>73.599999999999994</v>
      </c>
      <c r="K9" s="74">
        <v>0</v>
      </c>
      <c r="L9" s="74">
        <v>0</v>
      </c>
      <c r="M9" s="74">
        <v>0</v>
      </c>
      <c r="N9" s="74">
        <v>0</v>
      </c>
      <c r="O9" s="74">
        <v>0</v>
      </c>
      <c r="P9" s="74">
        <v>0</v>
      </c>
      <c r="Q9" s="46">
        <f t="shared" si="0"/>
        <v>524.98888888888894</v>
      </c>
      <c r="R9" s="73">
        <v>1</v>
      </c>
      <c r="S9" s="74">
        <v>47.727777777777774</v>
      </c>
      <c r="T9" s="47">
        <f t="shared" si="1"/>
        <v>48.727777777777774</v>
      </c>
      <c r="U9" s="20">
        <f t="shared" si="2"/>
        <v>9.2816779191093976E-2</v>
      </c>
      <c r="V9" s="32"/>
    </row>
    <row r="10" spans="2:22" ht="13.5" thickBot="1" x14ac:dyDescent="0.25">
      <c r="B10" s="31"/>
      <c r="C10" s="11" t="s">
        <v>10</v>
      </c>
      <c r="D10" s="75">
        <v>77.788888888888891</v>
      </c>
      <c r="E10" s="76">
        <v>75</v>
      </c>
      <c r="F10" s="76">
        <v>72.766666666666666</v>
      </c>
      <c r="G10" s="76">
        <v>75</v>
      </c>
      <c r="H10" s="76">
        <v>75</v>
      </c>
      <c r="I10" s="76">
        <v>73.322222222222223</v>
      </c>
      <c r="J10" s="76">
        <v>74.644444444444446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62">
        <f t="shared" si="0"/>
        <v>526.20022222222212</v>
      </c>
      <c r="R10" s="79">
        <v>2.6779999999999999</v>
      </c>
      <c r="S10" s="80">
        <v>50.427999999999997</v>
      </c>
      <c r="T10" s="42">
        <f t="shared" si="1"/>
        <v>53.105999999999995</v>
      </c>
      <c r="U10" s="21">
        <f t="shared" si="2"/>
        <v>0.10092356057115565</v>
      </c>
      <c r="V10" s="32"/>
    </row>
    <row r="11" spans="2:22" x14ac:dyDescent="0.2">
      <c r="B11" s="3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32"/>
    </row>
    <row r="12" spans="2:22" x14ac:dyDescent="0.2">
      <c r="B12" s="3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32"/>
    </row>
    <row r="13" spans="2:22" x14ac:dyDescent="0.2">
      <c r="B13" s="31"/>
      <c r="C13" s="11"/>
      <c r="D13" s="1" t="s">
        <v>42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32"/>
    </row>
    <row r="14" spans="2:22" x14ac:dyDescent="0.2">
      <c r="B14" s="31"/>
      <c r="C14" s="11"/>
      <c r="D14" s="110">
        <v>5</v>
      </c>
      <c r="E14" s="111"/>
      <c r="F14" s="2" t="s">
        <v>43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32"/>
    </row>
    <row r="15" spans="2:22" x14ac:dyDescent="0.2">
      <c r="B15" s="31"/>
      <c r="C15" s="11"/>
      <c r="D15" s="86">
        <f>SUM(T6:T10)/D14</f>
        <v>42.739555555555555</v>
      </c>
      <c r="E15" s="87"/>
      <c r="F15" s="2" t="s">
        <v>14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32"/>
    </row>
    <row r="16" spans="2:22" x14ac:dyDescent="0.2">
      <c r="B16" s="31"/>
      <c r="C16" s="53" t="s">
        <v>11</v>
      </c>
      <c r="D16" s="88">
        <v>2659</v>
      </c>
      <c r="E16" s="89"/>
      <c r="F16" s="2" t="s">
        <v>15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32"/>
    </row>
    <row r="17" spans="2:22" ht="13.5" thickBot="1" x14ac:dyDescent="0.25">
      <c r="B17" s="31"/>
      <c r="C17" s="53" t="s">
        <v>12</v>
      </c>
      <c r="D17" s="90">
        <f>D15*D16</f>
        <v>113644.47822222221</v>
      </c>
      <c r="E17" s="90"/>
      <c r="F17" s="3" t="s">
        <v>16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32"/>
    </row>
    <row r="18" spans="2:22" ht="13.5" thickTop="1" x14ac:dyDescent="0.2">
      <c r="B18" s="3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32"/>
    </row>
    <row r="19" spans="2:22" x14ac:dyDescent="0.2">
      <c r="B19" s="31"/>
      <c r="C19" s="16"/>
      <c r="D19" s="13" t="s">
        <v>17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1"/>
      <c r="R19" s="11"/>
      <c r="S19" s="11"/>
      <c r="T19" s="11"/>
      <c r="U19" s="11"/>
      <c r="V19" s="32"/>
    </row>
    <row r="20" spans="2:22" x14ac:dyDescent="0.2">
      <c r="B20" s="31"/>
      <c r="C20" s="16"/>
      <c r="D20" s="92">
        <v>53.112000000000002</v>
      </c>
      <c r="E20" s="93"/>
      <c r="F20" s="10" t="s">
        <v>54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1"/>
      <c r="R20" s="11"/>
      <c r="S20" s="11"/>
      <c r="T20" s="11"/>
      <c r="U20" s="11"/>
      <c r="V20" s="32"/>
    </row>
    <row r="21" spans="2:22" x14ac:dyDescent="0.2">
      <c r="B21" s="31"/>
      <c r="C21" s="16"/>
      <c r="D21" s="94"/>
      <c r="E21" s="94"/>
      <c r="F21" s="10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1"/>
      <c r="R21" s="11"/>
      <c r="S21" s="11"/>
      <c r="T21" s="11"/>
      <c r="U21" s="11"/>
      <c r="V21" s="32"/>
    </row>
    <row r="22" spans="2:22" x14ac:dyDescent="0.2">
      <c r="B22" s="31"/>
      <c r="C22" s="16"/>
      <c r="D22" s="23" t="s">
        <v>24</v>
      </c>
      <c r="E22" s="19"/>
      <c r="F22" s="10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1"/>
      <c r="R22" s="11"/>
      <c r="S22" s="11"/>
      <c r="T22" s="11"/>
      <c r="U22" s="11"/>
      <c r="V22" s="32"/>
    </row>
    <row r="23" spans="2:22" x14ac:dyDescent="0.2">
      <c r="B23" s="31"/>
      <c r="C23" s="16"/>
      <c r="D23" s="91">
        <f>T9</f>
        <v>48.727777777777774</v>
      </c>
      <c r="E23" s="94"/>
      <c r="F23" s="10" t="s">
        <v>20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1"/>
      <c r="R23" s="11"/>
      <c r="S23" s="11"/>
      <c r="T23" s="11"/>
      <c r="U23" s="11"/>
      <c r="V23" s="32"/>
    </row>
    <row r="24" spans="2:22" x14ac:dyDescent="0.2">
      <c r="B24" s="31"/>
      <c r="C24" s="16"/>
      <c r="D24" s="91">
        <f>T10</f>
        <v>53.105999999999995</v>
      </c>
      <c r="E24" s="94"/>
      <c r="F24" s="10" t="s">
        <v>19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1"/>
      <c r="R24" s="11"/>
      <c r="S24" s="11"/>
      <c r="T24" s="11"/>
      <c r="U24" s="11"/>
      <c r="V24" s="32"/>
    </row>
    <row r="25" spans="2:22" x14ac:dyDescent="0.2">
      <c r="B25" s="31"/>
      <c r="C25" s="16"/>
      <c r="D25" s="22"/>
      <c r="E25" s="19"/>
      <c r="F25" s="10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1"/>
      <c r="R25" s="11"/>
      <c r="S25" s="11"/>
      <c r="T25" s="11"/>
      <c r="U25" s="11"/>
      <c r="V25" s="32"/>
    </row>
    <row r="26" spans="2:22" x14ac:dyDescent="0.2">
      <c r="B26" s="31"/>
      <c r="C26" s="16"/>
      <c r="D26" s="102">
        <f>(D24-D23)/D23</f>
        <v>8.9850644168281799E-2</v>
      </c>
      <c r="E26" s="102"/>
      <c r="F26" s="10" t="s">
        <v>44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1"/>
      <c r="R26" s="11"/>
      <c r="S26" s="11"/>
      <c r="T26" s="11"/>
      <c r="U26" s="11"/>
      <c r="V26" s="32"/>
    </row>
    <row r="27" spans="2:22" x14ac:dyDescent="0.2">
      <c r="B27" s="31"/>
      <c r="C27" s="16"/>
      <c r="D27" s="91"/>
      <c r="E27" s="91"/>
      <c r="F27" s="10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1"/>
      <c r="R27" s="11"/>
      <c r="S27" s="11"/>
      <c r="T27" s="11"/>
      <c r="U27" s="11"/>
      <c r="V27" s="32"/>
    </row>
    <row r="28" spans="2:22" x14ac:dyDescent="0.2">
      <c r="B28" s="31"/>
      <c r="C28" s="16"/>
      <c r="D28" s="24" t="s">
        <v>25</v>
      </c>
      <c r="E28" s="22"/>
      <c r="F28" s="10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1"/>
      <c r="R28" s="11"/>
      <c r="S28" s="11"/>
      <c r="T28" s="11"/>
      <c r="U28" s="11"/>
      <c r="V28" s="32"/>
    </row>
    <row r="29" spans="2:22" x14ac:dyDescent="0.2">
      <c r="B29" s="31"/>
      <c r="C29" s="16"/>
      <c r="D29" s="91">
        <f>Q9</f>
        <v>524.98888888888894</v>
      </c>
      <c r="E29" s="91"/>
      <c r="F29" s="10" t="s">
        <v>45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1"/>
      <c r="R29" s="11"/>
      <c r="S29" s="11"/>
      <c r="T29" s="11"/>
      <c r="U29" s="11"/>
      <c r="V29" s="32"/>
    </row>
    <row r="30" spans="2:22" x14ac:dyDescent="0.2">
      <c r="B30" s="31"/>
      <c r="C30" s="16"/>
      <c r="D30" s="91">
        <f>Q10</f>
        <v>526.20022222222212</v>
      </c>
      <c r="E30" s="91"/>
      <c r="F30" s="10" t="s">
        <v>46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1"/>
      <c r="R30" s="11"/>
      <c r="S30" s="11"/>
      <c r="T30" s="11"/>
      <c r="U30" s="11"/>
      <c r="V30" s="32"/>
    </row>
    <row r="31" spans="2:22" x14ac:dyDescent="0.2">
      <c r="B31" s="31"/>
      <c r="C31" s="16"/>
      <c r="D31" s="22"/>
      <c r="E31" s="22"/>
      <c r="F31" s="1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1"/>
      <c r="R31" s="11"/>
      <c r="S31" s="11"/>
      <c r="T31" s="11"/>
      <c r="U31" s="11"/>
      <c r="V31" s="32"/>
    </row>
    <row r="32" spans="2:22" x14ac:dyDescent="0.2">
      <c r="B32" s="31"/>
      <c r="C32" s="16"/>
      <c r="D32" s="103">
        <f>(D30-D29)/D29</f>
        <v>2.3073504201144316E-3</v>
      </c>
      <c r="E32" s="103"/>
      <c r="F32" s="10" t="s">
        <v>41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1"/>
      <c r="R32" s="11"/>
      <c r="S32" s="11"/>
      <c r="T32" s="11"/>
      <c r="U32" s="11"/>
      <c r="V32" s="32"/>
    </row>
    <row r="33" spans="2:22" x14ac:dyDescent="0.2">
      <c r="B33" s="31"/>
      <c r="C33" s="16"/>
      <c r="D33" s="14"/>
      <c r="E33" s="14"/>
      <c r="F33" s="10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1"/>
      <c r="R33" s="33"/>
      <c r="S33" s="11"/>
      <c r="T33" s="11"/>
      <c r="U33" s="11"/>
      <c r="V33" s="32"/>
    </row>
    <row r="34" spans="2:22" x14ac:dyDescent="0.2">
      <c r="B34" s="31"/>
      <c r="C34" s="16"/>
      <c r="D34" s="26" t="s">
        <v>27</v>
      </c>
      <c r="E34" s="14"/>
      <c r="F34" s="10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1"/>
      <c r="R34" s="33"/>
      <c r="S34" s="11"/>
      <c r="T34" s="11"/>
      <c r="U34" s="11"/>
      <c r="V34" s="32"/>
    </row>
    <row r="35" spans="2:22" x14ac:dyDescent="0.2">
      <c r="B35" s="31"/>
      <c r="C35" s="16"/>
      <c r="D35" s="101">
        <f>IF(D26&lt;D32,D26,D32)</f>
        <v>2.3073504201144316E-3</v>
      </c>
      <c r="E35" s="101"/>
      <c r="F35" s="10" t="s">
        <v>28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1"/>
      <c r="R35" s="33"/>
      <c r="S35" s="11"/>
      <c r="T35" s="11"/>
      <c r="U35" s="11"/>
      <c r="V35" s="32"/>
    </row>
    <row r="36" spans="2:22" x14ac:dyDescent="0.2">
      <c r="B36" s="31"/>
      <c r="C36" s="16"/>
      <c r="D36" s="14"/>
      <c r="E36" s="14"/>
      <c r="F36" s="10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1"/>
      <c r="R36" s="33"/>
      <c r="S36" s="11"/>
      <c r="T36" s="11"/>
      <c r="U36" s="11"/>
      <c r="V36" s="32"/>
    </row>
    <row r="37" spans="2:22" x14ac:dyDescent="0.2">
      <c r="B37" s="31"/>
      <c r="C37" s="16"/>
      <c r="D37" s="101">
        <f>IF(D35&gt;0,D24*D35,0)</f>
        <v>0.12253415141059699</v>
      </c>
      <c r="E37" s="101"/>
      <c r="F37" s="10" t="s">
        <v>29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1"/>
      <c r="R37" s="33"/>
      <c r="S37" s="11"/>
      <c r="T37" s="11"/>
      <c r="U37" s="11"/>
      <c r="V37" s="32"/>
    </row>
    <row r="38" spans="2:22" x14ac:dyDescent="0.2">
      <c r="B38" s="31"/>
      <c r="C38" s="16"/>
      <c r="D38" s="101">
        <f>D37*1.53</f>
        <v>0.18747725165821341</v>
      </c>
      <c r="E38" s="101"/>
      <c r="F38" s="10" t="s">
        <v>35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1"/>
      <c r="R38" s="33"/>
      <c r="S38" s="11"/>
      <c r="T38" s="11"/>
      <c r="U38" s="11"/>
      <c r="V38" s="32"/>
    </row>
    <row r="39" spans="2:22" x14ac:dyDescent="0.2">
      <c r="B39" s="31"/>
      <c r="C39" s="16"/>
      <c r="D39" s="27"/>
      <c r="E39" s="27"/>
      <c r="F39" s="10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1"/>
      <c r="R39" s="33"/>
      <c r="S39" s="11"/>
      <c r="T39" s="11"/>
      <c r="U39" s="11"/>
      <c r="V39" s="32"/>
    </row>
    <row r="40" spans="2:22" x14ac:dyDescent="0.2">
      <c r="B40" s="31"/>
      <c r="C40" s="16"/>
      <c r="D40" s="101">
        <f>D38+D20</f>
        <v>53.299477251658217</v>
      </c>
      <c r="E40" s="101"/>
      <c r="F40" s="10" t="s">
        <v>30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1"/>
      <c r="R40" s="33"/>
      <c r="S40" s="11"/>
      <c r="T40" s="11"/>
      <c r="U40" s="11"/>
      <c r="V40" s="32"/>
    </row>
    <row r="41" spans="2:22" x14ac:dyDescent="0.2">
      <c r="B41" s="31"/>
      <c r="C41" s="16"/>
      <c r="D41" s="28"/>
      <c r="E41" s="28"/>
      <c r="F41" s="10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1"/>
      <c r="R41" s="33"/>
      <c r="S41" s="11"/>
      <c r="T41" s="11"/>
      <c r="U41" s="11"/>
      <c r="V41" s="32"/>
    </row>
    <row r="42" spans="2:22" x14ac:dyDescent="0.2">
      <c r="B42" s="31"/>
      <c r="C42" s="16"/>
      <c r="D42" s="26" t="s">
        <v>34</v>
      </c>
      <c r="E42" s="14"/>
      <c r="F42" s="10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1"/>
      <c r="R42" s="33"/>
      <c r="S42" s="11"/>
      <c r="T42" s="11"/>
      <c r="U42" s="11"/>
      <c r="V42" s="32"/>
    </row>
    <row r="43" spans="2:22" x14ac:dyDescent="0.2">
      <c r="B43" s="31"/>
      <c r="C43" s="16"/>
      <c r="D43" s="91">
        <f>IF(D26&lt;0,D40*D26,0)</f>
        <v>0</v>
      </c>
      <c r="E43" s="91"/>
      <c r="F43" s="10" t="s">
        <v>31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1"/>
      <c r="R43" s="33"/>
      <c r="S43" s="11"/>
      <c r="T43" s="11"/>
      <c r="U43" s="11"/>
      <c r="V43" s="32"/>
    </row>
    <row r="44" spans="2:22" x14ac:dyDescent="0.2">
      <c r="B44" s="31"/>
      <c r="C44" s="16"/>
      <c r="D44" s="22"/>
      <c r="E44" s="22"/>
      <c r="F44" s="10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1"/>
      <c r="R44" s="33"/>
      <c r="S44" s="11"/>
      <c r="T44" s="11"/>
      <c r="U44" s="11"/>
      <c r="V44" s="32"/>
    </row>
    <row r="45" spans="2:22" x14ac:dyDescent="0.2">
      <c r="B45" s="31"/>
      <c r="C45" s="16"/>
      <c r="D45" s="24" t="s">
        <v>38</v>
      </c>
      <c r="E45" s="22"/>
      <c r="F45" s="10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1"/>
      <c r="R45" s="33"/>
      <c r="S45" s="11"/>
      <c r="T45" s="11"/>
      <c r="U45" s="11"/>
      <c r="V45" s="32"/>
    </row>
    <row r="46" spans="2:22" x14ac:dyDescent="0.2">
      <c r="B46" s="31"/>
      <c r="C46" s="16"/>
      <c r="D46" s="100">
        <f>IF(D40+D43&lt;D15,D15,D40+D43)</f>
        <v>53.299477251658217</v>
      </c>
      <c r="E46" s="100"/>
      <c r="F46" s="10" t="s">
        <v>36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1"/>
      <c r="R46" s="33"/>
      <c r="S46" s="11"/>
      <c r="T46" s="11"/>
      <c r="U46" s="11"/>
      <c r="V46" s="32"/>
    </row>
    <row r="47" spans="2:22" x14ac:dyDescent="0.2">
      <c r="B47" s="31"/>
      <c r="C47" s="18" t="s">
        <v>11</v>
      </c>
      <c r="D47" s="98">
        <f>D16</f>
        <v>2659</v>
      </c>
      <c r="E47" s="98"/>
      <c r="F47" s="10" t="s">
        <v>32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1"/>
      <c r="R47" s="33"/>
      <c r="S47" s="11"/>
      <c r="T47" s="11"/>
      <c r="U47" s="11"/>
      <c r="V47" s="32"/>
    </row>
    <row r="48" spans="2:22" ht="21.75" customHeight="1" thickBot="1" x14ac:dyDescent="0.25">
      <c r="B48" s="31"/>
      <c r="C48" s="18" t="s">
        <v>12</v>
      </c>
      <c r="D48" s="99">
        <f>D46*D47</f>
        <v>141723.3100121592</v>
      </c>
      <c r="E48" s="99"/>
      <c r="F48" s="16" t="s">
        <v>33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1"/>
      <c r="R48" s="33"/>
      <c r="S48" s="11"/>
      <c r="T48" s="11"/>
      <c r="U48" s="11"/>
      <c r="V48" s="32"/>
    </row>
    <row r="49" spans="2:22" ht="13.5" thickTop="1" x14ac:dyDescent="0.2">
      <c r="B49" s="31"/>
      <c r="C49" s="18"/>
      <c r="D49" s="17"/>
      <c r="E49" s="17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1"/>
      <c r="R49" s="33"/>
      <c r="S49" s="11"/>
      <c r="T49" s="11"/>
      <c r="U49" s="11"/>
      <c r="V49" s="32"/>
    </row>
    <row r="50" spans="2:22" x14ac:dyDescent="0.2">
      <c r="B50" s="31"/>
      <c r="C50" s="11"/>
      <c r="D50" s="11"/>
      <c r="E50" s="11"/>
      <c r="F50" s="11"/>
      <c r="G50" s="3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32"/>
    </row>
    <row r="51" spans="2:22" x14ac:dyDescent="0.2">
      <c r="B51" s="31"/>
      <c r="C51" s="11"/>
      <c r="D51" s="48" t="s">
        <v>47</v>
      </c>
      <c r="E51" s="49"/>
      <c r="F51" s="49"/>
      <c r="G51" s="49"/>
      <c r="H51" s="49"/>
      <c r="I51" s="49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32"/>
    </row>
    <row r="52" spans="2:22" x14ac:dyDescent="0.2">
      <c r="B52" s="31"/>
      <c r="C52" s="11"/>
      <c r="D52" s="112">
        <v>70</v>
      </c>
      <c r="E52" s="113"/>
      <c r="F52" s="49" t="s">
        <v>48</v>
      </c>
      <c r="G52" s="49"/>
      <c r="H52" s="49"/>
      <c r="I52" s="49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32"/>
    </row>
    <row r="53" spans="2:22" x14ac:dyDescent="0.2">
      <c r="B53" s="31"/>
      <c r="C53" s="11"/>
      <c r="D53" s="112">
        <v>100</v>
      </c>
      <c r="E53" s="113"/>
      <c r="F53" s="49" t="s">
        <v>49</v>
      </c>
      <c r="G53" s="49"/>
      <c r="H53" s="49"/>
      <c r="I53" s="49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32"/>
    </row>
    <row r="54" spans="2:22" x14ac:dyDescent="0.2">
      <c r="B54" s="31"/>
      <c r="C54" s="11"/>
      <c r="D54" s="49"/>
      <c r="E54" s="49"/>
      <c r="F54" s="49"/>
      <c r="G54" s="49"/>
      <c r="H54" s="49"/>
      <c r="I54" s="49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32"/>
    </row>
    <row r="55" spans="2:22" x14ac:dyDescent="0.2">
      <c r="B55" s="31"/>
      <c r="C55" s="11"/>
      <c r="D55" s="108">
        <f>U10</f>
        <v>0.10092356057115565</v>
      </c>
      <c r="E55" s="106"/>
      <c r="F55" s="49" t="s">
        <v>52</v>
      </c>
      <c r="G55" s="49"/>
      <c r="H55" s="49"/>
      <c r="I55" s="49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32"/>
    </row>
    <row r="56" spans="2:22" x14ac:dyDescent="0.2">
      <c r="B56" s="31"/>
      <c r="C56" s="11"/>
      <c r="D56" s="50"/>
      <c r="E56" s="51"/>
      <c r="F56" s="49"/>
      <c r="G56" s="49"/>
      <c r="H56" s="49"/>
      <c r="I56" s="49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32"/>
    </row>
    <row r="57" spans="2:22" x14ac:dyDescent="0.2">
      <c r="B57" s="31"/>
      <c r="C57" s="11"/>
      <c r="D57" s="105">
        <f>SUM(D52:E53)*U10</f>
        <v>17.157005297096461</v>
      </c>
      <c r="E57" s="105"/>
      <c r="F57" s="49" t="s">
        <v>50</v>
      </c>
      <c r="G57" s="49"/>
      <c r="H57" s="49"/>
      <c r="I57" s="49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32"/>
    </row>
    <row r="58" spans="2:22" x14ac:dyDescent="0.2">
      <c r="B58" s="31"/>
      <c r="C58" s="11"/>
      <c r="D58" s="49"/>
      <c r="E58" s="49"/>
      <c r="F58" s="49"/>
      <c r="G58" s="49"/>
      <c r="H58" s="49"/>
      <c r="I58" s="49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32"/>
    </row>
    <row r="59" spans="2:22" x14ac:dyDescent="0.2">
      <c r="B59" s="31"/>
      <c r="C59" s="11"/>
      <c r="D59" s="105">
        <f>D57</f>
        <v>17.157005297096461</v>
      </c>
      <c r="E59" s="106"/>
      <c r="F59" s="49" t="s">
        <v>51</v>
      </c>
      <c r="G59" s="49"/>
      <c r="H59" s="49"/>
      <c r="I59" s="49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32"/>
    </row>
    <row r="60" spans="2:22" x14ac:dyDescent="0.2">
      <c r="B60" s="31"/>
      <c r="C60" s="52" t="s">
        <v>11</v>
      </c>
      <c r="D60" s="107">
        <f>D16</f>
        <v>2659</v>
      </c>
      <c r="E60" s="107"/>
      <c r="F60" s="49" t="s">
        <v>32</v>
      </c>
      <c r="G60" s="48"/>
      <c r="H60" s="48"/>
      <c r="I60" s="48"/>
      <c r="J60" s="16"/>
      <c r="K60" s="16"/>
      <c r="L60" s="16"/>
      <c r="M60" s="16"/>
      <c r="N60" s="16"/>
      <c r="O60" s="16"/>
      <c r="P60" s="16"/>
      <c r="Q60" s="11"/>
      <c r="R60" s="33"/>
      <c r="S60" s="11"/>
      <c r="T60" s="11"/>
      <c r="U60" s="11"/>
      <c r="V60" s="32"/>
    </row>
    <row r="61" spans="2:22" x14ac:dyDescent="0.2">
      <c r="B61" s="31"/>
      <c r="C61" s="52" t="s">
        <v>12</v>
      </c>
      <c r="D61" s="104">
        <f>D57*D47</f>
        <v>45620.477084979488</v>
      </c>
      <c r="E61" s="104"/>
      <c r="F61" s="48" t="s">
        <v>56</v>
      </c>
      <c r="G61" s="49"/>
      <c r="H61" s="49"/>
      <c r="I61" s="49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32"/>
    </row>
    <row r="62" spans="2:22" x14ac:dyDescent="0.2">
      <c r="B62" s="3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32"/>
    </row>
    <row r="63" spans="2:22" x14ac:dyDescent="0.2">
      <c r="B63" s="3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32"/>
    </row>
    <row r="64" spans="2:22" x14ac:dyDescent="0.2">
      <c r="B64" s="31"/>
      <c r="C64" s="11"/>
      <c r="D64" s="11"/>
      <c r="E64" s="11"/>
      <c r="F64" s="109" t="s">
        <v>53</v>
      </c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32"/>
    </row>
    <row r="65" spans="2:22" x14ac:dyDescent="0.2">
      <c r="B65" s="31"/>
      <c r="C65" s="11"/>
      <c r="D65" s="11"/>
      <c r="E65" s="11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32"/>
    </row>
    <row r="66" spans="2:22" x14ac:dyDescent="0.2">
      <c r="B66" s="31"/>
      <c r="C66" s="11"/>
      <c r="D66" s="11"/>
      <c r="E66" s="11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32"/>
    </row>
    <row r="67" spans="2:22" x14ac:dyDescent="0.2">
      <c r="B67" s="34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6"/>
    </row>
  </sheetData>
  <mergeCells count="31">
    <mergeCell ref="D43:E43"/>
    <mergeCell ref="D46:E46"/>
    <mergeCell ref="D47:E47"/>
    <mergeCell ref="D48:E48"/>
    <mergeCell ref="R4:U4"/>
    <mergeCell ref="D15:E15"/>
    <mergeCell ref="D16:E16"/>
    <mergeCell ref="D17:E17"/>
    <mergeCell ref="D20:E20"/>
    <mergeCell ref="D4:Q4"/>
    <mergeCell ref="D21:E21"/>
    <mergeCell ref="D14:E14"/>
    <mergeCell ref="D52:E52"/>
    <mergeCell ref="D53:E53"/>
    <mergeCell ref="D57:E57"/>
    <mergeCell ref="D38:E38"/>
    <mergeCell ref="D23:E23"/>
    <mergeCell ref="D24:E24"/>
    <mergeCell ref="D26:E26"/>
    <mergeCell ref="D27:E27"/>
    <mergeCell ref="D29:E29"/>
    <mergeCell ref="D30:E30"/>
    <mergeCell ref="D32:E32"/>
    <mergeCell ref="D35:E35"/>
    <mergeCell ref="D37:E37"/>
    <mergeCell ref="D40:E40"/>
    <mergeCell ref="D61:E61"/>
    <mergeCell ref="D59:E59"/>
    <mergeCell ref="D60:E60"/>
    <mergeCell ref="D55:E55"/>
    <mergeCell ref="F64:U66"/>
  </mergeCells>
  <conditionalFormatting sqref="U6:U10">
    <cfRule type="cellIs" dxfId="0" priority="1" operator="greaterThan">
      <formula>0.1218</formula>
    </cfRule>
  </conditionalFormatting>
  <hyperlinks>
    <hyperlink ref="L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</vt:lpstr>
      <vt:lpstr>Charter</vt:lpstr>
    </vt:vector>
  </TitlesOfParts>
  <Company>Washington County School District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JamesAaronBrickey</dc:creator>
  <cp:lastModifiedBy>Jennifer Howell</cp:lastModifiedBy>
  <dcterms:created xsi:type="dcterms:W3CDTF">2013-11-13T22:41:58Z</dcterms:created>
  <dcterms:modified xsi:type="dcterms:W3CDTF">2014-04-10T19:50:56Z</dcterms:modified>
</cp:coreProperties>
</file>